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penny\Downloads\"/>
    </mc:Choice>
  </mc:AlternateContent>
  <xr:revisionPtr revIDLastSave="0" documentId="13_ncr:1_{3F21FAFB-7615-4869-8357-E7F32DF93ED2}" xr6:coauthVersionLast="47" xr6:coauthVersionMax="47" xr10:uidLastSave="{00000000-0000-0000-0000-000000000000}"/>
  <bookViews>
    <workbookView xWindow="11760" yWindow="-16320" windowWidth="29040" windowHeight="15720" tabRatio="500" xr2:uid="{00000000-000D-0000-FFFF-FFFF00000000}"/>
  </bookViews>
  <sheets>
    <sheet name="Attainment &amp; Alloc Summary" sheetId="8" r:id="rId1"/>
    <sheet name="Attainment &amp; Allocations" sheetId="7" r:id="rId2"/>
    <sheet name="Harvest Detail" sheetId="3" r:id="rId3"/>
    <sheet name="Productivity" sheetId="6" r:id="rId4"/>
    <sheet name="By Week &amp; House" sheetId="4" r:id="rId5"/>
    <sheet name="Over Time" sheetId="5" r:id="rId6"/>
    <sheet name="PvA Data" sheetId="9" state="hidden" r:id="rId7"/>
    <sheet name="Tissue Codes" sheetId="2" r:id="rId8"/>
    <sheet name="12_29_25" sheetId="10" r:id="rId9"/>
    <sheet name="01_05_26" sheetId="11" r:id="rId10"/>
    <sheet name="Sheet3" sheetId="12" r:id="rId11"/>
    <sheet name="Sheet4" sheetId="13" r:id="rId12"/>
    <sheet name="1_12_26" sheetId="14" r:id="rId13"/>
    <sheet name="1_19_26" sheetId="15" r:id="rId14"/>
    <sheet name="Sheet7" sheetId="16" r:id="rId15"/>
    <sheet name="Sheet8" sheetId="17" r:id="rId16"/>
    <sheet name="1_26_26" sheetId="18" r:id="rId17"/>
    <sheet name="02_02_26" sheetId="19" r:id="rId18"/>
    <sheet name="Sheet5" sheetId="20" r:id="rId19"/>
    <sheet name="Sheet6" sheetId="21" r:id="rId20"/>
    <sheet name="02_09_26" sheetId="22" r:id="rId21"/>
    <sheet name="02_16_26" sheetId="23" r:id="rId22"/>
    <sheet name="Sheet9" sheetId="24" r:id="rId23"/>
    <sheet name="Sheet10" sheetId="25" r:id="rId24"/>
    <sheet name="02_23_26" sheetId="26" r:id="rId25"/>
    <sheet name="03_02_26" sheetId="27" r:id="rId26"/>
    <sheet name="Sheet11" sheetId="28" r:id="rId27"/>
    <sheet name="Sheet12" sheetId="29" r:id="rId28"/>
    <sheet name="03_09_26" sheetId="30" r:id="rId29"/>
    <sheet name="03_16_26" sheetId="31" r:id="rId30"/>
    <sheet name="Sheet1" sheetId="32" r:id="rId31"/>
    <sheet name="Sheet2" sheetId="33" r:id="rId32"/>
    <sheet name="03_23_26" sheetId="34" r:id="rId33"/>
    <sheet name="03_30_26" sheetId="35" r:id="rId34"/>
    <sheet name="Sheet15" sheetId="36" r:id="rId35"/>
    <sheet name="Sheet16" sheetId="37" r:id="rId36"/>
    <sheet name="Q1 to Date" sheetId="38" r:id="rId37"/>
    <sheet name="04_06_26" sheetId="39" r:id="rId38"/>
    <sheet name="04_13_26" sheetId="40" r:id="rId39"/>
    <sheet name="Sheet17" sheetId="41" r:id="rId40"/>
    <sheet name="Sheet18" sheetId="42" r:id="rId41"/>
    <sheet name="04_20_26" sheetId="43" r:id="rId42"/>
    <sheet name="04_27_26" sheetId="44" r:id="rId43"/>
    <sheet name="Sheet20" sheetId="45" r:id="rId44"/>
    <sheet name="Sheet19" sheetId="46" r:id="rId45"/>
    <sheet name="05_04_26" sheetId="47" r:id="rId46"/>
    <sheet name="05_11_26" sheetId="48" r:id="rId47"/>
    <sheet name="Sheet21" sheetId="49" r:id="rId48"/>
    <sheet name="Sheet22" sheetId="50" r:id="rId49"/>
    <sheet name="05_18_26" sheetId="51" r:id="rId50"/>
    <sheet name="05_25_26" sheetId="52" r:id="rId51"/>
    <sheet name="Sheet23" sheetId="53" r:id="rId52"/>
    <sheet name="Sheet24" sheetId="54" r:id="rId53"/>
    <sheet name="06_01_26" sheetId="55" r:id="rId54"/>
    <sheet name="06_08_26" sheetId="56" r:id="rId55"/>
    <sheet name="Sheet28" sheetId="57" r:id="rId56"/>
    <sheet name="Sheet29" sheetId="58" r:id="rId57"/>
    <sheet name="Q2" sheetId="59" r:id="rId58"/>
    <sheet name="Year to date" sheetId="60" r:id="rId59"/>
    <sheet name="06_15_26" sheetId="61" r:id="rId60"/>
    <sheet name="06_22_26" sheetId="62" r:id="rId61"/>
    <sheet name="Sheet25" sheetId="63" r:id="rId62"/>
    <sheet name="Sheet26" sheetId="64" r:id="rId63"/>
    <sheet name="06_29_26" sheetId="65" r:id="rId64"/>
    <sheet name="07_06_26" sheetId="66" r:id="rId65"/>
    <sheet name="Sheet27" sheetId="67" r:id="rId66"/>
    <sheet name="Sheet32" sheetId="68" r:id="rId67"/>
  </sheets>
  <definedNames>
    <definedName name="_xlnm._FilterDatabase" localSheetId="1" hidden="1">'Attainment &amp; Allocations'!$A$34:$M$559</definedName>
    <definedName name="_xlnm._FilterDatabase" localSheetId="4" hidden="1">'By Week &amp; House'!$A$3:$Y$78</definedName>
    <definedName name="_xlnm._FilterDatabase" localSheetId="2" hidden="1">'Harvest Detail'!$A$1:$J$1093</definedName>
    <definedName name="_xlnm._FilterDatabase" localSheetId="6" hidden="1">'PvA Data'!$A$1:$G$1576</definedName>
    <definedName name="_xlnm._FilterDatabase" localSheetId="7" hidden="1">'Tissue Codes'!$A$3:$C$24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27" i="68" l="1"/>
  <c r="K27" i="68"/>
  <c r="L26" i="68"/>
  <c r="K26" i="68"/>
  <c r="L25" i="68"/>
  <c r="K25" i="68"/>
  <c r="D25" i="68"/>
  <c r="L24" i="68"/>
  <c r="K24" i="68"/>
  <c r="D24" i="68"/>
  <c r="L23" i="68"/>
  <c r="K23" i="68"/>
  <c r="D23" i="68" s="1"/>
  <c r="L22" i="68"/>
  <c r="K22" i="68"/>
  <c r="D22" i="68" s="1"/>
  <c r="L21" i="68"/>
  <c r="K21" i="68"/>
  <c r="D21" i="68"/>
  <c r="L20" i="68"/>
  <c r="K20" i="68"/>
  <c r="D20" i="68" s="1"/>
  <c r="L19" i="68"/>
  <c r="K19" i="68"/>
  <c r="D19" i="68"/>
  <c r="L18" i="68"/>
  <c r="K18" i="68"/>
  <c r="D18" i="68"/>
  <c r="L17" i="68"/>
  <c r="K17" i="68"/>
  <c r="D17" i="68" s="1"/>
  <c r="L16" i="68"/>
  <c r="K16" i="68"/>
  <c r="D16" i="68"/>
  <c r="L15" i="68"/>
  <c r="K15" i="68"/>
  <c r="D15" i="68" s="1"/>
  <c r="L14" i="68"/>
  <c r="K14" i="68"/>
  <c r="D14" i="68" s="1"/>
  <c r="L13" i="68"/>
  <c r="K13" i="68"/>
  <c r="D13" i="68" s="1"/>
  <c r="L12" i="68"/>
  <c r="K12" i="68"/>
  <c r="D12" i="68" s="1"/>
  <c r="L11" i="68"/>
  <c r="K11" i="68"/>
  <c r="D11" i="68" s="1"/>
  <c r="L10" i="68"/>
  <c r="K10" i="68"/>
  <c r="D10" i="68"/>
  <c r="L9" i="68"/>
  <c r="K9" i="68"/>
  <c r="D9" i="68"/>
  <c r="L8" i="68"/>
  <c r="K8" i="68"/>
  <c r="D8" i="68" s="1"/>
  <c r="L7" i="68"/>
  <c r="K7" i="68"/>
  <c r="D7" i="68"/>
  <c r="L6" i="68"/>
  <c r="K6" i="68"/>
  <c r="D6" i="68"/>
  <c r="L5" i="68"/>
  <c r="Q72" i="67"/>
  <c r="K72" i="67"/>
  <c r="E72" i="67"/>
  <c r="D72" i="67"/>
  <c r="R72" i="67" s="1"/>
  <c r="Q71" i="67"/>
  <c r="D71" i="67"/>
  <c r="R71" i="67" s="1"/>
  <c r="Q70" i="67"/>
  <c r="R70" i="67" s="1"/>
  <c r="K70" i="67"/>
  <c r="E70" i="67"/>
  <c r="D70" i="67"/>
  <c r="Q69" i="67"/>
  <c r="E69" i="67"/>
  <c r="D69" i="67"/>
  <c r="R68" i="67"/>
  <c r="Q68" i="67"/>
  <c r="K68" i="67"/>
  <c r="E68" i="67"/>
  <c r="R67" i="67"/>
  <c r="Q67" i="67"/>
  <c r="D67" i="67"/>
  <c r="Q66" i="67"/>
  <c r="R66" i="67" s="1"/>
  <c r="K66" i="67"/>
  <c r="E66" i="67"/>
  <c r="R65" i="67"/>
  <c r="Q65" i="67"/>
  <c r="K65" i="67"/>
  <c r="E65" i="67"/>
  <c r="Q64" i="67"/>
  <c r="E64" i="67"/>
  <c r="D64" i="67"/>
  <c r="R64" i="67" s="1"/>
  <c r="R63" i="67"/>
  <c r="Q63" i="67"/>
  <c r="K63" i="67"/>
  <c r="E63" i="67"/>
  <c r="R62" i="67"/>
  <c r="Q62" i="67"/>
  <c r="D62" i="67"/>
  <c r="K62" i="67" s="1"/>
  <c r="Q61" i="67"/>
  <c r="R61" i="67" s="1"/>
  <c r="K61" i="67"/>
  <c r="E61" i="67"/>
  <c r="R60" i="67"/>
  <c r="Q60" i="67"/>
  <c r="K60" i="67"/>
  <c r="E60" i="67"/>
  <c r="R59" i="67"/>
  <c r="Q59" i="67"/>
  <c r="K59" i="67"/>
  <c r="E59" i="67"/>
  <c r="Q58" i="67"/>
  <c r="K58" i="67"/>
  <c r="E58" i="67"/>
  <c r="D58" i="67"/>
  <c r="R58" i="67" s="1"/>
  <c r="Q57" i="67"/>
  <c r="K57" i="67"/>
  <c r="D57" i="67"/>
  <c r="R56" i="67"/>
  <c r="Q56" i="67"/>
  <c r="K56" i="67"/>
  <c r="D56" i="67"/>
  <c r="E56" i="67" s="1"/>
  <c r="R55" i="67"/>
  <c r="Q55" i="67"/>
  <c r="D55" i="67"/>
  <c r="K55" i="67" s="1"/>
  <c r="Q54" i="67"/>
  <c r="E54" i="67"/>
  <c r="D54" i="67"/>
  <c r="Q53" i="67"/>
  <c r="R53" i="67" s="1"/>
  <c r="K53" i="67"/>
  <c r="E53" i="67"/>
  <c r="R52" i="67"/>
  <c r="Q52" i="67"/>
  <c r="K52" i="67"/>
  <c r="E52" i="67"/>
  <c r="Q51" i="67"/>
  <c r="R51" i="67" s="1"/>
  <c r="K51" i="67"/>
  <c r="E51" i="67"/>
  <c r="K50" i="67"/>
  <c r="A49" i="67"/>
  <c r="Q47" i="67"/>
  <c r="D47" i="67"/>
  <c r="R46" i="67"/>
  <c r="Q46" i="67"/>
  <c r="K46" i="67"/>
  <c r="E46" i="67"/>
  <c r="R45" i="67"/>
  <c r="S45" i="67" s="1"/>
  <c r="Q45" i="67"/>
  <c r="K45" i="67"/>
  <c r="D45" i="67"/>
  <c r="E45" i="67" s="1"/>
  <c r="Q44" i="67"/>
  <c r="D44" i="67"/>
  <c r="R44" i="67" s="1"/>
  <c r="S44" i="67" s="1"/>
  <c r="R43" i="67"/>
  <c r="Q43" i="67"/>
  <c r="D43" i="67"/>
  <c r="Q42" i="67"/>
  <c r="E42" i="67"/>
  <c r="D42" i="67"/>
  <c r="K42" i="67" s="1"/>
  <c r="Q41" i="67"/>
  <c r="R41" i="67" s="1"/>
  <c r="K41" i="67"/>
  <c r="E41" i="67"/>
  <c r="Q40" i="67"/>
  <c r="R40" i="67" s="1"/>
  <c r="K40" i="67"/>
  <c r="E40" i="67"/>
  <c r="D40" i="67"/>
  <c r="Q39" i="67"/>
  <c r="R39" i="67" s="1"/>
  <c r="K39" i="67"/>
  <c r="E39" i="67"/>
  <c r="D39" i="67"/>
  <c r="Q38" i="67"/>
  <c r="R38" i="67" s="1"/>
  <c r="S38" i="67" s="1"/>
  <c r="D38" i="67"/>
  <c r="Q37" i="67"/>
  <c r="D37" i="67"/>
  <c r="R36" i="67"/>
  <c r="S36" i="67" s="1"/>
  <c r="Q36" i="67"/>
  <c r="D36" i="67"/>
  <c r="K36" i="67" s="1"/>
  <c r="S35" i="67"/>
  <c r="R35" i="67"/>
  <c r="Q35" i="67"/>
  <c r="K35" i="67"/>
  <c r="E35" i="67"/>
  <c r="D35" i="67"/>
  <c r="R34" i="67"/>
  <c r="S34" i="67" s="1"/>
  <c r="Q34" i="67"/>
  <c r="K34" i="67"/>
  <c r="D34" i="67"/>
  <c r="E34" i="67" s="1"/>
  <c r="Q33" i="67"/>
  <c r="E33" i="67"/>
  <c r="D33" i="67"/>
  <c r="R33" i="67" s="1"/>
  <c r="S33" i="67" s="1"/>
  <c r="Q32" i="67"/>
  <c r="R32" i="67" s="1"/>
  <c r="S32" i="67" s="1"/>
  <c r="K32" i="67"/>
  <c r="E32" i="67"/>
  <c r="D32" i="67"/>
  <c r="S31" i="67"/>
  <c r="R31" i="67"/>
  <c r="Q31" i="67"/>
  <c r="K31" i="67"/>
  <c r="D31" i="67"/>
  <c r="E31" i="67" s="1"/>
  <c r="Q30" i="67"/>
  <c r="R30" i="67" s="1"/>
  <c r="S30" i="67" s="1"/>
  <c r="K30" i="67"/>
  <c r="E30" i="67"/>
  <c r="Q29" i="67"/>
  <c r="E29" i="67"/>
  <c r="D29" i="67"/>
  <c r="R29" i="67" s="1"/>
  <c r="S29" i="67" s="1"/>
  <c r="Q28" i="67"/>
  <c r="R28" i="67" s="1"/>
  <c r="S28" i="67" s="1"/>
  <c r="K28" i="67"/>
  <c r="E28" i="67"/>
  <c r="S27" i="67"/>
  <c r="R27" i="67"/>
  <c r="Q27" i="67"/>
  <c r="K27" i="67"/>
  <c r="E27" i="67"/>
  <c r="K26" i="67"/>
  <c r="A25" i="67"/>
  <c r="Q24" i="67"/>
  <c r="R24" i="67" s="1"/>
  <c r="K24" i="67"/>
  <c r="E24" i="67"/>
  <c r="Q23" i="67"/>
  <c r="R23" i="67" s="1"/>
  <c r="K23" i="67"/>
  <c r="E23" i="67"/>
  <c r="R22" i="67"/>
  <c r="Q22" i="67"/>
  <c r="D22" i="67"/>
  <c r="K22" i="67" s="1"/>
  <c r="R21" i="67"/>
  <c r="Q21" i="67"/>
  <c r="K21" i="67"/>
  <c r="E21" i="67"/>
  <c r="D21" i="67"/>
  <c r="Q20" i="67"/>
  <c r="R20" i="67" s="1"/>
  <c r="K20" i="67"/>
  <c r="E20" i="67"/>
  <c r="Q19" i="67"/>
  <c r="E19" i="67"/>
  <c r="D19" i="67"/>
  <c r="R19" i="67" s="1"/>
  <c r="S19" i="67" s="1"/>
  <c r="S18" i="67"/>
  <c r="R18" i="67"/>
  <c r="Q18" i="67"/>
  <c r="D18" i="67"/>
  <c r="K18" i="67" s="1"/>
  <c r="S17" i="67"/>
  <c r="Q17" i="67"/>
  <c r="R17" i="67" s="1"/>
  <c r="K17" i="67"/>
  <c r="E17" i="67"/>
  <c r="R16" i="67"/>
  <c r="S16" i="67" s="1"/>
  <c r="Q16" i="67"/>
  <c r="K16" i="67"/>
  <c r="E16" i="67"/>
  <c r="Q15" i="67"/>
  <c r="R15" i="67" s="1"/>
  <c r="S15" i="67" s="1"/>
  <c r="K15" i="67"/>
  <c r="E15" i="67"/>
  <c r="S14" i="67"/>
  <c r="R14" i="67"/>
  <c r="Q14" i="67"/>
  <c r="D14" i="67"/>
  <c r="K14" i="67" s="1"/>
  <c r="R13" i="67"/>
  <c r="S13" i="67" s="1"/>
  <c r="Q13" i="67"/>
  <c r="K13" i="67"/>
  <c r="E13" i="67"/>
  <c r="R12" i="67"/>
  <c r="S12" i="67" s="1"/>
  <c r="Q12" i="67"/>
  <c r="K12" i="67"/>
  <c r="E12" i="67"/>
  <c r="Q11" i="67"/>
  <c r="R11" i="67" s="1"/>
  <c r="S11" i="67" s="1"/>
  <c r="K11" i="67"/>
  <c r="E11" i="67"/>
  <c r="S10" i="67"/>
  <c r="R10" i="67"/>
  <c r="Q10" i="67"/>
  <c r="K10" i="67"/>
  <c r="E10" i="67"/>
  <c r="Q9" i="67"/>
  <c r="E9" i="67"/>
  <c r="D9" i="67"/>
  <c r="Q8" i="67"/>
  <c r="R8" i="67" s="1"/>
  <c r="S8" i="67" s="1"/>
  <c r="K8" i="67"/>
  <c r="E8" i="67"/>
  <c r="Q7" i="67"/>
  <c r="R7" i="67" s="1"/>
  <c r="S7" i="67" s="1"/>
  <c r="K7" i="67"/>
  <c r="E7" i="67"/>
  <c r="Q6" i="67"/>
  <c r="K6" i="67"/>
  <c r="D6" i="67"/>
  <c r="E6" i="67" s="1"/>
  <c r="Q5" i="67"/>
  <c r="R5" i="67" s="1"/>
  <c r="S5" i="67" s="1"/>
  <c r="K5" i="67"/>
  <c r="E5" i="67"/>
  <c r="Q4" i="67"/>
  <c r="E4" i="67"/>
  <c r="D4" i="67"/>
  <c r="Q3" i="67"/>
  <c r="R3" i="67" s="1"/>
  <c r="S3" i="67" s="1"/>
  <c r="K3" i="67"/>
  <c r="E3" i="67"/>
  <c r="A3" i="67"/>
  <c r="J26" i="66"/>
  <c r="H26" i="66"/>
  <c r="G26" i="66"/>
  <c r="F26" i="66"/>
  <c r="L26" i="66" s="1"/>
  <c r="E26" i="66"/>
  <c r="J25" i="66"/>
  <c r="H25" i="66"/>
  <c r="F25" i="66"/>
  <c r="L25" i="66" s="1"/>
  <c r="J24" i="66"/>
  <c r="H24" i="66"/>
  <c r="F24" i="66"/>
  <c r="J23" i="66"/>
  <c r="H23" i="66"/>
  <c r="F23" i="66"/>
  <c r="L23" i="66" s="1"/>
  <c r="E23" i="66"/>
  <c r="K23" i="66" s="1"/>
  <c r="L22" i="66"/>
  <c r="J22" i="66"/>
  <c r="H22" i="66"/>
  <c r="G22" i="66"/>
  <c r="F22" i="66"/>
  <c r="J21" i="66"/>
  <c r="H21" i="66"/>
  <c r="F21" i="66"/>
  <c r="L20" i="66"/>
  <c r="K20" i="66"/>
  <c r="J20" i="66"/>
  <c r="I20" i="66"/>
  <c r="H20" i="66"/>
  <c r="G20" i="66"/>
  <c r="F20" i="66"/>
  <c r="E20" i="66"/>
  <c r="J19" i="66"/>
  <c r="H19" i="66"/>
  <c r="L19" i="66" s="1"/>
  <c r="F19" i="66"/>
  <c r="J18" i="66"/>
  <c r="I18" i="66"/>
  <c r="H18" i="66"/>
  <c r="G18" i="66"/>
  <c r="F18" i="66"/>
  <c r="L18" i="66" s="1"/>
  <c r="J17" i="66"/>
  <c r="L17" i="66" s="1"/>
  <c r="H17" i="66"/>
  <c r="F17" i="66"/>
  <c r="E17" i="66"/>
  <c r="L16" i="66"/>
  <c r="J16" i="66"/>
  <c r="H16" i="66"/>
  <c r="G16" i="66"/>
  <c r="F16" i="66"/>
  <c r="J15" i="66"/>
  <c r="I15" i="66"/>
  <c r="H15" i="66"/>
  <c r="L15" i="66" s="1"/>
  <c r="G15" i="66"/>
  <c r="F15" i="66"/>
  <c r="L14" i="66"/>
  <c r="J14" i="66"/>
  <c r="I14" i="66"/>
  <c r="H14" i="66"/>
  <c r="F14" i="66"/>
  <c r="J13" i="66"/>
  <c r="H13" i="66"/>
  <c r="F13" i="66"/>
  <c r="E13" i="66"/>
  <c r="J12" i="66"/>
  <c r="H12" i="66"/>
  <c r="G12" i="66"/>
  <c r="F12" i="66"/>
  <c r="L12" i="66" s="1"/>
  <c r="E12" i="66"/>
  <c r="J11" i="66"/>
  <c r="L11" i="66" s="1"/>
  <c r="H11" i="66"/>
  <c r="G11" i="66"/>
  <c r="F11" i="66"/>
  <c r="E11" i="66"/>
  <c r="J10" i="66"/>
  <c r="H10" i="66"/>
  <c r="G10" i="66"/>
  <c r="F10" i="66"/>
  <c r="L10" i="66" s="1"/>
  <c r="E10" i="66"/>
  <c r="J9" i="66"/>
  <c r="H9" i="66"/>
  <c r="F9" i="66"/>
  <c r="L9" i="66" s="1"/>
  <c r="J8" i="66"/>
  <c r="H8" i="66"/>
  <c r="G8" i="66"/>
  <c r="F8" i="66"/>
  <c r="J7" i="66"/>
  <c r="H7" i="66"/>
  <c r="F7" i="66"/>
  <c r="L7" i="66" s="1"/>
  <c r="E7" i="66"/>
  <c r="K7" i="66" s="1"/>
  <c r="L6" i="66"/>
  <c r="J6" i="66"/>
  <c r="H6" i="66"/>
  <c r="G6" i="66"/>
  <c r="F6" i="66"/>
  <c r="E6" i="66"/>
  <c r="K6" i="66" s="1"/>
  <c r="L5" i="66"/>
  <c r="K5" i="66"/>
  <c r="J5" i="66"/>
  <c r="H5" i="66"/>
  <c r="F5" i="66"/>
  <c r="J4" i="66"/>
  <c r="H4" i="66"/>
  <c r="F4" i="66"/>
  <c r="J26" i="65"/>
  <c r="I26" i="65"/>
  <c r="H26" i="65"/>
  <c r="G26" i="65"/>
  <c r="F26" i="65"/>
  <c r="L26" i="65" s="1"/>
  <c r="J25" i="65"/>
  <c r="I25" i="65"/>
  <c r="I25" i="66" s="1"/>
  <c r="H25" i="65"/>
  <c r="G25" i="65"/>
  <c r="F25" i="65"/>
  <c r="L25" i="65" s="1"/>
  <c r="J24" i="65"/>
  <c r="I24" i="65"/>
  <c r="H24" i="65"/>
  <c r="G24" i="66" s="1"/>
  <c r="F24" i="65"/>
  <c r="E24" i="65"/>
  <c r="E24" i="66" s="1"/>
  <c r="L23" i="65"/>
  <c r="J23" i="65"/>
  <c r="I23" i="65"/>
  <c r="I23" i="66" s="1"/>
  <c r="H23" i="65"/>
  <c r="G23" i="65"/>
  <c r="G23" i="66" s="1"/>
  <c r="F23" i="65"/>
  <c r="E23" i="65"/>
  <c r="K22" i="65"/>
  <c r="J22" i="65"/>
  <c r="I22" i="66" s="1"/>
  <c r="H22" i="65"/>
  <c r="G22" i="65"/>
  <c r="F22" i="65"/>
  <c r="E22" i="66" s="1"/>
  <c r="K22" i="66" s="1"/>
  <c r="K21" i="65"/>
  <c r="J21" i="65"/>
  <c r="I21" i="65"/>
  <c r="H21" i="65"/>
  <c r="G21" i="65"/>
  <c r="G21" i="66" s="1"/>
  <c r="F21" i="65"/>
  <c r="L21" i="65" s="1"/>
  <c r="E21" i="65"/>
  <c r="K20" i="65"/>
  <c r="J20" i="65"/>
  <c r="H20" i="65"/>
  <c r="L20" i="65" s="1"/>
  <c r="G20" i="65"/>
  <c r="F20" i="65"/>
  <c r="E20" i="65"/>
  <c r="K19" i="65"/>
  <c r="J19" i="65"/>
  <c r="I19" i="66" s="1"/>
  <c r="H19" i="65"/>
  <c r="G19" i="66" s="1"/>
  <c r="F19" i="65"/>
  <c r="E19" i="66" s="1"/>
  <c r="L18" i="65"/>
  <c r="K18" i="65"/>
  <c r="J18" i="65"/>
  <c r="I18" i="65"/>
  <c r="H18" i="65"/>
  <c r="G18" i="65"/>
  <c r="F18" i="65"/>
  <c r="E18" i="66" s="1"/>
  <c r="K18" i="66" s="1"/>
  <c r="J17" i="65"/>
  <c r="L17" i="65" s="1"/>
  <c r="H17" i="65"/>
  <c r="G17" i="65"/>
  <c r="K17" i="65" s="1"/>
  <c r="F17" i="65"/>
  <c r="J16" i="65"/>
  <c r="I16" i="65"/>
  <c r="H16" i="65"/>
  <c r="G16" i="65"/>
  <c r="F16" i="65"/>
  <c r="L16" i="65" s="1"/>
  <c r="E16" i="65"/>
  <c r="E16" i="66" s="1"/>
  <c r="K15" i="65"/>
  <c r="J15" i="65"/>
  <c r="H15" i="65"/>
  <c r="G15" i="65"/>
  <c r="F15" i="65"/>
  <c r="L14" i="65"/>
  <c r="J14" i="65"/>
  <c r="H14" i="65"/>
  <c r="G14" i="65"/>
  <c r="F14" i="65"/>
  <c r="E14" i="66" s="1"/>
  <c r="K13" i="65"/>
  <c r="J13" i="65"/>
  <c r="I13" i="66" s="1"/>
  <c r="H13" i="65"/>
  <c r="G13" i="65"/>
  <c r="G13" i="66" s="1"/>
  <c r="F13" i="65"/>
  <c r="J12" i="65"/>
  <c r="I12" i="65"/>
  <c r="K12" i="65" s="1"/>
  <c r="H12" i="65"/>
  <c r="L12" i="65" s="1"/>
  <c r="G12" i="65"/>
  <c r="F12" i="65"/>
  <c r="K11" i="65"/>
  <c r="J11" i="65"/>
  <c r="L11" i="65" s="1"/>
  <c r="I11" i="65"/>
  <c r="H11" i="65"/>
  <c r="G11" i="65"/>
  <c r="F11" i="65"/>
  <c r="E11" i="65"/>
  <c r="L10" i="65"/>
  <c r="K10" i="65"/>
  <c r="J10" i="65"/>
  <c r="I10" i="65"/>
  <c r="H10" i="65"/>
  <c r="G10" i="65"/>
  <c r="F10" i="65"/>
  <c r="K9" i="65"/>
  <c r="J9" i="65"/>
  <c r="I9" i="66" s="1"/>
  <c r="I9" i="65"/>
  <c r="H9" i="65"/>
  <c r="G9" i="65"/>
  <c r="F9" i="65"/>
  <c r="E9" i="66" s="1"/>
  <c r="L8" i="65"/>
  <c r="J8" i="65"/>
  <c r="I8" i="65"/>
  <c r="I8" i="66" s="1"/>
  <c r="H8" i="65"/>
  <c r="F8" i="65"/>
  <c r="E8" i="65"/>
  <c r="L7" i="65"/>
  <c r="K7" i="65"/>
  <c r="J7" i="65"/>
  <c r="I7" i="66" s="1"/>
  <c r="H7" i="65"/>
  <c r="G7" i="65"/>
  <c r="G7" i="66" s="1"/>
  <c r="F7" i="65"/>
  <c r="K6" i="65"/>
  <c r="J6" i="65"/>
  <c r="I6" i="66" s="1"/>
  <c r="H6" i="65"/>
  <c r="F6" i="65"/>
  <c r="E6" i="65"/>
  <c r="K5" i="65"/>
  <c r="J5" i="65"/>
  <c r="H5" i="65"/>
  <c r="F5" i="65"/>
  <c r="L5" i="65" s="1"/>
  <c r="J4" i="65"/>
  <c r="H4" i="65"/>
  <c r="F4" i="65"/>
  <c r="L27" i="64"/>
  <c r="K27" i="64"/>
  <c r="L26" i="64"/>
  <c r="K26" i="64"/>
  <c r="L25" i="64"/>
  <c r="K25" i="64"/>
  <c r="D25" i="64"/>
  <c r="L24" i="64"/>
  <c r="K24" i="64"/>
  <c r="D24" i="64" s="1"/>
  <c r="L23" i="64"/>
  <c r="K23" i="64"/>
  <c r="D23" i="64"/>
  <c r="L22" i="64"/>
  <c r="K22" i="64"/>
  <c r="D22" i="64" s="1"/>
  <c r="L21" i="64"/>
  <c r="K21" i="64"/>
  <c r="D21" i="64"/>
  <c r="L20" i="64"/>
  <c r="K20" i="64"/>
  <c r="D20" i="64"/>
  <c r="L19" i="64"/>
  <c r="K19" i="64"/>
  <c r="D19" i="64" s="1"/>
  <c r="L18" i="64"/>
  <c r="K18" i="64"/>
  <c r="D18" i="64" s="1"/>
  <c r="L17" i="64"/>
  <c r="K17" i="64"/>
  <c r="D17" i="64" s="1"/>
  <c r="L16" i="64"/>
  <c r="K16" i="64"/>
  <c r="D16" i="64" s="1"/>
  <c r="L15" i="64"/>
  <c r="K15" i="64"/>
  <c r="D15" i="64"/>
  <c r="L14" i="64"/>
  <c r="K14" i="64"/>
  <c r="D14" i="64"/>
  <c r="L13" i="64"/>
  <c r="K13" i="64"/>
  <c r="D13" i="64"/>
  <c r="L12" i="64"/>
  <c r="K12" i="64"/>
  <c r="D12" i="64" s="1"/>
  <c r="L11" i="64"/>
  <c r="K11" i="64"/>
  <c r="D11" i="64" s="1"/>
  <c r="L10" i="64"/>
  <c r="K10" i="64"/>
  <c r="D10" i="64" s="1"/>
  <c r="L9" i="64"/>
  <c r="K9" i="64"/>
  <c r="D9" i="64" s="1"/>
  <c r="L8" i="64"/>
  <c r="K8" i="64"/>
  <c r="D8" i="64" s="1"/>
  <c r="L7" i="64"/>
  <c r="K7" i="64"/>
  <c r="D7" i="64"/>
  <c r="L6" i="64"/>
  <c r="K6" i="64"/>
  <c r="D6" i="64"/>
  <c r="L5" i="64"/>
  <c r="R72" i="63"/>
  <c r="Q72" i="63"/>
  <c r="K72" i="63"/>
  <c r="E72" i="63"/>
  <c r="R71" i="63"/>
  <c r="Q71" i="63"/>
  <c r="K71" i="63"/>
  <c r="E71" i="63"/>
  <c r="Q70" i="63"/>
  <c r="R70" i="63" s="1"/>
  <c r="K70" i="63"/>
  <c r="E70" i="63"/>
  <c r="Q69" i="63"/>
  <c r="R69" i="63" s="1"/>
  <c r="K69" i="63"/>
  <c r="E69" i="63"/>
  <c r="R68" i="63"/>
  <c r="Q68" i="63"/>
  <c r="K68" i="63"/>
  <c r="E68" i="63"/>
  <c r="R67" i="63"/>
  <c r="Q67" i="63"/>
  <c r="K67" i="63"/>
  <c r="E67" i="63"/>
  <c r="Q66" i="63"/>
  <c r="R66" i="63" s="1"/>
  <c r="K66" i="63"/>
  <c r="E66" i="63"/>
  <c r="Q65" i="63"/>
  <c r="R65" i="63" s="1"/>
  <c r="K65" i="63"/>
  <c r="E65" i="63"/>
  <c r="Q64" i="63"/>
  <c r="R64" i="63" s="1"/>
  <c r="K64" i="63"/>
  <c r="E64" i="63"/>
  <c r="Q63" i="63"/>
  <c r="R63" i="63" s="1"/>
  <c r="K63" i="63"/>
  <c r="E63" i="63"/>
  <c r="Q62" i="63"/>
  <c r="R62" i="63" s="1"/>
  <c r="K62" i="63"/>
  <c r="E62" i="63"/>
  <c r="R61" i="63"/>
  <c r="Q61" i="63"/>
  <c r="K61" i="63"/>
  <c r="E61" i="63"/>
  <c r="R60" i="63"/>
  <c r="Q60" i="63"/>
  <c r="K60" i="63"/>
  <c r="E60" i="63"/>
  <c r="Q59" i="63"/>
  <c r="R59" i="63" s="1"/>
  <c r="K59" i="63"/>
  <c r="E59" i="63"/>
  <c r="R58" i="63"/>
  <c r="Q58" i="63"/>
  <c r="K58" i="63"/>
  <c r="E58" i="63"/>
  <c r="R57" i="63"/>
  <c r="Q57" i="63"/>
  <c r="K57" i="63"/>
  <c r="E57" i="63"/>
  <c r="R56" i="63"/>
  <c r="Q56" i="63"/>
  <c r="K56" i="63"/>
  <c r="E56" i="63"/>
  <c r="R55" i="63"/>
  <c r="Q55" i="63"/>
  <c r="K55" i="63"/>
  <c r="E55" i="63"/>
  <c r="Q54" i="63"/>
  <c r="R54" i="63" s="1"/>
  <c r="K54" i="63"/>
  <c r="E54" i="63"/>
  <c r="Q53" i="63"/>
  <c r="R53" i="63" s="1"/>
  <c r="K53" i="63"/>
  <c r="E53" i="63"/>
  <c r="Q52" i="63"/>
  <c r="R52" i="63" s="1"/>
  <c r="K52" i="63"/>
  <c r="E52" i="63"/>
  <c r="Q51" i="63"/>
  <c r="R51" i="63" s="1"/>
  <c r="K51" i="63"/>
  <c r="E51" i="63"/>
  <c r="A49" i="63"/>
  <c r="R47" i="63"/>
  <c r="S47" i="63" s="1"/>
  <c r="Q47" i="63"/>
  <c r="K47" i="63"/>
  <c r="E47" i="63"/>
  <c r="R46" i="63"/>
  <c r="Q46" i="63"/>
  <c r="K46" i="63"/>
  <c r="E46" i="63"/>
  <c r="Q45" i="63"/>
  <c r="R45" i="63" s="1"/>
  <c r="S45" i="63" s="1"/>
  <c r="K45" i="63"/>
  <c r="E45" i="63"/>
  <c r="Q44" i="63"/>
  <c r="R44" i="63" s="1"/>
  <c r="S44" i="63" s="1"/>
  <c r="K44" i="63"/>
  <c r="E44" i="63"/>
  <c r="R43" i="63"/>
  <c r="Q43" i="63"/>
  <c r="K43" i="63"/>
  <c r="E43" i="63"/>
  <c r="Q42" i="63"/>
  <c r="R42" i="63" s="1"/>
  <c r="K42" i="63"/>
  <c r="E42" i="63"/>
  <c r="Q41" i="63"/>
  <c r="R41" i="63" s="1"/>
  <c r="K41" i="63"/>
  <c r="E41" i="63"/>
  <c r="R40" i="63"/>
  <c r="Q40" i="63"/>
  <c r="K40" i="63"/>
  <c r="E40" i="63"/>
  <c r="R39" i="63"/>
  <c r="Q39" i="63"/>
  <c r="K39" i="63"/>
  <c r="E39" i="63"/>
  <c r="S38" i="63"/>
  <c r="Q38" i="63"/>
  <c r="R38" i="63" s="1"/>
  <c r="K38" i="63"/>
  <c r="E38" i="63"/>
  <c r="R37" i="63"/>
  <c r="S37" i="63" s="1"/>
  <c r="Q37" i="63"/>
  <c r="K37" i="63"/>
  <c r="E37" i="63"/>
  <c r="Q36" i="63"/>
  <c r="R36" i="63" s="1"/>
  <c r="S36" i="63" s="1"/>
  <c r="K36" i="63"/>
  <c r="E36" i="63"/>
  <c r="Q35" i="63"/>
  <c r="R35" i="63" s="1"/>
  <c r="S35" i="63" s="1"/>
  <c r="K35" i="63"/>
  <c r="E35" i="63"/>
  <c r="Q34" i="63"/>
  <c r="R34" i="63" s="1"/>
  <c r="S34" i="63" s="1"/>
  <c r="K34" i="63"/>
  <c r="E34" i="63"/>
  <c r="Q33" i="63"/>
  <c r="R33" i="63" s="1"/>
  <c r="S33" i="63" s="1"/>
  <c r="K33" i="63"/>
  <c r="E33" i="63"/>
  <c r="Q32" i="63"/>
  <c r="R32" i="63" s="1"/>
  <c r="S32" i="63" s="1"/>
  <c r="K32" i="63"/>
  <c r="E32" i="63"/>
  <c r="Q31" i="63"/>
  <c r="R31" i="63" s="1"/>
  <c r="S31" i="63" s="1"/>
  <c r="K31" i="63"/>
  <c r="E31" i="63"/>
  <c r="S30" i="63"/>
  <c r="Q30" i="63"/>
  <c r="R30" i="63" s="1"/>
  <c r="K30" i="63"/>
  <c r="E30" i="63"/>
  <c r="S29" i="63"/>
  <c r="R29" i="63"/>
  <c r="Q29" i="63"/>
  <c r="K29" i="63"/>
  <c r="E29" i="63"/>
  <c r="S28" i="63"/>
  <c r="Q28" i="63"/>
  <c r="R28" i="63" s="1"/>
  <c r="K28" i="63"/>
  <c r="E28" i="63"/>
  <c r="Q27" i="63"/>
  <c r="R27" i="63" s="1"/>
  <c r="S27" i="63" s="1"/>
  <c r="K27" i="63"/>
  <c r="E27" i="63"/>
  <c r="K26" i="63"/>
  <c r="K50" i="63" s="1"/>
  <c r="A25" i="63"/>
  <c r="R24" i="63"/>
  <c r="Q24" i="63"/>
  <c r="K24" i="63"/>
  <c r="E24" i="63"/>
  <c r="R23" i="63"/>
  <c r="Q23" i="63"/>
  <c r="K23" i="63"/>
  <c r="E23" i="63"/>
  <c r="R22" i="63"/>
  <c r="Q22" i="63"/>
  <c r="K22" i="63"/>
  <c r="E22" i="63"/>
  <c r="R21" i="63"/>
  <c r="Q21" i="63"/>
  <c r="K21" i="63"/>
  <c r="E21" i="63"/>
  <c r="Q20" i="63"/>
  <c r="R20" i="63" s="1"/>
  <c r="K20" i="63"/>
  <c r="E20" i="63"/>
  <c r="S19" i="63"/>
  <c r="Q19" i="63"/>
  <c r="R19" i="63" s="1"/>
  <c r="K19" i="63"/>
  <c r="E19" i="63"/>
  <c r="Q18" i="63"/>
  <c r="R18" i="63" s="1"/>
  <c r="S18" i="63" s="1"/>
  <c r="K18" i="63"/>
  <c r="E18" i="63"/>
  <c r="Q17" i="63"/>
  <c r="R17" i="63" s="1"/>
  <c r="S17" i="63" s="1"/>
  <c r="K17" i="63"/>
  <c r="E17" i="63"/>
  <c r="Q16" i="63"/>
  <c r="R16" i="63" s="1"/>
  <c r="S16" i="63" s="1"/>
  <c r="K16" i="63"/>
  <c r="E16" i="63"/>
  <c r="Q15" i="63"/>
  <c r="R15" i="63" s="1"/>
  <c r="S15" i="63" s="1"/>
  <c r="K15" i="63"/>
  <c r="E15" i="63"/>
  <c r="S14" i="63"/>
  <c r="R14" i="63"/>
  <c r="Q14" i="63"/>
  <c r="K14" i="63"/>
  <c r="E14" i="63"/>
  <c r="S13" i="63"/>
  <c r="Q13" i="63"/>
  <c r="R13" i="63" s="1"/>
  <c r="K13" i="63"/>
  <c r="E13" i="63"/>
  <c r="S12" i="63"/>
  <c r="R12" i="63"/>
  <c r="Q12" i="63"/>
  <c r="K12" i="63"/>
  <c r="E12" i="63"/>
  <c r="Q11" i="63"/>
  <c r="R11" i="63" s="1"/>
  <c r="S11" i="63" s="1"/>
  <c r="K11" i="63"/>
  <c r="E11" i="63"/>
  <c r="S10" i="63"/>
  <c r="R10" i="63"/>
  <c r="Q10" i="63"/>
  <c r="K10" i="63"/>
  <c r="E10" i="63"/>
  <c r="R9" i="63"/>
  <c r="S9" i="63" s="1"/>
  <c r="Q9" i="63"/>
  <c r="K9" i="63"/>
  <c r="E9" i="63"/>
  <c r="S8" i="63"/>
  <c r="R8" i="63"/>
  <c r="Q8" i="63"/>
  <c r="K8" i="63"/>
  <c r="E8" i="63"/>
  <c r="S7" i="63"/>
  <c r="Q7" i="63"/>
  <c r="R7" i="63" s="1"/>
  <c r="K7" i="63"/>
  <c r="E7" i="63"/>
  <c r="R6" i="63"/>
  <c r="S6" i="63" s="1"/>
  <c r="Q6" i="63"/>
  <c r="K6" i="63"/>
  <c r="E6" i="63"/>
  <c r="Q5" i="63"/>
  <c r="R5" i="63" s="1"/>
  <c r="S5" i="63" s="1"/>
  <c r="K5" i="63"/>
  <c r="E5" i="63"/>
  <c r="R4" i="63"/>
  <c r="S4" i="63" s="1"/>
  <c r="Q4" i="63"/>
  <c r="K4" i="63"/>
  <c r="E4" i="63"/>
  <c r="Q3" i="63"/>
  <c r="R3" i="63" s="1"/>
  <c r="S3" i="63" s="1"/>
  <c r="K3" i="63"/>
  <c r="E3" i="63"/>
  <c r="A3" i="63"/>
  <c r="K26" i="62"/>
  <c r="J26" i="62"/>
  <c r="L26" i="62" s="1"/>
  <c r="H26" i="62"/>
  <c r="F26" i="62"/>
  <c r="K25" i="62"/>
  <c r="J25" i="62"/>
  <c r="L25" i="62" s="1"/>
  <c r="H25" i="62"/>
  <c r="F25" i="62"/>
  <c r="L24" i="62"/>
  <c r="K24" i="62"/>
  <c r="J24" i="62"/>
  <c r="H24" i="62"/>
  <c r="F24" i="62"/>
  <c r="K23" i="62"/>
  <c r="J23" i="62"/>
  <c r="H23" i="62"/>
  <c r="F23" i="62"/>
  <c r="K22" i="62"/>
  <c r="J22" i="62"/>
  <c r="H22" i="62"/>
  <c r="L22" i="62" s="1"/>
  <c r="F22" i="62"/>
  <c r="K21" i="62"/>
  <c r="J21" i="62"/>
  <c r="H21" i="62"/>
  <c r="L21" i="62" s="1"/>
  <c r="F21" i="62"/>
  <c r="K20" i="62"/>
  <c r="J20" i="62"/>
  <c r="H20" i="62"/>
  <c r="F20" i="62"/>
  <c r="L20" i="62" s="1"/>
  <c r="K19" i="62"/>
  <c r="J19" i="62"/>
  <c r="H19" i="62"/>
  <c r="F19" i="62"/>
  <c r="K18" i="62"/>
  <c r="J18" i="62"/>
  <c r="H18" i="62"/>
  <c r="F18" i="62"/>
  <c r="L18" i="62" s="1"/>
  <c r="K17" i="62"/>
  <c r="J17" i="62"/>
  <c r="H17" i="62"/>
  <c r="F17" i="62"/>
  <c r="L17" i="62" s="1"/>
  <c r="K16" i="62"/>
  <c r="J16" i="62"/>
  <c r="H16" i="62"/>
  <c r="F16" i="62"/>
  <c r="K15" i="62"/>
  <c r="J15" i="62"/>
  <c r="H15" i="62"/>
  <c r="F15" i="62"/>
  <c r="L14" i="62"/>
  <c r="K14" i="62"/>
  <c r="J14" i="62"/>
  <c r="H14" i="62"/>
  <c r="F14" i="62"/>
  <c r="K13" i="62"/>
  <c r="J13" i="62"/>
  <c r="H13" i="62"/>
  <c r="F13" i="62"/>
  <c r="L13" i="62" s="1"/>
  <c r="K12" i="62"/>
  <c r="J12" i="62"/>
  <c r="H12" i="62"/>
  <c r="F12" i="62"/>
  <c r="L12" i="62" s="1"/>
  <c r="K11" i="62"/>
  <c r="J11" i="62"/>
  <c r="H11" i="62"/>
  <c r="F11" i="62"/>
  <c r="L11" i="62" s="1"/>
  <c r="L10" i="62"/>
  <c r="K10" i="62"/>
  <c r="J10" i="62"/>
  <c r="H10" i="62"/>
  <c r="F10" i="62"/>
  <c r="K9" i="62"/>
  <c r="J9" i="62"/>
  <c r="H9" i="62"/>
  <c r="F9" i="62"/>
  <c r="L9" i="62" s="1"/>
  <c r="K8" i="62"/>
  <c r="J8" i="62"/>
  <c r="H8" i="62"/>
  <c r="F8" i="62"/>
  <c r="L8" i="62" s="1"/>
  <c r="K7" i="62"/>
  <c r="J7" i="62"/>
  <c r="H7" i="62"/>
  <c r="F7" i="62"/>
  <c r="L7" i="62" s="1"/>
  <c r="L6" i="62"/>
  <c r="K6" i="62"/>
  <c r="J6" i="62"/>
  <c r="H6" i="62"/>
  <c r="F6" i="62"/>
  <c r="L5" i="62"/>
  <c r="K5" i="62"/>
  <c r="J5" i="62"/>
  <c r="H5" i="62"/>
  <c r="F5" i="62"/>
  <c r="J4" i="62"/>
  <c r="H4" i="62"/>
  <c r="F4" i="62"/>
  <c r="K26" i="61"/>
  <c r="J26" i="61"/>
  <c r="H26" i="61"/>
  <c r="F26" i="61"/>
  <c r="L26" i="61" s="1"/>
  <c r="K25" i="61"/>
  <c r="J25" i="61"/>
  <c r="H25" i="61"/>
  <c r="L25" i="61" s="1"/>
  <c r="F25" i="61"/>
  <c r="L24" i="61"/>
  <c r="K24" i="61"/>
  <c r="J24" i="61"/>
  <c r="H24" i="61"/>
  <c r="F24" i="61"/>
  <c r="K23" i="61"/>
  <c r="J23" i="61"/>
  <c r="H23" i="61"/>
  <c r="F23" i="61"/>
  <c r="L23" i="61" s="1"/>
  <c r="K22" i="61"/>
  <c r="J22" i="61"/>
  <c r="H22" i="61"/>
  <c r="F22" i="61"/>
  <c r="L22" i="61" s="1"/>
  <c r="L21" i="61"/>
  <c r="K21" i="61"/>
  <c r="J21" i="61"/>
  <c r="H21" i="61"/>
  <c r="F21" i="61"/>
  <c r="L20" i="61"/>
  <c r="K20" i="61"/>
  <c r="J20" i="61"/>
  <c r="H20" i="61"/>
  <c r="F20" i="61"/>
  <c r="K19" i="61"/>
  <c r="J19" i="61"/>
  <c r="H19" i="61"/>
  <c r="F19" i="61"/>
  <c r="L19" i="61" s="1"/>
  <c r="K18" i="61"/>
  <c r="J18" i="61"/>
  <c r="H18" i="61"/>
  <c r="F18" i="61"/>
  <c r="L18" i="61" s="1"/>
  <c r="K17" i="61"/>
  <c r="J17" i="61"/>
  <c r="H17" i="61"/>
  <c r="F17" i="61"/>
  <c r="L17" i="61" s="1"/>
  <c r="L16" i="61"/>
  <c r="K16" i="61"/>
  <c r="J16" i="61"/>
  <c r="H16" i="61"/>
  <c r="F16" i="61"/>
  <c r="L15" i="61"/>
  <c r="K15" i="61"/>
  <c r="J15" i="61"/>
  <c r="H15" i="61"/>
  <c r="F15" i="61"/>
  <c r="K14" i="61"/>
  <c r="J14" i="61"/>
  <c r="H14" i="61"/>
  <c r="F14" i="61"/>
  <c r="L14" i="61" s="1"/>
  <c r="K13" i="61"/>
  <c r="J13" i="61"/>
  <c r="H13" i="61"/>
  <c r="F13" i="61"/>
  <c r="K12" i="61"/>
  <c r="J12" i="61"/>
  <c r="H12" i="61"/>
  <c r="F12" i="61"/>
  <c r="L12" i="61" s="1"/>
  <c r="L11" i="61"/>
  <c r="K11" i="61"/>
  <c r="J11" i="61"/>
  <c r="H11" i="61"/>
  <c r="F11" i="61"/>
  <c r="K10" i="61"/>
  <c r="J10" i="61"/>
  <c r="H10" i="61"/>
  <c r="F10" i="61"/>
  <c r="L10" i="61" s="1"/>
  <c r="K9" i="61"/>
  <c r="J9" i="61"/>
  <c r="H9" i="61"/>
  <c r="F9" i="61"/>
  <c r="L9" i="61" s="1"/>
  <c r="L8" i="61"/>
  <c r="K8" i="61"/>
  <c r="J8" i="61"/>
  <c r="H8" i="61"/>
  <c r="F8" i="61"/>
  <c r="L7" i="61"/>
  <c r="K7" i="61"/>
  <c r="J7" i="61"/>
  <c r="H7" i="61"/>
  <c r="F7" i="61"/>
  <c r="K6" i="61"/>
  <c r="J6" i="61"/>
  <c r="H6" i="61"/>
  <c r="F6" i="61"/>
  <c r="L6" i="61" s="1"/>
  <c r="L5" i="61"/>
  <c r="K5" i="61"/>
  <c r="J5" i="61"/>
  <c r="H5" i="61"/>
  <c r="F5" i="61"/>
  <c r="J4" i="61"/>
  <c r="H4" i="61"/>
  <c r="F4" i="61"/>
  <c r="N33" i="60"/>
  <c r="O27" i="60"/>
  <c r="J27" i="60"/>
  <c r="M27" i="60" s="1"/>
  <c r="H27" i="60"/>
  <c r="G27" i="60"/>
  <c r="F27" i="60"/>
  <c r="E27" i="60"/>
  <c r="D27" i="60"/>
  <c r="C27" i="60"/>
  <c r="B27" i="60"/>
  <c r="A27" i="60"/>
  <c r="O26" i="60"/>
  <c r="O25" i="60"/>
  <c r="G25" i="60"/>
  <c r="O24" i="60"/>
  <c r="O23" i="60"/>
  <c r="J23" i="60"/>
  <c r="E23" i="60"/>
  <c r="O22" i="60"/>
  <c r="O21" i="60"/>
  <c r="O20" i="60"/>
  <c r="O19" i="60"/>
  <c r="J19" i="60"/>
  <c r="O18" i="60"/>
  <c r="D18" i="60"/>
  <c r="O17" i="60"/>
  <c r="O16" i="60"/>
  <c r="J16" i="60"/>
  <c r="M16" i="60" s="1"/>
  <c r="G16" i="60"/>
  <c r="D16" i="60"/>
  <c r="O15" i="60"/>
  <c r="O14" i="60"/>
  <c r="O13" i="60"/>
  <c r="K13" i="60"/>
  <c r="J13" i="60"/>
  <c r="E13" i="60"/>
  <c r="O12" i="60"/>
  <c r="O11" i="60"/>
  <c r="O10" i="60"/>
  <c r="O9" i="60"/>
  <c r="O8" i="60"/>
  <c r="O28" i="60" s="1"/>
  <c r="K8" i="60"/>
  <c r="L8" i="60" s="1"/>
  <c r="J8" i="60"/>
  <c r="O7" i="60"/>
  <c r="O6" i="60"/>
  <c r="H5" i="60"/>
  <c r="D5" i="60"/>
  <c r="P28" i="59"/>
  <c r="H28" i="59"/>
  <c r="L27" i="59"/>
  <c r="K27" i="60" s="1"/>
  <c r="N27" i="60" s="1"/>
  <c r="K27" i="59"/>
  <c r="N27" i="59" s="1"/>
  <c r="I27" i="59"/>
  <c r="H27" i="59"/>
  <c r="F27" i="59"/>
  <c r="E27" i="59"/>
  <c r="D27" i="59"/>
  <c r="C27" i="59"/>
  <c r="B27" i="59"/>
  <c r="A27" i="59"/>
  <c r="L26" i="59"/>
  <c r="K26" i="59"/>
  <c r="I26" i="59"/>
  <c r="H26" i="59"/>
  <c r="G26" i="60" s="1"/>
  <c r="F26" i="59"/>
  <c r="E26" i="59"/>
  <c r="G26" i="59" s="1"/>
  <c r="N25" i="59"/>
  <c r="D25" i="59" s="1"/>
  <c r="L25" i="59"/>
  <c r="K25" i="59"/>
  <c r="I25" i="59"/>
  <c r="H25" i="59"/>
  <c r="F25" i="59"/>
  <c r="E25" i="59"/>
  <c r="L24" i="59"/>
  <c r="K24" i="59"/>
  <c r="J24" i="59"/>
  <c r="I24" i="59"/>
  <c r="H24" i="60" s="1"/>
  <c r="H24" i="59"/>
  <c r="F24" i="59"/>
  <c r="E24" i="59"/>
  <c r="D24" i="60" s="1"/>
  <c r="R23" i="59"/>
  <c r="L23" i="59"/>
  <c r="K23" i="59"/>
  <c r="M23" i="59" s="1"/>
  <c r="I23" i="59"/>
  <c r="H23" i="59"/>
  <c r="N23" i="59" s="1"/>
  <c r="G23" i="59"/>
  <c r="F23" i="59"/>
  <c r="O23" i="59" s="1"/>
  <c r="E23" i="59"/>
  <c r="L22" i="59"/>
  <c r="K22" i="59"/>
  <c r="N22" i="59" s="1"/>
  <c r="I22" i="59"/>
  <c r="H22" i="60" s="1"/>
  <c r="H22" i="59"/>
  <c r="G22" i="59"/>
  <c r="F22" i="59"/>
  <c r="E22" i="59"/>
  <c r="L21" i="59"/>
  <c r="K21" i="59"/>
  <c r="M21" i="59" s="1"/>
  <c r="I21" i="59"/>
  <c r="H21" i="59"/>
  <c r="F21" i="59"/>
  <c r="E21" i="59"/>
  <c r="D21" i="60" s="1"/>
  <c r="L20" i="59"/>
  <c r="K20" i="59"/>
  <c r="N20" i="59" s="1"/>
  <c r="D20" i="59" s="1"/>
  <c r="I20" i="59"/>
  <c r="H20" i="59"/>
  <c r="F20" i="59"/>
  <c r="E20" i="59"/>
  <c r="O19" i="59"/>
  <c r="R19" i="59" s="1"/>
  <c r="L19" i="59"/>
  <c r="K19" i="60" s="1"/>
  <c r="K19" i="59"/>
  <c r="I19" i="59"/>
  <c r="H19" i="60" s="1"/>
  <c r="H19" i="59"/>
  <c r="F19" i="59"/>
  <c r="E19" i="59"/>
  <c r="R18" i="59"/>
  <c r="Q18" i="59"/>
  <c r="O18" i="59"/>
  <c r="S18" i="59" s="1"/>
  <c r="N18" i="59"/>
  <c r="D18" i="59" s="1"/>
  <c r="M18" i="59"/>
  <c r="L18" i="59"/>
  <c r="K18" i="59"/>
  <c r="I18" i="59"/>
  <c r="H18" i="59"/>
  <c r="F18" i="59"/>
  <c r="G18" i="59" s="1"/>
  <c r="E18" i="59"/>
  <c r="L17" i="59"/>
  <c r="K17" i="60" s="1"/>
  <c r="K17" i="59"/>
  <c r="I17" i="59"/>
  <c r="H17" i="59"/>
  <c r="F17" i="59"/>
  <c r="E17" i="59"/>
  <c r="D17" i="60" s="1"/>
  <c r="N16" i="59"/>
  <c r="M16" i="59"/>
  <c r="L16" i="59"/>
  <c r="K16" i="59"/>
  <c r="I16" i="59"/>
  <c r="H16" i="59"/>
  <c r="G16" i="59"/>
  <c r="F16" i="59"/>
  <c r="E16" i="59"/>
  <c r="D16" i="59"/>
  <c r="N15" i="59"/>
  <c r="L15" i="59"/>
  <c r="K15" i="59"/>
  <c r="I15" i="59"/>
  <c r="H15" i="59"/>
  <c r="G15" i="60" s="1"/>
  <c r="F15" i="59"/>
  <c r="G15" i="59" s="1"/>
  <c r="E15" i="59"/>
  <c r="M14" i="59"/>
  <c r="L14" i="59"/>
  <c r="K14" i="59"/>
  <c r="I14" i="59"/>
  <c r="H14" i="59"/>
  <c r="F14" i="59"/>
  <c r="E14" i="59"/>
  <c r="O13" i="59"/>
  <c r="R13" i="59" s="1"/>
  <c r="L13" i="59"/>
  <c r="K13" i="59"/>
  <c r="I13" i="59"/>
  <c r="H13" i="59"/>
  <c r="F13" i="59"/>
  <c r="E13" i="59"/>
  <c r="L12" i="59"/>
  <c r="K12" i="59"/>
  <c r="J12" i="60" s="1"/>
  <c r="I12" i="59"/>
  <c r="H12" i="59"/>
  <c r="F12" i="59"/>
  <c r="E12" i="59"/>
  <c r="D12" i="60" s="1"/>
  <c r="L11" i="59"/>
  <c r="K11" i="60" s="1"/>
  <c r="K11" i="59"/>
  <c r="I11" i="59"/>
  <c r="H11" i="59"/>
  <c r="N11" i="59" s="1"/>
  <c r="D11" i="59" s="1"/>
  <c r="G11" i="59"/>
  <c r="F11" i="59"/>
  <c r="E11" i="59"/>
  <c r="O10" i="59"/>
  <c r="R10" i="59" s="1"/>
  <c r="N10" i="59"/>
  <c r="L10" i="59"/>
  <c r="K10" i="59"/>
  <c r="K28" i="59" s="1"/>
  <c r="I10" i="59"/>
  <c r="H10" i="60" s="1"/>
  <c r="H10" i="59"/>
  <c r="G10" i="60" s="1"/>
  <c r="G10" i="59"/>
  <c r="F10" i="59"/>
  <c r="E10" i="60" s="1"/>
  <c r="E10" i="59"/>
  <c r="L9" i="59"/>
  <c r="K9" i="59"/>
  <c r="I9" i="59"/>
  <c r="H9" i="59"/>
  <c r="F9" i="59"/>
  <c r="E9" i="59"/>
  <c r="O8" i="59"/>
  <c r="L8" i="59"/>
  <c r="M8" i="59" s="1"/>
  <c r="K8" i="59"/>
  <c r="I8" i="59"/>
  <c r="H8" i="59"/>
  <c r="F8" i="59"/>
  <c r="E8" i="59"/>
  <c r="G8" i="59" s="1"/>
  <c r="O7" i="59"/>
  <c r="M7" i="59"/>
  <c r="L7" i="59"/>
  <c r="K7" i="59"/>
  <c r="J7" i="59"/>
  <c r="I7" i="59"/>
  <c r="H7" i="59"/>
  <c r="F7" i="59"/>
  <c r="E7" i="59"/>
  <c r="L6" i="59"/>
  <c r="K6" i="59"/>
  <c r="N6" i="59" s="1"/>
  <c r="D6" i="59" s="1"/>
  <c r="J6" i="59"/>
  <c r="I6" i="59"/>
  <c r="H6" i="59"/>
  <c r="F6" i="59"/>
  <c r="E6" i="59"/>
  <c r="L5" i="59"/>
  <c r="K5" i="60" s="1"/>
  <c r="I5" i="59"/>
  <c r="F5" i="59"/>
  <c r="L27" i="58"/>
  <c r="K27" i="58"/>
  <c r="L26" i="58"/>
  <c r="K26" i="58"/>
  <c r="L25" i="58"/>
  <c r="K25" i="58"/>
  <c r="D25" i="58" s="1"/>
  <c r="L24" i="58"/>
  <c r="K24" i="58"/>
  <c r="D24" i="58"/>
  <c r="L23" i="58"/>
  <c r="K23" i="58"/>
  <c r="D23" i="58"/>
  <c r="L22" i="58"/>
  <c r="K22" i="58"/>
  <c r="D22" i="58" s="1"/>
  <c r="L21" i="58"/>
  <c r="K21" i="58"/>
  <c r="D21" i="58" s="1"/>
  <c r="L20" i="58"/>
  <c r="K20" i="58"/>
  <c r="D20" i="58" s="1"/>
  <c r="L19" i="58"/>
  <c r="K19" i="58"/>
  <c r="D19" i="58"/>
  <c r="L18" i="58"/>
  <c r="K18" i="58"/>
  <c r="D18" i="58" s="1"/>
  <c r="L17" i="58"/>
  <c r="K17" i="58"/>
  <c r="D17" i="58"/>
  <c r="L16" i="58"/>
  <c r="K16" i="58"/>
  <c r="D16" i="58"/>
  <c r="L15" i="58"/>
  <c r="K15" i="58"/>
  <c r="D15" i="58"/>
  <c r="L14" i="58"/>
  <c r="K14" i="58"/>
  <c r="D14" i="58"/>
  <c r="L13" i="58"/>
  <c r="K13" i="58"/>
  <c r="D13" i="58"/>
  <c r="L12" i="58"/>
  <c r="K12" i="58"/>
  <c r="D12" i="58"/>
  <c r="L11" i="58"/>
  <c r="K11" i="58"/>
  <c r="D11" i="58" s="1"/>
  <c r="L10" i="58"/>
  <c r="K10" i="58"/>
  <c r="D10" i="58"/>
  <c r="L9" i="58"/>
  <c r="K9" i="58"/>
  <c r="D9" i="58"/>
  <c r="L8" i="58"/>
  <c r="K8" i="58"/>
  <c r="D8" i="58"/>
  <c r="L7" i="58"/>
  <c r="K7" i="58"/>
  <c r="D7" i="58" s="1"/>
  <c r="L6" i="58"/>
  <c r="K6" i="58"/>
  <c r="D6" i="58" s="1"/>
  <c r="L5" i="58"/>
  <c r="R72" i="57"/>
  <c r="Q72" i="57"/>
  <c r="K72" i="57"/>
  <c r="E72" i="57"/>
  <c r="Q71" i="57"/>
  <c r="R71" i="57" s="1"/>
  <c r="K71" i="57"/>
  <c r="E71" i="57"/>
  <c r="Q70" i="57"/>
  <c r="R70" i="57" s="1"/>
  <c r="K70" i="57"/>
  <c r="E70" i="57"/>
  <c r="R69" i="57"/>
  <c r="Q69" i="57"/>
  <c r="K69" i="57"/>
  <c r="E69" i="57"/>
  <c r="Q68" i="57"/>
  <c r="R68" i="57" s="1"/>
  <c r="K68" i="57"/>
  <c r="E68" i="57"/>
  <c r="R67" i="57"/>
  <c r="Q67" i="57"/>
  <c r="K67" i="57"/>
  <c r="E67" i="57"/>
  <c r="R66" i="57"/>
  <c r="Q66" i="57"/>
  <c r="K66" i="57"/>
  <c r="E66" i="57"/>
  <c r="R65" i="57"/>
  <c r="Q65" i="57"/>
  <c r="K65" i="57"/>
  <c r="E65" i="57"/>
  <c r="R64" i="57"/>
  <c r="Q64" i="57"/>
  <c r="K64" i="57"/>
  <c r="E64" i="57"/>
  <c r="Q63" i="57"/>
  <c r="R63" i="57" s="1"/>
  <c r="K63" i="57"/>
  <c r="E63" i="57"/>
  <c r="Q62" i="57"/>
  <c r="R62" i="57" s="1"/>
  <c r="K62" i="57"/>
  <c r="E62" i="57"/>
  <c r="R61" i="57"/>
  <c r="Q61" i="57"/>
  <c r="K61" i="57"/>
  <c r="E61" i="57"/>
  <c r="Q60" i="57"/>
  <c r="R60" i="57" s="1"/>
  <c r="K60" i="57"/>
  <c r="E60" i="57"/>
  <c r="R59" i="57"/>
  <c r="Q59" i="57"/>
  <c r="K59" i="57"/>
  <c r="E59" i="57"/>
  <c r="Q58" i="57"/>
  <c r="R58" i="57" s="1"/>
  <c r="K58" i="57"/>
  <c r="E58" i="57"/>
  <c r="R57" i="57"/>
  <c r="Q57" i="57"/>
  <c r="K57" i="57"/>
  <c r="E57" i="57"/>
  <c r="Q56" i="57"/>
  <c r="R56" i="57" s="1"/>
  <c r="K56" i="57"/>
  <c r="E56" i="57"/>
  <c r="Q55" i="57"/>
  <c r="R55" i="57" s="1"/>
  <c r="K55" i="57"/>
  <c r="E55" i="57"/>
  <c r="R54" i="57"/>
  <c r="Q54" i="57"/>
  <c r="K54" i="57"/>
  <c r="E54" i="57"/>
  <c r="Q53" i="57"/>
  <c r="R53" i="57" s="1"/>
  <c r="K53" i="57"/>
  <c r="E53" i="57"/>
  <c r="R52" i="57"/>
  <c r="Q52" i="57"/>
  <c r="K52" i="57"/>
  <c r="E52" i="57"/>
  <c r="R51" i="57"/>
  <c r="Q51" i="57"/>
  <c r="K51" i="57"/>
  <c r="E51" i="57"/>
  <c r="A49" i="57"/>
  <c r="R47" i="57"/>
  <c r="S47" i="57" s="1"/>
  <c r="Q47" i="57"/>
  <c r="K47" i="57"/>
  <c r="E47" i="57"/>
  <c r="Q46" i="57"/>
  <c r="R46" i="57" s="1"/>
  <c r="K46" i="57"/>
  <c r="E46" i="57"/>
  <c r="Q45" i="57"/>
  <c r="R45" i="57" s="1"/>
  <c r="S45" i="57" s="1"/>
  <c r="K45" i="57"/>
  <c r="E45" i="57"/>
  <c r="R44" i="57"/>
  <c r="S44" i="57" s="1"/>
  <c r="Q44" i="57"/>
  <c r="K44" i="57"/>
  <c r="E44" i="57"/>
  <c r="Q43" i="57"/>
  <c r="R43" i="57" s="1"/>
  <c r="K43" i="57"/>
  <c r="E43" i="57"/>
  <c r="Q42" i="57"/>
  <c r="R42" i="57" s="1"/>
  <c r="K42" i="57"/>
  <c r="E42" i="57"/>
  <c r="Q41" i="57"/>
  <c r="R41" i="57" s="1"/>
  <c r="K41" i="57"/>
  <c r="E41" i="57"/>
  <c r="R40" i="57"/>
  <c r="Q40" i="57"/>
  <c r="K40" i="57"/>
  <c r="E40" i="57"/>
  <c r="R39" i="57"/>
  <c r="Q39" i="57"/>
  <c r="K39" i="57"/>
  <c r="E39" i="57"/>
  <c r="Q38" i="57"/>
  <c r="R38" i="57" s="1"/>
  <c r="S38" i="57" s="1"/>
  <c r="K38" i="57"/>
  <c r="E38" i="57"/>
  <c r="S37" i="57"/>
  <c r="Q37" i="57"/>
  <c r="R37" i="57" s="1"/>
  <c r="K37" i="57"/>
  <c r="E37" i="57"/>
  <c r="Q36" i="57"/>
  <c r="R36" i="57" s="1"/>
  <c r="S36" i="57" s="1"/>
  <c r="K36" i="57"/>
  <c r="E36" i="57"/>
  <c r="Q35" i="57"/>
  <c r="R35" i="57" s="1"/>
  <c r="S35" i="57" s="1"/>
  <c r="K35" i="57"/>
  <c r="E35" i="57"/>
  <c r="S34" i="57"/>
  <c r="R34" i="57"/>
  <c r="Q34" i="57"/>
  <c r="K34" i="57"/>
  <c r="E34" i="57"/>
  <c r="S33" i="57"/>
  <c r="Q33" i="57"/>
  <c r="R33" i="57" s="1"/>
  <c r="K33" i="57"/>
  <c r="E33" i="57"/>
  <c r="S32" i="57"/>
  <c r="Q32" i="57"/>
  <c r="R32" i="57" s="1"/>
  <c r="K32" i="57"/>
  <c r="E32" i="57"/>
  <c r="S31" i="57"/>
  <c r="R31" i="57"/>
  <c r="Q31" i="57"/>
  <c r="K31" i="57"/>
  <c r="E31" i="57"/>
  <c r="S30" i="57"/>
  <c r="R30" i="57"/>
  <c r="Q30" i="57"/>
  <c r="K30" i="57"/>
  <c r="E30" i="57"/>
  <c r="S29" i="57"/>
  <c r="Q29" i="57"/>
  <c r="R29" i="57" s="1"/>
  <c r="K29" i="57"/>
  <c r="E29" i="57"/>
  <c r="R28" i="57"/>
  <c r="S28" i="57" s="1"/>
  <c r="Q28" i="57"/>
  <c r="K28" i="57"/>
  <c r="E28" i="57"/>
  <c r="R27" i="57"/>
  <c r="S27" i="57" s="1"/>
  <c r="Q27" i="57"/>
  <c r="K27" i="57"/>
  <c r="E27" i="57"/>
  <c r="K26" i="57"/>
  <c r="K50" i="57" s="1"/>
  <c r="A25" i="57"/>
  <c r="R24" i="57"/>
  <c r="Q24" i="57"/>
  <c r="K24" i="57"/>
  <c r="E24" i="57"/>
  <c r="Q23" i="57"/>
  <c r="R23" i="57" s="1"/>
  <c r="K23" i="57"/>
  <c r="E23" i="57"/>
  <c r="Q22" i="57"/>
  <c r="R22" i="57" s="1"/>
  <c r="K22" i="57"/>
  <c r="E22" i="57"/>
  <c r="Q21" i="57"/>
  <c r="R21" i="57" s="1"/>
  <c r="K21" i="57"/>
  <c r="E21" i="57"/>
  <c r="R20" i="57"/>
  <c r="Q20" i="57"/>
  <c r="K20" i="57"/>
  <c r="E20" i="57"/>
  <c r="S19" i="57"/>
  <c r="R19" i="57"/>
  <c r="Q19" i="57"/>
  <c r="K19" i="57"/>
  <c r="E19" i="57"/>
  <c r="Q18" i="57"/>
  <c r="R18" i="57" s="1"/>
  <c r="S18" i="57" s="1"/>
  <c r="K18" i="57"/>
  <c r="E18" i="57"/>
  <c r="Q17" i="57"/>
  <c r="R17" i="57" s="1"/>
  <c r="S17" i="57" s="1"/>
  <c r="K17" i="57"/>
  <c r="E17" i="57"/>
  <c r="Q16" i="57"/>
  <c r="R16" i="57" s="1"/>
  <c r="S16" i="57" s="1"/>
  <c r="K16" i="57"/>
  <c r="E16" i="57"/>
  <c r="R15" i="57"/>
  <c r="S15" i="57" s="1"/>
  <c r="Q15" i="57"/>
  <c r="K15" i="57"/>
  <c r="E15" i="57"/>
  <c r="R14" i="57"/>
  <c r="S14" i="57" s="1"/>
  <c r="Q14" i="57"/>
  <c r="K14" i="57"/>
  <c r="E14" i="57"/>
  <c r="Q13" i="57"/>
  <c r="R13" i="57" s="1"/>
  <c r="S13" i="57" s="1"/>
  <c r="K13" i="57"/>
  <c r="E13" i="57"/>
  <c r="Q12" i="57"/>
  <c r="R12" i="57" s="1"/>
  <c r="S12" i="57" s="1"/>
  <c r="K12" i="57"/>
  <c r="E12" i="57"/>
  <c r="S11" i="57"/>
  <c r="R11" i="57"/>
  <c r="Q11" i="57"/>
  <c r="K11" i="57"/>
  <c r="E11" i="57"/>
  <c r="Q10" i="57"/>
  <c r="R10" i="57" s="1"/>
  <c r="S10" i="57" s="1"/>
  <c r="K10" i="57"/>
  <c r="E10" i="57"/>
  <c r="Q9" i="57"/>
  <c r="R9" i="57" s="1"/>
  <c r="S9" i="57" s="1"/>
  <c r="K9" i="57"/>
  <c r="E9" i="57"/>
  <c r="Q8" i="57"/>
  <c r="R8" i="57" s="1"/>
  <c r="S8" i="57" s="1"/>
  <c r="K8" i="57"/>
  <c r="E8" i="57"/>
  <c r="R7" i="57"/>
  <c r="S7" i="57" s="1"/>
  <c r="Q7" i="57"/>
  <c r="K7" i="57"/>
  <c r="E7" i="57"/>
  <c r="R6" i="57"/>
  <c r="S6" i="57" s="1"/>
  <c r="Q6" i="57"/>
  <c r="K6" i="57"/>
  <c r="E6" i="57"/>
  <c r="S5" i="57"/>
  <c r="R5" i="57"/>
  <c r="Q5" i="57"/>
  <c r="K5" i="57"/>
  <c r="E5" i="57"/>
  <c r="Q4" i="57"/>
  <c r="R4" i="57" s="1"/>
  <c r="S4" i="57" s="1"/>
  <c r="K4" i="57"/>
  <c r="E4" i="57"/>
  <c r="R3" i="57"/>
  <c r="S3" i="57" s="1"/>
  <c r="Q3" i="57"/>
  <c r="K3" i="57"/>
  <c r="E3" i="57"/>
  <c r="A3" i="57"/>
  <c r="K26" i="56"/>
  <c r="J26" i="56"/>
  <c r="H26" i="56"/>
  <c r="F26" i="56"/>
  <c r="J25" i="56"/>
  <c r="H25" i="56"/>
  <c r="K25" i="56" s="1"/>
  <c r="F25" i="56"/>
  <c r="K24" i="56"/>
  <c r="J24" i="56"/>
  <c r="H24" i="56"/>
  <c r="F24" i="56"/>
  <c r="L24" i="56" s="1"/>
  <c r="L23" i="56"/>
  <c r="K23" i="56"/>
  <c r="J23" i="56"/>
  <c r="H23" i="56"/>
  <c r="F23" i="56"/>
  <c r="K22" i="56"/>
  <c r="J22" i="56"/>
  <c r="H22" i="56"/>
  <c r="F22" i="56"/>
  <c r="K21" i="56"/>
  <c r="J21" i="56"/>
  <c r="H21" i="56"/>
  <c r="F21" i="56"/>
  <c r="K20" i="56"/>
  <c r="J20" i="56"/>
  <c r="H20" i="56"/>
  <c r="L20" i="56" s="1"/>
  <c r="F20" i="56"/>
  <c r="K19" i="56"/>
  <c r="J19" i="56"/>
  <c r="L19" i="56" s="1"/>
  <c r="H19" i="56"/>
  <c r="F19" i="56"/>
  <c r="K18" i="56"/>
  <c r="J18" i="56"/>
  <c r="H18" i="56"/>
  <c r="F18" i="56"/>
  <c r="L18" i="56" s="1"/>
  <c r="K17" i="56"/>
  <c r="J17" i="56"/>
  <c r="H17" i="56"/>
  <c r="F17" i="56"/>
  <c r="L17" i="56" s="1"/>
  <c r="K16" i="56"/>
  <c r="J16" i="56"/>
  <c r="L16" i="56" s="1"/>
  <c r="H16" i="56"/>
  <c r="F16" i="56"/>
  <c r="L15" i="56"/>
  <c r="K15" i="56"/>
  <c r="J15" i="56"/>
  <c r="H15" i="56"/>
  <c r="F15" i="56"/>
  <c r="K14" i="56"/>
  <c r="J14" i="56"/>
  <c r="H14" i="56"/>
  <c r="F14" i="56"/>
  <c r="L14" i="56" s="1"/>
  <c r="K13" i="56"/>
  <c r="J13" i="56"/>
  <c r="H13" i="56"/>
  <c r="F13" i="56"/>
  <c r="L12" i="56"/>
  <c r="K12" i="56"/>
  <c r="J12" i="56"/>
  <c r="H12" i="56"/>
  <c r="F12" i="56"/>
  <c r="K11" i="56"/>
  <c r="J11" i="56"/>
  <c r="L11" i="56" s="1"/>
  <c r="H11" i="56"/>
  <c r="F11" i="56"/>
  <c r="K10" i="56"/>
  <c r="J10" i="56"/>
  <c r="H10" i="56"/>
  <c r="F10" i="56"/>
  <c r="K9" i="56"/>
  <c r="J9" i="56"/>
  <c r="H9" i="56"/>
  <c r="F9" i="56"/>
  <c r="L9" i="56" s="1"/>
  <c r="K8" i="56"/>
  <c r="J8" i="56"/>
  <c r="H8" i="56"/>
  <c r="L8" i="56" s="1"/>
  <c r="F8" i="56"/>
  <c r="L7" i="56"/>
  <c r="K7" i="56"/>
  <c r="J7" i="56"/>
  <c r="H7" i="56"/>
  <c r="F7" i="56"/>
  <c r="K6" i="56"/>
  <c r="J6" i="56"/>
  <c r="H6" i="56"/>
  <c r="F6" i="56"/>
  <c r="K5" i="56"/>
  <c r="J5" i="56"/>
  <c r="H5" i="56"/>
  <c r="F5" i="56"/>
  <c r="L5" i="56" s="1"/>
  <c r="J4" i="56"/>
  <c r="H4" i="56"/>
  <c r="F4" i="56"/>
  <c r="K26" i="55"/>
  <c r="J26" i="55"/>
  <c r="L26" i="55" s="1"/>
  <c r="H26" i="55"/>
  <c r="F26" i="55"/>
  <c r="K25" i="55"/>
  <c r="J25" i="55"/>
  <c r="H25" i="55"/>
  <c r="F25" i="55"/>
  <c r="K24" i="55"/>
  <c r="J24" i="55"/>
  <c r="L24" i="55" s="1"/>
  <c r="H24" i="55"/>
  <c r="F24" i="55"/>
  <c r="K23" i="55"/>
  <c r="J23" i="55"/>
  <c r="H23" i="55"/>
  <c r="F23" i="55"/>
  <c r="L23" i="55" s="1"/>
  <c r="K22" i="55"/>
  <c r="J22" i="55"/>
  <c r="L22" i="55" s="1"/>
  <c r="H22" i="55"/>
  <c r="F22" i="55"/>
  <c r="K21" i="55"/>
  <c r="J21" i="55"/>
  <c r="H21" i="55"/>
  <c r="F21" i="55"/>
  <c r="K20" i="55"/>
  <c r="J20" i="55"/>
  <c r="H20" i="55"/>
  <c r="F20" i="55"/>
  <c r="L20" i="55" s="1"/>
  <c r="K19" i="55"/>
  <c r="J19" i="55"/>
  <c r="H19" i="55"/>
  <c r="F19" i="55"/>
  <c r="K18" i="55"/>
  <c r="J18" i="55"/>
  <c r="L18" i="55" s="1"/>
  <c r="H18" i="55"/>
  <c r="F18" i="55"/>
  <c r="K17" i="55"/>
  <c r="J17" i="55"/>
  <c r="H17" i="55"/>
  <c r="F17" i="55"/>
  <c r="K16" i="55"/>
  <c r="J16" i="55"/>
  <c r="H16" i="55"/>
  <c r="F16" i="55"/>
  <c r="L16" i="55" s="1"/>
  <c r="K15" i="55"/>
  <c r="J15" i="55"/>
  <c r="H15" i="55"/>
  <c r="F15" i="55"/>
  <c r="L15" i="55" s="1"/>
  <c r="L14" i="55"/>
  <c r="K14" i="55"/>
  <c r="J14" i="55"/>
  <c r="H14" i="55"/>
  <c r="F14" i="55"/>
  <c r="K13" i="55"/>
  <c r="J13" i="55"/>
  <c r="H13" i="55"/>
  <c r="F13" i="55"/>
  <c r="L13" i="55" s="1"/>
  <c r="L12" i="55"/>
  <c r="K12" i="55"/>
  <c r="J12" i="55"/>
  <c r="H12" i="55"/>
  <c r="F12" i="55"/>
  <c r="K11" i="55"/>
  <c r="J11" i="55"/>
  <c r="H11" i="55"/>
  <c r="F11" i="55"/>
  <c r="L11" i="55" s="1"/>
  <c r="L10" i="55"/>
  <c r="K10" i="55"/>
  <c r="J10" i="55"/>
  <c r="H10" i="55"/>
  <c r="F10" i="55"/>
  <c r="K9" i="55"/>
  <c r="J9" i="55"/>
  <c r="H9" i="55"/>
  <c r="F9" i="55"/>
  <c r="L8" i="55"/>
  <c r="K8" i="55"/>
  <c r="J8" i="55"/>
  <c r="H8" i="55"/>
  <c r="F8" i="55"/>
  <c r="L7" i="55"/>
  <c r="K7" i="55"/>
  <c r="J7" i="55"/>
  <c r="H7" i="55"/>
  <c r="F7" i="55"/>
  <c r="K6" i="55"/>
  <c r="J6" i="55"/>
  <c r="L6" i="55" s="1"/>
  <c r="H6" i="55"/>
  <c r="F6" i="55"/>
  <c r="K5" i="55"/>
  <c r="J5" i="55"/>
  <c r="H5" i="55"/>
  <c r="F5" i="55"/>
  <c r="J4" i="55"/>
  <c r="H4" i="55"/>
  <c r="F4" i="55"/>
  <c r="L27" i="54"/>
  <c r="K27" i="54"/>
  <c r="L26" i="54"/>
  <c r="K26" i="54"/>
  <c r="L25" i="54"/>
  <c r="K25" i="54"/>
  <c r="D25" i="54" s="1"/>
  <c r="L24" i="54"/>
  <c r="K24" i="54"/>
  <c r="D24" i="54"/>
  <c r="L23" i="54"/>
  <c r="K23" i="54"/>
  <c r="D23" i="54" s="1"/>
  <c r="L22" i="54"/>
  <c r="K22" i="54"/>
  <c r="D22" i="54" s="1"/>
  <c r="L21" i="54"/>
  <c r="K21" i="54"/>
  <c r="D21" i="54" s="1"/>
  <c r="L20" i="54"/>
  <c r="K20" i="54"/>
  <c r="D20" i="54" s="1"/>
  <c r="L19" i="54"/>
  <c r="K19" i="54"/>
  <c r="D19" i="54" s="1"/>
  <c r="L18" i="54"/>
  <c r="K18" i="54"/>
  <c r="D18" i="54" s="1"/>
  <c r="L17" i="54"/>
  <c r="K17" i="54"/>
  <c r="D17" i="54" s="1"/>
  <c r="L16" i="54"/>
  <c r="K16" i="54"/>
  <c r="D16" i="54"/>
  <c r="L15" i="54"/>
  <c r="K15" i="54"/>
  <c r="D15" i="54" s="1"/>
  <c r="L14" i="54"/>
  <c r="K14" i="54"/>
  <c r="D14" i="54"/>
  <c r="L13" i="54"/>
  <c r="K13" i="54"/>
  <c r="D13" i="54" s="1"/>
  <c r="L12" i="54"/>
  <c r="K12" i="54"/>
  <c r="D12" i="54"/>
  <c r="L11" i="54"/>
  <c r="K11" i="54"/>
  <c r="D11" i="54" s="1"/>
  <c r="L10" i="54"/>
  <c r="K10" i="54"/>
  <c r="D10" i="54"/>
  <c r="L9" i="54"/>
  <c r="K9" i="54"/>
  <c r="D9" i="54"/>
  <c r="L8" i="54"/>
  <c r="K8" i="54"/>
  <c r="D8" i="54"/>
  <c r="L7" i="54"/>
  <c r="K7" i="54"/>
  <c r="D7" i="54" s="1"/>
  <c r="L6" i="54"/>
  <c r="K6" i="54"/>
  <c r="D6" i="54" s="1"/>
  <c r="L5" i="54"/>
  <c r="Q72" i="53"/>
  <c r="R72" i="53" s="1"/>
  <c r="K72" i="53"/>
  <c r="E72" i="53"/>
  <c r="R71" i="53"/>
  <c r="Q71" i="53"/>
  <c r="K71" i="53"/>
  <c r="E71" i="53"/>
  <c r="Q70" i="53"/>
  <c r="R70" i="53" s="1"/>
  <c r="K70" i="53"/>
  <c r="E70" i="53"/>
  <c r="Q69" i="53"/>
  <c r="R69" i="53" s="1"/>
  <c r="K69" i="53"/>
  <c r="E69" i="53"/>
  <c r="R68" i="53"/>
  <c r="Q68" i="53"/>
  <c r="K68" i="53"/>
  <c r="E68" i="53"/>
  <c r="R67" i="53"/>
  <c r="Q67" i="53"/>
  <c r="K67" i="53"/>
  <c r="E67" i="53"/>
  <c r="R66" i="53"/>
  <c r="Q66" i="53"/>
  <c r="K66" i="53"/>
  <c r="E66" i="53"/>
  <c r="Q65" i="53"/>
  <c r="R65" i="53" s="1"/>
  <c r="K65" i="53"/>
  <c r="E65" i="53"/>
  <c r="Q64" i="53"/>
  <c r="R64" i="53" s="1"/>
  <c r="K64" i="53"/>
  <c r="E64" i="53"/>
  <c r="Q63" i="53"/>
  <c r="R63" i="53" s="1"/>
  <c r="K63" i="53"/>
  <c r="E63" i="53"/>
  <c r="Q62" i="53"/>
  <c r="R62" i="53" s="1"/>
  <c r="K62" i="53"/>
  <c r="E62" i="53"/>
  <c r="R61" i="53"/>
  <c r="Q61" i="53"/>
  <c r="K61" i="53"/>
  <c r="E61" i="53"/>
  <c r="Q60" i="53"/>
  <c r="R60" i="53" s="1"/>
  <c r="K60" i="53"/>
  <c r="E60" i="53"/>
  <c r="R59" i="53"/>
  <c r="Q59" i="53"/>
  <c r="K59" i="53"/>
  <c r="E59" i="53"/>
  <c r="R58" i="53"/>
  <c r="Q58" i="53"/>
  <c r="K58" i="53"/>
  <c r="E58" i="53"/>
  <c r="R57" i="53"/>
  <c r="Q57" i="53"/>
  <c r="K57" i="53"/>
  <c r="E57" i="53"/>
  <c r="R56" i="53"/>
  <c r="Q56" i="53"/>
  <c r="K56" i="53"/>
  <c r="E56" i="53"/>
  <c r="Q55" i="53"/>
  <c r="R55" i="53" s="1"/>
  <c r="K55" i="53"/>
  <c r="E55" i="53"/>
  <c r="Q54" i="53"/>
  <c r="R54" i="53" s="1"/>
  <c r="K54" i="53"/>
  <c r="E54" i="53"/>
  <c r="R53" i="53"/>
  <c r="Q53" i="53"/>
  <c r="K53" i="53"/>
  <c r="E53" i="53"/>
  <c r="R52" i="53"/>
  <c r="Q52" i="53"/>
  <c r="K52" i="53"/>
  <c r="E52" i="53"/>
  <c r="R51" i="53"/>
  <c r="Q51" i="53"/>
  <c r="K51" i="53"/>
  <c r="E51" i="53"/>
  <c r="A49" i="53"/>
  <c r="R47" i="53"/>
  <c r="S47" i="53" s="1"/>
  <c r="Q47" i="53"/>
  <c r="K47" i="53"/>
  <c r="E47" i="53"/>
  <c r="Q46" i="53"/>
  <c r="R46" i="53" s="1"/>
  <c r="K46" i="53"/>
  <c r="E46" i="53"/>
  <c r="S45" i="53"/>
  <c r="Q45" i="53"/>
  <c r="R45" i="53" s="1"/>
  <c r="K45" i="53"/>
  <c r="E45" i="53"/>
  <c r="S44" i="53"/>
  <c r="Q44" i="53"/>
  <c r="R44" i="53" s="1"/>
  <c r="K44" i="53"/>
  <c r="E44" i="53"/>
  <c r="Q43" i="53"/>
  <c r="R43" i="53" s="1"/>
  <c r="K43" i="53"/>
  <c r="E43" i="53"/>
  <c r="R42" i="53"/>
  <c r="Q42" i="53"/>
  <c r="K42" i="53"/>
  <c r="E42" i="53"/>
  <c r="Q41" i="53"/>
  <c r="R41" i="53" s="1"/>
  <c r="K41" i="53"/>
  <c r="E41" i="53"/>
  <c r="R40" i="53"/>
  <c r="Q40" i="53"/>
  <c r="K40" i="53"/>
  <c r="E40" i="53"/>
  <c r="Q39" i="53"/>
  <c r="R39" i="53" s="1"/>
  <c r="K39" i="53"/>
  <c r="E39" i="53"/>
  <c r="Q38" i="53"/>
  <c r="R38" i="53" s="1"/>
  <c r="S38" i="53" s="1"/>
  <c r="K38" i="53"/>
  <c r="E38" i="53"/>
  <c r="Q37" i="53"/>
  <c r="R37" i="53" s="1"/>
  <c r="S37" i="53" s="1"/>
  <c r="K37" i="53"/>
  <c r="E37" i="53"/>
  <c r="Q36" i="53"/>
  <c r="R36" i="53" s="1"/>
  <c r="S36" i="53" s="1"/>
  <c r="K36" i="53"/>
  <c r="E36" i="53"/>
  <c r="S35" i="53"/>
  <c r="Q35" i="53"/>
  <c r="R35" i="53" s="1"/>
  <c r="K35" i="53"/>
  <c r="E35" i="53"/>
  <c r="S34" i="53"/>
  <c r="R34" i="53"/>
  <c r="Q34" i="53"/>
  <c r="K34" i="53"/>
  <c r="E34" i="53"/>
  <c r="S33" i="53"/>
  <c r="R33" i="53"/>
  <c r="Q33" i="53"/>
  <c r="K33" i="53"/>
  <c r="E33" i="53"/>
  <c r="R32" i="53"/>
  <c r="S32" i="53" s="1"/>
  <c r="Q32" i="53"/>
  <c r="K32" i="53"/>
  <c r="E32" i="53"/>
  <c r="S31" i="53"/>
  <c r="Q31" i="53"/>
  <c r="R31" i="53" s="1"/>
  <c r="K31" i="53"/>
  <c r="E31" i="53"/>
  <c r="R30" i="53"/>
  <c r="S30" i="53" s="1"/>
  <c r="Q30" i="53"/>
  <c r="K30" i="53"/>
  <c r="E30" i="53"/>
  <c r="R29" i="53"/>
  <c r="S29" i="53" s="1"/>
  <c r="Q29" i="53"/>
  <c r="K29" i="53"/>
  <c r="E29" i="53"/>
  <c r="Q28" i="53"/>
  <c r="R28" i="53" s="1"/>
  <c r="S28" i="53" s="1"/>
  <c r="K28" i="53"/>
  <c r="E28" i="53"/>
  <c r="S27" i="53"/>
  <c r="Q27" i="53"/>
  <c r="R27" i="53" s="1"/>
  <c r="K27" i="53"/>
  <c r="E27" i="53"/>
  <c r="K26" i="53"/>
  <c r="K50" i="53" s="1"/>
  <c r="A25" i="53"/>
  <c r="R24" i="53"/>
  <c r="Q24" i="53"/>
  <c r="K24" i="53"/>
  <c r="E24" i="53"/>
  <c r="Q23" i="53"/>
  <c r="R23" i="53" s="1"/>
  <c r="K23" i="53"/>
  <c r="E23" i="53"/>
  <c r="R22" i="53"/>
  <c r="Q22" i="53"/>
  <c r="K22" i="53"/>
  <c r="E22" i="53"/>
  <c r="Q21" i="53"/>
  <c r="R21" i="53" s="1"/>
  <c r="K21" i="53"/>
  <c r="E21" i="53"/>
  <c r="R20" i="53"/>
  <c r="Q20" i="53"/>
  <c r="K20" i="53"/>
  <c r="E20" i="53"/>
  <c r="S19" i="53"/>
  <c r="R19" i="53"/>
  <c r="Q19" i="53"/>
  <c r="K19" i="53"/>
  <c r="E19" i="53"/>
  <c r="S18" i="53"/>
  <c r="R18" i="53"/>
  <c r="Q18" i="53"/>
  <c r="K18" i="53"/>
  <c r="E18" i="53"/>
  <c r="R17" i="53"/>
  <c r="S17" i="53" s="1"/>
  <c r="Q17" i="53"/>
  <c r="K17" i="53"/>
  <c r="E17" i="53"/>
  <c r="S16" i="53"/>
  <c r="R16" i="53"/>
  <c r="Q16" i="53"/>
  <c r="K16" i="53"/>
  <c r="E16" i="53"/>
  <c r="S15" i="53"/>
  <c r="R15" i="53"/>
  <c r="Q15" i="53"/>
  <c r="K15" i="53"/>
  <c r="E15" i="53"/>
  <c r="S14" i="53"/>
  <c r="R14" i="53"/>
  <c r="Q14" i="53"/>
  <c r="K14" i="53"/>
  <c r="E14" i="53"/>
  <c r="R13" i="53"/>
  <c r="S13" i="53" s="1"/>
  <c r="Q13" i="53"/>
  <c r="K13" i="53"/>
  <c r="E13" i="53"/>
  <c r="S12" i="53"/>
  <c r="Q12" i="53"/>
  <c r="R12" i="53" s="1"/>
  <c r="K12" i="53"/>
  <c r="E12" i="53"/>
  <c r="R11" i="53"/>
  <c r="S11" i="53" s="1"/>
  <c r="Q11" i="53"/>
  <c r="K11" i="53"/>
  <c r="E11" i="53"/>
  <c r="R10" i="53"/>
  <c r="S10" i="53" s="1"/>
  <c r="Q10" i="53"/>
  <c r="K10" i="53"/>
  <c r="E10" i="53"/>
  <c r="Q9" i="53"/>
  <c r="R9" i="53" s="1"/>
  <c r="S9" i="53" s="1"/>
  <c r="K9" i="53"/>
  <c r="E9" i="53"/>
  <c r="Q8" i="53"/>
  <c r="R8" i="53" s="1"/>
  <c r="S8" i="53" s="1"/>
  <c r="K8" i="53"/>
  <c r="E8" i="53"/>
  <c r="Q7" i="53"/>
  <c r="R7" i="53" s="1"/>
  <c r="S7" i="53" s="1"/>
  <c r="K7" i="53"/>
  <c r="E7" i="53"/>
  <c r="Q6" i="53"/>
  <c r="R6" i="53" s="1"/>
  <c r="S6" i="53" s="1"/>
  <c r="K6" i="53"/>
  <c r="E6" i="53"/>
  <c r="S5" i="53"/>
  <c r="R5" i="53"/>
  <c r="Q5" i="53"/>
  <c r="K5" i="53"/>
  <c r="E5" i="53"/>
  <c r="Q4" i="53"/>
  <c r="R4" i="53" s="1"/>
  <c r="S4" i="53" s="1"/>
  <c r="K4" i="53"/>
  <c r="E4" i="53"/>
  <c r="Q3" i="53"/>
  <c r="R3" i="53" s="1"/>
  <c r="S3" i="53" s="1"/>
  <c r="K3" i="53"/>
  <c r="E3" i="53"/>
  <c r="K26" i="52"/>
  <c r="J26" i="52"/>
  <c r="H26" i="52"/>
  <c r="F26" i="52"/>
  <c r="L26" i="52" s="1"/>
  <c r="L25" i="52"/>
  <c r="J25" i="52"/>
  <c r="H25" i="52"/>
  <c r="K25" i="52" s="1"/>
  <c r="F25" i="52"/>
  <c r="K24" i="52"/>
  <c r="J24" i="52"/>
  <c r="H24" i="52"/>
  <c r="L24" i="52" s="1"/>
  <c r="F24" i="52"/>
  <c r="K23" i="52"/>
  <c r="J23" i="52"/>
  <c r="H23" i="52"/>
  <c r="F23" i="52"/>
  <c r="K22" i="52"/>
  <c r="J22" i="52"/>
  <c r="H22" i="52"/>
  <c r="F22" i="52"/>
  <c r="K21" i="52"/>
  <c r="J21" i="52"/>
  <c r="L21" i="52" s="1"/>
  <c r="H21" i="52"/>
  <c r="F21" i="52"/>
  <c r="K20" i="52"/>
  <c r="J20" i="52"/>
  <c r="H20" i="52"/>
  <c r="L20" i="52" s="1"/>
  <c r="F20" i="52"/>
  <c r="K19" i="52"/>
  <c r="J19" i="52"/>
  <c r="H19" i="52"/>
  <c r="F19" i="52"/>
  <c r="L19" i="52" s="1"/>
  <c r="K18" i="52"/>
  <c r="J18" i="52"/>
  <c r="H18" i="52"/>
  <c r="F18" i="52"/>
  <c r="L18" i="52" s="1"/>
  <c r="L17" i="52"/>
  <c r="K17" i="52"/>
  <c r="J17" i="52"/>
  <c r="H17" i="52"/>
  <c r="F17" i="52"/>
  <c r="L16" i="52"/>
  <c r="K16" i="52"/>
  <c r="J16" i="52"/>
  <c r="H16" i="52"/>
  <c r="F16" i="52"/>
  <c r="K15" i="52"/>
  <c r="J15" i="52"/>
  <c r="H15" i="52"/>
  <c r="F15" i="52"/>
  <c r="L15" i="52" s="1"/>
  <c r="K14" i="52"/>
  <c r="J14" i="52"/>
  <c r="H14" i="52"/>
  <c r="F14" i="52"/>
  <c r="K13" i="52"/>
  <c r="J13" i="52"/>
  <c r="L13" i="52" s="1"/>
  <c r="H13" i="52"/>
  <c r="F13" i="52"/>
  <c r="L12" i="52"/>
  <c r="K12" i="52"/>
  <c r="J12" i="52"/>
  <c r="H12" i="52"/>
  <c r="F12" i="52"/>
  <c r="K11" i="52"/>
  <c r="J11" i="52"/>
  <c r="H11" i="52"/>
  <c r="F11" i="52"/>
  <c r="K10" i="52"/>
  <c r="J10" i="52"/>
  <c r="H10" i="52"/>
  <c r="F10" i="52"/>
  <c r="L10" i="52" s="1"/>
  <c r="K9" i="52"/>
  <c r="J9" i="52"/>
  <c r="H9" i="52"/>
  <c r="F9" i="52"/>
  <c r="L9" i="52" s="1"/>
  <c r="K8" i="52"/>
  <c r="J8" i="52"/>
  <c r="H8" i="52"/>
  <c r="L8" i="52" s="1"/>
  <c r="F8" i="52"/>
  <c r="K7" i="52"/>
  <c r="J7" i="52"/>
  <c r="H7" i="52"/>
  <c r="F7" i="52"/>
  <c r="K6" i="52"/>
  <c r="J6" i="52"/>
  <c r="H6" i="52"/>
  <c r="F6" i="52"/>
  <c r="L6" i="52" s="1"/>
  <c r="L5" i="52"/>
  <c r="K5" i="52"/>
  <c r="J5" i="52"/>
  <c r="H5" i="52"/>
  <c r="F5" i="52"/>
  <c r="J4" i="52"/>
  <c r="H4" i="52"/>
  <c r="F4" i="52"/>
  <c r="L26" i="51"/>
  <c r="K26" i="51"/>
  <c r="J26" i="51"/>
  <c r="H26" i="51"/>
  <c r="F26" i="51"/>
  <c r="K25" i="51"/>
  <c r="J25" i="51"/>
  <c r="H25" i="51"/>
  <c r="L25" i="51" s="1"/>
  <c r="F25" i="51"/>
  <c r="K24" i="51"/>
  <c r="J24" i="51"/>
  <c r="H24" i="51"/>
  <c r="F24" i="51"/>
  <c r="K23" i="51"/>
  <c r="J23" i="51"/>
  <c r="L23" i="51" s="1"/>
  <c r="H23" i="51"/>
  <c r="F23" i="51"/>
  <c r="L22" i="51"/>
  <c r="K22" i="51"/>
  <c r="J22" i="51"/>
  <c r="H22" i="51"/>
  <c r="F22" i="51"/>
  <c r="K21" i="51"/>
  <c r="J21" i="51"/>
  <c r="H21" i="51"/>
  <c r="L21" i="51" s="1"/>
  <c r="F21" i="51"/>
  <c r="K20" i="51"/>
  <c r="J20" i="51"/>
  <c r="H20" i="51"/>
  <c r="F20" i="51"/>
  <c r="K19" i="51"/>
  <c r="J19" i="51"/>
  <c r="L19" i="51" s="1"/>
  <c r="H19" i="51"/>
  <c r="F19" i="51"/>
  <c r="L18" i="51"/>
  <c r="K18" i="51"/>
  <c r="J18" i="51"/>
  <c r="H18" i="51"/>
  <c r="F18" i="51"/>
  <c r="K17" i="51"/>
  <c r="J17" i="51"/>
  <c r="H17" i="51"/>
  <c r="L17" i="51" s="1"/>
  <c r="F17" i="51"/>
  <c r="K16" i="51"/>
  <c r="J16" i="51"/>
  <c r="H16" i="51"/>
  <c r="F16" i="51"/>
  <c r="K15" i="51"/>
  <c r="J15" i="51"/>
  <c r="L15" i="51" s="1"/>
  <c r="H15" i="51"/>
  <c r="F15" i="51"/>
  <c r="L14" i="51"/>
  <c r="K14" i="51"/>
  <c r="J14" i="51"/>
  <c r="H14" i="51"/>
  <c r="F14" i="51"/>
  <c r="K13" i="51"/>
  <c r="J13" i="51"/>
  <c r="H13" i="51"/>
  <c r="L13" i="51" s="1"/>
  <c r="F13" i="51"/>
  <c r="K12" i="51"/>
  <c r="J12" i="51"/>
  <c r="H12" i="51"/>
  <c r="F12" i="51"/>
  <c r="L12" i="51" s="1"/>
  <c r="K11" i="51"/>
  <c r="J11" i="51"/>
  <c r="L11" i="51" s="1"/>
  <c r="H11" i="51"/>
  <c r="F11" i="51"/>
  <c r="L10" i="51"/>
  <c r="K10" i="51"/>
  <c r="J10" i="51"/>
  <c r="H10" i="51"/>
  <c r="F10" i="51"/>
  <c r="K9" i="51"/>
  <c r="J9" i="51"/>
  <c r="H9" i="51"/>
  <c r="L9" i="51" s="1"/>
  <c r="F9" i="51"/>
  <c r="K8" i="51"/>
  <c r="J8" i="51"/>
  <c r="H8" i="51"/>
  <c r="F8" i="51"/>
  <c r="K7" i="51"/>
  <c r="J7" i="51"/>
  <c r="L7" i="51" s="1"/>
  <c r="H7" i="51"/>
  <c r="F7" i="51"/>
  <c r="L6" i="51"/>
  <c r="K6" i="51"/>
  <c r="J6" i="51"/>
  <c r="H6" i="51"/>
  <c r="F6" i="51"/>
  <c r="K5" i="51"/>
  <c r="J5" i="51"/>
  <c r="H5" i="51"/>
  <c r="L5" i="51" s="1"/>
  <c r="F5" i="51"/>
  <c r="J4" i="51"/>
  <c r="H4" i="51"/>
  <c r="F4" i="51"/>
  <c r="L27" i="50"/>
  <c r="K27" i="50"/>
  <c r="L26" i="50"/>
  <c r="K26" i="50"/>
  <c r="L25" i="50"/>
  <c r="K25" i="50"/>
  <c r="D25" i="50"/>
  <c r="L24" i="50"/>
  <c r="K24" i="50"/>
  <c r="D24" i="50" s="1"/>
  <c r="L23" i="50"/>
  <c r="K23" i="50"/>
  <c r="D23" i="50" s="1"/>
  <c r="L22" i="50"/>
  <c r="K22" i="50"/>
  <c r="D22" i="50"/>
  <c r="L21" i="50"/>
  <c r="K21" i="50"/>
  <c r="D21" i="50"/>
  <c r="L20" i="50"/>
  <c r="K20" i="50"/>
  <c r="D20" i="50"/>
  <c r="L19" i="50"/>
  <c r="K19" i="50"/>
  <c r="D19" i="50" s="1"/>
  <c r="L18" i="50"/>
  <c r="K18" i="50"/>
  <c r="D18" i="50"/>
  <c r="L17" i="50"/>
  <c r="K17" i="50"/>
  <c r="D17" i="50"/>
  <c r="L16" i="50"/>
  <c r="K16" i="50"/>
  <c r="D16" i="50"/>
  <c r="L15" i="50"/>
  <c r="K15" i="50"/>
  <c r="D15" i="50"/>
  <c r="L14" i="50"/>
  <c r="K14" i="50"/>
  <c r="D14" i="50"/>
  <c r="L13" i="50"/>
  <c r="K13" i="50"/>
  <c r="D13" i="50" s="1"/>
  <c r="L12" i="50"/>
  <c r="K12" i="50"/>
  <c r="D12" i="50" s="1"/>
  <c r="L11" i="50"/>
  <c r="K11" i="50"/>
  <c r="D11" i="50" s="1"/>
  <c r="L10" i="50"/>
  <c r="K10" i="50"/>
  <c r="D10" i="50"/>
  <c r="L9" i="50"/>
  <c r="K9" i="50"/>
  <c r="D9" i="50"/>
  <c r="L8" i="50"/>
  <c r="K8" i="50"/>
  <c r="D8" i="50"/>
  <c r="L7" i="50"/>
  <c r="K7" i="50"/>
  <c r="D7" i="50"/>
  <c r="L6" i="50"/>
  <c r="K6" i="50"/>
  <c r="D6" i="50" s="1"/>
  <c r="L5" i="50"/>
  <c r="Q71" i="49"/>
  <c r="R71" i="49" s="1"/>
  <c r="K71" i="49"/>
  <c r="E71" i="49"/>
  <c r="R70" i="49"/>
  <c r="Q70" i="49"/>
  <c r="K70" i="49"/>
  <c r="E70" i="49"/>
  <c r="R69" i="49"/>
  <c r="Q69" i="49"/>
  <c r="K69" i="49"/>
  <c r="E69" i="49"/>
  <c r="Q68" i="49"/>
  <c r="R68" i="49" s="1"/>
  <c r="K68" i="49"/>
  <c r="E68" i="49"/>
  <c r="Q67" i="49"/>
  <c r="R67" i="49" s="1"/>
  <c r="K67" i="49"/>
  <c r="E67" i="49"/>
  <c r="Q66" i="49"/>
  <c r="R66" i="49" s="1"/>
  <c r="K66" i="49"/>
  <c r="E66" i="49"/>
  <c r="R65" i="49"/>
  <c r="Q65" i="49"/>
  <c r="K65" i="49"/>
  <c r="E65" i="49"/>
  <c r="R64" i="49"/>
  <c r="Q64" i="49"/>
  <c r="K64" i="49"/>
  <c r="E64" i="49"/>
  <c r="Q63" i="49"/>
  <c r="R63" i="49" s="1"/>
  <c r="K63" i="49"/>
  <c r="E63" i="49"/>
  <c r="Q62" i="49"/>
  <c r="R62" i="49" s="1"/>
  <c r="K62" i="49"/>
  <c r="E62" i="49"/>
  <c r="Q61" i="49"/>
  <c r="R61" i="49" s="1"/>
  <c r="K61" i="49"/>
  <c r="E61" i="49"/>
  <c r="Q60" i="49"/>
  <c r="R60" i="49" s="1"/>
  <c r="K60" i="49"/>
  <c r="E60" i="49"/>
  <c r="Q59" i="49"/>
  <c r="R59" i="49" s="1"/>
  <c r="K59" i="49"/>
  <c r="E59" i="49"/>
  <c r="R58" i="49"/>
  <c r="Q58" i="49"/>
  <c r="K58" i="49"/>
  <c r="E58" i="49"/>
  <c r="Q57" i="49"/>
  <c r="R57" i="49" s="1"/>
  <c r="K57" i="49"/>
  <c r="E57" i="49"/>
  <c r="Q56" i="49"/>
  <c r="R56" i="49" s="1"/>
  <c r="K56" i="49"/>
  <c r="E56" i="49"/>
  <c r="R55" i="49"/>
  <c r="Q55" i="49"/>
  <c r="K55" i="49"/>
  <c r="E55" i="49"/>
  <c r="R54" i="49"/>
  <c r="Q54" i="49"/>
  <c r="K54" i="49"/>
  <c r="E54" i="49"/>
  <c r="R53" i="49"/>
  <c r="Q53" i="49"/>
  <c r="K53" i="49"/>
  <c r="E53" i="49"/>
  <c r="R52" i="49"/>
  <c r="Q52" i="49"/>
  <c r="K52" i="49"/>
  <c r="E52" i="49"/>
  <c r="Q51" i="49"/>
  <c r="R51" i="49" s="1"/>
  <c r="K51" i="49"/>
  <c r="E51" i="49"/>
  <c r="K50" i="49"/>
  <c r="A49" i="49"/>
  <c r="Q47" i="49"/>
  <c r="R47" i="49" s="1"/>
  <c r="S47" i="49" s="1"/>
  <c r="K47" i="49"/>
  <c r="E47" i="49"/>
  <c r="Q46" i="49"/>
  <c r="R46" i="49" s="1"/>
  <c r="K46" i="49"/>
  <c r="E46" i="49"/>
  <c r="Q45" i="49"/>
  <c r="R45" i="49" s="1"/>
  <c r="S45" i="49" s="1"/>
  <c r="K45" i="49"/>
  <c r="E45" i="49"/>
  <c r="Q44" i="49"/>
  <c r="R44" i="49" s="1"/>
  <c r="S44" i="49" s="1"/>
  <c r="K44" i="49"/>
  <c r="E44" i="49"/>
  <c r="Q43" i="49"/>
  <c r="R43" i="49" s="1"/>
  <c r="K43" i="49"/>
  <c r="E43" i="49"/>
  <c r="R42" i="49"/>
  <c r="Q42" i="49"/>
  <c r="K42" i="49"/>
  <c r="E42" i="49"/>
  <c r="R41" i="49"/>
  <c r="Q41" i="49"/>
  <c r="K41" i="49"/>
  <c r="E41" i="49"/>
  <c r="Q40" i="49"/>
  <c r="R40" i="49" s="1"/>
  <c r="K40" i="49"/>
  <c r="E40" i="49"/>
  <c r="Q39" i="49"/>
  <c r="R39" i="49" s="1"/>
  <c r="K39" i="49"/>
  <c r="E39" i="49"/>
  <c r="Q38" i="49"/>
  <c r="R38" i="49" s="1"/>
  <c r="S38" i="49" s="1"/>
  <c r="K38" i="49"/>
  <c r="E38" i="49"/>
  <c r="S37" i="49"/>
  <c r="R37" i="49"/>
  <c r="Q37" i="49"/>
  <c r="K37" i="49"/>
  <c r="E37" i="49"/>
  <c r="Q36" i="49"/>
  <c r="R36" i="49" s="1"/>
  <c r="S36" i="49" s="1"/>
  <c r="K36" i="49"/>
  <c r="E36" i="49"/>
  <c r="Q35" i="49"/>
  <c r="R35" i="49" s="1"/>
  <c r="S35" i="49" s="1"/>
  <c r="K35" i="49"/>
  <c r="E35" i="49"/>
  <c r="R34" i="49"/>
  <c r="S34" i="49" s="1"/>
  <c r="Q34" i="49"/>
  <c r="K34" i="49"/>
  <c r="E34" i="49"/>
  <c r="R33" i="49"/>
  <c r="S33" i="49" s="1"/>
  <c r="Q33" i="49"/>
  <c r="K33" i="49"/>
  <c r="E33" i="49"/>
  <c r="Q32" i="49"/>
  <c r="R32" i="49" s="1"/>
  <c r="S32" i="49" s="1"/>
  <c r="K32" i="49"/>
  <c r="E32" i="49"/>
  <c r="Q31" i="49"/>
  <c r="R31" i="49" s="1"/>
  <c r="S31" i="49" s="1"/>
  <c r="K31" i="49"/>
  <c r="E31" i="49"/>
  <c r="R30" i="49"/>
  <c r="S30" i="49" s="1"/>
  <c r="Q30" i="49"/>
  <c r="K30" i="49"/>
  <c r="E30" i="49"/>
  <c r="Q29" i="49"/>
  <c r="R29" i="49" s="1"/>
  <c r="S29" i="49" s="1"/>
  <c r="K29" i="49"/>
  <c r="E29" i="49"/>
  <c r="S28" i="49"/>
  <c r="R28" i="49"/>
  <c r="Q28" i="49"/>
  <c r="K28" i="49"/>
  <c r="E28" i="49"/>
  <c r="Q27" i="49"/>
  <c r="R27" i="49" s="1"/>
  <c r="S27" i="49" s="1"/>
  <c r="K27" i="49"/>
  <c r="E27" i="49"/>
  <c r="K26" i="49"/>
  <c r="A25" i="49"/>
  <c r="Q24" i="49"/>
  <c r="R24" i="49" s="1"/>
  <c r="K24" i="49"/>
  <c r="E24" i="49"/>
  <c r="R23" i="49"/>
  <c r="Q23" i="49"/>
  <c r="K23" i="49"/>
  <c r="E23" i="49"/>
  <c r="R22" i="49"/>
  <c r="Q22" i="49"/>
  <c r="K22" i="49"/>
  <c r="E22" i="49"/>
  <c r="R21" i="49"/>
  <c r="Q21" i="49"/>
  <c r="K21" i="49"/>
  <c r="E21" i="49"/>
  <c r="R20" i="49"/>
  <c r="Q20" i="49"/>
  <c r="K20" i="49"/>
  <c r="E20" i="49"/>
  <c r="R19" i="49"/>
  <c r="S19" i="49" s="1"/>
  <c r="Q19" i="49"/>
  <c r="K19" i="49"/>
  <c r="E19" i="49"/>
  <c r="Q18" i="49"/>
  <c r="R18" i="49" s="1"/>
  <c r="S18" i="49" s="1"/>
  <c r="K18" i="49"/>
  <c r="E18" i="49"/>
  <c r="S17" i="49"/>
  <c r="R17" i="49"/>
  <c r="Q17" i="49"/>
  <c r="K17" i="49"/>
  <c r="E17" i="49"/>
  <c r="S16" i="49"/>
  <c r="R16" i="49"/>
  <c r="Q16" i="49"/>
  <c r="K16" i="49"/>
  <c r="E16" i="49"/>
  <c r="R15" i="49"/>
  <c r="S15" i="49" s="1"/>
  <c r="Q15" i="49"/>
  <c r="K15" i="49"/>
  <c r="E15" i="49"/>
  <c r="Q14" i="49"/>
  <c r="R14" i="49" s="1"/>
  <c r="S14" i="49" s="1"/>
  <c r="K14" i="49"/>
  <c r="E14" i="49"/>
  <c r="S13" i="49"/>
  <c r="R13" i="49"/>
  <c r="Q13" i="49"/>
  <c r="K13" i="49"/>
  <c r="E13" i="49"/>
  <c r="S12" i="49"/>
  <c r="R12" i="49"/>
  <c r="Q12" i="49"/>
  <c r="K12" i="49"/>
  <c r="E12" i="49"/>
  <c r="R11" i="49"/>
  <c r="S11" i="49" s="1"/>
  <c r="Q11" i="49"/>
  <c r="K11" i="49"/>
  <c r="E11" i="49"/>
  <c r="Q10" i="49"/>
  <c r="R10" i="49" s="1"/>
  <c r="S10" i="49" s="1"/>
  <c r="K10" i="49"/>
  <c r="E10" i="49"/>
  <c r="S9" i="49"/>
  <c r="R9" i="49"/>
  <c r="Q9" i="49"/>
  <c r="K9" i="49"/>
  <c r="E9" i="49"/>
  <c r="S8" i="49"/>
  <c r="R8" i="49"/>
  <c r="Q8" i="49"/>
  <c r="K8" i="49"/>
  <c r="E8" i="49"/>
  <c r="R7" i="49"/>
  <c r="S7" i="49" s="1"/>
  <c r="Q7" i="49"/>
  <c r="K7" i="49"/>
  <c r="E7" i="49"/>
  <c r="Q6" i="49"/>
  <c r="R6" i="49" s="1"/>
  <c r="S6" i="49" s="1"/>
  <c r="K6" i="49"/>
  <c r="E6" i="49"/>
  <c r="S5" i="49"/>
  <c r="R5" i="49"/>
  <c r="Q5" i="49"/>
  <c r="K5" i="49"/>
  <c r="E5" i="49"/>
  <c r="S4" i="49"/>
  <c r="R4" i="49"/>
  <c r="Q4" i="49"/>
  <c r="K4" i="49"/>
  <c r="E4" i="49"/>
  <c r="R3" i="49"/>
  <c r="S3" i="49" s="1"/>
  <c r="Q3" i="49"/>
  <c r="K3" i="49"/>
  <c r="E3" i="49"/>
  <c r="J26" i="48"/>
  <c r="H26" i="48"/>
  <c r="K26" i="48" s="1"/>
  <c r="F26" i="48"/>
  <c r="L26" i="48" s="1"/>
  <c r="L25" i="48"/>
  <c r="K25" i="48"/>
  <c r="J25" i="48"/>
  <c r="H25" i="48"/>
  <c r="F25" i="48"/>
  <c r="K24" i="48"/>
  <c r="J24" i="48"/>
  <c r="H24" i="48"/>
  <c r="L24" i="48" s="1"/>
  <c r="F24" i="48"/>
  <c r="K23" i="48"/>
  <c r="J23" i="48"/>
  <c r="H23" i="48"/>
  <c r="F23" i="48"/>
  <c r="L23" i="48" s="1"/>
  <c r="K22" i="48"/>
  <c r="J22" i="48"/>
  <c r="H22" i="48"/>
  <c r="F22" i="48"/>
  <c r="L22" i="48" s="1"/>
  <c r="L21" i="48"/>
  <c r="K21" i="48"/>
  <c r="J21" i="48"/>
  <c r="H21" i="48"/>
  <c r="F21" i="48"/>
  <c r="K20" i="48"/>
  <c r="J20" i="48"/>
  <c r="H20" i="48"/>
  <c r="L20" i="48" s="1"/>
  <c r="F20" i="48"/>
  <c r="K19" i="48"/>
  <c r="J19" i="48"/>
  <c r="H19" i="48"/>
  <c r="F19" i="48"/>
  <c r="L19" i="48" s="1"/>
  <c r="K18" i="48"/>
  <c r="J18" i="48"/>
  <c r="H18" i="48"/>
  <c r="F18" i="48"/>
  <c r="L17" i="48"/>
  <c r="K17" i="48"/>
  <c r="J17" i="48"/>
  <c r="H17" i="48"/>
  <c r="F17" i="48"/>
  <c r="K16" i="48"/>
  <c r="J16" i="48"/>
  <c r="H16" i="48"/>
  <c r="L16" i="48" s="1"/>
  <c r="F16" i="48"/>
  <c r="K15" i="48"/>
  <c r="J15" i="48"/>
  <c r="H15" i="48"/>
  <c r="F15" i="48"/>
  <c r="L15" i="48" s="1"/>
  <c r="K14" i="48"/>
  <c r="J14" i="48"/>
  <c r="H14" i="48"/>
  <c r="F14" i="48"/>
  <c r="L14" i="48" s="1"/>
  <c r="L13" i="48"/>
  <c r="K13" i="48"/>
  <c r="J13" i="48"/>
  <c r="H13" i="48"/>
  <c r="F13" i="48"/>
  <c r="K12" i="48"/>
  <c r="J12" i="48"/>
  <c r="H12" i="48"/>
  <c r="L12" i="48" s="1"/>
  <c r="F12" i="48"/>
  <c r="K11" i="48"/>
  <c r="J11" i="48"/>
  <c r="H11" i="48"/>
  <c r="F11" i="48"/>
  <c r="L11" i="48" s="1"/>
  <c r="K10" i="48"/>
  <c r="J10" i="48"/>
  <c r="H10" i="48"/>
  <c r="F10" i="48"/>
  <c r="L9" i="48"/>
  <c r="K9" i="48"/>
  <c r="J9" i="48"/>
  <c r="H9" i="48"/>
  <c r="F9" i="48"/>
  <c r="K8" i="48"/>
  <c r="J8" i="48"/>
  <c r="H8" i="48"/>
  <c r="L8" i="48" s="1"/>
  <c r="F8" i="48"/>
  <c r="K7" i="48"/>
  <c r="J7" i="48"/>
  <c r="H7" i="48"/>
  <c r="F7" i="48"/>
  <c r="L7" i="48" s="1"/>
  <c r="K6" i="48"/>
  <c r="J6" i="48"/>
  <c r="H6" i="48"/>
  <c r="F6" i="48"/>
  <c r="L5" i="48"/>
  <c r="K5" i="48"/>
  <c r="J5" i="48"/>
  <c r="H5" i="48"/>
  <c r="F5" i="48"/>
  <c r="J4" i="48"/>
  <c r="H4" i="48"/>
  <c r="F4" i="48"/>
  <c r="L25" i="47"/>
  <c r="K25" i="47"/>
  <c r="J25" i="47"/>
  <c r="H25" i="47"/>
  <c r="F25" i="47"/>
  <c r="K24" i="47"/>
  <c r="J24" i="47"/>
  <c r="H24" i="47"/>
  <c r="F24" i="47"/>
  <c r="L24" i="47" s="1"/>
  <c r="L23" i="47"/>
  <c r="K23" i="47"/>
  <c r="J23" i="47"/>
  <c r="H23" i="47"/>
  <c r="F23" i="47"/>
  <c r="K22" i="47"/>
  <c r="J22" i="47"/>
  <c r="H22" i="47"/>
  <c r="F22" i="47"/>
  <c r="K21" i="47"/>
  <c r="J21" i="47"/>
  <c r="H21" i="47"/>
  <c r="F21" i="47"/>
  <c r="K20" i="47"/>
  <c r="J20" i="47"/>
  <c r="H20" i="47"/>
  <c r="L20" i="47" s="1"/>
  <c r="F20" i="47"/>
  <c r="K19" i="47"/>
  <c r="J19" i="47"/>
  <c r="H19" i="47"/>
  <c r="F19" i="47"/>
  <c r="K18" i="47"/>
  <c r="J18" i="47"/>
  <c r="H18" i="47"/>
  <c r="F18" i="47"/>
  <c r="L18" i="47" s="1"/>
  <c r="K17" i="47"/>
  <c r="J17" i="47"/>
  <c r="H17" i="47"/>
  <c r="L17" i="47" s="1"/>
  <c r="F17" i="47"/>
  <c r="K16" i="47"/>
  <c r="J16" i="47"/>
  <c r="H16" i="47"/>
  <c r="F16" i="47"/>
  <c r="L16" i="47" s="1"/>
  <c r="K15" i="47"/>
  <c r="J15" i="47"/>
  <c r="H15" i="47"/>
  <c r="F15" i="47"/>
  <c r="K14" i="47"/>
  <c r="J14" i="47"/>
  <c r="H14" i="47"/>
  <c r="F14" i="47"/>
  <c r="L14" i="47" s="1"/>
  <c r="L13" i="47"/>
  <c r="K13" i="47"/>
  <c r="J13" i="47"/>
  <c r="H13" i="47"/>
  <c r="F13" i="47"/>
  <c r="K12" i="47"/>
  <c r="J12" i="47"/>
  <c r="H12" i="47"/>
  <c r="F12" i="47"/>
  <c r="L12" i="47" s="1"/>
  <c r="L11" i="47"/>
  <c r="K11" i="47"/>
  <c r="J11" i="47"/>
  <c r="H11" i="47"/>
  <c r="F11" i="47"/>
  <c r="K10" i="47"/>
  <c r="J10" i="47"/>
  <c r="H10" i="47"/>
  <c r="F10" i="47"/>
  <c r="K9" i="47"/>
  <c r="J9" i="47"/>
  <c r="H9" i="47"/>
  <c r="F9" i="47"/>
  <c r="L9" i="47" s="1"/>
  <c r="L8" i="47"/>
  <c r="K8" i="47"/>
  <c r="J8" i="47"/>
  <c r="H8" i="47"/>
  <c r="F8" i="47"/>
  <c r="K7" i="47"/>
  <c r="J7" i="47"/>
  <c r="H7" i="47"/>
  <c r="F7" i="47"/>
  <c r="L7" i="47" s="1"/>
  <c r="K6" i="47"/>
  <c r="J6" i="47"/>
  <c r="L6" i="47" s="1"/>
  <c r="H6" i="47"/>
  <c r="F6" i="47"/>
  <c r="K5" i="47"/>
  <c r="J5" i="47"/>
  <c r="H5" i="47"/>
  <c r="F5" i="47"/>
  <c r="L5" i="47" s="1"/>
  <c r="J4" i="47"/>
  <c r="H4" i="47"/>
  <c r="F4" i="47"/>
  <c r="L26" i="46"/>
  <c r="K26" i="46"/>
  <c r="L25" i="46"/>
  <c r="K25" i="46"/>
  <c r="D25" i="46" s="1"/>
  <c r="L24" i="46"/>
  <c r="K24" i="46"/>
  <c r="D24" i="46"/>
  <c r="L23" i="46"/>
  <c r="K23" i="46"/>
  <c r="D23" i="46" s="1"/>
  <c r="L22" i="46"/>
  <c r="K22" i="46"/>
  <c r="D22" i="46"/>
  <c r="L21" i="46"/>
  <c r="K21" i="46"/>
  <c r="D21" i="46"/>
  <c r="L20" i="46"/>
  <c r="K20" i="46"/>
  <c r="D20" i="46" s="1"/>
  <c r="L19" i="46"/>
  <c r="K19" i="46"/>
  <c r="D19" i="46" s="1"/>
  <c r="L18" i="46"/>
  <c r="K18" i="46"/>
  <c r="D18" i="46" s="1"/>
  <c r="L17" i="46"/>
  <c r="K17" i="46"/>
  <c r="D17" i="46" s="1"/>
  <c r="L16" i="46"/>
  <c r="K16" i="46"/>
  <c r="D16" i="46"/>
  <c r="L15" i="46"/>
  <c r="K15" i="46"/>
  <c r="D15" i="46"/>
  <c r="L14" i="46"/>
  <c r="K14" i="46"/>
  <c r="D14" i="46"/>
  <c r="L13" i="46"/>
  <c r="K13" i="46"/>
  <c r="D13" i="46" s="1"/>
  <c r="L12" i="46"/>
  <c r="K12" i="46"/>
  <c r="D12" i="46"/>
  <c r="L11" i="46"/>
  <c r="K11" i="46"/>
  <c r="D11" i="46"/>
  <c r="L10" i="46"/>
  <c r="K10" i="46"/>
  <c r="D10" i="46" s="1"/>
  <c r="L9" i="46"/>
  <c r="K9" i="46"/>
  <c r="D9" i="46" s="1"/>
  <c r="L8" i="46"/>
  <c r="K8" i="46"/>
  <c r="D8" i="46" s="1"/>
  <c r="L7" i="46"/>
  <c r="K7" i="46"/>
  <c r="D7" i="46"/>
  <c r="L6" i="46"/>
  <c r="K6" i="46"/>
  <c r="D6" i="46" s="1"/>
  <c r="L5" i="46"/>
  <c r="Q71" i="45"/>
  <c r="R71" i="45" s="1"/>
  <c r="K71" i="45"/>
  <c r="E71" i="45"/>
  <c r="Q70" i="45"/>
  <c r="R70" i="45" s="1"/>
  <c r="K70" i="45"/>
  <c r="E70" i="45"/>
  <c r="R69" i="45"/>
  <c r="Q69" i="45"/>
  <c r="K69" i="45"/>
  <c r="E69" i="45"/>
  <c r="Q68" i="45"/>
  <c r="R68" i="45" s="1"/>
  <c r="K68" i="45"/>
  <c r="E68" i="45"/>
  <c r="Q67" i="45"/>
  <c r="R67" i="45" s="1"/>
  <c r="K67" i="45"/>
  <c r="E67" i="45"/>
  <c r="R66" i="45"/>
  <c r="Q66" i="45"/>
  <c r="K66" i="45"/>
  <c r="E66" i="45"/>
  <c r="Q65" i="45"/>
  <c r="R65" i="45" s="1"/>
  <c r="K65" i="45"/>
  <c r="E65" i="45"/>
  <c r="Q64" i="45"/>
  <c r="R64" i="45" s="1"/>
  <c r="K64" i="45"/>
  <c r="E64" i="45"/>
  <c r="Q63" i="45"/>
  <c r="R63" i="45" s="1"/>
  <c r="K63" i="45"/>
  <c r="E63" i="45"/>
  <c r="Q62" i="45"/>
  <c r="R62" i="45" s="1"/>
  <c r="K62" i="45"/>
  <c r="E62" i="45"/>
  <c r="Q61" i="45"/>
  <c r="R61" i="45" s="1"/>
  <c r="K61" i="45"/>
  <c r="E61" i="45"/>
  <c r="R60" i="45"/>
  <c r="Q60" i="45"/>
  <c r="K60" i="45"/>
  <c r="E60" i="45"/>
  <c r="Q59" i="45"/>
  <c r="R59" i="45" s="1"/>
  <c r="K59" i="45"/>
  <c r="E59" i="45"/>
  <c r="Q58" i="45"/>
  <c r="R58" i="45" s="1"/>
  <c r="K58" i="45"/>
  <c r="E58" i="45"/>
  <c r="R57" i="45"/>
  <c r="Q57" i="45"/>
  <c r="K57" i="45"/>
  <c r="E57" i="45"/>
  <c r="R56" i="45"/>
  <c r="Q56" i="45"/>
  <c r="K56" i="45"/>
  <c r="E56" i="45"/>
  <c r="Q55" i="45"/>
  <c r="R55" i="45" s="1"/>
  <c r="K55" i="45"/>
  <c r="E55" i="45"/>
  <c r="Q54" i="45"/>
  <c r="R54" i="45" s="1"/>
  <c r="K54" i="45"/>
  <c r="E54" i="45"/>
  <c r="Q53" i="45"/>
  <c r="R53" i="45" s="1"/>
  <c r="K53" i="45"/>
  <c r="E53" i="45"/>
  <c r="Q52" i="45"/>
  <c r="R52" i="45" s="1"/>
  <c r="K52" i="45"/>
  <c r="E52" i="45"/>
  <c r="R51" i="45"/>
  <c r="Q51" i="45"/>
  <c r="K51" i="45"/>
  <c r="E51" i="45"/>
  <c r="A49" i="45"/>
  <c r="S47" i="45"/>
  <c r="Q47" i="45"/>
  <c r="R47" i="45" s="1"/>
  <c r="K47" i="45"/>
  <c r="E47" i="45"/>
  <c r="R46" i="45"/>
  <c r="Q46" i="45"/>
  <c r="K46" i="45"/>
  <c r="E46" i="45"/>
  <c r="Q45" i="45"/>
  <c r="R45" i="45" s="1"/>
  <c r="S45" i="45" s="1"/>
  <c r="K45" i="45"/>
  <c r="E45" i="45"/>
  <c r="R44" i="45"/>
  <c r="S44" i="45" s="1"/>
  <c r="Q44" i="45"/>
  <c r="K44" i="45"/>
  <c r="E44" i="45"/>
  <c r="Q43" i="45"/>
  <c r="R43" i="45" s="1"/>
  <c r="K43" i="45"/>
  <c r="E43" i="45"/>
  <c r="R42" i="45"/>
  <c r="Q42" i="45"/>
  <c r="K42" i="45"/>
  <c r="E42" i="45"/>
  <c r="R41" i="45"/>
  <c r="Q41" i="45"/>
  <c r="K41" i="45"/>
  <c r="E41" i="45"/>
  <c r="Q40" i="45"/>
  <c r="R40" i="45" s="1"/>
  <c r="K40" i="45"/>
  <c r="E40" i="45"/>
  <c r="R39" i="45"/>
  <c r="Q39" i="45"/>
  <c r="K39" i="45"/>
  <c r="E39" i="45"/>
  <c r="R38" i="45"/>
  <c r="S38" i="45" s="1"/>
  <c r="Q38" i="45"/>
  <c r="K38" i="45"/>
  <c r="E38" i="45"/>
  <c r="S37" i="45"/>
  <c r="R37" i="45"/>
  <c r="Q37" i="45"/>
  <c r="K37" i="45"/>
  <c r="E37" i="45"/>
  <c r="Q36" i="45"/>
  <c r="R36" i="45" s="1"/>
  <c r="S36" i="45" s="1"/>
  <c r="K36" i="45"/>
  <c r="E36" i="45"/>
  <c r="R35" i="45"/>
  <c r="S35" i="45" s="1"/>
  <c r="Q35" i="45"/>
  <c r="K35" i="45"/>
  <c r="E35" i="45"/>
  <c r="R34" i="45"/>
  <c r="S34" i="45" s="1"/>
  <c r="Q34" i="45"/>
  <c r="K34" i="45"/>
  <c r="E34" i="45"/>
  <c r="S33" i="45"/>
  <c r="R33" i="45"/>
  <c r="Q33" i="45"/>
  <c r="K33" i="45"/>
  <c r="E33" i="45"/>
  <c r="Q32" i="45"/>
  <c r="R32" i="45" s="1"/>
  <c r="S32" i="45" s="1"/>
  <c r="K32" i="45"/>
  <c r="E32" i="45"/>
  <c r="R31" i="45"/>
  <c r="S31" i="45" s="1"/>
  <c r="Q31" i="45"/>
  <c r="K31" i="45"/>
  <c r="E31" i="45"/>
  <c r="R30" i="45"/>
  <c r="S30" i="45" s="1"/>
  <c r="Q30" i="45"/>
  <c r="K30" i="45"/>
  <c r="E30" i="45"/>
  <c r="R29" i="45"/>
  <c r="S29" i="45" s="1"/>
  <c r="Q29" i="45"/>
  <c r="K29" i="45"/>
  <c r="E29" i="45"/>
  <c r="Q28" i="45"/>
  <c r="R28" i="45" s="1"/>
  <c r="S28" i="45" s="1"/>
  <c r="K28" i="45"/>
  <c r="E28" i="45"/>
  <c r="R27" i="45"/>
  <c r="S27" i="45" s="1"/>
  <c r="Q27" i="45"/>
  <c r="K27" i="45"/>
  <c r="E27" i="45"/>
  <c r="K26" i="45"/>
  <c r="K50" i="45" s="1"/>
  <c r="A25" i="45"/>
  <c r="Q23" i="45"/>
  <c r="R23" i="45" s="1"/>
  <c r="K23" i="45"/>
  <c r="E23" i="45"/>
  <c r="R22" i="45"/>
  <c r="Q22" i="45"/>
  <c r="K22" i="45"/>
  <c r="E22" i="45"/>
  <c r="R21" i="45"/>
  <c r="Q21" i="45"/>
  <c r="K21" i="45"/>
  <c r="E21" i="45"/>
  <c r="R20" i="45"/>
  <c r="Q20" i="45"/>
  <c r="K20" i="45"/>
  <c r="E20" i="45"/>
  <c r="Q19" i="45"/>
  <c r="R19" i="45" s="1"/>
  <c r="S19" i="45" s="1"/>
  <c r="K19" i="45"/>
  <c r="E19" i="45"/>
  <c r="Q18" i="45"/>
  <c r="R18" i="45" s="1"/>
  <c r="S18" i="45" s="1"/>
  <c r="K18" i="45"/>
  <c r="E18" i="45"/>
  <c r="R17" i="45"/>
  <c r="S17" i="45" s="1"/>
  <c r="Q17" i="45"/>
  <c r="K17" i="45"/>
  <c r="E17" i="45"/>
  <c r="S16" i="45"/>
  <c r="R16" i="45"/>
  <c r="Q16" i="45"/>
  <c r="K16" i="45"/>
  <c r="E16" i="45"/>
  <c r="Q15" i="45"/>
  <c r="R15" i="45" s="1"/>
  <c r="S15" i="45" s="1"/>
  <c r="K15" i="45"/>
  <c r="E15" i="45"/>
  <c r="S14" i="45"/>
  <c r="Q14" i="45"/>
  <c r="R14" i="45" s="1"/>
  <c r="K14" i="45"/>
  <c r="E14" i="45"/>
  <c r="S13" i="45"/>
  <c r="R13" i="45"/>
  <c r="Q13" i="45"/>
  <c r="K13" i="45"/>
  <c r="E13" i="45"/>
  <c r="R12" i="45"/>
  <c r="S12" i="45" s="1"/>
  <c r="Q12" i="45"/>
  <c r="K12" i="45"/>
  <c r="E12" i="45"/>
  <c r="Q11" i="45"/>
  <c r="R11" i="45" s="1"/>
  <c r="S11" i="45" s="1"/>
  <c r="K11" i="45"/>
  <c r="E11" i="45"/>
  <c r="S10" i="45"/>
  <c r="Q10" i="45"/>
  <c r="R10" i="45" s="1"/>
  <c r="K10" i="45"/>
  <c r="E10" i="45"/>
  <c r="R9" i="45"/>
  <c r="S9" i="45" s="1"/>
  <c r="Q9" i="45"/>
  <c r="K9" i="45"/>
  <c r="E9" i="45"/>
  <c r="S8" i="45"/>
  <c r="R8" i="45"/>
  <c r="Q8" i="45"/>
  <c r="K8" i="45"/>
  <c r="E8" i="45"/>
  <c r="Q7" i="45"/>
  <c r="R7" i="45" s="1"/>
  <c r="S7" i="45" s="1"/>
  <c r="K7" i="45"/>
  <c r="E7" i="45"/>
  <c r="Q6" i="45"/>
  <c r="R6" i="45" s="1"/>
  <c r="S6" i="45" s="1"/>
  <c r="K6" i="45"/>
  <c r="E6" i="45"/>
  <c r="R5" i="45"/>
  <c r="S5" i="45" s="1"/>
  <c r="Q5" i="45"/>
  <c r="K5" i="45"/>
  <c r="E5" i="45"/>
  <c r="R4" i="45"/>
  <c r="S4" i="45" s="1"/>
  <c r="Q4" i="45"/>
  <c r="K4" i="45"/>
  <c r="E4" i="45"/>
  <c r="Q3" i="45"/>
  <c r="R3" i="45" s="1"/>
  <c r="S3" i="45" s="1"/>
  <c r="K3" i="45"/>
  <c r="E3" i="45"/>
  <c r="L25" i="44"/>
  <c r="J25" i="44"/>
  <c r="H25" i="44"/>
  <c r="K25" i="44" s="1"/>
  <c r="F25" i="44"/>
  <c r="L24" i="44"/>
  <c r="K24" i="44"/>
  <c r="J24" i="44"/>
  <c r="H24" i="44"/>
  <c r="F24" i="44"/>
  <c r="K23" i="44"/>
  <c r="J23" i="44"/>
  <c r="H23" i="44"/>
  <c r="F23" i="44"/>
  <c r="L23" i="44" s="1"/>
  <c r="K22" i="44"/>
  <c r="J22" i="44"/>
  <c r="H22" i="44"/>
  <c r="L22" i="44" s="1"/>
  <c r="F22" i="44"/>
  <c r="K21" i="44"/>
  <c r="J21" i="44"/>
  <c r="H21" i="44"/>
  <c r="L21" i="44" s="1"/>
  <c r="F21" i="44"/>
  <c r="L20" i="44"/>
  <c r="K20" i="44"/>
  <c r="J20" i="44"/>
  <c r="H20" i="44"/>
  <c r="F20" i="44"/>
  <c r="L19" i="44"/>
  <c r="K19" i="44"/>
  <c r="J19" i="44"/>
  <c r="H19" i="44"/>
  <c r="F19" i="44"/>
  <c r="K18" i="44"/>
  <c r="J18" i="44"/>
  <c r="H18" i="44"/>
  <c r="L18" i="44" s="1"/>
  <c r="F18" i="44"/>
  <c r="K17" i="44"/>
  <c r="J17" i="44"/>
  <c r="H17" i="44"/>
  <c r="L17" i="44" s="1"/>
  <c r="F17" i="44"/>
  <c r="L16" i="44"/>
  <c r="K16" i="44"/>
  <c r="J16" i="44"/>
  <c r="H16" i="44"/>
  <c r="F16" i="44"/>
  <c r="L15" i="44"/>
  <c r="K15" i="44"/>
  <c r="J15" i="44"/>
  <c r="H15" i="44"/>
  <c r="F15" i="44"/>
  <c r="K14" i="44"/>
  <c r="J14" i="44"/>
  <c r="H14" i="44"/>
  <c r="L14" i="44" s="1"/>
  <c r="F14" i="44"/>
  <c r="K13" i="44"/>
  <c r="J13" i="44"/>
  <c r="H13" i="44"/>
  <c r="L13" i="44" s="1"/>
  <c r="F13" i="44"/>
  <c r="L12" i="44"/>
  <c r="K12" i="44"/>
  <c r="J12" i="44"/>
  <c r="H12" i="44"/>
  <c r="F12" i="44"/>
  <c r="L11" i="44"/>
  <c r="K11" i="44"/>
  <c r="J11" i="44"/>
  <c r="H11" i="44"/>
  <c r="F11" i="44"/>
  <c r="K10" i="44"/>
  <c r="J10" i="44"/>
  <c r="H10" i="44"/>
  <c r="L10" i="44" s="1"/>
  <c r="F10" i="44"/>
  <c r="L9" i="44"/>
  <c r="K9" i="44"/>
  <c r="J9" i="44"/>
  <c r="H9" i="44"/>
  <c r="F9" i="44"/>
  <c r="L8" i="44"/>
  <c r="K8" i="44"/>
  <c r="J8" i="44"/>
  <c r="H8" i="44"/>
  <c r="F8" i="44"/>
  <c r="L7" i="44"/>
  <c r="K7" i="44"/>
  <c r="J7" i="44"/>
  <c r="H7" i="44"/>
  <c r="F7" i="44"/>
  <c r="K6" i="44"/>
  <c r="J6" i="44"/>
  <c r="H6" i="44"/>
  <c r="L6" i="44" s="1"/>
  <c r="F6" i="44"/>
  <c r="K5" i="44"/>
  <c r="J5" i="44"/>
  <c r="H5" i="44"/>
  <c r="L5" i="44" s="1"/>
  <c r="F5" i="44"/>
  <c r="J4" i="44"/>
  <c r="H4" i="44"/>
  <c r="F4" i="44"/>
  <c r="K25" i="43"/>
  <c r="J25" i="43"/>
  <c r="H25" i="43"/>
  <c r="L25" i="43" s="1"/>
  <c r="F25" i="43"/>
  <c r="L24" i="43"/>
  <c r="K24" i="43"/>
  <c r="J24" i="43"/>
  <c r="H24" i="43"/>
  <c r="F24" i="43"/>
  <c r="K23" i="43"/>
  <c r="J23" i="43"/>
  <c r="H23" i="43"/>
  <c r="F23" i="43"/>
  <c r="K22" i="43"/>
  <c r="J22" i="43"/>
  <c r="L22" i="43" s="1"/>
  <c r="H22" i="43"/>
  <c r="F22" i="43"/>
  <c r="K21" i="43"/>
  <c r="J21" i="43"/>
  <c r="H21" i="43"/>
  <c r="L21" i="43" s="1"/>
  <c r="F21" i="43"/>
  <c r="L20" i="43"/>
  <c r="K20" i="43"/>
  <c r="J20" i="43"/>
  <c r="H20" i="43"/>
  <c r="F20" i="43"/>
  <c r="K19" i="43"/>
  <c r="J19" i="43"/>
  <c r="H19" i="43"/>
  <c r="F19" i="43"/>
  <c r="L19" i="43" s="1"/>
  <c r="K18" i="43"/>
  <c r="J18" i="43"/>
  <c r="L18" i="43" s="1"/>
  <c r="H18" i="43"/>
  <c r="F18" i="43"/>
  <c r="K17" i="43"/>
  <c r="J17" i="43"/>
  <c r="H17" i="43"/>
  <c r="L17" i="43" s="1"/>
  <c r="F17" i="43"/>
  <c r="L16" i="43"/>
  <c r="K16" i="43"/>
  <c r="J16" i="43"/>
  <c r="H16" i="43"/>
  <c r="F16" i="43"/>
  <c r="K15" i="43"/>
  <c r="J15" i="43"/>
  <c r="H15" i="43"/>
  <c r="F15" i="43"/>
  <c r="K14" i="43"/>
  <c r="J14" i="43"/>
  <c r="H14" i="43"/>
  <c r="F14" i="43"/>
  <c r="K13" i="43"/>
  <c r="J13" i="43"/>
  <c r="H13" i="43"/>
  <c r="L13" i="43" s="1"/>
  <c r="F13" i="43"/>
  <c r="L12" i="43"/>
  <c r="K12" i="43"/>
  <c r="J12" i="43"/>
  <c r="H12" i="43"/>
  <c r="F12" i="43"/>
  <c r="K11" i="43"/>
  <c r="J11" i="43"/>
  <c r="H11" i="43"/>
  <c r="F11" i="43"/>
  <c r="K10" i="43"/>
  <c r="J10" i="43"/>
  <c r="H10" i="43"/>
  <c r="L10" i="43" s="1"/>
  <c r="F10" i="43"/>
  <c r="K9" i="43"/>
  <c r="J9" i="43"/>
  <c r="H9" i="43"/>
  <c r="F9" i="43"/>
  <c r="L8" i="43"/>
  <c r="K8" i="43"/>
  <c r="J8" i="43"/>
  <c r="H8" i="43"/>
  <c r="F8" i="43"/>
  <c r="K7" i="43"/>
  <c r="J7" i="43"/>
  <c r="H7" i="43"/>
  <c r="F7" i="43"/>
  <c r="L6" i="43"/>
  <c r="K6" i="43"/>
  <c r="J6" i="43"/>
  <c r="H6" i="43"/>
  <c r="F6" i="43"/>
  <c r="K5" i="43"/>
  <c r="J5" i="43"/>
  <c r="H5" i="43"/>
  <c r="F5" i="43"/>
  <c r="J4" i="43"/>
  <c r="H4" i="43"/>
  <c r="F4" i="43"/>
  <c r="L26" i="42"/>
  <c r="K26" i="42"/>
  <c r="L25" i="42"/>
  <c r="K25" i="42"/>
  <c r="D25" i="42"/>
  <c r="L24" i="42"/>
  <c r="K24" i="42"/>
  <c r="D24" i="42"/>
  <c r="L23" i="42"/>
  <c r="K23" i="42"/>
  <c r="D23" i="42" s="1"/>
  <c r="L22" i="42"/>
  <c r="K22" i="42"/>
  <c r="D22" i="42"/>
  <c r="L21" i="42"/>
  <c r="K21" i="42"/>
  <c r="D21" i="42" s="1"/>
  <c r="L20" i="42"/>
  <c r="K20" i="42"/>
  <c r="D20" i="42" s="1"/>
  <c r="L19" i="42"/>
  <c r="K19" i="42"/>
  <c r="D19" i="42" s="1"/>
  <c r="L18" i="42"/>
  <c r="K18" i="42"/>
  <c r="D18" i="42" s="1"/>
  <c r="L17" i="42"/>
  <c r="K17" i="42"/>
  <c r="D17" i="42" s="1"/>
  <c r="L16" i="42"/>
  <c r="K16" i="42"/>
  <c r="D16" i="42"/>
  <c r="L15" i="42"/>
  <c r="K15" i="42"/>
  <c r="D15" i="42"/>
  <c r="L14" i="42"/>
  <c r="K14" i="42"/>
  <c r="D14" i="42" s="1"/>
  <c r="L13" i="42"/>
  <c r="K13" i="42"/>
  <c r="D13" i="42" s="1"/>
  <c r="L12" i="42"/>
  <c r="K12" i="42"/>
  <c r="D12" i="42" s="1"/>
  <c r="L11" i="42"/>
  <c r="K11" i="42"/>
  <c r="D11" i="42"/>
  <c r="L10" i="42"/>
  <c r="K10" i="42"/>
  <c r="D10" i="42"/>
  <c r="L9" i="42"/>
  <c r="K9" i="42"/>
  <c r="D9" i="42"/>
  <c r="L8" i="42"/>
  <c r="K8" i="42"/>
  <c r="D8" i="42"/>
  <c r="L7" i="42"/>
  <c r="K7" i="42"/>
  <c r="D7" i="42" s="1"/>
  <c r="L6" i="42"/>
  <c r="K6" i="42"/>
  <c r="D6" i="42" s="1"/>
  <c r="L5" i="42"/>
  <c r="Q71" i="41"/>
  <c r="R71" i="41" s="1"/>
  <c r="K71" i="41"/>
  <c r="E71" i="41"/>
  <c r="R70" i="41"/>
  <c r="Q70" i="41"/>
  <c r="K70" i="41"/>
  <c r="E70" i="41"/>
  <c r="R69" i="41"/>
  <c r="Q69" i="41"/>
  <c r="K69" i="41"/>
  <c r="E69" i="41"/>
  <c r="Q68" i="41"/>
  <c r="R68" i="41" s="1"/>
  <c r="K68" i="41"/>
  <c r="E68" i="41"/>
  <c r="Q67" i="41"/>
  <c r="R67" i="41" s="1"/>
  <c r="K67" i="41"/>
  <c r="E67" i="41"/>
  <c r="Q66" i="41"/>
  <c r="R66" i="41" s="1"/>
  <c r="K66" i="41"/>
  <c r="E66" i="41"/>
  <c r="R65" i="41"/>
  <c r="Q65" i="41"/>
  <c r="K65" i="41"/>
  <c r="E65" i="41"/>
  <c r="R64" i="41"/>
  <c r="Q64" i="41"/>
  <c r="K64" i="41"/>
  <c r="E64" i="41"/>
  <c r="R63" i="41"/>
  <c r="Q63" i="41"/>
  <c r="K63" i="41"/>
  <c r="E63" i="41"/>
  <c r="R62" i="41"/>
  <c r="Q62" i="41"/>
  <c r="K62" i="41"/>
  <c r="E62" i="41"/>
  <c r="Q61" i="41"/>
  <c r="R61" i="41" s="1"/>
  <c r="K61" i="41"/>
  <c r="E61" i="41"/>
  <c r="R60" i="41"/>
  <c r="Q60" i="41"/>
  <c r="K60" i="41"/>
  <c r="E60" i="41"/>
  <c r="Q59" i="41"/>
  <c r="R59" i="41" s="1"/>
  <c r="K59" i="41"/>
  <c r="E59" i="41"/>
  <c r="R58" i="41"/>
  <c r="Q58" i="41"/>
  <c r="K58" i="41"/>
  <c r="E58" i="41"/>
  <c r="R57" i="41"/>
  <c r="Q57" i="41"/>
  <c r="K57" i="41"/>
  <c r="E57" i="41"/>
  <c r="Q56" i="41"/>
  <c r="R56" i="41" s="1"/>
  <c r="K56" i="41"/>
  <c r="E56" i="41"/>
  <c r="R55" i="41"/>
  <c r="Q55" i="41"/>
  <c r="K55" i="41"/>
  <c r="E55" i="41"/>
  <c r="R54" i="41"/>
  <c r="Q54" i="41"/>
  <c r="K54" i="41"/>
  <c r="E54" i="41"/>
  <c r="Q53" i="41"/>
  <c r="R53" i="41" s="1"/>
  <c r="K53" i="41"/>
  <c r="E53" i="41"/>
  <c r="Q52" i="41"/>
  <c r="R52" i="41" s="1"/>
  <c r="K52" i="41"/>
  <c r="E52" i="41"/>
  <c r="Q51" i="41"/>
  <c r="R51" i="41" s="1"/>
  <c r="K51" i="41"/>
  <c r="E51" i="41"/>
  <c r="K50" i="41"/>
  <c r="A49" i="41"/>
  <c r="Q47" i="41"/>
  <c r="R47" i="41" s="1"/>
  <c r="S47" i="41" s="1"/>
  <c r="K47" i="41"/>
  <c r="E47" i="41"/>
  <c r="Q46" i="41"/>
  <c r="R46" i="41" s="1"/>
  <c r="K46" i="41"/>
  <c r="E46" i="41"/>
  <c r="Q45" i="41"/>
  <c r="R45" i="41" s="1"/>
  <c r="S45" i="41" s="1"/>
  <c r="K45" i="41"/>
  <c r="E45" i="41"/>
  <c r="Q44" i="41"/>
  <c r="R44" i="41" s="1"/>
  <c r="S44" i="41" s="1"/>
  <c r="K44" i="41"/>
  <c r="E44" i="41"/>
  <c r="Q43" i="41"/>
  <c r="R43" i="41" s="1"/>
  <c r="K43" i="41"/>
  <c r="E43" i="41"/>
  <c r="Q42" i="41"/>
  <c r="R42" i="41" s="1"/>
  <c r="K42" i="41"/>
  <c r="E42" i="41"/>
  <c r="Q41" i="41"/>
  <c r="R41" i="41" s="1"/>
  <c r="K41" i="41"/>
  <c r="E41" i="41"/>
  <c r="R40" i="41"/>
  <c r="Q40" i="41"/>
  <c r="K40" i="41"/>
  <c r="E40" i="41"/>
  <c r="R39" i="41"/>
  <c r="Q39" i="41"/>
  <c r="K39" i="41"/>
  <c r="E39" i="41"/>
  <c r="R38" i="41"/>
  <c r="S38" i="41" s="1"/>
  <c r="Q38" i="41"/>
  <c r="K38" i="41"/>
  <c r="E38" i="41"/>
  <c r="Q37" i="41"/>
  <c r="R37" i="41" s="1"/>
  <c r="S37" i="41" s="1"/>
  <c r="K37" i="41"/>
  <c r="E37" i="41"/>
  <c r="Q36" i="41"/>
  <c r="R36" i="41" s="1"/>
  <c r="S36" i="41" s="1"/>
  <c r="K36" i="41"/>
  <c r="E36" i="41"/>
  <c r="Q35" i="41"/>
  <c r="R35" i="41" s="1"/>
  <c r="S35" i="41" s="1"/>
  <c r="K35" i="41"/>
  <c r="E35" i="41"/>
  <c r="Q34" i="41"/>
  <c r="R34" i="41" s="1"/>
  <c r="S34" i="41" s="1"/>
  <c r="K34" i="41"/>
  <c r="E34" i="41"/>
  <c r="Q33" i="41"/>
  <c r="R33" i="41" s="1"/>
  <c r="S33" i="41" s="1"/>
  <c r="K33" i="41"/>
  <c r="E33" i="41"/>
  <c r="Q32" i="41"/>
  <c r="R32" i="41" s="1"/>
  <c r="S32" i="41" s="1"/>
  <c r="K32" i="41"/>
  <c r="E32" i="41"/>
  <c r="R31" i="41"/>
  <c r="S31" i="41" s="1"/>
  <c r="Q31" i="41"/>
  <c r="K31" i="41"/>
  <c r="E31" i="41"/>
  <c r="R30" i="41"/>
  <c r="S30" i="41" s="1"/>
  <c r="Q30" i="41"/>
  <c r="K30" i="41"/>
  <c r="E30" i="41"/>
  <c r="Q29" i="41"/>
  <c r="R29" i="41" s="1"/>
  <c r="S29" i="41" s="1"/>
  <c r="K29" i="41"/>
  <c r="E29" i="41"/>
  <c r="R28" i="41"/>
  <c r="S28" i="41" s="1"/>
  <c r="Q28" i="41"/>
  <c r="K28" i="41"/>
  <c r="E28" i="41"/>
  <c r="Q27" i="41"/>
  <c r="R27" i="41" s="1"/>
  <c r="S27" i="41" s="1"/>
  <c r="K27" i="41"/>
  <c r="E27" i="41"/>
  <c r="K26" i="41"/>
  <c r="A25" i="41"/>
  <c r="R23" i="41"/>
  <c r="Q23" i="41"/>
  <c r="K23" i="41"/>
  <c r="E23" i="41"/>
  <c r="R22" i="41"/>
  <c r="Q22" i="41"/>
  <c r="K22" i="41"/>
  <c r="E22" i="41"/>
  <c r="Q21" i="41"/>
  <c r="R21" i="41" s="1"/>
  <c r="K21" i="41"/>
  <c r="E21" i="41"/>
  <c r="R20" i="41"/>
  <c r="Q20" i="41"/>
  <c r="K20" i="41"/>
  <c r="E20" i="41"/>
  <c r="S19" i="41"/>
  <c r="R19" i="41"/>
  <c r="Q19" i="41"/>
  <c r="K19" i="41"/>
  <c r="E19" i="41"/>
  <c r="Q18" i="41"/>
  <c r="R18" i="41" s="1"/>
  <c r="S18" i="41" s="1"/>
  <c r="K18" i="41"/>
  <c r="E18" i="41"/>
  <c r="Q17" i="41"/>
  <c r="R17" i="41" s="1"/>
  <c r="S17" i="41" s="1"/>
  <c r="K17" i="41"/>
  <c r="E17" i="41"/>
  <c r="S16" i="41"/>
  <c r="R16" i="41"/>
  <c r="Q16" i="41"/>
  <c r="K16" i="41"/>
  <c r="E16" i="41"/>
  <c r="S15" i="41"/>
  <c r="R15" i="41"/>
  <c r="Q15" i="41"/>
  <c r="K15" i="41"/>
  <c r="E15" i="41"/>
  <c r="R14" i="41"/>
  <c r="S14" i="41" s="1"/>
  <c r="Q14" i="41"/>
  <c r="K14" i="41"/>
  <c r="E14" i="41"/>
  <c r="Q13" i="41"/>
  <c r="R13" i="41" s="1"/>
  <c r="S13" i="41" s="1"/>
  <c r="K13" i="41"/>
  <c r="E13" i="41"/>
  <c r="R12" i="41"/>
  <c r="S12" i="41" s="1"/>
  <c r="Q12" i="41"/>
  <c r="K12" i="41"/>
  <c r="E12" i="41"/>
  <c r="S11" i="41"/>
  <c r="R11" i="41"/>
  <c r="Q11" i="41"/>
  <c r="K11" i="41"/>
  <c r="E11" i="41"/>
  <c r="R10" i="41"/>
  <c r="S10" i="41" s="1"/>
  <c r="Q10" i="41"/>
  <c r="K10" i="41"/>
  <c r="E10" i="41"/>
  <c r="Q9" i="41"/>
  <c r="R9" i="41" s="1"/>
  <c r="S9" i="41" s="1"/>
  <c r="K9" i="41"/>
  <c r="E9" i="41"/>
  <c r="R8" i="41"/>
  <c r="S8" i="41" s="1"/>
  <c r="Q8" i="41"/>
  <c r="K8" i="41"/>
  <c r="E8" i="41"/>
  <c r="S7" i="41"/>
  <c r="R7" i="41"/>
  <c r="Q7" i="41"/>
  <c r="K7" i="41"/>
  <c r="E7" i="41"/>
  <c r="Q6" i="41"/>
  <c r="R6" i="41" s="1"/>
  <c r="S6" i="41" s="1"/>
  <c r="K6" i="41"/>
  <c r="E6" i="41"/>
  <c r="Q5" i="41"/>
  <c r="R5" i="41" s="1"/>
  <c r="S5" i="41" s="1"/>
  <c r="K5" i="41"/>
  <c r="E5" i="41"/>
  <c r="S4" i="41"/>
  <c r="R4" i="41"/>
  <c r="Q4" i="41"/>
  <c r="K4" i="41"/>
  <c r="E4" i="41"/>
  <c r="S3" i="41"/>
  <c r="R3" i="41"/>
  <c r="Q3" i="41"/>
  <c r="K3" i="41"/>
  <c r="E3" i="41"/>
  <c r="K25" i="40"/>
  <c r="J25" i="40"/>
  <c r="L25" i="40" s="1"/>
  <c r="H25" i="40"/>
  <c r="F25" i="40"/>
  <c r="K24" i="40"/>
  <c r="J24" i="40"/>
  <c r="H24" i="40"/>
  <c r="F24" i="40"/>
  <c r="L23" i="40"/>
  <c r="K23" i="40"/>
  <c r="J23" i="40"/>
  <c r="H23" i="40"/>
  <c r="F23" i="40"/>
  <c r="K22" i="40"/>
  <c r="J22" i="40"/>
  <c r="H22" i="40"/>
  <c r="F22" i="40"/>
  <c r="K21" i="40"/>
  <c r="J21" i="40"/>
  <c r="L21" i="40" s="1"/>
  <c r="H21" i="40"/>
  <c r="F21" i="40"/>
  <c r="K20" i="40"/>
  <c r="J20" i="40"/>
  <c r="H20" i="40"/>
  <c r="F20" i="40"/>
  <c r="L20" i="40" s="1"/>
  <c r="K19" i="40"/>
  <c r="J19" i="40"/>
  <c r="H19" i="40"/>
  <c r="F19" i="40"/>
  <c r="L19" i="40" s="1"/>
  <c r="K18" i="40"/>
  <c r="J18" i="40"/>
  <c r="H18" i="40"/>
  <c r="F18" i="40"/>
  <c r="L18" i="40" s="1"/>
  <c r="K17" i="40"/>
  <c r="J17" i="40"/>
  <c r="L17" i="40" s="1"/>
  <c r="H17" i="40"/>
  <c r="F17" i="40"/>
  <c r="K16" i="40"/>
  <c r="J16" i="40"/>
  <c r="H16" i="40"/>
  <c r="F16" i="40"/>
  <c r="L16" i="40" s="1"/>
  <c r="K15" i="40"/>
  <c r="J15" i="40"/>
  <c r="H15" i="40"/>
  <c r="F15" i="40"/>
  <c r="L15" i="40" s="1"/>
  <c r="K14" i="40"/>
  <c r="J14" i="40"/>
  <c r="H14" i="40"/>
  <c r="F14" i="40"/>
  <c r="K13" i="40"/>
  <c r="J13" i="40"/>
  <c r="L13" i="40" s="1"/>
  <c r="H13" i="40"/>
  <c r="F13" i="40"/>
  <c r="K12" i="40"/>
  <c r="J12" i="40"/>
  <c r="H12" i="40"/>
  <c r="F12" i="40"/>
  <c r="L11" i="40"/>
  <c r="K11" i="40"/>
  <c r="J11" i="40"/>
  <c r="H11" i="40"/>
  <c r="F11" i="40"/>
  <c r="K10" i="40"/>
  <c r="J10" i="40"/>
  <c r="H10" i="40"/>
  <c r="F10" i="40"/>
  <c r="K9" i="40"/>
  <c r="J9" i="40"/>
  <c r="L9" i="40" s="1"/>
  <c r="H9" i="40"/>
  <c r="F9" i="40"/>
  <c r="K8" i="40"/>
  <c r="J8" i="40"/>
  <c r="H8" i="40"/>
  <c r="F8" i="40"/>
  <c r="L8" i="40" s="1"/>
  <c r="K7" i="40"/>
  <c r="J7" i="40"/>
  <c r="H7" i="40"/>
  <c r="F7" i="40"/>
  <c r="K6" i="40"/>
  <c r="J6" i="40"/>
  <c r="H6" i="40"/>
  <c r="F6" i="40"/>
  <c r="K5" i="40"/>
  <c r="J5" i="40"/>
  <c r="L5" i="40" s="1"/>
  <c r="H5" i="40"/>
  <c r="F5" i="40"/>
  <c r="J4" i="40"/>
  <c r="H4" i="40"/>
  <c r="F4" i="40"/>
  <c r="K25" i="39"/>
  <c r="J25" i="39"/>
  <c r="H25" i="39"/>
  <c r="L25" i="39" s="1"/>
  <c r="F25" i="39"/>
  <c r="L24" i="39"/>
  <c r="K24" i="39"/>
  <c r="J24" i="39"/>
  <c r="H24" i="39"/>
  <c r="F24" i="39"/>
  <c r="L23" i="39"/>
  <c r="K23" i="39"/>
  <c r="J23" i="39"/>
  <c r="H23" i="39"/>
  <c r="F23" i="39"/>
  <c r="K22" i="39"/>
  <c r="J22" i="39"/>
  <c r="H22" i="39"/>
  <c r="F22" i="39"/>
  <c r="L22" i="39" s="1"/>
  <c r="K21" i="39"/>
  <c r="J21" i="39"/>
  <c r="H21" i="39"/>
  <c r="L21" i="39" s="1"/>
  <c r="F21" i="39"/>
  <c r="L20" i="39"/>
  <c r="K20" i="39"/>
  <c r="J20" i="39"/>
  <c r="H20" i="39"/>
  <c r="F20" i="39"/>
  <c r="L19" i="39"/>
  <c r="K19" i="39"/>
  <c r="J19" i="39"/>
  <c r="H19" i="39"/>
  <c r="F19" i="39"/>
  <c r="K18" i="39"/>
  <c r="J18" i="39"/>
  <c r="H18" i="39"/>
  <c r="F18" i="39"/>
  <c r="L18" i="39" s="1"/>
  <c r="L17" i="39"/>
  <c r="K17" i="39"/>
  <c r="J17" i="39"/>
  <c r="H17" i="39"/>
  <c r="F17" i="39"/>
  <c r="L16" i="39"/>
  <c r="K16" i="39"/>
  <c r="J16" i="39"/>
  <c r="H16" i="39"/>
  <c r="F16" i="39"/>
  <c r="L15" i="39"/>
  <c r="K15" i="39"/>
  <c r="J15" i="39"/>
  <c r="H15" i="39"/>
  <c r="F15" i="39"/>
  <c r="K14" i="39"/>
  <c r="J14" i="39"/>
  <c r="H14" i="39"/>
  <c r="F14" i="39"/>
  <c r="L14" i="39" s="1"/>
  <c r="L13" i="39"/>
  <c r="K13" i="39"/>
  <c r="J13" i="39"/>
  <c r="H13" i="39"/>
  <c r="F13" i="39"/>
  <c r="L12" i="39"/>
  <c r="K12" i="39"/>
  <c r="J12" i="39"/>
  <c r="H12" i="39"/>
  <c r="F12" i="39"/>
  <c r="L11" i="39"/>
  <c r="K11" i="39"/>
  <c r="J11" i="39"/>
  <c r="H11" i="39"/>
  <c r="F11" i="39"/>
  <c r="K10" i="39"/>
  <c r="J10" i="39"/>
  <c r="H10" i="39"/>
  <c r="F10" i="39"/>
  <c r="L10" i="39" s="1"/>
  <c r="K9" i="39"/>
  <c r="J9" i="39"/>
  <c r="L9" i="39" s="1"/>
  <c r="H9" i="39"/>
  <c r="F9" i="39"/>
  <c r="L8" i="39"/>
  <c r="K8" i="39"/>
  <c r="J8" i="39"/>
  <c r="H8" i="39"/>
  <c r="F8" i="39"/>
  <c r="K7" i="39"/>
  <c r="J7" i="39"/>
  <c r="H7" i="39"/>
  <c r="F7" i="39"/>
  <c r="L7" i="39" s="1"/>
  <c r="K6" i="39"/>
  <c r="J6" i="39"/>
  <c r="H6" i="39"/>
  <c r="F6" i="39"/>
  <c r="L6" i="39" s="1"/>
  <c r="K5" i="39"/>
  <c r="J5" i="39"/>
  <c r="H5" i="39"/>
  <c r="L5" i="39" s="1"/>
  <c r="F5" i="39"/>
  <c r="J4" i="39"/>
  <c r="H4" i="39"/>
  <c r="F4" i="39"/>
  <c r="P28" i="38"/>
  <c r="O26" i="38"/>
  <c r="R26" i="38" s="1"/>
  <c r="N26" i="38"/>
  <c r="L26" i="38"/>
  <c r="K26" i="60" s="1"/>
  <c r="K26" i="38"/>
  <c r="I26" i="38"/>
  <c r="H26" i="38"/>
  <c r="G26" i="38"/>
  <c r="F26" i="38"/>
  <c r="E26" i="60" s="1"/>
  <c r="E26" i="38"/>
  <c r="D26" i="60" s="1"/>
  <c r="L25" i="38"/>
  <c r="K25" i="38"/>
  <c r="J25" i="38"/>
  <c r="I25" i="38"/>
  <c r="H25" i="38"/>
  <c r="F25" i="38"/>
  <c r="E25" i="38"/>
  <c r="D25" i="60" s="1"/>
  <c r="N24" i="38"/>
  <c r="L24" i="38"/>
  <c r="K24" i="60" s="1"/>
  <c r="K24" i="38"/>
  <c r="J24" i="38"/>
  <c r="I24" i="38"/>
  <c r="H24" i="38"/>
  <c r="G24" i="60" s="1"/>
  <c r="F24" i="38"/>
  <c r="E24" i="38"/>
  <c r="L23" i="38"/>
  <c r="K23" i="38"/>
  <c r="I23" i="38"/>
  <c r="H23" i="38"/>
  <c r="G23" i="60" s="1"/>
  <c r="F23" i="38"/>
  <c r="G23" i="38" s="1"/>
  <c r="E23" i="38"/>
  <c r="N23" i="38" s="1"/>
  <c r="D23" i="38" s="1"/>
  <c r="L22" i="38"/>
  <c r="K22" i="38"/>
  <c r="M22" i="38" s="1"/>
  <c r="I22" i="38"/>
  <c r="H22" i="38"/>
  <c r="G22" i="60" s="1"/>
  <c r="F22" i="38"/>
  <c r="O22" i="38" s="1"/>
  <c r="R22" i="38" s="1"/>
  <c r="E22" i="38"/>
  <c r="D22" i="60" s="1"/>
  <c r="N21" i="38"/>
  <c r="D21" i="38" s="1"/>
  <c r="M21" i="38"/>
  <c r="L21" i="38"/>
  <c r="K21" i="60" s="1"/>
  <c r="K21" i="38"/>
  <c r="I21" i="38"/>
  <c r="J21" i="38" s="1"/>
  <c r="H21" i="38"/>
  <c r="F21" i="38"/>
  <c r="E21" i="38"/>
  <c r="O20" i="38"/>
  <c r="R20" i="38" s="1"/>
  <c r="L20" i="38"/>
  <c r="M20" i="38" s="1"/>
  <c r="K20" i="38"/>
  <c r="J20" i="60" s="1"/>
  <c r="I20" i="38"/>
  <c r="J20" i="38" s="1"/>
  <c r="H20" i="38"/>
  <c r="G20" i="60" s="1"/>
  <c r="F20" i="38"/>
  <c r="G20" i="38" s="1"/>
  <c r="E20" i="38"/>
  <c r="D20" i="60" s="1"/>
  <c r="L19" i="38"/>
  <c r="K19" i="38"/>
  <c r="I19" i="38"/>
  <c r="O19" i="38" s="1"/>
  <c r="H19" i="38"/>
  <c r="N19" i="38" s="1"/>
  <c r="D19" i="38" s="1"/>
  <c r="G19" i="38"/>
  <c r="F19" i="38"/>
  <c r="E19" i="38"/>
  <c r="L18" i="38"/>
  <c r="K18" i="38"/>
  <c r="J18" i="60" s="1"/>
  <c r="I18" i="38"/>
  <c r="H18" i="60" s="1"/>
  <c r="H18" i="38"/>
  <c r="F18" i="38"/>
  <c r="E18" i="38"/>
  <c r="L17" i="38"/>
  <c r="K17" i="38"/>
  <c r="I17" i="38"/>
  <c r="H17" i="38"/>
  <c r="F17" i="38"/>
  <c r="O17" i="38" s="1"/>
  <c r="R17" i="38" s="1"/>
  <c r="E17" i="38"/>
  <c r="N16" i="38"/>
  <c r="M16" i="38"/>
  <c r="L16" i="38"/>
  <c r="K16" i="60" s="1"/>
  <c r="L16" i="60" s="1"/>
  <c r="K16" i="38"/>
  <c r="I16" i="38"/>
  <c r="H16" i="38"/>
  <c r="F16" i="38"/>
  <c r="E16" i="38"/>
  <c r="L15" i="38"/>
  <c r="M15" i="38" s="1"/>
  <c r="K15" i="38"/>
  <c r="N15" i="38" s="1"/>
  <c r="D15" i="38" s="1"/>
  <c r="I15" i="38"/>
  <c r="H15" i="38"/>
  <c r="F15" i="38"/>
  <c r="E15" i="38"/>
  <c r="L14" i="38"/>
  <c r="K14" i="38"/>
  <c r="I14" i="38"/>
  <c r="H14" i="38"/>
  <c r="G14" i="38"/>
  <c r="F14" i="38"/>
  <c r="E14" i="38"/>
  <c r="D14" i="60" s="1"/>
  <c r="N13" i="38"/>
  <c r="L13" i="38"/>
  <c r="K13" i="38"/>
  <c r="I13" i="38"/>
  <c r="H13" i="38"/>
  <c r="F13" i="38"/>
  <c r="E13" i="38"/>
  <c r="G13" i="38" s="1"/>
  <c r="D13" i="38"/>
  <c r="N12" i="38"/>
  <c r="D12" i="38" s="1"/>
  <c r="L12" i="38"/>
  <c r="O12" i="38" s="1"/>
  <c r="S12" i="38" s="1"/>
  <c r="K12" i="38"/>
  <c r="I12" i="38"/>
  <c r="H12" i="38"/>
  <c r="F12" i="38"/>
  <c r="E12" i="38"/>
  <c r="L11" i="38"/>
  <c r="K11" i="38"/>
  <c r="J11" i="60" s="1"/>
  <c r="I11" i="38"/>
  <c r="H11" i="60" s="1"/>
  <c r="H11" i="38"/>
  <c r="N11" i="38" s="1"/>
  <c r="F11" i="38"/>
  <c r="O11" i="38" s="1"/>
  <c r="E11" i="38"/>
  <c r="D11" i="60" s="1"/>
  <c r="L10" i="38"/>
  <c r="K10" i="38"/>
  <c r="N10" i="38" s="1"/>
  <c r="D10" i="38" s="1"/>
  <c r="I10" i="38"/>
  <c r="H10" i="38"/>
  <c r="G10" i="38"/>
  <c r="F10" i="38"/>
  <c r="E10" i="38"/>
  <c r="D10" i="60" s="1"/>
  <c r="L9" i="38"/>
  <c r="L28" i="38" s="1"/>
  <c r="K9" i="38"/>
  <c r="J9" i="60" s="1"/>
  <c r="J9" i="38"/>
  <c r="I9" i="38"/>
  <c r="H9" i="38"/>
  <c r="F9" i="38"/>
  <c r="E9" i="38"/>
  <c r="N8" i="38"/>
  <c r="D8" i="38" s="1"/>
  <c r="M8" i="38"/>
  <c r="L8" i="38"/>
  <c r="K8" i="38"/>
  <c r="I8" i="38"/>
  <c r="H8" i="60" s="1"/>
  <c r="H8" i="38"/>
  <c r="F8" i="38"/>
  <c r="E8" i="38"/>
  <c r="L7" i="38"/>
  <c r="K7" i="60" s="1"/>
  <c r="K7" i="38"/>
  <c r="I7" i="38"/>
  <c r="J7" i="38" s="1"/>
  <c r="H7" i="38"/>
  <c r="F7" i="38"/>
  <c r="E7" i="38"/>
  <c r="E28" i="38" s="1"/>
  <c r="L6" i="38"/>
  <c r="K6" i="60" s="1"/>
  <c r="K6" i="38"/>
  <c r="I6" i="38"/>
  <c r="H6" i="38"/>
  <c r="G6" i="38"/>
  <c r="F6" i="38"/>
  <c r="E6" i="38"/>
  <c r="O5" i="38"/>
  <c r="L26" i="37"/>
  <c r="K26" i="37"/>
  <c r="L25" i="37"/>
  <c r="K25" i="37"/>
  <c r="D25" i="37"/>
  <c r="L24" i="37"/>
  <c r="K24" i="37"/>
  <c r="D24" i="37" s="1"/>
  <c r="L23" i="37"/>
  <c r="K23" i="37"/>
  <c r="D23" i="37"/>
  <c r="L22" i="37"/>
  <c r="K22" i="37"/>
  <c r="D22" i="37"/>
  <c r="L21" i="37"/>
  <c r="K21" i="37"/>
  <c r="D21" i="37" s="1"/>
  <c r="L20" i="37"/>
  <c r="K20" i="37"/>
  <c r="D20" i="37"/>
  <c r="L19" i="37"/>
  <c r="K19" i="37"/>
  <c r="D19" i="37" s="1"/>
  <c r="L18" i="37"/>
  <c r="K18" i="37"/>
  <c r="D18" i="37" s="1"/>
  <c r="L17" i="37"/>
  <c r="K17" i="37"/>
  <c r="D17" i="37"/>
  <c r="L16" i="37"/>
  <c r="K16" i="37"/>
  <c r="D16" i="37"/>
  <c r="L15" i="37"/>
  <c r="K15" i="37"/>
  <c r="D15" i="37" s="1"/>
  <c r="L14" i="37"/>
  <c r="K14" i="37"/>
  <c r="D14" i="37" s="1"/>
  <c r="L13" i="37"/>
  <c r="K13" i="37"/>
  <c r="D13" i="37"/>
  <c r="L12" i="37"/>
  <c r="K12" i="37"/>
  <c r="D12" i="37" s="1"/>
  <c r="L11" i="37"/>
  <c r="K11" i="37"/>
  <c r="D11" i="37" s="1"/>
  <c r="L10" i="37"/>
  <c r="K10" i="37"/>
  <c r="D10" i="37"/>
  <c r="L9" i="37"/>
  <c r="K9" i="37"/>
  <c r="D9" i="37"/>
  <c r="L8" i="37"/>
  <c r="K8" i="37"/>
  <c r="D8" i="37"/>
  <c r="L7" i="37"/>
  <c r="K7" i="37"/>
  <c r="D7" i="37" s="1"/>
  <c r="L6" i="37"/>
  <c r="K6" i="37"/>
  <c r="D6" i="37" s="1"/>
  <c r="L5" i="37"/>
  <c r="Q71" i="36"/>
  <c r="R71" i="36" s="1"/>
  <c r="K71" i="36"/>
  <c r="E71" i="36"/>
  <c r="R70" i="36"/>
  <c r="Q70" i="36"/>
  <c r="K70" i="36"/>
  <c r="E70" i="36"/>
  <c r="R69" i="36"/>
  <c r="Q69" i="36"/>
  <c r="K69" i="36"/>
  <c r="E69" i="36"/>
  <c r="Q68" i="36"/>
  <c r="R68" i="36" s="1"/>
  <c r="K68" i="36"/>
  <c r="E68" i="36"/>
  <c r="R67" i="36"/>
  <c r="Q67" i="36"/>
  <c r="K67" i="36"/>
  <c r="E67" i="36"/>
  <c r="Q66" i="36"/>
  <c r="R66" i="36" s="1"/>
  <c r="K66" i="36"/>
  <c r="E66" i="36"/>
  <c r="R65" i="36"/>
  <c r="Q65" i="36"/>
  <c r="K65" i="36"/>
  <c r="E65" i="36"/>
  <c r="Q64" i="36"/>
  <c r="R64" i="36" s="1"/>
  <c r="K64" i="36"/>
  <c r="E64" i="36"/>
  <c r="Q63" i="36"/>
  <c r="R63" i="36" s="1"/>
  <c r="K63" i="36"/>
  <c r="E63" i="36"/>
  <c r="R62" i="36"/>
  <c r="Q62" i="36"/>
  <c r="K62" i="36"/>
  <c r="E62" i="36"/>
  <c r="Q61" i="36"/>
  <c r="R61" i="36" s="1"/>
  <c r="K61" i="36"/>
  <c r="E61" i="36"/>
  <c r="Q60" i="36"/>
  <c r="R60" i="36" s="1"/>
  <c r="K60" i="36"/>
  <c r="E60" i="36"/>
  <c r="R59" i="36"/>
  <c r="Q59" i="36"/>
  <c r="K59" i="36"/>
  <c r="E59" i="36"/>
  <c r="Q58" i="36"/>
  <c r="R58" i="36" s="1"/>
  <c r="K58" i="36"/>
  <c r="E58" i="36"/>
  <c r="Q57" i="36"/>
  <c r="R57" i="36" s="1"/>
  <c r="K57" i="36"/>
  <c r="E57" i="36"/>
  <c r="Q56" i="36"/>
  <c r="R56" i="36" s="1"/>
  <c r="K56" i="36"/>
  <c r="E56" i="36"/>
  <c r="R55" i="36"/>
  <c r="Q55" i="36"/>
  <c r="K55" i="36"/>
  <c r="E55" i="36"/>
  <c r="Q54" i="36"/>
  <c r="R54" i="36" s="1"/>
  <c r="K54" i="36"/>
  <c r="E54" i="36"/>
  <c r="Q53" i="36"/>
  <c r="R53" i="36" s="1"/>
  <c r="K53" i="36"/>
  <c r="E53" i="36"/>
  <c r="R52" i="36"/>
  <c r="Q52" i="36"/>
  <c r="K52" i="36"/>
  <c r="E52" i="36"/>
  <c r="R51" i="36"/>
  <c r="Q51" i="36"/>
  <c r="K51" i="36"/>
  <c r="E51" i="36"/>
  <c r="A49" i="36"/>
  <c r="R47" i="36"/>
  <c r="S47" i="36" s="1"/>
  <c r="Q47" i="36"/>
  <c r="K47" i="36"/>
  <c r="E47" i="36"/>
  <c r="R46" i="36"/>
  <c r="Q46" i="36"/>
  <c r="K46" i="36"/>
  <c r="E46" i="36"/>
  <c r="Q45" i="36"/>
  <c r="R45" i="36" s="1"/>
  <c r="S45" i="36" s="1"/>
  <c r="K45" i="36"/>
  <c r="E45" i="36"/>
  <c r="S44" i="36"/>
  <c r="R44" i="36"/>
  <c r="Q44" i="36"/>
  <c r="K44" i="36"/>
  <c r="E44" i="36"/>
  <c r="R43" i="36"/>
  <c r="Q43" i="36"/>
  <c r="K43" i="36"/>
  <c r="E43" i="36"/>
  <c r="Q42" i="36"/>
  <c r="R42" i="36" s="1"/>
  <c r="K42" i="36"/>
  <c r="E42" i="36"/>
  <c r="Q41" i="36"/>
  <c r="R41" i="36" s="1"/>
  <c r="K41" i="36"/>
  <c r="E41" i="36"/>
  <c r="R40" i="36"/>
  <c r="Q40" i="36"/>
  <c r="K40" i="36"/>
  <c r="E40" i="36"/>
  <c r="R39" i="36"/>
  <c r="Q39" i="36"/>
  <c r="K39" i="36"/>
  <c r="E39" i="36"/>
  <c r="Q38" i="36"/>
  <c r="R38" i="36" s="1"/>
  <c r="S38" i="36" s="1"/>
  <c r="K38" i="36"/>
  <c r="E38" i="36"/>
  <c r="Q37" i="36"/>
  <c r="R37" i="36" s="1"/>
  <c r="S37" i="36" s="1"/>
  <c r="K37" i="36"/>
  <c r="E37" i="36"/>
  <c r="Q36" i="36"/>
  <c r="R36" i="36" s="1"/>
  <c r="S36" i="36" s="1"/>
  <c r="K36" i="36"/>
  <c r="E36" i="36"/>
  <c r="S35" i="36"/>
  <c r="R35" i="36"/>
  <c r="Q35" i="36"/>
  <c r="K35" i="36"/>
  <c r="E35" i="36"/>
  <c r="Q34" i="36"/>
  <c r="R34" i="36" s="1"/>
  <c r="S34" i="36" s="1"/>
  <c r="K34" i="36"/>
  <c r="E34" i="36"/>
  <c r="Q33" i="36"/>
  <c r="R33" i="36" s="1"/>
  <c r="S33" i="36" s="1"/>
  <c r="K33" i="36"/>
  <c r="E33" i="36"/>
  <c r="R32" i="36"/>
  <c r="S32" i="36" s="1"/>
  <c r="Q32" i="36"/>
  <c r="K32" i="36"/>
  <c r="E32" i="36"/>
  <c r="S31" i="36"/>
  <c r="R31" i="36"/>
  <c r="Q31" i="36"/>
  <c r="K31" i="36"/>
  <c r="E31" i="36"/>
  <c r="S30" i="36"/>
  <c r="Q30" i="36"/>
  <c r="R30" i="36" s="1"/>
  <c r="K30" i="36"/>
  <c r="E30" i="36"/>
  <c r="Q29" i="36"/>
  <c r="R29" i="36" s="1"/>
  <c r="S29" i="36" s="1"/>
  <c r="K29" i="36"/>
  <c r="E29" i="36"/>
  <c r="Q28" i="36"/>
  <c r="R28" i="36" s="1"/>
  <c r="S28" i="36" s="1"/>
  <c r="K28" i="36"/>
  <c r="E28" i="36"/>
  <c r="S27" i="36"/>
  <c r="R27" i="36"/>
  <c r="Q27" i="36"/>
  <c r="K27" i="36"/>
  <c r="E27" i="36"/>
  <c r="K26" i="36"/>
  <c r="K50" i="36" s="1"/>
  <c r="A25" i="36"/>
  <c r="R23" i="36"/>
  <c r="Q23" i="36"/>
  <c r="K23" i="36"/>
  <c r="E23" i="36"/>
  <c r="Q22" i="36"/>
  <c r="R22" i="36" s="1"/>
  <c r="K22" i="36"/>
  <c r="E22" i="36"/>
  <c r="R21" i="36"/>
  <c r="Q21" i="36"/>
  <c r="K21" i="36"/>
  <c r="E21" i="36"/>
  <c r="R20" i="36"/>
  <c r="Q20" i="36"/>
  <c r="K20" i="36"/>
  <c r="E20" i="36"/>
  <c r="Q19" i="36"/>
  <c r="R19" i="36" s="1"/>
  <c r="S19" i="36" s="1"/>
  <c r="K19" i="36"/>
  <c r="E19" i="36"/>
  <c r="Q18" i="36"/>
  <c r="R18" i="36" s="1"/>
  <c r="S18" i="36" s="1"/>
  <c r="K18" i="36"/>
  <c r="E18" i="36"/>
  <c r="R17" i="36"/>
  <c r="S17" i="36" s="1"/>
  <c r="Q17" i="36"/>
  <c r="K17" i="36"/>
  <c r="E17" i="36"/>
  <c r="Q16" i="36"/>
  <c r="R16" i="36" s="1"/>
  <c r="S16" i="36" s="1"/>
  <c r="K16" i="36"/>
  <c r="E16" i="36"/>
  <c r="R15" i="36"/>
  <c r="S15" i="36" s="1"/>
  <c r="Q15" i="36"/>
  <c r="K15" i="36"/>
  <c r="E15" i="36"/>
  <c r="S14" i="36"/>
  <c r="Q14" i="36"/>
  <c r="R14" i="36" s="1"/>
  <c r="K14" i="36"/>
  <c r="E14" i="36"/>
  <c r="Q13" i="36"/>
  <c r="R13" i="36" s="1"/>
  <c r="S13" i="36" s="1"/>
  <c r="K13" i="36"/>
  <c r="E13" i="36"/>
  <c r="S12" i="36"/>
  <c r="R12" i="36"/>
  <c r="Q12" i="36"/>
  <c r="K12" i="36"/>
  <c r="E12" i="36"/>
  <c r="R11" i="36"/>
  <c r="S11" i="36" s="1"/>
  <c r="Q11" i="36"/>
  <c r="K11" i="36"/>
  <c r="E11" i="36"/>
  <c r="Q10" i="36"/>
  <c r="R10" i="36" s="1"/>
  <c r="S10" i="36" s="1"/>
  <c r="K10" i="36"/>
  <c r="E10" i="36"/>
  <c r="Q9" i="36"/>
  <c r="R9" i="36" s="1"/>
  <c r="S9" i="36" s="1"/>
  <c r="K9" i="36"/>
  <c r="E9" i="36"/>
  <c r="Q8" i="36"/>
  <c r="R8" i="36" s="1"/>
  <c r="S8" i="36" s="1"/>
  <c r="K8" i="36"/>
  <c r="E8" i="36"/>
  <c r="Q7" i="36"/>
  <c r="R7" i="36" s="1"/>
  <c r="S7" i="36" s="1"/>
  <c r="K7" i="36"/>
  <c r="E7" i="36"/>
  <c r="Q6" i="36"/>
  <c r="R6" i="36" s="1"/>
  <c r="S6" i="36" s="1"/>
  <c r="K6" i="36"/>
  <c r="E6" i="36"/>
  <c r="Q5" i="36"/>
  <c r="R5" i="36" s="1"/>
  <c r="S5" i="36" s="1"/>
  <c r="K5" i="36"/>
  <c r="E5" i="36"/>
  <c r="Q4" i="36"/>
  <c r="R4" i="36" s="1"/>
  <c r="S4" i="36" s="1"/>
  <c r="K4" i="36"/>
  <c r="E4" i="36"/>
  <c r="R3" i="36"/>
  <c r="S3" i="36" s="1"/>
  <c r="Q3" i="36"/>
  <c r="K3" i="36"/>
  <c r="E3" i="36"/>
  <c r="L25" i="35"/>
  <c r="J25" i="35"/>
  <c r="H25" i="35"/>
  <c r="K25" i="35" s="1"/>
  <c r="F25" i="35"/>
  <c r="K24" i="35"/>
  <c r="J24" i="35"/>
  <c r="H24" i="35"/>
  <c r="F24" i="35"/>
  <c r="L24" i="35" s="1"/>
  <c r="K23" i="35"/>
  <c r="J23" i="35"/>
  <c r="L23" i="35" s="1"/>
  <c r="H23" i="35"/>
  <c r="F23" i="35"/>
  <c r="K22" i="35"/>
  <c r="J22" i="35"/>
  <c r="H22" i="35"/>
  <c r="F22" i="35"/>
  <c r="L21" i="35"/>
  <c r="K21" i="35"/>
  <c r="J21" i="35"/>
  <c r="H21" i="35"/>
  <c r="F21" i="35"/>
  <c r="K20" i="35"/>
  <c r="J20" i="35"/>
  <c r="H20" i="35"/>
  <c r="F20" i="35"/>
  <c r="K19" i="35"/>
  <c r="J19" i="35"/>
  <c r="L19" i="35" s="1"/>
  <c r="H19" i="35"/>
  <c r="F19" i="35"/>
  <c r="K18" i="35"/>
  <c r="J18" i="35"/>
  <c r="H18" i="35"/>
  <c r="F18" i="35"/>
  <c r="L18" i="35" s="1"/>
  <c r="L17" i="35"/>
  <c r="K17" i="35"/>
  <c r="J17" i="35"/>
  <c r="H17" i="35"/>
  <c r="F17" i="35"/>
  <c r="K16" i="35"/>
  <c r="J16" i="35"/>
  <c r="H16" i="35"/>
  <c r="F16" i="35"/>
  <c r="L15" i="35"/>
  <c r="K15" i="35"/>
  <c r="J15" i="35"/>
  <c r="H15" i="35"/>
  <c r="F15" i="35"/>
  <c r="K14" i="35"/>
  <c r="J14" i="35"/>
  <c r="H14" i="35"/>
  <c r="F14" i="35"/>
  <c r="L14" i="35" s="1"/>
  <c r="K13" i="35"/>
  <c r="J13" i="35"/>
  <c r="L13" i="35" s="1"/>
  <c r="H13" i="35"/>
  <c r="F13" i="35"/>
  <c r="K12" i="35"/>
  <c r="J12" i="35"/>
  <c r="H12" i="35"/>
  <c r="F12" i="35"/>
  <c r="L11" i="35"/>
  <c r="K11" i="35"/>
  <c r="J11" i="35"/>
  <c r="H11" i="35"/>
  <c r="F11" i="35"/>
  <c r="K10" i="35"/>
  <c r="J10" i="35"/>
  <c r="H10" i="35"/>
  <c r="F10" i="35"/>
  <c r="L10" i="35" s="1"/>
  <c r="K9" i="35"/>
  <c r="J9" i="35"/>
  <c r="H9" i="35"/>
  <c r="F9" i="35"/>
  <c r="L9" i="35" s="1"/>
  <c r="K8" i="35"/>
  <c r="J8" i="35"/>
  <c r="H8" i="35"/>
  <c r="F8" i="35"/>
  <c r="K7" i="35"/>
  <c r="J7" i="35"/>
  <c r="L7" i="35" s="1"/>
  <c r="H7" i="35"/>
  <c r="F7" i="35"/>
  <c r="K6" i="35"/>
  <c r="J6" i="35"/>
  <c r="H6" i="35"/>
  <c r="F6" i="35"/>
  <c r="L6" i="35" s="1"/>
  <c r="K5" i="35"/>
  <c r="J5" i="35"/>
  <c r="H5" i="35"/>
  <c r="F5" i="35"/>
  <c r="L5" i="35" s="1"/>
  <c r="J4" i="35"/>
  <c r="H4" i="35"/>
  <c r="F4" i="35"/>
  <c r="L25" i="34"/>
  <c r="K25" i="34"/>
  <c r="J25" i="34"/>
  <c r="H25" i="34"/>
  <c r="F25" i="34"/>
  <c r="K24" i="34"/>
  <c r="J24" i="34"/>
  <c r="H24" i="34"/>
  <c r="F24" i="34"/>
  <c r="K23" i="34"/>
  <c r="J23" i="34"/>
  <c r="H23" i="34"/>
  <c r="F23" i="34"/>
  <c r="L23" i="34" s="1"/>
  <c r="K22" i="34"/>
  <c r="J22" i="34"/>
  <c r="H22" i="34"/>
  <c r="F22" i="34"/>
  <c r="L22" i="34" s="1"/>
  <c r="L21" i="34"/>
  <c r="K21" i="34"/>
  <c r="J21" i="34"/>
  <c r="H21" i="34"/>
  <c r="F21" i="34"/>
  <c r="K20" i="34"/>
  <c r="J20" i="34"/>
  <c r="H20" i="34"/>
  <c r="F20" i="34"/>
  <c r="L20" i="34" s="1"/>
  <c r="K19" i="34"/>
  <c r="J19" i="34"/>
  <c r="H19" i="34"/>
  <c r="F19" i="34"/>
  <c r="L19" i="34" s="1"/>
  <c r="K18" i="34"/>
  <c r="J18" i="34"/>
  <c r="H18" i="34"/>
  <c r="F18" i="34"/>
  <c r="L18" i="34" s="1"/>
  <c r="K17" i="34"/>
  <c r="J17" i="34"/>
  <c r="H17" i="34"/>
  <c r="F17" i="34"/>
  <c r="L17" i="34" s="1"/>
  <c r="L16" i="34"/>
  <c r="K16" i="34"/>
  <c r="J16" i="34"/>
  <c r="H16" i="34"/>
  <c r="F16" i="34"/>
  <c r="K15" i="34"/>
  <c r="J15" i="34"/>
  <c r="H15" i="34"/>
  <c r="F15" i="34"/>
  <c r="K14" i="34"/>
  <c r="J14" i="34"/>
  <c r="H14" i="34"/>
  <c r="F14" i="34"/>
  <c r="L14" i="34" s="1"/>
  <c r="K13" i="34"/>
  <c r="J13" i="34"/>
  <c r="H13" i="34"/>
  <c r="F13" i="34"/>
  <c r="L13" i="34" s="1"/>
  <c r="K12" i="34"/>
  <c r="J12" i="34"/>
  <c r="H12" i="34"/>
  <c r="L12" i="34" s="1"/>
  <c r="F12" i="34"/>
  <c r="K11" i="34"/>
  <c r="J11" i="34"/>
  <c r="H11" i="34"/>
  <c r="F11" i="34"/>
  <c r="K10" i="34"/>
  <c r="J10" i="34"/>
  <c r="H10" i="34"/>
  <c r="F10" i="34"/>
  <c r="L10" i="34" s="1"/>
  <c r="K9" i="34"/>
  <c r="J9" i="34"/>
  <c r="H9" i="34"/>
  <c r="F9" i="34"/>
  <c r="L9" i="34" s="1"/>
  <c r="K8" i="34"/>
  <c r="J8" i="34"/>
  <c r="H8" i="34"/>
  <c r="F8" i="34"/>
  <c r="L8" i="34" s="1"/>
  <c r="K7" i="34"/>
  <c r="J7" i="34"/>
  <c r="H7" i="34"/>
  <c r="F7" i="34"/>
  <c r="L7" i="34" s="1"/>
  <c r="K6" i="34"/>
  <c r="J6" i="34"/>
  <c r="H6" i="34"/>
  <c r="F6" i="34"/>
  <c r="K5" i="34"/>
  <c r="J5" i="34"/>
  <c r="H5" i="34"/>
  <c r="F5" i="34"/>
  <c r="J4" i="34"/>
  <c r="H4" i="34"/>
  <c r="F4" i="34"/>
  <c r="M26" i="33"/>
  <c r="L26" i="33"/>
  <c r="K26" i="33"/>
  <c r="L25" i="33"/>
  <c r="M25" i="33" s="1"/>
  <c r="K25" i="33"/>
  <c r="D25" i="33"/>
  <c r="L24" i="33"/>
  <c r="K24" i="33"/>
  <c r="M24" i="33" s="1"/>
  <c r="D24" i="33"/>
  <c r="M23" i="33"/>
  <c r="L23" i="33"/>
  <c r="K23" i="33"/>
  <c r="D23" i="33"/>
  <c r="L22" i="33"/>
  <c r="K22" i="33"/>
  <c r="D22" i="33" s="1"/>
  <c r="L21" i="33"/>
  <c r="K21" i="33"/>
  <c r="L20" i="33"/>
  <c r="M20" i="33" s="1"/>
  <c r="K20" i="33"/>
  <c r="D20" i="33"/>
  <c r="L19" i="33"/>
  <c r="K19" i="33"/>
  <c r="M19" i="33" s="1"/>
  <c r="D19" i="33"/>
  <c r="L18" i="33"/>
  <c r="M18" i="33" s="1"/>
  <c r="K18" i="33"/>
  <c r="D18" i="33"/>
  <c r="M17" i="33"/>
  <c r="L17" i="33"/>
  <c r="K17" i="33"/>
  <c r="D17" i="33" s="1"/>
  <c r="L16" i="33"/>
  <c r="K16" i="33"/>
  <c r="M15" i="33"/>
  <c r="L15" i="33"/>
  <c r="K15" i="33"/>
  <c r="D15" i="33"/>
  <c r="L14" i="33"/>
  <c r="K14" i="33"/>
  <c r="M14" i="33" s="1"/>
  <c r="D14" i="33"/>
  <c r="L13" i="33"/>
  <c r="K13" i="33"/>
  <c r="D13" i="33" s="1"/>
  <c r="L12" i="33"/>
  <c r="K12" i="33"/>
  <c r="L11" i="33"/>
  <c r="K11" i="33"/>
  <c r="M10" i="33"/>
  <c r="L10" i="33"/>
  <c r="K10" i="33"/>
  <c r="D10" i="33"/>
  <c r="L9" i="33"/>
  <c r="K9" i="33"/>
  <c r="D9" i="33"/>
  <c r="L8" i="33"/>
  <c r="K8" i="33"/>
  <c r="M8" i="33" s="1"/>
  <c r="L7" i="33"/>
  <c r="M7" i="33" s="1"/>
  <c r="K7" i="33"/>
  <c r="D7" i="33" s="1"/>
  <c r="L6" i="33"/>
  <c r="K6" i="33"/>
  <c r="L5" i="33"/>
  <c r="R71" i="32"/>
  <c r="Q71" i="32"/>
  <c r="K71" i="32"/>
  <c r="E71" i="32"/>
  <c r="R70" i="32"/>
  <c r="Q70" i="32"/>
  <c r="K70" i="32"/>
  <c r="E70" i="32"/>
  <c r="Q69" i="32"/>
  <c r="R69" i="32" s="1"/>
  <c r="K69" i="32"/>
  <c r="E69" i="32"/>
  <c r="Q68" i="32"/>
  <c r="R68" i="32" s="1"/>
  <c r="K68" i="32"/>
  <c r="E68" i="32"/>
  <c r="R67" i="32"/>
  <c r="Q67" i="32"/>
  <c r="K67" i="32"/>
  <c r="E67" i="32"/>
  <c r="R66" i="32"/>
  <c r="Q66" i="32"/>
  <c r="K66" i="32"/>
  <c r="E66" i="32"/>
  <c r="R65" i="32"/>
  <c r="Q65" i="32"/>
  <c r="K65" i="32"/>
  <c r="E65" i="32"/>
  <c r="Q64" i="32"/>
  <c r="R64" i="32" s="1"/>
  <c r="K64" i="32"/>
  <c r="E64" i="32"/>
  <c r="R63" i="32"/>
  <c r="Q63" i="32"/>
  <c r="K63" i="32"/>
  <c r="E63" i="32"/>
  <c r="R62" i="32"/>
  <c r="Q62" i="32"/>
  <c r="K62" i="32"/>
  <c r="E62" i="32"/>
  <c r="R61" i="32"/>
  <c r="Q61" i="32"/>
  <c r="K61" i="32"/>
  <c r="E61" i="32"/>
  <c r="R60" i="32"/>
  <c r="Q60" i="32"/>
  <c r="K60" i="32"/>
  <c r="E60" i="32"/>
  <c r="Q59" i="32"/>
  <c r="R59" i="32" s="1"/>
  <c r="K59" i="32"/>
  <c r="E59" i="32"/>
  <c r="Q58" i="32"/>
  <c r="R58" i="32" s="1"/>
  <c r="K58" i="32"/>
  <c r="E58" i="32"/>
  <c r="R57" i="32"/>
  <c r="Q57" i="32"/>
  <c r="K57" i="32"/>
  <c r="E57" i="32"/>
  <c r="R56" i="32"/>
  <c r="Q56" i="32"/>
  <c r="K56" i="32"/>
  <c r="E56" i="32"/>
  <c r="R55" i="32"/>
  <c r="Q55" i="32"/>
  <c r="K55" i="32"/>
  <c r="E55" i="32"/>
  <c r="Q54" i="32"/>
  <c r="R54" i="32" s="1"/>
  <c r="K54" i="32"/>
  <c r="E54" i="32"/>
  <c r="Q53" i="32"/>
  <c r="R53" i="32" s="1"/>
  <c r="K53" i="32"/>
  <c r="E53" i="32"/>
  <c r="R52" i="32"/>
  <c r="Q52" i="32"/>
  <c r="K52" i="32"/>
  <c r="E52" i="32"/>
  <c r="R51" i="32"/>
  <c r="Q51" i="32"/>
  <c r="K51" i="32"/>
  <c r="E51" i="32"/>
  <c r="K50" i="32"/>
  <c r="A49" i="32"/>
  <c r="R47" i="32"/>
  <c r="S47" i="32" s="1"/>
  <c r="Q47" i="32"/>
  <c r="K47" i="32"/>
  <c r="E47" i="32"/>
  <c r="Q46" i="32"/>
  <c r="R46" i="32" s="1"/>
  <c r="K46" i="32"/>
  <c r="E46" i="32"/>
  <c r="R45" i="32"/>
  <c r="S45" i="32" s="1"/>
  <c r="Q45" i="32"/>
  <c r="K45" i="32"/>
  <c r="E45" i="32"/>
  <c r="Q44" i="32"/>
  <c r="R44" i="32" s="1"/>
  <c r="S44" i="32" s="1"/>
  <c r="K44" i="32"/>
  <c r="E44" i="32"/>
  <c r="Q43" i="32"/>
  <c r="R43" i="32" s="1"/>
  <c r="K43" i="32"/>
  <c r="E43" i="32"/>
  <c r="Q42" i="32"/>
  <c r="R42" i="32" s="1"/>
  <c r="K42" i="32"/>
  <c r="E42" i="32"/>
  <c r="R41" i="32"/>
  <c r="Q41" i="32"/>
  <c r="K41" i="32"/>
  <c r="E41" i="32"/>
  <c r="R40" i="32"/>
  <c r="Q40" i="32"/>
  <c r="K40" i="32"/>
  <c r="E40" i="32"/>
  <c r="Q39" i="32"/>
  <c r="R39" i="32" s="1"/>
  <c r="K39" i="32"/>
  <c r="E39" i="32"/>
  <c r="R38" i="32"/>
  <c r="S38" i="32" s="1"/>
  <c r="Q38" i="32"/>
  <c r="K38" i="32"/>
  <c r="E38" i="32"/>
  <c r="Q37" i="32"/>
  <c r="R37" i="32" s="1"/>
  <c r="S37" i="32" s="1"/>
  <c r="K37" i="32"/>
  <c r="E37" i="32"/>
  <c r="Q36" i="32"/>
  <c r="R36" i="32" s="1"/>
  <c r="S36" i="32" s="1"/>
  <c r="K36" i="32"/>
  <c r="E36" i="32"/>
  <c r="S35" i="32"/>
  <c r="Q35" i="32"/>
  <c r="R35" i="32" s="1"/>
  <c r="K35" i="32"/>
  <c r="E35" i="32"/>
  <c r="R34" i="32"/>
  <c r="S34" i="32" s="1"/>
  <c r="Q34" i="32"/>
  <c r="K34" i="32"/>
  <c r="E34" i="32"/>
  <c r="S33" i="32"/>
  <c r="R33" i="32"/>
  <c r="Q33" i="32"/>
  <c r="K33" i="32"/>
  <c r="E33" i="32"/>
  <c r="R32" i="32"/>
  <c r="S32" i="32" s="1"/>
  <c r="Q32" i="32"/>
  <c r="K32" i="32"/>
  <c r="E32" i="32"/>
  <c r="Q31" i="32"/>
  <c r="R31" i="32" s="1"/>
  <c r="S31" i="32" s="1"/>
  <c r="K31" i="32"/>
  <c r="E31" i="32"/>
  <c r="Q30" i="32"/>
  <c r="R30" i="32" s="1"/>
  <c r="S30" i="32" s="1"/>
  <c r="K30" i="32"/>
  <c r="E30" i="32"/>
  <c r="S29" i="32"/>
  <c r="Q29" i="32"/>
  <c r="R29" i="32" s="1"/>
  <c r="K29" i="32"/>
  <c r="E29" i="32"/>
  <c r="Q28" i="32"/>
  <c r="R28" i="32" s="1"/>
  <c r="S28" i="32" s="1"/>
  <c r="K28" i="32"/>
  <c r="E28" i="32"/>
  <c r="Q27" i="32"/>
  <c r="R27" i="32" s="1"/>
  <c r="S27" i="32" s="1"/>
  <c r="K27" i="32"/>
  <c r="E27" i="32"/>
  <c r="K26" i="32"/>
  <c r="A25" i="32"/>
  <c r="Q23" i="32"/>
  <c r="R23" i="32" s="1"/>
  <c r="K23" i="32"/>
  <c r="E23" i="32"/>
  <c r="Q22" i="32"/>
  <c r="R22" i="32" s="1"/>
  <c r="K22" i="32"/>
  <c r="E22" i="32"/>
  <c r="Q21" i="32"/>
  <c r="R21" i="32" s="1"/>
  <c r="K21" i="32"/>
  <c r="E21" i="32"/>
  <c r="Q20" i="32"/>
  <c r="R20" i="32" s="1"/>
  <c r="K20" i="32"/>
  <c r="E20" i="32"/>
  <c r="R19" i="32"/>
  <c r="S19" i="32" s="1"/>
  <c r="Q19" i="32"/>
  <c r="K19" i="32"/>
  <c r="E19" i="32"/>
  <c r="Q18" i="32"/>
  <c r="R18" i="32" s="1"/>
  <c r="S18" i="32" s="1"/>
  <c r="K18" i="32"/>
  <c r="E18" i="32"/>
  <c r="S17" i="32"/>
  <c r="R17" i="32"/>
  <c r="Q17" i="32"/>
  <c r="K17" i="32"/>
  <c r="E17" i="32"/>
  <c r="R16" i="32"/>
  <c r="S16" i="32" s="1"/>
  <c r="Q16" i="32"/>
  <c r="K16" i="32"/>
  <c r="E16" i="32"/>
  <c r="R15" i="32"/>
  <c r="S15" i="32" s="1"/>
  <c r="Q15" i="32"/>
  <c r="K15" i="32"/>
  <c r="E15" i="32"/>
  <c r="Q14" i="32"/>
  <c r="R14" i="32" s="1"/>
  <c r="S14" i="32" s="1"/>
  <c r="K14" i="32"/>
  <c r="E14" i="32"/>
  <c r="S13" i="32"/>
  <c r="R13" i="32"/>
  <c r="Q13" i="32"/>
  <c r="K13" i="32"/>
  <c r="E13" i="32"/>
  <c r="Q12" i="32"/>
  <c r="R12" i="32" s="1"/>
  <c r="S12" i="32" s="1"/>
  <c r="K12" i="32"/>
  <c r="E12" i="32"/>
  <c r="R11" i="32"/>
  <c r="S11" i="32" s="1"/>
  <c r="Q11" i="32"/>
  <c r="K11" i="32"/>
  <c r="E11" i="32"/>
  <c r="Q10" i="32"/>
  <c r="R10" i="32" s="1"/>
  <c r="S10" i="32" s="1"/>
  <c r="K10" i="32"/>
  <c r="E10" i="32"/>
  <c r="S9" i="32"/>
  <c r="R9" i="32"/>
  <c r="Q9" i="32"/>
  <c r="K9" i="32"/>
  <c r="E9" i="32"/>
  <c r="Q8" i="32"/>
  <c r="R8" i="32" s="1"/>
  <c r="S8" i="32" s="1"/>
  <c r="K8" i="32"/>
  <c r="E8" i="32"/>
  <c r="R7" i="32"/>
  <c r="S7" i="32" s="1"/>
  <c r="Q7" i="32"/>
  <c r="K7" i="32"/>
  <c r="E7" i="32"/>
  <c r="Q6" i="32"/>
  <c r="R6" i="32" s="1"/>
  <c r="S6" i="32" s="1"/>
  <c r="K6" i="32"/>
  <c r="E6" i="32"/>
  <c r="S5" i="32"/>
  <c r="R5" i="32"/>
  <c r="Q5" i="32"/>
  <c r="K5" i="32"/>
  <c r="E5" i="32"/>
  <c r="Q4" i="32"/>
  <c r="R4" i="32" s="1"/>
  <c r="S4" i="32" s="1"/>
  <c r="K4" i="32"/>
  <c r="E4" i="32"/>
  <c r="R3" i="32"/>
  <c r="S3" i="32" s="1"/>
  <c r="Q3" i="32"/>
  <c r="K3" i="32"/>
  <c r="E3" i="32"/>
  <c r="J25" i="31"/>
  <c r="H25" i="31"/>
  <c r="K25" i="31" s="1"/>
  <c r="F25" i="31"/>
  <c r="K24" i="31"/>
  <c r="J24" i="31"/>
  <c r="H24" i="31"/>
  <c r="F24" i="31"/>
  <c r="K23" i="31"/>
  <c r="J23" i="31"/>
  <c r="H23" i="31"/>
  <c r="F23" i="31"/>
  <c r="L23" i="31" s="1"/>
  <c r="K22" i="31"/>
  <c r="J22" i="31"/>
  <c r="H22" i="31"/>
  <c r="F22" i="31"/>
  <c r="L22" i="31" s="1"/>
  <c r="K21" i="31"/>
  <c r="J21" i="31"/>
  <c r="H21" i="31"/>
  <c r="F21" i="31"/>
  <c r="L21" i="31" s="1"/>
  <c r="K20" i="31"/>
  <c r="J20" i="31"/>
  <c r="H20" i="31"/>
  <c r="F20" i="31"/>
  <c r="L20" i="31" s="1"/>
  <c r="K19" i="31"/>
  <c r="J19" i="31"/>
  <c r="L19" i="31" s="1"/>
  <c r="F19" i="31"/>
  <c r="K18" i="31"/>
  <c r="J18" i="31"/>
  <c r="H18" i="31"/>
  <c r="F18" i="31"/>
  <c r="L18" i="31" s="1"/>
  <c r="L17" i="31"/>
  <c r="K17" i="31"/>
  <c r="J17" i="31"/>
  <c r="H17" i="31"/>
  <c r="F17" i="31"/>
  <c r="K16" i="31"/>
  <c r="J16" i="31"/>
  <c r="H16" i="31"/>
  <c r="F16" i="31"/>
  <c r="L16" i="31" s="1"/>
  <c r="L15" i="31"/>
  <c r="K15" i="31"/>
  <c r="J15" i="31"/>
  <c r="H15" i="31"/>
  <c r="F15" i="31"/>
  <c r="K14" i="31"/>
  <c r="J14" i="31"/>
  <c r="H14" i="31"/>
  <c r="F14" i="31"/>
  <c r="L14" i="31" s="1"/>
  <c r="L13" i="31"/>
  <c r="K13" i="31"/>
  <c r="J13" i="31"/>
  <c r="H13" i="31"/>
  <c r="F13" i="31"/>
  <c r="K12" i="31"/>
  <c r="J12" i="31"/>
  <c r="H12" i="31"/>
  <c r="F12" i="31"/>
  <c r="L12" i="31" s="1"/>
  <c r="L11" i="31"/>
  <c r="K11" i="31"/>
  <c r="J11" i="31"/>
  <c r="H11" i="31"/>
  <c r="F11" i="31"/>
  <c r="K10" i="31"/>
  <c r="J10" i="31"/>
  <c r="H10" i="31"/>
  <c r="F10" i="31"/>
  <c r="L10" i="31" s="1"/>
  <c r="L9" i="31"/>
  <c r="K9" i="31"/>
  <c r="J9" i="31"/>
  <c r="H9" i="31"/>
  <c r="F9" i="31"/>
  <c r="K8" i="31"/>
  <c r="J8" i="31"/>
  <c r="H8" i="31"/>
  <c r="F8" i="31"/>
  <c r="L8" i="31" s="1"/>
  <c r="K7" i="31"/>
  <c r="J7" i="31"/>
  <c r="L7" i="31" s="1"/>
  <c r="H7" i="31"/>
  <c r="F7" i="31"/>
  <c r="K6" i="31"/>
  <c r="J6" i="31"/>
  <c r="H6" i="31"/>
  <c r="F6" i="31"/>
  <c r="L6" i="31" s="1"/>
  <c r="L5" i="31"/>
  <c r="K5" i="31"/>
  <c r="J5" i="31"/>
  <c r="H5" i="31"/>
  <c r="F5" i="31"/>
  <c r="J4" i="31"/>
  <c r="H4" i="31"/>
  <c r="F4" i="31"/>
  <c r="K51" i="30"/>
  <c r="K50" i="30"/>
  <c r="C50" i="30"/>
  <c r="K49" i="30"/>
  <c r="C49" i="30"/>
  <c r="L25" i="30"/>
  <c r="K25" i="30"/>
  <c r="J25" i="30"/>
  <c r="H25" i="30"/>
  <c r="F25" i="30"/>
  <c r="K24" i="30"/>
  <c r="J24" i="30"/>
  <c r="H24" i="30"/>
  <c r="F24" i="30"/>
  <c r="L24" i="30" s="1"/>
  <c r="K23" i="30"/>
  <c r="J23" i="30"/>
  <c r="H23" i="30"/>
  <c r="L23" i="30" s="1"/>
  <c r="F23" i="30"/>
  <c r="L22" i="30"/>
  <c r="K22" i="30"/>
  <c r="J22" i="30"/>
  <c r="H22" i="30"/>
  <c r="F22" i="30"/>
  <c r="L21" i="30"/>
  <c r="K21" i="30"/>
  <c r="J21" i="30"/>
  <c r="H21" i="30"/>
  <c r="F21" i="30"/>
  <c r="K20" i="30"/>
  <c r="J20" i="30"/>
  <c r="H20" i="30"/>
  <c r="F20" i="30"/>
  <c r="L19" i="30"/>
  <c r="K19" i="30"/>
  <c r="J19" i="30"/>
  <c r="H19" i="30"/>
  <c r="F19" i="30"/>
  <c r="L18" i="30"/>
  <c r="K18" i="30"/>
  <c r="J18" i="30"/>
  <c r="H18" i="30"/>
  <c r="F18" i="30"/>
  <c r="K17" i="30"/>
  <c r="J17" i="30"/>
  <c r="L17" i="30" s="1"/>
  <c r="H17" i="30"/>
  <c r="F17" i="30"/>
  <c r="K16" i="30"/>
  <c r="J16" i="30"/>
  <c r="H16" i="30"/>
  <c r="F16" i="30"/>
  <c r="L16" i="30" s="1"/>
  <c r="K15" i="30"/>
  <c r="J15" i="30"/>
  <c r="H15" i="30"/>
  <c r="L15" i="30" s="1"/>
  <c r="F15" i="30"/>
  <c r="K14" i="30"/>
  <c r="J14" i="30"/>
  <c r="H14" i="30"/>
  <c r="F14" i="30"/>
  <c r="K13" i="30"/>
  <c r="J13" i="30"/>
  <c r="H13" i="30"/>
  <c r="F13" i="30"/>
  <c r="L13" i="30" s="1"/>
  <c r="K12" i="30"/>
  <c r="J12" i="30"/>
  <c r="H12" i="30"/>
  <c r="F12" i="30"/>
  <c r="L12" i="30" s="1"/>
  <c r="L11" i="30"/>
  <c r="K11" i="30"/>
  <c r="J11" i="30"/>
  <c r="H11" i="30"/>
  <c r="F11" i="30"/>
  <c r="K10" i="30"/>
  <c r="J10" i="30"/>
  <c r="H10" i="30"/>
  <c r="F10" i="30"/>
  <c r="L10" i="30" s="1"/>
  <c r="K9" i="30"/>
  <c r="J9" i="30"/>
  <c r="H9" i="30"/>
  <c r="F9" i="30"/>
  <c r="K8" i="30"/>
  <c r="J8" i="30"/>
  <c r="H8" i="30"/>
  <c r="F8" i="30"/>
  <c r="K7" i="30"/>
  <c r="J7" i="30"/>
  <c r="H7" i="30"/>
  <c r="L7" i="30" s="1"/>
  <c r="F7" i="30"/>
  <c r="K6" i="30"/>
  <c r="J6" i="30"/>
  <c r="L6" i="30" s="1"/>
  <c r="H6" i="30"/>
  <c r="F6" i="30"/>
  <c r="K5" i="30"/>
  <c r="J5" i="30"/>
  <c r="H5" i="30"/>
  <c r="F5" i="30"/>
  <c r="J4" i="30"/>
  <c r="H4" i="30"/>
  <c r="F4" i="30"/>
  <c r="L26" i="29"/>
  <c r="K26" i="29"/>
  <c r="L25" i="29"/>
  <c r="K25" i="29"/>
  <c r="D25" i="29" s="1"/>
  <c r="L24" i="29"/>
  <c r="K24" i="29"/>
  <c r="D24" i="29"/>
  <c r="L23" i="29"/>
  <c r="K23" i="29"/>
  <c r="D23" i="29"/>
  <c r="L22" i="29"/>
  <c r="K22" i="29"/>
  <c r="D22" i="29"/>
  <c r="L21" i="29"/>
  <c r="K21" i="29"/>
  <c r="D21" i="29"/>
  <c r="L20" i="29"/>
  <c r="K20" i="29"/>
  <c r="D20" i="29"/>
  <c r="L19" i="29"/>
  <c r="K19" i="29"/>
  <c r="D19" i="29"/>
  <c r="L18" i="29"/>
  <c r="K18" i="29"/>
  <c r="D18" i="29"/>
  <c r="L17" i="29"/>
  <c r="K17" i="29"/>
  <c r="D17" i="29"/>
  <c r="L16" i="29"/>
  <c r="K16" i="29"/>
  <c r="D16" i="29" s="1"/>
  <c r="L15" i="29"/>
  <c r="K15" i="29"/>
  <c r="D15" i="29" s="1"/>
  <c r="L14" i="29"/>
  <c r="K14" i="29"/>
  <c r="D14" i="29" s="1"/>
  <c r="L13" i="29"/>
  <c r="K13" i="29"/>
  <c r="D13" i="29"/>
  <c r="L12" i="29"/>
  <c r="K12" i="29"/>
  <c r="D12" i="29"/>
  <c r="L11" i="29"/>
  <c r="K11" i="29"/>
  <c r="D11" i="29" s="1"/>
  <c r="L10" i="29"/>
  <c r="K10" i="29"/>
  <c r="D10" i="29" s="1"/>
  <c r="L9" i="29"/>
  <c r="K9" i="29"/>
  <c r="D9" i="29" s="1"/>
  <c r="L8" i="29"/>
  <c r="K8" i="29"/>
  <c r="D8" i="29" s="1"/>
  <c r="L7" i="29"/>
  <c r="K7" i="29"/>
  <c r="D7" i="29"/>
  <c r="L6" i="29"/>
  <c r="K6" i="29"/>
  <c r="D6" i="29" s="1"/>
  <c r="L5" i="29"/>
  <c r="R71" i="28"/>
  <c r="Q71" i="28"/>
  <c r="K71" i="28"/>
  <c r="E71" i="28"/>
  <c r="Q70" i="28"/>
  <c r="R70" i="28" s="1"/>
  <c r="K70" i="28"/>
  <c r="E70" i="28"/>
  <c r="Q69" i="28"/>
  <c r="R69" i="28" s="1"/>
  <c r="K69" i="28"/>
  <c r="E69" i="28"/>
  <c r="R68" i="28"/>
  <c r="Q68" i="28"/>
  <c r="K68" i="28"/>
  <c r="E68" i="28"/>
  <c r="R67" i="28"/>
  <c r="Q67" i="28"/>
  <c r="K67" i="28"/>
  <c r="E67" i="28"/>
  <c r="R66" i="28"/>
  <c r="Q66" i="28"/>
  <c r="K66" i="28"/>
  <c r="E66" i="28"/>
  <c r="Q65" i="28"/>
  <c r="R65" i="28" s="1"/>
  <c r="K65" i="28"/>
  <c r="E65" i="28"/>
  <c r="Q64" i="28"/>
  <c r="R64" i="28" s="1"/>
  <c r="K64" i="28"/>
  <c r="E64" i="28"/>
  <c r="R63" i="28"/>
  <c r="Q63" i="28"/>
  <c r="K63" i="28"/>
  <c r="E63" i="28"/>
  <c r="Q62" i="28"/>
  <c r="R62" i="28" s="1"/>
  <c r="K62" i="28"/>
  <c r="E62" i="28"/>
  <c r="R61" i="28"/>
  <c r="Q61" i="28"/>
  <c r="K61" i="28"/>
  <c r="E61" i="28"/>
  <c r="Q60" i="28"/>
  <c r="R60" i="28" s="1"/>
  <c r="K60" i="28"/>
  <c r="E60" i="28"/>
  <c r="Q59" i="28"/>
  <c r="R59" i="28" s="1"/>
  <c r="K59" i="28"/>
  <c r="E59" i="28"/>
  <c r="R58" i="28"/>
  <c r="Q58" i="28"/>
  <c r="K58" i="28"/>
  <c r="E58" i="28"/>
  <c r="Q57" i="28"/>
  <c r="R57" i="28" s="1"/>
  <c r="K57" i="28"/>
  <c r="E57" i="28"/>
  <c r="R56" i="28"/>
  <c r="Q56" i="28"/>
  <c r="K56" i="28"/>
  <c r="E56" i="28"/>
  <c r="Q55" i="28"/>
  <c r="R55" i="28" s="1"/>
  <c r="K55" i="28"/>
  <c r="E55" i="28"/>
  <c r="Q54" i="28"/>
  <c r="R54" i="28" s="1"/>
  <c r="K54" i="28"/>
  <c r="E54" i="28"/>
  <c r="R53" i="28"/>
  <c r="Q53" i="28"/>
  <c r="K53" i="28"/>
  <c r="E53" i="28"/>
  <c r="R52" i="28"/>
  <c r="Q52" i="28"/>
  <c r="K52" i="28"/>
  <c r="E52" i="28"/>
  <c r="R51" i="28"/>
  <c r="Q51" i="28"/>
  <c r="K51" i="28"/>
  <c r="E51" i="28"/>
  <c r="A49" i="28"/>
  <c r="Q47" i="28"/>
  <c r="R47" i="28" s="1"/>
  <c r="S47" i="28" s="1"/>
  <c r="K47" i="28"/>
  <c r="E47" i="28"/>
  <c r="Q46" i="28"/>
  <c r="R46" i="28" s="1"/>
  <c r="K46" i="28"/>
  <c r="E46" i="28"/>
  <c r="R45" i="28"/>
  <c r="S45" i="28" s="1"/>
  <c r="Q45" i="28"/>
  <c r="K45" i="28"/>
  <c r="E45" i="28"/>
  <c r="S44" i="28"/>
  <c r="Q44" i="28"/>
  <c r="R44" i="28" s="1"/>
  <c r="K44" i="28"/>
  <c r="E44" i="28"/>
  <c r="R43" i="28"/>
  <c r="Q43" i="28"/>
  <c r="K43" i="28"/>
  <c r="E43" i="28"/>
  <c r="Q42" i="28"/>
  <c r="R42" i="28" s="1"/>
  <c r="K42" i="28"/>
  <c r="E42" i="28"/>
  <c r="R41" i="28"/>
  <c r="Q41" i="28"/>
  <c r="K41" i="28"/>
  <c r="E41" i="28"/>
  <c r="R40" i="28"/>
  <c r="Q40" i="28"/>
  <c r="K40" i="28"/>
  <c r="E40" i="28"/>
  <c r="Q39" i="28"/>
  <c r="R39" i="28" s="1"/>
  <c r="K39" i="28"/>
  <c r="E39" i="28"/>
  <c r="R38" i="28"/>
  <c r="S38" i="28" s="1"/>
  <c r="Q38" i="28"/>
  <c r="K38" i="28"/>
  <c r="E38" i="28"/>
  <c r="Q37" i="28"/>
  <c r="R37" i="28" s="1"/>
  <c r="S37" i="28" s="1"/>
  <c r="K37" i="28"/>
  <c r="E37" i="28"/>
  <c r="R36" i="28"/>
  <c r="S36" i="28" s="1"/>
  <c r="Q36" i="28"/>
  <c r="K36" i="28"/>
  <c r="E36" i="28"/>
  <c r="S35" i="28"/>
  <c r="Q35" i="28"/>
  <c r="R35" i="28" s="1"/>
  <c r="K35" i="28"/>
  <c r="E35" i="28"/>
  <c r="Q34" i="28"/>
  <c r="R34" i="28" s="1"/>
  <c r="S34" i="28" s="1"/>
  <c r="K34" i="28"/>
  <c r="E34" i="28"/>
  <c r="Q33" i="28"/>
  <c r="R33" i="28" s="1"/>
  <c r="S33" i="28" s="1"/>
  <c r="K33" i="28"/>
  <c r="E33" i="28"/>
  <c r="Q32" i="28"/>
  <c r="R32" i="28" s="1"/>
  <c r="S32" i="28" s="1"/>
  <c r="K32" i="28"/>
  <c r="E32" i="28"/>
  <c r="Q31" i="28"/>
  <c r="R31" i="28" s="1"/>
  <c r="S31" i="28" s="1"/>
  <c r="K31" i="28"/>
  <c r="E31" i="28"/>
  <c r="S30" i="28"/>
  <c r="R30" i="28"/>
  <c r="Q30" i="28"/>
  <c r="K30" i="28"/>
  <c r="E30" i="28"/>
  <c r="Q29" i="28"/>
  <c r="R29" i="28" s="1"/>
  <c r="S29" i="28" s="1"/>
  <c r="K29" i="28"/>
  <c r="E29" i="28"/>
  <c r="S28" i="28"/>
  <c r="Q28" i="28"/>
  <c r="R28" i="28" s="1"/>
  <c r="K28" i="28"/>
  <c r="E28" i="28"/>
  <c r="Q27" i="28"/>
  <c r="R27" i="28" s="1"/>
  <c r="S27" i="28" s="1"/>
  <c r="K27" i="28"/>
  <c r="E27" i="28"/>
  <c r="K26" i="28"/>
  <c r="K50" i="28" s="1"/>
  <c r="A25" i="28"/>
  <c r="R23" i="28"/>
  <c r="Q23" i="28"/>
  <c r="K23" i="28"/>
  <c r="E23" i="28"/>
  <c r="R22" i="28"/>
  <c r="Q22" i="28"/>
  <c r="K22" i="28"/>
  <c r="E22" i="28"/>
  <c r="R21" i="28"/>
  <c r="Q21" i="28"/>
  <c r="K21" i="28"/>
  <c r="E21" i="28"/>
  <c r="R20" i="28"/>
  <c r="Q20" i="28"/>
  <c r="K20" i="28"/>
  <c r="E20" i="28"/>
  <c r="Q19" i="28"/>
  <c r="R19" i="28" s="1"/>
  <c r="S19" i="28" s="1"/>
  <c r="K19" i="28"/>
  <c r="E19" i="28"/>
  <c r="Q18" i="28"/>
  <c r="R18" i="28" s="1"/>
  <c r="S18" i="28" s="1"/>
  <c r="K18" i="28"/>
  <c r="E18" i="28"/>
  <c r="Q17" i="28"/>
  <c r="R17" i="28" s="1"/>
  <c r="S17" i="28" s="1"/>
  <c r="K17" i="28"/>
  <c r="E17" i="28"/>
  <c r="Q16" i="28"/>
  <c r="R16" i="28" s="1"/>
  <c r="S16" i="28" s="1"/>
  <c r="K16" i="28"/>
  <c r="E16" i="28"/>
  <c r="Q15" i="28"/>
  <c r="R15" i="28" s="1"/>
  <c r="S15" i="28" s="1"/>
  <c r="K15" i="28"/>
  <c r="E15" i="28"/>
  <c r="R14" i="28"/>
  <c r="S14" i="28" s="1"/>
  <c r="Q14" i="28"/>
  <c r="K14" i="28"/>
  <c r="E14" i="28"/>
  <c r="Q13" i="28"/>
  <c r="R13" i="28" s="1"/>
  <c r="S13" i="28" s="1"/>
  <c r="K13" i="28"/>
  <c r="E13" i="28"/>
  <c r="R12" i="28"/>
  <c r="S12" i="28" s="1"/>
  <c r="Q12" i="28"/>
  <c r="K12" i="28"/>
  <c r="E12" i="28"/>
  <c r="Q11" i="28"/>
  <c r="R11" i="28" s="1"/>
  <c r="S11" i="28" s="1"/>
  <c r="K11" i="28"/>
  <c r="E11" i="28"/>
  <c r="Q10" i="28"/>
  <c r="R10" i="28" s="1"/>
  <c r="S10" i="28" s="1"/>
  <c r="K10" i="28"/>
  <c r="E10" i="28"/>
  <c r="Q9" i="28"/>
  <c r="R9" i="28" s="1"/>
  <c r="S9" i="28" s="1"/>
  <c r="K9" i="28"/>
  <c r="E9" i="28"/>
  <c r="R8" i="28"/>
  <c r="S8" i="28" s="1"/>
  <c r="Q8" i="28"/>
  <c r="K8" i="28"/>
  <c r="E8" i="28"/>
  <c r="R7" i="28"/>
  <c r="S7" i="28" s="1"/>
  <c r="Q7" i="28"/>
  <c r="K7" i="28"/>
  <c r="E7" i="28"/>
  <c r="Q6" i="28"/>
  <c r="R6" i="28" s="1"/>
  <c r="S6" i="28" s="1"/>
  <c r="K6" i="28"/>
  <c r="E6" i="28"/>
  <c r="S5" i="28"/>
  <c r="Q5" i="28"/>
  <c r="R5" i="28" s="1"/>
  <c r="K5" i="28"/>
  <c r="E5" i="28"/>
  <c r="R4" i="28"/>
  <c r="S4" i="28" s="1"/>
  <c r="Q4" i="28"/>
  <c r="K4" i="28"/>
  <c r="E4" i="28"/>
  <c r="Q3" i="28"/>
  <c r="R3" i="28" s="1"/>
  <c r="S3" i="28" s="1"/>
  <c r="K3" i="28"/>
  <c r="E3" i="28"/>
  <c r="L25" i="27"/>
  <c r="K25" i="27"/>
  <c r="J25" i="27"/>
  <c r="H25" i="27"/>
  <c r="F25" i="27"/>
  <c r="K24" i="27"/>
  <c r="J24" i="27"/>
  <c r="L24" i="27" s="1"/>
  <c r="H24" i="27"/>
  <c r="F24" i="27"/>
  <c r="K23" i="27"/>
  <c r="J23" i="27"/>
  <c r="H23" i="27"/>
  <c r="F23" i="27"/>
  <c r="L23" i="27" s="1"/>
  <c r="K22" i="27"/>
  <c r="J22" i="27"/>
  <c r="H22" i="27"/>
  <c r="F22" i="27"/>
  <c r="L22" i="27" s="1"/>
  <c r="L21" i="27"/>
  <c r="K21" i="27"/>
  <c r="J21" i="27"/>
  <c r="H21" i="27"/>
  <c r="F21" i="27"/>
  <c r="K20" i="27"/>
  <c r="J20" i="27"/>
  <c r="H20" i="27"/>
  <c r="L20" i="27" s="1"/>
  <c r="F20" i="27"/>
  <c r="K19" i="27"/>
  <c r="J19" i="27"/>
  <c r="H19" i="27"/>
  <c r="F19" i="27"/>
  <c r="L19" i="27" s="1"/>
  <c r="K18" i="27"/>
  <c r="J18" i="27"/>
  <c r="H18" i="27"/>
  <c r="F18" i="27"/>
  <c r="L18" i="27" s="1"/>
  <c r="K17" i="27"/>
  <c r="J17" i="27"/>
  <c r="H17" i="27"/>
  <c r="L17" i="27" s="1"/>
  <c r="F17" i="27"/>
  <c r="L16" i="27"/>
  <c r="K16" i="27"/>
  <c r="J16" i="27"/>
  <c r="H16" i="27"/>
  <c r="F16" i="27"/>
  <c r="K15" i="27"/>
  <c r="J15" i="27"/>
  <c r="H15" i="27"/>
  <c r="F15" i="27"/>
  <c r="L15" i="27" s="1"/>
  <c r="K14" i="27"/>
  <c r="J14" i="27"/>
  <c r="H14" i="27"/>
  <c r="F14" i="27"/>
  <c r="L14" i="27" s="1"/>
  <c r="K13" i="27"/>
  <c r="J13" i="27"/>
  <c r="H13" i="27"/>
  <c r="F13" i="27"/>
  <c r="L13" i="27" s="1"/>
  <c r="K12" i="27"/>
  <c r="J12" i="27"/>
  <c r="H12" i="27"/>
  <c r="F12" i="27"/>
  <c r="L11" i="27"/>
  <c r="K11" i="27"/>
  <c r="J11" i="27"/>
  <c r="H11" i="27"/>
  <c r="F11" i="27"/>
  <c r="K10" i="27"/>
  <c r="J10" i="27"/>
  <c r="H10" i="27"/>
  <c r="F10" i="27"/>
  <c r="K9" i="27"/>
  <c r="J9" i="27"/>
  <c r="H9" i="27"/>
  <c r="F9" i="27"/>
  <c r="L9" i="27" s="1"/>
  <c r="K8" i="27"/>
  <c r="J8" i="27"/>
  <c r="H8" i="27"/>
  <c r="F8" i="27"/>
  <c r="L7" i="27"/>
  <c r="K7" i="27"/>
  <c r="J7" i="27"/>
  <c r="H7" i="27"/>
  <c r="F7" i="27"/>
  <c r="K6" i="27"/>
  <c r="J6" i="27"/>
  <c r="H6" i="27"/>
  <c r="F6" i="27"/>
  <c r="K5" i="27"/>
  <c r="J5" i="27"/>
  <c r="H5" i="27"/>
  <c r="F5" i="27"/>
  <c r="J4" i="27"/>
  <c r="H4" i="27"/>
  <c r="F4" i="27"/>
  <c r="K51" i="26"/>
  <c r="K50" i="26"/>
  <c r="C50" i="26"/>
  <c r="K49" i="26"/>
  <c r="C49" i="26"/>
  <c r="L34" i="26"/>
  <c r="T33" i="26"/>
  <c r="J32" i="26"/>
  <c r="K25" i="26"/>
  <c r="J25" i="26"/>
  <c r="H25" i="26"/>
  <c r="F25" i="26"/>
  <c r="L25" i="26" s="1"/>
  <c r="K24" i="26"/>
  <c r="J24" i="26"/>
  <c r="L24" i="26" s="1"/>
  <c r="H24" i="26"/>
  <c r="F24" i="26"/>
  <c r="K23" i="26"/>
  <c r="J23" i="26"/>
  <c r="H23" i="26"/>
  <c r="F23" i="26"/>
  <c r="L23" i="26" s="1"/>
  <c r="K22" i="26"/>
  <c r="J22" i="26"/>
  <c r="H22" i="26"/>
  <c r="F22" i="26"/>
  <c r="L22" i="26" s="1"/>
  <c r="K21" i="26"/>
  <c r="J21" i="26"/>
  <c r="H21" i="26"/>
  <c r="L21" i="26" s="1"/>
  <c r="F21" i="26"/>
  <c r="K20" i="26"/>
  <c r="J20" i="26"/>
  <c r="H20" i="26"/>
  <c r="F20" i="26"/>
  <c r="L20" i="26" s="1"/>
  <c r="K19" i="26"/>
  <c r="J19" i="26"/>
  <c r="H19" i="26"/>
  <c r="F19" i="26"/>
  <c r="L19" i="26" s="1"/>
  <c r="K18" i="26"/>
  <c r="J18" i="26"/>
  <c r="H18" i="26"/>
  <c r="F18" i="26"/>
  <c r="L18" i="26" s="1"/>
  <c r="L17" i="26"/>
  <c r="K17" i="26"/>
  <c r="J17" i="26"/>
  <c r="H17" i="26"/>
  <c r="F17" i="26"/>
  <c r="K16" i="26"/>
  <c r="J16" i="26"/>
  <c r="H16" i="26"/>
  <c r="F16" i="26"/>
  <c r="L16" i="26" s="1"/>
  <c r="K15" i="26"/>
  <c r="J15" i="26"/>
  <c r="H15" i="26"/>
  <c r="F15" i="26"/>
  <c r="L15" i="26" s="1"/>
  <c r="K14" i="26"/>
  <c r="J14" i="26"/>
  <c r="H14" i="26"/>
  <c r="F14" i="26"/>
  <c r="K13" i="26"/>
  <c r="J13" i="26"/>
  <c r="L51" i="26" s="1"/>
  <c r="H13" i="26"/>
  <c r="F13" i="26"/>
  <c r="K12" i="26"/>
  <c r="J12" i="26"/>
  <c r="L12" i="26" s="1"/>
  <c r="H12" i="26"/>
  <c r="F12" i="26"/>
  <c r="K11" i="26"/>
  <c r="J11" i="26"/>
  <c r="H11" i="26"/>
  <c r="F11" i="26"/>
  <c r="L11" i="26" s="1"/>
  <c r="K10" i="26"/>
  <c r="J10" i="26"/>
  <c r="H10" i="26"/>
  <c r="F10" i="26"/>
  <c r="L10" i="26" s="1"/>
  <c r="K9" i="26"/>
  <c r="J9" i="26"/>
  <c r="H9" i="26"/>
  <c r="L9" i="26" s="1"/>
  <c r="F9" i="26"/>
  <c r="L8" i="26"/>
  <c r="K8" i="26"/>
  <c r="J8" i="26"/>
  <c r="H8" i="26"/>
  <c r="F8" i="26"/>
  <c r="K7" i="26"/>
  <c r="J7" i="26"/>
  <c r="H7" i="26"/>
  <c r="F7" i="26"/>
  <c r="L7" i="26" s="1"/>
  <c r="K6" i="26"/>
  <c r="J6" i="26"/>
  <c r="H6" i="26"/>
  <c r="F6" i="26"/>
  <c r="L5" i="26"/>
  <c r="K5" i="26"/>
  <c r="J5" i="26"/>
  <c r="H5" i="26"/>
  <c r="F5" i="26"/>
  <c r="J4" i="26"/>
  <c r="H4" i="26"/>
  <c r="F4" i="26"/>
  <c r="L26" i="25"/>
  <c r="K26" i="25"/>
  <c r="L25" i="25"/>
  <c r="K25" i="25"/>
  <c r="D25" i="25"/>
  <c r="L24" i="25"/>
  <c r="K24" i="25"/>
  <c r="D24" i="25" s="1"/>
  <c r="L23" i="25"/>
  <c r="K23" i="25"/>
  <c r="D23" i="25"/>
  <c r="L22" i="25"/>
  <c r="K22" i="25"/>
  <c r="D22" i="25" s="1"/>
  <c r="L21" i="25"/>
  <c r="K21" i="25"/>
  <c r="D21" i="25" s="1"/>
  <c r="L20" i="25"/>
  <c r="K20" i="25"/>
  <c r="D20" i="25"/>
  <c r="L19" i="25"/>
  <c r="K19" i="25"/>
  <c r="D19" i="25" s="1"/>
  <c r="L18" i="25"/>
  <c r="K18" i="25"/>
  <c r="D18" i="25"/>
  <c r="L17" i="25"/>
  <c r="K17" i="25"/>
  <c r="D17" i="25" s="1"/>
  <c r="L16" i="25"/>
  <c r="K16" i="25"/>
  <c r="D16" i="25"/>
  <c r="L15" i="25"/>
  <c r="K15" i="25"/>
  <c r="D15" i="25"/>
  <c r="L14" i="25"/>
  <c r="K14" i="25"/>
  <c r="D14" i="25" s="1"/>
  <c r="L13" i="25"/>
  <c r="K13" i="25"/>
  <c r="D13" i="25" s="1"/>
  <c r="L12" i="25"/>
  <c r="K12" i="25"/>
  <c r="D12" i="25"/>
  <c r="L11" i="25"/>
  <c r="K11" i="25"/>
  <c r="D11" i="25"/>
  <c r="L10" i="25"/>
  <c r="K10" i="25"/>
  <c r="D10" i="25" s="1"/>
  <c r="L9" i="25"/>
  <c r="K9" i="25"/>
  <c r="D9" i="25"/>
  <c r="L8" i="25"/>
  <c r="K8" i="25"/>
  <c r="D8" i="25"/>
  <c r="L7" i="25"/>
  <c r="K7" i="25"/>
  <c r="D7" i="25" s="1"/>
  <c r="L6" i="25"/>
  <c r="K6" i="25"/>
  <c r="D6" i="25"/>
  <c r="L5" i="25"/>
  <c r="R71" i="24"/>
  <c r="Q71" i="24"/>
  <c r="K71" i="24"/>
  <c r="E71" i="24"/>
  <c r="K70" i="24"/>
  <c r="E70" i="24"/>
  <c r="Q69" i="24"/>
  <c r="R69" i="24" s="1"/>
  <c r="K69" i="24"/>
  <c r="E69" i="24"/>
  <c r="Q68" i="24"/>
  <c r="R68" i="24" s="1"/>
  <c r="K68" i="24"/>
  <c r="E68" i="24"/>
  <c r="Q67" i="24"/>
  <c r="R67" i="24" s="1"/>
  <c r="K67" i="24"/>
  <c r="E67" i="24"/>
  <c r="Q66" i="24"/>
  <c r="R66" i="24" s="1"/>
  <c r="K66" i="24"/>
  <c r="E66" i="24"/>
  <c r="R65" i="24"/>
  <c r="Q65" i="24"/>
  <c r="K65" i="24"/>
  <c r="E65" i="24"/>
  <c r="R64" i="24"/>
  <c r="Q64" i="24"/>
  <c r="K64" i="24"/>
  <c r="E64" i="24"/>
  <c r="Q63" i="24"/>
  <c r="R63" i="24" s="1"/>
  <c r="K63" i="24"/>
  <c r="E63" i="24"/>
  <c r="Q62" i="24"/>
  <c r="R62" i="24" s="1"/>
  <c r="K62" i="24"/>
  <c r="E62" i="24"/>
  <c r="R61" i="24"/>
  <c r="Q61" i="24"/>
  <c r="K61" i="24"/>
  <c r="E61" i="24"/>
  <c r="R60" i="24"/>
  <c r="Q60" i="24"/>
  <c r="K60" i="24"/>
  <c r="E60" i="24"/>
  <c r="Q59" i="24"/>
  <c r="R59" i="24" s="1"/>
  <c r="K59" i="24"/>
  <c r="E59" i="24"/>
  <c r="Q58" i="24"/>
  <c r="R58" i="24" s="1"/>
  <c r="K58" i="24"/>
  <c r="E58" i="24"/>
  <c r="Q57" i="24"/>
  <c r="R57" i="24" s="1"/>
  <c r="K57" i="24"/>
  <c r="E57" i="24"/>
  <c r="Q56" i="24"/>
  <c r="R56" i="24" s="1"/>
  <c r="K56" i="24"/>
  <c r="E56" i="24"/>
  <c r="Q55" i="24"/>
  <c r="R55" i="24" s="1"/>
  <c r="K55" i="24"/>
  <c r="E55" i="24"/>
  <c r="Q54" i="24"/>
  <c r="R54" i="24" s="1"/>
  <c r="K54" i="24"/>
  <c r="E54" i="24"/>
  <c r="Q53" i="24"/>
  <c r="R53" i="24" s="1"/>
  <c r="K53" i="24"/>
  <c r="E53" i="24"/>
  <c r="Q52" i="24"/>
  <c r="R52" i="24" s="1"/>
  <c r="K52" i="24"/>
  <c r="E52" i="24"/>
  <c r="R51" i="24"/>
  <c r="Q51" i="24"/>
  <c r="K51" i="24"/>
  <c r="E51" i="24"/>
  <c r="A49" i="24"/>
  <c r="S47" i="24"/>
  <c r="R47" i="24"/>
  <c r="Q47" i="24"/>
  <c r="K47" i="24"/>
  <c r="E47" i="24"/>
  <c r="U46" i="24"/>
  <c r="Q46" i="24"/>
  <c r="R46" i="24" s="1"/>
  <c r="K46" i="24"/>
  <c r="E46" i="24"/>
  <c r="Q45" i="24"/>
  <c r="R45" i="24" s="1"/>
  <c r="S45" i="24" s="1"/>
  <c r="K45" i="24"/>
  <c r="E45" i="24"/>
  <c r="Q44" i="24"/>
  <c r="R44" i="24" s="1"/>
  <c r="S44" i="24" s="1"/>
  <c r="K44" i="24"/>
  <c r="E44" i="24"/>
  <c r="R43" i="24"/>
  <c r="Q43" i="24"/>
  <c r="K43" i="24"/>
  <c r="E43" i="24"/>
  <c r="Q42" i="24"/>
  <c r="R42" i="24" s="1"/>
  <c r="K42" i="24"/>
  <c r="E42" i="24"/>
  <c r="R41" i="24"/>
  <c r="Q41" i="24"/>
  <c r="K41" i="24"/>
  <c r="E41" i="24"/>
  <c r="R40" i="24"/>
  <c r="Q40" i="24"/>
  <c r="K40" i="24"/>
  <c r="E40" i="24"/>
  <c r="Q39" i="24"/>
  <c r="R39" i="24" s="1"/>
  <c r="K39" i="24"/>
  <c r="E39" i="24"/>
  <c r="R38" i="24"/>
  <c r="S38" i="24" s="1"/>
  <c r="Q38" i="24"/>
  <c r="K38" i="24"/>
  <c r="E38" i="24"/>
  <c r="Q37" i="24"/>
  <c r="R37" i="24" s="1"/>
  <c r="S37" i="24" s="1"/>
  <c r="K37" i="24"/>
  <c r="E37" i="24"/>
  <c r="Q36" i="24"/>
  <c r="R36" i="24" s="1"/>
  <c r="S36" i="24" s="1"/>
  <c r="K36" i="24"/>
  <c r="E36" i="24"/>
  <c r="R35" i="24"/>
  <c r="S35" i="24" s="1"/>
  <c r="Q35" i="24"/>
  <c r="K35" i="24"/>
  <c r="E35" i="24"/>
  <c r="Q34" i="24"/>
  <c r="R34" i="24" s="1"/>
  <c r="S34" i="24" s="1"/>
  <c r="K34" i="24"/>
  <c r="E34" i="24"/>
  <c r="Q33" i="24"/>
  <c r="R33" i="24" s="1"/>
  <c r="S33" i="24" s="1"/>
  <c r="K33" i="24"/>
  <c r="E33" i="24"/>
  <c r="S32" i="24"/>
  <c r="Q32" i="24"/>
  <c r="R32" i="24" s="1"/>
  <c r="K32" i="24"/>
  <c r="E32" i="24"/>
  <c r="Q31" i="24"/>
  <c r="R31" i="24" s="1"/>
  <c r="S31" i="24" s="1"/>
  <c r="K31" i="24"/>
  <c r="E31" i="24"/>
  <c r="R30" i="24"/>
  <c r="S30" i="24" s="1"/>
  <c r="Q30" i="24"/>
  <c r="K30" i="24"/>
  <c r="E30" i="24"/>
  <c r="Q29" i="24"/>
  <c r="R29" i="24" s="1"/>
  <c r="S29" i="24" s="1"/>
  <c r="K29" i="24"/>
  <c r="E29" i="24"/>
  <c r="R28" i="24"/>
  <c r="S28" i="24" s="1"/>
  <c r="Q28" i="24"/>
  <c r="K28" i="24"/>
  <c r="E28" i="24"/>
  <c r="S27" i="24"/>
  <c r="R27" i="24"/>
  <c r="Q27" i="24"/>
  <c r="K27" i="24"/>
  <c r="E27" i="24"/>
  <c r="K26" i="24"/>
  <c r="K50" i="24" s="1"/>
  <c r="A25" i="24"/>
  <c r="K23" i="24"/>
  <c r="E23" i="24"/>
  <c r="R22" i="24"/>
  <c r="Q22" i="24"/>
  <c r="K22" i="24"/>
  <c r="E22" i="24"/>
  <c r="Q21" i="24"/>
  <c r="R21" i="24" s="1"/>
  <c r="K21" i="24"/>
  <c r="E21" i="24"/>
  <c r="R20" i="24"/>
  <c r="Q20" i="24"/>
  <c r="K20" i="24"/>
  <c r="E20" i="24"/>
  <c r="S19" i="24"/>
  <c r="R19" i="24"/>
  <c r="Q19" i="24"/>
  <c r="K19" i="24"/>
  <c r="E19" i="24"/>
  <c r="Q18" i="24"/>
  <c r="R18" i="24" s="1"/>
  <c r="S18" i="24" s="1"/>
  <c r="K18" i="24"/>
  <c r="E18" i="24"/>
  <c r="Q17" i="24"/>
  <c r="R17" i="24" s="1"/>
  <c r="S17" i="24" s="1"/>
  <c r="K17" i="24"/>
  <c r="E17" i="24"/>
  <c r="R16" i="24"/>
  <c r="S16" i="24" s="1"/>
  <c r="Q16" i="24"/>
  <c r="K16" i="24"/>
  <c r="E16" i="24"/>
  <c r="Q15" i="24"/>
  <c r="R15" i="24" s="1"/>
  <c r="S15" i="24" s="1"/>
  <c r="K15" i="24"/>
  <c r="E15" i="24"/>
  <c r="Q14" i="24"/>
  <c r="R14" i="24" s="1"/>
  <c r="S14" i="24" s="1"/>
  <c r="K14" i="24"/>
  <c r="E14" i="24"/>
  <c r="Q13" i="24"/>
  <c r="R13" i="24" s="1"/>
  <c r="S13" i="24" s="1"/>
  <c r="K13" i="24"/>
  <c r="E13" i="24"/>
  <c r="R12" i="24"/>
  <c r="S12" i="24" s="1"/>
  <c r="Q12" i="24"/>
  <c r="K12" i="24"/>
  <c r="E12" i="24"/>
  <c r="R11" i="24"/>
  <c r="S11" i="24" s="1"/>
  <c r="Q11" i="24"/>
  <c r="K11" i="24"/>
  <c r="E11" i="24"/>
  <c r="S10" i="24"/>
  <c r="R10" i="24"/>
  <c r="Q10" i="24"/>
  <c r="K10" i="24"/>
  <c r="E10" i="24"/>
  <c r="Q9" i="24"/>
  <c r="R9" i="24" s="1"/>
  <c r="S9" i="24" s="1"/>
  <c r="K9" i="24"/>
  <c r="E9" i="24"/>
  <c r="R8" i="24"/>
  <c r="S8" i="24" s="1"/>
  <c r="Q8" i="24"/>
  <c r="K8" i="24"/>
  <c r="E8" i="24"/>
  <c r="Q7" i="24"/>
  <c r="R7" i="24" s="1"/>
  <c r="S7" i="24" s="1"/>
  <c r="K7" i="24"/>
  <c r="E7" i="24"/>
  <c r="R6" i="24"/>
  <c r="S6" i="24" s="1"/>
  <c r="Q6" i="24"/>
  <c r="K6" i="24"/>
  <c r="E6" i="24"/>
  <c r="Q5" i="24"/>
  <c r="R5" i="24" s="1"/>
  <c r="S5" i="24" s="1"/>
  <c r="K5" i="24"/>
  <c r="E5" i="24"/>
  <c r="R4" i="24"/>
  <c r="S4" i="24" s="1"/>
  <c r="Q4" i="24"/>
  <c r="K4" i="24"/>
  <c r="E4" i="24"/>
  <c r="R3" i="24"/>
  <c r="S3" i="24" s="1"/>
  <c r="Q3" i="24"/>
  <c r="K3" i="24"/>
  <c r="E3" i="24"/>
  <c r="J25" i="23"/>
  <c r="H25" i="23"/>
  <c r="K25" i="23" s="1"/>
  <c r="F25" i="23"/>
  <c r="K24" i="23"/>
  <c r="J24" i="23"/>
  <c r="H24" i="23"/>
  <c r="F24" i="23"/>
  <c r="L24" i="23" s="1"/>
  <c r="K23" i="23"/>
  <c r="J23" i="23"/>
  <c r="H23" i="23"/>
  <c r="F23" i="23"/>
  <c r="K22" i="23"/>
  <c r="J22" i="23"/>
  <c r="H22" i="23"/>
  <c r="L22" i="23" s="1"/>
  <c r="F22" i="23"/>
  <c r="K21" i="23"/>
  <c r="J21" i="23"/>
  <c r="H21" i="23"/>
  <c r="F21" i="23"/>
  <c r="L21" i="23" s="1"/>
  <c r="K20" i="23"/>
  <c r="J20" i="23"/>
  <c r="H20" i="23"/>
  <c r="F20" i="23"/>
  <c r="L20" i="23" s="1"/>
  <c r="K19" i="23"/>
  <c r="J19" i="23"/>
  <c r="H19" i="23"/>
  <c r="F19" i="23"/>
  <c r="L19" i="23" s="1"/>
  <c r="L18" i="23"/>
  <c r="K18" i="23"/>
  <c r="J18" i="23"/>
  <c r="H18" i="23"/>
  <c r="F18" i="23"/>
  <c r="L17" i="23"/>
  <c r="K17" i="23"/>
  <c r="J17" i="23"/>
  <c r="H17" i="23"/>
  <c r="F17" i="23"/>
  <c r="K16" i="23"/>
  <c r="J16" i="23"/>
  <c r="H16" i="23"/>
  <c r="F16" i="23"/>
  <c r="L16" i="23" s="1"/>
  <c r="K15" i="23"/>
  <c r="J15" i="23"/>
  <c r="H15" i="23"/>
  <c r="F15" i="23"/>
  <c r="K14" i="23"/>
  <c r="J14" i="23"/>
  <c r="H14" i="23"/>
  <c r="F14" i="23"/>
  <c r="K13" i="23"/>
  <c r="J13" i="23"/>
  <c r="H13" i="23"/>
  <c r="L13" i="23" s="1"/>
  <c r="F13" i="23"/>
  <c r="K12" i="23"/>
  <c r="J12" i="23"/>
  <c r="H12" i="23"/>
  <c r="F12" i="23"/>
  <c r="L12" i="23" s="1"/>
  <c r="K11" i="23"/>
  <c r="J11" i="23"/>
  <c r="H11" i="23"/>
  <c r="F11" i="23"/>
  <c r="L11" i="23" s="1"/>
  <c r="K10" i="23"/>
  <c r="J10" i="23"/>
  <c r="H10" i="23"/>
  <c r="L10" i="23" s="1"/>
  <c r="F10" i="23"/>
  <c r="L9" i="23"/>
  <c r="K9" i="23"/>
  <c r="J9" i="23"/>
  <c r="H9" i="23"/>
  <c r="F9" i="23"/>
  <c r="K8" i="23"/>
  <c r="J8" i="23"/>
  <c r="H8" i="23"/>
  <c r="F8" i="23"/>
  <c r="L8" i="23" s="1"/>
  <c r="K7" i="23"/>
  <c r="J7" i="23"/>
  <c r="H7" i="23"/>
  <c r="F7" i="23"/>
  <c r="L6" i="23"/>
  <c r="K6" i="23"/>
  <c r="J6" i="23"/>
  <c r="H6" i="23"/>
  <c r="F6" i="23"/>
  <c r="K5" i="23"/>
  <c r="J5" i="23"/>
  <c r="L5" i="23" s="1"/>
  <c r="H5" i="23"/>
  <c r="F5" i="23"/>
  <c r="J4" i="23"/>
  <c r="H4" i="23"/>
  <c r="F4" i="23"/>
  <c r="K51" i="22"/>
  <c r="K50" i="22"/>
  <c r="C50" i="22"/>
  <c r="K49" i="22"/>
  <c r="C49" i="22"/>
  <c r="K25" i="22"/>
  <c r="J25" i="22"/>
  <c r="L25" i="22" s="1"/>
  <c r="H25" i="22"/>
  <c r="F25" i="22"/>
  <c r="K24" i="22"/>
  <c r="J24" i="22"/>
  <c r="H24" i="22"/>
  <c r="F24" i="22"/>
  <c r="L24" i="22" s="1"/>
  <c r="K23" i="22"/>
  <c r="J23" i="22"/>
  <c r="H23" i="22"/>
  <c r="F23" i="22"/>
  <c r="L23" i="22" s="1"/>
  <c r="K22" i="22"/>
  <c r="J22" i="22"/>
  <c r="H22" i="22"/>
  <c r="L22" i="22" s="1"/>
  <c r="F22" i="22"/>
  <c r="L21" i="22"/>
  <c r="K21" i="22"/>
  <c r="J21" i="22"/>
  <c r="H21" i="22"/>
  <c r="F21" i="22"/>
  <c r="K20" i="22"/>
  <c r="J20" i="22"/>
  <c r="H20" i="22"/>
  <c r="F20" i="22"/>
  <c r="K19" i="22"/>
  <c r="J19" i="22"/>
  <c r="H19" i="22"/>
  <c r="F19" i="22"/>
  <c r="K18" i="22"/>
  <c r="J18" i="22"/>
  <c r="H18" i="22"/>
  <c r="F18" i="22"/>
  <c r="L17" i="22"/>
  <c r="K17" i="22"/>
  <c r="J17" i="22"/>
  <c r="H17" i="22"/>
  <c r="F17" i="22"/>
  <c r="K16" i="22"/>
  <c r="J16" i="22"/>
  <c r="H16" i="22"/>
  <c r="F16" i="22"/>
  <c r="K15" i="22"/>
  <c r="J15" i="22"/>
  <c r="H15" i="22"/>
  <c r="F15" i="22"/>
  <c r="L15" i="22" s="1"/>
  <c r="K14" i="22"/>
  <c r="J14" i="22"/>
  <c r="H14" i="22"/>
  <c r="F14" i="22"/>
  <c r="L14" i="22" s="1"/>
  <c r="L13" i="22"/>
  <c r="K13" i="22"/>
  <c r="J13" i="22"/>
  <c r="H13" i="22"/>
  <c r="F13" i="22"/>
  <c r="K12" i="22"/>
  <c r="J12" i="22"/>
  <c r="H12" i="22"/>
  <c r="F12" i="22"/>
  <c r="L12" i="22" s="1"/>
  <c r="K11" i="22"/>
  <c r="J11" i="22"/>
  <c r="H11" i="22"/>
  <c r="F11" i="22"/>
  <c r="K10" i="22"/>
  <c r="J10" i="22"/>
  <c r="H10" i="22"/>
  <c r="F10" i="22"/>
  <c r="L10" i="22" s="1"/>
  <c r="K9" i="22"/>
  <c r="J9" i="22"/>
  <c r="L9" i="22" s="1"/>
  <c r="H9" i="22"/>
  <c r="F9" i="22"/>
  <c r="K8" i="22"/>
  <c r="J8" i="22"/>
  <c r="H8" i="22"/>
  <c r="F8" i="22"/>
  <c r="K7" i="22"/>
  <c r="J7" i="22"/>
  <c r="H7" i="22"/>
  <c r="F7" i="22"/>
  <c r="L7" i="22" s="1"/>
  <c r="K6" i="22"/>
  <c r="J6" i="22"/>
  <c r="H6" i="22"/>
  <c r="L50" i="22" s="1"/>
  <c r="F6" i="22"/>
  <c r="K5" i="22"/>
  <c r="J5" i="22"/>
  <c r="H5" i="22"/>
  <c r="F5" i="22"/>
  <c r="J4" i="22"/>
  <c r="H4" i="22"/>
  <c r="F4" i="22"/>
  <c r="M26" i="21"/>
  <c r="L26" i="21"/>
  <c r="K26" i="21"/>
  <c r="L25" i="21"/>
  <c r="K25" i="21"/>
  <c r="D25" i="21" s="1"/>
  <c r="L24" i="21"/>
  <c r="K24" i="21"/>
  <c r="M24" i="21" s="1"/>
  <c r="D24" i="21"/>
  <c r="M23" i="21"/>
  <c r="L23" i="21"/>
  <c r="K23" i="21"/>
  <c r="D23" i="21" s="1"/>
  <c r="L22" i="21"/>
  <c r="M22" i="21" s="1"/>
  <c r="K22" i="21"/>
  <c r="D22" i="21"/>
  <c r="L21" i="21"/>
  <c r="M21" i="21" s="1"/>
  <c r="K21" i="21"/>
  <c r="D21" i="21"/>
  <c r="M20" i="21"/>
  <c r="L20" i="21"/>
  <c r="K20" i="21"/>
  <c r="D20" i="21" s="1"/>
  <c r="M19" i="21"/>
  <c r="L19" i="21"/>
  <c r="K19" i="21"/>
  <c r="D19" i="21" s="1"/>
  <c r="L18" i="21"/>
  <c r="K18" i="21"/>
  <c r="L17" i="21"/>
  <c r="M17" i="21" s="1"/>
  <c r="K17" i="21"/>
  <c r="D17" i="21"/>
  <c r="L16" i="21"/>
  <c r="M16" i="21" s="1"/>
  <c r="K16" i="21"/>
  <c r="D16" i="21"/>
  <c r="L15" i="21"/>
  <c r="M15" i="21" s="1"/>
  <c r="K15" i="21"/>
  <c r="D15" i="21"/>
  <c r="M14" i="21"/>
  <c r="L14" i="21"/>
  <c r="K14" i="21"/>
  <c r="D14" i="21"/>
  <c r="M13" i="21"/>
  <c r="L13" i="21"/>
  <c r="K13" i="21"/>
  <c r="D13" i="21" s="1"/>
  <c r="L12" i="21"/>
  <c r="M12" i="21" s="1"/>
  <c r="K12" i="21"/>
  <c r="D12" i="21"/>
  <c r="L11" i="21"/>
  <c r="M11" i="21" s="1"/>
  <c r="K11" i="21"/>
  <c r="D11" i="21"/>
  <c r="L10" i="21"/>
  <c r="M10" i="21" s="1"/>
  <c r="K10" i="21"/>
  <c r="D10" i="21" s="1"/>
  <c r="M9" i="21"/>
  <c r="L9" i="21"/>
  <c r="K9" i="21"/>
  <c r="D9" i="21" s="1"/>
  <c r="L8" i="21"/>
  <c r="K8" i="21"/>
  <c r="L7" i="21"/>
  <c r="M7" i="21" s="1"/>
  <c r="K7" i="21"/>
  <c r="D7" i="21"/>
  <c r="L6" i="21"/>
  <c r="M6" i="21" s="1"/>
  <c r="K6" i="21"/>
  <c r="D6" i="21"/>
  <c r="L5" i="21"/>
  <c r="Q71" i="20"/>
  <c r="R71" i="20" s="1"/>
  <c r="K71" i="20"/>
  <c r="E71" i="20"/>
  <c r="Q70" i="20"/>
  <c r="R70" i="20" s="1"/>
  <c r="K70" i="20"/>
  <c r="E70" i="20"/>
  <c r="Q69" i="20"/>
  <c r="R69" i="20" s="1"/>
  <c r="K69" i="20"/>
  <c r="E69" i="20"/>
  <c r="Q68" i="20"/>
  <c r="R68" i="20" s="1"/>
  <c r="K68" i="20"/>
  <c r="E68" i="20"/>
  <c r="R67" i="20"/>
  <c r="Q67" i="20"/>
  <c r="K67" i="20"/>
  <c r="E67" i="20"/>
  <c r="R66" i="20"/>
  <c r="Q66" i="20"/>
  <c r="K66" i="20"/>
  <c r="E66" i="20"/>
  <c r="Q65" i="20"/>
  <c r="R65" i="20" s="1"/>
  <c r="K65" i="20"/>
  <c r="E65" i="20"/>
  <c r="Q64" i="20"/>
  <c r="R64" i="20" s="1"/>
  <c r="K64" i="20"/>
  <c r="E64" i="20"/>
  <c r="Q63" i="20"/>
  <c r="R63" i="20" s="1"/>
  <c r="K63" i="20"/>
  <c r="E63" i="20"/>
  <c r="R62" i="20"/>
  <c r="Q62" i="20"/>
  <c r="K62" i="20"/>
  <c r="E62" i="20"/>
  <c r="R61" i="20"/>
  <c r="Q61" i="20"/>
  <c r="K61" i="20"/>
  <c r="E61" i="20"/>
  <c r="Q60" i="20"/>
  <c r="R60" i="20" s="1"/>
  <c r="K60" i="20"/>
  <c r="E60" i="20"/>
  <c r="Q59" i="20"/>
  <c r="R59" i="20" s="1"/>
  <c r="K59" i="20"/>
  <c r="E59" i="20"/>
  <c r="Q58" i="20"/>
  <c r="R58" i="20" s="1"/>
  <c r="K58" i="20"/>
  <c r="E58" i="20"/>
  <c r="R57" i="20"/>
  <c r="Q57" i="20"/>
  <c r="K57" i="20"/>
  <c r="E57" i="20"/>
  <c r="R56" i="20"/>
  <c r="Q56" i="20"/>
  <c r="K56" i="20"/>
  <c r="E56" i="20"/>
  <c r="Q55" i="20"/>
  <c r="R55" i="20" s="1"/>
  <c r="K55" i="20"/>
  <c r="E55" i="20"/>
  <c r="Q54" i="20"/>
  <c r="R54" i="20" s="1"/>
  <c r="K54" i="20"/>
  <c r="E54" i="20"/>
  <c r="Q53" i="20"/>
  <c r="R53" i="20" s="1"/>
  <c r="K53" i="20"/>
  <c r="E53" i="20"/>
  <c r="R52" i="20"/>
  <c r="Q52" i="20"/>
  <c r="K52" i="20"/>
  <c r="E52" i="20"/>
  <c r="Q51" i="20"/>
  <c r="R51" i="20" s="1"/>
  <c r="K51" i="20"/>
  <c r="E51" i="20"/>
  <c r="A49" i="20"/>
  <c r="R47" i="20"/>
  <c r="S47" i="20" s="1"/>
  <c r="Q47" i="20"/>
  <c r="K47" i="20"/>
  <c r="E47" i="20"/>
  <c r="Q46" i="20"/>
  <c r="R46" i="20" s="1"/>
  <c r="K46" i="20"/>
  <c r="E46" i="20"/>
  <c r="R45" i="20"/>
  <c r="S45" i="20" s="1"/>
  <c r="Q45" i="20"/>
  <c r="K45" i="20"/>
  <c r="E45" i="20"/>
  <c r="S44" i="20"/>
  <c r="R44" i="20"/>
  <c r="Q44" i="20"/>
  <c r="K44" i="20"/>
  <c r="E44" i="20"/>
  <c r="R43" i="20"/>
  <c r="Q43" i="20"/>
  <c r="K43" i="20"/>
  <c r="E43" i="20"/>
  <c r="R42" i="20"/>
  <c r="Q42" i="20"/>
  <c r="K42" i="20"/>
  <c r="E42" i="20"/>
  <c r="Q41" i="20"/>
  <c r="R41" i="20" s="1"/>
  <c r="K41" i="20"/>
  <c r="E41" i="20"/>
  <c r="R40" i="20"/>
  <c r="Q40" i="20"/>
  <c r="K40" i="20"/>
  <c r="E40" i="20"/>
  <c r="R39" i="20"/>
  <c r="Q39" i="20"/>
  <c r="K39" i="20"/>
  <c r="E39" i="20"/>
  <c r="R38" i="20"/>
  <c r="S38" i="20" s="1"/>
  <c r="Q38" i="20"/>
  <c r="K38" i="20"/>
  <c r="E38" i="20"/>
  <c r="Q37" i="20"/>
  <c r="R37" i="20" s="1"/>
  <c r="S37" i="20" s="1"/>
  <c r="K37" i="20"/>
  <c r="E37" i="20"/>
  <c r="Q36" i="20"/>
  <c r="R36" i="20" s="1"/>
  <c r="S36" i="20" s="1"/>
  <c r="K36" i="20"/>
  <c r="E36" i="20"/>
  <c r="R35" i="20"/>
  <c r="S35" i="20" s="1"/>
  <c r="Q35" i="20"/>
  <c r="K35" i="20"/>
  <c r="E35" i="20"/>
  <c r="Q34" i="20"/>
  <c r="R34" i="20" s="1"/>
  <c r="S34" i="20" s="1"/>
  <c r="K34" i="20"/>
  <c r="E34" i="20"/>
  <c r="Q33" i="20"/>
  <c r="R33" i="20" s="1"/>
  <c r="S33" i="20" s="1"/>
  <c r="K33" i="20"/>
  <c r="E33" i="20"/>
  <c r="R32" i="20"/>
  <c r="S32" i="20" s="1"/>
  <c r="Q32" i="20"/>
  <c r="K32" i="20"/>
  <c r="E32" i="20"/>
  <c r="Q31" i="20"/>
  <c r="R31" i="20" s="1"/>
  <c r="S31" i="20" s="1"/>
  <c r="K31" i="20"/>
  <c r="E31" i="20"/>
  <c r="R30" i="20"/>
  <c r="S30" i="20" s="1"/>
  <c r="Q30" i="20"/>
  <c r="K30" i="20"/>
  <c r="E30" i="20"/>
  <c r="Q29" i="20"/>
  <c r="R29" i="20" s="1"/>
  <c r="S29" i="20" s="1"/>
  <c r="K29" i="20"/>
  <c r="E29" i="20"/>
  <c r="Q28" i="20"/>
  <c r="R28" i="20" s="1"/>
  <c r="S28" i="20" s="1"/>
  <c r="K28" i="20"/>
  <c r="E28" i="20"/>
  <c r="Q27" i="20"/>
  <c r="R27" i="20" s="1"/>
  <c r="S27" i="20" s="1"/>
  <c r="K27" i="20"/>
  <c r="E27" i="20"/>
  <c r="K26" i="20"/>
  <c r="K50" i="20" s="1"/>
  <c r="A25" i="20"/>
  <c r="K23" i="20"/>
  <c r="E23" i="20"/>
  <c r="R22" i="20"/>
  <c r="Q22" i="20"/>
  <c r="K22" i="20"/>
  <c r="E22" i="20"/>
  <c r="Q21" i="20"/>
  <c r="R21" i="20" s="1"/>
  <c r="K21" i="20"/>
  <c r="E21" i="20"/>
  <c r="Q20" i="20"/>
  <c r="R20" i="20" s="1"/>
  <c r="K20" i="20"/>
  <c r="E20" i="20"/>
  <c r="Q19" i="20"/>
  <c r="R19" i="20" s="1"/>
  <c r="S19" i="20" s="1"/>
  <c r="K19" i="20"/>
  <c r="E19" i="20"/>
  <c r="Q18" i="20"/>
  <c r="R18" i="20" s="1"/>
  <c r="S18" i="20" s="1"/>
  <c r="K18" i="20"/>
  <c r="E18" i="20"/>
  <c r="Q17" i="20"/>
  <c r="R17" i="20" s="1"/>
  <c r="S17" i="20" s="1"/>
  <c r="K17" i="20"/>
  <c r="E17" i="20"/>
  <c r="S16" i="20"/>
  <c r="R16" i="20"/>
  <c r="Q16" i="20"/>
  <c r="K16" i="20"/>
  <c r="E16" i="20"/>
  <c r="R15" i="20"/>
  <c r="S15" i="20" s="1"/>
  <c r="Q15" i="20"/>
  <c r="K15" i="20"/>
  <c r="E15" i="20"/>
  <c r="Q14" i="20"/>
  <c r="R14" i="20" s="1"/>
  <c r="S14" i="20" s="1"/>
  <c r="K14" i="20"/>
  <c r="E14" i="20"/>
  <c r="Q13" i="20"/>
  <c r="R13" i="20" s="1"/>
  <c r="S13" i="20" s="1"/>
  <c r="K13" i="20"/>
  <c r="E13" i="20"/>
  <c r="Q12" i="20"/>
  <c r="R12" i="20" s="1"/>
  <c r="S12" i="20" s="1"/>
  <c r="K12" i="20"/>
  <c r="E12" i="20"/>
  <c r="R11" i="20"/>
  <c r="S11" i="20" s="1"/>
  <c r="Q11" i="20"/>
  <c r="K11" i="20"/>
  <c r="E11" i="20"/>
  <c r="Q10" i="20"/>
  <c r="R10" i="20" s="1"/>
  <c r="S10" i="20" s="1"/>
  <c r="K10" i="20"/>
  <c r="E10" i="20"/>
  <c r="Q9" i="20"/>
  <c r="R9" i="20" s="1"/>
  <c r="S9" i="20" s="1"/>
  <c r="K9" i="20"/>
  <c r="E9" i="20"/>
  <c r="S8" i="20"/>
  <c r="R8" i="20"/>
  <c r="Q8" i="20"/>
  <c r="K8" i="20"/>
  <c r="E8" i="20"/>
  <c r="R7" i="20"/>
  <c r="S7" i="20" s="1"/>
  <c r="Q7" i="20"/>
  <c r="K7" i="20"/>
  <c r="E7" i="20"/>
  <c r="S6" i="20"/>
  <c r="R6" i="20"/>
  <c r="Q6" i="20"/>
  <c r="K6" i="20"/>
  <c r="E6" i="20"/>
  <c r="Q5" i="20"/>
  <c r="R5" i="20" s="1"/>
  <c r="S5" i="20" s="1"/>
  <c r="K5" i="20"/>
  <c r="E5" i="20"/>
  <c r="Q4" i="20"/>
  <c r="R4" i="20" s="1"/>
  <c r="S4" i="20" s="1"/>
  <c r="K4" i="20"/>
  <c r="E4" i="20"/>
  <c r="R3" i="20"/>
  <c r="S3" i="20" s="1"/>
  <c r="Q3" i="20"/>
  <c r="K3" i="20"/>
  <c r="E3" i="20"/>
  <c r="J25" i="19"/>
  <c r="H25" i="19"/>
  <c r="F25" i="19"/>
  <c r="K24" i="19"/>
  <c r="J24" i="19"/>
  <c r="H24" i="19"/>
  <c r="F24" i="19"/>
  <c r="L24" i="19" s="1"/>
  <c r="L23" i="19"/>
  <c r="K23" i="19"/>
  <c r="J23" i="19"/>
  <c r="H23" i="19"/>
  <c r="F23" i="19"/>
  <c r="K22" i="19"/>
  <c r="J22" i="19"/>
  <c r="H22" i="19"/>
  <c r="F22" i="19"/>
  <c r="L22" i="19" s="1"/>
  <c r="K21" i="19"/>
  <c r="J21" i="19"/>
  <c r="H21" i="19"/>
  <c r="L21" i="19" s="1"/>
  <c r="F21" i="19"/>
  <c r="K20" i="19"/>
  <c r="J20" i="19"/>
  <c r="H20" i="19"/>
  <c r="F20" i="19"/>
  <c r="L20" i="19" s="1"/>
  <c r="K19" i="19"/>
  <c r="J19" i="19"/>
  <c r="L19" i="19" s="1"/>
  <c r="H19" i="19"/>
  <c r="F19" i="19"/>
  <c r="K18" i="19"/>
  <c r="J18" i="19"/>
  <c r="H18" i="19"/>
  <c r="F18" i="19"/>
  <c r="L18" i="19" s="1"/>
  <c r="L17" i="19"/>
  <c r="K17" i="19"/>
  <c r="J17" i="19"/>
  <c r="H17" i="19"/>
  <c r="F17" i="19"/>
  <c r="K16" i="19"/>
  <c r="J16" i="19"/>
  <c r="H16" i="19"/>
  <c r="F16" i="19"/>
  <c r="L16" i="19" s="1"/>
  <c r="K15" i="19"/>
  <c r="J15" i="19"/>
  <c r="H15" i="19"/>
  <c r="L15" i="19" s="1"/>
  <c r="F15" i="19"/>
  <c r="L14" i="19"/>
  <c r="K14" i="19"/>
  <c r="J14" i="19"/>
  <c r="H14" i="19"/>
  <c r="F14" i="19"/>
  <c r="L13" i="19"/>
  <c r="K13" i="19"/>
  <c r="J13" i="19"/>
  <c r="H13" i="19"/>
  <c r="F13" i="19"/>
  <c r="K12" i="19"/>
  <c r="J12" i="19"/>
  <c r="H12" i="19"/>
  <c r="F12" i="19"/>
  <c r="L12" i="19" s="1"/>
  <c r="K11" i="19"/>
  <c r="J11" i="19"/>
  <c r="H11" i="19"/>
  <c r="F11" i="19"/>
  <c r="L11" i="19" s="1"/>
  <c r="L10" i="19"/>
  <c r="K10" i="19"/>
  <c r="J10" i="19"/>
  <c r="H10" i="19"/>
  <c r="F10" i="19"/>
  <c r="L9" i="19"/>
  <c r="K9" i="19"/>
  <c r="J9" i="19"/>
  <c r="H9" i="19"/>
  <c r="F9" i="19"/>
  <c r="K8" i="19"/>
  <c r="J8" i="19"/>
  <c r="H8" i="19"/>
  <c r="F8" i="19"/>
  <c r="K7" i="19"/>
  <c r="J7" i="19"/>
  <c r="H7" i="19"/>
  <c r="F7" i="19"/>
  <c r="K6" i="19"/>
  <c r="J6" i="19"/>
  <c r="L6" i="19" s="1"/>
  <c r="H6" i="19"/>
  <c r="F6" i="19"/>
  <c r="K5" i="19"/>
  <c r="J5" i="19"/>
  <c r="H5" i="19"/>
  <c r="L5" i="19" s="1"/>
  <c r="F5" i="19"/>
  <c r="J4" i="19"/>
  <c r="H4" i="19"/>
  <c r="F4" i="19"/>
  <c r="K51" i="18"/>
  <c r="K50" i="18"/>
  <c r="C50" i="18"/>
  <c r="K49" i="18"/>
  <c r="C49" i="18"/>
  <c r="L25" i="18"/>
  <c r="K25" i="18"/>
  <c r="J25" i="18"/>
  <c r="H25" i="18"/>
  <c r="F25" i="18"/>
  <c r="K24" i="18"/>
  <c r="J24" i="18"/>
  <c r="H24" i="18"/>
  <c r="F24" i="18"/>
  <c r="K23" i="18"/>
  <c r="J23" i="18"/>
  <c r="H23" i="18"/>
  <c r="F23" i="18"/>
  <c r="L23" i="18" s="1"/>
  <c r="K22" i="18"/>
  <c r="J22" i="18"/>
  <c r="H22" i="18"/>
  <c r="L22" i="18" s="1"/>
  <c r="F22" i="18"/>
  <c r="L21" i="18"/>
  <c r="K21" i="18"/>
  <c r="J21" i="18"/>
  <c r="H21" i="18"/>
  <c r="F21" i="18"/>
  <c r="K20" i="18"/>
  <c r="J20" i="18"/>
  <c r="H20" i="18"/>
  <c r="F20" i="18"/>
  <c r="L20" i="18" s="1"/>
  <c r="K19" i="18"/>
  <c r="J19" i="18"/>
  <c r="H19" i="18"/>
  <c r="F19" i="18"/>
  <c r="L19" i="18" s="1"/>
  <c r="K18" i="18"/>
  <c r="J18" i="18"/>
  <c r="H18" i="18"/>
  <c r="F18" i="18"/>
  <c r="L18" i="18" s="1"/>
  <c r="L17" i="18"/>
  <c r="K17" i="18"/>
  <c r="J17" i="18"/>
  <c r="H17" i="18"/>
  <c r="F17" i="18"/>
  <c r="K16" i="18"/>
  <c r="J16" i="18"/>
  <c r="H16" i="18"/>
  <c r="F16" i="18"/>
  <c r="L15" i="18"/>
  <c r="K15" i="18"/>
  <c r="J15" i="18"/>
  <c r="H15" i="18"/>
  <c r="F15" i="18"/>
  <c r="K14" i="18"/>
  <c r="J14" i="18"/>
  <c r="H14" i="18"/>
  <c r="L14" i="18" s="1"/>
  <c r="F14" i="18"/>
  <c r="L13" i="18"/>
  <c r="K13" i="18"/>
  <c r="J13" i="18"/>
  <c r="H13" i="18"/>
  <c r="F13" i="18"/>
  <c r="K12" i="18"/>
  <c r="J12" i="18"/>
  <c r="H12" i="18"/>
  <c r="F12" i="18"/>
  <c r="L12" i="18" s="1"/>
  <c r="K11" i="18"/>
  <c r="J11" i="18"/>
  <c r="H11" i="18"/>
  <c r="F11" i="18"/>
  <c r="L11" i="18" s="1"/>
  <c r="K10" i="18"/>
  <c r="J10" i="18"/>
  <c r="H10" i="18"/>
  <c r="F10" i="18"/>
  <c r="L9" i="18"/>
  <c r="K9" i="18"/>
  <c r="J9" i="18"/>
  <c r="H9" i="18"/>
  <c r="F9" i="18"/>
  <c r="K8" i="18"/>
  <c r="J8" i="18"/>
  <c r="H8" i="18"/>
  <c r="L50" i="18" s="1"/>
  <c r="F8" i="18"/>
  <c r="K7" i="18"/>
  <c r="J7" i="18"/>
  <c r="H7" i="18"/>
  <c r="L7" i="18" s="1"/>
  <c r="F7" i="18"/>
  <c r="K6" i="18"/>
  <c r="J6" i="18"/>
  <c r="L51" i="18" s="1"/>
  <c r="H6" i="18"/>
  <c r="F6" i="18"/>
  <c r="L5" i="18"/>
  <c r="K5" i="18"/>
  <c r="J5" i="18"/>
  <c r="H5" i="18"/>
  <c r="F5" i="18"/>
  <c r="J4" i="18"/>
  <c r="H4" i="18"/>
  <c r="F4" i="18"/>
  <c r="L4" i="18" s="1"/>
  <c r="L26" i="17"/>
  <c r="K26" i="17"/>
  <c r="D26" i="17"/>
  <c r="L25" i="17"/>
  <c r="K25" i="17"/>
  <c r="D25" i="17" s="1"/>
  <c r="L24" i="17"/>
  <c r="K24" i="17"/>
  <c r="D24" i="17"/>
  <c r="L23" i="17"/>
  <c r="K23" i="17"/>
  <c r="D23" i="17" s="1"/>
  <c r="L22" i="17"/>
  <c r="K22" i="17"/>
  <c r="D22" i="17" s="1"/>
  <c r="L21" i="17"/>
  <c r="K21" i="17"/>
  <c r="D21" i="17"/>
  <c r="L20" i="17"/>
  <c r="K20" i="17"/>
  <c r="D20" i="17"/>
  <c r="L19" i="17"/>
  <c r="K19" i="17"/>
  <c r="D19" i="17"/>
  <c r="L18" i="17"/>
  <c r="K18" i="17"/>
  <c r="D18" i="17" s="1"/>
  <c r="L17" i="17"/>
  <c r="K17" i="17"/>
  <c r="D17" i="17"/>
  <c r="L16" i="17"/>
  <c r="K16" i="17"/>
  <c r="D16" i="17" s="1"/>
  <c r="L15" i="17"/>
  <c r="K15" i="17"/>
  <c r="D15" i="17"/>
  <c r="L14" i="17"/>
  <c r="K14" i="17"/>
  <c r="D14" i="17" s="1"/>
  <c r="L13" i="17"/>
  <c r="K13" i="17"/>
  <c r="D13" i="17"/>
  <c r="L12" i="17"/>
  <c r="K12" i="17"/>
  <c r="D12" i="17"/>
  <c r="L11" i="17"/>
  <c r="K11" i="17"/>
  <c r="D11" i="17" s="1"/>
  <c r="L10" i="17"/>
  <c r="K10" i="17"/>
  <c r="D10" i="17"/>
  <c r="L9" i="17"/>
  <c r="K9" i="17"/>
  <c r="D9" i="17" s="1"/>
  <c r="L8" i="17"/>
  <c r="K8" i="17"/>
  <c r="D8" i="17"/>
  <c r="L7" i="17"/>
  <c r="K7" i="17"/>
  <c r="D7" i="17"/>
  <c r="L6" i="17"/>
  <c r="K6" i="17"/>
  <c r="D6" i="17"/>
  <c r="L5" i="17"/>
  <c r="R71" i="16"/>
  <c r="Q71" i="16"/>
  <c r="K71" i="16"/>
  <c r="E71" i="16"/>
  <c r="K70" i="16"/>
  <c r="E70" i="16"/>
  <c r="Q69" i="16"/>
  <c r="R69" i="16" s="1"/>
  <c r="K69" i="16"/>
  <c r="E69" i="16"/>
  <c r="Q68" i="16"/>
  <c r="R68" i="16" s="1"/>
  <c r="K68" i="16"/>
  <c r="E68" i="16"/>
  <c r="Q67" i="16"/>
  <c r="R67" i="16" s="1"/>
  <c r="K67" i="16"/>
  <c r="E67" i="16"/>
  <c r="R66" i="16"/>
  <c r="Q66" i="16"/>
  <c r="K66" i="16"/>
  <c r="E66" i="16"/>
  <c r="R65" i="16"/>
  <c r="Q65" i="16"/>
  <c r="K65" i="16"/>
  <c r="E65" i="16"/>
  <c r="R64" i="16"/>
  <c r="Q64" i="16"/>
  <c r="K64" i="16"/>
  <c r="E64" i="16"/>
  <c r="Q63" i="16"/>
  <c r="R63" i="16" s="1"/>
  <c r="K63" i="16"/>
  <c r="E63" i="16"/>
  <c r="Q62" i="16"/>
  <c r="R62" i="16" s="1"/>
  <c r="K62" i="16"/>
  <c r="E62" i="16"/>
  <c r="R61" i="16"/>
  <c r="Q61" i="16"/>
  <c r="K61" i="16"/>
  <c r="E61" i="16"/>
  <c r="R60" i="16"/>
  <c r="Q60" i="16"/>
  <c r="K60" i="16"/>
  <c r="E60" i="16"/>
  <c r="R59" i="16"/>
  <c r="Q59" i="16"/>
  <c r="K59" i="16"/>
  <c r="E59" i="16"/>
  <c r="Q58" i="16"/>
  <c r="R58" i="16" s="1"/>
  <c r="K58" i="16"/>
  <c r="E58" i="16"/>
  <c r="Q57" i="16"/>
  <c r="R57" i="16" s="1"/>
  <c r="K57" i="16"/>
  <c r="E57" i="16"/>
  <c r="R56" i="16"/>
  <c r="Q56" i="16"/>
  <c r="K56" i="16"/>
  <c r="E56" i="16"/>
  <c r="R55" i="16"/>
  <c r="Q55" i="16"/>
  <c r="K55" i="16"/>
  <c r="E55" i="16"/>
  <c r="R54" i="16"/>
  <c r="Q54" i="16"/>
  <c r="K54" i="16"/>
  <c r="E54" i="16"/>
  <c r="Q53" i="16"/>
  <c r="R53" i="16" s="1"/>
  <c r="K53" i="16"/>
  <c r="E53" i="16"/>
  <c r="Q52" i="16"/>
  <c r="R52" i="16" s="1"/>
  <c r="K52" i="16"/>
  <c r="E52" i="16"/>
  <c r="Q51" i="16"/>
  <c r="R51" i="16" s="1"/>
  <c r="K51" i="16"/>
  <c r="E51" i="16"/>
  <c r="K50" i="16"/>
  <c r="A49" i="16"/>
  <c r="Q47" i="16"/>
  <c r="R47" i="16" s="1"/>
  <c r="S47" i="16" s="1"/>
  <c r="K47" i="16"/>
  <c r="E47" i="16"/>
  <c r="R46" i="16"/>
  <c r="Q46" i="16"/>
  <c r="K46" i="16"/>
  <c r="E46" i="16"/>
  <c r="S45" i="16"/>
  <c r="Q45" i="16"/>
  <c r="R45" i="16" s="1"/>
  <c r="K45" i="16"/>
  <c r="E45" i="16"/>
  <c r="Q44" i="16"/>
  <c r="R44" i="16" s="1"/>
  <c r="S44" i="16" s="1"/>
  <c r="K44" i="16"/>
  <c r="E44" i="16"/>
  <c r="Q43" i="16"/>
  <c r="R43" i="16" s="1"/>
  <c r="K43" i="16"/>
  <c r="E43" i="16"/>
  <c r="Q42" i="16"/>
  <c r="R42" i="16" s="1"/>
  <c r="K42" i="16"/>
  <c r="E42" i="16"/>
  <c r="Q41" i="16"/>
  <c r="R41" i="16" s="1"/>
  <c r="K41" i="16"/>
  <c r="E41" i="16"/>
  <c r="R40" i="16"/>
  <c r="Q40" i="16"/>
  <c r="K40" i="16"/>
  <c r="E40" i="16"/>
  <c r="Q39" i="16"/>
  <c r="R39" i="16" s="1"/>
  <c r="K39" i="16"/>
  <c r="E39" i="16"/>
  <c r="R38" i="16"/>
  <c r="S38" i="16" s="1"/>
  <c r="Q38" i="16"/>
  <c r="K38" i="16"/>
  <c r="E38" i="16"/>
  <c r="S37" i="16"/>
  <c r="R37" i="16"/>
  <c r="Q37" i="16"/>
  <c r="K37" i="16"/>
  <c r="E37" i="16"/>
  <c r="Q36" i="16"/>
  <c r="R36" i="16" s="1"/>
  <c r="S36" i="16" s="1"/>
  <c r="K36" i="16"/>
  <c r="E36" i="16"/>
  <c r="Q35" i="16"/>
  <c r="R35" i="16" s="1"/>
  <c r="S35" i="16" s="1"/>
  <c r="K35" i="16"/>
  <c r="E35" i="16"/>
  <c r="R34" i="16"/>
  <c r="S34" i="16" s="1"/>
  <c r="Q34" i="16"/>
  <c r="K34" i="16"/>
  <c r="E34" i="16"/>
  <c r="S33" i="16"/>
  <c r="R33" i="16"/>
  <c r="Q33" i="16"/>
  <c r="K33" i="16"/>
  <c r="E33" i="16"/>
  <c r="S32" i="16"/>
  <c r="Q32" i="16"/>
  <c r="R32" i="16" s="1"/>
  <c r="K32" i="16"/>
  <c r="E32" i="16"/>
  <c r="R31" i="16"/>
  <c r="S31" i="16" s="1"/>
  <c r="Q31" i="16"/>
  <c r="K31" i="16"/>
  <c r="E31" i="16"/>
  <c r="Q30" i="16"/>
  <c r="R30" i="16" s="1"/>
  <c r="S30" i="16" s="1"/>
  <c r="K30" i="16"/>
  <c r="E30" i="16"/>
  <c r="S29" i="16"/>
  <c r="R29" i="16"/>
  <c r="Q29" i="16"/>
  <c r="K29" i="16"/>
  <c r="E29" i="16"/>
  <c r="Q28" i="16"/>
  <c r="R28" i="16" s="1"/>
  <c r="S28" i="16" s="1"/>
  <c r="K28" i="16"/>
  <c r="E28" i="16"/>
  <c r="R27" i="16"/>
  <c r="S27" i="16" s="1"/>
  <c r="Q27" i="16"/>
  <c r="K27" i="16"/>
  <c r="E27" i="16"/>
  <c r="K26" i="16"/>
  <c r="A25" i="16"/>
  <c r="K23" i="16"/>
  <c r="E23" i="16"/>
  <c r="Q22" i="16"/>
  <c r="R22" i="16" s="1"/>
  <c r="K22" i="16"/>
  <c r="E22" i="16"/>
  <c r="Q21" i="16"/>
  <c r="R21" i="16" s="1"/>
  <c r="K21" i="16"/>
  <c r="E21" i="16"/>
  <c r="Q20" i="16"/>
  <c r="R20" i="16" s="1"/>
  <c r="K20" i="16"/>
  <c r="E20" i="16"/>
  <c r="R19" i="16"/>
  <c r="S19" i="16" s="1"/>
  <c r="Q19" i="16"/>
  <c r="K19" i="16"/>
  <c r="E19" i="16"/>
  <c r="Q18" i="16"/>
  <c r="R18" i="16" s="1"/>
  <c r="S18" i="16" s="1"/>
  <c r="K18" i="16"/>
  <c r="E18" i="16"/>
  <c r="Q17" i="16"/>
  <c r="R17" i="16" s="1"/>
  <c r="S17" i="16" s="1"/>
  <c r="K17" i="16"/>
  <c r="E17" i="16"/>
  <c r="R16" i="16"/>
  <c r="S16" i="16" s="1"/>
  <c r="Q16" i="16"/>
  <c r="K16" i="16"/>
  <c r="E16" i="16"/>
  <c r="S15" i="16"/>
  <c r="R15" i="16"/>
  <c r="Q15" i="16"/>
  <c r="K15" i="16"/>
  <c r="E15" i="16"/>
  <c r="R14" i="16"/>
  <c r="S14" i="16" s="1"/>
  <c r="Q14" i="16"/>
  <c r="K14" i="16"/>
  <c r="E14" i="16"/>
  <c r="Q13" i="16"/>
  <c r="R13" i="16" s="1"/>
  <c r="S13" i="16" s="1"/>
  <c r="K13" i="16"/>
  <c r="E13" i="16"/>
  <c r="Q12" i="16"/>
  <c r="R12" i="16" s="1"/>
  <c r="S12" i="16" s="1"/>
  <c r="K12" i="16"/>
  <c r="E12" i="16"/>
  <c r="S11" i="16"/>
  <c r="R11" i="16"/>
  <c r="Q11" i="16"/>
  <c r="K11" i="16"/>
  <c r="E11" i="16"/>
  <c r="S10" i="16"/>
  <c r="Q10" i="16"/>
  <c r="R10" i="16" s="1"/>
  <c r="K10" i="16"/>
  <c r="E10" i="16"/>
  <c r="Q9" i="16"/>
  <c r="R9" i="16" s="1"/>
  <c r="S9" i="16" s="1"/>
  <c r="K9" i="16"/>
  <c r="E9" i="16"/>
  <c r="Q8" i="16"/>
  <c r="R8" i="16" s="1"/>
  <c r="S8" i="16" s="1"/>
  <c r="K8" i="16"/>
  <c r="E8" i="16"/>
  <c r="S7" i="16"/>
  <c r="Q7" i="16"/>
  <c r="R7" i="16" s="1"/>
  <c r="K7" i="16"/>
  <c r="E7" i="16"/>
  <c r="R6" i="16"/>
  <c r="S6" i="16" s="1"/>
  <c r="Q6" i="16"/>
  <c r="K6" i="16"/>
  <c r="E6" i="16"/>
  <c r="Q5" i="16"/>
  <c r="R5" i="16" s="1"/>
  <c r="S5" i="16" s="1"/>
  <c r="K5" i="16"/>
  <c r="E5" i="16"/>
  <c r="R4" i="16"/>
  <c r="S4" i="16" s="1"/>
  <c r="Q4" i="16"/>
  <c r="K4" i="16"/>
  <c r="E4" i="16"/>
  <c r="Q3" i="16"/>
  <c r="R3" i="16" s="1"/>
  <c r="S3" i="16" s="1"/>
  <c r="K3" i="16"/>
  <c r="E3" i="16"/>
  <c r="K51" i="15"/>
  <c r="K50" i="15"/>
  <c r="C50" i="15"/>
  <c r="K49" i="15"/>
  <c r="C49" i="15"/>
  <c r="J25" i="15"/>
  <c r="H25" i="15"/>
  <c r="K25" i="15" s="1"/>
  <c r="F25" i="15"/>
  <c r="L25" i="15" s="1"/>
  <c r="K24" i="15"/>
  <c r="J24" i="15"/>
  <c r="H24" i="15"/>
  <c r="F24" i="15"/>
  <c r="L23" i="15"/>
  <c r="K23" i="15"/>
  <c r="J23" i="15"/>
  <c r="H23" i="15"/>
  <c r="F23" i="15"/>
  <c r="L22" i="15"/>
  <c r="K22" i="15"/>
  <c r="J22" i="15"/>
  <c r="H22" i="15"/>
  <c r="F22" i="15"/>
  <c r="L21" i="15"/>
  <c r="K21" i="15"/>
  <c r="J21" i="15"/>
  <c r="H21" i="15"/>
  <c r="F21" i="15"/>
  <c r="K20" i="15"/>
  <c r="J20" i="15"/>
  <c r="H20" i="15"/>
  <c r="F20" i="15"/>
  <c r="L19" i="15"/>
  <c r="K19" i="15"/>
  <c r="J19" i="15"/>
  <c r="H19" i="15"/>
  <c r="F19" i="15"/>
  <c r="K18" i="15"/>
  <c r="J18" i="15"/>
  <c r="L18" i="15" s="1"/>
  <c r="H18" i="15"/>
  <c r="F18" i="15"/>
  <c r="K17" i="15"/>
  <c r="J17" i="15"/>
  <c r="H17" i="15"/>
  <c r="F17" i="15"/>
  <c r="L17" i="15" s="1"/>
  <c r="K16" i="15"/>
  <c r="J16" i="15"/>
  <c r="H16" i="15"/>
  <c r="F16" i="15"/>
  <c r="L16" i="15" s="1"/>
  <c r="L15" i="15"/>
  <c r="K15" i="15"/>
  <c r="J15" i="15"/>
  <c r="H15" i="15"/>
  <c r="F15" i="15"/>
  <c r="K14" i="15"/>
  <c r="J14" i="15"/>
  <c r="H14" i="15"/>
  <c r="L14" i="15" s="1"/>
  <c r="F14" i="15"/>
  <c r="K13" i="15"/>
  <c r="J13" i="15"/>
  <c r="H13" i="15"/>
  <c r="F13" i="15"/>
  <c r="K12" i="15"/>
  <c r="J12" i="15"/>
  <c r="H12" i="15"/>
  <c r="F12" i="15"/>
  <c r="L12" i="15" s="1"/>
  <c r="L11" i="15"/>
  <c r="K11" i="15"/>
  <c r="J11" i="15"/>
  <c r="H11" i="15"/>
  <c r="F11" i="15"/>
  <c r="K10" i="15"/>
  <c r="J10" i="15"/>
  <c r="H10" i="15"/>
  <c r="F10" i="15"/>
  <c r="K9" i="15"/>
  <c r="J9" i="15"/>
  <c r="H9" i="15"/>
  <c r="F9" i="15"/>
  <c r="K8" i="15"/>
  <c r="J8" i="15"/>
  <c r="H8" i="15"/>
  <c r="F8" i="15"/>
  <c r="L8" i="15" s="1"/>
  <c r="L7" i="15"/>
  <c r="K7" i="15"/>
  <c r="J7" i="15"/>
  <c r="H7" i="15"/>
  <c r="F7" i="15"/>
  <c r="K6" i="15"/>
  <c r="J6" i="15"/>
  <c r="H6" i="15"/>
  <c r="F6" i="15"/>
  <c r="L6" i="15" s="1"/>
  <c r="L5" i="15"/>
  <c r="K5" i="15"/>
  <c r="J5" i="15"/>
  <c r="H5" i="15"/>
  <c r="F5" i="15"/>
  <c r="J4" i="15"/>
  <c r="H4" i="15"/>
  <c r="F4" i="15"/>
  <c r="K51" i="14"/>
  <c r="K50" i="14"/>
  <c r="C50" i="14"/>
  <c r="K49" i="14"/>
  <c r="C49" i="14"/>
  <c r="L25" i="14"/>
  <c r="K25" i="14"/>
  <c r="J25" i="14"/>
  <c r="H25" i="14"/>
  <c r="F25" i="14"/>
  <c r="L24" i="14"/>
  <c r="K24" i="14"/>
  <c r="J24" i="14"/>
  <c r="F24" i="14"/>
  <c r="K23" i="14"/>
  <c r="J23" i="14"/>
  <c r="H23" i="14"/>
  <c r="F23" i="14"/>
  <c r="L23" i="14" s="1"/>
  <c r="L22" i="14"/>
  <c r="K22" i="14"/>
  <c r="J22" i="14"/>
  <c r="H22" i="14"/>
  <c r="F22" i="14"/>
  <c r="K21" i="14"/>
  <c r="J21" i="14"/>
  <c r="H21" i="14"/>
  <c r="L21" i="14" s="1"/>
  <c r="F21" i="14"/>
  <c r="K20" i="14"/>
  <c r="J20" i="14"/>
  <c r="H20" i="14"/>
  <c r="L20" i="14" s="1"/>
  <c r="F20" i="14"/>
  <c r="K19" i="14"/>
  <c r="J19" i="14"/>
  <c r="F19" i="14"/>
  <c r="L19" i="14" s="1"/>
  <c r="K18" i="14"/>
  <c r="J18" i="14"/>
  <c r="L18" i="14" s="1"/>
  <c r="H18" i="14"/>
  <c r="F18" i="14"/>
  <c r="K17" i="14"/>
  <c r="J17" i="14"/>
  <c r="H17" i="14"/>
  <c r="F17" i="14"/>
  <c r="K16" i="14"/>
  <c r="J16" i="14"/>
  <c r="H16" i="14"/>
  <c r="F16" i="14"/>
  <c r="L16" i="14" s="1"/>
  <c r="L15" i="14"/>
  <c r="K15" i="14"/>
  <c r="J15" i="14"/>
  <c r="H15" i="14"/>
  <c r="F15" i="14"/>
  <c r="K14" i="14"/>
  <c r="J14" i="14"/>
  <c r="L14" i="14" s="1"/>
  <c r="H14" i="14"/>
  <c r="F14" i="14"/>
  <c r="K13" i="14"/>
  <c r="J13" i="14"/>
  <c r="H13" i="14"/>
  <c r="F13" i="14"/>
  <c r="L13" i="14" s="1"/>
  <c r="K12" i="14"/>
  <c r="J12" i="14"/>
  <c r="H12" i="14"/>
  <c r="F12" i="14"/>
  <c r="L12" i="14" s="1"/>
  <c r="L11" i="14"/>
  <c r="K11" i="14"/>
  <c r="J11" i="14"/>
  <c r="H11" i="14"/>
  <c r="F11" i="14"/>
  <c r="K10" i="14"/>
  <c r="J10" i="14"/>
  <c r="H10" i="14"/>
  <c r="F10" i="14"/>
  <c r="L10" i="14" s="1"/>
  <c r="K9" i="14"/>
  <c r="J9" i="14"/>
  <c r="H9" i="14"/>
  <c r="F9" i="14"/>
  <c r="K8" i="14"/>
  <c r="J8" i="14"/>
  <c r="H8" i="14"/>
  <c r="F8" i="14"/>
  <c r="L8" i="14" s="1"/>
  <c r="L7" i="14"/>
  <c r="K7" i="14"/>
  <c r="J7" i="14"/>
  <c r="H7" i="14"/>
  <c r="F7" i="14"/>
  <c r="K6" i="14"/>
  <c r="J6" i="14"/>
  <c r="H6" i="14"/>
  <c r="F6" i="14"/>
  <c r="L6" i="14" s="1"/>
  <c r="K5" i="14"/>
  <c r="J5" i="14"/>
  <c r="H5" i="14"/>
  <c r="F5" i="14"/>
  <c r="L4" i="14"/>
  <c r="J4" i="14"/>
  <c r="H4" i="14"/>
  <c r="F4" i="14"/>
  <c r="L26" i="13"/>
  <c r="L25" i="13"/>
  <c r="D25" i="13"/>
  <c r="L24" i="13"/>
  <c r="D24" i="13"/>
  <c r="L23" i="13"/>
  <c r="D23" i="13"/>
  <c r="L22" i="13"/>
  <c r="D22" i="13"/>
  <c r="L21" i="13"/>
  <c r="D21" i="13"/>
  <c r="L20" i="13"/>
  <c r="D20" i="13"/>
  <c r="L19" i="13"/>
  <c r="D19" i="13"/>
  <c r="L18" i="13"/>
  <c r="D18" i="13"/>
  <c r="L17" i="13"/>
  <c r="D17" i="13"/>
  <c r="L16" i="13"/>
  <c r="D16" i="13"/>
  <c r="L15" i="13"/>
  <c r="D15" i="13"/>
  <c r="L14" i="13"/>
  <c r="D14" i="13"/>
  <c r="L13" i="13"/>
  <c r="D13" i="13"/>
  <c r="L12" i="13"/>
  <c r="D12" i="13"/>
  <c r="L11" i="13"/>
  <c r="D11" i="13"/>
  <c r="L10" i="13"/>
  <c r="D10" i="13"/>
  <c r="L9" i="13"/>
  <c r="D9" i="13"/>
  <c r="L8" i="13"/>
  <c r="D8" i="13"/>
  <c r="L7" i="13"/>
  <c r="D7" i="13"/>
  <c r="L6" i="13"/>
  <c r="D6" i="13"/>
  <c r="L5" i="13"/>
  <c r="R71" i="12"/>
  <c r="Q71" i="12"/>
  <c r="K71" i="12"/>
  <c r="E71" i="12"/>
  <c r="K70" i="12"/>
  <c r="E70" i="12"/>
  <c r="R69" i="12"/>
  <c r="Q69" i="12"/>
  <c r="K69" i="12"/>
  <c r="E69" i="12"/>
  <c r="R68" i="12"/>
  <c r="Q68" i="12"/>
  <c r="K68" i="12"/>
  <c r="E68" i="12"/>
  <c r="R67" i="12"/>
  <c r="Q67" i="12"/>
  <c r="K67" i="12"/>
  <c r="E67" i="12"/>
  <c r="R66" i="12"/>
  <c r="Q66" i="12"/>
  <c r="K66" i="12"/>
  <c r="E66" i="12"/>
  <c r="Q65" i="12"/>
  <c r="R65" i="12" s="1"/>
  <c r="K65" i="12"/>
  <c r="E65" i="12"/>
  <c r="Q64" i="12"/>
  <c r="R64" i="12" s="1"/>
  <c r="K64" i="12"/>
  <c r="E64" i="12"/>
  <c r="R63" i="12"/>
  <c r="Q63" i="12"/>
  <c r="K63" i="12"/>
  <c r="E63" i="12"/>
  <c r="R62" i="12"/>
  <c r="Q62" i="12"/>
  <c r="K62" i="12"/>
  <c r="E62" i="12"/>
  <c r="Q61" i="12"/>
  <c r="R61" i="12" s="1"/>
  <c r="K61" i="12"/>
  <c r="E61" i="12"/>
  <c r="Q60" i="12"/>
  <c r="R60" i="12" s="1"/>
  <c r="K60" i="12"/>
  <c r="E60" i="12"/>
  <c r="Q59" i="12"/>
  <c r="R59" i="12" s="1"/>
  <c r="K59" i="12"/>
  <c r="E59" i="12"/>
  <c r="R58" i="12"/>
  <c r="Q58" i="12"/>
  <c r="K58" i="12"/>
  <c r="E58" i="12"/>
  <c r="R57" i="12"/>
  <c r="Q57" i="12"/>
  <c r="K57" i="12"/>
  <c r="E57" i="12"/>
  <c r="R56" i="12"/>
  <c r="Q56" i="12"/>
  <c r="K56" i="12"/>
  <c r="E56" i="12"/>
  <c r="Q55" i="12"/>
  <c r="R55" i="12" s="1"/>
  <c r="K55" i="12"/>
  <c r="E55" i="12"/>
  <c r="Q54" i="12"/>
  <c r="R54" i="12" s="1"/>
  <c r="K54" i="12"/>
  <c r="E54" i="12"/>
  <c r="Q53" i="12"/>
  <c r="R53" i="12" s="1"/>
  <c r="K53" i="12"/>
  <c r="E53" i="12"/>
  <c r="Q52" i="12"/>
  <c r="R52" i="12" s="1"/>
  <c r="K52" i="12"/>
  <c r="E52" i="12"/>
  <c r="Q51" i="12"/>
  <c r="R51" i="12" s="1"/>
  <c r="K51" i="12"/>
  <c r="E51" i="12"/>
  <c r="K50" i="12"/>
  <c r="A49" i="12"/>
  <c r="Q47" i="12"/>
  <c r="R47" i="12" s="1"/>
  <c r="S47" i="12" s="1"/>
  <c r="K47" i="12"/>
  <c r="E47" i="12"/>
  <c r="K46" i="12"/>
  <c r="E46" i="12"/>
  <c r="S45" i="12"/>
  <c r="R45" i="12"/>
  <c r="Q45" i="12"/>
  <c r="K45" i="12"/>
  <c r="E45" i="12"/>
  <c r="S44" i="12"/>
  <c r="R44" i="12"/>
  <c r="Q44" i="12"/>
  <c r="K44" i="12"/>
  <c r="E44" i="12"/>
  <c r="Q43" i="12"/>
  <c r="R43" i="12" s="1"/>
  <c r="K43" i="12"/>
  <c r="E43" i="12"/>
  <c r="Q42" i="12"/>
  <c r="R42" i="12" s="1"/>
  <c r="K42" i="12"/>
  <c r="E42" i="12"/>
  <c r="Q41" i="12"/>
  <c r="R41" i="12" s="1"/>
  <c r="K41" i="12"/>
  <c r="E41" i="12"/>
  <c r="R40" i="12"/>
  <c r="Q40" i="12"/>
  <c r="K40" i="12"/>
  <c r="E40" i="12"/>
  <c r="Q39" i="12"/>
  <c r="R39" i="12" s="1"/>
  <c r="K39" i="12"/>
  <c r="E39" i="12"/>
  <c r="Q38" i="12"/>
  <c r="R38" i="12" s="1"/>
  <c r="S38" i="12" s="1"/>
  <c r="K38" i="12"/>
  <c r="E38" i="12"/>
  <c r="Q37" i="12"/>
  <c r="R37" i="12" s="1"/>
  <c r="S37" i="12" s="1"/>
  <c r="K37" i="12"/>
  <c r="E37" i="12"/>
  <c r="S36" i="12"/>
  <c r="R36" i="12"/>
  <c r="Q36" i="12"/>
  <c r="K36" i="12"/>
  <c r="E36" i="12"/>
  <c r="Q35" i="12"/>
  <c r="R35" i="12" s="1"/>
  <c r="S35" i="12" s="1"/>
  <c r="K35" i="12"/>
  <c r="E35" i="12"/>
  <c r="Q34" i="12"/>
  <c r="R34" i="12" s="1"/>
  <c r="S34" i="12" s="1"/>
  <c r="K34" i="12"/>
  <c r="E34" i="12"/>
  <c r="S33" i="12"/>
  <c r="R33" i="12"/>
  <c r="Q33" i="12"/>
  <c r="K33" i="12"/>
  <c r="E33" i="12"/>
  <c r="R32" i="12"/>
  <c r="S32" i="12" s="1"/>
  <c r="Q32" i="12"/>
  <c r="K32" i="12"/>
  <c r="E32" i="12"/>
  <c r="S31" i="12"/>
  <c r="R31" i="12"/>
  <c r="Q31" i="12"/>
  <c r="K31" i="12"/>
  <c r="E31" i="12"/>
  <c r="Q30" i="12"/>
  <c r="R30" i="12" s="1"/>
  <c r="S30" i="12" s="1"/>
  <c r="K30" i="12"/>
  <c r="E30" i="12"/>
  <c r="Q29" i="12"/>
  <c r="R29" i="12" s="1"/>
  <c r="S29" i="12" s="1"/>
  <c r="K29" i="12"/>
  <c r="E29" i="12"/>
  <c r="Q28" i="12"/>
  <c r="R28" i="12" s="1"/>
  <c r="S28" i="12" s="1"/>
  <c r="K28" i="12"/>
  <c r="E28" i="12"/>
  <c r="S27" i="12"/>
  <c r="Q27" i="12"/>
  <c r="R27" i="12" s="1"/>
  <c r="K27" i="12"/>
  <c r="E27" i="12"/>
  <c r="K26" i="12"/>
  <c r="A25" i="12"/>
  <c r="K23" i="12"/>
  <c r="E23" i="12"/>
  <c r="Q22" i="12"/>
  <c r="R22" i="12" s="1"/>
  <c r="K22" i="12"/>
  <c r="E22" i="12"/>
  <c r="R21" i="12"/>
  <c r="Q21" i="12"/>
  <c r="K21" i="12"/>
  <c r="E21" i="12"/>
  <c r="Q20" i="12"/>
  <c r="R20" i="12" s="1"/>
  <c r="K20" i="12"/>
  <c r="E20" i="12"/>
  <c r="R19" i="12"/>
  <c r="S19" i="12" s="1"/>
  <c r="Q19" i="12"/>
  <c r="K19" i="12"/>
  <c r="E19" i="12"/>
  <c r="Q18" i="12"/>
  <c r="R18" i="12" s="1"/>
  <c r="S18" i="12" s="1"/>
  <c r="K18" i="12"/>
  <c r="E18" i="12"/>
  <c r="R17" i="12"/>
  <c r="S17" i="12" s="1"/>
  <c r="Q17" i="12"/>
  <c r="K17" i="12"/>
  <c r="E17" i="12"/>
  <c r="Q16" i="12"/>
  <c r="R16" i="12" s="1"/>
  <c r="S16" i="12" s="1"/>
  <c r="K16" i="12"/>
  <c r="E16" i="12"/>
  <c r="S15" i="12"/>
  <c r="R15" i="12"/>
  <c r="Q15" i="12"/>
  <c r="K15" i="12"/>
  <c r="E15" i="12"/>
  <c r="Q14" i="12"/>
  <c r="R14" i="12" s="1"/>
  <c r="S14" i="12" s="1"/>
  <c r="K14" i="12"/>
  <c r="E14" i="12"/>
  <c r="S13" i="12"/>
  <c r="R13" i="12"/>
  <c r="Q13" i="12"/>
  <c r="K13" i="12"/>
  <c r="E13" i="12"/>
  <c r="S12" i="12"/>
  <c r="R12" i="12"/>
  <c r="Q12" i="12"/>
  <c r="K12" i="12"/>
  <c r="E12" i="12"/>
  <c r="Q11" i="12"/>
  <c r="R11" i="12" s="1"/>
  <c r="S11" i="12" s="1"/>
  <c r="K11" i="12"/>
  <c r="E11" i="12"/>
  <c r="Q10" i="12"/>
  <c r="R10" i="12" s="1"/>
  <c r="S10" i="12" s="1"/>
  <c r="K10" i="12"/>
  <c r="E10" i="12"/>
  <c r="R9" i="12"/>
  <c r="S9" i="12" s="1"/>
  <c r="Q9" i="12"/>
  <c r="K9" i="12"/>
  <c r="E9" i="12"/>
  <c r="Q8" i="12"/>
  <c r="R8" i="12" s="1"/>
  <c r="S8" i="12" s="1"/>
  <c r="K8" i="12"/>
  <c r="E8" i="12"/>
  <c r="Q7" i="12"/>
  <c r="R7" i="12" s="1"/>
  <c r="S7" i="12" s="1"/>
  <c r="K7" i="12"/>
  <c r="E7" i="12"/>
  <c r="Q6" i="12"/>
  <c r="R6" i="12" s="1"/>
  <c r="S6" i="12" s="1"/>
  <c r="K6" i="12"/>
  <c r="E6" i="12"/>
  <c r="S5" i="12"/>
  <c r="R5" i="12"/>
  <c r="Q5" i="12"/>
  <c r="K5" i="12"/>
  <c r="E5" i="12"/>
  <c r="S4" i="12"/>
  <c r="Q4" i="12"/>
  <c r="R4" i="12" s="1"/>
  <c r="K4" i="12"/>
  <c r="E4" i="12"/>
  <c r="Q3" i="12"/>
  <c r="R3" i="12" s="1"/>
  <c r="S3" i="12" s="1"/>
  <c r="K3" i="12"/>
  <c r="E3" i="12"/>
  <c r="K51" i="11"/>
  <c r="K50" i="11"/>
  <c r="C50" i="11"/>
  <c r="K49" i="11"/>
  <c r="C49" i="11"/>
  <c r="J25" i="11"/>
  <c r="H25" i="11"/>
  <c r="F25" i="11"/>
  <c r="K24" i="11"/>
  <c r="J24" i="11"/>
  <c r="H24" i="11"/>
  <c r="F24" i="11"/>
  <c r="L24" i="11" s="1"/>
  <c r="L23" i="11"/>
  <c r="K23" i="11"/>
  <c r="J23" i="11"/>
  <c r="H23" i="11"/>
  <c r="F23" i="11"/>
  <c r="K22" i="11"/>
  <c r="J22" i="11"/>
  <c r="H22" i="11"/>
  <c r="F22" i="11"/>
  <c r="K21" i="11"/>
  <c r="J21" i="11"/>
  <c r="H21" i="11"/>
  <c r="F21" i="11"/>
  <c r="L21" i="11" s="1"/>
  <c r="K20" i="11"/>
  <c r="J20" i="11"/>
  <c r="H20" i="11"/>
  <c r="F20" i="11"/>
  <c r="L20" i="11" s="1"/>
  <c r="K19" i="11"/>
  <c r="J19" i="11"/>
  <c r="H19" i="11"/>
  <c r="F19" i="11"/>
  <c r="L19" i="11" s="1"/>
  <c r="K18" i="11"/>
  <c r="J18" i="11"/>
  <c r="H18" i="11"/>
  <c r="F18" i="11"/>
  <c r="L18" i="11" s="1"/>
  <c r="K17" i="11"/>
  <c r="J17" i="11"/>
  <c r="H17" i="11"/>
  <c r="F17" i="11"/>
  <c r="L17" i="11" s="1"/>
  <c r="K16" i="11"/>
  <c r="J16" i="11"/>
  <c r="H16" i="11"/>
  <c r="F16" i="11"/>
  <c r="L16" i="11" s="1"/>
  <c r="K15" i="11"/>
  <c r="J15" i="11"/>
  <c r="H15" i="11"/>
  <c r="F15" i="11"/>
  <c r="L14" i="11"/>
  <c r="K14" i="11"/>
  <c r="J14" i="11"/>
  <c r="H14" i="11"/>
  <c r="F14" i="11"/>
  <c r="L13" i="11"/>
  <c r="K13" i="11"/>
  <c r="J13" i="11"/>
  <c r="H13" i="11"/>
  <c r="F13" i="11"/>
  <c r="K12" i="11"/>
  <c r="J12" i="11"/>
  <c r="H12" i="11"/>
  <c r="F12" i="11"/>
  <c r="K11" i="11"/>
  <c r="J11" i="11"/>
  <c r="H11" i="11"/>
  <c r="F11" i="11"/>
  <c r="L11" i="11" s="1"/>
  <c r="L10" i="11"/>
  <c r="K10" i="11"/>
  <c r="J10" i="11"/>
  <c r="H10" i="11"/>
  <c r="F10" i="11"/>
  <c r="L9" i="11"/>
  <c r="K9" i="11"/>
  <c r="J9" i="11"/>
  <c r="H9" i="11"/>
  <c r="F9" i="11"/>
  <c r="K8" i="11"/>
  <c r="J8" i="11"/>
  <c r="H8" i="11"/>
  <c r="F8" i="11"/>
  <c r="K7" i="11"/>
  <c r="J7" i="11"/>
  <c r="H7" i="11"/>
  <c r="F7" i="11"/>
  <c r="L6" i="11"/>
  <c r="K6" i="11"/>
  <c r="J6" i="11"/>
  <c r="H6" i="11"/>
  <c r="F6" i="11"/>
  <c r="K5" i="11"/>
  <c r="J5" i="11"/>
  <c r="L51" i="11" s="1"/>
  <c r="H5" i="11"/>
  <c r="F5" i="11"/>
  <c r="J4" i="11"/>
  <c r="H4" i="11"/>
  <c r="F4" i="11"/>
  <c r="K51" i="10"/>
  <c r="K50" i="10"/>
  <c r="C50" i="10"/>
  <c r="K49" i="10"/>
  <c r="C49" i="10"/>
  <c r="L25" i="10"/>
  <c r="K25" i="10"/>
  <c r="J25" i="10"/>
  <c r="H25" i="10"/>
  <c r="F25" i="10"/>
  <c r="L24" i="10"/>
  <c r="K24" i="10"/>
  <c r="J24" i="10"/>
  <c r="H24" i="10"/>
  <c r="F24" i="10"/>
  <c r="K23" i="10"/>
  <c r="J23" i="10"/>
  <c r="H23" i="10"/>
  <c r="L23" i="10" s="1"/>
  <c r="F23" i="10"/>
  <c r="K22" i="10"/>
  <c r="J22" i="10"/>
  <c r="H22" i="10"/>
  <c r="F22" i="10"/>
  <c r="L22" i="10" s="1"/>
  <c r="L21" i="10"/>
  <c r="K21" i="10"/>
  <c r="J21" i="10"/>
  <c r="H21" i="10"/>
  <c r="F21" i="10"/>
  <c r="L20" i="10"/>
  <c r="K20" i="10"/>
  <c r="J20" i="10"/>
  <c r="H20" i="10"/>
  <c r="F20" i="10"/>
  <c r="K19" i="10"/>
  <c r="J19" i="10"/>
  <c r="H19" i="10"/>
  <c r="F19" i="10"/>
  <c r="K18" i="10"/>
  <c r="J18" i="10"/>
  <c r="H18" i="10"/>
  <c r="F18" i="10"/>
  <c r="L18" i="10" s="1"/>
  <c r="L17" i="10"/>
  <c r="K17" i="10"/>
  <c r="J17" i="10"/>
  <c r="H17" i="10"/>
  <c r="F17" i="10"/>
  <c r="L16" i="10"/>
  <c r="K16" i="10"/>
  <c r="J16" i="10"/>
  <c r="H16" i="10"/>
  <c r="F16" i="10"/>
  <c r="K15" i="10"/>
  <c r="J15" i="10"/>
  <c r="H15" i="10"/>
  <c r="L15" i="10" s="1"/>
  <c r="F15" i="10"/>
  <c r="K14" i="10"/>
  <c r="J14" i="10"/>
  <c r="H14" i="10"/>
  <c r="F14" i="10"/>
  <c r="L14" i="10" s="1"/>
  <c r="L13" i="10"/>
  <c r="K13" i="10"/>
  <c r="J13" i="10"/>
  <c r="H13" i="10"/>
  <c r="F13" i="10"/>
  <c r="L12" i="10"/>
  <c r="K12" i="10"/>
  <c r="J12" i="10"/>
  <c r="H12" i="10"/>
  <c r="F12" i="10"/>
  <c r="K11" i="10"/>
  <c r="J11" i="10"/>
  <c r="H11" i="10"/>
  <c r="F11" i="10"/>
  <c r="K10" i="10"/>
  <c r="J10" i="10"/>
  <c r="H10" i="10"/>
  <c r="F10" i="10"/>
  <c r="L10" i="10" s="1"/>
  <c r="L9" i="10"/>
  <c r="K9" i="10"/>
  <c r="J9" i="10"/>
  <c r="H9" i="10"/>
  <c r="F9" i="10"/>
  <c r="L8" i="10"/>
  <c r="K8" i="10"/>
  <c r="J8" i="10"/>
  <c r="H8" i="10"/>
  <c r="F8" i="10"/>
  <c r="K7" i="10"/>
  <c r="J7" i="10"/>
  <c r="H7" i="10"/>
  <c r="L50" i="10" s="1"/>
  <c r="F7" i="10"/>
  <c r="K6" i="10"/>
  <c r="J6" i="10"/>
  <c r="H6" i="10"/>
  <c r="F6" i="10"/>
  <c r="L5" i="10"/>
  <c r="K5" i="10"/>
  <c r="J5" i="10"/>
  <c r="H5" i="10"/>
  <c r="F5" i="10"/>
  <c r="J4" i="10"/>
  <c r="H4" i="10"/>
  <c r="F4" i="10"/>
  <c r="J559" i="7"/>
  <c r="I559" i="7"/>
  <c r="H559" i="7"/>
  <c r="F559" i="7"/>
  <c r="E559" i="7"/>
  <c r="K558" i="7"/>
  <c r="J558" i="7"/>
  <c r="M558" i="7" s="1"/>
  <c r="I558" i="7"/>
  <c r="L558" i="7" s="1"/>
  <c r="H558" i="7"/>
  <c r="F558" i="7"/>
  <c r="E558" i="7"/>
  <c r="G558" i="7" s="1"/>
  <c r="J557" i="7"/>
  <c r="I557" i="7"/>
  <c r="H557" i="7"/>
  <c r="F557" i="7"/>
  <c r="E557" i="7"/>
  <c r="G557" i="7" s="1"/>
  <c r="J556" i="7"/>
  <c r="I556" i="7"/>
  <c r="H556" i="7"/>
  <c r="F556" i="7"/>
  <c r="E556" i="7"/>
  <c r="K555" i="7"/>
  <c r="J555" i="7"/>
  <c r="I555" i="7"/>
  <c r="H555" i="7"/>
  <c r="F555" i="7"/>
  <c r="M555" i="7" s="1"/>
  <c r="E555" i="7"/>
  <c r="G555" i="7" s="1"/>
  <c r="L554" i="7"/>
  <c r="J554" i="7"/>
  <c r="I554" i="7"/>
  <c r="H554" i="7"/>
  <c r="F554" i="7"/>
  <c r="K554" i="7" s="1"/>
  <c r="E554" i="7"/>
  <c r="G554" i="7" s="1"/>
  <c r="M553" i="7"/>
  <c r="J553" i="7"/>
  <c r="I553" i="7"/>
  <c r="H553" i="7"/>
  <c r="F553" i="7"/>
  <c r="E553" i="7"/>
  <c r="G553" i="7" s="1"/>
  <c r="L552" i="7"/>
  <c r="K552" i="7"/>
  <c r="J552" i="7"/>
  <c r="M552" i="7" s="1"/>
  <c r="I552" i="7"/>
  <c r="H552" i="7"/>
  <c r="F552" i="7"/>
  <c r="E552" i="7"/>
  <c r="G552" i="7" s="1"/>
  <c r="M551" i="7"/>
  <c r="L551" i="7"/>
  <c r="K551" i="7"/>
  <c r="J551" i="7"/>
  <c r="I551" i="7"/>
  <c r="H551" i="7"/>
  <c r="G551" i="7"/>
  <c r="F551" i="7"/>
  <c r="E551" i="7"/>
  <c r="J550" i="7"/>
  <c r="I550" i="7"/>
  <c r="H550" i="7"/>
  <c r="F550" i="7"/>
  <c r="E550" i="7"/>
  <c r="G550" i="7" s="1"/>
  <c r="K549" i="7"/>
  <c r="J549" i="7"/>
  <c r="I549" i="7"/>
  <c r="H549" i="7"/>
  <c r="F549" i="7"/>
  <c r="E549" i="7"/>
  <c r="J548" i="7"/>
  <c r="I548" i="7"/>
  <c r="H548" i="7"/>
  <c r="G548" i="7"/>
  <c r="F548" i="7"/>
  <c r="E548" i="7"/>
  <c r="J547" i="7"/>
  <c r="I547" i="7"/>
  <c r="H547" i="7"/>
  <c r="F547" i="7"/>
  <c r="E547" i="7"/>
  <c r="M546" i="7"/>
  <c r="L546" i="7"/>
  <c r="J546" i="7"/>
  <c r="I546" i="7"/>
  <c r="H546" i="7"/>
  <c r="F546" i="7"/>
  <c r="K546" i="7" s="1"/>
  <c r="E546" i="7"/>
  <c r="G546" i="7" s="1"/>
  <c r="J545" i="7"/>
  <c r="I545" i="7"/>
  <c r="H545" i="7"/>
  <c r="G545" i="7"/>
  <c r="F545" i="7"/>
  <c r="L545" i="7" s="1"/>
  <c r="E545" i="7"/>
  <c r="M544" i="7"/>
  <c r="J544" i="7"/>
  <c r="I544" i="7"/>
  <c r="H544" i="7"/>
  <c r="K544" i="7" s="1"/>
  <c r="F544" i="7"/>
  <c r="L544" i="7" s="1"/>
  <c r="E544" i="7"/>
  <c r="G544" i="7" s="1"/>
  <c r="M543" i="7"/>
  <c r="L543" i="7"/>
  <c r="K543" i="7"/>
  <c r="J543" i="7"/>
  <c r="I543" i="7"/>
  <c r="H543" i="7"/>
  <c r="F543" i="7"/>
  <c r="E543" i="7"/>
  <c r="G543" i="7" s="1"/>
  <c r="M542" i="7"/>
  <c r="J542" i="7"/>
  <c r="I542" i="7"/>
  <c r="H542" i="7"/>
  <c r="K542" i="7" s="1"/>
  <c r="F542" i="7"/>
  <c r="G542" i="7" s="1"/>
  <c r="E542" i="7"/>
  <c r="K541" i="7"/>
  <c r="J541" i="7"/>
  <c r="I541" i="7"/>
  <c r="L541" i="7" s="1"/>
  <c r="H541" i="7"/>
  <c r="G541" i="7"/>
  <c r="F541" i="7"/>
  <c r="E541" i="7"/>
  <c r="J540" i="7"/>
  <c r="I540" i="7"/>
  <c r="H540" i="7"/>
  <c r="G540" i="7"/>
  <c r="F540" i="7"/>
  <c r="M540" i="7" s="1"/>
  <c r="E540" i="7"/>
  <c r="M539" i="7"/>
  <c r="J539" i="7"/>
  <c r="I539" i="7"/>
  <c r="L539" i="7" s="1"/>
  <c r="H539" i="7"/>
  <c r="K539" i="7" s="1"/>
  <c r="F539" i="7"/>
  <c r="E539" i="7"/>
  <c r="G539" i="7" s="1"/>
  <c r="J538" i="7"/>
  <c r="M538" i="7" s="1"/>
  <c r="I538" i="7"/>
  <c r="L538" i="7" s="1"/>
  <c r="H538" i="7"/>
  <c r="K538" i="7" s="1"/>
  <c r="G538" i="7"/>
  <c r="F538" i="7"/>
  <c r="E538" i="7"/>
  <c r="J537" i="7"/>
  <c r="I537" i="7"/>
  <c r="H537" i="7"/>
  <c r="F537" i="7"/>
  <c r="L537" i="7" s="1"/>
  <c r="E537" i="7"/>
  <c r="G537" i="7" s="1"/>
  <c r="J536" i="7"/>
  <c r="I536" i="7"/>
  <c r="H536" i="7"/>
  <c r="G536" i="7"/>
  <c r="F536" i="7"/>
  <c r="E536" i="7"/>
  <c r="L535" i="7"/>
  <c r="J535" i="7"/>
  <c r="I535" i="7"/>
  <c r="H535" i="7"/>
  <c r="F535" i="7"/>
  <c r="M535" i="7" s="1"/>
  <c r="E535" i="7"/>
  <c r="G535" i="7" s="1"/>
  <c r="L534" i="7"/>
  <c r="J534" i="7"/>
  <c r="I534" i="7"/>
  <c r="H534" i="7"/>
  <c r="F534" i="7"/>
  <c r="K534" i="7" s="1"/>
  <c r="E534" i="7"/>
  <c r="M533" i="7"/>
  <c r="L533" i="7"/>
  <c r="J533" i="7"/>
  <c r="I533" i="7"/>
  <c r="H533" i="7"/>
  <c r="G533" i="7"/>
  <c r="F533" i="7"/>
  <c r="K533" i="7" s="1"/>
  <c r="E533" i="7"/>
  <c r="L532" i="7"/>
  <c r="J532" i="7"/>
  <c r="M532" i="7" s="1"/>
  <c r="I532" i="7"/>
  <c r="H532" i="7"/>
  <c r="K532" i="7" s="1"/>
  <c r="F532" i="7"/>
  <c r="E532" i="7"/>
  <c r="G532" i="7" s="1"/>
  <c r="M531" i="7"/>
  <c r="L531" i="7"/>
  <c r="K531" i="7"/>
  <c r="J531" i="7"/>
  <c r="I531" i="7"/>
  <c r="H531" i="7"/>
  <c r="F531" i="7"/>
  <c r="E531" i="7"/>
  <c r="G531" i="7" s="1"/>
  <c r="K530" i="7"/>
  <c r="J530" i="7"/>
  <c r="I530" i="7"/>
  <c r="H530" i="7"/>
  <c r="F530" i="7"/>
  <c r="E530" i="7"/>
  <c r="J529" i="7"/>
  <c r="I529" i="7"/>
  <c r="H529" i="7"/>
  <c r="F529" i="7"/>
  <c r="E529" i="7"/>
  <c r="G529" i="7" s="1"/>
  <c r="J528" i="7"/>
  <c r="I528" i="7"/>
  <c r="H528" i="7"/>
  <c r="F528" i="7"/>
  <c r="E528" i="7"/>
  <c r="M527" i="7"/>
  <c r="J527" i="7"/>
  <c r="I527" i="7"/>
  <c r="H527" i="7"/>
  <c r="F527" i="7"/>
  <c r="E527" i="7"/>
  <c r="L526" i="7"/>
  <c r="J526" i="7"/>
  <c r="I526" i="7"/>
  <c r="H526" i="7"/>
  <c r="F526" i="7"/>
  <c r="K526" i="7" s="1"/>
  <c r="E526" i="7"/>
  <c r="G526" i="7" s="1"/>
  <c r="K525" i="7"/>
  <c r="J525" i="7"/>
  <c r="I525" i="7"/>
  <c r="H525" i="7"/>
  <c r="G525" i="7"/>
  <c r="F525" i="7"/>
  <c r="L525" i="7" s="1"/>
  <c r="E525" i="7"/>
  <c r="M524" i="7"/>
  <c r="K524" i="7"/>
  <c r="J524" i="7"/>
  <c r="I524" i="7"/>
  <c r="H524" i="7"/>
  <c r="F524" i="7"/>
  <c r="L524" i="7" s="1"/>
  <c r="E524" i="7"/>
  <c r="G524" i="7" s="1"/>
  <c r="M523" i="7"/>
  <c r="K523" i="7"/>
  <c r="J523" i="7"/>
  <c r="I523" i="7"/>
  <c r="L523" i="7" s="1"/>
  <c r="H523" i="7"/>
  <c r="F523" i="7"/>
  <c r="E523" i="7"/>
  <c r="G523" i="7" s="1"/>
  <c r="M522" i="7"/>
  <c r="L522" i="7"/>
  <c r="K522" i="7"/>
  <c r="J522" i="7"/>
  <c r="I522" i="7"/>
  <c r="H522" i="7"/>
  <c r="F522" i="7"/>
  <c r="G522" i="7" s="1"/>
  <c r="E522" i="7"/>
  <c r="K521" i="7"/>
  <c r="J521" i="7"/>
  <c r="I521" i="7"/>
  <c r="L521" i="7" s="1"/>
  <c r="H521" i="7"/>
  <c r="G521" i="7"/>
  <c r="F521" i="7"/>
  <c r="E521" i="7"/>
  <c r="J520" i="7"/>
  <c r="I520" i="7"/>
  <c r="H520" i="7"/>
  <c r="G520" i="7"/>
  <c r="F520" i="7"/>
  <c r="M520" i="7" s="1"/>
  <c r="E520" i="7"/>
  <c r="M519" i="7"/>
  <c r="J519" i="7"/>
  <c r="I519" i="7"/>
  <c r="L519" i="7" s="1"/>
  <c r="H519" i="7"/>
  <c r="K519" i="7" s="1"/>
  <c r="F519" i="7"/>
  <c r="E519" i="7"/>
  <c r="G519" i="7" s="1"/>
  <c r="J518" i="7"/>
  <c r="M518" i="7" s="1"/>
  <c r="I518" i="7"/>
  <c r="L518" i="7" s="1"/>
  <c r="H518" i="7"/>
  <c r="K518" i="7" s="1"/>
  <c r="F518" i="7"/>
  <c r="E518" i="7"/>
  <c r="G518" i="7" s="1"/>
  <c r="J517" i="7"/>
  <c r="I517" i="7"/>
  <c r="H517" i="7"/>
  <c r="K517" i="7" s="1"/>
  <c r="G517" i="7"/>
  <c r="F517" i="7"/>
  <c r="L517" i="7" s="1"/>
  <c r="E517" i="7"/>
  <c r="J516" i="7"/>
  <c r="I516" i="7"/>
  <c r="H516" i="7"/>
  <c r="F516" i="7"/>
  <c r="E516" i="7"/>
  <c r="G516" i="7" s="1"/>
  <c r="L515" i="7"/>
  <c r="K515" i="7"/>
  <c r="J515" i="7"/>
  <c r="I515" i="7"/>
  <c r="H515" i="7"/>
  <c r="F515" i="7"/>
  <c r="M515" i="7" s="1"/>
  <c r="E515" i="7"/>
  <c r="G515" i="7" s="1"/>
  <c r="L514" i="7"/>
  <c r="J514" i="7"/>
  <c r="M514" i="7" s="1"/>
  <c r="I514" i="7"/>
  <c r="H514" i="7"/>
  <c r="F514" i="7"/>
  <c r="K514" i="7" s="1"/>
  <c r="E514" i="7"/>
  <c r="M513" i="7"/>
  <c r="J513" i="7"/>
  <c r="I513" i="7"/>
  <c r="L513" i="7" s="1"/>
  <c r="H513" i="7"/>
  <c r="G513" i="7"/>
  <c r="F513" i="7"/>
  <c r="K513" i="7" s="1"/>
  <c r="E513" i="7"/>
  <c r="L512" i="7"/>
  <c r="K512" i="7"/>
  <c r="J512" i="7"/>
  <c r="M512" i="7" s="1"/>
  <c r="I512" i="7"/>
  <c r="H512" i="7"/>
  <c r="F512" i="7"/>
  <c r="E512" i="7"/>
  <c r="G512" i="7" s="1"/>
  <c r="M511" i="7"/>
  <c r="L511" i="7"/>
  <c r="K511" i="7"/>
  <c r="J511" i="7"/>
  <c r="I511" i="7"/>
  <c r="H511" i="7"/>
  <c r="F511" i="7"/>
  <c r="E511" i="7"/>
  <c r="G511" i="7" s="1"/>
  <c r="J510" i="7"/>
  <c r="I510" i="7"/>
  <c r="H510" i="7"/>
  <c r="F510" i="7"/>
  <c r="E510" i="7"/>
  <c r="G510" i="7" s="1"/>
  <c r="J509" i="7"/>
  <c r="I509" i="7"/>
  <c r="H509" i="7"/>
  <c r="F509" i="7"/>
  <c r="E509" i="7"/>
  <c r="L508" i="7"/>
  <c r="J508" i="7"/>
  <c r="I508" i="7"/>
  <c r="H508" i="7"/>
  <c r="G508" i="7"/>
  <c r="F508" i="7"/>
  <c r="E508" i="7"/>
  <c r="M507" i="7"/>
  <c r="J507" i="7"/>
  <c r="I507" i="7"/>
  <c r="H507" i="7"/>
  <c r="F507" i="7"/>
  <c r="E507" i="7"/>
  <c r="L506" i="7"/>
  <c r="J506" i="7"/>
  <c r="I506" i="7"/>
  <c r="H506" i="7"/>
  <c r="G506" i="7"/>
  <c r="F506" i="7"/>
  <c r="K506" i="7" s="1"/>
  <c r="E506" i="7"/>
  <c r="J505" i="7"/>
  <c r="I505" i="7"/>
  <c r="H505" i="7"/>
  <c r="F505" i="7"/>
  <c r="L505" i="7" s="1"/>
  <c r="E505" i="7"/>
  <c r="G505" i="7" s="1"/>
  <c r="M504" i="7"/>
  <c r="K504" i="7"/>
  <c r="J504" i="7"/>
  <c r="I504" i="7"/>
  <c r="H504" i="7"/>
  <c r="F504" i="7"/>
  <c r="L504" i="7" s="1"/>
  <c r="E504" i="7"/>
  <c r="G504" i="7" s="1"/>
  <c r="M503" i="7"/>
  <c r="L503" i="7"/>
  <c r="K503" i="7"/>
  <c r="J503" i="7"/>
  <c r="I503" i="7"/>
  <c r="H503" i="7"/>
  <c r="F503" i="7"/>
  <c r="E503" i="7"/>
  <c r="G503" i="7" s="1"/>
  <c r="K502" i="7"/>
  <c r="J502" i="7"/>
  <c r="I502" i="7"/>
  <c r="H502" i="7"/>
  <c r="F502" i="7"/>
  <c r="M502" i="7" s="1"/>
  <c r="E502" i="7"/>
  <c r="G502" i="7" s="1"/>
  <c r="K501" i="7"/>
  <c r="J501" i="7"/>
  <c r="I501" i="7"/>
  <c r="L501" i="7" s="1"/>
  <c r="H501" i="7"/>
  <c r="G501" i="7"/>
  <c r="F501" i="7"/>
  <c r="E501" i="7"/>
  <c r="J500" i="7"/>
  <c r="I500" i="7"/>
  <c r="H500" i="7"/>
  <c r="F500" i="7"/>
  <c r="M500" i="7" s="1"/>
  <c r="E500" i="7"/>
  <c r="M499" i="7"/>
  <c r="J499" i="7"/>
  <c r="I499" i="7"/>
  <c r="L499" i="7" s="1"/>
  <c r="H499" i="7"/>
  <c r="K499" i="7" s="1"/>
  <c r="F499" i="7"/>
  <c r="E499" i="7"/>
  <c r="G499" i="7" s="1"/>
  <c r="J498" i="7"/>
  <c r="M498" i="7" s="1"/>
  <c r="I498" i="7"/>
  <c r="L498" i="7" s="1"/>
  <c r="H498" i="7"/>
  <c r="K498" i="7" s="1"/>
  <c r="G498" i="7"/>
  <c r="F498" i="7"/>
  <c r="E498" i="7"/>
  <c r="J497" i="7"/>
  <c r="I497" i="7"/>
  <c r="H497" i="7"/>
  <c r="F497" i="7"/>
  <c r="L497" i="7" s="1"/>
  <c r="E497" i="7"/>
  <c r="G497" i="7" s="1"/>
  <c r="J496" i="7"/>
  <c r="I496" i="7"/>
  <c r="H496" i="7"/>
  <c r="F496" i="7"/>
  <c r="E496" i="7"/>
  <c r="G496" i="7" s="1"/>
  <c r="L495" i="7"/>
  <c r="K495" i="7"/>
  <c r="J495" i="7"/>
  <c r="I495" i="7"/>
  <c r="H495" i="7"/>
  <c r="F495" i="7"/>
  <c r="M495" i="7" s="1"/>
  <c r="E495" i="7"/>
  <c r="J494" i="7"/>
  <c r="I494" i="7"/>
  <c r="H494" i="7"/>
  <c r="F494" i="7"/>
  <c r="K494" i="7" s="1"/>
  <c r="E494" i="7"/>
  <c r="L493" i="7"/>
  <c r="J493" i="7"/>
  <c r="M493" i="7" s="1"/>
  <c r="I493" i="7"/>
  <c r="H493" i="7"/>
  <c r="G493" i="7"/>
  <c r="F493" i="7"/>
  <c r="K493" i="7" s="1"/>
  <c r="E493" i="7"/>
  <c r="M492" i="7"/>
  <c r="L492" i="7"/>
  <c r="K492" i="7"/>
  <c r="J492" i="7"/>
  <c r="I492" i="7"/>
  <c r="H492" i="7"/>
  <c r="F492" i="7"/>
  <c r="E492" i="7"/>
  <c r="G492" i="7" s="1"/>
  <c r="M491" i="7"/>
  <c r="L491" i="7"/>
  <c r="K491" i="7"/>
  <c r="J491" i="7"/>
  <c r="I491" i="7"/>
  <c r="H491" i="7"/>
  <c r="F491" i="7"/>
  <c r="E491" i="7"/>
  <c r="G491" i="7" s="1"/>
  <c r="J490" i="7"/>
  <c r="I490" i="7"/>
  <c r="H490" i="7"/>
  <c r="K490" i="7" s="1"/>
  <c r="F490" i="7"/>
  <c r="E490" i="7"/>
  <c r="G490" i="7" s="1"/>
  <c r="K489" i="7"/>
  <c r="J489" i="7"/>
  <c r="I489" i="7"/>
  <c r="H489" i="7"/>
  <c r="F489" i="7"/>
  <c r="E489" i="7"/>
  <c r="G489" i="7" s="1"/>
  <c r="J488" i="7"/>
  <c r="I488" i="7"/>
  <c r="H488" i="7"/>
  <c r="G488" i="7"/>
  <c r="F488" i="7"/>
  <c r="E488" i="7"/>
  <c r="M487" i="7"/>
  <c r="J487" i="7"/>
  <c r="I487" i="7"/>
  <c r="H487" i="7"/>
  <c r="G487" i="7"/>
  <c r="F487" i="7"/>
  <c r="E487" i="7"/>
  <c r="J486" i="7"/>
  <c r="I486" i="7"/>
  <c r="H486" i="7"/>
  <c r="F486" i="7"/>
  <c r="K486" i="7" s="1"/>
  <c r="E486" i="7"/>
  <c r="G486" i="7" s="1"/>
  <c r="J485" i="7"/>
  <c r="I485" i="7"/>
  <c r="H485" i="7"/>
  <c r="G485" i="7"/>
  <c r="F485" i="7"/>
  <c r="L485" i="7" s="1"/>
  <c r="E485" i="7"/>
  <c r="M484" i="7"/>
  <c r="K484" i="7"/>
  <c r="J484" i="7"/>
  <c r="I484" i="7"/>
  <c r="H484" i="7"/>
  <c r="F484" i="7"/>
  <c r="L484" i="7" s="1"/>
  <c r="E484" i="7"/>
  <c r="G484" i="7" s="1"/>
  <c r="M483" i="7"/>
  <c r="K483" i="7"/>
  <c r="J483" i="7"/>
  <c r="I483" i="7"/>
  <c r="L483" i="7" s="1"/>
  <c r="H483" i="7"/>
  <c r="F483" i="7"/>
  <c r="E483" i="7"/>
  <c r="G483" i="7" s="1"/>
  <c r="K482" i="7"/>
  <c r="J482" i="7"/>
  <c r="I482" i="7"/>
  <c r="H482" i="7"/>
  <c r="F482" i="7"/>
  <c r="M482" i="7" s="1"/>
  <c r="E482" i="7"/>
  <c r="G482" i="7" s="1"/>
  <c r="L481" i="7"/>
  <c r="K481" i="7"/>
  <c r="J481" i="7"/>
  <c r="I481" i="7"/>
  <c r="H481" i="7"/>
  <c r="G481" i="7"/>
  <c r="F481" i="7"/>
  <c r="M481" i="7" s="1"/>
  <c r="E481" i="7"/>
  <c r="J480" i="7"/>
  <c r="I480" i="7"/>
  <c r="H480" i="7"/>
  <c r="F480" i="7"/>
  <c r="M480" i="7" s="1"/>
  <c r="E480" i="7"/>
  <c r="M479" i="7"/>
  <c r="L479" i="7"/>
  <c r="K479" i="7"/>
  <c r="J479" i="7"/>
  <c r="I479" i="7"/>
  <c r="H479" i="7"/>
  <c r="G479" i="7"/>
  <c r="F479" i="7"/>
  <c r="E479" i="7"/>
  <c r="M478" i="7"/>
  <c r="L478" i="7"/>
  <c r="K478" i="7"/>
  <c r="J478" i="7"/>
  <c r="I478" i="7"/>
  <c r="H478" i="7"/>
  <c r="G478" i="7"/>
  <c r="F478" i="7"/>
  <c r="E478" i="7"/>
  <c r="M477" i="7"/>
  <c r="J477" i="7"/>
  <c r="I477" i="7"/>
  <c r="H477" i="7"/>
  <c r="K477" i="7" s="1"/>
  <c r="F477" i="7"/>
  <c r="L477" i="7" s="1"/>
  <c r="E477" i="7"/>
  <c r="G477" i="7" s="1"/>
  <c r="J476" i="7"/>
  <c r="I476" i="7"/>
  <c r="H476" i="7"/>
  <c r="F476" i="7"/>
  <c r="E476" i="7"/>
  <c r="G476" i="7" s="1"/>
  <c r="J475" i="7"/>
  <c r="I475" i="7"/>
  <c r="H475" i="7"/>
  <c r="F475" i="7"/>
  <c r="M475" i="7" s="1"/>
  <c r="E475" i="7"/>
  <c r="L474" i="7"/>
  <c r="J474" i="7"/>
  <c r="M474" i="7" s="1"/>
  <c r="I474" i="7"/>
  <c r="H474" i="7"/>
  <c r="F474" i="7"/>
  <c r="K474" i="7" s="1"/>
  <c r="E474" i="7"/>
  <c r="M473" i="7"/>
  <c r="L473" i="7"/>
  <c r="J473" i="7"/>
  <c r="I473" i="7"/>
  <c r="H473" i="7"/>
  <c r="G473" i="7"/>
  <c r="F473" i="7"/>
  <c r="K473" i="7" s="1"/>
  <c r="E473" i="7"/>
  <c r="L472" i="7"/>
  <c r="J472" i="7"/>
  <c r="M472" i="7" s="1"/>
  <c r="I472" i="7"/>
  <c r="H472" i="7"/>
  <c r="K472" i="7" s="1"/>
  <c r="F472" i="7"/>
  <c r="E472" i="7"/>
  <c r="G472" i="7" s="1"/>
  <c r="M471" i="7"/>
  <c r="L471" i="7"/>
  <c r="K471" i="7"/>
  <c r="J471" i="7"/>
  <c r="I471" i="7"/>
  <c r="H471" i="7"/>
  <c r="F471" i="7"/>
  <c r="E471" i="7"/>
  <c r="G471" i="7" s="1"/>
  <c r="K470" i="7"/>
  <c r="J470" i="7"/>
  <c r="I470" i="7"/>
  <c r="H470" i="7"/>
  <c r="F470" i="7"/>
  <c r="E470" i="7"/>
  <c r="J469" i="7"/>
  <c r="I469" i="7"/>
  <c r="L469" i="7" s="1"/>
  <c r="H469" i="7"/>
  <c r="K469" i="7" s="1"/>
  <c r="F469" i="7"/>
  <c r="E469" i="7"/>
  <c r="G469" i="7" s="1"/>
  <c r="J468" i="7"/>
  <c r="I468" i="7"/>
  <c r="H468" i="7"/>
  <c r="F468" i="7"/>
  <c r="E468" i="7"/>
  <c r="M467" i="7"/>
  <c r="J467" i="7"/>
  <c r="I467" i="7"/>
  <c r="H467" i="7"/>
  <c r="G467" i="7"/>
  <c r="F467" i="7"/>
  <c r="E467" i="7"/>
  <c r="M466" i="7"/>
  <c r="L466" i="7"/>
  <c r="J466" i="7"/>
  <c r="I466" i="7"/>
  <c r="H466" i="7"/>
  <c r="G466" i="7"/>
  <c r="F466" i="7"/>
  <c r="K466" i="7" s="1"/>
  <c r="E466" i="7"/>
  <c r="J465" i="7"/>
  <c r="I465" i="7"/>
  <c r="H465" i="7"/>
  <c r="G465" i="7"/>
  <c r="F465" i="7"/>
  <c r="L465" i="7" s="1"/>
  <c r="E465" i="7"/>
  <c r="M464" i="7"/>
  <c r="J464" i="7"/>
  <c r="I464" i="7"/>
  <c r="H464" i="7"/>
  <c r="K464" i="7" s="1"/>
  <c r="F464" i="7"/>
  <c r="L464" i="7" s="1"/>
  <c r="E464" i="7"/>
  <c r="G464" i="7" s="1"/>
  <c r="M463" i="7"/>
  <c r="L463" i="7"/>
  <c r="K463" i="7"/>
  <c r="J463" i="7"/>
  <c r="I463" i="7"/>
  <c r="H463" i="7"/>
  <c r="F463" i="7"/>
  <c r="E463" i="7"/>
  <c r="G463" i="7" s="1"/>
  <c r="M462" i="7"/>
  <c r="K462" i="7"/>
  <c r="J462" i="7"/>
  <c r="I462" i="7"/>
  <c r="H462" i="7"/>
  <c r="F462" i="7"/>
  <c r="L462" i="7" s="1"/>
  <c r="E462" i="7"/>
  <c r="L461" i="7"/>
  <c r="K461" i="7"/>
  <c r="J461" i="7"/>
  <c r="I461" i="7"/>
  <c r="H461" i="7"/>
  <c r="G461" i="7"/>
  <c r="F461" i="7"/>
  <c r="M461" i="7" s="1"/>
  <c r="E461" i="7"/>
  <c r="J460" i="7"/>
  <c r="I460" i="7"/>
  <c r="H460" i="7"/>
  <c r="G460" i="7"/>
  <c r="F460" i="7"/>
  <c r="M460" i="7" s="1"/>
  <c r="E460" i="7"/>
  <c r="M459" i="7"/>
  <c r="L459" i="7"/>
  <c r="K459" i="7"/>
  <c r="J459" i="7"/>
  <c r="I459" i="7"/>
  <c r="H459" i="7"/>
  <c r="G459" i="7"/>
  <c r="F459" i="7"/>
  <c r="E459" i="7"/>
  <c r="K458" i="7"/>
  <c r="J458" i="7"/>
  <c r="M458" i="7" s="1"/>
  <c r="I458" i="7"/>
  <c r="L458" i="7" s="1"/>
  <c r="H458" i="7"/>
  <c r="F458" i="7"/>
  <c r="E458" i="7"/>
  <c r="G458" i="7" s="1"/>
  <c r="M457" i="7"/>
  <c r="K457" i="7"/>
  <c r="J457" i="7"/>
  <c r="I457" i="7"/>
  <c r="H457" i="7"/>
  <c r="F457" i="7"/>
  <c r="L457" i="7" s="1"/>
  <c r="E457" i="7"/>
  <c r="G457" i="7" s="1"/>
  <c r="J456" i="7"/>
  <c r="I456" i="7"/>
  <c r="L456" i="7" s="1"/>
  <c r="H456" i="7"/>
  <c r="F456" i="7"/>
  <c r="E456" i="7"/>
  <c r="G456" i="7" s="1"/>
  <c r="J455" i="7"/>
  <c r="I455" i="7"/>
  <c r="H455" i="7"/>
  <c r="F455" i="7"/>
  <c r="M455" i="7" s="1"/>
  <c r="E455" i="7"/>
  <c r="G455" i="7" s="1"/>
  <c r="J454" i="7"/>
  <c r="I454" i="7"/>
  <c r="H454" i="7"/>
  <c r="G454" i="7"/>
  <c r="F454" i="7"/>
  <c r="K454" i="7" s="1"/>
  <c r="E454" i="7"/>
  <c r="M453" i="7"/>
  <c r="L453" i="7"/>
  <c r="J453" i="7"/>
  <c r="I453" i="7"/>
  <c r="H453" i="7"/>
  <c r="G453" i="7"/>
  <c r="F453" i="7"/>
  <c r="K453" i="7" s="1"/>
  <c r="E453" i="7"/>
  <c r="M452" i="7"/>
  <c r="L452" i="7"/>
  <c r="K452" i="7"/>
  <c r="J452" i="7"/>
  <c r="I452" i="7"/>
  <c r="H452" i="7"/>
  <c r="F452" i="7"/>
  <c r="E452" i="7"/>
  <c r="G452" i="7" s="1"/>
  <c r="L451" i="7"/>
  <c r="J451" i="7"/>
  <c r="M451" i="7" s="1"/>
  <c r="I451" i="7"/>
  <c r="H451" i="7"/>
  <c r="K451" i="7" s="1"/>
  <c r="F451" i="7"/>
  <c r="E451" i="7"/>
  <c r="G451" i="7" s="1"/>
  <c r="J450" i="7"/>
  <c r="I450" i="7"/>
  <c r="H450" i="7"/>
  <c r="F450" i="7"/>
  <c r="E450" i="7"/>
  <c r="L449" i="7"/>
  <c r="K449" i="7"/>
  <c r="J449" i="7"/>
  <c r="I449" i="7"/>
  <c r="H449" i="7"/>
  <c r="F449" i="7"/>
  <c r="M449" i="7" s="1"/>
  <c r="E449" i="7"/>
  <c r="G449" i="7" s="1"/>
  <c r="L448" i="7"/>
  <c r="J448" i="7"/>
  <c r="I448" i="7"/>
  <c r="H448" i="7"/>
  <c r="F448" i="7"/>
  <c r="E448" i="7"/>
  <c r="J447" i="7"/>
  <c r="I447" i="7"/>
  <c r="H447" i="7"/>
  <c r="G447" i="7"/>
  <c r="F447" i="7"/>
  <c r="E447" i="7"/>
  <c r="J446" i="7"/>
  <c r="I446" i="7"/>
  <c r="H446" i="7"/>
  <c r="G446" i="7"/>
  <c r="F446" i="7"/>
  <c r="K446" i="7" s="1"/>
  <c r="E446" i="7"/>
  <c r="M445" i="7"/>
  <c r="K445" i="7"/>
  <c r="J445" i="7"/>
  <c r="I445" i="7"/>
  <c r="H445" i="7"/>
  <c r="G445" i="7"/>
  <c r="F445" i="7"/>
  <c r="L445" i="7" s="1"/>
  <c r="E445" i="7"/>
  <c r="M444" i="7"/>
  <c r="K444" i="7"/>
  <c r="J444" i="7"/>
  <c r="I444" i="7"/>
  <c r="H444" i="7"/>
  <c r="F444" i="7"/>
  <c r="L444" i="7" s="1"/>
  <c r="E444" i="7"/>
  <c r="G444" i="7" s="1"/>
  <c r="K443" i="7"/>
  <c r="J443" i="7"/>
  <c r="I443" i="7"/>
  <c r="H443" i="7"/>
  <c r="F443" i="7"/>
  <c r="M443" i="7" s="1"/>
  <c r="E443" i="7"/>
  <c r="J442" i="7"/>
  <c r="I442" i="7"/>
  <c r="H442" i="7"/>
  <c r="F442" i="7"/>
  <c r="M442" i="7" s="1"/>
  <c r="E442" i="7"/>
  <c r="L441" i="7"/>
  <c r="K441" i="7"/>
  <c r="J441" i="7"/>
  <c r="I441" i="7"/>
  <c r="H441" i="7"/>
  <c r="G441" i="7"/>
  <c r="F441" i="7"/>
  <c r="M441" i="7" s="1"/>
  <c r="E441" i="7"/>
  <c r="M440" i="7"/>
  <c r="L440" i="7"/>
  <c r="K440" i="7"/>
  <c r="J440" i="7"/>
  <c r="I440" i="7"/>
  <c r="H440" i="7"/>
  <c r="G440" i="7"/>
  <c r="F440" i="7"/>
  <c r="E440" i="7"/>
  <c r="M439" i="7"/>
  <c r="L439" i="7"/>
  <c r="K439" i="7"/>
  <c r="J439" i="7"/>
  <c r="I439" i="7"/>
  <c r="H439" i="7"/>
  <c r="G439" i="7"/>
  <c r="F439" i="7"/>
  <c r="E439" i="7"/>
  <c r="J438" i="7"/>
  <c r="M438" i="7" s="1"/>
  <c r="I438" i="7"/>
  <c r="L438" i="7" s="1"/>
  <c r="H438" i="7"/>
  <c r="K438" i="7" s="1"/>
  <c r="G438" i="7"/>
  <c r="F438" i="7"/>
  <c r="E438" i="7"/>
  <c r="J437" i="7"/>
  <c r="I437" i="7"/>
  <c r="H437" i="7"/>
  <c r="F437" i="7"/>
  <c r="L437" i="7" s="1"/>
  <c r="E437" i="7"/>
  <c r="G437" i="7" s="1"/>
  <c r="J436" i="7"/>
  <c r="I436" i="7"/>
  <c r="H436" i="7"/>
  <c r="F436" i="7"/>
  <c r="E436" i="7"/>
  <c r="G436" i="7" s="1"/>
  <c r="L435" i="7"/>
  <c r="K435" i="7"/>
  <c r="J435" i="7"/>
  <c r="I435" i="7"/>
  <c r="H435" i="7"/>
  <c r="F435" i="7"/>
  <c r="M435" i="7" s="1"/>
  <c r="E435" i="7"/>
  <c r="J434" i="7"/>
  <c r="I434" i="7"/>
  <c r="H434" i="7"/>
  <c r="G434" i="7"/>
  <c r="F434" i="7"/>
  <c r="K434" i="7" s="1"/>
  <c r="E434" i="7"/>
  <c r="M433" i="7"/>
  <c r="J433" i="7"/>
  <c r="I433" i="7"/>
  <c r="L433" i="7" s="1"/>
  <c r="H433" i="7"/>
  <c r="G433" i="7"/>
  <c r="F433" i="7"/>
  <c r="K433" i="7" s="1"/>
  <c r="E433" i="7"/>
  <c r="M432" i="7"/>
  <c r="L432" i="7"/>
  <c r="K432" i="7"/>
  <c r="J432" i="7"/>
  <c r="I432" i="7"/>
  <c r="H432" i="7"/>
  <c r="F432" i="7"/>
  <c r="E432" i="7"/>
  <c r="G432" i="7" s="1"/>
  <c r="M431" i="7"/>
  <c r="L431" i="7"/>
  <c r="K431" i="7"/>
  <c r="J431" i="7"/>
  <c r="I431" i="7"/>
  <c r="H431" i="7"/>
  <c r="F431" i="7"/>
  <c r="E431" i="7"/>
  <c r="G431" i="7" s="1"/>
  <c r="K430" i="7"/>
  <c r="J430" i="7"/>
  <c r="I430" i="7"/>
  <c r="H430" i="7"/>
  <c r="F430" i="7"/>
  <c r="E430" i="7"/>
  <c r="G430" i="7" s="1"/>
  <c r="J429" i="7"/>
  <c r="I429" i="7"/>
  <c r="H429" i="7"/>
  <c r="F429" i="7"/>
  <c r="M429" i="7" s="1"/>
  <c r="E429" i="7"/>
  <c r="G429" i="7" s="1"/>
  <c r="J428" i="7"/>
  <c r="I428" i="7"/>
  <c r="H428" i="7"/>
  <c r="F428" i="7"/>
  <c r="E428" i="7"/>
  <c r="J427" i="7"/>
  <c r="M427" i="7" s="1"/>
  <c r="I427" i="7"/>
  <c r="H427" i="7"/>
  <c r="F427" i="7"/>
  <c r="E427" i="7"/>
  <c r="J426" i="7"/>
  <c r="I426" i="7"/>
  <c r="H426" i="7"/>
  <c r="G426" i="7"/>
  <c r="F426" i="7"/>
  <c r="K426" i="7" s="1"/>
  <c r="E426" i="7"/>
  <c r="J425" i="7"/>
  <c r="I425" i="7"/>
  <c r="H425" i="7"/>
  <c r="F425" i="7"/>
  <c r="E425" i="7"/>
  <c r="G425" i="7" s="1"/>
  <c r="M424" i="7"/>
  <c r="K424" i="7"/>
  <c r="J424" i="7"/>
  <c r="I424" i="7"/>
  <c r="H424" i="7"/>
  <c r="F424" i="7"/>
  <c r="L424" i="7" s="1"/>
  <c r="E424" i="7"/>
  <c r="G424" i="7" s="1"/>
  <c r="M423" i="7"/>
  <c r="K423" i="7"/>
  <c r="J423" i="7"/>
  <c r="I423" i="7"/>
  <c r="H423" i="7"/>
  <c r="F423" i="7"/>
  <c r="L423" i="7" s="1"/>
  <c r="E423" i="7"/>
  <c r="M422" i="7"/>
  <c r="K422" i="7"/>
  <c r="J422" i="7"/>
  <c r="I422" i="7"/>
  <c r="L422" i="7" s="1"/>
  <c r="H422" i="7"/>
  <c r="F422" i="7"/>
  <c r="E422" i="7"/>
  <c r="G422" i="7" s="1"/>
  <c r="K421" i="7"/>
  <c r="J421" i="7"/>
  <c r="I421" i="7"/>
  <c r="L421" i="7" s="1"/>
  <c r="H421" i="7"/>
  <c r="G421" i="7"/>
  <c r="F421" i="7"/>
  <c r="M421" i="7" s="1"/>
  <c r="E421" i="7"/>
  <c r="J420" i="7"/>
  <c r="I420" i="7"/>
  <c r="H420" i="7"/>
  <c r="F420" i="7"/>
  <c r="E420" i="7"/>
  <c r="M419" i="7"/>
  <c r="L419" i="7"/>
  <c r="K419" i="7"/>
  <c r="J419" i="7"/>
  <c r="I419" i="7"/>
  <c r="H419" i="7"/>
  <c r="F419" i="7"/>
  <c r="E419" i="7"/>
  <c r="G419" i="7" s="1"/>
  <c r="M418" i="7"/>
  <c r="K418" i="7"/>
  <c r="J418" i="7"/>
  <c r="I418" i="7"/>
  <c r="L418" i="7" s="1"/>
  <c r="H418" i="7"/>
  <c r="F418" i="7"/>
  <c r="E418" i="7"/>
  <c r="G418" i="7" s="1"/>
  <c r="M417" i="7"/>
  <c r="K417" i="7"/>
  <c r="J417" i="7"/>
  <c r="I417" i="7"/>
  <c r="H417" i="7"/>
  <c r="G417" i="7"/>
  <c r="F417" i="7"/>
  <c r="L417" i="7" s="1"/>
  <c r="E417" i="7"/>
  <c r="J416" i="7"/>
  <c r="I416" i="7"/>
  <c r="H416" i="7"/>
  <c r="F416" i="7"/>
  <c r="M416" i="7" s="1"/>
  <c r="E416" i="7"/>
  <c r="G416" i="7" s="1"/>
  <c r="J415" i="7"/>
  <c r="I415" i="7"/>
  <c r="H415" i="7"/>
  <c r="F415" i="7"/>
  <c r="E415" i="7"/>
  <c r="L414" i="7"/>
  <c r="J414" i="7"/>
  <c r="M414" i="7" s="1"/>
  <c r="I414" i="7"/>
  <c r="H414" i="7"/>
  <c r="F414" i="7"/>
  <c r="K414" i="7" s="1"/>
  <c r="E414" i="7"/>
  <c r="G414" i="7" s="1"/>
  <c r="L413" i="7"/>
  <c r="J413" i="7"/>
  <c r="M413" i="7" s="1"/>
  <c r="I413" i="7"/>
  <c r="H413" i="7"/>
  <c r="G413" i="7"/>
  <c r="F413" i="7"/>
  <c r="K413" i="7" s="1"/>
  <c r="E413" i="7"/>
  <c r="L412" i="7"/>
  <c r="K412" i="7"/>
  <c r="J412" i="7"/>
  <c r="M412" i="7" s="1"/>
  <c r="I412" i="7"/>
  <c r="H412" i="7"/>
  <c r="G412" i="7"/>
  <c r="F412" i="7"/>
  <c r="E412" i="7"/>
  <c r="L411" i="7"/>
  <c r="J411" i="7"/>
  <c r="M411" i="7" s="1"/>
  <c r="I411" i="7"/>
  <c r="H411" i="7"/>
  <c r="K411" i="7" s="1"/>
  <c r="F411" i="7"/>
  <c r="E411" i="7"/>
  <c r="G411" i="7" s="1"/>
  <c r="J410" i="7"/>
  <c r="I410" i="7"/>
  <c r="H410" i="7"/>
  <c r="K410" i="7" s="1"/>
  <c r="F410" i="7"/>
  <c r="M410" i="7" s="1"/>
  <c r="E410" i="7"/>
  <c r="L409" i="7"/>
  <c r="K409" i="7"/>
  <c r="J409" i="7"/>
  <c r="I409" i="7"/>
  <c r="H409" i="7"/>
  <c r="F409" i="7"/>
  <c r="M409" i="7" s="1"/>
  <c r="E409" i="7"/>
  <c r="G409" i="7" s="1"/>
  <c r="J408" i="7"/>
  <c r="I408" i="7"/>
  <c r="H408" i="7"/>
  <c r="G408" i="7"/>
  <c r="F408" i="7"/>
  <c r="E408" i="7"/>
  <c r="M407" i="7"/>
  <c r="L407" i="7"/>
  <c r="J407" i="7"/>
  <c r="I407" i="7"/>
  <c r="H407" i="7"/>
  <c r="F407" i="7"/>
  <c r="K407" i="7" s="1"/>
  <c r="E407" i="7"/>
  <c r="J406" i="7"/>
  <c r="I406" i="7"/>
  <c r="H406" i="7"/>
  <c r="F406" i="7"/>
  <c r="K406" i="7" s="1"/>
  <c r="E406" i="7"/>
  <c r="G406" i="7" s="1"/>
  <c r="J405" i="7"/>
  <c r="I405" i="7"/>
  <c r="H405" i="7"/>
  <c r="K405" i="7" s="1"/>
  <c r="F405" i="7"/>
  <c r="L405" i="7" s="1"/>
  <c r="E405" i="7"/>
  <c r="G405" i="7" s="1"/>
  <c r="M404" i="7"/>
  <c r="K404" i="7"/>
  <c r="J404" i="7"/>
  <c r="I404" i="7"/>
  <c r="H404" i="7"/>
  <c r="F404" i="7"/>
  <c r="L404" i="7" s="1"/>
  <c r="E404" i="7"/>
  <c r="L403" i="7"/>
  <c r="J403" i="7"/>
  <c r="I403" i="7"/>
  <c r="H403" i="7"/>
  <c r="F403" i="7"/>
  <c r="M403" i="7" s="1"/>
  <c r="E403" i="7"/>
  <c r="G403" i="7" s="1"/>
  <c r="L402" i="7"/>
  <c r="K402" i="7"/>
  <c r="J402" i="7"/>
  <c r="I402" i="7"/>
  <c r="H402" i="7"/>
  <c r="F402" i="7"/>
  <c r="M402" i="7" s="1"/>
  <c r="E402" i="7"/>
  <c r="G402" i="7" s="1"/>
  <c r="J401" i="7"/>
  <c r="I401" i="7"/>
  <c r="H401" i="7"/>
  <c r="F401" i="7"/>
  <c r="M401" i="7" s="1"/>
  <c r="E401" i="7"/>
  <c r="J400" i="7"/>
  <c r="I400" i="7"/>
  <c r="H400" i="7"/>
  <c r="F400" i="7"/>
  <c r="E400" i="7"/>
  <c r="K399" i="7"/>
  <c r="J399" i="7"/>
  <c r="M399" i="7" s="1"/>
  <c r="I399" i="7"/>
  <c r="L399" i="7" s="1"/>
  <c r="H399" i="7"/>
  <c r="F399" i="7"/>
  <c r="E399" i="7"/>
  <c r="G399" i="7" s="1"/>
  <c r="M398" i="7"/>
  <c r="L398" i="7"/>
  <c r="K398" i="7"/>
  <c r="J398" i="7"/>
  <c r="I398" i="7"/>
  <c r="H398" i="7"/>
  <c r="F398" i="7"/>
  <c r="E398" i="7"/>
  <c r="G398" i="7" s="1"/>
  <c r="M397" i="7"/>
  <c r="K397" i="7"/>
  <c r="J397" i="7"/>
  <c r="I397" i="7"/>
  <c r="H397" i="7"/>
  <c r="G397" i="7"/>
  <c r="F397" i="7"/>
  <c r="E397" i="7"/>
  <c r="J396" i="7"/>
  <c r="I396" i="7"/>
  <c r="H396" i="7"/>
  <c r="F396" i="7"/>
  <c r="M396" i="7" s="1"/>
  <c r="E396" i="7"/>
  <c r="G396" i="7" s="1"/>
  <c r="J395" i="7"/>
  <c r="I395" i="7"/>
  <c r="H395" i="7"/>
  <c r="G395" i="7"/>
  <c r="F395" i="7"/>
  <c r="M395" i="7" s="1"/>
  <c r="E395" i="7"/>
  <c r="J394" i="7"/>
  <c r="I394" i="7"/>
  <c r="H394" i="7"/>
  <c r="F394" i="7"/>
  <c r="K394" i="7" s="1"/>
  <c r="E394" i="7"/>
  <c r="G394" i="7" s="1"/>
  <c r="M393" i="7"/>
  <c r="J393" i="7"/>
  <c r="I393" i="7"/>
  <c r="L393" i="7" s="1"/>
  <c r="H393" i="7"/>
  <c r="F393" i="7"/>
  <c r="K393" i="7" s="1"/>
  <c r="E393" i="7"/>
  <c r="G393" i="7" s="1"/>
  <c r="M392" i="7"/>
  <c r="L392" i="7"/>
  <c r="K392" i="7"/>
  <c r="J392" i="7"/>
  <c r="I392" i="7"/>
  <c r="H392" i="7"/>
  <c r="G392" i="7"/>
  <c r="F392" i="7"/>
  <c r="E392" i="7"/>
  <c r="L391" i="7"/>
  <c r="J391" i="7"/>
  <c r="M391" i="7" s="1"/>
  <c r="I391" i="7"/>
  <c r="H391" i="7"/>
  <c r="K391" i="7" s="1"/>
  <c r="G391" i="7"/>
  <c r="F391" i="7"/>
  <c r="E391" i="7"/>
  <c r="J390" i="7"/>
  <c r="I390" i="7"/>
  <c r="L390" i="7" s="1"/>
  <c r="H390" i="7"/>
  <c r="K390" i="7" s="1"/>
  <c r="F390" i="7"/>
  <c r="E390" i="7"/>
  <c r="J389" i="7"/>
  <c r="I389" i="7"/>
  <c r="H389" i="7"/>
  <c r="F389" i="7"/>
  <c r="M389" i="7" s="1"/>
  <c r="E389" i="7"/>
  <c r="G389" i="7" s="1"/>
  <c r="J388" i="7"/>
  <c r="I388" i="7"/>
  <c r="H388" i="7"/>
  <c r="F388" i="7"/>
  <c r="E388" i="7"/>
  <c r="M387" i="7"/>
  <c r="L387" i="7"/>
  <c r="K387" i="7"/>
  <c r="J387" i="7"/>
  <c r="I387" i="7"/>
  <c r="H387" i="7"/>
  <c r="F387" i="7"/>
  <c r="G387" i="7" s="1"/>
  <c r="E387" i="7"/>
  <c r="L386" i="7"/>
  <c r="J386" i="7"/>
  <c r="I386" i="7"/>
  <c r="H386" i="7"/>
  <c r="F386" i="7"/>
  <c r="K386" i="7" s="1"/>
  <c r="E386" i="7"/>
  <c r="J385" i="7"/>
  <c r="I385" i="7"/>
  <c r="H385" i="7"/>
  <c r="K385" i="7" s="1"/>
  <c r="G385" i="7"/>
  <c r="F385" i="7"/>
  <c r="M385" i="7" s="1"/>
  <c r="E385" i="7"/>
  <c r="J384" i="7"/>
  <c r="I384" i="7"/>
  <c r="H384" i="7"/>
  <c r="F384" i="7"/>
  <c r="L384" i="7" s="1"/>
  <c r="E384" i="7"/>
  <c r="M383" i="7"/>
  <c r="J383" i="7"/>
  <c r="I383" i="7"/>
  <c r="H383" i="7"/>
  <c r="G383" i="7"/>
  <c r="F383" i="7"/>
  <c r="L383" i="7" s="1"/>
  <c r="E383" i="7"/>
  <c r="M382" i="7"/>
  <c r="L382" i="7"/>
  <c r="K382" i="7"/>
  <c r="J382" i="7"/>
  <c r="I382" i="7"/>
  <c r="H382" i="7"/>
  <c r="G382" i="7"/>
  <c r="F382" i="7"/>
  <c r="E382" i="7"/>
  <c r="M381" i="7"/>
  <c r="K381" i="7"/>
  <c r="J381" i="7"/>
  <c r="I381" i="7"/>
  <c r="L381" i="7" s="1"/>
  <c r="H381" i="7"/>
  <c r="F381" i="7"/>
  <c r="E381" i="7"/>
  <c r="G381" i="7" s="1"/>
  <c r="L380" i="7"/>
  <c r="K380" i="7"/>
  <c r="J380" i="7"/>
  <c r="M380" i="7" s="1"/>
  <c r="I380" i="7"/>
  <c r="H380" i="7"/>
  <c r="G380" i="7"/>
  <c r="F380" i="7"/>
  <c r="E380" i="7"/>
  <c r="J379" i="7"/>
  <c r="M379" i="7" s="1"/>
  <c r="I379" i="7"/>
  <c r="L379" i="7" s="1"/>
  <c r="H379" i="7"/>
  <c r="K379" i="7" s="1"/>
  <c r="F379" i="7"/>
  <c r="E379" i="7"/>
  <c r="G379" i="7" s="1"/>
  <c r="M378" i="7"/>
  <c r="L378" i="7"/>
  <c r="K378" i="7"/>
  <c r="J378" i="7"/>
  <c r="I378" i="7"/>
  <c r="H378" i="7"/>
  <c r="G378" i="7"/>
  <c r="F378" i="7"/>
  <c r="E378" i="7"/>
  <c r="J377" i="7"/>
  <c r="I377" i="7"/>
  <c r="H377" i="7"/>
  <c r="F377" i="7"/>
  <c r="L377" i="7" s="1"/>
  <c r="E377" i="7"/>
  <c r="G377" i="7" s="1"/>
  <c r="J376" i="7"/>
  <c r="I376" i="7"/>
  <c r="H376" i="7"/>
  <c r="G376" i="7"/>
  <c r="F376" i="7"/>
  <c r="M376" i="7" s="1"/>
  <c r="E376" i="7"/>
  <c r="L375" i="7"/>
  <c r="K375" i="7"/>
  <c r="J375" i="7"/>
  <c r="I375" i="7"/>
  <c r="H375" i="7"/>
  <c r="F375" i="7"/>
  <c r="M375" i="7" s="1"/>
  <c r="E375" i="7"/>
  <c r="J374" i="7"/>
  <c r="I374" i="7"/>
  <c r="L374" i="7" s="1"/>
  <c r="H374" i="7"/>
  <c r="F374" i="7"/>
  <c r="K374" i="7" s="1"/>
  <c r="E374" i="7"/>
  <c r="G374" i="7" s="1"/>
  <c r="L373" i="7"/>
  <c r="J373" i="7"/>
  <c r="M373" i="7" s="1"/>
  <c r="I373" i="7"/>
  <c r="H373" i="7"/>
  <c r="G373" i="7"/>
  <c r="F373" i="7"/>
  <c r="K373" i="7" s="1"/>
  <c r="E373" i="7"/>
  <c r="J372" i="7"/>
  <c r="I372" i="7"/>
  <c r="H372" i="7"/>
  <c r="F372" i="7"/>
  <c r="M372" i="7" s="1"/>
  <c r="E372" i="7"/>
  <c r="G372" i="7" s="1"/>
  <c r="M371" i="7"/>
  <c r="L371" i="7"/>
  <c r="J371" i="7"/>
  <c r="I371" i="7"/>
  <c r="H371" i="7"/>
  <c r="K371" i="7" s="1"/>
  <c r="F371" i="7"/>
  <c r="E371" i="7"/>
  <c r="G371" i="7" s="1"/>
  <c r="L370" i="7"/>
  <c r="K370" i="7"/>
  <c r="J370" i="7"/>
  <c r="I370" i="7"/>
  <c r="H370" i="7"/>
  <c r="F370" i="7"/>
  <c r="E370" i="7"/>
  <c r="G370" i="7" s="1"/>
  <c r="M369" i="7"/>
  <c r="K369" i="7"/>
  <c r="J369" i="7"/>
  <c r="I369" i="7"/>
  <c r="H369" i="7"/>
  <c r="F369" i="7"/>
  <c r="L369" i="7" s="1"/>
  <c r="E369" i="7"/>
  <c r="L368" i="7"/>
  <c r="J368" i="7"/>
  <c r="I368" i="7"/>
  <c r="H368" i="7"/>
  <c r="G368" i="7"/>
  <c r="F368" i="7"/>
  <c r="E368" i="7"/>
  <c r="J367" i="7"/>
  <c r="I367" i="7"/>
  <c r="H367" i="7"/>
  <c r="F367" i="7"/>
  <c r="M367" i="7" s="1"/>
  <c r="E367" i="7"/>
  <c r="L366" i="7"/>
  <c r="J366" i="7"/>
  <c r="I366" i="7"/>
  <c r="H366" i="7"/>
  <c r="F366" i="7"/>
  <c r="K366" i="7" s="1"/>
  <c r="E366" i="7"/>
  <c r="G366" i="7" s="1"/>
  <c r="M365" i="7"/>
  <c r="K365" i="7"/>
  <c r="J365" i="7"/>
  <c r="I365" i="7"/>
  <c r="H365" i="7"/>
  <c r="G365" i="7"/>
  <c r="F365" i="7"/>
  <c r="L365" i="7" s="1"/>
  <c r="E365" i="7"/>
  <c r="J364" i="7"/>
  <c r="M364" i="7" s="1"/>
  <c r="I364" i="7"/>
  <c r="H364" i="7"/>
  <c r="F364" i="7"/>
  <c r="L364" i="7" s="1"/>
  <c r="E364" i="7"/>
  <c r="J363" i="7"/>
  <c r="I363" i="7"/>
  <c r="L363" i="7" s="1"/>
  <c r="H363" i="7"/>
  <c r="K363" i="7" s="1"/>
  <c r="F363" i="7"/>
  <c r="G363" i="7" s="1"/>
  <c r="E363" i="7"/>
  <c r="J362" i="7"/>
  <c r="I362" i="7"/>
  <c r="H362" i="7"/>
  <c r="F362" i="7"/>
  <c r="G362" i="7" s="1"/>
  <c r="E362" i="7"/>
  <c r="J361" i="7"/>
  <c r="I361" i="7"/>
  <c r="H361" i="7"/>
  <c r="F361" i="7"/>
  <c r="E361" i="7"/>
  <c r="G361" i="7" s="1"/>
  <c r="J360" i="7"/>
  <c r="I360" i="7"/>
  <c r="H360" i="7"/>
  <c r="F360" i="7"/>
  <c r="M360" i="7" s="1"/>
  <c r="E360" i="7"/>
  <c r="M359" i="7"/>
  <c r="L359" i="7"/>
  <c r="K359" i="7"/>
  <c r="J359" i="7"/>
  <c r="I359" i="7"/>
  <c r="H359" i="7"/>
  <c r="G359" i="7"/>
  <c r="F359" i="7"/>
  <c r="E359" i="7"/>
  <c r="M358" i="7"/>
  <c r="L358" i="7"/>
  <c r="K358" i="7"/>
  <c r="J358" i="7"/>
  <c r="I358" i="7"/>
  <c r="H358" i="7"/>
  <c r="G358" i="7"/>
  <c r="F358" i="7"/>
  <c r="E358" i="7"/>
  <c r="M357" i="7"/>
  <c r="J357" i="7"/>
  <c r="I357" i="7"/>
  <c r="H357" i="7"/>
  <c r="G357" i="7"/>
  <c r="F357" i="7"/>
  <c r="L357" i="7" s="1"/>
  <c r="E357" i="7"/>
  <c r="L356" i="7"/>
  <c r="K356" i="7"/>
  <c r="J356" i="7"/>
  <c r="I356" i="7"/>
  <c r="H356" i="7"/>
  <c r="G356" i="7"/>
  <c r="F356" i="7"/>
  <c r="M356" i="7" s="1"/>
  <c r="E356" i="7"/>
  <c r="J355" i="7"/>
  <c r="I355" i="7"/>
  <c r="H355" i="7"/>
  <c r="F355" i="7"/>
  <c r="M355" i="7" s="1"/>
  <c r="E355" i="7"/>
  <c r="G355" i="7" s="1"/>
  <c r="J354" i="7"/>
  <c r="I354" i="7"/>
  <c r="H354" i="7"/>
  <c r="F354" i="7"/>
  <c r="E354" i="7"/>
  <c r="G354" i="7" s="1"/>
  <c r="M353" i="7"/>
  <c r="J353" i="7"/>
  <c r="I353" i="7"/>
  <c r="L353" i="7" s="1"/>
  <c r="H353" i="7"/>
  <c r="G353" i="7"/>
  <c r="F353" i="7"/>
  <c r="K353" i="7" s="1"/>
  <c r="E353" i="7"/>
  <c r="M352" i="7"/>
  <c r="L352" i="7"/>
  <c r="K352" i="7"/>
  <c r="J352" i="7"/>
  <c r="I352" i="7"/>
  <c r="H352" i="7"/>
  <c r="F352" i="7"/>
  <c r="E352" i="7"/>
  <c r="G352" i="7" s="1"/>
  <c r="L351" i="7"/>
  <c r="K351" i="7"/>
  <c r="J351" i="7"/>
  <c r="M351" i="7" s="1"/>
  <c r="I351" i="7"/>
  <c r="H351" i="7"/>
  <c r="G351" i="7"/>
  <c r="F351" i="7"/>
  <c r="E351" i="7"/>
  <c r="J350" i="7"/>
  <c r="I350" i="7"/>
  <c r="H350" i="7"/>
  <c r="F350" i="7"/>
  <c r="E350" i="7"/>
  <c r="J349" i="7"/>
  <c r="I349" i="7"/>
  <c r="H349" i="7"/>
  <c r="F349" i="7"/>
  <c r="E349" i="7"/>
  <c r="J348" i="7"/>
  <c r="I348" i="7"/>
  <c r="L348" i="7" s="1"/>
  <c r="H348" i="7"/>
  <c r="G348" i="7"/>
  <c r="F348" i="7"/>
  <c r="E348" i="7"/>
  <c r="M347" i="7"/>
  <c r="K347" i="7"/>
  <c r="J347" i="7"/>
  <c r="I347" i="7"/>
  <c r="L347" i="7" s="1"/>
  <c r="H347" i="7"/>
  <c r="G347" i="7"/>
  <c r="F347" i="7"/>
  <c r="E347" i="7"/>
  <c r="L346" i="7"/>
  <c r="J346" i="7"/>
  <c r="M346" i="7" s="1"/>
  <c r="I346" i="7"/>
  <c r="H346" i="7"/>
  <c r="G346" i="7"/>
  <c r="F346" i="7"/>
  <c r="K346" i="7" s="1"/>
  <c r="E346" i="7"/>
  <c r="J345" i="7"/>
  <c r="I345" i="7"/>
  <c r="H345" i="7"/>
  <c r="G345" i="7"/>
  <c r="F345" i="7"/>
  <c r="E345" i="7"/>
  <c r="J344" i="7"/>
  <c r="I344" i="7"/>
  <c r="H344" i="7"/>
  <c r="F344" i="7"/>
  <c r="L344" i="7" s="1"/>
  <c r="E344" i="7"/>
  <c r="G344" i="7" s="1"/>
  <c r="M343" i="7"/>
  <c r="L343" i="7"/>
  <c r="K343" i="7"/>
  <c r="J343" i="7"/>
  <c r="I343" i="7"/>
  <c r="H343" i="7"/>
  <c r="F343" i="7"/>
  <c r="E343" i="7"/>
  <c r="G343" i="7" s="1"/>
  <c r="M342" i="7"/>
  <c r="L342" i="7"/>
  <c r="K342" i="7"/>
  <c r="J342" i="7"/>
  <c r="I342" i="7"/>
  <c r="H342" i="7"/>
  <c r="F342" i="7"/>
  <c r="G342" i="7" s="1"/>
  <c r="E342" i="7"/>
  <c r="L341" i="7"/>
  <c r="K341" i="7"/>
  <c r="J341" i="7"/>
  <c r="M341" i="7" s="1"/>
  <c r="I341" i="7"/>
  <c r="H341" i="7"/>
  <c r="G341" i="7"/>
  <c r="F341" i="7"/>
  <c r="E341" i="7"/>
  <c r="K340" i="7"/>
  <c r="J340" i="7"/>
  <c r="I340" i="7"/>
  <c r="H340" i="7"/>
  <c r="G340" i="7"/>
  <c r="F340" i="7"/>
  <c r="M340" i="7" s="1"/>
  <c r="E340" i="7"/>
  <c r="J339" i="7"/>
  <c r="M339" i="7" s="1"/>
  <c r="I339" i="7"/>
  <c r="L339" i="7" s="1"/>
  <c r="H339" i="7"/>
  <c r="K339" i="7" s="1"/>
  <c r="G339" i="7"/>
  <c r="F339" i="7"/>
  <c r="E339" i="7"/>
  <c r="M338" i="7"/>
  <c r="L338" i="7"/>
  <c r="J338" i="7"/>
  <c r="I338" i="7"/>
  <c r="H338" i="7"/>
  <c r="K338" i="7" s="1"/>
  <c r="F338" i="7"/>
  <c r="E338" i="7"/>
  <c r="G338" i="7" s="1"/>
  <c r="J337" i="7"/>
  <c r="I337" i="7"/>
  <c r="H337" i="7"/>
  <c r="F337" i="7"/>
  <c r="L337" i="7" s="1"/>
  <c r="E337" i="7"/>
  <c r="G337" i="7" s="1"/>
  <c r="L336" i="7"/>
  <c r="K336" i="7"/>
  <c r="J336" i="7"/>
  <c r="I336" i="7"/>
  <c r="H336" i="7"/>
  <c r="G336" i="7"/>
  <c r="F336" i="7"/>
  <c r="M336" i="7" s="1"/>
  <c r="E336" i="7"/>
  <c r="L335" i="7"/>
  <c r="J335" i="7"/>
  <c r="I335" i="7"/>
  <c r="H335" i="7"/>
  <c r="G335" i="7"/>
  <c r="F335" i="7"/>
  <c r="M335" i="7" s="1"/>
  <c r="E335" i="7"/>
  <c r="M334" i="7"/>
  <c r="J334" i="7"/>
  <c r="I334" i="7"/>
  <c r="L334" i="7" s="1"/>
  <c r="H334" i="7"/>
  <c r="F334" i="7"/>
  <c r="E334" i="7"/>
  <c r="G334" i="7" s="1"/>
  <c r="M333" i="7"/>
  <c r="L333" i="7"/>
  <c r="J333" i="7"/>
  <c r="I333" i="7"/>
  <c r="H333" i="7"/>
  <c r="F333" i="7"/>
  <c r="K333" i="7" s="1"/>
  <c r="E333" i="7"/>
  <c r="G333" i="7" s="1"/>
  <c r="J332" i="7"/>
  <c r="I332" i="7"/>
  <c r="H332" i="7"/>
  <c r="F332" i="7"/>
  <c r="E332" i="7"/>
  <c r="G332" i="7" s="1"/>
  <c r="M331" i="7"/>
  <c r="L331" i="7"/>
  <c r="K331" i="7"/>
  <c r="J331" i="7"/>
  <c r="I331" i="7"/>
  <c r="H331" i="7"/>
  <c r="F331" i="7"/>
  <c r="E331" i="7"/>
  <c r="G331" i="7" s="1"/>
  <c r="L330" i="7"/>
  <c r="K330" i="7"/>
  <c r="J330" i="7"/>
  <c r="I330" i="7"/>
  <c r="H330" i="7"/>
  <c r="F330" i="7"/>
  <c r="M330" i="7" s="1"/>
  <c r="E330" i="7"/>
  <c r="G330" i="7" s="1"/>
  <c r="L329" i="7"/>
  <c r="K329" i="7"/>
  <c r="J329" i="7"/>
  <c r="M329" i="7" s="1"/>
  <c r="I329" i="7"/>
  <c r="H329" i="7"/>
  <c r="F329" i="7"/>
  <c r="E329" i="7"/>
  <c r="J328" i="7"/>
  <c r="I328" i="7"/>
  <c r="H328" i="7"/>
  <c r="F328" i="7"/>
  <c r="E328" i="7"/>
  <c r="J327" i="7"/>
  <c r="I327" i="7"/>
  <c r="H327" i="7"/>
  <c r="F327" i="7"/>
  <c r="E327" i="7"/>
  <c r="M326" i="7"/>
  <c r="L326" i="7"/>
  <c r="J326" i="7"/>
  <c r="I326" i="7"/>
  <c r="H326" i="7"/>
  <c r="F326" i="7"/>
  <c r="K326" i="7" s="1"/>
  <c r="E326" i="7"/>
  <c r="G326" i="7" s="1"/>
  <c r="K325" i="7"/>
  <c r="J325" i="7"/>
  <c r="I325" i="7"/>
  <c r="H325" i="7"/>
  <c r="F325" i="7"/>
  <c r="L325" i="7" s="1"/>
  <c r="E325" i="7"/>
  <c r="G325" i="7" s="1"/>
  <c r="M324" i="7"/>
  <c r="J324" i="7"/>
  <c r="I324" i="7"/>
  <c r="H324" i="7"/>
  <c r="F324" i="7"/>
  <c r="L324" i="7" s="1"/>
  <c r="E324" i="7"/>
  <c r="J323" i="7"/>
  <c r="I323" i="7"/>
  <c r="H323" i="7"/>
  <c r="G323" i="7"/>
  <c r="F323" i="7"/>
  <c r="M323" i="7" s="1"/>
  <c r="E323" i="7"/>
  <c r="J322" i="7"/>
  <c r="I322" i="7"/>
  <c r="H322" i="7"/>
  <c r="F322" i="7"/>
  <c r="E322" i="7"/>
  <c r="J321" i="7"/>
  <c r="I321" i="7"/>
  <c r="H321" i="7"/>
  <c r="F321" i="7"/>
  <c r="M321" i="7" s="1"/>
  <c r="E321" i="7"/>
  <c r="G321" i="7" s="1"/>
  <c r="M320" i="7"/>
  <c r="J320" i="7"/>
  <c r="I320" i="7"/>
  <c r="H320" i="7"/>
  <c r="G320" i="7"/>
  <c r="F320" i="7"/>
  <c r="L320" i="7" s="1"/>
  <c r="E320" i="7"/>
  <c r="M319" i="7"/>
  <c r="K319" i="7"/>
  <c r="J319" i="7"/>
  <c r="I319" i="7"/>
  <c r="H319" i="7"/>
  <c r="G319" i="7"/>
  <c r="F319" i="7"/>
  <c r="L319" i="7" s="1"/>
  <c r="E319" i="7"/>
  <c r="L318" i="7"/>
  <c r="J318" i="7"/>
  <c r="M318" i="7" s="1"/>
  <c r="I318" i="7"/>
  <c r="H318" i="7"/>
  <c r="K318" i="7" s="1"/>
  <c r="G318" i="7"/>
  <c r="F318" i="7"/>
  <c r="E318" i="7"/>
  <c r="M317" i="7"/>
  <c r="K317" i="7"/>
  <c r="J317" i="7"/>
  <c r="I317" i="7"/>
  <c r="H317" i="7"/>
  <c r="F317" i="7"/>
  <c r="L317" i="7" s="1"/>
  <c r="E317" i="7"/>
  <c r="G317" i="7" s="1"/>
  <c r="J316" i="7"/>
  <c r="I316" i="7"/>
  <c r="H316" i="7"/>
  <c r="F316" i="7"/>
  <c r="M316" i="7" s="1"/>
  <c r="E316" i="7"/>
  <c r="G316" i="7" s="1"/>
  <c r="J315" i="7"/>
  <c r="I315" i="7"/>
  <c r="H315" i="7"/>
  <c r="F315" i="7"/>
  <c r="M315" i="7" s="1"/>
  <c r="E315" i="7"/>
  <c r="G315" i="7" s="1"/>
  <c r="M314" i="7"/>
  <c r="L314" i="7"/>
  <c r="J314" i="7"/>
  <c r="I314" i="7"/>
  <c r="H314" i="7"/>
  <c r="G314" i="7"/>
  <c r="F314" i="7"/>
  <c r="K314" i="7" s="1"/>
  <c r="E314" i="7"/>
  <c r="M313" i="7"/>
  <c r="J313" i="7"/>
  <c r="I313" i="7"/>
  <c r="L313" i="7" s="1"/>
  <c r="H313" i="7"/>
  <c r="G313" i="7"/>
  <c r="F313" i="7"/>
  <c r="K313" i="7" s="1"/>
  <c r="E313" i="7"/>
  <c r="L312" i="7"/>
  <c r="K312" i="7"/>
  <c r="J312" i="7"/>
  <c r="M312" i="7" s="1"/>
  <c r="I312" i="7"/>
  <c r="H312" i="7"/>
  <c r="G312" i="7"/>
  <c r="F312" i="7"/>
  <c r="E312" i="7"/>
  <c r="L311" i="7"/>
  <c r="J311" i="7"/>
  <c r="M311" i="7" s="1"/>
  <c r="I311" i="7"/>
  <c r="H311" i="7"/>
  <c r="K311" i="7" s="1"/>
  <c r="G311" i="7"/>
  <c r="F311" i="7"/>
  <c r="E311" i="7"/>
  <c r="J310" i="7"/>
  <c r="I310" i="7"/>
  <c r="H310" i="7"/>
  <c r="F310" i="7"/>
  <c r="E310" i="7"/>
  <c r="M309" i="7"/>
  <c r="L309" i="7"/>
  <c r="K309" i="7"/>
  <c r="J309" i="7"/>
  <c r="I309" i="7"/>
  <c r="H309" i="7"/>
  <c r="F309" i="7"/>
  <c r="E309" i="7"/>
  <c r="G309" i="7" s="1"/>
  <c r="J308" i="7"/>
  <c r="I308" i="7"/>
  <c r="H308" i="7"/>
  <c r="G308" i="7"/>
  <c r="F308" i="7"/>
  <c r="E308" i="7"/>
  <c r="K307" i="7"/>
  <c r="J307" i="7"/>
  <c r="M307" i="7" s="1"/>
  <c r="I307" i="7"/>
  <c r="L307" i="7" s="1"/>
  <c r="H307" i="7"/>
  <c r="G307" i="7"/>
  <c r="F307" i="7"/>
  <c r="E307" i="7"/>
  <c r="J306" i="7"/>
  <c r="I306" i="7"/>
  <c r="H306" i="7"/>
  <c r="G306" i="7"/>
  <c r="F306" i="7"/>
  <c r="K306" i="7" s="1"/>
  <c r="E306" i="7"/>
  <c r="J305" i="7"/>
  <c r="I305" i="7"/>
  <c r="H305" i="7"/>
  <c r="F305" i="7"/>
  <c r="E305" i="7"/>
  <c r="G305" i="7" s="1"/>
  <c r="K304" i="7"/>
  <c r="J304" i="7"/>
  <c r="M304" i="7" s="1"/>
  <c r="I304" i="7"/>
  <c r="H304" i="7"/>
  <c r="F304" i="7"/>
  <c r="L304" i="7" s="1"/>
  <c r="E304" i="7"/>
  <c r="G304" i="7" s="1"/>
  <c r="M303" i="7"/>
  <c r="K303" i="7"/>
  <c r="J303" i="7"/>
  <c r="I303" i="7"/>
  <c r="H303" i="7"/>
  <c r="F303" i="7"/>
  <c r="L303" i="7" s="1"/>
  <c r="E303" i="7"/>
  <c r="G303" i="7" s="1"/>
  <c r="M302" i="7"/>
  <c r="L302" i="7"/>
  <c r="K302" i="7"/>
  <c r="J302" i="7"/>
  <c r="I302" i="7"/>
  <c r="H302" i="7"/>
  <c r="F302" i="7"/>
  <c r="G302" i="7" s="1"/>
  <c r="E302" i="7"/>
  <c r="J301" i="7"/>
  <c r="I301" i="7"/>
  <c r="H301" i="7"/>
  <c r="G301" i="7"/>
  <c r="F301" i="7"/>
  <c r="M301" i="7" s="1"/>
  <c r="E301" i="7"/>
  <c r="K300" i="7"/>
  <c r="J300" i="7"/>
  <c r="I300" i="7"/>
  <c r="L300" i="7" s="1"/>
  <c r="H300" i="7"/>
  <c r="G300" i="7"/>
  <c r="F300" i="7"/>
  <c r="M300" i="7" s="1"/>
  <c r="E300" i="7"/>
  <c r="M299" i="7"/>
  <c r="K299" i="7"/>
  <c r="J299" i="7"/>
  <c r="I299" i="7"/>
  <c r="H299" i="7"/>
  <c r="G299" i="7"/>
  <c r="F299" i="7"/>
  <c r="L299" i="7" s="1"/>
  <c r="E299" i="7"/>
  <c r="M298" i="7"/>
  <c r="L298" i="7"/>
  <c r="K298" i="7"/>
  <c r="J298" i="7"/>
  <c r="I298" i="7"/>
  <c r="H298" i="7"/>
  <c r="F298" i="7"/>
  <c r="E298" i="7"/>
  <c r="G298" i="7" s="1"/>
  <c r="M297" i="7"/>
  <c r="K297" i="7"/>
  <c r="J297" i="7"/>
  <c r="I297" i="7"/>
  <c r="H297" i="7"/>
  <c r="F297" i="7"/>
  <c r="E297" i="7"/>
  <c r="G297" i="7" s="1"/>
  <c r="L296" i="7"/>
  <c r="J296" i="7"/>
  <c r="I296" i="7"/>
  <c r="H296" i="7"/>
  <c r="G296" i="7"/>
  <c r="F296" i="7"/>
  <c r="E296" i="7"/>
  <c r="L295" i="7"/>
  <c r="K295" i="7"/>
  <c r="J295" i="7"/>
  <c r="I295" i="7"/>
  <c r="H295" i="7"/>
  <c r="F295" i="7"/>
  <c r="M295" i="7" s="1"/>
  <c r="E295" i="7"/>
  <c r="G295" i="7" s="1"/>
  <c r="J294" i="7"/>
  <c r="I294" i="7"/>
  <c r="H294" i="7"/>
  <c r="F294" i="7"/>
  <c r="K294" i="7" s="1"/>
  <c r="E294" i="7"/>
  <c r="G294" i="7" s="1"/>
  <c r="M293" i="7"/>
  <c r="L293" i="7"/>
  <c r="J293" i="7"/>
  <c r="I293" i="7"/>
  <c r="H293" i="7"/>
  <c r="F293" i="7"/>
  <c r="K293" i="7" s="1"/>
  <c r="E293" i="7"/>
  <c r="G293" i="7" s="1"/>
  <c r="M292" i="7"/>
  <c r="L292" i="7"/>
  <c r="K292" i="7"/>
  <c r="J292" i="7"/>
  <c r="I292" i="7"/>
  <c r="H292" i="7"/>
  <c r="F292" i="7"/>
  <c r="E292" i="7"/>
  <c r="G292" i="7" s="1"/>
  <c r="J291" i="7"/>
  <c r="I291" i="7"/>
  <c r="H291" i="7"/>
  <c r="F291" i="7"/>
  <c r="E291" i="7"/>
  <c r="K290" i="7"/>
  <c r="J290" i="7"/>
  <c r="I290" i="7"/>
  <c r="H290" i="7"/>
  <c r="F290" i="7"/>
  <c r="L290" i="7" s="1"/>
  <c r="E290" i="7"/>
  <c r="J289" i="7"/>
  <c r="I289" i="7"/>
  <c r="H289" i="7"/>
  <c r="F289" i="7"/>
  <c r="M289" i="7" s="1"/>
  <c r="E289" i="7"/>
  <c r="J288" i="7"/>
  <c r="I288" i="7"/>
  <c r="H288" i="7"/>
  <c r="F288" i="7"/>
  <c r="E288" i="7"/>
  <c r="J287" i="7"/>
  <c r="I287" i="7"/>
  <c r="H287" i="7"/>
  <c r="F287" i="7"/>
  <c r="M287" i="7" s="1"/>
  <c r="E287" i="7"/>
  <c r="M286" i="7"/>
  <c r="J286" i="7"/>
  <c r="I286" i="7"/>
  <c r="H286" i="7"/>
  <c r="G286" i="7"/>
  <c r="F286" i="7"/>
  <c r="L286" i="7" s="1"/>
  <c r="E286" i="7"/>
  <c r="M285" i="7"/>
  <c r="K285" i="7"/>
  <c r="J285" i="7"/>
  <c r="I285" i="7"/>
  <c r="H285" i="7"/>
  <c r="G285" i="7"/>
  <c r="F285" i="7"/>
  <c r="E285" i="7"/>
  <c r="K284" i="7"/>
  <c r="J284" i="7"/>
  <c r="I284" i="7"/>
  <c r="H284" i="7"/>
  <c r="F284" i="7"/>
  <c r="L284" i="7" s="1"/>
  <c r="E284" i="7"/>
  <c r="G284" i="7" s="1"/>
  <c r="L283" i="7"/>
  <c r="K283" i="7"/>
  <c r="J283" i="7"/>
  <c r="I283" i="7"/>
  <c r="H283" i="7"/>
  <c r="G283" i="7"/>
  <c r="F283" i="7"/>
  <c r="M283" i="7" s="1"/>
  <c r="E283" i="7"/>
  <c r="J282" i="7"/>
  <c r="I282" i="7"/>
  <c r="H282" i="7"/>
  <c r="F282" i="7"/>
  <c r="M282" i="7" s="1"/>
  <c r="E282" i="7"/>
  <c r="J281" i="7"/>
  <c r="I281" i="7"/>
  <c r="H281" i="7"/>
  <c r="F281" i="7"/>
  <c r="E281" i="7"/>
  <c r="J280" i="7"/>
  <c r="I280" i="7"/>
  <c r="H280" i="7"/>
  <c r="F280" i="7"/>
  <c r="M280" i="7" s="1"/>
  <c r="E280" i="7"/>
  <c r="G280" i="7" s="1"/>
  <c r="M279" i="7"/>
  <c r="K279" i="7"/>
  <c r="J279" i="7"/>
  <c r="I279" i="7"/>
  <c r="H279" i="7"/>
  <c r="F279" i="7"/>
  <c r="L279" i="7" s="1"/>
  <c r="E279" i="7"/>
  <c r="G279" i="7" s="1"/>
  <c r="M278" i="7"/>
  <c r="L278" i="7"/>
  <c r="K278" i="7"/>
  <c r="J278" i="7"/>
  <c r="I278" i="7"/>
  <c r="H278" i="7"/>
  <c r="G278" i="7"/>
  <c r="F278" i="7"/>
  <c r="E278" i="7"/>
  <c r="L277" i="7"/>
  <c r="J277" i="7"/>
  <c r="I277" i="7"/>
  <c r="H277" i="7"/>
  <c r="F277" i="7"/>
  <c r="M277" i="7" s="1"/>
  <c r="E277" i="7"/>
  <c r="G277" i="7" s="1"/>
  <c r="L276" i="7"/>
  <c r="K276" i="7"/>
  <c r="J276" i="7"/>
  <c r="I276" i="7"/>
  <c r="H276" i="7"/>
  <c r="F276" i="7"/>
  <c r="M276" i="7" s="1"/>
  <c r="E276" i="7"/>
  <c r="G276" i="7" s="1"/>
  <c r="J275" i="7"/>
  <c r="I275" i="7"/>
  <c r="H275" i="7"/>
  <c r="F275" i="7"/>
  <c r="M275" i="7" s="1"/>
  <c r="E275" i="7"/>
  <c r="G275" i="7" s="1"/>
  <c r="J274" i="7"/>
  <c r="I274" i="7"/>
  <c r="H274" i="7"/>
  <c r="F274" i="7"/>
  <c r="K274" i="7" s="1"/>
  <c r="E274" i="7"/>
  <c r="G274" i="7" s="1"/>
  <c r="M273" i="7"/>
  <c r="J273" i="7"/>
  <c r="I273" i="7"/>
  <c r="L273" i="7" s="1"/>
  <c r="H273" i="7"/>
  <c r="F273" i="7"/>
  <c r="E273" i="7"/>
  <c r="G273" i="7" s="1"/>
  <c r="M272" i="7"/>
  <c r="K272" i="7"/>
  <c r="J272" i="7"/>
  <c r="I272" i="7"/>
  <c r="H272" i="7"/>
  <c r="F272" i="7"/>
  <c r="L272" i="7" s="1"/>
  <c r="E272" i="7"/>
  <c r="G272" i="7" s="1"/>
  <c r="L271" i="7"/>
  <c r="K271" i="7"/>
  <c r="J271" i="7"/>
  <c r="M271" i="7" s="1"/>
  <c r="I271" i="7"/>
  <c r="H271" i="7"/>
  <c r="G271" i="7"/>
  <c r="F271" i="7"/>
  <c r="E271" i="7"/>
  <c r="J270" i="7"/>
  <c r="I270" i="7"/>
  <c r="H270" i="7"/>
  <c r="F270" i="7"/>
  <c r="E270" i="7"/>
  <c r="J269" i="7"/>
  <c r="I269" i="7"/>
  <c r="H269" i="7"/>
  <c r="F269" i="7"/>
  <c r="E269" i="7"/>
  <c r="L268" i="7"/>
  <c r="J268" i="7"/>
  <c r="M268" i="7" s="1"/>
  <c r="I268" i="7"/>
  <c r="H268" i="7"/>
  <c r="F268" i="7"/>
  <c r="E268" i="7"/>
  <c r="J267" i="7"/>
  <c r="I267" i="7"/>
  <c r="H267" i="7"/>
  <c r="F267" i="7"/>
  <c r="E267" i="7"/>
  <c r="M266" i="7"/>
  <c r="L266" i="7"/>
  <c r="K266" i="7"/>
  <c r="J266" i="7"/>
  <c r="I266" i="7"/>
  <c r="H266" i="7"/>
  <c r="G266" i="7"/>
  <c r="F266" i="7"/>
  <c r="E266" i="7"/>
  <c r="K265" i="7"/>
  <c r="J265" i="7"/>
  <c r="I265" i="7"/>
  <c r="H265" i="7"/>
  <c r="F265" i="7"/>
  <c r="E265" i="7"/>
  <c r="K264" i="7"/>
  <c r="J264" i="7"/>
  <c r="I264" i="7"/>
  <c r="H264" i="7"/>
  <c r="F264" i="7"/>
  <c r="L264" i="7" s="1"/>
  <c r="E264" i="7"/>
  <c r="M263" i="7"/>
  <c r="L263" i="7"/>
  <c r="J263" i="7"/>
  <c r="I263" i="7"/>
  <c r="H263" i="7"/>
  <c r="G263" i="7"/>
  <c r="F263" i="7"/>
  <c r="K263" i="7" s="1"/>
  <c r="E263" i="7"/>
  <c r="M262" i="7"/>
  <c r="J262" i="7"/>
  <c r="I262" i="7"/>
  <c r="H262" i="7"/>
  <c r="G262" i="7"/>
  <c r="F262" i="7"/>
  <c r="L262" i="7" s="1"/>
  <c r="E262" i="7"/>
  <c r="M261" i="7"/>
  <c r="L261" i="7"/>
  <c r="K261" i="7"/>
  <c r="J261" i="7"/>
  <c r="I261" i="7"/>
  <c r="H261" i="7"/>
  <c r="F261" i="7"/>
  <c r="E261" i="7"/>
  <c r="G261" i="7" s="1"/>
  <c r="J260" i="7"/>
  <c r="I260" i="7"/>
  <c r="H260" i="7"/>
  <c r="F260" i="7"/>
  <c r="E260" i="7"/>
  <c r="K259" i="7"/>
  <c r="J259" i="7"/>
  <c r="M259" i="7" s="1"/>
  <c r="I259" i="7"/>
  <c r="H259" i="7"/>
  <c r="G259" i="7"/>
  <c r="F259" i="7"/>
  <c r="E259" i="7"/>
  <c r="K258" i="7"/>
  <c r="J258" i="7"/>
  <c r="M258" i="7" s="1"/>
  <c r="I258" i="7"/>
  <c r="L258" i="7" s="1"/>
  <c r="H258" i="7"/>
  <c r="G258" i="7"/>
  <c r="F258" i="7"/>
  <c r="E258" i="7"/>
  <c r="J257" i="7"/>
  <c r="I257" i="7"/>
  <c r="L257" i="7" s="1"/>
  <c r="H257" i="7"/>
  <c r="F257" i="7"/>
  <c r="M257" i="7" s="1"/>
  <c r="E257" i="7"/>
  <c r="G257" i="7" s="1"/>
  <c r="J256" i="7"/>
  <c r="I256" i="7"/>
  <c r="H256" i="7"/>
  <c r="F256" i="7"/>
  <c r="M256" i="7" s="1"/>
  <c r="E256" i="7"/>
  <c r="G256" i="7" s="1"/>
  <c r="J255" i="7"/>
  <c r="I255" i="7"/>
  <c r="H255" i="7"/>
  <c r="F255" i="7"/>
  <c r="M255" i="7" s="1"/>
  <c r="E255" i="7"/>
  <c r="G255" i="7" s="1"/>
  <c r="M254" i="7"/>
  <c r="J254" i="7"/>
  <c r="I254" i="7"/>
  <c r="L254" i="7" s="1"/>
  <c r="H254" i="7"/>
  <c r="F254" i="7"/>
  <c r="E254" i="7"/>
  <c r="G254" i="7" s="1"/>
  <c r="M253" i="7"/>
  <c r="L253" i="7"/>
  <c r="J253" i="7"/>
  <c r="I253" i="7"/>
  <c r="H253" i="7"/>
  <c r="F253" i="7"/>
  <c r="K253" i="7" s="1"/>
  <c r="E253" i="7"/>
  <c r="G253" i="7" s="1"/>
  <c r="M252" i="7"/>
  <c r="L252" i="7"/>
  <c r="J252" i="7"/>
  <c r="I252" i="7"/>
  <c r="H252" i="7"/>
  <c r="G252" i="7"/>
  <c r="F252" i="7"/>
  <c r="K252" i="7" s="1"/>
  <c r="E252" i="7"/>
  <c r="J251" i="7"/>
  <c r="I251" i="7"/>
  <c r="H251" i="7"/>
  <c r="G251" i="7"/>
  <c r="F251" i="7"/>
  <c r="M251" i="7" s="1"/>
  <c r="E251" i="7"/>
  <c r="J250" i="7"/>
  <c r="I250" i="7"/>
  <c r="H250" i="7"/>
  <c r="F250" i="7"/>
  <c r="E250" i="7"/>
  <c r="M249" i="7"/>
  <c r="L249" i="7"/>
  <c r="K249" i="7"/>
  <c r="J249" i="7"/>
  <c r="I249" i="7"/>
  <c r="H249" i="7"/>
  <c r="F249" i="7"/>
  <c r="E249" i="7"/>
  <c r="G249" i="7" s="1"/>
  <c r="L248" i="7"/>
  <c r="J248" i="7"/>
  <c r="I248" i="7"/>
  <c r="H248" i="7"/>
  <c r="F248" i="7"/>
  <c r="K248" i="7" s="1"/>
  <c r="E248" i="7"/>
  <c r="L247" i="7"/>
  <c r="K247" i="7"/>
  <c r="J247" i="7"/>
  <c r="M247" i="7" s="1"/>
  <c r="I247" i="7"/>
  <c r="H247" i="7"/>
  <c r="G247" i="7"/>
  <c r="F247" i="7"/>
  <c r="E247" i="7"/>
  <c r="K246" i="7"/>
  <c r="J246" i="7"/>
  <c r="I246" i="7"/>
  <c r="H246" i="7"/>
  <c r="F246" i="7"/>
  <c r="M246" i="7" s="1"/>
  <c r="E246" i="7"/>
  <c r="J245" i="7"/>
  <c r="M245" i="7" s="1"/>
  <c r="I245" i="7"/>
  <c r="H245" i="7"/>
  <c r="K245" i="7" s="1"/>
  <c r="G245" i="7"/>
  <c r="F245" i="7"/>
  <c r="E245" i="7"/>
  <c r="J244" i="7"/>
  <c r="I244" i="7"/>
  <c r="H244" i="7"/>
  <c r="F244" i="7"/>
  <c r="L244" i="7" s="1"/>
  <c r="E244" i="7"/>
  <c r="M243" i="7"/>
  <c r="L243" i="7"/>
  <c r="J243" i="7"/>
  <c r="I243" i="7"/>
  <c r="H243" i="7"/>
  <c r="G243" i="7"/>
  <c r="F243" i="7"/>
  <c r="K243" i="7" s="1"/>
  <c r="E243" i="7"/>
  <c r="M242" i="7"/>
  <c r="L242" i="7"/>
  <c r="K242" i="7"/>
  <c r="J242" i="7"/>
  <c r="I242" i="7"/>
  <c r="H242" i="7"/>
  <c r="G242" i="7"/>
  <c r="F242" i="7"/>
  <c r="E242" i="7"/>
  <c r="M241" i="7"/>
  <c r="K241" i="7"/>
  <c r="J241" i="7"/>
  <c r="I241" i="7"/>
  <c r="H241" i="7"/>
  <c r="F241" i="7"/>
  <c r="L241" i="7" s="1"/>
  <c r="E241" i="7"/>
  <c r="G241" i="7" s="1"/>
  <c r="M240" i="7"/>
  <c r="L240" i="7"/>
  <c r="K240" i="7"/>
  <c r="J240" i="7"/>
  <c r="I240" i="7"/>
  <c r="H240" i="7"/>
  <c r="G240" i="7"/>
  <c r="F240" i="7"/>
  <c r="E240" i="7"/>
  <c r="M239" i="7"/>
  <c r="K239" i="7"/>
  <c r="J239" i="7"/>
  <c r="I239" i="7"/>
  <c r="H239" i="7"/>
  <c r="G239" i="7"/>
  <c r="F239" i="7"/>
  <c r="L239" i="7" s="1"/>
  <c r="E239" i="7"/>
  <c r="M238" i="7"/>
  <c r="L238" i="7"/>
  <c r="K238" i="7"/>
  <c r="J238" i="7"/>
  <c r="I238" i="7"/>
  <c r="H238" i="7"/>
  <c r="G238" i="7"/>
  <c r="F238" i="7"/>
  <c r="E238" i="7"/>
  <c r="J237" i="7"/>
  <c r="I237" i="7"/>
  <c r="H237" i="7"/>
  <c r="F237" i="7"/>
  <c r="M237" i="7" s="1"/>
  <c r="E237" i="7"/>
  <c r="G237" i="7" s="1"/>
  <c r="J236" i="7"/>
  <c r="I236" i="7"/>
  <c r="H236" i="7"/>
  <c r="F236" i="7"/>
  <c r="M236" i="7" s="1"/>
  <c r="E236" i="7"/>
  <c r="G236" i="7" s="1"/>
  <c r="L235" i="7"/>
  <c r="K235" i="7"/>
  <c r="J235" i="7"/>
  <c r="I235" i="7"/>
  <c r="H235" i="7"/>
  <c r="F235" i="7"/>
  <c r="M235" i="7" s="1"/>
  <c r="E235" i="7"/>
  <c r="G235" i="7" s="1"/>
  <c r="M234" i="7"/>
  <c r="J234" i="7"/>
  <c r="I234" i="7"/>
  <c r="H234" i="7"/>
  <c r="F234" i="7"/>
  <c r="K234" i="7" s="1"/>
  <c r="E234" i="7"/>
  <c r="G234" i="7" s="1"/>
  <c r="M233" i="7"/>
  <c r="L233" i="7"/>
  <c r="J233" i="7"/>
  <c r="I233" i="7"/>
  <c r="H233" i="7"/>
  <c r="F233" i="7"/>
  <c r="K233" i="7" s="1"/>
  <c r="E233" i="7"/>
  <c r="G233" i="7" s="1"/>
  <c r="J232" i="7"/>
  <c r="I232" i="7"/>
  <c r="H232" i="7"/>
  <c r="G232" i="7"/>
  <c r="F232" i="7"/>
  <c r="M232" i="7" s="1"/>
  <c r="E232" i="7"/>
  <c r="J231" i="7"/>
  <c r="I231" i="7"/>
  <c r="H231" i="7"/>
  <c r="G231" i="7"/>
  <c r="F231" i="7"/>
  <c r="E231" i="7"/>
  <c r="J230" i="7"/>
  <c r="I230" i="7"/>
  <c r="H230" i="7"/>
  <c r="F230" i="7"/>
  <c r="M230" i="7" s="1"/>
  <c r="E230" i="7"/>
  <c r="G230" i="7" s="1"/>
  <c r="J229" i="7"/>
  <c r="I229" i="7"/>
  <c r="H229" i="7"/>
  <c r="F229" i="7"/>
  <c r="E229" i="7"/>
  <c r="L228" i="7"/>
  <c r="J228" i="7"/>
  <c r="M228" i="7" s="1"/>
  <c r="I228" i="7"/>
  <c r="H228" i="7"/>
  <c r="G228" i="7"/>
  <c r="F228" i="7"/>
  <c r="E228" i="7"/>
  <c r="K227" i="7"/>
  <c r="J227" i="7"/>
  <c r="I227" i="7"/>
  <c r="H227" i="7"/>
  <c r="F227" i="7"/>
  <c r="M227" i="7" s="1"/>
  <c r="E227" i="7"/>
  <c r="L226" i="7"/>
  <c r="J226" i="7"/>
  <c r="I226" i="7"/>
  <c r="H226" i="7"/>
  <c r="F226" i="7"/>
  <c r="M226" i="7" s="1"/>
  <c r="E226" i="7"/>
  <c r="G226" i="7" s="1"/>
  <c r="J225" i="7"/>
  <c r="I225" i="7"/>
  <c r="H225" i="7"/>
  <c r="F225" i="7"/>
  <c r="M225" i="7" s="1"/>
  <c r="E225" i="7"/>
  <c r="J224" i="7"/>
  <c r="I224" i="7"/>
  <c r="H224" i="7"/>
  <c r="F224" i="7"/>
  <c r="E224" i="7"/>
  <c r="G224" i="7" s="1"/>
  <c r="M223" i="7"/>
  <c r="L223" i="7"/>
  <c r="K223" i="7"/>
  <c r="J223" i="7"/>
  <c r="I223" i="7"/>
  <c r="H223" i="7"/>
  <c r="F223" i="7"/>
  <c r="E223" i="7"/>
  <c r="G223" i="7" s="1"/>
  <c r="J222" i="7"/>
  <c r="I222" i="7"/>
  <c r="H222" i="7"/>
  <c r="F222" i="7"/>
  <c r="E222" i="7"/>
  <c r="M221" i="7"/>
  <c r="L221" i="7"/>
  <c r="K221" i="7"/>
  <c r="J221" i="7"/>
  <c r="I221" i="7"/>
  <c r="H221" i="7"/>
  <c r="G221" i="7"/>
  <c r="F221" i="7"/>
  <c r="E221" i="7"/>
  <c r="L220" i="7"/>
  <c r="J220" i="7"/>
  <c r="I220" i="7"/>
  <c r="H220" i="7"/>
  <c r="F220" i="7"/>
  <c r="M220" i="7" s="1"/>
  <c r="E220" i="7"/>
  <c r="G220" i="7" s="1"/>
  <c r="M219" i="7"/>
  <c r="J219" i="7"/>
  <c r="I219" i="7"/>
  <c r="H219" i="7"/>
  <c r="F219" i="7"/>
  <c r="K219" i="7" s="1"/>
  <c r="E219" i="7"/>
  <c r="G219" i="7" s="1"/>
  <c r="M218" i="7"/>
  <c r="J218" i="7"/>
  <c r="I218" i="7"/>
  <c r="L218" i="7" s="1"/>
  <c r="H218" i="7"/>
  <c r="K218" i="7" s="1"/>
  <c r="G218" i="7"/>
  <c r="F218" i="7"/>
  <c r="E218" i="7"/>
  <c r="J217" i="7"/>
  <c r="I217" i="7"/>
  <c r="H217" i="7"/>
  <c r="F217" i="7"/>
  <c r="E217" i="7"/>
  <c r="M216" i="7"/>
  <c r="L216" i="7"/>
  <c r="J216" i="7"/>
  <c r="I216" i="7"/>
  <c r="H216" i="7"/>
  <c r="G216" i="7"/>
  <c r="F216" i="7"/>
  <c r="K216" i="7" s="1"/>
  <c r="E216" i="7"/>
  <c r="L215" i="7"/>
  <c r="J215" i="7"/>
  <c r="I215" i="7"/>
  <c r="H215" i="7"/>
  <c r="G215" i="7"/>
  <c r="F215" i="7"/>
  <c r="M215" i="7" s="1"/>
  <c r="E215" i="7"/>
  <c r="M214" i="7"/>
  <c r="L214" i="7"/>
  <c r="K214" i="7"/>
  <c r="J214" i="7"/>
  <c r="I214" i="7"/>
  <c r="H214" i="7"/>
  <c r="G214" i="7"/>
  <c r="F214" i="7"/>
  <c r="E214" i="7"/>
  <c r="M213" i="7"/>
  <c r="J213" i="7"/>
  <c r="I213" i="7"/>
  <c r="L213" i="7" s="1"/>
  <c r="H213" i="7"/>
  <c r="F213" i="7"/>
  <c r="E213" i="7"/>
  <c r="G213" i="7" s="1"/>
  <c r="K212" i="7"/>
  <c r="J212" i="7"/>
  <c r="M212" i="7" s="1"/>
  <c r="I212" i="7"/>
  <c r="L212" i="7" s="1"/>
  <c r="H212" i="7"/>
  <c r="G212" i="7"/>
  <c r="F212" i="7"/>
  <c r="E212" i="7"/>
  <c r="J211" i="7"/>
  <c r="I211" i="7"/>
  <c r="H211" i="7"/>
  <c r="G211" i="7"/>
  <c r="F211" i="7"/>
  <c r="M211" i="7" s="1"/>
  <c r="E211" i="7"/>
  <c r="J210" i="7"/>
  <c r="I210" i="7"/>
  <c r="H210" i="7"/>
  <c r="F210" i="7"/>
  <c r="E210" i="7"/>
  <c r="J209" i="7"/>
  <c r="I209" i="7"/>
  <c r="H209" i="7"/>
  <c r="F209" i="7"/>
  <c r="M209" i="7" s="1"/>
  <c r="E209" i="7"/>
  <c r="G209" i="7" s="1"/>
  <c r="J208" i="7"/>
  <c r="I208" i="7"/>
  <c r="H208" i="7"/>
  <c r="F208" i="7"/>
  <c r="E208" i="7"/>
  <c r="M207" i="7"/>
  <c r="L207" i="7"/>
  <c r="K207" i="7"/>
  <c r="J207" i="7"/>
  <c r="I207" i="7"/>
  <c r="H207" i="7"/>
  <c r="G207" i="7"/>
  <c r="F207" i="7"/>
  <c r="E207" i="7"/>
  <c r="L206" i="7"/>
  <c r="J206" i="7"/>
  <c r="I206" i="7"/>
  <c r="H206" i="7"/>
  <c r="F206" i="7"/>
  <c r="M206" i="7" s="1"/>
  <c r="E206" i="7"/>
  <c r="G206" i="7" s="1"/>
  <c r="K205" i="7"/>
  <c r="J205" i="7"/>
  <c r="M205" i="7" s="1"/>
  <c r="I205" i="7"/>
  <c r="L205" i="7" s="1"/>
  <c r="H205" i="7"/>
  <c r="G205" i="7"/>
  <c r="F205" i="7"/>
  <c r="E205" i="7"/>
  <c r="J204" i="7"/>
  <c r="I204" i="7"/>
  <c r="H204" i="7"/>
  <c r="F204" i="7"/>
  <c r="E204" i="7"/>
  <c r="G204" i="7" s="1"/>
  <c r="J203" i="7"/>
  <c r="I203" i="7"/>
  <c r="H203" i="7"/>
  <c r="F203" i="7"/>
  <c r="E203" i="7"/>
  <c r="G203" i="7" s="1"/>
  <c r="J202" i="7"/>
  <c r="I202" i="7"/>
  <c r="H202" i="7"/>
  <c r="F202" i="7"/>
  <c r="M202" i="7" s="1"/>
  <c r="E202" i="7"/>
  <c r="M201" i="7"/>
  <c r="L201" i="7"/>
  <c r="J201" i="7"/>
  <c r="I201" i="7"/>
  <c r="H201" i="7"/>
  <c r="G201" i="7"/>
  <c r="F201" i="7"/>
  <c r="K201" i="7" s="1"/>
  <c r="E201" i="7"/>
  <c r="M200" i="7"/>
  <c r="L200" i="7"/>
  <c r="K200" i="7"/>
  <c r="J200" i="7"/>
  <c r="I200" i="7"/>
  <c r="H200" i="7"/>
  <c r="G200" i="7"/>
  <c r="F200" i="7"/>
  <c r="E200" i="7"/>
  <c r="M199" i="7"/>
  <c r="J199" i="7"/>
  <c r="I199" i="7"/>
  <c r="H199" i="7"/>
  <c r="F199" i="7"/>
  <c r="L199" i="7" s="1"/>
  <c r="E199" i="7"/>
  <c r="G199" i="7" s="1"/>
  <c r="M198" i="7"/>
  <c r="L198" i="7"/>
  <c r="K198" i="7"/>
  <c r="J198" i="7"/>
  <c r="I198" i="7"/>
  <c r="H198" i="7"/>
  <c r="G198" i="7"/>
  <c r="F198" i="7"/>
  <c r="E198" i="7"/>
  <c r="J197" i="7"/>
  <c r="I197" i="7"/>
  <c r="H197" i="7"/>
  <c r="G197" i="7"/>
  <c r="F197" i="7"/>
  <c r="M197" i="7" s="1"/>
  <c r="E197" i="7"/>
  <c r="K196" i="7"/>
  <c r="J196" i="7"/>
  <c r="I196" i="7"/>
  <c r="H196" i="7"/>
  <c r="G196" i="7"/>
  <c r="F196" i="7"/>
  <c r="M196" i="7" s="1"/>
  <c r="E196" i="7"/>
  <c r="L195" i="7"/>
  <c r="J195" i="7"/>
  <c r="I195" i="7"/>
  <c r="H195" i="7"/>
  <c r="G195" i="7"/>
  <c r="F195" i="7"/>
  <c r="M195" i="7" s="1"/>
  <c r="E195" i="7"/>
  <c r="M194" i="7"/>
  <c r="J194" i="7"/>
  <c r="I194" i="7"/>
  <c r="H194" i="7"/>
  <c r="F194" i="7"/>
  <c r="L194" i="7" s="1"/>
  <c r="E194" i="7"/>
  <c r="G194" i="7" s="1"/>
  <c r="M193" i="7"/>
  <c r="L193" i="7"/>
  <c r="J193" i="7"/>
  <c r="I193" i="7"/>
  <c r="H193" i="7"/>
  <c r="G193" i="7"/>
  <c r="F193" i="7"/>
  <c r="K193" i="7" s="1"/>
  <c r="E193" i="7"/>
  <c r="M192" i="7"/>
  <c r="K192" i="7"/>
  <c r="J192" i="7"/>
  <c r="I192" i="7"/>
  <c r="H192" i="7"/>
  <c r="F192" i="7"/>
  <c r="L192" i="7" s="1"/>
  <c r="E192" i="7"/>
  <c r="G192" i="7" s="1"/>
  <c r="L191" i="7"/>
  <c r="K191" i="7"/>
  <c r="J191" i="7"/>
  <c r="M191" i="7" s="1"/>
  <c r="I191" i="7"/>
  <c r="H191" i="7"/>
  <c r="G191" i="7"/>
  <c r="F191" i="7"/>
  <c r="E191" i="7"/>
  <c r="K190" i="7"/>
  <c r="J190" i="7"/>
  <c r="I190" i="7"/>
  <c r="H190" i="7"/>
  <c r="G190" i="7"/>
  <c r="F190" i="7"/>
  <c r="M190" i="7" s="1"/>
  <c r="E190" i="7"/>
  <c r="J189" i="7"/>
  <c r="I189" i="7"/>
  <c r="L189" i="7" s="1"/>
  <c r="H189" i="7"/>
  <c r="F189" i="7"/>
  <c r="M189" i="7" s="1"/>
  <c r="E189" i="7"/>
  <c r="G189" i="7" s="1"/>
  <c r="J188" i="7"/>
  <c r="I188" i="7"/>
  <c r="H188" i="7"/>
  <c r="F188" i="7"/>
  <c r="M188" i="7" s="1"/>
  <c r="E188" i="7"/>
  <c r="G188" i="7" s="1"/>
  <c r="J187" i="7"/>
  <c r="I187" i="7"/>
  <c r="H187" i="7"/>
  <c r="G187" i="7"/>
  <c r="F187" i="7"/>
  <c r="E187" i="7"/>
  <c r="J186" i="7"/>
  <c r="I186" i="7"/>
  <c r="H186" i="7"/>
  <c r="F186" i="7"/>
  <c r="E186" i="7"/>
  <c r="M185" i="7"/>
  <c r="L185" i="7"/>
  <c r="J185" i="7"/>
  <c r="I185" i="7"/>
  <c r="H185" i="7"/>
  <c r="G185" i="7"/>
  <c r="F185" i="7"/>
  <c r="K185" i="7" s="1"/>
  <c r="E185" i="7"/>
  <c r="M184" i="7"/>
  <c r="K184" i="7"/>
  <c r="J184" i="7"/>
  <c r="I184" i="7"/>
  <c r="H184" i="7"/>
  <c r="G184" i="7"/>
  <c r="F184" i="7"/>
  <c r="L184" i="7" s="1"/>
  <c r="E184" i="7"/>
  <c r="L183" i="7"/>
  <c r="J183" i="7"/>
  <c r="I183" i="7"/>
  <c r="H183" i="7"/>
  <c r="F183" i="7"/>
  <c r="M183" i="7" s="1"/>
  <c r="E183" i="7"/>
  <c r="G183" i="7" s="1"/>
  <c r="M182" i="7"/>
  <c r="J182" i="7"/>
  <c r="I182" i="7"/>
  <c r="L182" i="7" s="1"/>
  <c r="H182" i="7"/>
  <c r="K182" i="7" s="1"/>
  <c r="G182" i="7"/>
  <c r="F182" i="7"/>
  <c r="E182" i="7"/>
  <c r="J181" i="7"/>
  <c r="I181" i="7"/>
  <c r="H181" i="7"/>
  <c r="G181" i="7"/>
  <c r="F181" i="7"/>
  <c r="M181" i="7" s="1"/>
  <c r="E181" i="7"/>
  <c r="K180" i="7"/>
  <c r="J180" i="7"/>
  <c r="I180" i="7"/>
  <c r="H180" i="7"/>
  <c r="G180" i="7"/>
  <c r="F180" i="7"/>
  <c r="M180" i="7" s="1"/>
  <c r="E180" i="7"/>
  <c r="J179" i="7"/>
  <c r="I179" i="7"/>
  <c r="H179" i="7"/>
  <c r="F179" i="7"/>
  <c r="M179" i="7" s="1"/>
  <c r="E179" i="7"/>
  <c r="G179" i="7" s="1"/>
  <c r="J178" i="7"/>
  <c r="M178" i="7" s="1"/>
  <c r="I178" i="7"/>
  <c r="L178" i="7" s="1"/>
  <c r="H178" i="7"/>
  <c r="K178" i="7" s="1"/>
  <c r="F178" i="7"/>
  <c r="E178" i="7"/>
  <c r="G178" i="7" s="1"/>
  <c r="J177" i="7"/>
  <c r="I177" i="7"/>
  <c r="H177" i="7"/>
  <c r="F177" i="7"/>
  <c r="E177" i="7"/>
  <c r="M176" i="7"/>
  <c r="L176" i="7"/>
  <c r="J176" i="7"/>
  <c r="I176" i="7"/>
  <c r="H176" i="7"/>
  <c r="G176" i="7"/>
  <c r="F176" i="7"/>
  <c r="K176" i="7" s="1"/>
  <c r="E176" i="7"/>
  <c r="L175" i="7"/>
  <c r="K175" i="7"/>
  <c r="J175" i="7"/>
  <c r="I175" i="7"/>
  <c r="H175" i="7"/>
  <c r="G175" i="7"/>
  <c r="F175" i="7"/>
  <c r="E175" i="7"/>
  <c r="L174" i="7"/>
  <c r="J174" i="7"/>
  <c r="I174" i="7"/>
  <c r="H174" i="7"/>
  <c r="F174" i="7"/>
  <c r="M174" i="7" s="1"/>
  <c r="E174" i="7"/>
  <c r="G174" i="7" s="1"/>
  <c r="M173" i="7"/>
  <c r="J173" i="7"/>
  <c r="I173" i="7"/>
  <c r="H173" i="7"/>
  <c r="G173" i="7"/>
  <c r="F173" i="7"/>
  <c r="E173" i="7"/>
  <c r="J172" i="7"/>
  <c r="I172" i="7"/>
  <c r="H172" i="7"/>
  <c r="G172" i="7"/>
  <c r="F172" i="7"/>
  <c r="M172" i="7" s="1"/>
  <c r="E172" i="7"/>
  <c r="J171" i="7"/>
  <c r="I171" i="7"/>
  <c r="H171" i="7"/>
  <c r="G171" i="7"/>
  <c r="F171" i="7"/>
  <c r="E171" i="7"/>
  <c r="M170" i="7"/>
  <c r="L170" i="7"/>
  <c r="J170" i="7"/>
  <c r="I170" i="7"/>
  <c r="H170" i="7"/>
  <c r="G170" i="7"/>
  <c r="F170" i="7"/>
  <c r="K170" i="7" s="1"/>
  <c r="E170" i="7"/>
  <c r="M169" i="7"/>
  <c r="J169" i="7"/>
  <c r="I169" i="7"/>
  <c r="H169" i="7"/>
  <c r="F169" i="7"/>
  <c r="L169" i="7" s="1"/>
  <c r="E169" i="7"/>
  <c r="G169" i="7" s="1"/>
  <c r="M168" i="7"/>
  <c r="L168" i="7"/>
  <c r="K168" i="7"/>
  <c r="J168" i="7"/>
  <c r="I168" i="7"/>
  <c r="H168" i="7"/>
  <c r="G168" i="7"/>
  <c r="F168" i="7"/>
  <c r="E168" i="7"/>
  <c r="M167" i="7"/>
  <c r="K167" i="7"/>
  <c r="J167" i="7"/>
  <c r="I167" i="7"/>
  <c r="H167" i="7"/>
  <c r="G167" i="7"/>
  <c r="F167" i="7"/>
  <c r="L167" i="7" s="1"/>
  <c r="E167" i="7"/>
  <c r="M166" i="7"/>
  <c r="L166" i="7"/>
  <c r="K166" i="7"/>
  <c r="J166" i="7"/>
  <c r="I166" i="7"/>
  <c r="H166" i="7"/>
  <c r="G166" i="7"/>
  <c r="F166" i="7"/>
  <c r="E166" i="7"/>
  <c r="J165" i="7"/>
  <c r="I165" i="7"/>
  <c r="H165" i="7"/>
  <c r="K165" i="7" s="1"/>
  <c r="F165" i="7"/>
  <c r="M165" i="7" s="1"/>
  <c r="E165" i="7"/>
  <c r="G165" i="7" s="1"/>
  <c r="J164" i="7"/>
  <c r="I164" i="7"/>
  <c r="H164" i="7"/>
  <c r="K164" i="7" s="1"/>
  <c r="G164" i="7"/>
  <c r="F164" i="7"/>
  <c r="L164" i="7" s="1"/>
  <c r="E164" i="7"/>
  <c r="J163" i="7"/>
  <c r="I163" i="7"/>
  <c r="H163" i="7"/>
  <c r="F163" i="7"/>
  <c r="M163" i="7" s="1"/>
  <c r="E163" i="7"/>
  <c r="G163" i="7" s="1"/>
  <c r="J162" i="7"/>
  <c r="I162" i="7"/>
  <c r="H162" i="7"/>
  <c r="F162" i="7"/>
  <c r="E162" i="7"/>
  <c r="G162" i="7" s="1"/>
  <c r="J161" i="7"/>
  <c r="I161" i="7"/>
  <c r="H161" i="7"/>
  <c r="F161" i="7"/>
  <c r="E161" i="7"/>
  <c r="M160" i="7"/>
  <c r="L160" i="7"/>
  <c r="J160" i="7"/>
  <c r="I160" i="7"/>
  <c r="H160" i="7"/>
  <c r="G160" i="7"/>
  <c r="F160" i="7"/>
  <c r="K160" i="7" s="1"/>
  <c r="E160" i="7"/>
  <c r="M159" i="7"/>
  <c r="L159" i="7"/>
  <c r="K159" i="7"/>
  <c r="J159" i="7"/>
  <c r="I159" i="7"/>
  <c r="H159" i="7"/>
  <c r="F159" i="7"/>
  <c r="G159" i="7" s="1"/>
  <c r="E159" i="7"/>
  <c r="K158" i="7"/>
  <c r="J158" i="7"/>
  <c r="M158" i="7" s="1"/>
  <c r="I158" i="7"/>
  <c r="L158" i="7" s="1"/>
  <c r="H158" i="7"/>
  <c r="F158" i="7"/>
  <c r="E158" i="7"/>
  <c r="G158" i="7" s="1"/>
  <c r="M157" i="7"/>
  <c r="L157" i="7"/>
  <c r="K157" i="7"/>
  <c r="J157" i="7"/>
  <c r="I157" i="7"/>
  <c r="H157" i="7"/>
  <c r="G157" i="7"/>
  <c r="F157" i="7"/>
  <c r="E157" i="7"/>
  <c r="J156" i="7"/>
  <c r="I156" i="7"/>
  <c r="H156" i="7"/>
  <c r="K156" i="7" s="1"/>
  <c r="F156" i="7"/>
  <c r="M156" i="7" s="1"/>
  <c r="E156" i="7"/>
  <c r="G156" i="7" s="1"/>
  <c r="L155" i="7"/>
  <c r="J155" i="7"/>
  <c r="I155" i="7"/>
  <c r="H155" i="7"/>
  <c r="G155" i="7"/>
  <c r="F155" i="7"/>
  <c r="M155" i="7" s="1"/>
  <c r="E155" i="7"/>
  <c r="J154" i="7"/>
  <c r="I154" i="7"/>
  <c r="H154" i="7"/>
  <c r="G154" i="7"/>
  <c r="F154" i="7"/>
  <c r="E154" i="7"/>
  <c r="J153" i="7"/>
  <c r="I153" i="7"/>
  <c r="H153" i="7"/>
  <c r="G153" i="7"/>
  <c r="F153" i="7"/>
  <c r="E153" i="7"/>
  <c r="M152" i="7"/>
  <c r="L152" i="7"/>
  <c r="J152" i="7"/>
  <c r="I152" i="7"/>
  <c r="H152" i="7"/>
  <c r="G152" i="7"/>
  <c r="F152" i="7"/>
  <c r="K152" i="7" s="1"/>
  <c r="E152" i="7"/>
  <c r="M151" i="7"/>
  <c r="J151" i="7"/>
  <c r="I151" i="7"/>
  <c r="H151" i="7"/>
  <c r="F151" i="7"/>
  <c r="L151" i="7" s="1"/>
  <c r="E151" i="7"/>
  <c r="G151" i="7" s="1"/>
  <c r="M150" i="7"/>
  <c r="L150" i="7"/>
  <c r="K150" i="7"/>
  <c r="J150" i="7"/>
  <c r="I150" i="7"/>
  <c r="H150" i="7"/>
  <c r="F150" i="7"/>
  <c r="E150" i="7"/>
  <c r="G150" i="7" s="1"/>
  <c r="K149" i="7"/>
  <c r="J149" i="7"/>
  <c r="I149" i="7"/>
  <c r="H149" i="7"/>
  <c r="F149" i="7"/>
  <c r="M149" i="7" s="1"/>
  <c r="E149" i="7"/>
  <c r="M148" i="7"/>
  <c r="L148" i="7"/>
  <c r="K148" i="7"/>
  <c r="J148" i="7"/>
  <c r="I148" i="7"/>
  <c r="H148" i="7"/>
  <c r="G148" i="7"/>
  <c r="F148" i="7"/>
  <c r="E148" i="7"/>
  <c r="J147" i="7"/>
  <c r="I147" i="7"/>
  <c r="L147" i="7" s="1"/>
  <c r="H147" i="7"/>
  <c r="F147" i="7"/>
  <c r="M147" i="7" s="1"/>
  <c r="E147" i="7"/>
  <c r="G147" i="7" s="1"/>
  <c r="M146" i="7"/>
  <c r="L146" i="7"/>
  <c r="K146" i="7"/>
  <c r="J146" i="7"/>
  <c r="I146" i="7"/>
  <c r="H146" i="7"/>
  <c r="G146" i="7"/>
  <c r="F146" i="7"/>
  <c r="E146" i="7"/>
  <c r="J145" i="7"/>
  <c r="I145" i="7"/>
  <c r="H145" i="7"/>
  <c r="G145" i="7"/>
  <c r="F145" i="7"/>
  <c r="E145" i="7"/>
  <c r="J144" i="7"/>
  <c r="I144" i="7"/>
  <c r="H144" i="7"/>
  <c r="F144" i="7"/>
  <c r="E144" i="7"/>
  <c r="G144" i="7" s="1"/>
  <c r="J143" i="7"/>
  <c r="I143" i="7"/>
  <c r="H143" i="7"/>
  <c r="F143" i="7"/>
  <c r="E143" i="7"/>
  <c r="J142" i="7"/>
  <c r="I142" i="7"/>
  <c r="H142" i="7"/>
  <c r="G142" i="7"/>
  <c r="F142" i="7"/>
  <c r="E142" i="7"/>
  <c r="M141" i="7"/>
  <c r="J141" i="7"/>
  <c r="I141" i="7"/>
  <c r="H141" i="7"/>
  <c r="F141" i="7"/>
  <c r="K141" i="7" s="1"/>
  <c r="E141" i="7"/>
  <c r="G141" i="7" s="1"/>
  <c r="M140" i="7"/>
  <c r="L140" i="7"/>
  <c r="J140" i="7"/>
  <c r="I140" i="7"/>
  <c r="H140" i="7"/>
  <c r="G140" i="7"/>
  <c r="F140" i="7"/>
  <c r="K140" i="7" s="1"/>
  <c r="E140" i="7"/>
  <c r="M139" i="7"/>
  <c r="L139" i="7"/>
  <c r="K139" i="7"/>
  <c r="J139" i="7"/>
  <c r="I139" i="7"/>
  <c r="H139" i="7"/>
  <c r="G139" i="7"/>
  <c r="F139" i="7"/>
  <c r="E139" i="7"/>
  <c r="M138" i="7"/>
  <c r="K138" i="7"/>
  <c r="J138" i="7"/>
  <c r="I138" i="7"/>
  <c r="H138" i="7"/>
  <c r="F138" i="7"/>
  <c r="L138" i="7" s="1"/>
  <c r="E138" i="7"/>
  <c r="G138" i="7" s="1"/>
  <c r="L137" i="7"/>
  <c r="J137" i="7"/>
  <c r="M137" i="7" s="1"/>
  <c r="I137" i="7"/>
  <c r="H137" i="7"/>
  <c r="K137" i="7" s="1"/>
  <c r="G137" i="7"/>
  <c r="F137" i="7"/>
  <c r="E137" i="7"/>
  <c r="K136" i="7"/>
  <c r="J136" i="7"/>
  <c r="I136" i="7"/>
  <c r="H136" i="7"/>
  <c r="F136" i="7"/>
  <c r="M136" i="7" s="1"/>
  <c r="E136" i="7"/>
  <c r="G136" i="7" s="1"/>
  <c r="L135" i="7"/>
  <c r="K135" i="7"/>
  <c r="J135" i="7"/>
  <c r="M135" i="7" s="1"/>
  <c r="I135" i="7"/>
  <c r="H135" i="7"/>
  <c r="G135" i="7"/>
  <c r="F135" i="7"/>
  <c r="E135" i="7"/>
  <c r="J134" i="7"/>
  <c r="I134" i="7"/>
  <c r="H134" i="7"/>
  <c r="F134" i="7"/>
  <c r="E134" i="7"/>
  <c r="J133" i="7"/>
  <c r="I133" i="7"/>
  <c r="H133" i="7"/>
  <c r="F133" i="7"/>
  <c r="E133" i="7"/>
  <c r="G133" i="7" s="1"/>
  <c r="M132" i="7"/>
  <c r="L132" i="7"/>
  <c r="J132" i="7"/>
  <c r="I132" i="7"/>
  <c r="H132" i="7"/>
  <c r="F132" i="7"/>
  <c r="K132" i="7" s="1"/>
  <c r="E132" i="7"/>
  <c r="G132" i="7" s="1"/>
  <c r="M131" i="7"/>
  <c r="J131" i="7"/>
  <c r="I131" i="7"/>
  <c r="H131" i="7"/>
  <c r="G131" i="7"/>
  <c r="F131" i="7"/>
  <c r="E131" i="7"/>
  <c r="M130" i="7"/>
  <c r="L130" i="7"/>
  <c r="K130" i="7"/>
  <c r="J130" i="7"/>
  <c r="I130" i="7"/>
  <c r="H130" i="7"/>
  <c r="F130" i="7"/>
  <c r="E130" i="7"/>
  <c r="G130" i="7" s="1"/>
  <c r="J129" i="7"/>
  <c r="I129" i="7"/>
  <c r="H129" i="7"/>
  <c r="F129" i="7"/>
  <c r="M129" i="7" s="1"/>
  <c r="E129" i="7"/>
  <c r="M128" i="7"/>
  <c r="K128" i="7"/>
  <c r="J128" i="7"/>
  <c r="I128" i="7"/>
  <c r="L128" i="7" s="1"/>
  <c r="H128" i="7"/>
  <c r="G128" i="7"/>
  <c r="F128" i="7"/>
  <c r="E128" i="7"/>
  <c r="L127" i="7"/>
  <c r="J127" i="7"/>
  <c r="I127" i="7"/>
  <c r="H127" i="7"/>
  <c r="F127" i="7"/>
  <c r="M127" i="7" s="1"/>
  <c r="E127" i="7"/>
  <c r="G127" i="7" s="1"/>
  <c r="M126" i="7"/>
  <c r="L126" i="7"/>
  <c r="K126" i="7"/>
  <c r="J126" i="7"/>
  <c r="I126" i="7"/>
  <c r="H126" i="7"/>
  <c r="G126" i="7"/>
  <c r="F126" i="7"/>
  <c r="E126" i="7"/>
  <c r="J125" i="7"/>
  <c r="I125" i="7"/>
  <c r="H125" i="7"/>
  <c r="G125" i="7"/>
  <c r="F125" i="7"/>
  <c r="M125" i="7" s="1"/>
  <c r="E125" i="7"/>
  <c r="L124" i="7"/>
  <c r="K124" i="7"/>
  <c r="J124" i="7"/>
  <c r="I124" i="7"/>
  <c r="H124" i="7"/>
  <c r="F124" i="7"/>
  <c r="M124" i="7" s="1"/>
  <c r="E124" i="7"/>
  <c r="G124" i="7" s="1"/>
  <c r="J123" i="7"/>
  <c r="I123" i="7"/>
  <c r="H123" i="7"/>
  <c r="F123" i="7"/>
  <c r="E123" i="7"/>
  <c r="J122" i="7"/>
  <c r="I122" i="7"/>
  <c r="H122" i="7"/>
  <c r="F122" i="7"/>
  <c r="E122" i="7"/>
  <c r="G122" i="7" s="1"/>
  <c r="M121" i="7"/>
  <c r="L121" i="7"/>
  <c r="J121" i="7"/>
  <c r="I121" i="7"/>
  <c r="H121" i="7"/>
  <c r="F121" i="7"/>
  <c r="K121" i="7" s="1"/>
  <c r="E121" i="7"/>
  <c r="G121" i="7" s="1"/>
  <c r="L120" i="7"/>
  <c r="J120" i="7"/>
  <c r="I120" i="7"/>
  <c r="H120" i="7"/>
  <c r="G120" i="7"/>
  <c r="F120" i="7"/>
  <c r="E120" i="7"/>
  <c r="M119" i="7"/>
  <c r="L119" i="7"/>
  <c r="K119" i="7"/>
  <c r="J119" i="7"/>
  <c r="I119" i="7"/>
  <c r="H119" i="7"/>
  <c r="G119" i="7"/>
  <c r="F119" i="7"/>
  <c r="E119" i="7"/>
  <c r="J118" i="7"/>
  <c r="I118" i="7"/>
  <c r="H118" i="7"/>
  <c r="F118" i="7"/>
  <c r="L118" i="7" s="1"/>
  <c r="E118" i="7"/>
  <c r="M117" i="7"/>
  <c r="J117" i="7"/>
  <c r="I117" i="7"/>
  <c r="L117" i="7" s="1"/>
  <c r="H117" i="7"/>
  <c r="K117" i="7" s="1"/>
  <c r="G117" i="7"/>
  <c r="F117" i="7"/>
  <c r="E117" i="7"/>
  <c r="K116" i="7"/>
  <c r="J116" i="7"/>
  <c r="I116" i="7"/>
  <c r="H116" i="7"/>
  <c r="F116" i="7"/>
  <c r="M116" i="7" s="1"/>
  <c r="E116" i="7"/>
  <c r="G116" i="7" s="1"/>
  <c r="K115" i="7"/>
  <c r="J115" i="7"/>
  <c r="I115" i="7"/>
  <c r="H115" i="7"/>
  <c r="F115" i="7"/>
  <c r="M115" i="7" s="1"/>
  <c r="E115" i="7"/>
  <c r="J114" i="7"/>
  <c r="I114" i="7"/>
  <c r="H114" i="7"/>
  <c r="F114" i="7"/>
  <c r="E114" i="7"/>
  <c r="K113" i="7"/>
  <c r="J113" i="7"/>
  <c r="I113" i="7"/>
  <c r="H113" i="7"/>
  <c r="F113" i="7"/>
  <c r="E113" i="7"/>
  <c r="G113" i="7" s="1"/>
  <c r="M112" i="7"/>
  <c r="L112" i="7"/>
  <c r="J112" i="7"/>
  <c r="I112" i="7"/>
  <c r="H112" i="7"/>
  <c r="F112" i="7"/>
  <c r="K112" i="7" s="1"/>
  <c r="E112" i="7"/>
  <c r="G112" i="7" s="1"/>
  <c r="J111" i="7"/>
  <c r="I111" i="7"/>
  <c r="H111" i="7"/>
  <c r="G111" i="7"/>
  <c r="F111" i="7"/>
  <c r="E111" i="7"/>
  <c r="M110" i="7"/>
  <c r="L110" i="7"/>
  <c r="K110" i="7"/>
  <c r="J110" i="7"/>
  <c r="I110" i="7"/>
  <c r="H110" i="7"/>
  <c r="F110" i="7"/>
  <c r="E110" i="7"/>
  <c r="G110" i="7" s="1"/>
  <c r="L109" i="7"/>
  <c r="J109" i="7"/>
  <c r="I109" i="7"/>
  <c r="H109" i="7"/>
  <c r="G109" i="7"/>
  <c r="F109" i="7"/>
  <c r="M109" i="7" s="1"/>
  <c r="E109" i="7"/>
  <c r="M108" i="7"/>
  <c r="L108" i="7"/>
  <c r="K108" i="7"/>
  <c r="J108" i="7"/>
  <c r="I108" i="7"/>
  <c r="H108" i="7"/>
  <c r="G108" i="7"/>
  <c r="F108" i="7"/>
  <c r="E108" i="7"/>
  <c r="L107" i="7"/>
  <c r="J107" i="7"/>
  <c r="I107" i="7"/>
  <c r="H107" i="7"/>
  <c r="F107" i="7"/>
  <c r="M107" i="7" s="1"/>
  <c r="E107" i="7"/>
  <c r="G107" i="7" s="1"/>
  <c r="J106" i="7"/>
  <c r="I106" i="7"/>
  <c r="H106" i="7"/>
  <c r="G106" i="7"/>
  <c r="F106" i="7"/>
  <c r="M106" i="7" s="1"/>
  <c r="E106" i="7"/>
  <c r="J105" i="7"/>
  <c r="I105" i="7"/>
  <c r="H105" i="7"/>
  <c r="G105" i="7"/>
  <c r="F105" i="7"/>
  <c r="M105" i="7" s="1"/>
  <c r="E105" i="7"/>
  <c r="L104" i="7"/>
  <c r="J104" i="7"/>
  <c r="I104" i="7"/>
  <c r="H104" i="7"/>
  <c r="F104" i="7"/>
  <c r="M104" i="7" s="1"/>
  <c r="E104" i="7"/>
  <c r="G104" i="7" s="1"/>
  <c r="J103" i="7"/>
  <c r="I103" i="7"/>
  <c r="H103" i="7"/>
  <c r="F103" i="7"/>
  <c r="E103" i="7"/>
  <c r="J102" i="7"/>
  <c r="I102" i="7"/>
  <c r="H102" i="7"/>
  <c r="F102" i="7"/>
  <c r="E102" i="7"/>
  <c r="G102" i="7" s="1"/>
  <c r="M101" i="7"/>
  <c r="K101" i="7"/>
  <c r="J101" i="7"/>
  <c r="I101" i="7"/>
  <c r="H101" i="7"/>
  <c r="F101" i="7"/>
  <c r="L101" i="7" s="1"/>
  <c r="E101" i="7"/>
  <c r="G101" i="7" s="1"/>
  <c r="L100" i="7"/>
  <c r="J100" i="7"/>
  <c r="I100" i="7"/>
  <c r="H100" i="7"/>
  <c r="F100" i="7"/>
  <c r="K100" i="7" s="1"/>
  <c r="E100" i="7"/>
  <c r="G100" i="7" s="1"/>
  <c r="K99" i="7"/>
  <c r="J99" i="7"/>
  <c r="M99" i="7" s="1"/>
  <c r="I99" i="7"/>
  <c r="L99" i="7" s="1"/>
  <c r="H99" i="7"/>
  <c r="F99" i="7"/>
  <c r="G99" i="7" s="1"/>
  <c r="E99" i="7"/>
  <c r="J98" i="7"/>
  <c r="I98" i="7"/>
  <c r="H98" i="7"/>
  <c r="F98" i="7"/>
  <c r="L98" i="7" s="1"/>
  <c r="E98" i="7"/>
  <c r="G98" i="7" s="1"/>
  <c r="M97" i="7"/>
  <c r="L97" i="7"/>
  <c r="K97" i="7"/>
  <c r="J97" i="7"/>
  <c r="I97" i="7"/>
  <c r="H97" i="7"/>
  <c r="G97" i="7"/>
  <c r="F97" i="7"/>
  <c r="E97" i="7"/>
  <c r="K96" i="7"/>
  <c r="J96" i="7"/>
  <c r="I96" i="7"/>
  <c r="H96" i="7"/>
  <c r="F96" i="7"/>
  <c r="E96" i="7"/>
  <c r="L95" i="7"/>
  <c r="J95" i="7"/>
  <c r="M95" i="7" s="1"/>
  <c r="I95" i="7"/>
  <c r="H95" i="7"/>
  <c r="G95" i="7"/>
  <c r="F95" i="7"/>
  <c r="K95" i="7" s="1"/>
  <c r="E95" i="7"/>
  <c r="J94" i="7"/>
  <c r="I94" i="7"/>
  <c r="H94" i="7"/>
  <c r="F94" i="7"/>
  <c r="E94" i="7"/>
  <c r="K93" i="7"/>
  <c r="J93" i="7"/>
  <c r="I93" i="7"/>
  <c r="H93" i="7"/>
  <c r="F93" i="7"/>
  <c r="L93" i="7" s="1"/>
  <c r="E93" i="7"/>
  <c r="M92" i="7"/>
  <c r="L92" i="7"/>
  <c r="J92" i="7"/>
  <c r="I92" i="7"/>
  <c r="H92" i="7"/>
  <c r="G92" i="7"/>
  <c r="F92" i="7"/>
  <c r="K92" i="7" s="1"/>
  <c r="E92" i="7"/>
  <c r="J91" i="7"/>
  <c r="I91" i="7"/>
  <c r="H91" i="7"/>
  <c r="G91" i="7"/>
  <c r="F91" i="7"/>
  <c r="E91" i="7"/>
  <c r="M90" i="7"/>
  <c r="L90" i="7"/>
  <c r="K90" i="7"/>
  <c r="J90" i="7"/>
  <c r="I90" i="7"/>
  <c r="H90" i="7"/>
  <c r="F90" i="7"/>
  <c r="E90" i="7"/>
  <c r="G90" i="7" s="1"/>
  <c r="J89" i="7"/>
  <c r="I89" i="7"/>
  <c r="H89" i="7"/>
  <c r="F89" i="7"/>
  <c r="M89" i="7" s="1"/>
  <c r="E89" i="7"/>
  <c r="G89" i="7" s="1"/>
  <c r="M88" i="7"/>
  <c r="L88" i="7"/>
  <c r="K88" i="7"/>
  <c r="J88" i="7"/>
  <c r="I88" i="7"/>
  <c r="H88" i="7"/>
  <c r="G88" i="7"/>
  <c r="F88" i="7"/>
  <c r="E88" i="7"/>
  <c r="J87" i="7"/>
  <c r="I87" i="7"/>
  <c r="H87" i="7"/>
  <c r="F87" i="7"/>
  <c r="L87" i="7" s="1"/>
  <c r="E87" i="7"/>
  <c r="J86" i="7"/>
  <c r="I86" i="7"/>
  <c r="H86" i="7"/>
  <c r="K86" i="7" s="1"/>
  <c r="F86" i="7"/>
  <c r="M86" i="7" s="1"/>
  <c r="E86" i="7"/>
  <c r="J85" i="7"/>
  <c r="I85" i="7"/>
  <c r="H85" i="7"/>
  <c r="G85" i="7"/>
  <c r="F85" i="7"/>
  <c r="E85" i="7"/>
  <c r="M84" i="7"/>
  <c r="J84" i="7"/>
  <c r="I84" i="7"/>
  <c r="H84" i="7"/>
  <c r="F84" i="7"/>
  <c r="L84" i="7" s="1"/>
  <c r="E84" i="7"/>
  <c r="G84" i="7" s="1"/>
  <c r="J83" i="7"/>
  <c r="I83" i="7"/>
  <c r="H83" i="7"/>
  <c r="F83" i="7"/>
  <c r="E83" i="7"/>
  <c r="G83" i="7" s="1"/>
  <c r="M82" i="7"/>
  <c r="J82" i="7"/>
  <c r="I82" i="7"/>
  <c r="H82" i="7"/>
  <c r="K82" i="7" s="1"/>
  <c r="F82" i="7"/>
  <c r="L82" i="7" s="1"/>
  <c r="E82" i="7"/>
  <c r="G82" i="7" s="1"/>
  <c r="J81" i="7"/>
  <c r="I81" i="7"/>
  <c r="H81" i="7"/>
  <c r="F81" i="7"/>
  <c r="M81" i="7" s="1"/>
  <c r="E81" i="7"/>
  <c r="J80" i="7"/>
  <c r="I80" i="7"/>
  <c r="H80" i="7"/>
  <c r="F80" i="7"/>
  <c r="M80" i="7" s="1"/>
  <c r="E80" i="7"/>
  <c r="G80" i="7" s="1"/>
  <c r="M79" i="7"/>
  <c r="L79" i="7"/>
  <c r="K79" i="7"/>
  <c r="J79" i="7"/>
  <c r="I79" i="7"/>
  <c r="H79" i="7"/>
  <c r="F79" i="7"/>
  <c r="G79" i="7" s="1"/>
  <c r="E79" i="7"/>
  <c r="K78" i="7"/>
  <c r="J78" i="7"/>
  <c r="I78" i="7"/>
  <c r="H78" i="7"/>
  <c r="F78" i="7"/>
  <c r="L78" i="7" s="1"/>
  <c r="E78" i="7"/>
  <c r="G78" i="7" s="1"/>
  <c r="M77" i="7"/>
  <c r="L77" i="7"/>
  <c r="K77" i="7"/>
  <c r="J77" i="7"/>
  <c r="I77" i="7"/>
  <c r="H77" i="7"/>
  <c r="G77" i="7"/>
  <c r="F77" i="7"/>
  <c r="E77" i="7"/>
  <c r="J76" i="7"/>
  <c r="I76" i="7"/>
  <c r="H76" i="7"/>
  <c r="G76" i="7"/>
  <c r="F76" i="7"/>
  <c r="E76" i="7"/>
  <c r="J75" i="7"/>
  <c r="I75" i="7"/>
  <c r="H75" i="7"/>
  <c r="F75" i="7"/>
  <c r="M75" i="7" s="1"/>
  <c r="E75" i="7"/>
  <c r="J74" i="7"/>
  <c r="I74" i="7"/>
  <c r="H74" i="7"/>
  <c r="F74" i="7"/>
  <c r="E74" i="7"/>
  <c r="G74" i="7" s="1"/>
  <c r="M73" i="7"/>
  <c r="K73" i="7"/>
  <c r="J73" i="7"/>
  <c r="I73" i="7"/>
  <c r="H73" i="7"/>
  <c r="F73" i="7"/>
  <c r="L73" i="7" s="1"/>
  <c r="E73" i="7"/>
  <c r="G73" i="7" s="1"/>
  <c r="M72" i="7"/>
  <c r="L72" i="7"/>
  <c r="J72" i="7"/>
  <c r="I72" i="7"/>
  <c r="H72" i="7"/>
  <c r="G72" i="7"/>
  <c r="F72" i="7"/>
  <c r="K72" i="7" s="1"/>
  <c r="E72" i="7"/>
  <c r="J71" i="7"/>
  <c r="I71" i="7"/>
  <c r="H71" i="7"/>
  <c r="F71" i="7"/>
  <c r="M71" i="7" s="1"/>
  <c r="E71" i="7"/>
  <c r="G71" i="7" s="1"/>
  <c r="L70" i="7"/>
  <c r="K70" i="7"/>
  <c r="J70" i="7"/>
  <c r="M70" i="7" s="1"/>
  <c r="I70" i="7"/>
  <c r="H70" i="7"/>
  <c r="F70" i="7"/>
  <c r="E70" i="7"/>
  <c r="G70" i="7" s="1"/>
  <c r="J69" i="7"/>
  <c r="I69" i="7"/>
  <c r="H69" i="7"/>
  <c r="G69" i="7"/>
  <c r="F69" i="7"/>
  <c r="M69" i="7" s="1"/>
  <c r="E69" i="7"/>
  <c r="M68" i="7"/>
  <c r="J68" i="7"/>
  <c r="I68" i="7"/>
  <c r="L68" i="7" s="1"/>
  <c r="H68" i="7"/>
  <c r="K68" i="7" s="1"/>
  <c r="G68" i="7"/>
  <c r="F68" i="7"/>
  <c r="E68" i="7"/>
  <c r="L67" i="7"/>
  <c r="J67" i="7"/>
  <c r="I67" i="7"/>
  <c r="H67" i="7"/>
  <c r="G67" i="7"/>
  <c r="F67" i="7"/>
  <c r="E67" i="7"/>
  <c r="K66" i="7"/>
  <c r="J66" i="7"/>
  <c r="I66" i="7"/>
  <c r="L66" i="7" s="1"/>
  <c r="H66" i="7"/>
  <c r="G66" i="7"/>
  <c r="F66" i="7"/>
  <c r="M66" i="7" s="1"/>
  <c r="E66" i="7"/>
  <c r="J65" i="7"/>
  <c r="I65" i="7"/>
  <c r="H65" i="7"/>
  <c r="F65" i="7"/>
  <c r="E65" i="7"/>
  <c r="G65" i="7" s="1"/>
  <c r="J64" i="7"/>
  <c r="I64" i="7"/>
  <c r="H64" i="7"/>
  <c r="F64" i="7"/>
  <c r="M64" i="7" s="1"/>
  <c r="E64" i="7"/>
  <c r="J63" i="7"/>
  <c r="I63" i="7"/>
  <c r="H63" i="7"/>
  <c r="F63" i="7"/>
  <c r="E63" i="7"/>
  <c r="G63" i="7" s="1"/>
  <c r="M62" i="7"/>
  <c r="L62" i="7"/>
  <c r="K62" i="7"/>
  <c r="J62" i="7"/>
  <c r="I62" i="7"/>
  <c r="H62" i="7"/>
  <c r="G62" i="7"/>
  <c r="F62" i="7"/>
  <c r="E62" i="7"/>
  <c r="K61" i="7"/>
  <c r="J61" i="7"/>
  <c r="I61" i="7"/>
  <c r="H61" i="7"/>
  <c r="F61" i="7"/>
  <c r="M61" i="7" s="1"/>
  <c r="E61" i="7"/>
  <c r="L60" i="7"/>
  <c r="K60" i="7"/>
  <c r="J60" i="7"/>
  <c r="I60" i="7"/>
  <c r="H60" i="7"/>
  <c r="G60" i="7"/>
  <c r="F60" i="7"/>
  <c r="M60" i="7" s="1"/>
  <c r="E60" i="7"/>
  <c r="M59" i="7"/>
  <c r="K59" i="7"/>
  <c r="J59" i="7"/>
  <c r="I59" i="7"/>
  <c r="L59" i="7" s="1"/>
  <c r="H59" i="7"/>
  <c r="F59" i="7"/>
  <c r="G59" i="7" s="1"/>
  <c r="E59" i="7"/>
  <c r="L58" i="7"/>
  <c r="J58" i="7"/>
  <c r="I58" i="7"/>
  <c r="H58" i="7"/>
  <c r="G58" i="7"/>
  <c r="F58" i="7"/>
  <c r="M58" i="7" s="1"/>
  <c r="E58" i="7"/>
  <c r="M57" i="7"/>
  <c r="L57" i="7"/>
  <c r="K57" i="7"/>
  <c r="J57" i="7"/>
  <c r="I57" i="7"/>
  <c r="H57" i="7"/>
  <c r="G57" i="7"/>
  <c r="F57" i="7"/>
  <c r="E57" i="7"/>
  <c r="J56" i="7"/>
  <c r="I56" i="7"/>
  <c r="H56" i="7"/>
  <c r="F56" i="7"/>
  <c r="E56" i="7"/>
  <c r="G56" i="7" s="1"/>
  <c r="J55" i="7"/>
  <c r="I55" i="7"/>
  <c r="L55" i="7" s="1"/>
  <c r="H55" i="7"/>
  <c r="F55" i="7"/>
  <c r="G55" i="7" s="1"/>
  <c r="E55" i="7"/>
  <c r="J54" i="7"/>
  <c r="I54" i="7"/>
  <c r="H54" i="7"/>
  <c r="F54" i="7"/>
  <c r="E54" i="7"/>
  <c r="G54" i="7" s="1"/>
  <c r="J53" i="7"/>
  <c r="I53" i="7"/>
  <c r="H53" i="7"/>
  <c r="F53" i="7"/>
  <c r="M53" i="7" s="1"/>
  <c r="E53" i="7"/>
  <c r="G53" i="7" s="1"/>
  <c r="J52" i="7"/>
  <c r="I52" i="7"/>
  <c r="H52" i="7"/>
  <c r="F52" i="7"/>
  <c r="M52" i="7" s="1"/>
  <c r="E52" i="7"/>
  <c r="J51" i="7"/>
  <c r="I51" i="7"/>
  <c r="H51" i="7"/>
  <c r="F51" i="7"/>
  <c r="M51" i="7" s="1"/>
  <c r="E51" i="7"/>
  <c r="M50" i="7"/>
  <c r="L50" i="7"/>
  <c r="K50" i="7"/>
  <c r="J50" i="7"/>
  <c r="I50" i="7"/>
  <c r="H50" i="7"/>
  <c r="F50" i="7"/>
  <c r="E50" i="7"/>
  <c r="G50" i="7" s="1"/>
  <c r="L49" i="7"/>
  <c r="J49" i="7"/>
  <c r="I49" i="7"/>
  <c r="H49" i="7"/>
  <c r="F49" i="7"/>
  <c r="M49" i="7" s="1"/>
  <c r="E49" i="7"/>
  <c r="G49" i="7" s="1"/>
  <c r="M48" i="7"/>
  <c r="L48" i="7"/>
  <c r="K48" i="7"/>
  <c r="J48" i="7"/>
  <c r="I48" i="7"/>
  <c r="H48" i="7"/>
  <c r="G48" i="7"/>
  <c r="F48" i="7"/>
  <c r="E48" i="7"/>
  <c r="J47" i="7"/>
  <c r="I47" i="7"/>
  <c r="H47" i="7"/>
  <c r="G47" i="7"/>
  <c r="F47" i="7"/>
  <c r="E47" i="7"/>
  <c r="J46" i="7"/>
  <c r="I46" i="7"/>
  <c r="H46" i="7"/>
  <c r="G46" i="7"/>
  <c r="F46" i="7"/>
  <c r="M46" i="7" s="1"/>
  <c r="E46" i="7"/>
  <c r="J45" i="7"/>
  <c r="I45" i="7"/>
  <c r="H45" i="7"/>
  <c r="F45" i="7"/>
  <c r="E45" i="7"/>
  <c r="G45" i="7" s="1"/>
  <c r="M44" i="7"/>
  <c r="J44" i="7"/>
  <c r="I44" i="7"/>
  <c r="H44" i="7"/>
  <c r="F44" i="7"/>
  <c r="L44" i="7" s="1"/>
  <c r="E44" i="7"/>
  <c r="G44" i="7" s="1"/>
  <c r="M43" i="7"/>
  <c r="J43" i="7"/>
  <c r="I43" i="7"/>
  <c r="H43" i="7"/>
  <c r="F43" i="7"/>
  <c r="K43" i="7" s="1"/>
  <c r="E43" i="7"/>
  <c r="J42" i="7"/>
  <c r="I42" i="7"/>
  <c r="H42" i="7"/>
  <c r="F42" i="7"/>
  <c r="M42" i="7" s="1"/>
  <c r="E42" i="7"/>
  <c r="G42" i="7" s="1"/>
  <c r="J41" i="7"/>
  <c r="I41" i="7"/>
  <c r="H41" i="7"/>
  <c r="F41" i="7"/>
  <c r="M41" i="7" s="1"/>
  <c r="E41" i="7"/>
  <c r="G41" i="7" s="1"/>
  <c r="M40" i="7"/>
  <c r="L40" i="7"/>
  <c r="J40" i="7"/>
  <c r="I40" i="7"/>
  <c r="H40" i="7"/>
  <c r="K40" i="7" s="1"/>
  <c r="G40" i="7"/>
  <c r="F40" i="7"/>
  <c r="E40" i="7"/>
  <c r="J39" i="7"/>
  <c r="I39" i="7"/>
  <c r="L39" i="7" s="1"/>
  <c r="H39" i="7"/>
  <c r="G39" i="7"/>
  <c r="F39" i="7"/>
  <c r="M39" i="7" s="1"/>
  <c r="E39" i="7"/>
  <c r="M38" i="7"/>
  <c r="L38" i="7"/>
  <c r="K38" i="7"/>
  <c r="J38" i="7"/>
  <c r="I38" i="7"/>
  <c r="H38" i="7"/>
  <c r="F38" i="7"/>
  <c r="E38" i="7"/>
  <c r="G38" i="7" s="1"/>
  <c r="L37" i="7"/>
  <c r="J37" i="7"/>
  <c r="I37" i="7"/>
  <c r="H37" i="7"/>
  <c r="F37" i="7"/>
  <c r="M37" i="7" s="1"/>
  <c r="E37" i="7"/>
  <c r="G37" i="7" s="1"/>
  <c r="J36" i="7"/>
  <c r="M36" i="7" s="1"/>
  <c r="I36" i="7"/>
  <c r="H36" i="7"/>
  <c r="K36" i="7" s="1"/>
  <c r="G36" i="7"/>
  <c r="F36" i="7"/>
  <c r="E36" i="7"/>
  <c r="K35" i="7"/>
  <c r="J35" i="7"/>
  <c r="I35" i="7"/>
  <c r="L35" i="7" s="1"/>
  <c r="H35" i="7"/>
  <c r="G35" i="7"/>
  <c r="F35" i="7"/>
  <c r="M35" i="7" s="1"/>
  <c r="E35" i="7"/>
  <c r="R30" i="7"/>
  <c r="N30" i="7"/>
  <c r="M30" i="7"/>
  <c r="O30" i="7" s="1"/>
  <c r="L30" i="7"/>
  <c r="K30" i="7"/>
  <c r="J30" i="7"/>
  <c r="H30" i="7"/>
  <c r="P30" i="7" s="1"/>
  <c r="G30" i="7"/>
  <c r="I30" i="7" s="1"/>
  <c r="F30" i="7"/>
  <c r="E30" i="7"/>
  <c r="D30" i="7"/>
  <c r="Q30" i="7" s="1"/>
  <c r="C30" i="7"/>
  <c r="N29" i="7"/>
  <c r="M29" i="7"/>
  <c r="O29" i="7" s="1"/>
  <c r="L29" i="7"/>
  <c r="K29" i="7"/>
  <c r="J29" i="7"/>
  <c r="I29" i="7"/>
  <c r="H29" i="7"/>
  <c r="G29" i="7"/>
  <c r="D29" i="7"/>
  <c r="R29" i="7" s="1"/>
  <c r="C29" i="7"/>
  <c r="E29" i="7" s="1"/>
  <c r="N28" i="7"/>
  <c r="M28" i="7"/>
  <c r="O28" i="7" s="1"/>
  <c r="L28" i="7"/>
  <c r="K28" i="7"/>
  <c r="J28" i="7"/>
  <c r="H28" i="7"/>
  <c r="G28" i="7"/>
  <c r="I28" i="7" s="1"/>
  <c r="E28" i="7"/>
  <c r="D28" i="7"/>
  <c r="R28" i="7" s="1"/>
  <c r="C28" i="7"/>
  <c r="P27" i="7"/>
  <c r="N27" i="7"/>
  <c r="M27" i="7"/>
  <c r="O27" i="7" s="1"/>
  <c r="L27" i="7"/>
  <c r="K27" i="7"/>
  <c r="J27" i="7"/>
  <c r="H27" i="7"/>
  <c r="I27" i="7" s="1"/>
  <c r="G27" i="7"/>
  <c r="F27" i="7"/>
  <c r="D27" i="7"/>
  <c r="R27" i="7" s="1"/>
  <c r="C27" i="7"/>
  <c r="E27" i="7" s="1"/>
  <c r="P26" i="7"/>
  <c r="N26" i="7"/>
  <c r="R26" i="7" s="1"/>
  <c r="M26" i="7"/>
  <c r="K26" i="7"/>
  <c r="Q26" i="7" s="1"/>
  <c r="J26" i="7"/>
  <c r="L26" i="7" s="1"/>
  <c r="H26" i="7"/>
  <c r="I26" i="7" s="1"/>
  <c r="G26" i="7"/>
  <c r="D26" i="7"/>
  <c r="F26" i="7" s="1"/>
  <c r="C26" i="7"/>
  <c r="E26" i="7" s="1"/>
  <c r="Q25" i="7"/>
  <c r="O25" i="7"/>
  <c r="N25" i="7"/>
  <c r="M25" i="7"/>
  <c r="K25" i="7"/>
  <c r="J25" i="7"/>
  <c r="L25" i="7" s="1"/>
  <c r="H25" i="7"/>
  <c r="G25" i="7"/>
  <c r="I25" i="7" s="1"/>
  <c r="D25" i="7"/>
  <c r="F25" i="7" s="1"/>
  <c r="C25" i="7"/>
  <c r="O24" i="7"/>
  <c r="N24" i="7"/>
  <c r="M24" i="7"/>
  <c r="K24" i="7"/>
  <c r="J24" i="7"/>
  <c r="L24" i="7" s="1"/>
  <c r="H24" i="7"/>
  <c r="I24" i="7" s="1"/>
  <c r="G24" i="7"/>
  <c r="D24" i="7"/>
  <c r="R24" i="7" s="1"/>
  <c r="C24" i="7"/>
  <c r="F24" i="7" s="1"/>
  <c r="O23" i="7"/>
  <c r="N23" i="7"/>
  <c r="M23" i="7"/>
  <c r="K23" i="7"/>
  <c r="L23" i="7" s="1"/>
  <c r="J23" i="7"/>
  <c r="I23" i="7"/>
  <c r="H23" i="7"/>
  <c r="G23" i="7"/>
  <c r="D23" i="7"/>
  <c r="R23" i="7" s="1"/>
  <c r="C23" i="7"/>
  <c r="R22" i="7"/>
  <c r="Q22" i="7"/>
  <c r="O22" i="7"/>
  <c r="N22" i="7"/>
  <c r="M22" i="7"/>
  <c r="L22" i="7"/>
  <c r="K22" i="7"/>
  <c r="J22" i="7"/>
  <c r="H22" i="7"/>
  <c r="P22" i="7" s="1"/>
  <c r="G22" i="7"/>
  <c r="I22" i="7" s="1"/>
  <c r="E22" i="7"/>
  <c r="D22" i="7"/>
  <c r="F22" i="7" s="1"/>
  <c r="C22" i="7"/>
  <c r="Q21" i="7"/>
  <c r="P21" i="7"/>
  <c r="N21" i="7"/>
  <c r="R21" i="7" s="1"/>
  <c r="M21" i="7"/>
  <c r="O21" i="7" s="1"/>
  <c r="K21" i="7"/>
  <c r="J21" i="7"/>
  <c r="L21" i="7" s="1"/>
  <c r="H21" i="7"/>
  <c r="G21" i="7"/>
  <c r="I21" i="7" s="1"/>
  <c r="D21" i="7"/>
  <c r="C21" i="7"/>
  <c r="F21" i="7" s="1"/>
  <c r="R20" i="7"/>
  <c r="P20" i="7"/>
  <c r="N20" i="7"/>
  <c r="M20" i="7"/>
  <c r="O20" i="7" s="1"/>
  <c r="K20" i="7"/>
  <c r="J20" i="7"/>
  <c r="L20" i="7" s="1"/>
  <c r="I20" i="7"/>
  <c r="H20" i="7"/>
  <c r="G20" i="7"/>
  <c r="F20" i="7"/>
  <c r="D20" i="7"/>
  <c r="Q20" i="7" s="1"/>
  <c r="C20" i="7"/>
  <c r="E20" i="7" s="1"/>
  <c r="N19" i="7"/>
  <c r="O19" i="7" s="1"/>
  <c r="M19" i="7"/>
  <c r="K19" i="7"/>
  <c r="J19" i="7"/>
  <c r="L19" i="7" s="1"/>
  <c r="H19" i="7"/>
  <c r="I19" i="7" s="1"/>
  <c r="G19" i="7"/>
  <c r="F19" i="7"/>
  <c r="E19" i="7"/>
  <c r="D19" i="7"/>
  <c r="R19" i="7" s="1"/>
  <c r="C19" i="7"/>
  <c r="R18" i="7"/>
  <c r="O18" i="7"/>
  <c r="N18" i="7"/>
  <c r="M18" i="7"/>
  <c r="K18" i="7"/>
  <c r="J18" i="7"/>
  <c r="L18" i="7" s="1"/>
  <c r="H18" i="7"/>
  <c r="P18" i="7" s="1"/>
  <c r="G18" i="7"/>
  <c r="I18" i="7" s="1"/>
  <c r="F18" i="7"/>
  <c r="D18" i="7"/>
  <c r="Q18" i="7" s="1"/>
  <c r="C18" i="7"/>
  <c r="Q17" i="7"/>
  <c r="N17" i="7"/>
  <c r="M17" i="7"/>
  <c r="O17" i="7" s="1"/>
  <c r="K17" i="7"/>
  <c r="L17" i="7" s="1"/>
  <c r="J17" i="7"/>
  <c r="H17" i="7"/>
  <c r="G17" i="7"/>
  <c r="I17" i="7" s="1"/>
  <c r="F17" i="7"/>
  <c r="D17" i="7"/>
  <c r="R17" i="7" s="1"/>
  <c r="C17" i="7"/>
  <c r="E17" i="7" s="1"/>
  <c r="N16" i="7"/>
  <c r="R16" i="7" s="1"/>
  <c r="M16" i="7"/>
  <c r="L16" i="7"/>
  <c r="K16" i="7"/>
  <c r="Q16" i="7" s="1"/>
  <c r="J16" i="7"/>
  <c r="I16" i="7"/>
  <c r="H16" i="7"/>
  <c r="P16" i="7" s="1"/>
  <c r="G16" i="7"/>
  <c r="F16" i="7"/>
  <c r="E16" i="7"/>
  <c r="D16" i="7"/>
  <c r="C16" i="7"/>
  <c r="Q15" i="7"/>
  <c r="O15" i="7"/>
  <c r="N15" i="7"/>
  <c r="M15" i="7"/>
  <c r="K15" i="7"/>
  <c r="J15" i="7"/>
  <c r="L15" i="7" s="1"/>
  <c r="H15" i="7"/>
  <c r="I15" i="7" s="1"/>
  <c r="G15" i="7"/>
  <c r="E15" i="7"/>
  <c r="D15" i="7"/>
  <c r="R15" i="7" s="1"/>
  <c r="C15" i="7"/>
  <c r="N14" i="7"/>
  <c r="M14" i="7"/>
  <c r="O14" i="7" s="1"/>
  <c r="K14" i="7"/>
  <c r="J14" i="7"/>
  <c r="L14" i="7" s="1"/>
  <c r="I14" i="7"/>
  <c r="H14" i="7"/>
  <c r="G14" i="7"/>
  <c r="D14" i="7"/>
  <c r="R14" i="7" s="1"/>
  <c r="C14" i="7"/>
  <c r="Q13" i="7"/>
  <c r="P13" i="7"/>
  <c r="N13" i="7"/>
  <c r="O13" i="7" s="1"/>
  <c r="M13" i="7"/>
  <c r="K13" i="7"/>
  <c r="J13" i="7"/>
  <c r="L13" i="7" s="1"/>
  <c r="I13" i="7"/>
  <c r="H13" i="7"/>
  <c r="G13" i="7"/>
  <c r="E13" i="7"/>
  <c r="D13" i="7"/>
  <c r="F13" i="7" s="1"/>
  <c r="C13" i="7"/>
  <c r="R12" i="7"/>
  <c r="Q12" i="7"/>
  <c r="P12" i="7"/>
  <c r="N12" i="7"/>
  <c r="M12" i="7"/>
  <c r="O12" i="7" s="1"/>
  <c r="K12" i="7"/>
  <c r="J12" i="7"/>
  <c r="L12" i="7" s="1"/>
  <c r="I12" i="7"/>
  <c r="H12" i="7"/>
  <c r="G12" i="7"/>
  <c r="E12" i="7"/>
  <c r="D12" i="7"/>
  <c r="C12" i="7"/>
  <c r="F12" i="7" s="1"/>
  <c r="N11" i="7"/>
  <c r="R11" i="7" s="1"/>
  <c r="M11" i="7"/>
  <c r="O11" i="7" s="1"/>
  <c r="K11" i="7"/>
  <c r="Q11" i="7" s="1"/>
  <c r="J11" i="7"/>
  <c r="H11" i="7"/>
  <c r="P11" i="7" s="1"/>
  <c r="G11" i="7"/>
  <c r="I11" i="7" s="1"/>
  <c r="F11" i="7"/>
  <c r="E11" i="7"/>
  <c r="D11" i="7"/>
  <c r="C11" i="7"/>
  <c r="N10" i="7"/>
  <c r="M10" i="7"/>
  <c r="O10" i="7" s="1"/>
  <c r="L10" i="7"/>
  <c r="K10" i="7"/>
  <c r="J10" i="7"/>
  <c r="H10" i="7"/>
  <c r="G10" i="7"/>
  <c r="I10" i="7" s="1"/>
  <c r="D10" i="7"/>
  <c r="R10" i="7" s="1"/>
  <c r="C10" i="7"/>
  <c r="E10" i="7" s="1"/>
  <c r="Q9" i="7"/>
  <c r="N9" i="7"/>
  <c r="M9" i="7"/>
  <c r="O9" i="7" s="1"/>
  <c r="L9" i="7"/>
  <c r="K9" i="7"/>
  <c r="J9" i="7"/>
  <c r="H9" i="7"/>
  <c r="G9" i="7"/>
  <c r="I9" i="7" s="1"/>
  <c r="D9" i="7"/>
  <c r="R9" i="7" s="1"/>
  <c r="C9" i="7"/>
  <c r="E9" i="7" s="1"/>
  <c r="P8" i="7"/>
  <c r="N8" i="7"/>
  <c r="M8" i="7"/>
  <c r="O8" i="7" s="1"/>
  <c r="L8" i="7"/>
  <c r="K8" i="7"/>
  <c r="J8" i="7"/>
  <c r="H8" i="7"/>
  <c r="I8" i="7" s="1"/>
  <c r="G8" i="7"/>
  <c r="F8" i="7"/>
  <c r="D8" i="7"/>
  <c r="R8" i="7" s="1"/>
  <c r="C8" i="7"/>
  <c r="E8" i="7" s="1"/>
  <c r="O7" i="7"/>
  <c r="N7" i="7"/>
  <c r="M7" i="7"/>
  <c r="L7" i="7"/>
  <c r="K7" i="7"/>
  <c r="J7" i="7"/>
  <c r="I7" i="7"/>
  <c r="H7" i="7"/>
  <c r="G7" i="7"/>
  <c r="D7" i="7"/>
  <c r="F7" i="7" s="1"/>
  <c r="C7" i="7"/>
  <c r="R6" i="7"/>
  <c r="N6" i="7"/>
  <c r="N31" i="7" s="1"/>
  <c r="M6" i="7"/>
  <c r="O6" i="7" s="1"/>
  <c r="K6" i="7"/>
  <c r="K31" i="7" s="1"/>
  <c r="J6" i="7"/>
  <c r="J31" i="7" s="1"/>
  <c r="L31" i="7" s="1"/>
  <c r="H6" i="7"/>
  <c r="H31" i="7" s="1"/>
  <c r="G6" i="7"/>
  <c r="G31" i="7" s="1"/>
  <c r="I31" i="7" s="1"/>
  <c r="F6" i="7"/>
  <c r="E6" i="7"/>
  <c r="D6" i="7"/>
  <c r="C6" i="7"/>
  <c r="C31" i="7" s="1"/>
  <c r="U24" i="6"/>
  <c r="L24" i="6"/>
  <c r="I24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W23" i="6" s="1"/>
  <c r="B23" i="6"/>
  <c r="V22" i="6"/>
  <c r="U22" i="6"/>
  <c r="T22" i="6"/>
  <c r="S22" i="6"/>
  <c r="R22" i="6"/>
  <c r="Q22" i="6"/>
  <c r="P22" i="6"/>
  <c r="O22" i="6"/>
  <c r="N22" i="6"/>
  <c r="M22" i="6"/>
  <c r="L22" i="6"/>
  <c r="K22" i="6"/>
  <c r="K24" i="6" s="1"/>
  <c r="J22" i="6"/>
  <c r="I22" i="6"/>
  <c r="H22" i="6"/>
  <c r="G22" i="6"/>
  <c r="F22" i="6"/>
  <c r="E22" i="6"/>
  <c r="D22" i="6"/>
  <c r="C22" i="6"/>
  <c r="W22" i="6" s="1"/>
  <c r="B22" i="6"/>
  <c r="V21" i="6"/>
  <c r="V24" i="6" s="1"/>
  <c r="U21" i="6"/>
  <c r="T21" i="6"/>
  <c r="T24" i="6" s="1"/>
  <c r="S21" i="6"/>
  <c r="S24" i="6" s="1"/>
  <c r="R21" i="6"/>
  <c r="R24" i="6" s="1"/>
  <c r="Q21" i="6"/>
  <c r="Q24" i="6" s="1"/>
  <c r="P21" i="6"/>
  <c r="P24" i="6" s="1"/>
  <c r="O21" i="6"/>
  <c r="O24" i="6" s="1"/>
  <c r="N21" i="6"/>
  <c r="N24" i="6" s="1"/>
  <c r="M21" i="6"/>
  <c r="M24" i="6" s="1"/>
  <c r="L21" i="6"/>
  <c r="K21" i="6"/>
  <c r="J21" i="6"/>
  <c r="J24" i="6" s="1"/>
  <c r="I21" i="6"/>
  <c r="H21" i="6"/>
  <c r="H24" i="6" s="1"/>
  <c r="G21" i="6"/>
  <c r="G24" i="6" s="1"/>
  <c r="F21" i="6"/>
  <c r="F24" i="6" s="1"/>
  <c r="E21" i="6"/>
  <c r="E24" i="6" s="1"/>
  <c r="D21" i="6"/>
  <c r="D24" i="6" s="1"/>
  <c r="C21" i="6"/>
  <c r="C24" i="6" s="1"/>
  <c r="B21" i="6"/>
  <c r="B24" i="6" s="1"/>
  <c r="B16" i="6"/>
  <c r="E15" i="6"/>
  <c r="B15" i="6"/>
  <c r="B14" i="6"/>
  <c r="E14" i="6" s="1"/>
  <c r="E13" i="6"/>
  <c r="B13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B9" i="6"/>
  <c r="C15" i="6" s="1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AA8" i="6" s="1"/>
  <c r="D14" i="6" s="1"/>
  <c r="F8" i="6"/>
  <c r="E8" i="6"/>
  <c r="D8" i="6"/>
  <c r="C8" i="6"/>
  <c r="B8" i="6"/>
  <c r="C14" i="6" s="1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B7" i="6"/>
  <c r="AA7" i="6" s="1"/>
  <c r="D13" i="6" s="1"/>
  <c r="B52" i="5"/>
  <c r="A52" i="5"/>
  <c r="B51" i="5"/>
  <c r="A51" i="5"/>
  <c r="B50" i="5"/>
  <c r="A50" i="5"/>
  <c r="B49" i="5"/>
  <c r="A49" i="5"/>
  <c r="B48" i="5"/>
  <c r="A48" i="5"/>
  <c r="B47" i="5"/>
  <c r="A47" i="5"/>
  <c r="B46" i="5"/>
  <c r="A46" i="5"/>
  <c r="B45" i="5"/>
  <c r="A45" i="5"/>
  <c r="B44" i="5"/>
  <c r="A44" i="5"/>
  <c r="B43" i="5"/>
  <c r="A43" i="5"/>
  <c r="B42" i="5"/>
  <c r="A42" i="5"/>
  <c r="B41" i="5"/>
  <c r="A41" i="5"/>
  <c r="B40" i="5"/>
  <c r="A40" i="5"/>
  <c r="J39" i="5"/>
  <c r="K39" i="5" s="1"/>
  <c r="L39" i="5" s="1"/>
  <c r="M39" i="5" s="1"/>
  <c r="N39" i="5" s="1"/>
  <c r="O39" i="5" s="1"/>
  <c r="P39" i="5" s="1"/>
  <c r="Q39" i="5" s="1"/>
  <c r="B39" i="5"/>
  <c r="A39" i="5"/>
  <c r="R38" i="5"/>
  <c r="S38" i="5" s="1"/>
  <c r="T38" i="5" s="1"/>
  <c r="U38" i="5" s="1"/>
  <c r="V38" i="5" s="1"/>
  <c r="W38" i="5" s="1"/>
  <c r="X38" i="5" s="1"/>
  <c r="Y38" i="5" s="1"/>
  <c r="Z38" i="5" s="1"/>
  <c r="AA38" i="5" s="1"/>
  <c r="AB38" i="5" s="1"/>
  <c r="B38" i="5"/>
  <c r="A38" i="5"/>
  <c r="B37" i="5"/>
  <c r="A37" i="5"/>
  <c r="B36" i="5"/>
  <c r="A36" i="5"/>
  <c r="B35" i="5"/>
  <c r="A35" i="5"/>
  <c r="B34" i="5"/>
  <c r="A34" i="5"/>
  <c r="B33" i="5"/>
  <c r="A33" i="5"/>
  <c r="B32" i="5"/>
  <c r="A32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C52" i="5" s="1"/>
  <c r="D52" i="5" s="1"/>
  <c r="E52" i="5" s="1"/>
  <c r="F52" i="5" s="1"/>
  <c r="G52" i="5" s="1"/>
  <c r="H52" i="5" s="1"/>
  <c r="I52" i="5" s="1"/>
  <c r="J52" i="5" s="1"/>
  <c r="K52" i="5" s="1"/>
  <c r="L52" i="5" s="1"/>
  <c r="M52" i="5" s="1"/>
  <c r="N52" i="5" s="1"/>
  <c r="O52" i="5" s="1"/>
  <c r="P52" i="5" s="1"/>
  <c r="Q52" i="5" s="1"/>
  <c r="R52" i="5" s="1"/>
  <c r="S52" i="5" s="1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C51" i="5" s="1"/>
  <c r="D51" i="5" s="1"/>
  <c r="E51" i="5" s="1"/>
  <c r="AA24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AB24" i="5" s="1"/>
  <c r="AA23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C49" i="5" s="1"/>
  <c r="D49" i="5" s="1"/>
  <c r="E49" i="5" s="1"/>
  <c r="F49" i="5" s="1"/>
  <c r="G49" i="5" s="1"/>
  <c r="H49" i="5" s="1"/>
  <c r="I49" i="5" s="1"/>
  <c r="J49" i="5" s="1"/>
  <c r="K49" i="5" s="1"/>
  <c r="L49" i="5" s="1"/>
  <c r="M49" i="5" s="1"/>
  <c r="N49" i="5" s="1"/>
  <c r="O49" i="5" s="1"/>
  <c r="P49" i="5" s="1"/>
  <c r="Q49" i="5" s="1"/>
  <c r="AA22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AB22" i="5" s="1"/>
  <c r="C22" i="5"/>
  <c r="C48" i="5" s="1"/>
  <c r="D48" i="5" s="1"/>
  <c r="E48" i="5" s="1"/>
  <c r="F48" i="5" s="1"/>
  <c r="G48" i="5" s="1"/>
  <c r="H48" i="5" s="1"/>
  <c r="I48" i="5" s="1"/>
  <c r="J48" i="5" s="1"/>
  <c r="K48" i="5" s="1"/>
  <c r="L48" i="5" s="1"/>
  <c r="M48" i="5" s="1"/>
  <c r="N48" i="5" s="1"/>
  <c r="O48" i="5" s="1"/>
  <c r="P48" i="5" s="1"/>
  <c r="Q48" i="5" s="1"/>
  <c r="R48" i="5" s="1"/>
  <c r="S48" i="5" s="1"/>
  <c r="T48" i="5" s="1"/>
  <c r="U48" i="5" s="1"/>
  <c r="V48" i="5" s="1"/>
  <c r="W48" i="5" s="1"/>
  <c r="X48" i="5" s="1"/>
  <c r="Y48" i="5" s="1"/>
  <c r="Z48" i="5" s="1"/>
  <c r="AA48" i="5" s="1"/>
  <c r="AB48" i="5" s="1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AB21" i="5" s="1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C46" i="5" s="1"/>
  <c r="D46" i="5" s="1"/>
  <c r="E46" i="5" s="1"/>
  <c r="F46" i="5" s="1"/>
  <c r="G46" i="5" s="1"/>
  <c r="H46" i="5" s="1"/>
  <c r="I46" i="5" s="1"/>
  <c r="J46" i="5" s="1"/>
  <c r="K46" i="5" s="1"/>
  <c r="L46" i="5" s="1"/>
  <c r="M46" i="5" s="1"/>
  <c r="N46" i="5" s="1"/>
  <c r="O46" i="5" s="1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C45" i="5" s="1"/>
  <c r="D45" i="5" s="1"/>
  <c r="E45" i="5" s="1"/>
  <c r="F45" i="5" s="1"/>
  <c r="G45" i="5" s="1"/>
  <c r="H45" i="5" s="1"/>
  <c r="I45" i="5" s="1"/>
  <c r="J45" i="5" s="1"/>
  <c r="K45" i="5" s="1"/>
  <c r="L45" i="5" s="1"/>
  <c r="M45" i="5" s="1"/>
  <c r="N45" i="5" s="1"/>
  <c r="O45" i="5" s="1"/>
  <c r="P45" i="5" s="1"/>
  <c r="Q45" i="5" s="1"/>
  <c r="R45" i="5" s="1"/>
  <c r="S45" i="5" s="1"/>
  <c r="T45" i="5" s="1"/>
  <c r="U45" i="5" s="1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AB18" i="5" s="1"/>
  <c r="G18" i="5"/>
  <c r="F18" i="5"/>
  <c r="E18" i="5"/>
  <c r="D18" i="5"/>
  <c r="C18" i="5"/>
  <c r="C44" i="5" s="1"/>
  <c r="D44" i="5" s="1"/>
  <c r="E44" i="5" s="1"/>
  <c r="F44" i="5" s="1"/>
  <c r="G44" i="5" s="1"/>
  <c r="H44" i="5" s="1"/>
  <c r="I44" i="5" s="1"/>
  <c r="J44" i="5" s="1"/>
  <c r="K44" i="5" s="1"/>
  <c r="L44" i="5" s="1"/>
  <c r="M44" i="5" s="1"/>
  <c r="N44" i="5" s="1"/>
  <c r="O44" i="5" s="1"/>
  <c r="P44" i="5" s="1"/>
  <c r="Q44" i="5" s="1"/>
  <c r="R44" i="5" s="1"/>
  <c r="S44" i="5" s="1"/>
  <c r="T44" i="5" s="1"/>
  <c r="U44" i="5" s="1"/>
  <c r="V44" i="5" s="1"/>
  <c r="W44" i="5" s="1"/>
  <c r="X44" i="5" s="1"/>
  <c r="Y44" i="5" s="1"/>
  <c r="Z44" i="5" s="1"/>
  <c r="AA44" i="5" s="1"/>
  <c r="AB44" i="5" s="1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AB17" i="5" s="1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C42" i="5" s="1"/>
  <c r="D42" i="5" s="1"/>
  <c r="E42" i="5" s="1"/>
  <c r="F42" i="5" s="1"/>
  <c r="G42" i="5" s="1"/>
  <c r="H42" i="5" s="1"/>
  <c r="I42" i="5" s="1"/>
  <c r="J42" i="5" s="1"/>
  <c r="K42" i="5" s="1"/>
  <c r="L42" i="5" s="1"/>
  <c r="M42" i="5" s="1"/>
  <c r="N42" i="5" s="1"/>
  <c r="O42" i="5" s="1"/>
  <c r="P42" i="5" s="1"/>
  <c r="Q42" i="5" s="1"/>
  <c r="R42" i="5" s="1"/>
  <c r="S42" i="5" s="1"/>
  <c r="T42" i="5" s="1"/>
  <c r="U42" i="5" s="1"/>
  <c r="V42" i="5" s="1"/>
  <c r="W42" i="5" s="1"/>
  <c r="X42" i="5" s="1"/>
  <c r="Y42" i="5" s="1"/>
  <c r="Z42" i="5" s="1"/>
  <c r="AA42" i="5" s="1"/>
  <c r="AB42" i="5" s="1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C41" i="5" s="1"/>
  <c r="D41" i="5" s="1"/>
  <c r="E41" i="5" s="1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C39" i="5" s="1"/>
  <c r="D39" i="5" s="1"/>
  <c r="E39" i="5" s="1"/>
  <c r="F39" i="5" s="1"/>
  <c r="G39" i="5" s="1"/>
  <c r="H39" i="5" s="1"/>
  <c r="I39" i="5" s="1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AB12" i="5" s="1"/>
  <c r="C12" i="5"/>
  <c r="C38" i="5" s="1"/>
  <c r="D38" i="5" s="1"/>
  <c r="E38" i="5" s="1"/>
  <c r="F38" i="5" s="1"/>
  <c r="G38" i="5" s="1"/>
  <c r="H38" i="5" s="1"/>
  <c r="I38" i="5" s="1"/>
  <c r="J38" i="5" s="1"/>
  <c r="K38" i="5" s="1"/>
  <c r="L38" i="5" s="1"/>
  <c r="M38" i="5" s="1"/>
  <c r="N38" i="5" s="1"/>
  <c r="O38" i="5" s="1"/>
  <c r="P38" i="5" s="1"/>
  <c r="Q38" i="5" s="1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C36" i="5" s="1"/>
  <c r="D36" i="5" s="1"/>
  <c r="E36" i="5" s="1"/>
  <c r="F36" i="5" s="1"/>
  <c r="G36" i="5" s="1"/>
  <c r="H36" i="5" s="1"/>
  <c r="I36" i="5" s="1"/>
  <c r="J36" i="5" s="1"/>
  <c r="K36" i="5" s="1"/>
  <c r="L36" i="5" s="1"/>
  <c r="M36" i="5" s="1"/>
  <c r="N36" i="5" s="1"/>
  <c r="O36" i="5" s="1"/>
  <c r="P36" i="5" s="1"/>
  <c r="Q36" i="5" s="1"/>
  <c r="R36" i="5" s="1"/>
  <c r="S36" i="5" s="1"/>
  <c r="T36" i="5" s="1"/>
  <c r="U36" i="5" s="1"/>
  <c r="V36" i="5" s="1"/>
  <c r="W36" i="5" s="1"/>
  <c r="X36" i="5" s="1"/>
  <c r="Y36" i="5" s="1"/>
  <c r="Z36" i="5" s="1"/>
  <c r="AA36" i="5" s="1"/>
  <c r="AB36" i="5" s="1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C35" i="5" s="1"/>
  <c r="D35" i="5" s="1"/>
  <c r="E35" i="5" s="1"/>
  <c r="F35" i="5" s="1"/>
  <c r="G35" i="5" s="1"/>
  <c r="H35" i="5" s="1"/>
  <c r="I35" i="5" s="1"/>
  <c r="J35" i="5" s="1"/>
  <c r="K35" i="5" s="1"/>
  <c r="L35" i="5" s="1"/>
  <c r="M35" i="5" s="1"/>
  <c r="N35" i="5" s="1"/>
  <c r="O35" i="5" s="1"/>
  <c r="P35" i="5" s="1"/>
  <c r="Q35" i="5" s="1"/>
  <c r="R35" i="5" s="1"/>
  <c r="S35" i="5" s="1"/>
  <c r="T35" i="5" s="1"/>
  <c r="U35" i="5" s="1"/>
  <c r="V35" i="5" s="1"/>
  <c r="W35" i="5" s="1"/>
  <c r="X35" i="5" s="1"/>
  <c r="Y35" i="5" s="1"/>
  <c r="Z35" i="5" s="1"/>
  <c r="AA35" i="5" s="1"/>
  <c r="AB35" i="5" s="1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AB8" i="5" s="1"/>
  <c r="G8" i="5"/>
  <c r="F8" i="5"/>
  <c r="E8" i="5"/>
  <c r="D8" i="5"/>
  <c r="C8" i="5"/>
  <c r="C34" i="5" s="1"/>
  <c r="D34" i="5" s="1"/>
  <c r="E34" i="5" s="1"/>
  <c r="F34" i="5" s="1"/>
  <c r="G34" i="5" s="1"/>
  <c r="H34" i="5" s="1"/>
  <c r="I34" i="5" s="1"/>
  <c r="J34" i="5" s="1"/>
  <c r="K34" i="5" s="1"/>
  <c r="L34" i="5" s="1"/>
  <c r="M34" i="5" s="1"/>
  <c r="N34" i="5" s="1"/>
  <c r="O34" i="5" s="1"/>
  <c r="P34" i="5" s="1"/>
  <c r="Q34" i="5" s="1"/>
  <c r="R34" i="5" s="1"/>
  <c r="S34" i="5" s="1"/>
  <c r="T34" i="5" s="1"/>
  <c r="U34" i="5" s="1"/>
  <c r="V34" i="5" s="1"/>
  <c r="W34" i="5" s="1"/>
  <c r="X34" i="5" s="1"/>
  <c r="Y34" i="5" s="1"/>
  <c r="Z34" i="5" s="1"/>
  <c r="AA34" i="5" s="1"/>
  <c r="AB34" i="5" s="1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N27" i="5" s="1"/>
  <c r="M7" i="5"/>
  <c r="L7" i="5"/>
  <c r="K7" i="5"/>
  <c r="J7" i="5"/>
  <c r="I7" i="5"/>
  <c r="H7" i="5"/>
  <c r="G7" i="5"/>
  <c r="F7" i="5"/>
  <c r="E7" i="5"/>
  <c r="D7" i="5"/>
  <c r="C7" i="5"/>
  <c r="AB7" i="5" s="1"/>
  <c r="AA6" i="5"/>
  <c r="AA27" i="5" s="1"/>
  <c r="Z6" i="5"/>
  <c r="Y6" i="5"/>
  <c r="Y27" i="5" s="1"/>
  <c r="X6" i="5"/>
  <c r="W6" i="5"/>
  <c r="W27" i="5" s="1"/>
  <c r="V6" i="5"/>
  <c r="V27" i="5" s="1"/>
  <c r="U6" i="5"/>
  <c r="U27" i="5" s="1"/>
  <c r="T6" i="5"/>
  <c r="S6" i="5"/>
  <c r="S27" i="5" s="1"/>
  <c r="R6" i="5"/>
  <c r="Q6" i="5"/>
  <c r="Q27" i="5" s="1"/>
  <c r="P6" i="5"/>
  <c r="O6" i="5"/>
  <c r="O27" i="5" s="1"/>
  <c r="N6" i="5"/>
  <c r="M6" i="5"/>
  <c r="M27" i="5" s="1"/>
  <c r="L6" i="5"/>
  <c r="K6" i="5"/>
  <c r="K27" i="5" s="1"/>
  <c r="J6" i="5"/>
  <c r="I6" i="5"/>
  <c r="I27" i="5" s="1"/>
  <c r="H6" i="5"/>
  <c r="H27" i="5" s="1"/>
  <c r="G6" i="5"/>
  <c r="G27" i="5" s="1"/>
  <c r="F6" i="5"/>
  <c r="E6" i="5"/>
  <c r="E27" i="5" s="1"/>
  <c r="D6" i="5"/>
  <c r="C6" i="5"/>
  <c r="C32" i="5" s="1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Y78" i="4" s="1"/>
  <c r="D78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Y76" i="4" s="1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Y75" i="4" s="1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Y74" i="4" s="1"/>
  <c r="D74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Y73" i="4" s="1"/>
  <c r="D73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Y72" i="4" s="1"/>
  <c r="D72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Y71" i="4" s="1"/>
  <c r="D71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Y70" i="4" s="1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E69" i="4"/>
  <c r="Y69" i="4" s="1"/>
  <c r="D69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Y68" i="4" s="1"/>
  <c r="D68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Y67" i="4" s="1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E65" i="4"/>
  <c r="D65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E64" i="4"/>
  <c r="D64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D63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D61" i="4"/>
  <c r="Y61" i="4" s="1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Y59" i="4" s="1"/>
  <c r="D59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Y58" i="4" s="1"/>
  <c r="D58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Y57" i="4" s="1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Y54" i="4" s="1"/>
  <c r="D54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Y53" i="4" s="1"/>
  <c r="D53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Y52" i="4" s="1"/>
  <c r="D52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Y47" i="4" s="1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Y46" i="4" s="1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Y45" i="4" s="1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Y38" i="4" s="1"/>
  <c r="D38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Y37" i="4" s="1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Y36" i="4" s="1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Y35" i="4" s="1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Y34" i="4" s="1"/>
  <c r="D34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Y30" i="4" s="1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Y29" i="4" s="1"/>
  <c r="D29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Y28" i="4" s="1"/>
  <c r="D28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Y27" i="4" s="1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Y25" i="4" s="1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Y24" i="4" s="1"/>
  <c r="D24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Y23" i="4" s="1"/>
  <c r="D23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X19" i="4"/>
  <c r="W19" i="4"/>
  <c r="W79" i="4" s="1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Y18" i="4" s="1"/>
  <c r="D18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Y17" i="4" s="1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Y9" i="4" s="1"/>
  <c r="D9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Y8" i="4" s="1"/>
  <c r="D8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Y7" i="4" s="1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Y6" i="4" s="1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X4" i="4"/>
  <c r="X79" i="4" s="1"/>
  <c r="W4" i="4"/>
  <c r="V4" i="4"/>
  <c r="V79" i="4" s="1"/>
  <c r="U4" i="4"/>
  <c r="T4" i="4"/>
  <c r="T79" i="4" s="1"/>
  <c r="S4" i="4"/>
  <c r="R4" i="4"/>
  <c r="R79" i="4" s="1"/>
  <c r="Q4" i="4"/>
  <c r="P4" i="4"/>
  <c r="P79" i="4" s="1"/>
  <c r="O4" i="4"/>
  <c r="N4" i="4"/>
  <c r="M4" i="4"/>
  <c r="L4" i="4"/>
  <c r="L79" i="4" s="1"/>
  <c r="K4" i="4"/>
  <c r="J4" i="4"/>
  <c r="I4" i="4"/>
  <c r="H4" i="4"/>
  <c r="H79" i="4" s="1"/>
  <c r="G4" i="4"/>
  <c r="G79" i="4" s="1"/>
  <c r="F4" i="4"/>
  <c r="F79" i="4" s="1"/>
  <c r="E4" i="4"/>
  <c r="D4" i="4"/>
  <c r="D79" i="4" s="1"/>
  <c r="K31" i="8"/>
  <c r="J31" i="8"/>
  <c r="I31" i="8"/>
  <c r="H31" i="8"/>
  <c r="G31" i="8"/>
  <c r="F31" i="8"/>
  <c r="E31" i="8"/>
  <c r="D31" i="8"/>
  <c r="C31" i="8"/>
  <c r="K30" i="8"/>
  <c r="J30" i="8"/>
  <c r="I30" i="8"/>
  <c r="H30" i="8"/>
  <c r="G30" i="8"/>
  <c r="F30" i="8"/>
  <c r="E30" i="8"/>
  <c r="D30" i="8"/>
  <c r="C30" i="8"/>
  <c r="K29" i="8"/>
  <c r="J29" i="8"/>
  <c r="I29" i="8"/>
  <c r="H29" i="8"/>
  <c r="G29" i="8"/>
  <c r="F29" i="8"/>
  <c r="E29" i="8"/>
  <c r="D29" i="8"/>
  <c r="C29" i="8"/>
  <c r="K28" i="8"/>
  <c r="J28" i="8"/>
  <c r="I28" i="8"/>
  <c r="H28" i="8"/>
  <c r="G28" i="8"/>
  <c r="F28" i="8"/>
  <c r="E28" i="8"/>
  <c r="D28" i="8"/>
  <c r="C28" i="8"/>
  <c r="K27" i="8"/>
  <c r="J27" i="8"/>
  <c r="I27" i="8"/>
  <c r="H27" i="8"/>
  <c r="G27" i="8"/>
  <c r="F27" i="8"/>
  <c r="E27" i="8"/>
  <c r="D27" i="8"/>
  <c r="C27" i="8"/>
  <c r="K26" i="8"/>
  <c r="J26" i="8"/>
  <c r="I26" i="8"/>
  <c r="H26" i="8"/>
  <c r="G26" i="8"/>
  <c r="F26" i="8"/>
  <c r="E26" i="8"/>
  <c r="D26" i="8"/>
  <c r="M26" i="8" s="1"/>
  <c r="C26" i="8"/>
  <c r="K25" i="8"/>
  <c r="J25" i="8"/>
  <c r="I25" i="8"/>
  <c r="H25" i="8"/>
  <c r="G25" i="8"/>
  <c r="F25" i="8"/>
  <c r="E25" i="8"/>
  <c r="D25" i="8"/>
  <c r="C25" i="8"/>
  <c r="K24" i="8"/>
  <c r="J24" i="8"/>
  <c r="I24" i="8"/>
  <c r="H24" i="8"/>
  <c r="G24" i="8"/>
  <c r="F24" i="8"/>
  <c r="E24" i="8"/>
  <c r="D24" i="8"/>
  <c r="C24" i="8"/>
  <c r="K23" i="8"/>
  <c r="J23" i="8"/>
  <c r="I23" i="8"/>
  <c r="H23" i="8"/>
  <c r="G23" i="8"/>
  <c r="F23" i="8"/>
  <c r="E23" i="8"/>
  <c r="D23" i="8"/>
  <c r="C23" i="8"/>
  <c r="K22" i="8"/>
  <c r="J22" i="8"/>
  <c r="I22" i="8"/>
  <c r="H22" i="8"/>
  <c r="G22" i="8"/>
  <c r="F22" i="8"/>
  <c r="E22" i="8"/>
  <c r="D22" i="8"/>
  <c r="C22" i="8"/>
  <c r="K21" i="8"/>
  <c r="J21" i="8"/>
  <c r="I21" i="8"/>
  <c r="H21" i="8"/>
  <c r="G21" i="8"/>
  <c r="F21" i="8"/>
  <c r="E21" i="8"/>
  <c r="D21" i="8"/>
  <c r="C21" i="8"/>
  <c r="K20" i="8"/>
  <c r="J20" i="8"/>
  <c r="I20" i="8"/>
  <c r="H20" i="8"/>
  <c r="G20" i="8"/>
  <c r="F20" i="8"/>
  <c r="E20" i="8"/>
  <c r="D20" i="8"/>
  <c r="C20" i="8"/>
  <c r="K19" i="8"/>
  <c r="J19" i="8"/>
  <c r="I19" i="8"/>
  <c r="H19" i="8"/>
  <c r="G19" i="8"/>
  <c r="F19" i="8"/>
  <c r="E19" i="8"/>
  <c r="D19" i="8"/>
  <c r="C19" i="8"/>
  <c r="K18" i="8"/>
  <c r="J18" i="8"/>
  <c r="I18" i="8"/>
  <c r="H18" i="8"/>
  <c r="G18" i="8"/>
  <c r="F18" i="8"/>
  <c r="E18" i="8"/>
  <c r="D18" i="8"/>
  <c r="C18" i="8"/>
  <c r="K17" i="8"/>
  <c r="J17" i="8"/>
  <c r="I17" i="8"/>
  <c r="H17" i="8"/>
  <c r="G17" i="8"/>
  <c r="F17" i="8"/>
  <c r="E17" i="8"/>
  <c r="D17" i="8"/>
  <c r="C17" i="8"/>
  <c r="K16" i="8"/>
  <c r="J16" i="8"/>
  <c r="I16" i="8"/>
  <c r="H16" i="8"/>
  <c r="G16" i="8"/>
  <c r="F16" i="8"/>
  <c r="E16" i="8"/>
  <c r="D16" i="8"/>
  <c r="C16" i="8"/>
  <c r="K15" i="8"/>
  <c r="J15" i="8"/>
  <c r="I15" i="8"/>
  <c r="H15" i="8"/>
  <c r="G15" i="8"/>
  <c r="F15" i="8"/>
  <c r="E15" i="8"/>
  <c r="D15" i="8"/>
  <c r="C15" i="8"/>
  <c r="L15" i="8" s="1"/>
  <c r="K14" i="8"/>
  <c r="J14" i="8"/>
  <c r="I14" i="8"/>
  <c r="H14" i="8"/>
  <c r="G14" i="8"/>
  <c r="F14" i="8"/>
  <c r="E14" i="8"/>
  <c r="D14" i="8"/>
  <c r="C14" i="8"/>
  <c r="K13" i="8"/>
  <c r="J13" i="8"/>
  <c r="I13" i="8"/>
  <c r="H13" i="8"/>
  <c r="G13" i="8"/>
  <c r="F13" i="8"/>
  <c r="E13" i="8"/>
  <c r="D13" i="8"/>
  <c r="C13" i="8"/>
  <c r="K12" i="8"/>
  <c r="J12" i="8"/>
  <c r="I12" i="8"/>
  <c r="H12" i="8"/>
  <c r="G12" i="8"/>
  <c r="F12" i="8"/>
  <c r="E12" i="8"/>
  <c r="D12" i="8"/>
  <c r="C12" i="8"/>
  <c r="K11" i="8"/>
  <c r="J11" i="8"/>
  <c r="I11" i="8"/>
  <c r="H11" i="8"/>
  <c r="G11" i="8"/>
  <c r="F11" i="8"/>
  <c r="E11" i="8"/>
  <c r="D11" i="8"/>
  <c r="C11" i="8"/>
  <c r="M10" i="8"/>
  <c r="L10" i="8"/>
  <c r="J10" i="8"/>
  <c r="I10" i="8"/>
  <c r="G10" i="8"/>
  <c r="F10" i="8"/>
  <c r="D10" i="8"/>
  <c r="C10" i="8"/>
  <c r="C7" i="8"/>
  <c r="M21" i="8" l="1"/>
  <c r="L26" i="8"/>
  <c r="L13" i="8"/>
  <c r="M15" i="8"/>
  <c r="L16" i="8"/>
  <c r="L14" i="8"/>
  <c r="L25" i="8"/>
  <c r="M14" i="8"/>
  <c r="N14" i="8" s="1"/>
  <c r="M16" i="8"/>
  <c r="M12" i="8"/>
  <c r="M13" i="8"/>
  <c r="N13" i="8" s="1"/>
  <c r="L23" i="8"/>
  <c r="L30" i="8"/>
  <c r="L28" i="8"/>
  <c r="M25" i="8"/>
  <c r="M30" i="8"/>
  <c r="M28" i="8"/>
  <c r="L20" i="8"/>
  <c r="L31" i="8"/>
  <c r="M11" i="8"/>
  <c r="L24" i="8"/>
  <c r="M31" i="8"/>
  <c r="M24" i="8"/>
  <c r="N24" i="8" s="1"/>
  <c r="M20" i="8"/>
  <c r="L18" i="8"/>
  <c r="L29" i="8"/>
  <c r="F32" i="8"/>
  <c r="L27" i="8"/>
  <c r="L17" i="8"/>
  <c r="N15" i="8"/>
  <c r="M18" i="8"/>
  <c r="G32" i="8"/>
  <c r="L22" i="8"/>
  <c r="L12" i="8"/>
  <c r="N12" i="8" s="1"/>
  <c r="J32" i="8"/>
  <c r="M29" i="8"/>
  <c r="L19" i="8"/>
  <c r="M23" i="8"/>
  <c r="L21" i="8"/>
  <c r="N21" i="8" s="1"/>
  <c r="M19" i="8"/>
  <c r="N19" i="8" s="1"/>
  <c r="Y55" i="4"/>
  <c r="P46" i="5"/>
  <c r="Q46" i="5" s="1"/>
  <c r="R46" i="5" s="1"/>
  <c r="S46" i="5" s="1"/>
  <c r="T46" i="5" s="1"/>
  <c r="U46" i="5" s="1"/>
  <c r="V46" i="5" s="1"/>
  <c r="W46" i="5" s="1"/>
  <c r="X46" i="5" s="1"/>
  <c r="Y46" i="5" s="1"/>
  <c r="Z46" i="5" s="1"/>
  <c r="AA46" i="5" s="1"/>
  <c r="AB46" i="5" s="1"/>
  <c r="U79" i="4"/>
  <c r="Y56" i="4"/>
  <c r="P27" i="5"/>
  <c r="R39" i="5"/>
  <c r="S39" i="5" s="1"/>
  <c r="T39" i="5" s="1"/>
  <c r="U39" i="5" s="1"/>
  <c r="V39" i="5" s="1"/>
  <c r="W39" i="5" s="1"/>
  <c r="X39" i="5" s="1"/>
  <c r="Y39" i="5" s="1"/>
  <c r="Z39" i="5" s="1"/>
  <c r="AA39" i="5" s="1"/>
  <c r="AB39" i="5" s="1"/>
  <c r="D32" i="8"/>
  <c r="Y19" i="4"/>
  <c r="Y20" i="4"/>
  <c r="Y21" i="4"/>
  <c r="R27" i="5"/>
  <c r="Y39" i="4"/>
  <c r="Y40" i="4"/>
  <c r="Y77" i="4"/>
  <c r="S79" i="4"/>
  <c r="M22" i="8"/>
  <c r="Y4" i="4"/>
  <c r="Y5" i="4"/>
  <c r="Y22" i="4"/>
  <c r="Y41" i="4"/>
  <c r="T27" i="5"/>
  <c r="AB20" i="5"/>
  <c r="F51" i="5"/>
  <c r="G51" i="5" s="1"/>
  <c r="H51" i="5" s="1"/>
  <c r="I51" i="5" s="1"/>
  <c r="J51" i="5" s="1"/>
  <c r="K51" i="5" s="1"/>
  <c r="L51" i="5" s="1"/>
  <c r="M51" i="5" s="1"/>
  <c r="N51" i="5" s="1"/>
  <c r="O51" i="5" s="1"/>
  <c r="P51" i="5" s="1"/>
  <c r="Q51" i="5" s="1"/>
  <c r="R51" i="5" s="1"/>
  <c r="S51" i="5" s="1"/>
  <c r="T51" i="5" s="1"/>
  <c r="U51" i="5" s="1"/>
  <c r="V51" i="5" s="1"/>
  <c r="W51" i="5" s="1"/>
  <c r="X51" i="5" s="1"/>
  <c r="Y51" i="5" s="1"/>
  <c r="Z51" i="5" s="1"/>
  <c r="AA51" i="5" s="1"/>
  <c r="AB51" i="5" s="1"/>
  <c r="Y60" i="4"/>
  <c r="AB9" i="5"/>
  <c r="F14" i="6"/>
  <c r="E16" i="6"/>
  <c r="Y42" i="4"/>
  <c r="Y26" i="4"/>
  <c r="Y43" i="4"/>
  <c r="D32" i="5"/>
  <c r="I79" i="4"/>
  <c r="Y44" i="4"/>
  <c r="Y62" i="4"/>
  <c r="D27" i="5"/>
  <c r="X27" i="5"/>
  <c r="AB14" i="5"/>
  <c r="F13" i="6"/>
  <c r="J79" i="4"/>
  <c r="Y63" i="4"/>
  <c r="T52" i="5"/>
  <c r="U52" i="5" s="1"/>
  <c r="V52" i="5" s="1"/>
  <c r="W52" i="5" s="1"/>
  <c r="X52" i="5" s="1"/>
  <c r="Y52" i="5" s="1"/>
  <c r="Z52" i="5" s="1"/>
  <c r="AA52" i="5" s="1"/>
  <c r="AB52" i="5" s="1"/>
  <c r="K79" i="4"/>
  <c r="Y10" i="4"/>
  <c r="Y64" i="4"/>
  <c r="Y65" i="4"/>
  <c r="F27" i="5"/>
  <c r="Z27" i="5"/>
  <c r="N26" i="8"/>
  <c r="Y11" i="4"/>
  <c r="Y66" i="4"/>
  <c r="M79" i="4"/>
  <c r="N16" i="8"/>
  <c r="M27" i="8"/>
  <c r="N79" i="4"/>
  <c r="Y12" i="4"/>
  <c r="Y31" i="4"/>
  <c r="AB10" i="5"/>
  <c r="AB11" i="5"/>
  <c r="F41" i="5"/>
  <c r="G41" i="5" s="1"/>
  <c r="H41" i="5" s="1"/>
  <c r="I41" i="5" s="1"/>
  <c r="J41" i="5" s="1"/>
  <c r="K41" i="5" s="1"/>
  <c r="L41" i="5" s="1"/>
  <c r="M41" i="5" s="1"/>
  <c r="N41" i="5" s="1"/>
  <c r="O41" i="5" s="1"/>
  <c r="P41" i="5" s="1"/>
  <c r="Q41" i="5" s="1"/>
  <c r="R41" i="5" s="1"/>
  <c r="S41" i="5" s="1"/>
  <c r="T41" i="5" s="1"/>
  <c r="U41" i="5" s="1"/>
  <c r="V41" i="5" s="1"/>
  <c r="W41" i="5" s="1"/>
  <c r="X41" i="5" s="1"/>
  <c r="Y41" i="5" s="1"/>
  <c r="Z41" i="5" s="1"/>
  <c r="AA41" i="5" s="1"/>
  <c r="AB41" i="5" s="1"/>
  <c r="O79" i="4"/>
  <c r="Y13" i="4"/>
  <c r="Y49" i="4"/>
  <c r="Y50" i="4"/>
  <c r="J27" i="5"/>
  <c r="V45" i="5"/>
  <c r="W45" i="5" s="1"/>
  <c r="X45" i="5" s="1"/>
  <c r="Y45" i="5" s="1"/>
  <c r="Z45" i="5" s="1"/>
  <c r="AA45" i="5" s="1"/>
  <c r="AB45" i="5" s="1"/>
  <c r="R49" i="5"/>
  <c r="S49" i="5" s="1"/>
  <c r="T49" i="5" s="1"/>
  <c r="U49" i="5" s="1"/>
  <c r="V49" i="5" s="1"/>
  <c r="W49" i="5" s="1"/>
  <c r="X49" i="5" s="1"/>
  <c r="Y49" i="5" s="1"/>
  <c r="Z49" i="5" s="1"/>
  <c r="AA49" i="5" s="1"/>
  <c r="AB49" i="5" s="1"/>
  <c r="C32" i="8"/>
  <c r="M17" i="8"/>
  <c r="Y14" i="4"/>
  <c r="Y15" i="4"/>
  <c r="Y32" i="4"/>
  <c r="Y51" i="4"/>
  <c r="Q79" i="4"/>
  <c r="Y16" i="4"/>
  <c r="Y33" i="4"/>
  <c r="L27" i="5"/>
  <c r="AB19" i="5"/>
  <c r="L103" i="7"/>
  <c r="K103" i="7"/>
  <c r="L111" i="7"/>
  <c r="K111" i="7"/>
  <c r="K208" i="7"/>
  <c r="M208" i="7"/>
  <c r="L208" i="7"/>
  <c r="M217" i="7"/>
  <c r="L217" i="7"/>
  <c r="K217" i="7"/>
  <c r="M260" i="7"/>
  <c r="L260" i="7"/>
  <c r="K260" i="7"/>
  <c r="M269" i="7"/>
  <c r="L269" i="7"/>
  <c r="K269" i="7"/>
  <c r="M349" i="7"/>
  <c r="L349" i="7"/>
  <c r="K349" i="7"/>
  <c r="M415" i="7"/>
  <c r="L415" i="7"/>
  <c r="K415" i="7"/>
  <c r="C40" i="5"/>
  <c r="D40" i="5" s="1"/>
  <c r="E40" i="5" s="1"/>
  <c r="F40" i="5" s="1"/>
  <c r="G40" i="5" s="1"/>
  <c r="H40" i="5" s="1"/>
  <c r="I40" i="5" s="1"/>
  <c r="J40" i="5" s="1"/>
  <c r="K40" i="5" s="1"/>
  <c r="L40" i="5" s="1"/>
  <c r="M40" i="5" s="1"/>
  <c r="N40" i="5" s="1"/>
  <c r="O40" i="5" s="1"/>
  <c r="P40" i="5" s="1"/>
  <c r="Q40" i="5" s="1"/>
  <c r="R40" i="5" s="1"/>
  <c r="S40" i="5" s="1"/>
  <c r="T40" i="5" s="1"/>
  <c r="U40" i="5" s="1"/>
  <c r="V40" i="5" s="1"/>
  <c r="W40" i="5" s="1"/>
  <c r="X40" i="5" s="1"/>
  <c r="Y40" i="5" s="1"/>
  <c r="Z40" i="5" s="1"/>
  <c r="AA40" i="5" s="1"/>
  <c r="AB40" i="5" s="1"/>
  <c r="C50" i="5"/>
  <c r="D50" i="5" s="1"/>
  <c r="E50" i="5" s="1"/>
  <c r="F50" i="5" s="1"/>
  <c r="G50" i="5" s="1"/>
  <c r="H50" i="5" s="1"/>
  <c r="I50" i="5" s="1"/>
  <c r="J50" i="5" s="1"/>
  <c r="K50" i="5" s="1"/>
  <c r="L50" i="5" s="1"/>
  <c r="M50" i="5" s="1"/>
  <c r="N50" i="5" s="1"/>
  <c r="O50" i="5" s="1"/>
  <c r="P50" i="5" s="1"/>
  <c r="Q50" i="5" s="1"/>
  <c r="R50" i="5" s="1"/>
  <c r="S50" i="5" s="1"/>
  <c r="T50" i="5" s="1"/>
  <c r="U50" i="5" s="1"/>
  <c r="V50" i="5" s="1"/>
  <c r="W50" i="5" s="1"/>
  <c r="X50" i="5" s="1"/>
  <c r="Y50" i="5" s="1"/>
  <c r="Z50" i="5" s="1"/>
  <c r="AA50" i="5" s="1"/>
  <c r="AB50" i="5" s="1"/>
  <c r="I6" i="7"/>
  <c r="Q8" i="7"/>
  <c r="R13" i="7"/>
  <c r="F15" i="7"/>
  <c r="Q27" i="7"/>
  <c r="M31" i="7"/>
  <c r="O31" i="7" s="1"/>
  <c r="M65" i="7"/>
  <c r="L65" i="7"/>
  <c r="K65" i="7"/>
  <c r="G75" i="7"/>
  <c r="G217" i="7"/>
  <c r="M361" i="7"/>
  <c r="L361" i="7"/>
  <c r="K361" i="7"/>
  <c r="M559" i="7"/>
  <c r="L559" i="7"/>
  <c r="K559" i="7"/>
  <c r="E79" i="4"/>
  <c r="AB15" i="5"/>
  <c r="AB25" i="5"/>
  <c r="F10" i="7"/>
  <c r="P17" i="7"/>
  <c r="E24" i="7"/>
  <c r="O26" i="7"/>
  <c r="F29" i="7"/>
  <c r="L43" i="7"/>
  <c r="K55" i="7"/>
  <c r="M85" i="7"/>
  <c r="L85" i="7"/>
  <c r="K85" i="7"/>
  <c r="M114" i="7"/>
  <c r="L114" i="7"/>
  <c r="K114" i="7"/>
  <c r="M144" i="7"/>
  <c r="L144" i="7"/>
  <c r="G114" i="7"/>
  <c r="M122" i="7"/>
  <c r="L122" i="7"/>
  <c r="K122" i="7"/>
  <c r="M133" i="7"/>
  <c r="L133" i="7"/>
  <c r="L51" i="14"/>
  <c r="L6" i="7"/>
  <c r="P7" i="7"/>
  <c r="L11" i="7"/>
  <c r="E14" i="7"/>
  <c r="O16" i="7"/>
  <c r="K41" i="7"/>
  <c r="G51" i="7"/>
  <c r="M55" i="7"/>
  <c r="M100" i="7"/>
  <c r="M103" i="7"/>
  <c r="L149" i="7"/>
  <c r="G161" i="7"/>
  <c r="M310" i="7"/>
  <c r="L310" i="7"/>
  <c r="K310" i="7"/>
  <c r="G322" i="7"/>
  <c r="M322" i="7"/>
  <c r="L322" i="7"/>
  <c r="K322" i="7"/>
  <c r="N51" i="26"/>
  <c r="M51" i="26"/>
  <c r="I32" i="8"/>
  <c r="C33" i="5"/>
  <c r="D33" i="5" s="1"/>
  <c r="E33" i="5" s="1"/>
  <c r="F33" i="5" s="1"/>
  <c r="G33" i="5" s="1"/>
  <c r="H33" i="5" s="1"/>
  <c r="I33" i="5" s="1"/>
  <c r="J33" i="5" s="1"/>
  <c r="K33" i="5" s="1"/>
  <c r="L33" i="5" s="1"/>
  <c r="M33" i="5" s="1"/>
  <c r="N33" i="5" s="1"/>
  <c r="O33" i="5" s="1"/>
  <c r="P33" i="5" s="1"/>
  <c r="Q33" i="5" s="1"/>
  <c r="R33" i="5" s="1"/>
  <c r="S33" i="5" s="1"/>
  <c r="T33" i="5" s="1"/>
  <c r="U33" i="5" s="1"/>
  <c r="V33" i="5" s="1"/>
  <c r="W33" i="5" s="1"/>
  <c r="X33" i="5" s="1"/>
  <c r="Y33" i="5" s="1"/>
  <c r="Z33" i="5" s="1"/>
  <c r="AA33" i="5" s="1"/>
  <c r="AB33" i="5" s="1"/>
  <c r="C43" i="5"/>
  <c r="D43" i="5" s="1"/>
  <c r="E43" i="5" s="1"/>
  <c r="F43" i="5" s="1"/>
  <c r="G43" i="5" s="1"/>
  <c r="H43" i="5" s="1"/>
  <c r="I43" i="5" s="1"/>
  <c r="J43" i="5" s="1"/>
  <c r="K43" i="5" s="1"/>
  <c r="L43" i="5" s="1"/>
  <c r="M43" i="5" s="1"/>
  <c r="N43" i="5" s="1"/>
  <c r="O43" i="5" s="1"/>
  <c r="P43" i="5" s="1"/>
  <c r="Q43" i="5" s="1"/>
  <c r="R43" i="5" s="1"/>
  <c r="S43" i="5" s="1"/>
  <c r="T43" i="5" s="1"/>
  <c r="U43" i="5" s="1"/>
  <c r="V43" i="5" s="1"/>
  <c r="W43" i="5" s="1"/>
  <c r="X43" i="5" s="1"/>
  <c r="Y43" i="5" s="1"/>
  <c r="Z43" i="5" s="1"/>
  <c r="AA43" i="5" s="1"/>
  <c r="AB43" i="5" s="1"/>
  <c r="Q7" i="7"/>
  <c r="F14" i="7"/>
  <c r="L41" i="7"/>
  <c r="K46" i="7"/>
  <c r="L63" i="7"/>
  <c r="K63" i="7"/>
  <c r="K75" i="7"/>
  <c r="K106" i="7"/>
  <c r="M111" i="7"/>
  <c r="L161" i="7"/>
  <c r="K161" i="7"/>
  <c r="M556" i="7"/>
  <c r="K556" i="7"/>
  <c r="L556" i="7"/>
  <c r="G556" i="7"/>
  <c r="AA9" i="6"/>
  <c r="D15" i="6" s="1"/>
  <c r="D16" i="6" s="1"/>
  <c r="R7" i="7"/>
  <c r="F9" i="7"/>
  <c r="E23" i="7"/>
  <c r="F28" i="7"/>
  <c r="L46" i="7"/>
  <c r="K53" i="7"/>
  <c r="M56" i="7"/>
  <c r="L56" i="7"/>
  <c r="L75" i="7"/>
  <c r="K80" i="7"/>
  <c r="G93" i="7"/>
  <c r="L106" i="7"/>
  <c r="L173" i="7"/>
  <c r="M231" i="7"/>
  <c r="M332" i="7"/>
  <c r="L332" i="7"/>
  <c r="K332" i="7"/>
  <c r="L425" i="7"/>
  <c r="M425" i="7"/>
  <c r="K425" i="7"/>
  <c r="M550" i="7"/>
  <c r="L550" i="7"/>
  <c r="K550" i="7"/>
  <c r="E18" i="7"/>
  <c r="F23" i="7"/>
  <c r="K39" i="7"/>
  <c r="L53" i="7"/>
  <c r="K58" i="7"/>
  <c r="G61" i="7"/>
  <c r="L80" i="7"/>
  <c r="L83" i="7"/>
  <c r="K83" i="7"/>
  <c r="G96" i="7"/>
  <c r="K98" i="7"/>
  <c r="K144" i="7"/>
  <c r="M203" i="7"/>
  <c r="L203" i="7"/>
  <c r="K203" i="7"/>
  <c r="AB6" i="5"/>
  <c r="AB16" i="5"/>
  <c r="AB26" i="5"/>
  <c r="C13" i="6"/>
  <c r="C16" i="6" s="1"/>
  <c r="W21" i="6"/>
  <c r="W24" i="6" s="1"/>
  <c r="P6" i="7"/>
  <c r="K51" i="7"/>
  <c r="M96" i="7"/>
  <c r="L96" i="7"/>
  <c r="M98" i="7"/>
  <c r="K120" i="7"/>
  <c r="G123" i="7"/>
  <c r="L131" i="7"/>
  <c r="K131" i="7"/>
  <c r="K133" i="7"/>
  <c r="L141" i="7"/>
  <c r="M153" i="7"/>
  <c r="L153" i="7"/>
  <c r="K153" i="7"/>
  <c r="M400" i="7"/>
  <c r="L400" i="7"/>
  <c r="K400" i="7"/>
  <c r="G400" i="7"/>
  <c r="N50" i="18"/>
  <c r="M50" i="18"/>
  <c r="C27" i="5"/>
  <c r="Q6" i="7"/>
  <c r="P25" i="7"/>
  <c r="K37" i="7"/>
  <c r="M47" i="7"/>
  <c r="L51" i="7"/>
  <c r="M76" i="7"/>
  <c r="L76" i="7"/>
  <c r="G81" i="7"/>
  <c r="G86" i="7"/>
  <c r="L91" i="7"/>
  <c r="K109" i="7"/>
  <c r="G115" i="7"/>
  <c r="M123" i="7"/>
  <c r="L123" i="7"/>
  <c r="K123" i="7"/>
  <c r="M145" i="7"/>
  <c r="M161" i="7"/>
  <c r="M267" i="7"/>
  <c r="L267" i="7"/>
  <c r="K267" i="7"/>
  <c r="G267" i="7"/>
  <c r="M509" i="7"/>
  <c r="L509" i="7"/>
  <c r="K509" i="7"/>
  <c r="L547" i="7"/>
  <c r="K547" i="7"/>
  <c r="M547" i="7"/>
  <c r="G547" i="7"/>
  <c r="AB13" i="5"/>
  <c r="AB23" i="5"/>
  <c r="K44" i="7"/>
  <c r="L54" i="7"/>
  <c r="K54" i="7"/>
  <c r="M63" i="7"/>
  <c r="M134" i="7"/>
  <c r="L134" i="7"/>
  <c r="K134" i="7"/>
  <c r="M210" i="7"/>
  <c r="L210" i="7"/>
  <c r="K210" i="7"/>
  <c r="P15" i="7"/>
  <c r="R25" i="7"/>
  <c r="K49" i="7"/>
  <c r="K56" i="7"/>
  <c r="M78" i="7"/>
  <c r="M83" i="7"/>
  <c r="M93" i="7"/>
  <c r="K104" i="7"/>
  <c r="G118" i="7"/>
  <c r="G134" i="7"/>
  <c r="M142" i="7"/>
  <c r="L142" i="7"/>
  <c r="K142" i="7"/>
  <c r="M162" i="7"/>
  <c r="L162" i="7"/>
  <c r="K162" i="7"/>
  <c r="G186" i="7"/>
  <c r="G210" i="7"/>
  <c r="L305" i="7"/>
  <c r="M305" i="7"/>
  <c r="K305" i="7"/>
  <c r="S11" i="38"/>
  <c r="D11" i="38"/>
  <c r="P10" i="7"/>
  <c r="P29" i="7"/>
  <c r="D31" i="7"/>
  <c r="M186" i="7"/>
  <c r="L186" i="7"/>
  <c r="K186" i="7"/>
  <c r="E7" i="7"/>
  <c r="Q10" i="7"/>
  <c r="P24" i="7"/>
  <c r="Q29" i="7"/>
  <c r="K42" i="7"/>
  <c r="G52" i="7"/>
  <c r="L61" i="7"/>
  <c r="G64" i="7"/>
  <c r="K71" i="7"/>
  <c r="M94" i="7"/>
  <c r="L94" i="7"/>
  <c r="K94" i="7"/>
  <c r="G129" i="7"/>
  <c r="M420" i="7"/>
  <c r="L420" i="7"/>
  <c r="K420" i="7"/>
  <c r="G420" i="7"/>
  <c r="N51" i="11"/>
  <c r="M51" i="11"/>
  <c r="P19" i="7"/>
  <c r="Q24" i="7"/>
  <c r="L42" i="7"/>
  <c r="M45" i="7"/>
  <c r="L45" i="7"/>
  <c r="K45" i="7"/>
  <c r="K47" i="7"/>
  <c r="L71" i="7"/>
  <c r="M74" i="7"/>
  <c r="L74" i="7"/>
  <c r="K74" i="7"/>
  <c r="K76" i="7"/>
  <c r="K81" i="7"/>
  <c r="L86" i="7"/>
  <c r="K91" i="7"/>
  <c r="G94" i="7"/>
  <c r="M102" i="7"/>
  <c r="L102" i="7"/>
  <c r="K102" i="7"/>
  <c r="L115" i="7"/>
  <c r="M120" i="7"/>
  <c r="M154" i="7"/>
  <c r="L154" i="7"/>
  <c r="K154" i="7"/>
  <c r="M171" i="7"/>
  <c r="L171" i="7"/>
  <c r="K171" i="7"/>
  <c r="G177" i="7"/>
  <c r="M222" i="7"/>
  <c r="L222" i="7"/>
  <c r="K222" i="7"/>
  <c r="G222" i="7"/>
  <c r="G281" i="7"/>
  <c r="G291" i="7"/>
  <c r="M327" i="7"/>
  <c r="L327" i="7"/>
  <c r="K327" i="7"/>
  <c r="G327" i="7"/>
  <c r="P14" i="7"/>
  <c r="Q19" i="7"/>
  <c r="E21" i="7"/>
  <c r="L47" i="7"/>
  <c r="M54" i="7"/>
  <c r="L81" i="7"/>
  <c r="M91" i="7"/>
  <c r="M113" i="7"/>
  <c r="L113" i="7"/>
  <c r="M177" i="7"/>
  <c r="L177" i="7"/>
  <c r="K177" i="7"/>
  <c r="M281" i="7"/>
  <c r="L281" i="7"/>
  <c r="K281" i="7"/>
  <c r="M291" i="7"/>
  <c r="L291" i="7"/>
  <c r="K291" i="7"/>
  <c r="L11" i="8"/>
  <c r="K4" i="8" s="1"/>
  <c r="P9" i="7"/>
  <c r="Q14" i="7"/>
  <c r="P28" i="7"/>
  <c r="L36" i="7"/>
  <c r="M67" i="7"/>
  <c r="K67" i="7"/>
  <c r="K118" i="7"/>
  <c r="G143" i="7"/>
  <c r="M229" i="7"/>
  <c r="L229" i="7"/>
  <c r="K229" i="7"/>
  <c r="C37" i="5"/>
  <c r="D37" i="5" s="1"/>
  <c r="E37" i="5" s="1"/>
  <c r="F37" i="5" s="1"/>
  <c r="G37" i="5" s="1"/>
  <c r="H37" i="5" s="1"/>
  <c r="I37" i="5" s="1"/>
  <c r="J37" i="5" s="1"/>
  <c r="K37" i="5" s="1"/>
  <c r="L37" i="5" s="1"/>
  <c r="M37" i="5" s="1"/>
  <c r="N37" i="5" s="1"/>
  <c r="O37" i="5" s="1"/>
  <c r="P37" i="5" s="1"/>
  <c r="Q37" i="5" s="1"/>
  <c r="R37" i="5" s="1"/>
  <c r="S37" i="5" s="1"/>
  <c r="T37" i="5" s="1"/>
  <c r="U37" i="5" s="1"/>
  <c r="V37" i="5" s="1"/>
  <c r="W37" i="5" s="1"/>
  <c r="X37" i="5" s="1"/>
  <c r="Y37" i="5" s="1"/>
  <c r="Z37" i="5" s="1"/>
  <c r="AA37" i="5" s="1"/>
  <c r="AB37" i="5" s="1"/>
  <c r="C47" i="5"/>
  <c r="D47" i="5" s="1"/>
  <c r="E47" i="5" s="1"/>
  <c r="F47" i="5" s="1"/>
  <c r="G47" i="5" s="1"/>
  <c r="H47" i="5" s="1"/>
  <c r="I47" i="5" s="1"/>
  <c r="J47" i="5" s="1"/>
  <c r="K47" i="5" s="1"/>
  <c r="L47" i="5" s="1"/>
  <c r="M47" i="5" s="1"/>
  <c r="N47" i="5" s="1"/>
  <c r="O47" i="5" s="1"/>
  <c r="P47" i="5" s="1"/>
  <c r="Q47" i="5" s="1"/>
  <c r="R47" i="5" s="1"/>
  <c r="S47" i="5" s="1"/>
  <c r="T47" i="5" s="1"/>
  <c r="U47" i="5" s="1"/>
  <c r="V47" i="5" s="1"/>
  <c r="W47" i="5" s="1"/>
  <c r="X47" i="5" s="1"/>
  <c r="Y47" i="5" s="1"/>
  <c r="Z47" i="5" s="1"/>
  <c r="AA47" i="5" s="1"/>
  <c r="AB47" i="5" s="1"/>
  <c r="P23" i="7"/>
  <c r="Q28" i="7"/>
  <c r="K52" i="7"/>
  <c r="K64" i="7"/>
  <c r="K69" i="7"/>
  <c r="M87" i="7"/>
  <c r="K87" i="7"/>
  <c r="M118" i="7"/>
  <c r="K129" i="7"/>
  <c r="M143" i="7"/>
  <c r="L143" i="7"/>
  <c r="K143" i="7"/>
  <c r="M187" i="7"/>
  <c r="L187" i="7"/>
  <c r="K187" i="7"/>
  <c r="Q23" i="7"/>
  <c r="E25" i="7"/>
  <c r="G43" i="7"/>
  <c r="L52" i="7"/>
  <c r="L64" i="7"/>
  <c r="L69" i="7"/>
  <c r="K84" i="7"/>
  <c r="G87" i="7"/>
  <c r="K89" i="7"/>
  <c r="L129" i="7"/>
  <c r="G149" i="7"/>
  <c r="M250" i="7"/>
  <c r="L250" i="7"/>
  <c r="K250" i="7"/>
  <c r="N50" i="10"/>
  <c r="M50" i="10"/>
  <c r="L89" i="7"/>
  <c r="G103" i="7"/>
  <c r="G208" i="7"/>
  <c r="G260" i="7"/>
  <c r="K288" i="7"/>
  <c r="M288" i="7"/>
  <c r="L288" i="7"/>
  <c r="G288" i="7"/>
  <c r="G250" i="7"/>
  <c r="G269" i="7"/>
  <c r="G310" i="7"/>
  <c r="G349" i="7"/>
  <c r="G415" i="7"/>
  <c r="M501" i="7"/>
  <c r="G509" i="7"/>
  <c r="M536" i="7"/>
  <c r="K536" i="7"/>
  <c r="G559" i="7"/>
  <c r="L5" i="11"/>
  <c r="L9" i="15"/>
  <c r="M51" i="18"/>
  <c r="N51" i="18"/>
  <c r="K10" i="66"/>
  <c r="L224" i="7"/>
  <c r="K324" i="7"/>
  <c r="K354" i="7"/>
  <c r="M528" i="7"/>
  <c r="K528" i="7"/>
  <c r="L553" i="7"/>
  <c r="L49" i="15"/>
  <c r="G11" i="60"/>
  <c r="K155" i="7"/>
  <c r="K189" i="7"/>
  <c r="K226" i="7"/>
  <c r="G229" i="7"/>
  <c r="K257" i="7"/>
  <c r="G475" i="7"/>
  <c r="G528" i="7"/>
  <c r="D8" i="21"/>
  <c r="M8" i="21"/>
  <c r="G6" i="60"/>
  <c r="H28" i="38"/>
  <c r="M388" i="7"/>
  <c r="K388" i="7"/>
  <c r="M428" i="7"/>
  <c r="K428" i="7"/>
  <c r="M436" i="7"/>
  <c r="K436" i="7"/>
  <c r="M496" i="7"/>
  <c r="K496" i="7"/>
  <c r="L10" i="15"/>
  <c r="L25" i="23"/>
  <c r="I28" i="38"/>
  <c r="H6" i="60"/>
  <c r="J6" i="38"/>
  <c r="M164" i="7"/>
  <c r="L180" i="7"/>
  <c r="L196" i="7"/>
  <c r="K231" i="7"/>
  <c r="M264" i="7"/>
  <c r="M363" i="7"/>
  <c r="G369" i="7"/>
  <c r="G388" i="7"/>
  <c r="K395" i="7"/>
  <c r="L410" i="7"/>
  <c r="G423" i="7"/>
  <c r="G428" i="7"/>
  <c r="L443" i="7"/>
  <c r="G462" i="7"/>
  <c r="L467" i="7"/>
  <c r="K467" i="7"/>
  <c r="G470" i="7"/>
  <c r="G480" i="7"/>
  <c r="L482" i="7"/>
  <c r="M506" i="7"/>
  <c r="M517" i="7"/>
  <c r="K520" i="7"/>
  <c r="M525" i="7"/>
  <c r="G534" i="7"/>
  <c r="L536" i="7"/>
  <c r="L15" i="11"/>
  <c r="L7" i="19"/>
  <c r="L25" i="19"/>
  <c r="L12" i="27"/>
  <c r="N6" i="38"/>
  <c r="J6" i="60"/>
  <c r="K28" i="38"/>
  <c r="M6" i="38"/>
  <c r="L19" i="47"/>
  <c r="K213" i="7"/>
  <c r="K224" i="7"/>
  <c r="L231" i="7"/>
  <c r="G248" i="7"/>
  <c r="M296" i="7"/>
  <c r="M308" i="7"/>
  <c r="K308" i="7"/>
  <c r="K344" i="7"/>
  <c r="G364" i="7"/>
  <c r="L395" i="7"/>
  <c r="M408" i="7"/>
  <c r="K408" i="7"/>
  <c r="M470" i="7"/>
  <c r="L470" i="7"/>
  <c r="M488" i="7"/>
  <c r="K488" i="7"/>
  <c r="L520" i="7"/>
  <c r="O9" i="38"/>
  <c r="K14" i="60"/>
  <c r="M14" i="38"/>
  <c r="K151" i="7"/>
  <c r="K169" i="7"/>
  <c r="K194" i="7"/>
  <c r="M224" i="7"/>
  <c r="K236" i="7"/>
  <c r="K255" i="7"/>
  <c r="K262" i="7"/>
  <c r="L265" i="7"/>
  <c r="L274" i="7"/>
  <c r="K315" i="7"/>
  <c r="K337" i="7"/>
  <c r="M344" i="7"/>
  <c r="L354" i="7"/>
  <c r="L507" i="7"/>
  <c r="K507" i="7"/>
  <c r="M510" i="7"/>
  <c r="L510" i="7"/>
  <c r="L528" i="7"/>
  <c r="K215" i="7"/>
  <c r="G227" i="7"/>
  <c r="L236" i="7"/>
  <c r="G246" i="7"/>
  <c r="L255" i="7"/>
  <c r="G265" i="7"/>
  <c r="G270" i="7"/>
  <c r="M274" i="7"/>
  <c r="K286" i="7"/>
  <c r="G289" i="7"/>
  <c r="L315" i="7"/>
  <c r="K320" i="7"/>
  <c r="M337" i="7"/>
  <c r="G350" i="7"/>
  <c r="M354" i="7"/>
  <c r="M366" i="7"/>
  <c r="K376" i="7"/>
  <c r="K383" i="7"/>
  <c r="G386" i="7"/>
  <c r="M405" i="7"/>
  <c r="L446" i="7"/>
  <c r="L454" i="7"/>
  <c r="K475" i="7"/>
  <c r="K485" i="7"/>
  <c r="G507" i="7"/>
  <c r="M521" i="7"/>
  <c r="L542" i="7"/>
  <c r="M548" i="7"/>
  <c r="K548" i="7"/>
  <c r="L557" i="7"/>
  <c r="K557" i="7"/>
  <c r="L7" i="11"/>
  <c r="L25" i="11"/>
  <c r="L20" i="15"/>
  <c r="L49" i="18"/>
  <c r="N50" i="22"/>
  <c r="M50" i="22"/>
  <c r="L16" i="22"/>
  <c r="L13" i="26"/>
  <c r="L14" i="30"/>
  <c r="Q20" i="38"/>
  <c r="M270" i="7"/>
  <c r="L345" i="7"/>
  <c r="M350" i="7"/>
  <c r="L376" i="7"/>
  <c r="L388" i="7"/>
  <c r="L428" i="7"/>
  <c r="L436" i="7"/>
  <c r="M446" i="7"/>
  <c r="M454" i="7"/>
  <c r="L475" i="7"/>
  <c r="K480" i="7"/>
  <c r="M485" i="7"/>
  <c r="G494" i="7"/>
  <c r="L496" i="7"/>
  <c r="M529" i="7"/>
  <c r="L529" i="7"/>
  <c r="L7" i="23"/>
  <c r="L8" i="27"/>
  <c r="M28" i="38"/>
  <c r="K23" i="60"/>
  <c r="L23" i="60" s="1"/>
  <c r="M23" i="38"/>
  <c r="L15" i="65"/>
  <c r="E15" i="66"/>
  <c r="K15" i="66" s="1"/>
  <c r="L204" i="7"/>
  <c r="G225" i="7"/>
  <c r="M328" i="7"/>
  <c r="K328" i="7"/>
  <c r="L480" i="7"/>
  <c r="L50" i="30"/>
  <c r="L5" i="30"/>
  <c r="P27" i="60"/>
  <c r="Q27" i="60"/>
  <c r="K107" i="7"/>
  <c r="K127" i="7"/>
  <c r="K147" i="7"/>
  <c r="K174" i="7"/>
  <c r="K183" i="7"/>
  <c r="K199" i="7"/>
  <c r="K206" i="7"/>
  <c r="K220" i="7"/>
  <c r="L234" i="7"/>
  <c r="G244" i="7"/>
  <c r="M248" i="7"/>
  <c r="K277" i="7"/>
  <c r="G282" i="7"/>
  <c r="K296" i="7"/>
  <c r="L308" i="7"/>
  <c r="M325" i="7"/>
  <c r="G328" i="7"/>
  <c r="K335" i="7"/>
  <c r="K357" i="7"/>
  <c r="K364" i="7"/>
  <c r="G367" i="7"/>
  <c r="G384" i="7"/>
  <c r="G401" i="7"/>
  <c r="K403" i="7"/>
  <c r="L408" i="7"/>
  <c r="G442" i="7"/>
  <c r="L447" i="7"/>
  <c r="K447" i="7"/>
  <c r="G450" i="7"/>
  <c r="M476" i="7"/>
  <c r="K476" i="7"/>
  <c r="L488" i="7"/>
  <c r="K510" i="7"/>
  <c r="M534" i="7"/>
  <c r="K545" i="7"/>
  <c r="L51" i="30"/>
  <c r="M450" i="7"/>
  <c r="L450" i="7"/>
  <c r="M468" i="7"/>
  <c r="K468" i="7"/>
  <c r="M516" i="7"/>
  <c r="K516" i="7"/>
  <c r="K537" i="7"/>
  <c r="M545" i="7"/>
  <c r="L49" i="11"/>
  <c r="D12" i="33"/>
  <c r="M12" i="33"/>
  <c r="M18" i="60"/>
  <c r="D26" i="38"/>
  <c r="S26" i="38"/>
  <c r="K105" i="7"/>
  <c r="L116" i="7"/>
  <c r="K125" i="7"/>
  <c r="L136" i="7"/>
  <c r="K145" i="7"/>
  <c r="L156" i="7"/>
  <c r="L165" i="7"/>
  <c r="K181" i="7"/>
  <c r="L190" i="7"/>
  <c r="K197" i="7"/>
  <c r="G202" i="7"/>
  <c r="K211" i="7"/>
  <c r="L227" i="7"/>
  <c r="L246" i="7"/>
  <c r="K251" i="7"/>
  <c r="M265" i="7"/>
  <c r="K268" i="7"/>
  <c r="K270" i="7"/>
  <c r="M284" i="7"/>
  <c r="G287" i="7"/>
  <c r="K289" i="7"/>
  <c r="K301" i="7"/>
  <c r="L340" i="7"/>
  <c r="K350" i="7"/>
  <c r="G360" i="7"/>
  <c r="M374" i="7"/>
  <c r="M386" i="7"/>
  <c r="K396" i="7"/>
  <c r="K416" i="7"/>
  <c r="G468" i="7"/>
  <c r="M489" i="7"/>
  <c r="L489" i="7"/>
  <c r="G500" i="7"/>
  <c r="L502" i="7"/>
  <c r="M526" i="7"/>
  <c r="K529" i="7"/>
  <c r="M537" i="7"/>
  <c r="K540" i="7"/>
  <c r="L548" i="7"/>
  <c r="M554" i="7"/>
  <c r="M557" i="7"/>
  <c r="L49" i="10"/>
  <c r="L49" i="30"/>
  <c r="K18" i="60"/>
  <c r="L18" i="60" s="1"/>
  <c r="M18" i="38"/>
  <c r="L105" i="7"/>
  <c r="L125" i="7"/>
  <c r="L145" i="7"/>
  <c r="K172" i="7"/>
  <c r="L181" i="7"/>
  <c r="L197" i="7"/>
  <c r="K204" i="7"/>
  <c r="L211" i="7"/>
  <c r="K225" i="7"/>
  <c r="K232" i="7"/>
  <c r="L251" i="7"/>
  <c r="K254" i="7"/>
  <c r="G268" i="7"/>
  <c r="L270" i="7"/>
  <c r="K273" i="7"/>
  <c r="L289" i="7"/>
  <c r="L297" i="7"/>
  <c r="L301" i="7"/>
  <c r="L306" i="7"/>
  <c r="K323" i="7"/>
  <c r="K345" i="7"/>
  <c r="M348" i="7"/>
  <c r="K348" i="7"/>
  <c r="L350" i="7"/>
  <c r="K362" i="7"/>
  <c r="M370" i="7"/>
  <c r="L396" i="7"/>
  <c r="G404" i="7"/>
  <c r="L416" i="7"/>
  <c r="L426" i="7"/>
  <c r="L434" i="7"/>
  <c r="K460" i="7"/>
  <c r="K465" i="7"/>
  <c r="L494" i="7"/>
  <c r="M508" i="7"/>
  <c r="K508" i="7"/>
  <c r="G530" i="7"/>
  <c r="L540" i="7"/>
  <c r="G549" i="7"/>
  <c r="L22" i="11"/>
  <c r="L17" i="14"/>
  <c r="D18" i="21"/>
  <c r="M18" i="21"/>
  <c r="L16" i="35"/>
  <c r="G16" i="38"/>
  <c r="E16" i="60"/>
  <c r="O16" i="38"/>
  <c r="S16" i="38" s="1"/>
  <c r="K163" i="7"/>
  <c r="L172" i="7"/>
  <c r="M175" i="7"/>
  <c r="K179" i="7"/>
  <c r="K188" i="7"/>
  <c r="M204" i="7"/>
  <c r="L225" i="7"/>
  <c r="L232" i="7"/>
  <c r="K237" i="7"/>
  <c r="K256" i="7"/>
  <c r="K275" i="7"/>
  <c r="K282" i="7"/>
  <c r="L285" i="7"/>
  <c r="L294" i="7"/>
  <c r="M306" i="7"/>
  <c r="K316" i="7"/>
  <c r="L323" i="7"/>
  <c r="L328" i="7"/>
  <c r="M345" i="7"/>
  <c r="K355" i="7"/>
  <c r="L362" i="7"/>
  <c r="K367" i="7"/>
  <c r="K372" i="7"/>
  <c r="K389" i="7"/>
  <c r="K401" i="7"/>
  <c r="L406" i="7"/>
  <c r="M426" i="7"/>
  <c r="K429" i="7"/>
  <c r="M434" i="7"/>
  <c r="K455" i="7"/>
  <c r="L460" i="7"/>
  <c r="M465" i="7"/>
  <c r="M494" i="7"/>
  <c r="L527" i="7"/>
  <c r="K527" i="7"/>
  <c r="M530" i="7"/>
  <c r="L530" i="7"/>
  <c r="M549" i="7"/>
  <c r="L549" i="7"/>
  <c r="L51" i="10"/>
  <c r="L10" i="18"/>
  <c r="L163" i="7"/>
  <c r="L179" i="7"/>
  <c r="L188" i="7"/>
  <c r="K195" i="7"/>
  <c r="K209" i="7"/>
  <c r="K228" i="7"/>
  <c r="L237" i="7"/>
  <c r="K244" i="7"/>
  <c r="L256" i="7"/>
  <c r="L259" i="7"/>
  <c r="L275" i="7"/>
  <c r="L282" i="7"/>
  <c r="G290" i="7"/>
  <c r="M294" i="7"/>
  <c r="L316" i="7"/>
  <c r="G329" i="7"/>
  <c r="L355" i="7"/>
  <c r="M362" i="7"/>
  <c r="L367" i="7"/>
  <c r="L372" i="7"/>
  <c r="G375" i="7"/>
  <c r="K377" i="7"/>
  <c r="K384" i="7"/>
  <c r="L389" i="7"/>
  <c r="L397" i="7"/>
  <c r="L401" i="7"/>
  <c r="M406" i="7"/>
  <c r="L429" i="7"/>
  <c r="G435" i="7"/>
  <c r="K437" i="7"/>
  <c r="K442" i="7"/>
  <c r="M447" i="7"/>
  <c r="K450" i="7"/>
  <c r="L455" i="7"/>
  <c r="G474" i="7"/>
  <c r="L476" i="7"/>
  <c r="L486" i="7"/>
  <c r="G495" i="7"/>
  <c r="K497" i="7"/>
  <c r="K505" i="7"/>
  <c r="G527" i="7"/>
  <c r="M541" i="7"/>
  <c r="L19" i="10"/>
  <c r="L50" i="11"/>
  <c r="L9" i="14"/>
  <c r="M25" i="21"/>
  <c r="L23" i="23"/>
  <c r="K202" i="7"/>
  <c r="L209" i="7"/>
  <c r="K230" i="7"/>
  <c r="M244" i="7"/>
  <c r="K280" i="7"/>
  <c r="K287" i="7"/>
  <c r="M290" i="7"/>
  <c r="K321" i="7"/>
  <c r="G324" i="7"/>
  <c r="K360" i="7"/>
  <c r="M377" i="7"/>
  <c r="M384" i="7"/>
  <c r="L394" i="7"/>
  <c r="L427" i="7"/>
  <c r="K427" i="7"/>
  <c r="M437" i="7"/>
  <c r="L442" i="7"/>
  <c r="L468" i="7"/>
  <c r="M486" i="7"/>
  <c r="M497" i="7"/>
  <c r="K500" i="7"/>
  <c r="M505" i="7"/>
  <c r="G514" i="7"/>
  <c r="L516" i="7"/>
  <c r="K535" i="7"/>
  <c r="L6" i="10"/>
  <c r="L5" i="14"/>
  <c r="L49" i="14"/>
  <c r="L18" i="22"/>
  <c r="K173" i="7"/>
  <c r="L202" i="7"/>
  <c r="L219" i="7"/>
  <c r="L230" i="7"/>
  <c r="L280" i="7"/>
  <c r="L287" i="7"/>
  <c r="L321" i="7"/>
  <c r="K334" i="7"/>
  <c r="L360" i="7"/>
  <c r="G390" i="7"/>
  <c r="M394" i="7"/>
  <c r="G427" i="7"/>
  <c r="M430" i="7"/>
  <c r="L430" i="7"/>
  <c r="M448" i="7"/>
  <c r="K448" i="7"/>
  <c r="M456" i="7"/>
  <c r="K456" i="7"/>
  <c r="L500" i="7"/>
  <c r="L11" i="10"/>
  <c r="L50" i="14"/>
  <c r="L51" i="15"/>
  <c r="L13" i="15"/>
  <c r="L6" i="18"/>
  <c r="L49" i="26"/>
  <c r="L6" i="26"/>
  <c r="R11" i="38"/>
  <c r="Q11" i="38"/>
  <c r="R19" i="38"/>
  <c r="Q19" i="38"/>
  <c r="L245" i="7"/>
  <c r="G264" i="7"/>
  <c r="M368" i="7"/>
  <c r="K368" i="7"/>
  <c r="L385" i="7"/>
  <c r="M390" i="7"/>
  <c r="G407" i="7"/>
  <c r="G410" i="7"/>
  <c r="G443" i="7"/>
  <c r="G448" i="7"/>
  <c r="M469" i="7"/>
  <c r="L487" i="7"/>
  <c r="K487" i="7"/>
  <c r="M490" i="7"/>
  <c r="L490" i="7"/>
  <c r="L7" i="10"/>
  <c r="L14" i="23"/>
  <c r="G11" i="38"/>
  <c r="S13" i="38"/>
  <c r="E21" i="60"/>
  <c r="O21" i="38"/>
  <c r="H16" i="60"/>
  <c r="O16" i="59"/>
  <c r="L8" i="22"/>
  <c r="L15" i="23"/>
  <c r="L50" i="26"/>
  <c r="L14" i="26"/>
  <c r="L11" i="34"/>
  <c r="M11" i="60"/>
  <c r="H23" i="60"/>
  <c r="O23" i="38"/>
  <c r="N26" i="60"/>
  <c r="F26" i="60"/>
  <c r="L6" i="40"/>
  <c r="I24" i="60"/>
  <c r="N23" i="60"/>
  <c r="L24" i="65"/>
  <c r="I24" i="66"/>
  <c r="K24" i="66" s="1"/>
  <c r="L11" i="43"/>
  <c r="G14" i="60"/>
  <c r="D19" i="60"/>
  <c r="N19" i="59"/>
  <c r="L24" i="15"/>
  <c r="L4" i="22"/>
  <c r="M11" i="33"/>
  <c r="D11" i="33"/>
  <c r="L22" i="35"/>
  <c r="E7" i="60"/>
  <c r="O7" i="38"/>
  <c r="D16" i="38"/>
  <c r="R8" i="59"/>
  <c r="Q8" i="59"/>
  <c r="S19" i="38"/>
  <c r="E24" i="60"/>
  <c r="N24" i="60" s="1"/>
  <c r="O24" i="38"/>
  <c r="L7" i="40"/>
  <c r="L7" i="43"/>
  <c r="L24" i="51"/>
  <c r="H25" i="60"/>
  <c r="I25" i="60" s="1"/>
  <c r="J25" i="59"/>
  <c r="O25" i="59"/>
  <c r="L51" i="22"/>
  <c r="M6" i="33"/>
  <c r="D6" i="33"/>
  <c r="G22" i="38"/>
  <c r="Q26" i="38"/>
  <c r="D7" i="60"/>
  <c r="D28" i="60" s="1"/>
  <c r="M22" i="59"/>
  <c r="O22" i="59"/>
  <c r="S22" i="59" s="1"/>
  <c r="K22" i="60"/>
  <c r="L22" i="60" s="1"/>
  <c r="L12" i="11"/>
  <c r="O15" i="38"/>
  <c r="K9" i="60"/>
  <c r="K28" i="60" s="1"/>
  <c r="H12" i="60"/>
  <c r="I28" i="59"/>
  <c r="J28" i="59" s="1"/>
  <c r="O20" i="59"/>
  <c r="E20" i="60"/>
  <c r="G20" i="59"/>
  <c r="L8" i="11"/>
  <c r="L8" i="19"/>
  <c r="L5" i="22"/>
  <c r="L19" i="22"/>
  <c r="L5" i="27"/>
  <c r="L24" i="31"/>
  <c r="M13" i="33"/>
  <c r="E8" i="60"/>
  <c r="G8" i="38"/>
  <c r="O8" i="38"/>
  <c r="S8" i="38" s="1"/>
  <c r="O10" i="38"/>
  <c r="R12" i="38"/>
  <c r="G15" i="38"/>
  <c r="N17" i="38"/>
  <c r="S24" i="38"/>
  <c r="D24" i="38"/>
  <c r="L16" i="51"/>
  <c r="H15" i="60"/>
  <c r="Q23" i="59"/>
  <c r="L24" i="18"/>
  <c r="L49" i="22"/>
  <c r="F28" i="38"/>
  <c r="G28" i="38" s="1"/>
  <c r="F10" i="60"/>
  <c r="D23" i="59"/>
  <c r="S23" i="59"/>
  <c r="L555" i="7"/>
  <c r="K25" i="11"/>
  <c r="L50" i="15"/>
  <c r="L16" i="18"/>
  <c r="K25" i="19"/>
  <c r="L9" i="30"/>
  <c r="D8" i="33"/>
  <c r="N22" i="38"/>
  <c r="O25" i="38"/>
  <c r="E25" i="60"/>
  <c r="L14" i="40"/>
  <c r="K553" i="7"/>
  <c r="L11" i="22"/>
  <c r="L20" i="22"/>
  <c r="L6" i="27"/>
  <c r="L25" i="31"/>
  <c r="Q22" i="38"/>
  <c r="L6" i="48"/>
  <c r="L8" i="18"/>
  <c r="L6" i="22"/>
  <c r="L5" i="34"/>
  <c r="L14" i="43"/>
  <c r="L12" i="35"/>
  <c r="N14" i="38"/>
  <c r="J14" i="60"/>
  <c r="M14" i="60" s="1"/>
  <c r="M20" i="60"/>
  <c r="L10" i="40"/>
  <c r="L24" i="40"/>
  <c r="L20" i="51"/>
  <c r="D9" i="60"/>
  <c r="N9" i="59"/>
  <c r="L8" i="35"/>
  <c r="L6" i="60"/>
  <c r="N20" i="38"/>
  <c r="L10" i="48"/>
  <c r="L10" i="27"/>
  <c r="M21" i="33"/>
  <c r="D21" i="33"/>
  <c r="N7" i="38"/>
  <c r="O13" i="38"/>
  <c r="H13" i="60"/>
  <c r="N13" i="60" s="1"/>
  <c r="L12" i="40"/>
  <c r="L9" i="43"/>
  <c r="L8" i="51"/>
  <c r="L6" i="56"/>
  <c r="D13" i="60"/>
  <c r="N13" i="59"/>
  <c r="H20" i="60"/>
  <c r="I20" i="60" s="1"/>
  <c r="L20" i="30"/>
  <c r="M9" i="33"/>
  <c r="N25" i="38"/>
  <c r="J25" i="60"/>
  <c r="M25" i="60" s="1"/>
  <c r="L22" i="40"/>
  <c r="L5" i="43"/>
  <c r="L23" i="43"/>
  <c r="L15" i="47"/>
  <c r="D15" i="59"/>
  <c r="S15" i="59"/>
  <c r="K20" i="60"/>
  <c r="L20" i="60" s="1"/>
  <c r="K9" i="66"/>
  <c r="M16" i="33"/>
  <c r="D16" i="33"/>
  <c r="M22" i="33"/>
  <c r="N9" i="38"/>
  <c r="O5" i="59"/>
  <c r="E5" i="60"/>
  <c r="N5" i="60" s="1"/>
  <c r="S10" i="59"/>
  <c r="D10" i="59"/>
  <c r="L8" i="30"/>
  <c r="S15" i="38"/>
  <c r="O18" i="38"/>
  <c r="G18" i="38"/>
  <c r="E18" i="60"/>
  <c r="L15" i="43"/>
  <c r="N8" i="59"/>
  <c r="G8" i="60"/>
  <c r="M8" i="60" s="1"/>
  <c r="L6" i="34"/>
  <c r="L15" i="34"/>
  <c r="L24" i="34"/>
  <c r="L20" i="35"/>
  <c r="O6" i="38"/>
  <c r="O14" i="38"/>
  <c r="N18" i="38"/>
  <c r="G18" i="60"/>
  <c r="L18" i="48"/>
  <c r="L21" i="47"/>
  <c r="L17" i="55"/>
  <c r="L21" i="56"/>
  <c r="N7" i="59"/>
  <c r="J20" i="59"/>
  <c r="J10" i="60"/>
  <c r="M10" i="60" s="1"/>
  <c r="F13" i="60"/>
  <c r="I17" i="66"/>
  <c r="L24" i="66"/>
  <c r="R4" i="67"/>
  <c r="S4" i="67" s="1"/>
  <c r="K4" i="67"/>
  <c r="L26" i="56"/>
  <c r="D6" i="60"/>
  <c r="R7" i="59"/>
  <c r="Q7" i="59"/>
  <c r="E22" i="60"/>
  <c r="J22" i="60"/>
  <c r="M22" i="60" s="1"/>
  <c r="L15" i="62"/>
  <c r="E6" i="60"/>
  <c r="E8" i="66"/>
  <c r="K8" i="66" s="1"/>
  <c r="K8" i="65"/>
  <c r="G14" i="66"/>
  <c r="K14" i="66" s="1"/>
  <c r="K14" i="65"/>
  <c r="E21" i="66"/>
  <c r="E14" i="67"/>
  <c r="E18" i="67"/>
  <c r="E22" i="67"/>
  <c r="G6" i="59"/>
  <c r="O11" i="59"/>
  <c r="J15" i="60"/>
  <c r="M15" i="60" s="1"/>
  <c r="M20" i="59"/>
  <c r="L21" i="66"/>
  <c r="E36" i="67"/>
  <c r="L22" i="47"/>
  <c r="L9" i="55"/>
  <c r="L13" i="56"/>
  <c r="L22" i="56"/>
  <c r="Q13" i="59"/>
  <c r="K15" i="60"/>
  <c r="E28" i="59"/>
  <c r="E25" i="66"/>
  <c r="R69" i="67"/>
  <c r="K69" i="67"/>
  <c r="L22" i="52"/>
  <c r="L5" i="55"/>
  <c r="M15" i="59"/>
  <c r="L13" i="61"/>
  <c r="L16" i="62"/>
  <c r="R54" i="67"/>
  <c r="K54" i="67"/>
  <c r="S6" i="59"/>
  <c r="O15" i="59"/>
  <c r="O17" i="59"/>
  <c r="E19" i="60"/>
  <c r="G19" i="59"/>
  <c r="N24" i="59"/>
  <c r="J24" i="60"/>
  <c r="M24" i="60" s="1"/>
  <c r="H26" i="60"/>
  <c r="K24" i="65"/>
  <c r="K29" i="67"/>
  <c r="K33" i="67"/>
  <c r="K64" i="67"/>
  <c r="M7" i="38"/>
  <c r="L10" i="47"/>
  <c r="M6" i="59"/>
  <c r="G17" i="60"/>
  <c r="G19" i="60"/>
  <c r="N26" i="59"/>
  <c r="I12" i="66"/>
  <c r="K12" i="66" s="1"/>
  <c r="R37" i="67"/>
  <c r="S37" i="67" s="1"/>
  <c r="K37" i="67"/>
  <c r="L14" i="52"/>
  <c r="L23" i="52"/>
  <c r="L19" i="55"/>
  <c r="O6" i="59"/>
  <c r="O12" i="59"/>
  <c r="O14" i="59"/>
  <c r="E14" i="60"/>
  <c r="H17" i="60"/>
  <c r="G21" i="60"/>
  <c r="O24" i="59"/>
  <c r="K19" i="67"/>
  <c r="E37" i="67"/>
  <c r="K47" i="67"/>
  <c r="E47" i="67"/>
  <c r="E55" i="67"/>
  <c r="L10" i="56"/>
  <c r="K10" i="60"/>
  <c r="N10" i="60" s="1"/>
  <c r="G12" i="60"/>
  <c r="M12" i="60" s="1"/>
  <c r="G14" i="59"/>
  <c r="N17" i="59"/>
  <c r="J17" i="60"/>
  <c r="M17" i="60" s="1"/>
  <c r="H21" i="60"/>
  <c r="D23" i="60"/>
  <c r="F23" i="60" s="1"/>
  <c r="O26" i="59"/>
  <c r="L28" i="59"/>
  <c r="M28" i="59" s="1"/>
  <c r="M23" i="60"/>
  <c r="K19" i="66"/>
  <c r="K25" i="65"/>
  <c r="G25" i="66"/>
  <c r="R6" i="67"/>
  <c r="S6" i="67" s="1"/>
  <c r="R42" i="67"/>
  <c r="J21" i="59"/>
  <c r="J21" i="60"/>
  <c r="M21" i="60" s="1"/>
  <c r="K38" i="67"/>
  <c r="E38" i="67"/>
  <c r="K43" i="67"/>
  <c r="E43" i="67"/>
  <c r="R47" i="67"/>
  <c r="S47" i="67" s="1"/>
  <c r="H14" i="60"/>
  <c r="M19" i="60"/>
  <c r="K16" i="66"/>
  <c r="K13" i="66"/>
  <c r="F28" i="59"/>
  <c r="G28" i="59" s="1"/>
  <c r="Q10" i="59"/>
  <c r="K12" i="60"/>
  <c r="E71" i="67"/>
  <c r="G7" i="60"/>
  <c r="N12" i="59"/>
  <c r="N21" i="59"/>
  <c r="E12" i="60"/>
  <c r="N12" i="60" s="1"/>
  <c r="L9" i="65"/>
  <c r="L19" i="65"/>
  <c r="L22" i="65"/>
  <c r="K71" i="67"/>
  <c r="L11" i="52"/>
  <c r="H7" i="60"/>
  <c r="O21" i="59"/>
  <c r="L23" i="62"/>
  <c r="L6" i="65"/>
  <c r="E44" i="67"/>
  <c r="E17" i="60"/>
  <c r="N17" i="60" s="1"/>
  <c r="J26" i="60"/>
  <c r="M26" i="60" s="1"/>
  <c r="L13" i="65"/>
  <c r="I16" i="66"/>
  <c r="K44" i="67"/>
  <c r="L7" i="52"/>
  <c r="J7" i="60"/>
  <c r="E9" i="60"/>
  <c r="O9" i="59"/>
  <c r="E11" i="60"/>
  <c r="G13" i="59"/>
  <c r="D8" i="60"/>
  <c r="K23" i="65"/>
  <c r="I26" i="66"/>
  <c r="K26" i="66" s="1"/>
  <c r="K26" i="65"/>
  <c r="R57" i="67"/>
  <c r="K67" i="67"/>
  <c r="E67" i="67"/>
  <c r="L25" i="56"/>
  <c r="G9" i="60"/>
  <c r="M9" i="60" s="1"/>
  <c r="G13" i="60"/>
  <c r="M13" i="60" s="1"/>
  <c r="D15" i="60"/>
  <c r="O27" i="59"/>
  <c r="G27" i="59"/>
  <c r="L19" i="62"/>
  <c r="I10" i="66"/>
  <c r="K16" i="65"/>
  <c r="G17" i="66"/>
  <c r="E57" i="67"/>
  <c r="E62" i="67"/>
  <c r="H9" i="60"/>
  <c r="I9" i="60" s="1"/>
  <c r="E15" i="60"/>
  <c r="D22" i="59"/>
  <c r="K25" i="60"/>
  <c r="N14" i="59"/>
  <c r="L13" i="66"/>
  <c r="J9" i="59"/>
  <c r="I11" i="66"/>
  <c r="K11" i="66" s="1"/>
  <c r="G9" i="66"/>
  <c r="L25" i="55"/>
  <c r="I21" i="66"/>
  <c r="L8" i="66"/>
  <c r="L21" i="55"/>
  <c r="R9" i="67"/>
  <c r="S9" i="67" s="1"/>
  <c r="K9" i="67"/>
  <c r="N30" i="8" l="1"/>
  <c r="N25" i="8"/>
  <c r="N31" i="8"/>
  <c r="N23" i="8"/>
  <c r="N20" i="8"/>
  <c r="N28" i="8"/>
  <c r="N27" i="8"/>
  <c r="N29" i="8"/>
  <c r="N17" i="8"/>
  <c r="N18" i="8"/>
  <c r="L32" i="8"/>
  <c r="H32" i="8" s="1"/>
  <c r="N22" i="8"/>
  <c r="K32" i="8"/>
  <c r="M32" i="8"/>
  <c r="N32" i="8" s="1"/>
  <c r="E32" i="8"/>
  <c r="P13" i="60"/>
  <c r="Q13" i="60"/>
  <c r="Q10" i="60"/>
  <c r="P10" i="60"/>
  <c r="R27" i="59"/>
  <c r="Q27" i="59"/>
  <c r="R14" i="59"/>
  <c r="Q14" i="59"/>
  <c r="R20" i="59"/>
  <c r="S20" i="59"/>
  <c r="Q20" i="59"/>
  <c r="Q21" i="38"/>
  <c r="S21" i="38"/>
  <c r="R21" i="38"/>
  <c r="Y79" i="4"/>
  <c r="S24" i="59"/>
  <c r="D24" i="59"/>
  <c r="F6" i="60"/>
  <c r="N6" i="60"/>
  <c r="N25" i="60"/>
  <c r="N21" i="60"/>
  <c r="Q26" i="59"/>
  <c r="R26" i="59"/>
  <c r="Q6" i="59"/>
  <c r="R6" i="59"/>
  <c r="R25" i="38"/>
  <c r="Q25" i="38"/>
  <c r="L14" i="60"/>
  <c r="M49" i="15"/>
  <c r="N49" i="15"/>
  <c r="N19" i="60"/>
  <c r="F19" i="60"/>
  <c r="S9" i="38"/>
  <c r="D9" i="38"/>
  <c r="D13" i="59"/>
  <c r="S13" i="59"/>
  <c r="D22" i="38"/>
  <c r="S22" i="38"/>
  <c r="R24" i="38"/>
  <c r="Q24" i="38"/>
  <c r="M50" i="11"/>
  <c r="N50" i="11"/>
  <c r="R9" i="38"/>
  <c r="Q9" i="38"/>
  <c r="N11" i="8"/>
  <c r="M49" i="14"/>
  <c r="N49" i="14"/>
  <c r="I21" i="60"/>
  <c r="S27" i="59"/>
  <c r="D18" i="38"/>
  <c r="S18" i="38"/>
  <c r="S17" i="38"/>
  <c r="D17" i="38"/>
  <c r="R15" i="38"/>
  <c r="Q15" i="38"/>
  <c r="P24" i="60"/>
  <c r="Q24" i="60"/>
  <c r="M6" i="60"/>
  <c r="F15" i="6"/>
  <c r="R15" i="59"/>
  <c r="Q15" i="59"/>
  <c r="F22" i="60"/>
  <c r="N22" i="60"/>
  <c r="R14" i="38"/>
  <c r="Q14" i="38"/>
  <c r="P23" i="60"/>
  <c r="Q23" i="60"/>
  <c r="N49" i="11"/>
  <c r="M49" i="11"/>
  <c r="D6" i="38"/>
  <c r="N28" i="38"/>
  <c r="S6" i="38"/>
  <c r="C53" i="5"/>
  <c r="N51" i="10"/>
  <c r="M51" i="10"/>
  <c r="R11" i="59"/>
  <c r="Q11" i="59"/>
  <c r="S11" i="59"/>
  <c r="M51" i="15"/>
  <c r="N51" i="15"/>
  <c r="R13" i="38"/>
  <c r="Q13" i="38"/>
  <c r="F8" i="60"/>
  <c r="N8" i="60"/>
  <c r="R7" i="38"/>
  <c r="Q7" i="38"/>
  <c r="Q23" i="38"/>
  <c r="R23" i="38"/>
  <c r="N50" i="14"/>
  <c r="M50" i="14"/>
  <c r="F16" i="6"/>
  <c r="R21" i="59"/>
  <c r="Q21" i="59"/>
  <c r="Q6" i="38"/>
  <c r="O28" i="38"/>
  <c r="R6" i="38"/>
  <c r="Q8" i="38"/>
  <c r="R8" i="38"/>
  <c r="S26" i="59"/>
  <c r="D26" i="59"/>
  <c r="Q26" i="60"/>
  <c r="P26" i="60"/>
  <c r="N16" i="60"/>
  <c r="F16" i="60"/>
  <c r="N15" i="60"/>
  <c r="F15" i="60"/>
  <c r="D7" i="38"/>
  <c r="S7" i="38"/>
  <c r="E28" i="60"/>
  <c r="F28" i="60" s="1"/>
  <c r="N7" i="60"/>
  <c r="N51" i="14"/>
  <c r="M51" i="14"/>
  <c r="N49" i="26"/>
  <c r="M49" i="26"/>
  <c r="Q10" i="38"/>
  <c r="R10" i="38"/>
  <c r="S10" i="38"/>
  <c r="N50" i="30"/>
  <c r="M50" i="30"/>
  <c r="S14" i="59"/>
  <c r="D14" i="59"/>
  <c r="Q16" i="38"/>
  <c r="R16" i="38"/>
  <c r="S8" i="59"/>
  <c r="D8" i="59"/>
  <c r="N11" i="60"/>
  <c r="F11" i="60"/>
  <c r="R9" i="59"/>
  <c r="Q9" i="59"/>
  <c r="S21" i="59"/>
  <c r="D21" i="59"/>
  <c r="K21" i="66"/>
  <c r="N18" i="60"/>
  <c r="F18" i="60"/>
  <c r="N51" i="22"/>
  <c r="M51" i="22"/>
  <c r="N51" i="30"/>
  <c r="M51" i="30"/>
  <c r="K17" i="66"/>
  <c r="N9" i="60"/>
  <c r="S12" i="59"/>
  <c r="D12" i="59"/>
  <c r="R25" i="59"/>
  <c r="Q25" i="59"/>
  <c r="S25" i="59"/>
  <c r="M50" i="26"/>
  <c r="N50" i="26"/>
  <c r="S23" i="38"/>
  <c r="F31" i="7"/>
  <c r="R31" i="7"/>
  <c r="Q31" i="7"/>
  <c r="P31" i="7"/>
  <c r="S17" i="59"/>
  <c r="D17" i="59"/>
  <c r="E32" i="5"/>
  <c r="D53" i="5"/>
  <c r="M50" i="15"/>
  <c r="N50" i="15"/>
  <c r="J28" i="60"/>
  <c r="L28" i="60" s="1"/>
  <c r="M7" i="60"/>
  <c r="M28" i="60" s="1"/>
  <c r="G28" i="60"/>
  <c r="R24" i="59"/>
  <c r="Q24" i="59"/>
  <c r="Q18" i="38"/>
  <c r="R18" i="38"/>
  <c r="S25" i="38"/>
  <c r="D25" i="38"/>
  <c r="S20" i="38"/>
  <c r="D20" i="38"/>
  <c r="M49" i="22"/>
  <c r="N49" i="22"/>
  <c r="R22" i="59"/>
  <c r="Q22" i="59"/>
  <c r="M49" i="30"/>
  <c r="N49" i="30"/>
  <c r="I6" i="60"/>
  <c r="E31" i="7"/>
  <c r="H28" i="60"/>
  <c r="I28" i="60" s="1"/>
  <c r="I7" i="60"/>
  <c r="AB27" i="5"/>
  <c r="M49" i="18"/>
  <c r="N49" i="18"/>
  <c r="K25" i="66"/>
  <c r="L21" i="60"/>
  <c r="S19" i="59"/>
  <c r="D19" i="59"/>
  <c r="O28" i="59"/>
  <c r="D7" i="59"/>
  <c r="N28" i="59"/>
  <c r="S28" i="59" s="1"/>
  <c r="S7" i="59"/>
  <c r="S16" i="59"/>
  <c r="R16" i="59"/>
  <c r="Q16" i="59"/>
  <c r="M49" i="10"/>
  <c r="N49" i="10"/>
  <c r="J28" i="38"/>
  <c r="D14" i="38"/>
  <c r="S14" i="38"/>
  <c r="L7" i="60"/>
  <c r="Q19" i="59"/>
  <c r="F14" i="60"/>
  <c r="N14" i="60"/>
  <c r="L15" i="60"/>
  <c r="S9" i="59"/>
  <c r="D9" i="59"/>
  <c r="F20" i="60"/>
  <c r="N20" i="60"/>
  <c r="Q6" i="60" l="1"/>
  <c r="P6" i="60"/>
  <c r="E53" i="5"/>
  <c r="F32" i="5"/>
  <c r="R28" i="38"/>
  <c r="Q28" i="38"/>
  <c r="Q18" i="60"/>
  <c r="P18" i="60"/>
  <c r="S28" i="38"/>
  <c r="Q19" i="60"/>
  <c r="P19" i="60"/>
  <c r="P7" i="60"/>
  <c r="Q7" i="60"/>
  <c r="N28" i="60"/>
  <c r="P20" i="60"/>
  <c r="Q20" i="60"/>
  <c r="R28" i="59"/>
  <c r="Q28" i="59"/>
  <c r="P15" i="60"/>
  <c r="Q15" i="60"/>
  <c r="P16" i="60"/>
  <c r="Q16" i="60"/>
  <c r="Q22" i="60"/>
  <c r="P22" i="60"/>
  <c r="Q8" i="60"/>
  <c r="P8" i="60"/>
  <c r="Q14" i="60"/>
  <c r="P14" i="60"/>
  <c r="Q11" i="60"/>
  <c r="P11" i="60"/>
  <c r="Q21" i="60"/>
  <c r="P21" i="60"/>
  <c r="Q9" i="60"/>
  <c r="P9" i="60"/>
  <c r="Q25" i="60"/>
  <c r="P25" i="60"/>
  <c r="Q28" i="60" l="1"/>
  <c r="P28" i="60"/>
  <c r="F53" i="5"/>
  <c r="G32" i="5"/>
  <c r="G53" i="5" l="1"/>
  <c r="H32" i="5"/>
  <c r="H53" i="5" l="1"/>
  <c r="I32" i="5"/>
  <c r="I53" i="5" l="1"/>
  <c r="J32" i="5"/>
  <c r="J53" i="5" l="1"/>
  <c r="K32" i="5"/>
  <c r="K53" i="5" l="1"/>
  <c r="L32" i="5"/>
  <c r="L53" i="5" l="1"/>
  <c r="M32" i="5"/>
  <c r="M53" i="5" l="1"/>
  <c r="N32" i="5"/>
  <c r="N53" i="5" l="1"/>
  <c r="O32" i="5"/>
  <c r="O53" i="5" l="1"/>
  <c r="P32" i="5"/>
  <c r="P53" i="5" l="1"/>
  <c r="Q32" i="5"/>
  <c r="Q53" i="5" l="1"/>
  <c r="R32" i="5"/>
  <c r="R53" i="5" l="1"/>
  <c r="S32" i="5"/>
  <c r="S53" i="5" l="1"/>
  <c r="T32" i="5"/>
  <c r="U32" i="5" l="1"/>
  <c r="T53" i="5"/>
  <c r="V32" i="5" l="1"/>
  <c r="U53" i="5"/>
  <c r="W32" i="5" l="1"/>
  <c r="V53" i="5"/>
  <c r="X32" i="5" l="1"/>
  <c r="W53" i="5"/>
  <c r="Y32" i="5" l="1"/>
  <c r="X53" i="5"/>
  <c r="Y53" i="5" l="1"/>
  <c r="Z32" i="5"/>
  <c r="Z53" i="5" l="1"/>
  <c r="AA32" i="5"/>
  <c r="AA53" i="5" l="1"/>
  <c r="AB32" i="5"/>
  <c r="AB53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I1" authorId="0" shapeId="0" xr:uid="{00000000-0006-0000-0800-000001000000}">
      <text>
        <r>
          <rPr>
            <sz val="10"/>
            <rFont val="Arial"/>
            <family val="2"/>
          </rPr>
          <t>Ask = biweekly goal / 2 per week. Sum over a pair = true biweekly ask. Edited 2026-06-24.</t>
        </r>
      </text>
    </comment>
  </commentList>
</comments>
</file>

<file path=xl/sharedStrings.xml><?xml version="1.0" encoding="utf-8"?>
<sst xmlns="http://schemas.openxmlformats.org/spreadsheetml/2006/main" count="18202" uniqueCount="209">
  <si>
    <t>Tissue Reference</t>
  </si>
  <si>
    <t>Part Number</t>
  </si>
  <si>
    <t>Agile Description</t>
  </si>
  <si>
    <t>Common Name</t>
  </si>
  <si>
    <t>TISS,PORCINE,AORTA SEGMENTS</t>
  </si>
  <si>
    <t>Aorta</t>
  </si>
  <si>
    <t>TISS,PORCINE,BARIATRIC BLOCK</t>
  </si>
  <si>
    <t>Bariatric</t>
  </si>
  <si>
    <t>TISS,PORCINE,LIVER</t>
  </si>
  <si>
    <t>Liver</t>
  </si>
  <si>
    <t>TISS,PORCINE,PELVIC BLOCK</t>
  </si>
  <si>
    <t>Pelvic Block Non-Intact</t>
  </si>
  <si>
    <t>TISS,PORCINE,FULL THOR AND BARI BLOCK</t>
  </si>
  <si>
    <t>Full Body</t>
  </si>
  <si>
    <t>TISS,PORCINE,JEJUNUM,W/LYMPH NODES (6FT)</t>
  </si>
  <si>
    <t>Jejunum 6'</t>
  </si>
  <si>
    <t>TISS,PORCINE,JEJUNUM,W/LYMPH NODES (2FT)</t>
  </si>
  <si>
    <t>Jejunum 2'</t>
  </si>
  <si>
    <t>TISS,PORCINE,KIDNEY BLOCK</t>
  </si>
  <si>
    <t>Kidney</t>
  </si>
  <si>
    <t>TISS,PORCINE,LIVER WITH GALLBLADDER</t>
  </si>
  <si>
    <t>Liver w/GB</t>
  </si>
  <si>
    <t>TISS,PORCINE,OMENTUM</t>
  </si>
  <si>
    <t>Omentum</t>
  </si>
  <si>
    <t>TISSUE, PORCINE, PANCREAS</t>
  </si>
  <si>
    <t>Pancreas</t>
  </si>
  <si>
    <t>TISS,PORCINE,FEM,PELVIC BLOCK,INTACT,SM</t>
  </si>
  <si>
    <t>Pelvic Block SM Intact</t>
  </si>
  <si>
    <t>TISSUE, PORCINE, SPLEEN</t>
  </si>
  <si>
    <t>Spleen</t>
  </si>
  <si>
    <t>TISS,PORCINE,THORACIC BLOCK</t>
  </si>
  <si>
    <t>Hearts</t>
  </si>
  <si>
    <t>TISS,PORCINE,URETER</t>
  </si>
  <si>
    <t>Ureters</t>
  </si>
  <si>
    <t>TISSUE, PORCINE, VENA CAVA</t>
  </si>
  <si>
    <t>Vena Cava</t>
  </si>
  <si>
    <t>TISS,PORCINE,STOMACH</t>
  </si>
  <si>
    <t>Stomach</t>
  </si>
  <si>
    <t>TISS,PORCINE,DIAPHRAGM</t>
  </si>
  <si>
    <t>Diaphragms</t>
  </si>
  <si>
    <t>Male Pelvic</t>
  </si>
  <si>
    <t>Female Pelvic</t>
  </si>
  <si>
    <t>TISS,PORCINE,THORACIC BLOCK, LARGE</t>
  </si>
  <si>
    <t>XL Hearts</t>
  </si>
  <si>
    <t>Week</t>
  </si>
  <si>
    <t>Week Start</t>
  </si>
  <si>
    <t>ISO Wk</t>
  </si>
  <si>
    <t>Day</t>
  </si>
  <si>
    <t>Date</t>
  </si>
  <si>
    <t>Technician</t>
  </si>
  <si>
    <t>Slaughterhouse</t>
  </si>
  <si>
    <t>Tissue</t>
  </si>
  <si>
    <t>Qty Harvested</t>
  </si>
  <si>
    <t>12_29_25</t>
  </si>
  <si>
    <t>M</t>
  </si>
  <si>
    <t>Wilfredo</t>
  </si>
  <si>
    <t>Nahunta</t>
  </si>
  <si>
    <t>Jesus</t>
  </si>
  <si>
    <t>Martin</t>
  </si>
  <si>
    <t>T</t>
  </si>
  <si>
    <t>W</t>
  </si>
  <si>
    <t>01_05_26</t>
  </si>
  <si>
    <t>Th</t>
  </si>
  <si>
    <t>F</t>
  </si>
  <si>
    <t>1_12_26</t>
  </si>
  <si>
    <t>Jordan</t>
  </si>
  <si>
    <t>Custom</t>
  </si>
  <si>
    <t>1_19_26</t>
  </si>
  <si>
    <t>1_26_26</t>
  </si>
  <si>
    <t>02_02_26</t>
  </si>
  <si>
    <t>02_09_26</t>
  </si>
  <si>
    <t>02_16_26</t>
  </si>
  <si>
    <t>02_23_26</t>
  </si>
  <si>
    <t>03_02_26</t>
  </si>
  <si>
    <t>03_09_26</t>
  </si>
  <si>
    <t>03_16_26</t>
  </si>
  <si>
    <t>03_23_26</t>
  </si>
  <si>
    <t>03_30_26</t>
  </si>
  <si>
    <t>04_06_26</t>
  </si>
  <si>
    <t>04_13_26</t>
  </si>
  <si>
    <t>04_20_26</t>
  </si>
  <si>
    <t>04_27_26</t>
  </si>
  <si>
    <t>05_04_26</t>
  </si>
  <si>
    <t>05_11_26</t>
  </si>
  <si>
    <t>05_18_26</t>
  </si>
  <si>
    <t>05_25_26</t>
  </si>
  <si>
    <t>06_01_26</t>
  </si>
  <si>
    <t>06_08_26</t>
  </si>
  <si>
    <t>06_15_26</t>
  </si>
  <si>
    <t>Tissue Harvested by Week and Slaughterhouse (units)</t>
  </si>
  <si>
    <t>Row Total</t>
  </si>
  <si>
    <t>TOTAL</t>
  </si>
  <si>
    <t>Harvest Over Time, by Tissue (units)</t>
  </si>
  <si>
    <t>WEEKLY harvested per tissue</t>
  </si>
  <si>
    <t>Total</t>
  </si>
  <si>
    <t>Week start →</t>
  </si>
  <si>
    <t>All tissues</t>
  </si>
  <si>
    <t>CUMULATIVE harvested per tissue (running total)</t>
  </si>
  <si>
    <t>Technician Output &amp; Productivity</t>
  </si>
  <si>
    <t>Hours per technician per week</t>
  </si>
  <si>
    <t>editable — drives every per-hour figure</t>
  </si>
  <si>
    <t>Units harvested by technician, by week</t>
  </si>
  <si>
    <t>Productivity summary (hours = weeks scheduled x hours/week input)</t>
  </si>
  <si>
    <t>Weeks Scheduled</t>
  </si>
  <si>
    <t>Weeks w/ Output</t>
  </si>
  <si>
    <t>Total Units</t>
  </si>
  <si>
    <t>Total Hours</t>
  </si>
  <si>
    <t>Units / Hour</t>
  </si>
  <si>
    <t>All technicians</t>
  </si>
  <si>
    <t>Units harvested by technician, by tissue</t>
  </si>
  <si>
    <t>Attainment &amp; Allocations</t>
  </si>
  <si>
    <t>WEEKLY ATTAINMENT  —  Ask vs Attained by slaughterhouse, with volume allocation</t>
  </si>
  <si>
    <t>Total Ask</t>
  </si>
  <si>
    <t>Total Attained</t>
  </si>
  <si>
    <t>Attainment %</t>
  </si>
  <si>
    <t>Gap</t>
  </si>
  <si>
    <t>Nahunta Ask</t>
  </si>
  <si>
    <t>Nahunta Att</t>
  </si>
  <si>
    <t>Nahunta %</t>
  </si>
  <si>
    <t>Martin Ask</t>
  </si>
  <si>
    <t>Martin Att</t>
  </si>
  <si>
    <t>Martin %</t>
  </si>
  <si>
    <t>Custom Ask</t>
  </si>
  <si>
    <t>Custom Att</t>
  </si>
  <si>
    <t>Custom %</t>
  </si>
  <si>
    <t>Vol% Nahunta</t>
  </si>
  <si>
    <t>Vol% Martin</t>
  </si>
  <si>
    <t>Vol% Custom</t>
  </si>
  <si>
    <t>ALLOCATION BY TISSUE  —  % of attained volume to each slaughterhouse (per week). Use the filter to isolate a tissue or week.</t>
  </si>
  <si>
    <t>PN</t>
  </si>
  <si>
    <t>Ask</t>
  </si>
  <si>
    <t>Attained</t>
  </si>
  <si>
    <t>Attain %</t>
  </si>
  <si>
    <t>Nahunta vol</t>
  </si>
  <si>
    <t>Martin vol</t>
  </si>
  <si>
    <t>Custom vol</t>
  </si>
  <si>
    <t>Attainment &amp; Allocations — Selected-Weeks Summary</t>
  </si>
  <si>
    <t>Pick a week range and a mode below. Ask/Harvested columns show the AVERAGE per week or the TOTAL across the selected weeks (per Mode). "% of Ask" is each house's share of that tissue's total ask over the window (independent of mode). Ask/Attained use the recorded per-house tab figures (cols E-L).</t>
  </si>
  <si>
    <t>From week:</t>
  </si>
  <si>
    <t>To week:</t>
  </si>
  <si>
    <t>Mode:</t>
  </si>
  <si>
    <t>Weeks selected:</t>
  </si>
  <si>
    <t>% of Ask</t>
  </si>
  <si>
    <t>Ask basis: biweekly target split 50/50 across the two weeks of each pair (week 1 / week 2 of 2). Full biweekly = sum of the pair; a single week = half. Corrects prior double-count where wk2 held the remaining-to-go.</t>
  </si>
  <si>
    <t>Demand</t>
  </si>
  <si>
    <t>Nahunta Achieved</t>
  </si>
  <si>
    <t>Martin Achieved</t>
  </si>
  <si>
    <t>Custom Achieved</t>
  </si>
  <si>
    <t>Total Goal</t>
  </si>
  <si>
    <t>Total Achieved</t>
  </si>
  <si>
    <t>Tech Harvesting</t>
  </si>
  <si>
    <t>Total Pigs Received</t>
  </si>
  <si>
    <t xml:space="preserve"> </t>
  </si>
  <si>
    <t>Name</t>
  </si>
  <si>
    <t>Goal</t>
  </si>
  <si>
    <t>Harvested</t>
  </si>
  <si>
    <t>+/-</t>
  </si>
  <si>
    <t>% of goal</t>
  </si>
  <si>
    <t>Damien</t>
  </si>
  <si>
    <t>Weeks of 1/5 &amp;1/12</t>
  </si>
  <si>
    <t>total</t>
  </si>
  <si>
    <t>Nahunta Daily goal</t>
  </si>
  <si>
    <t>Monday achieved</t>
  </si>
  <si>
    <t>Tuesday Achieved</t>
  </si>
  <si>
    <t>Wednesday Achieved</t>
  </si>
  <si>
    <t>Thursday Achieved</t>
  </si>
  <si>
    <t>Friday Achieved</t>
  </si>
  <si>
    <t>2nd wk daily goals</t>
  </si>
  <si>
    <t>Left to harvest</t>
  </si>
  <si>
    <t>Jejunum</t>
  </si>
  <si>
    <t>Martins</t>
  </si>
  <si>
    <t>Martin Daily Goal</t>
  </si>
  <si>
    <t>Wed Achieved</t>
  </si>
  <si>
    <t>Custom Daily Goal</t>
  </si>
  <si>
    <t>2 Week WO total Ask</t>
  </si>
  <si>
    <t>week 1 of 2</t>
  </si>
  <si>
    <t>Week 2 of 2</t>
  </si>
  <si>
    <t>Weeks of 1/12 &amp;1/19</t>
  </si>
  <si>
    <t>2 Week Ask</t>
  </si>
  <si>
    <t>Weeks of 1/26/26 &amp; 2/2/26</t>
  </si>
  <si>
    <t>1/26 - 2/6/2026</t>
  </si>
  <si>
    <t>Weeks of 02/09/2026 &amp; 2/16/2026</t>
  </si>
  <si>
    <t>Weeks of 02/23/2026 &amp; 3/02/2026</t>
  </si>
  <si>
    <t>Weeks of 03/09/26 &amp;03/16/6</t>
  </si>
  <si>
    <t>XL Heart</t>
  </si>
  <si>
    <t>Deficit</t>
  </si>
  <si>
    <t>Weeks of 03/23/26 &amp;03/30/6</t>
  </si>
  <si>
    <t>Q to Date</t>
  </si>
  <si>
    <t>Projected Harvest for Q1 26.</t>
  </si>
  <si>
    <t>Q Ask %</t>
  </si>
  <si>
    <t>Projected %</t>
  </si>
  <si>
    <t>Weeks of 04/06/26 &amp; 04/13/26</t>
  </si>
  <si>
    <t>Weeks of 04/20/26 &amp; 04/27/26</t>
  </si>
  <si>
    <t>666510-1</t>
  </si>
  <si>
    <t>TISS,PORCINE,JEJUNUM,W/LYMPH NODES (3FT)</t>
  </si>
  <si>
    <t>3' jejunum</t>
  </si>
  <si>
    <t>Weeks of 05/04/26 &amp;05_11_26</t>
  </si>
  <si>
    <t>3' Jejunum</t>
  </si>
  <si>
    <t>3'Jejunum</t>
  </si>
  <si>
    <t>3 ft jejunum</t>
  </si>
  <si>
    <t>Weeks of 05/18/26 &amp; 05_25_26</t>
  </si>
  <si>
    <t>Weeks of 06/01/26 &amp; 06/08/26</t>
  </si>
  <si>
    <t>Projected Harvest for Q2 26.</t>
  </si>
  <si>
    <t>Year to Date</t>
  </si>
  <si>
    <t>Projected Harvest for  26.</t>
  </si>
  <si>
    <t>Weeks of 06/29/26 &amp; 07/06/26</t>
  </si>
  <si>
    <t>Variables: Weeks, mode: Average or total</t>
  </si>
  <si>
    <t>All SH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</si>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</sst>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-"/>
    <numFmt numFmtId="165" formatCode="m/d"/>
    <numFmt numFmtId="166" formatCode="#,##0.0;\(#,##0.0\);\-"/>
    <numFmt numFmtId="167" formatCode="0.0%"/>
  </numFmts>
  <fonts count="26" x14ac:knownFonts="1">
    <font>
      <sz val="11"/>
      <color theme="1"/>
      <name val="Aptos Narrow"/>
      <family val="2"/>
      <charset val="1"/>
    </font>
    <font>
      <i/>
      <sz val="10"/>
      <color rgb="FF595959"/>
      <name val="Arial"/>
      <charset val="1"/>
    </font>
    <font>
      <sz val="10"/>
      <name val="Arial"/>
      <charset val="1"/>
    </font>
    <font>
      <b/>
      <sz val="11"/>
      <color rgb="FF1F4E5F"/>
      <name val="Arial"/>
      <charset val="1"/>
    </font>
    <font>
      <b/>
      <sz val="10"/>
      <name val="Arial"/>
      <charset val="1"/>
    </font>
    <font>
      <b/>
      <sz val="13"/>
      <color rgb="FF1F4E5F"/>
      <name val="Arial"/>
      <charset val="1"/>
    </font>
    <font>
      <b/>
      <sz val="10"/>
      <color rgb="FFFFFFFF"/>
      <name val="Arial"/>
      <charset val="1"/>
    </font>
    <font>
      <b/>
      <sz val="11"/>
      <color rgb="FF0000FF"/>
      <name val="Arial"/>
      <charset val="1"/>
    </font>
    <font>
      <sz val="10"/>
      <name val="Arial"/>
      <family val="2"/>
    </font>
    <font>
      <sz val="9"/>
      <color theme="1"/>
      <name val="Aptos Narrow"/>
      <family val="2"/>
      <charset val="1"/>
    </font>
    <font>
      <sz val="10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sz val="11"/>
      <name val="Aptos Narrow"/>
      <family val="2"/>
      <charset val="1"/>
    </font>
    <font>
      <sz val="16"/>
      <name val="Aptos Narrow"/>
      <family val="2"/>
      <charset val="1"/>
    </font>
    <font>
      <sz val="10"/>
      <name val="Aptos Narrow"/>
      <family val="2"/>
      <charset val="1"/>
    </font>
    <font>
      <sz val="8"/>
      <name val="Aptos Narrow"/>
      <family val="2"/>
      <charset val="1"/>
    </font>
    <font>
      <sz val="9"/>
      <name val="Aptos Narrow"/>
      <family val="2"/>
      <charset val="1"/>
    </font>
    <font>
      <b/>
      <i/>
      <sz val="10"/>
      <name val="Aptos Narrow"/>
      <family val="2"/>
      <charset val="1"/>
    </font>
    <font>
      <b/>
      <i/>
      <sz val="11"/>
      <name val="Aptos Narrow"/>
      <family val="2"/>
      <charset val="1"/>
    </font>
    <font>
      <sz val="14"/>
      <name val="Aptos Narrow"/>
      <family val="2"/>
      <charset val="1"/>
    </font>
    <font>
      <b/>
      <sz val="9"/>
      <color theme="1"/>
      <name val="Aptos Narrow"/>
      <family val="2"/>
      <charset val="1"/>
    </font>
    <font>
      <sz val="11"/>
      <color theme="0"/>
      <name val="Aptos Narrow"/>
      <family val="2"/>
      <charset val="1"/>
    </font>
    <font>
      <sz val="11"/>
      <color rgb="FFFF0000"/>
      <name val="Aptos Narrow"/>
      <family val="2"/>
      <charset val="1"/>
    </font>
    <font>
      <sz val="11"/>
      <color rgb="FF00B0F0"/>
      <name val="Aptos Narrow"/>
      <family val="2"/>
      <charset val="1"/>
    </font>
    <font>
      <sz val="11"/>
      <color rgb="FFC00000"/>
      <name val="Aptos Narrow"/>
      <family val="2"/>
      <charset val="1"/>
    </font>
    <font>
      <b/>
      <sz val="10"/>
      <color rgb="FFFFFFFF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1F4E5F"/>
        <bgColor rgb="FF156082"/>
      </patternFill>
    </fill>
    <fill>
      <patternFill patternType="solid">
        <fgColor rgb="FFF2F2F2"/>
        <bgColor rgb="FFEAF1F4"/>
      </patternFill>
    </fill>
    <fill>
      <patternFill patternType="solid">
        <fgColor rgb="FFFFF2CC"/>
        <bgColor rgb="FFFBE3D6"/>
      </patternFill>
    </fill>
    <fill>
      <patternFill patternType="solid">
        <fgColor rgb="FF2E6E84"/>
        <bgColor rgb="FF156082"/>
      </patternFill>
    </fill>
    <fill>
      <patternFill patternType="solid">
        <fgColor rgb="FF3C7D2F"/>
        <bgColor rgb="FF3A7D22"/>
      </patternFill>
    </fill>
    <fill>
      <patternFill patternType="solid">
        <fgColor rgb="FF8A5A1E"/>
        <bgColor rgb="FF595959"/>
      </patternFill>
    </fill>
    <fill>
      <patternFill patternType="solid">
        <fgColor rgb="FF595959"/>
        <bgColor rgb="FF2E6E84"/>
      </patternFill>
    </fill>
    <fill>
      <patternFill patternType="solid">
        <fgColor rgb="FFEAF1F4"/>
        <bgColor rgb="FFF2F2F2"/>
      </patternFill>
    </fill>
    <fill>
      <patternFill patternType="solid">
        <fgColor rgb="FFFF5050"/>
        <bgColor rgb="FFDF5F1B"/>
      </patternFill>
    </fill>
    <fill>
      <patternFill patternType="solid">
        <fgColor rgb="FF66FF99"/>
        <bgColor rgb="FF84E291"/>
      </patternFill>
    </fill>
    <fill>
      <patternFill patternType="solid">
        <fgColor theme="0" tint="-0.249977111117893"/>
        <bgColor rgb="FFB3B3B3"/>
      </patternFill>
    </fill>
    <fill>
      <patternFill patternType="solid">
        <fgColor theme="3" tint="0.89989928891872917"/>
        <bgColor rgb="FFCCECFF"/>
      </patternFill>
    </fill>
    <fill>
      <patternFill patternType="solid">
        <fgColor rgb="FFCCECFF"/>
        <bgColor rgb="FFC1E5F5"/>
      </patternFill>
    </fill>
    <fill>
      <patternFill patternType="solid">
        <fgColor rgb="FFFFFF00"/>
        <bgColor rgb="FF99FF66"/>
      </patternFill>
    </fill>
    <fill>
      <patternFill patternType="solid">
        <fgColor rgb="FF99FF66"/>
        <bgColor rgb="FF84E291"/>
      </patternFill>
    </fill>
    <fill>
      <patternFill patternType="solid">
        <fgColor theme="0" tint="-0.14999847407452621"/>
        <bgColor rgb="FFDCEAF7"/>
      </patternFill>
    </fill>
    <fill>
      <patternFill patternType="solid">
        <fgColor rgb="FFFF99CC"/>
        <bgColor rgb="FFE59EDD"/>
      </patternFill>
    </fill>
    <fill>
      <patternFill patternType="solid">
        <fgColor theme="0"/>
        <bgColor rgb="FFF2F2F2"/>
      </patternFill>
    </fill>
    <fill>
      <patternFill patternType="solid">
        <fgColor rgb="FF00B050"/>
        <bgColor rgb="FF409E1E"/>
      </patternFill>
    </fill>
    <fill>
      <patternFill patternType="solid">
        <fgColor theme="6" tint="0.59978026673177287"/>
        <bgColor rgb="FF92D050"/>
      </patternFill>
    </fill>
    <fill>
      <patternFill patternType="solid">
        <fgColor rgb="FF00B0F0"/>
        <bgColor rgb="FF0F9ED5"/>
      </patternFill>
    </fill>
    <fill>
      <patternFill patternType="solid">
        <fgColor rgb="FF006666"/>
        <bgColor rgb="FF156082"/>
      </patternFill>
    </fill>
    <fill>
      <patternFill patternType="solid">
        <fgColor rgb="FFFF0000"/>
        <bgColor rgb="FFFF3300"/>
      </patternFill>
    </fill>
    <fill>
      <patternFill patternType="solid">
        <fgColor theme="4" tint="0.59978026673177287"/>
        <bgColor rgb="FF99CCFF"/>
      </patternFill>
    </fill>
    <fill>
      <patternFill patternType="solid">
        <fgColor theme="4" tint="0.79979857783745845"/>
        <bgColor rgb="FFCCECFF"/>
      </patternFill>
    </fill>
    <fill>
      <patternFill patternType="solid">
        <fgColor rgb="FFFF3300"/>
        <bgColor rgb="FFCC3300"/>
      </patternFill>
    </fill>
    <fill>
      <patternFill patternType="solid">
        <fgColor theme="8" tint="0.59978026673177287"/>
        <bgColor rgb="FFFF99CC"/>
      </patternFill>
    </fill>
    <fill>
      <patternFill patternType="solid">
        <fgColor rgb="FF660033"/>
        <bgColor rgb="FFA50021"/>
      </patternFill>
    </fill>
  </fills>
  <borders count="3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11">
    <xf numFmtId="0" fontId="0" fillId="0" borderId="0" xfId="0"/>
    <xf numFmtId="0" fontId="0" fillId="0" borderId="0" xfId="0" applyAlignment="1">
      <alignment horizontal="center"/>
    </xf>
    <xf numFmtId="0" fontId="12" fillId="0" borderId="34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6" fillId="8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1" fontId="2" fillId="0" borderId="1" xfId="0" applyNumberFormat="1" applyFont="1" applyBorder="1"/>
    <xf numFmtId="0" fontId="2" fillId="0" borderId="1" xfId="0" applyFont="1" applyBorder="1"/>
    <xf numFmtId="14" fontId="2" fillId="0" borderId="1" xfId="0" applyNumberFormat="1" applyFont="1" applyBorder="1"/>
    <xf numFmtId="164" fontId="2" fillId="0" borderId="1" xfId="0" applyNumberFormat="1" applyFont="1" applyBorder="1"/>
    <xf numFmtId="1" fontId="6" fillId="2" borderId="1" xfId="0" applyNumberFormat="1" applyFont="1" applyFill="1" applyBorder="1" applyAlignment="1">
      <alignment horizontal="center" vertical="center" wrapText="1"/>
    </xf>
    <xf numFmtId="164" fontId="4" fillId="0" borderId="1" xfId="0" applyNumberFormat="1" applyFont="1" applyBorder="1"/>
    <xf numFmtId="0" fontId="4" fillId="3" borderId="1" xfId="0" applyFont="1" applyFill="1" applyBorder="1"/>
    <xf numFmtId="0" fontId="0" fillId="3" borderId="1" xfId="0" applyFill="1" applyBorder="1"/>
    <xf numFmtId="164" fontId="4" fillId="3" borderId="1" xfId="0" applyNumberFormat="1" applyFont="1" applyFill="1" applyBorder="1"/>
    <xf numFmtId="0" fontId="0" fillId="0" borderId="1" xfId="0" applyBorder="1"/>
    <xf numFmtId="0" fontId="1" fillId="0" borderId="1" xfId="0" applyFont="1" applyBorder="1" applyAlignment="1">
      <alignment horizontal="right"/>
    </xf>
    <xf numFmtId="165" fontId="1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2" fillId="3" borderId="1" xfId="0" applyFont="1" applyFill="1" applyBorder="1"/>
    <xf numFmtId="1" fontId="7" fillId="4" borderId="1" xfId="0" applyNumberFormat="1" applyFont="1" applyFill="1" applyBorder="1" applyAlignment="1">
      <alignment horizontal="center"/>
    </xf>
    <xf numFmtId="166" fontId="2" fillId="0" borderId="1" xfId="0" applyNumberFormat="1" applyFont="1" applyBorder="1"/>
    <xf numFmtId="1" fontId="4" fillId="3" borderId="1" xfId="0" applyNumberFormat="1" applyFont="1" applyFill="1" applyBorder="1"/>
    <xf numFmtId="166" fontId="4" fillId="3" borderId="1" xfId="0" applyNumberFormat="1" applyFont="1" applyFill="1" applyBorder="1"/>
    <xf numFmtId="0" fontId="1" fillId="0" borderId="0" xfId="0" applyFont="1" applyAlignment="1">
      <alignment vertical="top" wrapText="1"/>
    </xf>
    <xf numFmtId="167" fontId="2" fillId="0" borderId="1" xfId="0" applyNumberFormat="1" applyFont="1" applyBorder="1"/>
    <xf numFmtId="167" fontId="4" fillId="3" borderId="1" xfId="0" applyNumberFormat="1" applyFont="1" applyFill="1" applyBorder="1"/>
    <xf numFmtId="14" fontId="2" fillId="0" borderId="0" xfId="0" applyNumberFormat="1" applyFont="1"/>
    <xf numFmtId="14" fontId="7" fillId="4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166" fontId="4" fillId="0" borderId="1" xfId="0" applyNumberFormat="1" applyFont="1" applyBorder="1"/>
    <xf numFmtId="167" fontId="4" fillId="0" borderId="1" xfId="0" applyNumberFormat="1" applyFont="1" applyBorder="1"/>
    <xf numFmtId="1" fontId="2" fillId="9" borderId="1" xfId="0" applyNumberFormat="1" applyFont="1" applyFill="1" applyBorder="1"/>
    <xf numFmtId="0" fontId="4" fillId="9" borderId="1" xfId="0" applyFont="1" applyFill="1" applyBorder="1"/>
    <xf numFmtId="166" fontId="2" fillId="9" borderId="1" xfId="0" applyNumberFormat="1" applyFont="1" applyFill="1" applyBorder="1"/>
    <xf numFmtId="167" fontId="2" fillId="9" borderId="1" xfId="0" applyNumberFormat="1" applyFont="1" applyFill="1" applyBorder="1"/>
    <xf numFmtId="166" fontId="4" fillId="9" borderId="1" xfId="0" applyNumberFormat="1" applyFont="1" applyFill="1" applyBorder="1"/>
    <xf numFmtId="167" fontId="4" fillId="9" borderId="1" xfId="0" applyNumberFormat="1" applyFont="1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9" fillId="10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11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12" borderId="0" xfId="0" applyFont="1" applyFill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1" fillId="13" borderId="0" xfId="0" applyFont="1" applyFill="1" applyAlignment="1">
      <alignment horizontal="center" vertical="center"/>
    </xf>
    <xf numFmtId="0" fontId="11" fillId="14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"/>
    </xf>
    <xf numFmtId="0" fontId="12" fillId="0" borderId="3" xfId="0" applyFont="1" applyBorder="1"/>
    <xf numFmtId="0" fontId="12" fillId="0" borderId="4" xfId="0" applyFont="1" applyBorder="1"/>
    <xf numFmtId="0" fontId="12" fillId="0" borderId="5" xfId="0" applyFont="1" applyBorder="1"/>
    <xf numFmtId="0" fontId="13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wrapText="1"/>
    </xf>
    <xf numFmtId="0" fontId="12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1" fontId="12" fillId="0" borderId="9" xfId="0" applyNumberFormat="1" applyFont="1" applyBorder="1" applyAlignment="1">
      <alignment horizontal="center"/>
    </xf>
    <xf numFmtId="1" fontId="12" fillId="18" borderId="9" xfId="0" applyNumberFormat="1" applyFont="1" applyFill="1" applyBorder="1" applyAlignment="1">
      <alignment horizontal="center"/>
    </xf>
    <xf numFmtId="1" fontId="12" fillId="14" borderId="9" xfId="0" applyNumberFormat="1" applyFont="1" applyFill="1" applyBorder="1" applyAlignment="1">
      <alignment horizontal="center"/>
    </xf>
    <xf numFmtId="1" fontId="18" fillId="0" borderId="9" xfId="0" applyNumberFormat="1" applyFont="1" applyBorder="1" applyAlignment="1">
      <alignment horizontal="center"/>
    </xf>
    <xf numFmtId="1" fontId="12" fillId="0" borderId="10" xfId="0" applyNumberFormat="1" applyFont="1" applyBorder="1" applyAlignment="1">
      <alignment horizontal="center"/>
    </xf>
    <xf numFmtId="1" fontId="12" fillId="0" borderId="0" xfId="0" applyNumberFormat="1" applyFont="1" applyAlignment="1">
      <alignment horizontal="center"/>
    </xf>
    <xf numFmtId="1" fontId="12" fillId="0" borderId="0" xfId="0" applyNumberFormat="1" applyFont="1"/>
    <xf numFmtId="0" fontId="12" fillId="0" borderId="11" xfId="0" applyFont="1" applyBorder="1" applyAlignment="1">
      <alignment horizontal="center" vertical="center"/>
    </xf>
    <xf numFmtId="1" fontId="12" fillId="0" borderId="11" xfId="0" applyNumberFormat="1" applyFont="1" applyBorder="1" applyAlignment="1">
      <alignment horizontal="center"/>
    </xf>
    <xf numFmtId="1" fontId="12" fillId="14" borderId="11" xfId="0" applyNumberFormat="1" applyFont="1" applyFill="1" applyBorder="1" applyAlignment="1">
      <alignment horizontal="center"/>
    </xf>
    <xf numFmtId="1" fontId="18" fillId="0" borderId="11" xfId="0" applyNumberFormat="1" applyFont="1" applyBorder="1" applyAlignment="1">
      <alignment horizontal="center"/>
    </xf>
    <xf numFmtId="1" fontId="12" fillId="0" borderId="12" xfId="0" applyNumberFormat="1" applyFont="1" applyBorder="1" applyAlignment="1">
      <alignment horizontal="center"/>
    </xf>
    <xf numFmtId="0" fontId="12" fillId="0" borderId="13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" fontId="12" fillId="18" borderId="11" xfId="0" applyNumberFormat="1" applyFont="1" applyFill="1" applyBorder="1" applyAlignment="1">
      <alignment horizontal="center"/>
    </xf>
    <xf numFmtId="0" fontId="12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" fontId="12" fillId="19" borderId="16" xfId="0" applyNumberFormat="1" applyFont="1" applyFill="1" applyBorder="1" applyAlignment="1">
      <alignment horizontal="center"/>
    </xf>
    <xf numFmtId="1" fontId="12" fillId="0" borderId="18" xfId="0" applyNumberFormat="1" applyFont="1" applyBorder="1" applyAlignment="1">
      <alignment horizontal="center"/>
    </xf>
    <xf numFmtId="0" fontId="12" fillId="0" borderId="18" xfId="0" applyFont="1" applyBorder="1"/>
    <xf numFmtId="0" fontId="12" fillId="0" borderId="19" xfId="0" applyFont="1" applyBorder="1"/>
    <xf numFmtId="0" fontId="12" fillId="0" borderId="2" xfId="0" applyFont="1" applyBorder="1"/>
    <xf numFmtId="1" fontId="19" fillId="0" borderId="3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" fontId="12" fillId="0" borderId="22" xfId="0" applyNumberFormat="1" applyFont="1" applyBorder="1" applyAlignment="1">
      <alignment horizontal="center"/>
    </xf>
    <xf numFmtId="1" fontId="12" fillId="18" borderId="24" xfId="0" applyNumberFormat="1" applyFont="1" applyFill="1" applyBorder="1" applyAlignment="1">
      <alignment horizontal="center"/>
    </xf>
    <xf numFmtId="1" fontId="12" fillId="0" borderId="25" xfId="0" applyNumberFormat="1" applyFont="1" applyBorder="1" applyAlignment="1">
      <alignment horizontal="center"/>
    </xf>
    <xf numFmtId="1" fontId="18" fillId="0" borderId="26" xfId="0" applyNumberFormat="1" applyFont="1" applyBorder="1" applyAlignment="1">
      <alignment horizontal="center"/>
    </xf>
    <xf numFmtId="1" fontId="12" fillId="0" borderId="27" xfId="0" applyNumberFormat="1" applyFont="1" applyBorder="1" applyAlignment="1">
      <alignment horizontal="center"/>
    </xf>
    <xf numFmtId="1" fontId="12" fillId="15" borderId="0" xfId="0" applyNumberFormat="1" applyFont="1" applyFill="1" applyAlignment="1">
      <alignment horizontal="center"/>
    </xf>
    <xf numFmtId="0" fontId="12" fillId="0" borderId="14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1" fontId="12" fillId="0" borderId="29" xfId="0" applyNumberFormat="1" applyFont="1" applyBorder="1" applyAlignment="1">
      <alignment horizontal="center"/>
    </xf>
    <xf numFmtId="1" fontId="12" fillId="0" borderId="30" xfId="0" applyNumberFormat="1" applyFont="1" applyBorder="1" applyAlignment="1">
      <alignment horizontal="center"/>
    </xf>
    <xf numFmtId="1" fontId="12" fillId="0" borderId="14" xfId="0" applyNumberFormat="1" applyFont="1" applyBorder="1" applyAlignment="1">
      <alignment horizontal="center"/>
    </xf>
    <xf numFmtId="1" fontId="18" fillId="0" borderId="14" xfId="0" applyNumberFormat="1" applyFont="1" applyBorder="1" applyAlignment="1">
      <alignment horizontal="center"/>
    </xf>
    <xf numFmtId="1" fontId="12" fillId="0" borderId="31" xfId="0" applyNumberFormat="1" applyFont="1" applyBorder="1" applyAlignment="1">
      <alignment horizontal="center"/>
    </xf>
    <xf numFmtId="0" fontId="12" fillId="0" borderId="33" xfId="0" applyFont="1" applyBorder="1"/>
    <xf numFmtId="1" fontId="19" fillId="0" borderId="6" xfId="0" applyNumberFormat="1" applyFont="1" applyBorder="1" applyAlignment="1">
      <alignment horizontal="center" vertical="center"/>
    </xf>
    <xf numFmtId="0" fontId="12" fillId="0" borderId="6" xfId="0" applyFont="1" applyBorder="1"/>
    <xf numFmtId="0" fontId="0" fillId="0" borderId="0" xfId="0" applyAlignment="1">
      <alignment horizontal="center"/>
    </xf>
    <xf numFmtId="0" fontId="0" fillId="20" borderId="0" xfId="0" applyFill="1" applyAlignment="1">
      <alignment horizontal="center" vertical="center"/>
    </xf>
    <xf numFmtId="0" fontId="11" fillId="21" borderId="0" xfId="0" applyFont="1" applyFill="1" applyAlignment="1">
      <alignment horizontal="center" vertical="center"/>
    </xf>
    <xf numFmtId="0" fontId="11" fillId="22" borderId="0" xfId="0" applyFont="1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1" fontId="12" fillId="16" borderId="0" xfId="0" applyNumberFormat="1" applyFont="1" applyFill="1" applyAlignment="1">
      <alignment horizontal="center"/>
    </xf>
    <xf numFmtId="0" fontId="20" fillId="0" borderId="0" xfId="0" applyFont="1" applyAlignment="1">
      <alignment horizontal="center" vertical="center"/>
    </xf>
    <xf numFmtId="0" fontId="0" fillId="17" borderId="0" xfId="0" applyFill="1" applyAlignment="1">
      <alignment horizontal="center" vertical="center" wrapText="1"/>
    </xf>
    <xf numFmtId="0" fontId="11" fillId="17" borderId="0" xfId="0" applyFont="1" applyFill="1" applyAlignment="1">
      <alignment horizontal="center" vertical="center"/>
    </xf>
    <xf numFmtId="0" fontId="11" fillId="23" borderId="0" xfId="0" applyFont="1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11" fillId="15" borderId="0" xfId="0" applyFont="1" applyFill="1" applyAlignment="1">
      <alignment horizontal="center" vertical="center"/>
    </xf>
    <xf numFmtId="1" fontId="12" fillId="20" borderId="0" xfId="0" applyNumberFormat="1" applyFont="1" applyFill="1" applyAlignment="1">
      <alignment horizontal="center"/>
    </xf>
    <xf numFmtId="0" fontId="0" fillId="24" borderId="0" xfId="0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11" fillId="26" borderId="0" xfId="0" applyFont="1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15" borderId="0" xfId="0" applyFill="1" applyAlignment="1">
      <alignment vertical="center"/>
    </xf>
    <xf numFmtId="0" fontId="11" fillId="19" borderId="0" xfId="0" applyFont="1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1" fontId="21" fillId="24" borderId="0" xfId="0" applyNumberFormat="1" applyFont="1" applyFill="1" applyAlignment="1">
      <alignment horizontal="center"/>
    </xf>
    <xf numFmtId="1" fontId="12" fillId="19" borderId="0" xfId="0" applyNumberFormat="1" applyFont="1" applyFill="1" applyAlignment="1">
      <alignment horizontal="center"/>
    </xf>
    <xf numFmtId="1" fontId="22" fillId="0" borderId="0" xfId="0" applyNumberFormat="1" applyFont="1" applyAlignment="1">
      <alignment horizontal="center"/>
    </xf>
    <xf numFmtId="1" fontId="21" fillId="27" borderId="0" xfId="0" applyNumberFormat="1" applyFont="1" applyFill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1" fillId="12" borderId="9" xfId="0" applyFont="1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11" fillId="28" borderId="0" xfId="0" applyFont="1" applyFill="1" applyAlignment="1">
      <alignment horizontal="center" vertical="center"/>
    </xf>
    <xf numFmtId="0" fontId="0" fillId="0" borderId="0" xfId="0" applyAlignment="1">
      <alignment horizontal="center" wrapText="1"/>
    </xf>
    <xf numFmtId="0" fontId="9" fillId="0" borderId="0" xfId="0" applyFont="1" applyAlignment="1">
      <alignment horizontal="left" vertical="center"/>
    </xf>
    <xf numFmtId="167" fontId="12" fillId="0" borderId="0" xfId="0" applyNumberFormat="1" applyFont="1" applyAlignment="1">
      <alignment horizontal="center" vertical="center"/>
    </xf>
    <xf numFmtId="167" fontId="0" fillId="0" borderId="0" xfId="0" applyNumberFormat="1" applyAlignment="1">
      <alignment horizontal="center"/>
    </xf>
    <xf numFmtId="167" fontId="12" fillId="15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left" vertical="center"/>
    </xf>
    <xf numFmtId="167" fontId="12" fillId="0" borderId="0" xfId="0" applyNumberFormat="1" applyFont="1" applyAlignment="1">
      <alignment horizontal="center"/>
    </xf>
    <xf numFmtId="0" fontId="23" fillId="0" borderId="0" xfId="0" applyFont="1" applyAlignment="1">
      <alignment horizontal="center" vertical="center"/>
    </xf>
    <xf numFmtId="0" fontId="11" fillId="29" borderId="0" xfId="0" applyFont="1" applyFill="1" applyAlignment="1">
      <alignment horizontal="center" vertical="center"/>
    </xf>
    <xf numFmtId="0" fontId="0" fillId="29" borderId="0" xfId="0" applyFill="1" applyAlignment="1">
      <alignment horizontal="center" vertical="center"/>
    </xf>
    <xf numFmtId="1" fontId="0" fillId="15" borderId="0" xfId="0" applyNumberFormat="1" applyFill="1" applyAlignment="1">
      <alignment horizontal="center"/>
    </xf>
    <xf numFmtId="1" fontId="0" fillId="0" borderId="0" xfId="0" applyNumberFormat="1" applyAlignment="1">
      <alignment horizontal="center"/>
    </xf>
    <xf numFmtId="1" fontId="12" fillId="18" borderId="10" xfId="0" applyNumberFormat="1" applyFont="1" applyFill="1" applyBorder="1" applyAlignment="1">
      <alignment horizontal="center"/>
    </xf>
    <xf numFmtId="1" fontId="12" fillId="18" borderId="12" xfId="0" applyNumberFormat="1" applyFont="1" applyFill="1" applyBorder="1" applyAlignment="1">
      <alignment horizontal="center"/>
    </xf>
    <xf numFmtId="1" fontId="12" fillId="0" borderId="35" xfId="0" applyNumberFormat="1" applyFont="1" applyBorder="1" applyAlignment="1">
      <alignment horizontal="center"/>
    </xf>
    <xf numFmtId="0" fontId="12" fillId="0" borderId="14" xfId="0" applyFont="1" applyBorder="1"/>
    <xf numFmtId="1" fontId="21" fillId="0" borderId="0" xfId="0" applyNumberFormat="1" applyFont="1" applyAlignment="1">
      <alignment horizontal="center"/>
    </xf>
    <xf numFmtId="0" fontId="12" fillId="15" borderId="0" xfId="0" applyFont="1" applyFill="1" applyAlignment="1">
      <alignment horizontal="center" vertical="center"/>
    </xf>
    <xf numFmtId="0" fontId="24" fillId="0" borderId="0" xfId="0" applyFont="1"/>
    <xf numFmtId="0" fontId="25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28"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FFFF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B050"/>
      <rgbColor rgb="FF0000FF"/>
      <rgbColor rgb="FFFFFF00"/>
      <rgbColor rgb="FFFFC7CE"/>
      <rgbColor rgb="FF66FF99"/>
      <rgbColor rgb="FFA50021"/>
      <rgbColor rgb="FF196B24"/>
      <rgbColor rgb="FF84E291"/>
      <rgbColor rgb="FF8A5A1E"/>
      <rgbColor rgb="FF68B056"/>
      <rgbColor rgb="FF006666"/>
      <rgbColor rgb="FFBFBFBF"/>
      <rgbColor rgb="FF7A7A7A"/>
      <rgbColor rgb="FF83CBEB"/>
      <rgbColor rgb="FF7030A0"/>
      <rgbColor rgb="FFFFF2CC"/>
      <rgbColor rgb="FFCCECFF"/>
      <rgbColor rgb="FF660033"/>
      <rgbColor rgb="FFED825A"/>
      <rgbColor rgb="FF0091CA"/>
      <rgbColor rgb="FFD9D9D9"/>
      <rgbColor rgb="FFF2F2F2"/>
      <rgbColor rgb="FFC1E5F5"/>
      <rgbColor rgb="FF99FF66"/>
      <rgbColor rgb="FF0F9ED5"/>
      <rgbColor rgb="FF6AD645"/>
      <rgbColor rgb="FFFF3300"/>
      <rgbColor rgb="FF156082"/>
      <rgbColor rgb="FFEAF1F4"/>
      <rgbColor rgb="FF00B0F0"/>
      <rgbColor rgb="FFDCEAF7"/>
      <rgbColor rgb="FFC6EFCE"/>
      <rgbColor rgb="FFFBE3D6"/>
      <rgbColor rgb="FF99CCFF"/>
      <rgbColor rgb="FFFF99CC"/>
      <rgbColor rgb="FFE59EDD"/>
      <rgbColor rgb="FFF7C8B5"/>
      <rgbColor rgb="FF2E6E84"/>
      <rgbColor rgb="FF2CBAF0"/>
      <rgbColor rgb="FF92D050"/>
      <rgbColor rgb="FFEE9D73"/>
      <rgbColor rgb="FFE97132"/>
      <rgbColor rgb="FFDF5F1B"/>
      <rgbColor rgb="FF595959"/>
      <rgbColor rgb="FFB3B3B3"/>
      <rgbColor rgb="FF1F4E5F"/>
      <rgbColor rgb="FF409E1E"/>
      <rgbColor rgb="FF022526"/>
      <rgbColor rgb="FF3A7D22"/>
      <rgbColor rgb="FFCC3300"/>
      <rgbColor rgb="FFFF5050"/>
      <rgbColor rgb="FF4EA9DA"/>
      <rgbColor rgb="FF3C7D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600" b="1" strike="noStrike" spc="89">
                <a:solidFill>
                  <a:srgbClr val="F2F2F2"/>
                </a:solidFill>
                <a:latin typeface="Aptos Narrow"/>
              </a:defRPr>
            </a:pPr>
            <a:r>
              <a:rPr lang="en-US" sz="1600" b="1" strike="noStrike" spc="89">
                <a:solidFill>
                  <a:srgbClr val="F2F2F2"/>
                </a:solidFill>
                <a:latin typeface="Aptos Narrow"/>
              </a:rPr>
              <a:t>Current 2 Week WO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4681533304183099E-2"/>
          <c:y val="0.20345035987033699"/>
          <c:w val="0.89083224019822205"/>
          <c:h val="0.5752980605461239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Sheet4!$F$2</c:f>
              <c:strCache>
                <c:ptCount val="1"/>
                <c:pt idx="0">
                  <c:v>Nahunta Achieved</c:v>
                </c:pt>
              </c:strCache>
            </c:strRef>
          </c:tx>
          <c:spPr>
            <a:gradFill>
              <a:gsLst>
                <a:gs pos="0">
                  <a:srgbClr val="68B056"/>
                </a:gs>
                <a:gs pos="50000">
                  <a:srgbClr val="4AAC28"/>
                </a:gs>
                <a:gs pos="100000">
                  <a:srgbClr val="409E1E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6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B2FC-446A-9636-BC8B45E3AD5E}"/>
              </c:ext>
            </c:extLst>
          </c:dPt>
          <c:dPt>
            <c:idx val="10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B2FC-446A-9636-BC8B45E3AD5E}"/>
              </c:ext>
            </c:extLst>
          </c:dPt>
          <c:dPt>
            <c:idx val="12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B2FC-446A-9636-BC8B45E3AD5E}"/>
              </c:ext>
            </c:extLst>
          </c:dPt>
          <c:dPt>
            <c:idx val="15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B2FC-446A-9636-BC8B45E3AD5E}"/>
              </c:ext>
            </c:extLst>
          </c:dPt>
          <c:dLbls>
            <c:dLbl>
              <c:idx val="6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B2FC-446A-9636-BC8B45E3AD5E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B2FC-446A-9636-BC8B45E3AD5E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B2FC-446A-9636-BC8B45E3AD5E}"/>
                </c:ext>
              </c:extLst>
            </c:dLbl>
            <c:dLbl>
              <c:idx val="15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B2FC-446A-9636-BC8B45E3AD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Sheet4!$C$6:$C$26</c:f>
              <c:strCache>
                <c:ptCount val="21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Jejunum</c:v>
                </c:pt>
                <c:pt idx="7">
                  <c:v>Kidney</c:v>
                </c:pt>
                <c:pt idx="8">
                  <c:v>Liver w/GB</c:v>
                </c:pt>
                <c:pt idx="9">
                  <c:v>Omentum</c:v>
                </c:pt>
                <c:pt idx="10">
                  <c:v>Pancreas</c:v>
                </c:pt>
                <c:pt idx="11">
                  <c:v>Pelvic Block SM Intact</c:v>
                </c:pt>
                <c:pt idx="12">
                  <c:v>Spleen</c:v>
                </c:pt>
                <c:pt idx="13">
                  <c:v>Hearts</c:v>
                </c:pt>
                <c:pt idx="14">
                  <c:v>Ureters</c:v>
                </c:pt>
                <c:pt idx="15">
                  <c:v>Vena Cava</c:v>
                </c:pt>
                <c:pt idx="16">
                  <c:v>Stomach</c:v>
                </c:pt>
                <c:pt idx="17">
                  <c:v>Diaphragms</c:v>
                </c:pt>
                <c:pt idx="18">
                  <c:v>Male Pelvic</c:v>
                </c:pt>
                <c:pt idx="19">
                  <c:v>Female Pelvic</c:v>
                </c:pt>
                <c:pt idx="20">
                  <c:v>XL Hearts</c:v>
                </c:pt>
              </c:strCache>
            </c:strRef>
          </c:cat>
          <c:val>
            <c:numRef>
              <c:f>Sheet4!$F$6:$F$26</c:f>
              <c:numCache>
                <c:formatCode>General</c:formatCode>
                <c:ptCount val="21"/>
                <c:pt idx="0">
                  <c:v>33</c:v>
                </c:pt>
                <c:pt idx="1">
                  <c:v>0</c:v>
                </c:pt>
                <c:pt idx="2">
                  <c:v>20</c:v>
                </c:pt>
                <c:pt idx="3">
                  <c:v>0</c:v>
                </c:pt>
                <c:pt idx="4">
                  <c:v>60</c:v>
                </c:pt>
                <c:pt idx="5">
                  <c:v>106</c:v>
                </c:pt>
                <c:pt idx="6">
                  <c:v>0</c:v>
                </c:pt>
                <c:pt idx="7">
                  <c:v>6</c:v>
                </c:pt>
                <c:pt idx="8">
                  <c:v>20</c:v>
                </c:pt>
                <c:pt idx="9">
                  <c:v>32</c:v>
                </c:pt>
                <c:pt idx="10">
                  <c:v>41</c:v>
                </c:pt>
                <c:pt idx="11">
                  <c:v>0</c:v>
                </c:pt>
                <c:pt idx="12">
                  <c:v>32</c:v>
                </c:pt>
                <c:pt idx="13">
                  <c:v>0</c:v>
                </c:pt>
                <c:pt idx="14">
                  <c:v>130</c:v>
                </c:pt>
                <c:pt idx="15">
                  <c:v>0</c:v>
                </c:pt>
                <c:pt idx="16">
                  <c:v>4</c:v>
                </c:pt>
                <c:pt idx="17">
                  <c:v>17</c:v>
                </c:pt>
                <c:pt idx="18">
                  <c:v>0</c:v>
                </c:pt>
                <c:pt idx="19">
                  <c:v>0</c:v>
                </c:pt>
                <c:pt idx="2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2FC-446A-9636-BC8B45E3AD5E}"/>
            </c:ext>
          </c:extLst>
        </c:ser>
        <c:ser>
          <c:idx val="1"/>
          <c:order val="1"/>
          <c:tx>
            <c:strRef>
              <c:f>Sheet4!$H$2</c:f>
              <c:strCache>
                <c:ptCount val="1"/>
                <c:pt idx="0">
                  <c:v>Martin Achieved</c:v>
                </c:pt>
              </c:strCache>
            </c:strRef>
          </c:tx>
          <c:spPr>
            <a:gradFill>
              <a:gsLst>
                <a:gs pos="0">
                  <a:srgbClr val="4EA9DA"/>
                </a:gs>
                <a:gs pos="50000">
                  <a:srgbClr val="05A1DE"/>
                </a:gs>
                <a:gs pos="100000">
                  <a:srgbClr val="0091CA"/>
                </a:gs>
              </a:gsLst>
              <a:lin ang="54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FFFFFF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Sheet4!$C$6:$C$26</c:f>
              <c:strCache>
                <c:ptCount val="21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Jejunum</c:v>
                </c:pt>
                <c:pt idx="7">
                  <c:v>Kidney</c:v>
                </c:pt>
                <c:pt idx="8">
                  <c:v>Liver w/GB</c:v>
                </c:pt>
                <c:pt idx="9">
                  <c:v>Omentum</c:v>
                </c:pt>
                <c:pt idx="10">
                  <c:v>Pancreas</c:v>
                </c:pt>
                <c:pt idx="11">
                  <c:v>Pelvic Block SM Intact</c:v>
                </c:pt>
                <c:pt idx="12">
                  <c:v>Spleen</c:v>
                </c:pt>
                <c:pt idx="13">
                  <c:v>Hearts</c:v>
                </c:pt>
                <c:pt idx="14">
                  <c:v>Ureters</c:v>
                </c:pt>
                <c:pt idx="15">
                  <c:v>Vena Cava</c:v>
                </c:pt>
                <c:pt idx="16">
                  <c:v>Stomach</c:v>
                </c:pt>
                <c:pt idx="17">
                  <c:v>Diaphragms</c:v>
                </c:pt>
                <c:pt idx="18">
                  <c:v>Male Pelvic</c:v>
                </c:pt>
                <c:pt idx="19">
                  <c:v>Female Pelvic</c:v>
                </c:pt>
                <c:pt idx="20">
                  <c:v>XL Hearts</c:v>
                </c:pt>
              </c:strCache>
            </c:strRef>
          </c:cat>
          <c:val>
            <c:numRef>
              <c:f>Sheet4!$H$6:$H$26</c:f>
              <c:numCache>
                <c:formatCode>General</c:formatCode>
                <c:ptCount val="21"/>
                <c:pt idx="0">
                  <c:v>300</c:v>
                </c:pt>
                <c:pt idx="1">
                  <c:v>150</c:v>
                </c:pt>
                <c:pt idx="2">
                  <c:v>0</c:v>
                </c:pt>
                <c:pt idx="3">
                  <c:v>200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190</c:v>
                </c:pt>
                <c:pt idx="15">
                  <c:v>112</c:v>
                </c:pt>
                <c:pt idx="16">
                  <c:v>0</c:v>
                </c:pt>
                <c:pt idx="17">
                  <c:v>0</c:v>
                </c:pt>
                <c:pt idx="18">
                  <c:v>87</c:v>
                </c:pt>
                <c:pt idx="19">
                  <c:v>240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2FC-446A-9636-BC8B45E3AD5E}"/>
            </c:ext>
          </c:extLst>
        </c:ser>
        <c:ser>
          <c:idx val="2"/>
          <c:order val="2"/>
          <c:tx>
            <c:strRef>
              <c:f>Sheet4!$J$2</c:f>
              <c:strCache>
                <c:ptCount val="1"/>
                <c:pt idx="0">
                  <c:v>Custom Achieved</c:v>
                </c:pt>
              </c:strCache>
            </c:strRef>
          </c:tx>
          <c:spPr>
            <a:gradFill>
              <a:gsLst>
                <a:gs pos="0">
                  <a:srgbClr val="F7C8B5"/>
                </a:gs>
                <a:gs pos="50000">
                  <a:srgbClr val="F7AE88"/>
                </a:gs>
                <a:gs pos="100000">
                  <a:srgbClr val="EE9D73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6"/>
            <c:invertIfNegative val="0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B2FC-446A-9636-BC8B45E3AD5E}"/>
              </c:ext>
            </c:extLst>
          </c:dPt>
          <c:dPt>
            <c:idx val="8"/>
            <c:invertIfNegative val="0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B2FC-446A-9636-BC8B45E3AD5E}"/>
              </c:ext>
            </c:extLst>
          </c:dPt>
          <c:dPt>
            <c:idx val="12"/>
            <c:invertIfNegative val="0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B2FC-446A-9636-BC8B45E3AD5E}"/>
              </c:ext>
            </c:extLst>
          </c:dPt>
          <c:dLbls>
            <c:dLbl>
              <c:idx val="6"/>
              <c:spPr>
                <a:ln w="6480">
                  <a:solidFill>
                    <a:srgbClr val="000000"/>
                  </a:solidFill>
                </a:ln>
              </c:spPr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3A7D22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B2FC-446A-9636-BC8B45E3AD5E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3A7D22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B2FC-446A-9636-BC8B45E3AD5E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3A7D22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B2FC-446A-9636-BC8B45E3AD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3A7D22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Sheet4!$C$6:$C$26</c:f>
              <c:strCache>
                <c:ptCount val="21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Jejunum</c:v>
                </c:pt>
                <c:pt idx="7">
                  <c:v>Kidney</c:v>
                </c:pt>
                <c:pt idx="8">
                  <c:v>Liver w/GB</c:v>
                </c:pt>
                <c:pt idx="9">
                  <c:v>Omentum</c:v>
                </c:pt>
                <c:pt idx="10">
                  <c:v>Pancreas</c:v>
                </c:pt>
                <c:pt idx="11">
                  <c:v>Pelvic Block SM Intact</c:v>
                </c:pt>
                <c:pt idx="12">
                  <c:v>Spleen</c:v>
                </c:pt>
                <c:pt idx="13">
                  <c:v>Hearts</c:v>
                </c:pt>
                <c:pt idx="14">
                  <c:v>Ureters</c:v>
                </c:pt>
                <c:pt idx="15">
                  <c:v>Vena Cava</c:v>
                </c:pt>
                <c:pt idx="16">
                  <c:v>Stomach</c:v>
                </c:pt>
                <c:pt idx="17">
                  <c:v>Diaphragms</c:v>
                </c:pt>
                <c:pt idx="18">
                  <c:v>Male Pelvic</c:v>
                </c:pt>
                <c:pt idx="19">
                  <c:v>Female Pelvic</c:v>
                </c:pt>
                <c:pt idx="20">
                  <c:v>XL Hearts</c:v>
                </c:pt>
              </c:strCache>
            </c:strRef>
          </c:cat>
          <c:val>
            <c:numRef>
              <c:f>Sheet4!$J$6:$J$25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2FC-446A-9636-BC8B45E3A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5736339"/>
        <c:axId val="60135120"/>
      </c:barChart>
      <c:lineChart>
        <c:grouping val="stacked"/>
        <c:varyColors val="0"/>
        <c:ser>
          <c:idx val="3"/>
          <c:order val="3"/>
          <c:tx>
            <c:strRef>
              <c:f>Sheet4!$K$2</c:f>
              <c:strCache>
                <c:ptCount val="1"/>
                <c:pt idx="0">
                  <c:v>Total Goal</c:v>
                </c:pt>
              </c:strCache>
            </c:strRef>
          </c:tx>
          <c:spPr>
            <a:ln w="34920" cap="rnd">
              <a:solidFill>
                <a:srgbClr val="2CBAF0"/>
              </a:solidFill>
              <a:round/>
            </a:ln>
          </c:spPr>
          <c:marker>
            <c:symbol val="circle"/>
            <c:size val="6"/>
            <c:spPr>
              <a:solidFill>
                <a:srgbClr val="2CBAF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Sheet4!$C$6:$C$26</c:f>
              <c:strCache>
                <c:ptCount val="21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Jejunum</c:v>
                </c:pt>
                <c:pt idx="7">
                  <c:v>Kidney</c:v>
                </c:pt>
                <c:pt idx="8">
                  <c:v>Liver w/GB</c:v>
                </c:pt>
                <c:pt idx="9">
                  <c:v>Omentum</c:v>
                </c:pt>
                <c:pt idx="10">
                  <c:v>Pancreas</c:v>
                </c:pt>
                <c:pt idx="11">
                  <c:v>Pelvic Block SM Intact</c:v>
                </c:pt>
                <c:pt idx="12">
                  <c:v>Spleen</c:v>
                </c:pt>
                <c:pt idx="13">
                  <c:v>Hearts</c:v>
                </c:pt>
                <c:pt idx="14">
                  <c:v>Ureters</c:v>
                </c:pt>
                <c:pt idx="15">
                  <c:v>Vena Cava</c:v>
                </c:pt>
                <c:pt idx="16">
                  <c:v>Stomach</c:v>
                </c:pt>
                <c:pt idx="17">
                  <c:v>Diaphragms</c:v>
                </c:pt>
                <c:pt idx="18">
                  <c:v>Male Pelvic</c:v>
                </c:pt>
                <c:pt idx="19">
                  <c:v>Female Pelvic</c:v>
                </c:pt>
                <c:pt idx="20">
                  <c:v>XL Hearts</c:v>
                </c:pt>
              </c:strCache>
            </c:strRef>
          </c:cat>
          <c:val>
            <c:numRef>
              <c:f>Sheet4!$K$6:$K$26</c:f>
              <c:numCache>
                <c:formatCode>General</c:formatCode>
                <c:ptCount val="21"/>
                <c:pt idx="0">
                  <c:v>363</c:v>
                </c:pt>
                <c:pt idx="1">
                  <c:v>190</c:v>
                </c:pt>
                <c:pt idx="2">
                  <c:v>62</c:v>
                </c:pt>
                <c:pt idx="3">
                  <c:v>200</c:v>
                </c:pt>
                <c:pt idx="4">
                  <c:v>60</c:v>
                </c:pt>
                <c:pt idx="5">
                  <c:v>160</c:v>
                </c:pt>
                <c:pt idx="6">
                  <c:v>0</c:v>
                </c:pt>
                <c:pt idx="7">
                  <c:v>6</c:v>
                </c:pt>
                <c:pt idx="8">
                  <c:v>66</c:v>
                </c:pt>
                <c:pt idx="9">
                  <c:v>64</c:v>
                </c:pt>
                <c:pt idx="10">
                  <c:v>60</c:v>
                </c:pt>
                <c:pt idx="11">
                  <c:v>0</c:v>
                </c:pt>
                <c:pt idx="12">
                  <c:v>64</c:v>
                </c:pt>
                <c:pt idx="13">
                  <c:v>0</c:v>
                </c:pt>
                <c:pt idx="14">
                  <c:v>400</c:v>
                </c:pt>
                <c:pt idx="15">
                  <c:v>140</c:v>
                </c:pt>
                <c:pt idx="16">
                  <c:v>16</c:v>
                </c:pt>
                <c:pt idx="17">
                  <c:v>24</c:v>
                </c:pt>
                <c:pt idx="18">
                  <c:v>240</c:v>
                </c:pt>
                <c:pt idx="19">
                  <c:v>240</c:v>
                </c:pt>
                <c:pt idx="20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2FC-446A-9636-BC8B45E3A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5736339"/>
        <c:axId val="60135120"/>
      </c:lineChart>
      <c:catAx>
        <c:axId val="8573633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F2F2F2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60135120"/>
        <c:crosses val="autoZero"/>
        <c:auto val="1"/>
        <c:lblAlgn val="ctr"/>
        <c:lblOffset val="100"/>
        <c:noMultiLvlLbl val="0"/>
      </c:catAx>
      <c:valAx>
        <c:axId val="60135120"/>
        <c:scaling>
          <c:orientation val="minMax"/>
          <c:max val="1500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85736339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9D9D9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7030A0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600" b="1" strike="noStrike" spc="89">
                <a:solidFill>
                  <a:srgbClr val="F2F2F2"/>
                </a:solidFill>
                <a:latin typeface="Aptos Narrow"/>
              </a:defRPr>
            </a:pPr>
            <a:r>
              <a:rPr lang="en-US" sz="1600" b="1" strike="noStrike" spc="89">
                <a:solidFill>
                  <a:srgbClr val="F2F2F2"/>
                </a:solidFill>
                <a:latin typeface="Aptos Narrow"/>
              </a:rPr>
              <a:t>Current 2 Week WO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4684001865671599E-2"/>
          <c:y val="0.20346931856707001"/>
          <c:w val="0.890829057835821"/>
          <c:h val="0.5752627415527179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Sheet8!$F$2</c:f>
              <c:strCache>
                <c:ptCount val="1"/>
                <c:pt idx="0">
                  <c:v>Nahunta Achieved</c:v>
                </c:pt>
              </c:strCache>
            </c:strRef>
          </c:tx>
          <c:spPr>
            <a:gradFill>
              <a:gsLst>
                <a:gs pos="0">
                  <a:srgbClr val="68B056"/>
                </a:gs>
                <a:gs pos="50000">
                  <a:srgbClr val="4AAC28"/>
                </a:gs>
                <a:gs pos="100000">
                  <a:srgbClr val="409E1E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7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F18C-4E27-B8A3-F97735A7059D}"/>
              </c:ext>
            </c:extLst>
          </c:dPt>
          <c:dPt>
            <c:idx val="8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F18C-4E27-B8A3-F97735A7059D}"/>
              </c:ext>
            </c:extLst>
          </c:dPt>
          <c:dPt>
            <c:idx val="10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F18C-4E27-B8A3-F97735A7059D}"/>
              </c:ext>
            </c:extLst>
          </c:dPt>
          <c:dLbls>
            <c:dLbl>
              <c:idx val="7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F18C-4E27-B8A3-F97735A7059D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F18C-4E27-B8A3-F97735A7059D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F18C-4E27-B8A3-F97735A705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(Sheet8!$C$7:$C$11,Sheet8!$C$13,Sheet8!$C$15:$C$16,Sheet8!$C$18,Sheet8!$C$20:$C$26)</c:f>
              <c:strCache>
                <c:ptCount val="16"/>
                <c:pt idx="0">
                  <c:v>Bariatric</c:v>
                </c:pt>
                <c:pt idx="1">
                  <c:v>Liver</c:v>
                </c:pt>
                <c:pt idx="2">
                  <c:v>Pelvic Block Non-Intact</c:v>
                </c:pt>
                <c:pt idx="3">
                  <c:v>Full Body</c:v>
                </c:pt>
                <c:pt idx="4">
                  <c:v>Jejunum 6'</c:v>
                </c:pt>
                <c:pt idx="5">
                  <c:v>Kidney</c:v>
                </c:pt>
                <c:pt idx="6">
                  <c:v>Omentum</c:v>
                </c:pt>
                <c:pt idx="7">
                  <c:v>Pancreas</c:v>
                </c:pt>
                <c:pt idx="8">
                  <c:v>Spleen</c:v>
                </c:pt>
                <c:pt idx="9">
                  <c:v>Ureters</c:v>
                </c:pt>
                <c:pt idx="10">
                  <c:v>Vena Cava</c:v>
                </c:pt>
                <c:pt idx="11">
                  <c:v>Stomach</c:v>
                </c:pt>
                <c:pt idx="12">
                  <c:v>Diaphragms</c:v>
                </c:pt>
                <c:pt idx="13">
                  <c:v>Male Pelvic</c:v>
                </c:pt>
                <c:pt idx="14">
                  <c:v>Female Pelvic</c:v>
                </c:pt>
                <c:pt idx="15">
                  <c:v>XL Hearts</c:v>
                </c:pt>
              </c:strCache>
            </c:strRef>
          </c:cat>
          <c:val>
            <c:numRef>
              <c:f>(Sheet8!$F$7:$F$11,Sheet8!$F$13,Sheet8!$F$15:$F$16,Sheet8!$F$18,Sheet8!$F$20:$F$26)</c:f>
              <c:numCache>
                <c:formatCode>General</c:formatCode>
                <c:ptCount val="16"/>
                <c:pt idx="0">
                  <c:v>0</c:v>
                </c:pt>
                <c:pt idx="1">
                  <c:v>19</c:v>
                </c:pt>
                <c:pt idx="2">
                  <c:v>0</c:v>
                </c:pt>
                <c:pt idx="3">
                  <c:v>48</c:v>
                </c:pt>
                <c:pt idx="4">
                  <c:v>85</c:v>
                </c:pt>
                <c:pt idx="5">
                  <c:v>8</c:v>
                </c:pt>
                <c:pt idx="6">
                  <c:v>20</c:v>
                </c:pt>
                <c:pt idx="7">
                  <c:v>33</c:v>
                </c:pt>
                <c:pt idx="8">
                  <c:v>30</c:v>
                </c:pt>
                <c:pt idx="9">
                  <c:v>140</c:v>
                </c:pt>
                <c:pt idx="10">
                  <c:v>0</c:v>
                </c:pt>
                <c:pt idx="11">
                  <c:v>5</c:v>
                </c:pt>
                <c:pt idx="12">
                  <c:v>18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18C-4E27-B8A3-F97735A7059D}"/>
            </c:ext>
          </c:extLst>
        </c:ser>
        <c:ser>
          <c:idx val="1"/>
          <c:order val="1"/>
          <c:tx>
            <c:strRef>
              <c:f>Sheet8!$H$2</c:f>
              <c:strCache>
                <c:ptCount val="1"/>
                <c:pt idx="0">
                  <c:v>Martin Achieved</c:v>
                </c:pt>
              </c:strCache>
            </c:strRef>
          </c:tx>
          <c:spPr>
            <a:gradFill>
              <a:gsLst>
                <a:gs pos="0">
                  <a:srgbClr val="4EA9DA"/>
                </a:gs>
                <a:gs pos="50000">
                  <a:srgbClr val="05A1DE"/>
                </a:gs>
                <a:gs pos="100000">
                  <a:srgbClr val="0091CA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3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8-F18C-4E27-B8A3-F97735A7059D}"/>
              </c:ext>
            </c:extLst>
          </c:dPt>
          <c:dPt>
            <c:idx val="5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A-F18C-4E27-B8A3-F97735A7059D}"/>
              </c:ext>
            </c:extLst>
          </c:dPt>
          <c:dPt>
            <c:idx val="8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C-F18C-4E27-B8A3-F97735A7059D}"/>
              </c:ext>
            </c:extLst>
          </c:dPt>
          <c:dPt>
            <c:idx val="10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E-F18C-4E27-B8A3-F97735A7059D}"/>
              </c:ext>
            </c:extLst>
          </c:dPt>
          <c:dLbls>
            <c:dLbl>
              <c:idx val="3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8-F18C-4E27-B8A3-F97735A7059D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A-F18C-4E27-B8A3-F97735A7059D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C-F18C-4E27-B8A3-F97735A7059D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E-F18C-4E27-B8A3-F97735A705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FFFFFF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(Sheet8!$C$7:$C$11,Sheet8!$C$13,Sheet8!$C$15:$C$16,Sheet8!$C$18,Sheet8!$C$20:$C$26)</c:f>
              <c:strCache>
                <c:ptCount val="16"/>
                <c:pt idx="0">
                  <c:v>Bariatric</c:v>
                </c:pt>
                <c:pt idx="1">
                  <c:v>Liver</c:v>
                </c:pt>
                <c:pt idx="2">
                  <c:v>Pelvic Block Non-Intact</c:v>
                </c:pt>
                <c:pt idx="3">
                  <c:v>Full Body</c:v>
                </c:pt>
                <c:pt idx="4">
                  <c:v>Jejunum 6'</c:v>
                </c:pt>
                <c:pt idx="5">
                  <c:v>Kidney</c:v>
                </c:pt>
                <c:pt idx="6">
                  <c:v>Omentum</c:v>
                </c:pt>
                <c:pt idx="7">
                  <c:v>Pancreas</c:v>
                </c:pt>
                <c:pt idx="8">
                  <c:v>Spleen</c:v>
                </c:pt>
                <c:pt idx="9">
                  <c:v>Ureters</c:v>
                </c:pt>
                <c:pt idx="10">
                  <c:v>Vena Cava</c:v>
                </c:pt>
                <c:pt idx="11">
                  <c:v>Stomach</c:v>
                </c:pt>
                <c:pt idx="12">
                  <c:v>Diaphragms</c:v>
                </c:pt>
                <c:pt idx="13">
                  <c:v>Male Pelvic</c:v>
                </c:pt>
                <c:pt idx="14">
                  <c:v>Female Pelvic</c:v>
                </c:pt>
                <c:pt idx="15">
                  <c:v>XL Hearts</c:v>
                </c:pt>
              </c:strCache>
            </c:strRef>
          </c:cat>
          <c:val>
            <c:numRef>
              <c:f>(Sheet8!$H$7:$H$11,Sheet8!$H$13,Sheet8!$H$15:$H$16,Sheet8!$H$18,Sheet8!$H$20:$H$26)</c:f>
              <c:numCache>
                <c:formatCode>General</c:formatCode>
                <c:ptCount val="16"/>
                <c:pt idx="0">
                  <c:v>263</c:v>
                </c:pt>
                <c:pt idx="1">
                  <c:v>0</c:v>
                </c:pt>
                <c:pt idx="2">
                  <c:v>35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205</c:v>
                </c:pt>
                <c:pt idx="10">
                  <c:v>47</c:v>
                </c:pt>
                <c:pt idx="11">
                  <c:v>0</c:v>
                </c:pt>
                <c:pt idx="12">
                  <c:v>0</c:v>
                </c:pt>
                <c:pt idx="13">
                  <c:v>65</c:v>
                </c:pt>
                <c:pt idx="14">
                  <c:v>279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18C-4E27-B8A3-F97735A7059D}"/>
            </c:ext>
          </c:extLst>
        </c:ser>
        <c:ser>
          <c:idx val="2"/>
          <c:order val="2"/>
          <c:tx>
            <c:strRef>
              <c:f>Sheet8!$J$2</c:f>
              <c:strCache>
                <c:ptCount val="1"/>
                <c:pt idx="0">
                  <c:v>Custom Achieved</c:v>
                </c:pt>
              </c:strCache>
            </c:strRef>
          </c:tx>
          <c:spPr>
            <a:gradFill>
              <a:gsLst>
                <a:gs pos="0">
                  <a:srgbClr val="F7C8B5"/>
                </a:gs>
                <a:gs pos="50000">
                  <a:srgbClr val="F7AE88"/>
                </a:gs>
                <a:gs pos="100000">
                  <a:srgbClr val="EE9D73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8"/>
            <c:invertIfNegative val="0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F18C-4E27-B8A3-F97735A7059D}"/>
              </c:ext>
            </c:extLst>
          </c:dPt>
          <c:dLbls>
            <c:dLbl>
              <c:idx val="8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3A7D22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F18C-4E27-B8A3-F97735A705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3A7D22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(Sheet8!$C$7:$C$11,Sheet8!$C$13,Sheet8!$C$15:$C$16,Sheet8!$C$18,Sheet8!$C$20:$C$26)</c:f>
              <c:strCache>
                <c:ptCount val="16"/>
                <c:pt idx="0">
                  <c:v>Bariatric</c:v>
                </c:pt>
                <c:pt idx="1">
                  <c:v>Liver</c:v>
                </c:pt>
                <c:pt idx="2">
                  <c:v>Pelvic Block Non-Intact</c:v>
                </c:pt>
                <c:pt idx="3">
                  <c:v>Full Body</c:v>
                </c:pt>
                <c:pt idx="4">
                  <c:v>Jejunum 6'</c:v>
                </c:pt>
                <c:pt idx="5">
                  <c:v>Kidney</c:v>
                </c:pt>
                <c:pt idx="6">
                  <c:v>Omentum</c:v>
                </c:pt>
                <c:pt idx="7">
                  <c:v>Pancreas</c:v>
                </c:pt>
                <c:pt idx="8">
                  <c:v>Spleen</c:v>
                </c:pt>
                <c:pt idx="9">
                  <c:v>Ureters</c:v>
                </c:pt>
                <c:pt idx="10">
                  <c:v>Vena Cava</c:v>
                </c:pt>
                <c:pt idx="11">
                  <c:v>Stomach</c:v>
                </c:pt>
                <c:pt idx="12">
                  <c:v>Diaphragms</c:v>
                </c:pt>
                <c:pt idx="13">
                  <c:v>Male Pelvic</c:v>
                </c:pt>
                <c:pt idx="14">
                  <c:v>Female Pelvic</c:v>
                </c:pt>
                <c:pt idx="15">
                  <c:v>XL Hearts</c:v>
                </c:pt>
              </c:strCache>
            </c:strRef>
          </c:cat>
          <c:val>
            <c:numRef>
              <c:f>(Sheet8!$J$7:$J$11,Sheet8!$J$13,Sheet8!$J$15:$J$16,Sheet8!$J$18,Sheet8!$J$20:$J$25)</c:f>
              <c:numCache>
                <c:formatCode>General</c:formatCode>
                <c:ptCount val="15"/>
                <c:pt idx="0">
                  <c:v>28</c:v>
                </c:pt>
                <c:pt idx="1">
                  <c:v>41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5</c:v>
                </c:pt>
                <c:pt idx="8">
                  <c:v>4</c:v>
                </c:pt>
                <c:pt idx="9">
                  <c:v>85</c:v>
                </c:pt>
                <c:pt idx="10">
                  <c:v>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F18C-4E27-B8A3-F97735A705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24187"/>
        <c:axId val="15985172"/>
      </c:barChart>
      <c:lineChart>
        <c:grouping val="stacked"/>
        <c:varyColors val="0"/>
        <c:ser>
          <c:idx val="3"/>
          <c:order val="3"/>
          <c:tx>
            <c:strRef>
              <c:f>Sheet8!$K$2</c:f>
              <c:strCache>
                <c:ptCount val="1"/>
                <c:pt idx="0">
                  <c:v>Total Goal</c:v>
                </c:pt>
              </c:strCache>
            </c:strRef>
          </c:tx>
          <c:spPr>
            <a:ln w="34920" cap="rnd">
              <a:solidFill>
                <a:srgbClr val="2CBAF0"/>
              </a:solidFill>
              <a:round/>
            </a:ln>
          </c:spPr>
          <c:marker>
            <c:symbol val="circle"/>
            <c:size val="6"/>
            <c:spPr>
              <a:solidFill>
                <a:srgbClr val="2CBAF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(Sheet8!$C$7:$C$11,Sheet8!$C$13,Sheet8!$C$15:$C$16,Sheet8!$C$18,Sheet8!$C$20:$C$26)</c:f>
              <c:strCache>
                <c:ptCount val="16"/>
                <c:pt idx="0">
                  <c:v>Bariatric</c:v>
                </c:pt>
                <c:pt idx="1">
                  <c:v>Liver</c:v>
                </c:pt>
                <c:pt idx="2">
                  <c:v>Pelvic Block Non-Intact</c:v>
                </c:pt>
                <c:pt idx="3">
                  <c:v>Full Body</c:v>
                </c:pt>
                <c:pt idx="4">
                  <c:v>Jejunum 6'</c:v>
                </c:pt>
                <c:pt idx="5">
                  <c:v>Kidney</c:v>
                </c:pt>
                <c:pt idx="6">
                  <c:v>Omentum</c:v>
                </c:pt>
                <c:pt idx="7">
                  <c:v>Pancreas</c:v>
                </c:pt>
                <c:pt idx="8">
                  <c:v>Spleen</c:v>
                </c:pt>
                <c:pt idx="9">
                  <c:v>Ureters</c:v>
                </c:pt>
                <c:pt idx="10">
                  <c:v>Vena Cava</c:v>
                </c:pt>
                <c:pt idx="11">
                  <c:v>Stomach</c:v>
                </c:pt>
                <c:pt idx="12">
                  <c:v>Diaphragms</c:v>
                </c:pt>
                <c:pt idx="13">
                  <c:v>Male Pelvic</c:v>
                </c:pt>
                <c:pt idx="14">
                  <c:v>Female Pelvic</c:v>
                </c:pt>
                <c:pt idx="15">
                  <c:v>XL Hearts</c:v>
                </c:pt>
              </c:strCache>
            </c:strRef>
          </c:cat>
          <c:val>
            <c:numRef>
              <c:f>(Sheet8!$K$7:$K$11,Sheet8!$K$13,Sheet8!$K$15:$K$16,Sheet8!$K$18,Sheet8!$K$20:$K$26)</c:f>
              <c:numCache>
                <c:formatCode>General</c:formatCode>
                <c:ptCount val="16"/>
                <c:pt idx="0">
                  <c:v>347</c:v>
                </c:pt>
                <c:pt idx="1">
                  <c:v>60</c:v>
                </c:pt>
                <c:pt idx="2">
                  <c:v>200</c:v>
                </c:pt>
                <c:pt idx="3">
                  <c:v>50</c:v>
                </c:pt>
                <c:pt idx="4">
                  <c:v>100</c:v>
                </c:pt>
                <c:pt idx="5">
                  <c:v>8</c:v>
                </c:pt>
                <c:pt idx="6">
                  <c:v>40</c:v>
                </c:pt>
                <c:pt idx="7">
                  <c:v>48</c:v>
                </c:pt>
                <c:pt idx="8">
                  <c:v>60</c:v>
                </c:pt>
                <c:pt idx="9">
                  <c:v>430</c:v>
                </c:pt>
                <c:pt idx="10">
                  <c:v>59</c:v>
                </c:pt>
                <c:pt idx="11">
                  <c:v>20</c:v>
                </c:pt>
                <c:pt idx="12">
                  <c:v>26</c:v>
                </c:pt>
                <c:pt idx="13">
                  <c:v>240</c:v>
                </c:pt>
                <c:pt idx="14">
                  <c:v>240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18C-4E27-B8A3-F97735A705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5224187"/>
        <c:axId val="15985172"/>
      </c:lineChart>
      <c:catAx>
        <c:axId val="1522418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F2F2F2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15985172"/>
        <c:crosses val="autoZero"/>
        <c:auto val="1"/>
        <c:lblAlgn val="ctr"/>
        <c:lblOffset val="100"/>
        <c:noMultiLvlLbl val="0"/>
      </c:catAx>
      <c:valAx>
        <c:axId val="15985172"/>
        <c:scaling>
          <c:orientation val="minMax"/>
          <c:max val="1500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15224187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9D9D9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0C3512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600" b="1" strike="noStrike" spc="89">
                <a:solidFill>
                  <a:srgbClr val="F2F2F2"/>
                </a:solidFill>
                <a:latin typeface="Aptos Narrow"/>
              </a:defRPr>
            </a:pPr>
            <a:r>
              <a:rPr lang="en-US" sz="1600" b="1" strike="noStrike" spc="89">
                <a:solidFill>
                  <a:srgbClr val="F2F2F2"/>
                </a:solidFill>
                <a:latin typeface="Aptos Narrow"/>
              </a:rPr>
              <a:t>1/26 - 2/7  WO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4682754709848193E-2"/>
          <c:y val="0.203453564890406"/>
          <c:w val="0.89080713250582799"/>
          <c:h val="0.575280787689872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Sheet6!$F$2</c:f>
              <c:strCache>
                <c:ptCount val="1"/>
                <c:pt idx="0">
                  <c:v>Nahunta Achieved</c:v>
                </c:pt>
              </c:strCache>
            </c:strRef>
          </c:tx>
          <c:spPr>
            <a:gradFill>
              <a:gsLst>
                <a:gs pos="0">
                  <a:srgbClr val="68B056"/>
                </a:gs>
                <a:gs pos="50000">
                  <a:srgbClr val="4AAC28"/>
                </a:gs>
                <a:gs pos="100000">
                  <a:srgbClr val="409E1E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7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7ACC-4E33-9DF9-36D8DC5E105E}"/>
              </c:ext>
            </c:extLst>
          </c:dPt>
          <c:dPt>
            <c:idx val="8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7ACC-4E33-9DF9-36D8DC5E105E}"/>
              </c:ext>
            </c:extLst>
          </c:dPt>
          <c:dPt>
            <c:idx val="10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7ACC-4E33-9DF9-36D8DC5E105E}"/>
              </c:ext>
            </c:extLst>
          </c:dPt>
          <c:dLbls>
            <c:dLbl>
              <c:idx val="7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7ACC-4E33-9DF9-36D8DC5E105E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7ACC-4E33-9DF9-36D8DC5E105E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7ACC-4E33-9DF9-36D8DC5E10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(Sheet8!$C$7:$C$11,Sheet8!$C$13,Sheet8!$C$15:$C$16,Sheet8!$C$18,Sheet8!$C$20:$C$26)</c:f>
              <c:strCache>
                <c:ptCount val="16"/>
                <c:pt idx="0">
                  <c:v>Bariatric</c:v>
                </c:pt>
                <c:pt idx="1">
                  <c:v>Liver</c:v>
                </c:pt>
                <c:pt idx="2">
                  <c:v>Pelvic Block Non-Intact</c:v>
                </c:pt>
                <c:pt idx="3">
                  <c:v>Full Body</c:v>
                </c:pt>
                <c:pt idx="4">
                  <c:v>Jejunum 6'</c:v>
                </c:pt>
                <c:pt idx="5">
                  <c:v>Kidney</c:v>
                </c:pt>
                <c:pt idx="6">
                  <c:v>Omentum</c:v>
                </c:pt>
                <c:pt idx="7">
                  <c:v>Pancreas</c:v>
                </c:pt>
                <c:pt idx="8">
                  <c:v>Spleen</c:v>
                </c:pt>
                <c:pt idx="9">
                  <c:v>Ureters</c:v>
                </c:pt>
                <c:pt idx="10">
                  <c:v>Vena Cava</c:v>
                </c:pt>
                <c:pt idx="11">
                  <c:v>Stomach</c:v>
                </c:pt>
                <c:pt idx="12">
                  <c:v>Diaphragms</c:v>
                </c:pt>
                <c:pt idx="13">
                  <c:v>Male Pelvic</c:v>
                </c:pt>
                <c:pt idx="14">
                  <c:v>Female Pelvic</c:v>
                </c:pt>
                <c:pt idx="15">
                  <c:v>XL Hearts</c:v>
                </c:pt>
              </c:strCache>
            </c:strRef>
          </c:cat>
          <c:val>
            <c:numRef>
              <c:f>(Sheet6!$F$7:$F$11,Sheet6!$F$13,Sheet6!$F$15:$F$16,Sheet6!$F$18,Sheet6!$F$20:$F$26)</c:f>
              <c:numCache>
                <c:formatCode>General</c:formatCode>
                <c:ptCount val="16"/>
                <c:pt idx="0">
                  <c:v>0</c:v>
                </c:pt>
                <c:pt idx="1">
                  <c:v>19</c:v>
                </c:pt>
                <c:pt idx="2">
                  <c:v>0</c:v>
                </c:pt>
                <c:pt idx="3">
                  <c:v>49</c:v>
                </c:pt>
                <c:pt idx="4">
                  <c:v>100</c:v>
                </c:pt>
                <c:pt idx="5">
                  <c:v>8</c:v>
                </c:pt>
                <c:pt idx="6">
                  <c:v>20</c:v>
                </c:pt>
                <c:pt idx="7">
                  <c:v>33</c:v>
                </c:pt>
                <c:pt idx="8">
                  <c:v>30</c:v>
                </c:pt>
                <c:pt idx="9">
                  <c:v>100</c:v>
                </c:pt>
                <c:pt idx="10">
                  <c:v>0</c:v>
                </c:pt>
                <c:pt idx="11">
                  <c:v>5</c:v>
                </c:pt>
                <c:pt idx="12">
                  <c:v>18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ACC-4E33-9DF9-36D8DC5E105E}"/>
            </c:ext>
          </c:extLst>
        </c:ser>
        <c:ser>
          <c:idx val="1"/>
          <c:order val="1"/>
          <c:tx>
            <c:strRef>
              <c:f>Sheet6!$H$2</c:f>
              <c:strCache>
                <c:ptCount val="1"/>
                <c:pt idx="0">
                  <c:v>Martin Achieved</c:v>
                </c:pt>
              </c:strCache>
            </c:strRef>
          </c:tx>
          <c:spPr>
            <a:gradFill>
              <a:gsLst>
                <a:gs pos="0">
                  <a:srgbClr val="4EA9DA"/>
                </a:gs>
                <a:gs pos="50000">
                  <a:srgbClr val="05A1DE"/>
                </a:gs>
                <a:gs pos="100000">
                  <a:srgbClr val="0091CA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3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8-7ACC-4E33-9DF9-36D8DC5E105E}"/>
              </c:ext>
            </c:extLst>
          </c:dPt>
          <c:dPt>
            <c:idx val="5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A-7ACC-4E33-9DF9-36D8DC5E105E}"/>
              </c:ext>
            </c:extLst>
          </c:dPt>
          <c:dPt>
            <c:idx val="8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C-7ACC-4E33-9DF9-36D8DC5E105E}"/>
              </c:ext>
            </c:extLst>
          </c:dPt>
          <c:dPt>
            <c:idx val="10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E-7ACC-4E33-9DF9-36D8DC5E105E}"/>
              </c:ext>
            </c:extLst>
          </c:dPt>
          <c:dLbls>
            <c:dLbl>
              <c:idx val="3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8-7ACC-4E33-9DF9-36D8DC5E105E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A-7ACC-4E33-9DF9-36D8DC5E105E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C-7ACC-4E33-9DF9-36D8DC5E105E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E-7ACC-4E33-9DF9-36D8DC5E10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FFFFFF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(Sheet8!$C$7:$C$11,Sheet8!$C$13,Sheet8!$C$15:$C$16,Sheet8!$C$18,Sheet8!$C$20:$C$26)</c:f>
              <c:strCache>
                <c:ptCount val="16"/>
                <c:pt idx="0">
                  <c:v>Bariatric</c:v>
                </c:pt>
                <c:pt idx="1">
                  <c:v>Liver</c:v>
                </c:pt>
                <c:pt idx="2">
                  <c:v>Pelvic Block Non-Intact</c:v>
                </c:pt>
                <c:pt idx="3">
                  <c:v>Full Body</c:v>
                </c:pt>
                <c:pt idx="4">
                  <c:v>Jejunum 6'</c:v>
                </c:pt>
                <c:pt idx="5">
                  <c:v>Kidney</c:v>
                </c:pt>
                <c:pt idx="6">
                  <c:v>Omentum</c:v>
                </c:pt>
                <c:pt idx="7">
                  <c:v>Pancreas</c:v>
                </c:pt>
                <c:pt idx="8">
                  <c:v>Spleen</c:v>
                </c:pt>
                <c:pt idx="9">
                  <c:v>Ureters</c:v>
                </c:pt>
                <c:pt idx="10">
                  <c:v>Vena Cava</c:v>
                </c:pt>
                <c:pt idx="11">
                  <c:v>Stomach</c:v>
                </c:pt>
                <c:pt idx="12">
                  <c:v>Diaphragms</c:v>
                </c:pt>
                <c:pt idx="13">
                  <c:v>Male Pelvic</c:v>
                </c:pt>
                <c:pt idx="14">
                  <c:v>Female Pelvic</c:v>
                </c:pt>
                <c:pt idx="15">
                  <c:v>XL Hearts</c:v>
                </c:pt>
              </c:strCache>
            </c:strRef>
          </c:cat>
          <c:val>
            <c:numRef>
              <c:f>(Sheet6!$H$7:$H$11,Sheet6!$H$13,Sheet6!$H$15:$H$16,Sheet6!$H$18,Sheet6!$H$20:$H$26)</c:f>
              <c:numCache>
                <c:formatCode>General</c:formatCode>
                <c:ptCount val="16"/>
                <c:pt idx="0">
                  <c:v>251</c:v>
                </c:pt>
                <c:pt idx="1">
                  <c:v>0</c:v>
                </c:pt>
                <c:pt idx="2">
                  <c:v>160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205</c:v>
                </c:pt>
                <c:pt idx="10">
                  <c:v>47</c:v>
                </c:pt>
                <c:pt idx="11">
                  <c:v>0</c:v>
                </c:pt>
                <c:pt idx="12">
                  <c:v>0</c:v>
                </c:pt>
                <c:pt idx="13">
                  <c:v>53</c:v>
                </c:pt>
                <c:pt idx="14">
                  <c:v>260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ACC-4E33-9DF9-36D8DC5E105E}"/>
            </c:ext>
          </c:extLst>
        </c:ser>
        <c:ser>
          <c:idx val="2"/>
          <c:order val="2"/>
          <c:tx>
            <c:strRef>
              <c:f>Sheet6!$J$2</c:f>
              <c:strCache>
                <c:ptCount val="1"/>
                <c:pt idx="0">
                  <c:v>Custom Achieved</c:v>
                </c:pt>
              </c:strCache>
            </c:strRef>
          </c:tx>
          <c:spPr>
            <a:gradFill>
              <a:gsLst>
                <a:gs pos="0">
                  <a:srgbClr val="F7C8B5"/>
                </a:gs>
                <a:gs pos="50000">
                  <a:srgbClr val="F7AE88"/>
                </a:gs>
                <a:gs pos="100000">
                  <a:srgbClr val="EE9D73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3"/>
            <c:invertIfNegative val="0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7ACC-4E33-9DF9-36D8DC5E105E}"/>
              </c:ext>
            </c:extLst>
          </c:dPt>
          <c:dPt>
            <c:idx val="8"/>
            <c:invertIfNegative val="0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7ACC-4E33-9DF9-36D8DC5E105E}"/>
              </c:ext>
            </c:extLst>
          </c:dPt>
          <c:dLbls>
            <c:dLbl>
              <c:idx val="3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3A7D22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7ACC-4E33-9DF9-36D8DC5E105E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3A7D22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7ACC-4E33-9DF9-36D8DC5E10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3A7D22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(Sheet8!$C$7:$C$11,Sheet8!$C$13,Sheet8!$C$15:$C$16,Sheet8!$C$18,Sheet8!$C$20:$C$26)</c:f>
              <c:strCache>
                <c:ptCount val="16"/>
                <c:pt idx="0">
                  <c:v>Bariatric</c:v>
                </c:pt>
                <c:pt idx="1">
                  <c:v>Liver</c:v>
                </c:pt>
                <c:pt idx="2">
                  <c:v>Pelvic Block Non-Intact</c:v>
                </c:pt>
                <c:pt idx="3">
                  <c:v>Full Body</c:v>
                </c:pt>
                <c:pt idx="4">
                  <c:v>Jejunum 6'</c:v>
                </c:pt>
                <c:pt idx="5">
                  <c:v>Kidney</c:v>
                </c:pt>
                <c:pt idx="6">
                  <c:v>Omentum</c:v>
                </c:pt>
                <c:pt idx="7">
                  <c:v>Pancreas</c:v>
                </c:pt>
                <c:pt idx="8">
                  <c:v>Spleen</c:v>
                </c:pt>
                <c:pt idx="9">
                  <c:v>Ureters</c:v>
                </c:pt>
                <c:pt idx="10">
                  <c:v>Vena Cava</c:v>
                </c:pt>
                <c:pt idx="11">
                  <c:v>Stomach</c:v>
                </c:pt>
                <c:pt idx="12">
                  <c:v>Diaphragms</c:v>
                </c:pt>
                <c:pt idx="13">
                  <c:v>Male Pelvic</c:v>
                </c:pt>
                <c:pt idx="14">
                  <c:v>Female Pelvic</c:v>
                </c:pt>
                <c:pt idx="15">
                  <c:v>XL Hearts</c:v>
                </c:pt>
              </c:strCache>
            </c:strRef>
          </c:cat>
          <c:val>
            <c:numRef>
              <c:f>(Sheet6!$J$7:$J$11,Sheet6!$J$13,Sheet6!$J$15:$J$16,Sheet6!$J$18,Sheet6!$J$20:$J$26)</c:f>
              <c:numCache>
                <c:formatCode>General</c:formatCode>
                <c:ptCount val="16"/>
                <c:pt idx="0">
                  <c:v>40</c:v>
                </c:pt>
                <c:pt idx="1">
                  <c:v>41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</c:v>
                </c:pt>
                <c:pt idx="7">
                  <c:v>15</c:v>
                </c:pt>
                <c:pt idx="8">
                  <c:v>30</c:v>
                </c:pt>
                <c:pt idx="9">
                  <c:v>85</c:v>
                </c:pt>
                <c:pt idx="10">
                  <c:v>12</c:v>
                </c:pt>
                <c:pt idx="11">
                  <c:v>15</c:v>
                </c:pt>
                <c:pt idx="12">
                  <c:v>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ACC-4E33-9DF9-36D8DC5E1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7373754"/>
        <c:axId val="25976290"/>
      </c:barChart>
      <c:lineChart>
        <c:grouping val="stacked"/>
        <c:varyColors val="0"/>
        <c:ser>
          <c:idx val="3"/>
          <c:order val="3"/>
          <c:tx>
            <c:strRef>
              <c:f>Sheet6!$K$2</c:f>
              <c:strCache>
                <c:ptCount val="1"/>
                <c:pt idx="0">
                  <c:v>Total Goal</c:v>
                </c:pt>
              </c:strCache>
            </c:strRef>
          </c:tx>
          <c:spPr>
            <a:ln w="34920" cap="rnd">
              <a:solidFill>
                <a:srgbClr val="2CBAF0"/>
              </a:solidFill>
              <a:round/>
            </a:ln>
          </c:spPr>
          <c:marker>
            <c:symbol val="circle"/>
            <c:size val="6"/>
            <c:spPr>
              <a:solidFill>
                <a:srgbClr val="2CBAF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(Sheet8!$C$7:$C$11,Sheet8!$C$13,Sheet8!$C$15:$C$16,Sheet8!$C$18,Sheet8!$C$20:$C$26)</c:f>
              <c:strCache>
                <c:ptCount val="16"/>
                <c:pt idx="0">
                  <c:v>Bariatric</c:v>
                </c:pt>
                <c:pt idx="1">
                  <c:v>Liver</c:v>
                </c:pt>
                <c:pt idx="2">
                  <c:v>Pelvic Block Non-Intact</c:v>
                </c:pt>
                <c:pt idx="3">
                  <c:v>Full Body</c:v>
                </c:pt>
                <c:pt idx="4">
                  <c:v>Jejunum 6'</c:v>
                </c:pt>
                <c:pt idx="5">
                  <c:v>Kidney</c:v>
                </c:pt>
                <c:pt idx="6">
                  <c:v>Omentum</c:v>
                </c:pt>
                <c:pt idx="7">
                  <c:v>Pancreas</c:v>
                </c:pt>
                <c:pt idx="8">
                  <c:v>Spleen</c:v>
                </c:pt>
                <c:pt idx="9">
                  <c:v>Ureters</c:v>
                </c:pt>
                <c:pt idx="10">
                  <c:v>Vena Cava</c:v>
                </c:pt>
                <c:pt idx="11">
                  <c:v>Stomach</c:v>
                </c:pt>
                <c:pt idx="12">
                  <c:v>Diaphragms</c:v>
                </c:pt>
                <c:pt idx="13">
                  <c:v>Male Pelvic</c:v>
                </c:pt>
                <c:pt idx="14">
                  <c:v>Female Pelvic</c:v>
                </c:pt>
                <c:pt idx="15">
                  <c:v>XL Hearts</c:v>
                </c:pt>
              </c:strCache>
            </c:strRef>
          </c:cat>
          <c:val>
            <c:numRef>
              <c:f>(Sheet6!$K$7:$K$11,Sheet6!$K$13,Sheet6!$K$15:$K$16,Sheet6!$K$18,Sheet6!$K$20:$K$26)</c:f>
              <c:numCache>
                <c:formatCode>General</c:formatCode>
                <c:ptCount val="16"/>
                <c:pt idx="0">
                  <c:v>347</c:v>
                </c:pt>
                <c:pt idx="1">
                  <c:v>60</c:v>
                </c:pt>
                <c:pt idx="2">
                  <c:v>200</c:v>
                </c:pt>
                <c:pt idx="3">
                  <c:v>50</c:v>
                </c:pt>
                <c:pt idx="4">
                  <c:v>100</c:v>
                </c:pt>
                <c:pt idx="5">
                  <c:v>8</c:v>
                </c:pt>
                <c:pt idx="6">
                  <c:v>40</c:v>
                </c:pt>
                <c:pt idx="7">
                  <c:v>48</c:v>
                </c:pt>
                <c:pt idx="8">
                  <c:v>60</c:v>
                </c:pt>
                <c:pt idx="9">
                  <c:v>390</c:v>
                </c:pt>
                <c:pt idx="10">
                  <c:v>59</c:v>
                </c:pt>
                <c:pt idx="11">
                  <c:v>20</c:v>
                </c:pt>
                <c:pt idx="12">
                  <c:v>26</c:v>
                </c:pt>
                <c:pt idx="13">
                  <c:v>240</c:v>
                </c:pt>
                <c:pt idx="14">
                  <c:v>240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7ACC-4E33-9DF9-36D8DC5E1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7373754"/>
        <c:axId val="25976290"/>
      </c:lineChart>
      <c:catAx>
        <c:axId val="5737375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F2F2F2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25976290"/>
        <c:crosses val="autoZero"/>
        <c:auto val="1"/>
        <c:lblAlgn val="ctr"/>
        <c:lblOffset val="100"/>
        <c:noMultiLvlLbl val="0"/>
      </c:catAx>
      <c:valAx>
        <c:axId val="25976290"/>
        <c:scaling>
          <c:orientation val="minMax"/>
          <c:max val="500"/>
          <c:min val="0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57373754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9D9D9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660033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600" b="1" strike="noStrike" spc="89">
                <a:solidFill>
                  <a:srgbClr val="F2F2F2"/>
                </a:solidFill>
                <a:latin typeface="Aptos Narrow"/>
              </a:defRPr>
            </a:pPr>
            <a:r>
              <a:rPr lang="en-US" sz="1600" b="1" strike="noStrike" spc="89">
                <a:solidFill>
                  <a:srgbClr val="F2F2F2"/>
                </a:solidFill>
                <a:latin typeface="Aptos Narrow"/>
              </a:rPr>
              <a:t>Current 2 Week WO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4688777828259898E-2"/>
          <c:y val="0.203478925738316"/>
          <c:w val="0.89083749810692103"/>
          <c:h val="0.5753130077415660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Sheet10!$F$2</c:f>
              <c:strCache>
                <c:ptCount val="1"/>
                <c:pt idx="0">
                  <c:v>Nahunta Achieved</c:v>
                </c:pt>
              </c:strCache>
            </c:strRef>
          </c:tx>
          <c:spPr>
            <a:gradFill>
              <a:gsLst>
                <a:gs pos="0">
                  <a:srgbClr val="68B056"/>
                </a:gs>
                <a:gs pos="50000">
                  <a:srgbClr val="4AAC28"/>
                </a:gs>
                <a:gs pos="100000">
                  <a:srgbClr val="409E1E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7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AAEA-4F8F-9911-4299A9E6464C}"/>
              </c:ext>
            </c:extLst>
          </c:dPt>
          <c:dPt>
            <c:idx val="8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AAEA-4F8F-9911-4299A9E6464C}"/>
              </c:ext>
            </c:extLst>
          </c:dPt>
          <c:dPt>
            <c:idx val="10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AAEA-4F8F-9911-4299A9E6464C}"/>
              </c:ext>
            </c:extLst>
          </c:dPt>
          <c:dLbls>
            <c:dLbl>
              <c:idx val="7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AAEA-4F8F-9911-4299A9E6464C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AAEA-4F8F-9911-4299A9E6464C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AAEA-4F8F-9911-4299A9E646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(Sheet8!$C$6:$C$10,Sheet8!$C$13,Sheet8!$C$15:$C$16,Sheet8!$C$18,Sheet8!$C$20:$C$26)</c:f>
              <c:strCache>
                <c:ptCount val="16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Kidney</c:v>
                </c:pt>
                <c:pt idx="6">
                  <c:v>Omentum</c:v>
                </c:pt>
                <c:pt idx="7">
                  <c:v>Pancreas</c:v>
                </c:pt>
                <c:pt idx="8">
                  <c:v>Spleen</c:v>
                </c:pt>
                <c:pt idx="9">
                  <c:v>Ureters</c:v>
                </c:pt>
                <c:pt idx="10">
                  <c:v>Vena Cava</c:v>
                </c:pt>
                <c:pt idx="11">
                  <c:v>Stomach</c:v>
                </c:pt>
                <c:pt idx="12">
                  <c:v>Diaphragms</c:v>
                </c:pt>
                <c:pt idx="13">
                  <c:v>Male Pelvic</c:v>
                </c:pt>
                <c:pt idx="14">
                  <c:v>Female Pelvic</c:v>
                </c:pt>
                <c:pt idx="15">
                  <c:v>XL Hearts</c:v>
                </c:pt>
              </c:strCache>
            </c:strRef>
          </c:cat>
          <c:val>
            <c:numRef>
              <c:f>(Sheet10!$F$6:$F$10,Sheet10!$F$13,Sheet10!$F$15:$F$16,Sheet10!$F$18,Sheet10!$F$20:$F$26)</c:f>
              <c:numCache>
                <c:formatCode>General</c:formatCode>
                <c:ptCount val="16"/>
                <c:pt idx="0">
                  <c:v>45</c:v>
                </c:pt>
                <c:pt idx="1">
                  <c:v>0</c:v>
                </c:pt>
                <c:pt idx="2">
                  <c:v>19</c:v>
                </c:pt>
                <c:pt idx="3">
                  <c:v>0</c:v>
                </c:pt>
                <c:pt idx="4">
                  <c:v>42</c:v>
                </c:pt>
                <c:pt idx="5">
                  <c:v>8</c:v>
                </c:pt>
                <c:pt idx="6">
                  <c:v>0</c:v>
                </c:pt>
                <c:pt idx="7">
                  <c:v>29</c:v>
                </c:pt>
                <c:pt idx="8">
                  <c:v>31</c:v>
                </c:pt>
                <c:pt idx="9">
                  <c:v>115</c:v>
                </c:pt>
                <c:pt idx="10">
                  <c:v>0</c:v>
                </c:pt>
                <c:pt idx="11">
                  <c:v>5</c:v>
                </c:pt>
                <c:pt idx="12">
                  <c:v>18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AEA-4F8F-9911-4299A9E6464C}"/>
            </c:ext>
          </c:extLst>
        </c:ser>
        <c:ser>
          <c:idx val="1"/>
          <c:order val="1"/>
          <c:tx>
            <c:strRef>
              <c:f>Sheet10!$H$2</c:f>
              <c:strCache>
                <c:ptCount val="1"/>
                <c:pt idx="0">
                  <c:v>Martin Achieved</c:v>
                </c:pt>
              </c:strCache>
            </c:strRef>
          </c:tx>
          <c:spPr>
            <a:gradFill>
              <a:gsLst>
                <a:gs pos="0">
                  <a:srgbClr val="4EA9DA"/>
                </a:gs>
                <a:gs pos="50000">
                  <a:srgbClr val="05A1DE"/>
                </a:gs>
                <a:gs pos="100000">
                  <a:srgbClr val="0091CA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4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8-AAEA-4F8F-9911-4299A9E6464C}"/>
              </c:ext>
            </c:extLst>
          </c:dPt>
          <c:dPt>
            <c:idx val="5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A-AAEA-4F8F-9911-4299A9E6464C}"/>
              </c:ext>
            </c:extLst>
          </c:dPt>
          <c:dPt>
            <c:idx val="8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C-AAEA-4F8F-9911-4299A9E6464C}"/>
              </c:ext>
            </c:extLst>
          </c:dPt>
          <c:dPt>
            <c:idx val="10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E-AAEA-4F8F-9911-4299A9E6464C}"/>
              </c:ext>
            </c:extLst>
          </c:dPt>
          <c:dLbls>
            <c:dLbl>
              <c:idx val="4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8-AAEA-4F8F-9911-4299A9E6464C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A-AAEA-4F8F-9911-4299A9E6464C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C-AAEA-4F8F-9911-4299A9E6464C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E-AAEA-4F8F-9911-4299A9E646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FFFFFF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(Sheet8!$C$6:$C$10,Sheet8!$C$13,Sheet8!$C$15:$C$16,Sheet8!$C$18,Sheet8!$C$20:$C$26)</c:f>
              <c:strCache>
                <c:ptCount val="16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Kidney</c:v>
                </c:pt>
                <c:pt idx="6">
                  <c:v>Omentum</c:v>
                </c:pt>
                <c:pt idx="7">
                  <c:v>Pancreas</c:v>
                </c:pt>
                <c:pt idx="8">
                  <c:v>Spleen</c:v>
                </c:pt>
                <c:pt idx="9">
                  <c:v>Ureters</c:v>
                </c:pt>
                <c:pt idx="10">
                  <c:v>Vena Cava</c:v>
                </c:pt>
                <c:pt idx="11">
                  <c:v>Stomach</c:v>
                </c:pt>
                <c:pt idx="12">
                  <c:v>Diaphragms</c:v>
                </c:pt>
                <c:pt idx="13">
                  <c:v>Male Pelvic</c:v>
                </c:pt>
                <c:pt idx="14">
                  <c:v>Female Pelvic</c:v>
                </c:pt>
                <c:pt idx="15">
                  <c:v>XL Hearts</c:v>
                </c:pt>
              </c:strCache>
            </c:strRef>
          </c:cat>
          <c:val>
            <c:numRef>
              <c:f>(Sheet10!$H$6:$H$10,Sheet10!$H$13,Sheet10!$H$15:$H$16,Sheet10!$H$18,Sheet10!$H$20:$H$26)</c:f>
              <c:numCache>
                <c:formatCode>General</c:formatCode>
                <c:ptCount val="16"/>
                <c:pt idx="0">
                  <c:v>420</c:v>
                </c:pt>
                <c:pt idx="1">
                  <c:v>207</c:v>
                </c:pt>
                <c:pt idx="2">
                  <c:v>0</c:v>
                </c:pt>
                <c:pt idx="3">
                  <c:v>65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175</c:v>
                </c:pt>
                <c:pt idx="10">
                  <c:v>48</c:v>
                </c:pt>
                <c:pt idx="11">
                  <c:v>0</c:v>
                </c:pt>
                <c:pt idx="12">
                  <c:v>0</c:v>
                </c:pt>
                <c:pt idx="13">
                  <c:v>35</c:v>
                </c:pt>
                <c:pt idx="14">
                  <c:v>268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AEA-4F8F-9911-4299A9E6464C}"/>
            </c:ext>
          </c:extLst>
        </c:ser>
        <c:ser>
          <c:idx val="2"/>
          <c:order val="2"/>
          <c:tx>
            <c:strRef>
              <c:f>Sheet10!$J$2</c:f>
              <c:strCache>
                <c:ptCount val="1"/>
                <c:pt idx="0">
                  <c:v>Custom Achieved</c:v>
                </c:pt>
              </c:strCache>
            </c:strRef>
          </c:tx>
          <c:spPr>
            <a:gradFill>
              <a:gsLst>
                <a:gs pos="0">
                  <a:srgbClr val="F7C8B5"/>
                </a:gs>
                <a:gs pos="50000">
                  <a:srgbClr val="F7AE88"/>
                </a:gs>
                <a:gs pos="100000">
                  <a:srgbClr val="EE9D73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4"/>
            <c:invertIfNegative val="0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AAEA-4F8F-9911-4299A9E6464C}"/>
              </c:ext>
            </c:extLst>
          </c:dPt>
          <c:dPt>
            <c:idx val="8"/>
            <c:invertIfNegative val="0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AAEA-4F8F-9911-4299A9E6464C}"/>
              </c:ext>
            </c:extLst>
          </c:dPt>
          <c:dLbls>
            <c:dLbl>
              <c:idx val="4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3A7D22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AAEA-4F8F-9911-4299A9E6464C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3A7D22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AAEA-4F8F-9911-4299A9E646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3A7D22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(Sheet8!$C$6:$C$10,Sheet8!$C$13,Sheet8!$C$15:$C$16,Sheet8!$C$18,Sheet8!$C$20:$C$26)</c:f>
              <c:strCache>
                <c:ptCount val="16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Kidney</c:v>
                </c:pt>
                <c:pt idx="6">
                  <c:v>Omentum</c:v>
                </c:pt>
                <c:pt idx="7">
                  <c:v>Pancreas</c:v>
                </c:pt>
                <c:pt idx="8">
                  <c:v>Spleen</c:v>
                </c:pt>
                <c:pt idx="9">
                  <c:v>Ureters</c:v>
                </c:pt>
                <c:pt idx="10">
                  <c:v>Vena Cava</c:v>
                </c:pt>
                <c:pt idx="11">
                  <c:v>Stomach</c:v>
                </c:pt>
                <c:pt idx="12">
                  <c:v>Diaphragms</c:v>
                </c:pt>
                <c:pt idx="13">
                  <c:v>Male Pelvic</c:v>
                </c:pt>
                <c:pt idx="14">
                  <c:v>Female Pelvic</c:v>
                </c:pt>
                <c:pt idx="15">
                  <c:v>XL Hearts</c:v>
                </c:pt>
              </c:strCache>
            </c:strRef>
          </c:cat>
          <c:val>
            <c:numRef>
              <c:f>(Sheet10!$J$6:$J$10,Sheet10!$J$13,Sheet10!$J$15:$J$16,Sheet10!$J$18,Sheet10!$J$20:$J$26)</c:f>
              <c:numCache>
                <c:formatCode>General</c:formatCode>
                <c:ptCount val="16"/>
                <c:pt idx="0">
                  <c:v>42</c:v>
                </c:pt>
                <c:pt idx="1">
                  <c:v>50</c:v>
                </c:pt>
                <c:pt idx="2">
                  <c:v>41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</c:v>
                </c:pt>
                <c:pt idx="7">
                  <c:v>13</c:v>
                </c:pt>
                <c:pt idx="8">
                  <c:v>31</c:v>
                </c:pt>
                <c:pt idx="9">
                  <c:v>70</c:v>
                </c:pt>
                <c:pt idx="10">
                  <c:v>12</c:v>
                </c:pt>
                <c:pt idx="11">
                  <c:v>15</c:v>
                </c:pt>
                <c:pt idx="12">
                  <c:v>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AEA-4F8F-9911-4299A9E64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229796"/>
        <c:axId val="55668837"/>
      </c:barChart>
      <c:lineChart>
        <c:grouping val="stacked"/>
        <c:varyColors val="0"/>
        <c:ser>
          <c:idx val="3"/>
          <c:order val="3"/>
          <c:tx>
            <c:strRef>
              <c:f>Sheet10!$K$2</c:f>
              <c:strCache>
                <c:ptCount val="1"/>
                <c:pt idx="0">
                  <c:v>Total Goal</c:v>
                </c:pt>
              </c:strCache>
            </c:strRef>
          </c:tx>
          <c:spPr>
            <a:ln w="34920" cap="rnd">
              <a:solidFill>
                <a:srgbClr val="2CBAF0"/>
              </a:solidFill>
              <a:round/>
            </a:ln>
          </c:spPr>
          <c:marker>
            <c:symbol val="circle"/>
            <c:size val="6"/>
            <c:spPr>
              <a:solidFill>
                <a:srgbClr val="2CBAF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(Sheet8!$C$6:$C$10,Sheet8!$C$13,Sheet8!$C$15:$C$16,Sheet8!$C$18,Sheet8!$C$20:$C$26)</c:f>
              <c:strCache>
                <c:ptCount val="16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Kidney</c:v>
                </c:pt>
                <c:pt idx="6">
                  <c:v>Omentum</c:v>
                </c:pt>
                <c:pt idx="7">
                  <c:v>Pancreas</c:v>
                </c:pt>
                <c:pt idx="8">
                  <c:v>Spleen</c:v>
                </c:pt>
                <c:pt idx="9">
                  <c:v>Ureters</c:v>
                </c:pt>
                <c:pt idx="10">
                  <c:v>Vena Cava</c:v>
                </c:pt>
                <c:pt idx="11">
                  <c:v>Stomach</c:v>
                </c:pt>
                <c:pt idx="12">
                  <c:v>Diaphragms</c:v>
                </c:pt>
                <c:pt idx="13">
                  <c:v>Male Pelvic</c:v>
                </c:pt>
                <c:pt idx="14">
                  <c:v>Female Pelvic</c:v>
                </c:pt>
                <c:pt idx="15">
                  <c:v>XL Hearts</c:v>
                </c:pt>
              </c:strCache>
            </c:strRef>
          </c:cat>
          <c:val>
            <c:numRef>
              <c:f>(Sheet10!$K$6:$K$10,Sheet10!$K$13,Sheet10!$K$15:$K$16,Sheet10!$K$18,Sheet10!$K$20:$K$26)</c:f>
              <c:numCache>
                <c:formatCode>General</c:formatCode>
                <c:ptCount val="16"/>
                <c:pt idx="0">
                  <c:v>507</c:v>
                </c:pt>
                <c:pt idx="1">
                  <c:v>360</c:v>
                </c:pt>
                <c:pt idx="2">
                  <c:v>60</c:v>
                </c:pt>
                <c:pt idx="3">
                  <c:v>200</c:v>
                </c:pt>
                <c:pt idx="4">
                  <c:v>42</c:v>
                </c:pt>
                <c:pt idx="5">
                  <c:v>8</c:v>
                </c:pt>
                <c:pt idx="6">
                  <c:v>20</c:v>
                </c:pt>
                <c:pt idx="7">
                  <c:v>42</c:v>
                </c:pt>
                <c:pt idx="8">
                  <c:v>62</c:v>
                </c:pt>
                <c:pt idx="9">
                  <c:v>360</c:v>
                </c:pt>
                <c:pt idx="10">
                  <c:v>60</c:v>
                </c:pt>
                <c:pt idx="11">
                  <c:v>20</c:v>
                </c:pt>
                <c:pt idx="12">
                  <c:v>26</c:v>
                </c:pt>
                <c:pt idx="13">
                  <c:v>240</c:v>
                </c:pt>
                <c:pt idx="14">
                  <c:v>240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AEA-4F8F-9911-4299A9E64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7229796"/>
        <c:axId val="55668837"/>
      </c:lineChart>
      <c:catAx>
        <c:axId val="472297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F2F2F2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55668837"/>
        <c:crosses val="autoZero"/>
        <c:auto val="1"/>
        <c:lblAlgn val="ctr"/>
        <c:lblOffset val="100"/>
        <c:noMultiLvlLbl val="0"/>
      </c:catAx>
      <c:valAx>
        <c:axId val="55668837"/>
        <c:scaling>
          <c:orientation val="minMax"/>
          <c:max val="600"/>
          <c:min val="0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47229796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9D9D9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600" b="1" strike="noStrike" spc="89">
                <a:solidFill>
                  <a:srgbClr val="F2F2F2"/>
                </a:solidFill>
                <a:latin typeface="Aptos Narrow"/>
              </a:defRPr>
            </a:pPr>
            <a:r>
              <a:rPr lang="en-US" sz="1600" b="1" strike="noStrike" spc="89">
                <a:solidFill>
                  <a:srgbClr val="F2F2F2"/>
                </a:solidFill>
                <a:latin typeface="Aptos Narrow"/>
              </a:rPr>
              <a:t>Current 2 Week WO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4688777828259898E-2"/>
          <c:y val="0.203478925738316"/>
          <c:w val="0.89083749810692103"/>
          <c:h val="0.5753130077415660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Sheet12!$F$2</c:f>
              <c:strCache>
                <c:ptCount val="1"/>
                <c:pt idx="0">
                  <c:v>Nahunta Achieved</c:v>
                </c:pt>
              </c:strCache>
            </c:strRef>
          </c:tx>
          <c:spPr>
            <a:gradFill>
              <a:gsLst>
                <a:gs pos="0">
                  <a:srgbClr val="68B056"/>
                </a:gs>
                <a:gs pos="50000">
                  <a:srgbClr val="4AAC28"/>
                </a:gs>
                <a:gs pos="100000">
                  <a:srgbClr val="409E1E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8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4ADD-4F6A-A9FC-2A511A5F871D}"/>
              </c:ext>
            </c:extLst>
          </c:dPt>
          <c:dPt>
            <c:idx val="9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4ADD-4F6A-A9FC-2A511A5F871D}"/>
              </c:ext>
            </c:extLst>
          </c:dPt>
          <c:dPt>
            <c:idx val="12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4ADD-4F6A-A9FC-2A511A5F871D}"/>
              </c:ext>
            </c:extLst>
          </c:dPt>
          <c:dLbls>
            <c:dLbl>
              <c:idx val="8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4ADD-4F6A-A9FC-2A511A5F871D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4ADD-4F6A-A9FC-2A511A5F871D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4ADD-4F6A-A9FC-2A511A5F87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(Sheet12!$F$6:$F$11,Sheet12!$F$13,Sheet12!$F$15:$F$16,Sheet12!$F$18:$F$26)</c:f>
              <c:numCache>
                <c:formatCode>General</c:formatCode>
                <c:ptCount val="18"/>
                <c:pt idx="0">
                  <c:v>45</c:v>
                </c:pt>
                <c:pt idx="1">
                  <c:v>0</c:v>
                </c:pt>
                <c:pt idx="2">
                  <c:v>20</c:v>
                </c:pt>
                <c:pt idx="3">
                  <c:v>0</c:v>
                </c:pt>
                <c:pt idx="4">
                  <c:v>43</c:v>
                </c:pt>
                <c:pt idx="5">
                  <c:v>104</c:v>
                </c:pt>
                <c:pt idx="6">
                  <c:v>8</c:v>
                </c:pt>
                <c:pt idx="7">
                  <c:v>34</c:v>
                </c:pt>
                <c:pt idx="8">
                  <c:v>46</c:v>
                </c:pt>
                <c:pt idx="9">
                  <c:v>33</c:v>
                </c:pt>
                <c:pt idx="10">
                  <c:v>54</c:v>
                </c:pt>
                <c:pt idx="11">
                  <c:v>65</c:v>
                </c:pt>
                <c:pt idx="12">
                  <c:v>0</c:v>
                </c:pt>
                <c:pt idx="13">
                  <c:v>5</c:v>
                </c:pt>
                <c:pt idx="14">
                  <c:v>18</c:v>
                </c:pt>
                <c:pt idx="15">
                  <c:v>0</c:v>
                </c:pt>
                <c:pt idx="16">
                  <c:v>0</c:v>
                </c:pt>
                <c:pt idx="1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ADD-4F6A-A9FC-2A511A5F871D}"/>
            </c:ext>
          </c:extLst>
        </c:ser>
        <c:ser>
          <c:idx val="1"/>
          <c:order val="1"/>
          <c:tx>
            <c:strRef>
              <c:f>Sheet12!$H$2</c:f>
              <c:strCache>
                <c:ptCount val="1"/>
                <c:pt idx="0">
                  <c:v>Martin Achieved</c:v>
                </c:pt>
              </c:strCache>
            </c:strRef>
          </c:tx>
          <c:spPr>
            <a:gradFill>
              <a:gsLst>
                <a:gs pos="0">
                  <a:srgbClr val="4EA9DA"/>
                </a:gs>
                <a:gs pos="50000">
                  <a:srgbClr val="05A1DE"/>
                </a:gs>
                <a:gs pos="100000">
                  <a:srgbClr val="0091CA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4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8-4ADD-4F6A-A9FC-2A511A5F871D}"/>
              </c:ext>
            </c:extLst>
          </c:dPt>
          <c:dPt>
            <c:idx val="6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A-4ADD-4F6A-A9FC-2A511A5F871D}"/>
              </c:ext>
            </c:extLst>
          </c:dPt>
          <c:dPt>
            <c:idx val="9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C-4ADD-4F6A-A9FC-2A511A5F871D}"/>
              </c:ext>
            </c:extLst>
          </c:dPt>
          <c:dPt>
            <c:idx val="12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E-4ADD-4F6A-A9FC-2A511A5F871D}"/>
              </c:ext>
            </c:extLst>
          </c:dPt>
          <c:dLbls>
            <c:dLbl>
              <c:idx val="4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8-4ADD-4F6A-A9FC-2A511A5F871D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A-4ADD-4F6A-A9FC-2A511A5F871D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C-4ADD-4F6A-A9FC-2A511A5F871D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E-4ADD-4F6A-A9FC-2A511A5F87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FFFFFF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(Sheet12!$H$6:$H$11,Sheet12!$H$13,Sheet12!$H$15:$H$16,Sheet12!$H$18:$H$26)</c:f>
              <c:numCache>
                <c:formatCode>General</c:formatCode>
                <c:ptCount val="18"/>
                <c:pt idx="0">
                  <c:v>420</c:v>
                </c:pt>
                <c:pt idx="1">
                  <c:v>310</c:v>
                </c:pt>
                <c:pt idx="2">
                  <c:v>0</c:v>
                </c:pt>
                <c:pt idx="3">
                  <c:v>200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95</c:v>
                </c:pt>
                <c:pt idx="12">
                  <c:v>40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435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ADD-4F6A-A9FC-2A511A5F871D}"/>
            </c:ext>
          </c:extLst>
        </c:ser>
        <c:ser>
          <c:idx val="2"/>
          <c:order val="2"/>
          <c:tx>
            <c:strRef>
              <c:f>Sheet12!$J$2</c:f>
              <c:strCache>
                <c:ptCount val="1"/>
                <c:pt idx="0">
                  <c:v>Custom Achieved</c:v>
                </c:pt>
              </c:strCache>
            </c:strRef>
          </c:tx>
          <c:spPr>
            <a:gradFill>
              <a:gsLst>
                <a:gs pos="0">
                  <a:srgbClr val="F7C8B5"/>
                </a:gs>
                <a:gs pos="50000">
                  <a:srgbClr val="F7AE88"/>
                </a:gs>
                <a:gs pos="100000">
                  <a:srgbClr val="EE9D73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4"/>
            <c:invertIfNegative val="0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4ADD-4F6A-A9FC-2A511A5F871D}"/>
              </c:ext>
            </c:extLst>
          </c:dPt>
          <c:dPt>
            <c:idx val="9"/>
            <c:invertIfNegative val="0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4ADD-4F6A-A9FC-2A511A5F871D}"/>
              </c:ext>
            </c:extLst>
          </c:dPt>
          <c:dLbls>
            <c:dLbl>
              <c:idx val="4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3A7D22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4ADD-4F6A-A9FC-2A511A5F871D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3A7D22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4ADD-4F6A-A9FC-2A511A5F87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3A7D22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(Sheet12!$J$6:$J$11,Sheet12!$J$13,Sheet12!$J$15:$J$16,Sheet12!$J$18:$J$26)</c:f>
              <c:numCache>
                <c:formatCode>General</c:formatCode>
                <c:ptCount val="18"/>
                <c:pt idx="0">
                  <c:v>45</c:v>
                </c:pt>
                <c:pt idx="1">
                  <c:v>50</c:v>
                </c:pt>
                <c:pt idx="2">
                  <c:v>44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34</c:v>
                </c:pt>
                <c:pt idx="8">
                  <c:v>20</c:v>
                </c:pt>
                <c:pt idx="9">
                  <c:v>33</c:v>
                </c:pt>
                <c:pt idx="10">
                  <c:v>0</c:v>
                </c:pt>
                <c:pt idx="11">
                  <c:v>40</c:v>
                </c:pt>
                <c:pt idx="12">
                  <c:v>10</c:v>
                </c:pt>
                <c:pt idx="13">
                  <c:v>15</c:v>
                </c:pt>
                <c:pt idx="14">
                  <c:v>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ADD-4F6A-A9FC-2A511A5F8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7315205"/>
        <c:axId val="15659055"/>
      </c:barChart>
      <c:lineChart>
        <c:grouping val="stacked"/>
        <c:varyColors val="0"/>
        <c:ser>
          <c:idx val="3"/>
          <c:order val="3"/>
          <c:tx>
            <c:strRef>
              <c:f>Sheet12!$K$2</c:f>
              <c:strCache>
                <c:ptCount val="1"/>
                <c:pt idx="0">
                  <c:v>Total Goal</c:v>
                </c:pt>
              </c:strCache>
            </c:strRef>
          </c:tx>
          <c:spPr>
            <a:ln w="34920" cap="rnd">
              <a:solidFill>
                <a:srgbClr val="2CBAF0"/>
              </a:solidFill>
              <a:round/>
            </a:ln>
          </c:spPr>
          <c:marker>
            <c:symbol val="circle"/>
            <c:size val="6"/>
            <c:spPr>
              <a:solidFill>
                <a:srgbClr val="2CBAF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(Sheet12!$K$6:$K$11,Sheet12!$K$13,Sheet12!$K$15:$K$16,Sheet12!$K$18:$K$26)</c:f>
              <c:numCache>
                <c:formatCode>General</c:formatCode>
                <c:ptCount val="18"/>
                <c:pt idx="0">
                  <c:v>510</c:v>
                </c:pt>
                <c:pt idx="1">
                  <c:v>360</c:v>
                </c:pt>
                <c:pt idx="2">
                  <c:v>64</c:v>
                </c:pt>
                <c:pt idx="3">
                  <c:v>200</c:v>
                </c:pt>
                <c:pt idx="4">
                  <c:v>42</c:v>
                </c:pt>
                <c:pt idx="5">
                  <c:v>104</c:v>
                </c:pt>
                <c:pt idx="6">
                  <c:v>8</c:v>
                </c:pt>
                <c:pt idx="7">
                  <c:v>68</c:v>
                </c:pt>
                <c:pt idx="8">
                  <c:v>66</c:v>
                </c:pt>
                <c:pt idx="9">
                  <c:v>66</c:v>
                </c:pt>
                <c:pt idx="10">
                  <c:v>56</c:v>
                </c:pt>
                <c:pt idx="11">
                  <c:v>200</c:v>
                </c:pt>
                <c:pt idx="12">
                  <c:v>50</c:v>
                </c:pt>
                <c:pt idx="13">
                  <c:v>20</c:v>
                </c:pt>
                <c:pt idx="14">
                  <c:v>26</c:v>
                </c:pt>
                <c:pt idx="15">
                  <c:v>0</c:v>
                </c:pt>
                <c:pt idx="16">
                  <c:v>480</c:v>
                </c:pt>
                <c:pt idx="1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ADD-4F6A-A9FC-2A511A5F8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7315205"/>
        <c:axId val="15659055"/>
      </c:lineChart>
      <c:catAx>
        <c:axId val="7731520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F2F2F2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15659055"/>
        <c:crosses val="autoZero"/>
        <c:auto val="1"/>
        <c:lblAlgn val="ctr"/>
        <c:lblOffset val="100"/>
        <c:noMultiLvlLbl val="0"/>
      </c:catAx>
      <c:valAx>
        <c:axId val="15659055"/>
        <c:scaling>
          <c:orientation val="minMax"/>
          <c:max val="600"/>
          <c:min val="0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77315205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9D9D9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002060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600" b="1" strike="noStrike" spc="89">
                <a:solidFill>
                  <a:srgbClr val="F2F2F2"/>
                </a:solidFill>
                <a:latin typeface="Aptos Narrow"/>
              </a:defRPr>
            </a:pPr>
            <a:r>
              <a:rPr lang="en-US" sz="1600" b="1" strike="noStrike" spc="89">
                <a:solidFill>
                  <a:srgbClr val="F2F2F2"/>
                </a:solidFill>
                <a:latin typeface="Aptos Narrow"/>
              </a:rPr>
              <a:t>Current 2 Week WO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4688777828259898E-2"/>
          <c:y val="0.20346423629336299"/>
          <c:w val="0.89083749810692103"/>
          <c:h val="0.575273178412941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Sheet2!$F$2</c:f>
              <c:strCache>
                <c:ptCount val="1"/>
                <c:pt idx="0">
                  <c:v>Nahunta Achieved</c:v>
                </c:pt>
              </c:strCache>
            </c:strRef>
          </c:tx>
          <c:spPr>
            <a:gradFill>
              <a:gsLst>
                <a:gs pos="0">
                  <a:srgbClr val="68B056"/>
                </a:gs>
                <a:gs pos="50000">
                  <a:srgbClr val="4AAC28"/>
                </a:gs>
                <a:gs pos="100000">
                  <a:srgbClr val="409E1E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8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9A50-4DA9-B040-392398DCB41C}"/>
              </c:ext>
            </c:extLst>
          </c:dPt>
          <c:dPt>
            <c:idx val="9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9A50-4DA9-B040-392398DCB41C}"/>
              </c:ext>
            </c:extLst>
          </c:dPt>
          <c:dPt>
            <c:idx val="12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9A50-4DA9-B040-392398DCB41C}"/>
              </c:ext>
            </c:extLst>
          </c:dPt>
          <c:dLbls>
            <c:dLbl>
              <c:idx val="8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9A50-4DA9-B040-392398DCB41C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9A50-4DA9-B040-392398DCB41C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9A50-4DA9-B040-392398DCB4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(Sheet2!$C$6:$C$11,Sheet2!$C$13,Sheet2!$C$15:$C$16,Sheet2!$C$18:$C$26)</c:f>
              <c:strCache>
                <c:ptCount val="18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Omentum</c:v>
                </c:pt>
                <c:pt idx="8">
                  <c:v>Pancreas</c:v>
                </c:pt>
                <c:pt idx="9">
                  <c:v>Spleen</c:v>
                </c:pt>
                <c:pt idx="10">
                  <c:v>Hearts</c:v>
                </c:pt>
                <c:pt idx="11">
                  <c:v>Ureters</c:v>
                </c:pt>
                <c:pt idx="12">
                  <c:v>Vena Cava</c:v>
                </c:pt>
                <c:pt idx="13">
                  <c:v>Stomach</c:v>
                </c:pt>
                <c:pt idx="14">
                  <c:v>Diaphragms</c:v>
                </c:pt>
                <c:pt idx="15">
                  <c:v>Male Pelvic</c:v>
                </c:pt>
                <c:pt idx="16">
                  <c:v>Female Pelvic</c:v>
                </c:pt>
                <c:pt idx="17">
                  <c:v>XL Hearts</c:v>
                </c:pt>
              </c:strCache>
            </c:strRef>
          </c:cat>
          <c:val>
            <c:numRef>
              <c:f>(Sheet2!$F$6:$F$11,Sheet2!$F$13,Sheet2!$F$15:$F$16,Sheet2!$F$18:$F$26)</c:f>
              <c:numCache>
                <c:formatCode>General</c:formatCode>
                <c:ptCount val="18"/>
                <c:pt idx="0">
                  <c:v>54</c:v>
                </c:pt>
                <c:pt idx="1">
                  <c:v>0</c:v>
                </c:pt>
                <c:pt idx="2">
                  <c:v>20</c:v>
                </c:pt>
                <c:pt idx="3">
                  <c:v>0</c:v>
                </c:pt>
                <c:pt idx="4">
                  <c:v>36</c:v>
                </c:pt>
                <c:pt idx="5">
                  <c:v>100</c:v>
                </c:pt>
                <c:pt idx="6">
                  <c:v>8</c:v>
                </c:pt>
                <c:pt idx="7">
                  <c:v>34</c:v>
                </c:pt>
                <c:pt idx="8">
                  <c:v>46</c:v>
                </c:pt>
                <c:pt idx="9">
                  <c:v>33</c:v>
                </c:pt>
                <c:pt idx="10">
                  <c:v>33</c:v>
                </c:pt>
                <c:pt idx="11">
                  <c:v>130</c:v>
                </c:pt>
                <c:pt idx="12">
                  <c:v>0</c:v>
                </c:pt>
                <c:pt idx="13">
                  <c:v>5</c:v>
                </c:pt>
                <c:pt idx="14">
                  <c:v>18</c:v>
                </c:pt>
                <c:pt idx="15">
                  <c:v>0</c:v>
                </c:pt>
                <c:pt idx="16">
                  <c:v>0</c:v>
                </c:pt>
                <c:pt idx="1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A50-4DA9-B040-392398DCB41C}"/>
            </c:ext>
          </c:extLst>
        </c:ser>
        <c:ser>
          <c:idx val="1"/>
          <c:order val="1"/>
          <c:tx>
            <c:strRef>
              <c:f>Sheet2!$H$2</c:f>
              <c:strCache>
                <c:ptCount val="1"/>
                <c:pt idx="0">
                  <c:v>Martin Achieved</c:v>
                </c:pt>
              </c:strCache>
            </c:strRef>
          </c:tx>
          <c:spPr>
            <a:gradFill>
              <a:gsLst>
                <a:gs pos="0">
                  <a:srgbClr val="4EA9DA"/>
                </a:gs>
                <a:gs pos="50000">
                  <a:srgbClr val="05A1DE"/>
                </a:gs>
                <a:gs pos="100000">
                  <a:srgbClr val="0091CA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4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8-9A50-4DA9-B040-392398DCB41C}"/>
              </c:ext>
            </c:extLst>
          </c:dPt>
          <c:dPt>
            <c:idx val="6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A-9A50-4DA9-B040-392398DCB41C}"/>
              </c:ext>
            </c:extLst>
          </c:dPt>
          <c:dPt>
            <c:idx val="9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C-9A50-4DA9-B040-392398DCB41C}"/>
              </c:ext>
            </c:extLst>
          </c:dPt>
          <c:dPt>
            <c:idx val="12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E-9A50-4DA9-B040-392398DCB41C}"/>
              </c:ext>
            </c:extLst>
          </c:dPt>
          <c:dLbls>
            <c:dLbl>
              <c:idx val="4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8-9A50-4DA9-B040-392398DCB41C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A-9A50-4DA9-B040-392398DCB41C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C-9A50-4DA9-B040-392398DCB41C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E-9A50-4DA9-B040-392398DCB4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FFFFFF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(Sheet2!$C$6:$C$11,Sheet2!$C$13,Sheet2!$C$15:$C$16,Sheet2!$C$18:$C$26)</c:f>
              <c:strCache>
                <c:ptCount val="18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Omentum</c:v>
                </c:pt>
                <c:pt idx="8">
                  <c:v>Pancreas</c:v>
                </c:pt>
                <c:pt idx="9">
                  <c:v>Spleen</c:v>
                </c:pt>
                <c:pt idx="10">
                  <c:v>Hearts</c:v>
                </c:pt>
                <c:pt idx="11">
                  <c:v>Ureters</c:v>
                </c:pt>
                <c:pt idx="12">
                  <c:v>Vena Cava</c:v>
                </c:pt>
                <c:pt idx="13">
                  <c:v>Stomach</c:v>
                </c:pt>
                <c:pt idx="14">
                  <c:v>Diaphragms</c:v>
                </c:pt>
                <c:pt idx="15">
                  <c:v>Male Pelvic</c:v>
                </c:pt>
                <c:pt idx="16">
                  <c:v>Female Pelvic</c:v>
                </c:pt>
                <c:pt idx="17">
                  <c:v>XL Hearts</c:v>
                </c:pt>
              </c:strCache>
            </c:strRef>
          </c:cat>
          <c:val>
            <c:numRef>
              <c:f>(Sheet2!$H$6:$H$11,Sheet2!$H$13,Sheet2!$H$15:$H$16,Sheet2!$H$18:$H$26)</c:f>
              <c:numCache>
                <c:formatCode>General</c:formatCode>
                <c:ptCount val="18"/>
                <c:pt idx="0">
                  <c:v>558</c:v>
                </c:pt>
                <c:pt idx="1">
                  <c:v>301</c:v>
                </c:pt>
                <c:pt idx="2">
                  <c:v>0</c:v>
                </c:pt>
                <c:pt idx="3">
                  <c:v>77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190</c:v>
                </c:pt>
                <c:pt idx="12">
                  <c:v>40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573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50-4DA9-B040-392398DCB41C}"/>
            </c:ext>
          </c:extLst>
        </c:ser>
        <c:ser>
          <c:idx val="2"/>
          <c:order val="2"/>
          <c:tx>
            <c:strRef>
              <c:f>Sheet2!$J$2</c:f>
              <c:strCache>
                <c:ptCount val="1"/>
                <c:pt idx="0">
                  <c:v>Custom Achieved</c:v>
                </c:pt>
              </c:strCache>
            </c:strRef>
          </c:tx>
          <c:spPr>
            <a:gradFill>
              <a:gsLst>
                <a:gs pos="0">
                  <a:srgbClr val="F7C8B5"/>
                </a:gs>
                <a:gs pos="50000">
                  <a:srgbClr val="F7AE88"/>
                </a:gs>
                <a:gs pos="100000">
                  <a:srgbClr val="EE9D73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4"/>
            <c:invertIfNegative val="0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9A50-4DA9-B040-392398DCB41C}"/>
              </c:ext>
            </c:extLst>
          </c:dPt>
          <c:dPt>
            <c:idx val="9"/>
            <c:invertIfNegative val="0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9A50-4DA9-B040-392398DCB41C}"/>
              </c:ext>
            </c:extLst>
          </c:dPt>
          <c:dLbls>
            <c:dLbl>
              <c:idx val="4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3A7D22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9A50-4DA9-B040-392398DCB41C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3A7D22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9A50-4DA9-B040-392398DCB4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3A7D22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(Sheet2!$C$6:$C$11,Sheet2!$C$13,Sheet2!$C$15:$C$16,Sheet2!$C$18:$C$26)</c:f>
              <c:strCache>
                <c:ptCount val="18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Omentum</c:v>
                </c:pt>
                <c:pt idx="8">
                  <c:v>Pancreas</c:v>
                </c:pt>
                <c:pt idx="9">
                  <c:v>Spleen</c:v>
                </c:pt>
                <c:pt idx="10">
                  <c:v>Hearts</c:v>
                </c:pt>
                <c:pt idx="11">
                  <c:v>Ureters</c:v>
                </c:pt>
                <c:pt idx="12">
                  <c:v>Vena Cava</c:v>
                </c:pt>
                <c:pt idx="13">
                  <c:v>Stomach</c:v>
                </c:pt>
                <c:pt idx="14">
                  <c:v>Diaphragms</c:v>
                </c:pt>
                <c:pt idx="15">
                  <c:v>Male Pelvic</c:v>
                </c:pt>
                <c:pt idx="16">
                  <c:v>Female Pelvic</c:v>
                </c:pt>
                <c:pt idx="17">
                  <c:v>XL Hearts</c:v>
                </c:pt>
              </c:strCache>
            </c:strRef>
          </c:cat>
          <c:val>
            <c:numRef>
              <c:f>(Sheet2!$J$6:$J$11,Sheet2!$J$13,Sheet2!$J$15:$J$16,Sheet2!$J$18:$J$26)</c:f>
              <c:numCache>
                <c:formatCode>General</c:formatCode>
                <c:ptCount val="18"/>
                <c:pt idx="0">
                  <c:v>60</c:v>
                </c:pt>
                <c:pt idx="1">
                  <c:v>50</c:v>
                </c:pt>
                <c:pt idx="2">
                  <c:v>44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34</c:v>
                </c:pt>
                <c:pt idx="8">
                  <c:v>20</c:v>
                </c:pt>
                <c:pt idx="9">
                  <c:v>33</c:v>
                </c:pt>
                <c:pt idx="10">
                  <c:v>0</c:v>
                </c:pt>
                <c:pt idx="11">
                  <c:v>80</c:v>
                </c:pt>
                <c:pt idx="12">
                  <c:v>10</c:v>
                </c:pt>
                <c:pt idx="13">
                  <c:v>15</c:v>
                </c:pt>
                <c:pt idx="14">
                  <c:v>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A50-4DA9-B040-392398DCB41C}"/>
            </c:ext>
          </c:extLst>
        </c:ser>
        <c:ser>
          <c:idx val="3"/>
          <c:order val="3"/>
          <c:tx>
            <c:strRef>
              <c:f>Sheet2!$M$2</c:f>
              <c:strCache>
                <c:ptCount val="1"/>
                <c:pt idx="0">
                  <c:v>Deficit</c:v>
                </c:pt>
              </c:strCache>
            </c:strRef>
          </c:tx>
          <c:spPr>
            <a:solidFill>
              <a:srgbClr val="0F9ED5"/>
            </a:solidFill>
            <a:ln w="0">
              <a:noFill/>
            </a:ln>
          </c:spPr>
          <c:invertIfNegative val="0"/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6-9A50-4DA9-B040-392398DCB41C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8-9A50-4DA9-B040-392398DCB41C}"/>
              </c:ext>
            </c:extLst>
          </c:dPt>
          <c:dLbls>
            <c:dLbl>
              <c:idx val="15"/>
              <c:spPr/>
              <c:txPr>
                <a:bodyPr wrap="square"/>
                <a:lstStyle/>
                <a:p>
                  <a:pPr>
                    <a:defRPr sz="900" b="1" u="sng" strike="noStrike" spc="-1" baseline="20000">
                      <a:solidFill>
                        <a:srgbClr val="99FF66"/>
                      </a:solidFill>
                      <a:uFillTx/>
                      <a:latin typeface="Aptos Narrow"/>
                      <a:ea typeface="Ebrima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6-9A50-4DA9-B040-392398DCB41C}"/>
                </c:ext>
              </c:extLst>
            </c:dLbl>
            <c:dLbl>
              <c:idx val="17"/>
              <c:spPr/>
              <c:txPr>
                <a:bodyPr wrap="square"/>
                <a:lstStyle/>
                <a:p>
                  <a:pPr>
                    <a:defRPr sz="900" b="1" u="sng" strike="noStrike" spc="-1" baseline="20000">
                      <a:solidFill>
                        <a:srgbClr val="99FF66"/>
                      </a:solidFill>
                      <a:uFillTx/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8-9A50-4DA9-B040-392398DCB4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u="sng" strike="noStrike" spc="-1" baseline="20000">
                    <a:solidFill>
                      <a:srgbClr val="99FF66"/>
                    </a:solidFill>
                    <a:uFillTx/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(Sheet2!$C$6:$C$11,Sheet2!$C$13,Sheet2!$C$15:$C$16,Sheet2!$C$18:$C$26)</c:f>
              <c:strCache>
                <c:ptCount val="18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Omentum</c:v>
                </c:pt>
                <c:pt idx="8">
                  <c:v>Pancreas</c:v>
                </c:pt>
                <c:pt idx="9">
                  <c:v>Spleen</c:v>
                </c:pt>
                <c:pt idx="10">
                  <c:v>Hearts</c:v>
                </c:pt>
                <c:pt idx="11">
                  <c:v>Ureters</c:v>
                </c:pt>
                <c:pt idx="12">
                  <c:v>Vena Cava</c:v>
                </c:pt>
                <c:pt idx="13">
                  <c:v>Stomach</c:v>
                </c:pt>
                <c:pt idx="14">
                  <c:v>Diaphragms</c:v>
                </c:pt>
                <c:pt idx="15">
                  <c:v>Male Pelvic</c:v>
                </c:pt>
                <c:pt idx="16">
                  <c:v>Female Pelvic</c:v>
                </c:pt>
                <c:pt idx="17">
                  <c:v>XL Hearts</c:v>
                </c:pt>
              </c:strCache>
            </c:strRef>
          </c:cat>
          <c:val>
            <c:numRef>
              <c:f>(Sheet2!$M$6:$M$11,Sheet2!$M$13,Sheet2!$M$15:$M$16,Sheet2!$M$18:$M$26)</c:f>
              <c:numCache>
                <c:formatCode>General</c:formatCode>
                <c:ptCount val="18"/>
                <c:pt idx="0">
                  <c:v>81</c:v>
                </c:pt>
                <c:pt idx="1">
                  <c:v>49</c:v>
                </c:pt>
                <c:pt idx="2">
                  <c:v>0</c:v>
                </c:pt>
                <c:pt idx="3">
                  <c:v>323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120</c:v>
                </c:pt>
                <c:pt idx="16">
                  <c:v>27</c:v>
                </c:pt>
                <c:pt idx="17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9A50-4DA9-B040-392398DCB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50755"/>
        <c:axId val="28833627"/>
      </c:barChart>
      <c:lineChart>
        <c:grouping val="stacked"/>
        <c:varyColors val="0"/>
        <c:ser>
          <c:idx val="4"/>
          <c:order val="4"/>
          <c:tx>
            <c:strRef>
              <c:f>Sheet2!$K$2</c:f>
              <c:strCache>
                <c:ptCount val="1"/>
                <c:pt idx="0">
                  <c:v>Total Goal</c:v>
                </c:pt>
              </c:strCache>
            </c:strRef>
          </c:tx>
          <c:spPr>
            <a:ln w="34920" cap="rnd">
              <a:solidFill>
                <a:srgbClr val="2CBAF0"/>
              </a:solidFill>
              <a:round/>
            </a:ln>
          </c:spPr>
          <c:marker>
            <c:symbol val="circle"/>
            <c:size val="6"/>
            <c:spPr>
              <a:solidFill>
                <a:srgbClr val="2CBAF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(Sheet2!$C$6:$C$11,Sheet2!$C$13,Sheet2!$C$15:$C$16,Sheet2!$C$18:$C$26)</c:f>
              <c:strCache>
                <c:ptCount val="18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Omentum</c:v>
                </c:pt>
                <c:pt idx="8">
                  <c:v>Pancreas</c:v>
                </c:pt>
                <c:pt idx="9">
                  <c:v>Spleen</c:v>
                </c:pt>
                <c:pt idx="10">
                  <c:v>Hearts</c:v>
                </c:pt>
                <c:pt idx="11">
                  <c:v>Ureters</c:v>
                </c:pt>
                <c:pt idx="12">
                  <c:v>Vena Cava</c:v>
                </c:pt>
                <c:pt idx="13">
                  <c:v>Stomach</c:v>
                </c:pt>
                <c:pt idx="14">
                  <c:v>Diaphragms</c:v>
                </c:pt>
                <c:pt idx="15">
                  <c:v>Male Pelvic</c:v>
                </c:pt>
                <c:pt idx="16">
                  <c:v>Female Pelvic</c:v>
                </c:pt>
                <c:pt idx="17">
                  <c:v>XL Hearts</c:v>
                </c:pt>
              </c:strCache>
            </c:strRef>
          </c:cat>
          <c:val>
            <c:numRef>
              <c:f>(Sheet2!$K$6:$K$11,Sheet2!$K$13,Sheet2!$K$15:$K$16,Sheet2!$K$18:$K$26)</c:f>
              <c:numCache>
                <c:formatCode>General</c:formatCode>
                <c:ptCount val="18"/>
                <c:pt idx="0">
                  <c:v>753</c:v>
                </c:pt>
                <c:pt idx="1">
                  <c:v>400</c:v>
                </c:pt>
                <c:pt idx="2">
                  <c:v>64</c:v>
                </c:pt>
                <c:pt idx="3">
                  <c:v>400</c:v>
                </c:pt>
                <c:pt idx="4">
                  <c:v>42</c:v>
                </c:pt>
                <c:pt idx="5">
                  <c:v>100</c:v>
                </c:pt>
                <c:pt idx="6">
                  <c:v>8</c:v>
                </c:pt>
                <c:pt idx="7">
                  <c:v>68</c:v>
                </c:pt>
                <c:pt idx="8">
                  <c:v>66</c:v>
                </c:pt>
                <c:pt idx="9">
                  <c:v>66</c:v>
                </c:pt>
                <c:pt idx="10">
                  <c:v>52</c:v>
                </c:pt>
                <c:pt idx="11">
                  <c:v>400</c:v>
                </c:pt>
                <c:pt idx="12">
                  <c:v>50</c:v>
                </c:pt>
                <c:pt idx="13">
                  <c:v>20</c:v>
                </c:pt>
                <c:pt idx="14">
                  <c:v>26</c:v>
                </c:pt>
                <c:pt idx="15">
                  <c:v>120</c:v>
                </c:pt>
                <c:pt idx="16">
                  <c:v>600</c:v>
                </c:pt>
                <c:pt idx="1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A50-4DA9-B040-392398DCB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050755"/>
        <c:axId val="28833627"/>
      </c:lineChart>
      <c:catAx>
        <c:axId val="105075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F2F2F2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28833627"/>
        <c:crosses val="autoZero"/>
        <c:auto val="1"/>
        <c:lblAlgn val="ctr"/>
        <c:lblOffset val="100"/>
        <c:noMultiLvlLbl val="0"/>
      </c:catAx>
      <c:valAx>
        <c:axId val="28833627"/>
        <c:scaling>
          <c:orientation val="minMax"/>
          <c:max val="800"/>
          <c:min val="0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1050755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9D9D9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747474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600" b="1" strike="noStrike" spc="89">
                <a:solidFill>
                  <a:srgbClr val="F2F2F2"/>
                </a:solidFill>
                <a:latin typeface="Aptos Narrow"/>
              </a:defRPr>
            </a:pPr>
            <a:r>
              <a:rPr lang="en-US" sz="1600" b="1" strike="noStrike" spc="89">
                <a:solidFill>
                  <a:srgbClr val="F2F2F2"/>
                </a:solidFill>
                <a:latin typeface="Aptos Narrow"/>
              </a:rPr>
              <a:t>Completed 2 Week WO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4695849565937606E-2"/>
          <c:y val="0.203478925738316"/>
          <c:w val="0.89082487192858695"/>
          <c:h val="0.5753130077415660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Sheet16!$F$2</c:f>
              <c:strCache>
                <c:ptCount val="1"/>
                <c:pt idx="0">
                  <c:v>Nahunta Achieved</c:v>
                </c:pt>
              </c:strCache>
            </c:strRef>
          </c:tx>
          <c:spPr>
            <a:gradFill>
              <a:gsLst>
                <a:gs pos="0">
                  <a:srgbClr val="68B056"/>
                </a:gs>
                <a:gs pos="50000">
                  <a:srgbClr val="4AAC28"/>
                </a:gs>
                <a:gs pos="100000">
                  <a:srgbClr val="409E1E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8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B5E5-44F6-A424-28473C992693}"/>
              </c:ext>
            </c:extLst>
          </c:dPt>
          <c:dPt>
            <c:idx val="9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B5E5-44F6-A424-28473C992693}"/>
              </c:ext>
            </c:extLst>
          </c:dPt>
          <c:dPt>
            <c:idx val="12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B5E5-44F6-A424-28473C992693}"/>
              </c:ext>
            </c:extLst>
          </c:dPt>
          <c:dLbls>
            <c:dLbl>
              <c:idx val="8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B5E5-44F6-A424-28473C992693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B5E5-44F6-A424-28473C992693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B5E5-44F6-A424-28473C9926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(Sheet16!$F$6:$F$11,Sheet16!$F$13,Sheet16!$F$15:$F$16,Sheet16!$F$18:$F$26)</c:f>
              <c:numCache>
                <c:formatCode>General</c:formatCode>
                <c:ptCount val="18"/>
                <c:pt idx="0">
                  <c:v>69</c:v>
                </c:pt>
                <c:pt idx="1">
                  <c:v>0</c:v>
                </c:pt>
                <c:pt idx="2">
                  <c:v>20</c:v>
                </c:pt>
                <c:pt idx="3">
                  <c:v>0</c:v>
                </c:pt>
                <c:pt idx="4">
                  <c:v>42</c:v>
                </c:pt>
                <c:pt idx="5">
                  <c:v>100</c:v>
                </c:pt>
                <c:pt idx="6">
                  <c:v>8</c:v>
                </c:pt>
                <c:pt idx="7">
                  <c:v>34</c:v>
                </c:pt>
                <c:pt idx="8">
                  <c:v>46</c:v>
                </c:pt>
                <c:pt idx="9">
                  <c:v>33</c:v>
                </c:pt>
                <c:pt idx="10">
                  <c:v>52</c:v>
                </c:pt>
                <c:pt idx="11">
                  <c:v>130</c:v>
                </c:pt>
                <c:pt idx="12">
                  <c:v>0</c:v>
                </c:pt>
                <c:pt idx="13">
                  <c:v>5</c:v>
                </c:pt>
                <c:pt idx="14">
                  <c:v>18</c:v>
                </c:pt>
                <c:pt idx="15">
                  <c:v>0</c:v>
                </c:pt>
                <c:pt idx="16">
                  <c:v>0</c:v>
                </c:pt>
                <c:pt idx="17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5E5-44F6-A424-28473C992693}"/>
            </c:ext>
          </c:extLst>
        </c:ser>
        <c:ser>
          <c:idx val="1"/>
          <c:order val="1"/>
          <c:tx>
            <c:strRef>
              <c:f>Sheet16!$H$2</c:f>
              <c:strCache>
                <c:ptCount val="1"/>
                <c:pt idx="0">
                  <c:v>Martin Achieved</c:v>
                </c:pt>
              </c:strCache>
            </c:strRef>
          </c:tx>
          <c:spPr>
            <a:gradFill>
              <a:gsLst>
                <a:gs pos="0">
                  <a:srgbClr val="4EA9DA"/>
                </a:gs>
                <a:gs pos="50000">
                  <a:srgbClr val="05A1DE"/>
                </a:gs>
                <a:gs pos="100000">
                  <a:srgbClr val="0091CA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4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8-B5E5-44F6-A424-28473C992693}"/>
              </c:ext>
            </c:extLst>
          </c:dPt>
          <c:dPt>
            <c:idx val="6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A-B5E5-44F6-A424-28473C992693}"/>
              </c:ext>
            </c:extLst>
          </c:dPt>
          <c:dPt>
            <c:idx val="9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C-B5E5-44F6-A424-28473C992693}"/>
              </c:ext>
            </c:extLst>
          </c:dPt>
          <c:dPt>
            <c:idx val="12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E-B5E5-44F6-A424-28473C992693}"/>
              </c:ext>
            </c:extLst>
          </c:dPt>
          <c:dLbls>
            <c:dLbl>
              <c:idx val="4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8-B5E5-44F6-A424-28473C992693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A-B5E5-44F6-A424-28473C992693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C-B5E5-44F6-A424-28473C992693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E-B5E5-44F6-A424-28473C9926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FFFFFF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(Sheet16!$H$6:$H$11,Sheet16!$H$13,Sheet16!$H$15:$H$16,Sheet16!$H$18:$H$26)</c:f>
              <c:numCache>
                <c:formatCode>General</c:formatCode>
                <c:ptCount val="18"/>
                <c:pt idx="0">
                  <c:v>624</c:v>
                </c:pt>
                <c:pt idx="1">
                  <c:v>350</c:v>
                </c:pt>
                <c:pt idx="2">
                  <c:v>0</c:v>
                </c:pt>
                <c:pt idx="3">
                  <c:v>19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190</c:v>
                </c:pt>
                <c:pt idx="12">
                  <c:v>40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308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5E5-44F6-A424-28473C992693}"/>
            </c:ext>
          </c:extLst>
        </c:ser>
        <c:ser>
          <c:idx val="2"/>
          <c:order val="2"/>
          <c:tx>
            <c:strRef>
              <c:f>Sheet16!$J$2</c:f>
              <c:strCache>
                <c:ptCount val="1"/>
                <c:pt idx="0">
                  <c:v>Custom Achieved</c:v>
                </c:pt>
              </c:strCache>
            </c:strRef>
          </c:tx>
          <c:spPr>
            <a:gradFill>
              <a:gsLst>
                <a:gs pos="0">
                  <a:srgbClr val="F7C8B5"/>
                </a:gs>
                <a:gs pos="50000">
                  <a:srgbClr val="F7AE88"/>
                </a:gs>
                <a:gs pos="100000">
                  <a:srgbClr val="EE9D73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4"/>
            <c:invertIfNegative val="0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B5E5-44F6-A424-28473C992693}"/>
              </c:ext>
            </c:extLst>
          </c:dPt>
          <c:dPt>
            <c:idx val="9"/>
            <c:invertIfNegative val="0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B5E5-44F6-A424-28473C992693}"/>
              </c:ext>
            </c:extLst>
          </c:dPt>
          <c:dLbls>
            <c:dLbl>
              <c:idx val="4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3A7D22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B5E5-44F6-A424-28473C992693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3A7D22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B5E5-44F6-A424-28473C9926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3A7D22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(Sheet16!$J$6:$J$11,Sheet16!$J$13,Sheet16!$J$15:$J$16,Sheet16!$J$18:$J$26)</c:f>
              <c:numCache>
                <c:formatCode>General</c:formatCode>
                <c:ptCount val="18"/>
                <c:pt idx="0">
                  <c:v>60</c:v>
                </c:pt>
                <c:pt idx="1">
                  <c:v>50</c:v>
                </c:pt>
                <c:pt idx="2">
                  <c:v>44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34</c:v>
                </c:pt>
                <c:pt idx="8">
                  <c:v>20</c:v>
                </c:pt>
                <c:pt idx="9">
                  <c:v>33</c:v>
                </c:pt>
                <c:pt idx="10">
                  <c:v>0</c:v>
                </c:pt>
                <c:pt idx="11">
                  <c:v>80</c:v>
                </c:pt>
                <c:pt idx="12">
                  <c:v>10</c:v>
                </c:pt>
                <c:pt idx="13">
                  <c:v>15</c:v>
                </c:pt>
                <c:pt idx="14">
                  <c:v>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5E5-44F6-A424-28473C992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6131922"/>
        <c:axId val="8978455"/>
      </c:barChart>
      <c:lineChart>
        <c:grouping val="stacked"/>
        <c:varyColors val="0"/>
        <c:ser>
          <c:idx val="3"/>
          <c:order val="3"/>
          <c:tx>
            <c:strRef>
              <c:f>Sheet2!$K$2</c:f>
              <c:strCache>
                <c:ptCount val="1"/>
                <c:pt idx="0">
                  <c:v>Total Goal</c:v>
                </c:pt>
              </c:strCache>
            </c:strRef>
          </c:tx>
          <c:spPr>
            <a:ln w="34920" cap="rnd">
              <a:solidFill>
                <a:srgbClr val="2CBAF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(Sheet2!$K$6:$K$11,Sheet2!$K$13,Sheet2!$K$15:$K$16,Sheet2!$K$18:$K$26)</c:f>
              <c:numCache>
                <c:formatCode>General</c:formatCode>
                <c:ptCount val="18"/>
                <c:pt idx="0">
                  <c:v>753</c:v>
                </c:pt>
                <c:pt idx="1">
                  <c:v>400</c:v>
                </c:pt>
                <c:pt idx="2">
                  <c:v>64</c:v>
                </c:pt>
                <c:pt idx="3">
                  <c:v>400</c:v>
                </c:pt>
                <c:pt idx="4">
                  <c:v>42</c:v>
                </c:pt>
                <c:pt idx="5">
                  <c:v>100</c:v>
                </c:pt>
                <c:pt idx="6">
                  <c:v>8</c:v>
                </c:pt>
                <c:pt idx="7">
                  <c:v>68</c:v>
                </c:pt>
                <c:pt idx="8">
                  <c:v>66</c:v>
                </c:pt>
                <c:pt idx="9">
                  <c:v>66</c:v>
                </c:pt>
                <c:pt idx="10">
                  <c:v>52</c:v>
                </c:pt>
                <c:pt idx="11">
                  <c:v>400</c:v>
                </c:pt>
                <c:pt idx="12">
                  <c:v>50</c:v>
                </c:pt>
                <c:pt idx="13">
                  <c:v>20</c:v>
                </c:pt>
                <c:pt idx="14">
                  <c:v>26</c:v>
                </c:pt>
                <c:pt idx="15">
                  <c:v>120</c:v>
                </c:pt>
                <c:pt idx="16">
                  <c:v>600</c:v>
                </c:pt>
                <c:pt idx="1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5E5-44F6-A424-28473C992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6131922"/>
        <c:axId val="8978455"/>
      </c:lineChart>
      <c:catAx>
        <c:axId val="2613192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F2F2F2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8978455"/>
        <c:crosses val="autoZero"/>
        <c:auto val="1"/>
        <c:lblAlgn val="ctr"/>
        <c:lblOffset val="100"/>
        <c:noMultiLvlLbl val="0"/>
      </c:catAx>
      <c:valAx>
        <c:axId val="8978455"/>
        <c:scaling>
          <c:orientation val="minMax"/>
          <c:max val="800"/>
          <c:min val="0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261319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67553996525379101"/>
          <c:y val="1.55329357844425E-2"/>
          <c:w val="0.12771239371027199"/>
          <c:h val="0.11375206006226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9D9D9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CC3300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600" b="1" strike="noStrike" spc="89">
                <a:solidFill>
                  <a:srgbClr val="F2F2F2"/>
                </a:solidFill>
                <a:latin typeface="Aptos Narrow"/>
              </a:defRPr>
            </a:pPr>
            <a:r>
              <a:rPr lang="en-US" sz="1600" b="1" strike="noStrike" spc="89">
                <a:solidFill>
                  <a:srgbClr val="F2F2F2"/>
                </a:solidFill>
                <a:latin typeface="Aptos Narrow"/>
              </a:rPr>
              <a:t>Q1 To Date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4699615270790202E-2"/>
          <c:y val="0.20347577559581401"/>
          <c:w val="0.89082568807339502"/>
          <c:h val="0.57530078827271502"/>
        </c:manualLayout>
      </c:layout>
      <c:barChart>
        <c:barDir val="col"/>
        <c:grouping val="stacked"/>
        <c:varyColors val="0"/>
        <c:ser>
          <c:idx val="0"/>
          <c:order val="0"/>
          <c:spPr>
            <a:gradFill>
              <a:gsLst>
                <a:gs pos="0">
                  <a:srgbClr val="68B056"/>
                </a:gs>
                <a:gs pos="50000">
                  <a:srgbClr val="4AAC28"/>
                </a:gs>
                <a:gs pos="100000">
                  <a:srgbClr val="409E1E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6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FF40-4E06-8EA4-4ECBBE2E2B23}"/>
              </c:ext>
            </c:extLst>
          </c:dPt>
          <c:dPt>
            <c:idx val="10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FF40-4E06-8EA4-4ECBBE2E2B23}"/>
              </c:ext>
            </c:extLst>
          </c:dPt>
          <c:dPt>
            <c:idx val="12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FF40-4E06-8EA4-4ECBBE2E2B23}"/>
              </c:ext>
            </c:extLst>
          </c:dPt>
          <c:dPt>
            <c:idx val="15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FF40-4E06-8EA4-4ECBBE2E2B23}"/>
              </c:ext>
            </c:extLst>
          </c:dPt>
          <c:dLbls>
            <c:dLbl>
              <c:idx val="6"/>
              <c:numFmt formatCode="General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FF40-4E06-8EA4-4ECBBE2E2B23}"/>
                </c:ext>
              </c:extLst>
            </c:dLbl>
            <c:dLbl>
              <c:idx val="10"/>
              <c:numFmt formatCode="General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FF40-4E06-8EA4-4ECBBE2E2B23}"/>
                </c:ext>
              </c:extLst>
            </c:dLbl>
            <c:dLbl>
              <c:idx val="12"/>
              <c:numFmt formatCode="General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FF40-4E06-8EA4-4ECBBE2E2B23}"/>
                </c:ext>
              </c:extLst>
            </c:dLbl>
            <c:dLbl>
              <c:idx val="15"/>
              <c:numFmt formatCode="General" sourceLinked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FF40-4E06-8EA4-4ECBBE2E2B23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0</c:f>
              <c:numCache>
                <c:formatCode>General</c:formatCode>
                <c:ptCount val="21"/>
                <c:pt idx="0">
                  <c:v>246</c:v>
                </c:pt>
                <c:pt idx="1">
                  <c:v>0</c:v>
                </c:pt>
                <c:pt idx="2">
                  <c:v>137</c:v>
                </c:pt>
                <c:pt idx="3">
                  <c:v>0</c:v>
                </c:pt>
                <c:pt idx="4">
                  <c:v>320</c:v>
                </c:pt>
                <c:pt idx="5">
                  <c:v>595</c:v>
                </c:pt>
                <c:pt idx="6">
                  <c:v>0</c:v>
                </c:pt>
                <c:pt idx="7">
                  <c:v>54</c:v>
                </c:pt>
                <c:pt idx="8">
                  <c:v>20</c:v>
                </c:pt>
                <c:pt idx="9">
                  <c:v>174</c:v>
                </c:pt>
                <c:pt idx="10">
                  <c:v>274</c:v>
                </c:pt>
                <c:pt idx="11">
                  <c:v>0</c:v>
                </c:pt>
                <c:pt idx="12">
                  <c:v>222</c:v>
                </c:pt>
                <c:pt idx="13">
                  <c:v>139</c:v>
                </c:pt>
                <c:pt idx="14">
                  <c:v>810</c:v>
                </c:pt>
                <c:pt idx="15">
                  <c:v>0</c:v>
                </c:pt>
                <c:pt idx="16">
                  <c:v>34</c:v>
                </c:pt>
                <c:pt idx="17">
                  <c:v>125</c:v>
                </c:pt>
                <c:pt idx="18">
                  <c:v>0</c:v>
                </c:pt>
                <c:pt idx="19">
                  <c:v>0</c:v>
                </c:pt>
                <c:pt idx="20">
                  <c:v>59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2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FF40-4E06-8EA4-4ECBBE2E2B23}"/>
            </c:ext>
          </c:extLst>
        </c:ser>
        <c:ser>
          <c:idx val="1"/>
          <c:order val="1"/>
          <c:spPr>
            <a:gradFill>
              <a:gsLst>
                <a:gs pos="0">
                  <a:srgbClr val="4EA9DA"/>
                </a:gs>
                <a:gs pos="50000">
                  <a:srgbClr val="05A1DE"/>
                </a:gs>
                <a:gs pos="100000">
                  <a:srgbClr val="0091CA"/>
                </a:gs>
              </a:gsLst>
              <a:lin ang="5400000"/>
            </a:gradFill>
            <a:ln w="0">
              <a:noFill/>
            </a:ln>
          </c:spPr>
          <c:invertIfNegative val="0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FFFFFF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1</c:f>
              <c:numCache>
                <c:formatCode>General</c:formatCode>
                <c:ptCount val="21"/>
                <c:pt idx="0">
                  <c:v>2322</c:v>
                </c:pt>
                <c:pt idx="1">
                  <c:v>1832</c:v>
                </c:pt>
                <c:pt idx="2">
                  <c:v>0</c:v>
                </c:pt>
                <c:pt idx="3">
                  <c:v>756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1250</c:v>
                </c:pt>
                <c:pt idx="15">
                  <c:v>374</c:v>
                </c:pt>
                <c:pt idx="16">
                  <c:v>0</c:v>
                </c:pt>
                <c:pt idx="17">
                  <c:v>0</c:v>
                </c:pt>
                <c:pt idx="18">
                  <c:v>240</c:v>
                </c:pt>
                <c:pt idx="19">
                  <c:v>2363</c:v>
                </c:pt>
                <c:pt idx="2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2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FF40-4E06-8EA4-4ECBBE2E2B23}"/>
            </c:ext>
          </c:extLst>
        </c:ser>
        <c:ser>
          <c:idx val="2"/>
          <c:order val="2"/>
          <c:spPr>
            <a:gradFill>
              <a:gsLst>
                <a:gs pos="0">
                  <a:srgbClr val="F7C8B5"/>
                </a:gs>
                <a:gs pos="50000">
                  <a:srgbClr val="F7AE88"/>
                </a:gs>
                <a:gs pos="100000">
                  <a:srgbClr val="EE9D73"/>
                </a:gs>
              </a:gsLst>
              <a:lin ang="5400000"/>
            </a:gradFill>
            <a:ln w="0">
              <a:noFill/>
            </a:ln>
          </c:spPr>
          <c:invertIfNegative val="0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3A7D22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2</c:f>
              <c:numCache>
                <c:formatCode>General</c:formatCode>
                <c:ptCount val="21"/>
                <c:pt idx="0">
                  <c:v>207</c:v>
                </c:pt>
                <c:pt idx="1">
                  <c:v>268</c:v>
                </c:pt>
                <c:pt idx="2">
                  <c:v>255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146</c:v>
                </c:pt>
                <c:pt idx="10">
                  <c:v>93</c:v>
                </c:pt>
                <c:pt idx="11">
                  <c:v>0</c:v>
                </c:pt>
                <c:pt idx="12">
                  <c:v>164</c:v>
                </c:pt>
                <c:pt idx="13">
                  <c:v>0</c:v>
                </c:pt>
                <c:pt idx="14">
                  <c:v>440</c:v>
                </c:pt>
                <c:pt idx="15">
                  <c:v>57</c:v>
                </c:pt>
                <c:pt idx="16">
                  <c:v>75</c:v>
                </c:pt>
                <c:pt idx="17">
                  <c:v>40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2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FF40-4E06-8EA4-4ECBBE2E2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651449"/>
        <c:axId val="50222576"/>
      </c:barChart>
      <c:lineChart>
        <c:grouping val="stacked"/>
        <c:varyColors val="0"/>
        <c:ser>
          <c:idx val="3"/>
          <c:order val="3"/>
          <c:spPr>
            <a:ln w="34920" cap="rnd">
              <a:solidFill>
                <a:srgbClr val="2CBAF0"/>
              </a:solidFill>
              <a:round/>
            </a:ln>
          </c:spPr>
          <c:marker>
            <c:symbol val="circle"/>
            <c:size val="6"/>
            <c:spPr>
              <a:solidFill>
                <a:srgbClr val="2CBAF0"/>
              </a:solidFill>
            </c:spPr>
          </c:marker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3</c:f>
              <c:numCache>
                <c:formatCode>General</c:formatCode>
                <c:ptCount val="21"/>
                <c:pt idx="0">
                  <c:v>2886</c:v>
                </c:pt>
                <c:pt idx="1">
                  <c:v>2404</c:v>
                </c:pt>
                <c:pt idx="2">
                  <c:v>434</c:v>
                </c:pt>
                <c:pt idx="3">
                  <c:v>1800</c:v>
                </c:pt>
                <c:pt idx="4">
                  <c:v>328</c:v>
                </c:pt>
                <c:pt idx="5">
                  <c:v>664</c:v>
                </c:pt>
                <c:pt idx="6">
                  <c:v>0</c:v>
                </c:pt>
                <c:pt idx="7">
                  <c:v>54</c:v>
                </c:pt>
                <c:pt idx="8">
                  <c:v>66</c:v>
                </c:pt>
                <c:pt idx="9">
                  <c:v>368</c:v>
                </c:pt>
                <c:pt idx="10">
                  <c:v>396</c:v>
                </c:pt>
                <c:pt idx="11">
                  <c:v>0</c:v>
                </c:pt>
                <c:pt idx="12">
                  <c:v>444</c:v>
                </c:pt>
                <c:pt idx="13">
                  <c:v>160</c:v>
                </c:pt>
                <c:pt idx="14">
                  <c:v>2580</c:v>
                </c:pt>
                <c:pt idx="15">
                  <c:v>468</c:v>
                </c:pt>
                <c:pt idx="16">
                  <c:v>136</c:v>
                </c:pt>
                <c:pt idx="17">
                  <c:v>180</c:v>
                </c:pt>
                <c:pt idx="18">
                  <c:v>1200</c:v>
                </c:pt>
                <c:pt idx="19">
                  <c:v>2640</c:v>
                </c:pt>
                <c:pt idx="20">
                  <c:v>94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2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FF40-4E06-8EA4-4ECBBE2E2B23}"/>
            </c:ext>
          </c:extLst>
        </c:ser>
        <c:ser>
          <c:idx val="4"/>
          <c:order val="4"/>
          <c:spPr>
            <a:ln w="34920" cap="rnd">
              <a:solidFill>
                <a:srgbClr val="68CC45"/>
              </a:solidFill>
              <a:round/>
            </a:ln>
          </c:spPr>
          <c:marker>
            <c:symbol val="circle"/>
            <c:size val="6"/>
            <c:spPr>
              <a:solidFill>
                <a:srgbClr val="68CC4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4</c:f>
              <c:numCache>
                <c:formatCode>General</c:formatCode>
                <c:ptCount val="21"/>
                <c:pt idx="0">
                  <c:v>2695</c:v>
                </c:pt>
                <c:pt idx="1">
                  <c:v>176</c:v>
                </c:pt>
                <c:pt idx="2">
                  <c:v>29</c:v>
                </c:pt>
                <c:pt idx="3">
                  <c:v>836</c:v>
                </c:pt>
                <c:pt idx="4">
                  <c:v>10</c:v>
                </c:pt>
                <c:pt idx="5">
                  <c:v>54</c:v>
                </c:pt>
                <c:pt idx="6">
                  <c:v>108</c:v>
                </c:pt>
                <c:pt idx="7">
                  <c:v>4</c:v>
                </c:pt>
                <c:pt idx="8">
                  <c:v>8</c:v>
                </c:pt>
                <c:pt idx="9">
                  <c:v>318</c:v>
                </c:pt>
                <c:pt idx="10">
                  <c:v>318</c:v>
                </c:pt>
                <c:pt idx="11">
                  <c:v>598</c:v>
                </c:pt>
                <c:pt idx="12">
                  <c:v>29</c:v>
                </c:pt>
                <c:pt idx="13">
                  <c:v>31</c:v>
                </c:pt>
                <c:pt idx="14">
                  <c:v>1694</c:v>
                </c:pt>
                <c:pt idx="15">
                  <c:v>42</c:v>
                </c:pt>
                <c:pt idx="16">
                  <c:v>10</c:v>
                </c:pt>
                <c:pt idx="17">
                  <c:v>14</c:v>
                </c:pt>
                <c:pt idx="18">
                  <c:v>700</c:v>
                </c:pt>
                <c:pt idx="19">
                  <c:v>700</c:v>
                </c:pt>
                <c:pt idx="20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2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FF40-4E06-8EA4-4ECBBE2E2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2651449"/>
        <c:axId val="50222576"/>
      </c:lineChart>
      <c:catAx>
        <c:axId val="3265144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F2F2F2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50222576"/>
        <c:crosses val="autoZero"/>
        <c:auto val="1"/>
        <c:lblAlgn val="ctr"/>
        <c:lblOffset val="100"/>
        <c:noMultiLvlLbl val="0"/>
      </c:catAx>
      <c:valAx>
        <c:axId val="50222576"/>
        <c:scaling>
          <c:orientation val="minMax"/>
          <c:max val="3500"/>
          <c:min val="0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32651449"/>
        <c:crosses val="autoZero"/>
        <c:crossBetween val="between"/>
        <c:majorUnit val="250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9D9D9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006666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600" b="1" strike="noStrike" spc="89">
                <a:solidFill>
                  <a:srgbClr val="F2F2F2"/>
                </a:solidFill>
                <a:latin typeface="Aptos Narrow"/>
              </a:defRPr>
            </a:pPr>
            <a:r>
              <a:rPr lang="en-US" sz="1600" b="1" strike="noStrike" spc="89">
                <a:solidFill>
                  <a:srgbClr val="F2F2F2"/>
                </a:solidFill>
                <a:latin typeface="Aptos Narrow"/>
              </a:rPr>
              <a:t>Current 2 Week WO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4695849565937606E-2"/>
          <c:y val="0.203478925738316"/>
          <c:w val="0.89082487192858695"/>
          <c:h val="0.5753130077415660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Sheet18!$F$2</c:f>
              <c:strCache>
                <c:ptCount val="1"/>
                <c:pt idx="0">
                  <c:v>Nahunta Achieved</c:v>
                </c:pt>
              </c:strCache>
            </c:strRef>
          </c:tx>
          <c:spPr>
            <a:gradFill>
              <a:gsLst>
                <a:gs pos="0">
                  <a:srgbClr val="68B056"/>
                </a:gs>
                <a:gs pos="50000">
                  <a:srgbClr val="4AAC28"/>
                </a:gs>
                <a:gs pos="100000">
                  <a:srgbClr val="409E1E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9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E302-4D42-BABF-B58D422988E0}"/>
              </c:ext>
            </c:extLst>
          </c:dPt>
          <c:dPt>
            <c:idx val="10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E302-4D42-BABF-B58D422988E0}"/>
              </c:ext>
            </c:extLst>
          </c:dPt>
          <c:dPt>
            <c:idx val="13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E302-4D42-BABF-B58D422988E0}"/>
              </c:ext>
            </c:extLst>
          </c:dPt>
          <c:dLbls>
            <c:dLbl>
              <c:idx val="9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E302-4D42-BABF-B58D422988E0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E302-4D42-BABF-B58D422988E0}"/>
                </c:ext>
              </c:extLst>
            </c:dLbl>
            <c:dLbl>
              <c:idx val="13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E302-4D42-BABF-B58D422988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(Sheet2!$C$6:$C$11,Sheet2!$C$13:$C$16,Sheet2!$C$18:$C$26)</c:f>
              <c:strCache>
                <c:ptCount val="19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Liver w/GB</c:v>
                </c:pt>
                <c:pt idx="8">
                  <c:v>Omentum</c:v>
                </c:pt>
                <c:pt idx="9">
                  <c:v>Pancreas</c:v>
                </c:pt>
                <c:pt idx="10">
                  <c:v>Spleen</c:v>
                </c:pt>
                <c:pt idx="11">
                  <c:v>Hearts</c:v>
                </c:pt>
                <c:pt idx="12">
                  <c:v>Ureters</c:v>
                </c:pt>
                <c:pt idx="13">
                  <c:v>Vena Cava</c:v>
                </c:pt>
                <c:pt idx="14">
                  <c:v>Stomach</c:v>
                </c:pt>
                <c:pt idx="15">
                  <c:v>Diaphragms</c:v>
                </c:pt>
                <c:pt idx="16">
                  <c:v>Male Pelvic</c:v>
                </c:pt>
                <c:pt idx="17">
                  <c:v>Female Pelvic</c:v>
                </c:pt>
                <c:pt idx="18">
                  <c:v>XL Hearts</c:v>
                </c:pt>
              </c:strCache>
            </c:strRef>
          </c:cat>
          <c:val>
            <c:numRef>
              <c:f>(Sheet18!$F$6:$F$11,Sheet18!$F$13:$F$16,Sheet18!$F$18:$F$26)</c:f>
              <c:numCache>
                <c:formatCode>General</c:formatCode>
                <c:ptCount val="19"/>
                <c:pt idx="0">
                  <c:v>72</c:v>
                </c:pt>
                <c:pt idx="1">
                  <c:v>0</c:v>
                </c:pt>
                <c:pt idx="2">
                  <c:v>19</c:v>
                </c:pt>
                <c:pt idx="3">
                  <c:v>0</c:v>
                </c:pt>
                <c:pt idx="4">
                  <c:v>16</c:v>
                </c:pt>
                <c:pt idx="5">
                  <c:v>68</c:v>
                </c:pt>
                <c:pt idx="6">
                  <c:v>6</c:v>
                </c:pt>
                <c:pt idx="7">
                  <c:v>6</c:v>
                </c:pt>
                <c:pt idx="8">
                  <c:v>31</c:v>
                </c:pt>
                <c:pt idx="9">
                  <c:v>39</c:v>
                </c:pt>
                <c:pt idx="10">
                  <c:v>26</c:v>
                </c:pt>
                <c:pt idx="11">
                  <c:v>74</c:v>
                </c:pt>
                <c:pt idx="12">
                  <c:v>190</c:v>
                </c:pt>
                <c:pt idx="13">
                  <c:v>0</c:v>
                </c:pt>
                <c:pt idx="14">
                  <c:v>0</c:v>
                </c:pt>
                <c:pt idx="15">
                  <c:v>20</c:v>
                </c:pt>
                <c:pt idx="16">
                  <c:v>0</c:v>
                </c:pt>
                <c:pt idx="17">
                  <c:v>0</c:v>
                </c:pt>
                <c:pt idx="1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302-4D42-BABF-B58D422988E0}"/>
            </c:ext>
          </c:extLst>
        </c:ser>
        <c:ser>
          <c:idx val="1"/>
          <c:order val="1"/>
          <c:tx>
            <c:strRef>
              <c:f>Sheet18!$H$2</c:f>
              <c:strCache>
                <c:ptCount val="1"/>
                <c:pt idx="0">
                  <c:v>Martin Achieved</c:v>
                </c:pt>
              </c:strCache>
            </c:strRef>
          </c:tx>
          <c:spPr>
            <a:gradFill>
              <a:gsLst>
                <a:gs pos="0">
                  <a:srgbClr val="4EA9DA"/>
                </a:gs>
                <a:gs pos="50000">
                  <a:srgbClr val="05A1DE"/>
                </a:gs>
                <a:gs pos="100000">
                  <a:srgbClr val="0091CA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4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8-E302-4D42-BABF-B58D422988E0}"/>
              </c:ext>
            </c:extLst>
          </c:dPt>
          <c:dPt>
            <c:idx val="6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A-E302-4D42-BABF-B58D422988E0}"/>
              </c:ext>
            </c:extLst>
          </c:dPt>
          <c:dPt>
            <c:idx val="7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C-E302-4D42-BABF-B58D422988E0}"/>
              </c:ext>
            </c:extLst>
          </c:dPt>
          <c:dPt>
            <c:idx val="10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E-E302-4D42-BABF-B58D422988E0}"/>
              </c:ext>
            </c:extLst>
          </c:dPt>
          <c:dPt>
            <c:idx val="13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0-E302-4D42-BABF-B58D422988E0}"/>
              </c:ext>
            </c:extLst>
          </c:dPt>
          <c:dLbls>
            <c:dLbl>
              <c:idx val="4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8-E302-4D42-BABF-B58D422988E0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A-E302-4D42-BABF-B58D422988E0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C-E302-4D42-BABF-B58D422988E0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E-E302-4D42-BABF-B58D422988E0}"/>
                </c:ext>
              </c:extLst>
            </c:dLbl>
            <c:dLbl>
              <c:idx val="13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0-E302-4D42-BABF-B58D422988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FFFFFF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(Sheet2!$C$6:$C$11,Sheet2!$C$13:$C$16,Sheet2!$C$18:$C$26)</c:f>
              <c:strCache>
                <c:ptCount val="19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Liver w/GB</c:v>
                </c:pt>
                <c:pt idx="8">
                  <c:v>Omentum</c:v>
                </c:pt>
                <c:pt idx="9">
                  <c:v>Pancreas</c:v>
                </c:pt>
                <c:pt idx="10">
                  <c:v>Spleen</c:v>
                </c:pt>
                <c:pt idx="11">
                  <c:v>Hearts</c:v>
                </c:pt>
                <c:pt idx="12">
                  <c:v>Ureters</c:v>
                </c:pt>
                <c:pt idx="13">
                  <c:v>Vena Cava</c:v>
                </c:pt>
                <c:pt idx="14">
                  <c:v>Stomach</c:v>
                </c:pt>
                <c:pt idx="15">
                  <c:v>Diaphragms</c:v>
                </c:pt>
                <c:pt idx="16">
                  <c:v>Male Pelvic</c:v>
                </c:pt>
                <c:pt idx="17">
                  <c:v>Female Pelvic</c:v>
                </c:pt>
                <c:pt idx="18">
                  <c:v>XL Hearts</c:v>
                </c:pt>
              </c:strCache>
            </c:strRef>
          </c:cat>
          <c:val>
            <c:numRef>
              <c:f>(Sheet18!$H$6:$H$11,Sheet18!$H$13:$H$16,Sheet18!$H$18:$H$26)</c:f>
              <c:numCache>
                <c:formatCode>General</c:formatCode>
                <c:ptCount val="19"/>
                <c:pt idx="0">
                  <c:v>666</c:v>
                </c:pt>
                <c:pt idx="1">
                  <c:v>256</c:v>
                </c:pt>
                <c:pt idx="2">
                  <c:v>0</c:v>
                </c:pt>
                <c:pt idx="3">
                  <c:v>85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170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542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302-4D42-BABF-B58D422988E0}"/>
            </c:ext>
          </c:extLst>
        </c:ser>
        <c:ser>
          <c:idx val="2"/>
          <c:order val="2"/>
          <c:tx>
            <c:strRef>
              <c:f>Sheet18!$J$2</c:f>
              <c:strCache>
                <c:ptCount val="1"/>
                <c:pt idx="0">
                  <c:v>Custom Achieved</c:v>
                </c:pt>
              </c:strCache>
            </c:strRef>
          </c:tx>
          <c:spPr>
            <a:gradFill>
              <a:gsLst>
                <a:gs pos="0">
                  <a:srgbClr val="F7C8B5"/>
                </a:gs>
                <a:gs pos="50000">
                  <a:srgbClr val="F7AE88"/>
                </a:gs>
                <a:gs pos="100000">
                  <a:srgbClr val="EE9D73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4"/>
            <c:invertIfNegative val="0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E302-4D42-BABF-B58D422988E0}"/>
              </c:ext>
            </c:extLst>
          </c:dPt>
          <c:dPt>
            <c:idx val="7"/>
            <c:invertIfNegative val="0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5-E302-4D42-BABF-B58D422988E0}"/>
              </c:ext>
            </c:extLst>
          </c:dPt>
          <c:dPt>
            <c:idx val="10"/>
            <c:invertIfNegative val="0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7-E302-4D42-BABF-B58D422988E0}"/>
              </c:ext>
            </c:extLst>
          </c:dPt>
          <c:dLbls>
            <c:dLbl>
              <c:idx val="4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3A7D22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E302-4D42-BABF-B58D422988E0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3A7D22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5-E302-4D42-BABF-B58D422988E0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3A7D22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7-E302-4D42-BABF-B58D422988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3A7D22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(Sheet2!$C$6:$C$11,Sheet2!$C$13:$C$16,Sheet2!$C$18:$C$26)</c:f>
              <c:strCache>
                <c:ptCount val="19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Liver w/GB</c:v>
                </c:pt>
                <c:pt idx="8">
                  <c:v>Omentum</c:v>
                </c:pt>
                <c:pt idx="9">
                  <c:v>Pancreas</c:v>
                </c:pt>
                <c:pt idx="10">
                  <c:v>Spleen</c:v>
                </c:pt>
                <c:pt idx="11">
                  <c:v>Hearts</c:v>
                </c:pt>
                <c:pt idx="12">
                  <c:v>Ureters</c:v>
                </c:pt>
                <c:pt idx="13">
                  <c:v>Vena Cava</c:v>
                </c:pt>
                <c:pt idx="14">
                  <c:v>Stomach</c:v>
                </c:pt>
                <c:pt idx="15">
                  <c:v>Diaphragms</c:v>
                </c:pt>
                <c:pt idx="16">
                  <c:v>Male Pelvic</c:v>
                </c:pt>
                <c:pt idx="17">
                  <c:v>Female Pelvic</c:v>
                </c:pt>
                <c:pt idx="18">
                  <c:v>XL Hearts</c:v>
                </c:pt>
              </c:strCache>
            </c:strRef>
          </c:cat>
          <c:val>
            <c:numRef>
              <c:f>(Sheet18!$J$6:$J$11,Sheet18!$J$13:$J$16,Sheet18!$J$18:$J$26)</c:f>
              <c:numCache>
                <c:formatCode>General</c:formatCode>
                <c:ptCount val="19"/>
                <c:pt idx="0">
                  <c:v>66</c:v>
                </c:pt>
                <c:pt idx="1">
                  <c:v>74</c:v>
                </c:pt>
                <c:pt idx="2">
                  <c:v>39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14</c:v>
                </c:pt>
                <c:pt idx="8">
                  <c:v>31</c:v>
                </c:pt>
                <c:pt idx="9">
                  <c:v>17</c:v>
                </c:pt>
                <c:pt idx="10">
                  <c:v>26</c:v>
                </c:pt>
                <c:pt idx="11">
                  <c:v>0</c:v>
                </c:pt>
                <c:pt idx="12">
                  <c:v>100</c:v>
                </c:pt>
                <c:pt idx="13">
                  <c:v>40</c:v>
                </c:pt>
                <c:pt idx="14">
                  <c:v>24</c:v>
                </c:pt>
                <c:pt idx="15">
                  <c:v>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302-4D42-BABF-B58D42298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3125864"/>
        <c:axId val="32351455"/>
      </c:barChart>
      <c:lineChart>
        <c:grouping val="stacked"/>
        <c:varyColors val="0"/>
        <c:ser>
          <c:idx val="3"/>
          <c:order val="3"/>
          <c:tx>
            <c:strRef>
              <c:f>Sheet18!$K$2</c:f>
              <c:strCache>
                <c:ptCount val="1"/>
                <c:pt idx="0">
                  <c:v>Total Goal</c:v>
                </c:pt>
              </c:strCache>
            </c:strRef>
          </c:tx>
          <c:spPr>
            <a:ln w="34920" cap="rnd">
              <a:solidFill>
                <a:srgbClr val="2CBAF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(Sheet2!$C$6:$C$11,Sheet2!$C$13:$C$16,Sheet2!$C$18:$C$26)</c:f>
              <c:strCache>
                <c:ptCount val="19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Liver w/GB</c:v>
                </c:pt>
                <c:pt idx="8">
                  <c:v>Omentum</c:v>
                </c:pt>
                <c:pt idx="9">
                  <c:v>Pancreas</c:v>
                </c:pt>
                <c:pt idx="10">
                  <c:v>Spleen</c:v>
                </c:pt>
                <c:pt idx="11">
                  <c:v>Hearts</c:v>
                </c:pt>
                <c:pt idx="12">
                  <c:v>Ureters</c:v>
                </c:pt>
                <c:pt idx="13">
                  <c:v>Vena Cava</c:v>
                </c:pt>
                <c:pt idx="14">
                  <c:v>Stomach</c:v>
                </c:pt>
                <c:pt idx="15">
                  <c:v>Diaphragms</c:v>
                </c:pt>
                <c:pt idx="16">
                  <c:v>Male Pelvic</c:v>
                </c:pt>
                <c:pt idx="17">
                  <c:v>Female Pelvic</c:v>
                </c:pt>
                <c:pt idx="18">
                  <c:v>XL Hearts</c:v>
                </c:pt>
              </c:strCache>
            </c:strRef>
          </c:cat>
          <c:val>
            <c:numRef>
              <c:f>(Sheet18!$K$6:$K$11,Sheet18!$K$13:$K$16,Sheet18!$K$18:$K$26)</c:f>
              <c:numCache>
                <c:formatCode>General</c:formatCode>
                <c:ptCount val="19"/>
                <c:pt idx="0">
                  <c:v>804</c:v>
                </c:pt>
                <c:pt idx="1">
                  <c:v>351</c:v>
                </c:pt>
                <c:pt idx="2">
                  <c:v>58</c:v>
                </c:pt>
                <c:pt idx="3">
                  <c:v>277</c:v>
                </c:pt>
                <c:pt idx="4">
                  <c:v>16</c:v>
                </c:pt>
                <c:pt idx="5">
                  <c:v>68</c:v>
                </c:pt>
                <c:pt idx="6">
                  <c:v>6</c:v>
                </c:pt>
                <c:pt idx="7">
                  <c:v>20</c:v>
                </c:pt>
                <c:pt idx="8">
                  <c:v>62</c:v>
                </c:pt>
                <c:pt idx="9">
                  <c:v>56</c:v>
                </c:pt>
                <c:pt idx="10">
                  <c:v>52</c:v>
                </c:pt>
                <c:pt idx="11">
                  <c:v>120</c:v>
                </c:pt>
                <c:pt idx="12">
                  <c:v>460</c:v>
                </c:pt>
                <c:pt idx="13">
                  <c:v>40</c:v>
                </c:pt>
                <c:pt idx="14">
                  <c:v>24</c:v>
                </c:pt>
                <c:pt idx="15">
                  <c:v>28</c:v>
                </c:pt>
                <c:pt idx="16">
                  <c:v>40</c:v>
                </c:pt>
                <c:pt idx="17">
                  <c:v>680</c:v>
                </c:pt>
                <c:pt idx="18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302-4D42-BABF-B58D42298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3125864"/>
        <c:axId val="32351455"/>
      </c:lineChart>
      <c:catAx>
        <c:axId val="531258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F2F2F2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32351455"/>
        <c:crosses val="autoZero"/>
        <c:auto val="1"/>
        <c:lblAlgn val="ctr"/>
        <c:lblOffset val="100"/>
        <c:noMultiLvlLbl val="0"/>
      </c:catAx>
      <c:valAx>
        <c:axId val="32351455"/>
        <c:scaling>
          <c:orientation val="minMax"/>
          <c:max val="800"/>
          <c:min val="0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531258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67553996525379101"/>
          <c:y val="1.55329357844425E-2"/>
          <c:w val="0.12771239371027199"/>
          <c:h val="0.11375206006226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9D9D9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660033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600" b="1" strike="noStrike" spc="89">
                <a:solidFill>
                  <a:srgbClr val="F2F2F2"/>
                </a:solidFill>
                <a:latin typeface="Aptos Narrow"/>
              </a:defRPr>
            </a:pPr>
            <a:r>
              <a:rPr lang="en-US" sz="1600" b="1" strike="noStrike" spc="89">
                <a:solidFill>
                  <a:srgbClr val="F2F2F2"/>
                </a:solidFill>
                <a:latin typeface="Aptos Narrow"/>
              </a:rPr>
              <a:t>Current 2 Week WO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4695849565937606E-2"/>
          <c:y val="0.203478925738316"/>
          <c:w val="0.89082487192858695"/>
          <c:h val="0.5753130077415660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Sheet18!$F$2</c:f>
              <c:strCache>
                <c:ptCount val="1"/>
                <c:pt idx="0">
                  <c:v>Nahunta Achieved</c:v>
                </c:pt>
              </c:strCache>
            </c:strRef>
          </c:tx>
          <c:spPr>
            <a:gradFill>
              <a:gsLst>
                <a:gs pos="0">
                  <a:srgbClr val="68B056"/>
                </a:gs>
                <a:gs pos="50000">
                  <a:srgbClr val="4AAC28"/>
                </a:gs>
                <a:gs pos="100000">
                  <a:srgbClr val="409E1E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8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EB4A-4E35-B546-B8FDE8996A5F}"/>
              </c:ext>
            </c:extLst>
          </c:dPt>
          <c:dPt>
            <c:idx val="9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EB4A-4E35-B546-B8FDE8996A5F}"/>
              </c:ext>
            </c:extLst>
          </c:dPt>
          <c:dPt>
            <c:idx val="12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EB4A-4E35-B546-B8FDE8996A5F}"/>
              </c:ext>
            </c:extLst>
          </c:dPt>
          <c:dLbls>
            <c:dLbl>
              <c:idx val="8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EB4A-4E35-B546-B8FDE8996A5F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EB4A-4E35-B546-B8FDE8996A5F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EB4A-4E35-B546-B8FDE8996A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(Sheet2!$C$6:$C$11,Sheet2!$C$13,Sheet2!$C$15:$C$16,Sheet2!$C$18:$C$26)</c:f>
              <c:strCache>
                <c:ptCount val="18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Omentum</c:v>
                </c:pt>
                <c:pt idx="8">
                  <c:v>Pancreas</c:v>
                </c:pt>
                <c:pt idx="9">
                  <c:v>Spleen</c:v>
                </c:pt>
                <c:pt idx="10">
                  <c:v>Hearts</c:v>
                </c:pt>
                <c:pt idx="11">
                  <c:v>Ureters</c:v>
                </c:pt>
                <c:pt idx="12">
                  <c:v>Vena Cava</c:v>
                </c:pt>
                <c:pt idx="13">
                  <c:v>Stomach</c:v>
                </c:pt>
                <c:pt idx="14">
                  <c:v>Diaphragms</c:v>
                </c:pt>
                <c:pt idx="15">
                  <c:v>Male Pelvic</c:v>
                </c:pt>
                <c:pt idx="16">
                  <c:v>Female Pelvic</c:v>
                </c:pt>
                <c:pt idx="17">
                  <c:v>XL Hearts</c:v>
                </c:pt>
              </c:strCache>
            </c:strRef>
          </c:cat>
          <c:val>
            <c:numRef>
              <c:f>(Sheet18!$F$6:$F$11,Sheet18!$F$13,Sheet18!$F$15:$F$16,Sheet18!$F$18:$F$26)</c:f>
              <c:numCache>
                <c:formatCode>General</c:formatCode>
                <c:ptCount val="18"/>
                <c:pt idx="0">
                  <c:v>72</c:v>
                </c:pt>
                <c:pt idx="1">
                  <c:v>0</c:v>
                </c:pt>
                <c:pt idx="2">
                  <c:v>19</c:v>
                </c:pt>
                <c:pt idx="3">
                  <c:v>0</c:v>
                </c:pt>
                <c:pt idx="4">
                  <c:v>16</c:v>
                </c:pt>
                <c:pt idx="5">
                  <c:v>68</c:v>
                </c:pt>
                <c:pt idx="6">
                  <c:v>6</c:v>
                </c:pt>
                <c:pt idx="7">
                  <c:v>31</c:v>
                </c:pt>
                <c:pt idx="8">
                  <c:v>39</c:v>
                </c:pt>
                <c:pt idx="9">
                  <c:v>26</c:v>
                </c:pt>
                <c:pt idx="10">
                  <c:v>74</c:v>
                </c:pt>
                <c:pt idx="11">
                  <c:v>190</c:v>
                </c:pt>
                <c:pt idx="12">
                  <c:v>0</c:v>
                </c:pt>
                <c:pt idx="13">
                  <c:v>0</c:v>
                </c:pt>
                <c:pt idx="14">
                  <c:v>20</c:v>
                </c:pt>
                <c:pt idx="15">
                  <c:v>0</c:v>
                </c:pt>
                <c:pt idx="16">
                  <c:v>0</c:v>
                </c:pt>
                <c:pt idx="1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B4A-4E35-B546-B8FDE8996A5F}"/>
            </c:ext>
          </c:extLst>
        </c:ser>
        <c:ser>
          <c:idx val="1"/>
          <c:order val="1"/>
          <c:tx>
            <c:strRef>
              <c:f>Sheet18!$H$2</c:f>
              <c:strCache>
                <c:ptCount val="1"/>
                <c:pt idx="0">
                  <c:v>Martin Achieved</c:v>
                </c:pt>
              </c:strCache>
            </c:strRef>
          </c:tx>
          <c:spPr>
            <a:gradFill>
              <a:gsLst>
                <a:gs pos="0">
                  <a:srgbClr val="4EA9DA"/>
                </a:gs>
                <a:gs pos="50000">
                  <a:srgbClr val="05A1DE"/>
                </a:gs>
                <a:gs pos="100000">
                  <a:srgbClr val="0091CA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4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8-EB4A-4E35-B546-B8FDE8996A5F}"/>
              </c:ext>
            </c:extLst>
          </c:dPt>
          <c:dPt>
            <c:idx val="6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A-EB4A-4E35-B546-B8FDE8996A5F}"/>
              </c:ext>
            </c:extLst>
          </c:dPt>
          <c:dPt>
            <c:idx val="9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C-EB4A-4E35-B546-B8FDE8996A5F}"/>
              </c:ext>
            </c:extLst>
          </c:dPt>
          <c:dPt>
            <c:idx val="12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E-EB4A-4E35-B546-B8FDE8996A5F}"/>
              </c:ext>
            </c:extLst>
          </c:dPt>
          <c:dLbls>
            <c:dLbl>
              <c:idx val="4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8-EB4A-4E35-B546-B8FDE8996A5F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A-EB4A-4E35-B546-B8FDE8996A5F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C-EB4A-4E35-B546-B8FDE8996A5F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E-EB4A-4E35-B546-B8FDE8996A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FFFFFF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(Sheet2!$C$6:$C$11,Sheet2!$C$13,Sheet2!$C$15:$C$16,Sheet2!$C$18:$C$26)</c:f>
              <c:strCache>
                <c:ptCount val="18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Omentum</c:v>
                </c:pt>
                <c:pt idx="8">
                  <c:v>Pancreas</c:v>
                </c:pt>
                <c:pt idx="9">
                  <c:v>Spleen</c:v>
                </c:pt>
                <c:pt idx="10">
                  <c:v>Hearts</c:v>
                </c:pt>
                <c:pt idx="11">
                  <c:v>Ureters</c:v>
                </c:pt>
                <c:pt idx="12">
                  <c:v>Vena Cava</c:v>
                </c:pt>
                <c:pt idx="13">
                  <c:v>Stomach</c:v>
                </c:pt>
                <c:pt idx="14">
                  <c:v>Diaphragms</c:v>
                </c:pt>
                <c:pt idx="15">
                  <c:v>Male Pelvic</c:v>
                </c:pt>
                <c:pt idx="16">
                  <c:v>Female Pelvic</c:v>
                </c:pt>
                <c:pt idx="17">
                  <c:v>XL Hearts</c:v>
                </c:pt>
              </c:strCache>
            </c:strRef>
          </c:cat>
          <c:val>
            <c:numRef>
              <c:f>(Sheet18!$H$6:$H$11,Sheet18!$H$13,Sheet18!$H$15:$H$16,Sheet18!$H$18:$H$26)</c:f>
              <c:numCache>
                <c:formatCode>General</c:formatCode>
                <c:ptCount val="18"/>
                <c:pt idx="0">
                  <c:v>666</c:v>
                </c:pt>
                <c:pt idx="1">
                  <c:v>256</c:v>
                </c:pt>
                <c:pt idx="2">
                  <c:v>0</c:v>
                </c:pt>
                <c:pt idx="3">
                  <c:v>85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170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542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B4A-4E35-B546-B8FDE8996A5F}"/>
            </c:ext>
          </c:extLst>
        </c:ser>
        <c:ser>
          <c:idx val="2"/>
          <c:order val="2"/>
          <c:tx>
            <c:strRef>
              <c:f>Sheet18!$J$2</c:f>
              <c:strCache>
                <c:ptCount val="1"/>
                <c:pt idx="0">
                  <c:v>Custom Achieved</c:v>
                </c:pt>
              </c:strCache>
            </c:strRef>
          </c:tx>
          <c:spPr>
            <a:gradFill>
              <a:gsLst>
                <a:gs pos="0">
                  <a:srgbClr val="F7C8B5"/>
                </a:gs>
                <a:gs pos="50000">
                  <a:srgbClr val="F7AE88"/>
                </a:gs>
                <a:gs pos="100000">
                  <a:srgbClr val="EE9D73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4"/>
            <c:invertIfNegative val="0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EB4A-4E35-B546-B8FDE8996A5F}"/>
              </c:ext>
            </c:extLst>
          </c:dPt>
          <c:dPt>
            <c:idx val="9"/>
            <c:invertIfNegative val="0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EB4A-4E35-B546-B8FDE8996A5F}"/>
              </c:ext>
            </c:extLst>
          </c:dPt>
          <c:dLbls>
            <c:dLbl>
              <c:idx val="4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3A7D22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EB4A-4E35-B546-B8FDE8996A5F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3A7D22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EB4A-4E35-B546-B8FDE8996A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3A7D22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(Sheet2!$C$6:$C$11,Sheet2!$C$13,Sheet2!$C$15:$C$16,Sheet2!$C$18:$C$26)</c:f>
              <c:strCache>
                <c:ptCount val="18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Omentum</c:v>
                </c:pt>
                <c:pt idx="8">
                  <c:v>Pancreas</c:v>
                </c:pt>
                <c:pt idx="9">
                  <c:v>Spleen</c:v>
                </c:pt>
                <c:pt idx="10">
                  <c:v>Hearts</c:v>
                </c:pt>
                <c:pt idx="11">
                  <c:v>Ureters</c:v>
                </c:pt>
                <c:pt idx="12">
                  <c:v>Vena Cava</c:v>
                </c:pt>
                <c:pt idx="13">
                  <c:v>Stomach</c:v>
                </c:pt>
                <c:pt idx="14">
                  <c:v>Diaphragms</c:v>
                </c:pt>
                <c:pt idx="15">
                  <c:v>Male Pelvic</c:v>
                </c:pt>
                <c:pt idx="16">
                  <c:v>Female Pelvic</c:v>
                </c:pt>
                <c:pt idx="17">
                  <c:v>XL Hearts</c:v>
                </c:pt>
              </c:strCache>
            </c:strRef>
          </c:cat>
          <c:val>
            <c:numRef>
              <c:f>(Sheet18!$J$6:$J$11,Sheet18!$J$13,Sheet18!$J$15:$J$16,Sheet18!$J$18:$J$26)</c:f>
              <c:numCache>
                <c:formatCode>General</c:formatCode>
                <c:ptCount val="18"/>
                <c:pt idx="0">
                  <c:v>66</c:v>
                </c:pt>
                <c:pt idx="1">
                  <c:v>74</c:v>
                </c:pt>
                <c:pt idx="2">
                  <c:v>39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31</c:v>
                </c:pt>
                <c:pt idx="8">
                  <c:v>17</c:v>
                </c:pt>
                <c:pt idx="9">
                  <c:v>26</c:v>
                </c:pt>
                <c:pt idx="10">
                  <c:v>0</c:v>
                </c:pt>
                <c:pt idx="11">
                  <c:v>100</c:v>
                </c:pt>
                <c:pt idx="12">
                  <c:v>40</c:v>
                </c:pt>
                <c:pt idx="13">
                  <c:v>24</c:v>
                </c:pt>
                <c:pt idx="14">
                  <c:v>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B4A-4E35-B546-B8FDE8996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117674"/>
        <c:axId val="48642091"/>
      </c:barChart>
      <c:lineChart>
        <c:grouping val="stacked"/>
        <c:varyColors val="0"/>
        <c:ser>
          <c:idx val="3"/>
          <c:order val="3"/>
          <c:tx>
            <c:strRef>
              <c:f>Sheet18!$K$2</c:f>
              <c:strCache>
                <c:ptCount val="1"/>
                <c:pt idx="0">
                  <c:v>Total Goal</c:v>
                </c:pt>
              </c:strCache>
            </c:strRef>
          </c:tx>
          <c:spPr>
            <a:ln w="34920" cap="rnd">
              <a:solidFill>
                <a:srgbClr val="2CBAF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(Sheet2!$C$6:$C$11,Sheet2!$C$13,Sheet2!$C$15:$C$16,Sheet2!$C$18:$C$26)</c:f>
              <c:strCache>
                <c:ptCount val="18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Omentum</c:v>
                </c:pt>
                <c:pt idx="8">
                  <c:v>Pancreas</c:v>
                </c:pt>
                <c:pt idx="9">
                  <c:v>Spleen</c:v>
                </c:pt>
                <c:pt idx="10">
                  <c:v>Hearts</c:v>
                </c:pt>
                <c:pt idx="11">
                  <c:v>Ureters</c:v>
                </c:pt>
                <c:pt idx="12">
                  <c:v>Vena Cava</c:v>
                </c:pt>
                <c:pt idx="13">
                  <c:v>Stomach</c:v>
                </c:pt>
                <c:pt idx="14">
                  <c:v>Diaphragms</c:v>
                </c:pt>
                <c:pt idx="15">
                  <c:v>Male Pelvic</c:v>
                </c:pt>
                <c:pt idx="16">
                  <c:v>Female Pelvic</c:v>
                </c:pt>
                <c:pt idx="17">
                  <c:v>XL Hearts</c:v>
                </c:pt>
              </c:strCache>
            </c:strRef>
          </c:cat>
          <c:val>
            <c:numRef>
              <c:f>(Sheet18!$K$6:$K$11,Sheet18!$K$13,Sheet18!$K$15:$K$16,Sheet18!$K$18:$K$26)</c:f>
              <c:numCache>
                <c:formatCode>General</c:formatCode>
                <c:ptCount val="18"/>
                <c:pt idx="0">
                  <c:v>804</c:v>
                </c:pt>
                <c:pt idx="1">
                  <c:v>351</c:v>
                </c:pt>
                <c:pt idx="2">
                  <c:v>58</c:v>
                </c:pt>
                <c:pt idx="3">
                  <c:v>277</c:v>
                </c:pt>
                <c:pt idx="4">
                  <c:v>16</c:v>
                </c:pt>
                <c:pt idx="5">
                  <c:v>68</c:v>
                </c:pt>
                <c:pt idx="6">
                  <c:v>6</c:v>
                </c:pt>
                <c:pt idx="7">
                  <c:v>62</c:v>
                </c:pt>
                <c:pt idx="8">
                  <c:v>56</c:v>
                </c:pt>
                <c:pt idx="9">
                  <c:v>52</c:v>
                </c:pt>
                <c:pt idx="10">
                  <c:v>120</c:v>
                </c:pt>
                <c:pt idx="11">
                  <c:v>460</c:v>
                </c:pt>
                <c:pt idx="12">
                  <c:v>40</c:v>
                </c:pt>
                <c:pt idx="13">
                  <c:v>24</c:v>
                </c:pt>
                <c:pt idx="14">
                  <c:v>28</c:v>
                </c:pt>
                <c:pt idx="15">
                  <c:v>40</c:v>
                </c:pt>
                <c:pt idx="16">
                  <c:v>680</c:v>
                </c:pt>
                <c:pt idx="17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B4A-4E35-B546-B8FDE8996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9117674"/>
        <c:axId val="48642091"/>
      </c:lineChart>
      <c:catAx>
        <c:axId val="7911767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F2F2F2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48642091"/>
        <c:crosses val="autoZero"/>
        <c:auto val="1"/>
        <c:lblAlgn val="ctr"/>
        <c:lblOffset val="100"/>
        <c:noMultiLvlLbl val="0"/>
      </c:catAx>
      <c:valAx>
        <c:axId val="48642091"/>
        <c:scaling>
          <c:orientation val="minMax"/>
          <c:max val="800"/>
          <c:min val="0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79117674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67553996525379101"/>
          <c:y val="1.55329357844425E-2"/>
          <c:w val="0.12771239371027199"/>
          <c:h val="0.11375206006226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9D9D9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660033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600" b="1" strike="noStrike" spc="89">
                <a:solidFill>
                  <a:srgbClr val="F2F2F2"/>
                </a:solidFill>
                <a:latin typeface="Aptos Narrow"/>
              </a:defRPr>
            </a:pPr>
            <a:r>
              <a:rPr lang="en-US" sz="1600" b="1" strike="noStrike" spc="89">
                <a:solidFill>
                  <a:srgbClr val="F2F2F2"/>
                </a:solidFill>
                <a:latin typeface="Aptos Narrow"/>
              </a:rPr>
              <a:t>Current 2 Week WO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4693251533742298E-2"/>
          <c:y val="0.203478925738316"/>
          <c:w val="0.89082822085889601"/>
          <c:h val="0.5753130077415660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Sheet18!$F$2</c:f>
              <c:strCache>
                <c:ptCount val="1"/>
                <c:pt idx="0">
                  <c:v>Nahunta Achieved</c:v>
                </c:pt>
              </c:strCache>
            </c:strRef>
          </c:tx>
          <c:spPr>
            <a:gradFill>
              <a:gsLst>
                <a:gs pos="0">
                  <a:srgbClr val="68B056"/>
                </a:gs>
                <a:gs pos="50000">
                  <a:srgbClr val="4AAC28"/>
                </a:gs>
                <a:gs pos="100000">
                  <a:srgbClr val="409E1E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8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F9CE-4816-8DF9-BEA20AD5203B}"/>
              </c:ext>
            </c:extLst>
          </c:dPt>
          <c:dPt>
            <c:idx val="9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F9CE-4816-8DF9-BEA20AD5203B}"/>
              </c:ext>
            </c:extLst>
          </c:dPt>
          <c:dPt>
            <c:idx val="12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F9CE-4816-8DF9-BEA20AD5203B}"/>
              </c:ext>
            </c:extLst>
          </c:dPt>
          <c:dLbls>
            <c:dLbl>
              <c:idx val="8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F9CE-4816-8DF9-BEA20AD5203B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F9CE-4816-8DF9-BEA20AD5203B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F9CE-4816-8DF9-BEA20AD520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(Sheet2!$C$6:$C$11,Sheet2!$C$13,Sheet2!$C$15:$C$16,Sheet2!$C$18:$C$26)</c:f>
              <c:strCache>
                <c:ptCount val="18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Omentum</c:v>
                </c:pt>
                <c:pt idx="8">
                  <c:v>Pancreas</c:v>
                </c:pt>
                <c:pt idx="9">
                  <c:v>Spleen</c:v>
                </c:pt>
                <c:pt idx="10">
                  <c:v>Hearts</c:v>
                </c:pt>
                <c:pt idx="11">
                  <c:v>Ureters</c:v>
                </c:pt>
                <c:pt idx="12">
                  <c:v>Vena Cava</c:v>
                </c:pt>
                <c:pt idx="13">
                  <c:v>Stomach</c:v>
                </c:pt>
                <c:pt idx="14">
                  <c:v>Diaphragms</c:v>
                </c:pt>
                <c:pt idx="15">
                  <c:v>Male Pelvic</c:v>
                </c:pt>
                <c:pt idx="16">
                  <c:v>Female Pelvic</c:v>
                </c:pt>
                <c:pt idx="17">
                  <c:v>XL Hearts</c:v>
                </c:pt>
              </c:strCache>
            </c:strRef>
          </c:cat>
          <c:val>
            <c:numRef>
              <c:f>(Sheet18!$F$6:$F$11,Sheet18!$F$13,Sheet18!$F$15:$F$16,Sheet18!$F$18:$F$26)</c:f>
              <c:numCache>
                <c:formatCode>General</c:formatCode>
                <c:ptCount val="18"/>
                <c:pt idx="0">
                  <c:v>72</c:v>
                </c:pt>
                <c:pt idx="1">
                  <c:v>0</c:v>
                </c:pt>
                <c:pt idx="2">
                  <c:v>19</c:v>
                </c:pt>
                <c:pt idx="3">
                  <c:v>0</c:v>
                </c:pt>
                <c:pt idx="4">
                  <c:v>16</c:v>
                </c:pt>
                <c:pt idx="5">
                  <c:v>68</c:v>
                </c:pt>
                <c:pt idx="6">
                  <c:v>6</c:v>
                </c:pt>
                <c:pt idx="7">
                  <c:v>31</c:v>
                </c:pt>
                <c:pt idx="8">
                  <c:v>39</c:v>
                </c:pt>
                <c:pt idx="9">
                  <c:v>26</c:v>
                </c:pt>
                <c:pt idx="10">
                  <c:v>74</c:v>
                </c:pt>
                <c:pt idx="11">
                  <c:v>190</c:v>
                </c:pt>
                <c:pt idx="12">
                  <c:v>0</c:v>
                </c:pt>
                <c:pt idx="13">
                  <c:v>0</c:v>
                </c:pt>
                <c:pt idx="14">
                  <c:v>20</c:v>
                </c:pt>
                <c:pt idx="15">
                  <c:v>0</c:v>
                </c:pt>
                <c:pt idx="16">
                  <c:v>0</c:v>
                </c:pt>
                <c:pt idx="1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9CE-4816-8DF9-BEA20AD5203B}"/>
            </c:ext>
          </c:extLst>
        </c:ser>
        <c:ser>
          <c:idx val="1"/>
          <c:order val="1"/>
          <c:tx>
            <c:strRef>
              <c:f>Sheet18!$H$2</c:f>
              <c:strCache>
                <c:ptCount val="1"/>
                <c:pt idx="0">
                  <c:v>Martin Achieved</c:v>
                </c:pt>
              </c:strCache>
            </c:strRef>
          </c:tx>
          <c:spPr>
            <a:gradFill>
              <a:gsLst>
                <a:gs pos="0">
                  <a:srgbClr val="4EA9DA"/>
                </a:gs>
                <a:gs pos="50000">
                  <a:srgbClr val="05A1DE"/>
                </a:gs>
                <a:gs pos="100000">
                  <a:srgbClr val="0091CA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4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8-F9CE-4816-8DF9-BEA20AD5203B}"/>
              </c:ext>
            </c:extLst>
          </c:dPt>
          <c:dPt>
            <c:idx val="6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A-F9CE-4816-8DF9-BEA20AD5203B}"/>
              </c:ext>
            </c:extLst>
          </c:dPt>
          <c:dPt>
            <c:idx val="9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C-F9CE-4816-8DF9-BEA20AD5203B}"/>
              </c:ext>
            </c:extLst>
          </c:dPt>
          <c:dPt>
            <c:idx val="12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E-F9CE-4816-8DF9-BEA20AD5203B}"/>
              </c:ext>
            </c:extLst>
          </c:dPt>
          <c:dLbls>
            <c:dLbl>
              <c:idx val="4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8-F9CE-4816-8DF9-BEA20AD5203B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A-F9CE-4816-8DF9-BEA20AD5203B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C-F9CE-4816-8DF9-BEA20AD5203B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E-F9CE-4816-8DF9-BEA20AD520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FFFFFF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(Sheet2!$C$6:$C$11,Sheet2!$C$13,Sheet2!$C$15:$C$16,Sheet2!$C$18:$C$26)</c:f>
              <c:strCache>
                <c:ptCount val="18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Omentum</c:v>
                </c:pt>
                <c:pt idx="8">
                  <c:v>Pancreas</c:v>
                </c:pt>
                <c:pt idx="9">
                  <c:v>Spleen</c:v>
                </c:pt>
                <c:pt idx="10">
                  <c:v>Hearts</c:v>
                </c:pt>
                <c:pt idx="11">
                  <c:v>Ureters</c:v>
                </c:pt>
                <c:pt idx="12">
                  <c:v>Vena Cava</c:v>
                </c:pt>
                <c:pt idx="13">
                  <c:v>Stomach</c:v>
                </c:pt>
                <c:pt idx="14">
                  <c:v>Diaphragms</c:v>
                </c:pt>
                <c:pt idx="15">
                  <c:v>Male Pelvic</c:v>
                </c:pt>
                <c:pt idx="16">
                  <c:v>Female Pelvic</c:v>
                </c:pt>
                <c:pt idx="17">
                  <c:v>XL Hearts</c:v>
                </c:pt>
              </c:strCache>
            </c:strRef>
          </c:cat>
          <c:val>
            <c:numRef>
              <c:f>(Sheet18!$H$6:$H$11,Sheet18!$H$13,Sheet18!$H$15:$H$16,Sheet18!$H$18:$H$26)</c:f>
              <c:numCache>
                <c:formatCode>General</c:formatCode>
                <c:ptCount val="18"/>
                <c:pt idx="0">
                  <c:v>666</c:v>
                </c:pt>
                <c:pt idx="1">
                  <c:v>256</c:v>
                </c:pt>
                <c:pt idx="2">
                  <c:v>0</c:v>
                </c:pt>
                <c:pt idx="3">
                  <c:v>85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170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542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9CE-4816-8DF9-BEA20AD5203B}"/>
            </c:ext>
          </c:extLst>
        </c:ser>
        <c:ser>
          <c:idx val="2"/>
          <c:order val="2"/>
          <c:tx>
            <c:strRef>
              <c:f>Sheet18!$J$2</c:f>
              <c:strCache>
                <c:ptCount val="1"/>
                <c:pt idx="0">
                  <c:v>Custom Achieved</c:v>
                </c:pt>
              </c:strCache>
            </c:strRef>
          </c:tx>
          <c:spPr>
            <a:gradFill>
              <a:gsLst>
                <a:gs pos="0">
                  <a:srgbClr val="F7C8B5"/>
                </a:gs>
                <a:gs pos="50000">
                  <a:srgbClr val="F7AE88"/>
                </a:gs>
                <a:gs pos="100000">
                  <a:srgbClr val="EE9D73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4"/>
            <c:invertIfNegative val="0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F9CE-4816-8DF9-BEA20AD5203B}"/>
              </c:ext>
            </c:extLst>
          </c:dPt>
          <c:dPt>
            <c:idx val="9"/>
            <c:invertIfNegative val="0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F9CE-4816-8DF9-BEA20AD5203B}"/>
              </c:ext>
            </c:extLst>
          </c:dPt>
          <c:dLbls>
            <c:dLbl>
              <c:idx val="4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3A7D22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F9CE-4816-8DF9-BEA20AD5203B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3A7D22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F9CE-4816-8DF9-BEA20AD520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3A7D22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(Sheet2!$C$6:$C$11,Sheet2!$C$13,Sheet2!$C$15:$C$16,Sheet2!$C$18:$C$26)</c:f>
              <c:strCache>
                <c:ptCount val="18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Omentum</c:v>
                </c:pt>
                <c:pt idx="8">
                  <c:v>Pancreas</c:v>
                </c:pt>
                <c:pt idx="9">
                  <c:v>Spleen</c:v>
                </c:pt>
                <c:pt idx="10">
                  <c:v>Hearts</c:v>
                </c:pt>
                <c:pt idx="11">
                  <c:v>Ureters</c:v>
                </c:pt>
                <c:pt idx="12">
                  <c:v>Vena Cava</c:v>
                </c:pt>
                <c:pt idx="13">
                  <c:v>Stomach</c:v>
                </c:pt>
                <c:pt idx="14">
                  <c:v>Diaphragms</c:v>
                </c:pt>
                <c:pt idx="15">
                  <c:v>Male Pelvic</c:v>
                </c:pt>
                <c:pt idx="16">
                  <c:v>Female Pelvic</c:v>
                </c:pt>
                <c:pt idx="17">
                  <c:v>XL Hearts</c:v>
                </c:pt>
              </c:strCache>
            </c:strRef>
          </c:cat>
          <c:val>
            <c:numRef>
              <c:f>(Sheet18!$J$6:$J$11,Sheet18!$J$13,Sheet18!$J$15:$J$16,Sheet18!$J$18:$J$26)</c:f>
              <c:numCache>
                <c:formatCode>General</c:formatCode>
                <c:ptCount val="18"/>
                <c:pt idx="0">
                  <c:v>66</c:v>
                </c:pt>
                <c:pt idx="1">
                  <c:v>74</c:v>
                </c:pt>
                <c:pt idx="2">
                  <c:v>39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31</c:v>
                </c:pt>
                <c:pt idx="8">
                  <c:v>17</c:v>
                </c:pt>
                <c:pt idx="9">
                  <c:v>26</c:v>
                </c:pt>
                <c:pt idx="10">
                  <c:v>0</c:v>
                </c:pt>
                <c:pt idx="11">
                  <c:v>100</c:v>
                </c:pt>
                <c:pt idx="12">
                  <c:v>40</c:v>
                </c:pt>
                <c:pt idx="13">
                  <c:v>24</c:v>
                </c:pt>
                <c:pt idx="14">
                  <c:v>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9CE-4816-8DF9-BEA20AD52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712510"/>
        <c:axId val="21717577"/>
      </c:barChart>
      <c:lineChart>
        <c:grouping val="stacked"/>
        <c:varyColors val="0"/>
        <c:ser>
          <c:idx val="3"/>
          <c:order val="3"/>
          <c:tx>
            <c:strRef>
              <c:f>Sheet18!$K$2</c:f>
              <c:strCache>
                <c:ptCount val="1"/>
                <c:pt idx="0">
                  <c:v>Total Goal</c:v>
                </c:pt>
              </c:strCache>
            </c:strRef>
          </c:tx>
          <c:spPr>
            <a:ln w="34920" cap="rnd">
              <a:solidFill>
                <a:srgbClr val="2CBAF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(Sheet2!$C$6:$C$11,Sheet2!$C$13,Sheet2!$C$15:$C$16,Sheet2!$C$18:$C$26)</c:f>
              <c:strCache>
                <c:ptCount val="18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Omentum</c:v>
                </c:pt>
                <c:pt idx="8">
                  <c:v>Pancreas</c:v>
                </c:pt>
                <c:pt idx="9">
                  <c:v>Spleen</c:v>
                </c:pt>
                <c:pt idx="10">
                  <c:v>Hearts</c:v>
                </c:pt>
                <c:pt idx="11">
                  <c:v>Ureters</c:v>
                </c:pt>
                <c:pt idx="12">
                  <c:v>Vena Cava</c:v>
                </c:pt>
                <c:pt idx="13">
                  <c:v>Stomach</c:v>
                </c:pt>
                <c:pt idx="14">
                  <c:v>Diaphragms</c:v>
                </c:pt>
                <c:pt idx="15">
                  <c:v>Male Pelvic</c:v>
                </c:pt>
                <c:pt idx="16">
                  <c:v>Female Pelvic</c:v>
                </c:pt>
                <c:pt idx="17">
                  <c:v>XL Hearts</c:v>
                </c:pt>
              </c:strCache>
            </c:strRef>
          </c:cat>
          <c:val>
            <c:numRef>
              <c:f>(Sheet18!$K$6:$K$11,Sheet18!$K$13,Sheet18!$K$15:$K$16,Sheet18!$K$18:$K$26)</c:f>
              <c:numCache>
                <c:formatCode>General</c:formatCode>
                <c:ptCount val="18"/>
                <c:pt idx="0">
                  <c:v>804</c:v>
                </c:pt>
                <c:pt idx="1">
                  <c:v>351</c:v>
                </c:pt>
                <c:pt idx="2">
                  <c:v>58</c:v>
                </c:pt>
                <c:pt idx="3">
                  <c:v>277</c:v>
                </c:pt>
                <c:pt idx="4">
                  <c:v>16</c:v>
                </c:pt>
                <c:pt idx="5">
                  <c:v>68</c:v>
                </c:pt>
                <c:pt idx="6">
                  <c:v>6</c:v>
                </c:pt>
                <c:pt idx="7">
                  <c:v>62</c:v>
                </c:pt>
                <c:pt idx="8">
                  <c:v>56</c:v>
                </c:pt>
                <c:pt idx="9">
                  <c:v>52</c:v>
                </c:pt>
                <c:pt idx="10">
                  <c:v>120</c:v>
                </c:pt>
                <c:pt idx="11">
                  <c:v>460</c:v>
                </c:pt>
                <c:pt idx="12">
                  <c:v>40</c:v>
                </c:pt>
                <c:pt idx="13">
                  <c:v>24</c:v>
                </c:pt>
                <c:pt idx="14">
                  <c:v>28</c:v>
                </c:pt>
                <c:pt idx="15">
                  <c:v>40</c:v>
                </c:pt>
                <c:pt idx="16">
                  <c:v>680</c:v>
                </c:pt>
                <c:pt idx="17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9CE-4816-8DF9-BEA20AD52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1712510"/>
        <c:axId val="21717577"/>
      </c:lineChart>
      <c:catAx>
        <c:axId val="517125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F2F2F2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21717577"/>
        <c:crosses val="autoZero"/>
        <c:auto val="1"/>
        <c:lblAlgn val="ctr"/>
        <c:lblOffset val="100"/>
        <c:noMultiLvlLbl val="0"/>
      </c:catAx>
      <c:valAx>
        <c:axId val="21717577"/>
        <c:scaling>
          <c:orientation val="minMax"/>
          <c:max val="800"/>
          <c:min val="0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517125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67553996525379101"/>
          <c:y val="1.55329357844425E-2"/>
          <c:w val="0.12771239371027199"/>
          <c:h val="0.11375206006226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9D9D9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660033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600" b="1" strike="noStrike" spc="89">
                <a:solidFill>
                  <a:srgbClr val="F2F2F2"/>
                </a:solidFill>
                <a:latin typeface="Aptos Narrow"/>
              </a:defRPr>
            </a:pPr>
            <a:r>
              <a:rPr lang="en-US" sz="1600" b="1" strike="noStrike" spc="89">
                <a:solidFill>
                  <a:srgbClr val="F2F2F2"/>
                </a:solidFill>
                <a:latin typeface="Aptos Narrow"/>
              </a:rPr>
              <a:t>Current 2 Week WO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4693251533742298E-2"/>
          <c:y val="0.203478925738316"/>
          <c:w val="0.89082822085889601"/>
          <c:h val="0.5753130077415660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Sheet18!$F$2</c:f>
              <c:strCache>
                <c:ptCount val="1"/>
                <c:pt idx="0">
                  <c:v>Nahunta Achieved</c:v>
                </c:pt>
              </c:strCache>
            </c:strRef>
          </c:tx>
          <c:spPr>
            <a:gradFill>
              <a:gsLst>
                <a:gs pos="0">
                  <a:srgbClr val="68B056"/>
                </a:gs>
                <a:gs pos="50000">
                  <a:srgbClr val="4AAC28"/>
                </a:gs>
                <a:gs pos="100000">
                  <a:srgbClr val="409E1E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8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1435-4848-8A24-93436773CDB7}"/>
              </c:ext>
            </c:extLst>
          </c:dPt>
          <c:dPt>
            <c:idx val="9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1435-4848-8A24-93436773CDB7}"/>
              </c:ext>
            </c:extLst>
          </c:dPt>
          <c:dPt>
            <c:idx val="12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1435-4848-8A24-93436773CDB7}"/>
              </c:ext>
            </c:extLst>
          </c:dPt>
          <c:dLbls>
            <c:dLbl>
              <c:idx val="8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1435-4848-8A24-93436773CDB7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1435-4848-8A24-93436773CDB7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1435-4848-8A24-93436773CD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(Sheet2!$C$6:$C$11,Sheet2!$C$13,Sheet2!$C$15:$C$16,Sheet2!$C$18:$C$26)</c:f>
              <c:strCache>
                <c:ptCount val="18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Omentum</c:v>
                </c:pt>
                <c:pt idx="8">
                  <c:v>Pancreas</c:v>
                </c:pt>
                <c:pt idx="9">
                  <c:v>Spleen</c:v>
                </c:pt>
                <c:pt idx="10">
                  <c:v>Hearts</c:v>
                </c:pt>
                <c:pt idx="11">
                  <c:v>Ureters</c:v>
                </c:pt>
                <c:pt idx="12">
                  <c:v>Vena Cava</c:v>
                </c:pt>
                <c:pt idx="13">
                  <c:v>Stomach</c:v>
                </c:pt>
                <c:pt idx="14">
                  <c:v>Diaphragms</c:v>
                </c:pt>
                <c:pt idx="15">
                  <c:v>Male Pelvic</c:v>
                </c:pt>
                <c:pt idx="16">
                  <c:v>Female Pelvic</c:v>
                </c:pt>
                <c:pt idx="17">
                  <c:v>XL Hearts</c:v>
                </c:pt>
              </c:strCache>
            </c:strRef>
          </c:cat>
          <c:val>
            <c:numRef>
              <c:f>(Sheet18!$F$6:$F$11,Sheet18!$F$13,Sheet18!$F$15:$F$16,Sheet18!$F$18:$F$26)</c:f>
              <c:numCache>
                <c:formatCode>General</c:formatCode>
                <c:ptCount val="18"/>
                <c:pt idx="0">
                  <c:v>72</c:v>
                </c:pt>
                <c:pt idx="1">
                  <c:v>0</c:v>
                </c:pt>
                <c:pt idx="2">
                  <c:v>19</c:v>
                </c:pt>
                <c:pt idx="3">
                  <c:v>0</c:v>
                </c:pt>
                <c:pt idx="4">
                  <c:v>16</c:v>
                </c:pt>
                <c:pt idx="5">
                  <c:v>68</c:v>
                </c:pt>
                <c:pt idx="6">
                  <c:v>6</c:v>
                </c:pt>
                <c:pt idx="7">
                  <c:v>31</c:v>
                </c:pt>
                <c:pt idx="8">
                  <c:v>39</c:v>
                </c:pt>
                <c:pt idx="9">
                  <c:v>26</c:v>
                </c:pt>
                <c:pt idx="10">
                  <c:v>74</c:v>
                </c:pt>
                <c:pt idx="11">
                  <c:v>190</c:v>
                </c:pt>
                <c:pt idx="12">
                  <c:v>0</c:v>
                </c:pt>
                <c:pt idx="13">
                  <c:v>0</c:v>
                </c:pt>
                <c:pt idx="14">
                  <c:v>20</c:v>
                </c:pt>
                <c:pt idx="15">
                  <c:v>0</c:v>
                </c:pt>
                <c:pt idx="16">
                  <c:v>0</c:v>
                </c:pt>
                <c:pt idx="1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435-4848-8A24-93436773CDB7}"/>
            </c:ext>
          </c:extLst>
        </c:ser>
        <c:ser>
          <c:idx val="1"/>
          <c:order val="1"/>
          <c:tx>
            <c:strRef>
              <c:f>Sheet18!$H$2</c:f>
              <c:strCache>
                <c:ptCount val="1"/>
                <c:pt idx="0">
                  <c:v>Martin Achieved</c:v>
                </c:pt>
              </c:strCache>
            </c:strRef>
          </c:tx>
          <c:spPr>
            <a:gradFill>
              <a:gsLst>
                <a:gs pos="0">
                  <a:srgbClr val="4EA9DA"/>
                </a:gs>
                <a:gs pos="50000">
                  <a:srgbClr val="05A1DE"/>
                </a:gs>
                <a:gs pos="100000">
                  <a:srgbClr val="0091CA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4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8-1435-4848-8A24-93436773CDB7}"/>
              </c:ext>
            </c:extLst>
          </c:dPt>
          <c:dPt>
            <c:idx val="6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A-1435-4848-8A24-93436773CDB7}"/>
              </c:ext>
            </c:extLst>
          </c:dPt>
          <c:dPt>
            <c:idx val="9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C-1435-4848-8A24-93436773CDB7}"/>
              </c:ext>
            </c:extLst>
          </c:dPt>
          <c:dPt>
            <c:idx val="12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E-1435-4848-8A24-93436773CDB7}"/>
              </c:ext>
            </c:extLst>
          </c:dPt>
          <c:dLbls>
            <c:dLbl>
              <c:idx val="4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8-1435-4848-8A24-93436773CDB7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A-1435-4848-8A24-93436773CDB7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C-1435-4848-8A24-93436773CDB7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E-1435-4848-8A24-93436773CD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FFFFFF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(Sheet2!$C$6:$C$11,Sheet2!$C$13,Sheet2!$C$15:$C$16,Sheet2!$C$18:$C$26)</c:f>
              <c:strCache>
                <c:ptCount val="18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Omentum</c:v>
                </c:pt>
                <c:pt idx="8">
                  <c:v>Pancreas</c:v>
                </c:pt>
                <c:pt idx="9">
                  <c:v>Spleen</c:v>
                </c:pt>
                <c:pt idx="10">
                  <c:v>Hearts</c:v>
                </c:pt>
                <c:pt idx="11">
                  <c:v>Ureters</c:v>
                </c:pt>
                <c:pt idx="12">
                  <c:v>Vena Cava</c:v>
                </c:pt>
                <c:pt idx="13">
                  <c:v>Stomach</c:v>
                </c:pt>
                <c:pt idx="14">
                  <c:v>Diaphragms</c:v>
                </c:pt>
                <c:pt idx="15">
                  <c:v>Male Pelvic</c:v>
                </c:pt>
                <c:pt idx="16">
                  <c:v>Female Pelvic</c:v>
                </c:pt>
                <c:pt idx="17">
                  <c:v>XL Hearts</c:v>
                </c:pt>
              </c:strCache>
            </c:strRef>
          </c:cat>
          <c:val>
            <c:numRef>
              <c:f>(Sheet18!$H$6:$H$11,Sheet18!$H$13,Sheet18!$H$15:$H$16,Sheet18!$H$18:$H$26)</c:f>
              <c:numCache>
                <c:formatCode>General</c:formatCode>
                <c:ptCount val="18"/>
                <c:pt idx="0">
                  <c:v>666</c:v>
                </c:pt>
                <c:pt idx="1">
                  <c:v>256</c:v>
                </c:pt>
                <c:pt idx="2">
                  <c:v>0</c:v>
                </c:pt>
                <c:pt idx="3">
                  <c:v>85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170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542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435-4848-8A24-93436773CDB7}"/>
            </c:ext>
          </c:extLst>
        </c:ser>
        <c:ser>
          <c:idx val="2"/>
          <c:order val="2"/>
          <c:tx>
            <c:strRef>
              <c:f>Sheet18!$J$2</c:f>
              <c:strCache>
                <c:ptCount val="1"/>
                <c:pt idx="0">
                  <c:v>Custom Achieved</c:v>
                </c:pt>
              </c:strCache>
            </c:strRef>
          </c:tx>
          <c:spPr>
            <a:gradFill>
              <a:gsLst>
                <a:gs pos="0">
                  <a:srgbClr val="F7C8B5"/>
                </a:gs>
                <a:gs pos="50000">
                  <a:srgbClr val="F7AE88"/>
                </a:gs>
                <a:gs pos="100000">
                  <a:srgbClr val="EE9D73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4"/>
            <c:invertIfNegative val="0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1435-4848-8A24-93436773CDB7}"/>
              </c:ext>
            </c:extLst>
          </c:dPt>
          <c:dPt>
            <c:idx val="9"/>
            <c:invertIfNegative val="0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1435-4848-8A24-93436773CDB7}"/>
              </c:ext>
            </c:extLst>
          </c:dPt>
          <c:dLbls>
            <c:dLbl>
              <c:idx val="4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3A7D22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1435-4848-8A24-93436773CDB7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3A7D22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1435-4848-8A24-93436773CD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3A7D22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(Sheet2!$C$6:$C$11,Sheet2!$C$13,Sheet2!$C$15:$C$16,Sheet2!$C$18:$C$26)</c:f>
              <c:strCache>
                <c:ptCount val="18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Omentum</c:v>
                </c:pt>
                <c:pt idx="8">
                  <c:v>Pancreas</c:v>
                </c:pt>
                <c:pt idx="9">
                  <c:v>Spleen</c:v>
                </c:pt>
                <c:pt idx="10">
                  <c:v>Hearts</c:v>
                </c:pt>
                <c:pt idx="11">
                  <c:v>Ureters</c:v>
                </c:pt>
                <c:pt idx="12">
                  <c:v>Vena Cava</c:v>
                </c:pt>
                <c:pt idx="13">
                  <c:v>Stomach</c:v>
                </c:pt>
                <c:pt idx="14">
                  <c:v>Diaphragms</c:v>
                </c:pt>
                <c:pt idx="15">
                  <c:v>Male Pelvic</c:v>
                </c:pt>
                <c:pt idx="16">
                  <c:v>Female Pelvic</c:v>
                </c:pt>
                <c:pt idx="17">
                  <c:v>XL Hearts</c:v>
                </c:pt>
              </c:strCache>
            </c:strRef>
          </c:cat>
          <c:val>
            <c:numRef>
              <c:f>(Sheet18!$J$6:$J$11,Sheet18!$J$13,Sheet18!$J$15:$J$16,Sheet18!$J$18:$J$26)</c:f>
              <c:numCache>
                <c:formatCode>General</c:formatCode>
                <c:ptCount val="18"/>
                <c:pt idx="0">
                  <c:v>66</c:v>
                </c:pt>
                <c:pt idx="1">
                  <c:v>74</c:v>
                </c:pt>
                <c:pt idx="2">
                  <c:v>39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31</c:v>
                </c:pt>
                <c:pt idx="8">
                  <c:v>17</c:v>
                </c:pt>
                <c:pt idx="9">
                  <c:v>26</c:v>
                </c:pt>
                <c:pt idx="10">
                  <c:v>0</c:v>
                </c:pt>
                <c:pt idx="11">
                  <c:v>100</c:v>
                </c:pt>
                <c:pt idx="12">
                  <c:v>40</c:v>
                </c:pt>
                <c:pt idx="13">
                  <c:v>24</c:v>
                </c:pt>
                <c:pt idx="14">
                  <c:v>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435-4848-8A24-93436773C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393188"/>
        <c:axId val="61506848"/>
      </c:barChart>
      <c:lineChart>
        <c:grouping val="stacked"/>
        <c:varyColors val="0"/>
        <c:ser>
          <c:idx val="3"/>
          <c:order val="3"/>
          <c:tx>
            <c:strRef>
              <c:f>Sheet18!$K$2</c:f>
              <c:strCache>
                <c:ptCount val="1"/>
                <c:pt idx="0">
                  <c:v>Total Goal</c:v>
                </c:pt>
              </c:strCache>
            </c:strRef>
          </c:tx>
          <c:spPr>
            <a:ln w="34920" cap="rnd">
              <a:solidFill>
                <a:srgbClr val="2CBAF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(Sheet2!$C$6:$C$11,Sheet2!$C$13,Sheet2!$C$15:$C$16,Sheet2!$C$18:$C$26)</c:f>
              <c:strCache>
                <c:ptCount val="18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Omentum</c:v>
                </c:pt>
                <c:pt idx="8">
                  <c:v>Pancreas</c:v>
                </c:pt>
                <c:pt idx="9">
                  <c:v>Spleen</c:v>
                </c:pt>
                <c:pt idx="10">
                  <c:v>Hearts</c:v>
                </c:pt>
                <c:pt idx="11">
                  <c:v>Ureters</c:v>
                </c:pt>
                <c:pt idx="12">
                  <c:v>Vena Cava</c:v>
                </c:pt>
                <c:pt idx="13">
                  <c:v>Stomach</c:v>
                </c:pt>
                <c:pt idx="14">
                  <c:v>Diaphragms</c:v>
                </c:pt>
                <c:pt idx="15">
                  <c:v>Male Pelvic</c:v>
                </c:pt>
                <c:pt idx="16">
                  <c:v>Female Pelvic</c:v>
                </c:pt>
                <c:pt idx="17">
                  <c:v>XL Hearts</c:v>
                </c:pt>
              </c:strCache>
            </c:strRef>
          </c:cat>
          <c:val>
            <c:numRef>
              <c:f>(Sheet18!$K$6:$K$11,Sheet18!$K$13,Sheet18!$K$15:$K$16,Sheet18!$K$18:$K$26)</c:f>
              <c:numCache>
                <c:formatCode>General</c:formatCode>
                <c:ptCount val="18"/>
                <c:pt idx="0">
                  <c:v>804</c:v>
                </c:pt>
                <c:pt idx="1">
                  <c:v>351</c:v>
                </c:pt>
                <c:pt idx="2">
                  <c:v>58</c:v>
                </c:pt>
                <c:pt idx="3">
                  <c:v>277</c:v>
                </c:pt>
                <c:pt idx="4">
                  <c:v>16</c:v>
                </c:pt>
                <c:pt idx="5">
                  <c:v>68</c:v>
                </c:pt>
                <c:pt idx="6">
                  <c:v>6</c:v>
                </c:pt>
                <c:pt idx="7">
                  <c:v>62</c:v>
                </c:pt>
                <c:pt idx="8">
                  <c:v>56</c:v>
                </c:pt>
                <c:pt idx="9">
                  <c:v>52</c:v>
                </c:pt>
                <c:pt idx="10">
                  <c:v>120</c:v>
                </c:pt>
                <c:pt idx="11">
                  <c:v>460</c:v>
                </c:pt>
                <c:pt idx="12">
                  <c:v>40</c:v>
                </c:pt>
                <c:pt idx="13">
                  <c:v>24</c:v>
                </c:pt>
                <c:pt idx="14">
                  <c:v>28</c:v>
                </c:pt>
                <c:pt idx="15">
                  <c:v>40</c:v>
                </c:pt>
                <c:pt idx="16">
                  <c:v>680</c:v>
                </c:pt>
                <c:pt idx="17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435-4848-8A24-93436773C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8393188"/>
        <c:axId val="61506848"/>
      </c:lineChart>
      <c:catAx>
        <c:axId val="583931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F2F2F2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61506848"/>
        <c:crosses val="autoZero"/>
        <c:auto val="1"/>
        <c:lblAlgn val="ctr"/>
        <c:lblOffset val="100"/>
        <c:noMultiLvlLbl val="0"/>
      </c:catAx>
      <c:valAx>
        <c:axId val="61506848"/>
        <c:scaling>
          <c:orientation val="minMax"/>
          <c:max val="800"/>
          <c:min val="0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583931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67553996525379101"/>
          <c:y val="1.55329357844425E-2"/>
          <c:w val="0.12771239371027199"/>
          <c:h val="0.11375206006226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9D9D9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660033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600" b="1" strike="noStrike" spc="89">
                <a:solidFill>
                  <a:srgbClr val="F2F2F2"/>
                </a:solidFill>
                <a:latin typeface="Aptos Narrow"/>
              </a:defRPr>
            </a:pPr>
            <a:r>
              <a:rPr lang="en-US" sz="1600" b="1" strike="noStrike" spc="89">
                <a:solidFill>
                  <a:srgbClr val="F2F2F2"/>
                </a:solidFill>
                <a:latin typeface="Aptos Narrow"/>
              </a:rPr>
              <a:t>Current 2 Week WO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4693251533742298E-2"/>
          <c:y val="0.203478925738316"/>
          <c:w val="0.89082822085889601"/>
          <c:h val="0.5753130077415660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Sheet29!$F$2</c:f>
              <c:strCache>
                <c:ptCount val="1"/>
                <c:pt idx="0">
                  <c:v>Nahunta Achieved</c:v>
                </c:pt>
              </c:strCache>
            </c:strRef>
          </c:tx>
          <c:spPr>
            <a:gradFill>
              <a:gsLst>
                <a:gs pos="0">
                  <a:srgbClr val="68B056"/>
                </a:gs>
                <a:gs pos="50000">
                  <a:srgbClr val="4AAC28"/>
                </a:gs>
                <a:gs pos="100000">
                  <a:srgbClr val="409E1E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8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34D9-4A5E-A23E-C4CD2F63C253}"/>
              </c:ext>
            </c:extLst>
          </c:dPt>
          <c:dPt>
            <c:idx val="9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34D9-4A5E-A23E-C4CD2F63C253}"/>
              </c:ext>
            </c:extLst>
          </c:dPt>
          <c:dPt>
            <c:idx val="12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34D9-4A5E-A23E-C4CD2F63C253}"/>
              </c:ext>
            </c:extLst>
          </c:dPt>
          <c:dLbls>
            <c:dLbl>
              <c:idx val="8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34D9-4A5E-A23E-C4CD2F63C253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34D9-4A5E-A23E-C4CD2F63C253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34D9-4A5E-A23E-C4CD2F63C2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(Sheet29!$C$6:$C$11,Sheet29!$C$13,Sheet29!$C$15:$C$16,Sheet29!$C$18:$C$26)</c:f>
              <c:strCache>
                <c:ptCount val="18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Omentum</c:v>
                </c:pt>
                <c:pt idx="8">
                  <c:v>Pancreas</c:v>
                </c:pt>
                <c:pt idx="9">
                  <c:v>Spleen</c:v>
                </c:pt>
                <c:pt idx="10">
                  <c:v>Hearts</c:v>
                </c:pt>
                <c:pt idx="11">
                  <c:v>Ureters</c:v>
                </c:pt>
                <c:pt idx="12">
                  <c:v>Vena Cava</c:v>
                </c:pt>
                <c:pt idx="13">
                  <c:v>Stomach</c:v>
                </c:pt>
                <c:pt idx="14">
                  <c:v>Diaphragms</c:v>
                </c:pt>
                <c:pt idx="15">
                  <c:v>Male Pelvic</c:v>
                </c:pt>
                <c:pt idx="16">
                  <c:v>Female Pelvic</c:v>
                </c:pt>
                <c:pt idx="17">
                  <c:v>XL Hearts</c:v>
                </c:pt>
              </c:strCache>
            </c:strRef>
          </c:cat>
          <c:val>
            <c:numRef>
              <c:f>(Sheet29!$F$6:$F$11,Sheet29!$F$13,Sheet29!$F$15:$F$16,Sheet29!$F$18:$F$26)</c:f>
              <c:numCache>
                <c:formatCode>General</c:formatCode>
                <c:ptCount val="18"/>
                <c:pt idx="0">
                  <c:v>42</c:v>
                </c:pt>
                <c:pt idx="1">
                  <c:v>0</c:v>
                </c:pt>
                <c:pt idx="2">
                  <c:v>13</c:v>
                </c:pt>
                <c:pt idx="3">
                  <c:v>0</c:v>
                </c:pt>
                <c:pt idx="4">
                  <c:v>8</c:v>
                </c:pt>
                <c:pt idx="5">
                  <c:v>50</c:v>
                </c:pt>
                <c:pt idx="6">
                  <c:v>4</c:v>
                </c:pt>
                <c:pt idx="7">
                  <c:v>16</c:v>
                </c:pt>
                <c:pt idx="8">
                  <c:v>22</c:v>
                </c:pt>
                <c:pt idx="9">
                  <c:v>22</c:v>
                </c:pt>
                <c:pt idx="10">
                  <c:v>48</c:v>
                </c:pt>
                <c:pt idx="11">
                  <c:v>180</c:v>
                </c:pt>
                <c:pt idx="12">
                  <c:v>0</c:v>
                </c:pt>
                <c:pt idx="13">
                  <c:v>0</c:v>
                </c:pt>
                <c:pt idx="14">
                  <c:v>20</c:v>
                </c:pt>
                <c:pt idx="15">
                  <c:v>0</c:v>
                </c:pt>
                <c:pt idx="16">
                  <c:v>0</c:v>
                </c:pt>
                <c:pt idx="1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4D9-4A5E-A23E-C4CD2F63C253}"/>
            </c:ext>
          </c:extLst>
        </c:ser>
        <c:ser>
          <c:idx val="1"/>
          <c:order val="1"/>
          <c:tx>
            <c:strRef>
              <c:f>Sheet29!$H$2</c:f>
              <c:strCache>
                <c:ptCount val="1"/>
                <c:pt idx="0">
                  <c:v>Martin Achieved</c:v>
                </c:pt>
              </c:strCache>
            </c:strRef>
          </c:tx>
          <c:spPr>
            <a:gradFill>
              <a:gsLst>
                <a:gs pos="0">
                  <a:srgbClr val="4EA9DA"/>
                </a:gs>
                <a:gs pos="50000">
                  <a:srgbClr val="05A1DE"/>
                </a:gs>
                <a:gs pos="100000">
                  <a:srgbClr val="0091CA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4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8-34D9-4A5E-A23E-C4CD2F63C253}"/>
              </c:ext>
            </c:extLst>
          </c:dPt>
          <c:dPt>
            <c:idx val="6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A-34D9-4A5E-A23E-C4CD2F63C253}"/>
              </c:ext>
            </c:extLst>
          </c:dPt>
          <c:dPt>
            <c:idx val="9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C-34D9-4A5E-A23E-C4CD2F63C253}"/>
              </c:ext>
            </c:extLst>
          </c:dPt>
          <c:dPt>
            <c:idx val="12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E-34D9-4A5E-A23E-C4CD2F63C253}"/>
              </c:ext>
            </c:extLst>
          </c:dPt>
          <c:dLbls>
            <c:dLbl>
              <c:idx val="4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8-34D9-4A5E-A23E-C4CD2F63C253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A-34D9-4A5E-A23E-C4CD2F63C253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C-34D9-4A5E-A23E-C4CD2F63C253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E-34D9-4A5E-A23E-C4CD2F63C2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FFFFFF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(Sheet29!$C$6:$C$11,Sheet29!$C$13,Sheet29!$C$15:$C$16,Sheet29!$C$18:$C$26)</c:f>
              <c:strCache>
                <c:ptCount val="18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Omentum</c:v>
                </c:pt>
                <c:pt idx="8">
                  <c:v>Pancreas</c:v>
                </c:pt>
                <c:pt idx="9">
                  <c:v>Spleen</c:v>
                </c:pt>
                <c:pt idx="10">
                  <c:v>Hearts</c:v>
                </c:pt>
                <c:pt idx="11">
                  <c:v>Ureters</c:v>
                </c:pt>
                <c:pt idx="12">
                  <c:v>Vena Cava</c:v>
                </c:pt>
                <c:pt idx="13">
                  <c:v>Stomach</c:v>
                </c:pt>
                <c:pt idx="14">
                  <c:v>Diaphragms</c:v>
                </c:pt>
                <c:pt idx="15">
                  <c:v>Male Pelvic</c:v>
                </c:pt>
                <c:pt idx="16">
                  <c:v>Female Pelvic</c:v>
                </c:pt>
                <c:pt idx="17">
                  <c:v>XL Hearts</c:v>
                </c:pt>
              </c:strCache>
            </c:strRef>
          </c:cat>
          <c:val>
            <c:numRef>
              <c:f>(Sheet29!$H$6:$H$11,Sheet29!$H$13,Sheet29!$H$15:$H$16,Sheet29!$H$18:$H$26)</c:f>
              <c:numCache>
                <c:formatCode>General</c:formatCode>
                <c:ptCount val="18"/>
                <c:pt idx="0">
                  <c:v>393</c:v>
                </c:pt>
                <c:pt idx="1">
                  <c:v>212</c:v>
                </c:pt>
                <c:pt idx="2">
                  <c:v>0</c:v>
                </c:pt>
                <c:pt idx="3">
                  <c:v>144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247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4D9-4A5E-A23E-C4CD2F63C253}"/>
            </c:ext>
          </c:extLst>
        </c:ser>
        <c:ser>
          <c:idx val="2"/>
          <c:order val="2"/>
          <c:tx>
            <c:strRef>
              <c:f>Sheet29!$J$2</c:f>
              <c:strCache>
                <c:ptCount val="1"/>
                <c:pt idx="0">
                  <c:v>Custom Achieved</c:v>
                </c:pt>
              </c:strCache>
            </c:strRef>
          </c:tx>
          <c:spPr>
            <a:gradFill>
              <a:gsLst>
                <a:gs pos="0">
                  <a:srgbClr val="F7C8B5"/>
                </a:gs>
                <a:gs pos="50000">
                  <a:srgbClr val="F7AE88"/>
                </a:gs>
                <a:gs pos="100000">
                  <a:srgbClr val="EE9D73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4"/>
            <c:invertIfNegative val="0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34D9-4A5E-A23E-C4CD2F63C253}"/>
              </c:ext>
            </c:extLst>
          </c:dPt>
          <c:dPt>
            <c:idx val="9"/>
            <c:invertIfNegative val="0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34D9-4A5E-A23E-C4CD2F63C253}"/>
              </c:ext>
            </c:extLst>
          </c:dPt>
          <c:dLbls>
            <c:dLbl>
              <c:idx val="4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3A7D22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34D9-4A5E-A23E-C4CD2F63C253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3A7D22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34D9-4A5E-A23E-C4CD2F63C2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3A7D22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(Sheet29!$C$6:$C$11,Sheet29!$C$13,Sheet29!$C$15:$C$16,Sheet29!$C$18:$C$26)</c:f>
              <c:strCache>
                <c:ptCount val="18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Omentum</c:v>
                </c:pt>
                <c:pt idx="8">
                  <c:v>Pancreas</c:v>
                </c:pt>
                <c:pt idx="9">
                  <c:v>Spleen</c:v>
                </c:pt>
                <c:pt idx="10">
                  <c:v>Hearts</c:v>
                </c:pt>
                <c:pt idx="11">
                  <c:v>Ureters</c:v>
                </c:pt>
                <c:pt idx="12">
                  <c:v>Vena Cava</c:v>
                </c:pt>
                <c:pt idx="13">
                  <c:v>Stomach</c:v>
                </c:pt>
                <c:pt idx="14">
                  <c:v>Diaphragms</c:v>
                </c:pt>
                <c:pt idx="15">
                  <c:v>Male Pelvic</c:v>
                </c:pt>
                <c:pt idx="16">
                  <c:v>Female Pelvic</c:v>
                </c:pt>
                <c:pt idx="17">
                  <c:v>XL Hearts</c:v>
                </c:pt>
              </c:strCache>
            </c:strRef>
          </c:cat>
          <c:val>
            <c:numRef>
              <c:f>(Sheet29!$J$6:$J$11,Sheet29!$J$13,Sheet29!$J$15:$J$16,Sheet29!$J$18:$J$26)</c:f>
              <c:numCache>
                <c:formatCode>General</c:formatCode>
                <c:ptCount val="18"/>
                <c:pt idx="0">
                  <c:v>39</c:v>
                </c:pt>
                <c:pt idx="1">
                  <c:v>100</c:v>
                </c:pt>
                <c:pt idx="2">
                  <c:v>27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16</c:v>
                </c:pt>
                <c:pt idx="8">
                  <c:v>10</c:v>
                </c:pt>
                <c:pt idx="9">
                  <c:v>22</c:v>
                </c:pt>
                <c:pt idx="10">
                  <c:v>0</c:v>
                </c:pt>
                <c:pt idx="11">
                  <c:v>125</c:v>
                </c:pt>
                <c:pt idx="12">
                  <c:v>28</c:v>
                </c:pt>
                <c:pt idx="13">
                  <c:v>18</c:v>
                </c:pt>
                <c:pt idx="14">
                  <c:v>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4D9-4A5E-A23E-C4CD2F63C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66833"/>
        <c:axId val="39798694"/>
      </c:barChart>
      <c:lineChart>
        <c:grouping val="stacked"/>
        <c:varyColors val="0"/>
        <c:ser>
          <c:idx val="3"/>
          <c:order val="3"/>
          <c:tx>
            <c:strRef>
              <c:f>Sheet29!$K$2</c:f>
              <c:strCache>
                <c:ptCount val="1"/>
                <c:pt idx="0">
                  <c:v>Total Goal</c:v>
                </c:pt>
              </c:strCache>
            </c:strRef>
          </c:tx>
          <c:spPr>
            <a:ln w="34920" cap="rnd">
              <a:solidFill>
                <a:srgbClr val="2CBAF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(Sheet29!$C$6:$C$11,Sheet29!$C$13,Sheet29!$C$15:$C$16,Sheet29!$C$18:$C$26)</c:f>
              <c:strCache>
                <c:ptCount val="18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Omentum</c:v>
                </c:pt>
                <c:pt idx="8">
                  <c:v>Pancreas</c:v>
                </c:pt>
                <c:pt idx="9">
                  <c:v>Spleen</c:v>
                </c:pt>
                <c:pt idx="10">
                  <c:v>Hearts</c:v>
                </c:pt>
                <c:pt idx="11">
                  <c:v>Ureters</c:v>
                </c:pt>
                <c:pt idx="12">
                  <c:v>Vena Cava</c:v>
                </c:pt>
                <c:pt idx="13">
                  <c:v>Stomach</c:v>
                </c:pt>
                <c:pt idx="14">
                  <c:v>Diaphragms</c:v>
                </c:pt>
                <c:pt idx="15">
                  <c:v>Male Pelvic</c:v>
                </c:pt>
                <c:pt idx="16">
                  <c:v>Female Pelvic</c:v>
                </c:pt>
                <c:pt idx="17">
                  <c:v>XL Hearts</c:v>
                </c:pt>
              </c:strCache>
            </c:strRef>
          </c:cat>
          <c:val>
            <c:numRef>
              <c:f>(Sheet29!$K$6:$K$11,Sheet29!$K$13,Sheet29!$K$15:$K$16,Sheet29!$K$18:$K$26)</c:f>
              <c:numCache>
                <c:formatCode>General</c:formatCode>
                <c:ptCount val="18"/>
                <c:pt idx="0">
                  <c:v>474</c:v>
                </c:pt>
                <c:pt idx="1">
                  <c:v>312</c:v>
                </c:pt>
                <c:pt idx="2">
                  <c:v>40</c:v>
                </c:pt>
                <c:pt idx="3">
                  <c:v>144</c:v>
                </c:pt>
                <c:pt idx="4">
                  <c:v>8</c:v>
                </c:pt>
                <c:pt idx="5">
                  <c:v>50</c:v>
                </c:pt>
                <c:pt idx="6">
                  <c:v>4</c:v>
                </c:pt>
                <c:pt idx="7">
                  <c:v>32</c:v>
                </c:pt>
                <c:pt idx="8">
                  <c:v>32</c:v>
                </c:pt>
                <c:pt idx="9">
                  <c:v>44</c:v>
                </c:pt>
                <c:pt idx="10">
                  <c:v>48</c:v>
                </c:pt>
                <c:pt idx="11">
                  <c:v>305</c:v>
                </c:pt>
                <c:pt idx="12">
                  <c:v>28</c:v>
                </c:pt>
                <c:pt idx="13">
                  <c:v>18</c:v>
                </c:pt>
                <c:pt idx="14">
                  <c:v>28</c:v>
                </c:pt>
                <c:pt idx="15">
                  <c:v>40</c:v>
                </c:pt>
                <c:pt idx="16">
                  <c:v>500</c:v>
                </c:pt>
                <c:pt idx="17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4D9-4A5E-A23E-C4CD2F63C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866833"/>
        <c:axId val="39798694"/>
      </c:lineChart>
      <c:catAx>
        <c:axId val="286683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F2F2F2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39798694"/>
        <c:crosses val="autoZero"/>
        <c:auto val="1"/>
        <c:lblAlgn val="ctr"/>
        <c:lblOffset val="100"/>
        <c:noMultiLvlLbl val="0"/>
      </c:catAx>
      <c:valAx>
        <c:axId val="39798694"/>
        <c:scaling>
          <c:orientation val="minMax"/>
          <c:max val="800"/>
          <c:min val="0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28668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67553996525379101"/>
          <c:y val="1.55329357844425E-2"/>
          <c:w val="0.12771239371027199"/>
          <c:h val="0.11375206006226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9D9D9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A50021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600" b="1" strike="noStrike" spc="89">
                <a:solidFill>
                  <a:srgbClr val="F2F2F2"/>
                </a:solidFill>
                <a:latin typeface="Aptos Narrow"/>
              </a:defRPr>
            </a:pPr>
            <a:r>
              <a:rPr lang="en-US" sz="1600" b="1" strike="noStrike" spc="89">
                <a:solidFill>
                  <a:srgbClr val="F2F2F2"/>
                </a:solidFill>
                <a:latin typeface="Aptos Narrow"/>
              </a:rPr>
              <a:t>Q2 To Date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7379278628211002E-2"/>
          <c:y val="0.203504804974562"/>
          <c:w val="0.89085255020476095"/>
          <c:h val="0.575277934803089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'Q2'!$O$2</c:f>
              <c:strCache>
                <c:ptCount val="1"/>
                <c:pt idx="0">
                  <c:v>Total Achieved</c:v>
                </c:pt>
              </c:strCache>
            </c:strRef>
          </c:tx>
          <c:spPr>
            <a:gradFill>
              <a:gsLst>
                <a:gs pos="0">
                  <a:srgbClr val="ED825A"/>
                </a:gs>
                <a:gs pos="50000">
                  <a:srgbClr val="F16D28"/>
                </a:gs>
                <a:gs pos="100000">
                  <a:srgbClr val="DF5F1B"/>
                </a:gs>
              </a:gsLst>
              <a:lin ang="54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Aptos Narrow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('Q2'!$C$6:$C$11,'Q2'!$C$13:$C$16,'Q2'!$C$18:$C$23,'Q2'!$C$25:$C$27)</c:f>
              <c:strCache>
                <c:ptCount val="19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Liver w/GB</c:v>
                </c:pt>
                <c:pt idx="8">
                  <c:v>Omentum</c:v>
                </c:pt>
                <c:pt idx="9">
                  <c:v>Pancreas</c:v>
                </c:pt>
                <c:pt idx="10">
                  <c:v>Spleen</c:v>
                </c:pt>
                <c:pt idx="11">
                  <c:v>Hearts</c:v>
                </c:pt>
                <c:pt idx="12">
                  <c:v>Ureters</c:v>
                </c:pt>
                <c:pt idx="13">
                  <c:v>Vena Cava</c:v>
                </c:pt>
                <c:pt idx="14">
                  <c:v>Stomach</c:v>
                </c:pt>
                <c:pt idx="15">
                  <c:v>Diaphragms</c:v>
                </c:pt>
                <c:pt idx="16">
                  <c:v>Female Pelvic</c:v>
                </c:pt>
                <c:pt idx="17">
                  <c:v>XL Hearts</c:v>
                </c:pt>
                <c:pt idx="18">
                  <c:v>3'Jejunum</c:v>
                </c:pt>
              </c:strCache>
            </c:strRef>
          </c:cat>
          <c:val>
            <c:numRef>
              <c:f>('Q2'!$O$6:$O$11,'Q2'!$O$13:$O$16,'Q2'!$O$18:$O$23,'Q2'!$O$25:$O$27)</c:f>
              <c:numCache>
                <c:formatCode>General</c:formatCode>
                <c:ptCount val="19"/>
                <c:pt idx="0">
                  <c:v>3096</c:v>
                </c:pt>
                <c:pt idx="1">
                  <c:v>1616</c:v>
                </c:pt>
                <c:pt idx="2">
                  <c:v>229</c:v>
                </c:pt>
                <c:pt idx="3">
                  <c:v>977</c:v>
                </c:pt>
                <c:pt idx="4">
                  <c:v>72</c:v>
                </c:pt>
                <c:pt idx="5">
                  <c:v>286</c:v>
                </c:pt>
                <c:pt idx="6">
                  <c:v>26</c:v>
                </c:pt>
                <c:pt idx="7">
                  <c:v>110</c:v>
                </c:pt>
                <c:pt idx="8">
                  <c:v>234</c:v>
                </c:pt>
                <c:pt idx="9">
                  <c:v>225</c:v>
                </c:pt>
                <c:pt idx="10">
                  <c:v>230</c:v>
                </c:pt>
                <c:pt idx="11">
                  <c:v>386</c:v>
                </c:pt>
                <c:pt idx="12">
                  <c:v>1820</c:v>
                </c:pt>
                <c:pt idx="13">
                  <c:v>152</c:v>
                </c:pt>
                <c:pt idx="14">
                  <c:v>96</c:v>
                </c:pt>
                <c:pt idx="15">
                  <c:v>132</c:v>
                </c:pt>
                <c:pt idx="16">
                  <c:v>1957</c:v>
                </c:pt>
                <c:pt idx="17">
                  <c:v>81</c:v>
                </c:pt>
                <c:pt idx="18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D0-4516-B1C5-7B3FD4826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223314"/>
        <c:axId val="47987302"/>
      </c:barChart>
      <c:lineChart>
        <c:grouping val="standard"/>
        <c:varyColors val="0"/>
        <c:ser>
          <c:idx val="1"/>
          <c:order val="1"/>
          <c:tx>
            <c:strRef>
              <c:f>'Q2'!$N$2</c:f>
              <c:strCache>
                <c:ptCount val="1"/>
                <c:pt idx="0">
                  <c:v>Total Goal</c:v>
                </c:pt>
              </c:strCache>
            </c:strRef>
          </c:tx>
          <c:spPr>
            <a:ln w="34920" cap="rnd">
              <a:solidFill>
                <a:srgbClr val="2CBAF0"/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F4D0-4516-B1C5-7B3FD482612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D9D9D9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F4D0-4516-B1C5-7B3FD48261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('Q2'!$C$6:$C$11,'Q2'!$C$13:$C$16,'Q2'!$C$18:$C$23,'Q2'!$C$25:$C$27)</c:f>
              <c:strCache>
                <c:ptCount val="19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Liver w/GB</c:v>
                </c:pt>
                <c:pt idx="8">
                  <c:v>Omentum</c:v>
                </c:pt>
                <c:pt idx="9">
                  <c:v>Pancreas</c:v>
                </c:pt>
                <c:pt idx="10">
                  <c:v>Spleen</c:v>
                </c:pt>
                <c:pt idx="11">
                  <c:v>Hearts</c:v>
                </c:pt>
                <c:pt idx="12">
                  <c:v>Ureters</c:v>
                </c:pt>
                <c:pt idx="13">
                  <c:v>Vena Cava</c:v>
                </c:pt>
                <c:pt idx="14">
                  <c:v>Stomach</c:v>
                </c:pt>
                <c:pt idx="15">
                  <c:v>Diaphragms</c:v>
                </c:pt>
                <c:pt idx="16">
                  <c:v>Female Pelvic</c:v>
                </c:pt>
                <c:pt idx="17">
                  <c:v>XL Hearts</c:v>
                </c:pt>
                <c:pt idx="18">
                  <c:v>3'Jejunum</c:v>
                </c:pt>
              </c:strCache>
            </c:strRef>
          </c:cat>
          <c:val>
            <c:numRef>
              <c:f>('Q2'!$N$6:$N$11,'Q2'!$N$13:$N$16,'Q2'!$N$18:$N$23,'Q2'!$N$25:$N$27)</c:f>
              <c:numCache>
                <c:formatCode>General</c:formatCode>
                <c:ptCount val="19"/>
                <c:pt idx="0">
                  <c:v>3135</c:v>
                </c:pt>
                <c:pt idx="1">
                  <c:v>1752</c:v>
                </c:pt>
                <c:pt idx="2">
                  <c:v>256</c:v>
                </c:pt>
                <c:pt idx="3">
                  <c:v>1201</c:v>
                </c:pt>
                <c:pt idx="4">
                  <c:v>72</c:v>
                </c:pt>
                <c:pt idx="5">
                  <c:v>286</c:v>
                </c:pt>
                <c:pt idx="6">
                  <c:v>26</c:v>
                </c:pt>
                <c:pt idx="7">
                  <c:v>144</c:v>
                </c:pt>
                <c:pt idx="8">
                  <c:v>250</c:v>
                </c:pt>
                <c:pt idx="9">
                  <c:v>236</c:v>
                </c:pt>
                <c:pt idx="10">
                  <c:v>252</c:v>
                </c:pt>
                <c:pt idx="11">
                  <c:v>432</c:v>
                </c:pt>
                <c:pt idx="12">
                  <c:v>1945</c:v>
                </c:pt>
                <c:pt idx="13">
                  <c:v>180</c:v>
                </c:pt>
                <c:pt idx="14">
                  <c:v>114</c:v>
                </c:pt>
                <c:pt idx="15">
                  <c:v>140</c:v>
                </c:pt>
                <c:pt idx="16">
                  <c:v>3220</c:v>
                </c:pt>
                <c:pt idx="17">
                  <c:v>176</c:v>
                </c:pt>
                <c:pt idx="18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D0-4516-B1C5-7B3FD4826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9223314"/>
        <c:axId val="47987302"/>
      </c:lineChart>
      <c:catAx>
        <c:axId val="4922331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F2F2F2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47987302"/>
        <c:crosses val="autoZero"/>
        <c:auto val="1"/>
        <c:lblAlgn val="ctr"/>
        <c:lblOffset val="100"/>
        <c:noMultiLvlLbl val="0"/>
      </c:catAx>
      <c:valAx>
        <c:axId val="47987302"/>
        <c:scaling>
          <c:orientation val="minMax"/>
          <c:max val="3500"/>
          <c:min val="0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49223314"/>
        <c:crosses val="autoZero"/>
        <c:crossBetween val="between"/>
        <c:majorUnit val="250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9D9D9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595959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600" b="1" strike="noStrike" spc="89">
                <a:solidFill>
                  <a:srgbClr val="F2F2F2"/>
                </a:solidFill>
                <a:latin typeface="Aptos Narrow"/>
              </a:defRPr>
            </a:pPr>
            <a:r>
              <a:rPr lang="en-US" sz="1600" b="1" strike="noStrike" spc="89">
                <a:solidFill>
                  <a:srgbClr val="F2F2F2"/>
                </a:solidFill>
                <a:latin typeface="Aptos Narrow"/>
              </a:rPr>
              <a:t>Q2 To Date Projected vs Harvested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7369597615499298E-2"/>
          <c:y val="0.20349056603773599"/>
          <c:w val="0.89085786140089396"/>
          <c:h val="0.57528301886792499"/>
        </c:manualLayout>
      </c:layout>
      <c:areaChart>
        <c:grouping val="stacked"/>
        <c:varyColors val="1"/>
        <c:ser>
          <c:idx val="0"/>
          <c:order val="0"/>
          <c:tx>
            <c:strRef>
              <c:f>'Q2'!$P$2</c:f>
              <c:strCache>
                <c:ptCount val="1"/>
                <c:pt idx="0">
                  <c:v>Projected Harvest for Q2 26.</c:v>
                </c:pt>
              </c:strCache>
            </c:strRef>
          </c:tx>
          <c:spPr>
            <a:gradFill>
              <a:gsLst>
                <a:gs pos="0">
                  <a:srgbClr val="A6D09C"/>
                </a:gs>
                <a:gs pos="50000">
                  <a:srgbClr val="80DA60"/>
                </a:gs>
                <a:gs pos="100000">
                  <a:srgbClr val="6EDC46"/>
                </a:gs>
              </a:gsLst>
              <a:lin ang="5400000"/>
            </a:gra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('Q2'!$C$6:$C$11,'Q2'!$C$13:$C$16,'Q2'!$C$18:$C$27)</c:f>
              <c:strCache>
                <c:ptCount val="20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Liver w/GB</c:v>
                </c:pt>
                <c:pt idx="8">
                  <c:v>Omentum</c:v>
                </c:pt>
                <c:pt idx="9">
                  <c:v>Pancreas</c:v>
                </c:pt>
                <c:pt idx="10">
                  <c:v>Spleen</c:v>
                </c:pt>
                <c:pt idx="11">
                  <c:v>Hearts</c:v>
                </c:pt>
                <c:pt idx="12">
                  <c:v>Ureters</c:v>
                </c:pt>
                <c:pt idx="13">
                  <c:v>Vena Cava</c:v>
                </c:pt>
                <c:pt idx="14">
                  <c:v>Stomach</c:v>
                </c:pt>
                <c:pt idx="15">
                  <c:v>Diaphragms</c:v>
                </c:pt>
                <c:pt idx="16">
                  <c:v>Male Pelvic</c:v>
                </c:pt>
                <c:pt idx="17">
                  <c:v>Female Pelvic</c:v>
                </c:pt>
                <c:pt idx="18">
                  <c:v>XL Hearts</c:v>
                </c:pt>
                <c:pt idx="19">
                  <c:v>3'Jejunum</c:v>
                </c:pt>
              </c:strCache>
            </c:strRef>
          </c:cat>
          <c:val>
            <c:numRef>
              <c:f>('Q2'!$P$6:$P$11,'Q2'!$P$13:$P$16,'Q2'!$P$18:$P$27)</c:f>
              <c:numCache>
                <c:formatCode>General</c:formatCode>
                <c:ptCount val="20"/>
                <c:pt idx="0">
                  <c:v>3666</c:v>
                </c:pt>
                <c:pt idx="1">
                  <c:v>2197</c:v>
                </c:pt>
                <c:pt idx="2">
                  <c:v>377</c:v>
                </c:pt>
                <c:pt idx="3">
                  <c:v>1105</c:v>
                </c:pt>
                <c:pt idx="4">
                  <c:v>273</c:v>
                </c:pt>
                <c:pt idx="5">
                  <c:v>650</c:v>
                </c:pt>
                <c:pt idx="6">
                  <c:v>52</c:v>
                </c:pt>
                <c:pt idx="7">
                  <c:v>234</c:v>
                </c:pt>
                <c:pt idx="8">
                  <c:v>403</c:v>
                </c:pt>
                <c:pt idx="9">
                  <c:v>390</c:v>
                </c:pt>
                <c:pt idx="10">
                  <c:v>390</c:v>
                </c:pt>
                <c:pt idx="11">
                  <c:v>312</c:v>
                </c:pt>
                <c:pt idx="12">
                  <c:v>2743</c:v>
                </c:pt>
                <c:pt idx="13">
                  <c:v>377</c:v>
                </c:pt>
                <c:pt idx="14">
                  <c:v>117</c:v>
                </c:pt>
                <c:pt idx="15">
                  <c:v>156</c:v>
                </c:pt>
                <c:pt idx="16">
                  <c:v>1443</c:v>
                </c:pt>
                <c:pt idx="17">
                  <c:v>1326</c:v>
                </c:pt>
                <c:pt idx="18">
                  <c:v>130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46-498F-8FE4-E5997D59F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907110"/>
        <c:axId val="36829874"/>
      </c:areaChart>
      <c:barChart>
        <c:barDir val="col"/>
        <c:grouping val="stacked"/>
        <c:varyColors val="0"/>
        <c:ser>
          <c:idx val="1"/>
          <c:order val="1"/>
          <c:tx>
            <c:strRef>
              <c:f>'Q2'!$O$2</c:f>
              <c:strCache>
                <c:ptCount val="1"/>
                <c:pt idx="0">
                  <c:v>Total Achieved</c:v>
                </c:pt>
              </c:strCache>
            </c:strRef>
          </c:tx>
          <c:spPr>
            <a:gradFill>
              <a:gsLst>
                <a:gs pos="0">
                  <a:srgbClr val="ED825A"/>
                </a:gs>
                <a:gs pos="50000">
                  <a:srgbClr val="F16D28"/>
                </a:gs>
                <a:gs pos="100000">
                  <a:srgbClr val="DF5F1B"/>
                </a:gs>
              </a:gsLst>
              <a:lin ang="54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('Q2'!$C$6:$C$11,'Q2'!$C$13:$C$16,'Q2'!$C$18:$C$27)</c:f>
              <c:strCache>
                <c:ptCount val="20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Liver w/GB</c:v>
                </c:pt>
                <c:pt idx="8">
                  <c:v>Omentum</c:v>
                </c:pt>
                <c:pt idx="9">
                  <c:v>Pancreas</c:v>
                </c:pt>
                <c:pt idx="10">
                  <c:v>Spleen</c:v>
                </c:pt>
                <c:pt idx="11">
                  <c:v>Hearts</c:v>
                </c:pt>
                <c:pt idx="12">
                  <c:v>Ureters</c:v>
                </c:pt>
                <c:pt idx="13">
                  <c:v>Vena Cava</c:v>
                </c:pt>
                <c:pt idx="14">
                  <c:v>Stomach</c:v>
                </c:pt>
                <c:pt idx="15">
                  <c:v>Diaphragms</c:v>
                </c:pt>
                <c:pt idx="16">
                  <c:v>Male Pelvic</c:v>
                </c:pt>
                <c:pt idx="17">
                  <c:v>Female Pelvic</c:v>
                </c:pt>
                <c:pt idx="18">
                  <c:v>XL Hearts</c:v>
                </c:pt>
                <c:pt idx="19">
                  <c:v>3'Jejunum</c:v>
                </c:pt>
              </c:strCache>
            </c:strRef>
          </c:cat>
          <c:val>
            <c:numRef>
              <c:f>('Q2'!$O$6:$O$11,'Q2'!$O$13:$O$16,'Q2'!$O$18:$O$27)</c:f>
              <c:numCache>
                <c:formatCode>General</c:formatCode>
                <c:ptCount val="20"/>
                <c:pt idx="0">
                  <c:v>3096</c:v>
                </c:pt>
                <c:pt idx="1">
                  <c:v>1616</c:v>
                </c:pt>
                <c:pt idx="2">
                  <c:v>229</c:v>
                </c:pt>
                <c:pt idx="3">
                  <c:v>977</c:v>
                </c:pt>
                <c:pt idx="4">
                  <c:v>72</c:v>
                </c:pt>
                <c:pt idx="5">
                  <c:v>286</c:v>
                </c:pt>
                <c:pt idx="6">
                  <c:v>26</c:v>
                </c:pt>
                <c:pt idx="7">
                  <c:v>110</c:v>
                </c:pt>
                <c:pt idx="8">
                  <c:v>234</c:v>
                </c:pt>
                <c:pt idx="9">
                  <c:v>225</c:v>
                </c:pt>
                <c:pt idx="10">
                  <c:v>230</c:v>
                </c:pt>
                <c:pt idx="11">
                  <c:v>386</c:v>
                </c:pt>
                <c:pt idx="12">
                  <c:v>1820</c:v>
                </c:pt>
                <c:pt idx="13">
                  <c:v>152</c:v>
                </c:pt>
                <c:pt idx="14">
                  <c:v>96</c:v>
                </c:pt>
                <c:pt idx="15">
                  <c:v>132</c:v>
                </c:pt>
                <c:pt idx="16">
                  <c:v>2</c:v>
                </c:pt>
                <c:pt idx="17">
                  <c:v>1957</c:v>
                </c:pt>
                <c:pt idx="18">
                  <c:v>81</c:v>
                </c:pt>
                <c:pt idx="19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46-498F-8FE4-E5997D59F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5128629"/>
        <c:axId val="89208358"/>
      </c:barChart>
      <c:catAx>
        <c:axId val="619071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36829874"/>
        <c:crosses val="autoZero"/>
        <c:auto val="1"/>
        <c:lblAlgn val="ctr"/>
        <c:lblOffset val="100"/>
        <c:noMultiLvlLbl val="0"/>
      </c:catAx>
      <c:valAx>
        <c:axId val="3682987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61907110"/>
        <c:crosses val="autoZero"/>
        <c:crossBetween val="midCat"/>
      </c:valAx>
      <c:catAx>
        <c:axId val="251286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F2F2F2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89208358"/>
        <c:crosses val="autoZero"/>
        <c:auto val="1"/>
        <c:lblAlgn val="ctr"/>
        <c:lblOffset val="100"/>
        <c:noMultiLvlLbl val="0"/>
      </c:catAx>
      <c:valAx>
        <c:axId val="89208358"/>
        <c:scaling>
          <c:orientation val="minMax"/>
          <c:max val="4000"/>
          <c:min val="0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25128629"/>
        <c:crosses val="autoZero"/>
        <c:crossBetween val="midCat"/>
        <c:majorUnit val="250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9D9D9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000000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2026 To Date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851140727354899"/>
          <c:y val="9.7566646001239904E-2"/>
          <c:w val="0.82824147278066396"/>
          <c:h val="0.652820830750154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'Year to date'!$N$2</c:f>
              <c:strCache>
                <c:ptCount val="1"/>
                <c:pt idx="0">
                  <c:v>Total Achieved</c:v>
                </c:pt>
              </c:strCache>
            </c:strRef>
          </c:tx>
          <c:spPr>
            <a:solidFill>
              <a:srgbClr val="E97132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FAAE-4DF7-BC25-C30DE6704BE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FAAE-4DF7-BC25-C30DE6704B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('Year to date'!$C$6:$C$11,'Year to date'!$C$13:$C$16,'Year to date'!$C$18:$C$27)</c:f>
              <c:strCache>
                <c:ptCount val="20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Liver w/GB</c:v>
                </c:pt>
                <c:pt idx="8">
                  <c:v>Omentum</c:v>
                </c:pt>
                <c:pt idx="9">
                  <c:v>Pancreas</c:v>
                </c:pt>
                <c:pt idx="10">
                  <c:v>Spleen</c:v>
                </c:pt>
                <c:pt idx="11">
                  <c:v>Hearts</c:v>
                </c:pt>
                <c:pt idx="12">
                  <c:v>Ureters</c:v>
                </c:pt>
                <c:pt idx="13">
                  <c:v>Vena Cava</c:v>
                </c:pt>
                <c:pt idx="14">
                  <c:v>Stomach</c:v>
                </c:pt>
                <c:pt idx="15">
                  <c:v>Diaphragms</c:v>
                </c:pt>
                <c:pt idx="16">
                  <c:v>Male Pelvic</c:v>
                </c:pt>
                <c:pt idx="17">
                  <c:v>Female Pelvic</c:v>
                </c:pt>
                <c:pt idx="18">
                  <c:v>XL Hearts</c:v>
                </c:pt>
                <c:pt idx="19">
                  <c:v>3'Jejunum</c:v>
                </c:pt>
              </c:strCache>
            </c:strRef>
          </c:cat>
          <c:val>
            <c:numRef>
              <c:f>('Year to date'!$N$6:$N$11,'Year to date'!$N$13:$N$16,'Year to date'!$N$18:$N$27)</c:f>
              <c:numCache>
                <c:formatCode>General</c:formatCode>
                <c:ptCount val="20"/>
                <c:pt idx="0">
                  <c:v>5871</c:v>
                </c:pt>
                <c:pt idx="1">
                  <c:v>3716</c:v>
                </c:pt>
                <c:pt idx="2">
                  <c:v>621</c:v>
                </c:pt>
                <c:pt idx="3">
                  <c:v>1733</c:v>
                </c:pt>
                <c:pt idx="4">
                  <c:v>392</c:v>
                </c:pt>
                <c:pt idx="5">
                  <c:v>881</c:v>
                </c:pt>
                <c:pt idx="6">
                  <c:v>80</c:v>
                </c:pt>
                <c:pt idx="7">
                  <c:v>130</c:v>
                </c:pt>
                <c:pt idx="8">
                  <c:v>554</c:v>
                </c:pt>
                <c:pt idx="9">
                  <c:v>592</c:v>
                </c:pt>
                <c:pt idx="10">
                  <c:v>616</c:v>
                </c:pt>
                <c:pt idx="11">
                  <c:v>525</c:v>
                </c:pt>
                <c:pt idx="12">
                  <c:v>4320</c:v>
                </c:pt>
                <c:pt idx="13">
                  <c:v>583</c:v>
                </c:pt>
                <c:pt idx="14">
                  <c:v>205</c:v>
                </c:pt>
                <c:pt idx="15">
                  <c:v>297</c:v>
                </c:pt>
                <c:pt idx="16">
                  <c:v>242</c:v>
                </c:pt>
                <c:pt idx="17">
                  <c:v>4320</c:v>
                </c:pt>
                <c:pt idx="18">
                  <c:v>140</c:v>
                </c:pt>
                <c:pt idx="19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E-4DF7-BC25-C30DE6704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3"/>
        <c:axId val="89863535"/>
        <c:axId val="40891428"/>
      </c:barChart>
      <c:lineChart>
        <c:grouping val="standard"/>
        <c:varyColors val="0"/>
        <c:ser>
          <c:idx val="1"/>
          <c:order val="1"/>
          <c:tx>
            <c:strRef>
              <c:f>'Year to date'!$M$2</c:f>
              <c:strCache>
                <c:ptCount val="1"/>
                <c:pt idx="0">
                  <c:v>Total Ask</c:v>
                </c:pt>
              </c:strCache>
            </c:strRef>
          </c:tx>
          <c:spPr>
            <a:ln w="28440" cap="rnd">
              <a:solidFill>
                <a:srgbClr val="83CBE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('Year to date'!$C$6:$C$11,'Year to date'!$C$13:$C$16,'Year to date'!$C$18:$C$27)</c:f>
              <c:strCache>
                <c:ptCount val="20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Liver w/GB</c:v>
                </c:pt>
                <c:pt idx="8">
                  <c:v>Omentum</c:v>
                </c:pt>
                <c:pt idx="9">
                  <c:v>Pancreas</c:v>
                </c:pt>
                <c:pt idx="10">
                  <c:v>Spleen</c:v>
                </c:pt>
                <c:pt idx="11">
                  <c:v>Hearts</c:v>
                </c:pt>
                <c:pt idx="12">
                  <c:v>Ureters</c:v>
                </c:pt>
                <c:pt idx="13">
                  <c:v>Vena Cava</c:v>
                </c:pt>
                <c:pt idx="14">
                  <c:v>Stomach</c:v>
                </c:pt>
                <c:pt idx="15">
                  <c:v>Diaphragms</c:v>
                </c:pt>
                <c:pt idx="16">
                  <c:v>Male Pelvic</c:v>
                </c:pt>
                <c:pt idx="17">
                  <c:v>Female Pelvic</c:v>
                </c:pt>
                <c:pt idx="18">
                  <c:v>XL Hearts</c:v>
                </c:pt>
                <c:pt idx="19">
                  <c:v>3'Jejunum</c:v>
                </c:pt>
              </c:strCache>
            </c:strRef>
          </c:cat>
          <c:val>
            <c:numRef>
              <c:f>('Year to date'!$M$6:$M$11,'Year to date'!$M$13:$M$16,'Year to date'!$M$18:$M$27)</c:f>
              <c:numCache>
                <c:formatCode>General</c:formatCode>
                <c:ptCount val="20"/>
                <c:pt idx="0">
                  <c:v>6021</c:v>
                </c:pt>
                <c:pt idx="1">
                  <c:v>4156</c:v>
                </c:pt>
                <c:pt idx="2">
                  <c:v>690</c:v>
                </c:pt>
                <c:pt idx="3">
                  <c:v>3001</c:v>
                </c:pt>
                <c:pt idx="4">
                  <c:v>400</c:v>
                </c:pt>
                <c:pt idx="5">
                  <c:v>950</c:v>
                </c:pt>
                <c:pt idx="6">
                  <c:v>80</c:v>
                </c:pt>
                <c:pt idx="7">
                  <c:v>210</c:v>
                </c:pt>
                <c:pt idx="8">
                  <c:v>618</c:v>
                </c:pt>
                <c:pt idx="9">
                  <c:v>632</c:v>
                </c:pt>
                <c:pt idx="10">
                  <c:v>696</c:v>
                </c:pt>
                <c:pt idx="11">
                  <c:v>592</c:v>
                </c:pt>
                <c:pt idx="12">
                  <c:v>4525</c:v>
                </c:pt>
                <c:pt idx="13">
                  <c:v>648</c:v>
                </c:pt>
                <c:pt idx="14">
                  <c:v>250</c:v>
                </c:pt>
                <c:pt idx="15">
                  <c:v>320</c:v>
                </c:pt>
                <c:pt idx="16">
                  <c:v>1400</c:v>
                </c:pt>
                <c:pt idx="17">
                  <c:v>5860</c:v>
                </c:pt>
                <c:pt idx="18">
                  <c:v>270</c:v>
                </c:pt>
                <c:pt idx="19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AE-4DF7-BC25-C30DE6704BE0}"/>
            </c:ext>
          </c:extLst>
        </c:ser>
        <c:ser>
          <c:idx val="2"/>
          <c:order val="2"/>
          <c:tx>
            <c:strRef>
              <c:f>'Year to date'!$O$2</c:f>
              <c:strCache>
                <c:ptCount val="1"/>
                <c:pt idx="0">
                  <c:v>Projected Harvest for  26.</c:v>
                </c:pt>
              </c:strCache>
            </c:strRef>
          </c:tx>
          <c:spPr>
            <a:ln w="28440" cap="rnd">
              <a:solidFill>
                <a:srgbClr val="99FF6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('Year to date'!$C$6:$C$11,'Year to date'!$C$13:$C$16,'Year to date'!$C$18:$C$27)</c:f>
              <c:strCache>
                <c:ptCount val="20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Liver w/GB</c:v>
                </c:pt>
                <c:pt idx="8">
                  <c:v>Omentum</c:v>
                </c:pt>
                <c:pt idx="9">
                  <c:v>Pancreas</c:v>
                </c:pt>
                <c:pt idx="10">
                  <c:v>Spleen</c:v>
                </c:pt>
                <c:pt idx="11">
                  <c:v>Hearts</c:v>
                </c:pt>
                <c:pt idx="12">
                  <c:v>Ureters</c:v>
                </c:pt>
                <c:pt idx="13">
                  <c:v>Vena Cava</c:v>
                </c:pt>
                <c:pt idx="14">
                  <c:v>Stomach</c:v>
                </c:pt>
                <c:pt idx="15">
                  <c:v>Diaphragms</c:v>
                </c:pt>
                <c:pt idx="16">
                  <c:v>Male Pelvic</c:v>
                </c:pt>
                <c:pt idx="17">
                  <c:v>Female Pelvic</c:v>
                </c:pt>
                <c:pt idx="18">
                  <c:v>XL Hearts</c:v>
                </c:pt>
                <c:pt idx="19">
                  <c:v>3'Jejunum</c:v>
                </c:pt>
              </c:strCache>
            </c:strRef>
          </c:cat>
          <c:val>
            <c:numRef>
              <c:f>('Year to date'!$O$6:$O$11,'Year to date'!$O$13:$O$16,'Year to date'!$O$18:$O$27)</c:f>
              <c:numCache>
                <c:formatCode>General</c:formatCode>
                <c:ptCount val="20"/>
                <c:pt idx="0">
                  <c:v>6361</c:v>
                </c:pt>
                <c:pt idx="1">
                  <c:v>2373</c:v>
                </c:pt>
                <c:pt idx="2">
                  <c:v>406</c:v>
                </c:pt>
                <c:pt idx="3">
                  <c:v>1941</c:v>
                </c:pt>
                <c:pt idx="4">
                  <c:v>283</c:v>
                </c:pt>
                <c:pt idx="5">
                  <c:v>704</c:v>
                </c:pt>
                <c:pt idx="6">
                  <c:v>56</c:v>
                </c:pt>
                <c:pt idx="7">
                  <c:v>242</c:v>
                </c:pt>
                <c:pt idx="8">
                  <c:v>721</c:v>
                </c:pt>
                <c:pt idx="9">
                  <c:v>708</c:v>
                </c:pt>
                <c:pt idx="10">
                  <c:v>419</c:v>
                </c:pt>
                <c:pt idx="11">
                  <c:v>343</c:v>
                </c:pt>
                <c:pt idx="12">
                  <c:v>4437</c:v>
                </c:pt>
                <c:pt idx="13">
                  <c:v>419</c:v>
                </c:pt>
                <c:pt idx="14">
                  <c:v>127</c:v>
                </c:pt>
                <c:pt idx="15">
                  <c:v>170</c:v>
                </c:pt>
                <c:pt idx="16">
                  <c:v>2143</c:v>
                </c:pt>
                <c:pt idx="17">
                  <c:v>2026</c:v>
                </c:pt>
                <c:pt idx="18">
                  <c:v>130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AAE-4DF7-BC25-C30DE6704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9863535"/>
        <c:axId val="40891428"/>
      </c:lineChart>
      <c:catAx>
        <c:axId val="898635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n-US"/>
          </a:p>
        </c:txPr>
        <c:crossAx val="40891428"/>
        <c:crosses val="autoZero"/>
        <c:auto val="1"/>
        <c:lblAlgn val="ctr"/>
        <c:lblOffset val="100"/>
        <c:noMultiLvlLbl val="0"/>
      </c:catAx>
      <c:valAx>
        <c:axId val="4089142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8986353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808080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600" b="1" strike="noStrike" spc="89">
                <a:solidFill>
                  <a:srgbClr val="F2F2F2"/>
                </a:solidFill>
                <a:latin typeface="Aptos Narrow"/>
              </a:defRPr>
            </a:pPr>
            <a:r>
              <a:rPr lang="en-US" sz="1600" b="1" strike="noStrike" spc="89">
                <a:solidFill>
                  <a:srgbClr val="F2F2F2"/>
                </a:solidFill>
                <a:latin typeface="Aptos Narrow"/>
              </a:rPr>
              <a:t>Current 2 Week WO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4693251533742298E-2"/>
          <c:y val="0.203478925738316"/>
          <c:w val="0.89082822085889601"/>
          <c:h val="0.5753130077415660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Sheet29!$F$2</c:f>
              <c:strCache>
                <c:ptCount val="1"/>
                <c:pt idx="0">
                  <c:v>Nahunta Achieved</c:v>
                </c:pt>
              </c:strCache>
            </c:strRef>
          </c:tx>
          <c:spPr>
            <a:gradFill>
              <a:gsLst>
                <a:gs pos="0">
                  <a:srgbClr val="68B056"/>
                </a:gs>
                <a:gs pos="50000">
                  <a:srgbClr val="4AAC28"/>
                </a:gs>
                <a:gs pos="100000">
                  <a:srgbClr val="409E1E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8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DEC7-4D51-A5F5-9FC09E77748D}"/>
              </c:ext>
            </c:extLst>
          </c:dPt>
          <c:dPt>
            <c:idx val="9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DEC7-4D51-A5F5-9FC09E77748D}"/>
              </c:ext>
            </c:extLst>
          </c:dPt>
          <c:dPt>
            <c:idx val="12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DEC7-4D51-A5F5-9FC09E77748D}"/>
              </c:ext>
            </c:extLst>
          </c:dPt>
          <c:dLbls>
            <c:dLbl>
              <c:idx val="8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DEC7-4D51-A5F5-9FC09E77748D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DEC7-4D51-A5F5-9FC09E77748D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DEC7-4D51-A5F5-9FC09E7774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(Sheet29!$C$6:$C$11,Sheet29!$C$13,Sheet29!$C$15:$C$16,Sheet29!$C$18:$C$26)</c:f>
              <c:strCache>
                <c:ptCount val="18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Omentum</c:v>
                </c:pt>
                <c:pt idx="8">
                  <c:v>Pancreas</c:v>
                </c:pt>
                <c:pt idx="9">
                  <c:v>Spleen</c:v>
                </c:pt>
                <c:pt idx="10">
                  <c:v>Hearts</c:v>
                </c:pt>
                <c:pt idx="11">
                  <c:v>Ureters</c:v>
                </c:pt>
                <c:pt idx="12">
                  <c:v>Vena Cava</c:v>
                </c:pt>
                <c:pt idx="13">
                  <c:v>Stomach</c:v>
                </c:pt>
                <c:pt idx="14">
                  <c:v>Diaphragms</c:v>
                </c:pt>
                <c:pt idx="15">
                  <c:v>Male Pelvic</c:v>
                </c:pt>
                <c:pt idx="16">
                  <c:v>Female Pelvic</c:v>
                </c:pt>
                <c:pt idx="17">
                  <c:v>XL Hearts</c:v>
                </c:pt>
              </c:strCache>
            </c:strRef>
          </c:cat>
          <c:val>
            <c:numRef>
              <c:f>(Sheet29!$F$6:$F$11,Sheet29!$F$13,Sheet29!$F$15:$F$16,Sheet29!$F$18:$F$26)</c:f>
              <c:numCache>
                <c:formatCode>General</c:formatCode>
                <c:ptCount val="18"/>
                <c:pt idx="0">
                  <c:v>42</c:v>
                </c:pt>
                <c:pt idx="1">
                  <c:v>0</c:v>
                </c:pt>
                <c:pt idx="2">
                  <c:v>13</c:v>
                </c:pt>
                <c:pt idx="3">
                  <c:v>0</c:v>
                </c:pt>
                <c:pt idx="4">
                  <c:v>8</c:v>
                </c:pt>
                <c:pt idx="5">
                  <c:v>50</c:v>
                </c:pt>
                <c:pt idx="6">
                  <c:v>4</c:v>
                </c:pt>
                <c:pt idx="7">
                  <c:v>16</c:v>
                </c:pt>
                <c:pt idx="8">
                  <c:v>22</c:v>
                </c:pt>
                <c:pt idx="9">
                  <c:v>22</c:v>
                </c:pt>
                <c:pt idx="10">
                  <c:v>48</c:v>
                </c:pt>
                <c:pt idx="11">
                  <c:v>180</c:v>
                </c:pt>
                <c:pt idx="12">
                  <c:v>0</c:v>
                </c:pt>
                <c:pt idx="13">
                  <c:v>0</c:v>
                </c:pt>
                <c:pt idx="14">
                  <c:v>20</c:v>
                </c:pt>
                <c:pt idx="15">
                  <c:v>0</c:v>
                </c:pt>
                <c:pt idx="16">
                  <c:v>0</c:v>
                </c:pt>
                <c:pt idx="1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C7-4D51-A5F5-9FC09E77748D}"/>
            </c:ext>
          </c:extLst>
        </c:ser>
        <c:ser>
          <c:idx val="1"/>
          <c:order val="1"/>
          <c:tx>
            <c:strRef>
              <c:f>Sheet29!$H$2</c:f>
              <c:strCache>
                <c:ptCount val="1"/>
                <c:pt idx="0">
                  <c:v>Martin Achieved</c:v>
                </c:pt>
              </c:strCache>
            </c:strRef>
          </c:tx>
          <c:spPr>
            <a:gradFill>
              <a:gsLst>
                <a:gs pos="0">
                  <a:srgbClr val="4EA9DA"/>
                </a:gs>
                <a:gs pos="50000">
                  <a:srgbClr val="05A1DE"/>
                </a:gs>
                <a:gs pos="100000">
                  <a:srgbClr val="0091CA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4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8-DEC7-4D51-A5F5-9FC09E77748D}"/>
              </c:ext>
            </c:extLst>
          </c:dPt>
          <c:dPt>
            <c:idx val="6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A-DEC7-4D51-A5F5-9FC09E77748D}"/>
              </c:ext>
            </c:extLst>
          </c:dPt>
          <c:dPt>
            <c:idx val="9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C-DEC7-4D51-A5F5-9FC09E77748D}"/>
              </c:ext>
            </c:extLst>
          </c:dPt>
          <c:dPt>
            <c:idx val="12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E-DEC7-4D51-A5F5-9FC09E77748D}"/>
              </c:ext>
            </c:extLst>
          </c:dPt>
          <c:dLbls>
            <c:dLbl>
              <c:idx val="4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8-DEC7-4D51-A5F5-9FC09E77748D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A-DEC7-4D51-A5F5-9FC09E77748D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C-DEC7-4D51-A5F5-9FC09E77748D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E-DEC7-4D51-A5F5-9FC09E7774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FFFFFF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(Sheet29!$C$6:$C$11,Sheet29!$C$13,Sheet29!$C$15:$C$16,Sheet29!$C$18:$C$26)</c:f>
              <c:strCache>
                <c:ptCount val="18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Omentum</c:v>
                </c:pt>
                <c:pt idx="8">
                  <c:v>Pancreas</c:v>
                </c:pt>
                <c:pt idx="9">
                  <c:v>Spleen</c:v>
                </c:pt>
                <c:pt idx="10">
                  <c:v>Hearts</c:v>
                </c:pt>
                <c:pt idx="11">
                  <c:v>Ureters</c:v>
                </c:pt>
                <c:pt idx="12">
                  <c:v>Vena Cava</c:v>
                </c:pt>
                <c:pt idx="13">
                  <c:v>Stomach</c:v>
                </c:pt>
                <c:pt idx="14">
                  <c:v>Diaphragms</c:v>
                </c:pt>
                <c:pt idx="15">
                  <c:v>Male Pelvic</c:v>
                </c:pt>
                <c:pt idx="16">
                  <c:v>Female Pelvic</c:v>
                </c:pt>
                <c:pt idx="17">
                  <c:v>XL Hearts</c:v>
                </c:pt>
              </c:strCache>
            </c:strRef>
          </c:cat>
          <c:val>
            <c:numRef>
              <c:f>(Sheet29!$H$6:$H$11,Sheet29!$H$13,Sheet29!$H$15:$H$16,Sheet29!$H$18:$H$26)</c:f>
              <c:numCache>
                <c:formatCode>General</c:formatCode>
                <c:ptCount val="18"/>
                <c:pt idx="0">
                  <c:v>393</c:v>
                </c:pt>
                <c:pt idx="1">
                  <c:v>212</c:v>
                </c:pt>
                <c:pt idx="2">
                  <c:v>0</c:v>
                </c:pt>
                <c:pt idx="3">
                  <c:v>144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247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EC7-4D51-A5F5-9FC09E77748D}"/>
            </c:ext>
          </c:extLst>
        </c:ser>
        <c:ser>
          <c:idx val="2"/>
          <c:order val="2"/>
          <c:tx>
            <c:strRef>
              <c:f>Sheet29!$J$2</c:f>
              <c:strCache>
                <c:ptCount val="1"/>
                <c:pt idx="0">
                  <c:v>Custom Achieved</c:v>
                </c:pt>
              </c:strCache>
            </c:strRef>
          </c:tx>
          <c:spPr>
            <a:gradFill>
              <a:gsLst>
                <a:gs pos="0">
                  <a:srgbClr val="F7C8B5"/>
                </a:gs>
                <a:gs pos="50000">
                  <a:srgbClr val="F7AE88"/>
                </a:gs>
                <a:gs pos="100000">
                  <a:srgbClr val="EE9D73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4"/>
            <c:invertIfNegative val="0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DEC7-4D51-A5F5-9FC09E77748D}"/>
              </c:ext>
            </c:extLst>
          </c:dPt>
          <c:dPt>
            <c:idx val="9"/>
            <c:invertIfNegative val="0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DEC7-4D51-A5F5-9FC09E77748D}"/>
              </c:ext>
            </c:extLst>
          </c:dPt>
          <c:dLbls>
            <c:dLbl>
              <c:idx val="4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3A7D22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DEC7-4D51-A5F5-9FC09E77748D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3A7D22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DEC7-4D51-A5F5-9FC09E7774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3A7D22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(Sheet29!$C$6:$C$11,Sheet29!$C$13,Sheet29!$C$15:$C$16,Sheet29!$C$18:$C$26)</c:f>
              <c:strCache>
                <c:ptCount val="18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Omentum</c:v>
                </c:pt>
                <c:pt idx="8">
                  <c:v>Pancreas</c:v>
                </c:pt>
                <c:pt idx="9">
                  <c:v>Spleen</c:v>
                </c:pt>
                <c:pt idx="10">
                  <c:v>Hearts</c:v>
                </c:pt>
                <c:pt idx="11">
                  <c:v>Ureters</c:v>
                </c:pt>
                <c:pt idx="12">
                  <c:v>Vena Cava</c:v>
                </c:pt>
                <c:pt idx="13">
                  <c:v>Stomach</c:v>
                </c:pt>
                <c:pt idx="14">
                  <c:v>Diaphragms</c:v>
                </c:pt>
                <c:pt idx="15">
                  <c:v>Male Pelvic</c:v>
                </c:pt>
                <c:pt idx="16">
                  <c:v>Female Pelvic</c:v>
                </c:pt>
                <c:pt idx="17">
                  <c:v>XL Hearts</c:v>
                </c:pt>
              </c:strCache>
            </c:strRef>
          </c:cat>
          <c:val>
            <c:numRef>
              <c:f>(Sheet29!$J$6:$J$11,Sheet29!$J$13,Sheet29!$J$15:$J$16,Sheet29!$J$18:$J$26)</c:f>
              <c:numCache>
                <c:formatCode>General</c:formatCode>
                <c:ptCount val="18"/>
                <c:pt idx="0">
                  <c:v>39</c:v>
                </c:pt>
                <c:pt idx="1">
                  <c:v>100</c:v>
                </c:pt>
                <c:pt idx="2">
                  <c:v>27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16</c:v>
                </c:pt>
                <c:pt idx="8">
                  <c:v>10</c:v>
                </c:pt>
                <c:pt idx="9">
                  <c:v>22</c:v>
                </c:pt>
                <c:pt idx="10">
                  <c:v>0</c:v>
                </c:pt>
                <c:pt idx="11">
                  <c:v>125</c:v>
                </c:pt>
                <c:pt idx="12">
                  <c:v>28</c:v>
                </c:pt>
                <c:pt idx="13">
                  <c:v>18</c:v>
                </c:pt>
                <c:pt idx="14">
                  <c:v>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EC7-4D51-A5F5-9FC09E777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31823"/>
        <c:axId val="35016575"/>
      </c:barChart>
      <c:lineChart>
        <c:grouping val="stacked"/>
        <c:varyColors val="0"/>
        <c:ser>
          <c:idx val="3"/>
          <c:order val="3"/>
          <c:tx>
            <c:strRef>
              <c:f>Sheet29!$K$2</c:f>
              <c:strCache>
                <c:ptCount val="1"/>
                <c:pt idx="0">
                  <c:v>Total Goal</c:v>
                </c:pt>
              </c:strCache>
            </c:strRef>
          </c:tx>
          <c:spPr>
            <a:ln w="34920" cap="rnd">
              <a:solidFill>
                <a:srgbClr val="2CBAF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(Sheet29!$C$6:$C$11,Sheet29!$C$13,Sheet29!$C$15:$C$16,Sheet29!$C$18:$C$26)</c:f>
              <c:strCache>
                <c:ptCount val="18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Omentum</c:v>
                </c:pt>
                <c:pt idx="8">
                  <c:v>Pancreas</c:v>
                </c:pt>
                <c:pt idx="9">
                  <c:v>Spleen</c:v>
                </c:pt>
                <c:pt idx="10">
                  <c:v>Hearts</c:v>
                </c:pt>
                <c:pt idx="11">
                  <c:v>Ureters</c:v>
                </c:pt>
                <c:pt idx="12">
                  <c:v>Vena Cava</c:v>
                </c:pt>
                <c:pt idx="13">
                  <c:v>Stomach</c:v>
                </c:pt>
                <c:pt idx="14">
                  <c:v>Diaphragms</c:v>
                </c:pt>
                <c:pt idx="15">
                  <c:v>Male Pelvic</c:v>
                </c:pt>
                <c:pt idx="16">
                  <c:v>Female Pelvic</c:v>
                </c:pt>
                <c:pt idx="17">
                  <c:v>XL Hearts</c:v>
                </c:pt>
              </c:strCache>
            </c:strRef>
          </c:cat>
          <c:val>
            <c:numRef>
              <c:f>(Sheet29!$K$6:$K$11,Sheet29!$K$13,Sheet29!$K$15:$K$16,Sheet29!$K$18:$K$26)</c:f>
              <c:numCache>
                <c:formatCode>General</c:formatCode>
                <c:ptCount val="18"/>
                <c:pt idx="0">
                  <c:v>474</c:v>
                </c:pt>
                <c:pt idx="1">
                  <c:v>312</c:v>
                </c:pt>
                <c:pt idx="2">
                  <c:v>40</c:v>
                </c:pt>
                <c:pt idx="3">
                  <c:v>144</c:v>
                </c:pt>
                <c:pt idx="4">
                  <c:v>8</c:v>
                </c:pt>
                <c:pt idx="5">
                  <c:v>50</c:v>
                </c:pt>
                <c:pt idx="6">
                  <c:v>4</c:v>
                </c:pt>
                <c:pt idx="7">
                  <c:v>32</c:v>
                </c:pt>
                <c:pt idx="8">
                  <c:v>32</c:v>
                </c:pt>
                <c:pt idx="9">
                  <c:v>44</c:v>
                </c:pt>
                <c:pt idx="10">
                  <c:v>48</c:v>
                </c:pt>
                <c:pt idx="11">
                  <c:v>305</c:v>
                </c:pt>
                <c:pt idx="12">
                  <c:v>28</c:v>
                </c:pt>
                <c:pt idx="13">
                  <c:v>18</c:v>
                </c:pt>
                <c:pt idx="14">
                  <c:v>28</c:v>
                </c:pt>
                <c:pt idx="15">
                  <c:v>40</c:v>
                </c:pt>
                <c:pt idx="16">
                  <c:v>500</c:v>
                </c:pt>
                <c:pt idx="17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EC7-4D51-A5F5-9FC09E777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1431823"/>
        <c:axId val="35016575"/>
      </c:lineChart>
      <c:catAx>
        <c:axId val="1143182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F2F2F2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35016575"/>
        <c:crosses val="autoZero"/>
        <c:auto val="1"/>
        <c:lblAlgn val="ctr"/>
        <c:lblOffset val="100"/>
        <c:noMultiLvlLbl val="0"/>
      </c:catAx>
      <c:valAx>
        <c:axId val="35016575"/>
        <c:scaling>
          <c:orientation val="minMax"/>
          <c:max val="800"/>
          <c:min val="0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114318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67553996525379101"/>
          <c:y val="1.55329357844425E-2"/>
          <c:w val="0.12771239371027199"/>
          <c:h val="0.11375206006226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9D9D9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A50021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600" b="1" strike="noStrike" spc="89">
                <a:solidFill>
                  <a:srgbClr val="F2F2F2"/>
                </a:solidFill>
                <a:latin typeface="Aptos Narrow"/>
              </a:defRPr>
            </a:pPr>
            <a:r>
              <a:rPr lang="en-US" sz="1600" b="1" strike="noStrike" spc="89">
                <a:solidFill>
                  <a:srgbClr val="F2F2F2"/>
                </a:solidFill>
                <a:latin typeface="Aptos Narrow"/>
              </a:rPr>
              <a:t>Current 2 Week WO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4693251533742298E-2"/>
          <c:y val="0.203478925738316"/>
          <c:w val="0.89082822085889601"/>
          <c:h val="0.5753130077415660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Sheet29!$F$2</c:f>
              <c:strCache>
                <c:ptCount val="1"/>
                <c:pt idx="0">
                  <c:v>Nahunta Achieved</c:v>
                </c:pt>
              </c:strCache>
            </c:strRef>
          </c:tx>
          <c:spPr>
            <a:gradFill>
              <a:gsLst>
                <a:gs pos="0">
                  <a:srgbClr val="68B056"/>
                </a:gs>
                <a:gs pos="50000">
                  <a:srgbClr val="4AAC28"/>
                </a:gs>
                <a:gs pos="100000">
                  <a:srgbClr val="409E1E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8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7E1C-42D7-9D4C-A8581AFE5106}"/>
              </c:ext>
            </c:extLst>
          </c:dPt>
          <c:dPt>
            <c:idx val="9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7E1C-42D7-9D4C-A8581AFE5106}"/>
              </c:ext>
            </c:extLst>
          </c:dPt>
          <c:dPt>
            <c:idx val="12"/>
            <c:invertIfNegative val="0"/>
            <c:bubble3D val="0"/>
            <c:spPr>
              <a:solidFill>
                <a:srgbClr val="15608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7E1C-42D7-9D4C-A8581AFE5106}"/>
              </c:ext>
            </c:extLst>
          </c:dPt>
          <c:dLbls>
            <c:dLbl>
              <c:idx val="8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7E1C-42D7-9D4C-A8581AFE5106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7E1C-42D7-9D4C-A8581AFE5106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7E1C-42D7-9D4C-A8581AFE51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(Sheet29!$C$6:$C$11,Sheet29!$C$13,Sheet29!$C$15:$C$16,Sheet29!$C$18:$C$26)</c:f>
              <c:strCache>
                <c:ptCount val="18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Omentum</c:v>
                </c:pt>
                <c:pt idx="8">
                  <c:v>Pancreas</c:v>
                </c:pt>
                <c:pt idx="9">
                  <c:v>Spleen</c:v>
                </c:pt>
                <c:pt idx="10">
                  <c:v>Hearts</c:v>
                </c:pt>
                <c:pt idx="11">
                  <c:v>Ureters</c:v>
                </c:pt>
                <c:pt idx="12">
                  <c:v>Vena Cava</c:v>
                </c:pt>
                <c:pt idx="13">
                  <c:v>Stomach</c:v>
                </c:pt>
                <c:pt idx="14">
                  <c:v>Diaphragms</c:v>
                </c:pt>
                <c:pt idx="15">
                  <c:v>Male Pelvic</c:v>
                </c:pt>
                <c:pt idx="16">
                  <c:v>Female Pelvic</c:v>
                </c:pt>
                <c:pt idx="17">
                  <c:v>XL Hearts</c:v>
                </c:pt>
              </c:strCache>
            </c:strRef>
          </c:cat>
          <c:val>
            <c:numRef>
              <c:f>(Sheet29!$F$6:$F$11,Sheet29!$F$13,Sheet29!$F$15:$F$16,Sheet29!$F$18:$F$26)</c:f>
              <c:numCache>
                <c:formatCode>General</c:formatCode>
                <c:ptCount val="18"/>
                <c:pt idx="0">
                  <c:v>42</c:v>
                </c:pt>
                <c:pt idx="1">
                  <c:v>0</c:v>
                </c:pt>
                <c:pt idx="2">
                  <c:v>13</c:v>
                </c:pt>
                <c:pt idx="3">
                  <c:v>0</c:v>
                </c:pt>
                <c:pt idx="4">
                  <c:v>8</c:v>
                </c:pt>
                <c:pt idx="5">
                  <c:v>50</c:v>
                </c:pt>
                <c:pt idx="6">
                  <c:v>4</c:v>
                </c:pt>
                <c:pt idx="7">
                  <c:v>16</c:v>
                </c:pt>
                <c:pt idx="8">
                  <c:v>22</c:v>
                </c:pt>
                <c:pt idx="9">
                  <c:v>22</c:v>
                </c:pt>
                <c:pt idx="10">
                  <c:v>48</c:v>
                </c:pt>
                <c:pt idx="11">
                  <c:v>180</c:v>
                </c:pt>
                <c:pt idx="12">
                  <c:v>0</c:v>
                </c:pt>
                <c:pt idx="13">
                  <c:v>0</c:v>
                </c:pt>
                <c:pt idx="14">
                  <c:v>20</c:v>
                </c:pt>
                <c:pt idx="15">
                  <c:v>0</c:v>
                </c:pt>
                <c:pt idx="16">
                  <c:v>0</c:v>
                </c:pt>
                <c:pt idx="1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E1C-42D7-9D4C-A8581AFE5106}"/>
            </c:ext>
          </c:extLst>
        </c:ser>
        <c:ser>
          <c:idx val="1"/>
          <c:order val="1"/>
          <c:tx>
            <c:strRef>
              <c:f>Sheet29!$H$2</c:f>
              <c:strCache>
                <c:ptCount val="1"/>
                <c:pt idx="0">
                  <c:v>Martin Achieved</c:v>
                </c:pt>
              </c:strCache>
            </c:strRef>
          </c:tx>
          <c:spPr>
            <a:gradFill>
              <a:gsLst>
                <a:gs pos="0">
                  <a:srgbClr val="4EA9DA"/>
                </a:gs>
                <a:gs pos="50000">
                  <a:srgbClr val="05A1DE"/>
                </a:gs>
                <a:gs pos="100000">
                  <a:srgbClr val="0091CA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4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8-7E1C-42D7-9D4C-A8581AFE5106}"/>
              </c:ext>
            </c:extLst>
          </c:dPt>
          <c:dPt>
            <c:idx val="6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A-7E1C-42D7-9D4C-A8581AFE5106}"/>
              </c:ext>
            </c:extLst>
          </c:dPt>
          <c:dPt>
            <c:idx val="9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C-7E1C-42D7-9D4C-A8581AFE5106}"/>
              </c:ext>
            </c:extLst>
          </c:dPt>
          <c:dPt>
            <c:idx val="12"/>
            <c:invertIfNegative val="0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E-7E1C-42D7-9D4C-A8581AFE5106}"/>
              </c:ext>
            </c:extLst>
          </c:dPt>
          <c:dLbls>
            <c:dLbl>
              <c:idx val="4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8-7E1C-42D7-9D4C-A8581AFE5106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A-7E1C-42D7-9D4C-A8581AFE5106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C-7E1C-42D7-9D4C-A8581AFE5106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FFFFFF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E-7E1C-42D7-9D4C-A8581AFE51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FFFFFF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(Sheet29!$C$6:$C$11,Sheet29!$C$13,Sheet29!$C$15:$C$16,Sheet29!$C$18:$C$26)</c:f>
              <c:strCache>
                <c:ptCount val="18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Omentum</c:v>
                </c:pt>
                <c:pt idx="8">
                  <c:v>Pancreas</c:v>
                </c:pt>
                <c:pt idx="9">
                  <c:v>Spleen</c:v>
                </c:pt>
                <c:pt idx="10">
                  <c:v>Hearts</c:v>
                </c:pt>
                <c:pt idx="11">
                  <c:v>Ureters</c:v>
                </c:pt>
                <c:pt idx="12">
                  <c:v>Vena Cava</c:v>
                </c:pt>
                <c:pt idx="13">
                  <c:v>Stomach</c:v>
                </c:pt>
                <c:pt idx="14">
                  <c:v>Diaphragms</c:v>
                </c:pt>
                <c:pt idx="15">
                  <c:v>Male Pelvic</c:v>
                </c:pt>
                <c:pt idx="16">
                  <c:v>Female Pelvic</c:v>
                </c:pt>
                <c:pt idx="17">
                  <c:v>XL Hearts</c:v>
                </c:pt>
              </c:strCache>
            </c:strRef>
          </c:cat>
          <c:val>
            <c:numRef>
              <c:f>(Sheet29!$H$6:$H$11,Sheet29!$H$13,Sheet29!$H$15:$H$16,Sheet29!$H$18:$H$26)</c:f>
              <c:numCache>
                <c:formatCode>General</c:formatCode>
                <c:ptCount val="18"/>
                <c:pt idx="0">
                  <c:v>393</c:v>
                </c:pt>
                <c:pt idx="1">
                  <c:v>212</c:v>
                </c:pt>
                <c:pt idx="2">
                  <c:v>0</c:v>
                </c:pt>
                <c:pt idx="3">
                  <c:v>144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247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E1C-42D7-9D4C-A8581AFE5106}"/>
            </c:ext>
          </c:extLst>
        </c:ser>
        <c:ser>
          <c:idx val="2"/>
          <c:order val="2"/>
          <c:tx>
            <c:strRef>
              <c:f>Sheet29!$J$2</c:f>
              <c:strCache>
                <c:ptCount val="1"/>
                <c:pt idx="0">
                  <c:v>Custom Achieved</c:v>
                </c:pt>
              </c:strCache>
            </c:strRef>
          </c:tx>
          <c:spPr>
            <a:gradFill>
              <a:gsLst>
                <a:gs pos="0">
                  <a:srgbClr val="F7C8B5"/>
                </a:gs>
                <a:gs pos="50000">
                  <a:srgbClr val="F7AE88"/>
                </a:gs>
                <a:gs pos="100000">
                  <a:srgbClr val="EE9D73"/>
                </a:gs>
              </a:gsLst>
              <a:lin ang="5400000"/>
            </a:gradFill>
            <a:ln w="0">
              <a:noFill/>
            </a:ln>
          </c:spPr>
          <c:invertIfNegative val="0"/>
          <c:dPt>
            <c:idx val="4"/>
            <c:invertIfNegative val="0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7E1C-42D7-9D4C-A8581AFE5106}"/>
              </c:ext>
            </c:extLst>
          </c:dPt>
          <c:dPt>
            <c:idx val="9"/>
            <c:invertIfNegative val="0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7E1C-42D7-9D4C-A8581AFE5106}"/>
              </c:ext>
            </c:extLst>
          </c:dPt>
          <c:dLbls>
            <c:dLbl>
              <c:idx val="4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3A7D22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7E1C-42D7-9D4C-A8581AFE5106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3A7D22"/>
                      </a:solidFill>
                      <a:latin typeface="Aptos Narrow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7E1C-42D7-9D4C-A8581AFE51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3A7D22"/>
                    </a:solidFill>
                    <a:latin typeface="Aptos Narrow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(Sheet29!$C$6:$C$11,Sheet29!$C$13,Sheet29!$C$15:$C$16,Sheet29!$C$18:$C$26)</c:f>
              <c:strCache>
                <c:ptCount val="18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Omentum</c:v>
                </c:pt>
                <c:pt idx="8">
                  <c:v>Pancreas</c:v>
                </c:pt>
                <c:pt idx="9">
                  <c:v>Spleen</c:v>
                </c:pt>
                <c:pt idx="10">
                  <c:v>Hearts</c:v>
                </c:pt>
                <c:pt idx="11">
                  <c:v>Ureters</c:v>
                </c:pt>
                <c:pt idx="12">
                  <c:v>Vena Cava</c:v>
                </c:pt>
                <c:pt idx="13">
                  <c:v>Stomach</c:v>
                </c:pt>
                <c:pt idx="14">
                  <c:v>Diaphragms</c:v>
                </c:pt>
                <c:pt idx="15">
                  <c:v>Male Pelvic</c:v>
                </c:pt>
                <c:pt idx="16">
                  <c:v>Female Pelvic</c:v>
                </c:pt>
                <c:pt idx="17">
                  <c:v>XL Hearts</c:v>
                </c:pt>
              </c:strCache>
            </c:strRef>
          </c:cat>
          <c:val>
            <c:numRef>
              <c:f>(Sheet29!$J$6:$J$11,Sheet29!$J$13,Sheet29!$J$15:$J$16,Sheet29!$J$18:$J$26)</c:f>
              <c:numCache>
                <c:formatCode>General</c:formatCode>
                <c:ptCount val="18"/>
                <c:pt idx="0">
                  <c:v>39</c:v>
                </c:pt>
                <c:pt idx="1">
                  <c:v>100</c:v>
                </c:pt>
                <c:pt idx="2">
                  <c:v>27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16</c:v>
                </c:pt>
                <c:pt idx="8">
                  <c:v>10</c:v>
                </c:pt>
                <c:pt idx="9">
                  <c:v>22</c:v>
                </c:pt>
                <c:pt idx="10">
                  <c:v>0</c:v>
                </c:pt>
                <c:pt idx="11">
                  <c:v>125</c:v>
                </c:pt>
                <c:pt idx="12">
                  <c:v>28</c:v>
                </c:pt>
                <c:pt idx="13">
                  <c:v>18</c:v>
                </c:pt>
                <c:pt idx="14">
                  <c:v>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E1C-42D7-9D4C-A8581AFE5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3558056"/>
        <c:axId val="92337719"/>
      </c:barChart>
      <c:lineChart>
        <c:grouping val="stacked"/>
        <c:varyColors val="0"/>
        <c:ser>
          <c:idx val="3"/>
          <c:order val="3"/>
          <c:tx>
            <c:strRef>
              <c:f>Sheet29!$K$2</c:f>
              <c:strCache>
                <c:ptCount val="1"/>
                <c:pt idx="0">
                  <c:v>Total Goal</c:v>
                </c:pt>
              </c:strCache>
            </c:strRef>
          </c:tx>
          <c:spPr>
            <a:ln w="34920" cap="rnd">
              <a:solidFill>
                <a:srgbClr val="2CBAF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Aptos Narrow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(Sheet29!$C$6:$C$11,Sheet29!$C$13,Sheet29!$C$15:$C$16,Sheet29!$C$18:$C$26)</c:f>
              <c:strCache>
                <c:ptCount val="18"/>
                <c:pt idx="0">
                  <c:v>Aorta</c:v>
                </c:pt>
                <c:pt idx="1">
                  <c:v>Bariatric</c:v>
                </c:pt>
                <c:pt idx="2">
                  <c:v>Liver</c:v>
                </c:pt>
                <c:pt idx="3">
                  <c:v>Pelvic Block Non-Intact</c:v>
                </c:pt>
                <c:pt idx="4">
                  <c:v>Full Body</c:v>
                </c:pt>
                <c:pt idx="5">
                  <c:v>Jejunum 6'</c:v>
                </c:pt>
                <c:pt idx="6">
                  <c:v>Kidney</c:v>
                </c:pt>
                <c:pt idx="7">
                  <c:v>Omentum</c:v>
                </c:pt>
                <c:pt idx="8">
                  <c:v>Pancreas</c:v>
                </c:pt>
                <c:pt idx="9">
                  <c:v>Spleen</c:v>
                </c:pt>
                <c:pt idx="10">
                  <c:v>Hearts</c:v>
                </c:pt>
                <c:pt idx="11">
                  <c:v>Ureters</c:v>
                </c:pt>
                <c:pt idx="12">
                  <c:v>Vena Cava</c:v>
                </c:pt>
                <c:pt idx="13">
                  <c:v>Stomach</c:v>
                </c:pt>
                <c:pt idx="14">
                  <c:v>Diaphragms</c:v>
                </c:pt>
                <c:pt idx="15">
                  <c:v>Male Pelvic</c:v>
                </c:pt>
                <c:pt idx="16">
                  <c:v>Female Pelvic</c:v>
                </c:pt>
                <c:pt idx="17">
                  <c:v>XL Hearts</c:v>
                </c:pt>
              </c:strCache>
            </c:strRef>
          </c:cat>
          <c:val>
            <c:numRef>
              <c:f>(Sheet29!$K$6:$K$11,Sheet29!$K$13,Sheet29!$K$15:$K$16,Sheet29!$K$18:$K$26)</c:f>
              <c:numCache>
                <c:formatCode>General</c:formatCode>
                <c:ptCount val="18"/>
                <c:pt idx="0">
                  <c:v>474</c:v>
                </c:pt>
                <c:pt idx="1">
                  <c:v>312</c:v>
                </c:pt>
                <c:pt idx="2">
                  <c:v>40</c:v>
                </c:pt>
                <c:pt idx="3">
                  <c:v>144</c:v>
                </c:pt>
                <c:pt idx="4">
                  <c:v>8</c:v>
                </c:pt>
                <c:pt idx="5">
                  <c:v>50</c:v>
                </c:pt>
                <c:pt idx="6">
                  <c:v>4</c:v>
                </c:pt>
                <c:pt idx="7">
                  <c:v>32</c:v>
                </c:pt>
                <c:pt idx="8">
                  <c:v>32</c:v>
                </c:pt>
                <c:pt idx="9">
                  <c:v>44</c:v>
                </c:pt>
                <c:pt idx="10">
                  <c:v>48</c:v>
                </c:pt>
                <c:pt idx="11">
                  <c:v>305</c:v>
                </c:pt>
                <c:pt idx="12">
                  <c:v>28</c:v>
                </c:pt>
                <c:pt idx="13">
                  <c:v>18</c:v>
                </c:pt>
                <c:pt idx="14">
                  <c:v>28</c:v>
                </c:pt>
                <c:pt idx="15">
                  <c:v>40</c:v>
                </c:pt>
                <c:pt idx="16">
                  <c:v>500</c:v>
                </c:pt>
                <c:pt idx="17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7E1C-42D7-9D4C-A8581AFE5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3558056"/>
        <c:axId val="92337719"/>
      </c:lineChart>
      <c:catAx>
        <c:axId val="335580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F2F2F2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92337719"/>
        <c:crosses val="autoZero"/>
        <c:auto val="1"/>
        <c:lblAlgn val="ctr"/>
        <c:lblOffset val="100"/>
        <c:noMultiLvlLbl val="0"/>
      </c:catAx>
      <c:valAx>
        <c:axId val="92337719"/>
        <c:scaling>
          <c:orientation val="minMax"/>
          <c:max val="800"/>
          <c:min val="0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Aptos Narrow"/>
              </a:defRPr>
            </a:pPr>
            <a:endParaRPr lang="en-US"/>
          </a:p>
        </c:txPr>
        <c:crossAx val="335580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67553996525379101"/>
          <c:y val="1.55329357844425E-2"/>
          <c:w val="0.12771239371027199"/>
          <c:h val="0.11375206006226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9D9D9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A50021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3</xdr:row>
      <xdr:rowOff>123825</xdr:rowOff>
    </xdr:from>
    <xdr:to>
      <xdr:col>4</xdr:col>
      <xdr:colOff>323850</xdr:colOff>
      <xdr:row>3</xdr:row>
      <xdr:rowOff>123825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786F9022-E349-7D0D-3ADC-5E7F7579DD88}"/>
            </a:ext>
          </a:extLst>
        </xdr:cNvPr>
        <xdr:cNvCxnSpPr/>
      </xdr:nvCxnSpPr>
      <xdr:spPr>
        <a:xfrm>
          <a:off x="3067050" y="1057275"/>
          <a:ext cx="1028700" cy="0"/>
        </a:xfrm>
        <a:prstGeom prst="straightConnector1">
          <a:avLst/>
        </a:prstGeom>
        <a:ln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588600</xdr:colOff>
      <xdr:row>0</xdr:row>
      <xdr:rowOff>0</xdr:rowOff>
    </xdr:from>
    <xdr:to>
      <xdr:col>29</xdr:col>
      <xdr:colOff>27000</xdr:colOff>
      <xdr:row>35</xdr:row>
      <xdr:rowOff>36720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588600</xdr:colOff>
      <xdr:row>0</xdr:row>
      <xdr:rowOff>0</xdr:rowOff>
    </xdr:from>
    <xdr:to>
      <xdr:col>29</xdr:col>
      <xdr:colOff>27000</xdr:colOff>
      <xdr:row>34</xdr:row>
      <xdr:rowOff>36720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198000</xdr:colOff>
      <xdr:row>0</xdr:row>
      <xdr:rowOff>66600</xdr:rowOff>
    </xdr:from>
    <xdr:to>
      <xdr:col>28</xdr:col>
      <xdr:colOff>232920</xdr:colOff>
      <xdr:row>39</xdr:row>
      <xdr:rowOff>103320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285840</xdr:colOff>
      <xdr:row>0</xdr:row>
      <xdr:rowOff>0</xdr:rowOff>
    </xdr:from>
    <xdr:to>
      <xdr:col>29</xdr:col>
      <xdr:colOff>19440</xdr:colOff>
      <xdr:row>40</xdr:row>
      <xdr:rowOff>113040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285840</xdr:colOff>
      <xdr:row>0</xdr:row>
      <xdr:rowOff>0</xdr:rowOff>
    </xdr:from>
    <xdr:to>
      <xdr:col>29</xdr:col>
      <xdr:colOff>19440</xdr:colOff>
      <xdr:row>40</xdr:row>
      <xdr:rowOff>113040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504720</xdr:colOff>
      <xdr:row>0</xdr:row>
      <xdr:rowOff>112320</xdr:rowOff>
    </xdr:from>
    <xdr:to>
      <xdr:col>29</xdr:col>
      <xdr:colOff>238320</xdr:colOff>
      <xdr:row>41</xdr:row>
      <xdr:rowOff>46080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2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91440</xdr:colOff>
      <xdr:row>0</xdr:row>
      <xdr:rowOff>66600</xdr:rowOff>
    </xdr:from>
    <xdr:to>
      <xdr:col>27</xdr:col>
      <xdr:colOff>434880</xdr:colOff>
      <xdr:row>40</xdr:row>
      <xdr:rowOff>179640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2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47520</xdr:colOff>
      <xdr:row>1</xdr:row>
      <xdr:rowOff>152280</xdr:rowOff>
    </xdr:from>
    <xdr:to>
      <xdr:col>34</xdr:col>
      <xdr:colOff>390960</xdr:colOff>
      <xdr:row>43</xdr:row>
      <xdr:rowOff>84240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2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91440</xdr:colOff>
      <xdr:row>0</xdr:row>
      <xdr:rowOff>66600</xdr:rowOff>
    </xdr:from>
    <xdr:to>
      <xdr:col>27</xdr:col>
      <xdr:colOff>434880</xdr:colOff>
      <xdr:row>40</xdr:row>
      <xdr:rowOff>179640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29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91440</xdr:colOff>
      <xdr:row>0</xdr:row>
      <xdr:rowOff>66600</xdr:rowOff>
    </xdr:from>
    <xdr:to>
      <xdr:col>27</xdr:col>
      <xdr:colOff>434880</xdr:colOff>
      <xdr:row>40</xdr:row>
      <xdr:rowOff>179640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00000000-0008-0000-2D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91440</xdr:colOff>
      <xdr:row>0</xdr:row>
      <xdr:rowOff>66600</xdr:rowOff>
    </xdr:from>
    <xdr:to>
      <xdr:col>27</xdr:col>
      <xdr:colOff>434880</xdr:colOff>
      <xdr:row>40</xdr:row>
      <xdr:rowOff>179640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00000000-0008-0000-3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91440</xdr:colOff>
      <xdr:row>0</xdr:row>
      <xdr:rowOff>66600</xdr:rowOff>
    </xdr:from>
    <xdr:to>
      <xdr:col>27</xdr:col>
      <xdr:colOff>434880</xdr:colOff>
      <xdr:row>40</xdr:row>
      <xdr:rowOff>179640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00000000-0008-0000-35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91440</xdr:colOff>
      <xdr:row>0</xdr:row>
      <xdr:rowOff>66600</xdr:rowOff>
    </xdr:from>
    <xdr:to>
      <xdr:col>27</xdr:col>
      <xdr:colOff>434880</xdr:colOff>
      <xdr:row>40</xdr:row>
      <xdr:rowOff>179640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00000000-0008-0000-39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144720</xdr:colOff>
      <xdr:row>1</xdr:row>
      <xdr:rowOff>398520</xdr:rowOff>
    </xdr:from>
    <xdr:to>
      <xdr:col>39</xdr:col>
      <xdr:colOff>34200</xdr:colOff>
      <xdr:row>43</xdr:row>
      <xdr:rowOff>163080</xdr:rowOff>
    </xdr:to>
    <xdr:graphicFrame macro="">
      <xdr:nvGraphicFramePr>
        <xdr:cNvPr id="13" name="Chart 1">
          <a:extLst>
            <a:ext uri="{FF2B5EF4-FFF2-40B4-BE49-F238E27FC236}">
              <a16:creationId xmlns:a16="http://schemas.microsoft.com/office/drawing/2014/main" id="{00000000-0008-0000-3A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0</xdr:colOff>
      <xdr:row>47</xdr:row>
      <xdr:rowOff>0</xdr:rowOff>
    </xdr:from>
    <xdr:to>
      <xdr:col>37</xdr:col>
      <xdr:colOff>486720</xdr:colOff>
      <xdr:row>89</xdr:row>
      <xdr:rowOff>30960</xdr:rowOff>
    </xdr:to>
    <xdr:graphicFrame macro="">
      <xdr:nvGraphicFramePr>
        <xdr:cNvPr id="14" name="Chart 2">
          <a:extLst>
            <a:ext uri="{FF2B5EF4-FFF2-40B4-BE49-F238E27FC236}">
              <a16:creationId xmlns:a16="http://schemas.microsoft.com/office/drawing/2014/main" id="{00000000-0008-0000-3A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285840</xdr:colOff>
      <xdr:row>5</xdr:row>
      <xdr:rowOff>86040</xdr:rowOff>
    </xdr:from>
    <xdr:to>
      <xdr:col>34</xdr:col>
      <xdr:colOff>124560</xdr:colOff>
      <xdr:row>31</xdr:row>
      <xdr:rowOff>25920</xdr:rowOff>
    </xdr:to>
    <xdr:graphicFrame macro="">
      <xdr:nvGraphicFramePr>
        <xdr:cNvPr id="15" name="Chart 1">
          <a:extLst>
            <a:ext uri="{FF2B5EF4-FFF2-40B4-BE49-F238E27FC236}">
              <a16:creationId xmlns:a16="http://schemas.microsoft.com/office/drawing/2014/main" id="{00000000-0008-0000-3B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91440</xdr:colOff>
      <xdr:row>0</xdr:row>
      <xdr:rowOff>66600</xdr:rowOff>
    </xdr:from>
    <xdr:to>
      <xdr:col>27</xdr:col>
      <xdr:colOff>434880</xdr:colOff>
      <xdr:row>40</xdr:row>
      <xdr:rowOff>179640</xdr:rowOff>
    </xdr:to>
    <xdr:graphicFrame macro="">
      <xdr:nvGraphicFramePr>
        <xdr:cNvPr id="16" name="Chart 1">
          <a:extLst>
            <a:ext uri="{FF2B5EF4-FFF2-40B4-BE49-F238E27FC236}">
              <a16:creationId xmlns:a16="http://schemas.microsoft.com/office/drawing/2014/main" id="{00000000-0008-0000-3F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91440</xdr:colOff>
      <xdr:row>0</xdr:row>
      <xdr:rowOff>66600</xdr:rowOff>
    </xdr:from>
    <xdr:to>
      <xdr:col>27</xdr:col>
      <xdr:colOff>434880</xdr:colOff>
      <xdr:row>40</xdr:row>
      <xdr:rowOff>179640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id="{00000000-0008-0000-43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Q32"/>
  <sheetViews>
    <sheetView showGridLines="0" tabSelected="1" zoomScaleNormal="100" workbookViewId="0">
      <pane xSplit="2" ySplit="10" topLeftCell="C14" activePane="bottomRight" state="frozen"/>
      <selection pane="topRight" activeCell="C1" sqref="C1"/>
      <selection pane="bottomLeft" activeCell="A11" sqref="A11"/>
      <selection pane="bottomRight" activeCell="U17" sqref="U17"/>
    </sheetView>
  </sheetViews>
  <sheetFormatPr defaultColWidth="8.54296875" defaultRowHeight="14.75" x14ac:dyDescent="0.75"/>
  <cols>
    <col min="1" max="1" width="9" customWidth="1"/>
    <col min="2" max="2" width="22" customWidth="1"/>
    <col min="3" max="3" width="11" customWidth="1"/>
    <col min="4" max="4" width="12" customWidth="1"/>
    <col min="5" max="5" width="9" customWidth="1"/>
    <col min="6" max="6" width="11" customWidth="1"/>
    <col min="7" max="7" width="12" customWidth="1"/>
    <col min="8" max="8" width="9" customWidth="1"/>
    <col min="9" max="9" width="11" customWidth="1"/>
    <col min="10" max="10" width="12" customWidth="1"/>
    <col min="11" max="11" width="9" customWidth="1"/>
    <col min="12" max="12" width="11" customWidth="1"/>
    <col min="13" max="14" width="12" customWidth="1"/>
    <col min="16" max="17" width="13" hidden="1" customWidth="1"/>
  </cols>
  <sheetData>
    <row r="1" spans="1:17" ht="16.5" customHeight="1" x14ac:dyDescent="0.75">
      <c r="A1" s="15" t="s">
        <v>136</v>
      </c>
    </row>
    <row r="2" spans="1:17" ht="42" customHeight="1" x14ac:dyDescent="0.75">
      <c r="A2" s="35" t="s">
        <v>137</v>
      </c>
      <c r="P2" s="38">
        <v>46020</v>
      </c>
      <c r="Q2" s="12" t="s">
        <v>53</v>
      </c>
    </row>
    <row r="3" spans="1:17" x14ac:dyDescent="0.75">
      <c r="P3" s="38">
        <v>46027</v>
      </c>
      <c r="Q3" s="12" t="s">
        <v>61</v>
      </c>
    </row>
    <row r="4" spans="1:17" x14ac:dyDescent="0.75">
      <c r="A4" s="14" t="s">
        <v>138</v>
      </c>
      <c r="C4" s="39">
        <v>46020</v>
      </c>
      <c r="F4" s="209" t="s">
        <v>206</v>
      </c>
      <c r="K4">
        <f>L11/C7</f>
        <v>10.010399999999999</v>
      </c>
      <c r="P4" s="38">
        <v>46034</v>
      </c>
      <c r="Q4" s="12" t="s">
        <v>64</v>
      </c>
    </row>
    <row r="5" spans="1:17" x14ac:dyDescent="0.75">
      <c r="A5" s="14" t="s">
        <v>139</v>
      </c>
      <c r="C5" s="39">
        <v>46188</v>
      </c>
      <c r="P5" s="38">
        <v>46041</v>
      </c>
      <c r="Q5" s="12" t="s">
        <v>67</v>
      </c>
    </row>
    <row r="6" spans="1:17" x14ac:dyDescent="0.75">
      <c r="A6" s="14" t="s">
        <v>140</v>
      </c>
      <c r="C6" s="40" t="s">
        <v>208</v>
      </c>
      <c r="P6" s="38">
        <v>46048</v>
      </c>
      <c r="Q6" s="12" t="s">
        <v>68</v>
      </c>
    </row>
    <row r="7" spans="1:17" x14ac:dyDescent="0.75">
      <c r="A7" s="14" t="s">
        <v>141</v>
      </c>
      <c r="C7" s="41">
        <f>COUNTIFS($P$2:$P$26,"&gt;="&amp;$C$4,$P$2:$P$26,"&lt;="&amp;$C$5)</f>
        <v>25</v>
      </c>
      <c r="P7" s="38">
        <v>46055</v>
      </c>
      <c r="Q7" s="12" t="s">
        <v>69</v>
      </c>
    </row>
    <row r="8" spans="1:17" x14ac:dyDescent="0.75">
      <c r="P8" s="38">
        <v>46062</v>
      </c>
      <c r="Q8" s="12" t="s">
        <v>70</v>
      </c>
    </row>
    <row r="9" spans="1:17" ht="15" customHeight="1" x14ac:dyDescent="0.75">
      <c r="A9" s="10" t="s">
        <v>129</v>
      </c>
      <c r="B9" s="10" t="s">
        <v>51</v>
      </c>
      <c r="C9" s="9" t="s">
        <v>56</v>
      </c>
      <c r="D9" s="9"/>
      <c r="E9" s="9"/>
      <c r="F9" s="8" t="s">
        <v>58</v>
      </c>
      <c r="G9" s="8"/>
      <c r="H9" s="8"/>
      <c r="I9" s="7" t="s">
        <v>66</v>
      </c>
      <c r="J9" s="7"/>
      <c r="K9" s="7"/>
      <c r="L9" s="210" t="s">
        <v>207</v>
      </c>
      <c r="M9" s="6"/>
      <c r="N9" s="6"/>
      <c r="P9" s="38">
        <v>46069</v>
      </c>
      <c r="Q9" s="12" t="s">
        <v>71</v>
      </c>
    </row>
    <row r="10" spans="1:17" ht="25.5" customHeight="1" x14ac:dyDescent="0.75">
      <c r="A10" s="10"/>
      <c r="B10" s="10"/>
      <c r="C10" s="16" t="str">
        <f>IF($C$6="Total","Total Ask","Avg Ask/wk")</f>
        <v>Avg Ask/wk</v>
      </c>
      <c r="D10" s="16" t="str">
        <f>IF($C$6="Total","Total Harv.","Avg Harv./wk")</f>
        <v>Avg Harv./wk</v>
      </c>
      <c r="E10" s="16" t="s">
        <v>142</v>
      </c>
      <c r="F10" s="16" t="str">
        <f>IF($C$6="Total","Total Ask","Avg Ask/wk")</f>
        <v>Avg Ask/wk</v>
      </c>
      <c r="G10" s="16" t="str">
        <f>IF($C$6="Total","Total Harv.","Avg Harv./wk")</f>
        <v>Avg Harv./wk</v>
      </c>
      <c r="H10" s="16" t="s">
        <v>142</v>
      </c>
      <c r="I10" s="16" t="str">
        <f>IF($C$6="Total","Total Ask","Avg Ask/wk")</f>
        <v>Avg Ask/wk</v>
      </c>
      <c r="J10" s="16" t="str">
        <f>IF($C$6="Total","Total Harv.","Avg Harv./wk")</f>
        <v>Avg Harv./wk</v>
      </c>
      <c r="K10" s="16" t="s">
        <v>142</v>
      </c>
      <c r="L10" s="16" t="str">
        <f>IF($C$6="Total","Total Ask","Avg Ask/wk")</f>
        <v>Avg Ask/wk</v>
      </c>
      <c r="M10" s="16" t="str">
        <f>IF($C$6="Total","Total Harv.","Avg Harv./wk")</f>
        <v>Avg Harv./wk</v>
      </c>
      <c r="N10" s="16" t="s">
        <v>114</v>
      </c>
      <c r="P10" s="38">
        <v>46076</v>
      </c>
      <c r="Q10" s="12" t="s">
        <v>72</v>
      </c>
    </row>
    <row r="11" spans="1:17" x14ac:dyDescent="0.75">
      <c r="A11" s="17">
        <v>666501</v>
      </c>
      <c r="B11" s="29" t="s">
        <v>5</v>
      </c>
      <c r="C11" s="32">
        <f>IF($C$6="Total",SUMIFS('PvA Data'!$F$2:$F$1577,'PvA Data'!$B$2:$B$1577,"&gt;="&amp;$C$4,'PvA Data'!$B$2:$B$1577,"&lt;="&amp;$C$5,'PvA Data'!$C$2:$C$1577,"Nahunta",'PvA Data'!$E$2:$E$1577,$B11),IFERROR(AVERAGEIFS('PvA Data'!$F$2:$F$1577,'PvA Data'!$B$2:$B$1577,"&gt;="&amp;$C$4,'PvA Data'!$B$2:$B$1577,"&lt;="&amp;$C$5,'PvA Data'!$C$2:$C$1577,"Nahunta",'PvA Data'!$E$2:$E$1577,$B11),0))</f>
        <v>22.2</v>
      </c>
      <c r="D11" s="32">
        <f>IF($C$6="Total",SUMIFS('PvA Data'!$G$2:$G$1577,'PvA Data'!$B$2:$B$1577,"&gt;="&amp;$C$4,'PvA Data'!$B$2:$B$1577,"&lt;="&amp;$C$5,'PvA Data'!$C$2:$C$1577,"Nahunta",'PvA Data'!$E$2:$E$1577,$B11),IFERROR(AVERAGEIFS('PvA Data'!$G$2:$G$1577,'PvA Data'!$B$2:$B$1577,"&gt;="&amp;$C$4,'PvA Data'!$B$2:$B$1577,"&lt;="&amp;$C$5,'PvA Data'!$C$2:$C$1577,"Nahunta",'PvA Data'!$E$2:$E$1577,$B11),0))</f>
        <v>22.44</v>
      </c>
      <c r="E11" s="36">
        <f>IFERROR(SUMIFS('PvA Data'!$F$2:$F$1577,'PvA Data'!$B$2:$B$1577,"&gt;="&amp;$C$4,'PvA Data'!$B$2:$B$1577,"&lt;="&amp;$C$5,'PvA Data'!$C$2:$C$1577,"Nahunta",'PvA Data'!$E$2:$E$1577,$B11)/SUMIFS('PvA Data'!$F$2:$F$1577,'PvA Data'!$B$2:$B$1577,"&gt;="&amp;$C$4,'PvA Data'!$B$2:$B$1577,"&lt;="&amp;$C$5,'PvA Data'!$E$2:$E$1577,$B11),"")</f>
        <v>8.8707743946295853E-2</v>
      </c>
      <c r="F11" s="32">
        <f>IF($C$6="Total",SUMIFS('PvA Data'!$F$2:$F$1577,'PvA Data'!$B$2:$B$1577,"&gt;="&amp;$C$4,'PvA Data'!$B$2:$B$1577,"&lt;="&amp;$C$5,'PvA Data'!$C$2:$C$1577,"Martin",'PvA Data'!$E$2:$E$1577,$B11),IFERROR(AVERAGEIFS('PvA Data'!$F$2:$F$1577,'PvA Data'!$B$2:$B$1577,"&gt;="&amp;$C$4,'PvA Data'!$B$2:$B$1577,"&lt;="&amp;$C$5,'PvA Data'!$C$2:$C$1577,"Martin",'PvA Data'!$E$2:$E$1577,$B11),0))</f>
        <v>207.84</v>
      </c>
      <c r="G11" s="32">
        <f>IF($C$6="Total",SUMIFS('PvA Data'!$G$2:$G$1577,'PvA Data'!$B$2:$B$1577,"&gt;="&amp;$C$4,'PvA Data'!$B$2:$B$1577,"&lt;="&amp;$C$5,'PvA Data'!$C$2:$C$1577,"Martin",'PvA Data'!$E$2:$E$1577,$B11),IFERROR(AVERAGEIFS('PvA Data'!$G$2:$G$1577,'PvA Data'!$B$2:$B$1577,"&gt;="&amp;$C$4,'PvA Data'!$B$2:$B$1577,"&lt;="&amp;$C$5,'PvA Data'!$C$2:$C$1577,"Martin",'PvA Data'!$E$2:$E$1577,$B11),0))</f>
        <v>206.96</v>
      </c>
      <c r="H11" s="36">
        <f>IFERROR(SUMIFS('PvA Data'!$F$2:$F$1577,'PvA Data'!$B$2:$B$1577,"&gt;="&amp;$C$4,'PvA Data'!$B$2:$B$1577,"&lt;="&amp;$C$5,'PvA Data'!$C$2:$C$1577,"Martin",'PvA Data'!$E$2:$E$1577,$B11)/SUMIFS('PvA Data'!$F$2:$F$1577,'PvA Data'!$B$2:$B$1577,"&gt;="&amp;$C$4,'PvA Data'!$B$2:$B$1577,"&lt;="&amp;$C$5,'PvA Data'!$E$2:$E$1577,$B11),"")</f>
        <v>0.83049628386478058</v>
      </c>
      <c r="I11" s="32">
        <f>IF($C$6="Total",SUMIFS('PvA Data'!$F$2:$F$1577,'PvA Data'!$B$2:$B$1577,"&gt;="&amp;$C$4,'PvA Data'!$B$2:$B$1577,"&lt;="&amp;$C$5,'PvA Data'!$C$2:$C$1577,"Custom",'PvA Data'!$E$2:$E$1577,$B11),IFERROR(AVERAGEIFS('PvA Data'!$F$2:$F$1577,'PvA Data'!$B$2:$B$1577,"&gt;="&amp;$C$4,'PvA Data'!$B$2:$B$1577,"&lt;="&amp;$C$5,'PvA Data'!$C$2:$C$1577,"Custom",'PvA Data'!$E$2:$E$1577,$B11),0))</f>
        <v>20.22</v>
      </c>
      <c r="J11" s="32">
        <f>IF($C$6="Total",SUMIFS('PvA Data'!$G$2:$G$1577,'PvA Data'!$B$2:$B$1577,"&gt;="&amp;$C$4,'PvA Data'!$B$2:$B$1577,"&lt;="&amp;$C$5,'PvA Data'!$C$2:$C$1577,"Custom",'PvA Data'!$E$2:$E$1577,$B11),IFERROR(AVERAGEIFS('PvA Data'!$G$2:$G$1577,'PvA Data'!$B$2:$B$1577,"&gt;="&amp;$C$4,'PvA Data'!$B$2:$B$1577,"&lt;="&amp;$C$5,'PvA Data'!$C$2:$C$1577,"Custom",'PvA Data'!$E$2:$E$1577,$B11),0))</f>
        <v>18.96</v>
      </c>
      <c r="K11" s="36">
        <f>IFERROR(SUMIFS('PvA Data'!$F$2:$F$1577,'PvA Data'!$B$2:$B$1577,"&gt;="&amp;$C$4,'PvA Data'!$B$2:$B$1577,"&lt;="&amp;$C$5,'PvA Data'!$C$2:$C$1577,"Custom",'PvA Data'!$E$2:$E$1577,$B11)/SUMIFS('PvA Data'!$F$2:$F$1577,'PvA Data'!$B$2:$B$1577,"&gt;="&amp;$C$4,'PvA Data'!$B$2:$B$1577,"&lt;="&amp;$C$5,'PvA Data'!$E$2:$E$1577,$B11),"")</f>
        <v>8.0795972188923523E-2</v>
      </c>
      <c r="L11" s="42">
        <f t="shared" ref="L11:L31" si="0">C11+F11+I11</f>
        <v>250.26</v>
      </c>
      <c r="M11" s="42">
        <f t="shared" ref="M11:M31" si="1">D11+G11+J11</f>
        <v>248.36</v>
      </c>
      <c r="N11" s="43">
        <f t="shared" ref="N11:N32" si="2">IFERROR(M11/L11,"")</f>
        <v>0.99240789578838018</v>
      </c>
      <c r="P11" s="38">
        <v>46083</v>
      </c>
      <c r="Q11" s="12" t="s">
        <v>73</v>
      </c>
    </row>
    <row r="12" spans="1:17" x14ac:dyDescent="0.75">
      <c r="A12" s="44">
        <v>666502</v>
      </c>
      <c r="B12" s="45" t="s">
        <v>7</v>
      </c>
      <c r="C12" s="46">
        <f>IF($C$6="Total",SUMIFS('PvA Data'!$F$2:$F$1577,'PvA Data'!$B$2:$B$1577,"&gt;="&amp;$C$4,'PvA Data'!$B$2:$B$1577,"&lt;="&amp;$C$5,'PvA Data'!$C$2:$C$1577,"Nahunta",'PvA Data'!$E$2:$E$1577,$B12),IFERROR(AVERAGEIFS('PvA Data'!$F$2:$F$1577,'PvA Data'!$B$2:$B$1577,"&gt;="&amp;$C$4,'PvA Data'!$B$2:$B$1577,"&lt;="&amp;$C$5,'PvA Data'!$C$2:$C$1577,"Nahunta",'PvA Data'!$E$2:$E$1577,$B12),0))</f>
        <v>0</v>
      </c>
      <c r="D12" s="46">
        <f>IF($C$6="Total",SUMIFS('PvA Data'!$G$2:$G$1577,'PvA Data'!$B$2:$B$1577,"&gt;="&amp;$C$4,'PvA Data'!$B$2:$B$1577,"&lt;="&amp;$C$5,'PvA Data'!$C$2:$C$1577,"Nahunta",'PvA Data'!$E$2:$E$1577,$B12),IFERROR(AVERAGEIFS('PvA Data'!$G$2:$G$1577,'PvA Data'!$B$2:$B$1577,"&gt;="&amp;$C$4,'PvA Data'!$B$2:$B$1577,"&lt;="&amp;$C$5,'PvA Data'!$C$2:$C$1577,"Nahunta",'PvA Data'!$E$2:$E$1577,$B12),0))</f>
        <v>0</v>
      </c>
      <c r="E12" s="47">
        <f>IFERROR(SUMIFS('PvA Data'!$F$2:$F$1577,'PvA Data'!$B$2:$B$1577,"&gt;="&amp;$C$4,'PvA Data'!$B$2:$B$1577,"&lt;="&amp;$C$5,'PvA Data'!$C$2:$C$1577,"Nahunta",'PvA Data'!$E$2:$E$1577,$B12)/SUMIFS('PvA Data'!$F$2:$F$1577,'PvA Data'!$B$2:$B$1577,"&gt;="&amp;$C$4,'PvA Data'!$B$2:$B$1577,"&lt;="&amp;$C$5,'PvA Data'!$E$2:$E$1577,$B12),"")</f>
        <v>0</v>
      </c>
      <c r="F12" s="46">
        <f>IF($C$6="Total",SUMIFS('PvA Data'!$F$2:$F$1577,'PvA Data'!$B$2:$B$1577,"&gt;="&amp;$C$4,'PvA Data'!$B$2:$B$1577,"&lt;="&amp;$C$5,'PvA Data'!$C$2:$C$1577,"Martin",'PvA Data'!$E$2:$E$1577,$B12),IFERROR(AVERAGEIFS('PvA Data'!$F$2:$F$1577,'PvA Data'!$B$2:$B$1577,"&gt;="&amp;$C$4,'PvA Data'!$B$2:$B$1577,"&lt;="&amp;$C$5,'PvA Data'!$C$2:$C$1577,"Martin",'PvA Data'!$E$2:$E$1577,$B12),0))</f>
        <v>138.04</v>
      </c>
      <c r="G12" s="46">
        <f>IF($C$6="Total",SUMIFS('PvA Data'!$G$2:$G$1577,'PvA Data'!$B$2:$B$1577,"&gt;="&amp;$C$4,'PvA Data'!$B$2:$B$1577,"&lt;="&amp;$C$5,'PvA Data'!$C$2:$C$1577,"Martin",'PvA Data'!$E$2:$E$1577,$B12),IFERROR(AVERAGEIFS('PvA Data'!$G$2:$G$1577,'PvA Data'!$B$2:$B$1577,"&gt;="&amp;$C$4,'PvA Data'!$B$2:$B$1577,"&lt;="&amp;$C$5,'PvA Data'!$C$2:$C$1577,"Martin",'PvA Data'!$E$2:$E$1577,$B12),0))</f>
        <v>126.92</v>
      </c>
      <c r="H12" s="47">
        <f>IFERROR(SUMIFS('PvA Data'!$F$2:$F$1577,'PvA Data'!$B$2:$B$1577,"&gt;="&amp;$C$4,'PvA Data'!$B$2:$B$1577,"&lt;="&amp;$C$5,'PvA Data'!$C$2:$C$1577,"Martin",'PvA Data'!$E$2:$E$1577,$B12)/SUMIFS('PvA Data'!$F$2:$F$1577,'PvA Data'!$B$2:$B$1577,"&gt;="&amp;$C$4,'PvA Data'!$B$2:$B$1577,"&lt;="&amp;$C$5,'PvA Data'!$E$2:$E$1577,$B12),"")</f>
        <v>0.80032467532467533</v>
      </c>
      <c r="I12" s="46">
        <f>IF($C$6="Total",SUMIFS('PvA Data'!$F$2:$F$1577,'PvA Data'!$B$2:$B$1577,"&gt;="&amp;$C$4,'PvA Data'!$B$2:$B$1577,"&lt;="&amp;$C$5,'PvA Data'!$C$2:$C$1577,"Custom",'PvA Data'!$E$2:$E$1577,$B12),IFERROR(AVERAGEIFS('PvA Data'!$F$2:$F$1577,'PvA Data'!$B$2:$B$1577,"&gt;="&amp;$C$4,'PvA Data'!$B$2:$B$1577,"&lt;="&amp;$C$5,'PvA Data'!$C$2:$C$1577,"Custom",'PvA Data'!$E$2:$E$1577,$B12),0))</f>
        <v>34.44</v>
      </c>
      <c r="J12" s="46">
        <f>IF($C$6="Total",SUMIFS('PvA Data'!$G$2:$G$1577,'PvA Data'!$B$2:$B$1577,"&gt;="&amp;$C$4,'PvA Data'!$B$2:$B$1577,"&lt;="&amp;$C$5,'PvA Data'!$C$2:$C$1577,"Custom",'PvA Data'!$E$2:$E$1577,$B12),IFERROR(AVERAGEIFS('PvA Data'!$G$2:$G$1577,'PvA Data'!$B$2:$B$1577,"&gt;="&amp;$C$4,'PvA Data'!$B$2:$B$1577,"&lt;="&amp;$C$5,'PvA Data'!$C$2:$C$1577,"Custom",'PvA Data'!$E$2:$E$1577,$B12),0))</f>
        <v>31.16</v>
      </c>
      <c r="K12" s="47">
        <f>IFERROR(SUMIFS('PvA Data'!$F$2:$F$1577,'PvA Data'!$B$2:$B$1577,"&gt;="&amp;$C$4,'PvA Data'!$B$2:$B$1577,"&lt;="&amp;$C$5,'PvA Data'!$C$2:$C$1577,"Custom",'PvA Data'!$E$2:$E$1577,$B12)/SUMIFS('PvA Data'!$F$2:$F$1577,'PvA Data'!$B$2:$B$1577,"&gt;="&amp;$C$4,'PvA Data'!$B$2:$B$1577,"&lt;="&amp;$C$5,'PvA Data'!$E$2:$E$1577,$B12),"")</f>
        <v>0.19967532467532467</v>
      </c>
      <c r="L12" s="48">
        <f t="shared" si="0"/>
        <v>172.48</v>
      </c>
      <c r="M12" s="48">
        <f t="shared" si="1"/>
        <v>158.08000000000001</v>
      </c>
      <c r="N12" s="49">
        <f t="shared" si="2"/>
        <v>0.91651205936920233</v>
      </c>
      <c r="P12" s="38">
        <v>46090</v>
      </c>
      <c r="Q12" s="12" t="s">
        <v>74</v>
      </c>
    </row>
    <row r="13" spans="1:17" x14ac:dyDescent="0.75">
      <c r="A13" s="17">
        <v>666505</v>
      </c>
      <c r="B13" s="29" t="s">
        <v>9</v>
      </c>
      <c r="C13" s="32">
        <f>IF($C$6="Total",SUMIFS('PvA Data'!$F$2:$F$1577,'PvA Data'!$B$2:$B$1577,"&gt;="&amp;$C$4,'PvA Data'!$B$2:$B$1577,"&lt;="&amp;$C$5,'PvA Data'!$C$2:$C$1577,"Nahunta",'PvA Data'!$E$2:$E$1577,$B13),IFERROR(AVERAGEIFS('PvA Data'!$F$2:$F$1577,'PvA Data'!$B$2:$B$1577,"&gt;="&amp;$C$4,'PvA Data'!$B$2:$B$1577,"&lt;="&amp;$C$5,'PvA Data'!$C$2:$C$1577,"Nahunta",'PvA Data'!$E$2:$E$1577,$B13),0))</f>
        <v>9.06</v>
      </c>
      <c r="D13" s="32">
        <f>IF($C$6="Total",SUMIFS('PvA Data'!$G$2:$G$1577,'PvA Data'!$B$2:$B$1577,"&gt;="&amp;$C$4,'PvA Data'!$B$2:$B$1577,"&lt;="&amp;$C$5,'PvA Data'!$C$2:$C$1577,"Nahunta",'PvA Data'!$E$2:$E$1577,$B13),IFERROR(AVERAGEIFS('PvA Data'!$G$2:$G$1577,'PvA Data'!$B$2:$B$1577,"&gt;="&amp;$C$4,'PvA Data'!$B$2:$B$1577,"&lt;="&amp;$C$5,'PvA Data'!$C$2:$C$1577,"Nahunta",'PvA Data'!$E$2:$E$1577,$B13),0))</f>
        <v>9.32</v>
      </c>
      <c r="E13" s="36">
        <f>IFERROR(SUMIFS('PvA Data'!$F$2:$F$1577,'PvA Data'!$B$2:$B$1577,"&gt;="&amp;$C$4,'PvA Data'!$B$2:$B$1577,"&lt;="&amp;$C$5,'PvA Data'!$C$2:$C$1577,"Nahunta",'PvA Data'!$E$2:$E$1577,$B13)/SUMIFS('PvA Data'!$F$2:$F$1577,'PvA Data'!$B$2:$B$1577,"&gt;="&amp;$C$4,'PvA Data'!$B$2:$B$1577,"&lt;="&amp;$C$5,'PvA Data'!$E$2:$E$1577,$B13),"")</f>
        <v>0.31901408450704227</v>
      </c>
      <c r="F13" s="32">
        <f>IF($C$6="Total",SUMIFS('PvA Data'!$F$2:$F$1577,'PvA Data'!$B$2:$B$1577,"&gt;="&amp;$C$4,'PvA Data'!$B$2:$B$1577,"&lt;="&amp;$C$5,'PvA Data'!$C$2:$C$1577,"Martin",'PvA Data'!$E$2:$E$1577,$B13),IFERROR(AVERAGEIFS('PvA Data'!$F$2:$F$1577,'PvA Data'!$B$2:$B$1577,"&gt;="&amp;$C$4,'PvA Data'!$B$2:$B$1577,"&lt;="&amp;$C$5,'PvA Data'!$C$2:$C$1577,"Martin",'PvA Data'!$E$2:$E$1577,$B13),0))</f>
        <v>0</v>
      </c>
      <c r="G13" s="32">
        <f>IF($C$6="Total",SUMIFS('PvA Data'!$G$2:$G$1577,'PvA Data'!$B$2:$B$1577,"&gt;="&amp;$C$4,'PvA Data'!$B$2:$B$1577,"&lt;="&amp;$C$5,'PvA Data'!$C$2:$C$1577,"Martin",'PvA Data'!$E$2:$E$1577,$B13),IFERROR(AVERAGEIFS('PvA Data'!$G$2:$G$1577,'PvA Data'!$B$2:$B$1577,"&gt;="&amp;$C$4,'PvA Data'!$B$2:$B$1577,"&lt;="&amp;$C$5,'PvA Data'!$C$2:$C$1577,"Martin",'PvA Data'!$E$2:$E$1577,$B13),0))</f>
        <v>0</v>
      </c>
      <c r="H13" s="36">
        <f>IFERROR(SUMIFS('PvA Data'!$F$2:$F$1577,'PvA Data'!$B$2:$B$1577,"&gt;="&amp;$C$4,'PvA Data'!$B$2:$B$1577,"&lt;="&amp;$C$5,'PvA Data'!$C$2:$C$1577,"Martin",'PvA Data'!$E$2:$E$1577,$B13)/SUMIFS('PvA Data'!$F$2:$F$1577,'PvA Data'!$B$2:$B$1577,"&gt;="&amp;$C$4,'PvA Data'!$B$2:$B$1577,"&lt;="&amp;$C$5,'PvA Data'!$E$2:$E$1577,$B13),"")</f>
        <v>0</v>
      </c>
      <c r="I13" s="32">
        <f>IF($C$6="Total",SUMIFS('PvA Data'!$F$2:$F$1577,'PvA Data'!$B$2:$B$1577,"&gt;="&amp;$C$4,'PvA Data'!$B$2:$B$1577,"&lt;="&amp;$C$5,'PvA Data'!$C$2:$C$1577,"Custom",'PvA Data'!$E$2:$E$1577,$B13),IFERROR(AVERAGEIFS('PvA Data'!$F$2:$F$1577,'PvA Data'!$B$2:$B$1577,"&gt;="&amp;$C$4,'PvA Data'!$B$2:$B$1577,"&lt;="&amp;$C$5,'PvA Data'!$C$2:$C$1577,"Custom",'PvA Data'!$E$2:$E$1577,$B13),0))</f>
        <v>19.34</v>
      </c>
      <c r="J13" s="32">
        <f>IF($C$6="Total",SUMIFS('PvA Data'!$G$2:$G$1577,'PvA Data'!$B$2:$B$1577,"&gt;="&amp;$C$4,'PvA Data'!$B$2:$B$1577,"&lt;="&amp;$C$5,'PvA Data'!$C$2:$C$1577,"Custom",'PvA Data'!$E$2:$E$1577,$B13),IFERROR(AVERAGEIFS('PvA Data'!$G$2:$G$1577,'PvA Data'!$B$2:$B$1577,"&gt;="&amp;$C$4,'PvA Data'!$B$2:$B$1577,"&lt;="&amp;$C$5,'PvA Data'!$C$2:$C$1577,"Custom",'PvA Data'!$E$2:$E$1577,$B13),0))</f>
        <v>18.2</v>
      </c>
      <c r="K13" s="36">
        <f>IFERROR(SUMIFS('PvA Data'!$F$2:$F$1577,'PvA Data'!$B$2:$B$1577,"&gt;="&amp;$C$4,'PvA Data'!$B$2:$B$1577,"&lt;="&amp;$C$5,'PvA Data'!$C$2:$C$1577,"Custom",'PvA Data'!$E$2:$E$1577,$B13)/SUMIFS('PvA Data'!$F$2:$F$1577,'PvA Data'!$B$2:$B$1577,"&gt;="&amp;$C$4,'PvA Data'!$B$2:$B$1577,"&lt;="&amp;$C$5,'PvA Data'!$E$2:$E$1577,$B13),"")</f>
        <v>0.68098591549295773</v>
      </c>
      <c r="L13" s="42">
        <f t="shared" si="0"/>
        <v>28.4</v>
      </c>
      <c r="M13" s="42">
        <f t="shared" si="1"/>
        <v>27.52</v>
      </c>
      <c r="N13" s="43">
        <f t="shared" si="2"/>
        <v>0.96901408450704229</v>
      </c>
      <c r="P13" s="38">
        <v>46097</v>
      </c>
      <c r="Q13" s="12" t="s">
        <v>75</v>
      </c>
    </row>
    <row r="14" spans="1:17" x14ac:dyDescent="0.75">
      <c r="A14" s="44">
        <v>666506</v>
      </c>
      <c r="B14" s="45" t="s">
        <v>11</v>
      </c>
      <c r="C14" s="46">
        <f>IF($C$6="Total",SUMIFS('PvA Data'!$F$2:$F$1577,'PvA Data'!$B$2:$B$1577,"&gt;="&amp;$C$4,'PvA Data'!$B$2:$B$1577,"&lt;="&amp;$C$5,'PvA Data'!$C$2:$C$1577,"Nahunta",'PvA Data'!$E$2:$E$1577,$B14),IFERROR(AVERAGEIFS('PvA Data'!$F$2:$F$1577,'PvA Data'!$B$2:$B$1577,"&gt;="&amp;$C$4,'PvA Data'!$B$2:$B$1577,"&lt;="&amp;$C$5,'PvA Data'!$C$2:$C$1577,"Nahunta",'PvA Data'!$E$2:$E$1577,$B14),0))</f>
        <v>0</v>
      </c>
      <c r="D14" s="46">
        <f>IF($C$6="Total",SUMIFS('PvA Data'!$G$2:$G$1577,'PvA Data'!$B$2:$B$1577,"&gt;="&amp;$C$4,'PvA Data'!$B$2:$B$1577,"&lt;="&amp;$C$5,'PvA Data'!$C$2:$C$1577,"Nahunta",'PvA Data'!$E$2:$E$1577,$B14),IFERROR(AVERAGEIFS('PvA Data'!$G$2:$G$1577,'PvA Data'!$B$2:$B$1577,"&gt;="&amp;$C$4,'PvA Data'!$B$2:$B$1577,"&lt;="&amp;$C$5,'PvA Data'!$C$2:$C$1577,"Nahunta",'PvA Data'!$E$2:$E$1577,$B14),0))</f>
        <v>0</v>
      </c>
      <c r="E14" s="47">
        <f>IFERROR(SUMIFS('PvA Data'!$F$2:$F$1577,'PvA Data'!$B$2:$B$1577,"&gt;="&amp;$C$4,'PvA Data'!$B$2:$B$1577,"&lt;="&amp;$C$5,'PvA Data'!$C$2:$C$1577,"Nahunta",'PvA Data'!$E$2:$E$1577,$B14)/SUMIFS('PvA Data'!$F$2:$F$1577,'PvA Data'!$B$2:$B$1577,"&gt;="&amp;$C$4,'PvA Data'!$B$2:$B$1577,"&lt;="&amp;$C$5,'PvA Data'!$E$2:$E$1577,$B14),"")</f>
        <v>0</v>
      </c>
      <c r="F14" s="46">
        <f>IF($C$6="Total",SUMIFS('PvA Data'!$F$2:$F$1577,'PvA Data'!$B$2:$B$1577,"&gt;="&amp;$C$4,'PvA Data'!$B$2:$B$1577,"&lt;="&amp;$C$5,'PvA Data'!$C$2:$C$1577,"Martin",'PvA Data'!$E$2:$E$1577,$B14),IFERROR(AVERAGEIFS('PvA Data'!$F$2:$F$1577,'PvA Data'!$B$2:$B$1577,"&gt;="&amp;$C$4,'PvA Data'!$B$2:$B$1577,"&lt;="&amp;$C$5,'PvA Data'!$C$2:$C$1577,"Martin",'PvA Data'!$E$2:$E$1577,$B14),0))</f>
        <v>122.92</v>
      </c>
      <c r="G14" s="46">
        <f>IF($C$6="Total",SUMIFS('PvA Data'!$G$2:$G$1577,'PvA Data'!$B$2:$B$1577,"&gt;="&amp;$C$4,'PvA Data'!$B$2:$B$1577,"&lt;="&amp;$C$5,'PvA Data'!$C$2:$C$1577,"Martin",'PvA Data'!$E$2:$E$1577,$B14),IFERROR(AVERAGEIFS('PvA Data'!$G$2:$G$1577,'PvA Data'!$B$2:$B$1577,"&gt;="&amp;$C$4,'PvA Data'!$B$2:$B$1577,"&lt;="&amp;$C$5,'PvA Data'!$C$2:$C$1577,"Martin",'PvA Data'!$E$2:$E$1577,$B14),0))</f>
        <v>74.599999999999994</v>
      </c>
      <c r="H14" s="47">
        <f>IFERROR(SUMIFS('PvA Data'!$F$2:$F$1577,'PvA Data'!$B$2:$B$1577,"&gt;="&amp;$C$4,'PvA Data'!$B$2:$B$1577,"&lt;="&amp;$C$5,'PvA Data'!$C$2:$C$1577,"Martin",'PvA Data'!$E$2:$E$1577,$B14)/SUMIFS('PvA Data'!$F$2:$F$1577,'PvA Data'!$B$2:$B$1577,"&gt;="&amp;$C$4,'PvA Data'!$B$2:$B$1577,"&lt;="&amp;$C$5,'PvA Data'!$E$2:$E$1577,$B14),"")</f>
        <v>1</v>
      </c>
      <c r="I14" s="46">
        <f>IF($C$6="Total",SUMIFS('PvA Data'!$F$2:$F$1577,'PvA Data'!$B$2:$B$1577,"&gt;="&amp;$C$4,'PvA Data'!$B$2:$B$1577,"&lt;="&amp;$C$5,'PvA Data'!$C$2:$C$1577,"Custom",'PvA Data'!$E$2:$E$1577,$B14),IFERROR(AVERAGEIFS('PvA Data'!$F$2:$F$1577,'PvA Data'!$B$2:$B$1577,"&gt;="&amp;$C$4,'PvA Data'!$B$2:$B$1577,"&lt;="&amp;$C$5,'PvA Data'!$C$2:$C$1577,"Custom",'PvA Data'!$E$2:$E$1577,$B14),0))</f>
        <v>0</v>
      </c>
      <c r="J14" s="46">
        <f>IF($C$6="Total",SUMIFS('PvA Data'!$G$2:$G$1577,'PvA Data'!$B$2:$B$1577,"&gt;="&amp;$C$4,'PvA Data'!$B$2:$B$1577,"&lt;="&amp;$C$5,'PvA Data'!$C$2:$C$1577,"Custom",'PvA Data'!$E$2:$E$1577,$B14),IFERROR(AVERAGEIFS('PvA Data'!$G$2:$G$1577,'PvA Data'!$B$2:$B$1577,"&gt;="&amp;$C$4,'PvA Data'!$B$2:$B$1577,"&lt;="&amp;$C$5,'PvA Data'!$C$2:$C$1577,"Custom",'PvA Data'!$E$2:$E$1577,$B14),0))</f>
        <v>0</v>
      </c>
      <c r="K14" s="47">
        <f>IFERROR(SUMIFS('PvA Data'!$F$2:$F$1577,'PvA Data'!$B$2:$B$1577,"&gt;="&amp;$C$4,'PvA Data'!$B$2:$B$1577,"&lt;="&amp;$C$5,'PvA Data'!$C$2:$C$1577,"Custom",'PvA Data'!$E$2:$E$1577,$B14)/SUMIFS('PvA Data'!$F$2:$F$1577,'PvA Data'!$B$2:$B$1577,"&gt;="&amp;$C$4,'PvA Data'!$B$2:$B$1577,"&lt;="&amp;$C$5,'PvA Data'!$E$2:$E$1577,$B14),"")</f>
        <v>0</v>
      </c>
      <c r="L14" s="48">
        <f t="shared" si="0"/>
        <v>122.92</v>
      </c>
      <c r="M14" s="48">
        <f t="shared" si="1"/>
        <v>74.599999999999994</v>
      </c>
      <c r="N14" s="49">
        <f t="shared" si="2"/>
        <v>0.60689879596485519</v>
      </c>
      <c r="P14" s="38">
        <v>46104</v>
      </c>
      <c r="Q14" s="12" t="s">
        <v>76</v>
      </c>
    </row>
    <row r="15" spans="1:17" x14ac:dyDescent="0.75">
      <c r="A15" s="17">
        <v>666507</v>
      </c>
      <c r="B15" s="29" t="s">
        <v>13</v>
      </c>
      <c r="C15" s="32">
        <f>IF($C$6="Total",SUMIFS('PvA Data'!$F$2:$F$1577,'PvA Data'!$B$2:$B$1577,"&gt;="&amp;$C$4,'PvA Data'!$B$2:$B$1577,"&lt;="&amp;$C$5,'PvA Data'!$C$2:$C$1577,"Nahunta",'PvA Data'!$E$2:$E$1577,$B15),IFERROR(AVERAGEIFS('PvA Data'!$F$2:$F$1577,'PvA Data'!$B$2:$B$1577,"&gt;="&amp;$C$4,'PvA Data'!$B$2:$B$1577,"&lt;="&amp;$C$5,'PvA Data'!$C$2:$C$1577,"Nahunta",'PvA Data'!$E$2:$E$1577,$B15),0))</f>
        <v>16.16</v>
      </c>
      <c r="D15" s="32">
        <f>IF($C$6="Total",SUMIFS('PvA Data'!$G$2:$G$1577,'PvA Data'!$B$2:$B$1577,"&gt;="&amp;$C$4,'PvA Data'!$B$2:$B$1577,"&lt;="&amp;$C$5,'PvA Data'!$C$2:$C$1577,"Nahunta",'PvA Data'!$E$2:$E$1577,$B15),IFERROR(AVERAGEIFS('PvA Data'!$G$2:$G$1577,'PvA Data'!$B$2:$B$1577,"&gt;="&amp;$C$4,'PvA Data'!$B$2:$B$1577,"&lt;="&amp;$C$5,'PvA Data'!$C$2:$C$1577,"Nahunta",'PvA Data'!$E$2:$E$1577,$B15),0))</f>
        <v>15.68</v>
      </c>
      <c r="E15" s="36">
        <f>IFERROR(SUMIFS('PvA Data'!$F$2:$F$1577,'PvA Data'!$B$2:$B$1577,"&gt;="&amp;$C$4,'PvA Data'!$B$2:$B$1577,"&lt;="&amp;$C$5,'PvA Data'!$C$2:$C$1577,"Nahunta",'PvA Data'!$E$2:$E$1577,$B15)/SUMIFS('PvA Data'!$F$2:$F$1577,'PvA Data'!$B$2:$B$1577,"&gt;="&amp;$C$4,'PvA Data'!$B$2:$B$1577,"&lt;="&amp;$C$5,'PvA Data'!$E$2:$E$1577,$B15),"")</f>
        <v>1</v>
      </c>
      <c r="F15" s="32">
        <f>IF($C$6="Total",SUMIFS('PvA Data'!$F$2:$F$1577,'PvA Data'!$B$2:$B$1577,"&gt;="&amp;$C$4,'PvA Data'!$B$2:$B$1577,"&lt;="&amp;$C$5,'PvA Data'!$C$2:$C$1577,"Martin",'PvA Data'!$E$2:$E$1577,$B15),IFERROR(AVERAGEIFS('PvA Data'!$F$2:$F$1577,'PvA Data'!$B$2:$B$1577,"&gt;="&amp;$C$4,'PvA Data'!$B$2:$B$1577,"&lt;="&amp;$C$5,'PvA Data'!$C$2:$C$1577,"Martin",'PvA Data'!$E$2:$E$1577,$B15),0))</f>
        <v>0</v>
      </c>
      <c r="G15" s="32">
        <f>IF($C$6="Total",SUMIFS('PvA Data'!$G$2:$G$1577,'PvA Data'!$B$2:$B$1577,"&gt;="&amp;$C$4,'PvA Data'!$B$2:$B$1577,"&lt;="&amp;$C$5,'PvA Data'!$C$2:$C$1577,"Martin",'PvA Data'!$E$2:$E$1577,$B15),IFERROR(AVERAGEIFS('PvA Data'!$G$2:$G$1577,'PvA Data'!$B$2:$B$1577,"&gt;="&amp;$C$4,'PvA Data'!$B$2:$B$1577,"&lt;="&amp;$C$5,'PvA Data'!$C$2:$C$1577,"Martin",'PvA Data'!$E$2:$E$1577,$B15),0))</f>
        <v>0</v>
      </c>
      <c r="H15" s="36">
        <f>IFERROR(SUMIFS('PvA Data'!$F$2:$F$1577,'PvA Data'!$B$2:$B$1577,"&gt;="&amp;$C$4,'PvA Data'!$B$2:$B$1577,"&lt;="&amp;$C$5,'PvA Data'!$C$2:$C$1577,"Martin",'PvA Data'!$E$2:$E$1577,$B15)/SUMIFS('PvA Data'!$F$2:$F$1577,'PvA Data'!$B$2:$B$1577,"&gt;="&amp;$C$4,'PvA Data'!$B$2:$B$1577,"&lt;="&amp;$C$5,'PvA Data'!$E$2:$E$1577,$B15),"")</f>
        <v>0</v>
      </c>
      <c r="I15" s="32">
        <f>IF($C$6="Total",SUMIFS('PvA Data'!$F$2:$F$1577,'PvA Data'!$B$2:$B$1577,"&gt;="&amp;$C$4,'PvA Data'!$B$2:$B$1577,"&lt;="&amp;$C$5,'PvA Data'!$C$2:$C$1577,"Custom",'PvA Data'!$E$2:$E$1577,$B15),IFERROR(AVERAGEIFS('PvA Data'!$F$2:$F$1577,'PvA Data'!$B$2:$B$1577,"&gt;="&amp;$C$4,'PvA Data'!$B$2:$B$1577,"&lt;="&amp;$C$5,'PvA Data'!$C$2:$C$1577,"Custom",'PvA Data'!$E$2:$E$1577,$B15),0))</f>
        <v>0</v>
      </c>
      <c r="J15" s="32">
        <f>IF($C$6="Total",SUMIFS('PvA Data'!$G$2:$G$1577,'PvA Data'!$B$2:$B$1577,"&gt;="&amp;$C$4,'PvA Data'!$B$2:$B$1577,"&lt;="&amp;$C$5,'PvA Data'!$C$2:$C$1577,"Custom",'PvA Data'!$E$2:$E$1577,$B15),IFERROR(AVERAGEIFS('PvA Data'!$G$2:$G$1577,'PvA Data'!$B$2:$B$1577,"&gt;="&amp;$C$4,'PvA Data'!$B$2:$B$1577,"&lt;="&amp;$C$5,'PvA Data'!$C$2:$C$1577,"Custom",'PvA Data'!$E$2:$E$1577,$B15),0))</f>
        <v>0</v>
      </c>
      <c r="K15" s="36">
        <f>IFERROR(SUMIFS('PvA Data'!$F$2:$F$1577,'PvA Data'!$B$2:$B$1577,"&gt;="&amp;$C$4,'PvA Data'!$B$2:$B$1577,"&lt;="&amp;$C$5,'PvA Data'!$C$2:$C$1577,"Custom",'PvA Data'!$E$2:$E$1577,$B15)/SUMIFS('PvA Data'!$F$2:$F$1577,'PvA Data'!$B$2:$B$1577,"&gt;="&amp;$C$4,'PvA Data'!$B$2:$B$1577,"&lt;="&amp;$C$5,'PvA Data'!$E$2:$E$1577,$B15),"")</f>
        <v>0</v>
      </c>
      <c r="L15" s="42">
        <f t="shared" si="0"/>
        <v>16.16</v>
      </c>
      <c r="M15" s="42">
        <f t="shared" si="1"/>
        <v>15.68</v>
      </c>
      <c r="N15" s="43">
        <f t="shared" si="2"/>
        <v>0.97029702970297027</v>
      </c>
      <c r="P15" s="38">
        <v>46111</v>
      </c>
      <c r="Q15" s="12" t="s">
        <v>77</v>
      </c>
    </row>
    <row r="16" spans="1:17" x14ac:dyDescent="0.75">
      <c r="A16" s="44">
        <v>666509</v>
      </c>
      <c r="B16" s="45" t="s">
        <v>15</v>
      </c>
      <c r="C16" s="46">
        <f>IF($C$6="Total",SUMIFS('PvA Data'!$F$2:$F$1577,'PvA Data'!$B$2:$B$1577,"&gt;="&amp;$C$4,'PvA Data'!$B$2:$B$1577,"&lt;="&amp;$C$5,'PvA Data'!$C$2:$C$1577,"Nahunta",'PvA Data'!$E$2:$E$1577,$B16),IFERROR(AVERAGEIFS('PvA Data'!$F$2:$F$1577,'PvA Data'!$B$2:$B$1577,"&gt;="&amp;$C$4,'PvA Data'!$B$2:$B$1577,"&lt;="&amp;$C$5,'PvA Data'!$C$2:$C$1577,"Nahunta",'PvA Data'!$E$2:$E$1577,$B16),0))</f>
        <v>39</v>
      </c>
      <c r="D16" s="46">
        <f>IF($C$6="Total",SUMIFS('PvA Data'!$G$2:$G$1577,'PvA Data'!$B$2:$B$1577,"&gt;="&amp;$C$4,'PvA Data'!$B$2:$B$1577,"&lt;="&amp;$C$5,'PvA Data'!$C$2:$C$1577,"Nahunta",'PvA Data'!$E$2:$E$1577,$B16),IFERROR(AVERAGEIFS('PvA Data'!$G$2:$G$1577,'PvA Data'!$B$2:$B$1577,"&gt;="&amp;$C$4,'PvA Data'!$B$2:$B$1577,"&lt;="&amp;$C$5,'PvA Data'!$C$2:$C$1577,"Nahunta",'PvA Data'!$E$2:$E$1577,$B16),0))</f>
        <v>36.04</v>
      </c>
      <c r="E16" s="47">
        <f>IFERROR(SUMIFS('PvA Data'!$F$2:$F$1577,'PvA Data'!$B$2:$B$1577,"&gt;="&amp;$C$4,'PvA Data'!$B$2:$B$1577,"&lt;="&amp;$C$5,'PvA Data'!$C$2:$C$1577,"Nahunta",'PvA Data'!$E$2:$E$1577,$B16)/SUMIFS('PvA Data'!$F$2:$F$1577,'PvA Data'!$B$2:$B$1577,"&gt;="&amp;$C$4,'PvA Data'!$B$2:$B$1577,"&lt;="&amp;$C$5,'PvA Data'!$E$2:$E$1577,$B16),"")</f>
        <v>1</v>
      </c>
      <c r="F16" s="46">
        <f>IF($C$6="Total",SUMIFS('PvA Data'!$F$2:$F$1577,'PvA Data'!$B$2:$B$1577,"&gt;="&amp;$C$4,'PvA Data'!$B$2:$B$1577,"&lt;="&amp;$C$5,'PvA Data'!$C$2:$C$1577,"Martin",'PvA Data'!$E$2:$E$1577,$B16),IFERROR(AVERAGEIFS('PvA Data'!$F$2:$F$1577,'PvA Data'!$B$2:$B$1577,"&gt;="&amp;$C$4,'PvA Data'!$B$2:$B$1577,"&lt;="&amp;$C$5,'PvA Data'!$C$2:$C$1577,"Martin",'PvA Data'!$E$2:$E$1577,$B16),0))</f>
        <v>0</v>
      </c>
      <c r="G16" s="46">
        <f>IF($C$6="Total",SUMIFS('PvA Data'!$G$2:$G$1577,'PvA Data'!$B$2:$B$1577,"&gt;="&amp;$C$4,'PvA Data'!$B$2:$B$1577,"&lt;="&amp;$C$5,'PvA Data'!$C$2:$C$1577,"Martin",'PvA Data'!$E$2:$E$1577,$B16),IFERROR(AVERAGEIFS('PvA Data'!$G$2:$G$1577,'PvA Data'!$B$2:$B$1577,"&gt;="&amp;$C$4,'PvA Data'!$B$2:$B$1577,"&lt;="&amp;$C$5,'PvA Data'!$C$2:$C$1577,"Martin",'PvA Data'!$E$2:$E$1577,$B16),0))</f>
        <v>0</v>
      </c>
      <c r="H16" s="47">
        <f>IFERROR(SUMIFS('PvA Data'!$F$2:$F$1577,'PvA Data'!$B$2:$B$1577,"&gt;="&amp;$C$4,'PvA Data'!$B$2:$B$1577,"&lt;="&amp;$C$5,'PvA Data'!$C$2:$C$1577,"Martin",'PvA Data'!$E$2:$E$1577,$B16)/SUMIFS('PvA Data'!$F$2:$F$1577,'PvA Data'!$B$2:$B$1577,"&gt;="&amp;$C$4,'PvA Data'!$B$2:$B$1577,"&lt;="&amp;$C$5,'PvA Data'!$E$2:$E$1577,$B16),"")</f>
        <v>0</v>
      </c>
      <c r="I16" s="46">
        <f>IF($C$6="Total",SUMIFS('PvA Data'!$F$2:$F$1577,'PvA Data'!$B$2:$B$1577,"&gt;="&amp;$C$4,'PvA Data'!$B$2:$B$1577,"&lt;="&amp;$C$5,'PvA Data'!$C$2:$C$1577,"Custom",'PvA Data'!$E$2:$E$1577,$B16),IFERROR(AVERAGEIFS('PvA Data'!$F$2:$F$1577,'PvA Data'!$B$2:$B$1577,"&gt;="&amp;$C$4,'PvA Data'!$B$2:$B$1577,"&lt;="&amp;$C$5,'PvA Data'!$C$2:$C$1577,"Custom",'PvA Data'!$E$2:$E$1577,$B16),0))</f>
        <v>0</v>
      </c>
      <c r="J16" s="46">
        <f>IF($C$6="Total",SUMIFS('PvA Data'!$G$2:$G$1577,'PvA Data'!$B$2:$B$1577,"&gt;="&amp;$C$4,'PvA Data'!$B$2:$B$1577,"&lt;="&amp;$C$5,'PvA Data'!$C$2:$C$1577,"Custom",'PvA Data'!$E$2:$E$1577,$B16),IFERROR(AVERAGEIFS('PvA Data'!$G$2:$G$1577,'PvA Data'!$B$2:$B$1577,"&gt;="&amp;$C$4,'PvA Data'!$B$2:$B$1577,"&lt;="&amp;$C$5,'PvA Data'!$C$2:$C$1577,"Custom",'PvA Data'!$E$2:$E$1577,$B16),0))</f>
        <v>0</v>
      </c>
      <c r="K16" s="47">
        <f>IFERROR(SUMIFS('PvA Data'!$F$2:$F$1577,'PvA Data'!$B$2:$B$1577,"&gt;="&amp;$C$4,'PvA Data'!$B$2:$B$1577,"&lt;="&amp;$C$5,'PvA Data'!$C$2:$C$1577,"Custom",'PvA Data'!$E$2:$E$1577,$B16)/SUMIFS('PvA Data'!$F$2:$F$1577,'PvA Data'!$B$2:$B$1577,"&gt;="&amp;$C$4,'PvA Data'!$B$2:$B$1577,"&lt;="&amp;$C$5,'PvA Data'!$E$2:$E$1577,$B16),"")</f>
        <v>0</v>
      </c>
      <c r="L16" s="48">
        <f t="shared" si="0"/>
        <v>39</v>
      </c>
      <c r="M16" s="48">
        <f t="shared" si="1"/>
        <v>36.04</v>
      </c>
      <c r="N16" s="49">
        <f t="shared" si="2"/>
        <v>0.92410256410256408</v>
      </c>
      <c r="P16" s="38">
        <v>46118</v>
      </c>
      <c r="Q16" s="12" t="s">
        <v>78</v>
      </c>
    </row>
    <row r="17" spans="1:17" x14ac:dyDescent="0.75">
      <c r="A17" s="17">
        <v>666510</v>
      </c>
      <c r="B17" s="29" t="s">
        <v>17</v>
      </c>
      <c r="C17" s="32">
        <f>IF($C$6="Total",SUMIFS('PvA Data'!$F$2:$F$1577,'PvA Data'!$B$2:$B$1577,"&gt;="&amp;$C$4,'PvA Data'!$B$2:$B$1577,"&lt;="&amp;$C$5,'PvA Data'!$C$2:$C$1577,"Nahunta",'PvA Data'!$E$2:$E$1577,$B17),IFERROR(AVERAGEIFS('PvA Data'!$F$2:$F$1577,'PvA Data'!$B$2:$B$1577,"&gt;="&amp;$C$4,'PvA Data'!$B$2:$B$1577,"&lt;="&amp;$C$5,'PvA Data'!$C$2:$C$1577,"Nahunta",'PvA Data'!$E$2:$E$1577,$B17),0))</f>
        <v>0</v>
      </c>
      <c r="D17" s="32">
        <f>IF($C$6="Total",SUMIFS('PvA Data'!$G$2:$G$1577,'PvA Data'!$B$2:$B$1577,"&gt;="&amp;$C$4,'PvA Data'!$B$2:$B$1577,"&lt;="&amp;$C$5,'PvA Data'!$C$2:$C$1577,"Nahunta",'PvA Data'!$E$2:$E$1577,$B17),IFERROR(AVERAGEIFS('PvA Data'!$G$2:$G$1577,'PvA Data'!$B$2:$B$1577,"&gt;="&amp;$C$4,'PvA Data'!$B$2:$B$1577,"&lt;="&amp;$C$5,'PvA Data'!$C$2:$C$1577,"Nahunta",'PvA Data'!$E$2:$E$1577,$B17),0))</f>
        <v>0</v>
      </c>
      <c r="E17" s="36" t="str">
        <f>IFERROR(SUMIFS('PvA Data'!$F$2:$F$1577,'PvA Data'!$B$2:$B$1577,"&gt;="&amp;$C$4,'PvA Data'!$B$2:$B$1577,"&lt;="&amp;$C$5,'PvA Data'!$C$2:$C$1577,"Nahunta",'PvA Data'!$E$2:$E$1577,$B17)/SUMIFS('PvA Data'!$F$2:$F$1577,'PvA Data'!$B$2:$B$1577,"&gt;="&amp;$C$4,'PvA Data'!$B$2:$B$1577,"&lt;="&amp;$C$5,'PvA Data'!$E$2:$E$1577,$B17),"")</f>
        <v/>
      </c>
      <c r="F17" s="32">
        <f>IF($C$6="Total",SUMIFS('PvA Data'!$F$2:$F$1577,'PvA Data'!$B$2:$B$1577,"&gt;="&amp;$C$4,'PvA Data'!$B$2:$B$1577,"&lt;="&amp;$C$5,'PvA Data'!$C$2:$C$1577,"Martin",'PvA Data'!$E$2:$E$1577,$B17),IFERROR(AVERAGEIFS('PvA Data'!$F$2:$F$1577,'PvA Data'!$B$2:$B$1577,"&gt;="&amp;$C$4,'PvA Data'!$B$2:$B$1577,"&lt;="&amp;$C$5,'PvA Data'!$C$2:$C$1577,"Martin",'PvA Data'!$E$2:$E$1577,$B17),0))</f>
        <v>0</v>
      </c>
      <c r="G17" s="32">
        <f>IF($C$6="Total",SUMIFS('PvA Data'!$G$2:$G$1577,'PvA Data'!$B$2:$B$1577,"&gt;="&amp;$C$4,'PvA Data'!$B$2:$B$1577,"&lt;="&amp;$C$5,'PvA Data'!$C$2:$C$1577,"Martin",'PvA Data'!$E$2:$E$1577,$B17),IFERROR(AVERAGEIFS('PvA Data'!$G$2:$G$1577,'PvA Data'!$B$2:$B$1577,"&gt;="&amp;$C$4,'PvA Data'!$B$2:$B$1577,"&lt;="&amp;$C$5,'PvA Data'!$C$2:$C$1577,"Martin",'PvA Data'!$E$2:$E$1577,$B17),0))</f>
        <v>0</v>
      </c>
      <c r="H17" s="36" t="str">
        <f>IFERROR(SUMIFS('PvA Data'!$F$2:$F$1577,'PvA Data'!$B$2:$B$1577,"&gt;="&amp;$C$4,'PvA Data'!$B$2:$B$1577,"&lt;="&amp;$C$5,'PvA Data'!$C$2:$C$1577,"Martin",'PvA Data'!$E$2:$E$1577,$B17)/SUMIFS('PvA Data'!$F$2:$F$1577,'PvA Data'!$B$2:$B$1577,"&gt;="&amp;$C$4,'PvA Data'!$B$2:$B$1577,"&lt;="&amp;$C$5,'PvA Data'!$E$2:$E$1577,$B17),"")</f>
        <v/>
      </c>
      <c r="I17" s="32">
        <f>IF($C$6="Total",SUMIFS('PvA Data'!$F$2:$F$1577,'PvA Data'!$B$2:$B$1577,"&gt;="&amp;$C$4,'PvA Data'!$B$2:$B$1577,"&lt;="&amp;$C$5,'PvA Data'!$C$2:$C$1577,"Custom",'PvA Data'!$E$2:$E$1577,$B17),IFERROR(AVERAGEIFS('PvA Data'!$F$2:$F$1577,'PvA Data'!$B$2:$B$1577,"&gt;="&amp;$C$4,'PvA Data'!$B$2:$B$1577,"&lt;="&amp;$C$5,'PvA Data'!$C$2:$C$1577,"Custom",'PvA Data'!$E$2:$E$1577,$B17),0))</f>
        <v>0</v>
      </c>
      <c r="J17" s="32">
        <f>IF($C$6="Total",SUMIFS('PvA Data'!$G$2:$G$1577,'PvA Data'!$B$2:$B$1577,"&gt;="&amp;$C$4,'PvA Data'!$B$2:$B$1577,"&lt;="&amp;$C$5,'PvA Data'!$C$2:$C$1577,"Custom",'PvA Data'!$E$2:$E$1577,$B17),IFERROR(AVERAGEIFS('PvA Data'!$G$2:$G$1577,'PvA Data'!$B$2:$B$1577,"&gt;="&amp;$C$4,'PvA Data'!$B$2:$B$1577,"&lt;="&amp;$C$5,'PvA Data'!$C$2:$C$1577,"Custom",'PvA Data'!$E$2:$E$1577,$B17),0))</f>
        <v>0</v>
      </c>
      <c r="K17" s="36" t="str">
        <f>IFERROR(SUMIFS('PvA Data'!$F$2:$F$1577,'PvA Data'!$B$2:$B$1577,"&gt;="&amp;$C$4,'PvA Data'!$B$2:$B$1577,"&lt;="&amp;$C$5,'PvA Data'!$C$2:$C$1577,"Custom",'PvA Data'!$E$2:$E$1577,$B17)/SUMIFS('PvA Data'!$F$2:$F$1577,'PvA Data'!$B$2:$B$1577,"&gt;="&amp;$C$4,'PvA Data'!$B$2:$B$1577,"&lt;="&amp;$C$5,'PvA Data'!$E$2:$E$1577,$B17),"")</f>
        <v/>
      </c>
      <c r="L17" s="42">
        <f t="shared" si="0"/>
        <v>0</v>
      </c>
      <c r="M17" s="42">
        <f t="shared" si="1"/>
        <v>0</v>
      </c>
      <c r="N17" s="43" t="str">
        <f t="shared" si="2"/>
        <v/>
      </c>
      <c r="P17" s="38">
        <v>46125</v>
      </c>
      <c r="Q17" s="12" t="s">
        <v>79</v>
      </c>
    </row>
    <row r="18" spans="1:17" x14ac:dyDescent="0.75">
      <c r="A18" s="44">
        <v>666511</v>
      </c>
      <c r="B18" s="45" t="s">
        <v>19</v>
      </c>
      <c r="C18" s="46">
        <f>IF($C$6="Total",SUMIFS('PvA Data'!$F$2:$F$1577,'PvA Data'!$B$2:$B$1577,"&gt;="&amp;$C$4,'PvA Data'!$B$2:$B$1577,"&lt;="&amp;$C$5,'PvA Data'!$C$2:$C$1577,"Nahunta",'PvA Data'!$E$2:$E$1577,$B18),IFERROR(AVERAGEIFS('PvA Data'!$F$2:$F$1577,'PvA Data'!$B$2:$B$1577,"&gt;="&amp;$C$4,'PvA Data'!$B$2:$B$1577,"&lt;="&amp;$C$5,'PvA Data'!$C$2:$C$1577,"Nahunta",'PvA Data'!$E$2:$E$1577,$B18),0))</f>
        <v>3.28</v>
      </c>
      <c r="D18" s="46">
        <f>IF($C$6="Total",SUMIFS('PvA Data'!$G$2:$G$1577,'PvA Data'!$B$2:$B$1577,"&gt;="&amp;$C$4,'PvA Data'!$B$2:$B$1577,"&lt;="&amp;$C$5,'PvA Data'!$C$2:$C$1577,"Nahunta",'PvA Data'!$E$2:$E$1577,$B18),IFERROR(AVERAGEIFS('PvA Data'!$G$2:$G$1577,'PvA Data'!$B$2:$B$1577,"&gt;="&amp;$C$4,'PvA Data'!$B$2:$B$1577,"&lt;="&amp;$C$5,'PvA Data'!$C$2:$C$1577,"Nahunta",'PvA Data'!$E$2:$E$1577,$B18),0))</f>
        <v>3.2</v>
      </c>
      <c r="E18" s="47">
        <f>IFERROR(SUMIFS('PvA Data'!$F$2:$F$1577,'PvA Data'!$B$2:$B$1577,"&gt;="&amp;$C$4,'PvA Data'!$B$2:$B$1577,"&lt;="&amp;$C$5,'PvA Data'!$C$2:$C$1577,"Nahunta",'PvA Data'!$E$2:$E$1577,$B18)/SUMIFS('PvA Data'!$F$2:$F$1577,'PvA Data'!$B$2:$B$1577,"&gt;="&amp;$C$4,'PvA Data'!$B$2:$B$1577,"&lt;="&amp;$C$5,'PvA Data'!$E$2:$E$1577,$B18),"")</f>
        <v>1</v>
      </c>
      <c r="F18" s="46">
        <f>IF($C$6="Total",SUMIFS('PvA Data'!$F$2:$F$1577,'PvA Data'!$B$2:$B$1577,"&gt;="&amp;$C$4,'PvA Data'!$B$2:$B$1577,"&lt;="&amp;$C$5,'PvA Data'!$C$2:$C$1577,"Martin",'PvA Data'!$E$2:$E$1577,$B18),IFERROR(AVERAGEIFS('PvA Data'!$F$2:$F$1577,'PvA Data'!$B$2:$B$1577,"&gt;="&amp;$C$4,'PvA Data'!$B$2:$B$1577,"&lt;="&amp;$C$5,'PvA Data'!$C$2:$C$1577,"Martin",'PvA Data'!$E$2:$E$1577,$B18),0))</f>
        <v>0</v>
      </c>
      <c r="G18" s="46">
        <f>IF($C$6="Total",SUMIFS('PvA Data'!$G$2:$G$1577,'PvA Data'!$B$2:$B$1577,"&gt;="&amp;$C$4,'PvA Data'!$B$2:$B$1577,"&lt;="&amp;$C$5,'PvA Data'!$C$2:$C$1577,"Martin",'PvA Data'!$E$2:$E$1577,$B18),IFERROR(AVERAGEIFS('PvA Data'!$G$2:$G$1577,'PvA Data'!$B$2:$B$1577,"&gt;="&amp;$C$4,'PvA Data'!$B$2:$B$1577,"&lt;="&amp;$C$5,'PvA Data'!$C$2:$C$1577,"Martin",'PvA Data'!$E$2:$E$1577,$B18),0))</f>
        <v>0</v>
      </c>
      <c r="H18" s="47">
        <f>IFERROR(SUMIFS('PvA Data'!$F$2:$F$1577,'PvA Data'!$B$2:$B$1577,"&gt;="&amp;$C$4,'PvA Data'!$B$2:$B$1577,"&lt;="&amp;$C$5,'PvA Data'!$C$2:$C$1577,"Martin",'PvA Data'!$E$2:$E$1577,$B18)/SUMIFS('PvA Data'!$F$2:$F$1577,'PvA Data'!$B$2:$B$1577,"&gt;="&amp;$C$4,'PvA Data'!$B$2:$B$1577,"&lt;="&amp;$C$5,'PvA Data'!$E$2:$E$1577,$B18),"")</f>
        <v>0</v>
      </c>
      <c r="I18" s="46">
        <f>IF($C$6="Total",SUMIFS('PvA Data'!$F$2:$F$1577,'PvA Data'!$B$2:$B$1577,"&gt;="&amp;$C$4,'PvA Data'!$B$2:$B$1577,"&lt;="&amp;$C$5,'PvA Data'!$C$2:$C$1577,"Custom",'PvA Data'!$E$2:$E$1577,$B18),IFERROR(AVERAGEIFS('PvA Data'!$F$2:$F$1577,'PvA Data'!$B$2:$B$1577,"&gt;="&amp;$C$4,'PvA Data'!$B$2:$B$1577,"&lt;="&amp;$C$5,'PvA Data'!$C$2:$C$1577,"Custom",'PvA Data'!$E$2:$E$1577,$B18),0))</f>
        <v>0</v>
      </c>
      <c r="J18" s="46">
        <f>IF($C$6="Total",SUMIFS('PvA Data'!$G$2:$G$1577,'PvA Data'!$B$2:$B$1577,"&gt;="&amp;$C$4,'PvA Data'!$B$2:$B$1577,"&lt;="&amp;$C$5,'PvA Data'!$C$2:$C$1577,"Custom",'PvA Data'!$E$2:$E$1577,$B18),IFERROR(AVERAGEIFS('PvA Data'!$G$2:$G$1577,'PvA Data'!$B$2:$B$1577,"&gt;="&amp;$C$4,'PvA Data'!$B$2:$B$1577,"&lt;="&amp;$C$5,'PvA Data'!$C$2:$C$1577,"Custom",'PvA Data'!$E$2:$E$1577,$B18),0))</f>
        <v>0</v>
      </c>
      <c r="K18" s="47">
        <f>IFERROR(SUMIFS('PvA Data'!$F$2:$F$1577,'PvA Data'!$B$2:$B$1577,"&gt;="&amp;$C$4,'PvA Data'!$B$2:$B$1577,"&lt;="&amp;$C$5,'PvA Data'!$C$2:$C$1577,"Custom",'PvA Data'!$E$2:$E$1577,$B18)/SUMIFS('PvA Data'!$F$2:$F$1577,'PvA Data'!$B$2:$B$1577,"&gt;="&amp;$C$4,'PvA Data'!$B$2:$B$1577,"&lt;="&amp;$C$5,'PvA Data'!$E$2:$E$1577,$B18),"")</f>
        <v>0</v>
      </c>
      <c r="L18" s="48">
        <f t="shared" si="0"/>
        <v>3.28</v>
      </c>
      <c r="M18" s="48">
        <f t="shared" si="1"/>
        <v>3.2</v>
      </c>
      <c r="N18" s="49">
        <f t="shared" si="2"/>
        <v>0.97560975609756106</v>
      </c>
      <c r="P18" s="38">
        <v>46132</v>
      </c>
      <c r="Q18" s="12" t="s">
        <v>80</v>
      </c>
    </row>
    <row r="19" spans="1:17" x14ac:dyDescent="0.75">
      <c r="A19" s="17">
        <v>666513</v>
      </c>
      <c r="B19" s="29" t="s">
        <v>21</v>
      </c>
      <c r="C19" s="32">
        <f>IF($C$6="Total",SUMIFS('PvA Data'!$F$2:$F$1577,'PvA Data'!$B$2:$B$1577,"&gt;="&amp;$C$4,'PvA Data'!$B$2:$B$1577,"&lt;="&amp;$C$5,'PvA Data'!$C$2:$C$1577,"Nahunta",'PvA Data'!$E$2:$E$1577,$B19),IFERROR(AVERAGEIFS('PvA Data'!$F$2:$F$1577,'PvA Data'!$B$2:$B$1577,"&gt;="&amp;$C$4,'PvA Data'!$B$2:$B$1577,"&lt;="&amp;$C$5,'PvA Data'!$C$2:$C$1577,"Nahunta",'PvA Data'!$E$2:$E$1577,$B19),0))</f>
        <v>2.76</v>
      </c>
      <c r="D19" s="32">
        <f>IF($C$6="Total",SUMIFS('PvA Data'!$G$2:$G$1577,'PvA Data'!$B$2:$B$1577,"&gt;="&amp;$C$4,'PvA Data'!$B$2:$B$1577,"&lt;="&amp;$C$5,'PvA Data'!$C$2:$C$1577,"Nahunta",'PvA Data'!$E$2:$E$1577,$B19),IFERROR(AVERAGEIFS('PvA Data'!$G$2:$G$1577,'PvA Data'!$B$2:$B$1577,"&gt;="&amp;$C$4,'PvA Data'!$B$2:$B$1577,"&lt;="&amp;$C$5,'PvA Data'!$C$2:$C$1577,"Nahunta",'PvA Data'!$E$2:$E$1577,$B19),0))</f>
        <v>3.04</v>
      </c>
      <c r="E19" s="36">
        <f>IFERROR(SUMIFS('PvA Data'!$F$2:$F$1577,'PvA Data'!$B$2:$B$1577,"&gt;="&amp;$C$4,'PvA Data'!$B$2:$B$1577,"&lt;="&amp;$C$5,'PvA Data'!$C$2:$C$1577,"Nahunta",'PvA Data'!$E$2:$E$1577,$B19)/SUMIFS('PvA Data'!$F$2:$F$1577,'PvA Data'!$B$2:$B$1577,"&gt;="&amp;$C$4,'PvA Data'!$B$2:$B$1577,"&lt;="&amp;$C$5,'PvA Data'!$E$2:$E$1577,$B19),"")</f>
        <v>0.29487179487179488</v>
      </c>
      <c r="F19" s="32">
        <f>IF($C$6="Total",SUMIFS('PvA Data'!$F$2:$F$1577,'PvA Data'!$B$2:$B$1577,"&gt;="&amp;$C$4,'PvA Data'!$B$2:$B$1577,"&lt;="&amp;$C$5,'PvA Data'!$C$2:$C$1577,"Martin",'PvA Data'!$E$2:$E$1577,$B19),IFERROR(AVERAGEIFS('PvA Data'!$F$2:$F$1577,'PvA Data'!$B$2:$B$1577,"&gt;="&amp;$C$4,'PvA Data'!$B$2:$B$1577,"&lt;="&amp;$C$5,'PvA Data'!$C$2:$C$1577,"Martin",'PvA Data'!$E$2:$E$1577,$B19),0))</f>
        <v>0</v>
      </c>
      <c r="G19" s="32">
        <f>IF($C$6="Total",SUMIFS('PvA Data'!$G$2:$G$1577,'PvA Data'!$B$2:$B$1577,"&gt;="&amp;$C$4,'PvA Data'!$B$2:$B$1577,"&lt;="&amp;$C$5,'PvA Data'!$C$2:$C$1577,"Martin",'PvA Data'!$E$2:$E$1577,$B19),IFERROR(AVERAGEIFS('PvA Data'!$G$2:$G$1577,'PvA Data'!$B$2:$B$1577,"&gt;="&amp;$C$4,'PvA Data'!$B$2:$B$1577,"&lt;="&amp;$C$5,'PvA Data'!$C$2:$C$1577,"Martin",'PvA Data'!$E$2:$E$1577,$B19),0))</f>
        <v>0</v>
      </c>
      <c r="H19" s="36">
        <f>IFERROR(SUMIFS('PvA Data'!$F$2:$F$1577,'PvA Data'!$B$2:$B$1577,"&gt;="&amp;$C$4,'PvA Data'!$B$2:$B$1577,"&lt;="&amp;$C$5,'PvA Data'!$C$2:$C$1577,"Martin",'PvA Data'!$E$2:$E$1577,$B19)/SUMIFS('PvA Data'!$F$2:$F$1577,'PvA Data'!$B$2:$B$1577,"&gt;="&amp;$C$4,'PvA Data'!$B$2:$B$1577,"&lt;="&amp;$C$5,'PvA Data'!$E$2:$E$1577,$B19),"")</f>
        <v>0</v>
      </c>
      <c r="I19" s="32">
        <f>IF($C$6="Total",SUMIFS('PvA Data'!$F$2:$F$1577,'PvA Data'!$B$2:$B$1577,"&gt;="&amp;$C$4,'PvA Data'!$B$2:$B$1577,"&lt;="&amp;$C$5,'PvA Data'!$C$2:$C$1577,"Custom",'PvA Data'!$E$2:$E$1577,$B19),IFERROR(AVERAGEIFS('PvA Data'!$F$2:$F$1577,'PvA Data'!$B$2:$B$1577,"&gt;="&amp;$C$4,'PvA Data'!$B$2:$B$1577,"&lt;="&amp;$C$5,'PvA Data'!$C$2:$C$1577,"Custom",'PvA Data'!$E$2:$E$1577,$B19),0))</f>
        <v>6.6</v>
      </c>
      <c r="J19" s="32">
        <f>IF($C$6="Total",SUMIFS('PvA Data'!$G$2:$G$1577,'PvA Data'!$B$2:$B$1577,"&gt;="&amp;$C$4,'PvA Data'!$B$2:$B$1577,"&lt;="&amp;$C$5,'PvA Data'!$C$2:$C$1577,"Custom",'PvA Data'!$E$2:$E$1577,$B19),IFERROR(AVERAGEIFS('PvA Data'!$G$2:$G$1577,'PvA Data'!$B$2:$B$1577,"&gt;="&amp;$C$4,'PvA Data'!$B$2:$B$1577,"&lt;="&amp;$C$5,'PvA Data'!$C$2:$C$1577,"Custom",'PvA Data'!$E$2:$E$1577,$B19),0))</f>
        <v>5.44</v>
      </c>
      <c r="K19" s="36">
        <f>IFERROR(SUMIFS('PvA Data'!$F$2:$F$1577,'PvA Data'!$B$2:$B$1577,"&gt;="&amp;$C$4,'PvA Data'!$B$2:$B$1577,"&lt;="&amp;$C$5,'PvA Data'!$C$2:$C$1577,"Custom",'PvA Data'!$E$2:$E$1577,$B19)/SUMIFS('PvA Data'!$F$2:$F$1577,'PvA Data'!$B$2:$B$1577,"&gt;="&amp;$C$4,'PvA Data'!$B$2:$B$1577,"&lt;="&amp;$C$5,'PvA Data'!$E$2:$E$1577,$B19),"")</f>
        <v>0.70512820512820518</v>
      </c>
      <c r="L19" s="42">
        <f t="shared" si="0"/>
        <v>9.36</v>
      </c>
      <c r="M19" s="42">
        <f t="shared" si="1"/>
        <v>8.48</v>
      </c>
      <c r="N19" s="43">
        <f t="shared" si="2"/>
        <v>0.90598290598290609</v>
      </c>
      <c r="P19" s="38">
        <v>46139</v>
      </c>
      <c r="Q19" s="12" t="s">
        <v>81</v>
      </c>
    </row>
    <row r="20" spans="1:17" x14ac:dyDescent="0.75">
      <c r="A20" s="44">
        <v>666516</v>
      </c>
      <c r="B20" s="45" t="s">
        <v>23</v>
      </c>
      <c r="C20" s="46">
        <f>IF($C$6="Total",SUMIFS('PvA Data'!$F$2:$F$1577,'PvA Data'!$B$2:$B$1577,"&gt;="&amp;$C$4,'PvA Data'!$B$2:$B$1577,"&lt;="&amp;$C$5,'PvA Data'!$C$2:$C$1577,"Nahunta",'PvA Data'!$E$2:$E$1577,$B20),IFERROR(AVERAGEIFS('PvA Data'!$F$2:$F$1577,'PvA Data'!$B$2:$B$1577,"&gt;="&amp;$C$4,'PvA Data'!$B$2:$B$1577,"&lt;="&amp;$C$5,'PvA Data'!$C$2:$C$1577,"Nahunta",'PvA Data'!$E$2:$E$1577,$B20),0))</f>
        <v>12.28</v>
      </c>
      <c r="D20" s="46">
        <f>IF($C$6="Total",SUMIFS('PvA Data'!$G$2:$G$1577,'PvA Data'!$B$2:$B$1577,"&gt;="&amp;$C$4,'PvA Data'!$B$2:$B$1577,"&lt;="&amp;$C$5,'PvA Data'!$C$2:$C$1577,"Nahunta",'PvA Data'!$E$2:$E$1577,$B20),IFERROR(AVERAGEIFS('PvA Data'!$G$2:$G$1577,'PvA Data'!$B$2:$B$1577,"&gt;="&amp;$C$4,'PvA Data'!$B$2:$B$1577,"&lt;="&amp;$C$5,'PvA Data'!$C$2:$C$1577,"Nahunta",'PvA Data'!$E$2:$E$1577,$B20),0))</f>
        <v>12.6</v>
      </c>
      <c r="E20" s="47">
        <f>IFERROR(SUMIFS('PvA Data'!$F$2:$F$1577,'PvA Data'!$B$2:$B$1577,"&gt;="&amp;$C$4,'PvA Data'!$B$2:$B$1577,"&lt;="&amp;$C$5,'PvA Data'!$C$2:$C$1577,"Nahunta",'PvA Data'!$E$2:$E$1577,$B20)/SUMIFS('PvA Data'!$F$2:$F$1577,'PvA Data'!$B$2:$B$1577,"&gt;="&amp;$C$4,'PvA Data'!$B$2:$B$1577,"&lt;="&amp;$C$5,'PvA Data'!$E$2:$E$1577,$B20),"")</f>
        <v>0.48422712933753942</v>
      </c>
      <c r="F20" s="46">
        <f>IF($C$6="Total",SUMIFS('PvA Data'!$F$2:$F$1577,'PvA Data'!$B$2:$B$1577,"&gt;="&amp;$C$4,'PvA Data'!$B$2:$B$1577,"&lt;="&amp;$C$5,'PvA Data'!$C$2:$C$1577,"Martin",'PvA Data'!$E$2:$E$1577,$B20),IFERROR(AVERAGEIFS('PvA Data'!$F$2:$F$1577,'PvA Data'!$B$2:$B$1577,"&gt;="&amp;$C$4,'PvA Data'!$B$2:$B$1577,"&lt;="&amp;$C$5,'PvA Data'!$C$2:$C$1577,"Martin",'PvA Data'!$E$2:$E$1577,$B20),0))</f>
        <v>0</v>
      </c>
      <c r="G20" s="46">
        <f>IF($C$6="Total",SUMIFS('PvA Data'!$G$2:$G$1577,'PvA Data'!$B$2:$B$1577,"&gt;="&amp;$C$4,'PvA Data'!$B$2:$B$1577,"&lt;="&amp;$C$5,'PvA Data'!$C$2:$C$1577,"Martin",'PvA Data'!$E$2:$E$1577,$B20),IFERROR(AVERAGEIFS('PvA Data'!$G$2:$G$1577,'PvA Data'!$B$2:$B$1577,"&gt;="&amp;$C$4,'PvA Data'!$B$2:$B$1577,"&lt;="&amp;$C$5,'PvA Data'!$C$2:$C$1577,"Martin",'PvA Data'!$E$2:$E$1577,$B20),0))</f>
        <v>0</v>
      </c>
      <c r="H20" s="47">
        <f>IFERROR(SUMIFS('PvA Data'!$F$2:$F$1577,'PvA Data'!$B$2:$B$1577,"&gt;="&amp;$C$4,'PvA Data'!$B$2:$B$1577,"&lt;="&amp;$C$5,'PvA Data'!$C$2:$C$1577,"Martin",'PvA Data'!$E$2:$E$1577,$B20)/SUMIFS('PvA Data'!$F$2:$F$1577,'PvA Data'!$B$2:$B$1577,"&gt;="&amp;$C$4,'PvA Data'!$B$2:$B$1577,"&lt;="&amp;$C$5,'PvA Data'!$E$2:$E$1577,$B20),"")</f>
        <v>0</v>
      </c>
      <c r="I20" s="46">
        <f>IF($C$6="Total",SUMIFS('PvA Data'!$F$2:$F$1577,'PvA Data'!$B$2:$B$1577,"&gt;="&amp;$C$4,'PvA Data'!$B$2:$B$1577,"&lt;="&amp;$C$5,'PvA Data'!$C$2:$C$1577,"Custom",'PvA Data'!$E$2:$E$1577,$B20),IFERROR(AVERAGEIFS('PvA Data'!$F$2:$F$1577,'PvA Data'!$B$2:$B$1577,"&gt;="&amp;$C$4,'PvA Data'!$B$2:$B$1577,"&lt;="&amp;$C$5,'PvA Data'!$C$2:$C$1577,"Custom",'PvA Data'!$E$2:$E$1577,$B20),0))</f>
        <v>13.08</v>
      </c>
      <c r="J20" s="46">
        <f>IF($C$6="Total",SUMIFS('PvA Data'!$G$2:$G$1577,'PvA Data'!$B$2:$B$1577,"&gt;="&amp;$C$4,'PvA Data'!$B$2:$B$1577,"&lt;="&amp;$C$5,'PvA Data'!$C$2:$C$1577,"Custom",'PvA Data'!$E$2:$E$1577,$B20),IFERROR(AVERAGEIFS('PvA Data'!$G$2:$G$1577,'PvA Data'!$B$2:$B$1577,"&gt;="&amp;$C$4,'PvA Data'!$B$2:$B$1577,"&lt;="&amp;$C$5,'PvA Data'!$C$2:$C$1577,"Custom",'PvA Data'!$E$2:$E$1577,$B20),0))</f>
        <v>11.48</v>
      </c>
      <c r="K20" s="47">
        <f>IFERROR(SUMIFS('PvA Data'!$F$2:$F$1577,'PvA Data'!$B$2:$B$1577,"&gt;="&amp;$C$4,'PvA Data'!$B$2:$B$1577,"&lt;="&amp;$C$5,'PvA Data'!$C$2:$C$1577,"Custom",'PvA Data'!$E$2:$E$1577,$B20)/SUMIFS('PvA Data'!$F$2:$F$1577,'PvA Data'!$B$2:$B$1577,"&gt;="&amp;$C$4,'PvA Data'!$B$2:$B$1577,"&lt;="&amp;$C$5,'PvA Data'!$E$2:$E$1577,$B20),"")</f>
        <v>0.51577287066246058</v>
      </c>
      <c r="L20" s="48">
        <f t="shared" si="0"/>
        <v>25.36</v>
      </c>
      <c r="M20" s="48">
        <f t="shared" si="1"/>
        <v>24.08</v>
      </c>
      <c r="N20" s="49">
        <f t="shared" si="2"/>
        <v>0.94952681388012616</v>
      </c>
      <c r="P20" s="38">
        <v>46146</v>
      </c>
      <c r="Q20" s="12" t="s">
        <v>82</v>
      </c>
    </row>
    <row r="21" spans="1:17" x14ac:dyDescent="0.75">
      <c r="A21" s="17">
        <v>666517</v>
      </c>
      <c r="B21" s="29" t="s">
        <v>25</v>
      </c>
      <c r="C21" s="32">
        <f>IF($C$6="Total",SUMIFS('PvA Data'!$F$2:$F$1577,'PvA Data'!$B$2:$B$1577,"&gt;="&amp;$C$4,'PvA Data'!$B$2:$B$1577,"&lt;="&amp;$C$5,'PvA Data'!$C$2:$C$1577,"Nahunta",'PvA Data'!$E$2:$E$1577,$B21),IFERROR(AVERAGEIFS('PvA Data'!$F$2:$F$1577,'PvA Data'!$B$2:$B$1577,"&gt;="&amp;$C$4,'PvA Data'!$B$2:$B$1577,"&lt;="&amp;$C$5,'PvA Data'!$C$2:$C$1577,"Nahunta",'PvA Data'!$E$2:$E$1577,$B21),0))</f>
        <v>17.920000000000002</v>
      </c>
      <c r="D21" s="32">
        <f>IF($C$6="Total",SUMIFS('PvA Data'!$G$2:$G$1577,'PvA Data'!$B$2:$B$1577,"&gt;="&amp;$C$4,'PvA Data'!$B$2:$B$1577,"&lt;="&amp;$C$5,'PvA Data'!$C$2:$C$1577,"Nahunta",'PvA Data'!$E$2:$E$1577,$B21),IFERROR(AVERAGEIFS('PvA Data'!$G$2:$G$1577,'PvA Data'!$B$2:$B$1577,"&gt;="&amp;$C$4,'PvA Data'!$B$2:$B$1577,"&lt;="&amp;$C$5,'PvA Data'!$C$2:$C$1577,"Nahunta",'PvA Data'!$E$2:$E$1577,$B21),0))</f>
        <v>18.32</v>
      </c>
      <c r="E21" s="36">
        <f>IFERROR(SUMIFS('PvA Data'!$F$2:$F$1577,'PvA Data'!$B$2:$B$1577,"&gt;="&amp;$C$4,'PvA Data'!$B$2:$B$1577,"&lt;="&amp;$C$5,'PvA Data'!$C$2:$C$1577,"Nahunta",'PvA Data'!$E$2:$E$1577,$B21)/SUMIFS('PvA Data'!$F$2:$F$1577,'PvA Data'!$B$2:$B$1577,"&gt;="&amp;$C$4,'PvA Data'!$B$2:$B$1577,"&lt;="&amp;$C$5,'PvA Data'!$E$2:$E$1577,$B21),"")</f>
        <v>0.69135802469135799</v>
      </c>
      <c r="F21" s="32">
        <f>IF($C$6="Total",SUMIFS('PvA Data'!$F$2:$F$1577,'PvA Data'!$B$2:$B$1577,"&gt;="&amp;$C$4,'PvA Data'!$B$2:$B$1577,"&lt;="&amp;$C$5,'PvA Data'!$C$2:$C$1577,"Martin",'PvA Data'!$E$2:$E$1577,$B21),IFERROR(AVERAGEIFS('PvA Data'!$F$2:$F$1577,'PvA Data'!$B$2:$B$1577,"&gt;="&amp;$C$4,'PvA Data'!$B$2:$B$1577,"&lt;="&amp;$C$5,'PvA Data'!$C$2:$C$1577,"Martin",'PvA Data'!$E$2:$E$1577,$B21),0))</f>
        <v>0</v>
      </c>
      <c r="G21" s="32">
        <f>IF($C$6="Total",SUMIFS('PvA Data'!$G$2:$G$1577,'PvA Data'!$B$2:$B$1577,"&gt;="&amp;$C$4,'PvA Data'!$B$2:$B$1577,"&lt;="&amp;$C$5,'PvA Data'!$C$2:$C$1577,"Martin",'PvA Data'!$E$2:$E$1577,$B21),IFERROR(AVERAGEIFS('PvA Data'!$G$2:$G$1577,'PvA Data'!$B$2:$B$1577,"&gt;="&amp;$C$4,'PvA Data'!$B$2:$B$1577,"&lt;="&amp;$C$5,'PvA Data'!$C$2:$C$1577,"Martin",'PvA Data'!$E$2:$E$1577,$B21),0))</f>
        <v>0</v>
      </c>
      <c r="H21" s="36">
        <f>IFERROR(SUMIFS('PvA Data'!$F$2:$F$1577,'PvA Data'!$B$2:$B$1577,"&gt;="&amp;$C$4,'PvA Data'!$B$2:$B$1577,"&lt;="&amp;$C$5,'PvA Data'!$C$2:$C$1577,"Martin",'PvA Data'!$E$2:$E$1577,$B21)/SUMIFS('PvA Data'!$F$2:$F$1577,'PvA Data'!$B$2:$B$1577,"&gt;="&amp;$C$4,'PvA Data'!$B$2:$B$1577,"&lt;="&amp;$C$5,'PvA Data'!$E$2:$E$1577,$B21),"")</f>
        <v>0</v>
      </c>
      <c r="I21" s="32">
        <f>IF($C$6="Total",SUMIFS('PvA Data'!$F$2:$F$1577,'PvA Data'!$B$2:$B$1577,"&gt;="&amp;$C$4,'PvA Data'!$B$2:$B$1577,"&lt;="&amp;$C$5,'PvA Data'!$C$2:$C$1577,"Custom",'PvA Data'!$E$2:$E$1577,$B21),IFERROR(AVERAGEIFS('PvA Data'!$F$2:$F$1577,'PvA Data'!$B$2:$B$1577,"&gt;="&amp;$C$4,'PvA Data'!$B$2:$B$1577,"&lt;="&amp;$C$5,'PvA Data'!$C$2:$C$1577,"Custom",'PvA Data'!$E$2:$E$1577,$B21),0))</f>
        <v>8</v>
      </c>
      <c r="J21" s="32">
        <f>IF($C$6="Total",SUMIFS('PvA Data'!$G$2:$G$1577,'PvA Data'!$B$2:$B$1577,"&gt;="&amp;$C$4,'PvA Data'!$B$2:$B$1577,"&lt;="&amp;$C$5,'PvA Data'!$C$2:$C$1577,"Custom",'PvA Data'!$E$2:$E$1577,$B21),IFERROR(AVERAGEIFS('PvA Data'!$G$2:$G$1577,'PvA Data'!$B$2:$B$1577,"&gt;="&amp;$C$4,'PvA Data'!$B$2:$B$1577,"&lt;="&amp;$C$5,'PvA Data'!$C$2:$C$1577,"Custom",'PvA Data'!$E$2:$E$1577,$B21),0))</f>
        <v>7.04</v>
      </c>
      <c r="K21" s="36">
        <f>IFERROR(SUMIFS('PvA Data'!$F$2:$F$1577,'PvA Data'!$B$2:$B$1577,"&gt;="&amp;$C$4,'PvA Data'!$B$2:$B$1577,"&lt;="&amp;$C$5,'PvA Data'!$C$2:$C$1577,"Custom",'PvA Data'!$E$2:$E$1577,$B21)/SUMIFS('PvA Data'!$F$2:$F$1577,'PvA Data'!$B$2:$B$1577,"&gt;="&amp;$C$4,'PvA Data'!$B$2:$B$1577,"&lt;="&amp;$C$5,'PvA Data'!$E$2:$E$1577,$B21),"")</f>
        <v>0.30864197530864196</v>
      </c>
      <c r="L21" s="42">
        <f t="shared" si="0"/>
        <v>25.92</v>
      </c>
      <c r="M21" s="42">
        <f t="shared" si="1"/>
        <v>25.36</v>
      </c>
      <c r="N21" s="43">
        <f t="shared" si="2"/>
        <v>0.97839506172839497</v>
      </c>
      <c r="P21" s="38">
        <v>46153</v>
      </c>
      <c r="Q21" s="12" t="s">
        <v>83</v>
      </c>
    </row>
    <row r="22" spans="1:17" x14ac:dyDescent="0.75">
      <c r="A22" s="44">
        <v>666518</v>
      </c>
      <c r="B22" s="45" t="s">
        <v>27</v>
      </c>
      <c r="C22" s="46">
        <f>IF($C$6="Total",SUMIFS('PvA Data'!$F$2:$F$1577,'PvA Data'!$B$2:$B$1577,"&gt;="&amp;$C$4,'PvA Data'!$B$2:$B$1577,"&lt;="&amp;$C$5,'PvA Data'!$C$2:$C$1577,"Nahunta",'PvA Data'!$E$2:$E$1577,$B22),IFERROR(AVERAGEIFS('PvA Data'!$F$2:$F$1577,'PvA Data'!$B$2:$B$1577,"&gt;="&amp;$C$4,'PvA Data'!$B$2:$B$1577,"&lt;="&amp;$C$5,'PvA Data'!$C$2:$C$1577,"Nahunta",'PvA Data'!$E$2:$E$1577,$B22),0))</f>
        <v>0</v>
      </c>
      <c r="D22" s="46">
        <f>IF($C$6="Total",SUMIFS('PvA Data'!$G$2:$G$1577,'PvA Data'!$B$2:$B$1577,"&gt;="&amp;$C$4,'PvA Data'!$B$2:$B$1577,"&lt;="&amp;$C$5,'PvA Data'!$C$2:$C$1577,"Nahunta",'PvA Data'!$E$2:$E$1577,$B22),IFERROR(AVERAGEIFS('PvA Data'!$G$2:$G$1577,'PvA Data'!$B$2:$B$1577,"&gt;="&amp;$C$4,'PvA Data'!$B$2:$B$1577,"&lt;="&amp;$C$5,'PvA Data'!$C$2:$C$1577,"Nahunta",'PvA Data'!$E$2:$E$1577,$B22),0))</f>
        <v>0</v>
      </c>
      <c r="E22" s="47" t="str">
        <f>IFERROR(SUMIFS('PvA Data'!$F$2:$F$1577,'PvA Data'!$B$2:$B$1577,"&gt;="&amp;$C$4,'PvA Data'!$B$2:$B$1577,"&lt;="&amp;$C$5,'PvA Data'!$C$2:$C$1577,"Nahunta",'PvA Data'!$E$2:$E$1577,$B22)/SUMIFS('PvA Data'!$F$2:$F$1577,'PvA Data'!$B$2:$B$1577,"&gt;="&amp;$C$4,'PvA Data'!$B$2:$B$1577,"&lt;="&amp;$C$5,'PvA Data'!$E$2:$E$1577,$B22),"")</f>
        <v/>
      </c>
      <c r="F22" s="46">
        <f>IF($C$6="Total",SUMIFS('PvA Data'!$F$2:$F$1577,'PvA Data'!$B$2:$B$1577,"&gt;="&amp;$C$4,'PvA Data'!$B$2:$B$1577,"&lt;="&amp;$C$5,'PvA Data'!$C$2:$C$1577,"Martin",'PvA Data'!$E$2:$E$1577,$B22),IFERROR(AVERAGEIFS('PvA Data'!$F$2:$F$1577,'PvA Data'!$B$2:$B$1577,"&gt;="&amp;$C$4,'PvA Data'!$B$2:$B$1577,"&lt;="&amp;$C$5,'PvA Data'!$C$2:$C$1577,"Martin",'PvA Data'!$E$2:$E$1577,$B22),0))</f>
        <v>0</v>
      </c>
      <c r="G22" s="46">
        <f>IF($C$6="Total",SUMIFS('PvA Data'!$G$2:$G$1577,'PvA Data'!$B$2:$B$1577,"&gt;="&amp;$C$4,'PvA Data'!$B$2:$B$1577,"&lt;="&amp;$C$5,'PvA Data'!$C$2:$C$1577,"Martin",'PvA Data'!$E$2:$E$1577,$B22),IFERROR(AVERAGEIFS('PvA Data'!$G$2:$G$1577,'PvA Data'!$B$2:$B$1577,"&gt;="&amp;$C$4,'PvA Data'!$B$2:$B$1577,"&lt;="&amp;$C$5,'PvA Data'!$C$2:$C$1577,"Martin",'PvA Data'!$E$2:$E$1577,$B22),0))</f>
        <v>0</v>
      </c>
      <c r="H22" s="47" t="str">
        <f>IFERROR(SUMIFS('PvA Data'!$F$2:$F$1577,'PvA Data'!$B$2:$B$1577,"&gt;="&amp;$C$4,'PvA Data'!$B$2:$B$1577,"&lt;="&amp;$C$5,'PvA Data'!$C$2:$C$1577,"Martin",'PvA Data'!$E$2:$E$1577,$B22)/SUMIFS('PvA Data'!$F$2:$F$1577,'PvA Data'!$B$2:$B$1577,"&gt;="&amp;$C$4,'PvA Data'!$B$2:$B$1577,"&lt;="&amp;$C$5,'PvA Data'!$E$2:$E$1577,$B22),"")</f>
        <v/>
      </c>
      <c r="I22" s="46">
        <f>IF($C$6="Total",SUMIFS('PvA Data'!$F$2:$F$1577,'PvA Data'!$B$2:$B$1577,"&gt;="&amp;$C$4,'PvA Data'!$B$2:$B$1577,"&lt;="&amp;$C$5,'PvA Data'!$C$2:$C$1577,"Custom",'PvA Data'!$E$2:$E$1577,$B22),IFERROR(AVERAGEIFS('PvA Data'!$F$2:$F$1577,'PvA Data'!$B$2:$B$1577,"&gt;="&amp;$C$4,'PvA Data'!$B$2:$B$1577,"&lt;="&amp;$C$5,'PvA Data'!$C$2:$C$1577,"Custom",'PvA Data'!$E$2:$E$1577,$B22),0))</f>
        <v>0</v>
      </c>
      <c r="J22" s="46">
        <f>IF($C$6="Total",SUMIFS('PvA Data'!$G$2:$G$1577,'PvA Data'!$B$2:$B$1577,"&gt;="&amp;$C$4,'PvA Data'!$B$2:$B$1577,"&lt;="&amp;$C$5,'PvA Data'!$C$2:$C$1577,"Custom",'PvA Data'!$E$2:$E$1577,$B22),IFERROR(AVERAGEIFS('PvA Data'!$G$2:$G$1577,'PvA Data'!$B$2:$B$1577,"&gt;="&amp;$C$4,'PvA Data'!$B$2:$B$1577,"&lt;="&amp;$C$5,'PvA Data'!$C$2:$C$1577,"Custom",'PvA Data'!$E$2:$E$1577,$B22),0))</f>
        <v>0</v>
      </c>
      <c r="K22" s="47" t="str">
        <f>IFERROR(SUMIFS('PvA Data'!$F$2:$F$1577,'PvA Data'!$B$2:$B$1577,"&gt;="&amp;$C$4,'PvA Data'!$B$2:$B$1577,"&lt;="&amp;$C$5,'PvA Data'!$C$2:$C$1577,"Custom",'PvA Data'!$E$2:$E$1577,$B22)/SUMIFS('PvA Data'!$F$2:$F$1577,'PvA Data'!$B$2:$B$1577,"&gt;="&amp;$C$4,'PvA Data'!$B$2:$B$1577,"&lt;="&amp;$C$5,'PvA Data'!$E$2:$E$1577,$B22),"")</f>
        <v/>
      </c>
      <c r="L22" s="48">
        <f t="shared" si="0"/>
        <v>0</v>
      </c>
      <c r="M22" s="48">
        <f t="shared" si="1"/>
        <v>0</v>
      </c>
      <c r="N22" s="49" t="str">
        <f t="shared" si="2"/>
        <v/>
      </c>
      <c r="P22" s="38">
        <v>46160</v>
      </c>
      <c r="Q22" s="12" t="s">
        <v>84</v>
      </c>
    </row>
    <row r="23" spans="1:17" x14ac:dyDescent="0.75">
      <c r="A23" s="17">
        <v>666519</v>
      </c>
      <c r="B23" s="29" t="s">
        <v>29</v>
      </c>
      <c r="C23" s="32">
        <f>IF($C$6="Total",SUMIFS('PvA Data'!$F$2:$F$1577,'PvA Data'!$B$2:$B$1577,"&gt;="&amp;$C$4,'PvA Data'!$B$2:$B$1577,"&lt;="&amp;$C$5,'PvA Data'!$C$2:$C$1577,"Nahunta",'PvA Data'!$E$2:$E$1577,$B23),IFERROR(AVERAGEIFS('PvA Data'!$F$2:$F$1577,'PvA Data'!$B$2:$B$1577,"&gt;="&amp;$C$4,'PvA Data'!$B$2:$B$1577,"&lt;="&amp;$C$5,'PvA Data'!$C$2:$C$1577,"Nahunta",'PvA Data'!$E$2:$E$1577,$B23),0))</f>
        <v>14.36</v>
      </c>
      <c r="D23" s="32">
        <f>IF($C$6="Total",SUMIFS('PvA Data'!$G$2:$G$1577,'PvA Data'!$B$2:$B$1577,"&gt;="&amp;$C$4,'PvA Data'!$B$2:$B$1577,"&lt;="&amp;$C$5,'PvA Data'!$C$2:$C$1577,"Nahunta",'PvA Data'!$E$2:$E$1577,$B23),IFERROR(AVERAGEIFS('PvA Data'!$G$2:$G$1577,'PvA Data'!$B$2:$B$1577,"&gt;="&amp;$C$4,'PvA Data'!$B$2:$B$1577,"&lt;="&amp;$C$5,'PvA Data'!$C$2:$C$1577,"Nahunta",'PvA Data'!$E$2:$E$1577,$B23),0))</f>
        <v>14.8</v>
      </c>
      <c r="E23" s="36">
        <f>IFERROR(SUMIFS('PvA Data'!$F$2:$F$1577,'PvA Data'!$B$2:$B$1577,"&gt;="&amp;$C$4,'PvA Data'!$B$2:$B$1577,"&lt;="&amp;$C$5,'PvA Data'!$C$2:$C$1577,"Nahunta",'PvA Data'!$E$2:$E$1577,$B23)/SUMIFS('PvA Data'!$F$2:$F$1577,'PvA Data'!$B$2:$B$1577,"&gt;="&amp;$C$4,'PvA Data'!$B$2:$B$1577,"&lt;="&amp;$C$5,'PvA Data'!$E$2:$E$1577,$B23),"")</f>
        <v>0.5</v>
      </c>
      <c r="F23" s="32">
        <f>IF($C$6="Total",SUMIFS('PvA Data'!$F$2:$F$1577,'PvA Data'!$B$2:$B$1577,"&gt;="&amp;$C$4,'PvA Data'!$B$2:$B$1577,"&lt;="&amp;$C$5,'PvA Data'!$C$2:$C$1577,"Martin",'PvA Data'!$E$2:$E$1577,$B23),IFERROR(AVERAGEIFS('PvA Data'!$F$2:$F$1577,'PvA Data'!$B$2:$B$1577,"&gt;="&amp;$C$4,'PvA Data'!$B$2:$B$1577,"&lt;="&amp;$C$5,'PvA Data'!$C$2:$C$1577,"Martin",'PvA Data'!$E$2:$E$1577,$B23),0))</f>
        <v>0</v>
      </c>
      <c r="G23" s="32">
        <f>IF($C$6="Total",SUMIFS('PvA Data'!$G$2:$G$1577,'PvA Data'!$B$2:$B$1577,"&gt;="&amp;$C$4,'PvA Data'!$B$2:$B$1577,"&lt;="&amp;$C$5,'PvA Data'!$C$2:$C$1577,"Martin",'PvA Data'!$E$2:$E$1577,$B23),IFERROR(AVERAGEIFS('PvA Data'!$G$2:$G$1577,'PvA Data'!$B$2:$B$1577,"&gt;="&amp;$C$4,'PvA Data'!$B$2:$B$1577,"&lt;="&amp;$C$5,'PvA Data'!$C$2:$C$1577,"Martin",'PvA Data'!$E$2:$E$1577,$B23),0))</f>
        <v>0</v>
      </c>
      <c r="H23" s="36">
        <f>IFERROR(SUMIFS('PvA Data'!$F$2:$F$1577,'PvA Data'!$B$2:$B$1577,"&gt;="&amp;$C$4,'PvA Data'!$B$2:$B$1577,"&lt;="&amp;$C$5,'PvA Data'!$C$2:$C$1577,"Martin",'PvA Data'!$E$2:$E$1577,$B23)/SUMIFS('PvA Data'!$F$2:$F$1577,'PvA Data'!$B$2:$B$1577,"&gt;="&amp;$C$4,'PvA Data'!$B$2:$B$1577,"&lt;="&amp;$C$5,'PvA Data'!$E$2:$E$1577,$B23),"")</f>
        <v>0</v>
      </c>
      <c r="I23" s="32">
        <f>IF($C$6="Total",SUMIFS('PvA Data'!$F$2:$F$1577,'PvA Data'!$B$2:$B$1577,"&gt;="&amp;$C$4,'PvA Data'!$B$2:$B$1577,"&lt;="&amp;$C$5,'PvA Data'!$C$2:$C$1577,"Custom",'PvA Data'!$E$2:$E$1577,$B23),IFERROR(AVERAGEIFS('PvA Data'!$F$2:$F$1577,'PvA Data'!$B$2:$B$1577,"&gt;="&amp;$C$4,'PvA Data'!$B$2:$B$1577,"&lt;="&amp;$C$5,'PvA Data'!$C$2:$C$1577,"Custom",'PvA Data'!$E$2:$E$1577,$B23),0))</f>
        <v>14.36</v>
      </c>
      <c r="J23" s="32">
        <f>IF($C$6="Total",SUMIFS('PvA Data'!$G$2:$G$1577,'PvA Data'!$B$2:$B$1577,"&gt;="&amp;$C$4,'PvA Data'!$B$2:$B$1577,"&lt;="&amp;$C$5,'PvA Data'!$C$2:$C$1577,"Custom",'PvA Data'!$E$2:$E$1577,$B23),IFERROR(AVERAGEIFS('PvA Data'!$G$2:$G$1577,'PvA Data'!$B$2:$B$1577,"&gt;="&amp;$C$4,'PvA Data'!$B$2:$B$1577,"&lt;="&amp;$C$5,'PvA Data'!$C$2:$C$1577,"Custom",'PvA Data'!$E$2:$E$1577,$B23),0))</f>
        <v>12.48</v>
      </c>
      <c r="K23" s="36">
        <f>IFERROR(SUMIFS('PvA Data'!$F$2:$F$1577,'PvA Data'!$B$2:$B$1577,"&gt;="&amp;$C$4,'PvA Data'!$B$2:$B$1577,"&lt;="&amp;$C$5,'PvA Data'!$C$2:$C$1577,"Custom",'PvA Data'!$E$2:$E$1577,$B23)/SUMIFS('PvA Data'!$F$2:$F$1577,'PvA Data'!$B$2:$B$1577,"&gt;="&amp;$C$4,'PvA Data'!$B$2:$B$1577,"&lt;="&amp;$C$5,'PvA Data'!$E$2:$E$1577,$B23),"")</f>
        <v>0.5</v>
      </c>
      <c r="L23" s="42">
        <f t="shared" si="0"/>
        <v>28.72</v>
      </c>
      <c r="M23" s="42">
        <f t="shared" si="1"/>
        <v>27.28</v>
      </c>
      <c r="N23" s="43">
        <f t="shared" si="2"/>
        <v>0.94986072423398338</v>
      </c>
      <c r="P23" s="38">
        <v>46167</v>
      </c>
      <c r="Q23" s="12" t="s">
        <v>85</v>
      </c>
    </row>
    <row r="24" spans="1:17" x14ac:dyDescent="0.75">
      <c r="A24" s="44">
        <v>666521</v>
      </c>
      <c r="B24" s="45" t="s">
        <v>31</v>
      </c>
      <c r="C24" s="46">
        <f>IF($C$6="Total",SUMIFS('PvA Data'!$F$2:$F$1577,'PvA Data'!$B$2:$B$1577,"&gt;="&amp;$C$4,'PvA Data'!$B$2:$B$1577,"&lt;="&amp;$C$5,'PvA Data'!$C$2:$C$1577,"Nahunta",'PvA Data'!$E$2:$E$1577,$B24),IFERROR(AVERAGEIFS('PvA Data'!$F$2:$F$1577,'PvA Data'!$B$2:$B$1577,"&gt;="&amp;$C$4,'PvA Data'!$B$2:$B$1577,"&lt;="&amp;$C$5,'PvA Data'!$C$2:$C$1577,"Nahunta",'PvA Data'!$E$2:$E$1577,$B24),0))</f>
        <v>24.4</v>
      </c>
      <c r="D24" s="46">
        <f>IF($C$6="Total",SUMIFS('PvA Data'!$G$2:$G$1577,'PvA Data'!$B$2:$B$1577,"&gt;="&amp;$C$4,'PvA Data'!$B$2:$B$1577,"&lt;="&amp;$C$5,'PvA Data'!$C$2:$C$1577,"Nahunta",'PvA Data'!$E$2:$E$1577,$B24),IFERROR(AVERAGEIFS('PvA Data'!$G$2:$G$1577,'PvA Data'!$B$2:$B$1577,"&gt;="&amp;$C$4,'PvA Data'!$B$2:$B$1577,"&lt;="&amp;$C$5,'PvA Data'!$C$2:$C$1577,"Nahunta",'PvA Data'!$E$2:$E$1577,$B24),0))</f>
        <v>21.96</v>
      </c>
      <c r="E24" s="47">
        <f>IFERROR(SUMIFS('PvA Data'!$F$2:$F$1577,'PvA Data'!$B$2:$B$1577,"&gt;="&amp;$C$4,'PvA Data'!$B$2:$B$1577,"&lt;="&amp;$C$5,'PvA Data'!$C$2:$C$1577,"Nahunta",'PvA Data'!$E$2:$E$1577,$B24)/SUMIFS('PvA Data'!$F$2:$F$1577,'PvA Data'!$B$2:$B$1577,"&gt;="&amp;$C$4,'PvA Data'!$B$2:$B$1577,"&lt;="&amp;$C$5,'PvA Data'!$E$2:$E$1577,$B24),"")</f>
        <v>1</v>
      </c>
      <c r="F24" s="46">
        <f>IF($C$6="Total",SUMIFS('PvA Data'!$F$2:$F$1577,'PvA Data'!$B$2:$B$1577,"&gt;="&amp;$C$4,'PvA Data'!$B$2:$B$1577,"&lt;="&amp;$C$5,'PvA Data'!$C$2:$C$1577,"Martin",'PvA Data'!$E$2:$E$1577,$B24),IFERROR(AVERAGEIFS('PvA Data'!$F$2:$F$1577,'PvA Data'!$B$2:$B$1577,"&gt;="&amp;$C$4,'PvA Data'!$B$2:$B$1577,"&lt;="&amp;$C$5,'PvA Data'!$C$2:$C$1577,"Martin",'PvA Data'!$E$2:$E$1577,$B24),0))</f>
        <v>0</v>
      </c>
      <c r="G24" s="46">
        <f>IF($C$6="Total",SUMIFS('PvA Data'!$G$2:$G$1577,'PvA Data'!$B$2:$B$1577,"&gt;="&amp;$C$4,'PvA Data'!$B$2:$B$1577,"&lt;="&amp;$C$5,'PvA Data'!$C$2:$C$1577,"Martin",'PvA Data'!$E$2:$E$1577,$B24),IFERROR(AVERAGEIFS('PvA Data'!$G$2:$G$1577,'PvA Data'!$B$2:$B$1577,"&gt;="&amp;$C$4,'PvA Data'!$B$2:$B$1577,"&lt;="&amp;$C$5,'PvA Data'!$C$2:$C$1577,"Martin",'PvA Data'!$E$2:$E$1577,$B24),0))</f>
        <v>0</v>
      </c>
      <c r="H24" s="47">
        <f>IFERROR(SUMIFS('PvA Data'!$F$2:$F$1577,'PvA Data'!$B$2:$B$1577,"&gt;="&amp;$C$4,'PvA Data'!$B$2:$B$1577,"&lt;="&amp;$C$5,'PvA Data'!$C$2:$C$1577,"Martin",'PvA Data'!$E$2:$E$1577,$B24)/SUMIFS('PvA Data'!$F$2:$F$1577,'PvA Data'!$B$2:$B$1577,"&gt;="&amp;$C$4,'PvA Data'!$B$2:$B$1577,"&lt;="&amp;$C$5,'PvA Data'!$E$2:$E$1577,$B24),"")</f>
        <v>0</v>
      </c>
      <c r="I24" s="46">
        <f>IF($C$6="Total",SUMIFS('PvA Data'!$F$2:$F$1577,'PvA Data'!$B$2:$B$1577,"&gt;="&amp;$C$4,'PvA Data'!$B$2:$B$1577,"&lt;="&amp;$C$5,'PvA Data'!$C$2:$C$1577,"Custom",'PvA Data'!$E$2:$E$1577,$B24),IFERROR(AVERAGEIFS('PvA Data'!$F$2:$F$1577,'PvA Data'!$B$2:$B$1577,"&gt;="&amp;$C$4,'PvA Data'!$B$2:$B$1577,"&lt;="&amp;$C$5,'PvA Data'!$C$2:$C$1577,"Custom",'PvA Data'!$E$2:$E$1577,$B24),0))</f>
        <v>0</v>
      </c>
      <c r="J24" s="46">
        <f>IF($C$6="Total",SUMIFS('PvA Data'!$G$2:$G$1577,'PvA Data'!$B$2:$B$1577,"&gt;="&amp;$C$4,'PvA Data'!$B$2:$B$1577,"&lt;="&amp;$C$5,'PvA Data'!$C$2:$C$1577,"Custom",'PvA Data'!$E$2:$E$1577,$B24),IFERROR(AVERAGEIFS('PvA Data'!$G$2:$G$1577,'PvA Data'!$B$2:$B$1577,"&gt;="&amp;$C$4,'PvA Data'!$B$2:$B$1577,"&lt;="&amp;$C$5,'PvA Data'!$C$2:$C$1577,"Custom",'PvA Data'!$E$2:$E$1577,$B24),0))</f>
        <v>0</v>
      </c>
      <c r="K24" s="47">
        <f>IFERROR(SUMIFS('PvA Data'!$F$2:$F$1577,'PvA Data'!$B$2:$B$1577,"&gt;="&amp;$C$4,'PvA Data'!$B$2:$B$1577,"&lt;="&amp;$C$5,'PvA Data'!$C$2:$C$1577,"Custom",'PvA Data'!$E$2:$E$1577,$B24)/SUMIFS('PvA Data'!$F$2:$F$1577,'PvA Data'!$B$2:$B$1577,"&gt;="&amp;$C$4,'PvA Data'!$B$2:$B$1577,"&lt;="&amp;$C$5,'PvA Data'!$E$2:$E$1577,$B24),"")</f>
        <v>0</v>
      </c>
      <c r="L24" s="48">
        <f t="shared" si="0"/>
        <v>24.4</v>
      </c>
      <c r="M24" s="48">
        <f t="shared" si="1"/>
        <v>21.96</v>
      </c>
      <c r="N24" s="49">
        <f t="shared" si="2"/>
        <v>0.90000000000000013</v>
      </c>
      <c r="P24" s="38">
        <v>46174</v>
      </c>
      <c r="Q24" s="12" t="s">
        <v>86</v>
      </c>
    </row>
    <row r="25" spans="1:17" x14ac:dyDescent="0.75">
      <c r="A25" s="17">
        <v>666522</v>
      </c>
      <c r="B25" s="29" t="s">
        <v>33</v>
      </c>
      <c r="C25" s="32">
        <f>IF($C$6="Total",SUMIFS('PvA Data'!$F$2:$F$1577,'PvA Data'!$B$2:$B$1577,"&gt;="&amp;$C$4,'PvA Data'!$B$2:$B$1577,"&lt;="&amp;$C$5,'PvA Data'!$C$2:$C$1577,"Nahunta",'PvA Data'!$E$2:$E$1577,$B25),IFERROR(AVERAGEIFS('PvA Data'!$F$2:$F$1577,'PvA Data'!$B$2:$B$1577,"&gt;="&amp;$C$4,'PvA Data'!$B$2:$B$1577,"&lt;="&amp;$C$5,'PvA Data'!$C$2:$C$1577,"Nahunta",'PvA Data'!$E$2:$E$1577,$B25),0))</f>
        <v>73.599999999999994</v>
      </c>
      <c r="D25" s="32">
        <f>IF($C$6="Total",SUMIFS('PvA Data'!$G$2:$G$1577,'PvA Data'!$B$2:$B$1577,"&gt;="&amp;$C$4,'PvA Data'!$B$2:$B$1577,"&lt;="&amp;$C$5,'PvA Data'!$C$2:$C$1577,"Nahunta",'PvA Data'!$E$2:$E$1577,$B25),IFERROR(AVERAGEIFS('PvA Data'!$G$2:$G$1577,'PvA Data'!$B$2:$B$1577,"&gt;="&amp;$C$4,'PvA Data'!$B$2:$B$1577,"&lt;="&amp;$C$5,'PvA Data'!$C$2:$C$1577,"Nahunta",'PvA Data'!$E$2:$E$1577,$B25),0))</f>
        <v>72.2</v>
      </c>
      <c r="E25" s="36">
        <f>IFERROR(SUMIFS('PvA Data'!$F$2:$F$1577,'PvA Data'!$B$2:$B$1577,"&gt;="&amp;$C$4,'PvA Data'!$B$2:$B$1577,"&lt;="&amp;$C$5,'PvA Data'!$C$2:$C$1577,"Nahunta",'PvA Data'!$E$2:$E$1577,$B25)/SUMIFS('PvA Data'!$F$2:$F$1577,'PvA Data'!$B$2:$B$1577,"&gt;="&amp;$C$4,'PvA Data'!$B$2:$B$1577,"&lt;="&amp;$C$5,'PvA Data'!$E$2:$E$1577,$B25),"")</f>
        <v>0.39107332624867164</v>
      </c>
      <c r="F25" s="32">
        <f>IF($C$6="Total",SUMIFS('PvA Data'!$F$2:$F$1577,'PvA Data'!$B$2:$B$1577,"&gt;="&amp;$C$4,'PvA Data'!$B$2:$B$1577,"&lt;="&amp;$C$5,'PvA Data'!$C$2:$C$1577,"Martin",'PvA Data'!$E$2:$E$1577,$B25),IFERROR(AVERAGEIFS('PvA Data'!$F$2:$F$1577,'PvA Data'!$B$2:$B$1577,"&gt;="&amp;$C$4,'PvA Data'!$B$2:$B$1577,"&lt;="&amp;$C$5,'PvA Data'!$C$2:$C$1577,"Martin",'PvA Data'!$E$2:$E$1577,$B25),0))</f>
        <v>66.3</v>
      </c>
      <c r="G25" s="32">
        <f>IF($C$6="Total",SUMIFS('PvA Data'!$G$2:$G$1577,'PvA Data'!$B$2:$B$1577,"&gt;="&amp;$C$4,'PvA Data'!$B$2:$B$1577,"&lt;="&amp;$C$5,'PvA Data'!$C$2:$C$1577,"Martin",'PvA Data'!$E$2:$E$1577,$B25),IFERROR(AVERAGEIFS('PvA Data'!$G$2:$G$1577,'PvA Data'!$B$2:$B$1577,"&gt;="&amp;$C$4,'PvA Data'!$B$2:$B$1577,"&lt;="&amp;$C$5,'PvA Data'!$C$2:$C$1577,"Martin",'PvA Data'!$E$2:$E$1577,$B25),0))</f>
        <v>65.2</v>
      </c>
      <c r="H25" s="36">
        <f>IFERROR(SUMIFS('PvA Data'!$F$2:$F$1577,'PvA Data'!$B$2:$B$1577,"&gt;="&amp;$C$4,'PvA Data'!$B$2:$B$1577,"&lt;="&amp;$C$5,'PvA Data'!$C$2:$C$1577,"Martin",'PvA Data'!$E$2:$E$1577,$B25)/SUMIFS('PvA Data'!$F$2:$F$1577,'PvA Data'!$B$2:$B$1577,"&gt;="&amp;$C$4,'PvA Data'!$B$2:$B$1577,"&lt;="&amp;$C$5,'PvA Data'!$E$2:$E$1577,$B25),"")</f>
        <v>0.35228480340063761</v>
      </c>
      <c r="I25" s="32">
        <f>IF($C$6="Total",SUMIFS('PvA Data'!$F$2:$F$1577,'PvA Data'!$B$2:$B$1577,"&gt;="&amp;$C$4,'PvA Data'!$B$2:$B$1577,"&lt;="&amp;$C$5,'PvA Data'!$C$2:$C$1577,"Custom",'PvA Data'!$E$2:$E$1577,$B25),IFERROR(AVERAGEIFS('PvA Data'!$F$2:$F$1577,'PvA Data'!$B$2:$B$1577,"&gt;="&amp;$C$4,'PvA Data'!$B$2:$B$1577,"&lt;="&amp;$C$5,'PvA Data'!$C$2:$C$1577,"Custom",'PvA Data'!$E$2:$E$1577,$B25),0))</f>
        <v>48.3</v>
      </c>
      <c r="J25" s="32">
        <f>IF($C$6="Total",SUMIFS('PvA Data'!$G$2:$G$1577,'PvA Data'!$B$2:$B$1577,"&gt;="&amp;$C$4,'PvA Data'!$B$2:$B$1577,"&lt;="&amp;$C$5,'PvA Data'!$C$2:$C$1577,"Custom",'PvA Data'!$E$2:$E$1577,$B25),IFERROR(AVERAGEIFS('PvA Data'!$G$2:$G$1577,'PvA Data'!$B$2:$B$1577,"&gt;="&amp;$C$4,'PvA Data'!$B$2:$B$1577,"&lt;="&amp;$C$5,'PvA Data'!$C$2:$C$1577,"Custom",'PvA Data'!$E$2:$E$1577,$B25),0))</f>
        <v>47.6</v>
      </c>
      <c r="K25" s="36">
        <f>IFERROR(SUMIFS('PvA Data'!$F$2:$F$1577,'PvA Data'!$B$2:$B$1577,"&gt;="&amp;$C$4,'PvA Data'!$B$2:$B$1577,"&lt;="&amp;$C$5,'PvA Data'!$C$2:$C$1577,"Custom",'PvA Data'!$E$2:$E$1577,$B25)/SUMIFS('PvA Data'!$F$2:$F$1577,'PvA Data'!$B$2:$B$1577,"&gt;="&amp;$C$4,'PvA Data'!$B$2:$B$1577,"&lt;="&amp;$C$5,'PvA Data'!$E$2:$E$1577,$B25),"")</f>
        <v>0.25664187035069075</v>
      </c>
      <c r="L25" s="42">
        <f t="shared" si="0"/>
        <v>188.2</v>
      </c>
      <c r="M25" s="42">
        <f t="shared" si="1"/>
        <v>185</v>
      </c>
      <c r="N25" s="43">
        <f t="shared" si="2"/>
        <v>0.98299681190223176</v>
      </c>
      <c r="P25" s="38">
        <v>46181</v>
      </c>
      <c r="Q25" s="12" t="s">
        <v>87</v>
      </c>
    </row>
    <row r="26" spans="1:17" x14ac:dyDescent="0.75">
      <c r="A26" s="44">
        <v>666523</v>
      </c>
      <c r="B26" s="45" t="s">
        <v>35</v>
      </c>
      <c r="C26" s="46">
        <f>IF($C$6="Total",SUMIFS('PvA Data'!$F$2:$F$1577,'PvA Data'!$B$2:$B$1577,"&gt;="&amp;$C$4,'PvA Data'!$B$2:$B$1577,"&lt;="&amp;$C$5,'PvA Data'!$C$2:$C$1577,"Nahunta",'PvA Data'!$E$2:$E$1577,$B26),IFERROR(AVERAGEIFS('PvA Data'!$F$2:$F$1577,'PvA Data'!$B$2:$B$1577,"&gt;="&amp;$C$4,'PvA Data'!$B$2:$B$1577,"&lt;="&amp;$C$5,'PvA Data'!$C$2:$C$1577,"Nahunta",'PvA Data'!$E$2:$E$1577,$B26),0))</f>
        <v>0</v>
      </c>
      <c r="D26" s="46">
        <f>IF($C$6="Total",SUMIFS('PvA Data'!$G$2:$G$1577,'PvA Data'!$B$2:$B$1577,"&gt;="&amp;$C$4,'PvA Data'!$B$2:$B$1577,"&lt;="&amp;$C$5,'PvA Data'!$C$2:$C$1577,"Nahunta",'PvA Data'!$E$2:$E$1577,$B26),IFERROR(AVERAGEIFS('PvA Data'!$G$2:$G$1577,'PvA Data'!$B$2:$B$1577,"&gt;="&amp;$C$4,'PvA Data'!$B$2:$B$1577,"&lt;="&amp;$C$5,'PvA Data'!$C$2:$C$1577,"Nahunta",'PvA Data'!$E$2:$E$1577,$B26),0))</f>
        <v>0</v>
      </c>
      <c r="E26" s="47">
        <f>IFERROR(SUMIFS('PvA Data'!$F$2:$F$1577,'PvA Data'!$B$2:$B$1577,"&gt;="&amp;$C$4,'PvA Data'!$B$2:$B$1577,"&lt;="&amp;$C$5,'PvA Data'!$C$2:$C$1577,"Nahunta",'PvA Data'!$E$2:$E$1577,$B26)/SUMIFS('PvA Data'!$F$2:$F$1577,'PvA Data'!$B$2:$B$1577,"&gt;="&amp;$C$4,'PvA Data'!$B$2:$B$1577,"&lt;="&amp;$C$5,'PvA Data'!$E$2:$E$1577,$B26),"")</f>
        <v>0</v>
      </c>
      <c r="F26" s="46">
        <f>IF($C$6="Total",SUMIFS('PvA Data'!$F$2:$F$1577,'PvA Data'!$B$2:$B$1577,"&gt;="&amp;$C$4,'PvA Data'!$B$2:$B$1577,"&lt;="&amp;$C$5,'PvA Data'!$C$2:$C$1577,"Martin",'PvA Data'!$E$2:$E$1577,$B26),IFERROR(AVERAGEIFS('PvA Data'!$F$2:$F$1577,'PvA Data'!$B$2:$B$1577,"&gt;="&amp;$C$4,'PvA Data'!$B$2:$B$1577,"&lt;="&amp;$C$5,'PvA Data'!$C$2:$C$1577,"Martin",'PvA Data'!$E$2:$E$1577,$B26),0))</f>
        <v>14.96</v>
      </c>
      <c r="G26" s="46">
        <f>IF($C$6="Total",SUMIFS('PvA Data'!$G$2:$G$1577,'PvA Data'!$B$2:$B$1577,"&gt;="&amp;$C$4,'PvA Data'!$B$2:$B$1577,"&lt;="&amp;$C$5,'PvA Data'!$C$2:$C$1577,"Martin",'PvA Data'!$E$2:$E$1577,$B26),IFERROR(AVERAGEIFS('PvA Data'!$G$2:$G$1577,'PvA Data'!$B$2:$B$1577,"&gt;="&amp;$C$4,'PvA Data'!$B$2:$B$1577,"&lt;="&amp;$C$5,'PvA Data'!$C$2:$C$1577,"Martin",'PvA Data'!$E$2:$E$1577,$B26),0))</f>
        <v>14.96</v>
      </c>
      <c r="H26" s="47">
        <f>IFERROR(SUMIFS('PvA Data'!$F$2:$F$1577,'PvA Data'!$B$2:$B$1577,"&gt;="&amp;$C$4,'PvA Data'!$B$2:$B$1577,"&lt;="&amp;$C$5,'PvA Data'!$C$2:$C$1577,"Martin",'PvA Data'!$E$2:$E$1577,$B26)/SUMIFS('PvA Data'!$F$2:$F$1577,'PvA Data'!$B$2:$B$1577,"&gt;="&amp;$C$4,'PvA Data'!$B$2:$B$1577,"&lt;="&amp;$C$5,'PvA Data'!$E$2:$E$1577,$B26),"")</f>
        <v>0.56495468277945615</v>
      </c>
      <c r="I26" s="46">
        <f>IF($C$6="Total",SUMIFS('PvA Data'!$F$2:$F$1577,'PvA Data'!$B$2:$B$1577,"&gt;="&amp;$C$4,'PvA Data'!$B$2:$B$1577,"&lt;="&amp;$C$5,'PvA Data'!$C$2:$C$1577,"Custom",'PvA Data'!$E$2:$E$1577,$B26),IFERROR(AVERAGEIFS('PvA Data'!$F$2:$F$1577,'PvA Data'!$B$2:$B$1577,"&gt;="&amp;$C$4,'PvA Data'!$B$2:$B$1577,"&lt;="&amp;$C$5,'PvA Data'!$C$2:$C$1577,"Custom",'PvA Data'!$E$2:$E$1577,$B26),0))</f>
        <v>11.52</v>
      </c>
      <c r="J26" s="46">
        <f>IF($C$6="Total",SUMIFS('PvA Data'!$G$2:$G$1577,'PvA Data'!$B$2:$B$1577,"&gt;="&amp;$C$4,'PvA Data'!$B$2:$B$1577,"&lt;="&amp;$C$5,'PvA Data'!$C$2:$C$1577,"Custom",'PvA Data'!$E$2:$E$1577,$B26),IFERROR(AVERAGEIFS('PvA Data'!$G$2:$G$1577,'PvA Data'!$B$2:$B$1577,"&gt;="&amp;$C$4,'PvA Data'!$B$2:$B$1577,"&lt;="&amp;$C$5,'PvA Data'!$C$2:$C$1577,"Custom",'PvA Data'!$E$2:$E$1577,$B26),0))</f>
        <v>10.6</v>
      </c>
      <c r="K26" s="47">
        <f>IFERROR(SUMIFS('PvA Data'!$F$2:$F$1577,'PvA Data'!$B$2:$B$1577,"&gt;="&amp;$C$4,'PvA Data'!$B$2:$B$1577,"&lt;="&amp;$C$5,'PvA Data'!$C$2:$C$1577,"Custom",'PvA Data'!$E$2:$E$1577,$B26)/SUMIFS('PvA Data'!$F$2:$F$1577,'PvA Data'!$B$2:$B$1577,"&gt;="&amp;$C$4,'PvA Data'!$B$2:$B$1577,"&lt;="&amp;$C$5,'PvA Data'!$E$2:$E$1577,$B26),"")</f>
        <v>0.43504531722054379</v>
      </c>
      <c r="L26" s="48">
        <f t="shared" si="0"/>
        <v>26.48</v>
      </c>
      <c r="M26" s="48">
        <f t="shared" si="1"/>
        <v>25.560000000000002</v>
      </c>
      <c r="N26" s="49">
        <f t="shared" si="2"/>
        <v>0.96525679758308169</v>
      </c>
      <c r="P26" s="38">
        <v>46188</v>
      </c>
      <c r="Q26" s="12" t="s">
        <v>88</v>
      </c>
    </row>
    <row r="27" spans="1:17" x14ac:dyDescent="0.75">
      <c r="A27" s="17">
        <v>666530</v>
      </c>
      <c r="B27" s="29" t="s">
        <v>37</v>
      </c>
      <c r="C27" s="32">
        <f>IF($C$6="Total",SUMIFS('PvA Data'!$F$2:$F$1577,'PvA Data'!$B$2:$B$1577,"&gt;="&amp;$C$4,'PvA Data'!$B$2:$B$1577,"&lt;="&amp;$C$5,'PvA Data'!$C$2:$C$1577,"Nahunta",'PvA Data'!$E$2:$E$1577,$B27),IFERROR(AVERAGEIFS('PvA Data'!$F$2:$F$1577,'PvA Data'!$B$2:$B$1577,"&gt;="&amp;$C$4,'PvA Data'!$B$2:$B$1577,"&lt;="&amp;$C$5,'PvA Data'!$C$2:$C$1577,"Nahunta",'PvA Data'!$E$2:$E$1577,$B27),0))</f>
        <v>1.36</v>
      </c>
      <c r="D27" s="32">
        <f>IF($C$6="Total",SUMIFS('PvA Data'!$G$2:$G$1577,'PvA Data'!$B$2:$B$1577,"&gt;="&amp;$C$4,'PvA Data'!$B$2:$B$1577,"&lt;="&amp;$C$5,'PvA Data'!$C$2:$C$1577,"Nahunta",'PvA Data'!$E$2:$E$1577,$B27),IFERROR(AVERAGEIFS('PvA Data'!$G$2:$G$1577,'PvA Data'!$B$2:$B$1577,"&gt;="&amp;$C$4,'PvA Data'!$B$2:$B$1577,"&lt;="&amp;$C$5,'PvA Data'!$C$2:$C$1577,"Nahunta",'PvA Data'!$E$2:$E$1577,$B27),0))</f>
        <v>1.36</v>
      </c>
      <c r="E27" s="36">
        <f>IFERROR(SUMIFS('PvA Data'!$F$2:$F$1577,'PvA Data'!$B$2:$B$1577,"&gt;="&amp;$C$4,'PvA Data'!$B$2:$B$1577,"&lt;="&amp;$C$5,'PvA Data'!$C$2:$C$1577,"Nahunta",'PvA Data'!$E$2:$E$1577,$B27)/SUMIFS('PvA Data'!$F$2:$F$1577,'PvA Data'!$B$2:$B$1577,"&gt;="&amp;$C$4,'PvA Data'!$B$2:$B$1577,"&lt;="&amp;$C$5,'PvA Data'!$E$2:$E$1577,$B27),"")</f>
        <v>0.13600000000000001</v>
      </c>
      <c r="F27" s="32">
        <f>IF($C$6="Total",SUMIFS('PvA Data'!$F$2:$F$1577,'PvA Data'!$B$2:$B$1577,"&gt;="&amp;$C$4,'PvA Data'!$B$2:$B$1577,"&lt;="&amp;$C$5,'PvA Data'!$C$2:$C$1577,"Martin",'PvA Data'!$E$2:$E$1577,$B27),IFERROR(AVERAGEIFS('PvA Data'!$F$2:$F$1577,'PvA Data'!$B$2:$B$1577,"&gt;="&amp;$C$4,'PvA Data'!$B$2:$B$1577,"&lt;="&amp;$C$5,'PvA Data'!$C$2:$C$1577,"Martin",'PvA Data'!$E$2:$E$1577,$B27),0))</f>
        <v>0</v>
      </c>
      <c r="G27" s="32">
        <f>IF($C$6="Total",SUMIFS('PvA Data'!$G$2:$G$1577,'PvA Data'!$B$2:$B$1577,"&gt;="&amp;$C$4,'PvA Data'!$B$2:$B$1577,"&lt;="&amp;$C$5,'PvA Data'!$C$2:$C$1577,"Martin",'PvA Data'!$E$2:$E$1577,$B27),IFERROR(AVERAGEIFS('PvA Data'!$G$2:$G$1577,'PvA Data'!$B$2:$B$1577,"&gt;="&amp;$C$4,'PvA Data'!$B$2:$B$1577,"&lt;="&amp;$C$5,'PvA Data'!$C$2:$C$1577,"Martin",'PvA Data'!$E$2:$E$1577,$B27),0))</f>
        <v>0</v>
      </c>
      <c r="H27" s="36">
        <f>IFERROR(SUMIFS('PvA Data'!$F$2:$F$1577,'PvA Data'!$B$2:$B$1577,"&gt;="&amp;$C$4,'PvA Data'!$B$2:$B$1577,"&lt;="&amp;$C$5,'PvA Data'!$C$2:$C$1577,"Martin",'PvA Data'!$E$2:$E$1577,$B27)/SUMIFS('PvA Data'!$F$2:$F$1577,'PvA Data'!$B$2:$B$1577,"&gt;="&amp;$C$4,'PvA Data'!$B$2:$B$1577,"&lt;="&amp;$C$5,'PvA Data'!$E$2:$E$1577,$B27),"")</f>
        <v>0</v>
      </c>
      <c r="I27" s="32">
        <f>IF($C$6="Total",SUMIFS('PvA Data'!$F$2:$F$1577,'PvA Data'!$B$2:$B$1577,"&gt;="&amp;$C$4,'PvA Data'!$B$2:$B$1577,"&lt;="&amp;$C$5,'PvA Data'!$C$2:$C$1577,"Custom",'PvA Data'!$E$2:$E$1577,$B27),IFERROR(AVERAGEIFS('PvA Data'!$F$2:$F$1577,'PvA Data'!$B$2:$B$1577,"&gt;="&amp;$C$4,'PvA Data'!$B$2:$B$1577,"&lt;="&amp;$C$5,'PvA Data'!$C$2:$C$1577,"Custom",'PvA Data'!$E$2:$E$1577,$B27),0))</f>
        <v>8.64</v>
      </c>
      <c r="J27" s="32">
        <f>IF($C$6="Total",SUMIFS('PvA Data'!$G$2:$G$1577,'PvA Data'!$B$2:$B$1577,"&gt;="&amp;$C$4,'PvA Data'!$B$2:$B$1577,"&lt;="&amp;$C$5,'PvA Data'!$C$2:$C$1577,"Custom",'PvA Data'!$E$2:$E$1577,$B27),IFERROR(AVERAGEIFS('PvA Data'!$G$2:$G$1577,'PvA Data'!$B$2:$B$1577,"&gt;="&amp;$C$4,'PvA Data'!$B$2:$B$1577,"&lt;="&amp;$C$5,'PvA Data'!$C$2:$C$1577,"Custom",'PvA Data'!$E$2:$E$1577,$B27),0))</f>
        <v>7.56</v>
      </c>
      <c r="K27" s="36">
        <f>IFERROR(SUMIFS('PvA Data'!$F$2:$F$1577,'PvA Data'!$B$2:$B$1577,"&gt;="&amp;$C$4,'PvA Data'!$B$2:$B$1577,"&lt;="&amp;$C$5,'PvA Data'!$C$2:$C$1577,"Custom",'PvA Data'!$E$2:$E$1577,$B27)/SUMIFS('PvA Data'!$F$2:$F$1577,'PvA Data'!$B$2:$B$1577,"&gt;="&amp;$C$4,'PvA Data'!$B$2:$B$1577,"&lt;="&amp;$C$5,'PvA Data'!$E$2:$E$1577,$B27),"")</f>
        <v>0.86399999999999999</v>
      </c>
      <c r="L27" s="42">
        <f t="shared" si="0"/>
        <v>10</v>
      </c>
      <c r="M27" s="42">
        <f t="shared" si="1"/>
        <v>8.92</v>
      </c>
      <c r="N27" s="43">
        <f t="shared" si="2"/>
        <v>0.89200000000000002</v>
      </c>
    </row>
    <row r="28" spans="1:17" x14ac:dyDescent="0.75">
      <c r="A28" s="44">
        <v>666531</v>
      </c>
      <c r="B28" s="45" t="s">
        <v>39</v>
      </c>
      <c r="C28" s="46">
        <f>IF($C$6="Total",SUMIFS('PvA Data'!$F$2:$F$1577,'PvA Data'!$B$2:$B$1577,"&gt;="&amp;$C$4,'PvA Data'!$B$2:$B$1577,"&lt;="&amp;$C$5,'PvA Data'!$C$2:$C$1577,"Nahunta",'PvA Data'!$E$2:$E$1577,$B28),IFERROR(AVERAGEIFS('PvA Data'!$F$2:$F$1577,'PvA Data'!$B$2:$B$1577,"&gt;="&amp;$C$4,'PvA Data'!$B$2:$B$1577,"&lt;="&amp;$C$5,'PvA Data'!$C$2:$C$1577,"Nahunta",'PvA Data'!$E$2:$E$1577,$B28),0))</f>
        <v>9.2799999999999994</v>
      </c>
      <c r="D28" s="46">
        <f>IF($C$6="Total",SUMIFS('PvA Data'!$G$2:$G$1577,'PvA Data'!$B$2:$B$1577,"&gt;="&amp;$C$4,'PvA Data'!$B$2:$B$1577,"&lt;="&amp;$C$5,'PvA Data'!$C$2:$C$1577,"Nahunta",'PvA Data'!$E$2:$E$1577,$B28),IFERROR(AVERAGEIFS('PvA Data'!$G$2:$G$1577,'PvA Data'!$B$2:$B$1577,"&gt;="&amp;$C$4,'PvA Data'!$B$2:$B$1577,"&lt;="&amp;$C$5,'PvA Data'!$C$2:$C$1577,"Nahunta",'PvA Data'!$E$2:$E$1577,$B28),0))</f>
        <v>9.32</v>
      </c>
      <c r="E28" s="47">
        <f>IFERROR(SUMIFS('PvA Data'!$F$2:$F$1577,'PvA Data'!$B$2:$B$1577,"&gt;="&amp;$C$4,'PvA Data'!$B$2:$B$1577,"&lt;="&amp;$C$5,'PvA Data'!$C$2:$C$1577,"Nahunta",'PvA Data'!$E$2:$E$1577,$B28)/SUMIFS('PvA Data'!$F$2:$F$1577,'PvA Data'!$B$2:$B$1577,"&gt;="&amp;$C$4,'PvA Data'!$B$2:$B$1577,"&lt;="&amp;$C$5,'PvA Data'!$E$2:$E$1577,$B28),"")</f>
        <v>0.70303030303030301</v>
      </c>
      <c r="F28" s="46">
        <f>IF($C$6="Total",SUMIFS('PvA Data'!$F$2:$F$1577,'PvA Data'!$B$2:$B$1577,"&gt;="&amp;$C$4,'PvA Data'!$B$2:$B$1577,"&lt;="&amp;$C$5,'PvA Data'!$C$2:$C$1577,"Martin",'PvA Data'!$E$2:$E$1577,$B28),IFERROR(AVERAGEIFS('PvA Data'!$F$2:$F$1577,'PvA Data'!$B$2:$B$1577,"&gt;="&amp;$C$4,'PvA Data'!$B$2:$B$1577,"&lt;="&amp;$C$5,'PvA Data'!$C$2:$C$1577,"Martin",'PvA Data'!$E$2:$E$1577,$B28),0))</f>
        <v>0</v>
      </c>
      <c r="G28" s="46">
        <f>IF($C$6="Total",SUMIFS('PvA Data'!$G$2:$G$1577,'PvA Data'!$B$2:$B$1577,"&gt;="&amp;$C$4,'PvA Data'!$B$2:$B$1577,"&lt;="&amp;$C$5,'PvA Data'!$C$2:$C$1577,"Martin",'PvA Data'!$E$2:$E$1577,$B28),IFERROR(AVERAGEIFS('PvA Data'!$G$2:$G$1577,'PvA Data'!$B$2:$B$1577,"&gt;="&amp;$C$4,'PvA Data'!$B$2:$B$1577,"&lt;="&amp;$C$5,'PvA Data'!$C$2:$C$1577,"Martin",'PvA Data'!$E$2:$E$1577,$B28),0))</f>
        <v>0</v>
      </c>
      <c r="H28" s="47">
        <f>IFERROR(SUMIFS('PvA Data'!$F$2:$F$1577,'PvA Data'!$B$2:$B$1577,"&gt;="&amp;$C$4,'PvA Data'!$B$2:$B$1577,"&lt;="&amp;$C$5,'PvA Data'!$C$2:$C$1577,"Martin",'PvA Data'!$E$2:$E$1577,$B28)/SUMIFS('PvA Data'!$F$2:$F$1577,'PvA Data'!$B$2:$B$1577,"&gt;="&amp;$C$4,'PvA Data'!$B$2:$B$1577,"&lt;="&amp;$C$5,'PvA Data'!$E$2:$E$1577,$B28),"")</f>
        <v>0</v>
      </c>
      <c r="I28" s="46">
        <f>IF($C$6="Total",SUMIFS('PvA Data'!$F$2:$F$1577,'PvA Data'!$B$2:$B$1577,"&gt;="&amp;$C$4,'PvA Data'!$B$2:$B$1577,"&lt;="&amp;$C$5,'PvA Data'!$C$2:$C$1577,"Custom",'PvA Data'!$E$2:$E$1577,$B28),IFERROR(AVERAGEIFS('PvA Data'!$F$2:$F$1577,'PvA Data'!$B$2:$B$1577,"&gt;="&amp;$C$4,'PvA Data'!$B$2:$B$1577,"&lt;="&amp;$C$5,'PvA Data'!$C$2:$C$1577,"Custom",'PvA Data'!$E$2:$E$1577,$B28),0))</f>
        <v>3.92</v>
      </c>
      <c r="J28" s="46">
        <f>IF($C$6="Total",SUMIFS('PvA Data'!$G$2:$G$1577,'PvA Data'!$B$2:$B$1577,"&gt;="&amp;$C$4,'PvA Data'!$B$2:$B$1577,"&lt;="&amp;$C$5,'PvA Data'!$C$2:$C$1577,"Custom",'PvA Data'!$E$2:$E$1577,$B28),IFERROR(AVERAGEIFS('PvA Data'!$G$2:$G$1577,'PvA Data'!$B$2:$B$1577,"&gt;="&amp;$C$4,'PvA Data'!$B$2:$B$1577,"&lt;="&amp;$C$5,'PvA Data'!$C$2:$C$1577,"Custom",'PvA Data'!$E$2:$E$1577,$B28),0))</f>
        <v>3.44</v>
      </c>
      <c r="K28" s="47">
        <f>IFERROR(SUMIFS('PvA Data'!$F$2:$F$1577,'PvA Data'!$B$2:$B$1577,"&gt;="&amp;$C$4,'PvA Data'!$B$2:$B$1577,"&lt;="&amp;$C$5,'PvA Data'!$C$2:$C$1577,"Custom",'PvA Data'!$E$2:$E$1577,$B28)/SUMIFS('PvA Data'!$F$2:$F$1577,'PvA Data'!$B$2:$B$1577,"&gt;="&amp;$C$4,'PvA Data'!$B$2:$B$1577,"&lt;="&amp;$C$5,'PvA Data'!$E$2:$E$1577,$B28),"")</f>
        <v>0.29696969696969699</v>
      </c>
      <c r="L28" s="48">
        <f t="shared" si="0"/>
        <v>13.2</v>
      </c>
      <c r="M28" s="48">
        <f t="shared" si="1"/>
        <v>12.76</v>
      </c>
      <c r="N28" s="49">
        <f t="shared" si="2"/>
        <v>0.96666666666666667</v>
      </c>
    </row>
    <row r="29" spans="1:17" x14ac:dyDescent="0.75">
      <c r="A29" s="17">
        <v>666540</v>
      </c>
      <c r="B29" s="29" t="s">
        <v>40</v>
      </c>
      <c r="C29" s="32">
        <f>IF($C$6="Total",SUMIFS('PvA Data'!$F$2:$F$1577,'PvA Data'!$B$2:$B$1577,"&gt;="&amp;$C$4,'PvA Data'!$B$2:$B$1577,"&lt;="&amp;$C$5,'PvA Data'!$C$2:$C$1577,"Nahunta",'PvA Data'!$E$2:$E$1577,$B29),IFERROR(AVERAGEIFS('PvA Data'!$F$2:$F$1577,'PvA Data'!$B$2:$B$1577,"&gt;="&amp;$C$4,'PvA Data'!$B$2:$B$1577,"&lt;="&amp;$C$5,'PvA Data'!$C$2:$C$1577,"Nahunta",'PvA Data'!$E$2:$E$1577,$B29),0))</f>
        <v>0</v>
      </c>
      <c r="D29" s="32">
        <f>IF($C$6="Total",SUMIFS('PvA Data'!$G$2:$G$1577,'PvA Data'!$B$2:$B$1577,"&gt;="&amp;$C$4,'PvA Data'!$B$2:$B$1577,"&lt;="&amp;$C$5,'PvA Data'!$C$2:$C$1577,"Nahunta",'PvA Data'!$E$2:$E$1577,$B29),IFERROR(AVERAGEIFS('PvA Data'!$G$2:$G$1577,'PvA Data'!$B$2:$B$1577,"&gt;="&amp;$C$4,'PvA Data'!$B$2:$B$1577,"&lt;="&amp;$C$5,'PvA Data'!$C$2:$C$1577,"Nahunta",'PvA Data'!$E$2:$E$1577,$B29),0))</f>
        <v>0</v>
      </c>
      <c r="E29" s="36">
        <f>IFERROR(SUMIFS('PvA Data'!$F$2:$F$1577,'PvA Data'!$B$2:$B$1577,"&gt;="&amp;$C$4,'PvA Data'!$B$2:$B$1577,"&lt;="&amp;$C$5,'PvA Data'!$C$2:$C$1577,"Nahunta",'PvA Data'!$E$2:$E$1577,$B29)/SUMIFS('PvA Data'!$F$2:$F$1577,'PvA Data'!$B$2:$B$1577,"&gt;="&amp;$C$4,'PvA Data'!$B$2:$B$1577,"&lt;="&amp;$C$5,'PvA Data'!$E$2:$E$1577,$B29),"")</f>
        <v>0</v>
      </c>
      <c r="F29" s="32">
        <f>IF($C$6="Total",SUMIFS('PvA Data'!$F$2:$F$1577,'PvA Data'!$B$2:$B$1577,"&gt;="&amp;$C$4,'PvA Data'!$B$2:$B$1577,"&lt;="&amp;$C$5,'PvA Data'!$C$2:$C$1577,"Martin",'PvA Data'!$E$2:$E$1577,$B29),IFERROR(AVERAGEIFS('PvA Data'!$F$2:$F$1577,'PvA Data'!$B$2:$B$1577,"&gt;="&amp;$C$4,'PvA Data'!$B$2:$B$1577,"&lt;="&amp;$C$5,'PvA Data'!$C$2:$C$1577,"Martin",'PvA Data'!$E$2:$E$1577,$B29),0))</f>
        <v>56</v>
      </c>
      <c r="G29" s="32">
        <f>IF($C$6="Total",SUMIFS('PvA Data'!$G$2:$G$1577,'PvA Data'!$B$2:$B$1577,"&gt;="&amp;$C$4,'PvA Data'!$B$2:$B$1577,"&lt;="&amp;$C$5,'PvA Data'!$C$2:$C$1577,"Martin",'PvA Data'!$E$2:$E$1577,$B29),IFERROR(AVERAGEIFS('PvA Data'!$G$2:$G$1577,'PvA Data'!$B$2:$B$1577,"&gt;="&amp;$C$4,'PvA Data'!$B$2:$B$1577,"&lt;="&amp;$C$5,'PvA Data'!$C$2:$C$1577,"Martin",'PvA Data'!$E$2:$E$1577,$B29),0))</f>
        <v>9.68</v>
      </c>
      <c r="H29" s="36">
        <f>IFERROR(SUMIFS('PvA Data'!$F$2:$F$1577,'PvA Data'!$B$2:$B$1577,"&gt;="&amp;$C$4,'PvA Data'!$B$2:$B$1577,"&lt;="&amp;$C$5,'PvA Data'!$C$2:$C$1577,"Martin",'PvA Data'!$E$2:$E$1577,$B29)/SUMIFS('PvA Data'!$F$2:$F$1577,'PvA Data'!$B$2:$B$1577,"&gt;="&amp;$C$4,'PvA Data'!$B$2:$B$1577,"&lt;="&amp;$C$5,'PvA Data'!$E$2:$E$1577,$B29),"")</f>
        <v>1</v>
      </c>
      <c r="I29" s="32">
        <f>IF($C$6="Total",SUMIFS('PvA Data'!$F$2:$F$1577,'PvA Data'!$B$2:$B$1577,"&gt;="&amp;$C$4,'PvA Data'!$B$2:$B$1577,"&lt;="&amp;$C$5,'PvA Data'!$C$2:$C$1577,"Custom",'PvA Data'!$E$2:$E$1577,$B29),IFERROR(AVERAGEIFS('PvA Data'!$F$2:$F$1577,'PvA Data'!$B$2:$B$1577,"&gt;="&amp;$C$4,'PvA Data'!$B$2:$B$1577,"&lt;="&amp;$C$5,'PvA Data'!$C$2:$C$1577,"Custom",'PvA Data'!$E$2:$E$1577,$B29),0))</f>
        <v>0</v>
      </c>
      <c r="J29" s="32">
        <f>IF($C$6="Total",SUMIFS('PvA Data'!$G$2:$G$1577,'PvA Data'!$B$2:$B$1577,"&gt;="&amp;$C$4,'PvA Data'!$B$2:$B$1577,"&lt;="&amp;$C$5,'PvA Data'!$C$2:$C$1577,"Custom",'PvA Data'!$E$2:$E$1577,$B29),IFERROR(AVERAGEIFS('PvA Data'!$G$2:$G$1577,'PvA Data'!$B$2:$B$1577,"&gt;="&amp;$C$4,'PvA Data'!$B$2:$B$1577,"&lt;="&amp;$C$5,'PvA Data'!$C$2:$C$1577,"Custom",'PvA Data'!$E$2:$E$1577,$B29),0))</f>
        <v>0</v>
      </c>
      <c r="K29" s="36">
        <f>IFERROR(SUMIFS('PvA Data'!$F$2:$F$1577,'PvA Data'!$B$2:$B$1577,"&gt;="&amp;$C$4,'PvA Data'!$B$2:$B$1577,"&lt;="&amp;$C$5,'PvA Data'!$C$2:$C$1577,"Custom",'PvA Data'!$E$2:$E$1577,$B29)/SUMIFS('PvA Data'!$F$2:$F$1577,'PvA Data'!$B$2:$B$1577,"&gt;="&amp;$C$4,'PvA Data'!$B$2:$B$1577,"&lt;="&amp;$C$5,'PvA Data'!$E$2:$E$1577,$B29),"")</f>
        <v>0</v>
      </c>
      <c r="L29" s="42">
        <f t="shared" si="0"/>
        <v>56</v>
      </c>
      <c r="M29" s="42">
        <f t="shared" si="1"/>
        <v>9.68</v>
      </c>
      <c r="N29" s="43">
        <f t="shared" si="2"/>
        <v>0.17285714285714285</v>
      </c>
    </row>
    <row r="30" spans="1:17" x14ac:dyDescent="0.75">
      <c r="A30" s="44">
        <v>666541</v>
      </c>
      <c r="B30" s="45" t="s">
        <v>41</v>
      </c>
      <c r="C30" s="46">
        <f>IF($C$6="Total",SUMIFS('PvA Data'!$F$2:$F$1577,'PvA Data'!$B$2:$B$1577,"&gt;="&amp;$C$4,'PvA Data'!$B$2:$B$1577,"&lt;="&amp;$C$5,'PvA Data'!$C$2:$C$1577,"Nahunta",'PvA Data'!$E$2:$E$1577,$B30),IFERROR(AVERAGEIFS('PvA Data'!$F$2:$F$1577,'PvA Data'!$B$2:$B$1577,"&gt;="&amp;$C$4,'PvA Data'!$B$2:$B$1577,"&lt;="&amp;$C$5,'PvA Data'!$C$2:$C$1577,"Nahunta",'PvA Data'!$E$2:$E$1577,$B30),0))</f>
        <v>0</v>
      </c>
      <c r="D30" s="46">
        <f>IF($C$6="Total",SUMIFS('PvA Data'!$G$2:$G$1577,'PvA Data'!$B$2:$B$1577,"&gt;="&amp;$C$4,'PvA Data'!$B$2:$B$1577,"&lt;="&amp;$C$5,'PvA Data'!$C$2:$C$1577,"Nahunta",'PvA Data'!$E$2:$E$1577,$B30),IFERROR(AVERAGEIFS('PvA Data'!$G$2:$G$1577,'PvA Data'!$B$2:$B$1577,"&gt;="&amp;$C$4,'PvA Data'!$B$2:$B$1577,"&lt;="&amp;$C$5,'PvA Data'!$C$2:$C$1577,"Nahunta",'PvA Data'!$E$2:$E$1577,$B30),0))</f>
        <v>0</v>
      </c>
      <c r="E30" s="47">
        <f>IFERROR(SUMIFS('PvA Data'!$F$2:$F$1577,'PvA Data'!$B$2:$B$1577,"&gt;="&amp;$C$4,'PvA Data'!$B$2:$B$1577,"&lt;="&amp;$C$5,'PvA Data'!$C$2:$C$1577,"Nahunta",'PvA Data'!$E$2:$E$1577,$B30)/SUMIFS('PvA Data'!$F$2:$F$1577,'PvA Data'!$B$2:$B$1577,"&gt;="&amp;$C$4,'PvA Data'!$B$2:$B$1577,"&lt;="&amp;$C$5,'PvA Data'!$E$2:$E$1577,$B30),"")</f>
        <v>0</v>
      </c>
      <c r="F30" s="46">
        <f>IF($C$6="Total",SUMIFS('PvA Data'!$F$2:$F$1577,'PvA Data'!$B$2:$B$1577,"&gt;="&amp;$C$4,'PvA Data'!$B$2:$B$1577,"&lt;="&amp;$C$5,'PvA Data'!$C$2:$C$1577,"Martin",'PvA Data'!$E$2:$E$1577,$B30),IFERROR(AVERAGEIFS('PvA Data'!$F$2:$F$1577,'PvA Data'!$B$2:$B$1577,"&gt;="&amp;$C$4,'PvA Data'!$B$2:$B$1577,"&lt;="&amp;$C$5,'PvA Data'!$C$2:$C$1577,"Martin",'PvA Data'!$E$2:$E$1577,$B30),0))</f>
        <v>244.4</v>
      </c>
      <c r="G30" s="46">
        <f>IF($C$6="Total",SUMIFS('PvA Data'!$G$2:$G$1577,'PvA Data'!$B$2:$B$1577,"&gt;="&amp;$C$4,'PvA Data'!$B$2:$B$1577,"&lt;="&amp;$C$5,'PvA Data'!$C$2:$C$1577,"Martin",'PvA Data'!$E$2:$E$1577,$B30),IFERROR(AVERAGEIFS('PvA Data'!$G$2:$G$1577,'PvA Data'!$B$2:$B$1577,"&gt;="&amp;$C$4,'PvA Data'!$B$2:$B$1577,"&lt;="&amp;$C$5,'PvA Data'!$C$2:$C$1577,"Martin",'PvA Data'!$E$2:$E$1577,$B30),0))</f>
        <v>177.2</v>
      </c>
      <c r="H30" s="47">
        <f>IFERROR(SUMIFS('PvA Data'!$F$2:$F$1577,'PvA Data'!$B$2:$B$1577,"&gt;="&amp;$C$4,'PvA Data'!$B$2:$B$1577,"&lt;="&amp;$C$5,'PvA Data'!$C$2:$C$1577,"Martin",'PvA Data'!$E$2:$E$1577,$B30)/SUMIFS('PvA Data'!$F$2:$F$1577,'PvA Data'!$B$2:$B$1577,"&gt;="&amp;$C$4,'PvA Data'!$B$2:$B$1577,"&lt;="&amp;$C$5,'PvA Data'!$E$2:$E$1577,$B30),"")</f>
        <v>1</v>
      </c>
      <c r="I30" s="46">
        <f>IF($C$6="Total",SUMIFS('PvA Data'!$F$2:$F$1577,'PvA Data'!$B$2:$B$1577,"&gt;="&amp;$C$4,'PvA Data'!$B$2:$B$1577,"&lt;="&amp;$C$5,'PvA Data'!$C$2:$C$1577,"Custom",'PvA Data'!$E$2:$E$1577,$B30),IFERROR(AVERAGEIFS('PvA Data'!$F$2:$F$1577,'PvA Data'!$B$2:$B$1577,"&gt;="&amp;$C$4,'PvA Data'!$B$2:$B$1577,"&lt;="&amp;$C$5,'PvA Data'!$C$2:$C$1577,"Custom",'PvA Data'!$E$2:$E$1577,$B30),0))</f>
        <v>0</v>
      </c>
      <c r="J30" s="46">
        <f>IF($C$6="Total",SUMIFS('PvA Data'!$G$2:$G$1577,'PvA Data'!$B$2:$B$1577,"&gt;="&amp;$C$4,'PvA Data'!$B$2:$B$1577,"&lt;="&amp;$C$5,'PvA Data'!$C$2:$C$1577,"Custom",'PvA Data'!$E$2:$E$1577,$B30),IFERROR(AVERAGEIFS('PvA Data'!$G$2:$G$1577,'PvA Data'!$B$2:$B$1577,"&gt;="&amp;$C$4,'PvA Data'!$B$2:$B$1577,"&lt;="&amp;$C$5,'PvA Data'!$C$2:$C$1577,"Custom",'PvA Data'!$E$2:$E$1577,$B30),0))</f>
        <v>0</v>
      </c>
      <c r="K30" s="47">
        <f>IFERROR(SUMIFS('PvA Data'!$F$2:$F$1577,'PvA Data'!$B$2:$B$1577,"&gt;="&amp;$C$4,'PvA Data'!$B$2:$B$1577,"&lt;="&amp;$C$5,'PvA Data'!$C$2:$C$1577,"Custom",'PvA Data'!$E$2:$E$1577,$B30)/SUMIFS('PvA Data'!$F$2:$F$1577,'PvA Data'!$B$2:$B$1577,"&gt;="&amp;$C$4,'PvA Data'!$B$2:$B$1577,"&lt;="&amp;$C$5,'PvA Data'!$E$2:$E$1577,$B30),"")</f>
        <v>0</v>
      </c>
      <c r="L30" s="48">
        <f t="shared" si="0"/>
        <v>244.4</v>
      </c>
      <c r="M30" s="48">
        <f t="shared" si="1"/>
        <v>177.2</v>
      </c>
      <c r="N30" s="49">
        <f t="shared" si="2"/>
        <v>0.72504091653027813</v>
      </c>
    </row>
    <row r="31" spans="1:17" x14ac:dyDescent="0.75">
      <c r="A31" s="17">
        <v>666536</v>
      </c>
      <c r="B31" s="29" t="s">
        <v>43</v>
      </c>
      <c r="C31" s="32">
        <f>IF($C$6="Total",SUMIFS('PvA Data'!$F$2:$F$1577,'PvA Data'!$B$2:$B$1577,"&gt;="&amp;$C$4,'PvA Data'!$B$2:$B$1577,"&lt;="&amp;$C$5,'PvA Data'!$C$2:$C$1577,"Nahunta",'PvA Data'!$E$2:$E$1577,$B31),IFERROR(AVERAGEIFS('PvA Data'!$F$2:$F$1577,'PvA Data'!$B$2:$B$1577,"&gt;="&amp;$C$4,'PvA Data'!$B$2:$B$1577,"&lt;="&amp;$C$5,'PvA Data'!$C$2:$C$1577,"Nahunta",'PvA Data'!$E$2:$E$1577,$B31),0))</f>
        <v>11.6</v>
      </c>
      <c r="D31" s="32">
        <f>IF($C$6="Total",SUMIFS('PvA Data'!$G$2:$G$1577,'PvA Data'!$B$2:$B$1577,"&gt;="&amp;$C$4,'PvA Data'!$B$2:$B$1577,"&lt;="&amp;$C$5,'PvA Data'!$C$2:$C$1577,"Nahunta",'PvA Data'!$E$2:$E$1577,$B31),IFERROR(AVERAGEIFS('PvA Data'!$G$2:$G$1577,'PvA Data'!$B$2:$B$1577,"&gt;="&amp;$C$4,'PvA Data'!$B$2:$B$1577,"&lt;="&amp;$C$5,'PvA Data'!$C$2:$C$1577,"Nahunta",'PvA Data'!$E$2:$E$1577,$B31),0))</f>
        <v>5.6</v>
      </c>
      <c r="E31" s="36">
        <f>IFERROR(SUMIFS('PvA Data'!$F$2:$F$1577,'PvA Data'!$B$2:$B$1577,"&gt;="&amp;$C$4,'PvA Data'!$B$2:$B$1577,"&lt;="&amp;$C$5,'PvA Data'!$C$2:$C$1577,"Nahunta",'PvA Data'!$E$2:$E$1577,$B31)/SUMIFS('PvA Data'!$F$2:$F$1577,'PvA Data'!$B$2:$B$1577,"&gt;="&amp;$C$4,'PvA Data'!$B$2:$B$1577,"&lt;="&amp;$C$5,'PvA Data'!$E$2:$E$1577,$B31),"")</f>
        <v>1</v>
      </c>
      <c r="F31" s="32">
        <f>IF($C$6="Total",SUMIFS('PvA Data'!$F$2:$F$1577,'PvA Data'!$B$2:$B$1577,"&gt;="&amp;$C$4,'PvA Data'!$B$2:$B$1577,"&lt;="&amp;$C$5,'PvA Data'!$C$2:$C$1577,"Martin",'PvA Data'!$E$2:$E$1577,$B31),IFERROR(AVERAGEIFS('PvA Data'!$F$2:$F$1577,'PvA Data'!$B$2:$B$1577,"&gt;="&amp;$C$4,'PvA Data'!$B$2:$B$1577,"&lt;="&amp;$C$5,'PvA Data'!$C$2:$C$1577,"Martin",'PvA Data'!$E$2:$E$1577,$B31),0))</f>
        <v>0</v>
      </c>
      <c r="G31" s="32">
        <f>IF($C$6="Total",SUMIFS('PvA Data'!$G$2:$G$1577,'PvA Data'!$B$2:$B$1577,"&gt;="&amp;$C$4,'PvA Data'!$B$2:$B$1577,"&lt;="&amp;$C$5,'PvA Data'!$C$2:$C$1577,"Martin",'PvA Data'!$E$2:$E$1577,$B31),IFERROR(AVERAGEIFS('PvA Data'!$G$2:$G$1577,'PvA Data'!$B$2:$B$1577,"&gt;="&amp;$C$4,'PvA Data'!$B$2:$B$1577,"&lt;="&amp;$C$5,'PvA Data'!$C$2:$C$1577,"Martin",'PvA Data'!$E$2:$E$1577,$B31),0))</f>
        <v>0</v>
      </c>
      <c r="H31" s="36">
        <f>IFERROR(SUMIFS('PvA Data'!$F$2:$F$1577,'PvA Data'!$B$2:$B$1577,"&gt;="&amp;$C$4,'PvA Data'!$B$2:$B$1577,"&lt;="&amp;$C$5,'PvA Data'!$C$2:$C$1577,"Martin",'PvA Data'!$E$2:$E$1577,$B31)/SUMIFS('PvA Data'!$F$2:$F$1577,'PvA Data'!$B$2:$B$1577,"&gt;="&amp;$C$4,'PvA Data'!$B$2:$B$1577,"&lt;="&amp;$C$5,'PvA Data'!$E$2:$E$1577,$B31),"")</f>
        <v>0</v>
      </c>
      <c r="I31" s="32">
        <f>IF($C$6="Total",SUMIFS('PvA Data'!$F$2:$F$1577,'PvA Data'!$B$2:$B$1577,"&gt;="&amp;$C$4,'PvA Data'!$B$2:$B$1577,"&lt;="&amp;$C$5,'PvA Data'!$C$2:$C$1577,"Custom",'PvA Data'!$E$2:$E$1577,$B31),IFERROR(AVERAGEIFS('PvA Data'!$F$2:$F$1577,'PvA Data'!$B$2:$B$1577,"&gt;="&amp;$C$4,'PvA Data'!$B$2:$B$1577,"&lt;="&amp;$C$5,'PvA Data'!$C$2:$C$1577,"Custom",'PvA Data'!$E$2:$E$1577,$B31),0))</f>
        <v>0</v>
      </c>
      <c r="J31" s="32">
        <f>IF($C$6="Total",SUMIFS('PvA Data'!$G$2:$G$1577,'PvA Data'!$B$2:$B$1577,"&gt;="&amp;$C$4,'PvA Data'!$B$2:$B$1577,"&lt;="&amp;$C$5,'PvA Data'!$C$2:$C$1577,"Custom",'PvA Data'!$E$2:$E$1577,$B31),IFERROR(AVERAGEIFS('PvA Data'!$G$2:$G$1577,'PvA Data'!$B$2:$B$1577,"&gt;="&amp;$C$4,'PvA Data'!$B$2:$B$1577,"&lt;="&amp;$C$5,'PvA Data'!$C$2:$C$1577,"Custom",'PvA Data'!$E$2:$E$1577,$B31),0))</f>
        <v>0</v>
      </c>
      <c r="K31" s="36">
        <f>IFERROR(SUMIFS('PvA Data'!$F$2:$F$1577,'PvA Data'!$B$2:$B$1577,"&gt;="&amp;$C$4,'PvA Data'!$B$2:$B$1577,"&lt;="&amp;$C$5,'PvA Data'!$C$2:$C$1577,"Custom",'PvA Data'!$E$2:$E$1577,$B31)/SUMIFS('PvA Data'!$F$2:$F$1577,'PvA Data'!$B$2:$B$1577,"&gt;="&amp;$C$4,'PvA Data'!$B$2:$B$1577,"&lt;="&amp;$C$5,'PvA Data'!$E$2:$E$1577,$B31),"")</f>
        <v>0</v>
      </c>
      <c r="L31" s="42">
        <f t="shared" si="0"/>
        <v>11.6</v>
      </c>
      <c r="M31" s="42">
        <f t="shared" si="1"/>
        <v>5.6</v>
      </c>
      <c r="N31" s="43">
        <f t="shared" si="2"/>
        <v>0.48275862068965514</v>
      </c>
    </row>
    <row r="32" spans="1:17" x14ac:dyDescent="0.75">
      <c r="A32" s="23" t="s">
        <v>91</v>
      </c>
      <c r="B32" s="23" t="s">
        <v>96</v>
      </c>
      <c r="C32" s="34">
        <f>SUM(C11:C31)</f>
        <v>257.26000000000005</v>
      </c>
      <c r="D32" s="34">
        <f>SUM(D11:D31)</f>
        <v>245.88000000000002</v>
      </c>
      <c r="E32" s="37">
        <f>IFERROR(C32/$L32,"")</f>
        <v>0.19848164550125763</v>
      </c>
      <c r="F32" s="34">
        <f>SUM(F11:F31)</f>
        <v>850.46</v>
      </c>
      <c r="G32" s="34">
        <f>SUM(G11:G31)</f>
        <v>675.52</v>
      </c>
      <c r="H32" s="37">
        <f>IFERROR(F32/$L32,"")</f>
        <v>0.65614825558967405</v>
      </c>
      <c r="I32" s="34">
        <f>SUM(I11:I31)</f>
        <v>188.42</v>
      </c>
      <c r="J32" s="34">
        <f>SUM(J11:J31)</f>
        <v>173.96</v>
      </c>
      <c r="K32" s="37">
        <f>IFERROR(I32/$L32,"")</f>
        <v>0.14537009890906846</v>
      </c>
      <c r="L32" s="34">
        <f>SUM(L11:L31)</f>
        <v>1296.1399999999999</v>
      </c>
      <c r="M32" s="34">
        <f>SUM(M11:M31)</f>
        <v>1095.3599999999999</v>
      </c>
      <c r="N32" s="37">
        <f t="shared" si="2"/>
        <v>0.8450938941780981</v>
      </c>
    </row>
  </sheetData>
  <mergeCells count="6">
    <mergeCell ref="L9:N9"/>
    <mergeCell ref="A9:A10"/>
    <mergeCell ref="B9:B10"/>
    <mergeCell ref="C9:E9"/>
    <mergeCell ref="F9:H9"/>
    <mergeCell ref="I9:K9"/>
  </mergeCells>
  <dataValidations count="2">
    <dataValidation type="list" sqref="C4:C5" xr:uid="{00000000-0002-0000-0700-000000000000}">
      <formula1>$P$2:$P$26</formula1>
      <formula2>0</formula2>
    </dataValidation>
    <dataValidation type="list" sqref="C6" xr:uid="{00000000-0002-0000-0700-000001000000}">
      <formula1>"Average,Total"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6" tint="0.59999389629810485"/>
  </sheetPr>
  <dimension ref="A1:R559"/>
  <sheetViews>
    <sheetView showGridLines="0" zoomScaleNormal="100" workbookViewId="0">
      <pane xSplit="2" ySplit="5" topLeftCell="C281" activePane="bottomRight" state="frozen"/>
      <selection pane="topRight" activeCell="C1" sqref="C1"/>
      <selection pane="bottomLeft" activeCell="A6" sqref="A6"/>
      <selection pane="bottomRight" activeCell="D264" sqref="D264"/>
    </sheetView>
  </sheetViews>
  <sheetFormatPr defaultColWidth="8.54296875" defaultRowHeight="14.75" x14ac:dyDescent="0.75"/>
  <cols>
    <col min="1" max="1" width="10" customWidth="1"/>
    <col min="2" max="2" width="11" customWidth="1"/>
    <col min="3" max="3" width="9" customWidth="1"/>
    <col min="4" max="4" width="22" customWidth="1"/>
    <col min="5" max="5" width="11.08984375" customWidth="1"/>
    <col min="6" max="13" width="11" customWidth="1"/>
    <col min="14" max="14" width="10" customWidth="1"/>
    <col min="15" max="15" width="9" customWidth="1"/>
    <col min="16" max="18" width="11" customWidth="1"/>
  </cols>
  <sheetData>
    <row r="1" spans="1:18" ht="15.75" customHeight="1" x14ac:dyDescent="0.75">
      <c r="A1" s="15" t="s">
        <v>110</v>
      </c>
    </row>
    <row r="2" spans="1:18" ht="30" customHeight="1" x14ac:dyDescent="0.75">
      <c r="A2" s="35"/>
    </row>
    <row r="4" spans="1:18" ht="15" customHeight="1" x14ac:dyDescent="0.75">
      <c r="A4" s="13" t="s">
        <v>111</v>
      </c>
    </row>
    <row r="5" spans="1:18" ht="27" customHeight="1" x14ac:dyDescent="0.75">
      <c r="A5" s="16" t="s">
        <v>44</v>
      </c>
      <c r="B5" s="16" t="s">
        <v>45</v>
      </c>
      <c r="C5" s="16" t="s">
        <v>112</v>
      </c>
      <c r="D5" s="16" t="s">
        <v>113</v>
      </c>
      <c r="E5" s="16" t="s">
        <v>114</v>
      </c>
      <c r="F5" s="16" t="s">
        <v>115</v>
      </c>
      <c r="G5" s="16" t="s">
        <v>116</v>
      </c>
      <c r="H5" s="16" t="s">
        <v>117</v>
      </c>
      <c r="I5" s="16" t="s">
        <v>118</v>
      </c>
      <c r="J5" s="16" t="s">
        <v>119</v>
      </c>
      <c r="K5" s="16" t="s">
        <v>120</v>
      </c>
      <c r="L5" s="16" t="s">
        <v>121</v>
      </c>
      <c r="M5" s="16" t="s">
        <v>122</v>
      </c>
      <c r="N5" s="16" t="s">
        <v>123</v>
      </c>
      <c r="O5" s="16" t="s">
        <v>124</v>
      </c>
      <c r="P5" s="16" t="s">
        <v>125</v>
      </c>
      <c r="Q5" s="16" t="s">
        <v>126</v>
      </c>
      <c r="R5" s="16" t="s">
        <v>127</v>
      </c>
    </row>
    <row r="6" spans="1:18" ht="15" customHeight="1" x14ac:dyDescent="0.75">
      <c r="A6" s="18" t="s">
        <v>53</v>
      </c>
      <c r="B6" s="19">
        <v>46020</v>
      </c>
      <c r="C6" s="20">
        <f>SUMIFS('PvA Data'!$F$2:$F$1576,'PvA Data'!$A$2:$A$1576,$A6)</f>
        <v>1187.5</v>
      </c>
      <c r="D6" s="20">
        <f>SUMIFS('PvA Data'!$G$2:$G$1576,'PvA Data'!$A$2:$A$1576,$A6)</f>
        <v>890</v>
      </c>
      <c r="E6" s="36">
        <f t="shared" ref="E6:E31" si="0">IF(C6=0,"",D6/C6)</f>
        <v>0.74947368421052629</v>
      </c>
      <c r="F6" s="20">
        <f t="shared" ref="F6:F31" si="1">D6-C6</f>
        <v>-297.5</v>
      </c>
      <c r="G6" s="20">
        <f>SUMIFS('PvA Data'!$F$2:$F$1576,'PvA Data'!$A$2:$A$1576,$A6,'PvA Data'!$C$2:$C$1576,"Nahunta")</f>
        <v>287.5</v>
      </c>
      <c r="H6" s="20">
        <f>SUMIFS('PvA Data'!$G$2:$G$1576,'PvA Data'!$A$2:$A$1576,$A6,'PvA Data'!$C$2:$C$1576,"Nahunta")</f>
        <v>299</v>
      </c>
      <c r="I6" s="36">
        <f t="shared" ref="I6:I31" si="2">IF(G6=0,"",H6/G6)</f>
        <v>1.04</v>
      </c>
      <c r="J6" s="20">
        <f>SUMIFS('PvA Data'!$F$2:$F$1576,'PvA Data'!$A$2:$A$1576,$A6,'PvA Data'!$C$2:$C$1576,"Martin")</f>
        <v>716</v>
      </c>
      <c r="K6" s="20">
        <f>SUMIFS('PvA Data'!$G$2:$G$1576,'PvA Data'!$A$2:$A$1576,$A6,'PvA Data'!$C$2:$C$1576,"Martin")</f>
        <v>591</v>
      </c>
      <c r="L6" s="36">
        <f t="shared" ref="L6:L31" si="3">IF(J6=0,"",K6/J6)</f>
        <v>0.82541899441340782</v>
      </c>
      <c r="M6" s="20">
        <f>SUMIFS('PvA Data'!$F$2:$F$1576,'PvA Data'!$A$2:$A$1576,$A6,'PvA Data'!$C$2:$C$1576,"Custom")</f>
        <v>184</v>
      </c>
      <c r="N6" s="20">
        <f>SUMIFS('PvA Data'!$G$2:$G$1576,'PvA Data'!$A$2:$A$1576,$A6,'PvA Data'!$C$2:$C$1576,"Custom")</f>
        <v>0</v>
      </c>
      <c r="O6" s="36">
        <f t="shared" ref="O6:O31" si="4">IF(M6=0,"",N6/M6)</f>
        <v>0</v>
      </c>
      <c r="P6" s="36">
        <f t="shared" ref="P6:P31" si="5">IF($D6=0,"",H6/$D6)</f>
        <v>0.33595505617977528</v>
      </c>
      <c r="Q6" s="36">
        <f t="shared" ref="Q6:Q31" si="6">IF($D6=0,"",K6/$D6)</f>
        <v>0.66404494382022472</v>
      </c>
      <c r="R6" s="36">
        <f t="shared" ref="R6:R31" si="7">IF($D6=0,"",N6/$D6)</f>
        <v>0</v>
      </c>
    </row>
    <row r="7" spans="1:18" ht="15" customHeight="1" x14ac:dyDescent="0.75">
      <c r="A7" s="18" t="s">
        <v>61</v>
      </c>
      <c r="B7" s="19">
        <v>46027</v>
      </c>
      <c r="C7" s="20">
        <f>SUMIFS('PvA Data'!$F$2:$F$1576,'PvA Data'!$A$2:$A$1576,$A7)</f>
        <v>1187.5</v>
      </c>
      <c r="D7" s="20">
        <f>SUMIFS('PvA Data'!$G$2:$G$1576,'PvA Data'!$A$2:$A$1576,$A7)</f>
        <v>905</v>
      </c>
      <c r="E7" s="36">
        <f t="shared" si="0"/>
        <v>0.76210526315789473</v>
      </c>
      <c r="F7" s="20">
        <f t="shared" si="1"/>
        <v>-282.5</v>
      </c>
      <c r="G7" s="20">
        <f>SUMIFS('PvA Data'!$F$2:$F$1576,'PvA Data'!$A$2:$A$1576,$A7,'PvA Data'!$C$2:$C$1576,"Nahunta")</f>
        <v>287.5</v>
      </c>
      <c r="H7" s="20">
        <f>SUMIFS('PvA Data'!$G$2:$G$1576,'PvA Data'!$A$2:$A$1576,$A7,'PvA Data'!$C$2:$C$1576,"Nahunta")</f>
        <v>217</v>
      </c>
      <c r="I7" s="36">
        <f t="shared" si="2"/>
        <v>0.75478260869565217</v>
      </c>
      <c r="J7" s="20">
        <f>SUMIFS('PvA Data'!$F$2:$F$1576,'PvA Data'!$A$2:$A$1576,$A7,'PvA Data'!$C$2:$C$1576,"Martin")</f>
        <v>716</v>
      </c>
      <c r="K7" s="20">
        <f>SUMIFS('PvA Data'!$G$2:$G$1576,'PvA Data'!$A$2:$A$1576,$A7,'PvA Data'!$C$2:$C$1576,"Martin")</f>
        <v>688</v>
      </c>
      <c r="L7" s="36">
        <f t="shared" si="3"/>
        <v>0.96089385474860334</v>
      </c>
      <c r="M7" s="20">
        <f>SUMIFS('PvA Data'!$F$2:$F$1576,'PvA Data'!$A$2:$A$1576,$A7,'PvA Data'!$C$2:$C$1576,"Custom")</f>
        <v>184</v>
      </c>
      <c r="N7" s="20">
        <f>SUMIFS('PvA Data'!$G$2:$G$1576,'PvA Data'!$A$2:$A$1576,$A7,'PvA Data'!$C$2:$C$1576,"Custom")</f>
        <v>0</v>
      </c>
      <c r="O7" s="36">
        <f t="shared" si="4"/>
        <v>0</v>
      </c>
      <c r="P7" s="36">
        <f t="shared" si="5"/>
        <v>0.23977900552486187</v>
      </c>
      <c r="Q7" s="36">
        <f t="shared" si="6"/>
        <v>0.76022099447513813</v>
      </c>
      <c r="R7" s="36">
        <f t="shared" si="7"/>
        <v>0</v>
      </c>
    </row>
    <row r="8" spans="1:18" ht="15" customHeight="1" x14ac:dyDescent="0.75">
      <c r="A8" s="18" t="s">
        <v>64</v>
      </c>
      <c r="B8" s="19">
        <v>46034</v>
      </c>
      <c r="C8" s="20">
        <f>SUMIFS('PvA Data'!$F$2:$F$1576,'PvA Data'!$A$2:$A$1576,$A8)</f>
        <v>965</v>
      </c>
      <c r="D8" s="20">
        <f>SUMIFS('PvA Data'!$G$2:$G$1576,'PvA Data'!$A$2:$A$1576,$A8)</f>
        <v>1081</v>
      </c>
      <c r="E8" s="36">
        <f t="shared" si="0"/>
        <v>1.1202072538860104</v>
      </c>
      <c r="F8" s="20">
        <f t="shared" si="1"/>
        <v>116</v>
      </c>
      <c r="G8" s="20">
        <f>SUMIFS('PvA Data'!$F$2:$F$1576,'PvA Data'!$A$2:$A$1576,$A8,'PvA Data'!$C$2:$C$1576,"Nahunta")</f>
        <v>212.5</v>
      </c>
      <c r="H8" s="20">
        <f>SUMIFS('PvA Data'!$G$2:$G$1576,'PvA Data'!$A$2:$A$1576,$A8,'PvA Data'!$C$2:$C$1576,"Nahunta")</f>
        <v>354</v>
      </c>
      <c r="I8" s="36">
        <f t="shared" si="2"/>
        <v>1.6658823529411764</v>
      </c>
      <c r="J8" s="20">
        <f>SUMIFS('PvA Data'!$F$2:$F$1576,'PvA Data'!$A$2:$A$1576,$A8,'PvA Data'!$C$2:$C$1576,"Martin")</f>
        <v>619.5</v>
      </c>
      <c r="K8" s="20">
        <f>SUMIFS('PvA Data'!$G$2:$G$1576,'PvA Data'!$A$2:$A$1576,$A8,'PvA Data'!$C$2:$C$1576,"Martin")</f>
        <v>605</v>
      </c>
      <c r="L8" s="36">
        <f t="shared" si="3"/>
        <v>0.97659402744148505</v>
      </c>
      <c r="M8" s="20">
        <f>SUMIFS('PvA Data'!$F$2:$F$1576,'PvA Data'!$A$2:$A$1576,$A8,'PvA Data'!$C$2:$C$1576,"Custom")</f>
        <v>133</v>
      </c>
      <c r="N8" s="20">
        <f>SUMIFS('PvA Data'!$G$2:$G$1576,'PvA Data'!$A$2:$A$1576,$A8,'PvA Data'!$C$2:$C$1576,"Custom")</f>
        <v>122</v>
      </c>
      <c r="O8" s="36">
        <f t="shared" si="4"/>
        <v>0.91729323308270672</v>
      </c>
      <c r="P8" s="36">
        <f t="shared" si="5"/>
        <v>0.32747456059204438</v>
      </c>
      <c r="Q8" s="36">
        <f t="shared" si="6"/>
        <v>0.55966697502312679</v>
      </c>
      <c r="R8" s="36">
        <f t="shared" si="7"/>
        <v>0.11285846438482887</v>
      </c>
    </row>
    <row r="9" spans="1:18" ht="15" customHeight="1" x14ac:dyDescent="0.75">
      <c r="A9" s="18" t="s">
        <v>67</v>
      </c>
      <c r="B9" s="19">
        <v>46041</v>
      </c>
      <c r="C9" s="20">
        <f>SUMIFS('PvA Data'!$F$2:$F$1576,'PvA Data'!$A$2:$A$1576,$A9)</f>
        <v>965</v>
      </c>
      <c r="D9" s="20">
        <f>SUMIFS('PvA Data'!$G$2:$G$1576,'PvA Data'!$A$2:$A$1576,$A9)</f>
        <v>391</v>
      </c>
      <c r="E9" s="36">
        <f t="shared" si="0"/>
        <v>0.40518134715025905</v>
      </c>
      <c r="F9" s="20">
        <f t="shared" si="1"/>
        <v>-574</v>
      </c>
      <c r="G9" s="20">
        <f>SUMIFS('PvA Data'!$F$2:$F$1576,'PvA Data'!$A$2:$A$1576,$A9,'PvA Data'!$C$2:$C$1576,"Nahunta")</f>
        <v>212.5</v>
      </c>
      <c r="H9" s="20">
        <f>SUMIFS('PvA Data'!$G$2:$G$1576,'PvA Data'!$A$2:$A$1576,$A9,'PvA Data'!$C$2:$C$1576,"Nahunta")</f>
        <v>54</v>
      </c>
      <c r="I9" s="36">
        <f t="shared" si="2"/>
        <v>0.2541176470588235</v>
      </c>
      <c r="J9" s="20">
        <f>SUMIFS('PvA Data'!$F$2:$F$1576,'PvA Data'!$A$2:$A$1576,$A9,'PvA Data'!$C$2:$C$1576,"Martin")</f>
        <v>619.5</v>
      </c>
      <c r="K9" s="20">
        <f>SUMIFS('PvA Data'!$G$2:$G$1576,'PvA Data'!$A$2:$A$1576,$A9,'PvA Data'!$C$2:$C$1576,"Martin")</f>
        <v>289</v>
      </c>
      <c r="L9" s="36">
        <f t="shared" si="3"/>
        <v>0.4665052461662631</v>
      </c>
      <c r="M9" s="20">
        <f>SUMIFS('PvA Data'!$F$2:$F$1576,'PvA Data'!$A$2:$A$1576,$A9,'PvA Data'!$C$2:$C$1576,"Custom")</f>
        <v>133</v>
      </c>
      <c r="N9" s="20">
        <f>SUMIFS('PvA Data'!$G$2:$G$1576,'PvA Data'!$A$2:$A$1576,$A9,'PvA Data'!$C$2:$C$1576,"Custom")</f>
        <v>48</v>
      </c>
      <c r="O9" s="36">
        <f t="shared" si="4"/>
        <v>0.36090225563909772</v>
      </c>
      <c r="P9" s="36">
        <f t="shared" si="5"/>
        <v>0.13810741687979539</v>
      </c>
      <c r="Q9" s="36">
        <f t="shared" si="6"/>
        <v>0.73913043478260865</v>
      </c>
      <c r="R9" s="36">
        <f t="shared" si="7"/>
        <v>0.12276214833759591</v>
      </c>
    </row>
    <row r="10" spans="1:18" ht="15" customHeight="1" x14ac:dyDescent="0.75">
      <c r="A10" s="18" t="s">
        <v>68</v>
      </c>
      <c r="B10" s="19">
        <v>46048</v>
      </c>
      <c r="C10" s="20">
        <f>SUMIFS('PvA Data'!$F$2:$F$1576,'PvA Data'!$A$2:$A$1576,$A10)</f>
        <v>944</v>
      </c>
      <c r="D10" s="20">
        <f>SUMIFS('PvA Data'!$G$2:$G$1576,'PvA Data'!$A$2:$A$1576,$A10)</f>
        <v>1074</v>
      </c>
      <c r="E10" s="36">
        <f t="shared" si="0"/>
        <v>1.1377118644067796</v>
      </c>
      <c r="F10" s="20">
        <f t="shared" si="1"/>
        <v>130</v>
      </c>
      <c r="G10" s="20">
        <f>SUMIFS('PvA Data'!$F$2:$F$1576,'PvA Data'!$A$2:$A$1576,$A10,'PvA Data'!$C$2:$C$1576,"Nahunta")</f>
        <v>191.5</v>
      </c>
      <c r="H10" s="20">
        <f>SUMIFS('PvA Data'!$G$2:$G$1576,'PvA Data'!$A$2:$A$1576,$A10,'PvA Data'!$C$2:$C$1576,"Nahunta")</f>
        <v>262</v>
      </c>
      <c r="I10" s="36">
        <f t="shared" si="2"/>
        <v>1.3681462140992167</v>
      </c>
      <c r="J10" s="20">
        <f>SUMIFS('PvA Data'!$F$2:$F$1576,'PvA Data'!$A$2:$A$1576,$A10,'PvA Data'!$C$2:$C$1576,"Martin")</f>
        <v>619.5</v>
      </c>
      <c r="K10" s="20">
        <f>SUMIFS('PvA Data'!$G$2:$G$1576,'PvA Data'!$A$2:$A$1576,$A10,'PvA Data'!$C$2:$C$1576,"Martin")</f>
        <v>568</v>
      </c>
      <c r="L10" s="36">
        <f t="shared" si="3"/>
        <v>0.91686844229217113</v>
      </c>
      <c r="M10" s="20">
        <f>SUMIFS('PvA Data'!$F$2:$F$1576,'PvA Data'!$A$2:$A$1576,$A10,'PvA Data'!$C$2:$C$1576,"Custom")</f>
        <v>133</v>
      </c>
      <c r="N10" s="20">
        <f>SUMIFS('PvA Data'!$G$2:$G$1576,'PvA Data'!$A$2:$A$1576,$A10,'PvA Data'!$C$2:$C$1576,"Custom")</f>
        <v>244</v>
      </c>
      <c r="O10" s="36">
        <f t="shared" si="4"/>
        <v>1.8345864661654134</v>
      </c>
      <c r="P10" s="36">
        <f t="shared" si="5"/>
        <v>0.24394785847299813</v>
      </c>
      <c r="Q10" s="36">
        <f t="shared" si="6"/>
        <v>0.52886405959031657</v>
      </c>
      <c r="R10" s="36">
        <f t="shared" si="7"/>
        <v>0.2271880819366853</v>
      </c>
    </row>
    <row r="11" spans="1:18" ht="15" customHeight="1" x14ac:dyDescent="0.75">
      <c r="A11" s="18" t="s">
        <v>69</v>
      </c>
      <c r="B11" s="19">
        <v>46055</v>
      </c>
      <c r="C11" s="20">
        <f>SUMIFS('PvA Data'!$F$2:$F$1576,'PvA Data'!$A$2:$A$1576,$A11)</f>
        <v>944</v>
      </c>
      <c r="D11" s="20">
        <f>SUMIFS('PvA Data'!$G$2:$G$1576,'PvA Data'!$A$2:$A$1576,$A11)</f>
        <v>550</v>
      </c>
      <c r="E11" s="36">
        <f t="shared" si="0"/>
        <v>0.5826271186440678</v>
      </c>
      <c r="F11" s="20">
        <f t="shared" si="1"/>
        <v>-394</v>
      </c>
      <c r="G11" s="20">
        <f>SUMIFS('PvA Data'!$F$2:$F$1576,'PvA Data'!$A$2:$A$1576,$A11,'PvA Data'!$C$2:$C$1576,"Nahunta")</f>
        <v>191.5</v>
      </c>
      <c r="H11" s="20">
        <f>SUMIFS('PvA Data'!$G$2:$G$1576,'PvA Data'!$A$2:$A$1576,$A11,'PvA Data'!$C$2:$C$1576,"Nahunta")</f>
        <v>120</v>
      </c>
      <c r="I11" s="36">
        <f t="shared" si="2"/>
        <v>0.62663185378590081</v>
      </c>
      <c r="J11" s="20">
        <f>SUMIFS('PvA Data'!$F$2:$F$1576,'PvA Data'!$A$2:$A$1576,$A11,'PvA Data'!$C$2:$C$1576,"Martin")</f>
        <v>619.5</v>
      </c>
      <c r="K11" s="20">
        <f>SUMIFS('PvA Data'!$G$2:$G$1576,'PvA Data'!$A$2:$A$1576,$A11,'PvA Data'!$C$2:$C$1576,"Martin")</f>
        <v>408</v>
      </c>
      <c r="L11" s="36">
        <f t="shared" si="3"/>
        <v>0.65859564164648909</v>
      </c>
      <c r="M11" s="20">
        <f>SUMIFS('PvA Data'!$F$2:$F$1576,'PvA Data'!$A$2:$A$1576,$A11,'PvA Data'!$C$2:$C$1576,"Custom")</f>
        <v>133</v>
      </c>
      <c r="N11" s="20">
        <f>SUMIFS('PvA Data'!$G$2:$G$1576,'PvA Data'!$A$2:$A$1576,$A11,'PvA Data'!$C$2:$C$1576,"Custom")</f>
        <v>22</v>
      </c>
      <c r="O11" s="36">
        <f t="shared" si="4"/>
        <v>0.16541353383458646</v>
      </c>
      <c r="P11" s="36">
        <f t="shared" si="5"/>
        <v>0.21818181818181817</v>
      </c>
      <c r="Q11" s="36">
        <f t="shared" si="6"/>
        <v>0.74181818181818182</v>
      </c>
      <c r="R11" s="36">
        <f t="shared" si="7"/>
        <v>0.04</v>
      </c>
    </row>
    <row r="12" spans="1:18" ht="15" customHeight="1" x14ac:dyDescent="0.75">
      <c r="A12" s="18" t="s">
        <v>70</v>
      </c>
      <c r="B12" s="19">
        <v>46062</v>
      </c>
      <c r="C12" s="20">
        <f>SUMIFS('PvA Data'!$F$2:$F$1576,'PvA Data'!$A$2:$A$1576,$A12)</f>
        <v>1124.5</v>
      </c>
      <c r="D12" s="20">
        <f>SUMIFS('PvA Data'!$G$2:$G$1576,'PvA Data'!$A$2:$A$1576,$A12)</f>
        <v>1199</v>
      </c>
      <c r="E12" s="36">
        <f t="shared" si="0"/>
        <v>1.0662516674077367</v>
      </c>
      <c r="F12" s="20">
        <f t="shared" si="1"/>
        <v>74.5</v>
      </c>
      <c r="G12" s="20">
        <f>SUMIFS('PvA Data'!$F$2:$F$1576,'PvA Data'!$A$2:$A$1576,$A12,'PvA Data'!$C$2:$C$1576,"Nahunta")</f>
        <v>157</v>
      </c>
      <c r="H12" s="20">
        <f>SUMIFS('PvA Data'!$G$2:$G$1576,'PvA Data'!$A$2:$A$1576,$A12,'PvA Data'!$C$2:$C$1576,"Nahunta")</f>
        <v>285</v>
      </c>
      <c r="I12" s="36">
        <f t="shared" si="2"/>
        <v>1.8152866242038217</v>
      </c>
      <c r="J12" s="20">
        <f>SUMIFS('PvA Data'!$F$2:$F$1576,'PvA Data'!$A$2:$A$1576,$A12,'PvA Data'!$C$2:$C$1576,"Martin")</f>
        <v>816.5</v>
      </c>
      <c r="K12" s="20">
        <f>SUMIFS('PvA Data'!$G$2:$G$1576,'PvA Data'!$A$2:$A$1576,$A12,'PvA Data'!$C$2:$C$1576,"Martin")</f>
        <v>693</v>
      </c>
      <c r="L12" s="36">
        <f t="shared" si="3"/>
        <v>0.84874464176362518</v>
      </c>
      <c r="M12" s="20">
        <f>SUMIFS('PvA Data'!$F$2:$F$1576,'PvA Data'!$A$2:$A$1576,$A12,'PvA Data'!$C$2:$C$1576,"Custom")</f>
        <v>151</v>
      </c>
      <c r="N12" s="20">
        <f>SUMIFS('PvA Data'!$G$2:$G$1576,'PvA Data'!$A$2:$A$1576,$A12,'PvA Data'!$C$2:$C$1576,"Custom")</f>
        <v>221</v>
      </c>
      <c r="O12" s="36">
        <f t="shared" si="4"/>
        <v>1.4635761589403973</v>
      </c>
      <c r="P12" s="36">
        <f t="shared" si="5"/>
        <v>0.23769808173477899</v>
      </c>
      <c r="Q12" s="36">
        <f t="shared" si="6"/>
        <v>0.57798165137614677</v>
      </c>
      <c r="R12" s="36">
        <f t="shared" si="7"/>
        <v>0.18432026688907424</v>
      </c>
    </row>
    <row r="13" spans="1:18" ht="15" customHeight="1" x14ac:dyDescent="0.75">
      <c r="A13" s="18" t="s">
        <v>71</v>
      </c>
      <c r="B13" s="19">
        <v>46069</v>
      </c>
      <c r="C13" s="20">
        <f>SUMIFS('PvA Data'!$F$2:$F$1576,'PvA Data'!$A$2:$A$1576,$A13)</f>
        <v>1124.5</v>
      </c>
      <c r="D13" s="20">
        <f>SUMIFS('PvA Data'!$G$2:$G$1576,'PvA Data'!$A$2:$A$1576,$A13)</f>
        <v>635</v>
      </c>
      <c r="E13" s="36">
        <f t="shared" si="0"/>
        <v>0.56469542018674967</v>
      </c>
      <c r="F13" s="20">
        <f t="shared" si="1"/>
        <v>-489.5</v>
      </c>
      <c r="G13" s="20">
        <f>SUMIFS('PvA Data'!$F$2:$F$1576,'PvA Data'!$A$2:$A$1576,$A13,'PvA Data'!$C$2:$C$1576,"Nahunta")</f>
        <v>157</v>
      </c>
      <c r="H13" s="20">
        <f>SUMIFS('PvA Data'!$G$2:$G$1576,'PvA Data'!$A$2:$A$1576,$A13,'PvA Data'!$C$2:$C$1576,"Nahunta")</f>
        <v>29</v>
      </c>
      <c r="I13" s="36">
        <f t="shared" si="2"/>
        <v>0.18471337579617833</v>
      </c>
      <c r="J13" s="20">
        <f>SUMIFS('PvA Data'!$F$2:$F$1576,'PvA Data'!$A$2:$A$1576,$A13,'PvA Data'!$C$2:$C$1576,"Martin")</f>
        <v>816.5</v>
      </c>
      <c r="K13" s="20">
        <f>SUMIFS('PvA Data'!$G$2:$G$1576,'PvA Data'!$A$2:$A$1576,$A13,'PvA Data'!$C$2:$C$1576,"Martin")</f>
        <v>525</v>
      </c>
      <c r="L13" s="36">
        <f t="shared" si="3"/>
        <v>0.64298836497244338</v>
      </c>
      <c r="M13" s="20">
        <f>SUMIFS('PvA Data'!$F$2:$F$1576,'PvA Data'!$A$2:$A$1576,$A13,'PvA Data'!$C$2:$C$1576,"Custom")</f>
        <v>151</v>
      </c>
      <c r="N13" s="20">
        <f>SUMIFS('PvA Data'!$G$2:$G$1576,'PvA Data'!$A$2:$A$1576,$A13,'PvA Data'!$C$2:$C$1576,"Custom")</f>
        <v>81</v>
      </c>
      <c r="O13" s="36">
        <f t="shared" si="4"/>
        <v>0.53642384105960261</v>
      </c>
      <c r="P13" s="36">
        <f t="shared" si="5"/>
        <v>4.5669291338582677E-2</v>
      </c>
      <c r="Q13" s="36">
        <f t="shared" si="6"/>
        <v>0.82677165354330706</v>
      </c>
      <c r="R13" s="36">
        <f t="shared" si="7"/>
        <v>0.12755905511811025</v>
      </c>
    </row>
    <row r="14" spans="1:18" ht="15" customHeight="1" x14ac:dyDescent="0.75">
      <c r="A14" s="18" t="s">
        <v>72</v>
      </c>
      <c r="B14" s="19">
        <v>46076</v>
      </c>
      <c r="C14" s="20">
        <f>SUMIFS('PvA Data'!$F$2:$F$1576,'PvA Data'!$A$2:$A$1576,$A14)</f>
        <v>1165</v>
      </c>
      <c r="D14" s="20">
        <f>SUMIFS('PvA Data'!$G$2:$G$1576,'PvA Data'!$A$2:$A$1576,$A14)</f>
        <v>1459</v>
      </c>
      <c r="E14" s="36">
        <f t="shared" si="0"/>
        <v>1.2523605150214592</v>
      </c>
      <c r="F14" s="20">
        <f t="shared" si="1"/>
        <v>294</v>
      </c>
      <c r="G14" s="20">
        <f>SUMIFS('PvA Data'!$F$2:$F$1576,'PvA Data'!$A$2:$A$1576,$A14,'PvA Data'!$C$2:$C$1576,"Nahunta")</f>
        <v>243</v>
      </c>
      <c r="H14" s="20">
        <f>SUMIFS('PvA Data'!$G$2:$G$1576,'PvA Data'!$A$2:$A$1576,$A14,'PvA Data'!$C$2:$C$1576,"Nahunta")</f>
        <v>398</v>
      </c>
      <c r="I14" s="36">
        <f t="shared" si="2"/>
        <v>1.6378600823045268</v>
      </c>
      <c r="J14" s="20">
        <f>SUMIFS('PvA Data'!$F$2:$F$1576,'PvA Data'!$A$2:$A$1576,$A14,'PvA Data'!$C$2:$C$1576,"Martin")</f>
        <v>772.5</v>
      </c>
      <c r="K14" s="20">
        <f>SUMIFS('PvA Data'!$G$2:$G$1576,'PvA Data'!$A$2:$A$1576,$A14,'PvA Data'!$C$2:$C$1576,"Martin")</f>
        <v>802</v>
      </c>
      <c r="L14" s="36">
        <f t="shared" si="3"/>
        <v>1.0381877022653723</v>
      </c>
      <c r="M14" s="20">
        <f>SUMIFS('PvA Data'!$F$2:$F$1576,'PvA Data'!$A$2:$A$1576,$A14,'PvA Data'!$C$2:$C$1576,"Custom")</f>
        <v>149.5</v>
      </c>
      <c r="N14" s="20">
        <f>SUMIFS('PvA Data'!$G$2:$G$1576,'PvA Data'!$A$2:$A$1576,$A14,'PvA Data'!$C$2:$C$1576,"Custom")</f>
        <v>259</v>
      </c>
      <c r="O14" s="36">
        <f t="shared" si="4"/>
        <v>1.7324414715719063</v>
      </c>
      <c r="P14" s="36">
        <f t="shared" si="5"/>
        <v>0.27278958190541469</v>
      </c>
      <c r="Q14" s="36">
        <f t="shared" si="6"/>
        <v>0.54969156956819742</v>
      </c>
      <c r="R14" s="36">
        <f t="shared" si="7"/>
        <v>0.17751884852638794</v>
      </c>
    </row>
    <row r="15" spans="1:18" ht="15" customHeight="1" x14ac:dyDescent="0.75">
      <c r="A15" s="18" t="s">
        <v>73</v>
      </c>
      <c r="B15" s="19">
        <v>46083</v>
      </c>
      <c r="C15" s="20">
        <f>SUMIFS('PvA Data'!$F$2:$F$1576,'PvA Data'!$A$2:$A$1576,$A15)</f>
        <v>1165</v>
      </c>
      <c r="D15" s="20">
        <f>SUMIFS('PvA Data'!$G$2:$G$1576,'PvA Data'!$A$2:$A$1576,$A15)</f>
        <v>825</v>
      </c>
      <c r="E15" s="36">
        <f t="shared" si="0"/>
        <v>0.70815450643776823</v>
      </c>
      <c r="F15" s="20">
        <f t="shared" si="1"/>
        <v>-340</v>
      </c>
      <c r="G15" s="20">
        <f>SUMIFS('PvA Data'!$F$2:$F$1576,'PvA Data'!$A$2:$A$1576,$A15,'PvA Data'!$C$2:$C$1576,"Nahunta")</f>
        <v>243</v>
      </c>
      <c r="H15" s="20">
        <f>SUMIFS('PvA Data'!$G$2:$G$1576,'PvA Data'!$A$2:$A$1576,$A15,'PvA Data'!$C$2:$C$1576,"Nahunta")</f>
        <v>87</v>
      </c>
      <c r="I15" s="36">
        <f t="shared" si="2"/>
        <v>0.35802469135802467</v>
      </c>
      <c r="J15" s="20">
        <f>SUMIFS('PvA Data'!$F$2:$F$1576,'PvA Data'!$A$2:$A$1576,$A15,'PvA Data'!$C$2:$C$1576,"Martin")</f>
        <v>772.5</v>
      </c>
      <c r="K15" s="20">
        <f>SUMIFS('PvA Data'!$G$2:$G$1576,'PvA Data'!$A$2:$A$1576,$A15,'PvA Data'!$C$2:$C$1576,"Martin")</f>
        <v>698</v>
      </c>
      <c r="L15" s="36">
        <f t="shared" si="3"/>
        <v>0.90355987055016185</v>
      </c>
      <c r="M15" s="20">
        <f>SUMIFS('PvA Data'!$F$2:$F$1576,'PvA Data'!$A$2:$A$1576,$A15,'PvA Data'!$C$2:$C$1576,"Custom")</f>
        <v>149.5</v>
      </c>
      <c r="N15" s="20">
        <f>SUMIFS('PvA Data'!$G$2:$G$1576,'PvA Data'!$A$2:$A$1576,$A15,'PvA Data'!$C$2:$C$1576,"Custom")</f>
        <v>40</v>
      </c>
      <c r="O15" s="36">
        <f t="shared" si="4"/>
        <v>0.26755852842809363</v>
      </c>
      <c r="P15" s="36">
        <f t="shared" si="5"/>
        <v>0.10545454545454545</v>
      </c>
      <c r="Q15" s="36">
        <f t="shared" si="6"/>
        <v>0.84606060606060607</v>
      </c>
      <c r="R15" s="36">
        <f t="shared" si="7"/>
        <v>4.8484848484848485E-2</v>
      </c>
    </row>
    <row r="16" spans="1:18" ht="15" customHeight="1" x14ac:dyDescent="0.75">
      <c r="A16" s="18" t="s">
        <v>74</v>
      </c>
      <c r="B16" s="19">
        <v>46090</v>
      </c>
      <c r="C16" s="20">
        <f>SUMIFS('PvA Data'!$F$2:$F$1576,'PvA Data'!$A$2:$A$1576,$A16)</f>
        <v>1632.5</v>
      </c>
      <c r="D16" s="20">
        <f>SUMIFS('PvA Data'!$G$2:$G$1576,'PvA Data'!$A$2:$A$1576,$A16)</f>
        <v>1462</v>
      </c>
      <c r="E16" s="36">
        <f t="shared" si="0"/>
        <v>0.89555895865237367</v>
      </c>
      <c r="F16" s="20">
        <f t="shared" si="1"/>
        <v>-170.5</v>
      </c>
      <c r="G16" s="20">
        <f>SUMIFS('PvA Data'!$F$2:$F$1576,'PvA Data'!$A$2:$A$1576,$A16,'PvA Data'!$C$2:$C$1576,"Nahunta")</f>
        <v>293.5</v>
      </c>
      <c r="H16" s="20">
        <f>SUMIFS('PvA Data'!$G$2:$G$1576,'PvA Data'!$A$2:$A$1576,$A16,'PvA Data'!$C$2:$C$1576,"Nahunta")</f>
        <v>396</v>
      </c>
      <c r="I16" s="36">
        <f t="shared" si="2"/>
        <v>1.3492333901192504</v>
      </c>
      <c r="J16" s="20">
        <f>SUMIFS('PvA Data'!$F$2:$F$1576,'PvA Data'!$A$2:$A$1576,$A16,'PvA Data'!$C$2:$C$1576,"Martin")</f>
        <v>1162</v>
      </c>
      <c r="K16" s="20">
        <f>SUMIFS('PvA Data'!$G$2:$G$1576,'PvA Data'!$A$2:$A$1576,$A16,'PvA Data'!$C$2:$C$1576,"Martin")</f>
        <v>879</v>
      </c>
      <c r="L16" s="36">
        <f t="shared" si="3"/>
        <v>0.75645438898450945</v>
      </c>
      <c r="M16" s="20">
        <f>SUMIFS('PvA Data'!$F$2:$F$1576,'PvA Data'!$A$2:$A$1576,$A16,'PvA Data'!$C$2:$C$1576,"Custom")</f>
        <v>177</v>
      </c>
      <c r="N16" s="20">
        <f>SUMIFS('PvA Data'!$G$2:$G$1576,'PvA Data'!$A$2:$A$1576,$A16,'PvA Data'!$C$2:$C$1576,"Custom")</f>
        <v>187</v>
      </c>
      <c r="O16" s="36">
        <f t="shared" si="4"/>
        <v>1.0564971751412429</v>
      </c>
      <c r="P16" s="36">
        <f t="shared" si="5"/>
        <v>0.27086183310533518</v>
      </c>
      <c r="Q16" s="36">
        <f t="shared" si="6"/>
        <v>0.60123119015047877</v>
      </c>
      <c r="R16" s="36">
        <f t="shared" si="7"/>
        <v>0.12790697674418605</v>
      </c>
    </row>
    <row r="17" spans="1:18" ht="15" customHeight="1" x14ac:dyDescent="0.75">
      <c r="A17" s="18" t="s">
        <v>75</v>
      </c>
      <c r="B17" s="19">
        <v>46097</v>
      </c>
      <c r="C17" s="20">
        <f>SUMIFS('PvA Data'!$F$2:$F$1576,'PvA Data'!$A$2:$A$1576,$A17)</f>
        <v>1632.5</v>
      </c>
      <c r="D17" s="20">
        <f>SUMIFS('PvA Data'!$G$2:$G$1576,'PvA Data'!$A$2:$A$1576,$A17)</f>
        <v>1155</v>
      </c>
      <c r="E17" s="36">
        <f t="shared" si="0"/>
        <v>0.70750382848392035</v>
      </c>
      <c r="F17" s="20">
        <f t="shared" si="1"/>
        <v>-477.5</v>
      </c>
      <c r="G17" s="20">
        <f>SUMIFS('PvA Data'!$F$2:$F$1576,'PvA Data'!$A$2:$A$1576,$A17,'PvA Data'!$C$2:$C$1576,"Nahunta")</f>
        <v>293.5</v>
      </c>
      <c r="H17" s="20">
        <f>SUMIFS('PvA Data'!$G$2:$G$1576,'PvA Data'!$A$2:$A$1576,$A17,'PvA Data'!$C$2:$C$1576,"Nahunta")</f>
        <v>128</v>
      </c>
      <c r="I17" s="36">
        <f t="shared" si="2"/>
        <v>0.43611584327086883</v>
      </c>
      <c r="J17" s="20">
        <f>SUMIFS('PvA Data'!$F$2:$F$1576,'PvA Data'!$A$2:$A$1576,$A17,'PvA Data'!$C$2:$C$1576,"Martin")</f>
        <v>1162</v>
      </c>
      <c r="K17" s="20">
        <f>SUMIFS('PvA Data'!$G$2:$G$1576,'PvA Data'!$A$2:$A$1576,$A17,'PvA Data'!$C$2:$C$1576,"Martin")</f>
        <v>860</v>
      </c>
      <c r="L17" s="36">
        <f t="shared" si="3"/>
        <v>0.74010327022375211</v>
      </c>
      <c r="M17" s="20">
        <f>SUMIFS('PvA Data'!$F$2:$F$1576,'PvA Data'!$A$2:$A$1576,$A17,'PvA Data'!$C$2:$C$1576,"Custom")</f>
        <v>177</v>
      </c>
      <c r="N17" s="20">
        <f>SUMIFS('PvA Data'!$G$2:$G$1576,'PvA Data'!$A$2:$A$1576,$A17,'PvA Data'!$C$2:$C$1576,"Custom")</f>
        <v>167</v>
      </c>
      <c r="O17" s="36">
        <f t="shared" si="4"/>
        <v>0.94350282485875703</v>
      </c>
      <c r="P17" s="36">
        <f t="shared" si="5"/>
        <v>0.11082251082251082</v>
      </c>
      <c r="Q17" s="36">
        <f t="shared" si="6"/>
        <v>0.74458874458874458</v>
      </c>
      <c r="R17" s="36">
        <f t="shared" si="7"/>
        <v>0.1445887445887446</v>
      </c>
    </row>
    <row r="18" spans="1:18" ht="15" customHeight="1" x14ac:dyDescent="0.75">
      <c r="A18" s="18" t="s">
        <v>76</v>
      </c>
      <c r="B18" s="19">
        <v>46104</v>
      </c>
      <c r="C18" s="20">
        <f>SUMIFS('PvA Data'!$F$2:$F$1576,'PvA Data'!$A$2:$A$1576,$A18)</f>
        <v>1632.5</v>
      </c>
      <c r="D18" s="20">
        <f>SUMIFS('PvA Data'!$G$2:$G$1576,'PvA Data'!$A$2:$A$1576,$A18)</f>
        <v>1488</v>
      </c>
      <c r="E18" s="36">
        <f t="shared" si="0"/>
        <v>0.91148545176110263</v>
      </c>
      <c r="F18" s="20">
        <f t="shared" si="1"/>
        <v>-144.5</v>
      </c>
      <c r="G18" s="20">
        <f>SUMIFS('PvA Data'!$F$2:$F$1576,'PvA Data'!$A$2:$A$1576,$A18,'PvA Data'!$C$2:$C$1576,"Nahunta")</f>
        <v>293.5</v>
      </c>
      <c r="H18" s="20">
        <f>SUMIFS('PvA Data'!$G$2:$G$1576,'PvA Data'!$A$2:$A$1576,$A18,'PvA Data'!$C$2:$C$1576,"Nahunta")</f>
        <v>380</v>
      </c>
      <c r="I18" s="36">
        <f t="shared" si="2"/>
        <v>1.2947189097103917</v>
      </c>
      <c r="J18" s="20">
        <f>SUMIFS('PvA Data'!$F$2:$F$1576,'PvA Data'!$A$2:$A$1576,$A18,'PvA Data'!$C$2:$C$1576,"Martin")</f>
        <v>1162</v>
      </c>
      <c r="K18" s="20">
        <f>SUMIFS('PvA Data'!$G$2:$G$1576,'PvA Data'!$A$2:$A$1576,$A18,'PvA Data'!$C$2:$C$1576,"Martin")</f>
        <v>821</v>
      </c>
      <c r="L18" s="36">
        <f t="shared" si="3"/>
        <v>0.70654044750430289</v>
      </c>
      <c r="M18" s="20">
        <f>SUMIFS('PvA Data'!$F$2:$F$1576,'PvA Data'!$A$2:$A$1576,$A18,'PvA Data'!$C$2:$C$1576,"Custom")</f>
        <v>177</v>
      </c>
      <c r="N18" s="20">
        <f>SUMIFS('PvA Data'!$G$2:$G$1576,'PvA Data'!$A$2:$A$1576,$A18,'PvA Data'!$C$2:$C$1576,"Custom")</f>
        <v>287</v>
      </c>
      <c r="O18" s="36">
        <f t="shared" si="4"/>
        <v>1.6214689265536724</v>
      </c>
      <c r="P18" s="36">
        <f t="shared" si="5"/>
        <v>0.2553763440860215</v>
      </c>
      <c r="Q18" s="36">
        <f t="shared" si="6"/>
        <v>0.551747311827957</v>
      </c>
      <c r="R18" s="36">
        <f t="shared" si="7"/>
        <v>0.1928763440860215</v>
      </c>
    </row>
    <row r="19" spans="1:18" ht="15" customHeight="1" x14ac:dyDescent="0.75">
      <c r="A19" s="18" t="s">
        <v>77</v>
      </c>
      <c r="B19" s="19">
        <v>46111</v>
      </c>
      <c r="C19" s="20">
        <f>SUMIFS('PvA Data'!$F$2:$F$1576,'PvA Data'!$A$2:$A$1576,$A19)</f>
        <v>1632.5</v>
      </c>
      <c r="D19" s="20">
        <f>SUMIFS('PvA Data'!$G$2:$G$1576,'PvA Data'!$A$2:$A$1576,$A19)</f>
        <v>977</v>
      </c>
      <c r="E19" s="36">
        <f t="shared" si="0"/>
        <v>0.59846860643185296</v>
      </c>
      <c r="F19" s="20">
        <f t="shared" si="1"/>
        <v>-655.5</v>
      </c>
      <c r="G19" s="20">
        <f>SUMIFS('PvA Data'!$F$2:$F$1576,'PvA Data'!$A$2:$A$1576,$A19,'PvA Data'!$C$2:$C$1576,"Nahunta")</f>
        <v>293.5</v>
      </c>
      <c r="H19" s="20">
        <f>SUMIFS('PvA Data'!$G$2:$G$1576,'PvA Data'!$A$2:$A$1576,$A19,'PvA Data'!$C$2:$C$1576,"Nahunta")</f>
        <v>200</v>
      </c>
      <c r="I19" s="36">
        <f t="shared" si="2"/>
        <v>0.68143100511073251</v>
      </c>
      <c r="J19" s="20">
        <f>SUMIFS('PvA Data'!$F$2:$F$1576,'PvA Data'!$A$2:$A$1576,$A19,'PvA Data'!$C$2:$C$1576,"Martin")</f>
        <v>1162</v>
      </c>
      <c r="K19" s="20">
        <f>SUMIFS('PvA Data'!$G$2:$G$1576,'PvA Data'!$A$2:$A$1576,$A19,'PvA Data'!$C$2:$C$1576,"Martin")</f>
        <v>710</v>
      </c>
      <c r="L19" s="36">
        <f t="shared" si="3"/>
        <v>0.61101549053356286</v>
      </c>
      <c r="M19" s="20">
        <f>SUMIFS('PvA Data'!$F$2:$F$1576,'PvA Data'!$A$2:$A$1576,$A19,'PvA Data'!$C$2:$C$1576,"Custom")</f>
        <v>177</v>
      </c>
      <c r="N19" s="20">
        <f>SUMIFS('PvA Data'!$G$2:$G$1576,'PvA Data'!$A$2:$A$1576,$A19,'PvA Data'!$C$2:$C$1576,"Custom")</f>
        <v>67</v>
      </c>
      <c r="O19" s="36">
        <f t="shared" si="4"/>
        <v>0.37853107344632769</v>
      </c>
      <c r="P19" s="36">
        <f t="shared" si="5"/>
        <v>0.20470829068577279</v>
      </c>
      <c r="Q19" s="36">
        <f t="shared" si="6"/>
        <v>0.72671443193449337</v>
      </c>
      <c r="R19" s="36">
        <f t="shared" si="7"/>
        <v>6.8577277379733875E-2</v>
      </c>
    </row>
    <row r="20" spans="1:18" ht="15" customHeight="1" x14ac:dyDescent="0.75">
      <c r="A20" s="18" t="s">
        <v>78</v>
      </c>
      <c r="B20" s="19">
        <v>46118</v>
      </c>
      <c r="C20" s="20">
        <f>SUMIFS('PvA Data'!$F$2:$F$1576,'PvA Data'!$A$2:$A$1576,$A20)</f>
        <v>1595</v>
      </c>
      <c r="D20" s="20">
        <f>SUMIFS('PvA Data'!$G$2:$G$1576,'PvA Data'!$A$2:$A$1576,$A20)</f>
        <v>1706</v>
      </c>
      <c r="E20" s="36">
        <f t="shared" si="0"/>
        <v>1.0695924764890281</v>
      </c>
      <c r="F20" s="20">
        <f t="shared" si="1"/>
        <v>111</v>
      </c>
      <c r="G20" s="20">
        <f>SUMIFS('PvA Data'!$F$2:$F$1576,'PvA Data'!$A$2:$A$1576,$A20,'PvA Data'!$C$2:$C$1576,"Nahunta")</f>
        <v>320.5</v>
      </c>
      <c r="H20" s="20">
        <f>SUMIFS('PvA Data'!$G$2:$G$1576,'PvA Data'!$A$2:$A$1576,$A20,'PvA Data'!$C$2:$C$1576,"Nahunta")</f>
        <v>378</v>
      </c>
      <c r="I20" s="36">
        <f t="shared" si="2"/>
        <v>1.1794071762870515</v>
      </c>
      <c r="J20" s="20">
        <f>SUMIFS('PvA Data'!$F$2:$F$1576,'PvA Data'!$A$2:$A$1576,$A20,'PvA Data'!$C$2:$C$1576,"Martin")</f>
        <v>1055</v>
      </c>
      <c r="K20" s="20">
        <f>SUMIFS('PvA Data'!$G$2:$G$1576,'PvA Data'!$A$2:$A$1576,$A20,'PvA Data'!$C$2:$C$1576,"Martin")</f>
        <v>952</v>
      </c>
      <c r="L20" s="36">
        <f t="shared" si="3"/>
        <v>0.90236966824644549</v>
      </c>
      <c r="M20" s="20">
        <f>SUMIFS('PvA Data'!$F$2:$F$1576,'PvA Data'!$A$2:$A$1576,$A20,'PvA Data'!$C$2:$C$1576,"Custom")</f>
        <v>219.5</v>
      </c>
      <c r="N20" s="20">
        <f>SUMIFS('PvA Data'!$G$2:$G$1576,'PvA Data'!$A$2:$A$1576,$A20,'PvA Data'!$C$2:$C$1576,"Custom")</f>
        <v>376</v>
      </c>
      <c r="O20" s="36">
        <f t="shared" si="4"/>
        <v>1.7129840546697039</v>
      </c>
      <c r="P20" s="36">
        <f t="shared" si="5"/>
        <v>0.22157092614302462</v>
      </c>
      <c r="Q20" s="36">
        <f t="shared" si="6"/>
        <v>0.5580304806565064</v>
      </c>
      <c r="R20" s="36">
        <f t="shared" si="7"/>
        <v>0.22039859320046892</v>
      </c>
    </row>
    <row r="21" spans="1:18" ht="15" customHeight="1" x14ac:dyDescent="0.75">
      <c r="A21" s="18" t="s">
        <v>79</v>
      </c>
      <c r="B21" s="19">
        <v>46125</v>
      </c>
      <c r="C21" s="20">
        <f>SUMIFS('PvA Data'!$F$2:$F$1576,'PvA Data'!$A$2:$A$1576,$A21)</f>
        <v>1595</v>
      </c>
      <c r="D21" s="20">
        <f>SUMIFS('PvA Data'!$G$2:$G$1576,'PvA Data'!$A$2:$A$1576,$A21)</f>
        <v>1032</v>
      </c>
      <c r="E21" s="36">
        <f t="shared" si="0"/>
        <v>0.64702194357366771</v>
      </c>
      <c r="F21" s="20">
        <f t="shared" si="1"/>
        <v>-563</v>
      </c>
      <c r="G21" s="20">
        <f>SUMIFS('PvA Data'!$F$2:$F$1576,'PvA Data'!$A$2:$A$1576,$A21,'PvA Data'!$C$2:$C$1576,"Nahunta")</f>
        <v>320.5</v>
      </c>
      <c r="H21" s="20">
        <f>SUMIFS('PvA Data'!$G$2:$G$1576,'PvA Data'!$A$2:$A$1576,$A21,'PvA Data'!$C$2:$C$1576,"Nahunta")</f>
        <v>201</v>
      </c>
      <c r="I21" s="36">
        <f t="shared" si="2"/>
        <v>0.62714508580343209</v>
      </c>
      <c r="J21" s="20">
        <f>SUMIFS('PvA Data'!$F$2:$F$1576,'PvA Data'!$A$2:$A$1576,$A21,'PvA Data'!$C$2:$C$1576,"Martin")</f>
        <v>1055</v>
      </c>
      <c r="K21" s="20">
        <f>SUMIFS('PvA Data'!$G$2:$G$1576,'PvA Data'!$A$2:$A$1576,$A21,'PvA Data'!$C$2:$C$1576,"Martin")</f>
        <v>768</v>
      </c>
      <c r="L21" s="36">
        <f t="shared" si="3"/>
        <v>0.72796208530805684</v>
      </c>
      <c r="M21" s="20">
        <f>SUMIFS('PvA Data'!$F$2:$F$1576,'PvA Data'!$A$2:$A$1576,$A21,'PvA Data'!$C$2:$C$1576,"Custom")</f>
        <v>219.5</v>
      </c>
      <c r="N21" s="20">
        <f>SUMIFS('PvA Data'!$G$2:$G$1576,'PvA Data'!$A$2:$A$1576,$A21,'PvA Data'!$C$2:$C$1576,"Custom")</f>
        <v>63</v>
      </c>
      <c r="O21" s="36">
        <f t="shared" si="4"/>
        <v>0.28701594533029612</v>
      </c>
      <c r="P21" s="36">
        <f t="shared" si="5"/>
        <v>0.19476744186046513</v>
      </c>
      <c r="Q21" s="36">
        <f t="shared" si="6"/>
        <v>0.7441860465116279</v>
      </c>
      <c r="R21" s="36">
        <f t="shared" si="7"/>
        <v>6.1046511627906974E-2</v>
      </c>
    </row>
    <row r="22" spans="1:18" ht="15" customHeight="1" x14ac:dyDescent="0.75">
      <c r="A22" s="18" t="s">
        <v>80</v>
      </c>
      <c r="B22" s="19">
        <v>46132</v>
      </c>
      <c r="C22" s="20">
        <f>SUMIFS('PvA Data'!$F$2:$F$1576,'PvA Data'!$A$2:$A$1576,$A22)</f>
        <v>1584</v>
      </c>
      <c r="D22" s="20">
        <f>SUMIFS('PvA Data'!$G$2:$G$1576,'PvA Data'!$A$2:$A$1576,$A22)</f>
        <v>2014</v>
      </c>
      <c r="E22" s="36">
        <f t="shared" si="0"/>
        <v>1.2714646464646464</v>
      </c>
      <c r="F22" s="20">
        <f t="shared" si="1"/>
        <v>430</v>
      </c>
      <c r="G22" s="20">
        <f>SUMIFS('PvA Data'!$F$2:$F$1576,'PvA Data'!$A$2:$A$1576,$A22,'PvA Data'!$C$2:$C$1576,"Nahunta")</f>
        <v>330.5</v>
      </c>
      <c r="H22" s="20">
        <f>SUMIFS('PvA Data'!$G$2:$G$1576,'PvA Data'!$A$2:$A$1576,$A22,'PvA Data'!$C$2:$C$1576,"Nahunta")</f>
        <v>516</v>
      </c>
      <c r="I22" s="36">
        <f t="shared" si="2"/>
        <v>1.5612708018154311</v>
      </c>
      <c r="J22" s="20">
        <f>SUMIFS('PvA Data'!$F$2:$F$1576,'PvA Data'!$A$2:$A$1576,$A22,'PvA Data'!$C$2:$C$1576,"Martin")</f>
        <v>1000</v>
      </c>
      <c r="K22" s="20">
        <f>SUMIFS('PvA Data'!$G$2:$G$1576,'PvA Data'!$A$2:$A$1576,$A22,'PvA Data'!$C$2:$C$1576,"Martin")</f>
        <v>1071</v>
      </c>
      <c r="L22" s="36">
        <f t="shared" si="3"/>
        <v>1.071</v>
      </c>
      <c r="M22" s="20">
        <f>SUMIFS('PvA Data'!$F$2:$F$1576,'PvA Data'!$A$2:$A$1576,$A22,'PvA Data'!$C$2:$C$1576,"Custom")</f>
        <v>253.5</v>
      </c>
      <c r="N22" s="20">
        <f>SUMIFS('PvA Data'!$G$2:$G$1576,'PvA Data'!$A$2:$A$1576,$A22,'PvA Data'!$C$2:$C$1576,"Custom")</f>
        <v>427</v>
      </c>
      <c r="O22" s="36">
        <f t="shared" si="4"/>
        <v>1.6844181459566074</v>
      </c>
      <c r="P22" s="36">
        <f t="shared" si="5"/>
        <v>0.25620655412115195</v>
      </c>
      <c r="Q22" s="36">
        <f t="shared" si="6"/>
        <v>0.53177755710029795</v>
      </c>
      <c r="R22" s="36">
        <f t="shared" si="7"/>
        <v>0.21201588877855015</v>
      </c>
    </row>
    <row r="23" spans="1:18" ht="15" customHeight="1" x14ac:dyDescent="0.75">
      <c r="A23" s="18" t="s">
        <v>81</v>
      </c>
      <c r="B23" s="19">
        <v>46139</v>
      </c>
      <c r="C23" s="20">
        <f>SUMIFS('PvA Data'!$F$2:$F$1576,'PvA Data'!$A$2:$A$1576,$A23)</f>
        <v>1584</v>
      </c>
      <c r="D23" s="20">
        <f>SUMIFS('PvA Data'!$G$2:$G$1576,'PvA Data'!$A$2:$A$1576,$A23)</f>
        <v>843</v>
      </c>
      <c r="E23" s="36">
        <f t="shared" si="0"/>
        <v>0.53219696969696972</v>
      </c>
      <c r="F23" s="20">
        <f t="shared" si="1"/>
        <v>-741</v>
      </c>
      <c r="G23" s="20">
        <f>SUMIFS('PvA Data'!$F$2:$F$1576,'PvA Data'!$A$2:$A$1576,$A23,'PvA Data'!$C$2:$C$1576,"Nahunta")</f>
        <v>330.5</v>
      </c>
      <c r="H23" s="20">
        <f>SUMIFS('PvA Data'!$G$2:$G$1576,'PvA Data'!$A$2:$A$1576,$A23,'PvA Data'!$C$2:$C$1576,"Nahunta")</f>
        <v>133</v>
      </c>
      <c r="I23" s="36">
        <f t="shared" si="2"/>
        <v>0.40242057488653554</v>
      </c>
      <c r="J23" s="20">
        <f>SUMIFS('PvA Data'!$F$2:$F$1576,'PvA Data'!$A$2:$A$1576,$A23,'PvA Data'!$C$2:$C$1576,"Martin")</f>
        <v>1000</v>
      </c>
      <c r="K23" s="20">
        <f>SUMIFS('PvA Data'!$G$2:$G$1576,'PvA Data'!$A$2:$A$1576,$A23,'PvA Data'!$C$2:$C$1576,"Martin")</f>
        <v>630</v>
      </c>
      <c r="L23" s="36">
        <f t="shared" si="3"/>
        <v>0.63</v>
      </c>
      <c r="M23" s="20">
        <f>SUMIFS('PvA Data'!$F$2:$F$1576,'PvA Data'!$A$2:$A$1576,$A23,'PvA Data'!$C$2:$C$1576,"Custom")</f>
        <v>253.5</v>
      </c>
      <c r="N23" s="20">
        <f>SUMIFS('PvA Data'!$G$2:$G$1576,'PvA Data'!$A$2:$A$1576,$A23,'PvA Data'!$C$2:$C$1576,"Custom")</f>
        <v>80</v>
      </c>
      <c r="O23" s="36">
        <f t="shared" si="4"/>
        <v>0.31558185404339251</v>
      </c>
      <c r="P23" s="36">
        <f t="shared" si="5"/>
        <v>0.15776986951364175</v>
      </c>
      <c r="Q23" s="36">
        <f t="shared" si="6"/>
        <v>0.74733096085409256</v>
      </c>
      <c r="R23" s="36">
        <f t="shared" si="7"/>
        <v>9.4899169632265717E-2</v>
      </c>
    </row>
    <row r="24" spans="1:18" ht="15" customHeight="1" x14ac:dyDescent="0.75">
      <c r="A24" s="18" t="s">
        <v>82</v>
      </c>
      <c r="B24" s="19">
        <v>46146</v>
      </c>
      <c r="C24" s="20">
        <f>SUMIFS('PvA Data'!$F$2:$F$1576,'PvA Data'!$A$2:$A$1576,$A24)</f>
        <v>1398.5</v>
      </c>
      <c r="D24" s="20">
        <f>SUMIFS('PvA Data'!$G$2:$G$1576,'PvA Data'!$A$2:$A$1576,$A24)</f>
        <v>1716</v>
      </c>
      <c r="E24" s="36">
        <f t="shared" si="0"/>
        <v>1.2270289595995709</v>
      </c>
      <c r="F24" s="20">
        <f t="shared" si="1"/>
        <v>317.5</v>
      </c>
      <c r="G24" s="20">
        <f>SUMIFS('PvA Data'!$F$2:$F$1576,'PvA Data'!$A$2:$A$1576,$A24,'PvA Data'!$C$2:$C$1576,"Nahunta")</f>
        <v>272</v>
      </c>
      <c r="H24" s="20">
        <f>SUMIFS('PvA Data'!$G$2:$G$1576,'PvA Data'!$A$2:$A$1576,$A24,'PvA Data'!$C$2:$C$1576,"Nahunta")</f>
        <v>441</v>
      </c>
      <c r="I24" s="36">
        <f t="shared" si="2"/>
        <v>1.6213235294117647</v>
      </c>
      <c r="J24" s="20">
        <f>SUMIFS('PvA Data'!$F$2:$F$1576,'PvA Data'!$A$2:$A$1576,$A24,'PvA Data'!$C$2:$C$1576,"Martin")</f>
        <v>897.5</v>
      </c>
      <c r="K24" s="20">
        <f>SUMIFS('PvA Data'!$G$2:$G$1576,'PvA Data'!$A$2:$A$1576,$A24,'PvA Data'!$C$2:$C$1576,"Martin")</f>
        <v>878</v>
      </c>
      <c r="L24" s="36">
        <f t="shared" si="3"/>
        <v>0.97827298050139277</v>
      </c>
      <c r="M24" s="20">
        <f>SUMIFS('PvA Data'!$F$2:$F$1576,'PvA Data'!$A$2:$A$1576,$A24,'PvA Data'!$C$2:$C$1576,"Custom")</f>
        <v>229</v>
      </c>
      <c r="N24" s="20">
        <f>SUMIFS('PvA Data'!$G$2:$G$1576,'PvA Data'!$A$2:$A$1576,$A24,'PvA Data'!$C$2:$C$1576,"Custom")</f>
        <v>397</v>
      </c>
      <c r="O24" s="36">
        <f t="shared" si="4"/>
        <v>1.7336244541484715</v>
      </c>
      <c r="P24" s="36">
        <f t="shared" si="5"/>
        <v>0.25699300699300698</v>
      </c>
      <c r="Q24" s="36">
        <f t="shared" si="6"/>
        <v>0.5116550116550117</v>
      </c>
      <c r="R24" s="36">
        <f t="shared" si="7"/>
        <v>0.23135198135198135</v>
      </c>
    </row>
    <row r="25" spans="1:18" ht="15" customHeight="1" x14ac:dyDescent="0.75">
      <c r="A25" s="18" t="s">
        <v>83</v>
      </c>
      <c r="B25" s="19">
        <v>46153</v>
      </c>
      <c r="C25" s="20">
        <f>SUMIFS('PvA Data'!$F$2:$F$1576,'PvA Data'!$A$2:$A$1576,$A25)</f>
        <v>1398.5</v>
      </c>
      <c r="D25" s="20">
        <f>SUMIFS('PvA Data'!$G$2:$G$1576,'PvA Data'!$A$2:$A$1576,$A25)</f>
        <v>647</v>
      </c>
      <c r="E25" s="36">
        <f t="shared" si="0"/>
        <v>0.46263854129424381</v>
      </c>
      <c r="F25" s="20">
        <f t="shared" si="1"/>
        <v>-751.5</v>
      </c>
      <c r="G25" s="20">
        <f>SUMIFS('PvA Data'!$F$2:$F$1576,'PvA Data'!$A$2:$A$1576,$A25,'PvA Data'!$C$2:$C$1576,"Nahunta")</f>
        <v>272</v>
      </c>
      <c r="H25" s="20">
        <f>SUMIFS('PvA Data'!$G$2:$G$1576,'PvA Data'!$A$2:$A$1576,$A25,'PvA Data'!$C$2:$C$1576,"Nahunta")</f>
        <v>81</v>
      </c>
      <c r="I25" s="36">
        <f t="shared" si="2"/>
        <v>0.29779411764705882</v>
      </c>
      <c r="J25" s="20">
        <f>SUMIFS('PvA Data'!$F$2:$F$1576,'PvA Data'!$A$2:$A$1576,$A25,'PvA Data'!$C$2:$C$1576,"Martin")</f>
        <v>897.5</v>
      </c>
      <c r="K25" s="20">
        <f>SUMIFS('PvA Data'!$G$2:$G$1576,'PvA Data'!$A$2:$A$1576,$A25,'PvA Data'!$C$2:$C$1576,"Martin")</f>
        <v>505</v>
      </c>
      <c r="L25" s="36">
        <f t="shared" si="3"/>
        <v>0.56267409470752094</v>
      </c>
      <c r="M25" s="20">
        <f>SUMIFS('PvA Data'!$F$2:$F$1576,'PvA Data'!$A$2:$A$1576,$A25,'PvA Data'!$C$2:$C$1576,"Custom")</f>
        <v>229</v>
      </c>
      <c r="N25" s="20">
        <f>SUMIFS('PvA Data'!$G$2:$G$1576,'PvA Data'!$A$2:$A$1576,$A25,'PvA Data'!$C$2:$C$1576,"Custom")</f>
        <v>61</v>
      </c>
      <c r="O25" s="36">
        <f t="shared" si="4"/>
        <v>0.26637554585152839</v>
      </c>
      <c r="P25" s="36">
        <f t="shared" si="5"/>
        <v>0.12519319938176199</v>
      </c>
      <c r="Q25" s="36">
        <f t="shared" si="6"/>
        <v>0.78052550231839257</v>
      </c>
      <c r="R25" s="36">
        <f t="shared" si="7"/>
        <v>9.428129829984544E-2</v>
      </c>
    </row>
    <row r="26" spans="1:18" ht="15" customHeight="1" x14ac:dyDescent="0.75">
      <c r="A26" s="18" t="s">
        <v>84</v>
      </c>
      <c r="B26" s="19">
        <v>46160</v>
      </c>
      <c r="C26" s="20">
        <f>SUMIFS('PvA Data'!$F$2:$F$1576,'PvA Data'!$A$2:$A$1576,$A26)</f>
        <v>1333.5</v>
      </c>
      <c r="D26" s="20">
        <f>SUMIFS('PvA Data'!$G$2:$G$1576,'PvA Data'!$A$2:$A$1576,$A26)</f>
        <v>1614</v>
      </c>
      <c r="E26" s="36">
        <f t="shared" si="0"/>
        <v>1.2103487064116984</v>
      </c>
      <c r="F26" s="20">
        <f t="shared" si="1"/>
        <v>280.5</v>
      </c>
      <c r="G26" s="20">
        <f>SUMIFS('PvA Data'!$F$2:$F$1576,'PvA Data'!$A$2:$A$1576,$A26,'PvA Data'!$C$2:$C$1576,"Nahunta")</f>
        <v>259.5</v>
      </c>
      <c r="H26" s="20">
        <f>SUMIFS('PvA Data'!$G$2:$G$1576,'PvA Data'!$A$2:$A$1576,$A26,'PvA Data'!$C$2:$C$1576,"Nahunta")</f>
        <v>379</v>
      </c>
      <c r="I26" s="36">
        <f t="shared" si="2"/>
        <v>1.4605009633911368</v>
      </c>
      <c r="J26" s="20">
        <f>SUMIFS('PvA Data'!$F$2:$F$1576,'PvA Data'!$A$2:$A$1576,$A26,'PvA Data'!$C$2:$C$1576,"Martin")</f>
        <v>853</v>
      </c>
      <c r="K26" s="20">
        <f>SUMIFS('PvA Data'!$G$2:$G$1576,'PvA Data'!$A$2:$A$1576,$A26,'PvA Data'!$C$2:$C$1576,"Martin")</f>
        <v>882</v>
      </c>
      <c r="L26" s="36">
        <f t="shared" si="3"/>
        <v>1.0339976553341148</v>
      </c>
      <c r="M26" s="20">
        <f>SUMIFS('PvA Data'!$F$2:$F$1576,'PvA Data'!$A$2:$A$1576,$A26,'PvA Data'!$C$2:$C$1576,"Custom")</f>
        <v>221</v>
      </c>
      <c r="N26" s="20">
        <f>SUMIFS('PvA Data'!$G$2:$G$1576,'PvA Data'!$A$2:$A$1576,$A26,'PvA Data'!$C$2:$C$1576,"Custom")</f>
        <v>353</v>
      </c>
      <c r="O26" s="36">
        <f t="shared" si="4"/>
        <v>1.5972850678733033</v>
      </c>
      <c r="P26" s="36">
        <f t="shared" si="5"/>
        <v>0.23482032218091697</v>
      </c>
      <c r="Q26" s="36">
        <f t="shared" si="6"/>
        <v>0.54646840148698883</v>
      </c>
      <c r="R26" s="36">
        <f t="shared" si="7"/>
        <v>0.21871127633209417</v>
      </c>
    </row>
    <row r="27" spans="1:18" ht="15" customHeight="1" x14ac:dyDescent="0.75">
      <c r="A27" s="18" t="s">
        <v>85</v>
      </c>
      <c r="B27" s="19">
        <v>46167</v>
      </c>
      <c r="C27" s="20">
        <f>SUMIFS('PvA Data'!$F$2:$F$1576,'PvA Data'!$A$2:$A$1576,$A27)</f>
        <v>1333.5</v>
      </c>
      <c r="D27" s="20">
        <f>SUMIFS('PvA Data'!$G$2:$G$1576,'PvA Data'!$A$2:$A$1576,$A27)</f>
        <v>710</v>
      </c>
      <c r="E27" s="36">
        <f t="shared" si="0"/>
        <v>0.53243344581927254</v>
      </c>
      <c r="F27" s="20">
        <f t="shared" si="1"/>
        <v>-623.5</v>
      </c>
      <c r="G27" s="20">
        <f>SUMIFS('PvA Data'!$F$2:$F$1576,'PvA Data'!$A$2:$A$1576,$A27,'PvA Data'!$C$2:$C$1576,"Nahunta")</f>
        <v>259.5</v>
      </c>
      <c r="H27" s="20">
        <f>SUMIFS('PvA Data'!$G$2:$G$1576,'PvA Data'!$A$2:$A$1576,$A27,'PvA Data'!$C$2:$C$1576,"Nahunta")</f>
        <v>124</v>
      </c>
      <c r="I27" s="36">
        <f t="shared" si="2"/>
        <v>0.47784200385356457</v>
      </c>
      <c r="J27" s="20">
        <f>SUMIFS('PvA Data'!$F$2:$F$1576,'PvA Data'!$A$2:$A$1576,$A27,'PvA Data'!$C$2:$C$1576,"Martin")</f>
        <v>853</v>
      </c>
      <c r="K27" s="20">
        <f>SUMIFS('PvA Data'!$G$2:$G$1576,'PvA Data'!$A$2:$A$1576,$A27,'PvA Data'!$C$2:$C$1576,"Martin")</f>
        <v>497</v>
      </c>
      <c r="L27" s="36">
        <f t="shared" si="3"/>
        <v>0.58264947245017584</v>
      </c>
      <c r="M27" s="20">
        <f>SUMIFS('PvA Data'!$F$2:$F$1576,'PvA Data'!$A$2:$A$1576,$A27,'PvA Data'!$C$2:$C$1576,"Custom")</f>
        <v>221</v>
      </c>
      <c r="N27" s="20">
        <f>SUMIFS('PvA Data'!$G$2:$G$1576,'PvA Data'!$A$2:$A$1576,$A27,'PvA Data'!$C$2:$C$1576,"Custom")</f>
        <v>89</v>
      </c>
      <c r="O27" s="36">
        <f t="shared" si="4"/>
        <v>0.40271493212669685</v>
      </c>
      <c r="P27" s="36">
        <f t="shared" si="5"/>
        <v>0.17464788732394365</v>
      </c>
      <c r="Q27" s="36">
        <f t="shared" si="6"/>
        <v>0.7</v>
      </c>
      <c r="R27" s="36">
        <f t="shared" si="7"/>
        <v>0.12535211267605634</v>
      </c>
    </row>
    <row r="28" spans="1:18" ht="15" customHeight="1" x14ac:dyDescent="0.75">
      <c r="A28" s="18" t="s">
        <v>86</v>
      </c>
      <c r="B28" s="19">
        <v>46174</v>
      </c>
      <c r="C28" s="20">
        <f>SUMIFS('PvA Data'!$F$2:$F$1576,'PvA Data'!$A$2:$A$1576,$A28)</f>
        <v>1097.5</v>
      </c>
      <c r="D28" s="20">
        <f>SUMIFS('PvA Data'!$G$2:$G$1576,'PvA Data'!$A$2:$A$1576,$A28)</f>
        <v>1382</v>
      </c>
      <c r="E28" s="36">
        <f t="shared" si="0"/>
        <v>1.2592255125284737</v>
      </c>
      <c r="F28" s="20">
        <f t="shared" si="1"/>
        <v>284.5</v>
      </c>
      <c r="G28" s="20">
        <f>SUMIFS('PvA Data'!$F$2:$F$1576,'PvA Data'!$A$2:$A$1576,$A28,'PvA Data'!$C$2:$C$1576,"Nahunta")</f>
        <v>239.5</v>
      </c>
      <c r="H28" s="20">
        <f>SUMIFS('PvA Data'!$G$2:$G$1576,'PvA Data'!$A$2:$A$1576,$A28,'PvA Data'!$C$2:$C$1576,"Nahunta")</f>
        <v>353</v>
      </c>
      <c r="I28" s="36">
        <f t="shared" si="2"/>
        <v>1.4739039665970772</v>
      </c>
      <c r="J28" s="20">
        <f>SUMIFS('PvA Data'!$F$2:$F$1576,'PvA Data'!$A$2:$A$1576,$A28,'PvA Data'!$C$2:$C$1576,"Martin")</f>
        <v>644.5</v>
      </c>
      <c r="K28" s="20">
        <f>SUMIFS('PvA Data'!$G$2:$G$1576,'PvA Data'!$A$2:$A$1576,$A28,'PvA Data'!$C$2:$C$1576,"Martin")</f>
        <v>671</v>
      </c>
      <c r="L28" s="36">
        <f t="shared" si="3"/>
        <v>1.0411171450737005</v>
      </c>
      <c r="M28" s="20">
        <f>SUMIFS('PvA Data'!$F$2:$F$1576,'PvA Data'!$A$2:$A$1576,$A28,'PvA Data'!$C$2:$C$1576,"Custom")</f>
        <v>213.5</v>
      </c>
      <c r="N28" s="20">
        <f>SUMIFS('PvA Data'!$G$2:$G$1576,'PvA Data'!$A$2:$A$1576,$A28,'PvA Data'!$C$2:$C$1576,"Custom")</f>
        <v>358</v>
      </c>
      <c r="O28" s="36">
        <f t="shared" si="4"/>
        <v>1.6768149882903982</v>
      </c>
      <c r="P28" s="36">
        <f t="shared" si="5"/>
        <v>0.25542691751085383</v>
      </c>
      <c r="Q28" s="36">
        <f t="shared" si="6"/>
        <v>0.48552821997105644</v>
      </c>
      <c r="R28" s="36">
        <f t="shared" si="7"/>
        <v>0.25904486251808972</v>
      </c>
    </row>
    <row r="29" spans="1:18" ht="15" customHeight="1" x14ac:dyDescent="0.75">
      <c r="A29" s="18" t="s">
        <v>87</v>
      </c>
      <c r="B29" s="19">
        <v>46181</v>
      </c>
      <c r="C29" s="20">
        <f>SUMIFS('PvA Data'!$F$2:$F$1576,'PvA Data'!$A$2:$A$1576,$A29)</f>
        <v>1097.5</v>
      </c>
      <c r="D29" s="20">
        <f>SUMIFS('PvA Data'!$G$2:$G$1576,'PvA Data'!$A$2:$A$1576,$A29)</f>
        <v>490</v>
      </c>
      <c r="E29" s="36">
        <f t="shared" si="0"/>
        <v>0.44646924829157175</v>
      </c>
      <c r="F29" s="20">
        <f t="shared" si="1"/>
        <v>-607.5</v>
      </c>
      <c r="G29" s="20">
        <f>SUMIFS('PvA Data'!$F$2:$F$1576,'PvA Data'!$A$2:$A$1576,$A29,'PvA Data'!$C$2:$C$1576,"Nahunta")</f>
        <v>239.5</v>
      </c>
      <c r="H29" s="20">
        <f>SUMIFS('PvA Data'!$G$2:$G$1576,'PvA Data'!$A$2:$A$1576,$A29,'PvA Data'!$C$2:$C$1576,"Nahunta")</f>
        <v>96</v>
      </c>
      <c r="I29" s="36">
        <f t="shared" si="2"/>
        <v>0.40083507306889354</v>
      </c>
      <c r="J29" s="20">
        <f>SUMIFS('PvA Data'!$F$2:$F$1576,'PvA Data'!$A$2:$A$1576,$A29,'PvA Data'!$C$2:$C$1576,"Martin")</f>
        <v>644.5</v>
      </c>
      <c r="K29" s="20">
        <f>SUMIFS('PvA Data'!$G$2:$G$1576,'PvA Data'!$A$2:$A$1576,$A29,'PvA Data'!$C$2:$C$1576,"Martin")</f>
        <v>325</v>
      </c>
      <c r="L29" s="36">
        <f t="shared" si="3"/>
        <v>0.50426687354538402</v>
      </c>
      <c r="M29" s="20">
        <f>SUMIFS('PvA Data'!$F$2:$F$1576,'PvA Data'!$A$2:$A$1576,$A29,'PvA Data'!$C$2:$C$1576,"Custom")</f>
        <v>213.5</v>
      </c>
      <c r="N29" s="20">
        <f>SUMIFS('PvA Data'!$G$2:$G$1576,'PvA Data'!$A$2:$A$1576,$A29,'PvA Data'!$C$2:$C$1576,"Custom")</f>
        <v>69</v>
      </c>
      <c r="O29" s="36">
        <f t="shared" si="4"/>
        <v>0.3231850117096019</v>
      </c>
      <c r="P29" s="36">
        <f t="shared" si="5"/>
        <v>0.19591836734693877</v>
      </c>
      <c r="Q29" s="36">
        <f t="shared" si="6"/>
        <v>0.66326530612244894</v>
      </c>
      <c r="R29" s="36">
        <f t="shared" si="7"/>
        <v>0.14081632653061224</v>
      </c>
    </row>
    <row r="30" spans="1:18" ht="15" customHeight="1" x14ac:dyDescent="0.75">
      <c r="A30" s="18" t="s">
        <v>88</v>
      </c>
      <c r="B30" s="19">
        <v>46188</v>
      </c>
      <c r="C30" s="20">
        <f>SUMIFS('PvA Data'!$F$2:$F$1576,'PvA Data'!$A$2:$A$1576,$A30)</f>
        <v>1084.5</v>
      </c>
      <c r="D30" s="20">
        <f>SUMIFS('PvA Data'!$G$2:$G$1576,'PvA Data'!$A$2:$A$1576,$A30)</f>
        <v>1139</v>
      </c>
      <c r="E30" s="36">
        <f t="shared" si="0"/>
        <v>1.0502535730751499</v>
      </c>
      <c r="F30" s="20">
        <f t="shared" si="1"/>
        <v>54.5</v>
      </c>
      <c r="G30" s="20">
        <f>SUMIFS('PvA Data'!$F$2:$F$1576,'PvA Data'!$A$2:$A$1576,$A30,'PvA Data'!$C$2:$C$1576,"Nahunta")</f>
        <v>230.5</v>
      </c>
      <c r="H30" s="20">
        <f>SUMIFS('PvA Data'!$G$2:$G$1576,'PvA Data'!$A$2:$A$1576,$A30,'PvA Data'!$C$2:$C$1576,"Nahunta")</f>
        <v>236</v>
      </c>
      <c r="I30" s="36">
        <f t="shared" si="2"/>
        <v>1.0238611713665944</v>
      </c>
      <c r="J30" s="20">
        <f>SUMIFS('PvA Data'!$F$2:$F$1576,'PvA Data'!$A$2:$A$1576,$A30,'PvA Data'!$C$2:$C$1576,"Martin")</f>
        <v>625.5</v>
      </c>
      <c r="K30" s="20">
        <f>SUMIFS('PvA Data'!$G$2:$G$1576,'PvA Data'!$A$2:$A$1576,$A30,'PvA Data'!$C$2:$C$1576,"Martin")</f>
        <v>572</v>
      </c>
      <c r="L30" s="36">
        <f t="shared" si="3"/>
        <v>0.91446842525979222</v>
      </c>
      <c r="M30" s="20">
        <f>SUMIFS('PvA Data'!$F$2:$F$1576,'PvA Data'!$A$2:$A$1576,$A30,'PvA Data'!$C$2:$C$1576,"Custom")</f>
        <v>228.5</v>
      </c>
      <c r="N30" s="20">
        <f>SUMIFS('PvA Data'!$G$2:$G$1576,'PvA Data'!$A$2:$A$1576,$A30,'PvA Data'!$C$2:$C$1576,"Custom")</f>
        <v>331</v>
      </c>
      <c r="O30" s="36">
        <f t="shared" si="4"/>
        <v>1.4485776805251642</v>
      </c>
      <c r="P30" s="36">
        <f t="shared" si="5"/>
        <v>0.20719929762949957</v>
      </c>
      <c r="Q30" s="36">
        <f t="shared" si="6"/>
        <v>0.50219490781387177</v>
      </c>
      <c r="R30" s="36">
        <f t="shared" si="7"/>
        <v>0.2906057945566286</v>
      </c>
    </row>
    <row r="31" spans="1:18" ht="15" customHeight="1" x14ac:dyDescent="0.75">
      <c r="A31" s="23" t="s">
        <v>91</v>
      </c>
      <c r="B31" s="24"/>
      <c r="C31" s="25">
        <f>SUM(C6:C30)</f>
        <v>32403.5</v>
      </c>
      <c r="D31" s="25">
        <f>SUM(D6:D30)</f>
        <v>27384</v>
      </c>
      <c r="E31" s="37">
        <f t="shared" si="0"/>
        <v>0.84509389417809799</v>
      </c>
      <c r="F31" s="25">
        <f t="shared" si="1"/>
        <v>-5019.5</v>
      </c>
      <c r="G31" s="25">
        <f>SUM(G6:G30)</f>
        <v>6431.5</v>
      </c>
      <c r="H31" s="25">
        <f>SUM(H6:H30)</f>
        <v>6147</v>
      </c>
      <c r="I31" s="37">
        <f t="shared" si="2"/>
        <v>0.95576459612843034</v>
      </c>
      <c r="J31" s="25">
        <f>SUM(J6:J30)</f>
        <v>21261.5</v>
      </c>
      <c r="K31" s="25">
        <f>SUM(K6:K30)</f>
        <v>16888</v>
      </c>
      <c r="L31" s="37">
        <f t="shared" si="3"/>
        <v>0.79429955553465181</v>
      </c>
      <c r="M31" s="25">
        <f>SUM(M6:M30)</f>
        <v>4710.5</v>
      </c>
      <c r="N31" s="25">
        <f>SUM(N6:N30)</f>
        <v>4349</v>
      </c>
      <c r="O31" s="37">
        <f t="shared" si="4"/>
        <v>0.92325655450589106</v>
      </c>
      <c r="P31" s="37">
        <f t="shared" si="5"/>
        <v>0.22447414548641542</v>
      </c>
      <c r="Q31" s="37">
        <f t="shared" si="6"/>
        <v>0.61671048787613203</v>
      </c>
      <c r="R31" s="37">
        <f t="shared" si="7"/>
        <v>0.15881536663745252</v>
      </c>
    </row>
    <row r="33" spans="1:13" ht="15" customHeight="1" x14ac:dyDescent="0.75">
      <c r="A33" s="13" t="s">
        <v>128</v>
      </c>
    </row>
    <row r="34" spans="1:13" ht="23.25" customHeight="1" x14ac:dyDescent="0.75">
      <c r="A34" s="16" t="s">
        <v>44</v>
      </c>
      <c r="B34" s="16" t="s">
        <v>45</v>
      </c>
      <c r="C34" s="16" t="s">
        <v>129</v>
      </c>
      <c r="D34" s="16" t="s">
        <v>51</v>
      </c>
      <c r="E34" s="16" t="s">
        <v>130</v>
      </c>
      <c r="F34" s="16" t="s">
        <v>131</v>
      </c>
      <c r="G34" s="16" t="s">
        <v>132</v>
      </c>
      <c r="H34" s="16" t="s">
        <v>133</v>
      </c>
      <c r="I34" s="16" t="s">
        <v>134</v>
      </c>
      <c r="J34" s="16" t="s">
        <v>135</v>
      </c>
      <c r="K34" s="16" t="s">
        <v>125</v>
      </c>
      <c r="L34" s="16" t="s">
        <v>126</v>
      </c>
      <c r="M34" s="16" t="s">
        <v>127</v>
      </c>
    </row>
    <row r="35" spans="1:13" ht="15" customHeight="1" x14ac:dyDescent="0.75">
      <c r="A35" s="18" t="s">
        <v>53</v>
      </c>
      <c r="B35" s="19">
        <v>46020</v>
      </c>
      <c r="C35" s="17">
        <v>666501</v>
      </c>
      <c r="D35" s="18" t="s">
        <v>5</v>
      </c>
      <c r="E35" s="20">
        <f>SUMIFS('PvA Data'!$F$2:$F$1576,'PvA Data'!$A$2:$A$1576,$A35,'PvA Data'!$E$2:$E$1576,$D35)</f>
        <v>181.5</v>
      </c>
      <c r="F35" s="20">
        <f>SUMIFS('PvA Data'!$G$2:$G$1576,'PvA Data'!$A$2:$A$1576,$A35,'PvA Data'!$E$2:$E$1576,$D35)</f>
        <v>177</v>
      </c>
      <c r="G35" s="36">
        <f t="shared" ref="G35:G98" si="8">IF(E35=0,"",F35/E35)</f>
        <v>0.97520661157024791</v>
      </c>
      <c r="H35" s="20">
        <f>SUMIFS('PvA Data'!$G$2:$G$1576,'PvA Data'!$A$2:$A$1576,$A35,'PvA Data'!$E$2:$E$1576,$D35,'PvA Data'!$C$2:$C$1576,"Nahunta")</f>
        <v>27</v>
      </c>
      <c r="I35" s="20">
        <f>SUMIFS('PvA Data'!$G$2:$G$1576,'PvA Data'!$A$2:$A$1576,$A35,'PvA Data'!$E$2:$E$1576,$D35,'PvA Data'!$C$2:$C$1576,"Martin")</f>
        <v>150</v>
      </c>
      <c r="J35" s="20">
        <f>SUMIFS('PvA Data'!$G$2:$G$1576,'PvA Data'!$A$2:$A$1576,$A35,'PvA Data'!$E$2:$E$1576,$D35,'PvA Data'!$C$2:$C$1576,"Custom")</f>
        <v>0</v>
      </c>
      <c r="K35" s="36">
        <f t="shared" ref="K35:K98" si="9">IF($F35=0,"",H35/$F35)</f>
        <v>0.15254237288135594</v>
      </c>
      <c r="L35" s="36">
        <f t="shared" ref="L35:L98" si="10">IF($F35=0,"",I35/$F35)</f>
        <v>0.84745762711864403</v>
      </c>
      <c r="M35" s="36">
        <f t="shared" ref="M35:M98" si="11">IF($F35=0,"",J35/$F35)</f>
        <v>0</v>
      </c>
    </row>
    <row r="36" spans="1:13" ht="15" customHeight="1" x14ac:dyDescent="0.75">
      <c r="A36" s="18" t="s">
        <v>53</v>
      </c>
      <c r="B36" s="19">
        <v>46020</v>
      </c>
      <c r="C36" s="17">
        <v>666502</v>
      </c>
      <c r="D36" s="18" t="s">
        <v>7</v>
      </c>
      <c r="E36" s="20">
        <f>SUMIFS('PvA Data'!$F$2:$F$1576,'PvA Data'!$A$2:$A$1576,$A36,'PvA Data'!$E$2:$E$1576,$D36)</f>
        <v>95</v>
      </c>
      <c r="F36" s="20">
        <f>SUMIFS('PvA Data'!$G$2:$G$1576,'PvA Data'!$A$2:$A$1576,$A36,'PvA Data'!$E$2:$E$1576,$D36)</f>
        <v>35</v>
      </c>
      <c r="G36" s="36">
        <f t="shared" si="8"/>
        <v>0.36842105263157893</v>
      </c>
      <c r="H36" s="20">
        <f>SUMIFS('PvA Data'!$G$2:$G$1576,'PvA Data'!$A$2:$A$1576,$A36,'PvA Data'!$E$2:$E$1576,$D36,'PvA Data'!$C$2:$C$1576,"Nahunta")</f>
        <v>0</v>
      </c>
      <c r="I36" s="20">
        <f>SUMIFS('PvA Data'!$G$2:$G$1576,'PvA Data'!$A$2:$A$1576,$A36,'PvA Data'!$E$2:$E$1576,$D36,'PvA Data'!$C$2:$C$1576,"Martin")</f>
        <v>35</v>
      </c>
      <c r="J36" s="20">
        <f>SUMIFS('PvA Data'!$G$2:$G$1576,'PvA Data'!$A$2:$A$1576,$A36,'PvA Data'!$E$2:$E$1576,$D36,'PvA Data'!$C$2:$C$1576,"Custom")</f>
        <v>0</v>
      </c>
      <c r="K36" s="36">
        <f t="shared" si="9"/>
        <v>0</v>
      </c>
      <c r="L36" s="36">
        <f t="shared" si="10"/>
        <v>1</v>
      </c>
      <c r="M36" s="36">
        <f t="shared" si="11"/>
        <v>0</v>
      </c>
    </row>
    <row r="37" spans="1:13" ht="15" customHeight="1" x14ac:dyDescent="0.75">
      <c r="A37" s="18" t="s">
        <v>53</v>
      </c>
      <c r="B37" s="19">
        <v>46020</v>
      </c>
      <c r="C37" s="17">
        <v>666505</v>
      </c>
      <c r="D37" s="18" t="s">
        <v>9</v>
      </c>
      <c r="E37" s="20">
        <f>SUMIFS('PvA Data'!$F$2:$F$1576,'PvA Data'!$A$2:$A$1576,$A37,'PvA Data'!$E$2:$E$1576,$D37)</f>
        <v>31</v>
      </c>
      <c r="F37" s="20">
        <f>SUMIFS('PvA Data'!$G$2:$G$1576,'PvA Data'!$A$2:$A$1576,$A37,'PvA Data'!$E$2:$E$1576,$D37)</f>
        <v>20</v>
      </c>
      <c r="G37" s="36">
        <f t="shared" si="8"/>
        <v>0.64516129032258063</v>
      </c>
      <c r="H37" s="20">
        <f>SUMIFS('PvA Data'!$G$2:$G$1576,'PvA Data'!$A$2:$A$1576,$A37,'PvA Data'!$E$2:$E$1576,$D37,'PvA Data'!$C$2:$C$1576,"Nahunta")</f>
        <v>20</v>
      </c>
      <c r="I37" s="20">
        <f>SUMIFS('PvA Data'!$G$2:$G$1576,'PvA Data'!$A$2:$A$1576,$A37,'PvA Data'!$E$2:$E$1576,$D37,'PvA Data'!$C$2:$C$1576,"Martin")</f>
        <v>0</v>
      </c>
      <c r="J37" s="20">
        <f>SUMIFS('PvA Data'!$G$2:$G$1576,'PvA Data'!$A$2:$A$1576,$A37,'PvA Data'!$E$2:$E$1576,$D37,'PvA Data'!$C$2:$C$1576,"Custom")</f>
        <v>0</v>
      </c>
      <c r="K37" s="36">
        <f t="shared" si="9"/>
        <v>1</v>
      </c>
      <c r="L37" s="36">
        <f t="shared" si="10"/>
        <v>0</v>
      </c>
      <c r="M37" s="36">
        <f t="shared" si="11"/>
        <v>0</v>
      </c>
    </row>
    <row r="38" spans="1:13" ht="15" customHeight="1" x14ac:dyDescent="0.75">
      <c r="A38" s="18" t="s">
        <v>53</v>
      </c>
      <c r="B38" s="19">
        <v>46020</v>
      </c>
      <c r="C38" s="17">
        <v>666506</v>
      </c>
      <c r="D38" s="18" t="s">
        <v>11</v>
      </c>
      <c r="E38" s="20">
        <f>SUMIFS('PvA Data'!$F$2:$F$1576,'PvA Data'!$A$2:$A$1576,$A38,'PvA Data'!$E$2:$E$1576,$D38)</f>
        <v>100</v>
      </c>
      <c r="F38" s="20">
        <f>SUMIFS('PvA Data'!$G$2:$G$1576,'PvA Data'!$A$2:$A$1576,$A38,'PvA Data'!$E$2:$E$1576,$D38)</f>
        <v>0</v>
      </c>
      <c r="G38" s="36">
        <f t="shared" si="8"/>
        <v>0</v>
      </c>
      <c r="H38" s="20">
        <f>SUMIFS('PvA Data'!$G$2:$G$1576,'PvA Data'!$A$2:$A$1576,$A38,'PvA Data'!$E$2:$E$1576,$D38,'PvA Data'!$C$2:$C$1576,"Nahunta")</f>
        <v>0</v>
      </c>
      <c r="I38" s="20">
        <f>SUMIFS('PvA Data'!$G$2:$G$1576,'PvA Data'!$A$2:$A$1576,$A38,'PvA Data'!$E$2:$E$1576,$D38,'PvA Data'!$C$2:$C$1576,"Martin")</f>
        <v>0</v>
      </c>
      <c r="J38" s="20">
        <f>SUMIFS('PvA Data'!$G$2:$G$1576,'PvA Data'!$A$2:$A$1576,$A38,'PvA Data'!$E$2:$E$1576,$D38,'PvA Data'!$C$2:$C$1576,"Custom")</f>
        <v>0</v>
      </c>
      <c r="K38" s="36" t="str">
        <f t="shared" si="9"/>
        <v/>
      </c>
      <c r="L38" s="36" t="str">
        <f t="shared" si="10"/>
        <v/>
      </c>
      <c r="M38" s="36" t="str">
        <f t="shared" si="11"/>
        <v/>
      </c>
    </row>
    <row r="39" spans="1:13" ht="15" customHeight="1" x14ac:dyDescent="0.75">
      <c r="A39" s="18" t="s">
        <v>53</v>
      </c>
      <c r="B39" s="19">
        <v>46020</v>
      </c>
      <c r="C39" s="17">
        <v>666507</v>
      </c>
      <c r="D39" s="18" t="s">
        <v>13</v>
      </c>
      <c r="E39" s="20">
        <f>SUMIFS('PvA Data'!$F$2:$F$1576,'PvA Data'!$A$2:$A$1576,$A39,'PvA Data'!$E$2:$E$1576,$D39)</f>
        <v>30</v>
      </c>
      <c r="F39" s="20">
        <f>SUMIFS('PvA Data'!$G$2:$G$1576,'PvA Data'!$A$2:$A$1576,$A39,'PvA Data'!$E$2:$E$1576,$D39)</f>
        <v>19</v>
      </c>
      <c r="G39" s="36">
        <f t="shared" si="8"/>
        <v>0.6333333333333333</v>
      </c>
      <c r="H39" s="20">
        <f>SUMIFS('PvA Data'!$G$2:$G$1576,'PvA Data'!$A$2:$A$1576,$A39,'PvA Data'!$E$2:$E$1576,$D39,'PvA Data'!$C$2:$C$1576,"Nahunta")</f>
        <v>19</v>
      </c>
      <c r="I39" s="20">
        <f>SUMIFS('PvA Data'!$G$2:$G$1576,'PvA Data'!$A$2:$A$1576,$A39,'PvA Data'!$E$2:$E$1576,$D39,'PvA Data'!$C$2:$C$1576,"Martin")</f>
        <v>0</v>
      </c>
      <c r="J39" s="20">
        <f>SUMIFS('PvA Data'!$G$2:$G$1576,'PvA Data'!$A$2:$A$1576,$A39,'PvA Data'!$E$2:$E$1576,$D39,'PvA Data'!$C$2:$C$1576,"Custom")</f>
        <v>0</v>
      </c>
      <c r="K39" s="36">
        <f t="shared" si="9"/>
        <v>1</v>
      </c>
      <c r="L39" s="36">
        <f t="shared" si="10"/>
        <v>0</v>
      </c>
      <c r="M39" s="36">
        <f t="shared" si="11"/>
        <v>0</v>
      </c>
    </row>
    <row r="40" spans="1:13" ht="15" customHeight="1" x14ac:dyDescent="0.75">
      <c r="A40" s="18" t="s">
        <v>53</v>
      </c>
      <c r="B40" s="19">
        <v>46020</v>
      </c>
      <c r="C40" s="17">
        <v>666509</v>
      </c>
      <c r="D40" s="18" t="s">
        <v>15</v>
      </c>
      <c r="E40" s="20">
        <f>SUMIFS('PvA Data'!$F$2:$F$1576,'PvA Data'!$A$2:$A$1576,$A40,'PvA Data'!$E$2:$E$1576,$D40)</f>
        <v>80</v>
      </c>
      <c r="F40" s="20">
        <f>SUMIFS('PvA Data'!$G$2:$G$1576,'PvA Data'!$A$2:$A$1576,$A40,'PvA Data'!$E$2:$E$1576,$D40)</f>
        <v>23</v>
      </c>
      <c r="G40" s="36">
        <f t="shared" si="8"/>
        <v>0.28749999999999998</v>
      </c>
      <c r="H40" s="20">
        <f>SUMIFS('PvA Data'!$G$2:$G$1576,'PvA Data'!$A$2:$A$1576,$A40,'PvA Data'!$E$2:$E$1576,$D40,'PvA Data'!$C$2:$C$1576,"Nahunta")</f>
        <v>23</v>
      </c>
      <c r="I40" s="20">
        <f>SUMIFS('PvA Data'!$G$2:$G$1576,'PvA Data'!$A$2:$A$1576,$A40,'PvA Data'!$E$2:$E$1576,$D40,'PvA Data'!$C$2:$C$1576,"Martin")</f>
        <v>0</v>
      </c>
      <c r="J40" s="20">
        <f>SUMIFS('PvA Data'!$G$2:$G$1576,'PvA Data'!$A$2:$A$1576,$A40,'PvA Data'!$E$2:$E$1576,$D40,'PvA Data'!$C$2:$C$1576,"Custom")</f>
        <v>0</v>
      </c>
      <c r="K40" s="36">
        <f t="shared" si="9"/>
        <v>1</v>
      </c>
      <c r="L40" s="36">
        <f t="shared" si="10"/>
        <v>0</v>
      </c>
      <c r="M40" s="36">
        <f t="shared" si="11"/>
        <v>0</v>
      </c>
    </row>
    <row r="41" spans="1:13" ht="15" customHeight="1" x14ac:dyDescent="0.75">
      <c r="A41" s="18" t="s">
        <v>53</v>
      </c>
      <c r="B41" s="19">
        <v>46020</v>
      </c>
      <c r="C41" s="17">
        <v>666510</v>
      </c>
      <c r="D41" s="18" t="s">
        <v>17</v>
      </c>
      <c r="E41" s="20">
        <f>SUMIFS('PvA Data'!$F$2:$F$1576,'PvA Data'!$A$2:$A$1576,$A41,'PvA Data'!$E$2:$E$1576,$D41)</f>
        <v>0</v>
      </c>
      <c r="F41" s="20">
        <f>SUMIFS('PvA Data'!$G$2:$G$1576,'PvA Data'!$A$2:$A$1576,$A41,'PvA Data'!$E$2:$E$1576,$D41)</f>
        <v>0</v>
      </c>
      <c r="G41" s="36" t="str">
        <f t="shared" si="8"/>
        <v/>
      </c>
      <c r="H41" s="20">
        <f>SUMIFS('PvA Data'!$G$2:$G$1576,'PvA Data'!$A$2:$A$1576,$A41,'PvA Data'!$E$2:$E$1576,$D41,'PvA Data'!$C$2:$C$1576,"Nahunta")</f>
        <v>0</v>
      </c>
      <c r="I41" s="20">
        <f>SUMIFS('PvA Data'!$G$2:$G$1576,'PvA Data'!$A$2:$A$1576,$A41,'PvA Data'!$E$2:$E$1576,$D41,'PvA Data'!$C$2:$C$1576,"Martin")</f>
        <v>0</v>
      </c>
      <c r="J41" s="20">
        <f>SUMIFS('PvA Data'!$G$2:$G$1576,'PvA Data'!$A$2:$A$1576,$A41,'PvA Data'!$E$2:$E$1576,$D41,'PvA Data'!$C$2:$C$1576,"Custom")</f>
        <v>0</v>
      </c>
      <c r="K41" s="36" t="str">
        <f t="shared" si="9"/>
        <v/>
      </c>
      <c r="L41" s="36" t="str">
        <f t="shared" si="10"/>
        <v/>
      </c>
      <c r="M41" s="36" t="str">
        <f t="shared" si="11"/>
        <v/>
      </c>
    </row>
    <row r="42" spans="1:13" ht="15" customHeight="1" x14ac:dyDescent="0.75">
      <c r="A42" s="18" t="s">
        <v>53</v>
      </c>
      <c r="B42" s="19">
        <v>46020</v>
      </c>
      <c r="C42" s="17">
        <v>666511</v>
      </c>
      <c r="D42" s="18" t="s">
        <v>19</v>
      </c>
      <c r="E42" s="20">
        <f>SUMIFS('PvA Data'!$F$2:$F$1576,'PvA Data'!$A$2:$A$1576,$A42,'PvA Data'!$E$2:$E$1576,$D42)</f>
        <v>3</v>
      </c>
      <c r="F42" s="20">
        <f>SUMIFS('PvA Data'!$G$2:$G$1576,'PvA Data'!$A$2:$A$1576,$A42,'PvA Data'!$E$2:$E$1576,$D42)</f>
        <v>0</v>
      </c>
      <c r="G42" s="36">
        <f t="shared" si="8"/>
        <v>0</v>
      </c>
      <c r="H42" s="20">
        <f>SUMIFS('PvA Data'!$G$2:$G$1576,'PvA Data'!$A$2:$A$1576,$A42,'PvA Data'!$E$2:$E$1576,$D42,'PvA Data'!$C$2:$C$1576,"Nahunta")</f>
        <v>0</v>
      </c>
      <c r="I42" s="20">
        <f>SUMIFS('PvA Data'!$G$2:$G$1576,'PvA Data'!$A$2:$A$1576,$A42,'PvA Data'!$E$2:$E$1576,$D42,'PvA Data'!$C$2:$C$1576,"Martin")</f>
        <v>0</v>
      </c>
      <c r="J42" s="20">
        <f>SUMIFS('PvA Data'!$G$2:$G$1576,'PvA Data'!$A$2:$A$1576,$A42,'PvA Data'!$E$2:$E$1576,$D42,'PvA Data'!$C$2:$C$1576,"Custom")</f>
        <v>0</v>
      </c>
      <c r="K42" s="36" t="str">
        <f t="shared" si="9"/>
        <v/>
      </c>
      <c r="L42" s="36" t="str">
        <f t="shared" si="10"/>
        <v/>
      </c>
      <c r="M42" s="36" t="str">
        <f t="shared" si="11"/>
        <v/>
      </c>
    </row>
    <row r="43" spans="1:13" ht="15" customHeight="1" x14ac:dyDescent="0.75">
      <c r="A43" s="18" t="s">
        <v>53</v>
      </c>
      <c r="B43" s="19">
        <v>46020</v>
      </c>
      <c r="C43" s="17">
        <v>666513</v>
      </c>
      <c r="D43" s="18" t="s">
        <v>21</v>
      </c>
      <c r="E43" s="20">
        <f>SUMIFS('PvA Data'!$F$2:$F$1576,'PvA Data'!$A$2:$A$1576,$A43,'PvA Data'!$E$2:$E$1576,$D43)</f>
        <v>33</v>
      </c>
      <c r="F43" s="20">
        <f>SUMIFS('PvA Data'!$G$2:$G$1576,'PvA Data'!$A$2:$A$1576,$A43,'PvA Data'!$E$2:$E$1576,$D43)</f>
        <v>20</v>
      </c>
      <c r="G43" s="36">
        <f t="shared" si="8"/>
        <v>0.60606060606060608</v>
      </c>
      <c r="H43" s="20">
        <f>SUMIFS('PvA Data'!$G$2:$G$1576,'PvA Data'!$A$2:$A$1576,$A43,'PvA Data'!$E$2:$E$1576,$D43,'PvA Data'!$C$2:$C$1576,"Nahunta")</f>
        <v>20</v>
      </c>
      <c r="I43" s="20">
        <f>SUMIFS('PvA Data'!$G$2:$G$1576,'PvA Data'!$A$2:$A$1576,$A43,'PvA Data'!$E$2:$E$1576,$D43,'PvA Data'!$C$2:$C$1576,"Martin")</f>
        <v>0</v>
      </c>
      <c r="J43" s="20">
        <f>SUMIFS('PvA Data'!$G$2:$G$1576,'PvA Data'!$A$2:$A$1576,$A43,'PvA Data'!$E$2:$E$1576,$D43,'PvA Data'!$C$2:$C$1576,"Custom")</f>
        <v>0</v>
      </c>
      <c r="K43" s="36">
        <f t="shared" si="9"/>
        <v>1</v>
      </c>
      <c r="L43" s="36">
        <f t="shared" si="10"/>
        <v>0</v>
      </c>
      <c r="M43" s="36">
        <f t="shared" si="11"/>
        <v>0</v>
      </c>
    </row>
    <row r="44" spans="1:13" ht="15" customHeight="1" x14ac:dyDescent="0.75">
      <c r="A44" s="18" t="s">
        <v>53</v>
      </c>
      <c r="B44" s="19">
        <v>46020</v>
      </c>
      <c r="C44" s="17">
        <v>666516</v>
      </c>
      <c r="D44" s="18" t="s">
        <v>23</v>
      </c>
      <c r="E44" s="20">
        <f>SUMIFS('PvA Data'!$F$2:$F$1576,'PvA Data'!$A$2:$A$1576,$A44,'PvA Data'!$E$2:$E$1576,$D44)</f>
        <v>32</v>
      </c>
      <c r="F44" s="20">
        <f>SUMIFS('PvA Data'!$G$2:$G$1576,'PvA Data'!$A$2:$A$1576,$A44,'PvA Data'!$E$2:$E$1576,$D44)</f>
        <v>26</v>
      </c>
      <c r="G44" s="36">
        <f t="shared" si="8"/>
        <v>0.8125</v>
      </c>
      <c r="H44" s="20">
        <f>SUMIFS('PvA Data'!$G$2:$G$1576,'PvA Data'!$A$2:$A$1576,$A44,'PvA Data'!$E$2:$E$1576,$D44,'PvA Data'!$C$2:$C$1576,"Nahunta")</f>
        <v>26</v>
      </c>
      <c r="I44" s="20">
        <f>SUMIFS('PvA Data'!$G$2:$G$1576,'PvA Data'!$A$2:$A$1576,$A44,'PvA Data'!$E$2:$E$1576,$D44,'PvA Data'!$C$2:$C$1576,"Martin")</f>
        <v>0</v>
      </c>
      <c r="J44" s="20">
        <f>SUMIFS('PvA Data'!$G$2:$G$1576,'PvA Data'!$A$2:$A$1576,$A44,'PvA Data'!$E$2:$E$1576,$D44,'PvA Data'!$C$2:$C$1576,"Custom")</f>
        <v>0</v>
      </c>
      <c r="K44" s="36">
        <f t="shared" si="9"/>
        <v>1</v>
      </c>
      <c r="L44" s="36">
        <f t="shared" si="10"/>
        <v>0</v>
      </c>
      <c r="M44" s="36">
        <f t="shared" si="11"/>
        <v>0</v>
      </c>
    </row>
    <row r="45" spans="1:13" ht="15" customHeight="1" x14ac:dyDescent="0.75">
      <c r="A45" s="18" t="s">
        <v>53</v>
      </c>
      <c r="B45" s="19">
        <v>46020</v>
      </c>
      <c r="C45" s="17">
        <v>666517</v>
      </c>
      <c r="D45" s="18" t="s">
        <v>25</v>
      </c>
      <c r="E45" s="20">
        <f>SUMIFS('PvA Data'!$F$2:$F$1576,'PvA Data'!$A$2:$A$1576,$A45,'PvA Data'!$E$2:$E$1576,$D45)</f>
        <v>30</v>
      </c>
      <c r="F45" s="20">
        <f>SUMIFS('PvA Data'!$G$2:$G$1576,'PvA Data'!$A$2:$A$1576,$A45,'PvA Data'!$E$2:$E$1576,$D45)</f>
        <v>30</v>
      </c>
      <c r="G45" s="36">
        <f t="shared" si="8"/>
        <v>1</v>
      </c>
      <c r="H45" s="20">
        <f>SUMIFS('PvA Data'!$G$2:$G$1576,'PvA Data'!$A$2:$A$1576,$A45,'PvA Data'!$E$2:$E$1576,$D45,'PvA Data'!$C$2:$C$1576,"Nahunta")</f>
        <v>30</v>
      </c>
      <c r="I45" s="20">
        <f>SUMIFS('PvA Data'!$G$2:$G$1576,'PvA Data'!$A$2:$A$1576,$A45,'PvA Data'!$E$2:$E$1576,$D45,'PvA Data'!$C$2:$C$1576,"Martin")</f>
        <v>0</v>
      </c>
      <c r="J45" s="20">
        <f>SUMIFS('PvA Data'!$G$2:$G$1576,'PvA Data'!$A$2:$A$1576,$A45,'PvA Data'!$E$2:$E$1576,$D45,'PvA Data'!$C$2:$C$1576,"Custom")</f>
        <v>0</v>
      </c>
      <c r="K45" s="36">
        <f t="shared" si="9"/>
        <v>1</v>
      </c>
      <c r="L45" s="36">
        <f t="shared" si="10"/>
        <v>0</v>
      </c>
      <c r="M45" s="36">
        <f t="shared" si="11"/>
        <v>0</v>
      </c>
    </row>
    <row r="46" spans="1:13" ht="15" customHeight="1" x14ac:dyDescent="0.75">
      <c r="A46" s="18" t="s">
        <v>53</v>
      </c>
      <c r="B46" s="19">
        <v>46020</v>
      </c>
      <c r="C46" s="17">
        <v>666518</v>
      </c>
      <c r="D46" s="18" t="s">
        <v>27</v>
      </c>
      <c r="E46" s="20">
        <f>SUMIFS('PvA Data'!$F$2:$F$1576,'PvA Data'!$A$2:$A$1576,$A46,'PvA Data'!$E$2:$E$1576,$D46)</f>
        <v>0</v>
      </c>
      <c r="F46" s="20">
        <f>SUMIFS('PvA Data'!$G$2:$G$1576,'PvA Data'!$A$2:$A$1576,$A46,'PvA Data'!$E$2:$E$1576,$D46)</f>
        <v>0</v>
      </c>
      <c r="G46" s="36" t="str">
        <f t="shared" si="8"/>
        <v/>
      </c>
      <c r="H46" s="20">
        <f>SUMIFS('PvA Data'!$G$2:$G$1576,'PvA Data'!$A$2:$A$1576,$A46,'PvA Data'!$E$2:$E$1576,$D46,'PvA Data'!$C$2:$C$1576,"Nahunta")</f>
        <v>0</v>
      </c>
      <c r="I46" s="20">
        <f>SUMIFS('PvA Data'!$G$2:$G$1576,'PvA Data'!$A$2:$A$1576,$A46,'PvA Data'!$E$2:$E$1576,$D46,'PvA Data'!$C$2:$C$1576,"Martin")</f>
        <v>0</v>
      </c>
      <c r="J46" s="20">
        <f>SUMIFS('PvA Data'!$G$2:$G$1576,'PvA Data'!$A$2:$A$1576,$A46,'PvA Data'!$E$2:$E$1576,$D46,'PvA Data'!$C$2:$C$1576,"Custom")</f>
        <v>0</v>
      </c>
      <c r="K46" s="36" t="str">
        <f t="shared" si="9"/>
        <v/>
      </c>
      <c r="L46" s="36" t="str">
        <f t="shared" si="10"/>
        <v/>
      </c>
      <c r="M46" s="36" t="str">
        <f t="shared" si="11"/>
        <v/>
      </c>
    </row>
    <row r="47" spans="1:13" ht="15" customHeight="1" x14ac:dyDescent="0.75">
      <c r="A47" s="18" t="s">
        <v>53</v>
      </c>
      <c r="B47" s="19">
        <v>46020</v>
      </c>
      <c r="C47" s="17">
        <v>666519</v>
      </c>
      <c r="D47" s="18" t="s">
        <v>29</v>
      </c>
      <c r="E47" s="20">
        <f>SUMIFS('PvA Data'!$F$2:$F$1576,'PvA Data'!$A$2:$A$1576,$A47,'PvA Data'!$E$2:$E$1576,$D47)</f>
        <v>32</v>
      </c>
      <c r="F47" s="20">
        <f>SUMIFS('PvA Data'!$G$2:$G$1576,'PvA Data'!$A$2:$A$1576,$A47,'PvA Data'!$E$2:$E$1576,$D47)</f>
        <v>27</v>
      </c>
      <c r="G47" s="36">
        <f t="shared" si="8"/>
        <v>0.84375</v>
      </c>
      <c r="H47" s="20">
        <f>SUMIFS('PvA Data'!$G$2:$G$1576,'PvA Data'!$A$2:$A$1576,$A47,'PvA Data'!$E$2:$E$1576,$D47,'PvA Data'!$C$2:$C$1576,"Nahunta")</f>
        <v>27</v>
      </c>
      <c r="I47" s="20">
        <f>SUMIFS('PvA Data'!$G$2:$G$1576,'PvA Data'!$A$2:$A$1576,$A47,'PvA Data'!$E$2:$E$1576,$D47,'PvA Data'!$C$2:$C$1576,"Martin")</f>
        <v>0</v>
      </c>
      <c r="J47" s="20">
        <f>SUMIFS('PvA Data'!$G$2:$G$1576,'PvA Data'!$A$2:$A$1576,$A47,'PvA Data'!$E$2:$E$1576,$D47,'PvA Data'!$C$2:$C$1576,"Custom")</f>
        <v>0</v>
      </c>
      <c r="K47" s="36">
        <f t="shared" si="9"/>
        <v>1</v>
      </c>
      <c r="L47" s="36">
        <f t="shared" si="10"/>
        <v>0</v>
      </c>
      <c r="M47" s="36">
        <f t="shared" si="11"/>
        <v>0</v>
      </c>
    </row>
    <row r="48" spans="1:13" ht="15" customHeight="1" x14ac:dyDescent="0.75">
      <c r="A48" s="18" t="s">
        <v>53</v>
      </c>
      <c r="B48" s="19">
        <v>46020</v>
      </c>
      <c r="C48" s="17">
        <v>666521</v>
      </c>
      <c r="D48" s="18" t="s">
        <v>31</v>
      </c>
      <c r="E48" s="20">
        <f>SUMIFS('PvA Data'!$F$2:$F$1576,'PvA Data'!$A$2:$A$1576,$A48,'PvA Data'!$E$2:$E$1576,$D48)</f>
        <v>0</v>
      </c>
      <c r="F48" s="20">
        <f>SUMIFS('PvA Data'!$G$2:$G$1576,'PvA Data'!$A$2:$A$1576,$A48,'PvA Data'!$E$2:$E$1576,$D48)</f>
        <v>0</v>
      </c>
      <c r="G48" s="36" t="str">
        <f t="shared" si="8"/>
        <v/>
      </c>
      <c r="H48" s="20">
        <f>SUMIFS('PvA Data'!$G$2:$G$1576,'PvA Data'!$A$2:$A$1576,$A48,'PvA Data'!$E$2:$E$1576,$D48,'PvA Data'!$C$2:$C$1576,"Nahunta")</f>
        <v>0</v>
      </c>
      <c r="I48" s="20">
        <f>SUMIFS('PvA Data'!$G$2:$G$1576,'PvA Data'!$A$2:$A$1576,$A48,'PvA Data'!$E$2:$E$1576,$D48,'PvA Data'!$C$2:$C$1576,"Martin")</f>
        <v>0</v>
      </c>
      <c r="J48" s="20">
        <f>SUMIFS('PvA Data'!$G$2:$G$1576,'PvA Data'!$A$2:$A$1576,$A48,'PvA Data'!$E$2:$E$1576,$D48,'PvA Data'!$C$2:$C$1576,"Custom")</f>
        <v>0</v>
      </c>
      <c r="K48" s="36" t="str">
        <f t="shared" si="9"/>
        <v/>
      </c>
      <c r="L48" s="36" t="str">
        <f t="shared" si="10"/>
        <v/>
      </c>
      <c r="M48" s="36" t="str">
        <f t="shared" si="11"/>
        <v/>
      </c>
    </row>
    <row r="49" spans="1:13" ht="15" customHeight="1" x14ac:dyDescent="0.75">
      <c r="A49" s="18" t="s">
        <v>53</v>
      </c>
      <c r="B49" s="19">
        <v>46020</v>
      </c>
      <c r="C49" s="17">
        <v>666522</v>
      </c>
      <c r="D49" s="18" t="s">
        <v>33</v>
      </c>
      <c r="E49" s="20">
        <f>SUMIFS('PvA Data'!$F$2:$F$1576,'PvA Data'!$A$2:$A$1576,$A49,'PvA Data'!$E$2:$E$1576,$D49)</f>
        <v>200</v>
      </c>
      <c r="F49" s="20">
        <f>SUMIFS('PvA Data'!$G$2:$G$1576,'PvA Data'!$A$2:$A$1576,$A49,'PvA Data'!$E$2:$E$1576,$D49)</f>
        <v>275</v>
      </c>
      <c r="G49" s="36">
        <f t="shared" si="8"/>
        <v>1.375</v>
      </c>
      <c r="H49" s="20">
        <f>SUMIFS('PvA Data'!$G$2:$G$1576,'PvA Data'!$A$2:$A$1576,$A49,'PvA Data'!$E$2:$E$1576,$D49,'PvA Data'!$C$2:$C$1576,"Nahunta")</f>
        <v>85</v>
      </c>
      <c r="I49" s="20">
        <f>SUMIFS('PvA Data'!$G$2:$G$1576,'PvA Data'!$A$2:$A$1576,$A49,'PvA Data'!$E$2:$E$1576,$D49,'PvA Data'!$C$2:$C$1576,"Martin")</f>
        <v>190</v>
      </c>
      <c r="J49" s="20">
        <f>SUMIFS('PvA Data'!$G$2:$G$1576,'PvA Data'!$A$2:$A$1576,$A49,'PvA Data'!$E$2:$E$1576,$D49,'PvA Data'!$C$2:$C$1576,"Custom")</f>
        <v>0</v>
      </c>
      <c r="K49" s="36">
        <f t="shared" si="9"/>
        <v>0.30909090909090908</v>
      </c>
      <c r="L49" s="36">
        <f t="shared" si="10"/>
        <v>0.69090909090909092</v>
      </c>
      <c r="M49" s="36">
        <f t="shared" si="11"/>
        <v>0</v>
      </c>
    </row>
    <row r="50" spans="1:13" ht="15" customHeight="1" x14ac:dyDescent="0.75">
      <c r="A50" s="18" t="s">
        <v>53</v>
      </c>
      <c r="B50" s="19">
        <v>46020</v>
      </c>
      <c r="C50" s="17">
        <v>666523</v>
      </c>
      <c r="D50" s="18" t="s">
        <v>35</v>
      </c>
      <c r="E50" s="20">
        <f>SUMIFS('PvA Data'!$F$2:$F$1576,'PvA Data'!$A$2:$A$1576,$A50,'PvA Data'!$E$2:$E$1576,$D50)</f>
        <v>70</v>
      </c>
      <c r="F50" s="20">
        <f>SUMIFS('PvA Data'!$G$2:$G$1576,'PvA Data'!$A$2:$A$1576,$A50,'PvA Data'!$E$2:$E$1576,$D50)</f>
        <v>0</v>
      </c>
      <c r="G50" s="36">
        <f t="shared" si="8"/>
        <v>0</v>
      </c>
      <c r="H50" s="20">
        <f>SUMIFS('PvA Data'!$G$2:$G$1576,'PvA Data'!$A$2:$A$1576,$A50,'PvA Data'!$E$2:$E$1576,$D50,'PvA Data'!$C$2:$C$1576,"Nahunta")</f>
        <v>0</v>
      </c>
      <c r="I50" s="20">
        <f>SUMIFS('PvA Data'!$G$2:$G$1576,'PvA Data'!$A$2:$A$1576,$A50,'PvA Data'!$E$2:$E$1576,$D50,'PvA Data'!$C$2:$C$1576,"Martin")</f>
        <v>0</v>
      </c>
      <c r="J50" s="20">
        <f>SUMIFS('PvA Data'!$G$2:$G$1576,'PvA Data'!$A$2:$A$1576,$A50,'PvA Data'!$E$2:$E$1576,$D50,'PvA Data'!$C$2:$C$1576,"Custom")</f>
        <v>0</v>
      </c>
      <c r="K50" s="36" t="str">
        <f t="shared" si="9"/>
        <v/>
      </c>
      <c r="L50" s="36" t="str">
        <f t="shared" si="10"/>
        <v/>
      </c>
      <c r="M50" s="36" t="str">
        <f t="shared" si="11"/>
        <v/>
      </c>
    </row>
    <row r="51" spans="1:13" ht="15" customHeight="1" x14ac:dyDescent="0.75">
      <c r="A51" s="18" t="s">
        <v>53</v>
      </c>
      <c r="B51" s="19">
        <v>46020</v>
      </c>
      <c r="C51" s="17">
        <v>666530</v>
      </c>
      <c r="D51" s="18" t="s">
        <v>37</v>
      </c>
      <c r="E51" s="20">
        <f>SUMIFS('PvA Data'!$F$2:$F$1576,'PvA Data'!$A$2:$A$1576,$A51,'PvA Data'!$E$2:$E$1576,$D51)</f>
        <v>8</v>
      </c>
      <c r="F51" s="20">
        <f>SUMIFS('PvA Data'!$G$2:$G$1576,'PvA Data'!$A$2:$A$1576,$A51,'PvA Data'!$E$2:$E$1576,$D51)</f>
        <v>4</v>
      </c>
      <c r="G51" s="36">
        <f t="shared" si="8"/>
        <v>0.5</v>
      </c>
      <c r="H51" s="20">
        <f>SUMIFS('PvA Data'!$G$2:$G$1576,'PvA Data'!$A$2:$A$1576,$A51,'PvA Data'!$E$2:$E$1576,$D51,'PvA Data'!$C$2:$C$1576,"Nahunta")</f>
        <v>4</v>
      </c>
      <c r="I51" s="20">
        <f>SUMIFS('PvA Data'!$G$2:$G$1576,'PvA Data'!$A$2:$A$1576,$A51,'PvA Data'!$E$2:$E$1576,$D51,'PvA Data'!$C$2:$C$1576,"Martin")</f>
        <v>0</v>
      </c>
      <c r="J51" s="20">
        <f>SUMIFS('PvA Data'!$G$2:$G$1576,'PvA Data'!$A$2:$A$1576,$A51,'PvA Data'!$E$2:$E$1576,$D51,'PvA Data'!$C$2:$C$1576,"Custom")</f>
        <v>0</v>
      </c>
      <c r="K51" s="36">
        <f t="shared" si="9"/>
        <v>1</v>
      </c>
      <c r="L51" s="36">
        <f t="shared" si="10"/>
        <v>0</v>
      </c>
      <c r="M51" s="36">
        <f t="shared" si="11"/>
        <v>0</v>
      </c>
    </row>
    <row r="52" spans="1:13" ht="15" customHeight="1" x14ac:dyDescent="0.75">
      <c r="A52" s="18" t="s">
        <v>53</v>
      </c>
      <c r="B52" s="19">
        <v>46020</v>
      </c>
      <c r="C52" s="17">
        <v>666531</v>
      </c>
      <c r="D52" s="18" t="s">
        <v>39</v>
      </c>
      <c r="E52" s="20">
        <f>SUMIFS('PvA Data'!$F$2:$F$1576,'PvA Data'!$A$2:$A$1576,$A52,'PvA Data'!$E$2:$E$1576,$D52)</f>
        <v>12</v>
      </c>
      <c r="F52" s="20">
        <f>SUMIFS('PvA Data'!$G$2:$G$1576,'PvA Data'!$A$2:$A$1576,$A52,'PvA Data'!$E$2:$E$1576,$D52)</f>
        <v>17</v>
      </c>
      <c r="G52" s="36">
        <f t="shared" si="8"/>
        <v>1.4166666666666667</v>
      </c>
      <c r="H52" s="20">
        <f>SUMIFS('PvA Data'!$G$2:$G$1576,'PvA Data'!$A$2:$A$1576,$A52,'PvA Data'!$E$2:$E$1576,$D52,'PvA Data'!$C$2:$C$1576,"Nahunta")</f>
        <v>17</v>
      </c>
      <c r="I52" s="20">
        <f>SUMIFS('PvA Data'!$G$2:$G$1576,'PvA Data'!$A$2:$A$1576,$A52,'PvA Data'!$E$2:$E$1576,$D52,'PvA Data'!$C$2:$C$1576,"Martin")</f>
        <v>0</v>
      </c>
      <c r="J52" s="20">
        <f>SUMIFS('PvA Data'!$G$2:$G$1576,'PvA Data'!$A$2:$A$1576,$A52,'PvA Data'!$E$2:$E$1576,$D52,'PvA Data'!$C$2:$C$1576,"Custom")</f>
        <v>0</v>
      </c>
      <c r="K52" s="36">
        <f t="shared" si="9"/>
        <v>1</v>
      </c>
      <c r="L52" s="36">
        <f t="shared" si="10"/>
        <v>0</v>
      </c>
      <c r="M52" s="36">
        <f t="shared" si="11"/>
        <v>0</v>
      </c>
    </row>
    <row r="53" spans="1:13" ht="15" customHeight="1" x14ac:dyDescent="0.75">
      <c r="A53" s="18" t="s">
        <v>53</v>
      </c>
      <c r="B53" s="19">
        <v>46020</v>
      </c>
      <c r="C53" s="17">
        <v>666540</v>
      </c>
      <c r="D53" s="18" t="s">
        <v>40</v>
      </c>
      <c r="E53" s="20">
        <f>SUMIFS('PvA Data'!$F$2:$F$1576,'PvA Data'!$A$2:$A$1576,$A53,'PvA Data'!$E$2:$E$1576,$D53)</f>
        <v>120</v>
      </c>
      <c r="F53" s="20">
        <f>SUMIFS('PvA Data'!$G$2:$G$1576,'PvA Data'!$A$2:$A$1576,$A53,'PvA Data'!$E$2:$E$1576,$D53)</f>
        <v>41</v>
      </c>
      <c r="G53" s="36">
        <f t="shared" si="8"/>
        <v>0.34166666666666667</v>
      </c>
      <c r="H53" s="20">
        <f>SUMIFS('PvA Data'!$G$2:$G$1576,'PvA Data'!$A$2:$A$1576,$A53,'PvA Data'!$E$2:$E$1576,$D53,'PvA Data'!$C$2:$C$1576,"Nahunta")</f>
        <v>0</v>
      </c>
      <c r="I53" s="20">
        <f>SUMIFS('PvA Data'!$G$2:$G$1576,'PvA Data'!$A$2:$A$1576,$A53,'PvA Data'!$E$2:$E$1576,$D53,'PvA Data'!$C$2:$C$1576,"Martin")</f>
        <v>41</v>
      </c>
      <c r="J53" s="20">
        <f>SUMIFS('PvA Data'!$G$2:$G$1576,'PvA Data'!$A$2:$A$1576,$A53,'PvA Data'!$E$2:$E$1576,$D53,'PvA Data'!$C$2:$C$1576,"Custom")</f>
        <v>0</v>
      </c>
      <c r="K53" s="36">
        <f t="shared" si="9"/>
        <v>0</v>
      </c>
      <c r="L53" s="36">
        <f t="shared" si="10"/>
        <v>1</v>
      </c>
      <c r="M53" s="36">
        <f t="shared" si="11"/>
        <v>0</v>
      </c>
    </row>
    <row r="54" spans="1:13" ht="15" customHeight="1" x14ac:dyDescent="0.75">
      <c r="A54" s="18" t="s">
        <v>53</v>
      </c>
      <c r="B54" s="19">
        <v>46020</v>
      </c>
      <c r="C54" s="17">
        <v>666541</v>
      </c>
      <c r="D54" s="18" t="s">
        <v>41</v>
      </c>
      <c r="E54" s="20">
        <f>SUMIFS('PvA Data'!$F$2:$F$1576,'PvA Data'!$A$2:$A$1576,$A54,'PvA Data'!$E$2:$E$1576,$D54)</f>
        <v>120</v>
      </c>
      <c r="F54" s="20">
        <f>SUMIFS('PvA Data'!$G$2:$G$1576,'PvA Data'!$A$2:$A$1576,$A54,'PvA Data'!$E$2:$E$1576,$D54)</f>
        <v>175</v>
      </c>
      <c r="G54" s="36">
        <f t="shared" si="8"/>
        <v>1.4583333333333333</v>
      </c>
      <c r="H54" s="20">
        <f>SUMIFS('PvA Data'!$G$2:$G$1576,'PvA Data'!$A$2:$A$1576,$A54,'PvA Data'!$E$2:$E$1576,$D54,'PvA Data'!$C$2:$C$1576,"Nahunta")</f>
        <v>0</v>
      </c>
      <c r="I54" s="20">
        <f>SUMIFS('PvA Data'!$G$2:$G$1576,'PvA Data'!$A$2:$A$1576,$A54,'PvA Data'!$E$2:$E$1576,$D54,'PvA Data'!$C$2:$C$1576,"Martin")</f>
        <v>175</v>
      </c>
      <c r="J54" s="20">
        <f>SUMIFS('PvA Data'!$G$2:$G$1576,'PvA Data'!$A$2:$A$1576,$A54,'PvA Data'!$E$2:$E$1576,$D54,'PvA Data'!$C$2:$C$1576,"Custom")</f>
        <v>0</v>
      </c>
      <c r="K54" s="36">
        <f t="shared" si="9"/>
        <v>0</v>
      </c>
      <c r="L54" s="36">
        <f t="shared" si="10"/>
        <v>1</v>
      </c>
      <c r="M54" s="36">
        <f t="shared" si="11"/>
        <v>0</v>
      </c>
    </row>
    <row r="55" spans="1:13" ht="15" customHeight="1" x14ac:dyDescent="0.75">
      <c r="A55" s="18" t="s">
        <v>53</v>
      </c>
      <c r="B55" s="19">
        <v>46020</v>
      </c>
      <c r="C55" s="17">
        <v>666536</v>
      </c>
      <c r="D55" s="18" t="s">
        <v>43</v>
      </c>
      <c r="E55" s="20">
        <f>SUMIFS('PvA Data'!$F$2:$F$1576,'PvA Data'!$A$2:$A$1576,$A55,'PvA Data'!$E$2:$E$1576,$D55)</f>
        <v>10</v>
      </c>
      <c r="F55" s="20">
        <f>SUMIFS('PvA Data'!$G$2:$G$1576,'PvA Data'!$A$2:$A$1576,$A55,'PvA Data'!$E$2:$E$1576,$D55)</f>
        <v>1</v>
      </c>
      <c r="G55" s="36">
        <f t="shared" si="8"/>
        <v>0.1</v>
      </c>
      <c r="H55" s="20">
        <f>SUMIFS('PvA Data'!$G$2:$G$1576,'PvA Data'!$A$2:$A$1576,$A55,'PvA Data'!$E$2:$E$1576,$D55,'PvA Data'!$C$2:$C$1576,"Nahunta")</f>
        <v>1</v>
      </c>
      <c r="I55" s="20">
        <f>SUMIFS('PvA Data'!$G$2:$G$1576,'PvA Data'!$A$2:$A$1576,$A55,'PvA Data'!$E$2:$E$1576,$D55,'PvA Data'!$C$2:$C$1576,"Martin")</f>
        <v>0</v>
      </c>
      <c r="J55" s="20">
        <f>SUMIFS('PvA Data'!$G$2:$G$1576,'PvA Data'!$A$2:$A$1576,$A55,'PvA Data'!$E$2:$E$1576,$D55,'PvA Data'!$C$2:$C$1576,"Custom")</f>
        <v>0</v>
      </c>
      <c r="K55" s="36">
        <f t="shared" si="9"/>
        <v>1</v>
      </c>
      <c r="L55" s="36">
        <f t="shared" si="10"/>
        <v>0</v>
      </c>
      <c r="M55" s="36">
        <f t="shared" si="11"/>
        <v>0</v>
      </c>
    </row>
    <row r="56" spans="1:13" ht="15" customHeight="1" x14ac:dyDescent="0.75">
      <c r="A56" s="18" t="s">
        <v>61</v>
      </c>
      <c r="B56" s="19">
        <v>46027</v>
      </c>
      <c r="C56" s="17">
        <v>666501</v>
      </c>
      <c r="D56" s="18" t="s">
        <v>5</v>
      </c>
      <c r="E56" s="20">
        <f>SUMIFS('PvA Data'!$F$2:$F$1576,'PvA Data'!$A$2:$A$1576,$A56,'PvA Data'!$E$2:$E$1576,$D56)</f>
        <v>181.5</v>
      </c>
      <c r="F56" s="20">
        <f>SUMIFS('PvA Data'!$G$2:$G$1576,'PvA Data'!$A$2:$A$1576,$A56,'PvA Data'!$E$2:$E$1576,$D56)</f>
        <v>156</v>
      </c>
      <c r="G56" s="36">
        <f t="shared" si="8"/>
        <v>0.85950413223140498</v>
      </c>
      <c r="H56" s="20">
        <f>SUMIFS('PvA Data'!$G$2:$G$1576,'PvA Data'!$A$2:$A$1576,$A56,'PvA Data'!$E$2:$E$1576,$D56,'PvA Data'!$C$2:$C$1576,"Nahunta")</f>
        <v>6</v>
      </c>
      <c r="I56" s="20">
        <f>SUMIFS('PvA Data'!$G$2:$G$1576,'PvA Data'!$A$2:$A$1576,$A56,'PvA Data'!$E$2:$E$1576,$D56,'PvA Data'!$C$2:$C$1576,"Martin")</f>
        <v>150</v>
      </c>
      <c r="J56" s="20">
        <f>SUMIFS('PvA Data'!$G$2:$G$1576,'PvA Data'!$A$2:$A$1576,$A56,'PvA Data'!$E$2:$E$1576,$D56,'PvA Data'!$C$2:$C$1576,"Custom")</f>
        <v>0</v>
      </c>
      <c r="K56" s="36">
        <f t="shared" si="9"/>
        <v>3.8461538461538464E-2</v>
      </c>
      <c r="L56" s="36">
        <f t="shared" si="10"/>
        <v>0.96153846153846156</v>
      </c>
      <c r="M56" s="36">
        <f t="shared" si="11"/>
        <v>0</v>
      </c>
    </row>
    <row r="57" spans="1:13" ht="15" customHeight="1" x14ac:dyDescent="0.75">
      <c r="A57" s="18" t="s">
        <v>61</v>
      </c>
      <c r="B57" s="19">
        <v>46027</v>
      </c>
      <c r="C57" s="17">
        <v>666502</v>
      </c>
      <c r="D57" s="18" t="s">
        <v>7</v>
      </c>
      <c r="E57" s="20">
        <f>SUMIFS('PvA Data'!$F$2:$F$1576,'PvA Data'!$A$2:$A$1576,$A57,'PvA Data'!$E$2:$E$1576,$D57)</f>
        <v>95</v>
      </c>
      <c r="F57" s="20">
        <f>SUMIFS('PvA Data'!$G$2:$G$1576,'PvA Data'!$A$2:$A$1576,$A57,'PvA Data'!$E$2:$E$1576,$D57)</f>
        <v>115</v>
      </c>
      <c r="G57" s="36">
        <f t="shared" si="8"/>
        <v>1.2105263157894737</v>
      </c>
      <c r="H57" s="20">
        <f>SUMIFS('PvA Data'!$G$2:$G$1576,'PvA Data'!$A$2:$A$1576,$A57,'PvA Data'!$E$2:$E$1576,$D57,'PvA Data'!$C$2:$C$1576,"Nahunta")</f>
        <v>0</v>
      </c>
      <c r="I57" s="20">
        <f>SUMIFS('PvA Data'!$G$2:$G$1576,'PvA Data'!$A$2:$A$1576,$A57,'PvA Data'!$E$2:$E$1576,$D57,'PvA Data'!$C$2:$C$1576,"Martin")</f>
        <v>115</v>
      </c>
      <c r="J57" s="20">
        <f>SUMIFS('PvA Data'!$G$2:$G$1576,'PvA Data'!$A$2:$A$1576,$A57,'PvA Data'!$E$2:$E$1576,$D57,'PvA Data'!$C$2:$C$1576,"Custom")</f>
        <v>0</v>
      </c>
      <c r="K57" s="36">
        <f t="shared" si="9"/>
        <v>0</v>
      </c>
      <c r="L57" s="36">
        <f t="shared" si="10"/>
        <v>1</v>
      </c>
      <c r="M57" s="36">
        <f t="shared" si="11"/>
        <v>0</v>
      </c>
    </row>
    <row r="58" spans="1:13" ht="15" customHeight="1" x14ac:dyDescent="0.75">
      <c r="A58" s="18" t="s">
        <v>61</v>
      </c>
      <c r="B58" s="19">
        <v>46027</v>
      </c>
      <c r="C58" s="17">
        <v>666505</v>
      </c>
      <c r="D58" s="18" t="s">
        <v>9</v>
      </c>
      <c r="E58" s="20">
        <f>SUMIFS('PvA Data'!$F$2:$F$1576,'PvA Data'!$A$2:$A$1576,$A58,'PvA Data'!$E$2:$E$1576,$D58)</f>
        <v>31</v>
      </c>
      <c r="F58" s="20">
        <f>SUMIFS('PvA Data'!$G$2:$G$1576,'PvA Data'!$A$2:$A$1576,$A58,'PvA Data'!$E$2:$E$1576,$D58)</f>
        <v>0</v>
      </c>
      <c r="G58" s="36">
        <f t="shared" si="8"/>
        <v>0</v>
      </c>
      <c r="H58" s="20">
        <f>SUMIFS('PvA Data'!$G$2:$G$1576,'PvA Data'!$A$2:$A$1576,$A58,'PvA Data'!$E$2:$E$1576,$D58,'PvA Data'!$C$2:$C$1576,"Nahunta")</f>
        <v>0</v>
      </c>
      <c r="I58" s="20">
        <f>SUMIFS('PvA Data'!$G$2:$G$1576,'PvA Data'!$A$2:$A$1576,$A58,'PvA Data'!$E$2:$E$1576,$D58,'PvA Data'!$C$2:$C$1576,"Martin")</f>
        <v>0</v>
      </c>
      <c r="J58" s="20">
        <f>SUMIFS('PvA Data'!$G$2:$G$1576,'PvA Data'!$A$2:$A$1576,$A58,'PvA Data'!$E$2:$E$1576,$D58,'PvA Data'!$C$2:$C$1576,"Custom")</f>
        <v>0</v>
      </c>
      <c r="K58" s="36" t="str">
        <f t="shared" si="9"/>
        <v/>
      </c>
      <c r="L58" s="36" t="str">
        <f t="shared" si="10"/>
        <v/>
      </c>
      <c r="M58" s="36" t="str">
        <f t="shared" si="11"/>
        <v/>
      </c>
    </row>
    <row r="59" spans="1:13" ht="15" customHeight="1" x14ac:dyDescent="0.75">
      <c r="A59" s="18" t="s">
        <v>61</v>
      </c>
      <c r="B59" s="19">
        <v>46027</v>
      </c>
      <c r="C59" s="17">
        <v>666506</v>
      </c>
      <c r="D59" s="18" t="s">
        <v>11</v>
      </c>
      <c r="E59" s="20">
        <f>SUMIFS('PvA Data'!$F$2:$F$1576,'PvA Data'!$A$2:$A$1576,$A59,'PvA Data'!$E$2:$E$1576,$D59)</f>
        <v>100</v>
      </c>
      <c r="F59" s="20">
        <f>SUMIFS('PvA Data'!$G$2:$G$1576,'PvA Data'!$A$2:$A$1576,$A59,'PvA Data'!$E$2:$E$1576,$D59)</f>
        <v>200</v>
      </c>
      <c r="G59" s="36">
        <f t="shared" si="8"/>
        <v>2</v>
      </c>
      <c r="H59" s="20">
        <f>SUMIFS('PvA Data'!$G$2:$G$1576,'PvA Data'!$A$2:$A$1576,$A59,'PvA Data'!$E$2:$E$1576,$D59,'PvA Data'!$C$2:$C$1576,"Nahunta")</f>
        <v>0</v>
      </c>
      <c r="I59" s="20">
        <f>SUMIFS('PvA Data'!$G$2:$G$1576,'PvA Data'!$A$2:$A$1576,$A59,'PvA Data'!$E$2:$E$1576,$D59,'PvA Data'!$C$2:$C$1576,"Martin")</f>
        <v>200</v>
      </c>
      <c r="J59" s="20">
        <f>SUMIFS('PvA Data'!$G$2:$G$1576,'PvA Data'!$A$2:$A$1576,$A59,'PvA Data'!$E$2:$E$1576,$D59,'PvA Data'!$C$2:$C$1576,"Custom")</f>
        <v>0</v>
      </c>
      <c r="K59" s="36">
        <f t="shared" si="9"/>
        <v>0</v>
      </c>
      <c r="L59" s="36">
        <f t="shared" si="10"/>
        <v>1</v>
      </c>
      <c r="M59" s="36">
        <f t="shared" si="11"/>
        <v>0</v>
      </c>
    </row>
    <row r="60" spans="1:13" ht="15" customHeight="1" x14ac:dyDescent="0.75">
      <c r="A60" s="18" t="s">
        <v>61</v>
      </c>
      <c r="B60" s="19">
        <v>46027</v>
      </c>
      <c r="C60" s="17">
        <v>666507</v>
      </c>
      <c r="D60" s="18" t="s">
        <v>13</v>
      </c>
      <c r="E60" s="20">
        <f>SUMIFS('PvA Data'!$F$2:$F$1576,'PvA Data'!$A$2:$A$1576,$A60,'PvA Data'!$E$2:$E$1576,$D60)</f>
        <v>30</v>
      </c>
      <c r="F60" s="20">
        <f>SUMIFS('PvA Data'!$G$2:$G$1576,'PvA Data'!$A$2:$A$1576,$A60,'PvA Data'!$E$2:$E$1576,$D60)</f>
        <v>41</v>
      </c>
      <c r="G60" s="36">
        <f t="shared" si="8"/>
        <v>1.3666666666666667</v>
      </c>
      <c r="H60" s="20">
        <f>SUMIFS('PvA Data'!$G$2:$G$1576,'PvA Data'!$A$2:$A$1576,$A60,'PvA Data'!$E$2:$E$1576,$D60,'PvA Data'!$C$2:$C$1576,"Nahunta")</f>
        <v>41</v>
      </c>
      <c r="I60" s="20">
        <f>SUMIFS('PvA Data'!$G$2:$G$1576,'PvA Data'!$A$2:$A$1576,$A60,'PvA Data'!$E$2:$E$1576,$D60,'PvA Data'!$C$2:$C$1576,"Martin")</f>
        <v>0</v>
      </c>
      <c r="J60" s="20">
        <f>SUMIFS('PvA Data'!$G$2:$G$1576,'PvA Data'!$A$2:$A$1576,$A60,'PvA Data'!$E$2:$E$1576,$D60,'PvA Data'!$C$2:$C$1576,"Custom")</f>
        <v>0</v>
      </c>
      <c r="K60" s="36">
        <f t="shared" si="9"/>
        <v>1</v>
      </c>
      <c r="L60" s="36">
        <f t="shared" si="10"/>
        <v>0</v>
      </c>
      <c r="M60" s="36">
        <f t="shared" si="11"/>
        <v>0</v>
      </c>
    </row>
    <row r="61" spans="1:13" ht="15" customHeight="1" x14ac:dyDescent="0.75">
      <c r="A61" s="18" t="s">
        <v>61</v>
      </c>
      <c r="B61" s="19">
        <v>46027</v>
      </c>
      <c r="C61" s="17">
        <v>666509</v>
      </c>
      <c r="D61" s="18" t="s">
        <v>15</v>
      </c>
      <c r="E61" s="20">
        <f>SUMIFS('PvA Data'!$F$2:$F$1576,'PvA Data'!$A$2:$A$1576,$A61,'PvA Data'!$E$2:$E$1576,$D61)</f>
        <v>80</v>
      </c>
      <c r="F61" s="20">
        <f>SUMIFS('PvA Data'!$G$2:$G$1576,'PvA Data'!$A$2:$A$1576,$A61,'PvA Data'!$E$2:$E$1576,$D61)</f>
        <v>83</v>
      </c>
      <c r="G61" s="36">
        <f t="shared" si="8"/>
        <v>1.0375000000000001</v>
      </c>
      <c r="H61" s="20">
        <f>SUMIFS('PvA Data'!$G$2:$G$1576,'PvA Data'!$A$2:$A$1576,$A61,'PvA Data'!$E$2:$E$1576,$D61,'PvA Data'!$C$2:$C$1576,"Nahunta")</f>
        <v>83</v>
      </c>
      <c r="I61" s="20">
        <f>SUMIFS('PvA Data'!$G$2:$G$1576,'PvA Data'!$A$2:$A$1576,$A61,'PvA Data'!$E$2:$E$1576,$D61,'PvA Data'!$C$2:$C$1576,"Martin")</f>
        <v>0</v>
      </c>
      <c r="J61" s="20">
        <f>SUMIFS('PvA Data'!$G$2:$G$1576,'PvA Data'!$A$2:$A$1576,$A61,'PvA Data'!$E$2:$E$1576,$D61,'PvA Data'!$C$2:$C$1576,"Custom")</f>
        <v>0</v>
      </c>
      <c r="K61" s="36">
        <f t="shared" si="9"/>
        <v>1</v>
      </c>
      <c r="L61" s="36">
        <f t="shared" si="10"/>
        <v>0</v>
      </c>
      <c r="M61" s="36">
        <f t="shared" si="11"/>
        <v>0</v>
      </c>
    </row>
    <row r="62" spans="1:13" ht="15" customHeight="1" x14ac:dyDescent="0.75">
      <c r="A62" s="18" t="s">
        <v>61</v>
      </c>
      <c r="B62" s="19">
        <v>46027</v>
      </c>
      <c r="C62" s="17">
        <v>666510</v>
      </c>
      <c r="D62" s="18" t="s">
        <v>17</v>
      </c>
      <c r="E62" s="20">
        <f>SUMIFS('PvA Data'!$F$2:$F$1576,'PvA Data'!$A$2:$A$1576,$A62,'PvA Data'!$E$2:$E$1576,$D62)</f>
        <v>0</v>
      </c>
      <c r="F62" s="20">
        <f>SUMIFS('PvA Data'!$G$2:$G$1576,'PvA Data'!$A$2:$A$1576,$A62,'PvA Data'!$E$2:$E$1576,$D62)</f>
        <v>0</v>
      </c>
      <c r="G62" s="36" t="str">
        <f t="shared" si="8"/>
        <v/>
      </c>
      <c r="H62" s="20">
        <f>SUMIFS('PvA Data'!$G$2:$G$1576,'PvA Data'!$A$2:$A$1576,$A62,'PvA Data'!$E$2:$E$1576,$D62,'PvA Data'!$C$2:$C$1576,"Nahunta")</f>
        <v>0</v>
      </c>
      <c r="I62" s="20">
        <f>SUMIFS('PvA Data'!$G$2:$G$1576,'PvA Data'!$A$2:$A$1576,$A62,'PvA Data'!$E$2:$E$1576,$D62,'PvA Data'!$C$2:$C$1576,"Martin")</f>
        <v>0</v>
      </c>
      <c r="J62" s="20">
        <f>SUMIFS('PvA Data'!$G$2:$G$1576,'PvA Data'!$A$2:$A$1576,$A62,'PvA Data'!$E$2:$E$1576,$D62,'PvA Data'!$C$2:$C$1576,"Custom")</f>
        <v>0</v>
      </c>
      <c r="K62" s="36" t="str">
        <f t="shared" si="9"/>
        <v/>
      </c>
      <c r="L62" s="36" t="str">
        <f t="shared" si="10"/>
        <v/>
      </c>
      <c r="M62" s="36" t="str">
        <f t="shared" si="11"/>
        <v/>
      </c>
    </row>
    <row r="63" spans="1:13" ht="15" customHeight="1" x14ac:dyDescent="0.75">
      <c r="A63" s="18" t="s">
        <v>61</v>
      </c>
      <c r="B63" s="19">
        <v>46027</v>
      </c>
      <c r="C63" s="17">
        <v>666511</v>
      </c>
      <c r="D63" s="18" t="s">
        <v>19</v>
      </c>
      <c r="E63" s="20">
        <f>SUMIFS('PvA Data'!$F$2:$F$1576,'PvA Data'!$A$2:$A$1576,$A63,'PvA Data'!$E$2:$E$1576,$D63)</f>
        <v>3</v>
      </c>
      <c r="F63" s="20">
        <f>SUMIFS('PvA Data'!$G$2:$G$1576,'PvA Data'!$A$2:$A$1576,$A63,'PvA Data'!$E$2:$E$1576,$D63)</f>
        <v>6</v>
      </c>
      <c r="G63" s="36">
        <f t="shared" si="8"/>
        <v>2</v>
      </c>
      <c r="H63" s="20">
        <f>SUMIFS('PvA Data'!$G$2:$G$1576,'PvA Data'!$A$2:$A$1576,$A63,'PvA Data'!$E$2:$E$1576,$D63,'PvA Data'!$C$2:$C$1576,"Nahunta")</f>
        <v>6</v>
      </c>
      <c r="I63" s="20">
        <f>SUMIFS('PvA Data'!$G$2:$G$1576,'PvA Data'!$A$2:$A$1576,$A63,'PvA Data'!$E$2:$E$1576,$D63,'PvA Data'!$C$2:$C$1576,"Martin")</f>
        <v>0</v>
      </c>
      <c r="J63" s="20">
        <f>SUMIFS('PvA Data'!$G$2:$G$1576,'PvA Data'!$A$2:$A$1576,$A63,'PvA Data'!$E$2:$E$1576,$D63,'PvA Data'!$C$2:$C$1576,"Custom")</f>
        <v>0</v>
      </c>
      <c r="K63" s="36">
        <f t="shared" si="9"/>
        <v>1</v>
      </c>
      <c r="L63" s="36">
        <f t="shared" si="10"/>
        <v>0</v>
      </c>
      <c r="M63" s="36">
        <f t="shared" si="11"/>
        <v>0</v>
      </c>
    </row>
    <row r="64" spans="1:13" ht="15" customHeight="1" x14ac:dyDescent="0.75">
      <c r="A64" s="18" t="s">
        <v>61</v>
      </c>
      <c r="B64" s="19">
        <v>46027</v>
      </c>
      <c r="C64" s="17">
        <v>666513</v>
      </c>
      <c r="D64" s="18" t="s">
        <v>21</v>
      </c>
      <c r="E64" s="20">
        <f>SUMIFS('PvA Data'!$F$2:$F$1576,'PvA Data'!$A$2:$A$1576,$A64,'PvA Data'!$E$2:$E$1576,$D64)</f>
        <v>33</v>
      </c>
      <c r="F64" s="20">
        <f>SUMIFS('PvA Data'!$G$2:$G$1576,'PvA Data'!$A$2:$A$1576,$A64,'PvA Data'!$E$2:$E$1576,$D64)</f>
        <v>0</v>
      </c>
      <c r="G64" s="36">
        <f t="shared" si="8"/>
        <v>0</v>
      </c>
      <c r="H64" s="20">
        <f>SUMIFS('PvA Data'!$G$2:$G$1576,'PvA Data'!$A$2:$A$1576,$A64,'PvA Data'!$E$2:$E$1576,$D64,'PvA Data'!$C$2:$C$1576,"Nahunta")</f>
        <v>0</v>
      </c>
      <c r="I64" s="20">
        <f>SUMIFS('PvA Data'!$G$2:$G$1576,'PvA Data'!$A$2:$A$1576,$A64,'PvA Data'!$E$2:$E$1576,$D64,'PvA Data'!$C$2:$C$1576,"Martin")</f>
        <v>0</v>
      </c>
      <c r="J64" s="20">
        <f>SUMIFS('PvA Data'!$G$2:$G$1576,'PvA Data'!$A$2:$A$1576,$A64,'PvA Data'!$E$2:$E$1576,$D64,'PvA Data'!$C$2:$C$1576,"Custom")</f>
        <v>0</v>
      </c>
      <c r="K64" s="36" t="str">
        <f t="shared" si="9"/>
        <v/>
      </c>
      <c r="L64" s="36" t="str">
        <f t="shared" si="10"/>
        <v/>
      </c>
      <c r="M64" s="36" t="str">
        <f t="shared" si="11"/>
        <v/>
      </c>
    </row>
    <row r="65" spans="1:13" ht="15" customHeight="1" x14ac:dyDescent="0.75">
      <c r="A65" s="18" t="s">
        <v>61</v>
      </c>
      <c r="B65" s="19">
        <v>46027</v>
      </c>
      <c r="C65" s="17">
        <v>666516</v>
      </c>
      <c r="D65" s="18" t="s">
        <v>23</v>
      </c>
      <c r="E65" s="20">
        <f>SUMIFS('PvA Data'!$F$2:$F$1576,'PvA Data'!$A$2:$A$1576,$A65,'PvA Data'!$E$2:$E$1576,$D65)</f>
        <v>32</v>
      </c>
      <c r="F65" s="20">
        <f>SUMIFS('PvA Data'!$G$2:$G$1576,'PvA Data'!$A$2:$A$1576,$A65,'PvA Data'!$E$2:$E$1576,$D65)</f>
        <v>6</v>
      </c>
      <c r="G65" s="36">
        <f t="shared" si="8"/>
        <v>0.1875</v>
      </c>
      <c r="H65" s="20">
        <f>SUMIFS('PvA Data'!$G$2:$G$1576,'PvA Data'!$A$2:$A$1576,$A65,'PvA Data'!$E$2:$E$1576,$D65,'PvA Data'!$C$2:$C$1576,"Nahunta")</f>
        <v>6</v>
      </c>
      <c r="I65" s="20">
        <f>SUMIFS('PvA Data'!$G$2:$G$1576,'PvA Data'!$A$2:$A$1576,$A65,'PvA Data'!$E$2:$E$1576,$D65,'PvA Data'!$C$2:$C$1576,"Martin")</f>
        <v>0</v>
      </c>
      <c r="J65" s="20">
        <f>SUMIFS('PvA Data'!$G$2:$G$1576,'PvA Data'!$A$2:$A$1576,$A65,'PvA Data'!$E$2:$E$1576,$D65,'PvA Data'!$C$2:$C$1576,"Custom")</f>
        <v>0</v>
      </c>
      <c r="K65" s="36">
        <f t="shared" si="9"/>
        <v>1</v>
      </c>
      <c r="L65" s="36">
        <f t="shared" si="10"/>
        <v>0</v>
      </c>
      <c r="M65" s="36">
        <f t="shared" si="11"/>
        <v>0</v>
      </c>
    </row>
    <row r="66" spans="1:13" ht="15" customHeight="1" x14ac:dyDescent="0.75">
      <c r="A66" s="18" t="s">
        <v>61</v>
      </c>
      <c r="B66" s="19">
        <v>46027</v>
      </c>
      <c r="C66" s="17">
        <v>666517</v>
      </c>
      <c r="D66" s="18" t="s">
        <v>25</v>
      </c>
      <c r="E66" s="20">
        <f>SUMIFS('PvA Data'!$F$2:$F$1576,'PvA Data'!$A$2:$A$1576,$A66,'PvA Data'!$E$2:$E$1576,$D66)</f>
        <v>30</v>
      </c>
      <c r="F66" s="20">
        <f>SUMIFS('PvA Data'!$G$2:$G$1576,'PvA Data'!$A$2:$A$1576,$A66,'PvA Data'!$E$2:$E$1576,$D66)</f>
        <v>11</v>
      </c>
      <c r="G66" s="36">
        <f t="shared" si="8"/>
        <v>0.36666666666666664</v>
      </c>
      <c r="H66" s="20">
        <f>SUMIFS('PvA Data'!$G$2:$G$1576,'PvA Data'!$A$2:$A$1576,$A66,'PvA Data'!$E$2:$E$1576,$D66,'PvA Data'!$C$2:$C$1576,"Nahunta")</f>
        <v>11</v>
      </c>
      <c r="I66" s="20">
        <f>SUMIFS('PvA Data'!$G$2:$G$1576,'PvA Data'!$A$2:$A$1576,$A66,'PvA Data'!$E$2:$E$1576,$D66,'PvA Data'!$C$2:$C$1576,"Martin")</f>
        <v>0</v>
      </c>
      <c r="J66" s="20">
        <f>SUMIFS('PvA Data'!$G$2:$G$1576,'PvA Data'!$A$2:$A$1576,$A66,'PvA Data'!$E$2:$E$1576,$D66,'PvA Data'!$C$2:$C$1576,"Custom")</f>
        <v>0</v>
      </c>
      <c r="K66" s="36">
        <f t="shared" si="9"/>
        <v>1</v>
      </c>
      <c r="L66" s="36">
        <f t="shared" si="10"/>
        <v>0</v>
      </c>
      <c r="M66" s="36">
        <f t="shared" si="11"/>
        <v>0</v>
      </c>
    </row>
    <row r="67" spans="1:13" ht="15" customHeight="1" x14ac:dyDescent="0.75">
      <c r="A67" s="18" t="s">
        <v>61</v>
      </c>
      <c r="B67" s="19">
        <v>46027</v>
      </c>
      <c r="C67" s="17">
        <v>666518</v>
      </c>
      <c r="D67" s="18" t="s">
        <v>27</v>
      </c>
      <c r="E67" s="20">
        <f>SUMIFS('PvA Data'!$F$2:$F$1576,'PvA Data'!$A$2:$A$1576,$A67,'PvA Data'!$E$2:$E$1576,$D67)</f>
        <v>0</v>
      </c>
      <c r="F67" s="20">
        <f>SUMIFS('PvA Data'!$G$2:$G$1576,'PvA Data'!$A$2:$A$1576,$A67,'PvA Data'!$E$2:$E$1576,$D67)</f>
        <v>0</v>
      </c>
      <c r="G67" s="36" t="str">
        <f t="shared" si="8"/>
        <v/>
      </c>
      <c r="H67" s="20">
        <f>SUMIFS('PvA Data'!$G$2:$G$1576,'PvA Data'!$A$2:$A$1576,$A67,'PvA Data'!$E$2:$E$1576,$D67,'PvA Data'!$C$2:$C$1576,"Nahunta")</f>
        <v>0</v>
      </c>
      <c r="I67" s="20">
        <f>SUMIFS('PvA Data'!$G$2:$G$1576,'PvA Data'!$A$2:$A$1576,$A67,'PvA Data'!$E$2:$E$1576,$D67,'PvA Data'!$C$2:$C$1576,"Martin")</f>
        <v>0</v>
      </c>
      <c r="J67" s="20">
        <f>SUMIFS('PvA Data'!$G$2:$G$1576,'PvA Data'!$A$2:$A$1576,$A67,'PvA Data'!$E$2:$E$1576,$D67,'PvA Data'!$C$2:$C$1576,"Custom")</f>
        <v>0</v>
      </c>
      <c r="K67" s="36" t="str">
        <f t="shared" si="9"/>
        <v/>
      </c>
      <c r="L67" s="36" t="str">
        <f t="shared" si="10"/>
        <v/>
      </c>
      <c r="M67" s="36" t="str">
        <f t="shared" si="11"/>
        <v/>
      </c>
    </row>
    <row r="68" spans="1:13" ht="15" customHeight="1" x14ac:dyDescent="0.75">
      <c r="A68" s="18" t="s">
        <v>61</v>
      </c>
      <c r="B68" s="19">
        <v>46027</v>
      </c>
      <c r="C68" s="17">
        <v>666519</v>
      </c>
      <c r="D68" s="18" t="s">
        <v>29</v>
      </c>
      <c r="E68" s="20">
        <f>SUMIFS('PvA Data'!$F$2:$F$1576,'PvA Data'!$A$2:$A$1576,$A68,'PvA Data'!$E$2:$E$1576,$D68)</f>
        <v>32</v>
      </c>
      <c r="F68" s="20">
        <f>SUMIFS('PvA Data'!$G$2:$G$1576,'PvA Data'!$A$2:$A$1576,$A68,'PvA Data'!$E$2:$E$1576,$D68)</f>
        <v>5</v>
      </c>
      <c r="G68" s="36">
        <f t="shared" si="8"/>
        <v>0.15625</v>
      </c>
      <c r="H68" s="20">
        <f>SUMIFS('PvA Data'!$G$2:$G$1576,'PvA Data'!$A$2:$A$1576,$A68,'PvA Data'!$E$2:$E$1576,$D68,'PvA Data'!$C$2:$C$1576,"Nahunta")</f>
        <v>5</v>
      </c>
      <c r="I68" s="20">
        <f>SUMIFS('PvA Data'!$G$2:$G$1576,'PvA Data'!$A$2:$A$1576,$A68,'PvA Data'!$E$2:$E$1576,$D68,'PvA Data'!$C$2:$C$1576,"Martin")</f>
        <v>0</v>
      </c>
      <c r="J68" s="20">
        <f>SUMIFS('PvA Data'!$G$2:$G$1576,'PvA Data'!$A$2:$A$1576,$A68,'PvA Data'!$E$2:$E$1576,$D68,'PvA Data'!$C$2:$C$1576,"Custom")</f>
        <v>0</v>
      </c>
      <c r="K68" s="36">
        <f t="shared" si="9"/>
        <v>1</v>
      </c>
      <c r="L68" s="36">
        <f t="shared" si="10"/>
        <v>0</v>
      </c>
      <c r="M68" s="36">
        <f t="shared" si="11"/>
        <v>0</v>
      </c>
    </row>
    <row r="69" spans="1:13" ht="15" customHeight="1" x14ac:dyDescent="0.75">
      <c r="A69" s="18" t="s">
        <v>61</v>
      </c>
      <c r="B69" s="19">
        <v>46027</v>
      </c>
      <c r="C69" s="17">
        <v>666521</v>
      </c>
      <c r="D69" s="18" t="s">
        <v>31</v>
      </c>
      <c r="E69" s="20">
        <f>SUMIFS('PvA Data'!$F$2:$F$1576,'PvA Data'!$A$2:$A$1576,$A69,'PvA Data'!$E$2:$E$1576,$D69)</f>
        <v>0</v>
      </c>
      <c r="F69" s="20">
        <f>SUMIFS('PvA Data'!$G$2:$G$1576,'PvA Data'!$A$2:$A$1576,$A69,'PvA Data'!$E$2:$E$1576,$D69)</f>
        <v>0</v>
      </c>
      <c r="G69" s="36" t="str">
        <f t="shared" si="8"/>
        <v/>
      </c>
      <c r="H69" s="20">
        <f>SUMIFS('PvA Data'!$G$2:$G$1576,'PvA Data'!$A$2:$A$1576,$A69,'PvA Data'!$E$2:$E$1576,$D69,'PvA Data'!$C$2:$C$1576,"Nahunta")</f>
        <v>0</v>
      </c>
      <c r="I69" s="20">
        <f>SUMIFS('PvA Data'!$G$2:$G$1576,'PvA Data'!$A$2:$A$1576,$A69,'PvA Data'!$E$2:$E$1576,$D69,'PvA Data'!$C$2:$C$1576,"Martin")</f>
        <v>0</v>
      </c>
      <c r="J69" s="20">
        <f>SUMIFS('PvA Data'!$G$2:$G$1576,'PvA Data'!$A$2:$A$1576,$A69,'PvA Data'!$E$2:$E$1576,$D69,'PvA Data'!$C$2:$C$1576,"Custom")</f>
        <v>0</v>
      </c>
      <c r="K69" s="36" t="str">
        <f t="shared" si="9"/>
        <v/>
      </c>
      <c r="L69" s="36" t="str">
        <f t="shared" si="10"/>
        <v/>
      </c>
      <c r="M69" s="36" t="str">
        <f t="shared" si="11"/>
        <v/>
      </c>
    </row>
    <row r="70" spans="1:13" ht="15" customHeight="1" x14ac:dyDescent="0.75">
      <c r="A70" s="18" t="s">
        <v>61</v>
      </c>
      <c r="B70" s="19">
        <v>46027</v>
      </c>
      <c r="C70" s="17">
        <v>666522</v>
      </c>
      <c r="D70" s="18" t="s">
        <v>33</v>
      </c>
      <c r="E70" s="20">
        <f>SUMIFS('PvA Data'!$F$2:$F$1576,'PvA Data'!$A$2:$A$1576,$A70,'PvA Data'!$E$2:$E$1576,$D70)</f>
        <v>200</v>
      </c>
      <c r="F70" s="20">
        <f>SUMIFS('PvA Data'!$G$2:$G$1576,'PvA Data'!$A$2:$A$1576,$A70,'PvA Data'!$E$2:$E$1576,$D70)</f>
        <v>45</v>
      </c>
      <c r="G70" s="36">
        <f t="shared" si="8"/>
        <v>0.22500000000000001</v>
      </c>
      <c r="H70" s="20">
        <f>SUMIFS('PvA Data'!$G$2:$G$1576,'PvA Data'!$A$2:$A$1576,$A70,'PvA Data'!$E$2:$E$1576,$D70,'PvA Data'!$C$2:$C$1576,"Nahunta")</f>
        <v>45</v>
      </c>
      <c r="I70" s="20">
        <f>SUMIFS('PvA Data'!$G$2:$G$1576,'PvA Data'!$A$2:$A$1576,$A70,'PvA Data'!$E$2:$E$1576,$D70,'PvA Data'!$C$2:$C$1576,"Martin")</f>
        <v>0</v>
      </c>
      <c r="J70" s="20">
        <f>SUMIFS('PvA Data'!$G$2:$G$1576,'PvA Data'!$A$2:$A$1576,$A70,'PvA Data'!$E$2:$E$1576,$D70,'PvA Data'!$C$2:$C$1576,"Custom")</f>
        <v>0</v>
      </c>
      <c r="K70" s="36">
        <f t="shared" si="9"/>
        <v>1</v>
      </c>
      <c r="L70" s="36">
        <f t="shared" si="10"/>
        <v>0</v>
      </c>
      <c r="M70" s="36">
        <f t="shared" si="11"/>
        <v>0</v>
      </c>
    </row>
    <row r="71" spans="1:13" ht="15" customHeight="1" x14ac:dyDescent="0.75">
      <c r="A71" s="18" t="s">
        <v>61</v>
      </c>
      <c r="B71" s="19">
        <v>46027</v>
      </c>
      <c r="C71" s="17">
        <v>666523</v>
      </c>
      <c r="D71" s="18" t="s">
        <v>35</v>
      </c>
      <c r="E71" s="20">
        <f>SUMIFS('PvA Data'!$F$2:$F$1576,'PvA Data'!$A$2:$A$1576,$A71,'PvA Data'!$E$2:$E$1576,$D71)</f>
        <v>70</v>
      </c>
      <c r="F71" s="20">
        <f>SUMIFS('PvA Data'!$G$2:$G$1576,'PvA Data'!$A$2:$A$1576,$A71,'PvA Data'!$E$2:$E$1576,$D71)</f>
        <v>112</v>
      </c>
      <c r="G71" s="36">
        <f t="shared" si="8"/>
        <v>1.6</v>
      </c>
      <c r="H71" s="20">
        <f>SUMIFS('PvA Data'!$G$2:$G$1576,'PvA Data'!$A$2:$A$1576,$A71,'PvA Data'!$E$2:$E$1576,$D71,'PvA Data'!$C$2:$C$1576,"Nahunta")</f>
        <v>0</v>
      </c>
      <c r="I71" s="20">
        <f>SUMIFS('PvA Data'!$G$2:$G$1576,'PvA Data'!$A$2:$A$1576,$A71,'PvA Data'!$E$2:$E$1576,$D71,'PvA Data'!$C$2:$C$1576,"Martin")</f>
        <v>112</v>
      </c>
      <c r="J71" s="20">
        <f>SUMIFS('PvA Data'!$G$2:$G$1576,'PvA Data'!$A$2:$A$1576,$A71,'PvA Data'!$E$2:$E$1576,$D71,'PvA Data'!$C$2:$C$1576,"Custom")</f>
        <v>0</v>
      </c>
      <c r="K71" s="36">
        <f t="shared" si="9"/>
        <v>0</v>
      </c>
      <c r="L71" s="36">
        <f t="shared" si="10"/>
        <v>1</v>
      </c>
      <c r="M71" s="36">
        <f t="shared" si="11"/>
        <v>0</v>
      </c>
    </row>
    <row r="72" spans="1:13" ht="15" customHeight="1" x14ac:dyDescent="0.75">
      <c r="A72" s="18" t="s">
        <v>61</v>
      </c>
      <c r="B72" s="19">
        <v>46027</v>
      </c>
      <c r="C72" s="17">
        <v>666530</v>
      </c>
      <c r="D72" s="18" t="s">
        <v>37</v>
      </c>
      <c r="E72" s="20">
        <f>SUMIFS('PvA Data'!$F$2:$F$1576,'PvA Data'!$A$2:$A$1576,$A72,'PvA Data'!$E$2:$E$1576,$D72)</f>
        <v>8</v>
      </c>
      <c r="F72" s="20">
        <f>SUMIFS('PvA Data'!$G$2:$G$1576,'PvA Data'!$A$2:$A$1576,$A72,'PvA Data'!$E$2:$E$1576,$D72)</f>
        <v>0</v>
      </c>
      <c r="G72" s="36">
        <f t="shared" si="8"/>
        <v>0</v>
      </c>
      <c r="H72" s="20">
        <f>SUMIFS('PvA Data'!$G$2:$G$1576,'PvA Data'!$A$2:$A$1576,$A72,'PvA Data'!$E$2:$E$1576,$D72,'PvA Data'!$C$2:$C$1576,"Nahunta")</f>
        <v>0</v>
      </c>
      <c r="I72" s="20">
        <f>SUMIFS('PvA Data'!$G$2:$G$1576,'PvA Data'!$A$2:$A$1576,$A72,'PvA Data'!$E$2:$E$1576,$D72,'PvA Data'!$C$2:$C$1576,"Martin")</f>
        <v>0</v>
      </c>
      <c r="J72" s="20">
        <f>SUMIFS('PvA Data'!$G$2:$G$1576,'PvA Data'!$A$2:$A$1576,$A72,'PvA Data'!$E$2:$E$1576,$D72,'PvA Data'!$C$2:$C$1576,"Custom")</f>
        <v>0</v>
      </c>
      <c r="K72" s="36" t="str">
        <f t="shared" si="9"/>
        <v/>
      </c>
      <c r="L72" s="36" t="str">
        <f t="shared" si="10"/>
        <v/>
      </c>
      <c r="M72" s="36" t="str">
        <f t="shared" si="11"/>
        <v/>
      </c>
    </row>
    <row r="73" spans="1:13" ht="15" customHeight="1" x14ac:dyDescent="0.75">
      <c r="A73" s="18" t="s">
        <v>61</v>
      </c>
      <c r="B73" s="19">
        <v>46027</v>
      </c>
      <c r="C73" s="17">
        <v>666531</v>
      </c>
      <c r="D73" s="18" t="s">
        <v>39</v>
      </c>
      <c r="E73" s="20">
        <f>SUMIFS('PvA Data'!$F$2:$F$1576,'PvA Data'!$A$2:$A$1576,$A73,'PvA Data'!$E$2:$E$1576,$D73)</f>
        <v>12</v>
      </c>
      <c r="F73" s="20">
        <f>SUMIFS('PvA Data'!$G$2:$G$1576,'PvA Data'!$A$2:$A$1576,$A73,'PvA Data'!$E$2:$E$1576,$D73)</f>
        <v>0</v>
      </c>
      <c r="G73" s="36">
        <f t="shared" si="8"/>
        <v>0</v>
      </c>
      <c r="H73" s="20">
        <f>SUMIFS('PvA Data'!$G$2:$G$1576,'PvA Data'!$A$2:$A$1576,$A73,'PvA Data'!$E$2:$E$1576,$D73,'PvA Data'!$C$2:$C$1576,"Nahunta")</f>
        <v>0</v>
      </c>
      <c r="I73" s="20">
        <f>SUMIFS('PvA Data'!$G$2:$G$1576,'PvA Data'!$A$2:$A$1576,$A73,'PvA Data'!$E$2:$E$1576,$D73,'PvA Data'!$C$2:$C$1576,"Martin")</f>
        <v>0</v>
      </c>
      <c r="J73" s="20">
        <f>SUMIFS('PvA Data'!$G$2:$G$1576,'PvA Data'!$A$2:$A$1576,$A73,'PvA Data'!$E$2:$E$1576,$D73,'PvA Data'!$C$2:$C$1576,"Custom")</f>
        <v>0</v>
      </c>
      <c r="K73" s="36" t="str">
        <f t="shared" si="9"/>
        <v/>
      </c>
      <c r="L73" s="36" t="str">
        <f t="shared" si="10"/>
        <v/>
      </c>
      <c r="M73" s="36" t="str">
        <f t="shared" si="11"/>
        <v/>
      </c>
    </row>
    <row r="74" spans="1:13" ht="15" customHeight="1" x14ac:dyDescent="0.75">
      <c r="A74" s="18" t="s">
        <v>61</v>
      </c>
      <c r="B74" s="19">
        <v>46027</v>
      </c>
      <c r="C74" s="17">
        <v>666540</v>
      </c>
      <c r="D74" s="18" t="s">
        <v>40</v>
      </c>
      <c r="E74" s="20">
        <f>SUMIFS('PvA Data'!$F$2:$F$1576,'PvA Data'!$A$2:$A$1576,$A74,'PvA Data'!$E$2:$E$1576,$D74)</f>
        <v>120</v>
      </c>
      <c r="F74" s="20">
        <f>SUMIFS('PvA Data'!$G$2:$G$1576,'PvA Data'!$A$2:$A$1576,$A74,'PvA Data'!$E$2:$E$1576,$D74)</f>
        <v>46</v>
      </c>
      <c r="G74" s="36">
        <f t="shared" si="8"/>
        <v>0.38333333333333336</v>
      </c>
      <c r="H74" s="20">
        <f>SUMIFS('PvA Data'!$G$2:$G$1576,'PvA Data'!$A$2:$A$1576,$A74,'PvA Data'!$E$2:$E$1576,$D74,'PvA Data'!$C$2:$C$1576,"Nahunta")</f>
        <v>0</v>
      </c>
      <c r="I74" s="20">
        <f>SUMIFS('PvA Data'!$G$2:$G$1576,'PvA Data'!$A$2:$A$1576,$A74,'PvA Data'!$E$2:$E$1576,$D74,'PvA Data'!$C$2:$C$1576,"Martin")</f>
        <v>46</v>
      </c>
      <c r="J74" s="20">
        <f>SUMIFS('PvA Data'!$G$2:$G$1576,'PvA Data'!$A$2:$A$1576,$A74,'PvA Data'!$E$2:$E$1576,$D74,'PvA Data'!$C$2:$C$1576,"Custom")</f>
        <v>0</v>
      </c>
      <c r="K74" s="36">
        <f t="shared" si="9"/>
        <v>0</v>
      </c>
      <c r="L74" s="36">
        <f t="shared" si="10"/>
        <v>1</v>
      </c>
      <c r="M74" s="36">
        <f t="shared" si="11"/>
        <v>0</v>
      </c>
    </row>
    <row r="75" spans="1:13" ht="15" customHeight="1" x14ac:dyDescent="0.75">
      <c r="A75" s="18" t="s">
        <v>61</v>
      </c>
      <c r="B75" s="19">
        <v>46027</v>
      </c>
      <c r="C75" s="17">
        <v>666541</v>
      </c>
      <c r="D75" s="18" t="s">
        <v>41</v>
      </c>
      <c r="E75" s="20">
        <f>SUMIFS('PvA Data'!$F$2:$F$1576,'PvA Data'!$A$2:$A$1576,$A75,'PvA Data'!$E$2:$E$1576,$D75)</f>
        <v>120</v>
      </c>
      <c r="F75" s="20">
        <f>SUMIFS('PvA Data'!$G$2:$G$1576,'PvA Data'!$A$2:$A$1576,$A75,'PvA Data'!$E$2:$E$1576,$D75)</f>
        <v>65</v>
      </c>
      <c r="G75" s="36">
        <f t="shared" si="8"/>
        <v>0.54166666666666663</v>
      </c>
      <c r="H75" s="20">
        <f>SUMIFS('PvA Data'!$G$2:$G$1576,'PvA Data'!$A$2:$A$1576,$A75,'PvA Data'!$E$2:$E$1576,$D75,'PvA Data'!$C$2:$C$1576,"Nahunta")</f>
        <v>0</v>
      </c>
      <c r="I75" s="20">
        <f>SUMIFS('PvA Data'!$G$2:$G$1576,'PvA Data'!$A$2:$A$1576,$A75,'PvA Data'!$E$2:$E$1576,$D75,'PvA Data'!$C$2:$C$1576,"Martin")</f>
        <v>65</v>
      </c>
      <c r="J75" s="20">
        <f>SUMIFS('PvA Data'!$G$2:$G$1576,'PvA Data'!$A$2:$A$1576,$A75,'PvA Data'!$E$2:$E$1576,$D75,'PvA Data'!$C$2:$C$1576,"Custom")</f>
        <v>0</v>
      </c>
      <c r="K75" s="36">
        <f t="shared" si="9"/>
        <v>0</v>
      </c>
      <c r="L75" s="36">
        <f t="shared" si="10"/>
        <v>1</v>
      </c>
      <c r="M75" s="36">
        <f t="shared" si="11"/>
        <v>0</v>
      </c>
    </row>
    <row r="76" spans="1:13" ht="15" customHeight="1" x14ac:dyDescent="0.75">
      <c r="A76" s="18" t="s">
        <v>61</v>
      </c>
      <c r="B76" s="19">
        <v>46027</v>
      </c>
      <c r="C76" s="17">
        <v>666536</v>
      </c>
      <c r="D76" s="18" t="s">
        <v>43</v>
      </c>
      <c r="E76" s="20">
        <f>SUMIFS('PvA Data'!$F$2:$F$1576,'PvA Data'!$A$2:$A$1576,$A76,'PvA Data'!$E$2:$E$1576,$D76)</f>
        <v>10</v>
      </c>
      <c r="F76" s="20">
        <f>SUMIFS('PvA Data'!$G$2:$G$1576,'PvA Data'!$A$2:$A$1576,$A76,'PvA Data'!$E$2:$E$1576,$D76)</f>
        <v>14</v>
      </c>
      <c r="G76" s="36">
        <f t="shared" si="8"/>
        <v>1.4</v>
      </c>
      <c r="H76" s="20">
        <f>SUMIFS('PvA Data'!$G$2:$G$1576,'PvA Data'!$A$2:$A$1576,$A76,'PvA Data'!$E$2:$E$1576,$D76,'PvA Data'!$C$2:$C$1576,"Nahunta")</f>
        <v>14</v>
      </c>
      <c r="I76" s="20">
        <f>SUMIFS('PvA Data'!$G$2:$G$1576,'PvA Data'!$A$2:$A$1576,$A76,'PvA Data'!$E$2:$E$1576,$D76,'PvA Data'!$C$2:$C$1576,"Martin")</f>
        <v>0</v>
      </c>
      <c r="J76" s="20">
        <f>SUMIFS('PvA Data'!$G$2:$G$1576,'PvA Data'!$A$2:$A$1576,$A76,'PvA Data'!$E$2:$E$1576,$D76,'PvA Data'!$C$2:$C$1576,"Custom")</f>
        <v>0</v>
      </c>
      <c r="K76" s="36">
        <f t="shared" si="9"/>
        <v>1</v>
      </c>
      <c r="L76" s="36">
        <f t="shared" si="10"/>
        <v>0</v>
      </c>
      <c r="M76" s="36">
        <f t="shared" si="11"/>
        <v>0</v>
      </c>
    </row>
    <row r="77" spans="1:13" ht="15" customHeight="1" x14ac:dyDescent="0.75">
      <c r="A77" s="18" t="s">
        <v>64</v>
      </c>
      <c r="B77" s="19">
        <v>46034</v>
      </c>
      <c r="C77" s="17">
        <v>666501</v>
      </c>
      <c r="D77" s="18" t="s">
        <v>5</v>
      </c>
      <c r="E77" s="20">
        <f>SUMIFS('PvA Data'!$F$2:$F$1576,'PvA Data'!$A$2:$A$1576,$A77,'PvA Data'!$E$2:$E$1576,$D77)</f>
        <v>0</v>
      </c>
      <c r="F77" s="20">
        <f>SUMIFS('PvA Data'!$G$2:$G$1576,'PvA Data'!$A$2:$A$1576,$A77,'PvA Data'!$E$2:$E$1576,$D77)</f>
        <v>0</v>
      </c>
      <c r="G77" s="36" t="str">
        <f t="shared" si="8"/>
        <v/>
      </c>
      <c r="H77" s="20">
        <f>SUMIFS('PvA Data'!$G$2:$G$1576,'PvA Data'!$A$2:$A$1576,$A77,'PvA Data'!$E$2:$E$1576,$D77,'PvA Data'!$C$2:$C$1576,"Nahunta")</f>
        <v>0</v>
      </c>
      <c r="I77" s="20">
        <f>SUMIFS('PvA Data'!$G$2:$G$1576,'PvA Data'!$A$2:$A$1576,$A77,'PvA Data'!$E$2:$E$1576,$D77,'PvA Data'!$C$2:$C$1576,"Martin")</f>
        <v>0</v>
      </c>
      <c r="J77" s="20">
        <f>SUMIFS('PvA Data'!$G$2:$G$1576,'PvA Data'!$A$2:$A$1576,$A77,'PvA Data'!$E$2:$E$1576,$D77,'PvA Data'!$C$2:$C$1576,"Custom")</f>
        <v>0</v>
      </c>
      <c r="K77" s="36" t="str">
        <f t="shared" si="9"/>
        <v/>
      </c>
      <c r="L77" s="36" t="str">
        <f t="shared" si="10"/>
        <v/>
      </c>
      <c r="M77" s="36" t="str">
        <f t="shared" si="11"/>
        <v/>
      </c>
    </row>
    <row r="78" spans="1:13" ht="15" customHeight="1" x14ac:dyDescent="0.75">
      <c r="A78" s="18" t="s">
        <v>64</v>
      </c>
      <c r="B78" s="19">
        <v>46034</v>
      </c>
      <c r="C78" s="17">
        <v>666502</v>
      </c>
      <c r="D78" s="18" t="s">
        <v>7</v>
      </c>
      <c r="E78" s="20">
        <f>SUMIFS('PvA Data'!$F$2:$F$1576,'PvA Data'!$A$2:$A$1576,$A78,'PvA Data'!$E$2:$E$1576,$D78)</f>
        <v>173.5</v>
      </c>
      <c r="F78" s="20">
        <f>SUMIFS('PvA Data'!$G$2:$G$1576,'PvA Data'!$A$2:$A$1576,$A78,'PvA Data'!$E$2:$E$1576,$D78)</f>
        <v>142</v>
      </c>
      <c r="G78" s="36">
        <f t="shared" si="8"/>
        <v>0.81844380403458217</v>
      </c>
      <c r="H78" s="20">
        <f>SUMIFS('PvA Data'!$G$2:$G$1576,'PvA Data'!$A$2:$A$1576,$A78,'PvA Data'!$E$2:$E$1576,$D78,'PvA Data'!$C$2:$C$1576,"Nahunta")</f>
        <v>0</v>
      </c>
      <c r="I78" s="20">
        <f>SUMIFS('PvA Data'!$G$2:$G$1576,'PvA Data'!$A$2:$A$1576,$A78,'PvA Data'!$E$2:$E$1576,$D78,'PvA Data'!$C$2:$C$1576,"Martin")</f>
        <v>142</v>
      </c>
      <c r="J78" s="20">
        <f>SUMIFS('PvA Data'!$G$2:$G$1576,'PvA Data'!$A$2:$A$1576,$A78,'PvA Data'!$E$2:$E$1576,$D78,'PvA Data'!$C$2:$C$1576,"Custom")</f>
        <v>0</v>
      </c>
      <c r="K78" s="36">
        <f t="shared" si="9"/>
        <v>0</v>
      </c>
      <c r="L78" s="36">
        <f t="shared" si="10"/>
        <v>1</v>
      </c>
      <c r="M78" s="36">
        <f t="shared" si="11"/>
        <v>0</v>
      </c>
    </row>
    <row r="79" spans="1:13" ht="15" customHeight="1" x14ac:dyDescent="0.75">
      <c r="A79" s="18" t="s">
        <v>64</v>
      </c>
      <c r="B79" s="19">
        <v>46034</v>
      </c>
      <c r="C79" s="17">
        <v>666505</v>
      </c>
      <c r="D79" s="18" t="s">
        <v>9</v>
      </c>
      <c r="E79" s="20">
        <f>SUMIFS('PvA Data'!$F$2:$F$1576,'PvA Data'!$A$2:$A$1576,$A79,'PvA Data'!$E$2:$E$1576,$D79)</f>
        <v>30</v>
      </c>
      <c r="F79" s="20">
        <f>SUMIFS('PvA Data'!$G$2:$G$1576,'PvA Data'!$A$2:$A$1576,$A79,'PvA Data'!$E$2:$E$1576,$D79)</f>
        <v>60</v>
      </c>
      <c r="G79" s="36">
        <f t="shared" si="8"/>
        <v>2</v>
      </c>
      <c r="H79" s="20">
        <f>SUMIFS('PvA Data'!$G$2:$G$1576,'PvA Data'!$A$2:$A$1576,$A79,'PvA Data'!$E$2:$E$1576,$D79,'PvA Data'!$C$2:$C$1576,"Nahunta")</f>
        <v>19</v>
      </c>
      <c r="I79" s="20">
        <f>SUMIFS('PvA Data'!$G$2:$G$1576,'PvA Data'!$A$2:$A$1576,$A79,'PvA Data'!$E$2:$E$1576,$D79,'PvA Data'!$C$2:$C$1576,"Martin")</f>
        <v>0</v>
      </c>
      <c r="J79" s="20">
        <f>SUMIFS('PvA Data'!$G$2:$G$1576,'PvA Data'!$A$2:$A$1576,$A79,'PvA Data'!$E$2:$E$1576,$D79,'PvA Data'!$C$2:$C$1576,"Custom")</f>
        <v>41</v>
      </c>
      <c r="K79" s="36">
        <f t="shared" si="9"/>
        <v>0.31666666666666665</v>
      </c>
      <c r="L79" s="36">
        <f t="shared" si="10"/>
        <v>0</v>
      </c>
      <c r="M79" s="36">
        <f t="shared" si="11"/>
        <v>0.68333333333333335</v>
      </c>
    </row>
    <row r="80" spans="1:13" ht="15" customHeight="1" x14ac:dyDescent="0.75">
      <c r="A80" s="18" t="s">
        <v>64</v>
      </c>
      <c r="B80" s="19">
        <v>46034</v>
      </c>
      <c r="C80" s="17">
        <v>666506</v>
      </c>
      <c r="D80" s="18" t="s">
        <v>11</v>
      </c>
      <c r="E80" s="20">
        <f>SUMIFS('PvA Data'!$F$2:$F$1576,'PvA Data'!$A$2:$A$1576,$A80,'PvA Data'!$E$2:$E$1576,$D80)</f>
        <v>100</v>
      </c>
      <c r="F80" s="20">
        <f>SUMIFS('PvA Data'!$G$2:$G$1576,'PvA Data'!$A$2:$A$1576,$A80,'PvA Data'!$E$2:$E$1576,$D80)</f>
        <v>8</v>
      </c>
      <c r="G80" s="36">
        <f t="shared" si="8"/>
        <v>0.08</v>
      </c>
      <c r="H80" s="20">
        <f>SUMIFS('PvA Data'!$G$2:$G$1576,'PvA Data'!$A$2:$A$1576,$A80,'PvA Data'!$E$2:$E$1576,$D80,'PvA Data'!$C$2:$C$1576,"Nahunta")</f>
        <v>0</v>
      </c>
      <c r="I80" s="20">
        <f>SUMIFS('PvA Data'!$G$2:$G$1576,'PvA Data'!$A$2:$A$1576,$A80,'PvA Data'!$E$2:$E$1576,$D80,'PvA Data'!$C$2:$C$1576,"Martin")</f>
        <v>8</v>
      </c>
      <c r="J80" s="20">
        <f>SUMIFS('PvA Data'!$G$2:$G$1576,'PvA Data'!$A$2:$A$1576,$A80,'PvA Data'!$E$2:$E$1576,$D80,'PvA Data'!$C$2:$C$1576,"Custom")</f>
        <v>0</v>
      </c>
      <c r="K80" s="36">
        <f t="shared" si="9"/>
        <v>0</v>
      </c>
      <c r="L80" s="36">
        <f t="shared" si="10"/>
        <v>1</v>
      </c>
      <c r="M80" s="36">
        <f t="shared" si="11"/>
        <v>0</v>
      </c>
    </row>
    <row r="81" spans="1:13" ht="15" customHeight="1" x14ac:dyDescent="0.75">
      <c r="A81" s="18" t="s">
        <v>64</v>
      </c>
      <c r="B81" s="19">
        <v>46034</v>
      </c>
      <c r="C81" s="17">
        <v>666507</v>
      </c>
      <c r="D81" s="18" t="s">
        <v>13</v>
      </c>
      <c r="E81" s="20">
        <f>SUMIFS('PvA Data'!$F$2:$F$1576,'PvA Data'!$A$2:$A$1576,$A81,'PvA Data'!$E$2:$E$1576,$D81)</f>
        <v>25</v>
      </c>
      <c r="F81" s="20">
        <f>SUMIFS('PvA Data'!$G$2:$G$1576,'PvA Data'!$A$2:$A$1576,$A81,'PvA Data'!$E$2:$E$1576,$D81)</f>
        <v>31</v>
      </c>
      <c r="G81" s="36">
        <f t="shared" si="8"/>
        <v>1.24</v>
      </c>
      <c r="H81" s="20">
        <f>SUMIFS('PvA Data'!$G$2:$G$1576,'PvA Data'!$A$2:$A$1576,$A81,'PvA Data'!$E$2:$E$1576,$D81,'PvA Data'!$C$2:$C$1576,"Nahunta")</f>
        <v>31</v>
      </c>
      <c r="I81" s="20">
        <f>SUMIFS('PvA Data'!$G$2:$G$1576,'PvA Data'!$A$2:$A$1576,$A81,'PvA Data'!$E$2:$E$1576,$D81,'PvA Data'!$C$2:$C$1576,"Martin")</f>
        <v>0</v>
      </c>
      <c r="J81" s="20">
        <f>SUMIFS('PvA Data'!$G$2:$G$1576,'PvA Data'!$A$2:$A$1576,$A81,'PvA Data'!$E$2:$E$1576,$D81,'PvA Data'!$C$2:$C$1576,"Custom")</f>
        <v>0</v>
      </c>
      <c r="K81" s="36">
        <f t="shared" si="9"/>
        <v>1</v>
      </c>
      <c r="L81" s="36">
        <f t="shared" si="10"/>
        <v>0</v>
      </c>
      <c r="M81" s="36">
        <f t="shared" si="11"/>
        <v>0</v>
      </c>
    </row>
    <row r="82" spans="1:13" ht="15" customHeight="1" x14ac:dyDescent="0.75">
      <c r="A82" s="18" t="s">
        <v>64</v>
      </c>
      <c r="B82" s="19">
        <v>46034</v>
      </c>
      <c r="C82" s="17">
        <v>666509</v>
      </c>
      <c r="D82" s="18" t="s">
        <v>15</v>
      </c>
      <c r="E82" s="20">
        <f>SUMIFS('PvA Data'!$F$2:$F$1576,'PvA Data'!$A$2:$A$1576,$A82,'PvA Data'!$E$2:$E$1576,$D82)</f>
        <v>50</v>
      </c>
      <c r="F82" s="20">
        <f>SUMIFS('PvA Data'!$G$2:$G$1576,'PvA Data'!$A$2:$A$1576,$A82,'PvA Data'!$E$2:$E$1576,$D82)</f>
        <v>63</v>
      </c>
      <c r="G82" s="36">
        <f t="shared" si="8"/>
        <v>1.26</v>
      </c>
      <c r="H82" s="20">
        <f>SUMIFS('PvA Data'!$G$2:$G$1576,'PvA Data'!$A$2:$A$1576,$A82,'PvA Data'!$E$2:$E$1576,$D82,'PvA Data'!$C$2:$C$1576,"Nahunta")</f>
        <v>63</v>
      </c>
      <c r="I82" s="20">
        <f>SUMIFS('PvA Data'!$G$2:$G$1576,'PvA Data'!$A$2:$A$1576,$A82,'PvA Data'!$E$2:$E$1576,$D82,'PvA Data'!$C$2:$C$1576,"Martin")</f>
        <v>0</v>
      </c>
      <c r="J82" s="20">
        <f>SUMIFS('PvA Data'!$G$2:$G$1576,'PvA Data'!$A$2:$A$1576,$A82,'PvA Data'!$E$2:$E$1576,$D82,'PvA Data'!$C$2:$C$1576,"Custom")</f>
        <v>0</v>
      </c>
      <c r="K82" s="36">
        <f t="shared" si="9"/>
        <v>1</v>
      </c>
      <c r="L82" s="36">
        <f t="shared" si="10"/>
        <v>0</v>
      </c>
      <c r="M82" s="36">
        <f t="shared" si="11"/>
        <v>0</v>
      </c>
    </row>
    <row r="83" spans="1:13" ht="15" customHeight="1" x14ac:dyDescent="0.75">
      <c r="A83" s="18" t="s">
        <v>64</v>
      </c>
      <c r="B83" s="19">
        <v>46034</v>
      </c>
      <c r="C83" s="17">
        <v>666510</v>
      </c>
      <c r="D83" s="18" t="s">
        <v>17</v>
      </c>
      <c r="E83" s="20">
        <f>SUMIFS('PvA Data'!$F$2:$F$1576,'PvA Data'!$A$2:$A$1576,$A83,'PvA Data'!$E$2:$E$1576,$D83)</f>
        <v>0</v>
      </c>
      <c r="F83" s="20">
        <f>SUMIFS('PvA Data'!$G$2:$G$1576,'PvA Data'!$A$2:$A$1576,$A83,'PvA Data'!$E$2:$E$1576,$D83)</f>
        <v>0</v>
      </c>
      <c r="G83" s="36" t="str">
        <f t="shared" si="8"/>
        <v/>
      </c>
      <c r="H83" s="20">
        <f>SUMIFS('PvA Data'!$G$2:$G$1576,'PvA Data'!$A$2:$A$1576,$A83,'PvA Data'!$E$2:$E$1576,$D83,'PvA Data'!$C$2:$C$1576,"Nahunta")</f>
        <v>0</v>
      </c>
      <c r="I83" s="20">
        <f>SUMIFS('PvA Data'!$G$2:$G$1576,'PvA Data'!$A$2:$A$1576,$A83,'PvA Data'!$E$2:$E$1576,$D83,'PvA Data'!$C$2:$C$1576,"Martin")</f>
        <v>0</v>
      </c>
      <c r="J83" s="20">
        <f>SUMIFS('PvA Data'!$G$2:$G$1576,'PvA Data'!$A$2:$A$1576,$A83,'PvA Data'!$E$2:$E$1576,$D83,'PvA Data'!$C$2:$C$1576,"Custom")</f>
        <v>0</v>
      </c>
      <c r="K83" s="36" t="str">
        <f t="shared" si="9"/>
        <v/>
      </c>
      <c r="L83" s="36" t="str">
        <f t="shared" si="10"/>
        <v/>
      </c>
      <c r="M83" s="36" t="str">
        <f t="shared" si="11"/>
        <v/>
      </c>
    </row>
    <row r="84" spans="1:13" ht="15" customHeight="1" x14ac:dyDescent="0.75">
      <c r="A84" s="18" t="s">
        <v>64</v>
      </c>
      <c r="B84" s="19">
        <v>46034</v>
      </c>
      <c r="C84" s="17">
        <v>666511</v>
      </c>
      <c r="D84" s="18" t="s">
        <v>19</v>
      </c>
      <c r="E84" s="20">
        <f>SUMIFS('PvA Data'!$F$2:$F$1576,'PvA Data'!$A$2:$A$1576,$A84,'PvA Data'!$E$2:$E$1576,$D84)</f>
        <v>4</v>
      </c>
      <c r="F84" s="20">
        <f>SUMIFS('PvA Data'!$G$2:$G$1576,'PvA Data'!$A$2:$A$1576,$A84,'PvA Data'!$E$2:$E$1576,$D84)</f>
        <v>8</v>
      </c>
      <c r="G84" s="36">
        <f t="shared" si="8"/>
        <v>2</v>
      </c>
      <c r="H84" s="20">
        <f>SUMIFS('PvA Data'!$G$2:$G$1576,'PvA Data'!$A$2:$A$1576,$A84,'PvA Data'!$E$2:$E$1576,$D84,'PvA Data'!$C$2:$C$1576,"Nahunta")</f>
        <v>8</v>
      </c>
      <c r="I84" s="20">
        <f>SUMIFS('PvA Data'!$G$2:$G$1576,'PvA Data'!$A$2:$A$1576,$A84,'PvA Data'!$E$2:$E$1576,$D84,'PvA Data'!$C$2:$C$1576,"Martin")</f>
        <v>0</v>
      </c>
      <c r="J84" s="20">
        <f>SUMIFS('PvA Data'!$G$2:$G$1576,'PvA Data'!$A$2:$A$1576,$A84,'PvA Data'!$E$2:$E$1576,$D84,'PvA Data'!$C$2:$C$1576,"Custom")</f>
        <v>0</v>
      </c>
      <c r="K84" s="36">
        <f t="shared" si="9"/>
        <v>1</v>
      </c>
      <c r="L84" s="36">
        <f t="shared" si="10"/>
        <v>0</v>
      </c>
      <c r="M84" s="36">
        <f t="shared" si="11"/>
        <v>0</v>
      </c>
    </row>
    <row r="85" spans="1:13" ht="15" customHeight="1" x14ac:dyDescent="0.75">
      <c r="A85" s="18" t="s">
        <v>64</v>
      </c>
      <c r="B85" s="19">
        <v>46034</v>
      </c>
      <c r="C85" s="17">
        <v>666513</v>
      </c>
      <c r="D85" s="18" t="s">
        <v>21</v>
      </c>
      <c r="E85" s="20">
        <f>SUMIFS('PvA Data'!$F$2:$F$1576,'PvA Data'!$A$2:$A$1576,$A85,'PvA Data'!$E$2:$E$1576,$D85)</f>
        <v>0</v>
      </c>
      <c r="F85" s="20">
        <f>SUMIFS('PvA Data'!$G$2:$G$1576,'PvA Data'!$A$2:$A$1576,$A85,'PvA Data'!$E$2:$E$1576,$D85)</f>
        <v>0</v>
      </c>
      <c r="G85" s="36" t="str">
        <f t="shared" si="8"/>
        <v/>
      </c>
      <c r="H85" s="20">
        <f>SUMIFS('PvA Data'!$G$2:$G$1576,'PvA Data'!$A$2:$A$1576,$A85,'PvA Data'!$E$2:$E$1576,$D85,'PvA Data'!$C$2:$C$1576,"Nahunta")</f>
        <v>0</v>
      </c>
      <c r="I85" s="20">
        <f>SUMIFS('PvA Data'!$G$2:$G$1576,'PvA Data'!$A$2:$A$1576,$A85,'PvA Data'!$E$2:$E$1576,$D85,'PvA Data'!$C$2:$C$1576,"Martin")</f>
        <v>0</v>
      </c>
      <c r="J85" s="20">
        <f>SUMIFS('PvA Data'!$G$2:$G$1576,'PvA Data'!$A$2:$A$1576,$A85,'PvA Data'!$E$2:$E$1576,$D85,'PvA Data'!$C$2:$C$1576,"Custom")</f>
        <v>0</v>
      </c>
      <c r="K85" s="36" t="str">
        <f t="shared" si="9"/>
        <v/>
      </c>
      <c r="L85" s="36" t="str">
        <f t="shared" si="10"/>
        <v/>
      </c>
      <c r="M85" s="36" t="str">
        <f t="shared" si="11"/>
        <v/>
      </c>
    </row>
    <row r="86" spans="1:13" ht="15" customHeight="1" x14ac:dyDescent="0.75">
      <c r="A86" s="18" t="s">
        <v>64</v>
      </c>
      <c r="B86" s="19">
        <v>46034</v>
      </c>
      <c r="C86" s="17">
        <v>666516</v>
      </c>
      <c r="D86" s="18" t="s">
        <v>23</v>
      </c>
      <c r="E86" s="20">
        <f>SUMIFS('PvA Data'!$F$2:$F$1576,'PvA Data'!$A$2:$A$1576,$A86,'PvA Data'!$E$2:$E$1576,$D86)</f>
        <v>20</v>
      </c>
      <c r="F86" s="20">
        <f>SUMIFS('PvA Data'!$G$2:$G$1576,'PvA Data'!$A$2:$A$1576,$A86,'PvA Data'!$E$2:$E$1576,$D86)</f>
        <v>24</v>
      </c>
      <c r="G86" s="36">
        <f t="shared" si="8"/>
        <v>1.2</v>
      </c>
      <c r="H86" s="20">
        <f>SUMIFS('PvA Data'!$G$2:$G$1576,'PvA Data'!$A$2:$A$1576,$A86,'PvA Data'!$E$2:$E$1576,$D86,'PvA Data'!$C$2:$C$1576,"Nahunta")</f>
        <v>20</v>
      </c>
      <c r="I86" s="20">
        <f>SUMIFS('PvA Data'!$G$2:$G$1576,'PvA Data'!$A$2:$A$1576,$A86,'PvA Data'!$E$2:$E$1576,$D86,'PvA Data'!$C$2:$C$1576,"Martin")</f>
        <v>0</v>
      </c>
      <c r="J86" s="20">
        <f>SUMIFS('PvA Data'!$G$2:$G$1576,'PvA Data'!$A$2:$A$1576,$A86,'PvA Data'!$E$2:$E$1576,$D86,'PvA Data'!$C$2:$C$1576,"Custom")</f>
        <v>4</v>
      </c>
      <c r="K86" s="36">
        <f t="shared" si="9"/>
        <v>0.83333333333333337</v>
      </c>
      <c r="L86" s="36">
        <f t="shared" si="10"/>
        <v>0</v>
      </c>
      <c r="M86" s="36">
        <f t="shared" si="11"/>
        <v>0.16666666666666666</v>
      </c>
    </row>
    <row r="87" spans="1:13" ht="15" customHeight="1" x14ac:dyDescent="0.75">
      <c r="A87" s="18" t="s">
        <v>64</v>
      </c>
      <c r="B87" s="19">
        <v>46034</v>
      </c>
      <c r="C87" s="17">
        <v>666517</v>
      </c>
      <c r="D87" s="18" t="s">
        <v>25</v>
      </c>
      <c r="E87" s="20">
        <f>SUMIFS('PvA Data'!$F$2:$F$1576,'PvA Data'!$A$2:$A$1576,$A87,'PvA Data'!$E$2:$E$1576,$D87)</f>
        <v>24</v>
      </c>
      <c r="F87" s="20">
        <f>SUMIFS('PvA Data'!$G$2:$G$1576,'PvA Data'!$A$2:$A$1576,$A87,'PvA Data'!$E$2:$E$1576,$D87)</f>
        <v>38</v>
      </c>
      <c r="G87" s="36">
        <f t="shared" si="8"/>
        <v>1.5833333333333333</v>
      </c>
      <c r="H87" s="20">
        <f>SUMIFS('PvA Data'!$G$2:$G$1576,'PvA Data'!$A$2:$A$1576,$A87,'PvA Data'!$E$2:$E$1576,$D87,'PvA Data'!$C$2:$C$1576,"Nahunta")</f>
        <v>33</v>
      </c>
      <c r="I87" s="20">
        <f>SUMIFS('PvA Data'!$G$2:$G$1576,'PvA Data'!$A$2:$A$1576,$A87,'PvA Data'!$E$2:$E$1576,$D87,'PvA Data'!$C$2:$C$1576,"Martin")</f>
        <v>0</v>
      </c>
      <c r="J87" s="20">
        <f>SUMIFS('PvA Data'!$G$2:$G$1576,'PvA Data'!$A$2:$A$1576,$A87,'PvA Data'!$E$2:$E$1576,$D87,'PvA Data'!$C$2:$C$1576,"Custom")</f>
        <v>5</v>
      </c>
      <c r="K87" s="36">
        <f t="shared" si="9"/>
        <v>0.86842105263157898</v>
      </c>
      <c r="L87" s="36">
        <f t="shared" si="10"/>
        <v>0</v>
      </c>
      <c r="M87" s="36">
        <f t="shared" si="11"/>
        <v>0.13157894736842105</v>
      </c>
    </row>
    <row r="88" spans="1:13" ht="15" customHeight="1" x14ac:dyDescent="0.75">
      <c r="A88" s="18" t="s">
        <v>64</v>
      </c>
      <c r="B88" s="19">
        <v>46034</v>
      </c>
      <c r="C88" s="17">
        <v>666518</v>
      </c>
      <c r="D88" s="18" t="s">
        <v>27</v>
      </c>
      <c r="E88" s="20">
        <f>SUMIFS('PvA Data'!$F$2:$F$1576,'PvA Data'!$A$2:$A$1576,$A88,'PvA Data'!$E$2:$E$1576,$D88)</f>
        <v>0</v>
      </c>
      <c r="F88" s="20">
        <f>SUMIFS('PvA Data'!$G$2:$G$1576,'PvA Data'!$A$2:$A$1576,$A88,'PvA Data'!$E$2:$E$1576,$D88)</f>
        <v>0</v>
      </c>
      <c r="G88" s="36" t="str">
        <f t="shared" si="8"/>
        <v/>
      </c>
      <c r="H88" s="20">
        <f>SUMIFS('PvA Data'!$G$2:$G$1576,'PvA Data'!$A$2:$A$1576,$A88,'PvA Data'!$E$2:$E$1576,$D88,'PvA Data'!$C$2:$C$1576,"Nahunta")</f>
        <v>0</v>
      </c>
      <c r="I88" s="20">
        <f>SUMIFS('PvA Data'!$G$2:$G$1576,'PvA Data'!$A$2:$A$1576,$A88,'PvA Data'!$E$2:$E$1576,$D88,'PvA Data'!$C$2:$C$1576,"Martin")</f>
        <v>0</v>
      </c>
      <c r="J88" s="20">
        <f>SUMIFS('PvA Data'!$G$2:$G$1576,'PvA Data'!$A$2:$A$1576,$A88,'PvA Data'!$E$2:$E$1576,$D88,'PvA Data'!$C$2:$C$1576,"Custom")</f>
        <v>0</v>
      </c>
      <c r="K88" s="36" t="str">
        <f t="shared" si="9"/>
        <v/>
      </c>
      <c r="L88" s="36" t="str">
        <f t="shared" si="10"/>
        <v/>
      </c>
      <c r="M88" s="36" t="str">
        <f t="shared" si="11"/>
        <v/>
      </c>
    </row>
    <row r="89" spans="1:13" ht="15" customHeight="1" x14ac:dyDescent="0.75">
      <c r="A89" s="18" t="s">
        <v>64</v>
      </c>
      <c r="B89" s="19">
        <v>46034</v>
      </c>
      <c r="C89" s="17">
        <v>666519</v>
      </c>
      <c r="D89" s="18" t="s">
        <v>29</v>
      </c>
      <c r="E89" s="20">
        <f>SUMIFS('PvA Data'!$F$2:$F$1576,'PvA Data'!$A$2:$A$1576,$A89,'PvA Data'!$E$2:$E$1576,$D89)</f>
        <v>30</v>
      </c>
      <c r="F89" s="20">
        <f>SUMIFS('PvA Data'!$G$2:$G$1576,'PvA Data'!$A$2:$A$1576,$A89,'PvA Data'!$E$2:$E$1576,$D89)</f>
        <v>34</v>
      </c>
      <c r="G89" s="36">
        <f t="shared" si="8"/>
        <v>1.1333333333333333</v>
      </c>
      <c r="H89" s="20">
        <f>SUMIFS('PvA Data'!$G$2:$G$1576,'PvA Data'!$A$2:$A$1576,$A89,'PvA Data'!$E$2:$E$1576,$D89,'PvA Data'!$C$2:$C$1576,"Nahunta")</f>
        <v>30</v>
      </c>
      <c r="I89" s="20">
        <f>SUMIFS('PvA Data'!$G$2:$G$1576,'PvA Data'!$A$2:$A$1576,$A89,'PvA Data'!$E$2:$E$1576,$D89,'PvA Data'!$C$2:$C$1576,"Martin")</f>
        <v>0</v>
      </c>
      <c r="J89" s="20">
        <f>SUMIFS('PvA Data'!$G$2:$G$1576,'PvA Data'!$A$2:$A$1576,$A89,'PvA Data'!$E$2:$E$1576,$D89,'PvA Data'!$C$2:$C$1576,"Custom")</f>
        <v>4</v>
      </c>
      <c r="K89" s="36">
        <f t="shared" si="9"/>
        <v>0.88235294117647056</v>
      </c>
      <c r="L89" s="36">
        <f t="shared" si="10"/>
        <v>0</v>
      </c>
      <c r="M89" s="36">
        <f t="shared" si="11"/>
        <v>0.11764705882352941</v>
      </c>
    </row>
    <row r="90" spans="1:13" ht="15" customHeight="1" x14ac:dyDescent="0.75">
      <c r="A90" s="18" t="s">
        <v>64</v>
      </c>
      <c r="B90" s="19">
        <v>46034</v>
      </c>
      <c r="C90" s="17">
        <v>666521</v>
      </c>
      <c r="D90" s="18" t="s">
        <v>31</v>
      </c>
      <c r="E90" s="20">
        <f>SUMIFS('PvA Data'!$F$2:$F$1576,'PvA Data'!$A$2:$A$1576,$A90,'PvA Data'!$E$2:$E$1576,$D90)</f>
        <v>0</v>
      </c>
      <c r="F90" s="20">
        <f>SUMIFS('PvA Data'!$G$2:$G$1576,'PvA Data'!$A$2:$A$1576,$A90,'PvA Data'!$E$2:$E$1576,$D90)</f>
        <v>0</v>
      </c>
      <c r="G90" s="36" t="str">
        <f t="shared" si="8"/>
        <v/>
      </c>
      <c r="H90" s="20">
        <f>SUMIFS('PvA Data'!$G$2:$G$1576,'PvA Data'!$A$2:$A$1576,$A90,'PvA Data'!$E$2:$E$1576,$D90,'PvA Data'!$C$2:$C$1576,"Nahunta")</f>
        <v>0</v>
      </c>
      <c r="I90" s="20">
        <f>SUMIFS('PvA Data'!$G$2:$G$1576,'PvA Data'!$A$2:$A$1576,$A90,'PvA Data'!$E$2:$E$1576,$D90,'PvA Data'!$C$2:$C$1576,"Martin")</f>
        <v>0</v>
      </c>
      <c r="J90" s="20">
        <f>SUMIFS('PvA Data'!$G$2:$G$1576,'PvA Data'!$A$2:$A$1576,$A90,'PvA Data'!$E$2:$E$1576,$D90,'PvA Data'!$C$2:$C$1576,"Custom")</f>
        <v>0</v>
      </c>
      <c r="K90" s="36" t="str">
        <f t="shared" si="9"/>
        <v/>
      </c>
      <c r="L90" s="36" t="str">
        <f t="shared" si="10"/>
        <v/>
      </c>
      <c r="M90" s="36" t="str">
        <f t="shared" si="11"/>
        <v/>
      </c>
    </row>
    <row r="91" spans="1:13" ht="15" customHeight="1" x14ac:dyDescent="0.75">
      <c r="A91" s="18" t="s">
        <v>64</v>
      </c>
      <c r="B91" s="19">
        <v>46034</v>
      </c>
      <c r="C91" s="17">
        <v>666522</v>
      </c>
      <c r="D91" s="18" t="s">
        <v>33</v>
      </c>
      <c r="E91" s="20">
        <f>SUMIFS('PvA Data'!$F$2:$F$1576,'PvA Data'!$A$2:$A$1576,$A91,'PvA Data'!$E$2:$E$1576,$D91)</f>
        <v>215</v>
      </c>
      <c r="F91" s="20">
        <f>SUMIFS('PvA Data'!$G$2:$G$1576,'PvA Data'!$A$2:$A$1576,$A91,'PvA Data'!$E$2:$E$1576,$D91)</f>
        <v>395</v>
      </c>
      <c r="G91" s="36">
        <f t="shared" si="8"/>
        <v>1.8372093023255813</v>
      </c>
      <c r="H91" s="20">
        <f>SUMIFS('PvA Data'!$G$2:$G$1576,'PvA Data'!$A$2:$A$1576,$A91,'PvA Data'!$E$2:$E$1576,$D91,'PvA Data'!$C$2:$C$1576,"Nahunta")</f>
        <v>125</v>
      </c>
      <c r="I91" s="20">
        <f>SUMIFS('PvA Data'!$G$2:$G$1576,'PvA Data'!$A$2:$A$1576,$A91,'PvA Data'!$E$2:$E$1576,$D91,'PvA Data'!$C$2:$C$1576,"Martin")</f>
        <v>205</v>
      </c>
      <c r="J91" s="20">
        <f>SUMIFS('PvA Data'!$G$2:$G$1576,'PvA Data'!$A$2:$A$1576,$A91,'PvA Data'!$E$2:$E$1576,$D91,'PvA Data'!$C$2:$C$1576,"Custom")</f>
        <v>65</v>
      </c>
      <c r="K91" s="36">
        <f t="shared" si="9"/>
        <v>0.31645569620253167</v>
      </c>
      <c r="L91" s="36">
        <f t="shared" si="10"/>
        <v>0.51898734177215189</v>
      </c>
      <c r="M91" s="36">
        <f t="shared" si="11"/>
        <v>0.16455696202531644</v>
      </c>
    </row>
    <row r="92" spans="1:13" ht="15" customHeight="1" x14ac:dyDescent="0.75">
      <c r="A92" s="18" t="s">
        <v>64</v>
      </c>
      <c r="B92" s="19">
        <v>46034</v>
      </c>
      <c r="C92" s="17">
        <v>666523</v>
      </c>
      <c r="D92" s="18" t="s">
        <v>35</v>
      </c>
      <c r="E92" s="20">
        <f>SUMIFS('PvA Data'!$F$2:$F$1576,'PvA Data'!$A$2:$A$1576,$A92,'PvA Data'!$E$2:$E$1576,$D92)</f>
        <v>29.5</v>
      </c>
      <c r="F92" s="20">
        <f>SUMIFS('PvA Data'!$G$2:$G$1576,'PvA Data'!$A$2:$A$1576,$A92,'PvA Data'!$E$2:$E$1576,$D92)</f>
        <v>50</v>
      </c>
      <c r="G92" s="36">
        <f t="shared" si="8"/>
        <v>1.6949152542372881</v>
      </c>
      <c r="H92" s="20">
        <f>SUMIFS('PvA Data'!$G$2:$G$1576,'PvA Data'!$A$2:$A$1576,$A92,'PvA Data'!$E$2:$E$1576,$D92,'PvA Data'!$C$2:$C$1576,"Nahunta")</f>
        <v>0</v>
      </c>
      <c r="I92" s="20">
        <f>SUMIFS('PvA Data'!$G$2:$G$1576,'PvA Data'!$A$2:$A$1576,$A92,'PvA Data'!$E$2:$E$1576,$D92,'PvA Data'!$C$2:$C$1576,"Martin")</f>
        <v>47</v>
      </c>
      <c r="J92" s="20">
        <f>SUMIFS('PvA Data'!$G$2:$G$1576,'PvA Data'!$A$2:$A$1576,$A92,'PvA Data'!$E$2:$E$1576,$D92,'PvA Data'!$C$2:$C$1576,"Custom")</f>
        <v>3</v>
      </c>
      <c r="K92" s="36">
        <f t="shared" si="9"/>
        <v>0</v>
      </c>
      <c r="L92" s="36">
        <f t="shared" si="10"/>
        <v>0.94</v>
      </c>
      <c r="M92" s="36">
        <f t="shared" si="11"/>
        <v>0.06</v>
      </c>
    </row>
    <row r="93" spans="1:13" ht="15" customHeight="1" x14ac:dyDescent="0.75">
      <c r="A93" s="18" t="s">
        <v>64</v>
      </c>
      <c r="B93" s="19">
        <v>46034</v>
      </c>
      <c r="C93" s="17">
        <v>666530</v>
      </c>
      <c r="D93" s="18" t="s">
        <v>37</v>
      </c>
      <c r="E93" s="20">
        <f>SUMIFS('PvA Data'!$F$2:$F$1576,'PvA Data'!$A$2:$A$1576,$A93,'PvA Data'!$E$2:$E$1576,$D93)</f>
        <v>10</v>
      </c>
      <c r="F93" s="20">
        <f>SUMIFS('PvA Data'!$G$2:$G$1576,'PvA Data'!$A$2:$A$1576,$A93,'PvA Data'!$E$2:$E$1576,$D93)</f>
        <v>5</v>
      </c>
      <c r="G93" s="36">
        <f t="shared" si="8"/>
        <v>0.5</v>
      </c>
      <c r="H93" s="20">
        <f>SUMIFS('PvA Data'!$G$2:$G$1576,'PvA Data'!$A$2:$A$1576,$A93,'PvA Data'!$E$2:$E$1576,$D93,'PvA Data'!$C$2:$C$1576,"Nahunta")</f>
        <v>5</v>
      </c>
      <c r="I93" s="20">
        <f>SUMIFS('PvA Data'!$G$2:$G$1576,'PvA Data'!$A$2:$A$1576,$A93,'PvA Data'!$E$2:$E$1576,$D93,'PvA Data'!$C$2:$C$1576,"Martin")</f>
        <v>0</v>
      </c>
      <c r="J93" s="20">
        <f>SUMIFS('PvA Data'!$G$2:$G$1576,'PvA Data'!$A$2:$A$1576,$A93,'PvA Data'!$E$2:$E$1576,$D93,'PvA Data'!$C$2:$C$1576,"Custom")</f>
        <v>0</v>
      </c>
      <c r="K93" s="36">
        <f t="shared" si="9"/>
        <v>1</v>
      </c>
      <c r="L93" s="36">
        <f t="shared" si="10"/>
        <v>0</v>
      </c>
      <c r="M93" s="36">
        <f t="shared" si="11"/>
        <v>0</v>
      </c>
    </row>
    <row r="94" spans="1:13" ht="15" customHeight="1" x14ac:dyDescent="0.75">
      <c r="A94" s="18" t="s">
        <v>64</v>
      </c>
      <c r="B94" s="19">
        <v>46034</v>
      </c>
      <c r="C94" s="17">
        <v>666531</v>
      </c>
      <c r="D94" s="18" t="s">
        <v>39</v>
      </c>
      <c r="E94" s="20">
        <f>SUMIFS('PvA Data'!$F$2:$F$1576,'PvA Data'!$A$2:$A$1576,$A94,'PvA Data'!$E$2:$E$1576,$D94)</f>
        <v>13</v>
      </c>
      <c r="F94" s="20">
        <f>SUMIFS('PvA Data'!$G$2:$G$1576,'PvA Data'!$A$2:$A$1576,$A94,'PvA Data'!$E$2:$E$1576,$D94)</f>
        <v>18</v>
      </c>
      <c r="G94" s="36">
        <f t="shared" si="8"/>
        <v>1.3846153846153846</v>
      </c>
      <c r="H94" s="20">
        <f>SUMIFS('PvA Data'!$G$2:$G$1576,'PvA Data'!$A$2:$A$1576,$A94,'PvA Data'!$E$2:$E$1576,$D94,'PvA Data'!$C$2:$C$1576,"Nahunta")</f>
        <v>18</v>
      </c>
      <c r="I94" s="20">
        <f>SUMIFS('PvA Data'!$G$2:$G$1576,'PvA Data'!$A$2:$A$1576,$A94,'PvA Data'!$E$2:$E$1576,$D94,'PvA Data'!$C$2:$C$1576,"Martin")</f>
        <v>0</v>
      </c>
      <c r="J94" s="20">
        <f>SUMIFS('PvA Data'!$G$2:$G$1576,'PvA Data'!$A$2:$A$1576,$A94,'PvA Data'!$E$2:$E$1576,$D94,'PvA Data'!$C$2:$C$1576,"Custom")</f>
        <v>0</v>
      </c>
      <c r="K94" s="36">
        <f t="shared" si="9"/>
        <v>1</v>
      </c>
      <c r="L94" s="36">
        <f t="shared" si="10"/>
        <v>0</v>
      </c>
      <c r="M94" s="36">
        <f t="shared" si="11"/>
        <v>0</v>
      </c>
    </row>
    <row r="95" spans="1:13" ht="15" customHeight="1" x14ac:dyDescent="0.75">
      <c r="A95" s="18" t="s">
        <v>64</v>
      </c>
      <c r="B95" s="19">
        <v>46034</v>
      </c>
      <c r="C95" s="17">
        <v>666540</v>
      </c>
      <c r="D95" s="18" t="s">
        <v>40</v>
      </c>
      <c r="E95" s="20">
        <f>SUMIFS('PvA Data'!$F$2:$F$1576,'PvA Data'!$A$2:$A$1576,$A95,'PvA Data'!$E$2:$E$1576,$D95)</f>
        <v>120</v>
      </c>
      <c r="F95" s="20">
        <f>SUMIFS('PvA Data'!$G$2:$G$1576,'PvA Data'!$A$2:$A$1576,$A95,'PvA Data'!$E$2:$E$1576,$D95)</f>
        <v>45</v>
      </c>
      <c r="G95" s="36">
        <f t="shared" si="8"/>
        <v>0.375</v>
      </c>
      <c r="H95" s="20">
        <f>SUMIFS('PvA Data'!$G$2:$G$1576,'PvA Data'!$A$2:$A$1576,$A95,'PvA Data'!$E$2:$E$1576,$D95,'PvA Data'!$C$2:$C$1576,"Nahunta")</f>
        <v>0</v>
      </c>
      <c r="I95" s="20">
        <f>SUMIFS('PvA Data'!$G$2:$G$1576,'PvA Data'!$A$2:$A$1576,$A95,'PvA Data'!$E$2:$E$1576,$D95,'PvA Data'!$C$2:$C$1576,"Martin")</f>
        <v>45</v>
      </c>
      <c r="J95" s="20">
        <f>SUMIFS('PvA Data'!$G$2:$G$1576,'PvA Data'!$A$2:$A$1576,$A95,'PvA Data'!$E$2:$E$1576,$D95,'PvA Data'!$C$2:$C$1576,"Custom")</f>
        <v>0</v>
      </c>
      <c r="K95" s="36">
        <f t="shared" si="9"/>
        <v>0</v>
      </c>
      <c r="L95" s="36">
        <f t="shared" si="10"/>
        <v>1</v>
      </c>
      <c r="M95" s="36">
        <f t="shared" si="11"/>
        <v>0</v>
      </c>
    </row>
    <row r="96" spans="1:13" ht="15" customHeight="1" x14ac:dyDescent="0.75">
      <c r="A96" s="18" t="s">
        <v>64</v>
      </c>
      <c r="B96" s="19">
        <v>46034</v>
      </c>
      <c r="C96" s="17">
        <v>666541</v>
      </c>
      <c r="D96" s="18" t="s">
        <v>41</v>
      </c>
      <c r="E96" s="20">
        <f>SUMIFS('PvA Data'!$F$2:$F$1576,'PvA Data'!$A$2:$A$1576,$A96,'PvA Data'!$E$2:$E$1576,$D96)</f>
        <v>120</v>
      </c>
      <c r="F96" s="20">
        <f>SUMIFS('PvA Data'!$G$2:$G$1576,'PvA Data'!$A$2:$A$1576,$A96,'PvA Data'!$E$2:$E$1576,$D96)</f>
        <v>158</v>
      </c>
      <c r="G96" s="36">
        <f t="shared" si="8"/>
        <v>1.3166666666666667</v>
      </c>
      <c r="H96" s="20">
        <f>SUMIFS('PvA Data'!$G$2:$G$1576,'PvA Data'!$A$2:$A$1576,$A96,'PvA Data'!$E$2:$E$1576,$D96,'PvA Data'!$C$2:$C$1576,"Nahunta")</f>
        <v>0</v>
      </c>
      <c r="I96" s="20">
        <f>SUMIFS('PvA Data'!$G$2:$G$1576,'PvA Data'!$A$2:$A$1576,$A96,'PvA Data'!$E$2:$E$1576,$D96,'PvA Data'!$C$2:$C$1576,"Martin")</f>
        <v>158</v>
      </c>
      <c r="J96" s="20">
        <f>SUMIFS('PvA Data'!$G$2:$G$1576,'PvA Data'!$A$2:$A$1576,$A96,'PvA Data'!$E$2:$E$1576,$D96,'PvA Data'!$C$2:$C$1576,"Custom")</f>
        <v>0</v>
      </c>
      <c r="K96" s="36">
        <f t="shared" si="9"/>
        <v>0</v>
      </c>
      <c r="L96" s="36">
        <f t="shared" si="10"/>
        <v>1</v>
      </c>
      <c r="M96" s="36">
        <f t="shared" si="11"/>
        <v>0</v>
      </c>
    </row>
    <row r="97" spans="1:13" ht="15" customHeight="1" x14ac:dyDescent="0.75">
      <c r="A97" s="18" t="s">
        <v>64</v>
      </c>
      <c r="B97" s="19">
        <v>46034</v>
      </c>
      <c r="C97" s="17">
        <v>666536</v>
      </c>
      <c r="D97" s="18" t="s">
        <v>43</v>
      </c>
      <c r="E97" s="20">
        <f>SUMIFS('PvA Data'!$F$2:$F$1576,'PvA Data'!$A$2:$A$1576,$A97,'PvA Data'!$E$2:$E$1576,$D97)</f>
        <v>1</v>
      </c>
      <c r="F97" s="20">
        <f>SUMIFS('PvA Data'!$G$2:$G$1576,'PvA Data'!$A$2:$A$1576,$A97,'PvA Data'!$E$2:$E$1576,$D97)</f>
        <v>2</v>
      </c>
      <c r="G97" s="36">
        <f t="shared" si="8"/>
        <v>2</v>
      </c>
      <c r="H97" s="20">
        <f>SUMIFS('PvA Data'!$G$2:$G$1576,'PvA Data'!$A$2:$A$1576,$A97,'PvA Data'!$E$2:$E$1576,$D97,'PvA Data'!$C$2:$C$1576,"Nahunta")</f>
        <v>2</v>
      </c>
      <c r="I97" s="20">
        <f>SUMIFS('PvA Data'!$G$2:$G$1576,'PvA Data'!$A$2:$A$1576,$A97,'PvA Data'!$E$2:$E$1576,$D97,'PvA Data'!$C$2:$C$1576,"Martin")</f>
        <v>0</v>
      </c>
      <c r="J97" s="20">
        <f>SUMIFS('PvA Data'!$G$2:$G$1576,'PvA Data'!$A$2:$A$1576,$A97,'PvA Data'!$E$2:$E$1576,$D97,'PvA Data'!$C$2:$C$1576,"Custom")</f>
        <v>0</v>
      </c>
      <c r="K97" s="36">
        <f t="shared" si="9"/>
        <v>1</v>
      </c>
      <c r="L97" s="36">
        <f t="shared" si="10"/>
        <v>0</v>
      </c>
      <c r="M97" s="36">
        <f t="shared" si="11"/>
        <v>0</v>
      </c>
    </row>
    <row r="98" spans="1:13" ht="15" customHeight="1" x14ac:dyDescent="0.75">
      <c r="A98" s="18" t="s">
        <v>67</v>
      </c>
      <c r="B98" s="19">
        <v>46041</v>
      </c>
      <c r="C98" s="17">
        <v>666501</v>
      </c>
      <c r="D98" s="18" t="s">
        <v>5</v>
      </c>
      <c r="E98" s="20">
        <f>SUMIFS('PvA Data'!$F$2:$F$1576,'PvA Data'!$A$2:$A$1576,$A98,'PvA Data'!$E$2:$E$1576,$D98)</f>
        <v>0</v>
      </c>
      <c r="F98" s="20">
        <f>SUMIFS('PvA Data'!$G$2:$G$1576,'PvA Data'!$A$2:$A$1576,$A98,'PvA Data'!$E$2:$E$1576,$D98)</f>
        <v>0</v>
      </c>
      <c r="G98" s="36" t="str">
        <f t="shared" si="8"/>
        <v/>
      </c>
      <c r="H98" s="20">
        <f>SUMIFS('PvA Data'!$G$2:$G$1576,'PvA Data'!$A$2:$A$1576,$A98,'PvA Data'!$E$2:$E$1576,$D98,'PvA Data'!$C$2:$C$1576,"Nahunta")</f>
        <v>0</v>
      </c>
      <c r="I98" s="20">
        <f>SUMIFS('PvA Data'!$G$2:$G$1576,'PvA Data'!$A$2:$A$1576,$A98,'PvA Data'!$E$2:$E$1576,$D98,'PvA Data'!$C$2:$C$1576,"Martin")</f>
        <v>0</v>
      </c>
      <c r="J98" s="20">
        <f>SUMIFS('PvA Data'!$G$2:$G$1576,'PvA Data'!$A$2:$A$1576,$A98,'PvA Data'!$E$2:$E$1576,$D98,'PvA Data'!$C$2:$C$1576,"Custom")</f>
        <v>0</v>
      </c>
      <c r="K98" s="36" t="str">
        <f t="shared" si="9"/>
        <v/>
      </c>
      <c r="L98" s="36" t="str">
        <f t="shared" si="10"/>
        <v/>
      </c>
      <c r="M98" s="36" t="str">
        <f t="shared" si="11"/>
        <v/>
      </c>
    </row>
    <row r="99" spans="1:13" ht="15" customHeight="1" x14ac:dyDescent="0.75">
      <c r="A99" s="18" t="s">
        <v>67</v>
      </c>
      <c r="B99" s="19">
        <v>46041</v>
      </c>
      <c r="C99" s="17">
        <v>666502</v>
      </c>
      <c r="D99" s="18" t="s">
        <v>7</v>
      </c>
      <c r="E99" s="20">
        <f>SUMIFS('PvA Data'!$F$2:$F$1576,'PvA Data'!$A$2:$A$1576,$A99,'PvA Data'!$E$2:$E$1576,$D99)</f>
        <v>173.5</v>
      </c>
      <c r="F99" s="20">
        <f>SUMIFS('PvA Data'!$G$2:$G$1576,'PvA Data'!$A$2:$A$1576,$A99,'PvA Data'!$E$2:$E$1576,$D99)</f>
        <v>149</v>
      </c>
      <c r="G99" s="36">
        <f t="shared" ref="G99:G162" si="12">IF(E99=0,"",F99/E99)</f>
        <v>0.85878962536023051</v>
      </c>
      <c r="H99" s="20">
        <f>SUMIFS('PvA Data'!$G$2:$G$1576,'PvA Data'!$A$2:$A$1576,$A99,'PvA Data'!$E$2:$E$1576,$D99,'PvA Data'!$C$2:$C$1576,"Nahunta")</f>
        <v>0</v>
      </c>
      <c r="I99" s="20">
        <f>SUMIFS('PvA Data'!$G$2:$G$1576,'PvA Data'!$A$2:$A$1576,$A99,'PvA Data'!$E$2:$E$1576,$D99,'PvA Data'!$C$2:$C$1576,"Martin")</f>
        <v>121</v>
      </c>
      <c r="J99" s="20">
        <f>SUMIFS('PvA Data'!$G$2:$G$1576,'PvA Data'!$A$2:$A$1576,$A99,'PvA Data'!$E$2:$E$1576,$D99,'PvA Data'!$C$2:$C$1576,"Custom")</f>
        <v>28</v>
      </c>
      <c r="K99" s="36">
        <f t="shared" ref="K99:K162" si="13">IF($F99=0,"",H99/$F99)</f>
        <v>0</v>
      </c>
      <c r="L99" s="36">
        <f t="shared" ref="L99:L162" si="14">IF($F99=0,"",I99/$F99)</f>
        <v>0.81208053691275173</v>
      </c>
      <c r="M99" s="36">
        <f t="shared" ref="M99:M162" si="15">IF($F99=0,"",J99/$F99)</f>
        <v>0.18791946308724833</v>
      </c>
    </row>
    <row r="100" spans="1:13" ht="15" customHeight="1" x14ac:dyDescent="0.75">
      <c r="A100" s="18" t="s">
        <v>67</v>
      </c>
      <c r="B100" s="19">
        <v>46041</v>
      </c>
      <c r="C100" s="17">
        <v>666505</v>
      </c>
      <c r="D100" s="18" t="s">
        <v>9</v>
      </c>
      <c r="E100" s="20">
        <f>SUMIFS('PvA Data'!$F$2:$F$1576,'PvA Data'!$A$2:$A$1576,$A100,'PvA Data'!$E$2:$E$1576,$D100)</f>
        <v>30</v>
      </c>
      <c r="F100" s="20">
        <f>SUMIFS('PvA Data'!$G$2:$G$1576,'PvA Data'!$A$2:$A$1576,$A100,'PvA Data'!$E$2:$E$1576,$D100)</f>
        <v>0</v>
      </c>
      <c r="G100" s="36">
        <f t="shared" si="12"/>
        <v>0</v>
      </c>
      <c r="H100" s="20">
        <f>SUMIFS('PvA Data'!$G$2:$G$1576,'PvA Data'!$A$2:$A$1576,$A100,'PvA Data'!$E$2:$E$1576,$D100,'PvA Data'!$C$2:$C$1576,"Nahunta")</f>
        <v>0</v>
      </c>
      <c r="I100" s="20">
        <f>SUMIFS('PvA Data'!$G$2:$G$1576,'PvA Data'!$A$2:$A$1576,$A100,'PvA Data'!$E$2:$E$1576,$D100,'PvA Data'!$C$2:$C$1576,"Martin")</f>
        <v>0</v>
      </c>
      <c r="J100" s="20">
        <f>SUMIFS('PvA Data'!$G$2:$G$1576,'PvA Data'!$A$2:$A$1576,$A100,'PvA Data'!$E$2:$E$1576,$D100,'PvA Data'!$C$2:$C$1576,"Custom")</f>
        <v>0</v>
      </c>
      <c r="K100" s="36" t="str">
        <f t="shared" si="13"/>
        <v/>
      </c>
      <c r="L100" s="36" t="str">
        <f t="shared" si="14"/>
        <v/>
      </c>
      <c r="M100" s="36" t="str">
        <f t="shared" si="15"/>
        <v/>
      </c>
    </row>
    <row r="101" spans="1:13" ht="15" customHeight="1" x14ac:dyDescent="0.75">
      <c r="A101" s="18" t="s">
        <v>67</v>
      </c>
      <c r="B101" s="19">
        <v>46041</v>
      </c>
      <c r="C101" s="17">
        <v>666506</v>
      </c>
      <c r="D101" s="18" t="s">
        <v>11</v>
      </c>
      <c r="E101" s="20">
        <f>SUMIFS('PvA Data'!$F$2:$F$1576,'PvA Data'!$A$2:$A$1576,$A101,'PvA Data'!$E$2:$E$1576,$D101)</f>
        <v>100</v>
      </c>
      <c r="F101" s="20">
        <f>SUMIFS('PvA Data'!$G$2:$G$1576,'PvA Data'!$A$2:$A$1576,$A101,'PvA Data'!$E$2:$E$1576,$D101)</f>
        <v>27</v>
      </c>
      <c r="G101" s="36">
        <f t="shared" si="12"/>
        <v>0.27</v>
      </c>
      <c r="H101" s="20">
        <f>SUMIFS('PvA Data'!$G$2:$G$1576,'PvA Data'!$A$2:$A$1576,$A101,'PvA Data'!$E$2:$E$1576,$D101,'PvA Data'!$C$2:$C$1576,"Nahunta")</f>
        <v>0</v>
      </c>
      <c r="I101" s="20">
        <f>SUMIFS('PvA Data'!$G$2:$G$1576,'PvA Data'!$A$2:$A$1576,$A101,'PvA Data'!$E$2:$E$1576,$D101,'PvA Data'!$C$2:$C$1576,"Martin")</f>
        <v>27</v>
      </c>
      <c r="J101" s="20">
        <f>SUMIFS('PvA Data'!$G$2:$G$1576,'PvA Data'!$A$2:$A$1576,$A101,'PvA Data'!$E$2:$E$1576,$D101,'PvA Data'!$C$2:$C$1576,"Custom")</f>
        <v>0</v>
      </c>
      <c r="K101" s="36">
        <f t="shared" si="13"/>
        <v>0</v>
      </c>
      <c r="L101" s="36">
        <f t="shared" si="14"/>
        <v>1</v>
      </c>
      <c r="M101" s="36">
        <f t="shared" si="15"/>
        <v>0</v>
      </c>
    </row>
    <row r="102" spans="1:13" ht="15" customHeight="1" x14ac:dyDescent="0.75">
      <c r="A102" s="18" t="s">
        <v>67</v>
      </c>
      <c r="B102" s="19">
        <v>46041</v>
      </c>
      <c r="C102" s="17">
        <v>666507</v>
      </c>
      <c r="D102" s="18" t="s">
        <v>13</v>
      </c>
      <c r="E102" s="20">
        <f>SUMIFS('PvA Data'!$F$2:$F$1576,'PvA Data'!$A$2:$A$1576,$A102,'PvA Data'!$E$2:$E$1576,$D102)</f>
        <v>25</v>
      </c>
      <c r="F102" s="20">
        <f>SUMIFS('PvA Data'!$G$2:$G$1576,'PvA Data'!$A$2:$A$1576,$A102,'PvA Data'!$E$2:$E$1576,$D102)</f>
        <v>17</v>
      </c>
      <c r="G102" s="36">
        <f t="shared" si="12"/>
        <v>0.68</v>
      </c>
      <c r="H102" s="20">
        <f>SUMIFS('PvA Data'!$G$2:$G$1576,'PvA Data'!$A$2:$A$1576,$A102,'PvA Data'!$E$2:$E$1576,$D102,'PvA Data'!$C$2:$C$1576,"Nahunta")</f>
        <v>17</v>
      </c>
      <c r="I102" s="20">
        <f>SUMIFS('PvA Data'!$G$2:$G$1576,'PvA Data'!$A$2:$A$1576,$A102,'PvA Data'!$E$2:$E$1576,$D102,'PvA Data'!$C$2:$C$1576,"Martin")</f>
        <v>0</v>
      </c>
      <c r="J102" s="20">
        <f>SUMIFS('PvA Data'!$G$2:$G$1576,'PvA Data'!$A$2:$A$1576,$A102,'PvA Data'!$E$2:$E$1576,$D102,'PvA Data'!$C$2:$C$1576,"Custom")</f>
        <v>0</v>
      </c>
      <c r="K102" s="36">
        <f t="shared" si="13"/>
        <v>1</v>
      </c>
      <c r="L102" s="36">
        <f t="shared" si="14"/>
        <v>0</v>
      </c>
      <c r="M102" s="36">
        <f t="shared" si="15"/>
        <v>0</v>
      </c>
    </row>
    <row r="103" spans="1:13" ht="15" customHeight="1" x14ac:dyDescent="0.75">
      <c r="A103" s="18" t="s">
        <v>67</v>
      </c>
      <c r="B103" s="19">
        <v>46041</v>
      </c>
      <c r="C103" s="17">
        <v>666509</v>
      </c>
      <c r="D103" s="18" t="s">
        <v>15</v>
      </c>
      <c r="E103" s="20">
        <f>SUMIFS('PvA Data'!$F$2:$F$1576,'PvA Data'!$A$2:$A$1576,$A103,'PvA Data'!$E$2:$E$1576,$D103)</f>
        <v>50</v>
      </c>
      <c r="F103" s="20">
        <f>SUMIFS('PvA Data'!$G$2:$G$1576,'PvA Data'!$A$2:$A$1576,$A103,'PvA Data'!$E$2:$E$1576,$D103)</f>
        <v>22</v>
      </c>
      <c r="G103" s="36">
        <f t="shared" si="12"/>
        <v>0.44</v>
      </c>
      <c r="H103" s="20">
        <f>SUMIFS('PvA Data'!$G$2:$G$1576,'PvA Data'!$A$2:$A$1576,$A103,'PvA Data'!$E$2:$E$1576,$D103,'PvA Data'!$C$2:$C$1576,"Nahunta")</f>
        <v>22</v>
      </c>
      <c r="I103" s="20">
        <f>SUMIFS('PvA Data'!$G$2:$G$1576,'PvA Data'!$A$2:$A$1576,$A103,'PvA Data'!$E$2:$E$1576,$D103,'PvA Data'!$C$2:$C$1576,"Martin")</f>
        <v>0</v>
      </c>
      <c r="J103" s="20">
        <f>SUMIFS('PvA Data'!$G$2:$G$1576,'PvA Data'!$A$2:$A$1576,$A103,'PvA Data'!$E$2:$E$1576,$D103,'PvA Data'!$C$2:$C$1576,"Custom")</f>
        <v>0</v>
      </c>
      <c r="K103" s="36">
        <f t="shared" si="13"/>
        <v>1</v>
      </c>
      <c r="L103" s="36">
        <f t="shared" si="14"/>
        <v>0</v>
      </c>
      <c r="M103" s="36">
        <f t="shared" si="15"/>
        <v>0</v>
      </c>
    </row>
    <row r="104" spans="1:13" ht="15" customHeight="1" x14ac:dyDescent="0.75">
      <c r="A104" s="18" t="s">
        <v>67</v>
      </c>
      <c r="B104" s="19">
        <v>46041</v>
      </c>
      <c r="C104" s="17">
        <v>666510</v>
      </c>
      <c r="D104" s="18" t="s">
        <v>17</v>
      </c>
      <c r="E104" s="20">
        <f>SUMIFS('PvA Data'!$F$2:$F$1576,'PvA Data'!$A$2:$A$1576,$A104,'PvA Data'!$E$2:$E$1576,$D104)</f>
        <v>0</v>
      </c>
      <c r="F104" s="20">
        <f>SUMIFS('PvA Data'!$G$2:$G$1576,'PvA Data'!$A$2:$A$1576,$A104,'PvA Data'!$E$2:$E$1576,$D104)</f>
        <v>0</v>
      </c>
      <c r="G104" s="36" t="str">
        <f t="shared" si="12"/>
        <v/>
      </c>
      <c r="H104" s="20">
        <f>SUMIFS('PvA Data'!$G$2:$G$1576,'PvA Data'!$A$2:$A$1576,$A104,'PvA Data'!$E$2:$E$1576,$D104,'PvA Data'!$C$2:$C$1576,"Nahunta")</f>
        <v>0</v>
      </c>
      <c r="I104" s="20">
        <f>SUMIFS('PvA Data'!$G$2:$G$1576,'PvA Data'!$A$2:$A$1576,$A104,'PvA Data'!$E$2:$E$1576,$D104,'PvA Data'!$C$2:$C$1576,"Martin")</f>
        <v>0</v>
      </c>
      <c r="J104" s="20">
        <f>SUMIFS('PvA Data'!$G$2:$G$1576,'PvA Data'!$A$2:$A$1576,$A104,'PvA Data'!$E$2:$E$1576,$D104,'PvA Data'!$C$2:$C$1576,"Custom")</f>
        <v>0</v>
      </c>
      <c r="K104" s="36" t="str">
        <f t="shared" si="13"/>
        <v/>
      </c>
      <c r="L104" s="36" t="str">
        <f t="shared" si="14"/>
        <v/>
      </c>
      <c r="M104" s="36" t="str">
        <f t="shared" si="15"/>
        <v/>
      </c>
    </row>
    <row r="105" spans="1:13" ht="15" customHeight="1" x14ac:dyDescent="0.75">
      <c r="A105" s="18" t="s">
        <v>67</v>
      </c>
      <c r="B105" s="19">
        <v>46041</v>
      </c>
      <c r="C105" s="17">
        <v>666511</v>
      </c>
      <c r="D105" s="18" t="s">
        <v>19</v>
      </c>
      <c r="E105" s="20">
        <f>SUMIFS('PvA Data'!$F$2:$F$1576,'PvA Data'!$A$2:$A$1576,$A105,'PvA Data'!$E$2:$E$1576,$D105)</f>
        <v>4</v>
      </c>
      <c r="F105" s="20">
        <f>SUMIFS('PvA Data'!$G$2:$G$1576,'PvA Data'!$A$2:$A$1576,$A105,'PvA Data'!$E$2:$E$1576,$D105)</f>
        <v>0</v>
      </c>
      <c r="G105" s="36">
        <f t="shared" si="12"/>
        <v>0</v>
      </c>
      <c r="H105" s="20">
        <f>SUMIFS('PvA Data'!$G$2:$G$1576,'PvA Data'!$A$2:$A$1576,$A105,'PvA Data'!$E$2:$E$1576,$D105,'PvA Data'!$C$2:$C$1576,"Nahunta")</f>
        <v>0</v>
      </c>
      <c r="I105" s="20">
        <f>SUMIFS('PvA Data'!$G$2:$G$1576,'PvA Data'!$A$2:$A$1576,$A105,'PvA Data'!$E$2:$E$1576,$D105,'PvA Data'!$C$2:$C$1576,"Martin")</f>
        <v>0</v>
      </c>
      <c r="J105" s="20">
        <f>SUMIFS('PvA Data'!$G$2:$G$1576,'PvA Data'!$A$2:$A$1576,$A105,'PvA Data'!$E$2:$E$1576,$D105,'PvA Data'!$C$2:$C$1576,"Custom")</f>
        <v>0</v>
      </c>
      <c r="K105" s="36" t="str">
        <f t="shared" si="13"/>
        <v/>
      </c>
      <c r="L105" s="36" t="str">
        <f t="shared" si="14"/>
        <v/>
      </c>
      <c r="M105" s="36" t="str">
        <f t="shared" si="15"/>
        <v/>
      </c>
    </row>
    <row r="106" spans="1:13" ht="15" customHeight="1" x14ac:dyDescent="0.75">
      <c r="A106" s="18" t="s">
        <v>67</v>
      </c>
      <c r="B106" s="19">
        <v>46041</v>
      </c>
      <c r="C106" s="17">
        <v>666513</v>
      </c>
      <c r="D106" s="18" t="s">
        <v>21</v>
      </c>
      <c r="E106" s="20">
        <f>SUMIFS('PvA Data'!$F$2:$F$1576,'PvA Data'!$A$2:$A$1576,$A106,'PvA Data'!$E$2:$E$1576,$D106)</f>
        <v>0</v>
      </c>
      <c r="F106" s="20">
        <f>SUMIFS('PvA Data'!$G$2:$G$1576,'PvA Data'!$A$2:$A$1576,$A106,'PvA Data'!$E$2:$E$1576,$D106)</f>
        <v>0</v>
      </c>
      <c r="G106" s="36" t="str">
        <f t="shared" si="12"/>
        <v/>
      </c>
      <c r="H106" s="20">
        <f>SUMIFS('PvA Data'!$G$2:$G$1576,'PvA Data'!$A$2:$A$1576,$A106,'PvA Data'!$E$2:$E$1576,$D106,'PvA Data'!$C$2:$C$1576,"Nahunta")</f>
        <v>0</v>
      </c>
      <c r="I106" s="20">
        <f>SUMIFS('PvA Data'!$G$2:$G$1576,'PvA Data'!$A$2:$A$1576,$A106,'PvA Data'!$E$2:$E$1576,$D106,'PvA Data'!$C$2:$C$1576,"Martin")</f>
        <v>0</v>
      </c>
      <c r="J106" s="20">
        <f>SUMIFS('PvA Data'!$G$2:$G$1576,'PvA Data'!$A$2:$A$1576,$A106,'PvA Data'!$E$2:$E$1576,$D106,'PvA Data'!$C$2:$C$1576,"Custom")</f>
        <v>0</v>
      </c>
      <c r="K106" s="36" t="str">
        <f t="shared" si="13"/>
        <v/>
      </c>
      <c r="L106" s="36" t="str">
        <f t="shared" si="14"/>
        <v/>
      </c>
      <c r="M106" s="36" t="str">
        <f t="shared" si="15"/>
        <v/>
      </c>
    </row>
    <row r="107" spans="1:13" ht="15" customHeight="1" x14ac:dyDescent="0.75">
      <c r="A107" s="18" t="s">
        <v>67</v>
      </c>
      <c r="B107" s="19">
        <v>46041</v>
      </c>
      <c r="C107" s="17">
        <v>666516</v>
      </c>
      <c r="D107" s="18" t="s">
        <v>23</v>
      </c>
      <c r="E107" s="20">
        <f>SUMIFS('PvA Data'!$F$2:$F$1576,'PvA Data'!$A$2:$A$1576,$A107,'PvA Data'!$E$2:$E$1576,$D107)</f>
        <v>20</v>
      </c>
      <c r="F107" s="20">
        <f>SUMIFS('PvA Data'!$G$2:$G$1576,'PvA Data'!$A$2:$A$1576,$A107,'PvA Data'!$E$2:$E$1576,$D107)</f>
        <v>0</v>
      </c>
      <c r="G107" s="36">
        <f t="shared" si="12"/>
        <v>0</v>
      </c>
      <c r="H107" s="20">
        <f>SUMIFS('PvA Data'!$G$2:$G$1576,'PvA Data'!$A$2:$A$1576,$A107,'PvA Data'!$E$2:$E$1576,$D107,'PvA Data'!$C$2:$C$1576,"Nahunta")</f>
        <v>0</v>
      </c>
      <c r="I107" s="20">
        <f>SUMIFS('PvA Data'!$G$2:$G$1576,'PvA Data'!$A$2:$A$1576,$A107,'PvA Data'!$E$2:$E$1576,$D107,'PvA Data'!$C$2:$C$1576,"Martin")</f>
        <v>0</v>
      </c>
      <c r="J107" s="20">
        <f>SUMIFS('PvA Data'!$G$2:$G$1576,'PvA Data'!$A$2:$A$1576,$A107,'PvA Data'!$E$2:$E$1576,$D107,'PvA Data'!$C$2:$C$1576,"Custom")</f>
        <v>0</v>
      </c>
      <c r="K107" s="36" t="str">
        <f t="shared" si="13"/>
        <v/>
      </c>
      <c r="L107" s="36" t="str">
        <f t="shared" si="14"/>
        <v/>
      </c>
      <c r="M107" s="36" t="str">
        <f t="shared" si="15"/>
        <v/>
      </c>
    </row>
    <row r="108" spans="1:13" ht="15" customHeight="1" x14ac:dyDescent="0.75">
      <c r="A108" s="18" t="s">
        <v>67</v>
      </c>
      <c r="B108" s="19">
        <v>46041</v>
      </c>
      <c r="C108" s="17">
        <v>666517</v>
      </c>
      <c r="D108" s="18" t="s">
        <v>25</v>
      </c>
      <c r="E108" s="20">
        <f>SUMIFS('PvA Data'!$F$2:$F$1576,'PvA Data'!$A$2:$A$1576,$A108,'PvA Data'!$E$2:$E$1576,$D108)</f>
        <v>24</v>
      </c>
      <c r="F108" s="20">
        <f>SUMIFS('PvA Data'!$G$2:$G$1576,'PvA Data'!$A$2:$A$1576,$A108,'PvA Data'!$E$2:$E$1576,$D108)</f>
        <v>0</v>
      </c>
      <c r="G108" s="36">
        <f t="shared" si="12"/>
        <v>0</v>
      </c>
      <c r="H108" s="20">
        <f>SUMIFS('PvA Data'!$G$2:$G$1576,'PvA Data'!$A$2:$A$1576,$A108,'PvA Data'!$E$2:$E$1576,$D108,'PvA Data'!$C$2:$C$1576,"Nahunta")</f>
        <v>0</v>
      </c>
      <c r="I108" s="20">
        <f>SUMIFS('PvA Data'!$G$2:$G$1576,'PvA Data'!$A$2:$A$1576,$A108,'PvA Data'!$E$2:$E$1576,$D108,'PvA Data'!$C$2:$C$1576,"Martin")</f>
        <v>0</v>
      </c>
      <c r="J108" s="20">
        <f>SUMIFS('PvA Data'!$G$2:$G$1576,'PvA Data'!$A$2:$A$1576,$A108,'PvA Data'!$E$2:$E$1576,$D108,'PvA Data'!$C$2:$C$1576,"Custom")</f>
        <v>0</v>
      </c>
      <c r="K108" s="36" t="str">
        <f t="shared" si="13"/>
        <v/>
      </c>
      <c r="L108" s="36" t="str">
        <f t="shared" si="14"/>
        <v/>
      </c>
      <c r="M108" s="36" t="str">
        <f t="shared" si="15"/>
        <v/>
      </c>
    </row>
    <row r="109" spans="1:13" ht="15" customHeight="1" x14ac:dyDescent="0.75">
      <c r="A109" s="18" t="s">
        <v>67</v>
      </c>
      <c r="B109" s="19">
        <v>46041</v>
      </c>
      <c r="C109" s="17">
        <v>666518</v>
      </c>
      <c r="D109" s="18" t="s">
        <v>27</v>
      </c>
      <c r="E109" s="20">
        <f>SUMIFS('PvA Data'!$F$2:$F$1576,'PvA Data'!$A$2:$A$1576,$A109,'PvA Data'!$E$2:$E$1576,$D109)</f>
        <v>0</v>
      </c>
      <c r="F109" s="20">
        <f>SUMIFS('PvA Data'!$G$2:$G$1576,'PvA Data'!$A$2:$A$1576,$A109,'PvA Data'!$E$2:$E$1576,$D109)</f>
        <v>0</v>
      </c>
      <c r="G109" s="36" t="str">
        <f t="shared" si="12"/>
        <v/>
      </c>
      <c r="H109" s="20">
        <f>SUMIFS('PvA Data'!$G$2:$G$1576,'PvA Data'!$A$2:$A$1576,$A109,'PvA Data'!$E$2:$E$1576,$D109,'PvA Data'!$C$2:$C$1576,"Nahunta")</f>
        <v>0</v>
      </c>
      <c r="I109" s="20">
        <f>SUMIFS('PvA Data'!$G$2:$G$1576,'PvA Data'!$A$2:$A$1576,$A109,'PvA Data'!$E$2:$E$1576,$D109,'PvA Data'!$C$2:$C$1576,"Martin")</f>
        <v>0</v>
      </c>
      <c r="J109" s="20">
        <f>SUMIFS('PvA Data'!$G$2:$G$1576,'PvA Data'!$A$2:$A$1576,$A109,'PvA Data'!$E$2:$E$1576,$D109,'PvA Data'!$C$2:$C$1576,"Custom")</f>
        <v>0</v>
      </c>
      <c r="K109" s="36" t="str">
        <f t="shared" si="13"/>
        <v/>
      </c>
      <c r="L109" s="36" t="str">
        <f t="shared" si="14"/>
        <v/>
      </c>
      <c r="M109" s="36" t="str">
        <f t="shared" si="15"/>
        <v/>
      </c>
    </row>
    <row r="110" spans="1:13" ht="15" customHeight="1" x14ac:dyDescent="0.75">
      <c r="A110" s="18" t="s">
        <v>67</v>
      </c>
      <c r="B110" s="19">
        <v>46041</v>
      </c>
      <c r="C110" s="17">
        <v>666519</v>
      </c>
      <c r="D110" s="18" t="s">
        <v>29</v>
      </c>
      <c r="E110" s="20">
        <f>SUMIFS('PvA Data'!$F$2:$F$1576,'PvA Data'!$A$2:$A$1576,$A110,'PvA Data'!$E$2:$E$1576,$D110)</f>
        <v>30</v>
      </c>
      <c r="F110" s="20">
        <f>SUMIFS('PvA Data'!$G$2:$G$1576,'PvA Data'!$A$2:$A$1576,$A110,'PvA Data'!$E$2:$E$1576,$D110)</f>
        <v>0</v>
      </c>
      <c r="G110" s="36">
        <f t="shared" si="12"/>
        <v>0</v>
      </c>
      <c r="H110" s="20">
        <f>SUMIFS('PvA Data'!$G$2:$G$1576,'PvA Data'!$A$2:$A$1576,$A110,'PvA Data'!$E$2:$E$1576,$D110,'PvA Data'!$C$2:$C$1576,"Nahunta")</f>
        <v>0</v>
      </c>
      <c r="I110" s="20">
        <f>SUMIFS('PvA Data'!$G$2:$G$1576,'PvA Data'!$A$2:$A$1576,$A110,'PvA Data'!$E$2:$E$1576,$D110,'PvA Data'!$C$2:$C$1576,"Martin")</f>
        <v>0</v>
      </c>
      <c r="J110" s="20">
        <f>SUMIFS('PvA Data'!$G$2:$G$1576,'PvA Data'!$A$2:$A$1576,$A110,'PvA Data'!$E$2:$E$1576,$D110,'PvA Data'!$C$2:$C$1576,"Custom")</f>
        <v>0</v>
      </c>
      <c r="K110" s="36" t="str">
        <f t="shared" si="13"/>
        <v/>
      </c>
      <c r="L110" s="36" t="str">
        <f t="shared" si="14"/>
        <v/>
      </c>
      <c r="M110" s="36" t="str">
        <f t="shared" si="15"/>
        <v/>
      </c>
    </row>
    <row r="111" spans="1:13" ht="15" customHeight="1" x14ac:dyDescent="0.75">
      <c r="A111" s="18" t="s">
        <v>67</v>
      </c>
      <c r="B111" s="19">
        <v>46041</v>
      </c>
      <c r="C111" s="17">
        <v>666521</v>
      </c>
      <c r="D111" s="18" t="s">
        <v>31</v>
      </c>
      <c r="E111" s="20">
        <f>SUMIFS('PvA Data'!$F$2:$F$1576,'PvA Data'!$A$2:$A$1576,$A111,'PvA Data'!$E$2:$E$1576,$D111)</f>
        <v>0</v>
      </c>
      <c r="F111" s="20">
        <f>SUMIFS('PvA Data'!$G$2:$G$1576,'PvA Data'!$A$2:$A$1576,$A111,'PvA Data'!$E$2:$E$1576,$D111)</f>
        <v>0</v>
      </c>
      <c r="G111" s="36" t="str">
        <f t="shared" si="12"/>
        <v/>
      </c>
      <c r="H111" s="20">
        <f>SUMIFS('PvA Data'!$G$2:$G$1576,'PvA Data'!$A$2:$A$1576,$A111,'PvA Data'!$E$2:$E$1576,$D111,'PvA Data'!$C$2:$C$1576,"Nahunta")</f>
        <v>0</v>
      </c>
      <c r="I111" s="20">
        <f>SUMIFS('PvA Data'!$G$2:$G$1576,'PvA Data'!$A$2:$A$1576,$A111,'PvA Data'!$E$2:$E$1576,$D111,'PvA Data'!$C$2:$C$1576,"Martin")</f>
        <v>0</v>
      </c>
      <c r="J111" s="20">
        <f>SUMIFS('PvA Data'!$G$2:$G$1576,'PvA Data'!$A$2:$A$1576,$A111,'PvA Data'!$E$2:$E$1576,$D111,'PvA Data'!$C$2:$C$1576,"Custom")</f>
        <v>0</v>
      </c>
      <c r="K111" s="36" t="str">
        <f t="shared" si="13"/>
        <v/>
      </c>
      <c r="L111" s="36" t="str">
        <f t="shared" si="14"/>
        <v/>
      </c>
      <c r="M111" s="36" t="str">
        <f t="shared" si="15"/>
        <v/>
      </c>
    </row>
    <row r="112" spans="1:13" ht="15" customHeight="1" x14ac:dyDescent="0.75">
      <c r="A112" s="18" t="s">
        <v>67</v>
      </c>
      <c r="B112" s="19">
        <v>46041</v>
      </c>
      <c r="C112" s="17">
        <v>666522</v>
      </c>
      <c r="D112" s="18" t="s">
        <v>33</v>
      </c>
      <c r="E112" s="20">
        <f>SUMIFS('PvA Data'!$F$2:$F$1576,'PvA Data'!$A$2:$A$1576,$A112,'PvA Data'!$E$2:$E$1576,$D112)</f>
        <v>215</v>
      </c>
      <c r="F112" s="20">
        <f>SUMIFS('PvA Data'!$G$2:$G$1576,'PvA Data'!$A$2:$A$1576,$A112,'PvA Data'!$E$2:$E$1576,$D112)</f>
        <v>35</v>
      </c>
      <c r="G112" s="36">
        <f t="shared" si="12"/>
        <v>0.16279069767441862</v>
      </c>
      <c r="H112" s="20">
        <f>SUMIFS('PvA Data'!$G$2:$G$1576,'PvA Data'!$A$2:$A$1576,$A112,'PvA Data'!$E$2:$E$1576,$D112,'PvA Data'!$C$2:$C$1576,"Nahunta")</f>
        <v>15</v>
      </c>
      <c r="I112" s="20">
        <f>SUMIFS('PvA Data'!$G$2:$G$1576,'PvA Data'!$A$2:$A$1576,$A112,'PvA Data'!$E$2:$E$1576,$D112,'PvA Data'!$C$2:$C$1576,"Martin")</f>
        <v>0</v>
      </c>
      <c r="J112" s="20">
        <f>SUMIFS('PvA Data'!$G$2:$G$1576,'PvA Data'!$A$2:$A$1576,$A112,'PvA Data'!$E$2:$E$1576,$D112,'PvA Data'!$C$2:$C$1576,"Custom")</f>
        <v>20</v>
      </c>
      <c r="K112" s="36">
        <f t="shared" si="13"/>
        <v>0.42857142857142855</v>
      </c>
      <c r="L112" s="36">
        <f t="shared" si="14"/>
        <v>0</v>
      </c>
      <c r="M112" s="36">
        <f t="shared" si="15"/>
        <v>0.5714285714285714</v>
      </c>
    </row>
    <row r="113" spans="1:13" ht="15" customHeight="1" x14ac:dyDescent="0.75">
      <c r="A113" s="18" t="s">
        <v>67</v>
      </c>
      <c r="B113" s="19">
        <v>46041</v>
      </c>
      <c r="C113" s="17">
        <v>666523</v>
      </c>
      <c r="D113" s="18" t="s">
        <v>35</v>
      </c>
      <c r="E113" s="20">
        <f>SUMIFS('PvA Data'!$F$2:$F$1576,'PvA Data'!$A$2:$A$1576,$A113,'PvA Data'!$E$2:$E$1576,$D113)</f>
        <v>29.5</v>
      </c>
      <c r="F113" s="20">
        <f>SUMIFS('PvA Data'!$G$2:$G$1576,'PvA Data'!$A$2:$A$1576,$A113,'PvA Data'!$E$2:$E$1576,$D113)</f>
        <v>0</v>
      </c>
      <c r="G113" s="36">
        <f t="shared" si="12"/>
        <v>0</v>
      </c>
      <c r="H113" s="20">
        <f>SUMIFS('PvA Data'!$G$2:$G$1576,'PvA Data'!$A$2:$A$1576,$A113,'PvA Data'!$E$2:$E$1576,$D113,'PvA Data'!$C$2:$C$1576,"Nahunta")</f>
        <v>0</v>
      </c>
      <c r="I113" s="20">
        <f>SUMIFS('PvA Data'!$G$2:$G$1576,'PvA Data'!$A$2:$A$1576,$A113,'PvA Data'!$E$2:$E$1576,$D113,'PvA Data'!$C$2:$C$1576,"Martin")</f>
        <v>0</v>
      </c>
      <c r="J113" s="20">
        <f>SUMIFS('PvA Data'!$G$2:$G$1576,'PvA Data'!$A$2:$A$1576,$A113,'PvA Data'!$E$2:$E$1576,$D113,'PvA Data'!$C$2:$C$1576,"Custom")</f>
        <v>0</v>
      </c>
      <c r="K113" s="36" t="str">
        <f t="shared" si="13"/>
        <v/>
      </c>
      <c r="L113" s="36" t="str">
        <f t="shared" si="14"/>
        <v/>
      </c>
      <c r="M113" s="36" t="str">
        <f t="shared" si="15"/>
        <v/>
      </c>
    </row>
    <row r="114" spans="1:13" ht="15" customHeight="1" x14ac:dyDescent="0.75">
      <c r="A114" s="18" t="s">
        <v>67</v>
      </c>
      <c r="B114" s="19">
        <v>46041</v>
      </c>
      <c r="C114" s="17">
        <v>666530</v>
      </c>
      <c r="D114" s="18" t="s">
        <v>37</v>
      </c>
      <c r="E114" s="20">
        <f>SUMIFS('PvA Data'!$F$2:$F$1576,'PvA Data'!$A$2:$A$1576,$A114,'PvA Data'!$E$2:$E$1576,$D114)</f>
        <v>10</v>
      </c>
      <c r="F114" s="20">
        <f>SUMIFS('PvA Data'!$G$2:$G$1576,'PvA Data'!$A$2:$A$1576,$A114,'PvA Data'!$E$2:$E$1576,$D114)</f>
        <v>0</v>
      </c>
      <c r="G114" s="36">
        <f t="shared" si="12"/>
        <v>0</v>
      </c>
      <c r="H114" s="20">
        <f>SUMIFS('PvA Data'!$G$2:$G$1576,'PvA Data'!$A$2:$A$1576,$A114,'PvA Data'!$E$2:$E$1576,$D114,'PvA Data'!$C$2:$C$1576,"Nahunta")</f>
        <v>0</v>
      </c>
      <c r="I114" s="20">
        <f>SUMIFS('PvA Data'!$G$2:$G$1576,'PvA Data'!$A$2:$A$1576,$A114,'PvA Data'!$E$2:$E$1576,$D114,'PvA Data'!$C$2:$C$1576,"Martin")</f>
        <v>0</v>
      </c>
      <c r="J114" s="20">
        <f>SUMIFS('PvA Data'!$G$2:$G$1576,'PvA Data'!$A$2:$A$1576,$A114,'PvA Data'!$E$2:$E$1576,$D114,'PvA Data'!$C$2:$C$1576,"Custom")</f>
        <v>0</v>
      </c>
      <c r="K114" s="36" t="str">
        <f t="shared" si="13"/>
        <v/>
      </c>
      <c r="L114" s="36" t="str">
        <f t="shared" si="14"/>
        <v/>
      </c>
      <c r="M114" s="36" t="str">
        <f t="shared" si="15"/>
        <v/>
      </c>
    </row>
    <row r="115" spans="1:13" ht="15" customHeight="1" x14ac:dyDescent="0.75">
      <c r="A115" s="18" t="s">
        <v>67</v>
      </c>
      <c r="B115" s="19">
        <v>46041</v>
      </c>
      <c r="C115" s="17">
        <v>666531</v>
      </c>
      <c r="D115" s="18" t="s">
        <v>39</v>
      </c>
      <c r="E115" s="20">
        <f>SUMIFS('PvA Data'!$F$2:$F$1576,'PvA Data'!$A$2:$A$1576,$A115,'PvA Data'!$E$2:$E$1576,$D115)</f>
        <v>13</v>
      </c>
      <c r="F115" s="20">
        <f>SUMIFS('PvA Data'!$G$2:$G$1576,'PvA Data'!$A$2:$A$1576,$A115,'PvA Data'!$E$2:$E$1576,$D115)</f>
        <v>0</v>
      </c>
      <c r="G115" s="36">
        <f t="shared" si="12"/>
        <v>0</v>
      </c>
      <c r="H115" s="20">
        <f>SUMIFS('PvA Data'!$G$2:$G$1576,'PvA Data'!$A$2:$A$1576,$A115,'PvA Data'!$E$2:$E$1576,$D115,'PvA Data'!$C$2:$C$1576,"Nahunta")</f>
        <v>0</v>
      </c>
      <c r="I115" s="20">
        <f>SUMIFS('PvA Data'!$G$2:$G$1576,'PvA Data'!$A$2:$A$1576,$A115,'PvA Data'!$E$2:$E$1576,$D115,'PvA Data'!$C$2:$C$1576,"Martin")</f>
        <v>0</v>
      </c>
      <c r="J115" s="20">
        <f>SUMIFS('PvA Data'!$G$2:$G$1576,'PvA Data'!$A$2:$A$1576,$A115,'PvA Data'!$E$2:$E$1576,$D115,'PvA Data'!$C$2:$C$1576,"Custom")</f>
        <v>0</v>
      </c>
      <c r="K115" s="36" t="str">
        <f t="shared" si="13"/>
        <v/>
      </c>
      <c r="L115" s="36" t="str">
        <f t="shared" si="14"/>
        <v/>
      </c>
      <c r="M115" s="36" t="str">
        <f t="shared" si="15"/>
        <v/>
      </c>
    </row>
    <row r="116" spans="1:13" ht="15" customHeight="1" x14ac:dyDescent="0.75">
      <c r="A116" s="18" t="s">
        <v>67</v>
      </c>
      <c r="B116" s="19">
        <v>46041</v>
      </c>
      <c r="C116" s="17">
        <v>666540</v>
      </c>
      <c r="D116" s="18" t="s">
        <v>40</v>
      </c>
      <c r="E116" s="20">
        <f>SUMIFS('PvA Data'!$F$2:$F$1576,'PvA Data'!$A$2:$A$1576,$A116,'PvA Data'!$E$2:$E$1576,$D116)</f>
        <v>120</v>
      </c>
      <c r="F116" s="20">
        <f>SUMIFS('PvA Data'!$G$2:$G$1576,'PvA Data'!$A$2:$A$1576,$A116,'PvA Data'!$E$2:$E$1576,$D116)</f>
        <v>20</v>
      </c>
      <c r="G116" s="36">
        <f t="shared" si="12"/>
        <v>0.16666666666666666</v>
      </c>
      <c r="H116" s="20">
        <f>SUMIFS('PvA Data'!$G$2:$G$1576,'PvA Data'!$A$2:$A$1576,$A116,'PvA Data'!$E$2:$E$1576,$D116,'PvA Data'!$C$2:$C$1576,"Nahunta")</f>
        <v>0</v>
      </c>
      <c r="I116" s="20">
        <f>SUMIFS('PvA Data'!$G$2:$G$1576,'PvA Data'!$A$2:$A$1576,$A116,'PvA Data'!$E$2:$E$1576,$D116,'PvA Data'!$C$2:$C$1576,"Martin")</f>
        <v>20</v>
      </c>
      <c r="J116" s="20">
        <f>SUMIFS('PvA Data'!$G$2:$G$1576,'PvA Data'!$A$2:$A$1576,$A116,'PvA Data'!$E$2:$E$1576,$D116,'PvA Data'!$C$2:$C$1576,"Custom")</f>
        <v>0</v>
      </c>
      <c r="K116" s="36">
        <f t="shared" si="13"/>
        <v>0</v>
      </c>
      <c r="L116" s="36">
        <f t="shared" si="14"/>
        <v>1</v>
      </c>
      <c r="M116" s="36">
        <f t="shared" si="15"/>
        <v>0</v>
      </c>
    </row>
    <row r="117" spans="1:13" ht="15" customHeight="1" x14ac:dyDescent="0.75">
      <c r="A117" s="18" t="s">
        <v>67</v>
      </c>
      <c r="B117" s="19">
        <v>46041</v>
      </c>
      <c r="C117" s="17">
        <v>666541</v>
      </c>
      <c r="D117" s="18" t="s">
        <v>41</v>
      </c>
      <c r="E117" s="20">
        <f>SUMIFS('PvA Data'!$F$2:$F$1576,'PvA Data'!$A$2:$A$1576,$A117,'PvA Data'!$E$2:$E$1576,$D117)</f>
        <v>120</v>
      </c>
      <c r="F117" s="20">
        <f>SUMIFS('PvA Data'!$G$2:$G$1576,'PvA Data'!$A$2:$A$1576,$A117,'PvA Data'!$E$2:$E$1576,$D117)</f>
        <v>121</v>
      </c>
      <c r="G117" s="36">
        <f t="shared" si="12"/>
        <v>1.0083333333333333</v>
      </c>
      <c r="H117" s="20">
        <f>SUMIFS('PvA Data'!$G$2:$G$1576,'PvA Data'!$A$2:$A$1576,$A117,'PvA Data'!$E$2:$E$1576,$D117,'PvA Data'!$C$2:$C$1576,"Nahunta")</f>
        <v>0</v>
      </c>
      <c r="I117" s="20">
        <f>SUMIFS('PvA Data'!$G$2:$G$1576,'PvA Data'!$A$2:$A$1576,$A117,'PvA Data'!$E$2:$E$1576,$D117,'PvA Data'!$C$2:$C$1576,"Martin")</f>
        <v>121</v>
      </c>
      <c r="J117" s="20">
        <f>SUMIFS('PvA Data'!$G$2:$G$1576,'PvA Data'!$A$2:$A$1576,$A117,'PvA Data'!$E$2:$E$1576,$D117,'PvA Data'!$C$2:$C$1576,"Custom")</f>
        <v>0</v>
      </c>
      <c r="K117" s="36">
        <f t="shared" si="13"/>
        <v>0</v>
      </c>
      <c r="L117" s="36">
        <f t="shared" si="14"/>
        <v>1</v>
      </c>
      <c r="M117" s="36">
        <f t="shared" si="15"/>
        <v>0</v>
      </c>
    </row>
    <row r="118" spans="1:13" ht="15" customHeight="1" x14ac:dyDescent="0.75">
      <c r="A118" s="18" t="s">
        <v>67</v>
      </c>
      <c r="B118" s="19">
        <v>46041</v>
      </c>
      <c r="C118" s="17">
        <v>666536</v>
      </c>
      <c r="D118" s="18" t="s">
        <v>43</v>
      </c>
      <c r="E118" s="20">
        <f>SUMIFS('PvA Data'!$F$2:$F$1576,'PvA Data'!$A$2:$A$1576,$A118,'PvA Data'!$E$2:$E$1576,$D118)</f>
        <v>1</v>
      </c>
      <c r="F118" s="20">
        <f>SUMIFS('PvA Data'!$G$2:$G$1576,'PvA Data'!$A$2:$A$1576,$A118,'PvA Data'!$E$2:$E$1576,$D118)</f>
        <v>0</v>
      </c>
      <c r="G118" s="36">
        <f t="shared" si="12"/>
        <v>0</v>
      </c>
      <c r="H118" s="20">
        <f>SUMIFS('PvA Data'!$G$2:$G$1576,'PvA Data'!$A$2:$A$1576,$A118,'PvA Data'!$E$2:$E$1576,$D118,'PvA Data'!$C$2:$C$1576,"Nahunta")</f>
        <v>0</v>
      </c>
      <c r="I118" s="20">
        <f>SUMIFS('PvA Data'!$G$2:$G$1576,'PvA Data'!$A$2:$A$1576,$A118,'PvA Data'!$E$2:$E$1576,$D118,'PvA Data'!$C$2:$C$1576,"Martin")</f>
        <v>0</v>
      </c>
      <c r="J118" s="20">
        <f>SUMIFS('PvA Data'!$G$2:$G$1576,'PvA Data'!$A$2:$A$1576,$A118,'PvA Data'!$E$2:$E$1576,$D118,'PvA Data'!$C$2:$C$1576,"Custom")</f>
        <v>0</v>
      </c>
      <c r="K118" s="36" t="str">
        <f t="shared" si="13"/>
        <v/>
      </c>
      <c r="L118" s="36" t="str">
        <f t="shared" si="14"/>
        <v/>
      </c>
      <c r="M118" s="36" t="str">
        <f t="shared" si="15"/>
        <v/>
      </c>
    </row>
    <row r="119" spans="1:13" ht="15" customHeight="1" x14ac:dyDescent="0.75">
      <c r="A119" s="18" t="s">
        <v>68</v>
      </c>
      <c r="B119" s="19">
        <v>46048</v>
      </c>
      <c r="C119" s="17">
        <v>666501</v>
      </c>
      <c r="D119" s="18" t="s">
        <v>5</v>
      </c>
      <c r="E119" s="20">
        <f>SUMIFS('PvA Data'!$F$2:$F$1576,'PvA Data'!$A$2:$A$1576,$A119,'PvA Data'!$E$2:$E$1576,$D119)</f>
        <v>0</v>
      </c>
      <c r="F119" s="20">
        <f>SUMIFS('PvA Data'!$G$2:$G$1576,'PvA Data'!$A$2:$A$1576,$A119,'PvA Data'!$E$2:$E$1576,$D119)</f>
        <v>0</v>
      </c>
      <c r="G119" s="36" t="str">
        <f t="shared" si="12"/>
        <v/>
      </c>
      <c r="H119" s="20">
        <f>SUMIFS('PvA Data'!$G$2:$G$1576,'PvA Data'!$A$2:$A$1576,$A119,'PvA Data'!$E$2:$E$1576,$D119,'PvA Data'!$C$2:$C$1576,"Nahunta")</f>
        <v>0</v>
      </c>
      <c r="I119" s="20">
        <f>SUMIFS('PvA Data'!$G$2:$G$1576,'PvA Data'!$A$2:$A$1576,$A119,'PvA Data'!$E$2:$E$1576,$D119,'PvA Data'!$C$2:$C$1576,"Martin")</f>
        <v>0</v>
      </c>
      <c r="J119" s="20">
        <f>SUMIFS('PvA Data'!$G$2:$G$1576,'PvA Data'!$A$2:$A$1576,$A119,'PvA Data'!$E$2:$E$1576,$D119,'PvA Data'!$C$2:$C$1576,"Custom")</f>
        <v>0</v>
      </c>
      <c r="K119" s="36" t="str">
        <f t="shared" si="13"/>
        <v/>
      </c>
      <c r="L119" s="36" t="str">
        <f t="shared" si="14"/>
        <v/>
      </c>
      <c r="M119" s="36" t="str">
        <f t="shared" si="15"/>
        <v/>
      </c>
    </row>
    <row r="120" spans="1:13" ht="15" customHeight="1" x14ac:dyDescent="0.75">
      <c r="A120" s="18" t="s">
        <v>68</v>
      </c>
      <c r="B120" s="19">
        <v>46048</v>
      </c>
      <c r="C120" s="17">
        <v>666502</v>
      </c>
      <c r="D120" s="18" t="s">
        <v>7</v>
      </c>
      <c r="E120" s="20">
        <f>SUMIFS('PvA Data'!$F$2:$F$1576,'PvA Data'!$A$2:$A$1576,$A120,'PvA Data'!$E$2:$E$1576,$D120)</f>
        <v>173.5</v>
      </c>
      <c r="F120" s="20">
        <f>SUMIFS('PvA Data'!$G$2:$G$1576,'PvA Data'!$A$2:$A$1576,$A120,'PvA Data'!$E$2:$E$1576,$D120)</f>
        <v>127</v>
      </c>
      <c r="G120" s="36">
        <f t="shared" si="12"/>
        <v>0.73198847262247835</v>
      </c>
      <c r="H120" s="20">
        <f>SUMIFS('PvA Data'!$G$2:$G$1576,'PvA Data'!$A$2:$A$1576,$A120,'PvA Data'!$E$2:$E$1576,$D120,'PvA Data'!$C$2:$C$1576,"Nahunta")</f>
        <v>0</v>
      </c>
      <c r="I120" s="20">
        <f>SUMIFS('PvA Data'!$G$2:$G$1576,'PvA Data'!$A$2:$A$1576,$A120,'PvA Data'!$E$2:$E$1576,$D120,'PvA Data'!$C$2:$C$1576,"Martin")</f>
        <v>109</v>
      </c>
      <c r="J120" s="20">
        <f>SUMIFS('PvA Data'!$G$2:$G$1576,'PvA Data'!$A$2:$A$1576,$A120,'PvA Data'!$E$2:$E$1576,$D120,'PvA Data'!$C$2:$C$1576,"Custom")</f>
        <v>18</v>
      </c>
      <c r="K120" s="36">
        <f t="shared" si="13"/>
        <v>0</v>
      </c>
      <c r="L120" s="36">
        <f t="shared" si="14"/>
        <v>0.8582677165354331</v>
      </c>
      <c r="M120" s="36">
        <f t="shared" si="15"/>
        <v>0.14173228346456693</v>
      </c>
    </row>
    <row r="121" spans="1:13" ht="15" customHeight="1" x14ac:dyDescent="0.75">
      <c r="A121" s="18" t="s">
        <v>68</v>
      </c>
      <c r="B121" s="19">
        <v>46048</v>
      </c>
      <c r="C121" s="17">
        <v>666505</v>
      </c>
      <c r="D121" s="18" t="s">
        <v>9</v>
      </c>
      <c r="E121" s="20">
        <f>SUMIFS('PvA Data'!$F$2:$F$1576,'PvA Data'!$A$2:$A$1576,$A121,'PvA Data'!$E$2:$E$1576,$D121)</f>
        <v>30</v>
      </c>
      <c r="F121" s="20">
        <f>SUMIFS('PvA Data'!$G$2:$G$1576,'PvA Data'!$A$2:$A$1576,$A121,'PvA Data'!$E$2:$E$1576,$D121)</f>
        <v>60</v>
      </c>
      <c r="G121" s="36">
        <f t="shared" si="12"/>
        <v>2</v>
      </c>
      <c r="H121" s="20">
        <f>SUMIFS('PvA Data'!$G$2:$G$1576,'PvA Data'!$A$2:$A$1576,$A121,'PvA Data'!$E$2:$E$1576,$D121,'PvA Data'!$C$2:$C$1576,"Nahunta")</f>
        <v>19</v>
      </c>
      <c r="I121" s="20">
        <f>SUMIFS('PvA Data'!$G$2:$G$1576,'PvA Data'!$A$2:$A$1576,$A121,'PvA Data'!$E$2:$E$1576,$D121,'PvA Data'!$C$2:$C$1576,"Martin")</f>
        <v>0</v>
      </c>
      <c r="J121" s="20">
        <f>SUMIFS('PvA Data'!$G$2:$G$1576,'PvA Data'!$A$2:$A$1576,$A121,'PvA Data'!$E$2:$E$1576,$D121,'PvA Data'!$C$2:$C$1576,"Custom")</f>
        <v>41</v>
      </c>
      <c r="K121" s="36">
        <f t="shared" si="13"/>
        <v>0.31666666666666665</v>
      </c>
      <c r="L121" s="36">
        <f t="shared" si="14"/>
        <v>0</v>
      </c>
      <c r="M121" s="36">
        <f t="shared" si="15"/>
        <v>0.68333333333333335</v>
      </c>
    </row>
    <row r="122" spans="1:13" ht="15" customHeight="1" x14ac:dyDescent="0.75">
      <c r="A122" s="18" t="s">
        <v>68</v>
      </c>
      <c r="B122" s="19">
        <v>46048</v>
      </c>
      <c r="C122" s="17">
        <v>666506</v>
      </c>
      <c r="D122" s="18" t="s">
        <v>11</v>
      </c>
      <c r="E122" s="20">
        <f>SUMIFS('PvA Data'!$F$2:$F$1576,'PvA Data'!$A$2:$A$1576,$A122,'PvA Data'!$E$2:$E$1576,$D122)</f>
        <v>100</v>
      </c>
      <c r="F122" s="20">
        <f>SUMIFS('PvA Data'!$G$2:$G$1576,'PvA Data'!$A$2:$A$1576,$A122,'PvA Data'!$E$2:$E$1576,$D122)</f>
        <v>20</v>
      </c>
      <c r="G122" s="36">
        <f t="shared" si="12"/>
        <v>0.2</v>
      </c>
      <c r="H122" s="20">
        <f>SUMIFS('PvA Data'!$G$2:$G$1576,'PvA Data'!$A$2:$A$1576,$A122,'PvA Data'!$E$2:$E$1576,$D122,'PvA Data'!$C$2:$C$1576,"Nahunta")</f>
        <v>0</v>
      </c>
      <c r="I122" s="20">
        <f>SUMIFS('PvA Data'!$G$2:$G$1576,'PvA Data'!$A$2:$A$1576,$A122,'PvA Data'!$E$2:$E$1576,$D122,'PvA Data'!$C$2:$C$1576,"Martin")</f>
        <v>20</v>
      </c>
      <c r="J122" s="20">
        <f>SUMIFS('PvA Data'!$G$2:$G$1576,'PvA Data'!$A$2:$A$1576,$A122,'PvA Data'!$E$2:$E$1576,$D122,'PvA Data'!$C$2:$C$1576,"Custom")</f>
        <v>0</v>
      </c>
      <c r="K122" s="36">
        <f t="shared" si="13"/>
        <v>0</v>
      </c>
      <c r="L122" s="36">
        <f t="shared" si="14"/>
        <v>1</v>
      </c>
      <c r="M122" s="36">
        <f t="shared" si="15"/>
        <v>0</v>
      </c>
    </row>
    <row r="123" spans="1:13" ht="15" customHeight="1" x14ac:dyDescent="0.75">
      <c r="A123" s="18" t="s">
        <v>68</v>
      </c>
      <c r="B123" s="19">
        <v>46048</v>
      </c>
      <c r="C123" s="17">
        <v>666507</v>
      </c>
      <c r="D123" s="18" t="s">
        <v>13</v>
      </c>
      <c r="E123" s="20">
        <f>SUMIFS('PvA Data'!$F$2:$F$1576,'PvA Data'!$A$2:$A$1576,$A123,'PvA Data'!$E$2:$E$1576,$D123)</f>
        <v>25</v>
      </c>
      <c r="F123" s="20">
        <f>SUMIFS('PvA Data'!$G$2:$G$1576,'PvA Data'!$A$2:$A$1576,$A123,'PvA Data'!$E$2:$E$1576,$D123)</f>
        <v>5</v>
      </c>
      <c r="G123" s="36">
        <f t="shared" si="12"/>
        <v>0.2</v>
      </c>
      <c r="H123" s="20">
        <f>SUMIFS('PvA Data'!$G$2:$G$1576,'PvA Data'!$A$2:$A$1576,$A123,'PvA Data'!$E$2:$E$1576,$D123,'PvA Data'!$C$2:$C$1576,"Nahunta")</f>
        <v>5</v>
      </c>
      <c r="I123" s="20">
        <f>SUMIFS('PvA Data'!$G$2:$G$1576,'PvA Data'!$A$2:$A$1576,$A123,'PvA Data'!$E$2:$E$1576,$D123,'PvA Data'!$C$2:$C$1576,"Martin")</f>
        <v>0</v>
      </c>
      <c r="J123" s="20">
        <f>SUMIFS('PvA Data'!$G$2:$G$1576,'PvA Data'!$A$2:$A$1576,$A123,'PvA Data'!$E$2:$E$1576,$D123,'PvA Data'!$C$2:$C$1576,"Custom")</f>
        <v>0</v>
      </c>
      <c r="K123" s="36">
        <f t="shared" si="13"/>
        <v>1</v>
      </c>
      <c r="L123" s="36">
        <f t="shared" si="14"/>
        <v>0</v>
      </c>
      <c r="M123" s="36">
        <f t="shared" si="15"/>
        <v>0</v>
      </c>
    </row>
    <row r="124" spans="1:13" ht="15" customHeight="1" x14ac:dyDescent="0.75">
      <c r="A124" s="18" t="s">
        <v>68</v>
      </c>
      <c r="B124" s="19">
        <v>46048</v>
      </c>
      <c r="C124" s="17">
        <v>666509</v>
      </c>
      <c r="D124" s="18" t="s">
        <v>15</v>
      </c>
      <c r="E124" s="20">
        <f>SUMIFS('PvA Data'!$F$2:$F$1576,'PvA Data'!$A$2:$A$1576,$A124,'PvA Data'!$E$2:$E$1576,$D124)</f>
        <v>50</v>
      </c>
      <c r="F124" s="20">
        <f>SUMIFS('PvA Data'!$G$2:$G$1576,'PvA Data'!$A$2:$A$1576,$A124,'PvA Data'!$E$2:$E$1576,$D124)</f>
        <v>60</v>
      </c>
      <c r="G124" s="36">
        <f t="shared" si="12"/>
        <v>1.2</v>
      </c>
      <c r="H124" s="20">
        <f>SUMIFS('PvA Data'!$G$2:$G$1576,'PvA Data'!$A$2:$A$1576,$A124,'PvA Data'!$E$2:$E$1576,$D124,'PvA Data'!$C$2:$C$1576,"Nahunta")</f>
        <v>60</v>
      </c>
      <c r="I124" s="20">
        <f>SUMIFS('PvA Data'!$G$2:$G$1576,'PvA Data'!$A$2:$A$1576,$A124,'PvA Data'!$E$2:$E$1576,$D124,'PvA Data'!$C$2:$C$1576,"Martin")</f>
        <v>0</v>
      </c>
      <c r="J124" s="20">
        <f>SUMIFS('PvA Data'!$G$2:$G$1576,'PvA Data'!$A$2:$A$1576,$A124,'PvA Data'!$E$2:$E$1576,$D124,'PvA Data'!$C$2:$C$1576,"Custom")</f>
        <v>0</v>
      </c>
      <c r="K124" s="36">
        <f t="shared" si="13"/>
        <v>1</v>
      </c>
      <c r="L124" s="36">
        <f t="shared" si="14"/>
        <v>0</v>
      </c>
      <c r="M124" s="36">
        <f t="shared" si="15"/>
        <v>0</v>
      </c>
    </row>
    <row r="125" spans="1:13" ht="15" customHeight="1" x14ac:dyDescent="0.75">
      <c r="A125" s="18" t="s">
        <v>68</v>
      </c>
      <c r="B125" s="19">
        <v>46048</v>
      </c>
      <c r="C125" s="17">
        <v>666510</v>
      </c>
      <c r="D125" s="18" t="s">
        <v>17</v>
      </c>
      <c r="E125" s="20">
        <f>SUMIFS('PvA Data'!$F$2:$F$1576,'PvA Data'!$A$2:$A$1576,$A125,'PvA Data'!$E$2:$E$1576,$D125)</f>
        <v>0</v>
      </c>
      <c r="F125" s="20">
        <f>SUMIFS('PvA Data'!$G$2:$G$1576,'PvA Data'!$A$2:$A$1576,$A125,'PvA Data'!$E$2:$E$1576,$D125)</f>
        <v>0</v>
      </c>
      <c r="G125" s="36" t="str">
        <f t="shared" si="12"/>
        <v/>
      </c>
      <c r="H125" s="20">
        <f>SUMIFS('PvA Data'!$G$2:$G$1576,'PvA Data'!$A$2:$A$1576,$A125,'PvA Data'!$E$2:$E$1576,$D125,'PvA Data'!$C$2:$C$1576,"Nahunta")</f>
        <v>0</v>
      </c>
      <c r="I125" s="20">
        <f>SUMIFS('PvA Data'!$G$2:$G$1576,'PvA Data'!$A$2:$A$1576,$A125,'PvA Data'!$E$2:$E$1576,$D125,'PvA Data'!$C$2:$C$1576,"Martin")</f>
        <v>0</v>
      </c>
      <c r="J125" s="20">
        <f>SUMIFS('PvA Data'!$G$2:$G$1576,'PvA Data'!$A$2:$A$1576,$A125,'PvA Data'!$E$2:$E$1576,$D125,'PvA Data'!$C$2:$C$1576,"Custom")</f>
        <v>0</v>
      </c>
      <c r="K125" s="36" t="str">
        <f t="shared" si="13"/>
        <v/>
      </c>
      <c r="L125" s="36" t="str">
        <f t="shared" si="14"/>
        <v/>
      </c>
      <c r="M125" s="36" t="str">
        <f t="shared" si="15"/>
        <v/>
      </c>
    </row>
    <row r="126" spans="1:13" ht="15" customHeight="1" x14ac:dyDescent="0.75">
      <c r="A126" s="18" t="s">
        <v>68</v>
      </c>
      <c r="B126" s="19">
        <v>46048</v>
      </c>
      <c r="C126" s="17">
        <v>666511</v>
      </c>
      <c r="D126" s="18" t="s">
        <v>19</v>
      </c>
      <c r="E126" s="20">
        <f>SUMIFS('PvA Data'!$F$2:$F$1576,'PvA Data'!$A$2:$A$1576,$A126,'PvA Data'!$E$2:$E$1576,$D126)</f>
        <v>4</v>
      </c>
      <c r="F126" s="20">
        <f>SUMIFS('PvA Data'!$G$2:$G$1576,'PvA Data'!$A$2:$A$1576,$A126,'PvA Data'!$E$2:$E$1576,$D126)</f>
        <v>0</v>
      </c>
      <c r="G126" s="36">
        <f t="shared" si="12"/>
        <v>0</v>
      </c>
      <c r="H126" s="20">
        <f>SUMIFS('PvA Data'!$G$2:$G$1576,'PvA Data'!$A$2:$A$1576,$A126,'PvA Data'!$E$2:$E$1576,$D126,'PvA Data'!$C$2:$C$1576,"Nahunta")</f>
        <v>0</v>
      </c>
      <c r="I126" s="20">
        <f>SUMIFS('PvA Data'!$G$2:$G$1576,'PvA Data'!$A$2:$A$1576,$A126,'PvA Data'!$E$2:$E$1576,$D126,'PvA Data'!$C$2:$C$1576,"Martin")</f>
        <v>0</v>
      </c>
      <c r="J126" s="20">
        <f>SUMIFS('PvA Data'!$G$2:$G$1576,'PvA Data'!$A$2:$A$1576,$A126,'PvA Data'!$E$2:$E$1576,$D126,'PvA Data'!$C$2:$C$1576,"Custom")</f>
        <v>0</v>
      </c>
      <c r="K126" s="36" t="str">
        <f t="shared" si="13"/>
        <v/>
      </c>
      <c r="L126" s="36" t="str">
        <f t="shared" si="14"/>
        <v/>
      </c>
      <c r="M126" s="36" t="str">
        <f t="shared" si="15"/>
        <v/>
      </c>
    </row>
    <row r="127" spans="1:13" ht="15" customHeight="1" x14ac:dyDescent="0.75">
      <c r="A127" s="18" t="s">
        <v>68</v>
      </c>
      <c r="B127" s="19">
        <v>46048</v>
      </c>
      <c r="C127" s="17">
        <v>666513</v>
      </c>
      <c r="D127" s="18" t="s">
        <v>21</v>
      </c>
      <c r="E127" s="20">
        <f>SUMIFS('PvA Data'!$F$2:$F$1576,'PvA Data'!$A$2:$A$1576,$A127,'PvA Data'!$E$2:$E$1576,$D127)</f>
        <v>0</v>
      </c>
      <c r="F127" s="20">
        <f>SUMIFS('PvA Data'!$G$2:$G$1576,'PvA Data'!$A$2:$A$1576,$A127,'PvA Data'!$E$2:$E$1576,$D127)</f>
        <v>0</v>
      </c>
      <c r="G127" s="36" t="str">
        <f t="shared" si="12"/>
        <v/>
      </c>
      <c r="H127" s="20">
        <f>SUMIFS('PvA Data'!$G$2:$G$1576,'PvA Data'!$A$2:$A$1576,$A127,'PvA Data'!$E$2:$E$1576,$D127,'PvA Data'!$C$2:$C$1576,"Nahunta")</f>
        <v>0</v>
      </c>
      <c r="I127" s="20">
        <f>SUMIFS('PvA Data'!$G$2:$G$1576,'PvA Data'!$A$2:$A$1576,$A127,'PvA Data'!$E$2:$E$1576,$D127,'PvA Data'!$C$2:$C$1576,"Martin")</f>
        <v>0</v>
      </c>
      <c r="J127" s="20">
        <f>SUMIFS('PvA Data'!$G$2:$G$1576,'PvA Data'!$A$2:$A$1576,$A127,'PvA Data'!$E$2:$E$1576,$D127,'PvA Data'!$C$2:$C$1576,"Custom")</f>
        <v>0</v>
      </c>
      <c r="K127" s="36" t="str">
        <f t="shared" si="13"/>
        <v/>
      </c>
      <c r="L127" s="36" t="str">
        <f t="shared" si="14"/>
        <v/>
      </c>
      <c r="M127" s="36" t="str">
        <f t="shared" si="15"/>
        <v/>
      </c>
    </row>
    <row r="128" spans="1:13" ht="15" customHeight="1" x14ac:dyDescent="0.75">
      <c r="A128" s="18" t="s">
        <v>68</v>
      </c>
      <c r="B128" s="19">
        <v>46048</v>
      </c>
      <c r="C128" s="17">
        <v>666516</v>
      </c>
      <c r="D128" s="18" t="s">
        <v>23</v>
      </c>
      <c r="E128" s="20">
        <f>SUMIFS('PvA Data'!$F$2:$F$1576,'PvA Data'!$A$2:$A$1576,$A128,'PvA Data'!$E$2:$E$1576,$D128)</f>
        <v>20</v>
      </c>
      <c r="F128" s="20">
        <f>SUMIFS('PvA Data'!$G$2:$G$1576,'PvA Data'!$A$2:$A$1576,$A128,'PvA Data'!$E$2:$E$1576,$D128)</f>
        <v>40</v>
      </c>
      <c r="G128" s="36">
        <f t="shared" si="12"/>
        <v>2</v>
      </c>
      <c r="H128" s="20">
        <f>SUMIFS('PvA Data'!$G$2:$G$1576,'PvA Data'!$A$2:$A$1576,$A128,'PvA Data'!$E$2:$E$1576,$D128,'PvA Data'!$C$2:$C$1576,"Nahunta")</f>
        <v>20</v>
      </c>
      <c r="I128" s="20">
        <f>SUMIFS('PvA Data'!$G$2:$G$1576,'PvA Data'!$A$2:$A$1576,$A128,'PvA Data'!$E$2:$E$1576,$D128,'PvA Data'!$C$2:$C$1576,"Martin")</f>
        <v>0</v>
      </c>
      <c r="J128" s="20">
        <f>SUMIFS('PvA Data'!$G$2:$G$1576,'PvA Data'!$A$2:$A$1576,$A128,'PvA Data'!$E$2:$E$1576,$D128,'PvA Data'!$C$2:$C$1576,"Custom")</f>
        <v>20</v>
      </c>
      <c r="K128" s="36">
        <f t="shared" si="13"/>
        <v>0.5</v>
      </c>
      <c r="L128" s="36">
        <f t="shared" si="14"/>
        <v>0</v>
      </c>
      <c r="M128" s="36">
        <f t="shared" si="15"/>
        <v>0.5</v>
      </c>
    </row>
    <row r="129" spans="1:13" ht="15" customHeight="1" x14ac:dyDescent="0.75">
      <c r="A129" s="18" t="s">
        <v>68</v>
      </c>
      <c r="B129" s="19">
        <v>46048</v>
      </c>
      <c r="C129" s="17">
        <v>666517</v>
      </c>
      <c r="D129" s="18" t="s">
        <v>25</v>
      </c>
      <c r="E129" s="20">
        <f>SUMIFS('PvA Data'!$F$2:$F$1576,'PvA Data'!$A$2:$A$1576,$A129,'PvA Data'!$E$2:$E$1576,$D129)</f>
        <v>24</v>
      </c>
      <c r="F129" s="20">
        <f>SUMIFS('PvA Data'!$G$2:$G$1576,'PvA Data'!$A$2:$A$1576,$A129,'PvA Data'!$E$2:$E$1576,$D129)</f>
        <v>48</v>
      </c>
      <c r="G129" s="36">
        <f t="shared" si="12"/>
        <v>2</v>
      </c>
      <c r="H129" s="20">
        <f>SUMIFS('PvA Data'!$G$2:$G$1576,'PvA Data'!$A$2:$A$1576,$A129,'PvA Data'!$E$2:$E$1576,$D129,'PvA Data'!$C$2:$C$1576,"Nahunta")</f>
        <v>33</v>
      </c>
      <c r="I129" s="20">
        <f>SUMIFS('PvA Data'!$G$2:$G$1576,'PvA Data'!$A$2:$A$1576,$A129,'PvA Data'!$E$2:$E$1576,$D129,'PvA Data'!$C$2:$C$1576,"Martin")</f>
        <v>0</v>
      </c>
      <c r="J129" s="20">
        <f>SUMIFS('PvA Data'!$G$2:$G$1576,'PvA Data'!$A$2:$A$1576,$A129,'PvA Data'!$E$2:$E$1576,$D129,'PvA Data'!$C$2:$C$1576,"Custom")</f>
        <v>15</v>
      </c>
      <c r="K129" s="36">
        <f t="shared" si="13"/>
        <v>0.6875</v>
      </c>
      <c r="L129" s="36">
        <f t="shared" si="14"/>
        <v>0</v>
      </c>
      <c r="M129" s="36">
        <f t="shared" si="15"/>
        <v>0.3125</v>
      </c>
    </row>
    <row r="130" spans="1:13" ht="15" customHeight="1" x14ac:dyDescent="0.75">
      <c r="A130" s="18" t="s">
        <v>68</v>
      </c>
      <c r="B130" s="19">
        <v>46048</v>
      </c>
      <c r="C130" s="17">
        <v>666518</v>
      </c>
      <c r="D130" s="18" t="s">
        <v>27</v>
      </c>
      <c r="E130" s="20">
        <f>SUMIFS('PvA Data'!$F$2:$F$1576,'PvA Data'!$A$2:$A$1576,$A130,'PvA Data'!$E$2:$E$1576,$D130)</f>
        <v>0</v>
      </c>
      <c r="F130" s="20">
        <f>SUMIFS('PvA Data'!$G$2:$G$1576,'PvA Data'!$A$2:$A$1576,$A130,'PvA Data'!$E$2:$E$1576,$D130)</f>
        <v>0</v>
      </c>
      <c r="G130" s="36" t="str">
        <f t="shared" si="12"/>
        <v/>
      </c>
      <c r="H130" s="20">
        <f>SUMIFS('PvA Data'!$G$2:$G$1576,'PvA Data'!$A$2:$A$1576,$A130,'PvA Data'!$E$2:$E$1576,$D130,'PvA Data'!$C$2:$C$1576,"Nahunta")</f>
        <v>0</v>
      </c>
      <c r="I130" s="20">
        <f>SUMIFS('PvA Data'!$G$2:$G$1576,'PvA Data'!$A$2:$A$1576,$A130,'PvA Data'!$E$2:$E$1576,$D130,'PvA Data'!$C$2:$C$1576,"Martin")</f>
        <v>0</v>
      </c>
      <c r="J130" s="20">
        <f>SUMIFS('PvA Data'!$G$2:$G$1576,'PvA Data'!$A$2:$A$1576,$A130,'PvA Data'!$E$2:$E$1576,$D130,'PvA Data'!$C$2:$C$1576,"Custom")</f>
        <v>0</v>
      </c>
      <c r="K130" s="36" t="str">
        <f t="shared" si="13"/>
        <v/>
      </c>
      <c r="L130" s="36" t="str">
        <f t="shared" si="14"/>
        <v/>
      </c>
      <c r="M130" s="36" t="str">
        <f t="shared" si="15"/>
        <v/>
      </c>
    </row>
    <row r="131" spans="1:13" ht="15" customHeight="1" x14ac:dyDescent="0.75">
      <c r="A131" s="18" t="s">
        <v>68</v>
      </c>
      <c r="B131" s="19">
        <v>46048</v>
      </c>
      <c r="C131" s="17">
        <v>666519</v>
      </c>
      <c r="D131" s="18" t="s">
        <v>29</v>
      </c>
      <c r="E131" s="20">
        <f>SUMIFS('PvA Data'!$F$2:$F$1576,'PvA Data'!$A$2:$A$1576,$A131,'PvA Data'!$E$2:$E$1576,$D131)</f>
        <v>30</v>
      </c>
      <c r="F131" s="20">
        <f>SUMIFS('PvA Data'!$G$2:$G$1576,'PvA Data'!$A$2:$A$1576,$A131,'PvA Data'!$E$2:$E$1576,$D131)</f>
        <v>60</v>
      </c>
      <c r="G131" s="36">
        <f t="shared" si="12"/>
        <v>2</v>
      </c>
      <c r="H131" s="20">
        <f>SUMIFS('PvA Data'!$G$2:$G$1576,'PvA Data'!$A$2:$A$1576,$A131,'PvA Data'!$E$2:$E$1576,$D131,'PvA Data'!$C$2:$C$1576,"Nahunta")</f>
        <v>30</v>
      </c>
      <c r="I131" s="20">
        <f>SUMIFS('PvA Data'!$G$2:$G$1576,'PvA Data'!$A$2:$A$1576,$A131,'PvA Data'!$E$2:$E$1576,$D131,'PvA Data'!$C$2:$C$1576,"Martin")</f>
        <v>0</v>
      </c>
      <c r="J131" s="20">
        <f>SUMIFS('PvA Data'!$G$2:$G$1576,'PvA Data'!$A$2:$A$1576,$A131,'PvA Data'!$E$2:$E$1576,$D131,'PvA Data'!$C$2:$C$1576,"Custom")</f>
        <v>30</v>
      </c>
      <c r="K131" s="36">
        <f t="shared" si="13"/>
        <v>0.5</v>
      </c>
      <c r="L131" s="36">
        <f t="shared" si="14"/>
        <v>0</v>
      </c>
      <c r="M131" s="36">
        <f t="shared" si="15"/>
        <v>0.5</v>
      </c>
    </row>
    <row r="132" spans="1:13" ht="15" customHeight="1" x14ac:dyDescent="0.75">
      <c r="A132" s="18" t="s">
        <v>68</v>
      </c>
      <c r="B132" s="19">
        <v>46048</v>
      </c>
      <c r="C132" s="17">
        <v>666521</v>
      </c>
      <c r="D132" s="18" t="s">
        <v>31</v>
      </c>
      <c r="E132" s="20">
        <f>SUMIFS('PvA Data'!$F$2:$F$1576,'PvA Data'!$A$2:$A$1576,$A132,'PvA Data'!$E$2:$E$1576,$D132)</f>
        <v>0</v>
      </c>
      <c r="F132" s="20">
        <f>SUMIFS('PvA Data'!$G$2:$G$1576,'PvA Data'!$A$2:$A$1576,$A132,'PvA Data'!$E$2:$E$1576,$D132)</f>
        <v>0</v>
      </c>
      <c r="G132" s="36" t="str">
        <f t="shared" si="12"/>
        <v/>
      </c>
      <c r="H132" s="20">
        <f>SUMIFS('PvA Data'!$G$2:$G$1576,'PvA Data'!$A$2:$A$1576,$A132,'PvA Data'!$E$2:$E$1576,$D132,'PvA Data'!$C$2:$C$1576,"Nahunta")</f>
        <v>0</v>
      </c>
      <c r="I132" s="20">
        <f>SUMIFS('PvA Data'!$G$2:$G$1576,'PvA Data'!$A$2:$A$1576,$A132,'PvA Data'!$E$2:$E$1576,$D132,'PvA Data'!$C$2:$C$1576,"Martin")</f>
        <v>0</v>
      </c>
      <c r="J132" s="20">
        <f>SUMIFS('PvA Data'!$G$2:$G$1576,'PvA Data'!$A$2:$A$1576,$A132,'PvA Data'!$E$2:$E$1576,$D132,'PvA Data'!$C$2:$C$1576,"Custom")</f>
        <v>0</v>
      </c>
      <c r="K132" s="36" t="str">
        <f t="shared" si="13"/>
        <v/>
      </c>
      <c r="L132" s="36" t="str">
        <f t="shared" si="14"/>
        <v/>
      </c>
      <c r="M132" s="36" t="str">
        <f t="shared" si="15"/>
        <v/>
      </c>
    </row>
    <row r="133" spans="1:13" ht="15" customHeight="1" x14ac:dyDescent="0.75">
      <c r="A133" s="18" t="s">
        <v>68</v>
      </c>
      <c r="B133" s="19">
        <v>46048</v>
      </c>
      <c r="C133" s="17">
        <v>666522</v>
      </c>
      <c r="D133" s="18" t="s">
        <v>33</v>
      </c>
      <c r="E133" s="20">
        <f>SUMIFS('PvA Data'!$F$2:$F$1576,'PvA Data'!$A$2:$A$1576,$A133,'PvA Data'!$E$2:$E$1576,$D133)</f>
        <v>195</v>
      </c>
      <c r="F133" s="20">
        <f>SUMIFS('PvA Data'!$G$2:$G$1576,'PvA Data'!$A$2:$A$1576,$A133,'PvA Data'!$E$2:$E$1576,$D133)</f>
        <v>365</v>
      </c>
      <c r="G133" s="36">
        <f t="shared" si="12"/>
        <v>1.8717948717948718</v>
      </c>
      <c r="H133" s="20">
        <f>SUMIFS('PvA Data'!$G$2:$G$1576,'PvA Data'!$A$2:$A$1576,$A133,'PvA Data'!$E$2:$E$1576,$D133,'PvA Data'!$C$2:$C$1576,"Nahunta")</f>
        <v>75</v>
      </c>
      <c r="I133" s="20">
        <f>SUMIFS('PvA Data'!$G$2:$G$1576,'PvA Data'!$A$2:$A$1576,$A133,'PvA Data'!$E$2:$E$1576,$D133,'PvA Data'!$C$2:$C$1576,"Martin")</f>
        <v>205</v>
      </c>
      <c r="J133" s="20">
        <f>SUMIFS('PvA Data'!$G$2:$G$1576,'PvA Data'!$A$2:$A$1576,$A133,'PvA Data'!$E$2:$E$1576,$D133,'PvA Data'!$C$2:$C$1576,"Custom")</f>
        <v>85</v>
      </c>
      <c r="K133" s="36">
        <f t="shared" si="13"/>
        <v>0.20547945205479451</v>
      </c>
      <c r="L133" s="36">
        <f t="shared" si="14"/>
        <v>0.56164383561643838</v>
      </c>
      <c r="M133" s="36">
        <f t="shared" si="15"/>
        <v>0.23287671232876711</v>
      </c>
    </row>
    <row r="134" spans="1:13" ht="15" customHeight="1" x14ac:dyDescent="0.75">
      <c r="A134" s="18" t="s">
        <v>68</v>
      </c>
      <c r="B134" s="19">
        <v>46048</v>
      </c>
      <c r="C134" s="17">
        <v>666523</v>
      </c>
      <c r="D134" s="18" t="s">
        <v>35</v>
      </c>
      <c r="E134" s="20">
        <f>SUMIFS('PvA Data'!$F$2:$F$1576,'PvA Data'!$A$2:$A$1576,$A134,'PvA Data'!$E$2:$E$1576,$D134)</f>
        <v>29.5</v>
      </c>
      <c r="F134" s="20">
        <f>SUMIFS('PvA Data'!$G$2:$G$1576,'PvA Data'!$A$2:$A$1576,$A134,'PvA Data'!$E$2:$E$1576,$D134)</f>
        <v>59</v>
      </c>
      <c r="G134" s="36">
        <f t="shared" si="12"/>
        <v>2</v>
      </c>
      <c r="H134" s="20">
        <f>SUMIFS('PvA Data'!$G$2:$G$1576,'PvA Data'!$A$2:$A$1576,$A134,'PvA Data'!$E$2:$E$1576,$D134,'PvA Data'!$C$2:$C$1576,"Nahunta")</f>
        <v>0</v>
      </c>
      <c r="I134" s="20">
        <f>SUMIFS('PvA Data'!$G$2:$G$1576,'PvA Data'!$A$2:$A$1576,$A134,'PvA Data'!$E$2:$E$1576,$D134,'PvA Data'!$C$2:$C$1576,"Martin")</f>
        <v>47</v>
      </c>
      <c r="J134" s="20">
        <f>SUMIFS('PvA Data'!$G$2:$G$1576,'PvA Data'!$A$2:$A$1576,$A134,'PvA Data'!$E$2:$E$1576,$D134,'PvA Data'!$C$2:$C$1576,"Custom")</f>
        <v>12</v>
      </c>
      <c r="K134" s="36">
        <f t="shared" si="13"/>
        <v>0</v>
      </c>
      <c r="L134" s="36">
        <f t="shared" si="14"/>
        <v>0.79661016949152541</v>
      </c>
      <c r="M134" s="36">
        <f t="shared" si="15"/>
        <v>0.20338983050847459</v>
      </c>
    </row>
    <row r="135" spans="1:13" ht="15" customHeight="1" x14ac:dyDescent="0.75">
      <c r="A135" s="18" t="s">
        <v>68</v>
      </c>
      <c r="B135" s="19">
        <v>46048</v>
      </c>
      <c r="C135" s="17">
        <v>666530</v>
      </c>
      <c r="D135" s="18" t="s">
        <v>37</v>
      </c>
      <c r="E135" s="20">
        <f>SUMIFS('PvA Data'!$F$2:$F$1576,'PvA Data'!$A$2:$A$1576,$A135,'PvA Data'!$E$2:$E$1576,$D135)</f>
        <v>10</v>
      </c>
      <c r="F135" s="20">
        <f>SUMIFS('PvA Data'!$G$2:$G$1576,'PvA Data'!$A$2:$A$1576,$A135,'PvA Data'!$E$2:$E$1576,$D135)</f>
        <v>17</v>
      </c>
      <c r="G135" s="36">
        <f t="shared" si="12"/>
        <v>1.7</v>
      </c>
      <c r="H135" s="20">
        <f>SUMIFS('PvA Data'!$G$2:$G$1576,'PvA Data'!$A$2:$A$1576,$A135,'PvA Data'!$E$2:$E$1576,$D135,'PvA Data'!$C$2:$C$1576,"Nahunta")</f>
        <v>2</v>
      </c>
      <c r="I135" s="20">
        <f>SUMIFS('PvA Data'!$G$2:$G$1576,'PvA Data'!$A$2:$A$1576,$A135,'PvA Data'!$E$2:$E$1576,$D135,'PvA Data'!$C$2:$C$1576,"Martin")</f>
        <v>0</v>
      </c>
      <c r="J135" s="20">
        <f>SUMIFS('PvA Data'!$G$2:$G$1576,'PvA Data'!$A$2:$A$1576,$A135,'PvA Data'!$E$2:$E$1576,$D135,'PvA Data'!$C$2:$C$1576,"Custom")</f>
        <v>15</v>
      </c>
      <c r="K135" s="36">
        <f t="shared" si="13"/>
        <v>0.11764705882352941</v>
      </c>
      <c r="L135" s="36">
        <f t="shared" si="14"/>
        <v>0</v>
      </c>
      <c r="M135" s="36">
        <f t="shared" si="15"/>
        <v>0.88235294117647056</v>
      </c>
    </row>
    <row r="136" spans="1:13" ht="15" customHeight="1" x14ac:dyDescent="0.75">
      <c r="A136" s="18" t="s">
        <v>68</v>
      </c>
      <c r="B136" s="19">
        <v>46048</v>
      </c>
      <c r="C136" s="17">
        <v>666531</v>
      </c>
      <c r="D136" s="18" t="s">
        <v>39</v>
      </c>
      <c r="E136" s="20">
        <f>SUMIFS('PvA Data'!$F$2:$F$1576,'PvA Data'!$A$2:$A$1576,$A136,'PvA Data'!$E$2:$E$1576,$D136)</f>
        <v>13</v>
      </c>
      <c r="F136" s="20">
        <f>SUMIFS('PvA Data'!$G$2:$G$1576,'PvA Data'!$A$2:$A$1576,$A136,'PvA Data'!$E$2:$E$1576,$D136)</f>
        <v>26</v>
      </c>
      <c r="G136" s="36">
        <f t="shared" si="12"/>
        <v>2</v>
      </c>
      <c r="H136" s="20">
        <f>SUMIFS('PvA Data'!$G$2:$G$1576,'PvA Data'!$A$2:$A$1576,$A136,'PvA Data'!$E$2:$E$1576,$D136,'PvA Data'!$C$2:$C$1576,"Nahunta")</f>
        <v>18</v>
      </c>
      <c r="I136" s="20">
        <f>SUMIFS('PvA Data'!$G$2:$G$1576,'PvA Data'!$A$2:$A$1576,$A136,'PvA Data'!$E$2:$E$1576,$D136,'PvA Data'!$C$2:$C$1576,"Martin")</f>
        <v>0</v>
      </c>
      <c r="J136" s="20">
        <f>SUMIFS('PvA Data'!$G$2:$G$1576,'PvA Data'!$A$2:$A$1576,$A136,'PvA Data'!$E$2:$E$1576,$D136,'PvA Data'!$C$2:$C$1576,"Custom")</f>
        <v>8</v>
      </c>
      <c r="K136" s="36">
        <f t="shared" si="13"/>
        <v>0.69230769230769229</v>
      </c>
      <c r="L136" s="36">
        <f t="shared" si="14"/>
        <v>0</v>
      </c>
      <c r="M136" s="36">
        <f t="shared" si="15"/>
        <v>0.30769230769230771</v>
      </c>
    </row>
    <row r="137" spans="1:13" ht="15" customHeight="1" x14ac:dyDescent="0.75">
      <c r="A137" s="18" t="s">
        <v>68</v>
      </c>
      <c r="B137" s="19">
        <v>46048</v>
      </c>
      <c r="C137" s="17">
        <v>666540</v>
      </c>
      <c r="D137" s="18" t="s">
        <v>40</v>
      </c>
      <c r="E137" s="20">
        <f>SUMIFS('PvA Data'!$F$2:$F$1576,'PvA Data'!$A$2:$A$1576,$A137,'PvA Data'!$E$2:$E$1576,$D137)</f>
        <v>120</v>
      </c>
      <c r="F137" s="20">
        <f>SUMIFS('PvA Data'!$G$2:$G$1576,'PvA Data'!$A$2:$A$1576,$A137,'PvA Data'!$E$2:$E$1576,$D137)</f>
        <v>31</v>
      </c>
      <c r="G137" s="36">
        <f t="shared" si="12"/>
        <v>0.25833333333333336</v>
      </c>
      <c r="H137" s="20">
        <f>SUMIFS('PvA Data'!$G$2:$G$1576,'PvA Data'!$A$2:$A$1576,$A137,'PvA Data'!$E$2:$E$1576,$D137,'PvA Data'!$C$2:$C$1576,"Nahunta")</f>
        <v>0</v>
      </c>
      <c r="I137" s="20">
        <f>SUMIFS('PvA Data'!$G$2:$G$1576,'PvA Data'!$A$2:$A$1576,$A137,'PvA Data'!$E$2:$E$1576,$D137,'PvA Data'!$C$2:$C$1576,"Martin")</f>
        <v>31</v>
      </c>
      <c r="J137" s="20">
        <f>SUMIFS('PvA Data'!$G$2:$G$1576,'PvA Data'!$A$2:$A$1576,$A137,'PvA Data'!$E$2:$E$1576,$D137,'PvA Data'!$C$2:$C$1576,"Custom")</f>
        <v>0</v>
      </c>
      <c r="K137" s="36">
        <f t="shared" si="13"/>
        <v>0</v>
      </c>
      <c r="L137" s="36">
        <f t="shared" si="14"/>
        <v>1</v>
      </c>
      <c r="M137" s="36">
        <f t="shared" si="15"/>
        <v>0</v>
      </c>
    </row>
    <row r="138" spans="1:13" ht="15" customHeight="1" x14ac:dyDescent="0.75">
      <c r="A138" s="18" t="s">
        <v>68</v>
      </c>
      <c r="B138" s="19">
        <v>46048</v>
      </c>
      <c r="C138" s="17">
        <v>666541</v>
      </c>
      <c r="D138" s="18" t="s">
        <v>41</v>
      </c>
      <c r="E138" s="20">
        <f>SUMIFS('PvA Data'!$F$2:$F$1576,'PvA Data'!$A$2:$A$1576,$A138,'PvA Data'!$E$2:$E$1576,$D138)</f>
        <v>120</v>
      </c>
      <c r="F138" s="20">
        <f>SUMIFS('PvA Data'!$G$2:$G$1576,'PvA Data'!$A$2:$A$1576,$A138,'PvA Data'!$E$2:$E$1576,$D138)</f>
        <v>156</v>
      </c>
      <c r="G138" s="36">
        <f t="shared" si="12"/>
        <v>1.3</v>
      </c>
      <c r="H138" s="20">
        <f>SUMIFS('PvA Data'!$G$2:$G$1576,'PvA Data'!$A$2:$A$1576,$A138,'PvA Data'!$E$2:$E$1576,$D138,'PvA Data'!$C$2:$C$1576,"Nahunta")</f>
        <v>0</v>
      </c>
      <c r="I138" s="20">
        <f>SUMIFS('PvA Data'!$G$2:$G$1576,'PvA Data'!$A$2:$A$1576,$A138,'PvA Data'!$E$2:$E$1576,$D138,'PvA Data'!$C$2:$C$1576,"Martin")</f>
        <v>156</v>
      </c>
      <c r="J138" s="20">
        <f>SUMIFS('PvA Data'!$G$2:$G$1576,'PvA Data'!$A$2:$A$1576,$A138,'PvA Data'!$E$2:$E$1576,$D138,'PvA Data'!$C$2:$C$1576,"Custom")</f>
        <v>0</v>
      </c>
      <c r="K138" s="36">
        <f t="shared" si="13"/>
        <v>0</v>
      </c>
      <c r="L138" s="36">
        <f t="shared" si="14"/>
        <v>1</v>
      </c>
      <c r="M138" s="36">
        <f t="shared" si="15"/>
        <v>0</v>
      </c>
    </row>
    <row r="139" spans="1:13" ht="15" customHeight="1" x14ac:dyDescent="0.75">
      <c r="A139" s="18" t="s">
        <v>68</v>
      </c>
      <c r="B139" s="19">
        <v>46048</v>
      </c>
      <c r="C139" s="17">
        <v>666536</v>
      </c>
      <c r="D139" s="18" t="s">
        <v>43</v>
      </c>
      <c r="E139" s="20">
        <f>SUMIFS('PvA Data'!$F$2:$F$1576,'PvA Data'!$A$2:$A$1576,$A139,'PvA Data'!$E$2:$E$1576,$D139)</f>
        <v>0</v>
      </c>
      <c r="F139" s="20">
        <f>SUMIFS('PvA Data'!$G$2:$G$1576,'PvA Data'!$A$2:$A$1576,$A139,'PvA Data'!$E$2:$E$1576,$D139)</f>
        <v>0</v>
      </c>
      <c r="G139" s="36" t="str">
        <f t="shared" si="12"/>
        <v/>
      </c>
      <c r="H139" s="20">
        <f>SUMIFS('PvA Data'!$G$2:$G$1576,'PvA Data'!$A$2:$A$1576,$A139,'PvA Data'!$E$2:$E$1576,$D139,'PvA Data'!$C$2:$C$1576,"Nahunta")</f>
        <v>0</v>
      </c>
      <c r="I139" s="20">
        <f>SUMIFS('PvA Data'!$G$2:$G$1576,'PvA Data'!$A$2:$A$1576,$A139,'PvA Data'!$E$2:$E$1576,$D139,'PvA Data'!$C$2:$C$1576,"Martin")</f>
        <v>0</v>
      </c>
      <c r="J139" s="20">
        <f>SUMIFS('PvA Data'!$G$2:$G$1576,'PvA Data'!$A$2:$A$1576,$A139,'PvA Data'!$E$2:$E$1576,$D139,'PvA Data'!$C$2:$C$1576,"Custom")</f>
        <v>0</v>
      </c>
      <c r="K139" s="36" t="str">
        <f t="shared" si="13"/>
        <v/>
      </c>
      <c r="L139" s="36" t="str">
        <f t="shared" si="14"/>
        <v/>
      </c>
      <c r="M139" s="36" t="str">
        <f t="shared" si="15"/>
        <v/>
      </c>
    </row>
    <row r="140" spans="1:13" ht="15" customHeight="1" x14ac:dyDescent="0.75">
      <c r="A140" s="18" t="s">
        <v>69</v>
      </c>
      <c r="B140" s="19">
        <v>46055</v>
      </c>
      <c r="C140" s="17">
        <v>666501</v>
      </c>
      <c r="D140" s="18" t="s">
        <v>5</v>
      </c>
      <c r="E140" s="20">
        <f>SUMIFS('PvA Data'!$F$2:$F$1576,'PvA Data'!$A$2:$A$1576,$A140,'PvA Data'!$E$2:$E$1576,$D140)</f>
        <v>0</v>
      </c>
      <c r="F140" s="20">
        <f>SUMIFS('PvA Data'!$G$2:$G$1576,'PvA Data'!$A$2:$A$1576,$A140,'PvA Data'!$E$2:$E$1576,$D140)</f>
        <v>0</v>
      </c>
      <c r="G140" s="36" t="str">
        <f t="shared" si="12"/>
        <v/>
      </c>
      <c r="H140" s="20">
        <f>SUMIFS('PvA Data'!$G$2:$G$1576,'PvA Data'!$A$2:$A$1576,$A140,'PvA Data'!$E$2:$E$1576,$D140,'PvA Data'!$C$2:$C$1576,"Nahunta")</f>
        <v>0</v>
      </c>
      <c r="I140" s="20">
        <f>SUMIFS('PvA Data'!$G$2:$G$1576,'PvA Data'!$A$2:$A$1576,$A140,'PvA Data'!$E$2:$E$1576,$D140,'PvA Data'!$C$2:$C$1576,"Martin")</f>
        <v>0</v>
      </c>
      <c r="J140" s="20">
        <f>SUMIFS('PvA Data'!$G$2:$G$1576,'PvA Data'!$A$2:$A$1576,$A140,'PvA Data'!$E$2:$E$1576,$D140,'PvA Data'!$C$2:$C$1576,"Custom")</f>
        <v>0</v>
      </c>
      <c r="K140" s="36" t="str">
        <f t="shared" si="13"/>
        <v/>
      </c>
      <c r="L140" s="36" t="str">
        <f t="shared" si="14"/>
        <v/>
      </c>
      <c r="M140" s="36" t="str">
        <f t="shared" si="15"/>
        <v/>
      </c>
    </row>
    <row r="141" spans="1:13" ht="15" customHeight="1" x14ac:dyDescent="0.75">
      <c r="A141" s="18" t="s">
        <v>69</v>
      </c>
      <c r="B141" s="19">
        <v>46055</v>
      </c>
      <c r="C141" s="17">
        <v>666502</v>
      </c>
      <c r="D141" s="18" t="s">
        <v>7</v>
      </c>
      <c r="E141" s="20">
        <f>SUMIFS('PvA Data'!$F$2:$F$1576,'PvA Data'!$A$2:$A$1576,$A141,'PvA Data'!$E$2:$E$1576,$D141)</f>
        <v>173.5</v>
      </c>
      <c r="F141" s="20">
        <f>SUMIFS('PvA Data'!$G$2:$G$1576,'PvA Data'!$A$2:$A$1576,$A141,'PvA Data'!$E$2:$E$1576,$D141)</f>
        <v>164</v>
      </c>
      <c r="G141" s="36">
        <f t="shared" si="12"/>
        <v>0.94524495677233433</v>
      </c>
      <c r="H141" s="20">
        <f>SUMIFS('PvA Data'!$G$2:$G$1576,'PvA Data'!$A$2:$A$1576,$A141,'PvA Data'!$E$2:$E$1576,$D141,'PvA Data'!$C$2:$C$1576,"Nahunta")</f>
        <v>0</v>
      </c>
      <c r="I141" s="20">
        <f>SUMIFS('PvA Data'!$G$2:$G$1576,'PvA Data'!$A$2:$A$1576,$A141,'PvA Data'!$E$2:$E$1576,$D141,'PvA Data'!$C$2:$C$1576,"Martin")</f>
        <v>142</v>
      </c>
      <c r="J141" s="20">
        <f>SUMIFS('PvA Data'!$G$2:$G$1576,'PvA Data'!$A$2:$A$1576,$A141,'PvA Data'!$E$2:$E$1576,$D141,'PvA Data'!$C$2:$C$1576,"Custom")</f>
        <v>22</v>
      </c>
      <c r="K141" s="36">
        <f t="shared" si="13"/>
        <v>0</v>
      </c>
      <c r="L141" s="36">
        <f t="shared" si="14"/>
        <v>0.86585365853658536</v>
      </c>
      <c r="M141" s="36">
        <f t="shared" si="15"/>
        <v>0.13414634146341464</v>
      </c>
    </row>
    <row r="142" spans="1:13" ht="15" customHeight="1" x14ac:dyDescent="0.75">
      <c r="A142" s="18" t="s">
        <v>69</v>
      </c>
      <c r="B142" s="19">
        <v>46055</v>
      </c>
      <c r="C142" s="17">
        <v>666505</v>
      </c>
      <c r="D142" s="18" t="s">
        <v>9</v>
      </c>
      <c r="E142" s="20">
        <f>SUMIFS('PvA Data'!$F$2:$F$1576,'PvA Data'!$A$2:$A$1576,$A142,'PvA Data'!$E$2:$E$1576,$D142)</f>
        <v>30</v>
      </c>
      <c r="F142" s="20">
        <f>SUMIFS('PvA Data'!$G$2:$G$1576,'PvA Data'!$A$2:$A$1576,$A142,'PvA Data'!$E$2:$E$1576,$D142)</f>
        <v>0</v>
      </c>
      <c r="G142" s="36">
        <f t="shared" si="12"/>
        <v>0</v>
      </c>
      <c r="H142" s="20">
        <f>SUMIFS('PvA Data'!$G$2:$G$1576,'PvA Data'!$A$2:$A$1576,$A142,'PvA Data'!$E$2:$E$1576,$D142,'PvA Data'!$C$2:$C$1576,"Nahunta")</f>
        <v>0</v>
      </c>
      <c r="I142" s="20">
        <f>SUMIFS('PvA Data'!$G$2:$G$1576,'PvA Data'!$A$2:$A$1576,$A142,'PvA Data'!$E$2:$E$1576,$D142,'PvA Data'!$C$2:$C$1576,"Martin")</f>
        <v>0</v>
      </c>
      <c r="J142" s="20">
        <f>SUMIFS('PvA Data'!$G$2:$G$1576,'PvA Data'!$A$2:$A$1576,$A142,'PvA Data'!$E$2:$E$1576,$D142,'PvA Data'!$C$2:$C$1576,"Custom")</f>
        <v>0</v>
      </c>
      <c r="K142" s="36" t="str">
        <f t="shared" si="13"/>
        <v/>
      </c>
      <c r="L142" s="36" t="str">
        <f t="shared" si="14"/>
        <v/>
      </c>
      <c r="M142" s="36" t="str">
        <f t="shared" si="15"/>
        <v/>
      </c>
    </row>
    <row r="143" spans="1:13" ht="15" customHeight="1" x14ac:dyDescent="0.75">
      <c r="A143" s="18" t="s">
        <v>69</v>
      </c>
      <c r="B143" s="19">
        <v>46055</v>
      </c>
      <c r="C143" s="17">
        <v>666506</v>
      </c>
      <c r="D143" s="18" t="s">
        <v>11</v>
      </c>
      <c r="E143" s="20">
        <f>SUMIFS('PvA Data'!$F$2:$F$1576,'PvA Data'!$A$2:$A$1576,$A143,'PvA Data'!$E$2:$E$1576,$D143)</f>
        <v>100</v>
      </c>
      <c r="F143" s="20">
        <f>SUMIFS('PvA Data'!$G$2:$G$1576,'PvA Data'!$A$2:$A$1576,$A143,'PvA Data'!$E$2:$E$1576,$D143)</f>
        <v>140</v>
      </c>
      <c r="G143" s="36">
        <f t="shared" si="12"/>
        <v>1.4</v>
      </c>
      <c r="H143" s="20">
        <f>SUMIFS('PvA Data'!$G$2:$G$1576,'PvA Data'!$A$2:$A$1576,$A143,'PvA Data'!$E$2:$E$1576,$D143,'PvA Data'!$C$2:$C$1576,"Nahunta")</f>
        <v>0</v>
      </c>
      <c r="I143" s="20">
        <f>SUMIFS('PvA Data'!$G$2:$G$1576,'PvA Data'!$A$2:$A$1576,$A143,'PvA Data'!$E$2:$E$1576,$D143,'PvA Data'!$C$2:$C$1576,"Martin")</f>
        <v>140</v>
      </c>
      <c r="J143" s="20">
        <f>SUMIFS('PvA Data'!$G$2:$G$1576,'PvA Data'!$A$2:$A$1576,$A143,'PvA Data'!$E$2:$E$1576,$D143,'PvA Data'!$C$2:$C$1576,"Custom")</f>
        <v>0</v>
      </c>
      <c r="K143" s="36">
        <f t="shared" si="13"/>
        <v>0</v>
      </c>
      <c r="L143" s="36">
        <f t="shared" si="14"/>
        <v>1</v>
      </c>
      <c r="M143" s="36">
        <f t="shared" si="15"/>
        <v>0</v>
      </c>
    </row>
    <row r="144" spans="1:13" ht="15" customHeight="1" x14ac:dyDescent="0.75">
      <c r="A144" s="18" t="s">
        <v>69</v>
      </c>
      <c r="B144" s="19">
        <v>46055</v>
      </c>
      <c r="C144" s="17">
        <v>666507</v>
      </c>
      <c r="D144" s="18" t="s">
        <v>13</v>
      </c>
      <c r="E144" s="20">
        <f>SUMIFS('PvA Data'!$F$2:$F$1576,'PvA Data'!$A$2:$A$1576,$A144,'PvA Data'!$E$2:$E$1576,$D144)</f>
        <v>25</v>
      </c>
      <c r="F144" s="20">
        <f>SUMIFS('PvA Data'!$G$2:$G$1576,'PvA Data'!$A$2:$A$1576,$A144,'PvA Data'!$E$2:$E$1576,$D144)</f>
        <v>44</v>
      </c>
      <c r="G144" s="36">
        <f t="shared" si="12"/>
        <v>1.76</v>
      </c>
      <c r="H144" s="20">
        <f>SUMIFS('PvA Data'!$G$2:$G$1576,'PvA Data'!$A$2:$A$1576,$A144,'PvA Data'!$E$2:$E$1576,$D144,'PvA Data'!$C$2:$C$1576,"Nahunta")</f>
        <v>44</v>
      </c>
      <c r="I144" s="20">
        <f>SUMIFS('PvA Data'!$G$2:$G$1576,'PvA Data'!$A$2:$A$1576,$A144,'PvA Data'!$E$2:$E$1576,$D144,'PvA Data'!$C$2:$C$1576,"Martin")</f>
        <v>0</v>
      </c>
      <c r="J144" s="20">
        <f>SUMIFS('PvA Data'!$G$2:$G$1576,'PvA Data'!$A$2:$A$1576,$A144,'PvA Data'!$E$2:$E$1576,$D144,'PvA Data'!$C$2:$C$1576,"Custom")</f>
        <v>0</v>
      </c>
      <c r="K144" s="36">
        <f t="shared" si="13"/>
        <v>1</v>
      </c>
      <c r="L144" s="36">
        <f t="shared" si="14"/>
        <v>0</v>
      </c>
      <c r="M144" s="36">
        <f t="shared" si="15"/>
        <v>0</v>
      </c>
    </row>
    <row r="145" spans="1:13" ht="15" customHeight="1" x14ac:dyDescent="0.75">
      <c r="A145" s="18" t="s">
        <v>69</v>
      </c>
      <c r="B145" s="19">
        <v>46055</v>
      </c>
      <c r="C145" s="17">
        <v>666509</v>
      </c>
      <c r="D145" s="18" t="s">
        <v>15</v>
      </c>
      <c r="E145" s="20">
        <f>SUMIFS('PvA Data'!$F$2:$F$1576,'PvA Data'!$A$2:$A$1576,$A145,'PvA Data'!$E$2:$E$1576,$D145)</f>
        <v>50</v>
      </c>
      <c r="F145" s="20">
        <f>SUMIFS('PvA Data'!$G$2:$G$1576,'PvA Data'!$A$2:$A$1576,$A145,'PvA Data'!$E$2:$E$1576,$D145)</f>
        <v>40</v>
      </c>
      <c r="G145" s="36">
        <f t="shared" si="12"/>
        <v>0.8</v>
      </c>
      <c r="H145" s="20">
        <f>SUMIFS('PvA Data'!$G$2:$G$1576,'PvA Data'!$A$2:$A$1576,$A145,'PvA Data'!$E$2:$E$1576,$D145,'PvA Data'!$C$2:$C$1576,"Nahunta")</f>
        <v>40</v>
      </c>
      <c r="I145" s="20">
        <f>SUMIFS('PvA Data'!$G$2:$G$1576,'PvA Data'!$A$2:$A$1576,$A145,'PvA Data'!$E$2:$E$1576,$D145,'PvA Data'!$C$2:$C$1576,"Martin")</f>
        <v>0</v>
      </c>
      <c r="J145" s="20">
        <f>SUMIFS('PvA Data'!$G$2:$G$1576,'PvA Data'!$A$2:$A$1576,$A145,'PvA Data'!$E$2:$E$1576,$D145,'PvA Data'!$C$2:$C$1576,"Custom")</f>
        <v>0</v>
      </c>
      <c r="K145" s="36">
        <f t="shared" si="13"/>
        <v>1</v>
      </c>
      <c r="L145" s="36">
        <f t="shared" si="14"/>
        <v>0</v>
      </c>
      <c r="M145" s="36">
        <f t="shared" si="15"/>
        <v>0</v>
      </c>
    </row>
    <row r="146" spans="1:13" ht="15" customHeight="1" x14ac:dyDescent="0.75">
      <c r="A146" s="18" t="s">
        <v>69</v>
      </c>
      <c r="B146" s="19">
        <v>46055</v>
      </c>
      <c r="C146" s="17">
        <v>666510</v>
      </c>
      <c r="D146" s="18" t="s">
        <v>17</v>
      </c>
      <c r="E146" s="20">
        <f>SUMIFS('PvA Data'!$F$2:$F$1576,'PvA Data'!$A$2:$A$1576,$A146,'PvA Data'!$E$2:$E$1576,$D146)</f>
        <v>0</v>
      </c>
      <c r="F146" s="20">
        <f>SUMIFS('PvA Data'!$G$2:$G$1576,'PvA Data'!$A$2:$A$1576,$A146,'PvA Data'!$E$2:$E$1576,$D146)</f>
        <v>0</v>
      </c>
      <c r="G146" s="36" t="str">
        <f t="shared" si="12"/>
        <v/>
      </c>
      <c r="H146" s="20">
        <f>SUMIFS('PvA Data'!$G$2:$G$1576,'PvA Data'!$A$2:$A$1576,$A146,'PvA Data'!$E$2:$E$1576,$D146,'PvA Data'!$C$2:$C$1576,"Nahunta")</f>
        <v>0</v>
      </c>
      <c r="I146" s="20">
        <f>SUMIFS('PvA Data'!$G$2:$G$1576,'PvA Data'!$A$2:$A$1576,$A146,'PvA Data'!$E$2:$E$1576,$D146,'PvA Data'!$C$2:$C$1576,"Martin")</f>
        <v>0</v>
      </c>
      <c r="J146" s="20">
        <f>SUMIFS('PvA Data'!$G$2:$G$1576,'PvA Data'!$A$2:$A$1576,$A146,'PvA Data'!$E$2:$E$1576,$D146,'PvA Data'!$C$2:$C$1576,"Custom")</f>
        <v>0</v>
      </c>
      <c r="K146" s="36" t="str">
        <f t="shared" si="13"/>
        <v/>
      </c>
      <c r="L146" s="36" t="str">
        <f t="shared" si="14"/>
        <v/>
      </c>
      <c r="M146" s="36" t="str">
        <f t="shared" si="15"/>
        <v/>
      </c>
    </row>
    <row r="147" spans="1:13" ht="15" customHeight="1" x14ac:dyDescent="0.75">
      <c r="A147" s="18" t="s">
        <v>69</v>
      </c>
      <c r="B147" s="19">
        <v>46055</v>
      </c>
      <c r="C147" s="17">
        <v>666511</v>
      </c>
      <c r="D147" s="18" t="s">
        <v>19</v>
      </c>
      <c r="E147" s="20">
        <f>SUMIFS('PvA Data'!$F$2:$F$1576,'PvA Data'!$A$2:$A$1576,$A147,'PvA Data'!$E$2:$E$1576,$D147)</f>
        <v>4</v>
      </c>
      <c r="F147" s="20">
        <f>SUMIFS('PvA Data'!$G$2:$G$1576,'PvA Data'!$A$2:$A$1576,$A147,'PvA Data'!$E$2:$E$1576,$D147)</f>
        <v>8</v>
      </c>
      <c r="G147" s="36">
        <f t="shared" si="12"/>
        <v>2</v>
      </c>
      <c r="H147" s="20">
        <f>SUMIFS('PvA Data'!$G$2:$G$1576,'PvA Data'!$A$2:$A$1576,$A147,'PvA Data'!$E$2:$E$1576,$D147,'PvA Data'!$C$2:$C$1576,"Nahunta")</f>
        <v>8</v>
      </c>
      <c r="I147" s="20">
        <f>SUMIFS('PvA Data'!$G$2:$G$1576,'PvA Data'!$A$2:$A$1576,$A147,'PvA Data'!$E$2:$E$1576,$D147,'PvA Data'!$C$2:$C$1576,"Martin")</f>
        <v>0</v>
      </c>
      <c r="J147" s="20">
        <f>SUMIFS('PvA Data'!$G$2:$G$1576,'PvA Data'!$A$2:$A$1576,$A147,'PvA Data'!$E$2:$E$1576,$D147,'PvA Data'!$C$2:$C$1576,"Custom")</f>
        <v>0</v>
      </c>
      <c r="K147" s="36">
        <f t="shared" si="13"/>
        <v>1</v>
      </c>
      <c r="L147" s="36">
        <f t="shared" si="14"/>
        <v>0</v>
      </c>
      <c r="M147" s="36">
        <f t="shared" si="15"/>
        <v>0</v>
      </c>
    </row>
    <row r="148" spans="1:13" ht="15" customHeight="1" x14ac:dyDescent="0.75">
      <c r="A148" s="18" t="s">
        <v>69</v>
      </c>
      <c r="B148" s="19">
        <v>46055</v>
      </c>
      <c r="C148" s="17">
        <v>666513</v>
      </c>
      <c r="D148" s="18" t="s">
        <v>21</v>
      </c>
      <c r="E148" s="20">
        <f>SUMIFS('PvA Data'!$F$2:$F$1576,'PvA Data'!$A$2:$A$1576,$A148,'PvA Data'!$E$2:$E$1576,$D148)</f>
        <v>0</v>
      </c>
      <c r="F148" s="20">
        <f>SUMIFS('PvA Data'!$G$2:$G$1576,'PvA Data'!$A$2:$A$1576,$A148,'PvA Data'!$E$2:$E$1576,$D148)</f>
        <v>0</v>
      </c>
      <c r="G148" s="36" t="str">
        <f t="shared" si="12"/>
        <v/>
      </c>
      <c r="H148" s="20">
        <f>SUMIFS('PvA Data'!$G$2:$G$1576,'PvA Data'!$A$2:$A$1576,$A148,'PvA Data'!$E$2:$E$1576,$D148,'PvA Data'!$C$2:$C$1576,"Nahunta")</f>
        <v>0</v>
      </c>
      <c r="I148" s="20">
        <f>SUMIFS('PvA Data'!$G$2:$G$1576,'PvA Data'!$A$2:$A$1576,$A148,'PvA Data'!$E$2:$E$1576,$D148,'PvA Data'!$C$2:$C$1576,"Martin")</f>
        <v>0</v>
      </c>
      <c r="J148" s="20">
        <f>SUMIFS('PvA Data'!$G$2:$G$1576,'PvA Data'!$A$2:$A$1576,$A148,'PvA Data'!$E$2:$E$1576,$D148,'PvA Data'!$C$2:$C$1576,"Custom")</f>
        <v>0</v>
      </c>
      <c r="K148" s="36" t="str">
        <f t="shared" si="13"/>
        <v/>
      </c>
      <c r="L148" s="36" t="str">
        <f t="shared" si="14"/>
        <v/>
      </c>
      <c r="M148" s="36" t="str">
        <f t="shared" si="15"/>
        <v/>
      </c>
    </row>
    <row r="149" spans="1:13" ht="15" customHeight="1" x14ac:dyDescent="0.75">
      <c r="A149" s="18" t="s">
        <v>69</v>
      </c>
      <c r="B149" s="19">
        <v>46055</v>
      </c>
      <c r="C149" s="17">
        <v>666516</v>
      </c>
      <c r="D149" s="18" t="s">
        <v>23</v>
      </c>
      <c r="E149" s="20">
        <f>SUMIFS('PvA Data'!$F$2:$F$1576,'PvA Data'!$A$2:$A$1576,$A149,'PvA Data'!$E$2:$E$1576,$D149)</f>
        <v>20</v>
      </c>
      <c r="F149" s="20">
        <f>SUMIFS('PvA Data'!$G$2:$G$1576,'PvA Data'!$A$2:$A$1576,$A149,'PvA Data'!$E$2:$E$1576,$D149)</f>
        <v>0</v>
      </c>
      <c r="G149" s="36">
        <f t="shared" si="12"/>
        <v>0</v>
      </c>
      <c r="H149" s="20">
        <f>SUMIFS('PvA Data'!$G$2:$G$1576,'PvA Data'!$A$2:$A$1576,$A149,'PvA Data'!$E$2:$E$1576,$D149,'PvA Data'!$C$2:$C$1576,"Nahunta")</f>
        <v>0</v>
      </c>
      <c r="I149" s="20">
        <f>SUMIFS('PvA Data'!$G$2:$G$1576,'PvA Data'!$A$2:$A$1576,$A149,'PvA Data'!$E$2:$E$1576,$D149,'PvA Data'!$C$2:$C$1576,"Martin")</f>
        <v>0</v>
      </c>
      <c r="J149" s="20">
        <f>SUMIFS('PvA Data'!$G$2:$G$1576,'PvA Data'!$A$2:$A$1576,$A149,'PvA Data'!$E$2:$E$1576,$D149,'PvA Data'!$C$2:$C$1576,"Custom")</f>
        <v>0</v>
      </c>
      <c r="K149" s="36" t="str">
        <f t="shared" si="13"/>
        <v/>
      </c>
      <c r="L149" s="36" t="str">
        <f t="shared" si="14"/>
        <v/>
      </c>
      <c r="M149" s="36" t="str">
        <f t="shared" si="15"/>
        <v/>
      </c>
    </row>
    <row r="150" spans="1:13" ht="15" customHeight="1" x14ac:dyDescent="0.75">
      <c r="A150" s="18" t="s">
        <v>69</v>
      </c>
      <c r="B150" s="19">
        <v>46055</v>
      </c>
      <c r="C150" s="17">
        <v>666517</v>
      </c>
      <c r="D150" s="18" t="s">
        <v>25</v>
      </c>
      <c r="E150" s="20">
        <f>SUMIFS('PvA Data'!$F$2:$F$1576,'PvA Data'!$A$2:$A$1576,$A150,'PvA Data'!$E$2:$E$1576,$D150)</f>
        <v>24</v>
      </c>
      <c r="F150" s="20">
        <f>SUMIFS('PvA Data'!$G$2:$G$1576,'PvA Data'!$A$2:$A$1576,$A150,'PvA Data'!$E$2:$E$1576,$D150)</f>
        <v>0</v>
      </c>
      <c r="G150" s="36">
        <f t="shared" si="12"/>
        <v>0</v>
      </c>
      <c r="H150" s="20">
        <f>SUMIFS('PvA Data'!$G$2:$G$1576,'PvA Data'!$A$2:$A$1576,$A150,'PvA Data'!$E$2:$E$1576,$D150,'PvA Data'!$C$2:$C$1576,"Nahunta")</f>
        <v>0</v>
      </c>
      <c r="I150" s="20">
        <f>SUMIFS('PvA Data'!$G$2:$G$1576,'PvA Data'!$A$2:$A$1576,$A150,'PvA Data'!$E$2:$E$1576,$D150,'PvA Data'!$C$2:$C$1576,"Martin")</f>
        <v>0</v>
      </c>
      <c r="J150" s="20">
        <f>SUMIFS('PvA Data'!$G$2:$G$1576,'PvA Data'!$A$2:$A$1576,$A150,'PvA Data'!$E$2:$E$1576,$D150,'PvA Data'!$C$2:$C$1576,"Custom")</f>
        <v>0</v>
      </c>
      <c r="K150" s="36" t="str">
        <f t="shared" si="13"/>
        <v/>
      </c>
      <c r="L150" s="36" t="str">
        <f t="shared" si="14"/>
        <v/>
      </c>
      <c r="M150" s="36" t="str">
        <f t="shared" si="15"/>
        <v/>
      </c>
    </row>
    <row r="151" spans="1:13" ht="15" customHeight="1" x14ac:dyDescent="0.75">
      <c r="A151" s="18" t="s">
        <v>69</v>
      </c>
      <c r="B151" s="19">
        <v>46055</v>
      </c>
      <c r="C151" s="17">
        <v>666518</v>
      </c>
      <c r="D151" s="18" t="s">
        <v>27</v>
      </c>
      <c r="E151" s="20">
        <f>SUMIFS('PvA Data'!$F$2:$F$1576,'PvA Data'!$A$2:$A$1576,$A151,'PvA Data'!$E$2:$E$1576,$D151)</f>
        <v>0</v>
      </c>
      <c r="F151" s="20">
        <f>SUMIFS('PvA Data'!$G$2:$G$1576,'PvA Data'!$A$2:$A$1576,$A151,'PvA Data'!$E$2:$E$1576,$D151)</f>
        <v>0</v>
      </c>
      <c r="G151" s="36" t="str">
        <f t="shared" si="12"/>
        <v/>
      </c>
      <c r="H151" s="20">
        <f>SUMIFS('PvA Data'!$G$2:$G$1576,'PvA Data'!$A$2:$A$1576,$A151,'PvA Data'!$E$2:$E$1576,$D151,'PvA Data'!$C$2:$C$1576,"Nahunta")</f>
        <v>0</v>
      </c>
      <c r="I151" s="20">
        <f>SUMIFS('PvA Data'!$G$2:$G$1576,'PvA Data'!$A$2:$A$1576,$A151,'PvA Data'!$E$2:$E$1576,$D151,'PvA Data'!$C$2:$C$1576,"Martin")</f>
        <v>0</v>
      </c>
      <c r="J151" s="20">
        <f>SUMIFS('PvA Data'!$G$2:$G$1576,'PvA Data'!$A$2:$A$1576,$A151,'PvA Data'!$E$2:$E$1576,$D151,'PvA Data'!$C$2:$C$1576,"Custom")</f>
        <v>0</v>
      </c>
      <c r="K151" s="36" t="str">
        <f t="shared" si="13"/>
        <v/>
      </c>
      <c r="L151" s="36" t="str">
        <f t="shared" si="14"/>
        <v/>
      </c>
      <c r="M151" s="36" t="str">
        <f t="shared" si="15"/>
        <v/>
      </c>
    </row>
    <row r="152" spans="1:13" ht="15" customHeight="1" x14ac:dyDescent="0.75">
      <c r="A152" s="18" t="s">
        <v>69</v>
      </c>
      <c r="B152" s="19">
        <v>46055</v>
      </c>
      <c r="C152" s="17">
        <v>666519</v>
      </c>
      <c r="D152" s="18" t="s">
        <v>29</v>
      </c>
      <c r="E152" s="20">
        <f>SUMIFS('PvA Data'!$F$2:$F$1576,'PvA Data'!$A$2:$A$1576,$A152,'PvA Data'!$E$2:$E$1576,$D152)</f>
        <v>30</v>
      </c>
      <c r="F152" s="20">
        <f>SUMIFS('PvA Data'!$G$2:$G$1576,'PvA Data'!$A$2:$A$1576,$A152,'PvA Data'!$E$2:$E$1576,$D152)</f>
        <v>0</v>
      </c>
      <c r="G152" s="36">
        <f t="shared" si="12"/>
        <v>0</v>
      </c>
      <c r="H152" s="20">
        <f>SUMIFS('PvA Data'!$G$2:$G$1576,'PvA Data'!$A$2:$A$1576,$A152,'PvA Data'!$E$2:$E$1576,$D152,'PvA Data'!$C$2:$C$1576,"Nahunta")</f>
        <v>0</v>
      </c>
      <c r="I152" s="20">
        <f>SUMIFS('PvA Data'!$G$2:$G$1576,'PvA Data'!$A$2:$A$1576,$A152,'PvA Data'!$E$2:$E$1576,$D152,'PvA Data'!$C$2:$C$1576,"Martin")</f>
        <v>0</v>
      </c>
      <c r="J152" s="20">
        <f>SUMIFS('PvA Data'!$G$2:$G$1576,'PvA Data'!$A$2:$A$1576,$A152,'PvA Data'!$E$2:$E$1576,$D152,'PvA Data'!$C$2:$C$1576,"Custom")</f>
        <v>0</v>
      </c>
      <c r="K152" s="36" t="str">
        <f t="shared" si="13"/>
        <v/>
      </c>
      <c r="L152" s="36" t="str">
        <f t="shared" si="14"/>
        <v/>
      </c>
      <c r="M152" s="36" t="str">
        <f t="shared" si="15"/>
        <v/>
      </c>
    </row>
    <row r="153" spans="1:13" ht="15" customHeight="1" x14ac:dyDescent="0.75">
      <c r="A153" s="18" t="s">
        <v>69</v>
      </c>
      <c r="B153" s="19">
        <v>46055</v>
      </c>
      <c r="C153" s="17">
        <v>666521</v>
      </c>
      <c r="D153" s="18" t="s">
        <v>31</v>
      </c>
      <c r="E153" s="20">
        <f>SUMIFS('PvA Data'!$F$2:$F$1576,'PvA Data'!$A$2:$A$1576,$A153,'PvA Data'!$E$2:$E$1576,$D153)</f>
        <v>0</v>
      </c>
      <c r="F153" s="20">
        <f>SUMIFS('PvA Data'!$G$2:$G$1576,'PvA Data'!$A$2:$A$1576,$A153,'PvA Data'!$E$2:$E$1576,$D153)</f>
        <v>0</v>
      </c>
      <c r="G153" s="36" t="str">
        <f t="shared" si="12"/>
        <v/>
      </c>
      <c r="H153" s="20">
        <f>SUMIFS('PvA Data'!$G$2:$G$1576,'PvA Data'!$A$2:$A$1576,$A153,'PvA Data'!$E$2:$E$1576,$D153,'PvA Data'!$C$2:$C$1576,"Nahunta")</f>
        <v>0</v>
      </c>
      <c r="I153" s="20">
        <f>SUMIFS('PvA Data'!$G$2:$G$1576,'PvA Data'!$A$2:$A$1576,$A153,'PvA Data'!$E$2:$E$1576,$D153,'PvA Data'!$C$2:$C$1576,"Martin")</f>
        <v>0</v>
      </c>
      <c r="J153" s="20">
        <f>SUMIFS('PvA Data'!$G$2:$G$1576,'PvA Data'!$A$2:$A$1576,$A153,'PvA Data'!$E$2:$E$1576,$D153,'PvA Data'!$C$2:$C$1576,"Custom")</f>
        <v>0</v>
      </c>
      <c r="K153" s="36" t="str">
        <f t="shared" si="13"/>
        <v/>
      </c>
      <c r="L153" s="36" t="str">
        <f t="shared" si="14"/>
        <v/>
      </c>
      <c r="M153" s="36" t="str">
        <f t="shared" si="15"/>
        <v/>
      </c>
    </row>
    <row r="154" spans="1:13" ht="15" customHeight="1" x14ac:dyDescent="0.75">
      <c r="A154" s="18" t="s">
        <v>69</v>
      </c>
      <c r="B154" s="19">
        <v>46055</v>
      </c>
      <c r="C154" s="17">
        <v>666522</v>
      </c>
      <c r="D154" s="18" t="s">
        <v>33</v>
      </c>
      <c r="E154" s="20">
        <f>SUMIFS('PvA Data'!$F$2:$F$1576,'PvA Data'!$A$2:$A$1576,$A154,'PvA Data'!$E$2:$E$1576,$D154)</f>
        <v>195</v>
      </c>
      <c r="F154" s="20">
        <f>SUMIFS('PvA Data'!$G$2:$G$1576,'PvA Data'!$A$2:$A$1576,$A154,'PvA Data'!$E$2:$E$1576,$D154)</f>
        <v>25</v>
      </c>
      <c r="G154" s="36">
        <f t="shared" si="12"/>
        <v>0.12820512820512819</v>
      </c>
      <c r="H154" s="20">
        <f>SUMIFS('PvA Data'!$G$2:$G$1576,'PvA Data'!$A$2:$A$1576,$A154,'PvA Data'!$E$2:$E$1576,$D154,'PvA Data'!$C$2:$C$1576,"Nahunta")</f>
        <v>25</v>
      </c>
      <c r="I154" s="20">
        <f>SUMIFS('PvA Data'!$G$2:$G$1576,'PvA Data'!$A$2:$A$1576,$A154,'PvA Data'!$E$2:$E$1576,$D154,'PvA Data'!$C$2:$C$1576,"Martin")</f>
        <v>0</v>
      </c>
      <c r="J154" s="20">
        <f>SUMIFS('PvA Data'!$G$2:$G$1576,'PvA Data'!$A$2:$A$1576,$A154,'PvA Data'!$E$2:$E$1576,$D154,'PvA Data'!$C$2:$C$1576,"Custom")</f>
        <v>0</v>
      </c>
      <c r="K154" s="36">
        <f t="shared" si="13"/>
        <v>1</v>
      </c>
      <c r="L154" s="36">
        <f t="shared" si="14"/>
        <v>0</v>
      </c>
      <c r="M154" s="36">
        <f t="shared" si="15"/>
        <v>0</v>
      </c>
    </row>
    <row r="155" spans="1:13" ht="15" customHeight="1" x14ac:dyDescent="0.75">
      <c r="A155" s="18" t="s">
        <v>69</v>
      </c>
      <c r="B155" s="19">
        <v>46055</v>
      </c>
      <c r="C155" s="17">
        <v>666523</v>
      </c>
      <c r="D155" s="18" t="s">
        <v>35</v>
      </c>
      <c r="E155" s="20">
        <f>SUMIFS('PvA Data'!$F$2:$F$1576,'PvA Data'!$A$2:$A$1576,$A155,'PvA Data'!$E$2:$E$1576,$D155)</f>
        <v>29.5</v>
      </c>
      <c r="F155" s="20">
        <f>SUMIFS('PvA Data'!$G$2:$G$1576,'PvA Data'!$A$2:$A$1576,$A155,'PvA Data'!$E$2:$E$1576,$D155)</f>
        <v>0</v>
      </c>
      <c r="G155" s="36">
        <f t="shared" si="12"/>
        <v>0</v>
      </c>
      <c r="H155" s="20">
        <f>SUMIFS('PvA Data'!$G$2:$G$1576,'PvA Data'!$A$2:$A$1576,$A155,'PvA Data'!$E$2:$E$1576,$D155,'PvA Data'!$C$2:$C$1576,"Nahunta")</f>
        <v>0</v>
      </c>
      <c r="I155" s="20">
        <f>SUMIFS('PvA Data'!$G$2:$G$1576,'PvA Data'!$A$2:$A$1576,$A155,'PvA Data'!$E$2:$E$1576,$D155,'PvA Data'!$C$2:$C$1576,"Martin")</f>
        <v>0</v>
      </c>
      <c r="J155" s="20">
        <f>SUMIFS('PvA Data'!$G$2:$G$1576,'PvA Data'!$A$2:$A$1576,$A155,'PvA Data'!$E$2:$E$1576,$D155,'PvA Data'!$C$2:$C$1576,"Custom")</f>
        <v>0</v>
      </c>
      <c r="K155" s="36" t="str">
        <f t="shared" si="13"/>
        <v/>
      </c>
      <c r="L155" s="36" t="str">
        <f t="shared" si="14"/>
        <v/>
      </c>
      <c r="M155" s="36" t="str">
        <f t="shared" si="15"/>
        <v/>
      </c>
    </row>
    <row r="156" spans="1:13" ht="15" customHeight="1" x14ac:dyDescent="0.75">
      <c r="A156" s="18" t="s">
        <v>69</v>
      </c>
      <c r="B156" s="19">
        <v>46055</v>
      </c>
      <c r="C156" s="17">
        <v>666530</v>
      </c>
      <c r="D156" s="18" t="s">
        <v>37</v>
      </c>
      <c r="E156" s="20">
        <f>SUMIFS('PvA Data'!$F$2:$F$1576,'PvA Data'!$A$2:$A$1576,$A156,'PvA Data'!$E$2:$E$1576,$D156)</f>
        <v>10</v>
      </c>
      <c r="F156" s="20">
        <f>SUMIFS('PvA Data'!$G$2:$G$1576,'PvA Data'!$A$2:$A$1576,$A156,'PvA Data'!$E$2:$E$1576,$D156)</f>
        <v>3</v>
      </c>
      <c r="G156" s="36">
        <f t="shared" si="12"/>
        <v>0.3</v>
      </c>
      <c r="H156" s="20">
        <f>SUMIFS('PvA Data'!$G$2:$G$1576,'PvA Data'!$A$2:$A$1576,$A156,'PvA Data'!$E$2:$E$1576,$D156,'PvA Data'!$C$2:$C$1576,"Nahunta")</f>
        <v>3</v>
      </c>
      <c r="I156" s="20">
        <f>SUMIFS('PvA Data'!$G$2:$G$1576,'PvA Data'!$A$2:$A$1576,$A156,'PvA Data'!$E$2:$E$1576,$D156,'PvA Data'!$C$2:$C$1576,"Martin")</f>
        <v>0</v>
      </c>
      <c r="J156" s="20">
        <f>SUMIFS('PvA Data'!$G$2:$G$1576,'PvA Data'!$A$2:$A$1576,$A156,'PvA Data'!$E$2:$E$1576,$D156,'PvA Data'!$C$2:$C$1576,"Custom")</f>
        <v>0</v>
      </c>
      <c r="K156" s="36">
        <f t="shared" si="13"/>
        <v>1</v>
      </c>
      <c r="L156" s="36">
        <f t="shared" si="14"/>
        <v>0</v>
      </c>
      <c r="M156" s="36">
        <f t="shared" si="15"/>
        <v>0</v>
      </c>
    </row>
    <row r="157" spans="1:13" ht="15" customHeight="1" x14ac:dyDescent="0.75">
      <c r="A157" s="18" t="s">
        <v>69</v>
      </c>
      <c r="B157" s="19">
        <v>46055</v>
      </c>
      <c r="C157" s="17">
        <v>666531</v>
      </c>
      <c r="D157" s="18" t="s">
        <v>39</v>
      </c>
      <c r="E157" s="20">
        <f>SUMIFS('PvA Data'!$F$2:$F$1576,'PvA Data'!$A$2:$A$1576,$A157,'PvA Data'!$E$2:$E$1576,$D157)</f>
        <v>13</v>
      </c>
      <c r="F157" s="20">
        <f>SUMIFS('PvA Data'!$G$2:$G$1576,'PvA Data'!$A$2:$A$1576,$A157,'PvA Data'!$E$2:$E$1576,$D157)</f>
        <v>0</v>
      </c>
      <c r="G157" s="36">
        <f t="shared" si="12"/>
        <v>0</v>
      </c>
      <c r="H157" s="20">
        <f>SUMIFS('PvA Data'!$G$2:$G$1576,'PvA Data'!$A$2:$A$1576,$A157,'PvA Data'!$E$2:$E$1576,$D157,'PvA Data'!$C$2:$C$1576,"Nahunta")</f>
        <v>0</v>
      </c>
      <c r="I157" s="20">
        <f>SUMIFS('PvA Data'!$G$2:$G$1576,'PvA Data'!$A$2:$A$1576,$A157,'PvA Data'!$E$2:$E$1576,$D157,'PvA Data'!$C$2:$C$1576,"Martin")</f>
        <v>0</v>
      </c>
      <c r="J157" s="20">
        <f>SUMIFS('PvA Data'!$G$2:$G$1576,'PvA Data'!$A$2:$A$1576,$A157,'PvA Data'!$E$2:$E$1576,$D157,'PvA Data'!$C$2:$C$1576,"Custom")</f>
        <v>0</v>
      </c>
      <c r="K157" s="36" t="str">
        <f t="shared" si="13"/>
        <v/>
      </c>
      <c r="L157" s="36" t="str">
        <f t="shared" si="14"/>
        <v/>
      </c>
      <c r="M157" s="36" t="str">
        <f t="shared" si="15"/>
        <v/>
      </c>
    </row>
    <row r="158" spans="1:13" ht="15" customHeight="1" x14ac:dyDescent="0.75">
      <c r="A158" s="18" t="s">
        <v>69</v>
      </c>
      <c r="B158" s="19">
        <v>46055</v>
      </c>
      <c r="C158" s="17">
        <v>666540</v>
      </c>
      <c r="D158" s="18" t="s">
        <v>40</v>
      </c>
      <c r="E158" s="20">
        <f>SUMIFS('PvA Data'!$F$2:$F$1576,'PvA Data'!$A$2:$A$1576,$A158,'PvA Data'!$E$2:$E$1576,$D158)</f>
        <v>120</v>
      </c>
      <c r="F158" s="20">
        <f>SUMIFS('PvA Data'!$G$2:$G$1576,'PvA Data'!$A$2:$A$1576,$A158,'PvA Data'!$E$2:$E$1576,$D158)</f>
        <v>22</v>
      </c>
      <c r="G158" s="36">
        <f t="shared" si="12"/>
        <v>0.18333333333333332</v>
      </c>
      <c r="H158" s="20">
        <f>SUMIFS('PvA Data'!$G$2:$G$1576,'PvA Data'!$A$2:$A$1576,$A158,'PvA Data'!$E$2:$E$1576,$D158,'PvA Data'!$C$2:$C$1576,"Nahunta")</f>
        <v>0</v>
      </c>
      <c r="I158" s="20">
        <f>SUMIFS('PvA Data'!$G$2:$G$1576,'PvA Data'!$A$2:$A$1576,$A158,'PvA Data'!$E$2:$E$1576,$D158,'PvA Data'!$C$2:$C$1576,"Martin")</f>
        <v>22</v>
      </c>
      <c r="J158" s="20">
        <f>SUMIFS('PvA Data'!$G$2:$G$1576,'PvA Data'!$A$2:$A$1576,$A158,'PvA Data'!$E$2:$E$1576,$D158,'PvA Data'!$C$2:$C$1576,"Custom")</f>
        <v>0</v>
      </c>
      <c r="K158" s="36">
        <f t="shared" si="13"/>
        <v>0</v>
      </c>
      <c r="L158" s="36">
        <f t="shared" si="14"/>
        <v>1</v>
      </c>
      <c r="M158" s="36">
        <f t="shared" si="15"/>
        <v>0</v>
      </c>
    </row>
    <row r="159" spans="1:13" ht="15" customHeight="1" x14ac:dyDescent="0.75">
      <c r="A159" s="18" t="s">
        <v>69</v>
      </c>
      <c r="B159" s="19">
        <v>46055</v>
      </c>
      <c r="C159" s="17">
        <v>666541</v>
      </c>
      <c r="D159" s="18" t="s">
        <v>41</v>
      </c>
      <c r="E159" s="20">
        <f>SUMIFS('PvA Data'!$F$2:$F$1576,'PvA Data'!$A$2:$A$1576,$A159,'PvA Data'!$E$2:$E$1576,$D159)</f>
        <v>120</v>
      </c>
      <c r="F159" s="20">
        <f>SUMIFS('PvA Data'!$G$2:$G$1576,'PvA Data'!$A$2:$A$1576,$A159,'PvA Data'!$E$2:$E$1576,$D159)</f>
        <v>104</v>
      </c>
      <c r="G159" s="36">
        <f t="shared" si="12"/>
        <v>0.8666666666666667</v>
      </c>
      <c r="H159" s="20">
        <f>SUMIFS('PvA Data'!$G$2:$G$1576,'PvA Data'!$A$2:$A$1576,$A159,'PvA Data'!$E$2:$E$1576,$D159,'PvA Data'!$C$2:$C$1576,"Nahunta")</f>
        <v>0</v>
      </c>
      <c r="I159" s="20">
        <f>SUMIFS('PvA Data'!$G$2:$G$1576,'PvA Data'!$A$2:$A$1576,$A159,'PvA Data'!$E$2:$E$1576,$D159,'PvA Data'!$C$2:$C$1576,"Martin")</f>
        <v>104</v>
      </c>
      <c r="J159" s="20">
        <f>SUMIFS('PvA Data'!$G$2:$G$1576,'PvA Data'!$A$2:$A$1576,$A159,'PvA Data'!$E$2:$E$1576,$D159,'PvA Data'!$C$2:$C$1576,"Custom")</f>
        <v>0</v>
      </c>
      <c r="K159" s="36">
        <f t="shared" si="13"/>
        <v>0</v>
      </c>
      <c r="L159" s="36">
        <f t="shared" si="14"/>
        <v>1</v>
      </c>
      <c r="M159" s="36">
        <f t="shared" si="15"/>
        <v>0</v>
      </c>
    </row>
    <row r="160" spans="1:13" ht="15" customHeight="1" x14ac:dyDescent="0.75">
      <c r="A160" s="18" t="s">
        <v>69</v>
      </c>
      <c r="B160" s="19">
        <v>46055</v>
      </c>
      <c r="C160" s="17">
        <v>666536</v>
      </c>
      <c r="D160" s="18" t="s">
        <v>43</v>
      </c>
      <c r="E160" s="20">
        <f>SUMIFS('PvA Data'!$F$2:$F$1576,'PvA Data'!$A$2:$A$1576,$A160,'PvA Data'!$E$2:$E$1576,$D160)</f>
        <v>0</v>
      </c>
      <c r="F160" s="20">
        <f>SUMIFS('PvA Data'!$G$2:$G$1576,'PvA Data'!$A$2:$A$1576,$A160,'PvA Data'!$E$2:$E$1576,$D160)</f>
        <v>0</v>
      </c>
      <c r="G160" s="36" t="str">
        <f t="shared" si="12"/>
        <v/>
      </c>
      <c r="H160" s="20">
        <f>SUMIFS('PvA Data'!$G$2:$G$1576,'PvA Data'!$A$2:$A$1576,$A160,'PvA Data'!$E$2:$E$1576,$D160,'PvA Data'!$C$2:$C$1576,"Nahunta")</f>
        <v>0</v>
      </c>
      <c r="I160" s="20">
        <f>SUMIFS('PvA Data'!$G$2:$G$1576,'PvA Data'!$A$2:$A$1576,$A160,'PvA Data'!$E$2:$E$1576,$D160,'PvA Data'!$C$2:$C$1576,"Martin")</f>
        <v>0</v>
      </c>
      <c r="J160" s="20">
        <f>SUMIFS('PvA Data'!$G$2:$G$1576,'PvA Data'!$A$2:$A$1576,$A160,'PvA Data'!$E$2:$E$1576,$D160,'PvA Data'!$C$2:$C$1576,"Custom")</f>
        <v>0</v>
      </c>
      <c r="K160" s="36" t="str">
        <f t="shared" si="13"/>
        <v/>
      </c>
      <c r="L160" s="36" t="str">
        <f t="shared" si="14"/>
        <v/>
      </c>
      <c r="M160" s="36" t="str">
        <f t="shared" si="15"/>
        <v/>
      </c>
    </row>
    <row r="161" spans="1:13" ht="15" customHeight="1" x14ac:dyDescent="0.75">
      <c r="A161" s="18" t="s">
        <v>70</v>
      </c>
      <c r="B161" s="19">
        <v>46062</v>
      </c>
      <c r="C161" s="17">
        <v>666501</v>
      </c>
      <c r="D161" s="18" t="s">
        <v>5</v>
      </c>
      <c r="E161" s="20">
        <f>SUMIFS('PvA Data'!$F$2:$F$1576,'PvA Data'!$A$2:$A$1576,$A161,'PvA Data'!$E$2:$E$1576,$D161)</f>
        <v>253.5</v>
      </c>
      <c r="F161" s="20">
        <f>SUMIFS('PvA Data'!$G$2:$G$1576,'PvA Data'!$A$2:$A$1576,$A161,'PvA Data'!$E$2:$E$1576,$D161)</f>
        <v>327</v>
      </c>
      <c r="G161" s="36">
        <f t="shared" si="12"/>
        <v>1.2899408284023668</v>
      </c>
      <c r="H161" s="20">
        <f>SUMIFS('PvA Data'!$G$2:$G$1576,'PvA Data'!$A$2:$A$1576,$A161,'PvA Data'!$E$2:$E$1576,$D161,'PvA Data'!$C$2:$C$1576,"Nahunta")</f>
        <v>39</v>
      </c>
      <c r="I161" s="20">
        <f>SUMIFS('PvA Data'!$G$2:$G$1576,'PvA Data'!$A$2:$A$1576,$A161,'PvA Data'!$E$2:$E$1576,$D161,'PvA Data'!$C$2:$C$1576,"Martin")</f>
        <v>246</v>
      </c>
      <c r="J161" s="20">
        <f>SUMIFS('PvA Data'!$G$2:$G$1576,'PvA Data'!$A$2:$A$1576,$A161,'PvA Data'!$E$2:$E$1576,$D161,'PvA Data'!$C$2:$C$1576,"Custom")</f>
        <v>42</v>
      </c>
      <c r="K161" s="36">
        <f t="shared" si="13"/>
        <v>0.11926605504587157</v>
      </c>
      <c r="L161" s="36">
        <f t="shared" si="14"/>
        <v>0.75229357798165142</v>
      </c>
      <c r="M161" s="36">
        <f t="shared" si="15"/>
        <v>0.12844036697247707</v>
      </c>
    </row>
    <row r="162" spans="1:13" ht="15" customHeight="1" x14ac:dyDescent="0.75">
      <c r="A162" s="18" t="s">
        <v>70</v>
      </c>
      <c r="B162" s="19">
        <v>46062</v>
      </c>
      <c r="C162" s="17">
        <v>666502</v>
      </c>
      <c r="D162" s="18" t="s">
        <v>7</v>
      </c>
      <c r="E162" s="20">
        <f>SUMIFS('PvA Data'!$F$2:$F$1576,'PvA Data'!$A$2:$A$1576,$A162,'PvA Data'!$E$2:$E$1576,$D162)</f>
        <v>180</v>
      </c>
      <c r="F162" s="20">
        <f>SUMIFS('PvA Data'!$G$2:$G$1576,'PvA Data'!$A$2:$A$1576,$A162,'PvA Data'!$E$2:$E$1576,$D162)</f>
        <v>72</v>
      </c>
      <c r="G162" s="36">
        <f t="shared" si="12"/>
        <v>0.4</v>
      </c>
      <c r="H162" s="20">
        <f>SUMIFS('PvA Data'!$G$2:$G$1576,'PvA Data'!$A$2:$A$1576,$A162,'PvA Data'!$E$2:$E$1576,$D162,'PvA Data'!$C$2:$C$1576,"Nahunta")</f>
        <v>0</v>
      </c>
      <c r="I162" s="20">
        <f>SUMIFS('PvA Data'!$G$2:$G$1576,'PvA Data'!$A$2:$A$1576,$A162,'PvA Data'!$E$2:$E$1576,$D162,'PvA Data'!$C$2:$C$1576,"Martin")</f>
        <v>72</v>
      </c>
      <c r="J162" s="20">
        <f>SUMIFS('PvA Data'!$G$2:$G$1576,'PvA Data'!$A$2:$A$1576,$A162,'PvA Data'!$E$2:$E$1576,$D162,'PvA Data'!$C$2:$C$1576,"Custom")</f>
        <v>0</v>
      </c>
      <c r="K162" s="36">
        <f t="shared" si="13"/>
        <v>0</v>
      </c>
      <c r="L162" s="36">
        <f t="shared" si="14"/>
        <v>1</v>
      </c>
      <c r="M162" s="36">
        <f t="shared" si="15"/>
        <v>0</v>
      </c>
    </row>
    <row r="163" spans="1:13" ht="15" customHeight="1" x14ac:dyDescent="0.75">
      <c r="A163" s="18" t="s">
        <v>70</v>
      </c>
      <c r="B163" s="19">
        <v>46062</v>
      </c>
      <c r="C163" s="17">
        <v>666505</v>
      </c>
      <c r="D163" s="18" t="s">
        <v>9</v>
      </c>
      <c r="E163" s="20">
        <f>SUMIFS('PvA Data'!$F$2:$F$1576,'PvA Data'!$A$2:$A$1576,$A163,'PvA Data'!$E$2:$E$1576,$D163)</f>
        <v>30</v>
      </c>
      <c r="F163" s="20">
        <f>SUMIFS('PvA Data'!$G$2:$G$1576,'PvA Data'!$A$2:$A$1576,$A163,'PvA Data'!$E$2:$E$1576,$D163)</f>
        <v>60</v>
      </c>
      <c r="G163" s="36">
        <f t="shared" ref="G163:G226" si="16">IF(E163=0,"",F163/E163)</f>
        <v>2</v>
      </c>
      <c r="H163" s="20">
        <f>SUMIFS('PvA Data'!$G$2:$G$1576,'PvA Data'!$A$2:$A$1576,$A163,'PvA Data'!$E$2:$E$1576,$D163,'PvA Data'!$C$2:$C$1576,"Nahunta")</f>
        <v>19</v>
      </c>
      <c r="I163" s="20">
        <f>SUMIFS('PvA Data'!$G$2:$G$1576,'PvA Data'!$A$2:$A$1576,$A163,'PvA Data'!$E$2:$E$1576,$D163,'PvA Data'!$C$2:$C$1576,"Martin")</f>
        <v>0</v>
      </c>
      <c r="J163" s="20">
        <f>SUMIFS('PvA Data'!$G$2:$G$1576,'PvA Data'!$A$2:$A$1576,$A163,'PvA Data'!$E$2:$E$1576,$D163,'PvA Data'!$C$2:$C$1576,"Custom")</f>
        <v>41</v>
      </c>
      <c r="K163" s="36">
        <f t="shared" ref="K163:K226" si="17">IF($F163=0,"",H163/$F163)</f>
        <v>0.31666666666666665</v>
      </c>
      <c r="L163" s="36">
        <f t="shared" ref="L163:L226" si="18">IF($F163=0,"",I163/$F163)</f>
        <v>0</v>
      </c>
      <c r="M163" s="36">
        <f t="shared" ref="M163:M226" si="19">IF($F163=0,"",J163/$F163)</f>
        <v>0.68333333333333335</v>
      </c>
    </row>
    <row r="164" spans="1:13" ht="15" customHeight="1" x14ac:dyDescent="0.75">
      <c r="A164" s="18" t="s">
        <v>70</v>
      </c>
      <c r="B164" s="19">
        <v>46062</v>
      </c>
      <c r="C164" s="17">
        <v>666506</v>
      </c>
      <c r="D164" s="18" t="s">
        <v>11</v>
      </c>
      <c r="E164" s="20">
        <f>SUMIFS('PvA Data'!$F$2:$F$1576,'PvA Data'!$A$2:$A$1576,$A164,'PvA Data'!$E$2:$E$1576,$D164)</f>
        <v>100</v>
      </c>
      <c r="F164" s="20">
        <f>SUMIFS('PvA Data'!$G$2:$G$1576,'PvA Data'!$A$2:$A$1576,$A164,'PvA Data'!$E$2:$E$1576,$D164)</f>
        <v>23</v>
      </c>
      <c r="G164" s="36">
        <f t="shared" si="16"/>
        <v>0.23</v>
      </c>
      <c r="H164" s="20">
        <f>SUMIFS('PvA Data'!$G$2:$G$1576,'PvA Data'!$A$2:$A$1576,$A164,'PvA Data'!$E$2:$E$1576,$D164,'PvA Data'!$C$2:$C$1576,"Nahunta")</f>
        <v>0</v>
      </c>
      <c r="I164" s="20">
        <f>SUMIFS('PvA Data'!$G$2:$G$1576,'PvA Data'!$A$2:$A$1576,$A164,'PvA Data'!$E$2:$E$1576,$D164,'PvA Data'!$C$2:$C$1576,"Martin")</f>
        <v>23</v>
      </c>
      <c r="J164" s="20">
        <f>SUMIFS('PvA Data'!$G$2:$G$1576,'PvA Data'!$A$2:$A$1576,$A164,'PvA Data'!$E$2:$E$1576,$D164,'PvA Data'!$C$2:$C$1576,"Custom")</f>
        <v>0</v>
      </c>
      <c r="K164" s="36">
        <f t="shared" si="17"/>
        <v>0</v>
      </c>
      <c r="L164" s="36">
        <f t="shared" si="18"/>
        <v>1</v>
      </c>
      <c r="M164" s="36">
        <f t="shared" si="19"/>
        <v>0</v>
      </c>
    </row>
    <row r="165" spans="1:13" ht="15" customHeight="1" x14ac:dyDescent="0.75">
      <c r="A165" s="18" t="s">
        <v>70</v>
      </c>
      <c r="B165" s="19">
        <v>46062</v>
      </c>
      <c r="C165" s="17">
        <v>666507</v>
      </c>
      <c r="D165" s="18" t="s">
        <v>13</v>
      </c>
      <c r="E165" s="20">
        <f>SUMIFS('PvA Data'!$F$2:$F$1576,'PvA Data'!$A$2:$A$1576,$A165,'PvA Data'!$E$2:$E$1576,$D165)</f>
        <v>21</v>
      </c>
      <c r="F165" s="20">
        <f>SUMIFS('PvA Data'!$G$2:$G$1576,'PvA Data'!$A$2:$A$1576,$A165,'PvA Data'!$E$2:$E$1576,$D165)</f>
        <v>29</v>
      </c>
      <c r="G165" s="36">
        <f t="shared" si="16"/>
        <v>1.3809523809523809</v>
      </c>
      <c r="H165" s="20">
        <f>SUMIFS('PvA Data'!$G$2:$G$1576,'PvA Data'!$A$2:$A$1576,$A165,'PvA Data'!$E$2:$E$1576,$D165,'PvA Data'!$C$2:$C$1576,"Nahunta")</f>
        <v>29</v>
      </c>
      <c r="I165" s="20">
        <f>SUMIFS('PvA Data'!$G$2:$G$1576,'PvA Data'!$A$2:$A$1576,$A165,'PvA Data'!$E$2:$E$1576,$D165,'PvA Data'!$C$2:$C$1576,"Martin")</f>
        <v>0</v>
      </c>
      <c r="J165" s="20">
        <f>SUMIFS('PvA Data'!$G$2:$G$1576,'PvA Data'!$A$2:$A$1576,$A165,'PvA Data'!$E$2:$E$1576,$D165,'PvA Data'!$C$2:$C$1576,"Custom")</f>
        <v>0</v>
      </c>
      <c r="K165" s="36">
        <f t="shared" si="17"/>
        <v>1</v>
      </c>
      <c r="L165" s="36">
        <f t="shared" si="18"/>
        <v>0</v>
      </c>
      <c r="M165" s="36">
        <f t="shared" si="19"/>
        <v>0</v>
      </c>
    </row>
    <row r="166" spans="1:13" ht="15" customHeight="1" x14ac:dyDescent="0.75">
      <c r="A166" s="18" t="s">
        <v>70</v>
      </c>
      <c r="B166" s="19">
        <v>46062</v>
      </c>
      <c r="C166" s="17">
        <v>666509</v>
      </c>
      <c r="D166" s="18" t="s">
        <v>15</v>
      </c>
      <c r="E166" s="20">
        <f>SUMIFS('PvA Data'!$F$2:$F$1576,'PvA Data'!$A$2:$A$1576,$A166,'PvA Data'!$E$2:$E$1576,$D166)</f>
        <v>0</v>
      </c>
      <c r="F166" s="20">
        <f>SUMIFS('PvA Data'!$G$2:$G$1576,'PvA Data'!$A$2:$A$1576,$A166,'PvA Data'!$E$2:$E$1576,$D166)</f>
        <v>0</v>
      </c>
      <c r="G166" s="36" t="str">
        <f t="shared" si="16"/>
        <v/>
      </c>
      <c r="H166" s="20">
        <f>SUMIFS('PvA Data'!$G$2:$G$1576,'PvA Data'!$A$2:$A$1576,$A166,'PvA Data'!$E$2:$E$1576,$D166,'PvA Data'!$C$2:$C$1576,"Nahunta")</f>
        <v>0</v>
      </c>
      <c r="I166" s="20">
        <f>SUMIFS('PvA Data'!$G$2:$G$1576,'PvA Data'!$A$2:$A$1576,$A166,'PvA Data'!$E$2:$E$1576,$D166,'PvA Data'!$C$2:$C$1576,"Martin")</f>
        <v>0</v>
      </c>
      <c r="J166" s="20">
        <f>SUMIFS('PvA Data'!$G$2:$G$1576,'PvA Data'!$A$2:$A$1576,$A166,'PvA Data'!$E$2:$E$1576,$D166,'PvA Data'!$C$2:$C$1576,"Custom")</f>
        <v>0</v>
      </c>
      <c r="K166" s="36" t="str">
        <f t="shared" si="17"/>
        <v/>
      </c>
      <c r="L166" s="36" t="str">
        <f t="shared" si="18"/>
        <v/>
      </c>
      <c r="M166" s="36" t="str">
        <f t="shared" si="19"/>
        <v/>
      </c>
    </row>
    <row r="167" spans="1:13" ht="15" customHeight="1" x14ac:dyDescent="0.75">
      <c r="A167" s="18" t="s">
        <v>70</v>
      </c>
      <c r="B167" s="19">
        <v>46062</v>
      </c>
      <c r="C167" s="17">
        <v>666510</v>
      </c>
      <c r="D167" s="18" t="s">
        <v>17</v>
      </c>
      <c r="E167" s="20">
        <f>SUMIFS('PvA Data'!$F$2:$F$1576,'PvA Data'!$A$2:$A$1576,$A167,'PvA Data'!$E$2:$E$1576,$D167)</f>
        <v>0</v>
      </c>
      <c r="F167" s="20">
        <f>SUMIFS('PvA Data'!$G$2:$G$1576,'PvA Data'!$A$2:$A$1576,$A167,'PvA Data'!$E$2:$E$1576,$D167)</f>
        <v>0</v>
      </c>
      <c r="G167" s="36" t="str">
        <f t="shared" si="16"/>
        <v/>
      </c>
      <c r="H167" s="20">
        <f>SUMIFS('PvA Data'!$G$2:$G$1576,'PvA Data'!$A$2:$A$1576,$A167,'PvA Data'!$E$2:$E$1576,$D167,'PvA Data'!$C$2:$C$1576,"Nahunta")</f>
        <v>0</v>
      </c>
      <c r="I167" s="20">
        <f>SUMIFS('PvA Data'!$G$2:$G$1576,'PvA Data'!$A$2:$A$1576,$A167,'PvA Data'!$E$2:$E$1576,$D167,'PvA Data'!$C$2:$C$1576,"Martin")</f>
        <v>0</v>
      </c>
      <c r="J167" s="20">
        <f>SUMIFS('PvA Data'!$G$2:$G$1576,'PvA Data'!$A$2:$A$1576,$A167,'PvA Data'!$E$2:$E$1576,$D167,'PvA Data'!$C$2:$C$1576,"Custom")</f>
        <v>0</v>
      </c>
      <c r="K167" s="36" t="str">
        <f t="shared" si="17"/>
        <v/>
      </c>
      <c r="L167" s="36" t="str">
        <f t="shared" si="18"/>
        <v/>
      </c>
      <c r="M167" s="36" t="str">
        <f t="shared" si="19"/>
        <v/>
      </c>
    </row>
    <row r="168" spans="1:13" ht="15" customHeight="1" x14ac:dyDescent="0.75">
      <c r="A168" s="18" t="s">
        <v>70</v>
      </c>
      <c r="B168" s="19">
        <v>46062</v>
      </c>
      <c r="C168" s="17">
        <v>666511</v>
      </c>
      <c r="D168" s="18" t="s">
        <v>19</v>
      </c>
      <c r="E168" s="20">
        <f>SUMIFS('PvA Data'!$F$2:$F$1576,'PvA Data'!$A$2:$A$1576,$A168,'PvA Data'!$E$2:$E$1576,$D168)</f>
        <v>4</v>
      </c>
      <c r="F168" s="20">
        <f>SUMIFS('PvA Data'!$G$2:$G$1576,'PvA Data'!$A$2:$A$1576,$A168,'PvA Data'!$E$2:$E$1576,$D168)</f>
        <v>0</v>
      </c>
      <c r="G168" s="36">
        <f t="shared" si="16"/>
        <v>0</v>
      </c>
      <c r="H168" s="20">
        <f>SUMIFS('PvA Data'!$G$2:$G$1576,'PvA Data'!$A$2:$A$1576,$A168,'PvA Data'!$E$2:$E$1576,$D168,'PvA Data'!$C$2:$C$1576,"Nahunta")</f>
        <v>0</v>
      </c>
      <c r="I168" s="20">
        <f>SUMIFS('PvA Data'!$G$2:$G$1576,'PvA Data'!$A$2:$A$1576,$A168,'PvA Data'!$E$2:$E$1576,$D168,'PvA Data'!$C$2:$C$1576,"Martin")</f>
        <v>0</v>
      </c>
      <c r="J168" s="20">
        <f>SUMIFS('PvA Data'!$G$2:$G$1576,'PvA Data'!$A$2:$A$1576,$A168,'PvA Data'!$E$2:$E$1576,$D168,'PvA Data'!$C$2:$C$1576,"Custom")</f>
        <v>0</v>
      </c>
      <c r="K168" s="36" t="str">
        <f t="shared" si="17"/>
        <v/>
      </c>
      <c r="L168" s="36" t="str">
        <f t="shared" si="18"/>
        <v/>
      </c>
      <c r="M168" s="36" t="str">
        <f t="shared" si="19"/>
        <v/>
      </c>
    </row>
    <row r="169" spans="1:13" ht="15" customHeight="1" x14ac:dyDescent="0.75">
      <c r="A169" s="18" t="s">
        <v>70</v>
      </c>
      <c r="B169" s="19">
        <v>46062</v>
      </c>
      <c r="C169" s="17">
        <v>666513</v>
      </c>
      <c r="D169" s="18" t="s">
        <v>21</v>
      </c>
      <c r="E169" s="20">
        <f>SUMIFS('PvA Data'!$F$2:$F$1576,'PvA Data'!$A$2:$A$1576,$A169,'PvA Data'!$E$2:$E$1576,$D169)</f>
        <v>0</v>
      </c>
      <c r="F169" s="20">
        <f>SUMIFS('PvA Data'!$G$2:$G$1576,'PvA Data'!$A$2:$A$1576,$A169,'PvA Data'!$E$2:$E$1576,$D169)</f>
        <v>0</v>
      </c>
      <c r="G169" s="36" t="str">
        <f t="shared" si="16"/>
        <v/>
      </c>
      <c r="H169" s="20">
        <f>SUMIFS('PvA Data'!$G$2:$G$1576,'PvA Data'!$A$2:$A$1576,$A169,'PvA Data'!$E$2:$E$1576,$D169,'PvA Data'!$C$2:$C$1576,"Nahunta")</f>
        <v>0</v>
      </c>
      <c r="I169" s="20">
        <f>SUMIFS('PvA Data'!$G$2:$G$1576,'PvA Data'!$A$2:$A$1576,$A169,'PvA Data'!$E$2:$E$1576,$D169,'PvA Data'!$C$2:$C$1576,"Martin")</f>
        <v>0</v>
      </c>
      <c r="J169" s="20">
        <f>SUMIFS('PvA Data'!$G$2:$G$1576,'PvA Data'!$A$2:$A$1576,$A169,'PvA Data'!$E$2:$E$1576,$D169,'PvA Data'!$C$2:$C$1576,"Custom")</f>
        <v>0</v>
      </c>
      <c r="K169" s="36" t="str">
        <f t="shared" si="17"/>
        <v/>
      </c>
      <c r="L169" s="36" t="str">
        <f t="shared" si="18"/>
        <v/>
      </c>
      <c r="M169" s="36" t="str">
        <f t="shared" si="19"/>
        <v/>
      </c>
    </row>
    <row r="170" spans="1:13" ht="15" customHeight="1" x14ac:dyDescent="0.75">
      <c r="A170" s="18" t="s">
        <v>70</v>
      </c>
      <c r="B170" s="19">
        <v>46062</v>
      </c>
      <c r="C170" s="17">
        <v>666516</v>
      </c>
      <c r="D170" s="18" t="s">
        <v>23</v>
      </c>
      <c r="E170" s="20">
        <f>SUMIFS('PvA Data'!$F$2:$F$1576,'PvA Data'!$A$2:$A$1576,$A170,'PvA Data'!$E$2:$E$1576,$D170)</f>
        <v>10</v>
      </c>
      <c r="F170" s="20">
        <f>SUMIFS('PvA Data'!$G$2:$G$1576,'PvA Data'!$A$2:$A$1576,$A170,'PvA Data'!$E$2:$E$1576,$D170)</f>
        <v>14</v>
      </c>
      <c r="G170" s="36">
        <f t="shared" si="16"/>
        <v>1.4</v>
      </c>
      <c r="H170" s="20">
        <f>SUMIFS('PvA Data'!$G$2:$G$1576,'PvA Data'!$A$2:$A$1576,$A170,'PvA Data'!$E$2:$E$1576,$D170,'PvA Data'!$C$2:$C$1576,"Nahunta")</f>
        <v>0</v>
      </c>
      <c r="I170" s="20">
        <f>SUMIFS('PvA Data'!$G$2:$G$1576,'PvA Data'!$A$2:$A$1576,$A170,'PvA Data'!$E$2:$E$1576,$D170,'PvA Data'!$C$2:$C$1576,"Martin")</f>
        <v>0</v>
      </c>
      <c r="J170" s="20">
        <f>SUMIFS('PvA Data'!$G$2:$G$1576,'PvA Data'!$A$2:$A$1576,$A170,'PvA Data'!$E$2:$E$1576,$D170,'PvA Data'!$C$2:$C$1576,"Custom")</f>
        <v>14</v>
      </c>
      <c r="K170" s="36">
        <f t="shared" si="17"/>
        <v>0</v>
      </c>
      <c r="L170" s="36">
        <f t="shared" si="18"/>
        <v>0</v>
      </c>
      <c r="M170" s="36">
        <f t="shared" si="19"/>
        <v>1</v>
      </c>
    </row>
    <row r="171" spans="1:13" ht="15" customHeight="1" x14ac:dyDescent="0.75">
      <c r="A171" s="18" t="s">
        <v>70</v>
      </c>
      <c r="B171" s="19">
        <v>46062</v>
      </c>
      <c r="C171" s="17">
        <v>666517</v>
      </c>
      <c r="D171" s="18" t="s">
        <v>25</v>
      </c>
      <c r="E171" s="20">
        <f>SUMIFS('PvA Data'!$F$2:$F$1576,'PvA Data'!$A$2:$A$1576,$A171,'PvA Data'!$E$2:$E$1576,$D171)</f>
        <v>21</v>
      </c>
      <c r="F171" s="20">
        <f>SUMIFS('PvA Data'!$G$2:$G$1576,'PvA Data'!$A$2:$A$1576,$A171,'PvA Data'!$E$2:$E$1576,$D171)</f>
        <v>42</v>
      </c>
      <c r="G171" s="36">
        <f t="shared" si="16"/>
        <v>2</v>
      </c>
      <c r="H171" s="20">
        <f>SUMIFS('PvA Data'!$G$2:$G$1576,'PvA Data'!$A$2:$A$1576,$A171,'PvA Data'!$E$2:$E$1576,$D171,'PvA Data'!$C$2:$C$1576,"Nahunta")</f>
        <v>29</v>
      </c>
      <c r="I171" s="20">
        <f>SUMIFS('PvA Data'!$G$2:$G$1576,'PvA Data'!$A$2:$A$1576,$A171,'PvA Data'!$E$2:$E$1576,$D171,'PvA Data'!$C$2:$C$1576,"Martin")</f>
        <v>0</v>
      </c>
      <c r="J171" s="20">
        <f>SUMIFS('PvA Data'!$G$2:$G$1576,'PvA Data'!$A$2:$A$1576,$A171,'PvA Data'!$E$2:$E$1576,$D171,'PvA Data'!$C$2:$C$1576,"Custom")</f>
        <v>13</v>
      </c>
      <c r="K171" s="36">
        <f t="shared" si="17"/>
        <v>0.69047619047619047</v>
      </c>
      <c r="L171" s="36">
        <f t="shared" si="18"/>
        <v>0</v>
      </c>
      <c r="M171" s="36">
        <f t="shared" si="19"/>
        <v>0.30952380952380953</v>
      </c>
    </row>
    <row r="172" spans="1:13" ht="15" customHeight="1" x14ac:dyDescent="0.75">
      <c r="A172" s="18" t="s">
        <v>70</v>
      </c>
      <c r="B172" s="19">
        <v>46062</v>
      </c>
      <c r="C172" s="17">
        <v>666518</v>
      </c>
      <c r="D172" s="18" t="s">
        <v>27</v>
      </c>
      <c r="E172" s="20">
        <f>SUMIFS('PvA Data'!$F$2:$F$1576,'PvA Data'!$A$2:$A$1576,$A172,'PvA Data'!$E$2:$E$1576,$D172)</f>
        <v>0</v>
      </c>
      <c r="F172" s="20">
        <f>SUMIFS('PvA Data'!$G$2:$G$1576,'PvA Data'!$A$2:$A$1576,$A172,'PvA Data'!$E$2:$E$1576,$D172)</f>
        <v>0</v>
      </c>
      <c r="G172" s="36" t="str">
        <f t="shared" si="16"/>
        <v/>
      </c>
      <c r="H172" s="20">
        <f>SUMIFS('PvA Data'!$G$2:$G$1576,'PvA Data'!$A$2:$A$1576,$A172,'PvA Data'!$E$2:$E$1576,$D172,'PvA Data'!$C$2:$C$1576,"Nahunta")</f>
        <v>0</v>
      </c>
      <c r="I172" s="20">
        <f>SUMIFS('PvA Data'!$G$2:$G$1576,'PvA Data'!$A$2:$A$1576,$A172,'PvA Data'!$E$2:$E$1576,$D172,'PvA Data'!$C$2:$C$1576,"Martin")</f>
        <v>0</v>
      </c>
      <c r="J172" s="20">
        <f>SUMIFS('PvA Data'!$G$2:$G$1576,'PvA Data'!$A$2:$A$1576,$A172,'PvA Data'!$E$2:$E$1576,$D172,'PvA Data'!$C$2:$C$1576,"Custom")</f>
        <v>0</v>
      </c>
      <c r="K172" s="36" t="str">
        <f t="shared" si="17"/>
        <v/>
      </c>
      <c r="L172" s="36" t="str">
        <f t="shared" si="18"/>
        <v/>
      </c>
      <c r="M172" s="36" t="str">
        <f t="shared" si="19"/>
        <v/>
      </c>
    </row>
    <row r="173" spans="1:13" ht="15" customHeight="1" x14ac:dyDescent="0.75">
      <c r="A173" s="18" t="s">
        <v>70</v>
      </c>
      <c r="B173" s="19">
        <v>46062</v>
      </c>
      <c r="C173" s="17">
        <v>666519</v>
      </c>
      <c r="D173" s="18" t="s">
        <v>29</v>
      </c>
      <c r="E173" s="20">
        <f>SUMIFS('PvA Data'!$F$2:$F$1576,'PvA Data'!$A$2:$A$1576,$A173,'PvA Data'!$E$2:$E$1576,$D173)</f>
        <v>31</v>
      </c>
      <c r="F173" s="20">
        <f>SUMIFS('PvA Data'!$G$2:$G$1576,'PvA Data'!$A$2:$A$1576,$A173,'PvA Data'!$E$2:$E$1576,$D173)</f>
        <v>62</v>
      </c>
      <c r="G173" s="36">
        <f t="shared" si="16"/>
        <v>2</v>
      </c>
      <c r="H173" s="20">
        <f>SUMIFS('PvA Data'!$G$2:$G$1576,'PvA Data'!$A$2:$A$1576,$A173,'PvA Data'!$E$2:$E$1576,$D173,'PvA Data'!$C$2:$C$1576,"Nahunta")</f>
        <v>31</v>
      </c>
      <c r="I173" s="20">
        <f>SUMIFS('PvA Data'!$G$2:$G$1576,'PvA Data'!$A$2:$A$1576,$A173,'PvA Data'!$E$2:$E$1576,$D173,'PvA Data'!$C$2:$C$1576,"Martin")</f>
        <v>0</v>
      </c>
      <c r="J173" s="20">
        <f>SUMIFS('PvA Data'!$G$2:$G$1576,'PvA Data'!$A$2:$A$1576,$A173,'PvA Data'!$E$2:$E$1576,$D173,'PvA Data'!$C$2:$C$1576,"Custom")</f>
        <v>31</v>
      </c>
      <c r="K173" s="36">
        <f t="shared" si="17"/>
        <v>0.5</v>
      </c>
      <c r="L173" s="36">
        <f t="shared" si="18"/>
        <v>0</v>
      </c>
      <c r="M173" s="36">
        <f t="shared" si="19"/>
        <v>0.5</v>
      </c>
    </row>
    <row r="174" spans="1:13" ht="15" customHeight="1" x14ac:dyDescent="0.75">
      <c r="A174" s="18" t="s">
        <v>70</v>
      </c>
      <c r="B174" s="19">
        <v>46062</v>
      </c>
      <c r="C174" s="17">
        <v>666521</v>
      </c>
      <c r="D174" s="18" t="s">
        <v>31</v>
      </c>
      <c r="E174" s="20">
        <f>SUMIFS('PvA Data'!$F$2:$F$1576,'PvA Data'!$A$2:$A$1576,$A174,'PvA Data'!$E$2:$E$1576,$D174)</f>
        <v>0</v>
      </c>
      <c r="F174" s="20">
        <f>SUMIFS('PvA Data'!$G$2:$G$1576,'PvA Data'!$A$2:$A$1576,$A174,'PvA Data'!$E$2:$E$1576,$D174)</f>
        <v>0</v>
      </c>
      <c r="G174" s="36" t="str">
        <f t="shared" si="16"/>
        <v/>
      </c>
      <c r="H174" s="20">
        <f>SUMIFS('PvA Data'!$G$2:$G$1576,'PvA Data'!$A$2:$A$1576,$A174,'PvA Data'!$E$2:$E$1576,$D174,'PvA Data'!$C$2:$C$1576,"Nahunta")</f>
        <v>0</v>
      </c>
      <c r="I174" s="20">
        <f>SUMIFS('PvA Data'!$G$2:$G$1576,'PvA Data'!$A$2:$A$1576,$A174,'PvA Data'!$E$2:$E$1576,$D174,'PvA Data'!$C$2:$C$1576,"Martin")</f>
        <v>0</v>
      </c>
      <c r="J174" s="20">
        <f>SUMIFS('PvA Data'!$G$2:$G$1576,'PvA Data'!$A$2:$A$1576,$A174,'PvA Data'!$E$2:$E$1576,$D174,'PvA Data'!$C$2:$C$1576,"Custom")</f>
        <v>0</v>
      </c>
      <c r="K174" s="36" t="str">
        <f t="shared" si="17"/>
        <v/>
      </c>
      <c r="L174" s="36" t="str">
        <f t="shared" si="18"/>
        <v/>
      </c>
      <c r="M174" s="36" t="str">
        <f t="shared" si="19"/>
        <v/>
      </c>
    </row>
    <row r="175" spans="1:13" ht="15" customHeight="1" x14ac:dyDescent="0.75">
      <c r="A175" s="18" t="s">
        <v>70</v>
      </c>
      <c r="B175" s="19">
        <v>46062</v>
      </c>
      <c r="C175" s="17">
        <v>666522</v>
      </c>
      <c r="D175" s="18" t="s">
        <v>33</v>
      </c>
      <c r="E175" s="20">
        <f>SUMIFS('PvA Data'!$F$2:$F$1576,'PvA Data'!$A$2:$A$1576,$A175,'PvA Data'!$E$2:$E$1576,$D175)</f>
        <v>180</v>
      </c>
      <c r="F175" s="20">
        <f>SUMIFS('PvA Data'!$G$2:$G$1576,'PvA Data'!$A$2:$A$1576,$A175,'PvA Data'!$E$2:$E$1576,$D175)</f>
        <v>335</v>
      </c>
      <c r="G175" s="36">
        <f t="shared" si="16"/>
        <v>1.8611111111111112</v>
      </c>
      <c r="H175" s="20">
        <f>SUMIFS('PvA Data'!$G$2:$G$1576,'PvA Data'!$A$2:$A$1576,$A175,'PvA Data'!$E$2:$E$1576,$D175,'PvA Data'!$C$2:$C$1576,"Nahunta")</f>
        <v>115</v>
      </c>
      <c r="I175" s="20">
        <f>SUMIFS('PvA Data'!$G$2:$G$1576,'PvA Data'!$A$2:$A$1576,$A175,'PvA Data'!$E$2:$E$1576,$D175,'PvA Data'!$C$2:$C$1576,"Martin")</f>
        <v>175</v>
      </c>
      <c r="J175" s="20">
        <f>SUMIFS('PvA Data'!$G$2:$G$1576,'PvA Data'!$A$2:$A$1576,$A175,'PvA Data'!$E$2:$E$1576,$D175,'PvA Data'!$C$2:$C$1576,"Custom")</f>
        <v>45</v>
      </c>
      <c r="K175" s="36">
        <f t="shared" si="17"/>
        <v>0.34328358208955223</v>
      </c>
      <c r="L175" s="36">
        <f t="shared" si="18"/>
        <v>0.52238805970149249</v>
      </c>
      <c r="M175" s="36">
        <f t="shared" si="19"/>
        <v>0.13432835820895522</v>
      </c>
    </row>
    <row r="176" spans="1:13" ht="15" customHeight="1" x14ac:dyDescent="0.75">
      <c r="A176" s="18" t="s">
        <v>70</v>
      </c>
      <c r="B176" s="19">
        <v>46062</v>
      </c>
      <c r="C176" s="17">
        <v>666523</v>
      </c>
      <c r="D176" s="18" t="s">
        <v>35</v>
      </c>
      <c r="E176" s="20">
        <f>SUMIFS('PvA Data'!$F$2:$F$1576,'PvA Data'!$A$2:$A$1576,$A176,'PvA Data'!$E$2:$E$1576,$D176)</f>
        <v>30</v>
      </c>
      <c r="F176" s="20">
        <f>SUMIFS('PvA Data'!$G$2:$G$1576,'PvA Data'!$A$2:$A$1576,$A176,'PvA Data'!$E$2:$E$1576,$D176)</f>
        <v>60</v>
      </c>
      <c r="G176" s="36">
        <f t="shared" si="16"/>
        <v>2</v>
      </c>
      <c r="H176" s="20">
        <f>SUMIFS('PvA Data'!$G$2:$G$1576,'PvA Data'!$A$2:$A$1576,$A176,'PvA Data'!$E$2:$E$1576,$D176,'PvA Data'!$C$2:$C$1576,"Nahunta")</f>
        <v>0</v>
      </c>
      <c r="I176" s="20">
        <f>SUMIFS('PvA Data'!$G$2:$G$1576,'PvA Data'!$A$2:$A$1576,$A176,'PvA Data'!$E$2:$E$1576,$D176,'PvA Data'!$C$2:$C$1576,"Martin")</f>
        <v>48</v>
      </c>
      <c r="J176" s="20">
        <f>SUMIFS('PvA Data'!$G$2:$G$1576,'PvA Data'!$A$2:$A$1576,$A176,'PvA Data'!$E$2:$E$1576,$D176,'PvA Data'!$C$2:$C$1576,"Custom")</f>
        <v>12</v>
      </c>
      <c r="K176" s="36">
        <f t="shared" si="17"/>
        <v>0</v>
      </c>
      <c r="L176" s="36">
        <f t="shared" si="18"/>
        <v>0.8</v>
      </c>
      <c r="M176" s="36">
        <f t="shared" si="19"/>
        <v>0.2</v>
      </c>
    </row>
    <row r="177" spans="1:13" ht="15" customHeight="1" x14ac:dyDescent="0.75">
      <c r="A177" s="18" t="s">
        <v>70</v>
      </c>
      <c r="B177" s="19">
        <v>46062</v>
      </c>
      <c r="C177" s="17">
        <v>666530</v>
      </c>
      <c r="D177" s="18" t="s">
        <v>37</v>
      </c>
      <c r="E177" s="20">
        <f>SUMIFS('PvA Data'!$F$2:$F$1576,'PvA Data'!$A$2:$A$1576,$A177,'PvA Data'!$E$2:$E$1576,$D177)</f>
        <v>10</v>
      </c>
      <c r="F177" s="20">
        <f>SUMIFS('PvA Data'!$G$2:$G$1576,'PvA Data'!$A$2:$A$1576,$A177,'PvA Data'!$E$2:$E$1576,$D177)</f>
        <v>20</v>
      </c>
      <c r="G177" s="36">
        <f t="shared" si="16"/>
        <v>2</v>
      </c>
      <c r="H177" s="20">
        <f>SUMIFS('PvA Data'!$G$2:$G$1576,'PvA Data'!$A$2:$A$1576,$A177,'PvA Data'!$E$2:$E$1576,$D177,'PvA Data'!$C$2:$C$1576,"Nahunta")</f>
        <v>5</v>
      </c>
      <c r="I177" s="20">
        <f>SUMIFS('PvA Data'!$G$2:$G$1576,'PvA Data'!$A$2:$A$1576,$A177,'PvA Data'!$E$2:$E$1576,$D177,'PvA Data'!$C$2:$C$1576,"Martin")</f>
        <v>0</v>
      </c>
      <c r="J177" s="20">
        <f>SUMIFS('PvA Data'!$G$2:$G$1576,'PvA Data'!$A$2:$A$1576,$A177,'PvA Data'!$E$2:$E$1576,$D177,'PvA Data'!$C$2:$C$1576,"Custom")</f>
        <v>15</v>
      </c>
      <c r="K177" s="36">
        <f t="shared" si="17"/>
        <v>0.25</v>
      </c>
      <c r="L177" s="36">
        <f t="shared" si="18"/>
        <v>0</v>
      </c>
      <c r="M177" s="36">
        <f t="shared" si="19"/>
        <v>0.75</v>
      </c>
    </row>
    <row r="178" spans="1:13" ht="15" customHeight="1" x14ac:dyDescent="0.75">
      <c r="A178" s="18" t="s">
        <v>70</v>
      </c>
      <c r="B178" s="19">
        <v>46062</v>
      </c>
      <c r="C178" s="17">
        <v>666531</v>
      </c>
      <c r="D178" s="18" t="s">
        <v>39</v>
      </c>
      <c r="E178" s="20">
        <f>SUMIFS('PvA Data'!$F$2:$F$1576,'PvA Data'!$A$2:$A$1576,$A178,'PvA Data'!$E$2:$E$1576,$D178)</f>
        <v>13</v>
      </c>
      <c r="F178" s="20">
        <f>SUMIFS('PvA Data'!$G$2:$G$1576,'PvA Data'!$A$2:$A$1576,$A178,'PvA Data'!$E$2:$E$1576,$D178)</f>
        <v>26</v>
      </c>
      <c r="G178" s="36">
        <f t="shared" si="16"/>
        <v>2</v>
      </c>
      <c r="H178" s="20">
        <f>SUMIFS('PvA Data'!$G$2:$G$1576,'PvA Data'!$A$2:$A$1576,$A178,'PvA Data'!$E$2:$E$1576,$D178,'PvA Data'!$C$2:$C$1576,"Nahunta")</f>
        <v>18</v>
      </c>
      <c r="I178" s="20">
        <f>SUMIFS('PvA Data'!$G$2:$G$1576,'PvA Data'!$A$2:$A$1576,$A178,'PvA Data'!$E$2:$E$1576,$D178,'PvA Data'!$C$2:$C$1576,"Martin")</f>
        <v>0</v>
      </c>
      <c r="J178" s="20">
        <f>SUMIFS('PvA Data'!$G$2:$G$1576,'PvA Data'!$A$2:$A$1576,$A178,'PvA Data'!$E$2:$E$1576,$D178,'PvA Data'!$C$2:$C$1576,"Custom")</f>
        <v>8</v>
      </c>
      <c r="K178" s="36">
        <f t="shared" si="17"/>
        <v>0.69230769230769229</v>
      </c>
      <c r="L178" s="36">
        <f t="shared" si="18"/>
        <v>0</v>
      </c>
      <c r="M178" s="36">
        <f t="shared" si="19"/>
        <v>0.30769230769230771</v>
      </c>
    </row>
    <row r="179" spans="1:13" ht="15" customHeight="1" x14ac:dyDescent="0.75">
      <c r="A179" s="18" t="s">
        <v>70</v>
      </c>
      <c r="B179" s="19">
        <v>46062</v>
      </c>
      <c r="C179" s="17">
        <v>666540</v>
      </c>
      <c r="D179" s="18" t="s">
        <v>40</v>
      </c>
      <c r="E179" s="20">
        <f>SUMIFS('PvA Data'!$F$2:$F$1576,'PvA Data'!$A$2:$A$1576,$A179,'PvA Data'!$E$2:$E$1576,$D179)</f>
        <v>120</v>
      </c>
      <c r="F179" s="20">
        <f>SUMIFS('PvA Data'!$G$2:$G$1576,'PvA Data'!$A$2:$A$1576,$A179,'PvA Data'!$E$2:$E$1576,$D179)</f>
        <v>34</v>
      </c>
      <c r="G179" s="36">
        <f t="shared" si="16"/>
        <v>0.28333333333333333</v>
      </c>
      <c r="H179" s="20">
        <f>SUMIFS('PvA Data'!$G$2:$G$1576,'PvA Data'!$A$2:$A$1576,$A179,'PvA Data'!$E$2:$E$1576,$D179,'PvA Data'!$C$2:$C$1576,"Nahunta")</f>
        <v>0</v>
      </c>
      <c r="I179" s="20">
        <f>SUMIFS('PvA Data'!$G$2:$G$1576,'PvA Data'!$A$2:$A$1576,$A179,'PvA Data'!$E$2:$E$1576,$D179,'PvA Data'!$C$2:$C$1576,"Martin")</f>
        <v>34</v>
      </c>
      <c r="J179" s="20">
        <f>SUMIFS('PvA Data'!$G$2:$G$1576,'PvA Data'!$A$2:$A$1576,$A179,'PvA Data'!$E$2:$E$1576,$D179,'PvA Data'!$C$2:$C$1576,"Custom")</f>
        <v>0</v>
      </c>
      <c r="K179" s="36">
        <f t="shared" si="17"/>
        <v>0</v>
      </c>
      <c r="L179" s="36">
        <f t="shared" si="18"/>
        <v>1</v>
      </c>
      <c r="M179" s="36">
        <f t="shared" si="19"/>
        <v>0</v>
      </c>
    </row>
    <row r="180" spans="1:13" ht="15" customHeight="1" x14ac:dyDescent="0.75">
      <c r="A180" s="18" t="s">
        <v>70</v>
      </c>
      <c r="B180" s="19">
        <v>46062</v>
      </c>
      <c r="C180" s="17">
        <v>666541</v>
      </c>
      <c r="D180" s="18" t="s">
        <v>41</v>
      </c>
      <c r="E180" s="20">
        <f>SUMIFS('PvA Data'!$F$2:$F$1576,'PvA Data'!$A$2:$A$1576,$A180,'PvA Data'!$E$2:$E$1576,$D180)</f>
        <v>120</v>
      </c>
      <c r="F180" s="20">
        <f>SUMIFS('PvA Data'!$G$2:$G$1576,'PvA Data'!$A$2:$A$1576,$A180,'PvA Data'!$E$2:$E$1576,$D180)</f>
        <v>95</v>
      </c>
      <c r="G180" s="36">
        <f t="shared" si="16"/>
        <v>0.79166666666666663</v>
      </c>
      <c r="H180" s="20">
        <f>SUMIFS('PvA Data'!$G$2:$G$1576,'PvA Data'!$A$2:$A$1576,$A180,'PvA Data'!$E$2:$E$1576,$D180,'PvA Data'!$C$2:$C$1576,"Nahunta")</f>
        <v>0</v>
      </c>
      <c r="I180" s="20">
        <f>SUMIFS('PvA Data'!$G$2:$G$1576,'PvA Data'!$A$2:$A$1576,$A180,'PvA Data'!$E$2:$E$1576,$D180,'PvA Data'!$C$2:$C$1576,"Martin")</f>
        <v>95</v>
      </c>
      <c r="J180" s="20">
        <f>SUMIFS('PvA Data'!$G$2:$G$1576,'PvA Data'!$A$2:$A$1576,$A180,'PvA Data'!$E$2:$E$1576,$D180,'PvA Data'!$C$2:$C$1576,"Custom")</f>
        <v>0</v>
      </c>
      <c r="K180" s="36">
        <f t="shared" si="17"/>
        <v>0</v>
      </c>
      <c r="L180" s="36">
        <f t="shared" si="18"/>
        <v>1</v>
      </c>
      <c r="M180" s="36">
        <f t="shared" si="19"/>
        <v>0</v>
      </c>
    </row>
    <row r="181" spans="1:13" ht="15" customHeight="1" x14ac:dyDescent="0.75">
      <c r="A181" s="18" t="s">
        <v>70</v>
      </c>
      <c r="B181" s="19">
        <v>46062</v>
      </c>
      <c r="C181" s="17">
        <v>666536</v>
      </c>
      <c r="D181" s="18" t="s">
        <v>43</v>
      </c>
      <c r="E181" s="20">
        <f>SUMIFS('PvA Data'!$F$2:$F$1576,'PvA Data'!$A$2:$A$1576,$A181,'PvA Data'!$E$2:$E$1576,$D181)</f>
        <v>1</v>
      </c>
      <c r="F181" s="20">
        <f>SUMIFS('PvA Data'!$G$2:$G$1576,'PvA Data'!$A$2:$A$1576,$A181,'PvA Data'!$E$2:$E$1576,$D181)</f>
        <v>0</v>
      </c>
      <c r="G181" s="36">
        <f t="shared" si="16"/>
        <v>0</v>
      </c>
      <c r="H181" s="20">
        <f>SUMIFS('PvA Data'!$G$2:$G$1576,'PvA Data'!$A$2:$A$1576,$A181,'PvA Data'!$E$2:$E$1576,$D181,'PvA Data'!$C$2:$C$1576,"Nahunta")</f>
        <v>0</v>
      </c>
      <c r="I181" s="20">
        <f>SUMIFS('PvA Data'!$G$2:$G$1576,'PvA Data'!$A$2:$A$1576,$A181,'PvA Data'!$E$2:$E$1576,$D181,'PvA Data'!$C$2:$C$1576,"Martin")</f>
        <v>0</v>
      </c>
      <c r="J181" s="20">
        <f>SUMIFS('PvA Data'!$G$2:$G$1576,'PvA Data'!$A$2:$A$1576,$A181,'PvA Data'!$E$2:$E$1576,$D181,'PvA Data'!$C$2:$C$1576,"Custom")</f>
        <v>0</v>
      </c>
      <c r="K181" s="36" t="str">
        <f t="shared" si="17"/>
        <v/>
      </c>
      <c r="L181" s="36" t="str">
        <f t="shared" si="18"/>
        <v/>
      </c>
      <c r="M181" s="36" t="str">
        <f t="shared" si="19"/>
        <v/>
      </c>
    </row>
    <row r="182" spans="1:13" ht="15" customHeight="1" x14ac:dyDescent="0.75">
      <c r="A182" s="18" t="s">
        <v>71</v>
      </c>
      <c r="B182" s="19">
        <v>46069</v>
      </c>
      <c r="C182" s="17">
        <v>666501</v>
      </c>
      <c r="D182" s="18" t="s">
        <v>5</v>
      </c>
      <c r="E182" s="20">
        <f>SUMIFS('PvA Data'!$F$2:$F$1576,'PvA Data'!$A$2:$A$1576,$A182,'PvA Data'!$E$2:$E$1576,$D182)</f>
        <v>253.5</v>
      </c>
      <c r="F182" s="20">
        <f>SUMIFS('PvA Data'!$G$2:$G$1576,'PvA Data'!$A$2:$A$1576,$A182,'PvA Data'!$E$2:$E$1576,$D182)</f>
        <v>180</v>
      </c>
      <c r="G182" s="36">
        <f t="shared" si="16"/>
        <v>0.7100591715976331</v>
      </c>
      <c r="H182" s="20">
        <f>SUMIFS('PvA Data'!$G$2:$G$1576,'PvA Data'!$A$2:$A$1576,$A182,'PvA Data'!$E$2:$E$1576,$D182,'PvA Data'!$C$2:$C$1576,"Nahunta")</f>
        <v>6</v>
      </c>
      <c r="I182" s="20">
        <f>SUMIFS('PvA Data'!$G$2:$G$1576,'PvA Data'!$A$2:$A$1576,$A182,'PvA Data'!$E$2:$E$1576,$D182,'PvA Data'!$C$2:$C$1576,"Martin")</f>
        <v>174</v>
      </c>
      <c r="J182" s="20">
        <f>SUMIFS('PvA Data'!$G$2:$G$1576,'PvA Data'!$A$2:$A$1576,$A182,'PvA Data'!$E$2:$E$1576,$D182,'PvA Data'!$C$2:$C$1576,"Custom")</f>
        <v>0</v>
      </c>
      <c r="K182" s="36">
        <f t="shared" si="17"/>
        <v>3.3333333333333333E-2</v>
      </c>
      <c r="L182" s="36">
        <f t="shared" si="18"/>
        <v>0.96666666666666667</v>
      </c>
      <c r="M182" s="36">
        <f t="shared" si="19"/>
        <v>0</v>
      </c>
    </row>
    <row r="183" spans="1:13" ht="15" customHeight="1" x14ac:dyDescent="0.75">
      <c r="A183" s="18" t="s">
        <v>71</v>
      </c>
      <c r="B183" s="19">
        <v>46069</v>
      </c>
      <c r="C183" s="17">
        <v>666502</v>
      </c>
      <c r="D183" s="18" t="s">
        <v>7</v>
      </c>
      <c r="E183" s="20">
        <f>SUMIFS('PvA Data'!$F$2:$F$1576,'PvA Data'!$A$2:$A$1576,$A183,'PvA Data'!$E$2:$E$1576,$D183)</f>
        <v>180</v>
      </c>
      <c r="F183" s="20">
        <f>SUMIFS('PvA Data'!$G$2:$G$1576,'PvA Data'!$A$2:$A$1576,$A183,'PvA Data'!$E$2:$E$1576,$D183)</f>
        <v>185</v>
      </c>
      <c r="G183" s="36">
        <f t="shared" si="16"/>
        <v>1.0277777777777777</v>
      </c>
      <c r="H183" s="20">
        <f>SUMIFS('PvA Data'!$G$2:$G$1576,'PvA Data'!$A$2:$A$1576,$A183,'PvA Data'!$E$2:$E$1576,$D183,'PvA Data'!$C$2:$C$1576,"Nahunta")</f>
        <v>0</v>
      </c>
      <c r="I183" s="20">
        <f>SUMIFS('PvA Data'!$G$2:$G$1576,'PvA Data'!$A$2:$A$1576,$A183,'PvA Data'!$E$2:$E$1576,$D183,'PvA Data'!$C$2:$C$1576,"Martin")</f>
        <v>135</v>
      </c>
      <c r="J183" s="20">
        <f>SUMIFS('PvA Data'!$G$2:$G$1576,'PvA Data'!$A$2:$A$1576,$A183,'PvA Data'!$E$2:$E$1576,$D183,'PvA Data'!$C$2:$C$1576,"Custom")</f>
        <v>50</v>
      </c>
      <c r="K183" s="36">
        <f t="shared" si="17"/>
        <v>0</v>
      </c>
      <c r="L183" s="36">
        <f t="shared" si="18"/>
        <v>0.72972972972972971</v>
      </c>
      <c r="M183" s="36">
        <f t="shared" si="19"/>
        <v>0.27027027027027029</v>
      </c>
    </row>
    <row r="184" spans="1:13" ht="15" customHeight="1" x14ac:dyDescent="0.75">
      <c r="A184" s="18" t="s">
        <v>71</v>
      </c>
      <c r="B184" s="19">
        <v>46069</v>
      </c>
      <c r="C184" s="17">
        <v>666505</v>
      </c>
      <c r="D184" s="18" t="s">
        <v>9</v>
      </c>
      <c r="E184" s="20">
        <f>SUMIFS('PvA Data'!$F$2:$F$1576,'PvA Data'!$A$2:$A$1576,$A184,'PvA Data'!$E$2:$E$1576,$D184)</f>
        <v>30</v>
      </c>
      <c r="F184" s="20">
        <f>SUMIFS('PvA Data'!$G$2:$G$1576,'PvA Data'!$A$2:$A$1576,$A184,'PvA Data'!$E$2:$E$1576,$D184)</f>
        <v>0</v>
      </c>
      <c r="G184" s="36">
        <f t="shared" si="16"/>
        <v>0</v>
      </c>
      <c r="H184" s="20">
        <f>SUMIFS('PvA Data'!$G$2:$G$1576,'PvA Data'!$A$2:$A$1576,$A184,'PvA Data'!$E$2:$E$1576,$D184,'PvA Data'!$C$2:$C$1576,"Nahunta")</f>
        <v>0</v>
      </c>
      <c r="I184" s="20">
        <f>SUMIFS('PvA Data'!$G$2:$G$1576,'PvA Data'!$A$2:$A$1576,$A184,'PvA Data'!$E$2:$E$1576,$D184,'PvA Data'!$C$2:$C$1576,"Martin")</f>
        <v>0</v>
      </c>
      <c r="J184" s="20">
        <f>SUMIFS('PvA Data'!$G$2:$G$1576,'PvA Data'!$A$2:$A$1576,$A184,'PvA Data'!$E$2:$E$1576,$D184,'PvA Data'!$C$2:$C$1576,"Custom")</f>
        <v>0</v>
      </c>
      <c r="K184" s="36" t="str">
        <f t="shared" si="17"/>
        <v/>
      </c>
      <c r="L184" s="36" t="str">
        <f t="shared" si="18"/>
        <v/>
      </c>
      <c r="M184" s="36" t="str">
        <f t="shared" si="19"/>
        <v/>
      </c>
    </row>
    <row r="185" spans="1:13" ht="15" customHeight="1" x14ac:dyDescent="0.75">
      <c r="A185" s="18" t="s">
        <v>71</v>
      </c>
      <c r="B185" s="19">
        <v>46069</v>
      </c>
      <c r="C185" s="17">
        <v>666506</v>
      </c>
      <c r="D185" s="18" t="s">
        <v>11</v>
      </c>
      <c r="E185" s="20">
        <f>SUMIFS('PvA Data'!$F$2:$F$1576,'PvA Data'!$A$2:$A$1576,$A185,'PvA Data'!$E$2:$E$1576,$D185)</f>
        <v>100</v>
      </c>
      <c r="F185" s="20">
        <f>SUMIFS('PvA Data'!$G$2:$G$1576,'PvA Data'!$A$2:$A$1576,$A185,'PvA Data'!$E$2:$E$1576,$D185)</f>
        <v>42</v>
      </c>
      <c r="G185" s="36">
        <f t="shared" si="16"/>
        <v>0.42</v>
      </c>
      <c r="H185" s="20">
        <f>SUMIFS('PvA Data'!$G$2:$G$1576,'PvA Data'!$A$2:$A$1576,$A185,'PvA Data'!$E$2:$E$1576,$D185,'PvA Data'!$C$2:$C$1576,"Nahunta")</f>
        <v>0</v>
      </c>
      <c r="I185" s="20">
        <f>SUMIFS('PvA Data'!$G$2:$G$1576,'PvA Data'!$A$2:$A$1576,$A185,'PvA Data'!$E$2:$E$1576,$D185,'PvA Data'!$C$2:$C$1576,"Martin")</f>
        <v>42</v>
      </c>
      <c r="J185" s="20">
        <f>SUMIFS('PvA Data'!$G$2:$G$1576,'PvA Data'!$A$2:$A$1576,$A185,'PvA Data'!$E$2:$E$1576,$D185,'PvA Data'!$C$2:$C$1576,"Custom")</f>
        <v>0</v>
      </c>
      <c r="K185" s="36">
        <f t="shared" si="17"/>
        <v>0</v>
      </c>
      <c r="L185" s="36">
        <f t="shared" si="18"/>
        <v>1</v>
      </c>
      <c r="M185" s="36">
        <f t="shared" si="19"/>
        <v>0</v>
      </c>
    </row>
    <row r="186" spans="1:13" ht="15" customHeight="1" x14ac:dyDescent="0.75">
      <c r="A186" s="18" t="s">
        <v>71</v>
      </c>
      <c r="B186" s="19">
        <v>46069</v>
      </c>
      <c r="C186" s="17">
        <v>666507</v>
      </c>
      <c r="D186" s="18" t="s">
        <v>13</v>
      </c>
      <c r="E186" s="20">
        <f>SUMIFS('PvA Data'!$F$2:$F$1576,'PvA Data'!$A$2:$A$1576,$A186,'PvA Data'!$E$2:$E$1576,$D186)</f>
        <v>21</v>
      </c>
      <c r="F186" s="20">
        <f>SUMIFS('PvA Data'!$G$2:$G$1576,'PvA Data'!$A$2:$A$1576,$A186,'PvA Data'!$E$2:$E$1576,$D186)</f>
        <v>13</v>
      </c>
      <c r="G186" s="36">
        <f t="shared" si="16"/>
        <v>0.61904761904761907</v>
      </c>
      <c r="H186" s="20">
        <f>SUMIFS('PvA Data'!$G$2:$G$1576,'PvA Data'!$A$2:$A$1576,$A186,'PvA Data'!$E$2:$E$1576,$D186,'PvA Data'!$C$2:$C$1576,"Nahunta")</f>
        <v>13</v>
      </c>
      <c r="I186" s="20">
        <f>SUMIFS('PvA Data'!$G$2:$G$1576,'PvA Data'!$A$2:$A$1576,$A186,'PvA Data'!$E$2:$E$1576,$D186,'PvA Data'!$C$2:$C$1576,"Martin")</f>
        <v>0</v>
      </c>
      <c r="J186" s="20">
        <f>SUMIFS('PvA Data'!$G$2:$G$1576,'PvA Data'!$A$2:$A$1576,$A186,'PvA Data'!$E$2:$E$1576,$D186,'PvA Data'!$C$2:$C$1576,"Custom")</f>
        <v>0</v>
      </c>
      <c r="K186" s="36">
        <f t="shared" si="17"/>
        <v>1</v>
      </c>
      <c r="L186" s="36">
        <f t="shared" si="18"/>
        <v>0</v>
      </c>
      <c r="M186" s="36">
        <f t="shared" si="19"/>
        <v>0</v>
      </c>
    </row>
    <row r="187" spans="1:13" ht="15" customHeight="1" x14ac:dyDescent="0.75">
      <c r="A187" s="18" t="s">
        <v>71</v>
      </c>
      <c r="B187" s="19">
        <v>46069</v>
      </c>
      <c r="C187" s="17">
        <v>666509</v>
      </c>
      <c r="D187" s="18" t="s">
        <v>15</v>
      </c>
      <c r="E187" s="20">
        <f>SUMIFS('PvA Data'!$F$2:$F$1576,'PvA Data'!$A$2:$A$1576,$A187,'PvA Data'!$E$2:$E$1576,$D187)</f>
        <v>0</v>
      </c>
      <c r="F187" s="20">
        <f>SUMIFS('PvA Data'!$G$2:$G$1576,'PvA Data'!$A$2:$A$1576,$A187,'PvA Data'!$E$2:$E$1576,$D187)</f>
        <v>0</v>
      </c>
      <c r="G187" s="36" t="str">
        <f t="shared" si="16"/>
        <v/>
      </c>
      <c r="H187" s="20">
        <f>SUMIFS('PvA Data'!$G$2:$G$1576,'PvA Data'!$A$2:$A$1576,$A187,'PvA Data'!$E$2:$E$1576,$D187,'PvA Data'!$C$2:$C$1576,"Nahunta")</f>
        <v>0</v>
      </c>
      <c r="I187" s="20">
        <f>SUMIFS('PvA Data'!$G$2:$G$1576,'PvA Data'!$A$2:$A$1576,$A187,'PvA Data'!$E$2:$E$1576,$D187,'PvA Data'!$C$2:$C$1576,"Martin")</f>
        <v>0</v>
      </c>
      <c r="J187" s="20">
        <f>SUMIFS('PvA Data'!$G$2:$G$1576,'PvA Data'!$A$2:$A$1576,$A187,'PvA Data'!$E$2:$E$1576,$D187,'PvA Data'!$C$2:$C$1576,"Custom")</f>
        <v>0</v>
      </c>
      <c r="K187" s="36" t="str">
        <f t="shared" si="17"/>
        <v/>
      </c>
      <c r="L187" s="36" t="str">
        <f t="shared" si="18"/>
        <v/>
      </c>
      <c r="M187" s="36" t="str">
        <f t="shared" si="19"/>
        <v/>
      </c>
    </row>
    <row r="188" spans="1:13" ht="15" customHeight="1" x14ac:dyDescent="0.75">
      <c r="A188" s="18" t="s">
        <v>71</v>
      </c>
      <c r="B188" s="19">
        <v>46069</v>
      </c>
      <c r="C188" s="17">
        <v>666510</v>
      </c>
      <c r="D188" s="18" t="s">
        <v>17</v>
      </c>
      <c r="E188" s="20">
        <f>SUMIFS('PvA Data'!$F$2:$F$1576,'PvA Data'!$A$2:$A$1576,$A188,'PvA Data'!$E$2:$E$1576,$D188)</f>
        <v>0</v>
      </c>
      <c r="F188" s="20">
        <f>SUMIFS('PvA Data'!$G$2:$G$1576,'PvA Data'!$A$2:$A$1576,$A188,'PvA Data'!$E$2:$E$1576,$D188)</f>
        <v>0</v>
      </c>
      <c r="G188" s="36" t="str">
        <f t="shared" si="16"/>
        <v/>
      </c>
      <c r="H188" s="20">
        <f>SUMIFS('PvA Data'!$G$2:$G$1576,'PvA Data'!$A$2:$A$1576,$A188,'PvA Data'!$E$2:$E$1576,$D188,'PvA Data'!$C$2:$C$1576,"Nahunta")</f>
        <v>0</v>
      </c>
      <c r="I188" s="20">
        <f>SUMIFS('PvA Data'!$G$2:$G$1576,'PvA Data'!$A$2:$A$1576,$A188,'PvA Data'!$E$2:$E$1576,$D188,'PvA Data'!$C$2:$C$1576,"Martin")</f>
        <v>0</v>
      </c>
      <c r="J188" s="20">
        <f>SUMIFS('PvA Data'!$G$2:$G$1576,'PvA Data'!$A$2:$A$1576,$A188,'PvA Data'!$E$2:$E$1576,$D188,'PvA Data'!$C$2:$C$1576,"Custom")</f>
        <v>0</v>
      </c>
      <c r="K188" s="36" t="str">
        <f t="shared" si="17"/>
        <v/>
      </c>
      <c r="L188" s="36" t="str">
        <f t="shared" si="18"/>
        <v/>
      </c>
      <c r="M188" s="36" t="str">
        <f t="shared" si="19"/>
        <v/>
      </c>
    </row>
    <row r="189" spans="1:13" ht="15" customHeight="1" x14ac:dyDescent="0.75">
      <c r="A189" s="18" t="s">
        <v>71</v>
      </c>
      <c r="B189" s="19">
        <v>46069</v>
      </c>
      <c r="C189" s="17">
        <v>666511</v>
      </c>
      <c r="D189" s="18" t="s">
        <v>19</v>
      </c>
      <c r="E189" s="20">
        <f>SUMIFS('PvA Data'!$F$2:$F$1576,'PvA Data'!$A$2:$A$1576,$A189,'PvA Data'!$E$2:$E$1576,$D189)</f>
        <v>4</v>
      </c>
      <c r="F189" s="20">
        <f>SUMIFS('PvA Data'!$G$2:$G$1576,'PvA Data'!$A$2:$A$1576,$A189,'PvA Data'!$E$2:$E$1576,$D189)</f>
        <v>8</v>
      </c>
      <c r="G189" s="36">
        <f t="shared" si="16"/>
        <v>2</v>
      </c>
      <c r="H189" s="20">
        <f>SUMIFS('PvA Data'!$G$2:$G$1576,'PvA Data'!$A$2:$A$1576,$A189,'PvA Data'!$E$2:$E$1576,$D189,'PvA Data'!$C$2:$C$1576,"Nahunta")</f>
        <v>8</v>
      </c>
      <c r="I189" s="20">
        <f>SUMIFS('PvA Data'!$G$2:$G$1576,'PvA Data'!$A$2:$A$1576,$A189,'PvA Data'!$E$2:$E$1576,$D189,'PvA Data'!$C$2:$C$1576,"Martin")</f>
        <v>0</v>
      </c>
      <c r="J189" s="20">
        <f>SUMIFS('PvA Data'!$G$2:$G$1576,'PvA Data'!$A$2:$A$1576,$A189,'PvA Data'!$E$2:$E$1576,$D189,'PvA Data'!$C$2:$C$1576,"Custom")</f>
        <v>0</v>
      </c>
      <c r="K189" s="36">
        <f t="shared" si="17"/>
        <v>1</v>
      </c>
      <c r="L189" s="36">
        <f t="shared" si="18"/>
        <v>0</v>
      </c>
      <c r="M189" s="36">
        <f t="shared" si="19"/>
        <v>0</v>
      </c>
    </row>
    <row r="190" spans="1:13" ht="15" customHeight="1" x14ac:dyDescent="0.75">
      <c r="A190" s="18" t="s">
        <v>71</v>
      </c>
      <c r="B190" s="19">
        <v>46069</v>
      </c>
      <c r="C190" s="17">
        <v>666513</v>
      </c>
      <c r="D190" s="18" t="s">
        <v>21</v>
      </c>
      <c r="E190" s="20">
        <f>SUMIFS('PvA Data'!$F$2:$F$1576,'PvA Data'!$A$2:$A$1576,$A190,'PvA Data'!$E$2:$E$1576,$D190)</f>
        <v>0</v>
      </c>
      <c r="F190" s="20">
        <f>SUMIFS('PvA Data'!$G$2:$G$1576,'PvA Data'!$A$2:$A$1576,$A190,'PvA Data'!$E$2:$E$1576,$D190)</f>
        <v>0</v>
      </c>
      <c r="G190" s="36" t="str">
        <f t="shared" si="16"/>
        <v/>
      </c>
      <c r="H190" s="20">
        <f>SUMIFS('PvA Data'!$G$2:$G$1576,'PvA Data'!$A$2:$A$1576,$A190,'PvA Data'!$E$2:$E$1576,$D190,'PvA Data'!$C$2:$C$1576,"Nahunta")</f>
        <v>0</v>
      </c>
      <c r="I190" s="20">
        <f>SUMIFS('PvA Data'!$G$2:$G$1576,'PvA Data'!$A$2:$A$1576,$A190,'PvA Data'!$E$2:$E$1576,$D190,'PvA Data'!$C$2:$C$1576,"Martin")</f>
        <v>0</v>
      </c>
      <c r="J190" s="20">
        <f>SUMIFS('PvA Data'!$G$2:$G$1576,'PvA Data'!$A$2:$A$1576,$A190,'PvA Data'!$E$2:$E$1576,$D190,'PvA Data'!$C$2:$C$1576,"Custom")</f>
        <v>0</v>
      </c>
      <c r="K190" s="36" t="str">
        <f t="shared" si="17"/>
        <v/>
      </c>
      <c r="L190" s="36" t="str">
        <f t="shared" si="18"/>
        <v/>
      </c>
      <c r="M190" s="36" t="str">
        <f t="shared" si="19"/>
        <v/>
      </c>
    </row>
    <row r="191" spans="1:13" ht="15" customHeight="1" x14ac:dyDescent="0.75">
      <c r="A191" s="18" t="s">
        <v>71</v>
      </c>
      <c r="B191" s="19">
        <v>46069</v>
      </c>
      <c r="C191" s="17">
        <v>666516</v>
      </c>
      <c r="D191" s="18" t="s">
        <v>23</v>
      </c>
      <c r="E191" s="20">
        <f>SUMIFS('PvA Data'!$F$2:$F$1576,'PvA Data'!$A$2:$A$1576,$A191,'PvA Data'!$E$2:$E$1576,$D191)</f>
        <v>10</v>
      </c>
      <c r="F191" s="20">
        <f>SUMIFS('PvA Data'!$G$2:$G$1576,'PvA Data'!$A$2:$A$1576,$A191,'PvA Data'!$E$2:$E$1576,$D191)</f>
        <v>6</v>
      </c>
      <c r="G191" s="36">
        <f t="shared" si="16"/>
        <v>0.6</v>
      </c>
      <c r="H191" s="20">
        <f>SUMIFS('PvA Data'!$G$2:$G$1576,'PvA Data'!$A$2:$A$1576,$A191,'PvA Data'!$E$2:$E$1576,$D191,'PvA Data'!$C$2:$C$1576,"Nahunta")</f>
        <v>0</v>
      </c>
      <c r="I191" s="20">
        <f>SUMIFS('PvA Data'!$G$2:$G$1576,'PvA Data'!$A$2:$A$1576,$A191,'PvA Data'!$E$2:$E$1576,$D191,'PvA Data'!$C$2:$C$1576,"Martin")</f>
        <v>0</v>
      </c>
      <c r="J191" s="20">
        <f>SUMIFS('PvA Data'!$G$2:$G$1576,'PvA Data'!$A$2:$A$1576,$A191,'PvA Data'!$E$2:$E$1576,$D191,'PvA Data'!$C$2:$C$1576,"Custom")</f>
        <v>6</v>
      </c>
      <c r="K191" s="36">
        <f t="shared" si="17"/>
        <v>0</v>
      </c>
      <c r="L191" s="36">
        <f t="shared" si="18"/>
        <v>0</v>
      </c>
      <c r="M191" s="36">
        <f t="shared" si="19"/>
        <v>1</v>
      </c>
    </row>
    <row r="192" spans="1:13" ht="15" customHeight="1" x14ac:dyDescent="0.75">
      <c r="A192" s="18" t="s">
        <v>71</v>
      </c>
      <c r="B192" s="19">
        <v>46069</v>
      </c>
      <c r="C192" s="17">
        <v>666517</v>
      </c>
      <c r="D192" s="18" t="s">
        <v>25</v>
      </c>
      <c r="E192" s="20">
        <f>SUMIFS('PvA Data'!$F$2:$F$1576,'PvA Data'!$A$2:$A$1576,$A192,'PvA Data'!$E$2:$E$1576,$D192)</f>
        <v>21</v>
      </c>
      <c r="F192" s="20">
        <f>SUMIFS('PvA Data'!$G$2:$G$1576,'PvA Data'!$A$2:$A$1576,$A192,'PvA Data'!$E$2:$E$1576,$D192)</f>
        <v>0</v>
      </c>
      <c r="G192" s="36">
        <f t="shared" si="16"/>
        <v>0</v>
      </c>
      <c r="H192" s="20">
        <f>SUMIFS('PvA Data'!$G$2:$G$1576,'PvA Data'!$A$2:$A$1576,$A192,'PvA Data'!$E$2:$E$1576,$D192,'PvA Data'!$C$2:$C$1576,"Nahunta")</f>
        <v>0</v>
      </c>
      <c r="I192" s="20">
        <f>SUMIFS('PvA Data'!$G$2:$G$1576,'PvA Data'!$A$2:$A$1576,$A192,'PvA Data'!$E$2:$E$1576,$D192,'PvA Data'!$C$2:$C$1576,"Martin")</f>
        <v>0</v>
      </c>
      <c r="J192" s="20">
        <f>SUMIFS('PvA Data'!$G$2:$G$1576,'PvA Data'!$A$2:$A$1576,$A192,'PvA Data'!$E$2:$E$1576,$D192,'PvA Data'!$C$2:$C$1576,"Custom")</f>
        <v>0</v>
      </c>
      <c r="K192" s="36" t="str">
        <f t="shared" si="17"/>
        <v/>
      </c>
      <c r="L192" s="36" t="str">
        <f t="shared" si="18"/>
        <v/>
      </c>
      <c r="M192" s="36" t="str">
        <f t="shared" si="19"/>
        <v/>
      </c>
    </row>
    <row r="193" spans="1:13" ht="15" customHeight="1" x14ac:dyDescent="0.75">
      <c r="A193" s="18" t="s">
        <v>71</v>
      </c>
      <c r="B193" s="19">
        <v>46069</v>
      </c>
      <c r="C193" s="17">
        <v>666518</v>
      </c>
      <c r="D193" s="18" t="s">
        <v>27</v>
      </c>
      <c r="E193" s="20">
        <f>SUMIFS('PvA Data'!$F$2:$F$1576,'PvA Data'!$A$2:$A$1576,$A193,'PvA Data'!$E$2:$E$1576,$D193)</f>
        <v>0</v>
      </c>
      <c r="F193" s="20">
        <f>SUMIFS('PvA Data'!$G$2:$G$1576,'PvA Data'!$A$2:$A$1576,$A193,'PvA Data'!$E$2:$E$1576,$D193)</f>
        <v>0</v>
      </c>
      <c r="G193" s="36" t="str">
        <f t="shared" si="16"/>
        <v/>
      </c>
      <c r="H193" s="20">
        <f>SUMIFS('PvA Data'!$G$2:$G$1576,'PvA Data'!$A$2:$A$1576,$A193,'PvA Data'!$E$2:$E$1576,$D193,'PvA Data'!$C$2:$C$1576,"Nahunta")</f>
        <v>0</v>
      </c>
      <c r="I193" s="20">
        <f>SUMIFS('PvA Data'!$G$2:$G$1576,'PvA Data'!$A$2:$A$1576,$A193,'PvA Data'!$E$2:$E$1576,$D193,'PvA Data'!$C$2:$C$1576,"Martin")</f>
        <v>0</v>
      </c>
      <c r="J193" s="20">
        <f>SUMIFS('PvA Data'!$G$2:$G$1576,'PvA Data'!$A$2:$A$1576,$A193,'PvA Data'!$E$2:$E$1576,$D193,'PvA Data'!$C$2:$C$1576,"Custom")</f>
        <v>0</v>
      </c>
      <c r="K193" s="36" t="str">
        <f t="shared" si="17"/>
        <v/>
      </c>
      <c r="L193" s="36" t="str">
        <f t="shared" si="18"/>
        <v/>
      </c>
      <c r="M193" s="36" t="str">
        <f t="shared" si="19"/>
        <v/>
      </c>
    </row>
    <row r="194" spans="1:13" ht="15" customHeight="1" x14ac:dyDescent="0.75">
      <c r="A194" s="18" t="s">
        <v>71</v>
      </c>
      <c r="B194" s="19">
        <v>46069</v>
      </c>
      <c r="C194" s="17">
        <v>666519</v>
      </c>
      <c r="D194" s="18" t="s">
        <v>29</v>
      </c>
      <c r="E194" s="20">
        <f>SUMIFS('PvA Data'!$F$2:$F$1576,'PvA Data'!$A$2:$A$1576,$A194,'PvA Data'!$E$2:$E$1576,$D194)</f>
        <v>31</v>
      </c>
      <c r="F194" s="20">
        <f>SUMIFS('PvA Data'!$G$2:$G$1576,'PvA Data'!$A$2:$A$1576,$A194,'PvA Data'!$E$2:$E$1576,$D194)</f>
        <v>0</v>
      </c>
      <c r="G194" s="36">
        <f t="shared" si="16"/>
        <v>0</v>
      </c>
      <c r="H194" s="20">
        <f>SUMIFS('PvA Data'!$G$2:$G$1576,'PvA Data'!$A$2:$A$1576,$A194,'PvA Data'!$E$2:$E$1576,$D194,'PvA Data'!$C$2:$C$1576,"Nahunta")</f>
        <v>0</v>
      </c>
      <c r="I194" s="20">
        <f>SUMIFS('PvA Data'!$G$2:$G$1576,'PvA Data'!$A$2:$A$1576,$A194,'PvA Data'!$E$2:$E$1576,$D194,'PvA Data'!$C$2:$C$1576,"Martin")</f>
        <v>0</v>
      </c>
      <c r="J194" s="20">
        <f>SUMIFS('PvA Data'!$G$2:$G$1576,'PvA Data'!$A$2:$A$1576,$A194,'PvA Data'!$E$2:$E$1576,$D194,'PvA Data'!$C$2:$C$1576,"Custom")</f>
        <v>0</v>
      </c>
      <c r="K194" s="36" t="str">
        <f t="shared" si="17"/>
        <v/>
      </c>
      <c r="L194" s="36" t="str">
        <f t="shared" si="18"/>
        <v/>
      </c>
      <c r="M194" s="36" t="str">
        <f t="shared" si="19"/>
        <v/>
      </c>
    </row>
    <row r="195" spans="1:13" ht="15" customHeight="1" x14ac:dyDescent="0.75">
      <c r="A195" s="18" t="s">
        <v>71</v>
      </c>
      <c r="B195" s="19">
        <v>46069</v>
      </c>
      <c r="C195" s="17">
        <v>666521</v>
      </c>
      <c r="D195" s="18" t="s">
        <v>31</v>
      </c>
      <c r="E195" s="20">
        <f>SUMIFS('PvA Data'!$F$2:$F$1576,'PvA Data'!$A$2:$A$1576,$A195,'PvA Data'!$E$2:$E$1576,$D195)</f>
        <v>0</v>
      </c>
      <c r="F195" s="20">
        <f>SUMIFS('PvA Data'!$G$2:$G$1576,'PvA Data'!$A$2:$A$1576,$A195,'PvA Data'!$E$2:$E$1576,$D195)</f>
        <v>0</v>
      </c>
      <c r="G195" s="36" t="str">
        <f t="shared" si="16"/>
        <v/>
      </c>
      <c r="H195" s="20">
        <f>SUMIFS('PvA Data'!$G$2:$G$1576,'PvA Data'!$A$2:$A$1576,$A195,'PvA Data'!$E$2:$E$1576,$D195,'PvA Data'!$C$2:$C$1576,"Nahunta")</f>
        <v>0</v>
      </c>
      <c r="I195" s="20">
        <f>SUMIFS('PvA Data'!$G$2:$G$1576,'PvA Data'!$A$2:$A$1576,$A195,'PvA Data'!$E$2:$E$1576,$D195,'PvA Data'!$C$2:$C$1576,"Martin")</f>
        <v>0</v>
      </c>
      <c r="J195" s="20">
        <f>SUMIFS('PvA Data'!$G$2:$G$1576,'PvA Data'!$A$2:$A$1576,$A195,'PvA Data'!$E$2:$E$1576,$D195,'PvA Data'!$C$2:$C$1576,"Custom")</f>
        <v>0</v>
      </c>
      <c r="K195" s="36" t="str">
        <f t="shared" si="17"/>
        <v/>
      </c>
      <c r="L195" s="36" t="str">
        <f t="shared" si="18"/>
        <v/>
      </c>
      <c r="M195" s="36" t="str">
        <f t="shared" si="19"/>
        <v/>
      </c>
    </row>
    <row r="196" spans="1:13" ht="15" customHeight="1" x14ac:dyDescent="0.75">
      <c r="A196" s="18" t="s">
        <v>71</v>
      </c>
      <c r="B196" s="19">
        <v>46069</v>
      </c>
      <c r="C196" s="17">
        <v>666522</v>
      </c>
      <c r="D196" s="18" t="s">
        <v>33</v>
      </c>
      <c r="E196" s="20">
        <f>SUMIFS('PvA Data'!$F$2:$F$1576,'PvA Data'!$A$2:$A$1576,$A196,'PvA Data'!$E$2:$E$1576,$D196)</f>
        <v>180</v>
      </c>
      <c r="F196" s="20">
        <f>SUMIFS('PvA Data'!$G$2:$G$1576,'PvA Data'!$A$2:$A$1576,$A196,'PvA Data'!$E$2:$E$1576,$D196)</f>
        <v>25</v>
      </c>
      <c r="G196" s="36">
        <f t="shared" si="16"/>
        <v>0.1388888888888889</v>
      </c>
      <c r="H196" s="20">
        <f>SUMIFS('PvA Data'!$G$2:$G$1576,'PvA Data'!$A$2:$A$1576,$A196,'PvA Data'!$E$2:$E$1576,$D196,'PvA Data'!$C$2:$C$1576,"Nahunta")</f>
        <v>0</v>
      </c>
      <c r="I196" s="20">
        <f>SUMIFS('PvA Data'!$G$2:$G$1576,'PvA Data'!$A$2:$A$1576,$A196,'PvA Data'!$E$2:$E$1576,$D196,'PvA Data'!$C$2:$C$1576,"Martin")</f>
        <v>0</v>
      </c>
      <c r="J196" s="20">
        <f>SUMIFS('PvA Data'!$G$2:$G$1576,'PvA Data'!$A$2:$A$1576,$A196,'PvA Data'!$E$2:$E$1576,$D196,'PvA Data'!$C$2:$C$1576,"Custom")</f>
        <v>25</v>
      </c>
      <c r="K196" s="36">
        <f t="shared" si="17"/>
        <v>0</v>
      </c>
      <c r="L196" s="36">
        <f t="shared" si="18"/>
        <v>0</v>
      </c>
      <c r="M196" s="36">
        <f t="shared" si="19"/>
        <v>1</v>
      </c>
    </row>
    <row r="197" spans="1:13" ht="15" customHeight="1" x14ac:dyDescent="0.75">
      <c r="A197" s="18" t="s">
        <v>71</v>
      </c>
      <c r="B197" s="19">
        <v>46069</v>
      </c>
      <c r="C197" s="17">
        <v>666523</v>
      </c>
      <c r="D197" s="18" t="s">
        <v>35</v>
      </c>
      <c r="E197" s="20">
        <f>SUMIFS('PvA Data'!$F$2:$F$1576,'PvA Data'!$A$2:$A$1576,$A197,'PvA Data'!$E$2:$E$1576,$D197)</f>
        <v>30</v>
      </c>
      <c r="F197" s="20">
        <f>SUMIFS('PvA Data'!$G$2:$G$1576,'PvA Data'!$A$2:$A$1576,$A197,'PvA Data'!$E$2:$E$1576,$D197)</f>
        <v>0</v>
      </c>
      <c r="G197" s="36">
        <f t="shared" si="16"/>
        <v>0</v>
      </c>
      <c r="H197" s="20">
        <f>SUMIFS('PvA Data'!$G$2:$G$1576,'PvA Data'!$A$2:$A$1576,$A197,'PvA Data'!$E$2:$E$1576,$D197,'PvA Data'!$C$2:$C$1576,"Nahunta")</f>
        <v>0</v>
      </c>
      <c r="I197" s="20">
        <f>SUMIFS('PvA Data'!$G$2:$G$1576,'PvA Data'!$A$2:$A$1576,$A197,'PvA Data'!$E$2:$E$1576,$D197,'PvA Data'!$C$2:$C$1576,"Martin")</f>
        <v>0</v>
      </c>
      <c r="J197" s="20">
        <f>SUMIFS('PvA Data'!$G$2:$G$1576,'PvA Data'!$A$2:$A$1576,$A197,'PvA Data'!$E$2:$E$1576,$D197,'PvA Data'!$C$2:$C$1576,"Custom")</f>
        <v>0</v>
      </c>
      <c r="K197" s="36" t="str">
        <f t="shared" si="17"/>
        <v/>
      </c>
      <c r="L197" s="36" t="str">
        <f t="shared" si="18"/>
        <v/>
      </c>
      <c r="M197" s="36" t="str">
        <f t="shared" si="19"/>
        <v/>
      </c>
    </row>
    <row r="198" spans="1:13" ht="15" customHeight="1" x14ac:dyDescent="0.75">
      <c r="A198" s="18" t="s">
        <v>71</v>
      </c>
      <c r="B198" s="19">
        <v>46069</v>
      </c>
      <c r="C198" s="17">
        <v>666530</v>
      </c>
      <c r="D198" s="18" t="s">
        <v>37</v>
      </c>
      <c r="E198" s="20">
        <f>SUMIFS('PvA Data'!$F$2:$F$1576,'PvA Data'!$A$2:$A$1576,$A198,'PvA Data'!$E$2:$E$1576,$D198)</f>
        <v>10</v>
      </c>
      <c r="F198" s="20">
        <f>SUMIFS('PvA Data'!$G$2:$G$1576,'PvA Data'!$A$2:$A$1576,$A198,'PvA Data'!$E$2:$E$1576,$D198)</f>
        <v>0</v>
      </c>
      <c r="G198" s="36">
        <f t="shared" si="16"/>
        <v>0</v>
      </c>
      <c r="H198" s="20">
        <f>SUMIFS('PvA Data'!$G$2:$G$1576,'PvA Data'!$A$2:$A$1576,$A198,'PvA Data'!$E$2:$E$1576,$D198,'PvA Data'!$C$2:$C$1576,"Nahunta")</f>
        <v>0</v>
      </c>
      <c r="I198" s="20">
        <f>SUMIFS('PvA Data'!$G$2:$G$1576,'PvA Data'!$A$2:$A$1576,$A198,'PvA Data'!$E$2:$E$1576,$D198,'PvA Data'!$C$2:$C$1576,"Martin")</f>
        <v>0</v>
      </c>
      <c r="J198" s="20">
        <f>SUMIFS('PvA Data'!$G$2:$G$1576,'PvA Data'!$A$2:$A$1576,$A198,'PvA Data'!$E$2:$E$1576,$D198,'PvA Data'!$C$2:$C$1576,"Custom")</f>
        <v>0</v>
      </c>
      <c r="K198" s="36" t="str">
        <f t="shared" si="17"/>
        <v/>
      </c>
      <c r="L198" s="36" t="str">
        <f t="shared" si="18"/>
        <v/>
      </c>
      <c r="M198" s="36" t="str">
        <f t="shared" si="19"/>
        <v/>
      </c>
    </row>
    <row r="199" spans="1:13" ht="15" customHeight="1" x14ac:dyDescent="0.75">
      <c r="A199" s="18" t="s">
        <v>71</v>
      </c>
      <c r="B199" s="19">
        <v>46069</v>
      </c>
      <c r="C199" s="17">
        <v>666531</v>
      </c>
      <c r="D199" s="18" t="s">
        <v>39</v>
      </c>
      <c r="E199" s="20">
        <f>SUMIFS('PvA Data'!$F$2:$F$1576,'PvA Data'!$A$2:$A$1576,$A199,'PvA Data'!$E$2:$E$1576,$D199)</f>
        <v>13</v>
      </c>
      <c r="F199" s="20">
        <f>SUMIFS('PvA Data'!$G$2:$G$1576,'PvA Data'!$A$2:$A$1576,$A199,'PvA Data'!$E$2:$E$1576,$D199)</f>
        <v>0</v>
      </c>
      <c r="G199" s="36">
        <f t="shared" si="16"/>
        <v>0</v>
      </c>
      <c r="H199" s="20">
        <f>SUMIFS('PvA Data'!$G$2:$G$1576,'PvA Data'!$A$2:$A$1576,$A199,'PvA Data'!$E$2:$E$1576,$D199,'PvA Data'!$C$2:$C$1576,"Nahunta")</f>
        <v>0</v>
      </c>
      <c r="I199" s="20">
        <f>SUMIFS('PvA Data'!$G$2:$G$1576,'PvA Data'!$A$2:$A$1576,$A199,'PvA Data'!$E$2:$E$1576,$D199,'PvA Data'!$C$2:$C$1576,"Martin")</f>
        <v>0</v>
      </c>
      <c r="J199" s="20">
        <f>SUMIFS('PvA Data'!$G$2:$G$1576,'PvA Data'!$A$2:$A$1576,$A199,'PvA Data'!$E$2:$E$1576,$D199,'PvA Data'!$C$2:$C$1576,"Custom")</f>
        <v>0</v>
      </c>
      <c r="K199" s="36" t="str">
        <f t="shared" si="17"/>
        <v/>
      </c>
      <c r="L199" s="36" t="str">
        <f t="shared" si="18"/>
        <v/>
      </c>
      <c r="M199" s="36" t="str">
        <f t="shared" si="19"/>
        <v/>
      </c>
    </row>
    <row r="200" spans="1:13" ht="15" customHeight="1" x14ac:dyDescent="0.75">
      <c r="A200" s="18" t="s">
        <v>71</v>
      </c>
      <c r="B200" s="19">
        <v>46069</v>
      </c>
      <c r="C200" s="17">
        <v>666540</v>
      </c>
      <c r="D200" s="18" t="s">
        <v>40</v>
      </c>
      <c r="E200" s="20">
        <f>SUMIFS('PvA Data'!$F$2:$F$1576,'PvA Data'!$A$2:$A$1576,$A200,'PvA Data'!$E$2:$E$1576,$D200)</f>
        <v>120</v>
      </c>
      <c r="F200" s="20">
        <f>SUMIFS('PvA Data'!$G$2:$G$1576,'PvA Data'!$A$2:$A$1576,$A200,'PvA Data'!$E$2:$E$1576,$D200)</f>
        <v>1</v>
      </c>
      <c r="G200" s="36">
        <f t="shared" si="16"/>
        <v>8.3333333333333332E-3</v>
      </c>
      <c r="H200" s="20">
        <f>SUMIFS('PvA Data'!$G$2:$G$1576,'PvA Data'!$A$2:$A$1576,$A200,'PvA Data'!$E$2:$E$1576,$D200,'PvA Data'!$C$2:$C$1576,"Nahunta")</f>
        <v>0</v>
      </c>
      <c r="I200" s="20">
        <f>SUMIFS('PvA Data'!$G$2:$G$1576,'PvA Data'!$A$2:$A$1576,$A200,'PvA Data'!$E$2:$E$1576,$D200,'PvA Data'!$C$2:$C$1576,"Martin")</f>
        <v>1</v>
      </c>
      <c r="J200" s="20">
        <f>SUMIFS('PvA Data'!$G$2:$G$1576,'PvA Data'!$A$2:$A$1576,$A200,'PvA Data'!$E$2:$E$1576,$D200,'PvA Data'!$C$2:$C$1576,"Custom")</f>
        <v>0</v>
      </c>
      <c r="K200" s="36">
        <f t="shared" si="17"/>
        <v>0</v>
      </c>
      <c r="L200" s="36">
        <f t="shared" si="18"/>
        <v>1</v>
      </c>
      <c r="M200" s="36">
        <f t="shared" si="19"/>
        <v>0</v>
      </c>
    </row>
    <row r="201" spans="1:13" ht="15" customHeight="1" x14ac:dyDescent="0.75">
      <c r="A201" s="18" t="s">
        <v>71</v>
      </c>
      <c r="B201" s="19">
        <v>46069</v>
      </c>
      <c r="C201" s="17">
        <v>666541</v>
      </c>
      <c r="D201" s="18" t="s">
        <v>41</v>
      </c>
      <c r="E201" s="20">
        <f>SUMIFS('PvA Data'!$F$2:$F$1576,'PvA Data'!$A$2:$A$1576,$A201,'PvA Data'!$E$2:$E$1576,$D201)</f>
        <v>120</v>
      </c>
      <c r="F201" s="20">
        <f>SUMIFS('PvA Data'!$G$2:$G$1576,'PvA Data'!$A$2:$A$1576,$A201,'PvA Data'!$E$2:$E$1576,$D201)</f>
        <v>173</v>
      </c>
      <c r="G201" s="36">
        <f t="shared" si="16"/>
        <v>1.4416666666666667</v>
      </c>
      <c r="H201" s="20">
        <f>SUMIFS('PvA Data'!$G$2:$G$1576,'PvA Data'!$A$2:$A$1576,$A201,'PvA Data'!$E$2:$E$1576,$D201,'PvA Data'!$C$2:$C$1576,"Nahunta")</f>
        <v>0</v>
      </c>
      <c r="I201" s="20">
        <f>SUMIFS('PvA Data'!$G$2:$G$1576,'PvA Data'!$A$2:$A$1576,$A201,'PvA Data'!$E$2:$E$1576,$D201,'PvA Data'!$C$2:$C$1576,"Martin")</f>
        <v>173</v>
      </c>
      <c r="J201" s="20">
        <f>SUMIFS('PvA Data'!$G$2:$G$1576,'PvA Data'!$A$2:$A$1576,$A201,'PvA Data'!$E$2:$E$1576,$D201,'PvA Data'!$C$2:$C$1576,"Custom")</f>
        <v>0</v>
      </c>
      <c r="K201" s="36">
        <f t="shared" si="17"/>
        <v>0</v>
      </c>
      <c r="L201" s="36">
        <f t="shared" si="18"/>
        <v>1</v>
      </c>
      <c r="M201" s="36">
        <f t="shared" si="19"/>
        <v>0</v>
      </c>
    </row>
    <row r="202" spans="1:13" ht="15" customHeight="1" x14ac:dyDescent="0.75">
      <c r="A202" s="18" t="s">
        <v>71</v>
      </c>
      <c r="B202" s="19">
        <v>46069</v>
      </c>
      <c r="C202" s="17">
        <v>666536</v>
      </c>
      <c r="D202" s="18" t="s">
        <v>43</v>
      </c>
      <c r="E202" s="20">
        <f>SUMIFS('PvA Data'!$F$2:$F$1576,'PvA Data'!$A$2:$A$1576,$A202,'PvA Data'!$E$2:$E$1576,$D202)</f>
        <v>1</v>
      </c>
      <c r="F202" s="20">
        <f>SUMIFS('PvA Data'!$G$2:$G$1576,'PvA Data'!$A$2:$A$1576,$A202,'PvA Data'!$E$2:$E$1576,$D202)</f>
        <v>2</v>
      </c>
      <c r="G202" s="36">
        <f t="shared" si="16"/>
        <v>2</v>
      </c>
      <c r="H202" s="20">
        <f>SUMIFS('PvA Data'!$G$2:$G$1576,'PvA Data'!$A$2:$A$1576,$A202,'PvA Data'!$E$2:$E$1576,$D202,'PvA Data'!$C$2:$C$1576,"Nahunta")</f>
        <v>2</v>
      </c>
      <c r="I202" s="20">
        <f>SUMIFS('PvA Data'!$G$2:$G$1576,'PvA Data'!$A$2:$A$1576,$A202,'PvA Data'!$E$2:$E$1576,$D202,'PvA Data'!$C$2:$C$1576,"Martin")</f>
        <v>0</v>
      </c>
      <c r="J202" s="20">
        <f>SUMIFS('PvA Data'!$G$2:$G$1576,'PvA Data'!$A$2:$A$1576,$A202,'PvA Data'!$E$2:$E$1576,$D202,'PvA Data'!$C$2:$C$1576,"Custom")</f>
        <v>0</v>
      </c>
      <c r="K202" s="36">
        <f t="shared" si="17"/>
        <v>1</v>
      </c>
      <c r="L202" s="36">
        <f t="shared" si="18"/>
        <v>0</v>
      </c>
      <c r="M202" s="36">
        <f t="shared" si="19"/>
        <v>0</v>
      </c>
    </row>
    <row r="203" spans="1:13" ht="15" customHeight="1" x14ac:dyDescent="0.75">
      <c r="A203" s="18" t="s">
        <v>72</v>
      </c>
      <c r="B203" s="19">
        <v>46076</v>
      </c>
      <c r="C203" s="17">
        <v>666501</v>
      </c>
      <c r="D203" s="18" t="s">
        <v>5</v>
      </c>
      <c r="E203" s="20">
        <f>SUMIFS('PvA Data'!$F$2:$F$1576,'PvA Data'!$A$2:$A$1576,$A203,'PvA Data'!$E$2:$E$1576,$D203)</f>
        <v>255</v>
      </c>
      <c r="F203" s="20">
        <f>SUMIFS('PvA Data'!$G$2:$G$1576,'PvA Data'!$A$2:$A$1576,$A203,'PvA Data'!$E$2:$E$1576,$D203)</f>
        <v>309</v>
      </c>
      <c r="G203" s="36">
        <f t="shared" si="16"/>
        <v>1.2117647058823529</v>
      </c>
      <c r="H203" s="20">
        <f>SUMIFS('PvA Data'!$G$2:$G$1576,'PvA Data'!$A$2:$A$1576,$A203,'PvA Data'!$E$2:$E$1576,$D203,'PvA Data'!$C$2:$C$1576,"Nahunta")</f>
        <v>45</v>
      </c>
      <c r="I203" s="20">
        <f>SUMIFS('PvA Data'!$G$2:$G$1576,'PvA Data'!$A$2:$A$1576,$A203,'PvA Data'!$E$2:$E$1576,$D203,'PvA Data'!$C$2:$C$1576,"Martin")</f>
        <v>219</v>
      </c>
      <c r="J203" s="20">
        <f>SUMIFS('PvA Data'!$G$2:$G$1576,'PvA Data'!$A$2:$A$1576,$A203,'PvA Data'!$E$2:$E$1576,$D203,'PvA Data'!$C$2:$C$1576,"Custom")</f>
        <v>45</v>
      </c>
      <c r="K203" s="36">
        <f t="shared" si="17"/>
        <v>0.14563106796116504</v>
      </c>
      <c r="L203" s="36">
        <f t="shared" si="18"/>
        <v>0.70873786407766992</v>
      </c>
      <c r="M203" s="36">
        <f t="shared" si="19"/>
        <v>0.14563106796116504</v>
      </c>
    </row>
    <row r="204" spans="1:13" ht="15" customHeight="1" x14ac:dyDescent="0.75">
      <c r="A204" s="18" t="s">
        <v>72</v>
      </c>
      <c r="B204" s="19">
        <v>46076</v>
      </c>
      <c r="C204" s="17">
        <v>666502</v>
      </c>
      <c r="D204" s="18" t="s">
        <v>7</v>
      </c>
      <c r="E204" s="20">
        <f>SUMIFS('PvA Data'!$F$2:$F$1576,'PvA Data'!$A$2:$A$1576,$A204,'PvA Data'!$E$2:$E$1576,$D204)</f>
        <v>180</v>
      </c>
      <c r="F204" s="20">
        <f>SUMIFS('PvA Data'!$G$2:$G$1576,'PvA Data'!$A$2:$A$1576,$A204,'PvA Data'!$E$2:$E$1576,$D204)</f>
        <v>171</v>
      </c>
      <c r="G204" s="36">
        <f t="shared" si="16"/>
        <v>0.95</v>
      </c>
      <c r="H204" s="20">
        <f>SUMIFS('PvA Data'!$G$2:$G$1576,'PvA Data'!$A$2:$A$1576,$A204,'PvA Data'!$E$2:$E$1576,$D204,'PvA Data'!$C$2:$C$1576,"Nahunta")</f>
        <v>0</v>
      </c>
      <c r="I204" s="20">
        <f>SUMIFS('PvA Data'!$G$2:$G$1576,'PvA Data'!$A$2:$A$1576,$A204,'PvA Data'!$E$2:$E$1576,$D204,'PvA Data'!$C$2:$C$1576,"Martin")</f>
        <v>161</v>
      </c>
      <c r="J204" s="20">
        <f>SUMIFS('PvA Data'!$G$2:$G$1576,'PvA Data'!$A$2:$A$1576,$A204,'PvA Data'!$E$2:$E$1576,$D204,'PvA Data'!$C$2:$C$1576,"Custom")</f>
        <v>10</v>
      </c>
      <c r="K204" s="36">
        <f t="shared" si="17"/>
        <v>0</v>
      </c>
      <c r="L204" s="36">
        <f t="shared" si="18"/>
        <v>0.94152046783625731</v>
      </c>
      <c r="M204" s="36">
        <f t="shared" si="19"/>
        <v>5.8479532163742687E-2</v>
      </c>
    </row>
    <row r="205" spans="1:13" ht="15" customHeight="1" x14ac:dyDescent="0.75">
      <c r="A205" s="18" t="s">
        <v>72</v>
      </c>
      <c r="B205" s="19">
        <v>46076</v>
      </c>
      <c r="C205" s="17">
        <v>666505</v>
      </c>
      <c r="D205" s="18" t="s">
        <v>9</v>
      </c>
      <c r="E205" s="20">
        <f>SUMIFS('PvA Data'!$F$2:$F$1576,'PvA Data'!$A$2:$A$1576,$A205,'PvA Data'!$E$2:$E$1576,$D205)</f>
        <v>32</v>
      </c>
      <c r="F205" s="20">
        <f>SUMIFS('PvA Data'!$G$2:$G$1576,'PvA Data'!$A$2:$A$1576,$A205,'PvA Data'!$E$2:$E$1576,$D205)</f>
        <v>64</v>
      </c>
      <c r="G205" s="36">
        <f t="shared" si="16"/>
        <v>2</v>
      </c>
      <c r="H205" s="20">
        <f>SUMIFS('PvA Data'!$G$2:$G$1576,'PvA Data'!$A$2:$A$1576,$A205,'PvA Data'!$E$2:$E$1576,$D205,'PvA Data'!$C$2:$C$1576,"Nahunta")</f>
        <v>20</v>
      </c>
      <c r="I205" s="20">
        <f>SUMIFS('PvA Data'!$G$2:$G$1576,'PvA Data'!$A$2:$A$1576,$A205,'PvA Data'!$E$2:$E$1576,$D205,'PvA Data'!$C$2:$C$1576,"Martin")</f>
        <v>0</v>
      </c>
      <c r="J205" s="20">
        <f>SUMIFS('PvA Data'!$G$2:$G$1576,'PvA Data'!$A$2:$A$1576,$A205,'PvA Data'!$E$2:$E$1576,$D205,'PvA Data'!$C$2:$C$1576,"Custom")</f>
        <v>44</v>
      </c>
      <c r="K205" s="36">
        <f t="shared" si="17"/>
        <v>0.3125</v>
      </c>
      <c r="L205" s="36">
        <f t="shared" si="18"/>
        <v>0</v>
      </c>
      <c r="M205" s="36">
        <f t="shared" si="19"/>
        <v>0.6875</v>
      </c>
    </row>
    <row r="206" spans="1:13" ht="15" customHeight="1" x14ac:dyDescent="0.75">
      <c r="A206" s="18" t="s">
        <v>72</v>
      </c>
      <c r="B206" s="19">
        <v>46076</v>
      </c>
      <c r="C206" s="17">
        <v>666506</v>
      </c>
      <c r="D206" s="18" t="s">
        <v>11</v>
      </c>
      <c r="E206" s="20">
        <f>SUMIFS('PvA Data'!$F$2:$F$1576,'PvA Data'!$A$2:$A$1576,$A206,'PvA Data'!$E$2:$E$1576,$D206)</f>
        <v>100</v>
      </c>
      <c r="F206" s="20">
        <f>SUMIFS('PvA Data'!$G$2:$G$1576,'PvA Data'!$A$2:$A$1576,$A206,'PvA Data'!$E$2:$E$1576,$D206)</f>
        <v>47</v>
      </c>
      <c r="G206" s="36">
        <f t="shared" si="16"/>
        <v>0.47</v>
      </c>
      <c r="H206" s="20">
        <f>SUMIFS('PvA Data'!$G$2:$G$1576,'PvA Data'!$A$2:$A$1576,$A206,'PvA Data'!$E$2:$E$1576,$D206,'PvA Data'!$C$2:$C$1576,"Nahunta")</f>
        <v>0</v>
      </c>
      <c r="I206" s="20">
        <f>SUMIFS('PvA Data'!$G$2:$G$1576,'PvA Data'!$A$2:$A$1576,$A206,'PvA Data'!$E$2:$E$1576,$D206,'PvA Data'!$C$2:$C$1576,"Martin")</f>
        <v>47</v>
      </c>
      <c r="J206" s="20">
        <f>SUMIFS('PvA Data'!$G$2:$G$1576,'PvA Data'!$A$2:$A$1576,$A206,'PvA Data'!$E$2:$E$1576,$D206,'PvA Data'!$C$2:$C$1576,"Custom")</f>
        <v>0</v>
      </c>
      <c r="K206" s="36">
        <f t="shared" si="17"/>
        <v>0</v>
      </c>
      <c r="L206" s="36">
        <f t="shared" si="18"/>
        <v>1</v>
      </c>
      <c r="M206" s="36">
        <f t="shared" si="19"/>
        <v>0</v>
      </c>
    </row>
    <row r="207" spans="1:13" ht="15" customHeight="1" x14ac:dyDescent="0.75">
      <c r="A207" s="18" t="s">
        <v>72</v>
      </c>
      <c r="B207" s="19">
        <v>46076</v>
      </c>
      <c r="C207" s="17">
        <v>666507</v>
      </c>
      <c r="D207" s="18" t="s">
        <v>13</v>
      </c>
      <c r="E207" s="20">
        <f>SUMIFS('PvA Data'!$F$2:$F$1576,'PvA Data'!$A$2:$A$1576,$A207,'PvA Data'!$E$2:$E$1576,$D207)</f>
        <v>21</v>
      </c>
      <c r="F207" s="20">
        <f>SUMIFS('PvA Data'!$G$2:$G$1576,'PvA Data'!$A$2:$A$1576,$A207,'PvA Data'!$E$2:$E$1576,$D207)</f>
        <v>16</v>
      </c>
      <c r="G207" s="36">
        <f t="shared" si="16"/>
        <v>0.76190476190476186</v>
      </c>
      <c r="H207" s="20">
        <f>SUMIFS('PvA Data'!$G$2:$G$1576,'PvA Data'!$A$2:$A$1576,$A207,'PvA Data'!$E$2:$E$1576,$D207,'PvA Data'!$C$2:$C$1576,"Nahunta")</f>
        <v>16</v>
      </c>
      <c r="I207" s="20">
        <f>SUMIFS('PvA Data'!$G$2:$G$1576,'PvA Data'!$A$2:$A$1576,$A207,'PvA Data'!$E$2:$E$1576,$D207,'PvA Data'!$C$2:$C$1576,"Martin")</f>
        <v>0</v>
      </c>
      <c r="J207" s="20">
        <f>SUMIFS('PvA Data'!$G$2:$G$1576,'PvA Data'!$A$2:$A$1576,$A207,'PvA Data'!$E$2:$E$1576,$D207,'PvA Data'!$C$2:$C$1576,"Custom")</f>
        <v>0</v>
      </c>
      <c r="K207" s="36">
        <f t="shared" si="17"/>
        <v>1</v>
      </c>
      <c r="L207" s="36">
        <f t="shared" si="18"/>
        <v>0</v>
      </c>
      <c r="M207" s="36">
        <f t="shared" si="19"/>
        <v>0</v>
      </c>
    </row>
    <row r="208" spans="1:13" ht="15" customHeight="1" x14ac:dyDescent="0.75">
      <c r="A208" s="18" t="s">
        <v>72</v>
      </c>
      <c r="B208" s="19">
        <v>46076</v>
      </c>
      <c r="C208" s="17">
        <v>666509</v>
      </c>
      <c r="D208" s="18" t="s">
        <v>15</v>
      </c>
      <c r="E208" s="20">
        <f>SUMIFS('PvA Data'!$F$2:$F$1576,'PvA Data'!$A$2:$A$1576,$A208,'PvA Data'!$E$2:$E$1576,$D208)</f>
        <v>52</v>
      </c>
      <c r="F208" s="20">
        <f>SUMIFS('PvA Data'!$G$2:$G$1576,'PvA Data'!$A$2:$A$1576,$A208,'PvA Data'!$E$2:$E$1576,$D208)</f>
        <v>95</v>
      </c>
      <c r="G208" s="36">
        <f t="shared" si="16"/>
        <v>1.8269230769230769</v>
      </c>
      <c r="H208" s="20">
        <f>SUMIFS('PvA Data'!$G$2:$G$1576,'PvA Data'!$A$2:$A$1576,$A208,'PvA Data'!$E$2:$E$1576,$D208,'PvA Data'!$C$2:$C$1576,"Nahunta")</f>
        <v>95</v>
      </c>
      <c r="I208" s="20">
        <f>SUMIFS('PvA Data'!$G$2:$G$1576,'PvA Data'!$A$2:$A$1576,$A208,'PvA Data'!$E$2:$E$1576,$D208,'PvA Data'!$C$2:$C$1576,"Martin")</f>
        <v>0</v>
      </c>
      <c r="J208" s="20">
        <f>SUMIFS('PvA Data'!$G$2:$G$1576,'PvA Data'!$A$2:$A$1576,$A208,'PvA Data'!$E$2:$E$1576,$D208,'PvA Data'!$C$2:$C$1576,"Custom")</f>
        <v>0</v>
      </c>
      <c r="K208" s="36">
        <f t="shared" si="17"/>
        <v>1</v>
      </c>
      <c r="L208" s="36">
        <f t="shared" si="18"/>
        <v>0</v>
      </c>
      <c r="M208" s="36">
        <f t="shared" si="19"/>
        <v>0</v>
      </c>
    </row>
    <row r="209" spans="1:13" ht="15" customHeight="1" x14ac:dyDescent="0.75">
      <c r="A209" s="18" t="s">
        <v>72</v>
      </c>
      <c r="B209" s="19">
        <v>46076</v>
      </c>
      <c r="C209" s="17">
        <v>666510</v>
      </c>
      <c r="D209" s="18" t="s">
        <v>17</v>
      </c>
      <c r="E209" s="20">
        <f>SUMIFS('PvA Data'!$F$2:$F$1576,'PvA Data'!$A$2:$A$1576,$A209,'PvA Data'!$E$2:$E$1576,$D209)</f>
        <v>0</v>
      </c>
      <c r="F209" s="20">
        <f>SUMIFS('PvA Data'!$G$2:$G$1576,'PvA Data'!$A$2:$A$1576,$A209,'PvA Data'!$E$2:$E$1576,$D209)</f>
        <v>0</v>
      </c>
      <c r="G209" s="36" t="str">
        <f t="shared" si="16"/>
        <v/>
      </c>
      <c r="H209" s="20">
        <f>SUMIFS('PvA Data'!$G$2:$G$1576,'PvA Data'!$A$2:$A$1576,$A209,'PvA Data'!$E$2:$E$1576,$D209,'PvA Data'!$C$2:$C$1576,"Nahunta")</f>
        <v>0</v>
      </c>
      <c r="I209" s="20">
        <f>SUMIFS('PvA Data'!$G$2:$G$1576,'PvA Data'!$A$2:$A$1576,$A209,'PvA Data'!$E$2:$E$1576,$D209,'PvA Data'!$C$2:$C$1576,"Martin")</f>
        <v>0</v>
      </c>
      <c r="J209" s="20">
        <f>SUMIFS('PvA Data'!$G$2:$G$1576,'PvA Data'!$A$2:$A$1576,$A209,'PvA Data'!$E$2:$E$1576,$D209,'PvA Data'!$C$2:$C$1576,"Custom")</f>
        <v>0</v>
      </c>
      <c r="K209" s="36" t="str">
        <f t="shared" si="17"/>
        <v/>
      </c>
      <c r="L209" s="36" t="str">
        <f t="shared" si="18"/>
        <v/>
      </c>
      <c r="M209" s="36" t="str">
        <f t="shared" si="19"/>
        <v/>
      </c>
    </row>
    <row r="210" spans="1:13" ht="15" customHeight="1" x14ac:dyDescent="0.75">
      <c r="A210" s="18" t="s">
        <v>72</v>
      </c>
      <c r="B210" s="19">
        <v>46076</v>
      </c>
      <c r="C210" s="17">
        <v>666511</v>
      </c>
      <c r="D210" s="18" t="s">
        <v>19</v>
      </c>
      <c r="E210" s="20">
        <f>SUMIFS('PvA Data'!$F$2:$F$1576,'PvA Data'!$A$2:$A$1576,$A210,'PvA Data'!$E$2:$E$1576,$D210)</f>
        <v>4</v>
      </c>
      <c r="F210" s="20">
        <f>SUMIFS('PvA Data'!$G$2:$G$1576,'PvA Data'!$A$2:$A$1576,$A210,'PvA Data'!$E$2:$E$1576,$D210)</f>
        <v>4</v>
      </c>
      <c r="G210" s="36">
        <f t="shared" si="16"/>
        <v>1</v>
      </c>
      <c r="H210" s="20">
        <f>SUMIFS('PvA Data'!$G$2:$G$1576,'PvA Data'!$A$2:$A$1576,$A210,'PvA Data'!$E$2:$E$1576,$D210,'PvA Data'!$C$2:$C$1576,"Nahunta")</f>
        <v>4</v>
      </c>
      <c r="I210" s="20">
        <f>SUMIFS('PvA Data'!$G$2:$G$1576,'PvA Data'!$A$2:$A$1576,$A210,'PvA Data'!$E$2:$E$1576,$D210,'PvA Data'!$C$2:$C$1576,"Martin")</f>
        <v>0</v>
      </c>
      <c r="J210" s="20">
        <f>SUMIFS('PvA Data'!$G$2:$G$1576,'PvA Data'!$A$2:$A$1576,$A210,'PvA Data'!$E$2:$E$1576,$D210,'PvA Data'!$C$2:$C$1576,"Custom")</f>
        <v>0</v>
      </c>
      <c r="K210" s="36">
        <f t="shared" si="17"/>
        <v>1</v>
      </c>
      <c r="L210" s="36">
        <f t="shared" si="18"/>
        <v>0</v>
      </c>
      <c r="M210" s="36">
        <f t="shared" si="19"/>
        <v>0</v>
      </c>
    </row>
    <row r="211" spans="1:13" ht="15" customHeight="1" x14ac:dyDescent="0.75">
      <c r="A211" s="18" t="s">
        <v>72</v>
      </c>
      <c r="B211" s="19">
        <v>46076</v>
      </c>
      <c r="C211" s="17">
        <v>666513</v>
      </c>
      <c r="D211" s="18" t="s">
        <v>21</v>
      </c>
      <c r="E211" s="20">
        <f>SUMIFS('PvA Data'!$F$2:$F$1576,'PvA Data'!$A$2:$A$1576,$A211,'PvA Data'!$E$2:$E$1576,$D211)</f>
        <v>0</v>
      </c>
      <c r="F211" s="20">
        <f>SUMIFS('PvA Data'!$G$2:$G$1576,'PvA Data'!$A$2:$A$1576,$A211,'PvA Data'!$E$2:$E$1576,$D211)</f>
        <v>0</v>
      </c>
      <c r="G211" s="36" t="str">
        <f t="shared" si="16"/>
        <v/>
      </c>
      <c r="H211" s="20">
        <f>SUMIFS('PvA Data'!$G$2:$G$1576,'PvA Data'!$A$2:$A$1576,$A211,'PvA Data'!$E$2:$E$1576,$D211,'PvA Data'!$C$2:$C$1576,"Nahunta")</f>
        <v>0</v>
      </c>
      <c r="I211" s="20">
        <f>SUMIFS('PvA Data'!$G$2:$G$1576,'PvA Data'!$A$2:$A$1576,$A211,'PvA Data'!$E$2:$E$1576,$D211,'PvA Data'!$C$2:$C$1576,"Martin")</f>
        <v>0</v>
      </c>
      <c r="J211" s="20">
        <f>SUMIFS('PvA Data'!$G$2:$G$1576,'PvA Data'!$A$2:$A$1576,$A211,'PvA Data'!$E$2:$E$1576,$D211,'PvA Data'!$C$2:$C$1576,"Custom")</f>
        <v>0</v>
      </c>
      <c r="K211" s="36" t="str">
        <f t="shared" si="17"/>
        <v/>
      </c>
      <c r="L211" s="36" t="str">
        <f t="shared" si="18"/>
        <v/>
      </c>
      <c r="M211" s="36" t="str">
        <f t="shared" si="19"/>
        <v/>
      </c>
    </row>
    <row r="212" spans="1:13" ht="15" customHeight="1" x14ac:dyDescent="0.75">
      <c r="A212" s="18" t="s">
        <v>72</v>
      </c>
      <c r="B212" s="19">
        <v>46076</v>
      </c>
      <c r="C212" s="17">
        <v>666516</v>
      </c>
      <c r="D212" s="18" t="s">
        <v>23</v>
      </c>
      <c r="E212" s="20">
        <f>SUMIFS('PvA Data'!$F$2:$F$1576,'PvA Data'!$A$2:$A$1576,$A212,'PvA Data'!$E$2:$E$1576,$D212)</f>
        <v>34</v>
      </c>
      <c r="F212" s="20">
        <f>SUMIFS('PvA Data'!$G$2:$G$1576,'PvA Data'!$A$2:$A$1576,$A212,'PvA Data'!$E$2:$E$1576,$D212)</f>
        <v>68</v>
      </c>
      <c r="G212" s="36">
        <f t="shared" si="16"/>
        <v>2</v>
      </c>
      <c r="H212" s="20">
        <f>SUMIFS('PvA Data'!$G$2:$G$1576,'PvA Data'!$A$2:$A$1576,$A212,'PvA Data'!$E$2:$E$1576,$D212,'PvA Data'!$C$2:$C$1576,"Nahunta")</f>
        <v>34</v>
      </c>
      <c r="I212" s="20">
        <f>SUMIFS('PvA Data'!$G$2:$G$1576,'PvA Data'!$A$2:$A$1576,$A212,'PvA Data'!$E$2:$E$1576,$D212,'PvA Data'!$C$2:$C$1576,"Martin")</f>
        <v>0</v>
      </c>
      <c r="J212" s="20">
        <f>SUMIFS('PvA Data'!$G$2:$G$1576,'PvA Data'!$A$2:$A$1576,$A212,'PvA Data'!$E$2:$E$1576,$D212,'PvA Data'!$C$2:$C$1576,"Custom")</f>
        <v>34</v>
      </c>
      <c r="K212" s="36">
        <f t="shared" si="17"/>
        <v>0.5</v>
      </c>
      <c r="L212" s="36">
        <f t="shared" si="18"/>
        <v>0</v>
      </c>
      <c r="M212" s="36">
        <f t="shared" si="19"/>
        <v>0.5</v>
      </c>
    </row>
    <row r="213" spans="1:13" ht="15" customHeight="1" x14ac:dyDescent="0.75">
      <c r="A213" s="18" t="s">
        <v>72</v>
      </c>
      <c r="B213" s="19">
        <v>46076</v>
      </c>
      <c r="C213" s="17">
        <v>666517</v>
      </c>
      <c r="D213" s="18" t="s">
        <v>25</v>
      </c>
      <c r="E213" s="20">
        <f>SUMIFS('PvA Data'!$F$2:$F$1576,'PvA Data'!$A$2:$A$1576,$A213,'PvA Data'!$E$2:$E$1576,$D213)</f>
        <v>33</v>
      </c>
      <c r="F213" s="20">
        <f>SUMIFS('PvA Data'!$G$2:$G$1576,'PvA Data'!$A$2:$A$1576,$A213,'PvA Data'!$E$2:$E$1576,$D213)</f>
        <v>66</v>
      </c>
      <c r="G213" s="36">
        <f t="shared" si="16"/>
        <v>2</v>
      </c>
      <c r="H213" s="20">
        <f>SUMIFS('PvA Data'!$G$2:$G$1576,'PvA Data'!$A$2:$A$1576,$A213,'PvA Data'!$E$2:$E$1576,$D213,'PvA Data'!$C$2:$C$1576,"Nahunta")</f>
        <v>46</v>
      </c>
      <c r="I213" s="20">
        <f>SUMIFS('PvA Data'!$G$2:$G$1576,'PvA Data'!$A$2:$A$1576,$A213,'PvA Data'!$E$2:$E$1576,$D213,'PvA Data'!$C$2:$C$1576,"Martin")</f>
        <v>0</v>
      </c>
      <c r="J213" s="20">
        <f>SUMIFS('PvA Data'!$G$2:$G$1576,'PvA Data'!$A$2:$A$1576,$A213,'PvA Data'!$E$2:$E$1576,$D213,'PvA Data'!$C$2:$C$1576,"Custom")</f>
        <v>20</v>
      </c>
      <c r="K213" s="36">
        <f t="shared" si="17"/>
        <v>0.69696969696969702</v>
      </c>
      <c r="L213" s="36">
        <f t="shared" si="18"/>
        <v>0</v>
      </c>
      <c r="M213" s="36">
        <f t="shared" si="19"/>
        <v>0.30303030303030304</v>
      </c>
    </row>
    <row r="214" spans="1:13" ht="15" customHeight="1" x14ac:dyDescent="0.75">
      <c r="A214" s="18" t="s">
        <v>72</v>
      </c>
      <c r="B214" s="19">
        <v>46076</v>
      </c>
      <c r="C214" s="17">
        <v>666518</v>
      </c>
      <c r="D214" s="18" t="s">
        <v>27</v>
      </c>
      <c r="E214" s="20">
        <f>SUMIFS('PvA Data'!$F$2:$F$1576,'PvA Data'!$A$2:$A$1576,$A214,'PvA Data'!$E$2:$E$1576,$D214)</f>
        <v>0</v>
      </c>
      <c r="F214" s="20">
        <f>SUMIFS('PvA Data'!$G$2:$G$1576,'PvA Data'!$A$2:$A$1576,$A214,'PvA Data'!$E$2:$E$1576,$D214)</f>
        <v>0</v>
      </c>
      <c r="G214" s="36" t="str">
        <f t="shared" si="16"/>
        <v/>
      </c>
      <c r="H214" s="20">
        <f>SUMIFS('PvA Data'!$G$2:$G$1576,'PvA Data'!$A$2:$A$1576,$A214,'PvA Data'!$E$2:$E$1576,$D214,'PvA Data'!$C$2:$C$1576,"Nahunta")</f>
        <v>0</v>
      </c>
      <c r="I214" s="20">
        <f>SUMIFS('PvA Data'!$G$2:$G$1576,'PvA Data'!$A$2:$A$1576,$A214,'PvA Data'!$E$2:$E$1576,$D214,'PvA Data'!$C$2:$C$1576,"Martin")</f>
        <v>0</v>
      </c>
      <c r="J214" s="20">
        <f>SUMIFS('PvA Data'!$G$2:$G$1576,'PvA Data'!$A$2:$A$1576,$A214,'PvA Data'!$E$2:$E$1576,$D214,'PvA Data'!$C$2:$C$1576,"Custom")</f>
        <v>0</v>
      </c>
      <c r="K214" s="36" t="str">
        <f t="shared" si="17"/>
        <v/>
      </c>
      <c r="L214" s="36" t="str">
        <f t="shared" si="18"/>
        <v/>
      </c>
      <c r="M214" s="36" t="str">
        <f t="shared" si="19"/>
        <v/>
      </c>
    </row>
    <row r="215" spans="1:13" ht="15" customHeight="1" x14ac:dyDescent="0.75">
      <c r="A215" s="18" t="s">
        <v>72</v>
      </c>
      <c r="B215" s="19">
        <v>46076</v>
      </c>
      <c r="C215" s="17">
        <v>666519</v>
      </c>
      <c r="D215" s="18" t="s">
        <v>29</v>
      </c>
      <c r="E215" s="20">
        <f>SUMIFS('PvA Data'!$F$2:$F$1576,'PvA Data'!$A$2:$A$1576,$A215,'PvA Data'!$E$2:$E$1576,$D215)</f>
        <v>33</v>
      </c>
      <c r="F215" s="20">
        <f>SUMIFS('PvA Data'!$G$2:$G$1576,'PvA Data'!$A$2:$A$1576,$A215,'PvA Data'!$E$2:$E$1576,$D215)</f>
        <v>66</v>
      </c>
      <c r="G215" s="36">
        <f t="shared" si="16"/>
        <v>2</v>
      </c>
      <c r="H215" s="20">
        <f>SUMIFS('PvA Data'!$G$2:$G$1576,'PvA Data'!$A$2:$A$1576,$A215,'PvA Data'!$E$2:$E$1576,$D215,'PvA Data'!$C$2:$C$1576,"Nahunta")</f>
        <v>33</v>
      </c>
      <c r="I215" s="20">
        <f>SUMIFS('PvA Data'!$G$2:$G$1576,'PvA Data'!$A$2:$A$1576,$A215,'PvA Data'!$E$2:$E$1576,$D215,'PvA Data'!$C$2:$C$1576,"Martin")</f>
        <v>0</v>
      </c>
      <c r="J215" s="20">
        <f>SUMIFS('PvA Data'!$G$2:$G$1576,'PvA Data'!$A$2:$A$1576,$A215,'PvA Data'!$E$2:$E$1576,$D215,'PvA Data'!$C$2:$C$1576,"Custom")</f>
        <v>33</v>
      </c>
      <c r="K215" s="36">
        <f t="shared" si="17"/>
        <v>0.5</v>
      </c>
      <c r="L215" s="36">
        <f t="shared" si="18"/>
        <v>0</v>
      </c>
      <c r="M215" s="36">
        <f t="shared" si="19"/>
        <v>0.5</v>
      </c>
    </row>
    <row r="216" spans="1:13" ht="15" customHeight="1" x14ac:dyDescent="0.75">
      <c r="A216" s="18" t="s">
        <v>72</v>
      </c>
      <c r="B216" s="19">
        <v>46076</v>
      </c>
      <c r="C216" s="17">
        <v>666521</v>
      </c>
      <c r="D216" s="18" t="s">
        <v>31</v>
      </c>
      <c r="E216" s="20">
        <f>SUMIFS('PvA Data'!$F$2:$F$1576,'PvA Data'!$A$2:$A$1576,$A216,'PvA Data'!$E$2:$E$1576,$D216)</f>
        <v>28</v>
      </c>
      <c r="F216" s="20">
        <f>SUMIFS('PvA Data'!$G$2:$G$1576,'PvA Data'!$A$2:$A$1576,$A216,'PvA Data'!$E$2:$E$1576,$D216)</f>
        <v>9</v>
      </c>
      <c r="G216" s="36">
        <f t="shared" si="16"/>
        <v>0.32142857142857145</v>
      </c>
      <c r="H216" s="20">
        <f>SUMIFS('PvA Data'!$G$2:$G$1576,'PvA Data'!$A$2:$A$1576,$A216,'PvA Data'!$E$2:$E$1576,$D216,'PvA Data'!$C$2:$C$1576,"Nahunta")</f>
        <v>9</v>
      </c>
      <c r="I216" s="20">
        <f>SUMIFS('PvA Data'!$G$2:$G$1576,'PvA Data'!$A$2:$A$1576,$A216,'PvA Data'!$E$2:$E$1576,$D216,'PvA Data'!$C$2:$C$1576,"Martin")</f>
        <v>0</v>
      </c>
      <c r="J216" s="20">
        <f>SUMIFS('PvA Data'!$G$2:$G$1576,'PvA Data'!$A$2:$A$1576,$A216,'PvA Data'!$E$2:$E$1576,$D216,'PvA Data'!$C$2:$C$1576,"Custom")</f>
        <v>0</v>
      </c>
      <c r="K216" s="36">
        <f t="shared" si="17"/>
        <v>1</v>
      </c>
      <c r="L216" s="36">
        <f t="shared" si="18"/>
        <v>0</v>
      </c>
      <c r="M216" s="36">
        <f t="shared" si="19"/>
        <v>0</v>
      </c>
    </row>
    <row r="217" spans="1:13" ht="15" customHeight="1" x14ac:dyDescent="0.75">
      <c r="A217" s="18" t="s">
        <v>72</v>
      </c>
      <c r="B217" s="19">
        <v>46076</v>
      </c>
      <c r="C217" s="17">
        <v>666522</v>
      </c>
      <c r="D217" s="18" t="s">
        <v>33</v>
      </c>
      <c r="E217" s="20">
        <f>SUMIFS('PvA Data'!$F$2:$F$1576,'PvA Data'!$A$2:$A$1576,$A217,'PvA Data'!$E$2:$E$1576,$D217)</f>
        <v>100</v>
      </c>
      <c r="F217" s="20">
        <f>SUMIFS('PvA Data'!$G$2:$G$1576,'PvA Data'!$A$2:$A$1576,$A217,'PvA Data'!$E$2:$E$1576,$D217)</f>
        <v>200</v>
      </c>
      <c r="G217" s="36">
        <f t="shared" si="16"/>
        <v>2</v>
      </c>
      <c r="H217" s="20">
        <f>SUMIFS('PvA Data'!$G$2:$G$1576,'PvA Data'!$A$2:$A$1576,$A217,'PvA Data'!$E$2:$E$1576,$D217,'PvA Data'!$C$2:$C$1576,"Nahunta")</f>
        <v>65</v>
      </c>
      <c r="I217" s="20">
        <f>SUMIFS('PvA Data'!$G$2:$G$1576,'PvA Data'!$A$2:$A$1576,$A217,'PvA Data'!$E$2:$E$1576,$D217,'PvA Data'!$C$2:$C$1576,"Martin")</f>
        <v>95</v>
      </c>
      <c r="J217" s="20">
        <f>SUMIFS('PvA Data'!$G$2:$G$1576,'PvA Data'!$A$2:$A$1576,$A217,'PvA Data'!$E$2:$E$1576,$D217,'PvA Data'!$C$2:$C$1576,"Custom")</f>
        <v>40</v>
      </c>
      <c r="K217" s="36">
        <f t="shared" si="17"/>
        <v>0.32500000000000001</v>
      </c>
      <c r="L217" s="36">
        <f t="shared" si="18"/>
        <v>0.47499999999999998</v>
      </c>
      <c r="M217" s="36">
        <f t="shared" si="19"/>
        <v>0.2</v>
      </c>
    </row>
    <row r="218" spans="1:13" ht="15" customHeight="1" x14ac:dyDescent="0.75">
      <c r="A218" s="18" t="s">
        <v>72</v>
      </c>
      <c r="B218" s="19">
        <v>46076</v>
      </c>
      <c r="C218" s="17">
        <v>666523</v>
      </c>
      <c r="D218" s="18" t="s">
        <v>35</v>
      </c>
      <c r="E218" s="20">
        <f>SUMIFS('PvA Data'!$F$2:$F$1576,'PvA Data'!$A$2:$A$1576,$A218,'PvA Data'!$E$2:$E$1576,$D218)</f>
        <v>25</v>
      </c>
      <c r="F218" s="20">
        <f>SUMIFS('PvA Data'!$G$2:$G$1576,'PvA Data'!$A$2:$A$1576,$A218,'PvA Data'!$E$2:$E$1576,$D218)</f>
        <v>50</v>
      </c>
      <c r="G218" s="36">
        <f t="shared" si="16"/>
        <v>2</v>
      </c>
      <c r="H218" s="20">
        <f>SUMIFS('PvA Data'!$G$2:$G$1576,'PvA Data'!$A$2:$A$1576,$A218,'PvA Data'!$E$2:$E$1576,$D218,'PvA Data'!$C$2:$C$1576,"Nahunta")</f>
        <v>0</v>
      </c>
      <c r="I218" s="20">
        <f>SUMIFS('PvA Data'!$G$2:$G$1576,'PvA Data'!$A$2:$A$1576,$A218,'PvA Data'!$E$2:$E$1576,$D218,'PvA Data'!$C$2:$C$1576,"Martin")</f>
        <v>40</v>
      </c>
      <c r="J218" s="20">
        <f>SUMIFS('PvA Data'!$G$2:$G$1576,'PvA Data'!$A$2:$A$1576,$A218,'PvA Data'!$E$2:$E$1576,$D218,'PvA Data'!$C$2:$C$1576,"Custom")</f>
        <v>10</v>
      </c>
      <c r="K218" s="36">
        <f t="shared" si="17"/>
        <v>0</v>
      </c>
      <c r="L218" s="36">
        <f t="shared" si="18"/>
        <v>0.8</v>
      </c>
      <c r="M218" s="36">
        <f t="shared" si="19"/>
        <v>0.2</v>
      </c>
    </row>
    <row r="219" spans="1:13" ht="15" customHeight="1" x14ac:dyDescent="0.75">
      <c r="A219" s="18" t="s">
        <v>72</v>
      </c>
      <c r="B219" s="19">
        <v>46076</v>
      </c>
      <c r="C219" s="17">
        <v>666530</v>
      </c>
      <c r="D219" s="18" t="s">
        <v>37</v>
      </c>
      <c r="E219" s="20">
        <f>SUMIFS('PvA Data'!$F$2:$F$1576,'PvA Data'!$A$2:$A$1576,$A219,'PvA Data'!$E$2:$E$1576,$D219)</f>
        <v>10</v>
      </c>
      <c r="F219" s="20">
        <f>SUMIFS('PvA Data'!$G$2:$G$1576,'PvA Data'!$A$2:$A$1576,$A219,'PvA Data'!$E$2:$E$1576,$D219)</f>
        <v>20</v>
      </c>
      <c r="G219" s="36">
        <f t="shared" si="16"/>
        <v>2</v>
      </c>
      <c r="H219" s="20">
        <f>SUMIFS('PvA Data'!$G$2:$G$1576,'PvA Data'!$A$2:$A$1576,$A219,'PvA Data'!$E$2:$E$1576,$D219,'PvA Data'!$C$2:$C$1576,"Nahunta")</f>
        <v>5</v>
      </c>
      <c r="I219" s="20">
        <f>SUMIFS('PvA Data'!$G$2:$G$1576,'PvA Data'!$A$2:$A$1576,$A219,'PvA Data'!$E$2:$E$1576,$D219,'PvA Data'!$C$2:$C$1576,"Martin")</f>
        <v>0</v>
      </c>
      <c r="J219" s="20">
        <f>SUMIFS('PvA Data'!$G$2:$G$1576,'PvA Data'!$A$2:$A$1576,$A219,'PvA Data'!$E$2:$E$1576,$D219,'PvA Data'!$C$2:$C$1576,"Custom")</f>
        <v>15</v>
      </c>
      <c r="K219" s="36">
        <f t="shared" si="17"/>
        <v>0.25</v>
      </c>
      <c r="L219" s="36">
        <f t="shared" si="18"/>
        <v>0</v>
      </c>
      <c r="M219" s="36">
        <f t="shared" si="19"/>
        <v>0.75</v>
      </c>
    </row>
    <row r="220" spans="1:13" ht="15" customHeight="1" x14ac:dyDescent="0.75">
      <c r="A220" s="18" t="s">
        <v>72</v>
      </c>
      <c r="B220" s="19">
        <v>46076</v>
      </c>
      <c r="C220" s="17">
        <v>666531</v>
      </c>
      <c r="D220" s="18" t="s">
        <v>39</v>
      </c>
      <c r="E220" s="20">
        <f>SUMIFS('PvA Data'!$F$2:$F$1576,'PvA Data'!$A$2:$A$1576,$A220,'PvA Data'!$E$2:$E$1576,$D220)</f>
        <v>13</v>
      </c>
      <c r="F220" s="20">
        <f>SUMIFS('PvA Data'!$G$2:$G$1576,'PvA Data'!$A$2:$A$1576,$A220,'PvA Data'!$E$2:$E$1576,$D220)</f>
        <v>26</v>
      </c>
      <c r="G220" s="36">
        <f t="shared" si="16"/>
        <v>2</v>
      </c>
      <c r="H220" s="20">
        <f>SUMIFS('PvA Data'!$G$2:$G$1576,'PvA Data'!$A$2:$A$1576,$A220,'PvA Data'!$E$2:$E$1576,$D220,'PvA Data'!$C$2:$C$1576,"Nahunta")</f>
        <v>18</v>
      </c>
      <c r="I220" s="20">
        <f>SUMIFS('PvA Data'!$G$2:$G$1576,'PvA Data'!$A$2:$A$1576,$A220,'PvA Data'!$E$2:$E$1576,$D220,'PvA Data'!$C$2:$C$1576,"Martin")</f>
        <v>0</v>
      </c>
      <c r="J220" s="20">
        <f>SUMIFS('PvA Data'!$G$2:$G$1576,'PvA Data'!$A$2:$A$1576,$A220,'PvA Data'!$E$2:$E$1576,$D220,'PvA Data'!$C$2:$C$1576,"Custom")</f>
        <v>8</v>
      </c>
      <c r="K220" s="36">
        <f t="shared" si="17"/>
        <v>0.69230769230769229</v>
      </c>
      <c r="L220" s="36">
        <f t="shared" si="18"/>
        <v>0</v>
      </c>
      <c r="M220" s="36">
        <f t="shared" si="19"/>
        <v>0.30769230769230771</v>
      </c>
    </row>
    <row r="221" spans="1:13" ht="15" customHeight="1" x14ac:dyDescent="0.75">
      <c r="A221" s="18" t="s">
        <v>72</v>
      </c>
      <c r="B221" s="19">
        <v>46076</v>
      </c>
      <c r="C221" s="17">
        <v>666540</v>
      </c>
      <c r="D221" s="18" t="s">
        <v>40</v>
      </c>
      <c r="E221" s="20">
        <f>SUMIFS('PvA Data'!$F$2:$F$1576,'PvA Data'!$A$2:$A$1576,$A221,'PvA Data'!$E$2:$E$1576,$D221)</f>
        <v>0</v>
      </c>
      <c r="F221" s="20">
        <f>SUMIFS('PvA Data'!$G$2:$G$1576,'PvA Data'!$A$2:$A$1576,$A221,'PvA Data'!$E$2:$E$1576,$D221)</f>
        <v>0</v>
      </c>
      <c r="G221" s="36" t="str">
        <f t="shared" si="16"/>
        <v/>
      </c>
      <c r="H221" s="20">
        <f>SUMIFS('PvA Data'!$G$2:$G$1576,'PvA Data'!$A$2:$A$1576,$A221,'PvA Data'!$E$2:$E$1576,$D221,'PvA Data'!$C$2:$C$1576,"Nahunta")</f>
        <v>0</v>
      </c>
      <c r="I221" s="20">
        <f>SUMIFS('PvA Data'!$G$2:$G$1576,'PvA Data'!$A$2:$A$1576,$A221,'PvA Data'!$E$2:$E$1576,$D221,'PvA Data'!$C$2:$C$1576,"Martin")</f>
        <v>0</v>
      </c>
      <c r="J221" s="20">
        <f>SUMIFS('PvA Data'!$G$2:$G$1576,'PvA Data'!$A$2:$A$1576,$A221,'PvA Data'!$E$2:$E$1576,$D221,'PvA Data'!$C$2:$C$1576,"Custom")</f>
        <v>0</v>
      </c>
      <c r="K221" s="36" t="str">
        <f t="shared" si="17"/>
        <v/>
      </c>
      <c r="L221" s="36" t="str">
        <f t="shared" si="18"/>
        <v/>
      </c>
      <c r="M221" s="36" t="str">
        <f t="shared" si="19"/>
        <v/>
      </c>
    </row>
    <row r="222" spans="1:13" ht="15" customHeight="1" x14ac:dyDescent="0.75">
      <c r="A222" s="18" t="s">
        <v>72</v>
      </c>
      <c r="B222" s="19">
        <v>46076</v>
      </c>
      <c r="C222" s="17">
        <v>666541</v>
      </c>
      <c r="D222" s="18" t="s">
        <v>41</v>
      </c>
      <c r="E222" s="20">
        <f>SUMIFS('PvA Data'!$F$2:$F$1576,'PvA Data'!$A$2:$A$1576,$A222,'PvA Data'!$E$2:$E$1576,$D222)</f>
        <v>240</v>
      </c>
      <c r="F222" s="20">
        <f>SUMIFS('PvA Data'!$G$2:$G$1576,'PvA Data'!$A$2:$A$1576,$A222,'PvA Data'!$E$2:$E$1576,$D222)</f>
        <v>240</v>
      </c>
      <c r="G222" s="36">
        <f t="shared" si="16"/>
        <v>1</v>
      </c>
      <c r="H222" s="20">
        <f>SUMIFS('PvA Data'!$G$2:$G$1576,'PvA Data'!$A$2:$A$1576,$A222,'PvA Data'!$E$2:$E$1576,$D222,'PvA Data'!$C$2:$C$1576,"Nahunta")</f>
        <v>0</v>
      </c>
      <c r="I222" s="20">
        <f>SUMIFS('PvA Data'!$G$2:$G$1576,'PvA Data'!$A$2:$A$1576,$A222,'PvA Data'!$E$2:$E$1576,$D222,'PvA Data'!$C$2:$C$1576,"Martin")</f>
        <v>240</v>
      </c>
      <c r="J222" s="20">
        <f>SUMIFS('PvA Data'!$G$2:$G$1576,'PvA Data'!$A$2:$A$1576,$A222,'PvA Data'!$E$2:$E$1576,$D222,'PvA Data'!$C$2:$C$1576,"Custom")</f>
        <v>0</v>
      </c>
      <c r="K222" s="36">
        <f t="shared" si="17"/>
        <v>0</v>
      </c>
      <c r="L222" s="36">
        <f t="shared" si="18"/>
        <v>1</v>
      </c>
      <c r="M222" s="36">
        <f t="shared" si="19"/>
        <v>0</v>
      </c>
    </row>
    <row r="223" spans="1:13" ht="15" customHeight="1" x14ac:dyDescent="0.75">
      <c r="A223" s="18" t="s">
        <v>72</v>
      </c>
      <c r="B223" s="19">
        <v>46076</v>
      </c>
      <c r="C223" s="17">
        <v>666536</v>
      </c>
      <c r="D223" s="18" t="s">
        <v>43</v>
      </c>
      <c r="E223" s="20">
        <f>SUMIFS('PvA Data'!$F$2:$F$1576,'PvA Data'!$A$2:$A$1576,$A223,'PvA Data'!$E$2:$E$1576,$D223)</f>
        <v>5</v>
      </c>
      <c r="F223" s="20">
        <f>SUMIFS('PvA Data'!$G$2:$G$1576,'PvA Data'!$A$2:$A$1576,$A223,'PvA Data'!$E$2:$E$1576,$D223)</f>
        <v>8</v>
      </c>
      <c r="G223" s="36">
        <f t="shared" si="16"/>
        <v>1.6</v>
      </c>
      <c r="H223" s="20">
        <f>SUMIFS('PvA Data'!$G$2:$G$1576,'PvA Data'!$A$2:$A$1576,$A223,'PvA Data'!$E$2:$E$1576,$D223,'PvA Data'!$C$2:$C$1576,"Nahunta")</f>
        <v>8</v>
      </c>
      <c r="I223" s="20">
        <f>SUMIFS('PvA Data'!$G$2:$G$1576,'PvA Data'!$A$2:$A$1576,$A223,'PvA Data'!$E$2:$E$1576,$D223,'PvA Data'!$C$2:$C$1576,"Martin")</f>
        <v>0</v>
      </c>
      <c r="J223" s="20">
        <f>SUMIFS('PvA Data'!$G$2:$G$1576,'PvA Data'!$A$2:$A$1576,$A223,'PvA Data'!$E$2:$E$1576,$D223,'PvA Data'!$C$2:$C$1576,"Custom")</f>
        <v>0</v>
      </c>
      <c r="K223" s="36">
        <f t="shared" si="17"/>
        <v>1</v>
      </c>
      <c r="L223" s="36">
        <f t="shared" si="18"/>
        <v>0</v>
      </c>
      <c r="M223" s="36">
        <f t="shared" si="19"/>
        <v>0</v>
      </c>
    </row>
    <row r="224" spans="1:13" ht="15" customHeight="1" x14ac:dyDescent="0.75">
      <c r="A224" s="18" t="s">
        <v>73</v>
      </c>
      <c r="B224" s="19">
        <v>46083</v>
      </c>
      <c r="C224" s="17">
        <v>666501</v>
      </c>
      <c r="D224" s="18" t="s">
        <v>5</v>
      </c>
      <c r="E224" s="20">
        <f>SUMIFS('PvA Data'!$F$2:$F$1576,'PvA Data'!$A$2:$A$1576,$A224,'PvA Data'!$E$2:$E$1576,$D224)</f>
        <v>255</v>
      </c>
      <c r="F224" s="20">
        <f>SUMIFS('PvA Data'!$G$2:$G$1576,'PvA Data'!$A$2:$A$1576,$A224,'PvA Data'!$E$2:$E$1576,$D224)</f>
        <v>201</v>
      </c>
      <c r="G224" s="36">
        <f t="shared" si="16"/>
        <v>0.78823529411764703</v>
      </c>
      <c r="H224" s="20">
        <f>SUMIFS('PvA Data'!$G$2:$G$1576,'PvA Data'!$A$2:$A$1576,$A224,'PvA Data'!$E$2:$E$1576,$D224,'PvA Data'!$C$2:$C$1576,"Nahunta")</f>
        <v>0</v>
      </c>
      <c r="I224" s="20">
        <f>SUMIFS('PvA Data'!$G$2:$G$1576,'PvA Data'!$A$2:$A$1576,$A224,'PvA Data'!$E$2:$E$1576,$D224,'PvA Data'!$C$2:$C$1576,"Martin")</f>
        <v>201</v>
      </c>
      <c r="J224" s="20">
        <f>SUMIFS('PvA Data'!$G$2:$G$1576,'PvA Data'!$A$2:$A$1576,$A224,'PvA Data'!$E$2:$E$1576,$D224,'PvA Data'!$C$2:$C$1576,"Custom")</f>
        <v>0</v>
      </c>
      <c r="K224" s="36">
        <f t="shared" si="17"/>
        <v>0</v>
      </c>
      <c r="L224" s="36">
        <f t="shared" si="18"/>
        <v>1</v>
      </c>
      <c r="M224" s="36">
        <f t="shared" si="19"/>
        <v>0</v>
      </c>
    </row>
    <row r="225" spans="1:13" ht="15" customHeight="1" x14ac:dyDescent="0.75">
      <c r="A225" s="18" t="s">
        <v>73</v>
      </c>
      <c r="B225" s="19">
        <v>46083</v>
      </c>
      <c r="C225" s="17">
        <v>666502</v>
      </c>
      <c r="D225" s="18" t="s">
        <v>7</v>
      </c>
      <c r="E225" s="20">
        <f>SUMIFS('PvA Data'!$F$2:$F$1576,'PvA Data'!$A$2:$A$1576,$A225,'PvA Data'!$E$2:$E$1576,$D225)</f>
        <v>180</v>
      </c>
      <c r="F225" s="20">
        <f>SUMIFS('PvA Data'!$G$2:$G$1576,'PvA Data'!$A$2:$A$1576,$A225,'PvA Data'!$E$2:$E$1576,$D225)</f>
        <v>189</v>
      </c>
      <c r="G225" s="36">
        <f t="shared" si="16"/>
        <v>1.05</v>
      </c>
      <c r="H225" s="20">
        <f>SUMIFS('PvA Data'!$G$2:$G$1576,'PvA Data'!$A$2:$A$1576,$A225,'PvA Data'!$E$2:$E$1576,$D225,'PvA Data'!$C$2:$C$1576,"Nahunta")</f>
        <v>0</v>
      </c>
      <c r="I225" s="20">
        <f>SUMIFS('PvA Data'!$G$2:$G$1576,'PvA Data'!$A$2:$A$1576,$A225,'PvA Data'!$E$2:$E$1576,$D225,'PvA Data'!$C$2:$C$1576,"Martin")</f>
        <v>149</v>
      </c>
      <c r="J225" s="20">
        <f>SUMIFS('PvA Data'!$G$2:$G$1576,'PvA Data'!$A$2:$A$1576,$A225,'PvA Data'!$E$2:$E$1576,$D225,'PvA Data'!$C$2:$C$1576,"Custom")</f>
        <v>40</v>
      </c>
      <c r="K225" s="36">
        <f t="shared" si="17"/>
        <v>0</v>
      </c>
      <c r="L225" s="36">
        <f t="shared" si="18"/>
        <v>0.78835978835978837</v>
      </c>
      <c r="M225" s="36">
        <f t="shared" si="19"/>
        <v>0.21164021164021163</v>
      </c>
    </row>
    <row r="226" spans="1:13" ht="15" customHeight="1" x14ac:dyDescent="0.75">
      <c r="A226" s="18" t="s">
        <v>73</v>
      </c>
      <c r="B226" s="19">
        <v>46083</v>
      </c>
      <c r="C226" s="17">
        <v>666505</v>
      </c>
      <c r="D226" s="18" t="s">
        <v>9</v>
      </c>
      <c r="E226" s="20">
        <f>SUMIFS('PvA Data'!$F$2:$F$1576,'PvA Data'!$A$2:$A$1576,$A226,'PvA Data'!$E$2:$E$1576,$D226)</f>
        <v>32</v>
      </c>
      <c r="F226" s="20">
        <f>SUMIFS('PvA Data'!$G$2:$G$1576,'PvA Data'!$A$2:$A$1576,$A226,'PvA Data'!$E$2:$E$1576,$D226)</f>
        <v>0</v>
      </c>
      <c r="G226" s="36">
        <f t="shared" si="16"/>
        <v>0</v>
      </c>
      <c r="H226" s="20">
        <f>SUMIFS('PvA Data'!$G$2:$G$1576,'PvA Data'!$A$2:$A$1576,$A226,'PvA Data'!$E$2:$E$1576,$D226,'PvA Data'!$C$2:$C$1576,"Nahunta")</f>
        <v>0</v>
      </c>
      <c r="I226" s="20">
        <f>SUMIFS('PvA Data'!$G$2:$G$1576,'PvA Data'!$A$2:$A$1576,$A226,'PvA Data'!$E$2:$E$1576,$D226,'PvA Data'!$C$2:$C$1576,"Martin")</f>
        <v>0</v>
      </c>
      <c r="J226" s="20">
        <f>SUMIFS('PvA Data'!$G$2:$G$1576,'PvA Data'!$A$2:$A$1576,$A226,'PvA Data'!$E$2:$E$1576,$D226,'PvA Data'!$C$2:$C$1576,"Custom")</f>
        <v>0</v>
      </c>
      <c r="K226" s="36" t="str">
        <f t="shared" si="17"/>
        <v/>
      </c>
      <c r="L226" s="36" t="str">
        <f t="shared" si="18"/>
        <v/>
      </c>
      <c r="M226" s="36" t="str">
        <f t="shared" si="19"/>
        <v/>
      </c>
    </row>
    <row r="227" spans="1:13" ht="15" customHeight="1" x14ac:dyDescent="0.75">
      <c r="A227" s="18" t="s">
        <v>73</v>
      </c>
      <c r="B227" s="19">
        <v>46083</v>
      </c>
      <c r="C227" s="17">
        <v>666506</v>
      </c>
      <c r="D227" s="18" t="s">
        <v>11</v>
      </c>
      <c r="E227" s="20">
        <f>SUMIFS('PvA Data'!$F$2:$F$1576,'PvA Data'!$A$2:$A$1576,$A227,'PvA Data'!$E$2:$E$1576,$D227)</f>
        <v>100</v>
      </c>
      <c r="F227" s="20">
        <f>SUMIFS('PvA Data'!$G$2:$G$1576,'PvA Data'!$A$2:$A$1576,$A227,'PvA Data'!$E$2:$E$1576,$D227)</f>
        <v>153</v>
      </c>
      <c r="G227" s="36">
        <f t="shared" ref="G227:G290" si="20">IF(E227=0,"",F227/E227)</f>
        <v>1.53</v>
      </c>
      <c r="H227" s="20">
        <f>SUMIFS('PvA Data'!$G$2:$G$1576,'PvA Data'!$A$2:$A$1576,$A227,'PvA Data'!$E$2:$E$1576,$D227,'PvA Data'!$C$2:$C$1576,"Nahunta")</f>
        <v>0</v>
      </c>
      <c r="I227" s="20">
        <f>SUMIFS('PvA Data'!$G$2:$G$1576,'PvA Data'!$A$2:$A$1576,$A227,'PvA Data'!$E$2:$E$1576,$D227,'PvA Data'!$C$2:$C$1576,"Martin")</f>
        <v>153</v>
      </c>
      <c r="J227" s="20">
        <f>SUMIFS('PvA Data'!$G$2:$G$1576,'PvA Data'!$A$2:$A$1576,$A227,'PvA Data'!$E$2:$E$1576,$D227,'PvA Data'!$C$2:$C$1576,"Custom")</f>
        <v>0</v>
      </c>
      <c r="K227" s="36">
        <f t="shared" ref="K227:K290" si="21">IF($F227=0,"",H227/$F227)</f>
        <v>0</v>
      </c>
      <c r="L227" s="36">
        <f t="shared" ref="L227:L290" si="22">IF($F227=0,"",I227/$F227)</f>
        <v>1</v>
      </c>
      <c r="M227" s="36">
        <f t="shared" ref="M227:M290" si="23">IF($F227=0,"",J227/$F227)</f>
        <v>0</v>
      </c>
    </row>
    <row r="228" spans="1:13" ht="15" customHeight="1" x14ac:dyDescent="0.75">
      <c r="A228" s="18" t="s">
        <v>73</v>
      </c>
      <c r="B228" s="19">
        <v>46083</v>
      </c>
      <c r="C228" s="17">
        <v>666507</v>
      </c>
      <c r="D228" s="18" t="s">
        <v>13</v>
      </c>
      <c r="E228" s="20">
        <f>SUMIFS('PvA Data'!$F$2:$F$1576,'PvA Data'!$A$2:$A$1576,$A228,'PvA Data'!$E$2:$E$1576,$D228)</f>
        <v>21</v>
      </c>
      <c r="F228" s="20">
        <f>SUMIFS('PvA Data'!$G$2:$G$1576,'PvA Data'!$A$2:$A$1576,$A228,'PvA Data'!$E$2:$E$1576,$D228)</f>
        <v>27</v>
      </c>
      <c r="G228" s="36">
        <f t="shared" si="20"/>
        <v>1.2857142857142858</v>
      </c>
      <c r="H228" s="20">
        <f>SUMIFS('PvA Data'!$G$2:$G$1576,'PvA Data'!$A$2:$A$1576,$A228,'PvA Data'!$E$2:$E$1576,$D228,'PvA Data'!$C$2:$C$1576,"Nahunta")</f>
        <v>27</v>
      </c>
      <c r="I228" s="20">
        <f>SUMIFS('PvA Data'!$G$2:$G$1576,'PvA Data'!$A$2:$A$1576,$A228,'PvA Data'!$E$2:$E$1576,$D228,'PvA Data'!$C$2:$C$1576,"Martin")</f>
        <v>0</v>
      </c>
      <c r="J228" s="20">
        <f>SUMIFS('PvA Data'!$G$2:$G$1576,'PvA Data'!$A$2:$A$1576,$A228,'PvA Data'!$E$2:$E$1576,$D228,'PvA Data'!$C$2:$C$1576,"Custom")</f>
        <v>0</v>
      </c>
      <c r="K228" s="36">
        <f t="shared" si="21"/>
        <v>1</v>
      </c>
      <c r="L228" s="36">
        <f t="shared" si="22"/>
        <v>0</v>
      </c>
      <c r="M228" s="36">
        <f t="shared" si="23"/>
        <v>0</v>
      </c>
    </row>
    <row r="229" spans="1:13" ht="15" customHeight="1" x14ac:dyDescent="0.75">
      <c r="A229" s="18" t="s">
        <v>73</v>
      </c>
      <c r="B229" s="19">
        <v>46083</v>
      </c>
      <c r="C229" s="17">
        <v>666509</v>
      </c>
      <c r="D229" s="18" t="s">
        <v>15</v>
      </c>
      <c r="E229" s="20">
        <f>SUMIFS('PvA Data'!$F$2:$F$1576,'PvA Data'!$A$2:$A$1576,$A229,'PvA Data'!$E$2:$E$1576,$D229)</f>
        <v>52</v>
      </c>
      <c r="F229" s="20">
        <f>SUMIFS('PvA Data'!$G$2:$G$1576,'PvA Data'!$A$2:$A$1576,$A229,'PvA Data'!$E$2:$E$1576,$D229)</f>
        <v>9</v>
      </c>
      <c r="G229" s="36">
        <f t="shared" si="20"/>
        <v>0.17307692307692307</v>
      </c>
      <c r="H229" s="20">
        <f>SUMIFS('PvA Data'!$G$2:$G$1576,'PvA Data'!$A$2:$A$1576,$A229,'PvA Data'!$E$2:$E$1576,$D229,'PvA Data'!$C$2:$C$1576,"Nahunta")</f>
        <v>9</v>
      </c>
      <c r="I229" s="20">
        <f>SUMIFS('PvA Data'!$G$2:$G$1576,'PvA Data'!$A$2:$A$1576,$A229,'PvA Data'!$E$2:$E$1576,$D229,'PvA Data'!$C$2:$C$1576,"Martin")</f>
        <v>0</v>
      </c>
      <c r="J229" s="20">
        <f>SUMIFS('PvA Data'!$G$2:$G$1576,'PvA Data'!$A$2:$A$1576,$A229,'PvA Data'!$E$2:$E$1576,$D229,'PvA Data'!$C$2:$C$1576,"Custom")</f>
        <v>0</v>
      </c>
      <c r="K229" s="36">
        <f t="shared" si="21"/>
        <v>1</v>
      </c>
      <c r="L229" s="36">
        <f t="shared" si="22"/>
        <v>0</v>
      </c>
      <c r="M229" s="36">
        <f t="shared" si="23"/>
        <v>0</v>
      </c>
    </row>
    <row r="230" spans="1:13" ht="15" customHeight="1" x14ac:dyDescent="0.75">
      <c r="A230" s="18" t="s">
        <v>73</v>
      </c>
      <c r="B230" s="19">
        <v>46083</v>
      </c>
      <c r="C230" s="17">
        <v>666510</v>
      </c>
      <c r="D230" s="18" t="s">
        <v>17</v>
      </c>
      <c r="E230" s="20">
        <f>SUMIFS('PvA Data'!$F$2:$F$1576,'PvA Data'!$A$2:$A$1576,$A230,'PvA Data'!$E$2:$E$1576,$D230)</f>
        <v>0</v>
      </c>
      <c r="F230" s="20">
        <f>SUMIFS('PvA Data'!$G$2:$G$1576,'PvA Data'!$A$2:$A$1576,$A230,'PvA Data'!$E$2:$E$1576,$D230)</f>
        <v>0</v>
      </c>
      <c r="G230" s="36" t="str">
        <f t="shared" si="20"/>
        <v/>
      </c>
      <c r="H230" s="20">
        <f>SUMIFS('PvA Data'!$G$2:$G$1576,'PvA Data'!$A$2:$A$1576,$A230,'PvA Data'!$E$2:$E$1576,$D230,'PvA Data'!$C$2:$C$1576,"Nahunta")</f>
        <v>0</v>
      </c>
      <c r="I230" s="20">
        <f>SUMIFS('PvA Data'!$G$2:$G$1576,'PvA Data'!$A$2:$A$1576,$A230,'PvA Data'!$E$2:$E$1576,$D230,'PvA Data'!$C$2:$C$1576,"Martin")</f>
        <v>0</v>
      </c>
      <c r="J230" s="20">
        <f>SUMIFS('PvA Data'!$G$2:$G$1576,'PvA Data'!$A$2:$A$1576,$A230,'PvA Data'!$E$2:$E$1576,$D230,'PvA Data'!$C$2:$C$1576,"Custom")</f>
        <v>0</v>
      </c>
      <c r="K230" s="36" t="str">
        <f t="shared" si="21"/>
        <v/>
      </c>
      <c r="L230" s="36" t="str">
        <f t="shared" si="22"/>
        <v/>
      </c>
      <c r="M230" s="36" t="str">
        <f t="shared" si="23"/>
        <v/>
      </c>
    </row>
    <row r="231" spans="1:13" ht="15" customHeight="1" x14ac:dyDescent="0.75">
      <c r="A231" s="18" t="s">
        <v>73</v>
      </c>
      <c r="B231" s="19">
        <v>46083</v>
      </c>
      <c r="C231" s="17">
        <v>666511</v>
      </c>
      <c r="D231" s="18" t="s">
        <v>19</v>
      </c>
      <c r="E231" s="20">
        <f>SUMIFS('PvA Data'!$F$2:$F$1576,'PvA Data'!$A$2:$A$1576,$A231,'PvA Data'!$E$2:$E$1576,$D231)</f>
        <v>4</v>
      </c>
      <c r="F231" s="20">
        <f>SUMIFS('PvA Data'!$G$2:$G$1576,'PvA Data'!$A$2:$A$1576,$A231,'PvA Data'!$E$2:$E$1576,$D231)</f>
        <v>4</v>
      </c>
      <c r="G231" s="36">
        <f t="shared" si="20"/>
        <v>1</v>
      </c>
      <c r="H231" s="20">
        <f>SUMIFS('PvA Data'!$G$2:$G$1576,'PvA Data'!$A$2:$A$1576,$A231,'PvA Data'!$E$2:$E$1576,$D231,'PvA Data'!$C$2:$C$1576,"Nahunta")</f>
        <v>4</v>
      </c>
      <c r="I231" s="20">
        <f>SUMIFS('PvA Data'!$G$2:$G$1576,'PvA Data'!$A$2:$A$1576,$A231,'PvA Data'!$E$2:$E$1576,$D231,'PvA Data'!$C$2:$C$1576,"Martin")</f>
        <v>0</v>
      </c>
      <c r="J231" s="20">
        <f>SUMIFS('PvA Data'!$G$2:$G$1576,'PvA Data'!$A$2:$A$1576,$A231,'PvA Data'!$E$2:$E$1576,$D231,'PvA Data'!$C$2:$C$1576,"Custom")</f>
        <v>0</v>
      </c>
      <c r="K231" s="36">
        <f t="shared" si="21"/>
        <v>1</v>
      </c>
      <c r="L231" s="36">
        <f t="shared" si="22"/>
        <v>0</v>
      </c>
      <c r="M231" s="36">
        <f t="shared" si="23"/>
        <v>0</v>
      </c>
    </row>
    <row r="232" spans="1:13" ht="15" customHeight="1" x14ac:dyDescent="0.75">
      <c r="A232" s="18" t="s">
        <v>73</v>
      </c>
      <c r="B232" s="19">
        <v>46083</v>
      </c>
      <c r="C232" s="17">
        <v>666513</v>
      </c>
      <c r="D232" s="18" t="s">
        <v>21</v>
      </c>
      <c r="E232" s="20">
        <f>SUMIFS('PvA Data'!$F$2:$F$1576,'PvA Data'!$A$2:$A$1576,$A232,'PvA Data'!$E$2:$E$1576,$D232)</f>
        <v>0</v>
      </c>
      <c r="F232" s="20">
        <f>SUMIFS('PvA Data'!$G$2:$G$1576,'PvA Data'!$A$2:$A$1576,$A232,'PvA Data'!$E$2:$E$1576,$D232)</f>
        <v>0</v>
      </c>
      <c r="G232" s="36" t="str">
        <f t="shared" si="20"/>
        <v/>
      </c>
      <c r="H232" s="20">
        <f>SUMIFS('PvA Data'!$G$2:$G$1576,'PvA Data'!$A$2:$A$1576,$A232,'PvA Data'!$E$2:$E$1576,$D232,'PvA Data'!$C$2:$C$1576,"Nahunta")</f>
        <v>0</v>
      </c>
      <c r="I232" s="20">
        <f>SUMIFS('PvA Data'!$G$2:$G$1576,'PvA Data'!$A$2:$A$1576,$A232,'PvA Data'!$E$2:$E$1576,$D232,'PvA Data'!$C$2:$C$1576,"Martin")</f>
        <v>0</v>
      </c>
      <c r="J232" s="20">
        <f>SUMIFS('PvA Data'!$G$2:$G$1576,'PvA Data'!$A$2:$A$1576,$A232,'PvA Data'!$E$2:$E$1576,$D232,'PvA Data'!$C$2:$C$1576,"Custom")</f>
        <v>0</v>
      </c>
      <c r="K232" s="36" t="str">
        <f t="shared" si="21"/>
        <v/>
      </c>
      <c r="L232" s="36" t="str">
        <f t="shared" si="22"/>
        <v/>
      </c>
      <c r="M232" s="36" t="str">
        <f t="shared" si="23"/>
        <v/>
      </c>
    </row>
    <row r="233" spans="1:13" ht="15" customHeight="1" x14ac:dyDescent="0.75">
      <c r="A233" s="18" t="s">
        <v>73</v>
      </c>
      <c r="B233" s="19">
        <v>46083</v>
      </c>
      <c r="C233" s="17">
        <v>666516</v>
      </c>
      <c r="D233" s="18" t="s">
        <v>23</v>
      </c>
      <c r="E233" s="20">
        <f>SUMIFS('PvA Data'!$F$2:$F$1576,'PvA Data'!$A$2:$A$1576,$A233,'PvA Data'!$E$2:$E$1576,$D233)</f>
        <v>34</v>
      </c>
      <c r="F233" s="20">
        <f>SUMIFS('PvA Data'!$G$2:$G$1576,'PvA Data'!$A$2:$A$1576,$A233,'PvA Data'!$E$2:$E$1576,$D233)</f>
        <v>0</v>
      </c>
      <c r="G233" s="36">
        <f t="shared" si="20"/>
        <v>0</v>
      </c>
      <c r="H233" s="20">
        <f>SUMIFS('PvA Data'!$G$2:$G$1576,'PvA Data'!$A$2:$A$1576,$A233,'PvA Data'!$E$2:$E$1576,$D233,'PvA Data'!$C$2:$C$1576,"Nahunta")</f>
        <v>0</v>
      </c>
      <c r="I233" s="20">
        <f>SUMIFS('PvA Data'!$G$2:$G$1576,'PvA Data'!$A$2:$A$1576,$A233,'PvA Data'!$E$2:$E$1576,$D233,'PvA Data'!$C$2:$C$1576,"Martin")</f>
        <v>0</v>
      </c>
      <c r="J233" s="20">
        <f>SUMIFS('PvA Data'!$G$2:$G$1576,'PvA Data'!$A$2:$A$1576,$A233,'PvA Data'!$E$2:$E$1576,$D233,'PvA Data'!$C$2:$C$1576,"Custom")</f>
        <v>0</v>
      </c>
      <c r="K233" s="36" t="str">
        <f t="shared" si="21"/>
        <v/>
      </c>
      <c r="L233" s="36" t="str">
        <f t="shared" si="22"/>
        <v/>
      </c>
      <c r="M233" s="36" t="str">
        <f t="shared" si="23"/>
        <v/>
      </c>
    </row>
    <row r="234" spans="1:13" ht="15" customHeight="1" x14ac:dyDescent="0.75">
      <c r="A234" s="18" t="s">
        <v>73</v>
      </c>
      <c r="B234" s="19">
        <v>46083</v>
      </c>
      <c r="C234" s="17">
        <v>666517</v>
      </c>
      <c r="D234" s="18" t="s">
        <v>25</v>
      </c>
      <c r="E234" s="20">
        <f>SUMIFS('PvA Data'!$F$2:$F$1576,'PvA Data'!$A$2:$A$1576,$A234,'PvA Data'!$E$2:$E$1576,$D234)</f>
        <v>33</v>
      </c>
      <c r="F234" s="20">
        <f>SUMIFS('PvA Data'!$G$2:$G$1576,'PvA Data'!$A$2:$A$1576,$A234,'PvA Data'!$E$2:$E$1576,$D234)</f>
        <v>0</v>
      </c>
      <c r="G234" s="36">
        <f t="shared" si="20"/>
        <v>0</v>
      </c>
      <c r="H234" s="20">
        <f>SUMIFS('PvA Data'!$G$2:$G$1576,'PvA Data'!$A$2:$A$1576,$A234,'PvA Data'!$E$2:$E$1576,$D234,'PvA Data'!$C$2:$C$1576,"Nahunta")</f>
        <v>0</v>
      </c>
      <c r="I234" s="20">
        <f>SUMIFS('PvA Data'!$G$2:$G$1576,'PvA Data'!$A$2:$A$1576,$A234,'PvA Data'!$E$2:$E$1576,$D234,'PvA Data'!$C$2:$C$1576,"Martin")</f>
        <v>0</v>
      </c>
      <c r="J234" s="20">
        <f>SUMIFS('PvA Data'!$G$2:$G$1576,'PvA Data'!$A$2:$A$1576,$A234,'PvA Data'!$E$2:$E$1576,$D234,'PvA Data'!$C$2:$C$1576,"Custom")</f>
        <v>0</v>
      </c>
      <c r="K234" s="36" t="str">
        <f t="shared" si="21"/>
        <v/>
      </c>
      <c r="L234" s="36" t="str">
        <f t="shared" si="22"/>
        <v/>
      </c>
      <c r="M234" s="36" t="str">
        <f t="shared" si="23"/>
        <v/>
      </c>
    </row>
    <row r="235" spans="1:13" ht="15" customHeight="1" x14ac:dyDescent="0.75">
      <c r="A235" s="18" t="s">
        <v>73</v>
      </c>
      <c r="B235" s="19">
        <v>46083</v>
      </c>
      <c r="C235" s="17">
        <v>666518</v>
      </c>
      <c r="D235" s="18" t="s">
        <v>27</v>
      </c>
      <c r="E235" s="20">
        <f>SUMIFS('PvA Data'!$F$2:$F$1576,'PvA Data'!$A$2:$A$1576,$A235,'PvA Data'!$E$2:$E$1576,$D235)</f>
        <v>0</v>
      </c>
      <c r="F235" s="20">
        <f>SUMIFS('PvA Data'!$G$2:$G$1576,'PvA Data'!$A$2:$A$1576,$A235,'PvA Data'!$E$2:$E$1576,$D235)</f>
        <v>0</v>
      </c>
      <c r="G235" s="36" t="str">
        <f t="shared" si="20"/>
        <v/>
      </c>
      <c r="H235" s="20">
        <f>SUMIFS('PvA Data'!$G$2:$G$1576,'PvA Data'!$A$2:$A$1576,$A235,'PvA Data'!$E$2:$E$1576,$D235,'PvA Data'!$C$2:$C$1576,"Nahunta")</f>
        <v>0</v>
      </c>
      <c r="I235" s="20">
        <f>SUMIFS('PvA Data'!$G$2:$G$1576,'PvA Data'!$A$2:$A$1576,$A235,'PvA Data'!$E$2:$E$1576,$D235,'PvA Data'!$C$2:$C$1576,"Martin")</f>
        <v>0</v>
      </c>
      <c r="J235" s="20">
        <f>SUMIFS('PvA Data'!$G$2:$G$1576,'PvA Data'!$A$2:$A$1576,$A235,'PvA Data'!$E$2:$E$1576,$D235,'PvA Data'!$C$2:$C$1576,"Custom")</f>
        <v>0</v>
      </c>
      <c r="K235" s="36" t="str">
        <f t="shared" si="21"/>
        <v/>
      </c>
      <c r="L235" s="36" t="str">
        <f t="shared" si="22"/>
        <v/>
      </c>
      <c r="M235" s="36" t="str">
        <f t="shared" si="23"/>
        <v/>
      </c>
    </row>
    <row r="236" spans="1:13" ht="15" customHeight="1" x14ac:dyDescent="0.75">
      <c r="A236" s="18" t="s">
        <v>73</v>
      </c>
      <c r="B236" s="19">
        <v>46083</v>
      </c>
      <c r="C236" s="17">
        <v>666519</v>
      </c>
      <c r="D236" s="18" t="s">
        <v>29</v>
      </c>
      <c r="E236" s="20">
        <f>SUMIFS('PvA Data'!$F$2:$F$1576,'PvA Data'!$A$2:$A$1576,$A236,'PvA Data'!$E$2:$E$1576,$D236)</f>
        <v>33</v>
      </c>
      <c r="F236" s="20">
        <f>SUMIFS('PvA Data'!$G$2:$G$1576,'PvA Data'!$A$2:$A$1576,$A236,'PvA Data'!$E$2:$E$1576,$D236)</f>
        <v>0</v>
      </c>
      <c r="G236" s="36">
        <f t="shared" si="20"/>
        <v>0</v>
      </c>
      <c r="H236" s="20">
        <f>SUMIFS('PvA Data'!$G$2:$G$1576,'PvA Data'!$A$2:$A$1576,$A236,'PvA Data'!$E$2:$E$1576,$D236,'PvA Data'!$C$2:$C$1576,"Nahunta")</f>
        <v>0</v>
      </c>
      <c r="I236" s="20">
        <f>SUMIFS('PvA Data'!$G$2:$G$1576,'PvA Data'!$A$2:$A$1576,$A236,'PvA Data'!$E$2:$E$1576,$D236,'PvA Data'!$C$2:$C$1576,"Martin")</f>
        <v>0</v>
      </c>
      <c r="J236" s="20">
        <f>SUMIFS('PvA Data'!$G$2:$G$1576,'PvA Data'!$A$2:$A$1576,$A236,'PvA Data'!$E$2:$E$1576,$D236,'PvA Data'!$C$2:$C$1576,"Custom")</f>
        <v>0</v>
      </c>
      <c r="K236" s="36" t="str">
        <f t="shared" si="21"/>
        <v/>
      </c>
      <c r="L236" s="36" t="str">
        <f t="shared" si="22"/>
        <v/>
      </c>
      <c r="M236" s="36" t="str">
        <f t="shared" si="23"/>
        <v/>
      </c>
    </row>
    <row r="237" spans="1:13" ht="15" customHeight="1" x14ac:dyDescent="0.75">
      <c r="A237" s="18" t="s">
        <v>73</v>
      </c>
      <c r="B237" s="19">
        <v>46083</v>
      </c>
      <c r="C237" s="17">
        <v>666521</v>
      </c>
      <c r="D237" s="18" t="s">
        <v>31</v>
      </c>
      <c r="E237" s="20">
        <f>SUMIFS('PvA Data'!$F$2:$F$1576,'PvA Data'!$A$2:$A$1576,$A237,'PvA Data'!$E$2:$E$1576,$D237)</f>
        <v>28</v>
      </c>
      <c r="F237" s="20">
        <f>SUMIFS('PvA Data'!$G$2:$G$1576,'PvA Data'!$A$2:$A$1576,$A237,'PvA Data'!$E$2:$E$1576,$D237)</f>
        <v>45</v>
      </c>
      <c r="G237" s="36">
        <f t="shared" si="20"/>
        <v>1.6071428571428572</v>
      </c>
      <c r="H237" s="20">
        <f>SUMIFS('PvA Data'!$G$2:$G$1576,'PvA Data'!$A$2:$A$1576,$A237,'PvA Data'!$E$2:$E$1576,$D237,'PvA Data'!$C$2:$C$1576,"Nahunta")</f>
        <v>45</v>
      </c>
      <c r="I237" s="20">
        <f>SUMIFS('PvA Data'!$G$2:$G$1576,'PvA Data'!$A$2:$A$1576,$A237,'PvA Data'!$E$2:$E$1576,$D237,'PvA Data'!$C$2:$C$1576,"Martin")</f>
        <v>0</v>
      </c>
      <c r="J237" s="20">
        <f>SUMIFS('PvA Data'!$G$2:$G$1576,'PvA Data'!$A$2:$A$1576,$A237,'PvA Data'!$E$2:$E$1576,$D237,'PvA Data'!$C$2:$C$1576,"Custom")</f>
        <v>0</v>
      </c>
      <c r="K237" s="36">
        <f t="shared" si="21"/>
        <v>1</v>
      </c>
      <c r="L237" s="36">
        <f t="shared" si="22"/>
        <v>0</v>
      </c>
      <c r="M237" s="36">
        <f t="shared" si="23"/>
        <v>0</v>
      </c>
    </row>
    <row r="238" spans="1:13" ht="15" customHeight="1" x14ac:dyDescent="0.75">
      <c r="A238" s="18" t="s">
        <v>73</v>
      </c>
      <c r="B238" s="19">
        <v>46083</v>
      </c>
      <c r="C238" s="17">
        <v>666522</v>
      </c>
      <c r="D238" s="18" t="s">
        <v>33</v>
      </c>
      <c r="E238" s="20">
        <f>SUMIFS('PvA Data'!$F$2:$F$1576,'PvA Data'!$A$2:$A$1576,$A238,'PvA Data'!$E$2:$E$1576,$D238)</f>
        <v>100</v>
      </c>
      <c r="F238" s="20">
        <f>SUMIFS('PvA Data'!$G$2:$G$1576,'PvA Data'!$A$2:$A$1576,$A238,'PvA Data'!$E$2:$E$1576,$D238)</f>
        <v>0</v>
      </c>
      <c r="G238" s="36">
        <f t="shared" si="20"/>
        <v>0</v>
      </c>
      <c r="H238" s="20">
        <f>SUMIFS('PvA Data'!$G$2:$G$1576,'PvA Data'!$A$2:$A$1576,$A238,'PvA Data'!$E$2:$E$1576,$D238,'PvA Data'!$C$2:$C$1576,"Nahunta")</f>
        <v>0</v>
      </c>
      <c r="I238" s="20">
        <f>SUMIFS('PvA Data'!$G$2:$G$1576,'PvA Data'!$A$2:$A$1576,$A238,'PvA Data'!$E$2:$E$1576,$D238,'PvA Data'!$C$2:$C$1576,"Martin")</f>
        <v>0</v>
      </c>
      <c r="J238" s="20">
        <f>SUMIFS('PvA Data'!$G$2:$G$1576,'PvA Data'!$A$2:$A$1576,$A238,'PvA Data'!$E$2:$E$1576,$D238,'PvA Data'!$C$2:$C$1576,"Custom")</f>
        <v>0</v>
      </c>
      <c r="K238" s="36" t="str">
        <f t="shared" si="21"/>
        <v/>
      </c>
      <c r="L238" s="36" t="str">
        <f t="shared" si="22"/>
        <v/>
      </c>
      <c r="M238" s="36" t="str">
        <f t="shared" si="23"/>
        <v/>
      </c>
    </row>
    <row r="239" spans="1:13" ht="15" customHeight="1" x14ac:dyDescent="0.75">
      <c r="A239" s="18" t="s">
        <v>73</v>
      </c>
      <c r="B239" s="19">
        <v>46083</v>
      </c>
      <c r="C239" s="17">
        <v>666523</v>
      </c>
      <c r="D239" s="18" t="s">
        <v>35</v>
      </c>
      <c r="E239" s="20">
        <f>SUMIFS('PvA Data'!$F$2:$F$1576,'PvA Data'!$A$2:$A$1576,$A239,'PvA Data'!$E$2:$E$1576,$D239)</f>
        <v>25</v>
      </c>
      <c r="F239" s="20">
        <f>SUMIFS('PvA Data'!$G$2:$G$1576,'PvA Data'!$A$2:$A$1576,$A239,'PvA Data'!$E$2:$E$1576,$D239)</f>
        <v>0</v>
      </c>
      <c r="G239" s="36">
        <f t="shared" si="20"/>
        <v>0</v>
      </c>
      <c r="H239" s="20">
        <f>SUMIFS('PvA Data'!$G$2:$G$1576,'PvA Data'!$A$2:$A$1576,$A239,'PvA Data'!$E$2:$E$1576,$D239,'PvA Data'!$C$2:$C$1576,"Nahunta")</f>
        <v>0</v>
      </c>
      <c r="I239" s="20">
        <f>SUMIFS('PvA Data'!$G$2:$G$1576,'PvA Data'!$A$2:$A$1576,$A239,'PvA Data'!$E$2:$E$1576,$D239,'PvA Data'!$C$2:$C$1576,"Martin")</f>
        <v>0</v>
      </c>
      <c r="J239" s="20">
        <f>SUMIFS('PvA Data'!$G$2:$G$1576,'PvA Data'!$A$2:$A$1576,$A239,'PvA Data'!$E$2:$E$1576,$D239,'PvA Data'!$C$2:$C$1576,"Custom")</f>
        <v>0</v>
      </c>
      <c r="K239" s="36" t="str">
        <f t="shared" si="21"/>
        <v/>
      </c>
      <c r="L239" s="36" t="str">
        <f t="shared" si="22"/>
        <v/>
      </c>
      <c r="M239" s="36" t="str">
        <f t="shared" si="23"/>
        <v/>
      </c>
    </row>
    <row r="240" spans="1:13" ht="15" customHeight="1" x14ac:dyDescent="0.75">
      <c r="A240" s="18" t="s">
        <v>73</v>
      </c>
      <c r="B240" s="19">
        <v>46083</v>
      </c>
      <c r="C240" s="17">
        <v>666530</v>
      </c>
      <c r="D240" s="18" t="s">
        <v>37</v>
      </c>
      <c r="E240" s="20">
        <f>SUMIFS('PvA Data'!$F$2:$F$1576,'PvA Data'!$A$2:$A$1576,$A240,'PvA Data'!$E$2:$E$1576,$D240)</f>
        <v>10</v>
      </c>
      <c r="F240" s="20">
        <f>SUMIFS('PvA Data'!$G$2:$G$1576,'PvA Data'!$A$2:$A$1576,$A240,'PvA Data'!$E$2:$E$1576,$D240)</f>
        <v>0</v>
      </c>
      <c r="G240" s="36">
        <f t="shared" si="20"/>
        <v>0</v>
      </c>
      <c r="H240" s="20">
        <f>SUMIFS('PvA Data'!$G$2:$G$1576,'PvA Data'!$A$2:$A$1576,$A240,'PvA Data'!$E$2:$E$1576,$D240,'PvA Data'!$C$2:$C$1576,"Nahunta")</f>
        <v>0</v>
      </c>
      <c r="I240" s="20">
        <f>SUMIFS('PvA Data'!$G$2:$G$1576,'PvA Data'!$A$2:$A$1576,$A240,'PvA Data'!$E$2:$E$1576,$D240,'PvA Data'!$C$2:$C$1576,"Martin")</f>
        <v>0</v>
      </c>
      <c r="J240" s="20">
        <f>SUMIFS('PvA Data'!$G$2:$G$1576,'PvA Data'!$A$2:$A$1576,$A240,'PvA Data'!$E$2:$E$1576,$D240,'PvA Data'!$C$2:$C$1576,"Custom")</f>
        <v>0</v>
      </c>
      <c r="K240" s="36" t="str">
        <f t="shared" si="21"/>
        <v/>
      </c>
      <c r="L240" s="36" t="str">
        <f t="shared" si="22"/>
        <v/>
      </c>
      <c r="M240" s="36" t="str">
        <f t="shared" si="23"/>
        <v/>
      </c>
    </row>
    <row r="241" spans="1:13" ht="15" customHeight="1" x14ac:dyDescent="0.75">
      <c r="A241" s="18" t="s">
        <v>73</v>
      </c>
      <c r="B241" s="19">
        <v>46083</v>
      </c>
      <c r="C241" s="17">
        <v>666531</v>
      </c>
      <c r="D241" s="18" t="s">
        <v>39</v>
      </c>
      <c r="E241" s="20">
        <f>SUMIFS('PvA Data'!$F$2:$F$1576,'PvA Data'!$A$2:$A$1576,$A241,'PvA Data'!$E$2:$E$1576,$D241)</f>
        <v>13</v>
      </c>
      <c r="F241" s="20">
        <f>SUMIFS('PvA Data'!$G$2:$G$1576,'PvA Data'!$A$2:$A$1576,$A241,'PvA Data'!$E$2:$E$1576,$D241)</f>
        <v>0</v>
      </c>
      <c r="G241" s="36">
        <f t="shared" si="20"/>
        <v>0</v>
      </c>
      <c r="H241" s="20">
        <f>SUMIFS('PvA Data'!$G$2:$G$1576,'PvA Data'!$A$2:$A$1576,$A241,'PvA Data'!$E$2:$E$1576,$D241,'PvA Data'!$C$2:$C$1576,"Nahunta")</f>
        <v>0</v>
      </c>
      <c r="I241" s="20">
        <f>SUMIFS('PvA Data'!$G$2:$G$1576,'PvA Data'!$A$2:$A$1576,$A241,'PvA Data'!$E$2:$E$1576,$D241,'PvA Data'!$C$2:$C$1576,"Martin")</f>
        <v>0</v>
      </c>
      <c r="J241" s="20">
        <f>SUMIFS('PvA Data'!$G$2:$G$1576,'PvA Data'!$A$2:$A$1576,$A241,'PvA Data'!$E$2:$E$1576,$D241,'PvA Data'!$C$2:$C$1576,"Custom")</f>
        <v>0</v>
      </c>
      <c r="K241" s="36" t="str">
        <f t="shared" si="21"/>
        <v/>
      </c>
      <c r="L241" s="36" t="str">
        <f t="shared" si="22"/>
        <v/>
      </c>
      <c r="M241" s="36" t="str">
        <f t="shared" si="23"/>
        <v/>
      </c>
    </row>
    <row r="242" spans="1:13" ht="15" customHeight="1" x14ac:dyDescent="0.75">
      <c r="A242" s="18" t="s">
        <v>73</v>
      </c>
      <c r="B242" s="19">
        <v>46083</v>
      </c>
      <c r="C242" s="17">
        <v>666540</v>
      </c>
      <c r="D242" s="18" t="s">
        <v>40</v>
      </c>
      <c r="E242" s="20">
        <f>SUMIFS('PvA Data'!$F$2:$F$1576,'PvA Data'!$A$2:$A$1576,$A242,'PvA Data'!$E$2:$E$1576,$D242)</f>
        <v>0</v>
      </c>
      <c r="F242" s="20">
        <f>SUMIFS('PvA Data'!$G$2:$G$1576,'PvA Data'!$A$2:$A$1576,$A242,'PvA Data'!$E$2:$E$1576,$D242)</f>
        <v>0</v>
      </c>
      <c r="G242" s="36" t="str">
        <f t="shared" si="20"/>
        <v/>
      </c>
      <c r="H242" s="20">
        <f>SUMIFS('PvA Data'!$G$2:$G$1576,'PvA Data'!$A$2:$A$1576,$A242,'PvA Data'!$E$2:$E$1576,$D242,'PvA Data'!$C$2:$C$1576,"Nahunta")</f>
        <v>0</v>
      </c>
      <c r="I242" s="20">
        <f>SUMIFS('PvA Data'!$G$2:$G$1576,'PvA Data'!$A$2:$A$1576,$A242,'PvA Data'!$E$2:$E$1576,$D242,'PvA Data'!$C$2:$C$1576,"Martin")</f>
        <v>0</v>
      </c>
      <c r="J242" s="20">
        <f>SUMIFS('PvA Data'!$G$2:$G$1576,'PvA Data'!$A$2:$A$1576,$A242,'PvA Data'!$E$2:$E$1576,$D242,'PvA Data'!$C$2:$C$1576,"Custom")</f>
        <v>0</v>
      </c>
      <c r="K242" s="36" t="str">
        <f t="shared" si="21"/>
        <v/>
      </c>
      <c r="L242" s="36" t="str">
        <f t="shared" si="22"/>
        <v/>
      </c>
      <c r="M242" s="36" t="str">
        <f t="shared" si="23"/>
        <v/>
      </c>
    </row>
    <row r="243" spans="1:13" ht="15" customHeight="1" x14ac:dyDescent="0.75">
      <c r="A243" s="18" t="s">
        <v>73</v>
      </c>
      <c r="B243" s="19">
        <v>46083</v>
      </c>
      <c r="C243" s="17">
        <v>666541</v>
      </c>
      <c r="D243" s="18" t="s">
        <v>41</v>
      </c>
      <c r="E243" s="20">
        <f>SUMIFS('PvA Data'!$F$2:$F$1576,'PvA Data'!$A$2:$A$1576,$A243,'PvA Data'!$E$2:$E$1576,$D243)</f>
        <v>240</v>
      </c>
      <c r="F243" s="20">
        <f>SUMIFS('PvA Data'!$G$2:$G$1576,'PvA Data'!$A$2:$A$1576,$A243,'PvA Data'!$E$2:$E$1576,$D243)</f>
        <v>195</v>
      </c>
      <c r="G243" s="36">
        <f t="shared" si="20"/>
        <v>0.8125</v>
      </c>
      <c r="H243" s="20">
        <f>SUMIFS('PvA Data'!$G$2:$G$1576,'PvA Data'!$A$2:$A$1576,$A243,'PvA Data'!$E$2:$E$1576,$D243,'PvA Data'!$C$2:$C$1576,"Nahunta")</f>
        <v>0</v>
      </c>
      <c r="I243" s="20">
        <f>SUMIFS('PvA Data'!$G$2:$G$1576,'PvA Data'!$A$2:$A$1576,$A243,'PvA Data'!$E$2:$E$1576,$D243,'PvA Data'!$C$2:$C$1576,"Martin")</f>
        <v>195</v>
      </c>
      <c r="J243" s="20">
        <f>SUMIFS('PvA Data'!$G$2:$G$1576,'PvA Data'!$A$2:$A$1576,$A243,'PvA Data'!$E$2:$E$1576,$D243,'PvA Data'!$C$2:$C$1576,"Custom")</f>
        <v>0</v>
      </c>
      <c r="K243" s="36">
        <f t="shared" si="21"/>
        <v>0</v>
      </c>
      <c r="L243" s="36">
        <f t="shared" si="22"/>
        <v>1</v>
      </c>
      <c r="M243" s="36">
        <f t="shared" si="23"/>
        <v>0</v>
      </c>
    </row>
    <row r="244" spans="1:13" ht="15" customHeight="1" x14ac:dyDescent="0.75">
      <c r="A244" s="18" t="s">
        <v>73</v>
      </c>
      <c r="B244" s="19">
        <v>46083</v>
      </c>
      <c r="C244" s="17">
        <v>666536</v>
      </c>
      <c r="D244" s="18" t="s">
        <v>43</v>
      </c>
      <c r="E244" s="20">
        <f>SUMIFS('PvA Data'!$F$2:$F$1576,'PvA Data'!$A$2:$A$1576,$A244,'PvA Data'!$E$2:$E$1576,$D244)</f>
        <v>5</v>
      </c>
      <c r="F244" s="20">
        <f>SUMIFS('PvA Data'!$G$2:$G$1576,'PvA Data'!$A$2:$A$1576,$A244,'PvA Data'!$E$2:$E$1576,$D244)</f>
        <v>2</v>
      </c>
      <c r="G244" s="36">
        <f t="shared" si="20"/>
        <v>0.4</v>
      </c>
      <c r="H244" s="20">
        <f>SUMIFS('PvA Data'!$G$2:$G$1576,'PvA Data'!$A$2:$A$1576,$A244,'PvA Data'!$E$2:$E$1576,$D244,'PvA Data'!$C$2:$C$1576,"Nahunta")</f>
        <v>2</v>
      </c>
      <c r="I244" s="20">
        <f>SUMIFS('PvA Data'!$G$2:$G$1576,'PvA Data'!$A$2:$A$1576,$A244,'PvA Data'!$E$2:$E$1576,$D244,'PvA Data'!$C$2:$C$1576,"Martin")</f>
        <v>0</v>
      </c>
      <c r="J244" s="20">
        <f>SUMIFS('PvA Data'!$G$2:$G$1576,'PvA Data'!$A$2:$A$1576,$A244,'PvA Data'!$E$2:$E$1576,$D244,'PvA Data'!$C$2:$C$1576,"Custom")</f>
        <v>0</v>
      </c>
      <c r="K244" s="36">
        <f t="shared" si="21"/>
        <v>1</v>
      </c>
      <c r="L244" s="36">
        <f t="shared" si="22"/>
        <v>0</v>
      </c>
      <c r="M244" s="36">
        <f t="shared" si="23"/>
        <v>0</v>
      </c>
    </row>
    <row r="245" spans="1:13" ht="15" customHeight="1" x14ac:dyDescent="0.75">
      <c r="A245" s="18" t="s">
        <v>74</v>
      </c>
      <c r="B245" s="19">
        <v>46090</v>
      </c>
      <c r="C245" s="17">
        <v>666501</v>
      </c>
      <c r="D245" s="18" t="s">
        <v>5</v>
      </c>
      <c r="E245" s="20">
        <f>SUMIFS('PvA Data'!$F$2:$F$1576,'PvA Data'!$A$2:$A$1576,$A245,'PvA Data'!$E$2:$E$1576,$D245)</f>
        <v>376.5</v>
      </c>
      <c r="F245" s="20">
        <f>SUMIFS('PvA Data'!$G$2:$G$1576,'PvA Data'!$A$2:$A$1576,$A245,'PvA Data'!$E$2:$E$1576,$D245)</f>
        <v>360</v>
      </c>
      <c r="G245" s="36">
        <f t="shared" si="20"/>
        <v>0.95617529880478092</v>
      </c>
      <c r="H245" s="20">
        <f>SUMIFS('PvA Data'!$G$2:$G$1576,'PvA Data'!$A$2:$A$1576,$A245,'PvA Data'!$E$2:$E$1576,$D245,'PvA Data'!$C$2:$C$1576,"Nahunta")</f>
        <v>33</v>
      </c>
      <c r="I245" s="20">
        <f>SUMIFS('PvA Data'!$G$2:$G$1576,'PvA Data'!$A$2:$A$1576,$A245,'PvA Data'!$E$2:$E$1576,$D245,'PvA Data'!$C$2:$C$1576,"Martin")</f>
        <v>300</v>
      </c>
      <c r="J245" s="20">
        <f>SUMIFS('PvA Data'!$G$2:$G$1576,'PvA Data'!$A$2:$A$1576,$A245,'PvA Data'!$E$2:$E$1576,$D245,'PvA Data'!$C$2:$C$1576,"Custom")</f>
        <v>27</v>
      </c>
      <c r="K245" s="36">
        <f t="shared" si="21"/>
        <v>9.166666666666666E-2</v>
      </c>
      <c r="L245" s="36">
        <f t="shared" si="22"/>
        <v>0.83333333333333337</v>
      </c>
      <c r="M245" s="36">
        <f t="shared" si="23"/>
        <v>7.4999999999999997E-2</v>
      </c>
    </row>
    <row r="246" spans="1:13" ht="15" customHeight="1" x14ac:dyDescent="0.75">
      <c r="A246" s="18" t="s">
        <v>74</v>
      </c>
      <c r="B246" s="19">
        <v>46090</v>
      </c>
      <c r="C246" s="17">
        <v>666502</v>
      </c>
      <c r="D246" s="18" t="s">
        <v>7</v>
      </c>
      <c r="E246" s="20">
        <f>SUMIFS('PvA Data'!$F$2:$F$1576,'PvA Data'!$A$2:$A$1576,$A246,'PvA Data'!$E$2:$E$1576,$D246)</f>
        <v>200</v>
      </c>
      <c r="F246" s="20">
        <f>SUMIFS('PvA Data'!$G$2:$G$1576,'PvA Data'!$A$2:$A$1576,$A246,'PvA Data'!$E$2:$E$1576,$D246)</f>
        <v>154</v>
      </c>
      <c r="G246" s="36">
        <f t="shared" si="20"/>
        <v>0.77</v>
      </c>
      <c r="H246" s="20">
        <f>SUMIFS('PvA Data'!$G$2:$G$1576,'PvA Data'!$A$2:$A$1576,$A246,'PvA Data'!$E$2:$E$1576,$D246,'PvA Data'!$C$2:$C$1576,"Nahunta")</f>
        <v>0</v>
      </c>
      <c r="I246" s="20">
        <f>SUMIFS('PvA Data'!$G$2:$G$1576,'PvA Data'!$A$2:$A$1576,$A246,'PvA Data'!$E$2:$E$1576,$D246,'PvA Data'!$C$2:$C$1576,"Martin")</f>
        <v>154</v>
      </c>
      <c r="J246" s="20">
        <f>SUMIFS('PvA Data'!$G$2:$G$1576,'PvA Data'!$A$2:$A$1576,$A246,'PvA Data'!$E$2:$E$1576,$D246,'PvA Data'!$C$2:$C$1576,"Custom")</f>
        <v>0</v>
      </c>
      <c r="K246" s="36">
        <f t="shared" si="21"/>
        <v>0</v>
      </c>
      <c r="L246" s="36">
        <f t="shared" si="22"/>
        <v>1</v>
      </c>
      <c r="M246" s="36">
        <f t="shared" si="23"/>
        <v>0</v>
      </c>
    </row>
    <row r="247" spans="1:13" ht="15" customHeight="1" x14ac:dyDescent="0.75">
      <c r="A247" s="18" t="s">
        <v>74</v>
      </c>
      <c r="B247" s="19">
        <v>46090</v>
      </c>
      <c r="C247" s="17">
        <v>666505</v>
      </c>
      <c r="D247" s="18" t="s">
        <v>9</v>
      </c>
      <c r="E247" s="20">
        <f>SUMIFS('PvA Data'!$F$2:$F$1576,'PvA Data'!$A$2:$A$1576,$A247,'PvA Data'!$E$2:$E$1576,$D247)</f>
        <v>32</v>
      </c>
      <c r="F247" s="20">
        <f>SUMIFS('PvA Data'!$G$2:$G$1576,'PvA Data'!$A$2:$A$1576,$A247,'PvA Data'!$E$2:$E$1576,$D247)</f>
        <v>59</v>
      </c>
      <c r="G247" s="36">
        <f t="shared" si="20"/>
        <v>1.84375</v>
      </c>
      <c r="H247" s="20">
        <f>SUMIFS('PvA Data'!$G$2:$G$1576,'PvA Data'!$A$2:$A$1576,$A247,'PvA Data'!$E$2:$E$1576,$D247,'PvA Data'!$C$2:$C$1576,"Nahunta")</f>
        <v>20</v>
      </c>
      <c r="I247" s="20">
        <f>SUMIFS('PvA Data'!$G$2:$G$1576,'PvA Data'!$A$2:$A$1576,$A247,'PvA Data'!$E$2:$E$1576,$D247,'PvA Data'!$C$2:$C$1576,"Martin")</f>
        <v>0</v>
      </c>
      <c r="J247" s="20">
        <f>SUMIFS('PvA Data'!$G$2:$G$1576,'PvA Data'!$A$2:$A$1576,$A247,'PvA Data'!$E$2:$E$1576,$D247,'PvA Data'!$C$2:$C$1576,"Custom")</f>
        <v>39</v>
      </c>
      <c r="K247" s="36">
        <f t="shared" si="21"/>
        <v>0.33898305084745761</v>
      </c>
      <c r="L247" s="36">
        <f t="shared" si="22"/>
        <v>0</v>
      </c>
      <c r="M247" s="36">
        <f t="shared" si="23"/>
        <v>0.66101694915254239</v>
      </c>
    </row>
    <row r="248" spans="1:13" ht="15" customHeight="1" x14ac:dyDescent="0.75">
      <c r="A248" s="18" t="s">
        <v>74</v>
      </c>
      <c r="B248" s="19">
        <v>46090</v>
      </c>
      <c r="C248" s="17">
        <v>666506</v>
      </c>
      <c r="D248" s="18" t="s">
        <v>11</v>
      </c>
      <c r="E248" s="20">
        <f>SUMIFS('PvA Data'!$F$2:$F$1576,'PvA Data'!$A$2:$A$1576,$A248,'PvA Data'!$E$2:$E$1576,$D248)</f>
        <v>200</v>
      </c>
      <c r="F248" s="20">
        <f>SUMIFS('PvA Data'!$G$2:$G$1576,'PvA Data'!$A$2:$A$1576,$A248,'PvA Data'!$E$2:$E$1576,$D248)</f>
        <v>24</v>
      </c>
      <c r="G248" s="36">
        <f t="shared" si="20"/>
        <v>0.12</v>
      </c>
      <c r="H248" s="20">
        <f>SUMIFS('PvA Data'!$G$2:$G$1576,'PvA Data'!$A$2:$A$1576,$A248,'PvA Data'!$E$2:$E$1576,$D248,'PvA Data'!$C$2:$C$1576,"Nahunta")</f>
        <v>0</v>
      </c>
      <c r="I248" s="20">
        <f>SUMIFS('PvA Data'!$G$2:$G$1576,'PvA Data'!$A$2:$A$1576,$A248,'PvA Data'!$E$2:$E$1576,$D248,'PvA Data'!$C$2:$C$1576,"Martin")</f>
        <v>24</v>
      </c>
      <c r="J248" s="20">
        <f>SUMIFS('PvA Data'!$G$2:$G$1576,'PvA Data'!$A$2:$A$1576,$A248,'PvA Data'!$E$2:$E$1576,$D248,'PvA Data'!$C$2:$C$1576,"Custom")</f>
        <v>0</v>
      </c>
      <c r="K248" s="36">
        <f t="shared" si="21"/>
        <v>0</v>
      </c>
      <c r="L248" s="36">
        <f t="shared" si="22"/>
        <v>1</v>
      </c>
      <c r="M248" s="36">
        <f t="shared" si="23"/>
        <v>0</v>
      </c>
    </row>
    <row r="249" spans="1:13" ht="15" customHeight="1" x14ac:dyDescent="0.75">
      <c r="A249" s="18" t="s">
        <v>74</v>
      </c>
      <c r="B249" s="19">
        <v>46090</v>
      </c>
      <c r="C249" s="17">
        <v>666507</v>
      </c>
      <c r="D249" s="18" t="s">
        <v>13</v>
      </c>
      <c r="E249" s="20">
        <f>SUMIFS('PvA Data'!$F$2:$F$1576,'PvA Data'!$A$2:$A$1576,$A249,'PvA Data'!$E$2:$E$1576,$D249)</f>
        <v>21</v>
      </c>
      <c r="F249" s="20">
        <f>SUMIFS('PvA Data'!$G$2:$G$1576,'PvA Data'!$A$2:$A$1576,$A249,'PvA Data'!$E$2:$E$1576,$D249)</f>
        <v>21</v>
      </c>
      <c r="G249" s="36">
        <f t="shared" si="20"/>
        <v>1</v>
      </c>
      <c r="H249" s="20">
        <f>SUMIFS('PvA Data'!$G$2:$G$1576,'PvA Data'!$A$2:$A$1576,$A249,'PvA Data'!$E$2:$E$1576,$D249,'PvA Data'!$C$2:$C$1576,"Nahunta")</f>
        <v>21</v>
      </c>
      <c r="I249" s="20">
        <f>SUMIFS('PvA Data'!$G$2:$G$1576,'PvA Data'!$A$2:$A$1576,$A249,'PvA Data'!$E$2:$E$1576,$D249,'PvA Data'!$C$2:$C$1576,"Martin")</f>
        <v>0</v>
      </c>
      <c r="J249" s="20">
        <f>SUMIFS('PvA Data'!$G$2:$G$1576,'PvA Data'!$A$2:$A$1576,$A249,'PvA Data'!$E$2:$E$1576,$D249,'PvA Data'!$C$2:$C$1576,"Custom")</f>
        <v>0</v>
      </c>
      <c r="K249" s="36">
        <f t="shared" si="21"/>
        <v>1</v>
      </c>
      <c r="L249" s="36">
        <f t="shared" si="22"/>
        <v>0</v>
      </c>
      <c r="M249" s="36">
        <f t="shared" si="23"/>
        <v>0</v>
      </c>
    </row>
    <row r="250" spans="1:13" ht="15" customHeight="1" x14ac:dyDescent="0.75">
      <c r="A250" s="18" t="s">
        <v>74</v>
      </c>
      <c r="B250" s="19">
        <v>46090</v>
      </c>
      <c r="C250" s="17">
        <v>666509</v>
      </c>
      <c r="D250" s="18" t="s">
        <v>15</v>
      </c>
      <c r="E250" s="20">
        <f>SUMIFS('PvA Data'!$F$2:$F$1576,'PvA Data'!$A$2:$A$1576,$A250,'PvA Data'!$E$2:$E$1576,$D250)</f>
        <v>50</v>
      </c>
      <c r="F250" s="20">
        <f>SUMIFS('PvA Data'!$G$2:$G$1576,'PvA Data'!$A$2:$A$1576,$A250,'PvA Data'!$E$2:$E$1576,$D250)</f>
        <v>55</v>
      </c>
      <c r="G250" s="36">
        <f t="shared" si="20"/>
        <v>1.1000000000000001</v>
      </c>
      <c r="H250" s="20">
        <f>SUMIFS('PvA Data'!$G$2:$G$1576,'PvA Data'!$A$2:$A$1576,$A250,'PvA Data'!$E$2:$E$1576,$D250,'PvA Data'!$C$2:$C$1576,"Nahunta")</f>
        <v>55</v>
      </c>
      <c r="I250" s="20">
        <f>SUMIFS('PvA Data'!$G$2:$G$1576,'PvA Data'!$A$2:$A$1576,$A250,'PvA Data'!$E$2:$E$1576,$D250,'PvA Data'!$C$2:$C$1576,"Martin")</f>
        <v>0</v>
      </c>
      <c r="J250" s="20">
        <f>SUMIFS('PvA Data'!$G$2:$G$1576,'PvA Data'!$A$2:$A$1576,$A250,'PvA Data'!$E$2:$E$1576,$D250,'PvA Data'!$C$2:$C$1576,"Custom")</f>
        <v>0</v>
      </c>
      <c r="K250" s="36">
        <f t="shared" si="21"/>
        <v>1</v>
      </c>
      <c r="L250" s="36">
        <f t="shared" si="22"/>
        <v>0</v>
      </c>
      <c r="M250" s="36">
        <f t="shared" si="23"/>
        <v>0</v>
      </c>
    </row>
    <row r="251" spans="1:13" ht="15" customHeight="1" x14ac:dyDescent="0.75">
      <c r="A251" s="18" t="s">
        <v>74</v>
      </c>
      <c r="B251" s="19">
        <v>46090</v>
      </c>
      <c r="C251" s="17">
        <v>666510</v>
      </c>
      <c r="D251" s="18" t="s">
        <v>17</v>
      </c>
      <c r="E251" s="20">
        <f>SUMIFS('PvA Data'!$F$2:$F$1576,'PvA Data'!$A$2:$A$1576,$A251,'PvA Data'!$E$2:$E$1576,$D251)</f>
        <v>0</v>
      </c>
      <c r="F251" s="20">
        <f>SUMIFS('PvA Data'!$G$2:$G$1576,'PvA Data'!$A$2:$A$1576,$A251,'PvA Data'!$E$2:$E$1576,$D251)</f>
        <v>0</v>
      </c>
      <c r="G251" s="36" t="str">
        <f t="shared" si="20"/>
        <v/>
      </c>
      <c r="H251" s="20">
        <f>SUMIFS('PvA Data'!$G$2:$G$1576,'PvA Data'!$A$2:$A$1576,$A251,'PvA Data'!$E$2:$E$1576,$D251,'PvA Data'!$C$2:$C$1576,"Nahunta")</f>
        <v>0</v>
      </c>
      <c r="I251" s="20">
        <f>SUMIFS('PvA Data'!$G$2:$G$1576,'PvA Data'!$A$2:$A$1576,$A251,'PvA Data'!$E$2:$E$1576,$D251,'PvA Data'!$C$2:$C$1576,"Martin")</f>
        <v>0</v>
      </c>
      <c r="J251" s="20">
        <f>SUMIFS('PvA Data'!$G$2:$G$1576,'PvA Data'!$A$2:$A$1576,$A251,'PvA Data'!$E$2:$E$1576,$D251,'PvA Data'!$C$2:$C$1576,"Custom")</f>
        <v>0</v>
      </c>
      <c r="K251" s="36" t="str">
        <f t="shared" si="21"/>
        <v/>
      </c>
      <c r="L251" s="36" t="str">
        <f t="shared" si="22"/>
        <v/>
      </c>
      <c r="M251" s="36" t="str">
        <f t="shared" si="23"/>
        <v/>
      </c>
    </row>
    <row r="252" spans="1:13" ht="15" customHeight="1" x14ac:dyDescent="0.75">
      <c r="A252" s="18" t="s">
        <v>74</v>
      </c>
      <c r="B252" s="19">
        <v>46090</v>
      </c>
      <c r="C252" s="17">
        <v>666511</v>
      </c>
      <c r="D252" s="18" t="s">
        <v>19</v>
      </c>
      <c r="E252" s="20">
        <f>SUMIFS('PvA Data'!$F$2:$F$1576,'PvA Data'!$A$2:$A$1576,$A252,'PvA Data'!$E$2:$E$1576,$D252)</f>
        <v>4</v>
      </c>
      <c r="F252" s="20">
        <f>SUMIFS('PvA Data'!$G$2:$G$1576,'PvA Data'!$A$2:$A$1576,$A252,'PvA Data'!$E$2:$E$1576,$D252)</f>
        <v>0</v>
      </c>
      <c r="G252" s="36">
        <f t="shared" si="20"/>
        <v>0</v>
      </c>
      <c r="H252" s="20">
        <f>SUMIFS('PvA Data'!$G$2:$G$1576,'PvA Data'!$A$2:$A$1576,$A252,'PvA Data'!$E$2:$E$1576,$D252,'PvA Data'!$C$2:$C$1576,"Nahunta")</f>
        <v>0</v>
      </c>
      <c r="I252" s="20">
        <f>SUMIFS('PvA Data'!$G$2:$G$1576,'PvA Data'!$A$2:$A$1576,$A252,'PvA Data'!$E$2:$E$1576,$D252,'PvA Data'!$C$2:$C$1576,"Martin")</f>
        <v>0</v>
      </c>
      <c r="J252" s="20">
        <f>SUMIFS('PvA Data'!$G$2:$G$1576,'PvA Data'!$A$2:$A$1576,$A252,'PvA Data'!$E$2:$E$1576,$D252,'PvA Data'!$C$2:$C$1576,"Custom")</f>
        <v>0</v>
      </c>
      <c r="K252" s="36" t="str">
        <f t="shared" si="21"/>
        <v/>
      </c>
      <c r="L252" s="36" t="str">
        <f t="shared" si="22"/>
        <v/>
      </c>
      <c r="M252" s="36" t="str">
        <f t="shared" si="23"/>
        <v/>
      </c>
    </row>
    <row r="253" spans="1:13" ht="15" customHeight="1" x14ac:dyDescent="0.75">
      <c r="A253" s="18" t="s">
        <v>74</v>
      </c>
      <c r="B253" s="19">
        <v>46090</v>
      </c>
      <c r="C253" s="17">
        <v>666513</v>
      </c>
      <c r="D253" s="18" t="s">
        <v>21</v>
      </c>
      <c r="E253" s="20">
        <f>SUMIFS('PvA Data'!$F$2:$F$1576,'PvA Data'!$A$2:$A$1576,$A253,'PvA Data'!$E$2:$E$1576,$D253)</f>
        <v>0</v>
      </c>
      <c r="F253" s="20">
        <f>SUMIFS('PvA Data'!$G$2:$G$1576,'PvA Data'!$A$2:$A$1576,$A253,'PvA Data'!$E$2:$E$1576,$D253)</f>
        <v>0</v>
      </c>
      <c r="G253" s="36" t="str">
        <f t="shared" si="20"/>
        <v/>
      </c>
      <c r="H253" s="20">
        <f>SUMIFS('PvA Data'!$G$2:$G$1576,'PvA Data'!$A$2:$A$1576,$A253,'PvA Data'!$E$2:$E$1576,$D253,'PvA Data'!$C$2:$C$1576,"Nahunta")</f>
        <v>0</v>
      </c>
      <c r="I253" s="20">
        <f>SUMIFS('PvA Data'!$G$2:$G$1576,'PvA Data'!$A$2:$A$1576,$A253,'PvA Data'!$E$2:$E$1576,$D253,'PvA Data'!$C$2:$C$1576,"Martin")</f>
        <v>0</v>
      </c>
      <c r="J253" s="20">
        <f>SUMIFS('PvA Data'!$G$2:$G$1576,'PvA Data'!$A$2:$A$1576,$A253,'PvA Data'!$E$2:$E$1576,$D253,'PvA Data'!$C$2:$C$1576,"Custom")</f>
        <v>0</v>
      </c>
      <c r="K253" s="36" t="str">
        <f t="shared" si="21"/>
        <v/>
      </c>
      <c r="L253" s="36" t="str">
        <f t="shared" si="22"/>
        <v/>
      </c>
      <c r="M253" s="36" t="str">
        <f t="shared" si="23"/>
        <v/>
      </c>
    </row>
    <row r="254" spans="1:13" ht="15" customHeight="1" x14ac:dyDescent="0.75">
      <c r="A254" s="18" t="s">
        <v>74</v>
      </c>
      <c r="B254" s="19">
        <v>46090</v>
      </c>
      <c r="C254" s="17">
        <v>666516</v>
      </c>
      <c r="D254" s="18" t="s">
        <v>23</v>
      </c>
      <c r="E254" s="20">
        <f>SUMIFS('PvA Data'!$F$2:$F$1576,'PvA Data'!$A$2:$A$1576,$A254,'PvA Data'!$E$2:$E$1576,$D254)</f>
        <v>34</v>
      </c>
      <c r="F254" s="20">
        <f>SUMIFS('PvA Data'!$G$2:$G$1576,'PvA Data'!$A$2:$A$1576,$A254,'PvA Data'!$E$2:$E$1576,$D254)</f>
        <v>55</v>
      </c>
      <c r="G254" s="36">
        <f t="shared" si="20"/>
        <v>1.6176470588235294</v>
      </c>
      <c r="H254" s="20">
        <f>SUMIFS('PvA Data'!$G$2:$G$1576,'PvA Data'!$A$2:$A$1576,$A254,'PvA Data'!$E$2:$E$1576,$D254,'PvA Data'!$C$2:$C$1576,"Nahunta")</f>
        <v>34</v>
      </c>
      <c r="I254" s="20">
        <f>SUMIFS('PvA Data'!$G$2:$G$1576,'PvA Data'!$A$2:$A$1576,$A254,'PvA Data'!$E$2:$E$1576,$D254,'PvA Data'!$C$2:$C$1576,"Martin")</f>
        <v>0</v>
      </c>
      <c r="J254" s="20">
        <f>SUMIFS('PvA Data'!$G$2:$G$1576,'PvA Data'!$A$2:$A$1576,$A254,'PvA Data'!$E$2:$E$1576,$D254,'PvA Data'!$C$2:$C$1576,"Custom")</f>
        <v>21</v>
      </c>
      <c r="K254" s="36">
        <f t="shared" si="21"/>
        <v>0.61818181818181817</v>
      </c>
      <c r="L254" s="36">
        <f t="shared" si="22"/>
        <v>0</v>
      </c>
      <c r="M254" s="36">
        <f t="shared" si="23"/>
        <v>0.38181818181818183</v>
      </c>
    </row>
    <row r="255" spans="1:13" ht="15" customHeight="1" x14ac:dyDescent="0.75">
      <c r="A255" s="18" t="s">
        <v>74</v>
      </c>
      <c r="B255" s="19">
        <v>46090</v>
      </c>
      <c r="C255" s="17">
        <v>666517</v>
      </c>
      <c r="D255" s="18" t="s">
        <v>25</v>
      </c>
      <c r="E255" s="20">
        <f>SUMIFS('PvA Data'!$F$2:$F$1576,'PvA Data'!$A$2:$A$1576,$A255,'PvA Data'!$E$2:$E$1576,$D255)</f>
        <v>33</v>
      </c>
      <c r="F255" s="20">
        <f>SUMIFS('PvA Data'!$G$2:$G$1576,'PvA Data'!$A$2:$A$1576,$A255,'PvA Data'!$E$2:$E$1576,$D255)</f>
        <v>66</v>
      </c>
      <c r="G255" s="36">
        <f t="shared" si="20"/>
        <v>2</v>
      </c>
      <c r="H255" s="20">
        <f>SUMIFS('PvA Data'!$G$2:$G$1576,'PvA Data'!$A$2:$A$1576,$A255,'PvA Data'!$E$2:$E$1576,$D255,'PvA Data'!$C$2:$C$1576,"Nahunta")</f>
        <v>46</v>
      </c>
      <c r="I255" s="20">
        <f>SUMIFS('PvA Data'!$G$2:$G$1576,'PvA Data'!$A$2:$A$1576,$A255,'PvA Data'!$E$2:$E$1576,$D255,'PvA Data'!$C$2:$C$1576,"Martin")</f>
        <v>0</v>
      </c>
      <c r="J255" s="20">
        <f>SUMIFS('PvA Data'!$G$2:$G$1576,'PvA Data'!$A$2:$A$1576,$A255,'PvA Data'!$E$2:$E$1576,$D255,'PvA Data'!$C$2:$C$1576,"Custom")</f>
        <v>20</v>
      </c>
      <c r="K255" s="36">
        <f t="shared" si="21"/>
        <v>0.69696969696969702</v>
      </c>
      <c r="L255" s="36">
        <f t="shared" si="22"/>
        <v>0</v>
      </c>
      <c r="M255" s="36">
        <f t="shared" si="23"/>
        <v>0.30303030303030304</v>
      </c>
    </row>
    <row r="256" spans="1:13" ht="15" customHeight="1" x14ac:dyDescent="0.75">
      <c r="A256" s="18" t="s">
        <v>74</v>
      </c>
      <c r="B256" s="19">
        <v>46090</v>
      </c>
      <c r="C256" s="17">
        <v>666518</v>
      </c>
      <c r="D256" s="18" t="s">
        <v>27</v>
      </c>
      <c r="E256" s="20">
        <f>SUMIFS('PvA Data'!$F$2:$F$1576,'PvA Data'!$A$2:$A$1576,$A256,'PvA Data'!$E$2:$E$1576,$D256)</f>
        <v>0</v>
      </c>
      <c r="F256" s="20">
        <f>SUMIFS('PvA Data'!$G$2:$G$1576,'PvA Data'!$A$2:$A$1576,$A256,'PvA Data'!$E$2:$E$1576,$D256)</f>
        <v>0</v>
      </c>
      <c r="G256" s="36" t="str">
        <f t="shared" si="20"/>
        <v/>
      </c>
      <c r="H256" s="20">
        <f>SUMIFS('PvA Data'!$G$2:$G$1576,'PvA Data'!$A$2:$A$1576,$A256,'PvA Data'!$E$2:$E$1576,$D256,'PvA Data'!$C$2:$C$1576,"Nahunta")</f>
        <v>0</v>
      </c>
      <c r="I256" s="20">
        <f>SUMIFS('PvA Data'!$G$2:$G$1576,'PvA Data'!$A$2:$A$1576,$A256,'PvA Data'!$E$2:$E$1576,$D256,'PvA Data'!$C$2:$C$1576,"Martin")</f>
        <v>0</v>
      </c>
      <c r="J256" s="20">
        <f>SUMIFS('PvA Data'!$G$2:$G$1576,'PvA Data'!$A$2:$A$1576,$A256,'PvA Data'!$E$2:$E$1576,$D256,'PvA Data'!$C$2:$C$1576,"Custom")</f>
        <v>0</v>
      </c>
      <c r="K256" s="36" t="str">
        <f t="shared" si="21"/>
        <v/>
      </c>
      <c r="L256" s="36" t="str">
        <f t="shared" si="22"/>
        <v/>
      </c>
      <c r="M256" s="36" t="str">
        <f t="shared" si="23"/>
        <v/>
      </c>
    </row>
    <row r="257" spans="1:13" ht="15" customHeight="1" x14ac:dyDescent="0.75">
      <c r="A257" s="18" t="s">
        <v>74</v>
      </c>
      <c r="B257" s="19">
        <v>46090</v>
      </c>
      <c r="C257" s="17">
        <v>666519</v>
      </c>
      <c r="D257" s="18" t="s">
        <v>29</v>
      </c>
      <c r="E257" s="20">
        <f>SUMIFS('PvA Data'!$F$2:$F$1576,'PvA Data'!$A$2:$A$1576,$A257,'PvA Data'!$E$2:$E$1576,$D257)</f>
        <v>33</v>
      </c>
      <c r="F257" s="20">
        <f>SUMIFS('PvA Data'!$G$2:$G$1576,'PvA Data'!$A$2:$A$1576,$A257,'PvA Data'!$E$2:$E$1576,$D257)</f>
        <v>60</v>
      </c>
      <c r="G257" s="36">
        <f t="shared" si="20"/>
        <v>1.8181818181818181</v>
      </c>
      <c r="H257" s="20">
        <f>SUMIFS('PvA Data'!$G$2:$G$1576,'PvA Data'!$A$2:$A$1576,$A257,'PvA Data'!$E$2:$E$1576,$D257,'PvA Data'!$C$2:$C$1576,"Nahunta")</f>
        <v>33</v>
      </c>
      <c r="I257" s="20">
        <f>SUMIFS('PvA Data'!$G$2:$G$1576,'PvA Data'!$A$2:$A$1576,$A257,'PvA Data'!$E$2:$E$1576,$D257,'PvA Data'!$C$2:$C$1576,"Martin")</f>
        <v>0</v>
      </c>
      <c r="J257" s="20">
        <f>SUMIFS('PvA Data'!$G$2:$G$1576,'PvA Data'!$A$2:$A$1576,$A257,'PvA Data'!$E$2:$E$1576,$D257,'PvA Data'!$C$2:$C$1576,"Custom")</f>
        <v>27</v>
      </c>
      <c r="K257" s="36">
        <f t="shared" si="21"/>
        <v>0.55000000000000004</v>
      </c>
      <c r="L257" s="36">
        <f t="shared" si="22"/>
        <v>0</v>
      </c>
      <c r="M257" s="36">
        <f t="shared" si="23"/>
        <v>0.45</v>
      </c>
    </row>
    <row r="258" spans="1:13" ht="15" customHeight="1" x14ac:dyDescent="0.75">
      <c r="A258" s="18" t="s">
        <v>74</v>
      </c>
      <c r="B258" s="19">
        <v>46090</v>
      </c>
      <c r="C258" s="17">
        <v>666521</v>
      </c>
      <c r="D258" s="18" t="s">
        <v>31</v>
      </c>
      <c r="E258" s="20">
        <f>SUMIFS('PvA Data'!$F$2:$F$1576,'PvA Data'!$A$2:$A$1576,$A258,'PvA Data'!$E$2:$E$1576,$D258)</f>
        <v>26</v>
      </c>
      <c r="F258" s="20">
        <f>SUMIFS('PvA Data'!$G$2:$G$1576,'PvA Data'!$A$2:$A$1576,$A258,'PvA Data'!$E$2:$E$1576,$D258)</f>
        <v>17</v>
      </c>
      <c r="G258" s="36">
        <f t="shared" si="20"/>
        <v>0.65384615384615385</v>
      </c>
      <c r="H258" s="20">
        <f>SUMIFS('PvA Data'!$G$2:$G$1576,'PvA Data'!$A$2:$A$1576,$A258,'PvA Data'!$E$2:$E$1576,$D258,'PvA Data'!$C$2:$C$1576,"Nahunta")</f>
        <v>17</v>
      </c>
      <c r="I258" s="20">
        <f>SUMIFS('PvA Data'!$G$2:$G$1576,'PvA Data'!$A$2:$A$1576,$A258,'PvA Data'!$E$2:$E$1576,$D258,'PvA Data'!$C$2:$C$1576,"Martin")</f>
        <v>0</v>
      </c>
      <c r="J258" s="20">
        <f>SUMIFS('PvA Data'!$G$2:$G$1576,'PvA Data'!$A$2:$A$1576,$A258,'PvA Data'!$E$2:$E$1576,$D258,'PvA Data'!$C$2:$C$1576,"Custom")</f>
        <v>0</v>
      </c>
      <c r="K258" s="36">
        <f t="shared" si="21"/>
        <v>1</v>
      </c>
      <c r="L258" s="36">
        <f t="shared" si="22"/>
        <v>0</v>
      </c>
      <c r="M258" s="36">
        <f t="shared" si="23"/>
        <v>0</v>
      </c>
    </row>
    <row r="259" spans="1:13" ht="15" customHeight="1" x14ac:dyDescent="0.75">
      <c r="A259" s="18" t="s">
        <v>74</v>
      </c>
      <c r="B259" s="19">
        <v>46090</v>
      </c>
      <c r="C259" s="17">
        <v>666522</v>
      </c>
      <c r="D259" s="18" t="s">
        <v>33</v>
      </c>
      <c r="E259" s="20">
        <f>SUMIFS('PvA Data'!$F$2:$F$1576,'PvA Data'!$A$2:$A$1576,$A259,'PvA Data'!$E$2:$E$1576,$D259)</f>
        <v>200</v>
      </c>
      <c r="F259" s="20">
        <f>SUMIFS('PvA Data'!$G$2:$G$1576,'PvA Data'!$A$2:$A$1576,$A259,'PvA Data'!$E$2:$E$1576,$D259)</f>
        <v>260</v>
      </c>
      <c r="G259" s="36">
        <f t="shared" si="20"/>
        <v>1.3</v>
      </c>
      <c r="H259" s="20">
        <f>SUMIFS('PvA Data'!$G$2:$G$1576,'PvA Data'!$A$2:$A$1576,$A259,'PvA Data'!$E$2:$E$1576,$D259,'PvA Data'!$C$2:$C$1576,"Nahunta")</f>
        <v>115</v>
      </c>
      <c r="I259" s="20">
        <f>SUMIFS('PvA Data'!$G$2:$G$1576,'PvA Data'!$A$2:$A$1576,$A259,'PvA Data'!$E$2:$E$1576,$D259,'PvA Data'!$C$2:$C$1576,"Martin")</f>
        <v>110</v>
      </c>
      <c r="J259" s="20">
        <f>SUMIFS('PvA Data'!$G$2:$G$1576,'PvA Data'!$A$2:$A$1576,$A259,'PvA Data'!$E$2:$E$1576,$D259,'PvA Data'!$C$2:$C$1576,"Custom")</f>
        <v>35</v>
      </c>
      <c r="K259" s="36">
        <f t="shared" si="21"/>
        <v>0.44230769230769229</v>
      </c>
      <c r="L259" s="36">
        <f t="shared" si="22"/>
        <v>0.42307692307692307</v>
      </c>
      <c r="M259" s="36">
        <f t="shared" si="23"/>
        <v>0.13461538461538461</v>
      </c>
    </row>
    <row r="260" spans="1:13" ht="15" customHeight="1" x14ac:dyDescent="0.75">
      <c r="A260" s="18" t="s">
        <v>74</v>
      </c>
      <c r="B260" s="19">
        <v>46090</v>
      </c>
      <c r="C260" s="17">
        <v>666523</v>
      </c>
      <c r="D260" s="18" t="s">
        <v>35</v>
      </c>
      <c r="E260" s="20">
        <f>SUMIFS('PvA Data'!$F$2:$F$1576,'PvA Data'!$A$2:$A$1576,$A260,'PvA Data'!$E$2:$E$1576,$D260)</f>
        <v>25</v>
      </c>
      <c r="F260" s="20">
        <f>SUMIFS('PvA Data'!$G$2:$G$1576,'PvA Data'!$A$2:$A$1576,$A260,'PvA Data'!$E$2:$E$1576,$D260)</f>
        <v>50</v>
      </c>
      <c r="G260" s="36">
        <f t="shared" si="20"/>
        <v>2</v>
      </c>
      <c r="H260" s="20">
        <f>SUMIFS('PvA Data'!$G$2:$G$1576,'PvA Data'!$A$2:$A$1576,$A260,'PvA Data'!$E$2:$E$1576,$D260,'PvA Data'!$C$2:$C$1576,"Nahunta")</f>
        <v>0</v>
      </c>
      <c r="I260" s="20">
        <f>SUMIFS('PvA Data'!$G$2:$G$1576,'PvA Data'!$A$2:$A$1576,$A260,'PvA Data'!$E$2:$E$1576,$D260,'PvA Data'!$C$2:$C$1576,"Martin")</f>
        <v>40</v>
      </c>
      <c r="J260" s="20">
        <f>SUMIFS('PvA Data'!$G$2:$G$1576,'PvA Data'!$A$2:$A$1576,$A260,'PvA Data'!$E$2:$E$1576,$D260,'PvA Data'!$C$2:$C$1576,"Custom")</f>
        <v>10</v>
      </c>
      <c r="K260" s="36">
        <f t="shared" si="21"/>
        <v>0</v>
      </c>
      <c r="L260" s="36">
        <f t="shared" si="22"/>
        <v>0.8</v>
      </c>
      <c r="M260" s="36">
        <f t="shared" si="23"/>
        <v>0.2</v>
      </c>
    </row>
    <row r="261" spans="1:13" ht="15" customHeight="1" x14ac:dyDescent="0.75">
      <c r="A261" s="18" t="s">
        <v>74</v>
      </c>
      <c r="B261" s="19">
        <v>46090</v>
      </c>
      <c r="C261" s="17">
        <v>666530</v>
      </c>
      <c r="D261" s="18" t="s">
        <v>37</v>
      </c>
      <c r="E261" s="20">
        <f>SUMIFS('PvA Data'!$F$2:$F$1576,'PvA Data'!$A$2:$A$1576,$A261,'PvA Data'!$E$2:$E$1576,$D261)</f>
        <v>10</v>
      </c>
      <c r="F261" s="20">
        <f>SUMIFS('PvA Data'!$G$2:$G$1576,'PvA Data'!$A$2:$A$1576,$A261,'PvA Data'!$E$2:$E$1576,$D261)</f>
        <v>0</v>
      </c>
      <c r="G261" s="36">
        <f t="shared" si="20"/>
        <v>0</v>
      </c>
      <c r="H261" s="20">
        <f>SUMIFS('PvA Data'!$G$2:$G$1576,'PvA Data'!$A$2:$A$1576,$A261,'PvA Data'!$E$2:$E$1576,$D261,'PvA Data'!$C$2:$C$1576,"Nahunta")</f>
        <v>0</v>
      </c>
      <c r="I261" s="20">
        <f>SUMIFS('PvA Data'!$G$2:$G$1576,'PvA Data'!$A$2:$A$1576,$A261,'PvA Data'!$E$2:$E$1576,$D261,'PvA Data'!$C$2:$C$1576,"Martin")</f>
        <v>0</v>
      </c>
      <c r="J261" s="20">
        <f>SUMIFS('PvA Data'!$G$2:$G$1576,'PvA Data'!$A$2:$A$1576,$A261,'PvA Data'!$E$2:$E$1576,$D261,'PvA Data'!$C$2:$C$1576,"Custom")</f>
        <v>0</v>
      </c>
      <c r="K261" s="36" t="str">
        <f t="shared" si="21"/>
        <v/>
      </c>
      <c r="L261" s="36" t="str">
        <f t="shared" si="22"/>
        <v/>
      </c>
      <c r="M261" s="36" t="str">
        <f t="shared" si="23"/>
        <v/>
      </c>
    </row>
    <row r="262" spans="1:13" ht="15" customHeight="1" x14ac:dyDescent="0.75">
      <c r="A262" s="18" t="s">
        <v>74</v>
      </c>
      <c r="B262" s="19">
        <v>46090</v>
      </c>
      <c r="C262" s="17">
        <v>666531</v>
      </c>
      <c r="D262" s="18" t="s">
        <v>39</v>
      </c>
      <c r="E262" s="20">
        <f>SUMIFS('PvA Data'!$F$2:$F$1576,'PvA Data'!$A$2:$A$1576,$A262,'PvA Data'!$E$2:$E$1576,$D262)</f>
        <v>13</v>
      </c>
      <c r="F262" s="20">
        <f>SUMIFS('PvA Data'!$G$2:$G$1576,'PvA Data'!$A$2:$A$1576,$A262,'PvA Data'!$E$2:$E$1576,$D262)</f>
        <v>26</v>
      </c>
      <c r="G262" s="36">
        <f t="shared" si="20"/>
        <v>2</v>
      </c>
      <c r="H262" s="20">
        <f>SUMIFS('PvA Data'!$G$2:$G$1576,'PvA Data'!$A$2:$A$1576,$A262,'PvA Data'!$E$2:$E$1576,$D262,'PvA Data'!$C$2:$C$1576,"Nahunta")</f>
        <v>18</v>
      </c>
      <c r="I262" s="20">
        <f>SUMIFS('PvA Data'!$G$2:$G$1576,'PvA Data'!$A$2:$A$1576,$A262,'PvA Data'!$E$2:$E$1576,$D262,'PvA Data'!$C$2:$C$1576,"Martin")</f>
        <v>0</v>
      </c>
      <c r="J262" s="20">
        <f>SUMIFS('PvA Data'!$G$2:$G$1576,'PvA Data'!$A$2:$A$1576,$A262,'PvA Data'!$E$2:$E$1576,$D262,'PvA Data'!$C$2:$C$1576,"Custom")</f>
        <v>8</v>
      </c>
      <c r="K262" s="36">
        <f t="shared" si="21"/>
        <v>0.69230769230769229</v>
      </c>
      <c r="L262" s="36">
        <f t="shared" si="22"/>
        <v>0</v>
      </c>
      <c r="M262" s="36">
        <f t="shared" si="23"/>
        <v>0.30769230769230771</v>
      </c>
    </row>
    <row r="263" spans="1:13" ht="15" customHeight="1" x14ac:dyDescent="0.75">
      <c r="A263" s="18" t="s">
        <v>74</v>
      </c>
      <c r="B263" s="19">
        <v>46090</v>
      </c>
      <c r="C263" s="17">
        <v>666540</v>
      </c>
      <c r="D263" s="18" t="s">
        <v>40</v>
      </c>
      <c r="E263" s="20">
        <f>SUMIFS('PvA Data'!$F$2:$F$1576,'PvA Data'!$A$2:$A$1576,$A263,'PvA Data'!$E$2:$E$1576,$D263)</f>
        <v>60</v>
      </c>
      <c r="F263" s="20">
        <f>SUMIFS('PvA Data'!$G$2:$G$1576,'PvA Data'!$A$2:$A$1576,$A263,'PvA Data'!$E$2:$E$1576,$D263)</f>
        <v>0</v>
      </c>
      <c r="G263" s="36">
        <f t="shared" si="20"/>
        <v>0</v>
      </c>
      <c r="H263" s="20">
        <f>SUMIFS('PvA Data'!$G$2:$G$1576,'PvA Data'!$A$2:$A$1576,$A263,'PvA Data'!$E$2:$E$1576,$D263,'PvA Data'!$C$2:$C$1576,"Nahunta")</f>
        <v>0</v>
      </c>
      <c r="I263" s="20">
        <f>SUMIFS('PvA Data'!$G$2:$G$1576,'PvA Data'!$A$2:$A$1576,$A263,'PvA Data'!$E$2:$E$1576,$D263,'PvA Data'!$C$2:$C$1576,"Martin")</f>
        <v>0</v>
      </c>
      <c r="J263" s="20">
        <f>SUMIFS('PvA Data'!$G$2:$G$1576,'PvA Data'!$A$2:$A$1576,$A263,'PvA Data'!$E$2:$E$1576,$D263,'PvA Data'!$C$2:$C$1576,"Custom")</f>
        <v>0</v>
      </c>
      <c r="K263" s="36" t="str">
        <f t="shared" si="21"/>
        <v/>
      </c>
      <c r="L263" s="36" t="str">
        <f t="shared" si="22"/>
        <v/>
      </c>
      <c r="M263" s="36" t="str">
        <f t="shared" si="23"/>
        <v/>
      </c>
    </row>
    <row r="264" spans="1:13" ht="15" customHeight="1" x14ac:dyDescent="0.75">
      <c r="A264" s="18" t="s">
        <v>74</v>
      </c>
      <c r="B264" s="19">
        <v>46090</v>
      </c>
      <c r="C264" s="17">
        <v>666541</v>
      </c>
      <c r="D264" s="18" t="s">
        <v>41</v>
      </c>
      <c r="E264" s="20">
        <f>SUMIFS('PvA Data'!$F$2:$F$1576,'PvA Data'!$A$2:$A$1576,$A264,'PvA Data'!$E$2:$E$1576,$D264)</f>
        <v>300</v>
      </c>
      <c r="F264" s="20">
        <f>SUMIFS('PvA Data'!$G$2:$G$1576,'PvA Data'!$A$2:$A$1576,$A264,'PvA Data'!$E$2:$E$1576,$D264)</f>
        <v>251</v>
      </c>
      <c r="G264" s="36">
        <f t="shared" si="20"/>
        <v>0.83666666666666667</v>
      </c>
      <c r="H264" s="20">
        <f>SUMIFS('PvA Data'!$G$2:$G$1576,'PvA Data'!$A$2:$A$1576,$A264,'PvA Data'!$E$2:$E$1576,$D264,'PvA Data'!$C$2:$C$1576,"Nahunta")</f>
        <v>0</v>
      </c>
      <c r="I264" s="20">
        <f>SUMIFS('PvA Data'!$G$2:$G$1576,'PvA Data'!$A$2:$A$1576,$A264,'PvA Data'!$E$2:$E$1576,$D264,'PvA Data'!$C$2:$C$1576,"Martin")</f>
        <v>251</v>
      </c>
      <c r="J264" s="20">
        <f>SUMIFS('PvA Data'!$G$2:$G$1576,'PvA Data'!$A$2:$A$1576,$A264,'PvA Data'!$E$2:$E$1576,$D264,'PvA Data'!$C$2:$C$1576,"Custom")</f>
        <v>0</v>
      </c>
      <c r="K264" s="36">
        <f t="shared" si="21"/>
        <v>0</v>
      </c>
      <c r="L264" s="36">
        <f t="shared" si="22"/>
        <v>1</v>
      </c>
      <c r="M264" s="36">
        <f t="shared" si="23"/>
        <v>0</v>
      </c>
    </row>
    <row r="265" spans="1:13" ht="15" customHeight="1" x14ac:dyDescent="0.75">
      <c r="A265" s="18" t="s">
        <v>74</v>
      </c>
      <c r="B265" s="19">
        <v>46090</v>
      </c>
      <c r="C265" s="17">
        <v>666536</v>
      </c>
      <c r="D265" s="18" t="s">
        <v>43</v>
      </c>
      <c r="E265" s="20">
        <f>SUMIFS('PvA Data'!$F$2:$F$1576,'PvA Data'!$A$2:$A$1576,$A265,'PvA Data'!$E$2:$E$1576,$D265)</f>
        <v>15</v>
      </c>
      <c r="F265" s="20">
        <f>SUMIFS('PvA Data'!$G$2:$G$1576,'PvA Data'!$A$2:$A$1576,$A265,'PvA Data'!$E$2:$E$1576,$D265)</f>
        <v>4</v>
      </c>
      <c r="G265" s="36">
        <f t="shared" si="20"/>
        <v>0.26666666666666666</v>
      </c>
      <c r="H265" s="20">
        <f>SUMIFS('PvA Data'!$G$2:$G$1576,'PvA Data'!$A$2:$A$1576,$A265,'PvA Data'!$E$2:$E$1576,$D265,'PvA Data'!$C$2:$C$1576,"Nahunta")</f>
        <v>4</v>
      </c>
      <c r="I265" s="20">
        <f>SUMIFS('PvA Data'!$G$2:$G$1576,'PvA Data'!$A$2:$A$1576,$A265,'PvA Data'!$E$2:$E$1576,$D265,'PvA Data'!$C$2:$C$1576,"Martin")</f>
        <v>0</v>
      </c>
      <c r="J265" s="20">
        <f>SUMIFS('PvA Data'!$G$2:$G$1576,'PvA Data'!$A$2:$A$1576,$A265,'PvA Data'!$E$2:$E$1576,$D265,'PvA Data'!$C$2:$C$1576,"Custom")</f>
        <v>0</v>
      </c>
      <c r="K265" s="36">
        <f t="shared" si="21"/>
        <v>1</v>
      </c>
      <c r="L265" s="36">
        <f t="shared" si="22"/>
        <v>0</v>
      </c>
      <c r="M265" s="36">
        <f t="shared" si="23"/>
        <v>0</v>
      </c>
    </row>
    <row r="266" spans="1:13" ht="15" customHeight="1" x14ac:dyDescent="0.75">
      <c r="A266" s="18" t="s">
        <v>75</v>
      </c>
      <c r="B266" s="19">
        <v>46097</v>
      </c>
      <c r="C266" s="17">
        <v>666501</v>
      </c>
      <c r="D266" s="18" t="s">
        <v>5</v>
      </c>
      <c r="E266" s="20">
        <f>SUMIFS('PvA Data'!$F$2:$F$1576,'PvA Data'!$A$2:$A$1576,$A266,'PvA Data'!$E$2:$E$1576,$D266)</f>
        <v>376.5</v>
      </c>
      <c r="F266" s="20">
        <f>SUMIFS('PvA Data'!$G$2:$G$1576,'PvA Data'!$A$2:$A$1576,$A266,'PvA Data'!$E$2:$E$1576,$D266)</f>
        <v>312</v>
      </c>
      <c r="G266" s="36">
        <f t="shared" si="20"/>
        <v>0.82868525896414347</v>
      </c>
      <c r="H266" s="20">
        <f>SUMIFS('PvA Data'!$G$2:$G$1576,'PvA Data'!$A$2:$A$1576,$A266,'PvA Data'!$E$2:$E$1576,$D266,'PvA Data'!$C$2:$C$1576,"Nahunta")</f>
        <v>21</v>
      </c>
      <c r="I266" s="20">
        <f>SUMIFS('PvA Data'!$G$2:$G$1576,'PvA Data'!$A$2:$A$1576,$A266,'PvA Data'!$E$2:$E$1576,$D266,'PvA Data'!$C$2:$C$1576,"Martin")</f>
        <v>258</v>
      </c>
      <c r="J266" s="20">
        <f>SUMIFS('PvA Data'!$G$2:$G$1576,'PvA Data'!$A$2:$A$1576,$A266,'PvA Data'!$E$2:$E$1576,$D266,'PvA Data'!$C$2:$C$1576,"Custom")</f>
        <v>33</v>
      </c>
      <c r="K266" s="36">
        <f t="shared" si="21"/>
        <v>6.7307692307692304E-2</v>
      </c>
      <c r="L266" s="36">
        <f t="shared" si="22"/>
        <v>0.82692307692307687</v>
      </c>
      <c r="M266" s="36">
        <f t="shared" si="23"/>
        <v>0.10576923076923077</v>
      </c>
    </row>
    <row r="267" spans="1:13" ht="15" customHeight="1" x14ac:dyDescent="0.75">
      <c r="A267" s="18" t="s">
        <v>75</v>
      </c>
      <c r="B267" s="19">
        <v>46097</v>
      </c>
      <c r="C267" s="17">
        <v>666502</v>
      </c>
      <c r="D267" s="18" t="s">
        <v>7</v>
      </c>
      <c r="E267" s="20">
        <f>SUMIFS('PvA Data'!$F$2:$F$1576,'PvA Data'!$A$2:$A$1576,$A267,'PvA Data'!$E$2:$E$1576,$D267)</f>
        <v>200</v>
      </c>
      <c r="F267" s="20">
        <f>SUMIFS('PvA Data'!$G$2:$G$1576,'PvA Data'!$A$2:$A$1576,$A267,'PvA Data'!$E$2:$E$1576,$D267)</f>
        <v>197</v>
      </c>
      <c r="G267" s="36">
        <f t="shared" si="20"/>
        <v>0.98499999999999999</v>
      </c>
      <c r="H267" s="20">
        <f>SUMIFS('PvA Data'!$G$2:$G$1576,'PvA Data'!$A$2:$A$1576,$A267,'PvA Data'!$E$2:$E$1576,$D267,'PvA Data'!$C$2:$C$1576,"Nahunta")</f>
        <v>0</v>
      </c>
      <c r="I267" s="20">
        <f>SUMIFS('PvA Data'!$G$2:$G$1576,'PvA Data'!$A$2:$A$1576,$A267,'PvA Data'!$E$2:$E$1576,$D267,'PvA Data'!$C$2:$C$1576,"Martin")</f>
        <v>147</v>
      </c>
      <c r="J267" s="20">
        <f>SUMIFS('PvA Data'!$G$2:$G$1576,'PvA Data'!$A$2:$A$1576,$A267,'PvA Data'!$E$2:$E$1576,$D267,'PvA Data'!$C$2:$C$1576,"Custom")</f>
        <v>50</v>
      </c>
      <c r="K267" s="36">
        <f t="shared" si="21"/>
        <v>0</v>
      </c>
      <c r="L267" s="36">
        <f t="shared" si="22"/>
        <v>0.74619289340101524</v>
      </c>
      <c r="M267" s="36">
        <f t="shared" si="23"/>
        <v>0.25380710659898476</v>
      </c>
    </row>
    <row r="268" spans="1:13" ht="15" customHeight="1" x14ac:dyDescent="0.75">
      <c r="A268" s="18" t="s">
        <v>75</v>
      </c>
      <c r="B268" s="19">
        <v>46097</v>
      </c>
      <c r="C268" s="17">
        <v>666505</v>
      </c>
      <c r="D268" s="18" t="s">
        <v>9</v>
      </c>
      <c r="E268" s="20">
        <f>SUMIFS('PvA Data'!$F$2:$F$1576,'PvA Data'!$A$2:$A$1576,$A268,'PvA Data'!$E$2:$E$1576,$D268)</f>
        <v>32</v>
      </c>
      <c r="F268" s="20">
        <f>SUMIFS('PvA Data'!$G$2:$G$1576,'PvA Data'!$A$2:$A$1576,$A268,'PvA Data'!$E$2:$E$1576,$D268)</f>
        <v>5</v>
      </c>
      <c r="G268" s="36">
        <f t="shared" si="20"/>
        <v>0.15625</v>
      </c>
      <c r="H268" s="20">
        <f>SUMIFS('PvA Data'!$G$2:$G$1576,'PvA Data'!$A$2:$A$1576,$A268,'PvA Data'!$E$2:$E$1576,$D268,'PvA Data'!$C$2:$C$1576,"Nahunta")</f>
        <v>0</v>
      </c>
      <c r="I268" s="20">
        <f>SUMIFS('PvA Data'!$G$2:$G$1576,'PvA Data'!$A$2:$A$1576,$A268,'PvA Data'!$E$2:$E$1576,$D268,'PvA Data'!$C$2:$C$1576,"Martin")</f>
        <v>0</v>
      </c>
      <c r="J268" s="20">
        <f>SUMIFS('PvA Data'!$G$2:$G$1576,'PvA Data'!$A$2:$A$1576,$A268,'PvA Data'!$E$2:$E$1576,$D268,'PvA Data'!$C$2:$C$1576,"Custom")</f>
        <v>5</v>
      </c>
      <c r="K268" s="36">
        <f t="shared" si="21"/>
        <v>0</v>
      </c>
      <c r="L268" s="36">
        <f t="shared" si="22"/>
        <v>0</v>
      </c>
      <c r="M268" s="36">
        <f t="shared" si="23"/>
        <v>1</v>
      </c>
    </row>
    <row r="269" spans="1:13" ht="15" customHeight="1" x14ac:dyDescent="0.75">
      <c r="A269" s="18" t="s">
        <v>75</v>
      </c>
      <c r="B269" s="19">
        <v>46097</v>
      </c>
      <c r="C269" s="17">
        <v>666506</v>
      </c>
      <c r="D269" s="18" t="s">
        <v>11</v>
      </c>
      <c r="E269" s="20">
        <f>SUMIFS('PvA Data'!$F$2:$F$1576,'PvA Data'!$A$2:$A$1576,$A269,'PvA Data'!$E$2:$E$1576,$D269)</f>
        <v>200</v>
      </c>
      <c r="F269" s="20">
        <f>SUMIFS('PvA Data'!$G$2:$G$1576,'PvA Data'!$A$2:$A$1576,$A269,'PvA Data'!$E$2:$E$1576,$D269)</f>
        <v>53</v>
      </c>
      <c r="G269" s="36">
        <f t="shared" si="20"/>
        <v>0.26500000000000001</v>
      </c>
      <c r="H269" s="20">
        <f>SUMIFS('PvA Data'!$G$2:$G$1576,'PvA Data'!$A$2:$A$1576,$A269,'PvA Data'!$E$2:$E$1576,$D269,'PvA Data'!$C$2:$C$1576,"Nahunta")</f>
        <v>0</v>
      </c>
      <c r="I269" s="20">
        <f>SUMIFS('PvA Data'!$G$2:$G$1576,'PvA Data'!$A$2:$A$1576,$A269,'PvA Data'!$E$2:$E$1576,$D269,'PvA Data'!$C$2:$C$1576,"Martin")</f>
        <v>53</v>
      </c>
      <c r="J269" s="20">
        <f>SUMIFS('PvA Data'!$G$2:$G$1576,'PvA Data'!$A$2:$A$1576,$A269,'PvA Data'!$E$2:$E$1576,$D269,'PvA Data'!$C$2:$C$1576,"Custom")</f>
        <v>0</v>
      </c>
      <c r="K269" s="36">
        <f t="shared" si="21"/>
        <v>0</v>
      </c>
      <c r="L269" s="36">
        <f t="shared" si="22"/>
        <v>1</v>
      </c>
      <c r="M269" s="36">
        <f t="shared" si="23"/>
        <v>0</v>
      </c>
    </row>
    <row r="270" spans="1:13" ht="15" customHeight="1" x14ac:dyDescent="0.75">
      <c r="A270" s="18" t="s">
        <v>75</v>
      </c>
      <c r="B270" s="19">
        <v>46097</v>
      </c>
      <c r="C270" s="17">
        <v>666507</v>
      </c>
      <c r="D270" s="18" t="s">
        <v>13</v>
      </c>
      <c r="E270" s="20">
        <f>SUMIFS('PvA Data'!$F$2:$F$1576,'PvA Data'!$A$2:$A$1576,$A270,'PvA Data'!$E$2:$E$1576,$D270)</f>
        <v>21</v>
      </c>
      <c r="F270" s="20">
        <f>SUMIFS('PvA Data'!$G$2:$G$1576,'PvA Data'!$A$2:$A$1576,$A270,'PvA Data'!$E$2:$E$1576,$D270)</f>
        <v>15</v>
      </c>
      <c r="G270" s="36">
        <f t="shared" si="20"/>
        <v>0.7142857142857143</v>
      </c>
      <c r="H270" s="20">
        <f>SUMIFS('PvA Data'!$G$2:$G$1576,'PvA Data'!$A$2:$A$1576,$A270,'PvA Data'!$E$2:$E$1576,$D270,'PvA Data'!$C$2:$C$1576,"Nahunta")</f>
        <v>15</v>
      </c>
      <c r="I270" s="20">
        <f>SUMIFS('PvA Data'!$G$2:$G$1576,'PvA Data'!$A$2:$A$1576,$A270,'PvA Data'!$E$2:$E$1576,$D270,'PvA Data'!$C$2:$C$1576,"Martin")</f>
        <v>0</v>
      </c>
      <c r="J270" s="20">
        <f>SUMIFS('PvA Data'!$G$2:$G$1576,'PvA Data'!$A$2:$A$1576,$A270,'PvA Data'!$E$2:$E$1576,$D270,'PvA Data'!$C$2:$C$1576,"Custom")</f>
        <v>0</v>
      </c>
      <c r="K270" s="36">
        <f t="shared" si="21"/>
        <v>1</v>
      </c>
      <c r="L270" s="36">
        <f t="shared" si="22"/>
        <v>0</v>
      </c>
      <c r="M270" s="36">
        <f t="shared" si="23"/>
        <v>0</v>
      </c>
    </row>
    <row r="271" spans="1:13" ht="15" customHeight="1" x14ac:dyDescent="0.75">
      <c r="A271" s="18" t="s">
        <v>75</v>
      </c>
      <c r="B271" s="19">
        <v>46097</v>
      </c>
      <c r="C271" s="17">
        <v>666509</v>
      </c>
      <c r="D271" s="18" t="s">
        <v>15</v>
      </c>
      <c r="E271" s="20">
        <f>SUMIFS('PvA Data'!$F$2:$F$1576,'PvA Data'!$A$2:$A$1576,$A271,'PvA Data'!$E$2:$E$1576,$D271)</f>
        <v>50</v>
      </c>
      <c r="F271" s="20">
        <f>SUMIFS('PvA Data'!$G$2:$G$1576,'PvA Data'!$A$2:$A$1576,$A271,'PvA Data'!$E$2:$E$1576,$D271)</f>
        <v>45</v>
      </c>
      <c r="G271" s="36">
        <f t="shared" si="20"/>
        <v>0.9</v>
      </c>
      <c r="H271" s="20">
        <f>SUMIFS('PvA Data'!$G$2:$G$1576,'PvA Data'!$A$2:$A$1576,$A271,'PvA Data'!$E$2:$E$1576,$D271,'PvA Data'!$C$2:$C$1576,"Nahunta")</f>
        <v>45</v>
      </c>
      <c r="I271" s="20">
        <f>SUMIFS('PvA Data'!$G$2:$G$1576,'PvA Data'!$A$2:$A$1576,$A271,'PvA Data'!$E$2:$E$1576,$D271,'PvA Data'!$C$2:$C$1576,"Martin")</f>
        <v>0</v>
      </c>
      <c r="J271" s="20">
        <f>SUMIFS('PvA Data'!$G$2:$G$1576,'PvA Data'!$A$2:$A$1576,$A271,'PvA Data'!$E$2:$E$1576,$D271,'PvA Data'!$C$2:$C$1576,"Custom")</f>
        <v>0</v>
      </c>
      <c r="K271" s="36">
        <f t="shared" si="21"/>
        <v>1</v>
      </c>
      <c r="L271" s="36">
        <f t="shared" si="22"/>
        <v>0</v>
      </c>
      <c r="M271" s="36">
        <f t="shared" si="23"/>
        <v>0</v>
      </c>
    </row>
    <row r="272" spans="1:13" ht="15" customHeight="1" x14ac:dyDescent="0.75">
      <c r="A272" s="18" t="s">
        <v>75</v>
      </c>
      <c r="B272" s="19">
        <v>46097</v>
      </c>
      <c r="C272" s="17">
        <v>666510</v>
      </c>
      <c r="D272" s="18" t="s">
        <v>17</v>
      </c>
      <c r="E272" s="20">
        <f>SUMIFS('PvA Data'!$F$2:$F$1576,'PvA Data'!$A$2:$A$1576,$A272,'PvA Data'!$E$2:$E$1576,$D272)</f>
        <v>0</v>
      </c>
      <c r="F272" s="20">
        <f>SUMIFS('PvA Data'!$G$2:$G$1576,'PvA Data'!$A$2:$A$1576,$A272,'PvA Data'!$E$2:$E$1576,$D272)</f>
        <v>0</v>
      </c>
      <c r="G272" s="36" t="str">
        <f t="shared" si="20"/>
        <v/>
      </c>
      <c r="H272" s="20">
        <f>SUMIFS('PvA Data'!$G$2:$G$1576,'PvA Data'!$A$2:$A$1576,$A272,'PvA Data'!$E$2:$E$1576,$D272,'PvA Data'!$C$2:$C$1576,"Nahunta")</f>
        <v>0</v>
      </c>
      <c r="I272" s="20">
        <f>SUMIFS('PvA Data'!$G$2:$G$1576,'PvA Data'!$A$2:$A$1576,$A272,'PvA Data'!$E$2:$E$1576,$D272,'PvA Data'!$C$2:$C$1576,"Martin")</f>
        <v>0</v>
      </c>
      <c r="J272" s="20">
        <f>SUMIFS('PvA Data'!$G$2:$G$1576,'PvA Data'!$A$2:$A$1576,$A272,'PvA Data'!$E$2:$E$1576,$D272,'PvA Data'!$C$2:$C$1576,"Custom")</f>
        <v>0</v>
      </c>
      <c r="K272" s="36" t="str">
        <f t="shared" si="21"/>
        <v/>
      </c>
      <c r="L272" s="36" t="str">
        <f t="shared" si="22"/>
        <v/>
      </c>
      <c r="M272" s="36" t="str">
        <f t="shared" si="23"/>
        <v/>
      </c>
    </row>
    <row r="273" spans="1:13" ht="15" customHeight="1" x14ac:dyDescent="0.75">
      <c r="A273" s="18" t="s">
        <v>75</v>
      </c>
      <c r="B273" s="19">
        <v>46097</v>
      </c>
      <c r="C273" s="17">
        <v>666511</v>
      </c>
      <c r="D273" s="18" t="s">
        <v>19</v>
      </c>
      <c r="E273" s="20">
        <f>SUMIFS('PvA Data'!$F$2:$F$1576,'PvA Data'!$A$2:$A$1576,$A273,'PvA Data'!$E$2:$E$1576,$D273)</f>
        <v>4</v>
      </c>
      <c r="F273" s="20">
        <f>SUMIFS('PvA Data'!$G$2:$G$1576,'PvA Data'!$A$2:$A$1576,$A273,'PvA Data'!$E$2:$E$1576,$D273)</f>
        <v>8</v>
      </c>
      <c r="G273" s="36">
        <f t="shared" si="20"/>
        <v>2</v>
      </c>
      <c r="H273" s="20">
        <f>SUMIFS('PvA Data'!$G$2:$G$1576,'PvA Data'!$A$2:$A$1576,$A273,'PvA Data'!$E$2:$E$1576,$D273,'PvA Data'!$C$2:$C$1576,"Nahunta")</f>
        <v>8</v>
      </c>
      <c r="I273" s="20">
        <f>SUMIFS('PvA Data'!$G$2:$G$1576,'PvA Data'!$A$2:$A$1576,$A273,'PvA Data'!$E$2:$E$1576,$D273,'PvA Data'!$C$2:$C$1576,"Martin")</f>
        <v>0</v>
      </c>
      <c r="J273" s="20">
        <f>SUMIFS('PvA Data'!$G$2:$G$1576,'PvA Data'!$A$2:$A$1576,$A273,'PvA Data'!$E$2:$E$1576,$D273,'PvA Data'!$C$2:$C$1576,"Custom")</f>
        <v>0</v>
      </c>
      <c r="K273" s="36">
        <f t="shared" si="21"/>
        <v>1</v>
      </c>
      <c r="L273" s="36">
        <f t="shared" si="22"/>
        <v>0</v>
      </c>
      <c r="M273" s="36">
        <f t="shared" si="23"/>
        <v>0</v>
      </c>
    </row>
    <row r="274" spans="1:13" ht="15" customHeight="1" x14ac:dyDescent="0.75">
      <c r="A274" s="18" t="s">
        <v>75</v>
      </c>
      <c r="B274" s="19">
        <v>46097</v>
      </c>
      <c r="C274" s="17">
        <v>666513</v>
      </c>
      <c r="D274" s="18" t="s">
        <v>21</v>
      </c>
      <c r="E274" s="20">
        <f>SUMIFS('PvA Data'!$F$2:$F$1576,'PvA Data'!$A$2:$A$1576,$A274,'PvA Data'!$E$2:$E$1576,$D274)</f>
        <v>0</v>
      </c>
      <c r="F274" s="20">
        <f>SUMIFS('PvA Data'!$G$2:$G$1576,'PvA Data'!$A$2:$A$1576,$A274,'PvA Data'!$E$2:$E$1576,$D274)</f>
        <v>0</v>
      </c>
      <c r="G274" s="36" t="str">
        <f t="shared" si="20"/>
        <v/>
      </c>
      <c r="H274" s="20">
        <f>SUMIFS('PvA Data'!$G$2:$G$1576,'PvA Data'!$A$2:$A$1576,$A274,'PvA Data'!$E$2:$E$1576,$D274,'PvA Data'!$C$2:$C$1576,"Nahunta")</f>
        <v>0</v>
      </c>
      <c r="I274" s="20">
        <f>SUMIFS('PvA Data'!$G$2:$G$1576,'PvA Data'!$A$2:$A$1576,$A274,'PvA Data'!$E$2:$E$1576,$D274,'PvA Data'!$C$2:$C$1576,"Martin")</f>
        <v>0</v>
      </c>
      <c r="J274" s="20">
        <f>SUMIFS('PvA Data'!$G$2:$G$1576,'PvA Data'!$A$2:$A$1576,$A274,'PvA Data'!$E$2:$E$1576,$D274,'PvA Data'!$C$2:$C$1576,"Custom")</f>
        <v>0</v>
      </c>
      <c r="K274" s="36" t="str">
        <f t="shared" si="21"/>
        <v/>
      </c>
      <c r="L274" s="36" t="str">
        <f t="shared" si="22"/>
        <v/>
      </c>
      <c r="M274" s="36" t="str">
        <f t="shared" si="23"/>
        <v/>
      </c>
    </row>
    <row r="275" spans="1:13" ht="15" customHeight="1" x14ac:dyDescent="0.75">
      <c r="A275" s="18" t="s">
        <v>75</v>
      </c>
      <c r="B275" s="19">
        <v>46097</v>
      </c>
      <c r="C275" s="17">
        <v>666516</v>
      </c>
      <c r="D275" s="18" t="s">
        <v>23</v>
      </c>
      <c r="E275" s="20">
        <f>SUMIFS('PvA Data'!$F$2:$F$1576,'PvA Data'!$A$2:$A$1576,$A275,'PvA Data'!$E$2:$E$1576,$D275)</f>
        <v>34</v>
      </c>
      <c r="F275" s="20">
        <f>SUMIFS('PvA Data'!$G$2:$G$1576,'PvA Data'!$A$2:$A$1576,$A275,'PvA Data'!$E$2:$E$1576,$D275)</f>
        <v>13</v>
      </c>
      <c r="G275" s="36">
        <f t="shared" si="20"/>
        <v>0.38235294117647056</v>
      </c>
      <c r="H275" s="20">
        <f>SUMIFS('PvA Data'!$G$2:$G$1576,'PvA Data'!$A$2:$A$1576,$A275,'PvA Data'!$E$2:$E$1576,$D275,'PvA Data'!$C$2:$C$1576,"Nahunta")</f>
        <v>0</v>
      </c>
      <c r="I275" s="20">
        <f>SUMIFS('PvA Data'!$G$2:$G$1576,'PvA Data'!$A$2:$A$1576,$A275,'PvA Data'!$E$2:$E$1576,$D275,'PvA Data'!$C$2:$C$1576,"Martin")</f>
        <v>0</v>
      </c>
      <c r="J275" s="20">
        <f>SUMIFS('PvA Data'!$G$2:$G$1576,'PvA Data'!$A$2:$A$1576,$A275,'PvA Data'!$E$2:$E$1576,$D275,'PvA Data'!$C$2:$C$1576,"Custom")</f>
        <v>13</v>
      </c>
      <c r="K275" s="36">
        <f t="shared" si="21"/>
        <v>0</v>
      </c>
      <c r="L275" s="36">
        <f t="shared" si="22"/>
        <v>0</v>
      </c>
      <c r="M275" s="36">
        <f t="shared" si="23"/>
        <v>1</v>
      </c>
    </row>
    <row r="276" spans="1:13" ht="15" customHeight="1" x14ac:dyDescent="0.75">
      <c r="A276" s="18" t="s">
        <v>75</v>
      </c>
      <c r="B276" s="19">
        <v>46097</v>
      </c>
      <c r="C276" s="17">
        <v>666517</v>
      </c>
      <c r="D276" s="18" t="s">
        <v>25</v>
      </c>
      <c r="E276" s="20">
        <f>SUMIFS('PvA Data'!$F$2:$F$1576,'PvA Data'!$A$2:$A$1576,$A276,'PvA Data'!$E$2:$E$1576,$D276)</f>
        <v>33</v>
      </c>
      <c r="F276" s="20">
        <f>SUMIFS('PvA Data'!$G$2:$G$1576,'PvA Data'!$A$2:$A$1576,$A276,'PvA Data'!$E$2:$E$1576,$D276)</f>
        <v>0</v>
      </c>
      <c r="G276" s="36">
        <f t="shared" si="20"/>
        <v>0</v>
      </c>
      <c r="H276" s="20">
        <f>SUMIFS('PvA Data'!$G$2:$G$1576,'PvA Data'!$A$2:$A$1576,$A276,'PvA Data'!$E$2:$E$1576,$D276,'PvA Data'!$C$2:$C$1576,"Nahunta")</f>
        <v>0</v>
      </c>
      <c r="I276" s="20">
        <f>SUMIFS('PvA Data'!$G$2:$G$1576,'PvA Data'!$A$2:$A$1576,$A276,'PvA Data'!$E$2:$E$1576,$D276,'PvA Data'!$C$2:$C$1576,"Martin")</f>
        <v>0</v>
      </c>
      <c r="J276" s="20">
        <f>SUMIFS('PvA Data'!$G$2:$G$1576,'PvA Data'!$A$2:$A$1576,$A276,'PvA Data'!$E$2:$E$1576,$D276,'PvA Data'!$C$2:$C$1576,"Custom")</f>
        <v>0</v>
      </c>
      <c r="K276" s="36" t="str">
        <f t="shared" si="21"/>
        <v/>
      </c>
      <c r="L276" s="36" t="str">
        <f t="shared" si="22"/>
        <v/>
      </c>
      <c r="M276" s="36" t="str">
        <f t="shared" si="23"/>
        <v/>
      </c>
    </row>
    <row r="277" spans="1:13" ht="15" customHeight="1" x14ac:dyDescent="0.75">
      <c r="A277" s="18" t="s">
        <v>75</v>
      </c>
      <c r="B277" s="19">
        <v>46097</v>
      </c>
      <c r="C277" s="17">
        <v>666518</v>
      </c>
      <c r="D277" s="18" t="s">
        <v>27</v>
      </c>
      <c r="E277" s="20">
        <f>SUMIFS('PvA Data'!$F$2:$F$1576,'PvA Data'!$A$2:$A$1576,$A277,'PvA Data'!$E$2:$E$1576,$D277)</f>
        <v>0</v>
      </c>
      <c r="F277" s="20">
        <f>SUMIFS('PvA Data'!$G$2:$G$1576,'PvA Data'!$A$2:$A$1576,$A277,'PvA Data'!$E$2:$E$1576,$D277)</f>
        <v>0</v>
      </c>
      <c r="G277" s="36" t="str">
        <f t="shared" si="20"/>
        <v/>
      </c>
      <c r="H277" s="20">
        <f>SUMIFS('PvA Data'!$G$2:$G$1576,'PvA Data'!$A$2:$A$1576,$A277,'PvA Data'!$E$2:$E$1576,$D277,'PvA Data'!$C$2:$C$1576,"Nahunta")</f>
        <v>0</v>
      </c>
      <c r="I277" s="20">
        <f>SUMIFS('PvA Data'!$G$2:$G$1576,'PvA Data'!$A$2:$A$1576,$A277,'PvA Data'!$E$2:$E$1576,$D277,'PvA Data'!$C$2:$C$1576,"Martin")</f>
        <v>0</v>
      </c>
      <c r="J277" s="20">
        <f>SUMIFS('PvA Data'!$G$2:$G$1576,'PvA Data'!$A$2:$A$1576,$A277,'PvA Data'!$E$2:$E$1576,$D277,'PvA Data'!$C$2:$C$1576,"Custom")</f>
        <v>0</v>
      </c>
      <c r="K277" s="36" t="str">
        <f t="shared" si="21"/>
        <v/>
      </c>
      <c r="L277" s="36" t="str">
        <f t="shared" si="22"/>
        <v/>
      </c>
      <c r="M277" s="36" t="str">
        <f t="shared" si="23"/>
        <v/>
      </c>
    </row>
    <row r="278" spans="1:13" ht="15" customHeight="1" x14ac:dyDescent="0.75">
      <c r="A278" s="18" t="s">
        <v>75</v>
      </c>
      <c r="B278" s="19">
        <v>46097</v>
      </c>
      <c r="C278" s="17">
        <v>666519</v>
      </c>
      <c r="D278" s="18" t="s">
        <v>29</v>
      </c>
      <c r="E278" s="20">
        <f>SUMIFS('PvA Data'!$F$2:$F$1576,'PvA Data'!$A$2:$A$1576,$A278,'PvA Data'!$E$2:$E$1576,$D278)</f>
        <v>33</v>
      </c>
      <c r="F278" s="20">
        <f>SUMIFS('PvA Data'!$G$2:$G$1576,'PvA Data'!$A$2:$A$1576,$A278,'PvA Data'!$E$2:$E$1576,$D278)</f>
        <v>6</v>
      </c>
      <c r="G278" s="36">
        <f t="shared" si="20"/>
        <v>0.18181818181818182</v>
      </c>
      <c r="H278" s="20">
        <f>SUMIFS('PvA Data'!$G$2:$G$1576,'PvA Data'!$A$2:$A$1576,$A278,'PvA Data'!$E$2:$E$1576,$D278,'PvA Data'!$C$2:$C$1576,"Nahunta")</f>
        <v>0</v>
      </c>
      <c r="I278" s="20">
        <f>SUMIFS('PvA Data'!$G$2:$G$1576,'PvA Data'!$A$2:$A$1576,$A278,'PvA Data'!$E$2:$E$1576,$D278,'PvA Data'!$C$2:$C$1576,"Martin")</f>
        <v>0</v>
      </c>
      <c r="J278" s="20">
        <f>SUMIFS('PvA Data'!$G$2:$G$1576,'PvA Data'!$A$2:$A$1576,$A278,'PvA Data'!$E$2:$E$1576,$D278,'PvA Data'!$C$2:$C$1576,"Custom")</f>
        <v>6</v>
      </c>
      <c r="K278" s="36">
        <f t="shared" si="21"/>
        <v>0</v>
      </c>
      <c r="L278" s="36">
        <f t="shared" si="22"/>
        <v>0</v>
      </c>
      <c r="M278" s="36">
        <f t="shared" si="23"/>
        <v>1</v>
      </c>
    </row>
    <row r="279" spans="1:13" ht="15" customHeight="1" x14ac:dyDescent="0.75">
      <c r="A279" s="18" t="s">
        <v>75</v>
      </c>
      <c r="B279" s="19">
        <v>46097</v>
      </c>
      <c r="C279" s="17">
        <v>666521</v>
      </c>
      <c r="D279" s="18" t="s">
        <v>31</v>
      </c>
      <c r="E279" s="20">
        <f>SUMIFS('PvA Data'!$F$2:$F$1576,'PvA Data'!$A$2:$A$1576,$A279,'PvA Data'!$E$2:$E$1576,$D279)</f>
        <v>26</v>
      </c>
      <c r="F279" s="20">
        <f>SUMIFS('PvA Data'!$G$2:$G$1576,'PvA Data'!$A$2:$A$1576,$A279,'PvA Data'!$E$2:$E$1576,$D279)</f>
        <v>16</v>
      </c>
      <c r="G279" s="36">
        <f t="shared" si="20"/>
        <v>0.61538461538461542</v>
      </c>
      <c r="H279" s="20">
        <f>SUMIFS('PvA Data'!$G$2:$G$1576,'PvA Data'!$A$2:$A$1576,$A279,'PvA Data'!$E$2:$E$1576,$D279,'PvA Data'!$C$2:$C$1576,"Nahunta")</f>
        <v>16</v>
      </c>
      <c r="I279" s="20">
        <f>SUMIFS('PvA Data'!$G$2:$G$1576,'PvA Data'!$A$2:$A$1576,$A279,'PvA Data'!$E$2:$E$1576,$D279,'PvA Data'!$C$2:$C$1576,"Martin")</f>
        <v>0</v>
      </c>
      <c r="J279" s="20">
        <f>SUMIFS('PvA Data'!$G$2:$G$1576,'PvA Data'!$A$2:$A$1576,$A279,'PvA Data'!$E$2:$E$1576,$D279,'PvA Data'!$C$2:$C$1576,"Custom")</f>
        <v>0</v>
      </c>
      <c r="K279" s="36">
        <f t="shared" si="21"/>
        <v>1</v>
      </c>
      <c r="L279" s="36">
        <f t="shared" si="22"/>
        <v>0</v>
      </c>
      <c r="M279" s="36">
        <f t="shared" si="23"/>
        <v>0</v>
      </c>
    </row>
    <row r="280" spans="1:13" ht="15" customHeight="1" x14ac:dyDescent="0.75">
      <c r="A280" s="18" t="s">
        <v>75</v>
      </c>
      <c r="B280" s="19">
        <v>46097</v>
      </c>
      <c r="C280" s="17">
        <v>666522</v>
      </c>
      <c r="D280" s="18" t="s">
        <v>33</v>
      </c>
      <c r="E280" s="20">
        <f>SUMIFS('PvA Data'!$F$2:$F$1576,'PvA Data'!$A$2:$A$1576,$A280,'PvA Data'!$E$2:$E$1576,$D280)</f>
        <v>200</v>
      </c>
      <c r="F280" s="20">
        <f>SUMIFS('PvA Data'!$G$2:$G$1576,'PvA Data'!$A$2:$A$1576,$A280,'PvA Data'!$E$2:$E$1576,$D280)</f>
        <v>140</v>
      </c>
      <c r="G280" s="36">
        <f t="shared" si="20"/>
        <v>0.7</v>
      </c>
      <c r="H280" s="20">
        <f>SUMIFS('PvA Data'!$G$2:$G$1576,'PvA Data'!$A$2:$A$1576,$A280,'PvA Data'!$E$2:$E$1576,$D280,'PvA Data'!$C$2:$C$1576,"Nahunta")</f>
        <v>15</v>
      </c>
      <c r="I280" s="20">
        <f>SUMIFS('PvA Data'!$G$2:$G$1576,'PvA Data'!$A$2:$A$1576,$A280,'PvA Data'!$E$2:$E$1576,$D280,'PvA Data'!$C$2:$C$1576,"Martin")</f>
        <v>80</v>
      </c>
      <c r="J280" s="20">
        <f>SUMIFS('PvA Data'!$G$2:$G$1576,'PvA Data'!$A$2:$A$1576,$A280,'PvA Data'!$E$2:$E$1576,$D280,'PvA Data'!$C$2:$C$1576,"Custom")</f>
        <v>45</v>
      </c>
      <c r="K280" s="36">
        <f t="shared" si="21"/>
        <v>0.10714285714285714</v>
      </c>
      <c r="L280" s="36">
        <f t="shared" si="22"/>
        <v>0.5714285714285714</v>
      </c>
      <c r="M280" s="36">
        <f t="shared" si="23"/>
        <v>0.32142857142857145</v>
      </c>
    </row>
    <row r="281" spans="1:13" ht="15" customHeight="1" x14ac:dyDescent="0.75">
      <c r="A281" s="18" t="s">
        <v>75</v>
      </c>
      <c r="B281" s="19">
        <v>46097</v>
      </c>
      <c r="C281" s="17">
        <v>666523</v>
      </c>
      <c r="D281" s="18" t="s">
        <v>35</v>
      </c>
      <c r="E281" s="20">
        <f>SUMIFS('PvA Data'!$F$2:$F$1576,'PvA Data'!$A$2:$A$1576,$A281,'PvA Data'!$E$2:$E$1576,$D281)</f>
        <v>25</v>
      </c>
      <c r="F281" s="20">
        <f>SUMIFS('PvA Data'!$G$2:$G$1576,'PvA Data'!$A$2:$A$1576,$A281,'PvA Data'!$E$2:$E$1576,$D281)</f>
        <v>0</v>
      </c>
      <c r="G281" s="36">
        <f t="shared" si="20"/>
        <v>0</v>
      </c>
      <c r="H281" s="20">
        <f>SUMIFS('PvA Data'!$G$2:$G$1576,'PvA Data'!$A$2:$A$1576,$A281,'PvA Data'!$E$2:$E$1576,$D281,'PvA Data'!$C$2:$C$1576,"Nahunta")</f>
        <v>0</v>
      </c>
      <c r="I281" s="20">
        <f>SUMIFS('PvA Data'!$G$2:$G$1576,'PvA Data'!$A$2:$A$1576,$A281,'PvA Data'!$E$2:$E$1576,$D281,'PvA Data'!$C$2:$C$1576,"Martin")</f>
        <v>0</v>
      </c>
      <c r="J281" s="20">
        <f>SUMIFS('PvA Data'!$G$2:$G$1576,'PvA Data'!$A$2:$A$1576,$A281,'PvA Data'!$E$2:$E$1576,$D281,'PvA Data'!$C$2:$C$1576,"Custom")</f>
        <v>0</v>
      </c>
      <c r="K281" s="36" t="str">
        <f t="shared" si="21"/>
        <v/>
      </c>
      <c r="L281" s="36" t="str">
        <f t="shared" si="22"/>
        <v/>
      </c>
      <c r="M281" s="36" t="str">
        <f t="shared" si="23"/>
        <v/>
      </c>
    </row>
    <row r="282" spans="1:13" ht="15" customHeight="1" x14ac:dyDescent="0.75">
      <c r="A282" s="18" t="s">
        <v>75</v>
      </c>
      <c r="B282" s="19">
        <v>46097</v>
      </c>
      <c r="C282" s="17">
        <v>666530</v>
      </c>
      <c r="D282" s="18" t="s">
        <v>37</v>
      </c>
      <c r="E282" s="20">
        <f>SUMIFS('PvA Data'!$F$2:$F$1576,'PvA Data'!$A$2:$A$1576,$A282,'PvA Data'!$E$2:$E$1576,$D282)</f>
        <v>10</v>
      </c>
      <c r="F282" s="20">
        <f>SUMIFS('PvA Data'!$G$2:$G$1576,'PvA Data'!$A$2:$A$1576,$A282,'PvA Data'!$E$2:$E$1576,$D282)</f>
        <v>20</v>
      </c>
      <c r="G282" s="36">
        <f t="shared" si="20"/>
        <v>2</v>
      </c>
      <c r="H282" s="20">
        <f>SUMIFS('PvA Data'!$G$2:$G$1576,'PvA Data'!$A$2:$A$1576,$A282,'PvA Data'!$E$2:$E$1576,$D282,'PvA Data'!$C$2:$C$1576,"Nahunta")</f>
        <v>5</v>
      </c>
      <c r="I282" s="20">
        <f>SUMIFS('PvA Data'!$G$2:$G$1576,'PvA Data'!$A$2:$A$1576,$A282,'PvA Data'!$E$2:$E$1576,$D282,'PvA Data'!$C$2:$C$1576,"Martin")</f>
        <v>0</v>
      </c>
      <c r="J282" s="20">
        <f>SUMIFS('PvA Data'!$G$2:$G$1576,'PvA Data'!$A$2:$A$1576,$A282,'PvA Data'!$E$2:$E$1576,$D282,'PvA Data'!$C$2:$C$1576,"Custom")</f>
        <v>15</v>
      </c>
      <c r="K282" s="36">
        <f t="shared" si="21"/>
        <v>0.25</v>
      </c>
      <c r="L282" s="36">
        <f t="shared" si="22"/>
        <v>0</v>
      </c>
      <c r="M282" s="36">
        <f t="shared" si="23"/>
        <v>0.75</v>
      </c>
    </row>
    <row r="283" spans="1:13" ht="15" customHeight="1" x14ac:dyDescent="0.75">
      <c r="A283" s="18" t="s">
        <v>75</v>
      </c>
      <c r="B283" s="19">
        <v>46097</v>
      </c>
      <c r="C283" s="17">
        <v>666531</v>
      </c>
      <c r="D283" s="18" t="s">
        <v>39</v>
      </c>
      <c r="E283" s="20">
        <f>SUMIFS('PvA Data'!$F$2:$F$1576,'PvA Data'!$A$2:$A$1576,$A283,'PvA Data'!$E$2:$E$1576,$D283)</f>
        <v>13</v>
      </c>
      <c r="F283" s="20">
        <f>SUMIFS('PvA Data'!$G$2:$G$1576,'PvA Data'!$A$2:$A$1576,$A283,'PvA Data'!$E$2:$E$1576,$D283)</f>
        <v>0</v>
      </c>
      <c r="G283" s="36">
        <f t="shared" si="20"/>
        <v>0</v>
      </c>
      <c r="H283" s="20">
        <f>SUMIFS('PvA Data'!$G$2:$G$1576,'PvA Data'!$A$2:$A$1576,$A283,'PvA Data'!$E$2:$E$1576,$D283,'PvA Data'!$C$2:$C$1576,"Nahunta")</f>
        <v>0</v>
      </c>
      <c r="I283" s="20">
        <f>SUMIFS('PvA Data'!$G$2:$G$1576,'PvA Data'!$A$2:$A$1576,$A283,'PvA Data'!$E$2:$E$1576,$D283,'PvA Data'!$C$2:$C$1576,"Martin")</f>
        <v>0</v>
      </c>
      <c r="J283" s="20">
        <f>SUMIFS('PvA Data'!$G$2:$G$1576,'PvA Data'!$A$2:$A$1576,$A283,'PvA Data'!$E$2:$E$1576,$D283,'PvA Data'!$C$2:$C$1576,"Custom")</f>
        <v>0</v>
      </c>
      <c r="K283" s="36" t="str">
        <f t="shared" si="21"/>
        <v/>
      </c>
      <c r="L283" s="36" t="str">
        <f t="shared" si="22"/>
        <v/>
      </c>
      <c r="M283" s="36" t="str">
        <f t="shared" si="23"/>
        <v/>
      </c>
    </row>
    <row r="284" spans="1:13" ht="15" customHeight="1" x14ac:dyDescent="0.75">
      <c r="A284" s="18" t="s">
        <v>75</v>
      </c>
      <c r="B284" s="19">
        <v>46097</v>
      </c>
      <c r="C284" s="17">
        <v>666540</v>
      </c>
      <c r="D284" s="18" t="s">
        <v>40</v>
      </c>
      <c r="E284" s="20">
        <f>SUMIFS('PvA Data'!$F$2:$F$1576,'PvA Data'!$A$2:$A$1576,$A284,'PvA Data'!$E$2:$E$1576,$D284)</f>
        <v>60</v>
      </c>
      <c r="F284" s="20">
        <f>SUMIFS('PvA Data'!$G$2:$G$1576,'PvA Data'!$A$2:$A$1576,$A284,'PvA Data'!$E$2:$E$1576,$D284)</f>
        <v>0</v>
      </c>
      <c r="G284" s="36">
        <f t="shared" si="20"/>
        <v>0</v>
      </c>
      <c r="H284" s="20">
        <f>SUMIFS('PvA Data'!$G$2:$G$1576,'PvA Data'!$A$2:$A$1576,$A284,'PvA Data'!$E$2:$E$1576,$D284,'PvA Data'!$C$2:$C$1576,"Nahunta")</f>
        <v>0</v>
      </c>
      <c r="I284" s="20">
        <f>SUMIFS('PvA Data'!$G$2:$G$1576,'PvA Data'!$A$2:$A$1576,$A284,'PvA Data'!$E$2:$E$1576,$D284,'PvA Data'!$C$2:$C$1576,"Martin")</f>
        <v>0</v>
      </c>
      <c r="J284" s="20">
        <f>SUMIFS('PvA Data'!$G$2:$G$1576,'PvA Data'!$A$2:$A$1576,$A284,'PvA Data'!$E$2:$E$1576,$D284,'PvA Data'!$C$2:$C$1576,"Custom")</f>
        <v>0</v>
      </c>
      <c r="K284" s="36" t="str">
        <f t="shared" si="21"/>
        <v/>
      </c>
      <c r="L284" s="36" t="str">
        <f t="shared" si="22"/>
        <v/>
      </c>
      <c r="M284" s="36" t="str">
        <f t="shared" si="23"/>
        <v/>
      </c>
    </row>
    <row r="285" spans="1:13" ht="15" customHeight="1" x14ac:dyDescent="0.75">
      <c r="A285" s="18" t="s">
        <v>75</v>
      </c>
      <c r="B285" s="19">
        <v>46097</v>
      </c>
      <c r="C285" s="17">
        <v>666541</v>
      </c>
      <c r="D285" s="18" t="s">
        <v>41</v>
      </c>
      <c r="E285" s="20">
        <f>SUMIFS('PvA Data'!$F$2:$F$1576,'PvA Data'!$A$2:$A$1576,$A285,'PvA Data'!$E$2:$E$1576,$D285)</f>
        <v>300</v>
      </c>
      <c r="F285" s="20">
        <f>SUMIFS('PvA Data'!$G$2:$G$1576,'PvA Data'!$A$2:$A$1576,$A285,'PvA Data'!$E$2:$E$1576,$D285)</f>
        <v>322</v>
      </c>
      <c r="G285" s="36">
        <f t="shared" si="20"/>
        <v>1.0733333333333333</v>
      </c>
      <c r="H285" s="20">
        <f>SUMIFS('PvA Data'!$G$2:$G$1576,'PvA Data'!$A$2:$A$1576,$A285,'PvA Data'!$E$2:$E$1576,$D285,'PvA Data'!$C$2:$C$1576,"Nahunta")</f>
        <v>0</v>
      </c>
      <c r="I285" s="20">
        <f>SUMIFS('PvA Data'!$G$2:$G$1576,'PvA Data'!$A$2:$A$1576,$A285,'PvA Data'!$E$2:$E$1576,$D285,'PvA Data'!$C$2:$C$1576,"Martin")</f>
        <v>322</v>
      </c>
      <c r="J285" s="20">
        <f>SUMIFS('PvA Data'!$G$2:$G$1576,'PvA Data'!$A$2:$A$1576,$A285,'PvA Data'!$E$2:$E$1576,$D285,'PvA Data'!$C$2:$C$1576,"Custom")</f>
        <v>0</v>
      </c>
      <c r="K285" s="36">
        <f t="shared" si="21"/>
        <v>0</v>
      </c>
      <c r="L285" s="36">
        <f t="shared" si="22"/>
        <v>1</v>
      </c>
      <c r="M285" s="36">
        <f t="shared" si="23"/>
        <v>0</v>
      </c>
    </row>
    <row r="286" spans="1:13" ht="15" customHeight="1" x14ac:dyDescent="0.75">
      <c r="A286" s="18" t="s">
        <v>75</v>
      </c>
      <c r="B286" s="19">
        <v>46097</v>
      </c>
      <c r="C286" s="17">
        <v>666536</v>
      </c>
      <c r="D286" s="18" t="s">
        <v>43</v>
      </c>
      <c r="E286" s="20">
        <f>SUMIFS('PvA Data'!$F$2:$F$1576,'PvA Data'!$A$2:$A$1576,$A286,'PvA Data'!$E$2:$E$1576,$D286)</f>
        <v>15</v>
      </c>
      <c r="F286" s="20">
        <f>SUMIFS('PvA Data'!$G$2:$G$1576,'PvA Data'!$A$2:$A$1576,$A286,'PvA Data'!$E$2:$E$1576,$D286)</f>
        <v>3</v>
      </c>
      <c r="G286" s="36">
        <f t="shared" si="20"/>
        <v>0.2</v>
      </c>
      <c r="H286" s="20">
        <f>SUMIFS('PvA Data'!$G$2:$G$1576,'PvA Data'!$A$2:$A$1576,$A286,'PvA Data'!$E$2:$E$1576,$D286,'PvA Data'!$C$2:$C$1576,"Nahunta")</f>
        <v>3</v>
      </c>
      <c r="I286" s="20">
        <f>SUMIFS('PvA Data'!$G$2:$G$1576,'PvA Data'!$A$2:$A$1576,$A286,'PvA Data'!$E$2:$E$1576,$D286,'PvA Data'!$C$2:$C$1576,"Martin")</f>
        <v>0</v>
      </c>
      <c r="J286" s="20">
        <f>SUMIFS('PvA Data'!$G$2:$G$1576,'PvA Data'!$A$2:$A$1576,$A286,'PvA Data'!$E$2:$E$1576,$D286,'PvA Data'!$C$2:$C$1576,"Custom")</f>
        <v>0</v>
      </c>
      <c r="K286" s="36">
        <f t="shared" si="21"/>
        <v>1</v>
      </c>
      <c r="L286" s="36">
        <f t="shared" si="22"/>
        <v>0</v>
      </c>
      <c r="M286" s="36">
        <f t="shared" si="23"/>
        <v>0</v>
      </c>
    </row>
    <row r="287" spans="1:13" ht="15" customHeight="1" x14ac:dyDescent="0.75">
      <c r="A287" s="18" t="s">
        <v>76</v>
      </c>
      <c r="B287" s="19">
        <v>46104</v>
      </c>
      <c r="C287" s="17">
        <v>666501</v>
      </c>
      <c r="D287" s="18" t="s">
        <v>5</v>
      </c>
      <c r="E287" s="20">
        <f>SUMIFS('PvA Data'!$F$2:$F$1576,'PvA Data'!$A$2:$A$1576,$A287,'PvA Data'!$E$2:$E$1576,$D287)</f>
        <v>376.5</v>
      </c>
      <c r="F287" s="20">
        <f>SUMIFS('PvA Data'!$G$2:$G$1576,'PvA Data'!$A$2:$A$1576,$A287,'PvA Data'!$E$2:$E$1576,$D287)</f>
        <v>387</v>
      </c>
      <c r="G287" s="36">
        <f t="shared" si="20"/>
        <v>1.0278884462151394</v>
      </c>
      <c r="H287" s="20">
        <f>SUMIFS('PvA Data'!$G$2:$G$1576,'PvA Data'!$A$2:$A$1576,$A287,'PvA Data'!$E$2:$E$1576,$D287,'PvA Data'!$C$2:$C$1576,"Nahunta")</f>
        <v>30</v>
      </c>
      <c r="I287" s="20">
        <f>SUMIFS('PvA Data'!$G$2:$G$1576,'PvA Data'!$A$2:$A$1576,$A287,'PvA Data'!$E$2:$E$1576,$D287,'PvA Data'!$C$2:$C$1576,"Martin")</f>
        <v>309</v>
      </c>
      <c r="J287" s="20">
        <f>SUMIFS('PvA Data'!$G$2:$G$1576,'PvA Data'!$A$2:$A$1576,$A287,'PvA Data'!$E$2:$E$1576,$D287,'PvA Data'!$C$2:$C$1576,"Custom")</f>
        <v>48</v>
      </c>
      <c r="K287" s="36">
        <f t="shared" si="21"/>
        <v>7.7519379844961239E-2</v>
      </c>
      <c r="L287" s="36">
        <f t="shared" si="22"/>
        <v>0.79844961240310075</v>
      </c>
      <c r="M287" s="36">
        <f t="shared" si="23"/>
        <v>0.12403100775193798</v>
      </c>
    </row>
    <row r="288" spans="1:13" ht="15" customHeight="1" x14ac:dyDescent="0.75">
      <c r="A288" s="18" t="s">
        <v>76</v>
      </c>
      <c r="B288" s="19">
        <v>46104</v>
      </c>
      <c r="C288" s="17">
        <v>666502</v>
      </c>
      <c r="D288" s="18" t="s">
        <v>7</v>
      </c>
      <c r="E288" s="20">
        <f>SUMIFS('PvA Data'!$F$2:$F$1576,'PvA Data'!$A$2:$A$1576,$A288,'PvA Data'!$E$2:$E$1576,$D288)</f>
        <v>200</v>
      </c>
      <c r="F288" s="20">
        <f>SUMIFS('PvA Data'!$G$2:$G$1576,'PvA Data'!$A$2:$A$1576,$A288,'PvA Data'!$E$2:$E$1576,$D288)</f>
        <v>124</v>
      </c>
      <c r="G288" s="36">
        <f t="shared" si="20"/>
        <v>0.62</v>
      </c>
      <c r="H288" s="20">
        <f>SUMIFS('PvA Data'!$G$2:$G$1576,'PvA Data'!$A$2:$A$1576,$A288,'PvA Data'!$E$2:$E$1576,$D288,'PvA Data'!$C$2:$C$1576,"Nahunta")</f>
        <v>0</v>
      </c>
      <c r="I288" s="20">
        <f>SUMIFS('PvA Data'!$G$2:$G$1576,'PvA Data'!$A$2:$A$1576,$A288,'PvA Data'!$E$2:$E$1576,$D288,'PvA Data'!$C$2:$C$1576,"Martin")</f>
        <v>124</v>
      </c>
      <c r="J288" s="20">
        <f>SUMIFS('PvA Data'!$G$2:$G$1576,'PvA Data'!$A$2:$A$1576,$A288,'PvA Data'!$E$2:$E$1576,$D288,'PvA Data'!$C$2:$C$1576,"Custom")</f>
        <v>0</v>
      </c>
      <c r="K288" s="36">
        <f t="shared" si="21"/>
        <v>0</v>
      </c>
      <c r="L288" s="36">
        <f t="shared" si="22"/>
        <v>1</v>
      </c>
      <c r="M288" s="36">
        <f t="shared" si="23"/>
        <v>0</v>
      </c>
    </row>
    <row r="289" spans="1:13" ht="15" customHeight="1" x14ac:dyDescent="0.75">
      <c r="A289" s="18" t="s">
        <v>76</v>
      </c>
      <c r="B289" s="19">
        <v>46104</v>
      </c>
      <c r="C289" s="17">
        <v>666505</v>
      </c>
      <c r="D289" s="18" t="s">
        <v>9</v>
      </c>
      <c r="E289" s="20">
        <f>SUMIFS('PvA Data'!$F$2:$F$1576,'PvA Data'!$A$2:$A$1576,$A289,'PvA Data'!$E$2:$E$1576,$D289)</f>
        <v>32</v>
      </c>
      <c r="F289" s="20">
        <f>SUMIFS('PvA Data'!$G$2:$G$1576,'PvA Data'!$A$2:$A$1576,$A289,'PvA Data'!$E$2:$E$1576,$D289)</f>
        <v>64</v>
      </c>
      <c r="G289" s="36">
        <f t="shared" si="20"/>
        <v>2</v>
      </c>
      <c r="H289" s="20">
        <f>SUMIFS('PvA Data'!$G$2:$G$1576,'PvA Data'!$A$2:$A$1576,$A289,'PvA Data'!$E$2:$E$1576,$D289,'PvA Data'!$C$2:$C$1576,"Nahunta")</f>
        <v>20</v>
      </c>
      <c r="I289" s="20">
        <f>SUMIFS('PvA Data'!$G$2:$G$1576,'PvA Data'!$A$2:$A$1576,$A289,'PvA Data'!$E$2:$E$1576,$D289,'PvA Data'!$C$2:$C$1576,"Martin")</f>
        <v>0</v>
      </c>
      <c r="J289" s="20">
        <f>SUMIFS('PvA Data'!$G$2:$G$1576,'PvA Data'!$A$2:$A$1576,$A289,'PvA Data'!$E$2:$E$1576,$D289,'PvA Data'!$C$2:$C$1576,"Custom")</f>
        <v>44</v>
      </c>
      <c r="K289" s="36">
        <f t="shared" si="21"/>
        <v>0.3125</v>
      </c>
      <c r="L289" s="36">
        <f t="shared" si="22"/>
        <v>0</v>
      </c>
      <c r="M289" s="36">
        <f t="shared" si="23"/>
        <v>0.6875</v>
      </c>
    </row>
    <row r="290" spans="1:13" ht="15" customHeight="1" x14ac:dyDescent="0.75">
      <c r="A290" s="18" t="s">
        <v>76</v>
      </c>
      <c r="B290" s="19">
        <v>46104</v>
      </c>
      <c r="C290" s="17">
        <v>666506</v>
      </c>
      <c r="D290" s="18" t="s">
        <v>11</v>
      </c>
      <c r="E290" s="20">
        <f>SUMIFS('PvA Data'!$F$2:$F$1576,'PvA Data'!$A$2:$A$1576,$A290,'PvA Data'!$E$2:$E$1576,$D290)</f>
        <v>200</v>
      </c>
      <c r="F290" s="20">
        <f>SUMIFS('PvA Data'!$G$2:$G$1576,'PvA Data'!$A$2:$A$1576,$A290,'PvA Data'!$E$2:$E$1576,$D290)</f>
        <v>14</v>
      </c>
      <c r="G290" s="36">
        <f t="shared" si="20"/>
        <v>7.0000000000000007E-2</v>
      </c>
      <c r="H290" s="20">
        <f>SUMIFS('PvA Data'!$G$2:$G$1576,'PvA Data'!$A$2:$A$1576,$A290,'PvA Data'!$E$2:$E$1576,$D290,'PvA Data'!$C$2:$C$1576,"Nahunta")</f>
        <v>0</v>
      </c>
      <c r="I290" s="20">
        <f>SUMIFS('PvA Data'!$G$2:$G$1576,'PvA Data'!$A$2:$A$1576,$A290,'PvA Data'!$E$2:$E$1576,$D290,'PvA Data'!$C$2:$C$1576,"Martin")</f>
        <v>14</v>
      </c>
      <c r="J290" s="20">
        <f>SUMIFS('PvA Data'!$G$2:$G$1576,'PvA Data'!$A$2:$A$1576,$A290,'PvA Data'!$E$2:$E$1576,$D290,'PvA Data'!$C$2:$C$1576,"Custom")</f>
        <v>0</v>
      </c>
      <c r="K290" s="36">
        <f t="shared" si="21"/>
        <v>0</v>
      </c>
      <c r="L290" s="36">
        <f t="shared" si="22"/>
        <v>1</v>
      </c>
      <c r="M290" s="36">
        <f t="shared" si="23"/>
        <v>0</v>
      </c>
    </row>
    <row r="291" spans="1:13" ht="15" customHeight="1" x14ac:dyDescent="0.75">
      <c r="A291" s="18" t="s">
        <v>76</v>
      </c>
      <c r="B291" s="19">
        <v>46104</v>
      </c>
      <c r="C291" s="17">
        <v>666507</v>
      </c>
      <c r="D291" s="18" t="s">
        <v>13</v>
      </c>
      <c r="E291" s="20">
        <f>SUMIFS('PvA Data'!$F$2:$F$1576,'PvA Data'!$A$2:$A$1576,$A291,'PvA Data'!$E$2:$E$1576,$D291)</f>
        <v>21</v>
      </c>
      <c r="F291" s="20">
        <f>SUMIFS('PvA Data'!$G$2:$G$1576,'PvA Data'!$A$2:$A$1576,$A291,'PvA Data'!$E$2:$E$1576,$D291)</f>
        <v>16</v>
      </c>
      <c r="G291" s="36">
        <f t="shared" ref="G291:G354" si="24">IF(E291=0,"",F291/E291)</f>
        <v>0.76190476190476186</v>
      </c>
      <c r="H291" s="20">
        <f>SUMIFS('PvA Data'!$G$2:$G$1576,'PvA Data'!$A$2:$A$1576,$A291,'PvA Data'!$E$2:$E$1576,$D291,'PvA Data'!$C$2:$C$1576,"Nahunta")</f>
        <v>16</v>
      </c>
      <c r="I291" s="20">
        <f>SUMIFS('PvA Data'!$G$2:$G$1576,'PvA Data'!$A$2:$A$1576,$A291,'PvA Data'!$E$2:$E$1576,$D291,'PvA Data'!$C$2:$C$1576,"Martin")</f>
        <v>0</v>
      </c>
      <c r="J291" s="20">
        <f>SUMIFS('PvA Data'!$G$2:$G$1576,'PvA Data'!$A$2:$A$1576,$A291,'PvA Data'!$E$2:$E$1576,$D291,'PvA Data'!$C$2:$C$1576,"Custom")</f>
        <v>0</v>
      </c>
      <c r="K291" s="36">
        <f t="shared" ref="K291:K354" si="25">IF($F291=0,"",H291/$F291)</f>
        <v>1</v>
      </c>
      <c r="L291" s="36">
        <f t="shared" ref="L291:L354" si="26">IF($F291=0,"",I291/$F291)</f>
        <v>0</v>
      </c>
      <c r="M291" s="36">
        <f t="shared" ref="M291:M354" si="27">IF($F291=0,"",J291/$F291)</f>
        <v>0</v>
      </c>
    </row>
    <row r="292" spans="1:13" ht="15" customHeight="1" x14ac:dyDescent="0.75">
      <c r="A292" s="18" t="s">
        <v>76</v>
      </c>
      <c r="B292" s="19">
        <v>46104</v>
      </c>
      <c r="C292" s="17">
        <v>666509</v>
      </c>
      <c r="D292" s="18" t="s">
        <v>15</v>
      </c>
      <c r="E292" s="20">
        <f>SUMIFS('PvA Data'!$F$2:$F$1576,'PvA Data'!$A$2:$A$1576,$A292,'PvA Data'!$E$2:$E$1576,$D292)</f>
        <v>50</v>
      </c>
      <c r="F292" s="20">
        <f>SUMIFS('PvA Data'!$G$2:$G$1576,'PvA Data'!$A$2:$A$1576,$A292,'PvA Data'!$E$2:$E$1576,$D292)</f>
        <v>66</v>
      </c>
      <c r="G292" s="36">
        <f t="shared" si="24"/>
        <v>1.32</v>
      </c>
      <c r="H292" s="20">
        <f>SUMIFS('PvA Data'!$G$2:$G$1576,'PvA Data'!$A$2:$A$1576,$A292,'PvA Data'!$E$2:$E$1576,$D292,'PvA Data'!$C$2:$C$1576,"Nahunta")</f>
        <v>66</v>
      </c>
      <c r="I292" s="20">
        <f>SUMIFS('PvA Data'!$G$2:$G$1576,'PvA Data'!$A$2:$A$1576,$A292,'PvA Data'!$E$2:$E$1576,$D292,'PvA Data'!$C$2:$C$1576,"Martin")</f>
        <v>0</v>
      </c>
      <c r="J292" s="20">
        <f>SUMIFS('PvA Data'!$G$2:$G$1576,'PvA Data'!$A$2:$A$1576,$A292,'PvA Data'!$E$2:$E$1576,$D292,'PvA Data'!$C$2:$C$1576,"Custom")</f>
        <v>0</v>
      </c>
      <c r="K292" s="36">
        <f t="shared" si="25"/>
        <v>1</v>
      </c>
      <c r="L292" s="36">
        <f t="shared" si="26"/>
        <v>0</v>
      </c>
      <c r="M292" s="36">
        <f t="shared" si="27"/>
        <v>0</v>
      </c>
    </row>
    <row r="293" spans="1:13" ht="15" customHeight="1" x14ac:dyDescent="0.75">
      <c r="A293" s="18" t="s">
        <v>76</v>
      </c>
      <c r="B293" s="19">
        <v>46104</v>
      </c>
      <c r="C293" s="17">
        <v>666510</v>
      </c>
      <c r="D293" s="18" t="s">
        <v>17</v>
      </c>
      <c r="E293" s="20">
        <f>SUMIFS('PvA Data'!$F$2:$F$1576,'PvA Data'!$A$2:$A$1576,$A293,'PvA Data'!$E$2:$E$1576,$D293)</f>
        <v>0</v>
      </c>
      <c r="F293" s="20">
        <f>SUMIFS('PvA Data'!$G$2:$G$1576,'PvA Data'!$A$2:$A$1576,$A293,'PvA Data'!$E$2:$E$1576,$D293)</f>
        <v>0</v>
      </c>
      <c r="G293" s="36" t="str">
        <f t="shared" si="24"/>
        <v/>
      </c>
      <c r="H293" s="20">
        <f>SUMIFS('PvA Data'!$G$2:$G$1576,'PvA Data'!$A$2:$A$1576,$A293,'PvA Data'!$E$2:$E$1576,$D293,'PvA Data'!$C$2:$C$1576,"Nahunta")</f>
        <v>0</v>
      </c>
      <c r="I293" s="20">
        <f>SUMIFS('PvA Data'!$G$2:$G$1576,'PvA Data'!$A$2:$A$1576,$A293,'PvA Data'!$E$2:$E$1576,$D293,'PvA Data'!$C$2:$C$1576,"Martin")</f>
        <v>0</v>
      </c>
      <c r="J293" s="20">
        <f>SUMIFS('PvA Data'!$G$2:$G$1576,'PvA Data'!$A$2:$A$1576,$A293,'PvA Data'!$E$2:$E$1576,$D293,'PvA Data'!$C$2:$C$1576,"Custom")</f>
        <v>0</v>
      </c>
      <c r="K293" s="36" t="str">
        <f t="shared" si="25"/>
        <v/>
      </c>
      <c r="L293" s="36" t="str">
        <f t="shared" si="26"/>
        <v/>
      </c>
      <c r="M293" s="36" t="str">
        <f t="shared" si="27"/>
        <v/>
      </c>
    </row>
    <row r="294" spans="1:13" ht="15" customHeight="1" x14ac:dyDescent="0.75">
      <c r="A294" s="18" t="s">
        <v>76</v>
      </c>
      <c r="B294" s="19">
        <v>46104</v>
      </c>
      <c r="C294" s="17">
        <v>666511</v>
      </c>
      <c r="D294" s="18" t="s">
        <v>19</v>
      </c>
      <c r="E294" s="20">
        <f>SUMIFS('PvA Data'!$F$2:$F$1576,'PvA Data'!$A$2:$A$1576,$A294,'PvA Data'!$E$2:$E$1576,$D294)</f>
        <v>4</v>
      </c>
      <c r="F294" s="20">
        <f>SUMIFS('PvA Data'!$G$2:$G$1576,'PvA Data'!$A$2:$A$1576,$A294,'PvA Data'!$E$2:$E$1576,$D294)</f>
        <v>0</v>
      </c>
      <c r="G294" s="36">
        <f t="shared" si="24"/>
        <v>0</v>
      </c>
      <c r="H294" s="20">
        <f>SUMIFS('PvA Data'!$G$2:$G$1576,'PvA Data'!$A$2:$A$1576,$A294,'PvA Data'!$E$2:$E$1576,$D294,'PvA Data'!$C$2:$C$1576,"Nahunta")</f>
        <v>0</v>
      </c>
      <c r="I294" s="20">
        <f>SUMIFS('PvA Data'!$G$2:$G$1576,'PvA Data'!$A$2:$A$1576,$A294,'PvA Data'!$E$2:$E$1576,$D294,'PvA Data'!$C$2:$C$1576,"Martin")</f>
        <v>0</v>
      </c>
      <c r="J294" s="20">
        <f>SUMIFS('PvA Data'!$G$2:$G$1576,'PvA Data'!$A$2:$A$1576,$A294,'PvA Data'!$E$2:$E$1576,$D294,'PvA Data'!$C$2:$C$1576,"Custom")</f>
        <v>0</v>
      </c>
      <c r="K294" s="36" t="str">
        <f t="shared" si="25"/>
        <v/>
      </c>
      <c r="L294" s="36" t="str">
        <f t="shared" si="26"/>
        <v/>
      </c>
      <c r="M294" s="36" t="str">
        <f t="shared" si="27"/>
        <v/>
      </c>
    </row>
    <row r="295" spans="1:13" ht="15" customHeight="1" x14ac:dyDescent="0.75">
      <c r="A295" s="18" t="s">
        <v>76</v>
      </c>
      <c r="B295" s="19">
        <v>46104</v>
      </c>
      <c r="C295" s="17">
        <v>666513</v>
      </c>
      <c r="D295" s="18" t="s">
        <v>21</v>
      </c>
      <c r="E295" s="20">
        <f>SUMIFS('PvA Data'!$F$2:$F$1576,'PvA Data'!$A$2:$A$1576,$A295,'PvA Data'!$E$2:$E$1576,$D295)</f>
        <v>0</v>
      </c>
      <c r="F295" s="20">
        <f>SUMIFS('PvA Data'!$G$2:$G$1576,'PvA Data'!$A$2:$A$1576,$A295,'PvA Data'!$E$2:$E$1576,$D295)</f>
        <v>0</v>
      </c>
      <c r="G295" s="36" t="str">
        <f t="shared" si="24"/>
        <v/>
      </c>
      <c r="H295" s="20">
        <f>SUMIFS('PvA Data'!$G$2:$G$1576,'PvA Data'!$A$2:$A$1576,$A295,'PvA Data'!$E$2:$E$1576,$D295,'PvA Data'!$C$2:$C$1576,"Nahunta")</f>
        <v>0</v>
      </c>
      <c r="I295" s="20">
        <f>SUMIFS('PvA Data'!$G$2:$G$1576,'PvA Data'!$A$2:$A$1576,$A295,'PvA Data'!$E$2:$E$1576,$D295,'PvA Data'!$C$2:$C$1576,"Martin")</f>
        <v>0</v>
      </c>
      <c r="J295" s="20">
        <f>SUMIFS('PvA Data'!$G$2:$G$1576,'PvA Data'!$A$2:$A$1576,$A295,'PvA Data'!$E$2:$E$1576,$D295,'PvA Data'!$C$2:$C$1576,"Custom")</f>
        <v>0</v>
      </c>
      <c r="K295" s="36" t="str">
        <f t="shared" si="25"/>
        <v/>
      </c>
      <c r="L295" s="36" t="str">
        <f t="shared" si="26"/>
        <v/>
      </c>
      <c r="M295" s="36" t="str">
        <f t="shared" si="27"/>
        <v/>
      </c>
    </row>
    <row r="296" spans="1:13" ht="15" customHeight="1" x14ac:dyDescent="0.75">
      <c r="A296" s="18" t="s">
        <v>76</v>
      </c>
      <c r="B296" s="19">
        <v>46104</v>
      </c>
      <c r="C296" s="17">
        <v>666516</v>
      </c>
      <c r="D296" s="18" t="s">
        <v>23</v>
      </c>
      <c r="E296" s="20">
        <f>SUMIFS('PvA Data'!$F$2:$F$1576,'PvA Data'!$A$2:$A$1576,$A296,'PvA Data'!$E$2:$E$1576,$D296)</f>
        <v>34</v>
      </c>
      <c r="F296" s="20">
        <f>SUMIFS('PvA Data'!$G$2:$G$1576,'PvA Data'!$A$2:$A$1576,$A296,'PvA Data'!$E$2:$E$1576,$D296)</f>
        <v>68</v>
      </c>
      <c r="G296" s="36">
        <f t="shared" si="24"/>
        <v>2</v>
      </c>
      <c r="H296" s="20">
        <f>SUMIFS('PvA Data'!$G$2:$G$1576,'PvA Data'!$A$2:$A$1576,$A296,'PvA Data'!$E$2:$E$1576,$D296,'PvA Data'!$C$2:$C$1576,"Nahunta")</f>
        <v>34</v>
      </c>
      <c r="I296" s="20">
        <f>SUMIFS('PvA Data'!$G$2:$G$1576,'PvA Data'!$A$2:$A$1576,$A296,'PvA Data'!$E$2:$E$1576,$D296,'PvA Data'!$C$2:$C$1576,"Martin")</f>
        <v>0</v>
      </c>
      <c r="J296" s="20">
        <f>SUMIFS('PvA Data'!$G$2:$G$1576,'PvA Data'!$A$2:$A$1576,$A296,'PvA Data'!$E$2:$E$1576,$D296,'PvA Data'!$C$2:$C$1576,"Custom")</f>
        <v>34</v>
      </c>
      <c r="K296" s="36">
        <f t="shared" si="25"/>
        <v>0.5</v>
      </c>
      <c r="L296" s="36">
        <f t="shared" si="26"/>
        <v>0</v>
      </c>
      <c r="M296" s="36">
        <f t="shared" si="27"/>
        <v>0.5</v>
      </c>
    </row>
    <row r="297" spans="1:13" ht="15" customHeight="1" x14ac:dyDescent="0.75">
      <c r="A297" s="18" t="s">
        <v>76</v>
      </c>
      <c r="B297" s="19">
        <v>46104</v>
      </c>
      <c r="C297" s="17">
        <v>666517</v>
      </c>
      <c r="D297" s="18" t="s">
        <v>25</v>
      </c>
      <c r="E297" s="20">
        <f>SUMIFS('PvA Data'!$F$2:$F$1576,'PvA Data'!$A$2:$A$1576,$A297,'PvA Data'!$E$2:$E$1576,$D297)</f>
        <v>33</v>
      </c>
      <c r="F297" s="20">
        <f>SUMIFS('PvA Data'!$G$2:$G$1576,'PvA Data'!$A$2:$A$1576,$A297,'PvA Data'!$E$2:$E$1576,$D297)</f>
        <v>57</v>
      </c>
      <c r="G297" s="36">
        <f t="shared" si="24"/>
        <v>1.7272727272727273</v>
      </c>
      <c r="H297" s="20">
        <f>SUMIFS('PvA Data'!$G$2:$G$1576,'PvA Data'!$A$2:$A$1576,$A297,'PvA Data'!$E$2:$E$1576,$D297,'PvA Data'!$C$2:$C$1576,"Nahunta")</f>
        <v>37</v>
      </c>
      <c r="I297" s="20">
        <f>SUMIFS('PvA Data'!$G$2:$G$1576,'PvA Data'!$A$2:$A$1576,$A297,'PvA Data'!$E$2:$E$1576,$D297,'PvA Data'!$C$2:$C$1576,"Martin")</f>
        <v>0</v>
      </c>
      <c r="J297" s="20">
        <f>SUMIFS('PvA Data'!$G$2:$G$1576,'PvA Data'!$A$2:$A$1576,$A297,'PvA Data'!$E$2:$E$1576,$D297,'PvA Data'!$C$2:$C$1576,"Custom")</f>
        <v>20</v>
      </c>
      <c r="K297" s="36">
        <f t="shared" si="25"/>
        <v>0.64912280701754388</v>
      </c>
      <c r="L297" s="36">
        <f t="shared" si="26"/>
        <v>0</v>
      </c>
      <c r="M297" s="36">
        <f t="shared" si="27"/>
        <v>0.35087719298245612</v>
      </c>
    </row>
    <row r="298" spans="1:13" ht="15" customHeight="1" x14ac:dyDescent="0.75">
      <c r="A298" s="18" t="s">
        <v>76</v>
      </c>
      <c r="B298" s="19">
        <v>46104</v>
      </c>
      <c r="C298" s="17">
        <v>666518</v>
      </c>
      <c r="D298" s="18" t="s">
        <v>27</v>
      </c>
      <c r="E298" s="20">
        <f>SUMIFS('PvA Data'!$F$2:$F$1576,'PvA Data'!$A$2:$A$1576,$A298,'PvA Data'!$E$2:$E$1576,$D298)</f>
        <v>0</v>
      </c>
      <c r="F298" s="20">
        <f>SUMIFS('PvA Data'!$G$2:$G$1576,'PvA Data'!$A$2:$A$1576,$A298,'PvA Data'!$E$2:$E$1576,$D298)</f>
        <v>0</v>
      </c>
      <c r="G298" s="36" t="str">
        <f t="shared" si="24"/>
        <v/>
      </c>
      <c r="H298" s="20">
        <f>SUMIFS('PvA Data'!$G$2:$G$1576,'PvA Data'!$A$2:$A$1576,$A298,'PvA Data'!$E$2:$E$1576,$D298,'PvA Data'!$C$2:$C$1576,"Nahunta")</f>
        <v>0</v>
      </c>
      <c r="I298" s="20">
        <f>SUMIFS('PvA Data'!$G$2:$G$1576,'PvA Data'!$A$2:$A$1576,$A298,'PvA Data'!$E$2:$E$1576,$D298,'PvA Data'!$C$2:$C$1576,"Martin")</f>
        <v>0</v>
      </c>
      <c r="J298" s="20">
        <f>SUMIFS('PvA Data'!$G$2:$G$1576,'PvA Data'!$A$2:$A$1576,$A298,'PvA Data'!$E$2:$E$1576,$D298,'PvA Data'!$C$2:$C$1576,"Custom")</f>
        <v>0</v>
      </c>
      <c r="K298" s="36" t="str">
        <f t="shared" si="25"/>
        <v/>
      </c>
      <c r="L298" s="36" t="str">
        <f t="shared" si="26"/>
        <v/>
      </c>
      <c r="M298" s="36" t="str">
        <f t="shared" si="27"/>
        <v/>
      </c>
    </row>
    <row r="299" spans="1:13" ht="15" customHeight="1" x14ac:dyDescent="0.75">
      <c r="A299" s="18" t="s">
        <v>76</v>
      </c>
      <c r="B299" s="19">
        <v>46104</v>
      </c>
      <c r="C299" s="17">
        <v>666519</v>
      </c>
      <c r="D299" s="18" t="s">
        <v>29</v>
      </c>
      <c r="E299" s="20">
        <f>SUMIFS('PvA Data'!$F$2:$F$1576,'PvA Data'!$A$2:$A$1576,$A299,'PvA Data'!$E$2:$E$1576,$D299)</f>
        <v>33</v>
      </c>
      <c r="F299" s="20">
        <f>SUMIFS('PvA Data'!$G$2:$G$1576,'PvA Data'!$A$2:$A$1576,$A299,'PvA Data'!$E$2:$E$1576,$D299)</f>
        <v>66</v>
      </c>
      <c r="G299" s="36">
        <f t="shared" si="24"/>
        <v>2</v>
      </c>
      <c r="H299" s="20">
        <f>SUMIFS('PvA Data'!$G$2:$G$1576,'PvA Data'!$A$2:$A$1576,$A299,'PvA Data'!$E$2:$E$1576,$D299,'PvA Data'!$C$2:$C$1576,"Nahunta")</f>
        <v>33</v>
      </c>
      <c r="I299" s="20">
        <f>SUMIFS('PvA Data'!$G$2:$G$1576,'PvA Data'!$A$2:$A$1576,$A299,'PvA Data'!$E$2:$E$1576,$D299,'PvA Data'!$C$2:$C$1576,"Martin")</f>
        <v>0</v>
      </c>
      <c r="J299" s="20">
        <f>SUMIFS('PvA Data'!$G$2:$G$1576,'PvA Data'!$A$2:$A$1576,$A299,'PvA Data'!$E$2:$E$1576,$D299,'PvA Data'!$C$2:$C$1576,"Custom")</f>
        <v>33</v>
      </c>
      <c r="K299" s="36">
        <f t="shared" si="25"/>
        <v>0.5</v>
      </c>
      <c r="L299" s="36">
        <f t="shared" si="26"/>
        <v>0</v>
      </c>
      <c r="M299" s="36">
        <f t="shared" si="27"/>
        <v>0.5</v>
      </c>
    </row>
    <row r="300" spans="1:13" ht="15" customHeight="1" x14ac:dyDescent="0.75">
      <c r="A300" s="18" t="s">
        <v>76</v>
      </c>
      <c r="B300" s="19">
        <v>46104</v>
      </c>
      <c r="C300" s="17">
        <v>666521</v>
      </c>
      <c r="D300" s="18" t="s">
        <v>31</v>
      </c>
      <c r="E300" s="20">
        <f>SUMIFS('PvA Data'!$F$2:$F$1576,'PvA Data'!$A$2:$A$1576,$A300,'PvA Data'!$E$2:$E$1576,$D300)</f>
        <v>26</v>
      </c>
      <c r="F300" s="20">
        <f>SUMIFS('PvA Data'!$G$2:$G$1576,'PvA Data'!$A$2:$A$1576,$A300,'PvA Data'!$E$2:$E$1576,$D300)</f>
        <v>24</v>
      </c>
      <c r="G300" s="36">
        <f t="shared" si="24"/>
        <v>0.92307692307692313</v>
      </c>
      <c r="H300" s="20">
        <f>SUMIFS('PvA Data'!$G$2:$G$1576,'PvA Data'!$A$2:$A$1576,$A300,'PvA Data'!$E$2:$E$1576,$D300,'PvA Data'!$C$2:$C$1576,"Nahunta")</f>
        <v>24</v>
      </c>
      <c r="I300" s="20">
        <f>SUMIFS('PvA Data'!$G$2:$G$1576,'PvA Data'!$A$2:$A$1576,$A300,'PvA Data'!$E$2:$E$1576,$D300,'PvA Data'!$C$2:$C$1576,"Martin")</f>
        <v>0</v>
      </c>
      <c r="J300" s="20">
        <f>SUMIFS('PvA Data'!$G$2:$G$1576,'PvA Data'!$A$2:$A$1576,$A300,'PvA Data'!$E$2:$E$1576,$D300,'PvA Data'!$C$2:$C$1576,"Custom")</f>
        <v>0</v>
      </c>
      <c r="K300" s="36">
        <f t="shared" si="25"/>
        <v>1</v>
      </c>
      <c r="L300" s="36">
        <f t="shared" si="26"/>
        <v>0</v>
      </c>
      <c r="M300" s="36">
        <f t="shared" si="27"/>
        <v>0</v>
      </c>
    </row>
    <row r="301" spans="1:13" ht="15" customHeight="1" x14ac:dyDescent="0.75">
      <c r="A301" s="18" t="s">
        <v>76</v>
      </c>
      <c r="B301" s="19">
        <v>46104</v>
      </c>
      <c r="C301" s="17">
        <v>666522</v>
      </c>
      <c r="D301" s="18" t="s">
        <v>33</v>
      </c>
      <c r="E301" s="20">
        <f>SUMIFS('PvA Data'!$F$2:$F$1576,'PvA Data'!$A$2:$A$1576,$A301,'PvA Data'!$E$2:$E$1576,$D301)</f>
        <v>200</v>
      </c>
      <c r="F301" s="20">
        <f>SUMIFS('PvA Data'!$G$2:$G$1576,'PvA Data'!$A$2:$A$1576,$A301,'PvA Data'!$E$2:$E$1576,$D301)</f>
        <v>350</v>
      </c>
      <c r="G301" s="36">
        <f t="shared" si="24"/>
        <v>1.75</v>
      </c>
      <c r="H301" s="20">
        <f>SUMIFS('PvA Data'!$G$2:$G$1576,'PvA Data'!$A$2:$A$1576,$A301,'PvA Data'!$E$2:$E$1576,$D301,'PvA Data'!$C$2:$C$1576,"Nahunta")</f>
        <v>85</v>
      </c>
      <c r="I301" s="20">
        <f>SUMIFS('PvA Data'!$G$2:$G$1576,'PvA Data'!$A$2:$A$1576,$A301,'PvA Data'!$E$2:$E$1576,$D301,'PvA Data'!$C$2:$C$1576,"Martin")</f>
        <v>185</v>
      </c>
      <c r="J301" s="20">
        <f>SUMIFS('PvA Data'!$G$2:$G$1576,'PvA Data'!$A$2:$A$1576,$A301,'PvA Data'!$E$2:$E$1576,$D301,'PvA Data'!$C$2:$C$1576,"Custom")</f>
        <v>80</v>
      </c>
      <c r="K301" s="36">
        <f t="shared" si="25"/>
        <v>0.24285714285714285</v>
      </c>
      <c r="L301" s="36">
        <f t="shared" si="26"/>
        <v>0.52857142857142858</v>
      </c>
      <c r="M301" s="36">
        <f t="shared" si="27"/>
        <v>0.22857142857142856</v>
      </c>
    </row>
    <row r="302" spans="1:13" ht="15" customHeight="1" x14ac:dyDescent="0.75">
      <c r="A302" s="18" t="s">
        <v>76</v>
      </c>
      <c r="B302" s="19">
        <v>46104</v>
      </c>
      <c r="C302" s="17">
        <v>666523</v>
      </c>
      <c r="D302" s="18" t="s">
        <v>35</v>
      </c>
      <c r="E302" s="20">
        <f>SUMIFS('PvA Data'!$F$2:$F$1576,'PvA Data'!$A$2:$A$1576,$A302,'PvA Data'!$E$2:$E$1576,$D302)</f>
        <v>25</v>
      </c>
      <c r="F302" s="20">
        <f>SUMIFS('PvA Data'!$G$2:$G$1576,'PvA Data'!$A$2:$A$1576,$A302,'PvA Data'!$E$2:$E$1576,$D302)</f>
        <v>50</v>
      </c>
      <c r="G302" s="36">
        <f t="shared" si="24"/>
        <v>2</v>
      </c>
      <c r="H302" s="20">
        <f>SUMIFS('PvA Data'!$G$2:$G$1576,'PvA Data'!$A$2:$A$1576,$A302,'PvA Data'!$E$2:$E$1576,$D302,'PvA Data'!$C$2:$C$1576,"Nahunta")</f>
        <v>0</v>
      </c>
      <c r="I302" s="20">
        <f>SUMIFS('PvA Data'!$G$2:$G$1576,'PvA Data'!$A$2:$A$1576,$A302,'PvA Data'!$E$2:$E$1576,$D302,'PvA Data'!$C$2:$C$1576,"Martin")</f>
        <v>40</v>
      </c>
      <c r="J302" s="20">
        <f>SUMIFS('PvA Data'!$G$2:$G$1576,'PvA Data'!$A$2:$A$1576,$A302,'PvA Data'!$E$2:$E$1576,$D302,'PvA Data'!$C$2:$C$1576,"Custom")</f>
        <v>10</v>
      </c>
      <c r="K302" s="36">
        <f t="shared" si="25"/>
        <v>0</v>
      </c>
      <c r="L302" s="36">
        <f t="shared" si="26"/>
        <v>0.8</v>
      </c>
      <c r="M302" s="36">
        <f t="shared" si="27"/>
        <v>0.2</v>
      </c>
    </row>
    <row r="303" spans="1:13" ht="15" customHeight="1" x14ac:dyDescent="0.75">
      <c r="A303" s="18" t="s">
        <v>76</v>
      </c>
      <c r="B303" s="19">
        <v>46104</v>
      </c>
      <c r="C303" s="17">
        <v>666530</v>
      </c>
      <c r="D303" s="18" t="s">
        <v>37</v>
      </c>
      <c r="E303" s="20">
        <f>SUMIFS('PvA Data'!$F$2:$F$1576,'PvA Data'!$A$2:$A$1576,$A303,'PvA Data'!$E$2:$E$1576,$D303)</f>
        <v>10</v>
      </c>
      <c r="F303" s="20">
        <f>SUMIFS('PvA Data'!$G$2:$G$1576,'PvA Data'!$A$2:$A$1576,$A303,'PvA Data'!$E$2:$E$1576,$D303)</f>
        <v>20</v>
      </c>
      <c r="G303" s="36">
        <f t="shared" si="24"/>
        <v>2</v>
      </c>
      <c r="H303" s="20">
        <f>SUMIFS('PvA Data'!$G$2:$G$1576,'PvA Data'!$A$2:$A$1576,$A303,'PvA Data'!$E$2:$E$1576,$D303,'PvA Data'!$C$2:$C$1576,"Nahunta")</f>
        <v>5</v>
      </c>
      <c r="I303" s="20">
        <f>SUMIFS('PvA Data'!$G$2:$G$1576,'PvA Data'!$A$2:$A$1576,$A303,'PvA Data'!$E$2:$E$1576,$D303,'PvA Data'!$C$2:$C$1576,"Martin")</f>
        <v>0</v>
      </c>
      <c r="J303" s="20">
        <f>SUMIFS('PvA Data'!$G$2:$G$1576,'PvA Data'!$A$2:$A$1576,$A303,'PvA Data'!$E$2:$E$1576,$D303,'PvA Data'!$C$2:$C$1576,"Custom")</f>
        <v>15</v>
      </c>
      <c r="K303" s="36">
        <f t="shared" si="25"/>
        <v>0.25</v>
      </c>
      <c r="L303" s="36">
        <f t="shared" si="26"/>
        <v>0</v>
      </c>
      <c r="M303" s="36">
        <f t="shared" si="27"/>
        <v>0.75</v>
      </c>
    </row>
    <row r="304" spans="1:13" ht="15" customHeight="1" x14ac:dyDescent="0.75">
      <c r="A304" s="18" t="s">
        <v>76</v>
      </c>
      <c r="B304" s="19">
        <v>46104</v>
      </c>
      <c r="C304" s="17">
        <v>666531</v>
      </c>
      <c r="D304" s="18" t="s">
        <v>39</v>
      </c>
      <c r="E304" s="20">
        <f>SUMIFS('PvA Data'!$F$2:$F$1576,'PvA Data'!$A$2:$A$1576,$A304,'PvA Data'!$E$2:$E$1576,$D304)</f>
        <v>13</v>
      </c>
      <c r="F304" s="20">
        <f>SUMIFS('PvA Data'!$G$2:$G$1576,'PvA Data'!$A$2:$A$1576,$A304,'PvA Data'!$E$2:$E$1576,$D304)</f>
        <v>21</v>
      </c>
      <c r="G304" s="36">
        <f t="shared" si="24"/>
        <v>1.6153846153846154</v>
      </c>
      <c r="H304" s="20">
        <f>SUMIFS('PvA Data'!$G$2:$G$1576,'PvA Data'!$A$2:$A$1576,$A304,'PvA Data'!$E$2:$E$1576,$D304,'PvA Data'!$C$2:$C$1576,"Nahunta")</f>
        <v>18</v>
      </c>
      <c r="I304" s="20">
        <f>SUMIFS('PvA Data'!$G$2:$G$1576,'PvA Data'!$A$2:$A$1576,$A304,'PvA Data'!$E$2:$E$1576,$D304,'PvA Data'!$C$2:$C$1576,"Martin")</f>
        <v>0</v>
      </c>
      <c r="J304" s="20">
        <f>SUMIFS('PvA Data'!$G$2:$G$1576,'PvA Data'!$A$2:$A$1576,$A304,'PvA Data'!$E$2:$E$1576,$D304,'PvA Data'!$C$2:$C$1576,"Custom")</f>
        <v>3</v>
      </c>
      <c r="K304" s="36">
        <f t="shared" si="25"/>
        <v>0.8571428571428571</v>
      </c>
      <c r="L304" s="36">
        <f t="shared" si="26"/>
        <v>0</v>
      </c>
      <c r="M304" s="36">
        <f t="shared" si="27"/>
        <v>0.14285714285714285</v>
      </c>
    </row>
    <row r="305" spans="1:13" ht="15" customHeight="1" x14ac:dyDescent="0.75">
      <c r="A305" s="18" t="s">
        <v>76</v>
      </c>
      <c r="B305" s="19">
        <v>46104</v>
      </c>
      <c r="C305" s="17">
        <v>666540</v>
      </c>
      <c r="D305" s="18" t="s">
        <v>40</v>
      </c>
      <c r="E305" s="20">
        <f>SUMIFS('PvA Data'!$F$2:$F$1576,'PvA Data'!$A$2:$A$1576,$A305,'PvA Data'!$E$2:$E$1576,$D305)</f>
        <v>60</v>
      </c>
      <c r="F305" s="20">
        <f>SUMIFS('PvA Data'!$G$2:$G$1576,'PvA Data'!$A$2:$A$1576,$A305,'PvA Data'!$E$2:$E$1576,$D305)</f>
        <v>0</v>
      </c>
      <c r="G305" s="36">
        <f t="shared" si="24"/>
        <v>0</v>
      </c>
      <c r="H305" s="20">
        <f>SUMIFS('PvA Data'!$G$2:$G$1576,'PvA Data'!$A$2:$A$1576,$A305,'PvA Data'!$E$2:$E$1576,$D305,'PvA Data'!$C$2:$C$1576,"Nahunta")</f>
        <v>0</v>
      </c>
      <c r="I305" s="20">
        <f>SUMIFS('PvA Data'!$G$2:$G$1576,'PvA Data'!$A$2:$A$1576,$A305,'PvA Data'!$E$2:$E$1576,$D305,'PvA Data'!$C$2:$C$1576,"Martin")</f>
        <v>0</v>
      </c>
      <c r="J305" s="20">
        <f>SUMIFS('PvA Data'!$G$2:$G$1576,'PvA Data'!$A$2:$A$1576,$A305,'PvA Data'!$E$2:$E$1576,$D305,'PvA Data'!$C$2:$C$1576,"Custom")</f>
        <v>0</v>
      </c>
      <c r="K305" s="36" t="str">
        <f t="shared" si="25"/>
        <v/>
      </c>
      <c r="L305" s="36" t="str">
        <f t="shared" si="26"/>
        <v/>
      </c>
      <c r="M305" s="36" t="str">
        <f t="shared" si="27"/>
        <v/>
      </c>
    </row>
    <row r="306" spans="1:13" ht="15" customHeight="1" x14ac:dyDescent="0.75">
      <c r="A306" s="18" t="s">
        <v>76</v>
      </c>
      <c r="B306" s="19">
        <v>46104</v>
      </c>
      <c r="C306" s="17">
        <v>666541</v>
      </c>
      <c r="D306" s="18" t="s">
        <v>41</v>
      </c>
      <c r="E306" s="20">
        <f>SUMIFS('PvA Data'!$F$2:$F$1576,'PvA Data'!$A$2:$A$1576,$A306,'PvA Data'!$E$2:$E$1576,$D306)</f>
        <v>300</v>
      </c>
      <c r="F306" s="20">
        <f>SUMIFS('PvA Data'!$G$2:$G$1576,'PvA Data'!$A$2:$A$1576,$A306,'PvA Data'!$E$2:$E$1576,$D306)</f>
        <v>149</v>
      </c>
      <c r="G306" s="36">
        <f t="shared" si="24"/>
        <v>0.49666666666666665</v>
      </c>
      <c r="H306" s="20">
        <f>SUMIFS('PvA Data'!$G$2:$G$1576,'PvA Data'!$A$2:$A$1576,$A306,'PvA Data'!$E$2:$E$1576,$D306,'PvA Data'!$C$2:$C$1576,"Nahunta")</f>
        <v>0</v>
      </c>
      <c r="I306" s="20">
        <f>SUMIFS('PvA Data'!$G$2:$G$1576,'PvA Data'!$A$2:$A$1576,$A306,'PvA Data'!$E$2:$E$1576,$D306,'PvA Data'!$C$2:$C$1576,"Martin")</f>
        <v>149</v>
      </c>
      <c r="J306" s="20">
        <f>SUMIFS('PvA Data'!$G$2:$G$1576,'PvA Data'!$A$2:$A$1576,$A306,'PvA Data'!$E$2:$E$1576,$D306,'PvA Data'!$C$2:$C$1576,"Custom")</f>
        <v>0</v>
      </c>
      <c r="K306" s="36">
        <f t="shared" si="25"/>
        <v>0</v>
      </c>
      <c r="L306" s="36">
        <f t="shared" si="26"/>
        <v>1</v>
      </c>
      <c r="M306" s="36">
        <f t="shared" si="27"/>
        <v>0</v>
      </c>
    </row>
    <row r="307" spans="1:13" ht="15" customHeight="1" x14ac:dyDescent="0.75">
      <c r="A307" s="18" t="s">
        <v>76</v>
      </c>
      <c r="B307" s="19">
        <v>46104</v>
      </c>
      <c r="C307" s="17">
        <v>666536</v>
      </c>
      <c r="D307" s="18" t="s">
        <v>43</v>
      </c>
      <c r="E307" s="20">
        <f>SUMIFS('PvA Data'!$F$2:$F$1576,'PvA Data'!$A$2:$A$1576,$A307,'PvA Data'!$E$2:$E$1576,$D307)</f>
        <v>15</v>
      </c>
      <c r="F307" s="20">
        <f>SUMIFS('PvA Data'!$G$2:$G$1576,'PvA Data'!$A$2:$A$1576,$A307,'PvA Data'!$E$2:$E$1576,$D307)</f>
        <v>12</v>
      </c>
      <c r="G307" s="36">
        <f t="shared" si="24"/>
        <v>0.8</v>
      </c>
      <c r="H307" s="20">
        <f>SUMIFS('PvA Data'!$G$2:$G$1576,'PvA Data'!$A$2:$A$1576,$A307,'PvA Data'!$E$2:$E$1576,$D307,'PvA Data'!$C$2:$C$1576,"Nahunta")</f>
        <v>12</v>
      </c>
      <c r="I307" s="20">
        <f>SUMIFS('PvA Data'!$G$2:$G$1576,'PvA Data'!$A$2:$A$1576,$A307,'PvA Data'!$E$2:$E$1576,$D307,'PvA Data'!$C$2:$C$1576,"Martin")</f>
        <v>0</v>
      </c>
      <c r="J307" s="20">
        <f>SUMIFS('PvA Data'!$G$2:$G$1576,'PvA Data'!$A$2:$A$1576,$A307,'PvA Data'!$E$2:$E$1576,$D307,'PvA Data'!$C$2:$C$1576,"Custom")</f>
        <v>0</v>
      </c>
      <c r="K307" s="36">
        <f t="shared" si="25"/>
        <v>1</v>
      </c>
      <c r="L307" s="36">
        <f t="shared" si="26"/>
        <v>0</v>
      </c>
      <c r="M307" s="36">
        <f t="shared" si="27"/>
        <v>0</v>
      </c>
    </row>
    <row r="308" spans="1:13" ht="15" customHeight="1" x14ac:dyDescent="0.75">
      <c r="A308" s="18" t="s">
        <v>77</v>
      </c>
      <c r="B308" s="19">
        <v>46111</v>
      </c>
      <c r="C308" s="17">
        <v>666501</v>
      </c>
      <c r="D308" s="18" t="s">
        <v>5</v>
      </c>
      <c r="E308" s="20">
        <f>SUMIFS('PvA Data'!$F$2:$F$1576,'PvA Data'!$A$2:$A$1576,$A308,'PvA Data'!$E$2:$E$1576,$D308)</f>
        <v>376.5</v>
      </c>
      <c r="F308" s="20">
        <f>SUMIFS('PvA Data'!$G$2:$G$1576,'PvA Data'!$A$2:$A$1576,$A308,'PvA Data'!$E$2:$E$1576,$D308)</f>
        <v>366</v>
      </c>
      <c r="G308" s="36">
        <f t="shared" si="24"/>
        <v>0.97211155378486058</v>
      </c>
      <c r="H308" s="20">
        <f>SUMIFS('PvA Data'!$G$2:$G$1576,'PvA Data'!$A$2:$A$1576,$A308,'PvA Data'!$E$2:$E$1576,$D308,'PvA Data'!$C$2:$C$1576,"Nahunta")</f>
        <v>39</v>
      </c>
      <c r="I308" s="20">
        <f>SUMIFS('PvA Data'!$G$2:$G$1576,'PvA Data'!$A$2:$A$1576,$A308,'PvA Data'!$E$2:$E$1576,$D308,'PvA Data'!$C$2:$C$1576,"Martin")</f>
        <v>315</v>
      </c>
      <c r="J308" s="20">
        <f>SUMIFS('PvA Data'!$G$2:$G$1576,'PvA Data'!$A$2:$A$1576,$A308,'PvA Data'!$E$2:$E$1576,$D308,'PvA Data'!$C$2:$C$1576,"Custom")</f>
        <v>12</v>
      </c>
      <c r="K308" s="36">
        <f t="shared" si="25"/>
        <v>0.10655737704918032</v>
      </c>
      <c r="L308" s="36">
        <f t="shared" si="26"/>
        <v>0.86065573770491799</v>
      </c>
      <c r="M308" s="36">
        <f t="shared" si="27"/>
        <v>3.2786885245901641E-2</v>
      </c>
    </row>
    <row r="309" spans="1:13" ht="15" customHeight="1" x14ac:dyDescent="0.75">
      <c r="A309" s="18" t="s">
        <v>77</v>
      </c>
      <c r="B309" s="19">
        <v>46111</v>
      </c>
      <c r="C309" s="17">
        <v>666502</v>
      </c>
      <c r="D309" s="18" t="s">
        <v>7</v>
      </c>
      <c r="E309" s="20">
        <f>SUMIFS('PvA Data'!$F$2:$F$1576,'PvA Data'!$A$2:$A$1576,$A309,'PvA Data'!$E$2:$E$1576,$D309)</f>
        <v>200</v>
      </c>
      <c r="F309" s="20">
        <f>SUMIFS('PvA Data'!$G$2:$G$1576,'PvA Data'!$A$2:$A$1576,$A309,'PvA Data'!$E$2:$E$1576,$D309)</f>
        <v>276</v>
      </c>
      <c r="G309" s="36">
        <f t="shared" si="24"/>
        <v>1.38</v>
      </c>
      <c r="H309" s="20">
        <f>SUMIFS('PvA Data'!$G$2:$G$1576,'PvA Data'!$A$2:$A$1576,$A309,'PvA Data'!$E$2:$E$1576,$D309,'PvA Data'!$C$2:$C$1576,"Nahunta")</f>
        <v>0</v>
      </c>
      <c r="I309" s="20">
        <f>SUMIFS('PvA Data'!$G$2:$G$1576,'PvA Data'!$A$2:$A$1576,$A309,'PvA Data'!$E$2:$E$1576,$D309,'PvA Data'!$C$2:$C$1576,"Martin")</f>
        <v>226</v>
      </c>
      <c r="J309" s="20">
        <f>SUMIFS('PvA Data'!$G$2:$G$1576,'PvA Data'!$A$2:$A$1576,$A309,'PvA Data'!$E$2:$E$1576,$D309,'PvA Data'!$C$2:$C$1576,"Custom")</f>
        <v>50</v>
      </c>
      <c r="K309" s="36">
        <f t="shared" si="25"/>
        <v>0</v>
      </c>
      <c r="L309" s="36">
        <f t="shared" si="26"/>
        <v>0.8188405797101449</v>
      </c>
      <c r="M309" s="36">
        <f t="shared" si="27"/>
        <v>0.18115942028985507</v>
      </c>
    </row>
    <row r="310" spans="1:13" ht="15" customHeight="1" x14ac:dyDescent="0.75">
      <c r="A310" s="18" t="s">
        <v>77</v>
      </c>
      <c r="B310" s="19">
        <v>46111</v>
      </c>
      <c r="C310" s="17">
        <v>666505</v>
      </c>
      <c r="D310" s="18" t="s">
        <v>9</v>
      </c>
      <c r="E310" s="20">
        <f>SUMIFS('PvA Data'!$F$2:$F$1576,'PvA Data'!$A$2:$A$1576,$A310,'PvA Data'!$E$2:$E$1576,$D310)</f>
        <v>32</v>
      </c>
      <c r="F310" s="20">
        <f>SUMIFS('PvA Data'!$G$2:$G$1576,'PvA Data'!$A$2:$A$1576,$A310,'PvA Data'!$E$2:$E$1576,$D310)</f>
        <v>0</v>
      </c>
      <c r="G310" s="36">
        <f t="shared" si="24"/>
        <v>0</v>
      </c>
      <c r="H310" s="20">
        <f>SUMIFS('PvA Data'!$G$2:$G$1576,'PvA Data'!$A$2:$A$1576,$A310,'PvA Data'!$E$2:$E$1576,$D310,'PvA Data'!$C$2:$C$1576,"Nahunta")</f>
        <v>0</v>
      </c>
      <c r="I310" s="20">
        <f>SUMIFS('PvA Data'!$G$2:$G$1576,'PvA Data'!$A$2:$A$1576,$A310,'PvA Data'!$E$2:$E$1576,$D310,'PvA Data'!$C$2:$C$1576,"Martin")</f>
        <v>0</v>
      </c>
      <c r="J310" s="20">
        <f>SUMIFS('PvA Data'!$G$2:$G$1576,'PvA Data'!$A$2:$A$1576,$A310,'PvA Data'!$E$2:$E$1576,$D310,'PvA Data'!$C$2:$C$1576,"Custom")</f>
        <v>0</v>
      </c>
      <c r="K310" s="36" t="str">
        <f t="shared" si="25"/>
        <v/>
      </c>
      <c r="L310" s="36" t="str">
        <f t="shared" si="26"/>
        <v/>
      </c>
      <c r="M310" s="36" t="str">
        <f t="shared" si="27"/>
        <v/>
      </c>
    </row>
    <row r="311" spans="1:13" ht="15" customHeight="1" x14ac:dyDescent="0.75">
      <c r="A311" s="18" t="s">
        <v>77</v>
      </c>
      <c r="B311" s="19">
        <v>46111</v>
      </c>
      <c r="C311" s="17">
        <v>666506</v>
      </c>
      <c r="D311" s="18" t="s">
        <v>11</v>
      </c>
      <c r="E311" s="20">
        <f>SUMIFS('PvA Data'!$F$2:$F$1576,'PvA Data'!$A$2:$A$1576,$A311,'PvA Data'!$E$2:$E$1576,$D311)</f>
        <v>200</v>
      </c>
      <c r="F311" s="20">
        <f>SUMIFS('PvA Data'!$G$2:$G$1576,'PvA Data'!$A$2:$A$1576,$A311,'PvA Data'!$E$2:$E$1576,$D311)</f>
        <v>5</v>
      </c>
      <c r="G311" s="36">
        <f t="shared" si="24"/>
        <v>2.5000000000000001E-2</v>
      </c>
      <c r="H311" s="20">
        <f>SUMIFS('PvA Data'!$G$2:$G$1576,'PvA Data'!$A$2:$A$1576,$A311,'PvA Data'!$E$2:$E$1576,$D311,'PvA Data'!$C$2:$C$1576,"Nahunta")</f>
        <v>0</v>
      </c>
      <c r="I311" s="20">
        <f>SUMIFS('PvA Data'!$G$2:$G$1576,'PvA Data'!$A$2:$A$1576,$A311,'PvA Data'!$E$2:$E$1576,$D311,'PvA Data'!$C$2:$C$1576,"Martin")</f>
        <v>5</v>
      </c>
      <c r="J311" s="20">
        <f>SUMIFS('PvA Data'!$G$2:$G$1576,'PvA Data'!$A$2:$A$1576,$A311,'PvA Data'!$E$2:$E$1576,$D311,'PvA Data'!$C$2:$C$1576,"Custom")</f>
        <v>0</v>
      </c>
      <c r="K311" s="36">
        <f t="shared" si="25"/>
        <v>0</v>
      </c>
      <c r="L311" s="36">
        <f t="shared" si="26"/>
        <v>1</v>
      </c>
      <c r="M311" s="36">
        <f t="shared" si="27"/>
        <v>0</v>
      </c>
    </row>
    <row r="312" spans="1:13" ht="15" customHeight="1" x14ac:dyDescent="0.75">
      <c r="A312" s="18" t="s">
        <v>77</v>
      </c>
      <c r="B312" s="19">
        <v>46111</v>
      </c>
      <c r="C312" s="17">
        <v>666507</v>
      </c>
      <c r="D312" s="18" t="s">
        <v>13</v>
      </c>
      <c r="E312" s="20">
        <f>SUMIFS('PvA Data'!$F$2:$F$1576,'PvA Data'!$A$2:$A$1576,$A312,'PvA Data'!$E$2:$E$1576,$D312)</f>
        <v>21</v>
      </c>
      <c r="F312" s="20">
        <f>SUMIFS('PvA Data'!$G$2:$G$1576,'PvA Data'!$A$2:$A$1576,$A312,'PvA Data'!$E$2:$E$1576,$D312)</f>
        <v>26</v>
      </c>
      <c r="G312" s="36">
        <f t="shared" si="24"/>
        <v>1.2380952380952381</v>
      </c>
      <c r="H312" s="20">
        <f>SUMIFS('PvA Data'!$G$2:$G$1576,'PvA Data'!$A$2:$A$1576,$A312,'PvA Data'!$E$2:$E$1576,$D312,'PvA Data'!$C$2:$C$1576,"Nahunta")</f>
        <v>26</v>
      </c>
      <c r="I312" s="20">
        <f>SUMIFS('PvA Data'!$G$2:$G$1576,'PvA Data'!$A$2:$A$1576,$A312,'PvA Data'!$E$2:$E$1576,$D312,'PvA Data'!$C$2:$C$1576,"Martin")</f>
        <v>0</v>
      </c>
      <c r="J312" s="20">
        <f>SUMIFS('PvA Data'!$G$2:$G$1576,'PvA Data'!$A$2:$A$1576,$A312,'PvA Data'!$E$2:$E$1576,$D312,'PvA Data'!$C$2:$C$1576,"Custom")</f>
        <v>0</v>
      </c>
      <c r="K312" s="36">
        <f t="shared" si="25"/>
        <v>1</v>
      </c>
      <c r="L312" s="36">
        <f t="shared" si="26"/>
        <v>0</v>
      </c>
      <c r="M312" s="36">
        <f t="shared" si="27"/>
        <v>0</v>
      </c>
    </row>
    <row r="313" spans="1:13" ht="15" customHeight="1" x14ac:dyDescent="0.75">
      <c r="A313" s="18" t="s">
        <v>77</v>
      </c>
      <c r="B313" s="19">
        <v>46111</v>
      </c>
      <c r="C313" s="17">
        <v>666509</v>
      </c>
      <c r="D313" s="18" t="s">
        <v>15</v>
      </c>
      <c r="E313" s="20">
        <f>SUMIFS('PvA Data'!$F$2:$F$1576,'PvA Data'!$A$2:$A$1576,$A313,'PvA Data'!$E$2:$E$1576,$D313)</f>
        <v>50</v>
      </c>
      <c r="F313" s="20">
        <f>SUMIFS('PvA Data'!$G$2:$G$1576,'PvA Data'!$A$2:$A$1576,$A313,'PvA Data'!$E$2:$E$1576,$D313)</f>
        <v>34</v>
      </c>
      <c r="G313" s="36">
        <f t="shared" si="24"/>
        <v>0.68</v>
      </c>
      <c r="H313" s="20">
        <f>SUMIFS('PvA Data'!$G$2:$G$1576,'PvA Data'!$A$2:$A$1576,$A313,'PvA Data'!$E$2:$E$1576,$D313,'PvA Data'!$C$2:$C$1576,"Nahunta")</f>
        <v>34</v>
      </c>
      <c r="I313" s="20">
        <f>SUMIFS('PvA Data'!$G$2:$G$1576,'PvA Data'!$A$2:$A$1576,$A313,'PvA Data'!$E$2:$E$1576,$D313,'PvA Data'!$C$2:$C$1576,"Martin")</f>
        <v>0</v>
      </c>
      <c r="J313" s="20">
        <f>SUMIFS('PvA Data'!$G$2:$G$1576,'PvA Data'!$A$2:$A$1576,$A313,'PvA Data'!$E$2:$E$1576,$D313,'PvA Data'!$C$2:$C$1576,"Custom")</f>
        <v>0</v>
      </c>
      <c r="K313" s="36">
        <f t="shared" si="25"/>
        <v>1</v>
      </c>
      <c r="L313" s="36">
        <f t="shared" si="26"/>
        <v>0</v>
      </c>
      <c r="M313" s="36">
        <f t="shared" si="27"/>
        <v>0</v>
      </c>
    </row>
    <row r="314" spans="1:13" ht="15" customHeight="1" x14ac:dyDescent="0.75">
      <c r="A314" s="18" t="s">
        <v>77</v>
      </c>
      <c r="B314" s="19">
        <v>46111</v>
      </c>
      <c r="C314" s="17">
        <v>666510</v>
      </c>
      <c r="D314" s="18" t="s">
        <v>17</v>
      </c>
      <c r="E314" s="20">
        <f>SUMIFS('PvA Data'!$F$2:$F$1576,'PvA Data'!$A$2:$A$1576,$A314,'PvA Data'!$E$2:$E$1576,$D314)</f>
        <v>0</v>
      </c>
      <c r="F314" s="20">
        <f>SUMIFS('PvA Data'!$G$2:$G$1576,'PvA Data'!$A$2:$A$1576,$A314,'PvA Data'!$E$2:$E$1576,$D314)</f>
        <v>0</v>
      </c>
      <c r="G314" s="36" t="str">
        <f t="shared" si="24"/>
        <v/>
      </c>
      <c r="H314" s="20">
        <f>SUMIFS('PvA Data'!$G$2:$G$1576,'PvA Data'!$A$2:$A$1576,$A314,'PvA Data'!$E$2:$E$1576,$D314,'PvA Data'!$C$2:$C$1576,"Nahunta")</f>
        <v>0</v>
      </c>
      <c r="I314" s="20">
        <f>SUMIFS('PvA Data'!$G$2:$G$1576,'PvA Data'!$A$2:$A$1576,$A314,'PvA Data'!$E$2:$E$1576,$D314,'PvA Data'!$C$2:$C$1576,"Martin")</f>
        <v>0</v>
      </c>
      <c r="J314" s="20">
        <f>SUMIFS('PvA Data'!$G$2:$G$1576,'PvA Data'!$A$2:$A$1576,$A314,'PvA Data'!$E$2:$E$1576,$D314,'PvA Data'!$C$2:$C$1576,"Custom")</f>
        <v>0</v>
      </c>
      <c r="K314" s="36" t="str">
        <f t="shared" si="25"/>
        <v/>
      </c>
      <c r="L314" s="36" t="str">
        <f t="shared" si="26"/>
        <v/>
      </c>
      <c r="M314" s="36" t="str">
        <f t="shared" si="27"/>
        <v/>
      </c>
    </row>
    <row r="315" spans="1:13" ht="15" customHeight="1" x14ac:dyDescent="0.75">
      <c r="A315" s="18" t="s">
        <v>77</v>
      </c>
      <c r="B315" s="19">
        <v>46111</v>
      </c>
      <c r="C315" s="17">
        <v>666511</v>
      </c>
      <c r="D315" s="18" t="s">
        <v>19</v>
      </c>
      <c r="E315" s="20">
        <f>SUMIFS('PvA Data'!$F$2:$F$1576,'PvA Data'!$A$2:$A$1576,$A315,'PvA Data'!$E$2:$E$1576,$D315)</f>
        <v>4</v>
      </c>
      <c r="F315" s="20">
        <f>SUMIFS('PvA Data'!$G$2:$G$1576,'PvA Data'!$A$2:$A$1576,$A315,'PvA Data'!$E$2:$E$1576,$D315)</f>
        <v>8</v>
      </c>
      <c r="G315" s="36">
        <f t="shared" si="24"/>
        <v>2</v>
      </c>
      <c r="H315" s="20">
        <f>SUMIFS('PvA Data'!$G$2:$G$1576,'PvA Data'!$A$2:$A$1576,$A315,'PvA Data'!$E$2:$E$1576,$D315,'PvA Data'!$C$2:$C$1576,"Nahunta")</f>
        <v>8</v>
      </c>
      <c r="I315" s="20">
        <f>SUMIFS('PvA Data'!$G$2:$G$1576,'PvA Data'!$A$2:$A$1576,$A315,'PvA Data'!$E$2:$E$1576,$D315,'PvA Data'!$C$2:$C$1576,"Martin")</f>
        <v>0</v>
      </c>
      <c r="J315" s="20">
        <f>SUMIFS('PvA Data'!$G$2:$G$1576,'PvA Data'!$A$2:$A$1576,$A315,'PvA Data'!$E$2:$E$1576,$D315,'PvA Data'!$C$2:$C$1576,"Custom")</f>
        <v>0</v>
      </c>
      <c r="K315" s="36">
        <f t="shared" si="25"/>
        <v>1</v>
      </c>
      <c r="L315" s="36">
        <f t="shared" si="26"/>
        <v>0</v>
      </c>
      <c r="M315" s="36">
        <f t="shared" si="27"/>
        <v>0</v>
      </c>
    </row>
    <row r="316" spans="1:13" ht="15" customHeight="1" x14ac:dyDescent="0.75">
      <c r="A316" s="18" t="s">
        <v>77</v>
      </c>
      <c r="B316" s="19">
        <v>46111</v>
      </c>
      <c r="C316" s="17">
        <v>666513</v>
      </c>
      <c r="D316" s="18" t="s">
        <v>21</v>
      </c>
      <c r="E316" s="20">
        <f>SUMIFS('PvA Data'!$F$2:$F$1576,'PvA Data'!$A$2:$A$1576,$A316,'PvA Data'!$E$2:$E$1576,$D316)</f>
        <v>0</v>
      </c>
      <c r="F316" s="20">
        <f>SUMIFS('PvA Data'!$G$2:$G$1576,'PvA Data'!$A$2:$A$1576,$A316,'PvA Data'!$E$2:$E$1576,$D316)</f>
        <v>0</v>
      </c>
      <c r="G316" s="36" t="str">
        <f t="shared" si="24"/>
        <v/>
      </c>
      <c r="H316" s="20">
        <f>SUMIFS('PvA Data'!$G$2:$G$1576,'PvA Data'!$A$2:$A$1576,$A316,'PvA Data'!$E$2:$E$1576,$D316,'PvA Data'!$C$2:$C$1576,"Nahunta")</f>
        <v>0</v>
      </c>
      <c r="I316" s="20">
        <f>SUMIFS('PvA Data'!$G$2:$G$1576,'PvA Data'!$A$2:$A$1576,$A316,'PvA Data'!$E$2:$E$1576,$D316,'PvA Data'!$C$2:$C$1576,"Martin")</f>
        <v>0</v>
      </c>
      <c r="J316" s="20">
        <f>SUMIFS('PvA Data'!$G$2:$G$1576,'PvA Data'!$A$2:$A$1576,$A316,'PvA Data'!$E$2:$E$1576,$D316,'PvA Data'!$C$2:$C$1576,"Custom")</f>
        <v>0</v>
      </c>
      <c r="K316" s="36" t="str">
        <f t="shared" si="25"/>
        <v/>
      </c>
      <c r="L316" s="36" t="str">
        <f t="shared" si="26"/>
        <v/>
      </c>
      <c r="M316" s="36" t="str">
        <f t="shared" si="27"/>
        <v/>
      </c>
    </row>
    <row r="317" spans="1:13" ht="15" customHeight="1" x14ac:dyDescent="0.75">
      <c r="A317" s="18" t="s">
        <v>77</v>
      </c>
      <c r="B317" s="19">
        <v>46111</v>
      </c>
      <c r="C317" s="17">
        <v>666516</v>
      </c>
      <c r="D317" s="18" t="s">
        <v>23</v>
      </c>
      <c r="E317" s="20">
        <f>SUMIFS('PvA Data'!$F$2:$F$1576,'PvA Data'!$A$2:$A$1576,$A317,'PvA Data'!$E$2:$E$1576,$D317)</f>
        <v>34</v>
      </c>
      <c r="F317" s="20">
        <f>SUMIFS('PvA Data'!$G$2:$G$1576,'PvA Data'!$A$2:$A$1576,$A317,'PvA Data'!$E$2:$E$1576,$D317)</f>
        <v>0</v>
      </c>
      <c r="G317" s="36">
        <f t="shared" si="24"/>
        <v>0</v>
      </c>
      <c r="H317" s="20">
        <f>SUMIFS('PvA Data'!$G$2:$G$1576,'PvA Data'!$A$2:$A$1576,$A317,'PvA Data'!$E$2:$E$1576,$D317,'PvA Data'!$C$2:$C$1576,"Nahunta")</f>
        <v>0</v>
      </c>
      <c r="I317" s="20">
        <f>SUMIFS('PvA Data'!$G$2:$G$1576,'PvA Data'!$A$2:$A$1576,$A317,'PvA Data'!$E$2:$E$1576,$D317,'PvA Data'!$C$2:$C$1576,"Martin")</f>
        <v>0</v>
      </c>
      <c r="J317" s="20">
        <f>SUMIFS('PvA Data'!$G$2:$G$1576,'PvA Data'!$A$2:$A$1576,$A317,'PvA Data'!$E$2:$E$1576,$D317,'PvA Data'!$C$2:$C$1576,"Custom")</f>
        <v>0</v>
      </c>
      <c r="K317" s="36" t="str">
        <f t="shared" si="25"/>
        <v/>
      </c>
      <c r="L317" s="36" t="str">
        <f t="shared" si="26"/>
        <v/>
      </c>
      <c r="M317" s="36" t="str">
        <f t="shared" si="27"/>
        <v/>
      </c>
    </row>
    <row r="318" spans="1:13" ht="15" customHeight="1" x14ac:dyDescent="0.75">
      <c r="A318" s="18" t="s">
        <v>77</v>
      </c>
      <c r="B318" s="19">
        <v>46111</v>
      </c>
      <c r="C318" s="17">
        <v>666517</v>
      </c>
      <c r="D318" s="18" t="s">
        <v>25</v>
      </c>
      <c r="E318" s="20">
        <f>SUMIFS('PvA Data'!$F$2:$F$1576,'PvA Data'!$A$2:$A$1576,$A318,'PvA Data'!$E$2:$E$1576,$D318)</f>
        <v>33</v>
      </c>
      <c r="F318" s="20">
        <f>SUMIFS('PvA Data'!$G$2:$G$1576,'PvA Data'!$A$2:$A$1576,$A318,'PvA Data'!$E$2:$E$1576,$D318)</f>
        <v>9</v>
      </c>
      <c r="G318" s="36">
        <f t="shared" si="24"/>
        <v>0.27272727272727271</v>
      </c>
      <c r="H318" s="20">
        <f>SUMIFS('PvA Data'!$G$2:$G$1576,'PvA Data'!$A$2:$A$1576,$A318,'PvA Data'!$E$2:$E$1576,$D318,'PvA Data'!$C$2:$C$1576,"Nahunta")</f>
        <v>9</v>
      </c>
      <c r="I318" s="20">
        <f>SUMIFS('PvA Data'!$G$2:$G$1576,'PvA Data'!$A$2:$A$1576,$A318,'PvA Data'!$E$2:$E$1576,$D318,'PvA Data'!$C$2:$C$1576,"Martin")</f>
        <v>0</v>
      </c>
      <c r="J318" s="20">
        <f>SUMIFS('PvA Data'!$G$2:$G$1576,'PvA Data'!$A$2:$A$1576,$A318,'PvA Data'!$E$2:$E$1576,$D318,'PvA Data'!$C$2:$C$1576,"Custom")</f>
        <v>0</v>
      </c>
      <c r="K318" s="36">
        <f t="shared" si="25"/>
        <v>1</v>
      </c>
      <c r="L318" s="36">
        <f t="shared" si="26"/>
        <v>0</v>
      </c>
      <c r="M318" s="36">
        <f t="shared" si="27"/>
        <v>0</v>
      </c>
    </row>
    <row r="319" spans="1:13" ht="15" customHeight="1" x14ac:dyDescent="0.75">
      <c r="A319" s="18" t="s">
        <v>77</v>
      </c>
      <c r="B319" s="19">
        <v>46111</v>
      </c>
      <c r="C319" s="17">
        <v>666518</v>
      </c>
      <c r="D319" s="18" t="s">
        <v>27</v>
      </c>
      <c r="E319" s="20">
        <f>SUMIFS('PvA Data'!$F$2:$F$1576,'PvA Data'!$A$2:$A$1576,$A319,'PvA Data'!$E$2:$E$1576,$D319)</f>
        <v>0</v>
      </c>
      <c r="F319" s="20">
        <f>SUMIFS('PvA Data'!$G$2:$G$1576,'PvA Data'!$A$2:$A$1576,$A319,'PvA Data'!$E$2:$E$1576,$D319)</f>
        <v>0</v>
      </c>
      <c r="G319" s="36" t="str">
        <f t="shared" si="24"/>
        <v/>
      </c>
      <c r="H319" s="20">
        <f>SUMIFS('PvA Data'!$G$2:$G$1576,'PvA Data'!$A$2:$A$1576,$A319,'PvA Data'!$E$2:$E$1576,$D319,'PvA Data'!$C$2:$C$1576,"Nahunta")</f>
        <v>0</v>
      </c>
      <c r="I319" s="20">
        <f>SUMIFS('PvA Data'!$G$2:$G$1576,'PvA Data'!$A$2:$A$1576,$A319,'PvA Data'!$E$2:$E$1576,$D319,'PvA Data'!$C$2:$C$1576,"Martin")</f>
        <v>0</v>
      </c>
      <c r="J319" s="20">
        <f>SUMIFS('PvA Data'!$G$2:$G$1576,'PvA Data'!$A$2:$A$1576,$A319,'PvA Data'!$E$2:$E$1576,$D319,'PvA Data'!$C$2:$C$1576,"Custom")</f>
        <v>0</v>
      </c>
      <c r="K319" s="36" t="str">
        <f t="shared" si="25"/>
        <v/>
      </c>
      <c r="L319" s="36" t="str">
        <f t="shared" si="26"/>
        <v/>
      </c>
      <c r="M319" s="36" t="str">
        <f t="shared" si="27"/>
        <v/>
      </c>
    </row>
    <row r="320" spans="1:13" ht="15" customHeight="1" x14ac:dyDescent="0.75">
      <c r="A320" s="18" t="s">
        <v>77</v>
      </c>
      <c r="B320" s="19">
        <v>46111</v>
      </c>
      <c r="C320" s="17">
        <v>666519</v>
      </c>
      <c r="D320" s="18" t="s">
        <v>29</v>
      </c>
      <c r="E320" s="20">
        <f>SUMIFS('PvA Data'!$F$2:$F$1576,'PvA Data'!$A$2:$A$1576,$A320,'PvA Data'!$E$2:$E$1576,$D320)</f>
        <v>33</v>
      </c>
      <c r="F320" s="20">
        <f>SUMIFS('PvA Data'!$G$2:$G$1576,'PvA Data'!$A$2:$A$1576,$A320,'PvA Data'!$E$2:$E$1576,$D320)</f>
        <v>0</v>
      </c>
      <c r="G320" s="36">
        <f t="shared" si="24"/>
        <v>0</v>
      </c>
      <c r="H320" s="20">
        <f>SUMIFS('PvA Data'!$G$2:$G$1576,'PvA Data'!$A$2:$A$1576,$A320,'PvA Data'!$E$2:$E$1576,$D320,'PvA Data'!$C$2:$C$1576,"Nahunta")</f>
        <v>0</v>
      </c>
      <c r="I320" s="20">
        <f>SUMIFS('PvA Data'!$G$2:$G$1576,'PvA Data'!$A$2:$A$1576,$A320,'PvA Data'!$E$2:$E$1576,$D320,'PvA Data'!$C$2:$C$1576,"Martin")</f>
        <v>0</v>
      </c>
      <c r="J320" s="20">
        <f>SUMIFS('PvA Data'!$G$2:$G$1576,'PvA Data'!$A$2:$A$1576,$A320,'PvA Data'!$E$2:$E$1576,$D320,'PvA Data'!$C$2:$C$1576,"Custom")</f>
        <v>0</v>
      </c>
      <c r="K320" s="36" t="str">
        <f t="shared" si="25"/>
        <v/>
      </c>
      <c r="L320" s="36" t="str">
        <f t="shared" si="26"/>
        <v/>
      </c>
      <c r="M320" s="36" t="str">
        <f t="shared" si="27"/>
        <v/>
      </c>
    </row>
    <row r="321" spans="1:13" ht="15" customHeight="1" x14ac:dyDescent="0.75">
      <c r="A321" s="18" t="s">
        <v>77</v>
      </c>
      <c r="B321" s="19">
        <v>46111</v>
      </c>
      <c r="C321" s="17">
        <v>666521</v>
      </c>
      <c r="D321" s="18" t="s">
        <v>31</v>
      </c>
      <c r="E321" s="20">
        <f>SUMIFS('PvA Data'!$F$2:$F$1576,'PvA Data'!$A$2:$A$1576,$A321,'PvA Data'!$E$2:$E$1576,$D321)</f>
        <v>26</v>
      </c>
      <c r="F321" s="20">
        <f>SUMIFS('PvA Data'!$G$2:$G$1576,'PvA Data'!$A$2:$A$1576,$A321,'PvA Data'!$E$2:$E$1576,$D321)</f>
        <v>28</v>
      </c>
      <c r="G321" s="36">
        <f t="shared" si="24"/>
        <v>1.0769230769230769</v>
      </c>
      <c r="H321" s="20">
        <f>SUMIFS('PvA Data'!$G$2:$G$1576,'PvA Data'!$A$2:$A$1576,$A321,'PvA Data'!$E$2:$E$1576,$D321,'PvA Data'!$C$2:$C$1576,"Nahunta")</f>
        <v>28</v>
      </c>
      <c r="I321" s="20">
        <f>SUMIFS('PvA Data'!$G$2:$G$1576,'PvA Data'!$A$2:$A$1576,$A321,'PvA Data'!$E$2:$E$1576,$D321,'PvA Data'!$C$2:$C$1576,"Martin")</f>
        <v>0</v>
      </c>
      <c r="J321" s="20">
        <f>SUMIFS('PvA Data'!$G$2:$G$1576,'PvA Data'!$A$2:$A$1576,$A321,'PvA Data'!$E$2:$E$1576,$D321,'PvA Data'!$C$2:$C$1576,"Custom")</f>
        <v>0</v>
      </c>
      <c r="K321" s="36">
        <f t="shared" si="25"/>
        <v>1</v>
      </c>
      <c r="L321" s="36">
        <f t="shared" si="26"/>
        <v>0</v>
      </c>
      <c r="M321" s="36">
        <f t="shared" si="27"/>
        <v>0</v>
      </c>
    </row>
    <row r="322" spans="1:13" ht="15" customHeight="1" x14ac:dyDescent="0.75">
      <c r="A322" s="18" t="s">
        <v>77</v>
      </c>
      <c r="B322" s="19">
        <v>46111</v>
      </c>
      <c r="C322" s="17">
        <v>666522</v>
      </c>
      <c r="D322" s="18" t="s">
        <v>33</v>
      </c>
      <c r="E322" s="20">
        <f>SUMIFS('PvA Data'!$F$2:$F$1576,'PvA Data'!$A$2:$A$1576,$A322,'PvA Data'!$E$2:$E$1576,$D322)</f>
        <v>200</v>
      </c>
      <c r="F322" s="20">
        <f>SUMIFS('PvA Data'!$G$2:$G$1576,'PvA Data'!$A$2:$A$1576,$A322,'PvA Data'!$E$2:$E$1576,$D322)</f>
        <v>50</v>
      </c>
      <c r="G322" s="36">
        <f t="shared" si="24"/>
        <v>0.25</v>
      </c>
      <c r="H322" s="20">
        <f>SUMIFS('PvA Data'!$G$2:$G$1576,'PvA Data'!$A$2:$A$1576,$A322,'PvA Data'!$E$2:$E$1576,$D322,'PvA Data'!$C$2:$C$1576,"Nahunta")</f>
        <v>45</v>
      </c>
      <c r="I322" s="20">
        <f>SUMIFS('PvA Data'!$G$2:$G$1576,'PvA Data'!$A$2:$A$1576,$A322,'PvA Data'!$E$2:$E$1576,$D322,'PvA Data'!$C$2:$C$1576,"Martin")</f>
        <v>5</v>
      </c>
      <c r="J322" s="20">
        <f>SUMIFS('PvA Data'!$G$2:$G$1576,'PvA Data'!$A$2:$A$1576,$A322,'PvA Data'!$E$2:$E$1576,$D322,'PvA Data'!$C$2:$C$1576,"Custom")</f>
        <v>0</v>
      </c>
      <c r="K322" s="36">
        <f t="shared" si="25"/>
        <v>0.9</v>
      </c>
      <c r="L322" s="36">
        <f t="shared" si="26"/>
        <v>0.1</v>
      </c>
      <c r="M322" s="36">
        <f t="shared" si="27"/>
        <v>0</v>
      </c>
    </row>
    <row r="323" spans="1:13" ht="15" customHeight="1" x14ac:dyDescent="0.75">
      <c r="A323" s="18" t="s">
        <v>77</v>
      </c>
      <c r="B323" s="19">
        <v>46111</v>
      </c>
      <c r="C323" s="17">
        <v>666523</v>
      </c>
      <c r="D323" s="18" t="s">
        <v>35</v>
      </c>
      <c r="E323" s="20">
        <f>SUMIFS('PvA Data'!$F$2:$F$1576,'PvA Data'!$A$2:$A$1576,$A323,'PvA Data'!$E$2:$E$1576,$D323)</f>
        <v>25</v>
      </c>
      <c r="F323" s="20">
        <f>SUMIFS('PvA Data'!$G$2:$G$1576,'PvA Data'!$A$2:$A$1576,$A323,'PvA Data'!$E$2:$E$1576,$D323)</f>
        <v>0</v>
      </c>
      <c r="G323" s="36">
        <f t="shared" si="24"/>
        <v>0</v>
      </c>
      <c r="H323" s="20">
        <f>SUMIFS('PvA Data'!$G$2:$G$1576,'PvA Data'!$A$2:$A$1576,$A323,'PvA Data'!$E$2:$E$1576,$D323,'PvA Data'!$C$2:$C$1576,"Nahunta")</f>
        <v>0</v>
      </c>
      <c r="I323" s="20">
        <f>SUMIFS('PvA Data'!$G$2:$G$1576,'PvA Data'!$A$2:$A$1576,$A323,'PvA Data'!$E$2:$E$1576,$D323,'PvA Data'!$C$2:$C$1576,"Martin")</f>
        <v>0</v>
      </c>
      <c r="J323" s="20">
        <f>SUMIFS('PvA Data'!$G$2:$G$1576,'PvA Data'!$A$2:$A$1576,$A323,'PvA Data'!$E$2:$E$1576,$D323,'PvA Data'!$C$2:$C$1576,"Custom")</f>
        <v>0</v>
      </c>
      <c r="K323" s="36" t="str">
        <f t="shared" si="25"/>
        <v/>
      </c>
      <c r="L323" s="36" t="str">
        <f t="shared" si="26"/>
        <v/>
      </c>
      <c r="M323" s="36" t="str">
        <f t="shared" si="27"/>
        <v/>
      </c>
    </row>
    <row r="324" spans="1:13" ht="15" customHeight="1" x14ac:dyDescent="0.75">
      <c r="A324" s="18" t="s">
        <v>77</v>
      </c>
      <c r="B324" s="19">
        <v>46111</v>
      </c>
      <c r="C324" s="17">
        <v>666530</v>
      </c>
      <c r="D324" s="18" t="s">
        <v>37</v>
      </c>
      <c r="E324" s="20">
        <f>SUMIFS('PvA Data'!$F$2:$F$1576,'PvA Data'!$A$2:$A$1576,$A324,'PvA Data'!$E$2:$E$1576,$D324)</f>
        <v>10</v>
      </c>
      <c r="F324" s="20">
        <f>SUMIFS('PvA Data'!$G$2:$G$1576,'PvA Data'!$A$2:$A$1576,$A324,'PvA Data'!$E$2:$E$1576,$D324)</f>
        <v>0</v>
      </c>
      <c r="G324" s="36">
        <f t="shared" si="24"/>
        <v>0</v>
      </c>
      <c r="H324" s="20">
        <f>SUMIFS('PvA Data'!$G$2:$G$1576,'PvA Data'!$A$2:$A$1576,$A324,'PvA Data'!$E$2:$E$1576,$D324,'PvA Data'!$C$2:$C$1576,"Nahunta")</f>
        <v>0</v>
      </c>
      <c r="I324" s="20">
        <f>SUMIFS('PvA Data'!$G$2:$G$1576,'PvA Data'!$A$2:$A$1576,$A324,'PvA Data'!$E$2:$E$1576,$D324,'PvA Data'!$C$2:$C$1576,"Martin")</f>
        <v>0</v>
      </c>
      <c r="J324" s="20">
        <f>SUMIFS('PvA Data'!$G$2:$G$1576,'PvA Data'!$A$2:$A$1576,$A324,'PvA Data'!$E$2:$E$1576,$D324,'PvA Data'!$C$2:$C$1576,"Custom")</f>
        <v>0</v>
      </c>
      <c r="K324" s="36" t="str">
        <f t="shared" si="25"/>
        <v/>
      </c>
      <c r="L324" s="36" t="str">
        <f t="shared" si="26"/>
        <v/>
      </c>
      <c r="M324" s="36" t="str">
        <f t="shared" si="27"/>
        <v/>
      </c>
    </row>
    <row r="325" spans="1:13" ht="15" customHeight="1" x14ac:dyDescent="0.75">
      <c r="A325" s="18" t="s">
        <v>77</v>
      </c>
      <c r="B325" s="19">
        <v>46111</v>
      </c>
      <c r="C325" s="17">
        <v>666531</v>
      </c>
      <c r="D325" s="18" t="s">
        <v>39</v>
      </c>
      <c r="E325" s="20">
        <f>SUMIFS('PvA Data'!$F$2:$F$1576,'PvA Data'!$A$2:$A$1576,$A325,'PvA Data'!$E$2:$E$1576,$D325)</f>
        <v>13</v>
      </c>
      <c r="F325" s="20">
        <f>SUMIFS('PvA Data'!$G$2:$G$1576,'PvA Data'!$A$2:$A$1576,$A325,'PvA Data'!$E$2:$E$1576,$D325)</f>
        <v>5</v>
      </c>
      <c r="G325" s="36">
        <f t="shared" si="24"/>
        <v>0.38461538461538464</v>
      </c>
      <c r="H325" s="20">
        <f>SUMIFS('PvA Data'!$G$2:$G$1576,'PvA Data'!$A$2:$A$1576,$A325,'PvA Data'!$E$2:$E$1576,$D325,'PvA Data'!$C$2:$C$1576,"Nahunta")</f>
        <v>0</v>
      </c>
      <c r="I325" s="20">
        <f>SUMIFS('PvA Data'!$G$2:$G$1576,'PvA Data'!$A$2:$A$1576,$A325,'PvA Data'!$E$2:$E$1576,$D325,'PvA Data'!$C$2:$C$1576,"Martin")</f>
        <v>0</v>
      </c>
      <c r="J325" s="20">
        <f>SUMIFS('PvA Data'!$G$2:$G$1576,'PvA Data'!$A$2:$A$1576,$A325,'PvA Data'!$E$2:$E$1576,$D325,'PvA Data'!$C$2:$C$1576,"Custom")</f>
        <v>5</v>
      </c>
      <c r="K325" s="36">
        <f t="shared" si="25"/>
        <v>0</v>
      </c>
      <c r="L325" s="36">
        <f t="shared" si="26"/>
        <v>0</v>
      </c>
      <c r="M325" s="36">
        <f t="shared" si="27"/>
        <v>1</v>
      </c>
    </row>
    <row r="326" spans="1:13" ht="15" customHeight="1" x14ac:dyDescent="0.75">
      <c r="A326" s="18" t="s">
        <v>77</v>
      </c>
      <c r="B326" s="19">
        <v>46111</v>
      </c>
      <c r="C326" s="17">
        <v>666540</v>
      </c>
      <c r="D326" s="18" t="s">
        <v>40</v>
      </c>
      <c r="E326" s="20">
        <f>SUMIFS('PvA Data'!$F$2:$F$1576,'PvA Data'!$A$2:$A$1576,$A326,'PvA Data'!$E$2:$E$1576,$D326)</f>
        <v>60</v>
      </c>
      <c r="F326" s="20">
        <f>SUMIFS('PvA Data'!$G$2:$G$1576,'PvA Data'!$A$2:$A$1576,$A326,'PvA Data'!$E$2:$E$1576,$D326)</f>
        <v>0</v>
      </c>
      <c r="G326" s="36">
        <f t="shared" si="24"/>
        <v>0</v>
      </c>
      <c r="H326" s="20">
        <f>SUMIFS('PvA Data'!$G$2:$G$1576,'PvA Data'!$A$2:$A$1576,$A326,'PvA Data'!$E$2:$E$1576,$D326,'PvA Data'!$C$2:$C$1576,"Nahunta")</f>
        <v>0</v>
      </c>
      <c r="I326" s="20">
        <f>SUMIFS('PvA Data'!$G$2:$G$1576,'PvA Data'!$A$2:$A$1576,$A326,'PvA Data'!$E$2:$E$1576,$D326,'PvA Data'!$C$2:$C$1576,"Martin")</f>
        <v>0</v>
      </c>
      <c r="J326" s="20">
        <f>SUMIFS('PvA Data'!$G$2:$G$1576,'PvA Data'!$A$2:$A$1576,$A326,'PvA Data'!$E$2:$E$1576,$D326,'PvA Data'!$C$2:$C$1576,"Custom")</f>
        <v>0</v>
      </c>
      <c r="K326" s="36" t="str">
        <f t="shared" si="25"/>
        <v/>
      </c>
      <c r="L326" s="36" t="str">
        <f t="shared" si="26"/>
        <v/>
      </c>
      <c r="M326" s="36" t="str">
        <f t="shared" si="27"/>
        <v/>
      </c>
    </row>
    <row r="327" spans="1:13" ht="15" customHeight="1" x14ac:dyDescent="0.75">
      <c r="A327" s="18" t="s">
        <v>77</v>
      </c>
      <c r="B327" s="19">
        <v>46111</v>
      </c>
      <c r="C327" s="17">
        <v>666541</v>
      </c>
      <c r="D327" s="18" t="s">
        <v>41</v>
      </c>
      <c r="E327" s="20">
        <f>SUMIFS('PvA Data'!$F$2:$F$1576,'PvA Data'!$A$2:$A$1576,$A327,'PvA Data'!$E$2:$E$1576,$D327)</f>
        <v>300</v>
      </c>
      <c r="F327" s="20">
        <f>SUMIFS('PvA Data'!$G$2:$G$1576,'PvA Data'!$A$2:$A$1576,$A327,'PvA Data'!$E$2:$E$1576,$D327)</f>
        <v>159</v>
      </c>
      <c r="G327" s="36">
        <f t="shared" si="24"/>
        <v>0.53</v>
      </c>
      <c r="H327" s="20">
        <f>SUMIFS('PvA Data'!$G$2:$G$1576,'PvA Data'!$A$2:$A$1576,$A327,'PvA Data'!$E$2:$E$1576,$D327,'PvA Data'!$C$2:$C$1576,"Nahunta")</f>
        <v>0</v>
      </c>
      <c r="I327" s="20">
        <f>SUMIFS('PvA Data'!$G$2:$G$1576,'PvA Data'!$A$2:$A$1576,$A327,'PvA Data'!$E$2:$E$1576,$D327,'PvA Data'!$C$2:$C$1576,"Martin")</f>
        <v>159</v>
      </c>
      <c r="J327" s="20">
        <f>SUMIFS('PvA Data'!$G$2:$G$1576,'PvA Data'!$A$2:$A$1576,$A327,'PvA Data'!$E$2:$E$1576,$D327,'PvA Data'!$C$2:$C$1576,"Custom")</f>
        <v>0</v>
      </c>
      <c r="K327" s="36">
        <f t="shared" si="25"/>
        <v>0</v>
      </c>
      <c r="L327" s="36">
        <f t="shared" si="26"/>
        <v>1</v>
      </c>
      <c r="M327" s="36">
        <f t="shared" si="27"/>
        <v>0</v>
      </c>
    </row>
    <row r="328" spans="1:13" ht="15" customHeight="1" x14ac:dyDescent="0.75">
      <c r="A328" s="18" t="s">
        <v>77</v>
      </c>
      <c r="B328" s="19">
        <v>46111</v>
      </c>
      <c r="C328" s="17">
        <v>666536</v>
      </c>
      <c r="D328" s="18" t="s">
        <v>43</v>
      </c>
      <c r="E328" s="20">
        <f>SUMIFS('PvA Data'!$F$2:$F$1576,'PvA Data'!$A$2:$A$1576,$A328,'PvA Data'!$E$2:$E$1576,$D328)</f>
        <v>15</v>
      </c>
      <c r="F328" s="20">
        <f>SUMIFS('PvA Data'!$G$2:$G$1576,'PvA Data'!$A$2:$A$1576,$A328,'PvA Data'!$E$2:$E$1576,$D328)</f>
        <v>11</v>
      </c>
      <c r="G328" s="36">
        <f t="shared" si="24"/>
        <v>0.73333333333333328</v>
      </c>
      <c r="H328" s="20">
        <f>SUMIFS('PvA Data'!$G$2:$G$1576,'PvA Data'!$A$2:$A$1576,$A328,'PvA Data'!$E$2:$E$1576,$D328,'PvA Data'!$C$2:$C$1576,"Nahunta")</f>
        <v>11</v>
      </c>
      <c r="I328" s="20">
        <f>SUMIFS('PvA Data'!$G$2:$G$1576,'PvA Data'!$A$2:$A$1576,$A328,'PvA Data'!$E$2:$E$1576,$D328,'PvA Data'!$C$2:$C$1576,"Martin")</f>
        <v>0</v>
      </c>
      <c r="J328" s="20">
        <f>SUMIFS('PvA Data'!$G$2:$G$1576,'PvA Data'!$A$2:$A$1576,$A328,'PvA Data'!$E$2:$E$1576,$D328,'PvA Data'!$C$2:$C$1576,"Custom")</f>
        <v>0</v>
      </c>
      <c r="K328" s="36">
        <f t="shared" si="25"/>
        <v>1</v>
      </c>
      <c r="L328" s="36">
        <f t="shared" si="26"/>
        <v>0</v>
      </c>
      <c r="M328" s="36">
        <f t="shared" si="27"/>
        <v>0</v>
      </c>
    </row>
    <row r="329" spans="1:13" ht="15" customHeight="1" x14ac:dyDescent="0.75">
      <c r="A329" s="18" t="s">
        <v>78</v>
      </c>
      <c r="B329" s="19">
        <v>46118</v>
      </c>
      <c r="C329" s="17">
        <v>666501</v>
      </c>
      <c r="D329" s="18" t="s">
        <v>5</v>
      </c>
      <c r="E329" s="20">
        <f>SUMIFS('PvA Data'!$F$2:$F$1576,'PvA Data'!$A$2:$A$1576,$A329,'PvA Data'!$E$2:$E$1576,$D329)</f>
        <v>402</v>
      </c>
      <c r="F329" s="20">
        <f>SUMIFS('PvA Data'!$G$2:$G$1576,'PvA Data'!$A$2:$A$1576,$A329,'PvA Data'!$E$2:$E$1576,$D329)</f>
        <v>522</v>
      </c>
      <c r="G329" s="36">
        <f t="shared" si="24"/>
        <v>1.2985074626865671</v>
      </c>
      <c r="H329" s="20">
        <f>SUMIFS('PvA Data'!$G$2:$G$1576,'PvA Data'!$A$2:$A$1576,$A329,'PvA Data'!$E$2:$E$1576,$D329,'PvA Data'!$C$2:$C$1576,"Nahunta")</f>
        <v>18</v>
      </c>
      <c r="I329" s="20">
        <f>SUMIFS('PvA Data'!$G$2:$G$1576,'PvA Data'!$A$2:$A$1576,$A329,'PvA Data'!$E$2:$E$1576,$D329,'PvA Data'!$C$2:$C$1576,"Martin")</f>
        <v>438</v>
      </c>
      <c r="J329" s="20">
        <f>SUMIFS('PvA Data'!$G$2:$G$1576,'PvA Data'!$A$2:$A$1576,$A329,'PvA Data'!$E$2:$E$1576,$D329,'PvA Data'!$C$2:$C$1576,"Custom")</f>
        <v>66</v>
      </c>
      <c r="K329" s="36">
        <f t="shared" si="25"/>
        <v>3.4482758620689655E-2</v>
      </c>
      <c r="L329" s="36">
        <f t="shared" si="26"/>
        <v>0.83908045977011492</v>
      </c>
      <c r="M329" s="36">
        <f t="shared" si="27"/>
        <v>0.12643678160919541</v>
      </c>
    </row>
    <row r="330" spans="1:13" ht="15" customHeight="1" x14ac:dyDescent="0.75">
      <c r="A330" s="18" t="s">
        <v>78</v>
      </c>
      <c r="B330" s="19">
        <v>46118</v>
      </c>
      <c r="C330" s="17">
        <v>666502</v>
      </c>
      <c r="D330" s="18" t="s">
        <v>7</v>
      </c>
      <c r="E330" s="20">
        <f>SUMIFS('PvA Data'!$F$2:$F$1576,'PvA Data'!$A$2:$A$1576,$A330,'PvA Data'!$E$2:$E$1576,$D330)</f>
        <v>175.5</v>
      </c>
      <c r="F330" s="20">
        <f>SUMIFS('PvA Data'!$G$2:$G$1576,'PvA Data'!$A$2:$A$1576,$A330,'PvA Data'!$E$2:$E$1576,$D330)</f>
        <v>110</v>
      </c>
      <c r="G330" s="36">
        <f t="shared" si="24"/>
        <v>0.62678062678062674</v>
      </c>
      <c r="H330" s="20">
        <f>SUMIFS('PvA Data'!$G$2:$G$1576,'PvA Data'!$A$2:$A$1576,$A330,'PvA Data'!$E$2:$E$1576,$D330,'PvA Data'!$C$2:$C$1576,"Nahunta")</f>
        <v>0</v>
      </c>
      <c r="I330" s="20">
        <f>SUMIFS('PvA Data'!$G$2:$G$1576,'PvA Data'!$A$2:$A$1576,$A330,'PvA Data'!$E$2:$E$1576,$D330,'PvA Data'!$C$2:$C$1576,"Martin")</f>
        <v>99</v>
      </c>
      <c r="J330" s="20">
        <f>SUMIFS('PvA Data'!$G$2:$G$1576,'PvA Data'!$A$2:$A$1576,$A330,'PvA Data'!$E$2:$E$1576,$D330,'PvA Data'!$C$2:$C$1576,"Custom")</f>
        <v>11</v>
      </c>
      <c r="K330" s="36">
        <f t="shared" si="25"/>
        <v>0</v>
      </c>
      <c r="L330" s="36">
        <f t="shared" si="26"/>
        <v>0.9</v>
      </c>
      <c r="M330" s="36">
        <f t="shared" si="27"/>
        <v>0.1</v>
      </c>
    </row>
    <row r="331" spans="1:13" ht="15" customHeight="1" x14ac:dyDescent="0.75">
      <c r="A331" s="18" t="s">
        <v>78</v>
      </c>
      <c r="B331" s="19">
        <v>46118</v>
      </c>
      <c r="C331" s="17">
        <v>666505</v>
      </c>
      <c r="D331" s="18" t="s">
        <v>9</v>
      </c>
      <c r="E331" s="20">
        <f>SUMIFS('PvA Data'!$F$2:$F$1576,'PvA Data'!$A$2:$A$1576,$A331,'PvA Data'!$E$2:$E$1576,$D331)</f>
        <v>29</v>
      </c>
      <c r="F331" s="20">
        <f>SUMIFS('PvA Data'!$G$2:$G$1576,'PvA Data'!$A$2:$A$1576,$A331,'PvA Data'!$E$2:$E$1576,$D331)</f>
        <v>58</v>
      </c>
      <c r="G331" s="36">
        <f t="shared" si="24"/>
        <v>2</v>
      </c>
      <c r="H331" s="20">
        <f>SUMIFS('PvA Data'!$G$2:$G$1576,'PvA Data'!$A$2:$A$1576,$A331,'PvA Data'!$E$2:$E$1576,$D331,'PvA Data'!$C$2:$C$1576,"Nahunta")</f>
        <v>19</v>
      </c>
      <c r="I331" s="20">
        <f>SUMIFS('PvA Data'!$G$2:$G$1576,'PvA Data'!$A$2:$A$1576,$A331,'PvA Data'!$E$2:$E$1576,$D331,'PvA Data'!$C$2:$C$1576,"Martin")</f>
        <v>0</v>
      </c>
      <c r="J331" s="20">
        <f>SUMIFS('PvA Data'!$G$2:$G$1576,'PvA Data'!$A$2:$A$1576,$A331,'PvA Data'!$E$2:$E$1576,$D331,'PvA Data'!$C$2:$C$1576,"Custom")</f>
        <v>39</v>
      </c>
      <c r="K331" s="36">
        <f t="shared" si="25"/>
        <v>0.32758620689655171</v>
      </c>
      <c r="L331" s="36">
        <f t="shared" si="26"/>
        <v>0</v>
      </c>
      <c r="M331" s="36">
        <f t="shared" si="27"/>
        <v>0.67241379310344829</v>
      </c>
    </row>
    <row r="332" spans="1:13" ht="15" customHeight="1" x14ac:dyDescent="0.75">
      <c r="A332" s="18" t="s">
        <v>78</v>
      </c>
      <c r="B332" s="19">
        <v>46118</v>
      </c>
      <c r="C332" s="17">
        <v>666506</v>
      </c>
      <c r="D332" s="18" t="s">
        <v>11</v>
      </c>
      <c r="E332" s="20">
        <f>SUMIFS('PvA Data'!$F$2:$F$1576,'PvA Data'!$A$2:$A$1576,$A332,'PvA Data'!$E$2:$E$1576,$D332)</f>
        <v>138.5</v>
      </c>
      <c r="F332" s="20">
        <f>SUMIFS('PvA Data'!$G$2:$G$1576,'PvA Data'!$A$2:$A$1576,$A332,'PvA Data'!$E$2:$E$1576,$D332)</f>
        <v>25</v>
      </c>
      <c r="G332" s="36">
        <f t="shared" si="24"/>
        <v>0.18050541516245489</v>
      </c>
      <c r="H332" s="20">
        <f>SUMIFS('PvA Data'!$G$2:$G$1576,'PvA Data'!$A$2:$A$1576,$A332,'PvA Data'!$E$2:$E$1576,$D332,'PvA Data'!$C$2:$C$1576,"Nahunta")</f>
        <v>0</v>
      </c>
      <c r="I332" s="20">
        <f>SUMIFS('PvA Data'!$G$2:$G$1576,'PvA Data'!$A$2:$A$1576,$A332,'PvA Data'!$E$2:$E$1576,$D332,'PvA Data'!$C$2:$C$1576,"Martin")</f>
        <v>25</v>
      </c>
      <c r="J332" s="20">
        <f>SUMIFS('PvA Data'!$G$2:$G$1576,'PvA Data'!$A$2:$A$1576,$A332,'PvA Data'!$E$2:$E$1576,$D332,'PvA Data'!$C$2:$C$1576,"Custom")</f>
        <v>0</v>
      </c>
      <c r="K332" s="36">
        <f t="shared" si="25"/>
        <v>0</v>
      </c>
      <c r="L332" s="36">
        <f t="shared" si="26"/>
        <v>1</v>
      </c>
      <c r="M332" s="36">
        <f t="shared" si="27"/>
        <v>0</v>
      </c>
    </row>
    <row r="333" spans="1:13" ht="15" customHeight="1" x14ac:dyDescent="0.75">
      <c r="A333" s="18" t="s">
        <v>78</v>
      </c>
      <c r="B333" s="19">
        <v>46118</v>
      </c>
      <c r="C333" s="17">
        <v>666507</v>
      </c>
      <c r="D333" s="18" t="s">
        <v>13</v>
      </c>
      <c r="E333" s="20">
        <f>SUMIFS('PvA Data'!$F$2:$F$1576,'PvA Data'!$A$2:$A$1576,$A333,'PvA Data'!$E$2:$E$1576,$D333)</f>
        <v>8</v>
      </c>
      <c r="F333" s="20">
        <f>SUMIFS('PvA Data'!$G$2:$G$1576,'PvA Data'!$A$2:$A$1576,$A333,'PvA Data'!$E$2:$E$1576,$D333)</f>
        <v>0</v>
      </c>
      <c r="G333" s="36">
        <f t="shared" si="24"/>
        <v>0</v>
      </c>
      <c r="H333" s="20">
        <f>SUMIFS('PvA Data'!$G$2:$G$1576,'PvA Data'!$A$2:$A$1576,$A333,'PvA Data'!$E$2:$E$1576,$D333,'PvA Data'!$C$2:$C$1576,"Nahunta")</f>
        <v>0</v>
      </c>
      <c r="I333" s="20">
        <f>SUMIFS('PvA Data'!$G$2:$G$1576,'PvA Data'!$A$2:$A$1576,$A333,'PvA Data'!$E$2:$E$1576,$D333,'PvA Data'!$C$2:$C$1576,"Martin")</f>
        <v>0</v>
      </c>
      <c r="J333" s="20">
        <f>SUMIFS('PvA Data'!$G$2:$G$1576,'PvA Data'!$A$2:$A$1576,$A333,'PvA Data'!$E$2:$E$1576,$D333,'PvA Data'!$C$2:$C$1576,"Custom")</f>
        <v>0</v>
      </c>
      <c r="K333" s="36" t="str">
        <f t="shared" si="25"/>
        <v/>
      </c>
      <c r="L333" s="36" t="str">
        <f t="shared" si="26"/>
        <v/>
      </c>
      <c r="M333" s="36" t="str">
        <f t="shared" si="27"/>
        <v/>
      </c>
    </row>
    <row r="334" spans="1:13" ht="15" customHeight="1" x14ac:dyDescent="0.75">
      <c r="A334" s="18" t="s">
        <v>78</v>
      </c>
      <c r="B334" s="19">
        <v>46118</v>
      </c>
      <c r="C334" s="17">
        <v>666509</v>
      </c>
      <c r="D334" s="18" t="s">
        <v>15</v>
      </c>
      <c r="E334" s="20">
        <f>SUMIFS('PvA Data'!$F$2:$F$1576,'PvA Data'!$A$2:$A$1576,$A334,'PvA Data'!$E$2:$E$1576,$D334)</f>
        <v>34</v>
      </c>
      <c r="F334" s="20">
        <f>SUMIFS('PvA Data'!$G$2:$G$1576,'PvA Data'!$A$2:$A$1576,$A334,'PvA Data'!$E$2:$E$1576,$D334)</f>
        <v>35</v>
      </c>
      <c r="G334" s="36">
        <f t="shared" si="24"/>
        <v>1.0294117647058822</v>
      </c>
      <c r="H334" s="20">
        <f>SUMIFS('PvA Data'!$G$2:$G$1576,'PvA Data'!$A$2:$A$1576,$A334,'PvA Data'!$E$2:$E$1576,$D334,'PvA Data'!$C$2:$C$1576,"Nahunta")</f>
        <v>35</v>
      </c>
      <c r="I334" s="20">
        <f>SUMIFS('PvA Data'!$G$2:$G$1576,'PvA Data'!$A$2:$A$1576,$A334,'PvA Data'!$E$2:$E$1576,$D334,'PvA Data'!$C$2:$C$1576,"Martin")</f>
        <v>0</v>
      </c>
      <c r="J334" s="20">
        <f>SUMIFS('PvA Data'!$G$2:$G$1576,'PvA Data'!$A$2:$A$1576,$A334,'PvA Data'!$E$2:$E$1576,$D334,'PvA Data'!$C$2:$C$1576,"Custom")</f>
        <v>0</v>
      </c>
      <c r="K334" s="36">
        <f t="shared" si="25"/>
        <v>1</v>
      </c>
      <c r="L334" s="36">
        <f t="shared" si="26"/>
        <v>0</v>
      </c>
      <c r="M334" s="36">
        <f t="shared" si="27"/>
        <v>0</v>
      </c>
    </row>
    <row r="335" spans="1:13" ht="15" customHeight="1" x14ac:dyDescent="0.75">
      <c r="A335" s="18" t="s">
        <v>78</v>
      </c>
      <c r="B335" s="19">
        <v>46118</v>
      </c>
      <c r="C335" s="17">
        <v>666510</v>
      </c>
      <c r="D335" s="18" t="s">
        <v>17</v>
      </c>
      <c r="E335" s="20">
        <f>SUMIFS('PvA Data'!$F$2:$F$1576,'PvA Data'!$A$2:$A$1576,$A335,'PvA Data'!$E$2:$E$1576,$D335)</f>
        <v>0</v>
      </c>
      <c r="F335" s="20">
        <f>SUMIFS('PvA Data'!$G$2:$G$1576,'PvA Data'!$A$2:$A$1576,$A335,'PvA Data'!$E$2:$E$1576,$D335)</f>
        <v>0</v>
      </c>
      <c r="G335" s="36" t="str">
        <f t="shared" si="24"/>
        <v/>
      </c>
      <c r="H335" s="20">
        <f>SUMIFS('PvA Data'!$G$2:$G$1576,'PvA Data'!$A$2:$A$1576,$A335,'PvA Data'!$E$2:$E$1576,$D335,'PvA Data'!$C$2:$C$1576,"Nahunta")</f>
        <v>0</v>
      </c>
      <c r="I335" s="20">
        <f>SUMIFS('PvA Data'!$G$2:$G$1576,'PvA Data'!$A$2:$A$1576,$A335,'PvA Data'!$E$2:$E$1576,$D335,'PvA Data'!$C$2:$C$1576,"Martin")</f>
        <v>0</v>
      </c>
      <c r="J335" s="20">
        <f>SUMIFS('PvA Data'!$G$2:$G$1576,'PvA Data'!$A$2:$A$1576,$A335,'PvA Data'!$E$2:$E$1576,$D335,'PvA Data'!$C$2:$C$1576,"Custom")</f>
        <v>0</v>
      </c>
      <c r="K335" s="36" t="str">
        <f t="shared" si="25"/>
        <v/>
      </c>
      <c r="L335" s="36" t="str">
        <f t="shared" si="26"/>
        <v/>
      </c>
      <c r="M335" s="36" t="str">
        <f t="shared" si="27"/>
        <v/>
      </c>
    </row>
    <row r="336" spans="1:13" ht="15" customHeight="1" x14ac:dyDescent="0.75">
      <c r="A336" s="18" t="s">
        <v>78</v>
      </c>
      <c r="B336" s="19">
        <v>46118</v>
      </c>
      <c r="C336" s="17">
        <v>666511</v>
      </c>
      <c r="D336" s="18" t="s">
        <v>19</v>
      </c>
      <c r="E336" s="20">
        <f>SUMIFS('PvA Data'!$F$2:$F$1576,'PvA Data'!$A$2:$A$1576,$A336,'PvA Data'!$E$2:$E$1576,$D336)</f>
        <v>3</v>
      </c>
      <c r="F336" s="20">
        <f>SUMIFS('PvA Data'!$G$2:$G$1576,'PvA Data'!$A$2:$A$1576,$A336,'PvA Data'!$E$2:$E$1576,$D336)</f>
        <v>0</v>
      </c>
      <c r="G336" s="36">
        <f t="shared" si="24"/>
        <v>0</v>
      </c>
      <c r="H336" s="20">
        <f>SUMIFS('PvA Data'!$G$2:$G$1576,'PvA Data'!$A$2:$A$1576,$A336,'PvA Data'!$E$2:$E$1576,$D336,'PvA Data'!$C$2:$C$1576,"Nahunta")</f>
        <v>0</v>
      </c>
      <c r="I336" s="20">
        <f>SUMIFS('PvA Data'!$G$2:$G$1576,'PvA Data'!$A$2:$A$1576,$A336,'PvA Data'!$E$2:$E$1576,$D336,'PvA Data'!$C$2:$C$1576,"Martin")</f>
        <v>0</v>
      </c>
      <c r="J336" s="20">
        <f>SUMIFS('PvA Data'!$G$2:$G$1576,'PvA Data'!$A$2:$A$1576,$A336,'PvA Data'!$E$2:$E$1576,$D336,'PvA Data'!$C$2:$C$1576,"Custom")</f>
        <v>0</v>
      </c>
      <c r="K336" s="36" t="str">
        <f t="shared" si="25"/>
        <v/>
      </c>
      <c r="L336" s="36" t="str">
        <f t="shared" si="26"/>
        <v/>
      </c>
      <c r="M336" s="36" t="str">
        <f t="shared" si="27"/>
        <v/>
      </c>
    </row>
    <row r="337" spans="1:13" ht="15" customHeight="1" x14ac:dyDescent="0.75">
      <c r="A337" s="18" t="s">
        <v>78</v>
      </c>
      <c r="B337" s="19">
        <v>46118</v>
      </c>
      <c r="C337" s="17">
        <v>666513</v>
      </c>
      <c r="D337" s="18" t="s">
        <v>21</v>
      </c>
      <c r="E337" s="20">
        <f>SUMIFS('PvA Data'!$F$2:$F$1576,'PvA Data'!$A$2:$A$1576,$A337,'PvA Data'!$E$2:$E$1576,$D337)</f>
        <v>10</v>
      </c>
      <c r="F337" s="20">
        <f>SUMIFS('PvA Data'!$G$2:$G$1576,'PvA Data'!$A$2:$A$1576,$A337,'PvA Data'!$E$2:$E$1576,$D337)</f>
        <v>20</v>
      </c>
      <c r="G337" s="36">
        <f t="shared" si="24"/>
        <v>2</v>
      </c>
      <c r="H337" s="20">
        <f>SUMIFS('PvA Data'!$G$2:$G$1576,'PvA Data'!$A$2:$A$1576,$A337,'PvA Data'!$E$2:$E$1576,$D337,'PvA Data'!$C$2:$C$1576,"Nahunta")</f>
        <v>6</v>
      </c>
      <c r="I337" s="20">
        <f>SUMIFS('PvA Data'!$G$2:$G$1576,'PvA Data'!$A$2:$A$1576,$A337,'PvA Data'!$E$2:$E$1576,$D337,'PvA Data'!$C$2:$C$1576,"Martin")</f>
        <v>0</v>
      </c>
      <c r="J337" s="20">
        <f>SUMIFS('PvA Data'!$G$2:$G$1576,'PvA Data'!$A$2:$A$1576,$A337,'PvA Data'!$E$2:$E$1576,$D337,'PvA Data'!$C$2:$C$1576,"Custom")</f>
        <v>14</v>
      </c>
      <c r="K337" s="36">
        <f t="shared" si="25"/>
        <v>0.3</v>
      </c>
      <c r="L337" s="36">
        <f t="shared" si="26"/>
        <v>0</v>
      </c>
      <c r="M337" s="36">
        <f t="shared" si="27"/>
        <v>0.7</v>
      </c>
    </row>
    <row r="338" spans="1:13" ht="15" customHeight="1" x14ac:dyDescent="0.75">
      <c r="A338" s="18" t="s">
        <v>78</v>
      </c>
      <c r="B338" s="19">
        <v>46118</v>
      </c>
      <c r="C338" s="17">
        <v>666516</v>
      </c>
      <c r="D338" s="18" t="s">
        <v>23</v>
      </c>
      <c r="E338" s="20">
        <f>SUMIFS('PvA Data'!$F$2:$F$1576,'PvA Data'!$A$2:$A$1576,$A338,'PvA Data'!$E$2:$E$1576,$D338)</f>
        <v>31</v>
      </c>
      <c r="F338" s="20">
        <f>SUMIFS('PvA Data'!$G$2:$G$1576,'PvA Data'!$A$2:$A$1576,$A338,'PvA Data'!$E$2:$E$1576,$D338)</f>
        <v>62</v>
      </c>
      <c r="G338" s="36">
        <f t="shared" si="24"/>
        <v>2</v>
      </c>
      <c r="H338" s="20">
        <f>SUMIFS('PvA Data'!$G$2:$G$1576,'PvA Data'!$A$2:$A$1576,$A338,'PvA Data'!$E$2:$E$1576,$D338,'PvA Data'!$C$2:$C$1576,"Nahunta")</f>
        <v>31</v>
      </c>
      <c r="I338" s="20">
        <f>SUMIFS('PvA Data'!$G$2:$G$1576,'PvA Data'!$A$2:$A$1576,$A338,'PvA Data'!$E$2:$E$1576,$D338,'PvA Data'!$C$2:$C$1576,"Martin")</f>
        <v>0</v>
      </c>
      <c r="J338" s="20">
        <f>SUMIFS('PvA Data'!$G$2:$G$1576,'PvA Data'!$A$2:$A$1576,$A338,'PvA Data'!$E$2:$E$1576,$D338,'PvA Data'!$C$2:$C$1576,"Custom")</f>
        <v>31</v>
      </c>
      <c r="K338" s="36">
        <f t="shared" si="25"/>
        <v>0.5</v>
      </c>
      <c r="L338" s="36">
        <f t="shared" si="26"/>
        <v>0</v>
      </c>
      <c r="M338" s="36">
        <f t="shared" si="27"/>
        <v>0.5</v>
      </c>
    </row>
    <row r="339" spans="1:13" ht="15" customHeight="1" x14ac:dyDescent="0.75">
      <c r="A339" s="18" t="s">
        <v>78</v>
      </c>
      <c r="B339" s="19">
        <v>46118</v>
      </c>
      <c r="C339" s="17">
        <v>666517</v>
      </c>
      <c r="D339" s="18" t="s">
        <v>25</v>
      </c>
      <c r="E339" s="20">
        <f>SUMIFS('PvA Data'!$F$2:$F$1576,'PvA Data'!$A$2:$A$1576,$A339,'PvA Data'!$E$2:$E$1576,$D339)</f>
        <v>28</v>
      </c>
      <c r="F339" s="20">
        <f>SUMIFS('PvA Data'!$G$2:$G$1576,'PvA Data'!$A$2:$A$1576,$A339,'PvA Data'!$E$2:$E$1576,$D339)</f>
        <v>56</v>
      </c>
      <c r="G339" s="36">
        <f t="shared" si="24"/>
        <v>2</v>
      </c>
      <c r="H339" s="20">
        <f>SUMIFS('PvA Data'!$G$2:$G$1576,'PvA Data'!$A$2:$A$1576,$A339,'PvA Data'!$E$2:$E$1576,$D339,'PvA Data'!$C$2:$C$1576,"Nahunta")</f>
        <v>39</v>
      </c>
      <c r="I339" s="20">
        <f>SUMIFS('PvA Data'!$G$2:$G$1576,'PvA Data'!$A$2:$A$1576,$A339,'PvA Data'!$E$2:$E$1576,$D339,'PvA Data'!$C$2:$C$1576,"Martin")</f>
        <v>0</v>
      </c>
      <c r="J339" s="20">
        <f>SUMIFS('PvA Data'!$G$2:$G$1576,'PvA Data'!$A$2:$A$1576,$A339,'PvA Data'!$E$2:$E$1576,$D339,'PvA Data'!$C$2:$C$1576,"Custom")</f>
        <v>17</v>
      </c>
      <c r="K339" s="36">
        <f t="shared" si="25"/>
        <v>0.6964285714285714</v>
      </c>
      <c r="L339" s="36">
        <f t="shared" si="26"/>
        <v>0</v>
      </c>
      <c r="M339" s="36">
        <f t="shared" si="27"/>
        <v>0.30357142857142855</v>
      </c>
    </row>
    <row r="340" spans="1:13" ht="15" customHeight="1" x14ac:dyDescent="0.75">
      <c r="A340" s="18" t="s">
        <v>78</v>
      </c>
      <c r="B340" s="19">
        <v>46118</v>
      </c>
      <c r="C340" s="17">
        <v>666518</v>
      </c>
      <c r="D340" s="18" t="s">
        <v>27</v>
      </c>
      <c r="E340" s="20">
        <f>SUMIFS('PvA Data'!$F$2:$F$1576,'PvA Data'!$A$2:$A$1576,$A340,'PvA Data'!$E$2:$E$1576,$D340)</f>
        <v>0</v>
      </c>
      <c r="F340" s="20">
        <f>SUMIFS('PvA Data'!$G$2:$G$1576,'PvA Data'!$A$2:$A$1576,$A340,'PvA Data'!$E$2:$E$1576,$D340)</f>
        <v>0</v>
      </c>
      <c r="G340" s="36" t="str">
        <f t="shared" si="24"/>
        <v/>
      </c>
      <c r="H340" s="20">
        <f>SUMIFS('PvA Data'!$G$2:$G$1576,'PvA Data'!$A$2:$A$1576,$A340,'PvA Data'!$E$2:$E$1576,$D340,'PvA Data'!$C$2:$C$1576,"Nahunta")</f>
        <v>0</v>
      </c>
      <c r="I340" s="20">
        <f>SUMIFS('PvA Data'!$G$2:$G$1576,'PvA Data'!$A$2:$A$1576,$A340,'PvA Data'!$E$2:$E$1576,$D340,'PvA Data'!$C$2:$C$1576,"Martin")</f>
        <v>0</v>
      </c>
      <c r="J340" s="20">
        <f>SUMIFS('PvA Data'!$G$2:$G$1576,'PvA Data'!$A$2:$A$1576,$A340,'PvA Data'!$E$2:$E$1576,$D340,'PvA Data'!$C$2:$C$1576,"Custom")</f>
        <v>0</v>
      </c>
      <c r="K340" s="36" t="str">
        <f t="shared" si="25"/>
        <v/>
      </c>
      <c r="L340" s="36" t="str">
        <f t="shared" si="26"/>
        <v/>
      </c>
      <c r="M340" s="36" t="str">
        <f t="shared" si="27"/>
        <v/>
      </c>
    </row>
    <row r="341" spans="1:13" ht="15" customHeight="1" x14ac:dyDescent="0.75">
      <c r="A341" s="18" t="s">
        <v>78</v>
      </c>
      <c r="B341" s="19">
        <v>46118</v>
      </c>
      <c r="C341" s="17">
        <v>666519</v>
      </c>
      <c r="D341" s="18" t="s">
        <v>29</v>
      </c>
      <c r="E341" s="20">
        <f>SUMIFS('PvA Data'!$F$2:$F$1576,'PvA Data'!$A$2:$A$1576,$A341,'PvA Data'!$E$2:$E$1576,$D341)</f>
        <v>26</v>
      </c>
      <c r="F341" s="20">
        <f>SUMIFS('PvA Data'!$G$2:$G$1576,'PvA Data'!$A$2:$A$1576,$A341,'PvA Data'!$E$2:$E$1576,$D341)</f>
        <v>52</v>
      </c>
      <c r="G341" s="36">
        <f t="shared" si="24"/>
        <v>2</v>
      </c>
      <c r="H341" s="20">
        <f>SUMIFS('PvA Data'!$G$2:$G$1576,'PvA Data'!$A$2:$A$1576,$A341,'PvA Data'!$E$2:$E$1576,$D341,'PvA Data'!$C$2:$C$1576,"Nahunta")</f>
        <v>26</v>
      </c>
      <c r="I341" s="20">
        <f>SUMIFS('PvA Data'!$G$2:$G$1576,'PvA Data'!$A$2:$A$1576,$A341,'PvA Data'!$E$2:$E$1576,$D341,'PvA Data'!$C$2:$C$1576,"Martin")</f>
        <v>0</v>
      </c>
      <c r="J341" s="20">
        <f>SUMIFS('PvA Data'!$G$2:$G$1576,'PvA Data'!$A$2:$A$1576,$A341,'PvA Data'!$E$2:$E$1576,$D341,'PvA Data'!$C$2:$C$1576,"Custom")</f>
        <v>26</v>
      </c>
      <c r="K341" s="36">
        <f t="shared" si="25"/>
        <v>0.5</v>
      </c>
      <c r="L341" s="36">
        <f t="shared" si="26"/>
        <v>0</v>
      </c>
      <c r="M341" s="36">
        <f t="shared" si="27"/>
        <v>0.5</v>
      </c>
    </row>
    <row r="342" spans="1:13" ht="15" customHeight="1" x14ac:dyDescent="0.75">
      <c r="A342" s="18" t="s">
        <v>78</v>
      </c>
      <c r="B342" s="19">
        <v>46118</v>
      </c>
      <c r="C342" s="17">
        <v>666521</v>
      </c>
      <c r="D342" s="18" t="s">
        <v>31</v>
      </c>
      <c r="E342" s="20">
        <f>SUMIFS('PvA Data'!$F$2:$F$1576,'PvA Data'!$A$2:$A$1576,$A342,'PvA Data'!$E$2:$E$1576,$D342)</f>
        <v>60</v>
      </c>
      <c r="F342" s="20">
        <f>SUMIFS('PvA Data'!$G$2:$G$1576,'PvA Data'!$A$2:$A$1576,$A342,'PvA Data'!$E$2:$E$1576,$D342)</f>
        <v>53</v>
      </c>
      <c r="G342" s="36">
        <f t="shared" si="24"/>
        <v>0.8833333333333333</v>
      </c>
      <c r="H342" s="20">
        <f>SUMIFS('PvA Data'!$G$2:$G$1576,'PvA Data'!$A$2:$A$1576,$A342,'PvA Data'!$E$2:$E$1576,$D342,'PvA Data'!$C$2:$C$1576,"Nahunta")</f>
        <v>53</v>
      </c>
      <c r="I342" s="20">
        <f>SUMIFS('PvA Data'!$G$2:$G$1576,'PvA Data'!$A$2:$A$1576,$A342,'PvA Data'!$E$2:$E$1576,$D342,'PvA Data'!$C$2:$C$1576,"Martin")</f>
        <v>0</v>
      </c>
      <c r="J342" s="20">
        <f>SUMIFS('PvA Data'!$G$2:$G$1576,'PvA Data'!$A$2:$A$1576,$A342,'PvA Data'!$E$2:$E$1576,$D342,'PvA Data'!$C$2:$C$1576,"Custom")</f>
        <v>0</v>
      </c>
      <c r="K342" s="36">
        <f t="shared" si="25"/>
        <v>1</v>
      </c>
      <c r="L342" s="36">
        <f t="shared" si="26"/>
        <v>0</v>
      </c>
      <c r="M342" s="36">
        <f t="shared" si="27"/>
        <v>0</v>
      </c>
    </row>
    <row r="343" spans="1:13" ht="15" customHeight="1" x14ac:dyDescent="0.75">
      <c r="A343" s="18" t="s">
        <v>78</v>
      </c>
      <c r="B343" s="19">
        <v>46118</v>
      </c>
      <c r="C343" s="17">
        <v>666522</v>
      </c>
      <c r="D343" s="18" t="s">
        <v>33</v>
      </c>
      <c r="E343" s="20">
        <f>SUMIFS('PvA Data'!$F$2:$F$1576,'PvA Data'!$A$2:$A$1576,$A343,'PvA Data'!$E$2:$E$1576,$D343)</f>
        <v>230</v>
      </c>
      <c r="F343" s="20">
        <f>SUMIFS('PvA Data'!$G$2:$G$1576,'PvA Data'!$A$2:$A$1576,$A343,'PvA Data'!$E$2:$E$1576,$D343)</f>
        <v>390</v>
      </c>
      <c r="G343" s="36">
        <f t="shared" si="24"/>
        <v>1.6956521739130435</v>
      </c>
      <c r="H343" s="20">
        <f>SUMIFS('PvA Data'!$G$2:$G$1576,'PvA Data'!$A$2:$A$1576,$A343,'PvA Data'!$E$2:$E$1576,$D343,'PvA Data'!$C$2:$C$1576,"Nahunta")</f>
        <v>120</v>
      </c>
      <c r="I343" s="20">
        <f>SUMIFS('PvA Data'!$G$2:$G$1576,'PvA Data'!$A$2:$A$1576,$A343,'PvA Data'!$E$2:$E$1576,$D343,'PvA Data'!$C$2:$C$1576,"Martin")</f>
        <v>170</v>
      </c>
      <c r="J343" s="20">
        <f>SUMIFS('PvA Data'!$G$2:$G$1576,'PvA Data'!$A$2:$A$1576,$A343,'PvA Data'!$E$2:$E$1576,$D343,'PvA Data'!$C$2:$C$1576,"Custom")</f>
        <v>100</v>
      </c>
      <c r="K343" s="36">
        <f t="shared" si="25"/>
        <v>0.30769230769230771</v>
      </c>
      <c r="L343" s="36">
        <f t="shared" si="26"/>
        <v>0.4358974358974359</v>
      </c>
      <c r="M343" s="36">
        <f t="shared" si="27"/>
        <v>0.25641025641025639</v>
      </c>
    </row>
    <row r="344" spans="1:13" ht="15" customHeight="1" x14ac:dyDescent="0.75">
      <c r="A344" s="18" t="s">
        <v>78</v>
      </c>
      <c r="B344" s="19">
        <v>46118</v>
      </c>
      <c r="C344" s="17">
        <v>666523</v>
      </c>
      <c r="D344" s="18" t="s">
        <v>35</v>
      </c>
      <c r="E344" s="20">
        <f>SUMIFS('PvA Data'!$F$2:$F$1576,'PvA Data'!$A$2:$A$1576,$A344,'PvA Data'!$E$2:$E$1576,$D344)</f>
        <v>20</v>
      </c>
      <c r="F344" s="20">
        <f>SUMIFS('PvA Data'!$G$2:$G$1576,'PvA Data'!$A$2:$A$1576,$A344,'PvA Data'!$E$2:$E$1576,$D344)</f>
        <v>40</v>
      </c>
      <c r="G344" s="36">
        <f t="shared" si="24"/>
        <v>2</v>
      </c>
      <c r="H344" s="20">
        <f>SUMIFS('PvA Data'!$G$2:$G$1576,'PvA Data'!$A$2:$A$1576,$A344,'PvA Data'!$E$2:$E$1576,$D344,'PvA Data'!$C$2:$C$1576,"Nahunta")</f>
        <v>0</v>
      </c>
      <c r="I344" s="20">
        <f>SUMIFS('PvA Data'!$G$2:$G$1576,'PvA Data'!$A$2:$A$1576,$A344,'PvA Data'!$E$2:$E$1576,$D344,'PvA Data'!$C$2:$C$1576,"Martin")</f>
        <v>0</v>
      </c>
      <c r="J344" s="20">
        <f>SUMIFS('PvA Data'!$G$2:$G$1576,'PvA Data'!$A$2:$A$1576,$A344,'PvA Data'!$E$2:$E$1576,$D344,'PvA Data'!$C$2:$C$1576,"Custom")</f>
        <v>40</v>
      </c>
      <c r="K344" s="36">
        <f t="shared" si="25"/>
        <v>0</v>
      </c>
      <c r="L344" s="36">
        <f t="shared" si="26"/>
        <v>0</v>
      </c>
      <c r="M344" s="36">
        <f t="shared" si="27"/>
        <v>1</v>
      </c>
    </row>
    <row r="345" spans="1:13" ht="15" customHeight="1" x14ac:dyDescent="0.75">
      <c r="A345" s="18" t="s">
        <v>78</v>
      </c>
      <c r="B345" s="19">
        <v>46118</v>
      </c>
      <c r="C345" s="17">
        <v>666530</v>
      </c>
      <c r="D345" s="18" t="s">
        <v>37</v>
      </c>
      <c r="E345" s="20">
        <f>SUMIFS('PvA Data'!$F$2:$F$1576,'PvA Data'!$A$2:$A$1576,$A345,'PvA Data'!$E$2:$E$1576,$D345)</f>
        <v>12</v>
      </c>
      <c r="F345" s="20">
        <f>SUMIFS('PvA Data'!$G$2:$G$1576,'PvA Data'!$A$2:$A$1576,$A345,'PvA Data'!$E$2:$E$1576,$D345)</f>
        <v>24</v>
      </c>
      <c r="G345" s="36">
        <f t="shared" si="24"/>
        <v>2</v>
      </c>
      <c r="H345" s="20">
        <f>SUMIFS('PvA Data'!$G$2:$G$1576,'PvA Data'!$A$2:$A$1576,$A345,'PvA Data'!$E$2:$E$1576,$D345,'PvA Data'!$C$2:$C$1576,"Nahunta")</f>
        <v>0</v>
      </c>
      <c r="I345" s="20">
        <f>SUMIFS('PvA Data'!$G$2:$G$1576,'PvA Data'!$A$2:$A$1576,$A345,'PvA Data'!$E$2:$E$1576,$D345,'PvA Data'!$C$2:$C$1576,"Martin")</f>
        <v>0</v>
      </c>
      <c r="J345" s="20">
        <f>SUMIFS('PvA Data'!$G$2:$G$1576,'PvA Data'!$A$2:$A$1576,$A345,'PvA Data'!$E$2:$E$1576,$D345,'PvA Data'!$C$2:$C$1576,"Custom")</f>
        <v>24</v>
      </c>
      <c r="K345" s="36">
        <f t="shared" si="25"/>
        <v>0</v>
      </c>
      <c r="L345" s="36">
        <f t="shared" si="26"/>
        <v>0</v>
      </c>
      <c r="M345" s="36">
        <f t="shared" si="27"/>
        <v>1</v>
      </c>
    </row>
    <row r="346" spans="1:13" ht="15" customHeight="1" x14ac:dyDescent="0.75">
      <c r="A346" s="18" t="s">
        <v>78</v>
      </c>
      <c r="B346" s="19">
        <v>46118</v>
      </c>
      <c r="C346" s="17">
        <v>666531</v>
      </c>
      <c r="D346" s="18" t="s">
        <v>39</v>
      </c>
      <c r="E346" s="20">
        <f>SUMIFS('PvA Data'!$F$2:$F$1576,'PvA Data'!$A$2:$A$1576,$A346,'PvA Data'!$E$2:$E$1576,$D346)</f>
        <v>14</v>
      </c>
      <c r="F346" s="20">
        <f>SUMIFS('PvA Data'!$G$2:$G$1576,'PvA Data'!$A$2:$A$1576,$A346,'PvA Data'!$E$2:$E$1576,$D346)</f>
        <v>28</v>
      </c>
      <c r="G346" s="36">
        <f t="shared" si="24"/>
        <v>2</v>
      </c>
      <c r="H346" s="20">
        <f>SUMIFS('PvA Data'!$G$2:$G$1576,'PvA Data'!$A$2:$A$1576,$A346,'PvA Data'!$E$2:$E$1576,$D346,'PvA Data'!$C$2:$C$1576,"Nahunta")</f>
        <v>20</v>
      </c>
      <c r="I346" s="20">
        <f>SUMIFS('PvA Data'!$G$2:$G$1576,'PvA Data'!$A$2:$A$1576,$A346,'PvA Data'!$E$2:$E$1576,$D346,'PvA Data'!$C$2:$C$1576,"Martin")</f>
        <v>0</v>
      </c>
      <c r="J346" s="20">
        <f>SUMIFS('PvA Data'!$G$2:$G$1576,'PvA Data'!$A$2:$A$1576,$A346,'PvA Data'!$E$2:$E$1576,$D346,'PvA Data'!$C$2:$C$1576,"Custom")</f>
        <v>8</v>
      </c>
      <c r="K346" s="36">
        <f t="shared" si="25"/>
        <v>0.7142857142857143</v>
      </c>
      <c r="L346" s="36">
        <f t="shared" si="26"/>
        <v>0</v>
      </c>
      <c r="M346" s="36">
        <f t="shared" si="27"/>
        <v>0.2857142857142857</v>
      </c>
    </row>
    <row r="347" spans="1:13" ht="15" customHeight="1" x14ac:dyDescent="0.75">
      <c r="A347" s="18" t="s">
        <v>78</v>
      </c>
      <c r="B347" s="19">
        <v>46118</v>
      </c>
      <c r="C347" s="17">
        <v>666540</v>
      </c>
      <c r="D347" s="18" t="s">
        <v>40</v>
      </c>
      <c r="E347" s="20">
        <f>SUMIFS('PvA Data'!$F$2:$F$1576,'PvA Data'!$A$2:$A$1576,$A347,'PvA Data'!$E$2:$E$1576,$D347)</f>
        <v>20</v>
      </c>
      <c r="F347" s="20">
        <f>SUMIFS('PvA Data'!$G$2:$G$1576,'PvA Data'!$A$2:$A$1576,$A347,'PvA Data'!$E$2:$E$1576,$D347)</f>
        <v>1</v>
      </c>
      <c r="G347" s="36">
        <f t="shared" si="24"/>
        <v>0.05</v>
      </c>
      <c r="H347" s="20">
        <f>SUMIFS('PvA Data'!$G$2:$G$1576,'PvA Data'!$A$2:$A$1576,$A347,'PvA Data'!$E$2:$E$1576,$D347,'PvA Data'!$C$2:$C$1576,"Nahunta")</f>
        <v>0</v>
      </c>
      <c r="I347" s="20">
        <f>SUMIFS('PvA Data'!$G$2:$G$1576,'PvA Data'!$A$2:$A$1576,$A347,'PvA Data'!$E$2:$E$1576,$D347,'PvA Data'!$C$2:$C$1576,"Martin")</f>
        <v>1</v>
      </c>
      <c r="J347" s="20">
        <f>SUMIFS('PvA Data'!$G$2:$G$1576,'PvA Data'!$A$2:$A$1576,$A347,'PvA Data'!$E$2:$E$1576,$D347,'PvA Data'!$C$2:$C$1576,"Custom")</f>
        <v>0</v>
      </c>
      <c r="K347" s="36">
        <f t="shared" si="25"/>
        <v>0</v>
      </c>
      <c r="L347" s="36">
        <f t="shared" si="26"/>
        <v>1</v>
      </c>
      <c r="M347" s="36">
        <f t="shared" si="27"/>
        <v>0</v>
      </c>
    </row>
    <row r="348" spans="1:13" ht="15" customHeight="1" x14ac:dyDescent="0.75">
      <c r="A348" s="18" t="s">
        <v>78</v>
      </c>
      <c r="B348" s="19">
        <v>46118</v>
      </c>
      <c r="C348" s="17">
        <v>666541</v>
      </c>
      <c r="D348" s="18" t="s">
        <v>41</v>
      </c>
      <c r="E348" s="20">
        <f>SUMIFS('PvA Data'!$F$2:$F$1576,'PvA Data'!$A$2:$A$1576,$A348,'PvA Data'!$E$2:$E$1576,$D348)</f>
        <v>340</v>
      </c>
      <c r="F348" s="20">
        <f>SUMIFS('PvA Data'!$G$2:$G$1576,'PvA Data'!$A$2:$A$1576,$A348,'PvA Data'!$E$2:$E$1576,$D348)</f>
        <v>219</v>
      </c>
      <c r="G348" s="36">
        <f t="shared" si="24"/>
        <v>0.64411764705882357</v>
      </c>
      <c r="H348" s="20">
        <f>SUMIFS('PvA Data'!$G$2:$G$1576,'PvA Data'!$A$2:$A$1576,$A348,'PvA Data'!$E$2:$E$1576,$D348,'PvA Data'!$C$2:$C$1576,"Nahunta")</f>
        <v>0</v>
      </c>
      <c r="I348" s="20">
        <f>SUMIFS('PvA Data'!$G$2:$G$1576,'PvA Data'!$A$2:$A$1576,$A348,'PvA Data'!$E$2:$E$1576,$D348,'PvA Data'!$C$2:$C$1576,"Martin")</f>
        <v>219</v>
      </c>
      <c r="J348" s="20">
        <f>SUMIFS('PvA Data'!$G$2:$G$1576,'PvA Data'!$A$2:$A$1576,$A348,'PvA Data'!$E$2:$E$1576,$D348,'PvA Data'!$C$2:$C$1576,"Custom")</f>
        <v>0</v>
      </c>
      <c r="K348" s="36">
        <f t="shared" si="25"/>
        <v>0</v>
      </c>
      <c r="L348" s="36">
        <f t="shared" si="26"/>
        <v>1</v>
      </c>
      <c r="M348" s="36">
        <f t="shared" si="27"/>
        <v>0</v>
      </c>
    </row>
    <row r="349" spans="1:13" ht="15" customHeight="1" x14ac:dyDescent="0.75">
      <c r="A349" s="18" t="s">
        <v>78</v>
      </c>
      <c r="B349" s="19">
        <v>46118</v>
      </c>
      <c r="C349" s="17">
        <v>666536</v>
      </c>
      <c r="D349" s="18" t="s">
        <v>43</v>
      </c>
      <c r="E349" s="20">
        <f>SUMIFS('PvA Data'!$F$2:$F$1576,'PvA Data'!$A$2:$A$1576,$A349,'PvA Data'!$E$2:$E$1576,$D349)</f>
        <v>14</v>
      </c>
      <c r="F349" s="20">
        <f>SUMIFS('PvA Data'!$G$2:$G$1576,'PvA Data'!$A$2:$A$1576,$A349,'PvA Data'!$E$2:$E$1576,$D349)</f>
        <v>11</v>
      </c>
      <c r="G349" s="36">
        <f t="shared" si="24"/>
        <v>0.7857142857142857</v>
      </c>
      <c r="H349" s="20">
        <f>SUMIFS('PvA Data'!$G$2:$G$1576,'PvA Data'!$A$2:$A$1576,$A349,'PvA Data'!$E$2:$E$1576,$D349,'PvA Data'!$C$2:$C$1576,"Nahunta")</f>
        <v>11</v>
      </c>
      <c r="I349" s="20">
        <f>SUMIFS('PvA Data'!$G$2:$G$1576,'PvA Data'!$A$2:$A$1576,$A349,'PvA Data'!$E$2:$E$1576,$D349,'PvA Data'!$C$2:$C$1576,"Martin")</f>
        <v>0</v>
      </c>
      <c r="J349" s="20">
        <f>SUMIFS('PvA Data'!$G$2:$G$1576,'PvA Data'!$A$2:$A$1576,$A349,'PvA Data'!$E$2:$E$1576,$D349,'PvA Data'!$C$2:$C$1576,"Custom")</f>
        <v>0</v>
      </c>
      <c r="K349" s="36">
        <f t="shared" si="25"/>
        <v>1</v>
      </c>
      <c r="L349" s="36">
        <f t="shared" si="26"/>
        <v>0</v>
      </c>
      <c r="M349" s="36">
        <f t="shared" si="27"/>
        <v>0</v>
      </c>
    </row>
    <row r="350" spans="1:13" ht="15" customHeight="1" x14ac:dyDescent="0.75">
      <c r="A350" s="18" t="s">
        <v>79</v>
      </c>
      <c r="B350" s="19">
        <v>46125</v>
      </c>
      <c r="C350" s="17">
        <v>666501</v>
      </c>
      <c r="D350" s="18" t="s">
        <v>5</v>
      </c>
      <c r="E350" s="20">
        <f>SUMIFS('PvA Data'!$F$2:$F$1576,'PvA Data'!$A$2:$A$1576,$A350,'PvA Data'!$E$2:$E$1576,$D350)</f>
        <v>402</v>
      </c>
      <c r="F350" s="20">
        <f>SUMIFS('PvA Data'!$G$2:$G$1576,'PvA Data'!$A$2:$A$1576,$A350,'PvA Data'!$E$2:$E$1576,$D350)</f>
        <v>282</v>
      </c>
      <c r="G350" s="36">
        <f t="shared" si="24"/>
        <v>0.70149253731343286</v>
      </c>
      <c r="H350" s="20">
        <f>SUMIFS('PvA Data'!$G$2:$G$1576,'PvA Data'!$A$2:$A$1576,$A350,'PvA Data'!$E$2:$E$1576,$D350,'PvA Data'!$C$2:$C$1576,"Nahunta")</f>
        <v>54</v>
      </c>
      <c r="I350" s="20">
        <f>SUMIFS('PvA Data'!$G$2:$G$1576,'PvA Data'!$A$2:$A$1576,$A350,'PvA Data'!$E$2:$E$1576,$D350,'PvA Data'!$C$2:$C$1576,"Martin")</f>
        <v>228</v>
      </c>
      <c r="J350" s="20">
        <f>SUMIFS('PvA Data'!$G$2:$G$1576,'PvA Data'!$A$2:$A$1576,$A350,'PvA Data'!$E$2:$E$1576,$D350,'PvA Data'!$C$2:$C$1576,"Custom")</f>
        <v>0</v>
      </c>
      <c r="K350" s="36">
        <f t="shared" si="25"/>
        <v>0.19148936170212766</v>
      </c>
      <c r="L350" s="36">
        <f t="shared" si="26"/>
        <v>0.80851063829787229</v>
      </c>
      <c r="M350" s="36">
        <f t="shared" si="27"/>
        <v>0</v>
      </c>
    </row>
    <row r="351" spans="1:13" ht="15" customHeight="1" x14ac:dyDescent="0.75">
      <c r="A351" s="18" t="s">
        <v>79</v>
      </c>
      <c r="B351" s="19">
        <v>46125</v>
      </c>
      <c r="C351" s="17">
        <v>666502</v>
      </c>
      <c r="D351" s="18" t="s">
        <v>7</v>
      </c>
      <c r="E351" s="20">
        <f>SUMIFS('PvA Data'!$F$2:$F$1576,'PvA Data'!$A$2:$A$1576,$A351,'PvA Data'!$E$2:$E$1576,$D351)</f>
        <v>175.5</v>
      </c>
      <c r="F351" s="20">
        <f>SUMIFS('PvA Data'!$G$2:$G$1576,'PvA Data'!$A$2:$A$1576,$A351,'PvA Data'!$E$2:$E$1576,$D351)</f>
        <v>220</v>
      </c>
      <c r="G351" s="36">
        <f t="shared" si="24"/>
        <v>1.2535612535612535</v>
      </c>
      <c r="H351" s="20">
        <f>SUMIFS('PvA Data'!$G$2:$G$1576,'PvA Data'!$A$2:$A$1576,$A351,'PvA Data'!$E$2:$E$1576,$D351,'PvA Data'!$C$2:$C$1576,"Nahunta")</f>
        <v>0</v>
      </c>
      <c r="I351" s="20">
        <f>SUMIFS('PvA Data'!$G$2:$G$1576,'PvA Data'!$A$2:$A$1576,$A351,'PvA Data'!$E$2:$E$1576,$D351,'PvA Data'!$C$2:$C$1576,"Martin")</f>
        <v>157</v>
      </c>
      <c r="J351" s="20">
        <f>SUMIFS('PvA Data'!$G$2:$G$1576,'PvA Data'!$A$2:$A$1576,$A351,'PvA Data'!$E$2:$E$1576,$D351,'PvA Data'!$C$2:$C$1576,"Custom")</f>
        <v>63</v>
      </c>
      <c r="K351" s="36">
        <f t="shared" si="25"/>
        <v>0</v>
      </c>
      <c r="L351" s="36">
        <f t="shared" si="26"/>
        <v>0.71363636363636362</v>
      </c>
      <c r="M351" s="36">
        <f t="shared" si="27"/>
        <v>0.28636363636363638</v>
      </c>
    </row>
    <row r="352" spans="1:13" ht="15" customHeight="1" x14ac:dyDescent="0.75">
      <c r="A352" s="18" t="s">
        <v>79</v>
      </c>
      <c r="B352" s="19">
        <v>46125</v>
      </c>
      <c r="C352" s="17">
        <v>666505</v>
      </c>
      <c r="D352" s="18" t="s">
        <v>9</v>
      </c>
      <c r="E352" s="20">
        <f>SUMIFS('PvA Data'!$F$2:$F$1576,'PvA Data'!$A$2:$A$1576,$A352,'PvA Data'!$E$2:$E$1576,$D352)</f>
        <v>29</v>
      </c>
      <c r="F352" s="20">
        <f>SUMIFS('PvA Data'!$G$2:$G$1576,'PvA Data'!$A$2:$A$1576,$A352,'PvA Data'!$E$2:$E$1576,$D352)</f>
        <v>0</v>
      </c>
      <c r="G352" s="36">
        <f t="shared" si="24"/>
        <v>0</v>
      </c>
      <c r="H352" s="20">
        <f>SUMIFS('PvA Data'!$G$2:$G$1576,'PvA Data'!$A$2:$A$1576,$A352,'PvA Data'!$E$2:$E$1576,$D352,'PvA Data'!$C$2:$C$1576,"Nahunta")</f>
        <v>0</v>
      </c>
      <c r="I352" s="20">
        <f>SUMIFS('PvA Data'!$G$2:$G$1576,'PvA Data'!$A$2:$A$1576,$A352,'PvA Data'!$E$2:$E$1576,$D352,'PvA Data'!$C$2:$C$1576,"Martin")</f>
        <v>0</v>
      </c>
      <c r="J352" s="20">
        <f>SUMIFS('PvA Data'!$G$2:$G$1576,'PvA Data'!$A$2:$A$1576,$A352,'PvA Data'!$E$2:$E$1576,$D352,'PvA Data'!$C$2:$C$1576,"Custom")</f>
        <v>0</v>
      </c>
      <c r="K352" s="36" t="str">
        <f t="shared" si="25"/>
        <v/>
      </c>
      <c r="L352" s="36" t="str">
        <f t="shared" si="26"/>
        <v/>
      </c>
      <c r="M352" s="36" t="str">
        <f t="shared" si="27"/>
        <v/>
      </c>
    </row>
    <row r="353" spans="1:13" ht="15" customHeight="1" x14ac:dyDescent="0.75">
      <c r="A353" s="18" t="s">
        <v>79</v>
      </c>
      <c r="B353" s="19">
        <v>46125</v>
      </c>
      <c r="C353" s="17">
        <v>666506</v>
      </c>
      <c r="D353" s="18" t="s">
        <v>11</v>
      </c>
      <c r="E353" s="20">
        <f>SUMIFS('PvA Data'!$F$2:$F$1576,'PvA Data'!$A$2:$A$1576,$A353,'PvA Data'!$E$2:$E$1576,$D353)</f>
        <v>138.5</v>
      </c>
      <c r="F353" s="20">
        <f>SUMIFS('PvA Data'!$G$2:$G$1576,'PvA Data'!$A$2:$A$1576,$A353,'PvA Data'!$E$2:$E$1576,$D353)</f>
        <v>60</v>
      </c>
      <c r="G353" s="36">
        <f t="shared" si="24"/>
        <v>0.43321299638989169</v>
      </c>
      <c r="H353" s="20">
        <f>SUMIFS('PvA Data'!$G$2:$G$1576,'PvA Data'!$A$2:$A$1576,$A353,'PvA Data'!$E$2:$E$1576,$D353,'PvA Data'!$C$2:$C$1576,"Nahunta")</f>
        <v>0</v>
      </c>
      <c r="I353" s="20">
        <f>SUMIFS('PvA Data'!$G$2:$G$1576,'PvA Data'!$A$2:$A$1576,$A353,'PvA Data'!$E$2:$E$1576,$D353,'PvA Data'!$C$2:$C$1576,"Martin")</f>
        <v>60</v>
      </c>
      <c r="J353" s="20">
        <f>SUMIFS('PvA Data'!$G$2:$G$1576,'PvA Data'!$A$2:$A$1576,$A353,'PvA Data'!$E$2:$E$1576,$D353,'PvA Data'!$C$2:$C$1576,"Custom")</f>
        <v>0</v>
      </c>
      <c r="K353" s="36">
        <f t="shared" si="25"/>
        <v>0</v>
      </c>
      <c r="L353" s="36">
        <f t="shared" si="26"/>
        <v>1</v>
      </c>
      <c r="M353" s="36">
        <f t="shared" si="27"/>
        <v>0</v>
      </c>
    </row>
    <row r="354" spans="1:13" ht="15" customHeight="1" x14ac:dyDescent="0.75">
      <c r="A354" s="18" t="s">
        <v>79</v>
      </c>
      <c r="B354" s="19">
        <v>46125</v>
      </c>
      <c r="C354" s="17">
        <v>666507</v>
      </c>
      <c r="D354" s="18" t="s">
        <v>13</v>
      </c>
      <c r="E354" s="20">
        <f>SUMIFS('PvA Data'!$F$2:$F$1576,'PvA Data'!$A$2:$A$1576,$A354,'PvA Data'!$E$2:$E$1576,$D354)</f>
        <v>8</v>
      </c>
      <c r="F354" s="20">
        <f>SUMIFS('PvA Data'!$G$2:$G$1576,'PvA Data'!$A$2:$A$1576,$A354,'PvA Data'!$E$2:$E$1576,$D354)</f>
        <v>16</v>
      </c>
      <c r="G354" s="36">
        <f t="shared" si="24"/>
        <v>2</v>
      </c>
      <c r="H354" s="20">
        <f>SUMIFS('PvA Data'!$G$2:$G$1576,'PvA Data'!$A$2:$A$1576,$A354,'PvA Data'!$E$2:$E$1576,$D354,'PvA Data'!$C$2:$C$1576,"Nahunta")</f>
        <v>16</v>
      </c>
      <c r="I354" s="20">
        <f>SUMIFS('PvA Data'!$G$2:$G$1576,'PvA Data'!$A$2:$A$1576,$A354,'PvA Data'!$E$2:$E$1576,$D354,'PvA Data'!$C$2:$C$1576,"Martin")</f>
        <v>0</v>
      </c>
      <c r="J354" s="20">
        <f>SUMIFS('PvA Data'!$G$2:$G$1576,'PvA Data'!$A$2:$A$1576,$A354,'PvA Data'!$E$2:$E$1576,$D354,'PvA Data'!$C$2:$C$1576,"Custom")</f>
        <v>0</v>
      </c>
      <c r="K354" s="36">
        <f t="shared" si="25"/>
        <v>1</v>
      </c>
      <c r="L354" s="36">
        <f t="shared" si="26"/>
        <v>0</v>
      </c>
      <c r="M354" s="36">
        <f t="shared" si="27"/>
        <v>0</v>
      </c>
    </row>
    <row r="355" spans="1:13" ht="15" customHeight="1" x14ac:dyDescent="0.75">
      <c r="A355" s="18" t="s">
        <v>79</v>
      </c>
      <c r="B355" s="19">
        <v>46125</v>
      </c>
      <c r="C355" s="17">
        <v>666509</v>
      </c>
      <c r="D355" s="18" t="s">
        <v>15</v>
      </c>
      <c r="E355" s="20">
        <f>SUMIFS('PvA Data'!$F$2:$F$1576,'PvA Data'!$A$2:$A$1576,$A355,'PvA Data'!$E$2:$E$1576,$D355)</f>
        <v>34</v>
      </c>
      <c r="F355" s="20">
        <f>SUMIFS('PvA Data'!$G$2:$G$1576,'PvA Data'!$A$2:$A$1576,$A355,'PvA Data'!$E$2:$E$1576,$D355)</f>
        <v>33</v>
      </c>
      <c r="G355" s="36">
        <f t="shared" ref="G355:G418" si="28">IF(E355=0,"",F355/E355)</f>
        <v>0.97058823529411764</v>
      </c>
      <c r="H355" s="20">
        <f>SUMIFS('PvA Data'!$G$2:$G$1576,'PvA Data'!$A$2:$A$1576,$A355,'PvA Data'!$E$2:$E$1576,$D355,'PvA Data'!$C$2:$C$1576,"Nahunta")</f>
        <v>33</v>
      </c>
      <c r="I355" s="20">
        <f>SUMIFS('PvA Data'!$G$2:$G$1576,'PvA Data'!$A$2:$A$1576,$A355,'PvA Data'!$E$2:$E$1576,$D355,'PvA Data'!$C$2:$C$1576,"Martin")</f>
        <v>0</v>
      </c>
      <c r="J355" s="20">
        <f>SUMIFS('PvA Data'!$G$2:$G$1576,'PvA Data'!$A$2:$A$1576,$A355,'PvA Data'!$E$2:$E$1576,$D355,'PvA Data'!$C$2:$C$1576,"Custom")</f>
        <v>0</v>
      </c>
      <c r="K355" s="36">
        <f t="shared" ref="K355:K418" si="29">IF($F355=0,"",H355/$F355)</f>
        <v>1</v>
      </c>
      <c r="L355" s="36">
        <f t="shared" ref="L355:L418" si="30">IF($F355=0,"",I355/$F355)</f>
        <v>0</v>
      </c>
      <c r="M355" s="36">
        <f t="shared" ref="M355:M418" si="31">IF($F355=0,"",J355/$F355)</f>
        <v>0</v>
      </c>
    </row>
    <row r="356" spans="1:13" ht="15" customHeight="1" x14ac:dyDescent="0.75">
      <c r="A356" s="18" t="s">
        <v>79</v>
      </c>
      <c r="B356" s="19">
        <v>46125</v>
      </c>
      <c r="C356" s="17">
        <v>666510</v>
      </c>
      <c r="D356" s="18" t="s">
        <v>17</v>
      </c>
      <c r="E356" s="20">
        <f>SUMIFS('PvA Data'!$F$2:$F$1576,'PvA Data'!$A$2:$A$1576,$A356,'PvA Data'!$E$2:$E$1576,$D356)</f>
        <v>0</v>
      </c>
      <c r="F356" s="20">
        <f>SUMIFS('PvA Data'!$G$2:$G$1576,'PvA Data'!$A$2:$A$1576,$A356,'PvA Data'!$E$2:$E$1576,$D356)</f>
        <v>0</v>
      </c>
      <c r="G356" s="36" t="str">
        <f t="shared" si="28"/>
        <v/>
      </c>
      <c r="H356" s="20">
        <f>SUMIFS('PvA Data'!$G$2:$G$1576,'PvA Data'!$A$2:$A$1576,$A356,'PvA Data'!$E$2:$E$1576,$D356,'PvA Data'!$C$2:$C$1576,"Nahunta")</f>
        <v>0</v>
      </c>
      <c r="I356" s="20">
        <f>SUMIFS('PvA Data'!$G$2:$G$1576,'PvA Data'!$A$2:$A$1576,$A356,'PvA Data'!$E$2:$E$1576,$D356,'PvA Data'!$C$2:$C$1576,"Martin")</f>
        <v>0</v>
      </c>
      <c r="J356" s="20">
        <f>SUMIFS('PvA Data'!$G$2:$G$1576,'PvA Data'!$A$2:$A$1576,$A356,'PvA Data'!$E$2:$E$1576,$D356,'PvA Data'!$C$2:$C$1576,"Custom")</f>
        <v>0</v>
      </c>
      <c r="K356" s="36" t="str">
        <f t="shared" si="29"/>
        <v/>
      </c>
      <c r="L356" s="36" t="str">
        <f t="shared" si="30"/>
        <v/>
      </c>
      <c r="M356" s="36" t="str">
        <f t="shared" si="31"/>
        <v/>
      </c>
    </row>
    <row r="357" spans="1:13" ht="15" customHeight="1" x14ac:dyDescent="0.75">
      <c r="A357" s="18" t="s">
        <v>79</v>
      </c>
      <c r="B357" s="19">
        <v>46125</v>
      </c>
      <c r="C357" s="17">
        <v>666511</v>
      </c>
      <c r="D357" s="18" t="s">
        <v>19</v>
      </c>
      <c r="E357" s="20">
        <f>SUMIFS('PvA Data'!$F$2:$F$1576,'PvA Data'!$A$2:$A$1576,$A357,'PvA Data'!$E$2:$E$1576,$D357)</f>
        <v>3</v>
      </c>
      <c r="F357" s="20">
        <f>SUMIFS('PvA Data'!$G$2:$G$1576,'PvA Data'!$A$2:$A$1576,$A357,'PvA Data'!$E$2:$E$1576,$D357)</f>
        <v>6</v>
      </c>
      <c r="G357" s="36">
        <f t="shared" si="28"/>
        <v>2</v>
      </c>
      <c r="H357" s="20">
        <f>SUMIFS('PvA Data'!$G$2:$G$1576,'PvA Data'!$A$2:$A$1576,$A357,'PvA Data'!$E$2:$E$1576,$D357,'PvA Data'!$C$2:$C$1576,"Nahunta")</f>
        <v>6</v>
      </c>
      <c r="I357" s="20">
        <f>SUMIFS('PvA Data'!$G$2:$G$1576,'PvA Data'!$A$2:$A$1576,$A357,'PvA Data'!$E$2:$E$1576,$D357,'PvA Data'!$C$2:$C$1576,"Martin")</f>
        <v>0</v>
      </c>
      <c r="J357" s="20">
        <f>SUMIFS('PvA Data'!$G$2:$G$1576,'PvA Data'!$A$2:$A$1576,$A357,'PvA Data'!$E$2:$E$1576,$D357,'PvA Data'!$C$2:$C$1576,"Custom")</f>
        <v>0</v>
      </c>
      <c r="K357" s="36">
        <f t="shared" si="29"/>
        <v>1</v>
      </c>
      <c r="L357" s="36">
        <f t="shared" si="30"/>
        <v>0</v>
      </c>
      <c r="M357" s="36">
        <f t="shared" si="31"/>
        <v>0</v>
      </c>
    </row>
    <row r="358" spans="1:13" ht="15" customHeight="1" x14ac:dyDescent="0.75">
      <c r="A358" s="18" t="s">
        <v>79</v>
      </c>
      <c r="B358" s="19">
        <v>46125</v>
      </c>
      <c r="C358" s="17">
        <v>666513</v>
      </c>
      <c r="D358" s="18" t="s">
        <v>21</v>
      </c>
      <c r="E358" s="20">
        <f>SUMIFS('PvA Data'!$F$2:$F$1576,'PvA Data'!$A$2:$A$1576,$A358,'PvA Data'!$E$2:$E$1576,$D358)</f>
        <v>10</v>
      </c>
      <c r="F358" s="20">
        <f>SUMIFS('PvA Data'!$G$2:$G$1576,'PvA Data'!$A$2:$A$1576,$A358,'PvA Data'!$E$2:$E$1576,$D358)</f>
        <v>0</v>
      </c>
      <c r="G358" s="36">
        <f t="shared" si="28"/>
        <v>0</v>
      </c>
      <c r="H358" s="20">
        <f>SUMIFS('PvA Data'!$G$2:$G$1576,'PvA Data'!$A$2:$A$1576,$A358,'PvA Data'!$E$2:$E$1576,$D358,'PvA Data'!$C$2:$C$1576,"Nahunta")</f>
        <v>0</v>
      </c>
      <c r="I358" s="20">
        <f>SUMIFS('PvA Data'!$G$2:$G$1576,'PvA Data'!$A$2:$A$1576,$A358,'PvA Data'!$E$2:$E$1576,$D358,'PvA Data'!$C$2:$C$1576,"Martin")</f>
        <v>0</v>
      </c>
      <c r="J358" s="20">
        <f>SUMIFS('PvA Data'!$G$2:$G$1576,'PvA Data'!$A$2:$A$1576,$A358,'PvA Data'!$E$2:$E$1576,$D358,'PvA Data'!$C$2:$C$1576,"Custom")</f>
        <v>0</v>
      </c>
      <c r="K358" s="36" t="str">
        <f t="shared" si="29"/>
        <v/>
      </c>
      <c r="L358" s="36" t="str">
        <f t="shared" si="30"/>
        <v/>
      </c>
      <c r="M358" s="36" t="str">
        <f t="shared" si="31"/>
        <v/>
      </c>
    </row>
    <row r="359" spans="1:13" ht="15" customHeight="1" x14ac:dyDescent="0.75">
      <c r="A359" s="18" t="s">
        <v>79</v>
      </c>
      <c r="B359" s="19">
        <v>46125</v>
      </c>
      <c r="C359" s="17">
        <v>666516</v>
      </c>
      <c r="D359" s="18" t="s">
        <v>23</v>
      </c>
      <c r="E359" s="20">
        <f>SUMIFS('PvA Data'!$F$2:$F$1576,'PvA Data'!$A$2:$A$1576,$A359,'PvA Data'!$E$2:$E$1576,$D359)</f>
        <v>31</v>
      </c>
      <c r="F359" s="20">
        <f>SUMIFS('PvA Data'!$G$2:$G$1576,'PvA Data'!$A$2:$A$1576,$A359,'PvA Data'!$E$2:$E$1576,$D359)</f>
        <v>0</v>
      </c>
      <c r="G359" s="36">
        <f t="shared" si="28"/>
        <v>0</v>
      </c>
      <c r="H359" s="20">
        <f>SUMIFS('PvA Data'!$G$2:$G$1576,'PvA Data'!$A$2:$A$1576,$A359,'PvA Data'!$E$2:$E$1576,$D359,'PvA Data'!$C$2:$C$1576,"Nahunta")</f>
        <v>0</v>
      </c>
      <c r="I359" s="20">
        <f>SUMIFS('PvA Data'!$G$2:$G$1576,'PvA Data'!$A$2:$A$1576,$A359,'PvA Data'!$E$2:$E$1576,$D359,'PvA Data'!$C$2:$C$1576,"Martin")</f>
        <v>0</v>
      </c>
      <c r="J359" s="20">
        <f>SUMIFS('PvA Data'!$G$2:$G$1576,'PvA Data'!$A$2:$A$1576,$A359,'PvA Data'!$E$2:$E$1576,$D359,'PvA Data'!$C$2:$C$1576,"Custom")</f>
        <v>0</v>
      </c>
      <c r="K359" s="36" t="str">
        <f t="shared" si="29"/>
        <v/>
      </c>
      <c r="L359" s="36" t="str">
        <f t="shared" si="30"/>
        <v/>
      </c>
      <c r="M359" s="36" t="str">
        <f t="shared" si="31"/>
        <v/>
      </c>
    </row>
    <row r="360" spans="1:13" ht="15" customHeight="1" x14ac:dyDescent="0.75">
      <c r="A360" s="18" t="s">
        <v>79</v>
      </c>
      <c r="B360" s="19">
        <v>46125</v>
      </c>
      <c r="C360" s="17">
        <v>666517</v>
      </c>
      <c r="D360" s="18" t="s">
        <v>25</v>
      </c>
      <c r="E360" s="20">
        <f>SUMIFS('PvA Data'!$F$2:$F$1576,'PvA Data'!$A$2:$A$1576,$A360,'PvA Data'!$E$2:$E$1576,$D360)</f>
        <v>28</v>
      </c>
      <c r="F360" s="20">
        <f>SUMIFS('PvA Data'!$G$2:$G$1576,'PvA Data'!$A$2:$A$1576,$A360,'PvA Data'!$E$2:$E$1576,$D360)</f>
        <v>0</v>
      </c>
      <c r="G360" s="36">
        <f t="shared" si="28"/>
        <v>0</v>
      </c>
      <c r="H360" s="20">
        <f>SUMIFS('PvA Data'!$G$2:$G$1576,'PvA Data'!$A$2:$A$1576,$A360,'PvA Data'!$E$2:$E$1576,$D360,'PvA Data'!$C$2:$C$1576,"Nahunta")</f>
        <v>0</v>
      </c>
      <c r="I360" s="20">
        <f>SUMIFS('PvA Data'!$G$2:$G$1576,'PvA Data'!$A$2:$A$1576,$A360,'PvA Data'!$E$2:$E$1576,$D360,'PvA Data'!$C$2:$C$1576,"Martin")</f>
        <v>0</v>
      </c>
      <c r="J360" s="20">
        <f>SUMIFS('PvA Data'!$G$2:$G$1576,'PvA Data'!$A$2:$A$1576,$A360,'PvA Data'!$E$2:$E$1576,$D360,'PvA Data'!$C$2:$C$1576,"Custom")</f>
        <v>0</v>
      </c>
      <c r="K360" s="36" t="str">
        <f t="shared" si="29"/>
        <v/>
      </c>
      <c r="L360" s="36" t="str">
        <f t="shared" si="30"/>
        <v/>
      </c>
      <c r="M360" s="36" t="str">
        <f t="shared" si="31"/>
        <v/>
      </c>
    </row>
    <row r="361" spans="1:13" ht="15" customHeight="1" x14ac:dyDescent="0.75">
      <c r="A361" s="18" t="s">
        <v>79</v>
      </c>
      <c r="B361" s="19">
        <v>46125</v>
      </c>
      <c r="C361" s="17">
        <v>666518</v>
      </c>
      <c r="D361" s="18" t="s">
        <v>27</v>
      </c>
      <c r="E361" s="20">
        <f>SUMIFS('PvA Data'!$F$2:$F$1576,'PvA Data'!$A$2:$A$1576,$A361,'PvA Data'!$E$2:$E$1576,$D361)</f>
        <v>0</v>
      </c>
      <c r="F361" s="20">
        <f>SUMIFS('PvA Data'!$G$2:$G$1576,'PvA Data'!$A$2:$A$1576,$A361,'PvA Data'!$E$2:$E$1576,$D361)</f>
        <v>0</v>
      </c>
      <c r="G361" s="36" t="str">
        <f t="shared" si="28"/>
        <v/>
      </c>
      <c r="H361" s="20">
        <f>SUMIFS('PvA Data'!$G$2:$G$1576,'PvA Data'!$A$2:$A$1576,$A361,'PvA Data'!$E$2:$E$1576,$D361,'PvA Data'!$C$2:$C$1576,"Nahunta")</f>
        <v>0</v>
      </c>
      <c r="I361" s="20">
        <f>SUMIFS('PvA Data'!$G$2:$G$1576,'PvA Data'!$A$2:$A$1576,$A361,'PvA Data'!$E$2:$E$1576,$D361,'PvA Data'!$C$2:$C$1576,"Martin")</f>
        <v>0</v>
      </c>
      <c r="J361" s="20">
        <f>SUMIFS('PvA Data'!$G$2:$G$1576,'PvA Data'!$A$2:$A$1576,$A361,'PvA Data'!$E$2:$E$1576,$D361,'PvA Data'!$C$2:$C$1576,"Custom")</f>
        <v>0</v>
      </c>
      <c r="K361" s="36" t="str">
        <f t="shared" si="29"/>
        <v/>
      </c>
      <c r="L361" s="36" t="str">
        <f t="shared" si="30"/>
        <v/>
      </c>
      <c r="M361" s="36" t="str">
        <f t="shared" si="31"/>
        <v/>
      </c>
    </row>
    <row r="362" spans="1:13" ht="15" customHeight="1" x14ac:dyDescent="0.75">
      <c r="A362" s="18" t="s">
        <v>79</v>
      </c>
      <c r="B362" s="19">
        <v>46125</v>
      </c>
      <c r="C362" s="17">
        <v>666519</v>
      </c>
      <c r="D362" s="18" t="s">
        <v>29</v>
      </c>
      <c r="E362" s="20">
        <f>SUMIFS('PvA Data'!$F$2:$F$1576,'PvA Data'!$A$2:$A$1576,$A362,'PvA Data'!$E$2:$E$1576,$D362)</f>
        <v>26</v>
      </c>
      <c r="F362" s="20">
        <f>SUMIFS('PvA Data'!$G$2:$G$1576,'PvA Data'!$A$2:$A$1576,$A362,'PvA Data'!$E$2:$E$1576,$D362)</f>
        <v>0</v>
      </c>
      <c r="G362" s="36">
        <f t="shared" si="28"/>
        <v>0</v>
      </c>
      <c r="H362" s="20">
        <f>SUMIFS('PvA Data'!$G$2:$G$1576,'PvA Data'!$A$2:$A$1576,$A362,'PvA Data'!$E$2:$E$1576,$D362,'PvA Data'!$C$2:$C$1576,"Nahunta")</f>
        <v>0</v>
      </c>
      <c r="I362" s="20">
        <f>SUMIFS('PvA Data'!$G$2:$G$1576,'PvA Data'!$A$2:$A$1576,$A362,'PvA Data'!$E$2:$E$1576,$D362,'PvA Data'!$C$2:$C$1576,"Martin")</f>
        <v>0</v>
      </c>
      <c r="J362" s="20">
        <f>SUMIFS('PvA Data'!$G$2:$G$1576,'PvA Data'!$A$2:$A$1576,$A362,'PvA Data'!$E$2:$E$1576,$D362,'PvA Data'!$C$2:$C$1576,"Custom")</f>
        <v>0</v>
      </c>
      <c r="K362" s="36" t="str">
        <f t="shared" si="29"/>
        <v/>
      </c>
      <c r="L362" s="36" t="str">
        <f t="shared" si="30"/>
        <v/>
      </c>
      <c r="M362" s="36" t="str">
        <f t="shared" si="31"/>
        <v/>
      </c>
    </row>
    <row r="363" spans="1:13" ht="15" customHeight="1" x14ac:dyDescent="0.75">
      <c r="A363" s="18" t="s">
        <v>79</v>
      </c>
      <c r="B363" s="19">
        <v>46125</v>
      </c>
      <c r="C363" s="17">
        <v>666521</v>
      </c>
      <c r="D363" s="18" t="s">
        <v>31</v>
      </c>
      <c r="E363" s="20">
        <f>SUMIFS('PvA Data'!$F$2:$F$1576,'PvA Data'!$A$2:$A$1576,$A363,'PvA Data'!$E$2:$E$1576,$D363)</f>
        <v>60</v>
      </c>
      <c r="F363" s="20">
        <f>SUMIFS('PvA Data'!$G$2:$G$1576,'PvA Data'!$A$2:$A$1576,$A363,'PvA Data'!$E$2:$E$1576,$D363)</f>
        <v>21</v>
      </c>
      <c r="G363" s="36">
        <f t="shared" si="28"/>
        <v>0.35</v>
      </c>
      <c r="H363" s="20">
        <f>SUMIFS('PvA Data'!$G$2:$G$1576,'PvA Data'!$A$2:$A$1576,$A363,'PvA Data'!$E$2:$E$1576,$D363,'PvA Data'!$C$2:$C$1576,"Nahunta")</f>
        <v>21</v>
      </c>
      <c r="I363" s="20">
        <f>SUMIFS('PvA Data'!$G$2:$G$1576,'PvA Data'!$A$2:$A$1576,$A363,'PvA Data'!$E$2:$E$1576,$D363,'PvA Data'!$C$2:$C$1576,"Martin")</f>
        <v>0</v>
      </c>
      <c r="J363" s="20">
        <f>SUMIFS('PvA Data'!$G$2:$G$1576,'PvA Data'!$A$2:$A$1576,$A363,'PvA Data'!$E$2:$E$1576,$D363,'PvA Data'!$C$2:$C$1576,"Custom")</f>
        <v>0</v>
      </c>
      <c r="K363" s="36">
        <f t="shared" si="29"/>
        <v>1</v>
      </c>
      <c r="L363" s="36">
        <f t="shared" si="30"/>
        <v>0</v>
      </c>
      <c r="M363" s="36">
        <f t="shared" si="31"/>
        <v>0</v>
      </c>
    </row>
    <row r="364" spans="1:13" ht="15" customHeight="1" x14ac:dyDescent="0.75">
      <c r="A364" s="18" t="s">
        <v>79</v>
      </c>
      <c r="B364" s="19">
        <v>46125</v>
      </c>
      <c r="C364" s="17">
        <v>666522</v>
      </c>
      <c r="D364" s="18" t="s">
        <v>33</v>
      </c>
      <c r="E364" s="20">
        <f>SUMIFS('PvA Data'!$F$2:$F$1576,'PvA Data'!$A$2:$A$1576,$A364,'PvA Data'!$E$2:$E$1576,$D364)</f>
        <v>230</v>
      </c>
      <c r="F364" s="20">
        <f>SUMIFS('PvA Data'!$G$2:$G$1576,'PvA Data'!$A$2:$A$1576,$A364,'PvA Data'!$E$2:$E$1576,$D364)</f>
        <v>70</v>
      </c>
      <c r="G364" s="36">
        <f t="shared" si="28"/>
        <v>0.30434782608695654</v>
      </c>
      <c r="H364" s="20">
        <f>SUMIFS('PvA Data'!$G$2:$G$1576,'PvA Data'!$A$2:$A$1576,$A364,'PvA Data'!$E$2:$E$1576,$D364,'PvA Data'!$C$2:$C$1576,"Nahunta")</f>
        <v>70</v>
      </c>
      <c r="I364" s="20">
        <f>SUMIFS('PvA Data'!$G$2:$G$1576,'PvA Data'!$A$2:$A$1576,$A364,'PvA Data'!$E$2:$E$1576,$D364,'PvA Data'!$C$2:$C$1576,"Martin")</f>
        <v>0</v>
      </c>
      <c r="J364" s="20">
        <f>SUMIFS('PvA Data'!$G$2:$G$1576,'PvA Data'!$A$2:$A$1576,$A364,'PvA Data'!$E$2:$E$1576,$D364,'PvA Data'!$C$2:$C$1576,"Custom")</f>
        <v>0</v>
      </c>
      <c r="K364" s="36">
        <f t="shared" si="29"/>
        <v>1</v>
      </c>
      <c r="L364" s="36">
        <f t="shared" si="30"/>
        <v>0</v>
      </c>
      <c r="M364" s="36">
        <f t="shared" si="31"/>
        <v>0</v>
      </c>
    </row>
    <row r="365" spans="1:13" ht="15" customHeight="1" x14ac:dyDescent="0.75">
      <c r="A365" s="18" t="s">
        <v>79</v>
      </c>
      <c r="B365" s="19">
        <v>46125</v>
      </c>
      <c r="C365" s="17">
        <v>666523</v>
      </c>
      <c r="D365" s="18" t="s">
        <v>35</v>
      </c>
      <c r="E365" s="20">
        <f>SUMIFS('PvA Data'!$F$2:$F$1576,'PvA Data'!$A$2:$A$1576,$A365,'PvA Data'!$E$2:$E$1576,$D365)</f>
        <v>20</v>
      </c>
      <c r="F365" s="20">
        <f>SUMIFS('PvA Data'!$G$2:$G$1576,'PvA Data'!$A$2:$A$1576,$A365,'PvA Data'!$E$2:$E$1576,$D365)</f>
        <v>0</v>
      </c>
      <c r="G365" s="36">
        <f t="shared" si="28"/>
        <v>0</v>
      </c>
      <c r="H365" s="20">
        <f>SUMIFS('PvA Data'!$G$2:$G$1576,'PvA Data'!$A$2:$A$1576,$A365,'PvA Data'!$E$2:$E$1576,$D365,'PvA Data'!$C$2:$C$1576,"Nahunta")</f>
        <v>0</v>
      </c>
      <c r="I365" s="20">
        <f>SUMIFS('PvA Data'!$G$2:$G$1576,'PvA Data'!$A$2:$A$1576,$A365,'PvA Data'!$E$2:$E$1576,$D365,'PvA Data'!$C$2:$C$1576,"Martin")</f>
        <v>0</v>
      </c>
      <c r="J365" s="20">
        <f>SUMIFS('PvA Data'!$G$2:$G$1576,'PvA Data'!$A$2:$A$1576,$A365,'PvA Data'!$E$2:$E$1576,$D365,'PvA Data'!$C$2:$C$1576,"Custom")</f>
        <v>0</v>
      </c>
      <c r="K365" s="36" t="str">
        <f t="shared" si="29"/>
        <v/>
      </c>
      <c r="L365" s="36" t="str">
        <f t="shared" si="30"/>
        <v/>
      </c>
      <c r="M365" s="36" t="str">
        <f t="shared" si="31"/>
        <v/>
      </c>
    </row>
    <row r="366" spans="1:13" ht="15" customHeight="1" x14ac:dyDescent="0.75">
      <c r="A366" s="18" t="s">
        <v>79</v>
      </c>
      <c r="B366" s="19">
        <v>46125</v>
      </c>
      <c r="C366" s="17">
        <v>666530</v>
      </c>
      <c r="D366" s="18" t="s">
        <v>37</v>
      </c>
      <c r="E366" s="20">
        <f>SUMIFS('PvA Data'!$F$2:$F$1576,'PvA Data'!$A$2:$A$1576,$A366,'PvA Data'!$E$2:$E$1576,$D366)</f>
        <v>12</v>
      </c>
      <c r="F366" s="20">
        <f>SUMIFS('PvA Data'!$G$2:$G$1576,'PvA Data'!$A$2:$A$1576,$A366,'PvA Data'!$E$2:$E$1576,$D366)</f>
        <v>0</v>
      </c>
      <c r="G366" s="36">
        <f t="shared" si="28"/>
        <v>0</v>
      </c>
      <c r="H366" s="20">
        <f>SUMIFS('PvA Data'!$G$2:$G$1576,'PvA Data'!$A$2:$A$1576,$A366,'PvA Data'!$E$2:$E$1576,$D366,'PvA Data'!$C$2:$C$1576,"Nahunta")</f>
        <v>0</v>
      </c>
      <c r="I366" s="20">
        <f>SUMIFS('PvA Data'!$G$2:$G$1576,'PvA Data'!$A$2:$A$1576,$A366,'PvA Data'!$E$2:$E$1576,$D366,'PvA Data'!$C$2:$C$1576,"Martin")</f>
        <v>0</v>
      </c>
      <c r="J366" s="20">
        <f>SUMIFS('PvA Data'!$G$2:$G$1576,'PvA Data'!$A$2:$A$1576,$A366,'PvA Data'!$E$2:$E$1576,$D366,'PvA Data'!$C$2:$C$1576,"Custom")</f>
        <v>0</v>
      </c>
      <c r="K366" s="36" t="str">
        <f t="shared" si="29"/>
        <v/>
      </c>
      <c r="L366" s="36" t="str">
        <f t="shared" si="30"/>
        <v/>
      </c>
      <c r="M366" s="36" t="str">
        <f t="shared" si="31"/>
        <v/>
      </c>
    </row>
    <row r="367" spans="1:13" ht="15" customHeight="1" x14ac:dyDescent="0.75">
      <c r="A367" s="18" t="s">
        <v>79</v>
      </c>
      <c r="B367" s="19">
        <v>46125</v>
      </c>
      <c r="C367" s="17">
        <v>666531</v>
      </c>
      <c r="D367" s="18" t="s">
        <v>39</v>
      </c>
      <c r="E367" s="20">
        <f>SUMIFS('PvA Data'!$F$2:$F$1576,'PvA Data'!$A$2:$A$1576,$A367,'PvA Data'!$E$2:$E$1576,$D367)</f>
        <v>14</v>
      </c>
      <c r="F367" s="20">
        <f>SUMIFS('PvA Data'!$G$2:$G$1576,'PvA Data'!$A$2:$A$1576,$A367,'PvA Data'!$E$2:$E$1576,$D367)</f>
        <v>0</v>
      </c>
      <c r="G367" s="36">
        <f t="shared" si="28"/>
        <v>0</v>
      </c>
      <c r="H367" s="20">
        <f>SUMIFS('PvA Data'!$G$2:$G$1576,'PvA Data'!$A$2:$A$1576,$A367,'PvA Data'!$E$2:$E$1576,$D367,'PvA Data'!$C$2:$C$1576,"Nahunta")</f>
        <v>0</v>
      </c>
      <c r="I367" s="20">
        <f>SUMIFS('PvA Data'!$G$2:$G$1576,'PvA Data'!$A$2:$A$1576,$A367,'PvA Data'!$E$2:$E$1576,$D367,'PvA Data'!$C$2:$C$1576,"Martin")</f>
        <v>0</v>
      </c>
      <c r="J367" s="20">
        <f>SUMIFS('PvA Data'!$G$2:$G$1576,'PvA Data'!$A$2:$A$1576,$A367,'PvA Data'!$E$2:$E$1576,$D367,'PvA Data'!$C$2:$C$1576,"Custom")</f>
        <v>0</v>
      </c>
      <c r="K367" s="36" t="str">
        <f t="shared" si="29"/>
        <v/>
      </c>
      <c r="L367" s="36" t="str">
        <f t="shared" si="30"/>
        <v/>
      </c>
      <c r="M367" s="36" t="str">
        <f t="shared" si="31"/>
        <v/>
      </c>
    </row>
    <row r="368" spans="1:13" ht="15" customHeight="1" x14ac:dyDescent="0.75">
      <c r="A368" s="18" t="s">
        <v>79</v>
      </c>
      <c r="B368" s="19">
        <v>46125</v>
      </c>
      <c r="C368" s="17">
        <v>666540</v>
      </c>
      <c r="D368" s="18" t="s">
        <v>40</v>
      </c>
      <c r="E368" s="20">
        <f>SUMIFS('PvA Data'!$F$2:$F$1576,'PvA Data'!$A$2:$A$1576,$A368,'PvA Data'!$E$2:$E$1576,$D368)</f>
        <v>20</v>
      </c>
      <c r="F368" s="20">
        <f>SUMIFS('PvA Data'!$G$2:$G$1576,'PvA Data'!$A$2:$A$1576,$A368,'PvA Data'!$E$2:$E$1576,$D368)</f>
        <v>0</v>
      </c>
      <c r="G368" s="36">
        <f t="shared" si="28"/>
        <v>0</v>
      </c>
      <c r="H368" s="20">
        <f>SUMIFS('PvA Data'!$G$2:$G$1576,'PvA Data'!$A$2:$A$1576,$A368,'PvA Data'!$E$2:$E$1576,$D368,'PvA Data'!$C$2:$C$1576,"Nahunta")</f>
        <v>0</v>
      </c>
      <c r="I368" s="20">
        <f>SUMIFS('PvA Data'!$G$2:$G$1576,'PvA Data'!$A$2:$A$1576,$A368,'PvA Data'!$E$2:$E$1576,$D368,'PvA Data'!$C$2:$C$1576,"Martin")</f>
        <v>0</v>
      </c>
      <c r="J368" s="20">
        <f>SUMIFS('PvA Data'!$G$2:$G$1576,'PvA Data'!$A$2:$A$1576,$A368,'PvA Data'!$E$2:$E$1576,$D368,'PvA Data'!$C$2:$C$1576,"Custom")</f>
        <v>0</v>
      </c>
      <c r="K368" s="36" t="str">
        <f t="shared" si="29"/>
        <v/>
      </c>
      <c r="L368" s="36" t="str">
        <f t="shared" si="30"/>
        <v/>
      </c>
      <c r="M368" s="36" t="str">
        <f t="shared" si="31"/>
        <v/>
      </c>
    </row>
    <row r="369" spans="1:13" ht="15" customHeight="1" x14ac:dyDescent="0.75">
      <c r="A369" s="18" t="s">
        <v>79</v>
      </c>
      <c r="B369" s="19">
        <v>46125</v>
      </c>
      <c r="C369" s="17">
        <v>666541</v>
      </c>
      <c r="D369" s="18" t="s">
        <v>41</v>
      </c>
      <c r="E369" s="20">
        <f>SUMIFS('PvA Data'!$F$2:$F$1576,'PvA Data'!$A$2:$A$1576,$A369,'PvA Data'!$E$2:$E$1576,$D369)</f>
        <v>340</v>
      </c>
      <c r="F369" s="20">
        <f>SUMIFS('PvA Data'!$G$2:$G$1576,'PvA Data'!$A$2:$A$1576,$A369,'PvA Data'!$E$2:$E$1576,$D369)</f>
        <v>323</v>
      </c>
      <c r="G369" s="36">
        <f t="shared" si="28"/>
        <v>0.95</v>
      </c>
      <c r="H369" s="20">
        <f>SUMIFS('PvA Data'!$G$2:$G$1576,'PvA Data'!$A$2:$A$1576,$A369,'PvA Data'!$E$2:$E$1576,$D369,'PvA Data'!$C$2:$C$1576,"Nahunta")</f>
        <v>0</v>
      </c>
      <c r="I369" s="20">
        <f>SUMIFS('PvA Data'!$G$2:$G$1576,'PvA Data'!$A$2:$A$1576,$A369,'PvA Data'!$E$2:$E$1576,$D369,'PvA Data'!$C$2:$C$1576,"Martin")</f>
        <v>323</v>
      </c>
      <c r="J369" s="20">
        <f>SUMIFS('PvA Data'!$G$2:$G$1576,'PvA Data'!$A$2:$A$1576,$A369,'PvA Data'!$E$2:$E$1576,$D369,'PvA Data'!$C$2:$C$1576,"Custom")</f>
        <v>0</v>
      </c>
      <c r="K369" s="36">
        <f t="shared" si="29"/>
        <v>0</v>
      </c>
      <c r="L369" s="36">
        <f t="shared" si="30"/>
        <v>1</v>
      </c>
      <c r="M369" s="36">
        <f t="shared" si="31"/>
        <v>0</v>
      </c>
    </row>
    <row r="370" spans="1:13" ht="15" customHeight="1" x14ac:dyDescent="0.75">
      <c r="A370" s="18" t="s">
        <v>79</v>
      </c>
      <c r="B370" s="19">
        <v>46125</v>
      </c>
      <c r="C370" s="17">
        <v>666536</v>
      </c>
      <c r="D370" s="18" t="s">
        <v>43</v>
      </c>
      <c r="E370" s="20">
        <f>SUMIFS('PvA Data'!$F$2:$F$1576,'PvA Data'!$A$2:$A$1576,$A370,'PvA Data'!$E$2:$E$1576,$D370)</f>
        <v>14</v>
      </c>
      <c r="F370" s="20">
        <f>SUMIFS('PvA Data'!$G$2:$G$1576,'PvA Data'!$A$2:$A$1576,$A370,'PvA Data'!$E$2:$E$1576,$D370)</f>
        <v>1</v>
      </c>
      <c r="G370" s="36">
        <f t="shared" si="28"/>
        <v>7.1428571428571425E-2</v>
      </c>
      <c r="H370" s="20">
        <f>SUMIFS('PvA Data'!$G$2:$G$1576,'PvA Data'!$A$2:$A$1576,$A370,'PvA Data'!$E$2:$E$1576,$D370,'PvA Data'!$C$2:$C$1576,"Nahunta")</f>
        <v>1</v>
      </c>
      <c r="I370" s="20">
        <f>SUMIFS('PvA Data'!$G$2:$G$1576,'PvA Data'!$A$2:$A$1576,$A370,'PvA Data'!$E$2:$E$1576,$D370,'PvA Data'!$C$2:$C$1576,"Martin")</f>
        <v>0</v>
      </c>
      <c r="J370" s="20">
        <f>SUMIFS('PvA Data'!$G$2:$G$1576,'PvA Data'!$A$2:$A$1576,$A370,'PvA Data'!$E$2:$E$1576,$D370,'PvA Data'!$C$2:$C$1576,"Custom")</f>
        <v>0</v>
      </c>
      <c r="K370" s="36">
        <f t="shared" si="29"/>
        <v>1</v>
      </c>
      <c r="L370" s="36">
        <f t="shared" si="30"/>
        <v>0</v>
      </c>
      <c r="M370" s="36">
        <f t="shared" si="31"/>
        <v>0</v>
      </c>
    </row>
    <row r="371" spans="1:13" ht="15" customHeight="1" x14ac:dyDescent="0.75">
      <c r="A371" s="18" t="s">
        <v>80</v>
      </c>
      <c r="B371" s="19">
        <v>46132</v>
      </c>
      <c r="C371" s="17">
        <v>666501</v>
      </c>
      <c r="D371" s="18" t="s">
        <v>5</v>
      </c>
      <c r="E371" s="20">
        <f>SUMIFS('PvA Data'!$F$2:$F$1576,'PvA Data'!$A$2:$A$1576,$A371,'PvA Data'!$E$2:$E$1576,$D371)</f>
        <v>402</v>
      </c>
      <c r="F371" s="20">
        <f>SUMIFS('PvA Data'!$G$2:$G$1576,'PvA Data'!$A$2:$A$1576,$A371,'PvA Data'!$E$2:$E$1576,$D371)</f>
        <v>567</v>
      </c>
      <c r="G371" s="36">
        <f t="shared" si="28"/>
        <v>1.4104477611940298</v>
      </c>
      <c r="H371" s="20">
        <f>SUMIFS('PvA Data'!$G$2:$G$1576,'PvA Data'!$A$2:$A$1576,$A371,'PvA Data'!$E$2:$E$1576,$D371,'PvA Data'!$C$2:$C$1576,"Nahunta")</f>
        <v>72</v>
      </c>
      <c r="I371" s="20">
        <f>SUMIFS('PvA Data'!$G$2:$G$1576,'PvA Data'!$A$2:$A$1576,$A371,'PvA Data'!$E$2:$E$1576,$D371,'PvA Data'!$C$2:$C$1576,"Martin")</f>
        <v>435</v>
      </c>
      <c r="J371" s="20">
        <f>SUMIFS('PvA Data'!$G$2:$G$1576,'PvA Data'!$A$2:$A$1576,$A371,'PvA Data'!$E$2:$E$1576,$D371,'PvA Data'!$C$2:$C$1576,"Custom")</f>
        <v>60</v>
      </c>
      <c r="K371" s="36">
        <f t="shared" si="29"/>
        <v>0.12698412698412698</v>
      </c>
      <c r="L371" s="36">
        <f t="shared" si="30"/>
        <v>0.76719576719576721</v>
      </c>
      <c r="M371" s="36">
        <f t="shared" si="31"/>
        <v>0.10582010582010581</v>
      </c>
    </row>
    <row r="372" spans="1:13" ht="15" customHeight="1" x14ac:dyDescent="0.75">
      <c r="A372" s="18" t="s">
        <v>80</v>
      </c>
      <c r="B372" s="19">
        <v>46132</v>
      </c>
      <c r="C372" s="17">
        <v>666502</v>
      </c>
      <c r="D372" s="18" t="s">
        <v>7</v>
      </c>
      <c r="E372" s="20">
        <f>SUMIFS('PvA Data'!$F$2:$F$1576,'PvA Data'!$A$2:$A$1576,$A372,'PvA Data'!$E$2:$E$1576,$D372)</f>
        <v>184.5</v>
      </c>
      <c r="F372" s="20">
        <f>SUMIFS('PvA Data'!$G$2:$G$1576,'PvA Data'!$A$2:$A$1576,$A372,'PvA Data'!$E$2:$E$1576,$D372)</f>
        <v>210</v>
      </c>
      <c r="G372" s="36">
        <f t="shared" si="28"/>
        <v>1.1382113821138211</v>
      </c>
      <c r="H372" s="20">
        <f>SUMIFS('PvA Data'!$G$2:$G$1576,'PvA Data'!$A$2:$A$1576,$A372,'PvA Data'!$E$2:$E$1576,$D372,'PvA Data'!$C$2:$C$1576,"Nahunta")</f>
        <v>0</v>
      </c>
      <c r="I372" s="20">
        <f>SUMIFS('PvA Data'!$G$2:$G$1576,'PvA Data'!$A$2:$A$1576,$A372,'PvA Data'!$E$2:$E$1576,$D372,'PvA Data'!$C$2:$C$1576,"Martin")</f>
        <v>192</v>
      </c>
      <c r="J372" s="20">
        <f>SUMIFS('PvA Data'!$G$2:$G$1576,'PvA Data'!$A$2:$A$1576,$A372,'PvA Data'!$E$2:$E$1576,$D372,'PvA Data'!$C$2:$C$1576,"Custom")</f>
        <v>18</v>
      </c>
      <c r="K372" s="36">
        <f t="shared" si="29"/>
        <v>0</v>
      </c>
      <c r="L372" s="36">
        <f t="shared" si="30"/>
        <v>0.91428571428571426</v>
      </c>
      <c r="M372" s="36">
        <f t="shared" si="31"/>
        <v>8.5714285714285715E-2</v>
      </c>
    </row>
    <row r="373" spans="1:13" ht="15" customHeight="1" x14ac:dyDescent="0.75">
      <c r="A373" s="18" t="s">
        <v>80</v>
      </c>
      <c r="B373" s="19">
        <v>46132</v>
      </c>
      <c r="C373" s="17">
        <v>666505</v>
      </c>
      <c r="D373" s="18" t="s">
        <v>9</v>
      </c>
      <c r="E373" s="20">
        <f>SUMIFS('PvA Data'!$F$2:$F$1576,'PvA Data'!$A$2:$A$1576,$A373,'PvA Data'!$E$2:$E$1576,$D373)</f>
        <v>29</v>
      </c>
      <c r="F373" s="20">
        <f>SUMIFS('PvA Data'!$G$2:$G$1576,'PvA Data'!$A$2:$A$1576,$A373,'PvA Data'!$E$2:$E$1576,$D373)</f>
        <v>58</v>
      </c>
      <c r="G373" s="36">
        <f t="shared" si="28"/>
        <v>2</v>
      </c>
      <c r="H373" s="20">
        <f>SUMIFS('PvA Data'!$G$2:$G$1576,'PvA Data'!$A$2:$A$1576,$A373,'PvA Data'!$E$2:$E$1576,$D373,'PvA Data'!$C$2:$C$1576,"Nahunta")</f>
        <v>19</v>
      </c>
      <c r="I373" s="20">
        <f>SUMIFS('PvA Data'!$G$2:$G$1576,'PvA Data'!$A$2:$A$1576,$A373,'PvA Data'!$E$2:$E$1576,$D373,'PvA Data'!$C$2:$C$1576,"Martin")</f>
        <v>0</v>
      </c>
      <c r="J373" s="20">
        <f>SUMIFS('PvA Data'!$G$2:$G$1576,'PvA Data'!$A$2:$A$1576,$A373,'PvA Data'!$E$2:$E$1576,$D373,'PvA Data'!$C$2:$C$1576,"Custom")</f>
        <v>39</v>
      </c>
      <c r="K373" s="36">
        <f t="shared" si="29"/>
        <v>0.32758620689655171</v>
      </c>
      <c r="L373" s="36">
        <f t="shared" si="30"/>
        <v>0</v>
      </c>
      <c r="M373" s="36">
        <f t="shared" si="31"/>
        <v>0.67241379310344829</v>
      </c>
    </row>
    <row r="374" spans="1:13" ht="15" customHeight="1" x14ac:dyDescent="0.75">
      <c r="A374" s="18" t="s">
        <v>80</v>
      </c>
      <c r="B374" s="19">
        <v>46132</v>
      </c>
      <c r="C374" s="17">
        <v>666506</v>
      </c>
      <c r="D374" s="18" t="s">
        <v>11</v>
      </c>
      <c r="E374" s="20">
        <f>SUMIFS('PvA Data'!$F$2:$F$1576,'PvA Data'!$A$2:$A$1576,$A374,'PvA Data'!$E$2:$E$1576,$D374)</f>
        <v>138.5</v>
      </c>
      <c r="F374" s="20">
        <f>SUMIFS('PvA Data'!$G$2:$G$1576,'PvA Data'!$A$2:$A$1576,$A374,'PvA Data'!$E$2:$E$1576,$D374)</f>
        <v>154</v>
      </c>
      <c r="G374" s="36">
        <f t="shared" si="28"/>
        <v>1.1119133574007221</v>
      </c>
      <c r="H374" s="20">
        <f>SUMIFS('PvA Data'!$G$2:$G$1576,'PvA Data'!$A$2:$A$1576,$A374,'PvA Data'!$E$2:$E$1576,$D374,'PvA Data'!$C$2:$C$1576,"Nahunta")</f>
        <v>0</v>
      </c>
      <c r="I374" s="20">
        <f>SUMIFS('PvA Data'!$G$2:$G$1576,'PvA Data'!$A$2:$A$1576,$A374,'PvA Data'!$E$2:$E$1576,$D374,'PvA Data'!$C$2:$C$1576,"Martin")</f>
        <v>154</v>
      </c>
      <c r="J374" s="20">
        <f>SUMIFS('PvA Data'!$G$2:$G$1576,'PvA Data'!$A$2:$A$1576,$A374,'PvA Data'!$E$2:$E$1576,$D374,'PvA Data'!$C$2:$C$1576,"Custom")</f>
        <v>0</v>
      </c>
      <c r="K374" s="36">
        <f t="shared" si="29"/>
        <v>0</v>
      </c>
      <c r="L374" s="36">
        <f t="shared" si="30"/>
        <v>1</v>
      </c>
      <c r="M374" s="36">
        <f t="shared" si="31"/>
        <v>0</v>
      </c>
    </row>
    <row r="375" spans="1:13" ht="15" customHeight="1" x14ac:dyDescent="0.75">
      <c r="A375" s="18" t="s">
        <v>80</v>
      </c>
      <c r="B375" s="19">
        <v>46132</v>
      </c>
      <c r="C375" s="17">
        <v>666507</v>
      </c>
      <c r="D375" s="18" t="s">
        <v>13</v>
      </c>
      <c r="E375" s="20">
        <f>SUMIFS('PvA Data'!$F$2:$F$1576,'PvA Data'!$A$2:$A$1576,$A375,'PvA Data'!$E$2:$E$1576,$D375)</f>
        <v>8</v>
      </c>
      <c r="F375" s="20">
        <f>SUMIFS('PvA Data'!$G$2:$G$1576,'PvA Data'!$A$2:$A$1576,$A375,'PvA Data'!$E$2:$E$1576,$D375)</f>
        <v>0</v>
      </c>
      <c r="G375" s="36">
        <f t="shared" si="28"/>
        <v>0</v>
      </c>
      <c r="H375" s="20">
        <f>SUMIFS('PvA Data'!$G$2:$G$1576,'PvA Data'!$A$2:$A$1576,$A375,'PvA Data'!$E$2:$E$1576,$D375,'PvA Data'!$C$2:$C$1576,"Nahunta")</f>
        <v>0</v>
      </c>
      <c r="I375" s="20">
        <f>SUMIFS('PvA Data'!$G$2:$G$1576,'PvA Data'!$A$2:$A$1576,$A375,'PvA Data'!$E$2:$E$1576,$D375,'PvA Data'!$C$2:$C$1576,"Martin")</f>
        <v>0</v>
      </c>
      <c r="J375" s="20">
        <f>SUMIFS('PvA Data'!$G$2:$G$1576,'PvA Data'!$A$2:$A$1576,$A375,'PvA Data'!$E$2:$E$1576,$D375,'PvA Data'!$C$2:$C$1576,"Custom")</f>
        <v>0</v>
      </c>
      <c r="K375" s="36" t="str">
        <f t="shared" si="29"/>
        <v/>
      </c>
      <c r="L375" s="36" t="str">
        <f t="shared" si="30"/>
        <v/>
      </c>
      <c r="M375" s="36" t="str">
        <f t="shared" si="31"/>
        <v/>
      </c>
    </row>
    <row r="376" spans="1:13" ht="15" customHeight="1" x14ac:dyDescent="0.75">
      <c r="A376" s="18" t="s">
        <v>80</v>
      </c>
      <c r="B376" s="19">
        <v>46132</v>
      </c>
      <c r="C376" s="17">
        <v>666509</v>
      </c>
      <c r="D376" s="18" t="s">
        <v>15</v>
      </c>
      <c r="E376" s="20">
        <f>SUMIFS('PvA Data'!$F$2:$F$1576,'PvA Data'!$A$2:$A$1576,$A376,'PvA Data'!$E$2:$E$1576,$D376)</f>
        <v>34</v>
      </c>
      <c r="F376" s="20">
        <f>SUMIFS('PvA Data'!$G$2:$G$1576,'PvA Data'!$A$2:$A$1576,$A376,'PvA Data'!$E$2:$E$1576,$D376)</f>
        <v>42</v>
      </c>
      <c r="G376" s="36">
        <f t="shared" si="28"/>
        <v>1.2352941176470589</v>
      </c>
      <c r="H376" s="20">
        <f>SUMIFS('PvA Data'!$G$2:$G$1576,'PvA Data'!$A$2:$A$1576,$A376,'PvA Data'!$E$2:$E$1576,$D376,'PvA Data'!$C$2:$C$1576,"Nahunta")</f>
        <v>42</v>
      </c>
      <c r="I376" s="20">
        <f>SUMIFS('PvA Data'!$G$2:$G$1576,'PvA Data'!$A$2:$A$1576,$A376,'PvA Data'!$E$2:$E$1576,$D376,'PvA Data'!$C$2:$C$1576,"Martin")</f>
        <v>0</v>
      </c>
      <c r="J376" s="20">
        <f>SUMIFS('PvA Data'!$G$2:$G$1576,'PvA Data'!$A$2:$A$1576,$A376,'PvA Data'!$E$2:$E$1576,$D376,'PvA Data'!$C$2:$C$1576,"Custom")</f>
        <v>0</v>
      </c>
      <c r="K376" s="36">
        <f t="shared" si="29"/>
        <v>1</v>
      </c>
      <c r="L376" s="36">
        <f t="shared" si="30"/>
        <v>0</v>
      </c>
      <c r="M376" s="36">
        <f t="shared" si="31"/>
        <v>0</v>
      </c>
    </row>
    <row r="377" spans="1:13" ht="15" customHeight="1" x14ac:dyDescent="0.75">
      <c r="A377" s="18" t="s">
        <v>80</v>
      </c>
      <c r="B377" s="19">
        <v>46132</v>
      </c>
      <c r="C377" s="17">
        <v>666510</v>
      </c>
      <c r="D377" s="18" t="s">
        <v>17</v>
      </c>
      <c r="E377" s="20">
        <f>SUMIFS('PvA Data'!$F$2:$F$1576,'PvA Data'!$A$2:$A$1576,$A377,'PvA Data'!$E$2:$E$1576,$D377)</f>
        <v>0</v>
      </c>
      <c r="F377" s="20">
        <f>SUMIFS('PvA Data'!$G$2:$G$1576,'PvA Data'!$A$2:$A$1576,$A377,'PvA Data'!$E$2:$E$1576,$D377)</f>
        <v>0</v>
      </c>
      <c r="G377" s="36" t="str">
        <f t="shared" si="28"/>
        <v/>
      </c>
      <c r="H377" s="20">
        <f>SUMIFS('PvA Data'!$G$2:$G$1576,'PvA Data'!$A$2:$A$1576,$A377,'PvA Data'!$E$2:$E$1576,$D377,'PvA Data'!$C$2:$C$1576,"Nahunta")</f>
        <v>0</v>
      </c>
      <c r="I377" s="20">
        <f>SUMIFS('PvA Data'!$G$2:$G$1576,'PvA Data'!$A$2:$A$1576,$A377,'PvA Data'!$E$2:$E$1576,$D377,'PvA Data'!$C$2:$C$1576,"Martin")</f>
        <v>0</v>
      </c>
      <c r="J377" s="20">
        <f>SUMIFS('PvA Data'!$G$2:$G$1576,'PvA Data'!$A$2:$A$1576,$A377,'PvA Data'!$E$2:$E$1576,$D377,'PvA Data'!$C$2:$C$1576,"Custom")</f>
        <v>0</v>
      </c>
      <c r="K377" s="36" t="str">
        <f t="shared" si="29"/>
        <v/>
      </c>
      <c r="L377" s="36" t="str">
        <f t="shared" si="30"/>
        <v/>
      </c>
      <c r="M377" s="36" t="str">
        <f t="shared" si="31"/>
        <v/>
      </c>
    </row>
    <row r="378" spans="1:13" ht="15" customHeight="1" x14ac:dyDescent="0.75">
      <c r="A378" s="18" t="s">
        <v>80</v>
      </c>
      <c r="B378" s="19">
        <v>46132</v>
      </c>
      <c r="C378" s="17">
        <v>666511</v>
      </c>
      <c r="D378" s="18" t="s">
        <v>19</v>
      </c>
      <c r="E378" s="20">
        <f>SUMIFS('PvA Data'!$F$2:$F$1576,'PvA Data'!$A$2:$A$1576,$A378,'PvA Data'!$E$2:$E$1576,$D378)</f>
        <v>3</v>
      </c>
      <c r="F378" s="20">
        <f>SUMIFS('PvA Data'!$G$2:$G$1576,'PvA Data'!$A$2:$A$1576,$A378,'PvA Data'!$E$2:$E$1576,$D378)</f>
        <v>0</v>
      </c>
      <c r="G378" s="36">
        <f t="shared" si="28"/>
        <v>0</v>
      </c>
      <c r="H378" s="20">
        <f>SUMIFS('PvA Data'!$G$2:$G$1576,'PvA Data'!$A$2:$A$1576,$A378,'PvA Data'!$E$2:$E$1576,$D378,'PvA Data'!$C$2:$C$1576,"Nahunta")</f>
        <v>0</v>
      </c>
      <c r="I378" s="20">
        <f>SUMIFS('PvA Data'!$G$2:$G$1576,'PvA Data'!$A$2:$A$1576,$A378,'PvA Data'!$E$2:$E$1576,$D378,'PvA Data'!$C$2:$C$1576,"Martin")</f>
        <v>0</v>
      </c>
      <c r="J378" s="20">
        <f>SUMIFS('PvA Data'!$G$2:$G$1576,'PvA Data'!$A$2:$A$1576,$A378,'PvA Data'!$E$2:$E$1576,$D378,'PvA Data'!$C$2:$C$1576,"Custom")</f>
        <v>0</v>
      </c>
      <c r="K378" s="36" t="str">
        <f t="shared" si="29"/>
        <v/>
      </c>
      <c r="L378" s="36" t="str">
        <f t="shared" si="30"/>
        <v/>
      </c>
      <c r="M378" s="36" t="str">
        <f t="shared" si="31"/>
        <v/>
      </c>
    </row>
    <row r="379" spans="1:13" ht="15" customHeight="1" x14ac:dyDescent="0.75">
      <c r="A379" s="18" t="s">
        <v>80</v>
      </c>
      <c r="B379" s="19">
        <v>46132</v>
      </c>
      <c r="C379" s="17">
        <v>666513</v>
      </c>
      <c r="D379" s="18" t="s">
        <v>21</v>
      </c>
      <c r="E379" s="20">
        <f>SUMIFS('PvA Data'!$F$2:$F$1576,'PvA Data'!$A$2:$A$1576,$A379,'PvA Data'!$E$2:$E$1576,$D379)</f>
        <v>10</v>
      </c>
      <c r="F379" s="20">
        <f>SUMIFS('PvA Data'!$G$2:$G$1576,'PvA Data'!$A$2:$A$1576,$A379,'PvA Data'!$E$2:$E$1576,$D379)</f>
        <v>20</v>
      </c>
      <c r="G379" s="36">
        <f t="shared" si="28"/>
        <v>2</v>
      </c>
      <c r="H379" s="20">
        <f>SUMIFS('PvA Data'!$G$2:$G$1576,'PvA Data'!$A$2:$A$1576,$A379,'PvA Data'!$E$2:$E$1576,$D379,'PvA Data'!$C$2:$C$1576,"Nahunta")</f>
        <v>6</v>
      </c>
      <c r="I379" s="20">
        <f>SUMIFS('PvA Data'!$G$2:$G$1576,'PvA Data'!$A$2:$A$1576,$A379,'PvA Data'!$E$2:$E$1576,$D379,'PvA Data'!$C$2:$C$1576,"Martin")</f>
        <v>0</v>
      </c>
      <c r="J379" s="20">
        <f>SUMIFS('PvA Data'!$G$2:$G$1576,'PvA Data'!$A$2:$A$1576,$A379,'PvA Data'!$E$2:$E$1576,$D379,'PvA Data'!$C$2:$C$1576,"Custom")</f>
        <v>14</v>
      </c>
      <c r="K379" s="36">
        <f t="shared" si="29"/>
        <v>0.3</v>
      </c>
      <c r="L379" s="36">
        <f t="shared" si="30"/>
        <v>0</v>
      </c>
      <c r="M379" s="36">
        <f t="shared" si="31"/>
        <v>0.7</v>
      </c>
    </row>
    <row r="380" spans="1:13" ht="15" customHeight="1" x14ac:dyDescent="0.75">
      <c r="A380" s="18" t="s">
        <v>80</v>
      </c>
      <c r="B380" s="19">
        <v>46132</v>
      </c>
      <c r="C380" s="17">
        <v>666516</v>
      </c>
      <c r="D380" s="18" t="s">
        <v>23</v>
      </c>
      <c r="E380" s="20">
        <f>SUMIFS('PvA Data'!$F$2:$F$1576,'PvA Data'!$A$2:$A$1576,$A380,'PvA Data'!$E$2:$E$1576,$D380)</f>
        <v>31</v>
      </c>
      <c r="F380" s="20">
        <f>SUMIFS('PvA Data'!$G$2:$G$1576,'PvA Data'!$A$2:$A$1576,$A380,'PvA Data'!$E$2:$E$1576,$D380)</f>
        <v>62</v>
      </c>
      <c r="G380" s="36">
        <f t="shared" si="28"/>
        <v>2</v>
      </c>
      <c r="H380" s="20">
        <f>SUMIFS('PvA Data'!$G$2:$G$1576,'PvA Data'!$A$2:$A$1576,$A380,'PvA Data'!$E$2:$E$1576,$D380,'PvA Data'!$C$2:$C$1576,"Nahunta")</f>
        <v>31</v>
      </c>
      <c r="I380" s="20">
        <f>SUMIFS('PvA Data'!$G$2:$G$1576,'PvA Data'!$A$2:$A$1576,$A380,'PvA Data'!$E$2:$E$1576,$D380,'PvA Data'!$C$2:$C$1576,"Martin")</f>
        <v>0</v>
      </c>
      <c r="J380" s="20">
        <f>SUMIFS('PvA Data'!$G$2:$G$1576,'PvA Data'!$A$2:$A$1576,$A380,'PvA Data'!$E$2:$E$1576,$D380,'PvA Data'!$C$2:$C$1576,"Custom")</f>
        <v>31</v>
      </c>
      <c r="K380" s="36">
        <f t="shared" si="29"/>
        <v>0.5</v>
      </c>
      <c r="L380" s="36">
        <f t="shared" si="30"/>
        <v>0</v>
      </c>
      <c r="M380" s="36">
        <f t="shared" si="31"/>
        <v>0.5</v>
      </c>
    </row>
    <row r="381" spans="1:13" ht="15" customHeight="1" x14ac:dyDescent="0.75">
      <c r="A381" s="18" t="s">
        <v>80</v>
      </c>
      <c r="B381" s="19">
        <v>46132</v>
      </c>
      <c r="C381" s="17">
        <v>666517</v>
      </c>
      <c r="D381" s="18" t="s">
        <v>25</v>
      </c>
      <c r="E381" s="20">
        <f>SUMIFS('PvA Data'!$F$2:$F$1576,'PvA Data'!$A$2:$A$1576,$A381,'PvA Data'!$E$2:$E$1576,$D381)</f>
        <v>28</v>
      </c>
      <c r="F381" s="20">
        <f>SUMIFS('PvA Data'!$G$2:$G$1576,'PvA Data'!$A$2:$A$1576,$A381,'PvA Data'!$E$2:$E$1576,$D381)</f>
        <v>55</v>
      </c>
      <c r="G381" s="36">
        <f t="shared" si="28"/>
        <v>1.9642857142857142</v>
      </c>
      <c r="H381" s="20">
        <f>SUMIFS('PvA Data'!$G$2:$G$1576,'PvA Data'!$A$2:$A$1576,$A381,'PvA Data'!$E$2:$E$1576,$D381,'PvA Data'!$C$2:$C$1576,"Nahunta")</f>
        <v>38</v>
      </c>
      <c r="I381" s="20">
        <f>SUMIFS('PvA Data'!$G$2:$G$1576,'PvA Data'!$A$2:$A$1576,$A381,'PvA Data'!$E$2:$E$1576,$D381,'PvA Data'!$C$2:$C$1576,"Martin")</f>
        <v>0</v>
      </c>
      <c r="J381" s="20">
        <f>SUMIFS('PvA Data'!$G$2:$G$1576,'PvA Data'!$A$2:$A$1576,$A381,'PvA Data'!$E$2:$E$1576,$D381,'PvA Data'!$C$2:$C$1576,"Custom")</f>
        <v>17</v>
      </c>
      <c r="K381" s="36">
        <f t="shared" si="29"/>
        <v>0.69090909090909092</v>
      </c>
      <c r="L381" s="36">
        <f t="shared" si="30"/>
        <v>0</v>
      </c>
      <c r="M381" s="36">
        <f t="shared" si="31"/>
        <v>0.30909090909090908</v>
      </c>
    </row>
    <row r="382" spans="1:13" ht="15" customHeight="1" x14ac:dyDescent="0.75">
      <c r="A382" s="18" t="s">
        <v>80</v>
      </c>
      <c r="B382" s="19">
        <v>46132</v>
      </c>
      <c r="C382" s="17">
        <v>666518</v>
      </c>
      <c r="D382" s="18" t="s">
        <v>27</v>
      </c>
      <c r="E382" s="20">
        <f>SUMIFS('PvA Data'!$F$2:$F$1576,'PvA Data'!$A$2:$A$1576,$A382,'PvA Data'!$E$2:$E$1576,$D382)</f>
        <v>0</v>
      </c>
      <c r="F382" s="20">
        <f>SUMIFS('PvA Data'!$G$2:$G$1576,'PvA Data'!$A$2:$A$1576,$A382,'PvA Data'!$E$2:$E$1576,$D382)</f>
        <v>0</v>
      </c>
      <c r="G382" s="36" t="str">
        <f t="shared" si="28"/>
        <v/>
      </c>
      <c r="H382" s="20">
        <f>SUMIFS('PvA Data'!$G$2:$G$1576,'PvA Data'!$A$2:$A$1576,$A382,'PvA Data'!$E$2:$E$1576,$D382,'PvA Data'!$C$2:$C$1576,"Nahunta")</f>
        <v>0</v>
      </c>
      <c r="I382" s="20">
        <f>SUMIFS('PvA Data'!$G$2:$G$1576,'PvA Data'!$A$2:$A$1576,$A382,'PvA Data'!$E$2:$E$1576,$D382,'PvA Data'!$C$2:$C$1576,"Martin")</f>
        <v>0</v>
      </c>
      <c r="J382" s="20">
        <f>SUMIFS('PvA Data'!$G$2:$G$1576,'PvA Data'!$A$2:$A$1576,$A382,'PvA Data'!$E$2:$E$1576,$D382,'PvA Data'!$C$2:$C$1576,"Custom")</f>
        <v>0</v>
      </c>
      <c r="K382" s="36" t="str">
        <f t="shared" si="29"/>
        <v/>
      </c>
      <c r="L382" s="36" t="str">
        <f t="shared" si="30"/>
        <v/>
      </c>
      <c r="M382" s="36" t="str">
        <f t="shared" si="31"/>
        <v/>
      </c>
    </row>
    <row r="383" spans="1:13" ht="15" customHeight="1" x14ac:dyDescent="0.75">
      <c r="A383" s="18" t="s">
        <v>80</v>
      </c>
      <c r="B383" s="19">
        <v>46132</v>
      </c>
      <c r="C383" s="17">
        <v>666519</v>
      </c>
      <c r="D383" s="18" t="s">
        <v>29</v>
      </c>
      <c r="E383" s="20">
        <f>SUMIFS('PvA Data'!$F$2:$F$1576,'PvA Data'!$A$2:$A$1576,$A383,'PvA Data'!$E$2:$E$1576,$D383)</f>
        <v>26</v>
      </c>
      <c r="F383" s="20">
        <f>SUMIFS('PvA Data'!$G$2:$G$1576,'PvA Data'!$A$2:$A$1576,$A383,'PvA Data'!$E$2:$E$1576,$D383)</f>
        <v>52</v>
      </c>
      <c r="G383" s="36">
        <f t="shared" si="28"/>
        <v>2</v>
      </c>
      <c r="H383" s="20">
        <f>SUMIFS('PvA Data'!$G$2:$G$1576,'PvA Data'!$A$2:$A$1576,$A383,'PvA Data'!$E$2:$E$1576,$D383,'PvA Data'!$C$2:$C$1576,"Nahunta")</f>
        <v>26</v>
      </c>
      <c r="I383" s="20">
        <f>SUMIFS('PvA Data'!$G$2:$G$1576,'PvA Data'!$A$2:$A$1576,$A383,'PvA Data'!$E$2:$E$1576,$D383,'PvA Data'!$C$2:$C$1576,"Martin")</f>
        <v>0</v>
      </c>
      <c r="J383" s="20">
        <f>SUMIFS('PvA Data'!$G$2:$G$1576,'PvA Data'!$A$2:$A$1576,$A383,'PvA Data'!$E$2:$E$1576,$D383,'PvA Data'!$C$2:$C$1576,"Custom")</f>
        <v>26</v>
      </c>
      <c r="K383" s="36">
        <f t="shared" si="29"/>
        <v>0.5</v>
      </c>
      <c r="L383" s="36">
        <f t="shared" si="30"/>
        <v>0</v>
      </c>
      <c r="M383" s="36">
        <f t="shared" si="31"/>
        <v>0.5</v>
      </c>
    </row>
    <row r="384" spans="1:13" ht="15" customHeight="1" x14ac:dyDescent="0.75">
      <c r="A384" s="18" t="s">
        <v>80</v>
      </c>
      <c r="B384" s="19">
        <v>46132</v>
      </c>
      <c r="C384" s="17">
        <v>666521</v>
      </c>
      <c r="D384" s="18" t="s">
        <v>31</v>
      </c>
      <c r="E384" s="20">
        <f>SUMIFS('PvA Data'!$F$2:$F$1576,'PvA Data'!$A$2:$A$1576,$A384,'PvA Data'!$E$2:$E$1576,$D384)</f>
        <v>60</v>
      </c>
      <c r="F384" s="20">
        <f>SUMIFS('PvA Data'!$G$2:$G$1576,'PvA Data'!$A$2:$A$1576,$A384,'PvA Data'!$E$2:$E$1576,$D384)</f>
        <v>74</v>
      </c>
      <c r="G384" s="36">
        <f t="shared" si="28"/>
        <v>1.2333333333333334</v>
      </c>
      <c r="H384" s="20">
        <f>SUMIFS('PvA Data'!$G$2:$G$1576,'PvA Data'!$A$2:$A$1576,$A384,'PvA Data'!$E$2:$E$1576,$D384,'PvA Data'!$C$2:$C$1576,"Nahunta")</f>
        <v>74</v>
      </c>
      <c r="I384" s="20">
        <f>SUMIFS('PvA Data'!$G$2:$G$1576,'PvA Data'!$A$2:$A$1576,$A384,'PvA Data'!$E$2:$E$1576,$D384,'PvA Data'!$C$2:$C$1576,"Martin")</f>
        <v>0</v>
      </c>
      <c r="J384" s="20">
        <f>SUMIFS('PvA Data'!$G$2:$G$1576,'PvA Data'!$A$2:$A$1576,$A384,'PvA Data'!$E$2:$E$1576,$D384,'PvA Data'!$C$2:$C$1576,"Custom")</f>
        <v>0</v>
      </c>
      <c r="K384" s="36">
        <f t="shared" si="29"/>
        <v>1</v>
      </c>
      <c r="L384" s="36">
        <f t="shared" si="30"/>
        <v>0</v>
      </c>
      <c r="M384" s="36">
        <f t="shared" si="31"/>
        <v>0</v>
      </c>
    </row>
    <row r="385" spans="1:13" ht="15" customHeight="1" x14ac:dyDescent="0.75">
      <c r="A385" s="18" t="s">
        <v>80</v>
      </c>
      <c r="B385" s="19">
        <v>46132</v>
      </c>
      <c r="C385" s="17">
        <v>666522</v>
      </c>
      <c r="D385" s="18" t="s">
        <v>33</v>
      </c>
      <c r="E385" s="20">
        <f>SUMIFS('PvA Data'!$F$2:$F$1576,'PvA Data'!$A$2:$A$1576,$A385,'PvA Data'!$E$2:$E$1576,$D385)</f>
        <v>210</v>
      </c>
      <c r="F385" s="20">
        <f>SUMIFS('PvA Data'!$G$2:$G$1576,'PvA Data'!$A$2:$A$1576,$A385,'PvA Data'!$E$2:$E$1576,$D385)</f>
        <v>385</v>
      </c>
      <c r="G385" s="36">
        <f t="shared" si="28"/>
        <v>1.8333333333333333</v>
      </c>
      <c r="H385" s="20">
        <f>SUMIFS('PvA Data'!$G$2:$G$1576,'PvA Data'!$A$2:$A$1576,$A385,'PvA Data'!$E$2:$E$1576,$D385,'PvA Data'!$C$2:$C$1576,"Nahunta")</f>
        <v>185</v>
      </c>
      <c r="I385" s="20">
        <f>SUMIFS('PvA Data'!$G$2:$G$1576,'PvA Data'!$A$2:$A$1576,$A385,'PvA Data'!$E$2:$E$1576,$D385,'PvA Data'!$C$2:$C$1576,"Martin")</f>
        <v>50</v>
      </c>
      <c r="J385" s="20">
        <f>SUMIFS('PvA Data'!$G$2:$G$1576,'PvA Data'!$A$2:$A$1576,$A385,'PvA Data'!$E$2:$E$1576,$D385,'PvA Data'!$C$2:$C$1576,"Custom")</f>
        <v>150</v>
      </c>
      <c r="K385" s="36">
        <f t="shared" si="29"/>
        <v>0.48051948051948051</v>
      </c>
      <c r="L385" s="36">
        <f t="shared" si="30"/>
        <v>0.12987012987012986</v>
      </c>
      <c r="M385" s="36">
        <f t="shared" si="31"/>
        <v>0.38961038961038963</v>
      </c>
    </row>
    <row r="386" spans="1:13" ht="15" customHeight="1" x14ac:dyDescent="0.75">
      <c r="A386" s="18" t="s">
        <v>80</v>
      </c>
      <c r="B386" s="19">
        <v>46132</v>
      </c>
      <c r="C386" s="17">
        <v>666523</v>
      </c>
      <c r="D386" s="18" t="s">
        <v>35</v>
      </c>
      <c r="E386" s="20">
        <f>SUMIFS('PvA Data'!$F$2:$F$1576,'PvA Data'!$A$2:$A$1576,$A386,'PvA Data'!$E$2:$E$1576,$D386)</f>
        <v>20</v>
      </c>
      <c r="F386" s="20">
        <f>SUMIFS('PvA Data'!$G$2:$G$1576,'PvA Data'!$A$2:$A$1576,$A386,'PvA Data'!$E$2:$E$1576,$D386)</f>
        <v>40</v>
      </c>
      <c r="G386" s="36">
        <f t="shared" si="28"/>
        <v>2</v>
      </c>
      <c r="H386" s="20">
        <f>SUMIFS('PvA Data'!$G$2:$G$1576,'PvA Data'!$A$2:$A$1576,$A386,'PvA Data'!$E$2:$E$1576,$D386,'PvA Data'!$C$2:$C$1576,"Nahunta")</f>
        <v>0</v>
      </c>
      <c r="I386" s="20">
        <f>SUMIFS('PvA Data'!$G$2:$G$1576,'PvA Data'!$A$2:$A$1576,$A386,'PvA Data'!$E$2:$E$1576,$D386,'PvA Data'!$C$2:$C$1576,"Martin")</f>
        <v>0</v>
      </c>
      <c r="J386" s="20">
        <f>SUMIFS('PvA Data'!$G$2:$G$1576,'PvA Data'!$A$2:$A$1576,$A386,'PvA Data'!$E$2:$E$1576,$D386,'PvA Data'!$C$2:$C$1576,"Custom")</f>
        <v>40</v>
      </c>
      <c r="K386" s="36">
        <f t="shared" si="29"/>
        <v>0</v>
      </c>
      <c r="L386" s="36">
        <f t="shared" si="30"/>
        <v>0</v>
      </c>
      <c r="M386" s="36">
        <f t="shared" si="31"/>
        <v>1</v>
      </c>
    </row>
    <row r="387" spans="1:13" ht="15" customHeight="1" x14ac:dyDescent="0.75">
      <c r="A387" s="18" t="s">
        <v>80</v>
      </c>
      <c r="B387" s="19">
        <v>46132</v>
      </c>
      <c r="C387" s="17">
        <v>666530</v>
      </c>
      <c r="D387" s="18" t="s">
        <v>37</v>
      </c>
      <c r="E387" s="20">
        <f>SUMIFS('PvA Data'!$F$2:$F$1576,'PvA Data'!$A$2:$A$1576,$A387,'PvA Data'!$E$2:$E$1576,$D387)</f>
        <v>12</v>
      </c>
      <c r="F387" s="20">
        <f>SUMIFS('PvA Data'!$G$2:$G$1576,'PvA Data'!$A$2:$A$1576,$A387,'PvA Data'!$E$2:$E$1576,$D387)</f>
        <v>24</v>
      </c>
      <c r="G387" s="36">
        <f t="shared" si="28"/>
        <v>2</v>
      </c>
      <c r="H387" s="20">
        <f>SUMIFS('PvA Data'!$G$2:$G$1576,'PvA Data'!$A$2:$A$1576,$A387,'PvA Data'!$E$2:$E$1576,$D387,'PvA Data'!$C$2:$C$1576,"Nahunta")</f>
        <v>0</v>
      </c>
      <c r="I387" s="20">
        <f>SUMIFS('PvA Data'!$G$2:$G$1576,'PvA Data'!$A$2:$A$1576,$A387,'PvA Data'!$E$2:$E$1576,$D387,'PvA Data'!$C$2:$C$1576,"Martin")</f>
        <v>0</v>
      </c>
      <c r="J387" s="20">
        <f>SUMIFS('PvA Data'!$G$2:$G$1576,'PvA Data'!$A$2:$A$1576,$A387,'PvA Data'!$E$2:$E$1576,$D387,'PvA Data'!$C$2:$C$1576,"Custom")</f>
        <v>24</v>
      </c>
      <c r="K387" s="36">
        <f t="shared" si="29"/>
        <v>0</v>
      </c>
      <c r="L387" s="36">
        <f t="shared" si="30"/>
        <v>0</v>
      </c>
      <c r="M387" s="36">
        <f t="shared" si="31"/>
        <v>1</v>
      </c>
    </row>
    <row r="388" spans="1:13" ht="15" customHeight="1" x14ac:dyDescent="0.75">
      <c r="A388" s="18" t="s">
        <v>80</v>
      </c>
      <c r="B388" s="19">
        <v>46132</v>
      </c>
      <c r="C388" s="17">
        <v>666531</v>
      </c>
      <c r="D388" s="18" t="s">
        <v>39</v>
      </c>
      <c r="E388" s="20">
        <f>SUMIFS('PvA Data'!$F$2:$F$1576,'PvA Data'!$A$2:$A$1576,$A388,'PvA Data'!$E$2:$E$1576,$D388)</f>
        <v>14</v>
      </c>
      <c r="F388" s="20">
        <f>SUMIFS('PvA Data'!$G$2:$G$1576,'PvA Data'!$A$2:$A$1576,$A388,'PvA Data'!$E$2:$E$1576,$D388)</f>
        <v>23</v>
      </c>
      <c r="G388" s="36">
        <f t="shared" si="28"/>
        <v>1.6428571428571428</v>
      </c>
      <c r="H388" s="20">
        <f>SUMIFS('PvA Data'!$G$2:$G$1576,'PvA Data'!$A$2:$A$1576,$A388,'PvA Data'!$E$2:$E$1576,$D388,'PvA Data'!$C$2:$C$1576,"Nahunta")</f>
        <v>15</v>
      </c>
      <c r="I388" s="20">
        <f>SUMIFS('PvA Data'!$G$2:$G$1576,'PvA Data'!$A$2:$A$1576,$A388,'PvA Data'!$E$2:$E$1576,$D388,'PvA Data'!$C$2:$C$1576,"Martin")</f>
        <v>0</v>
      </c>
      <c r="J388" s="20">
        <f>SUMIFS('PvA Data'!$G$2:$G$1576,'PvA Data'!$A$2:$A$1576,$A388,'PvA Data'!$E$2:$E$1576,$D388,'PvA Data'!$C$2:$C$1576,"Custom")</f>
        <v>8</v>
      </c>
      <c r="K388" s="36">
        <f t="shared" si="29"/>
        <v>0.65217391304347827</v>
      </c>
      <c r="L388" s="36">
        <f t="shared" si="30"/>
        <v>0</v>
      </c>
      <c r="M388" s="36">
        <f t="shared" si="31"/>
        <v>0.34782608695652173</v>
      </c>
    </row>
    <row r="389" spans="1:13" ht="15" customHeight="1" x14ac:dyDescent="0.75">
      <c r="A389" s="18" t="s">
        <v>80</v>
      </c>
      <c r="B389" s="19">
        <v>46132</v>
      </c>
      <c r="C389" s="17">
        <v>666540</v>
      </c>
      <c r="D389" s="18" t="s">
        <v>40</v>
      </c>
      <c r="E389" s="20">
        <f>SUMIFS('PvA Data'!$F$2:$F$1576,'PvA Data'!$A$2:$A$1576,$A389,'PvA Data'!$E$2:$E$1576,$D389)</f>
        <v>20</v>
      </c>
      <c r="F389" s="20">
        <f>SUMIFS('PvA Data'!$G$2:$G$1576,'PvA Data'!$A$2:$A$1576,$A389,'PvA Data'!$E$2:$E$1576,$D389)</f>
        <v>0</v>
      </c>
      <c r="G389" s="36">
        <f t="shared" si="28"/>
        <v>0</v>
      </c>
      <c r="H389" s="20">
        <f>SUMIFS('PvA Data'!$G$2:$G$1576,'PvA Data'!$A$2:$A$1576,$A389,'PvA Data'!$E$2:$E$1576,$D389,'PvA Data'!$C$2:$C$1576,"Nahunta")</f>
        <v>0</v>
      </c>
      <c r="I389" s="20">
        <f>SUMIFS('PvA Data'!$G$2:$G$1576,'PvA Data'!$A$2:$A$1576,$A389,'PvA Data'!$E$2:$E$1576,$D389,'PvA Data'!$C$2:$C$1576,"Martin")</f>
        <v>0</v>
      </c>
      <c r="J389" s="20">
        <f>SUMIFS('PvA Data'!$G$2:$G$1576,'PvA Data'!$A$2:$A$1576,$A389,'PvA Data'!$E$2:$E$1576,$D389,'PvA Data'!$C$2:$C$1576,"Custom")</f>
        <v>0</v>
      </c>
      <c r="K389" s="36" t="str">
        <f t="shared" si="29"/>
        <v/>
      </c>
      <c r="L389" s="36" t="str">
        <f t="shared" si="30"/>
        <v/>
      </c>
      <c r="M389" s="36" t="str">
        <f t="shared" si="31"/>
        <v/>
      </c>
    </row>
    <row r="390" spans="1:13" ht="15" customHeight="1" x14ac:dyDescent="0.75">
      <c r="A390" s="18" t="s">
        <v>80</v>
      </c>
      <c r="B390" s="19">
        <v>46132</v>
      </c>
      <c r="C390" s="17">
        <v>666541</v>
      </c>
      <c r="D390" s="18" t="s">
        <v>41</v>
      </c>
      <c r="E390" s="20">
        <f>SUMIFS('PvA Data'!$F$2:$F$1576,'PvA Data'!$A$2:$A$1576,$A390,'PvA Data'!$E$2:$E$1576,$D390)</f>
        <v>340</v>
      </c>
      <c r="F390" s="20">
        <f>SUMIFS('PvA Data'!$G$2:$G$1576,'PvA Data'!$A$2:$A$1576,$A390,'PvA Data'!$E$2:$E$1576,$D390)</f>
        <v>240</v>
      </c>
      <c r="G390" s="36">
        <f t="shared" si="28"/>
        <v>0.70588235294117652</v>
      </c>
      <c r="H390" s="20">
        <f>SUMIFS('PvA Data'!$G$2:$G$1576,'PvA Data'!$A$2:$A$1576,$A390,'PvA Data'!$E$2:$E$1576,$D390,'PvA Data'!$C$2:$C$1576,"Nahunta")</f>
        <v>0</v>
      </c>
      <c r="I390" s="20">
        <f>SUMIFS('PvA Data'!$G$2:$G$1576,'PvA Data'!$A$2:$A$1576,$A390,'PvA Data'!$E$2:$E$1576,$D390,'PvA Data'!$C$2:$C$1576,"Martin")</f>
        <v>240</v>
      </c>
      <c r="J390" s="20">
        <f>SUMIFS('PvA Data'!$G$2:$G$1576,'PvA Data'!$A$2:$A$1576,$A390,'PvA Data'!$E$2:$E$1576,$D390,'PvA Data'!$C$2:$C$1576,"Custom")</f>
        <v>0</v>
      </c>
      <c r="K390" s="36">
        <f t="shared" si="29"/>
        <v>0</v>
      </c>
      <c r="L390" s="36">
        <f t="shared" si="30"/>
        <v>1</v>
      </c>
      <c r="M390" s="36">
        <f t="shared" si="31"/>
        <v>0</v>
      </c>
    </row>
    <row r="391" spans="1:13" ht="15" customHeight="1" x14ac:dyDescent="0.75">
      <c r="A391" s="18" t="s">
        <v>80</v>
      </c>
      <c r="B391" s="19">
        <v>46132</v>
      </c>
      <c r="C391" s="17">
        <v>666536</v>
      </c>
      <c r="D391" s="18" t="s">
        <v>43</v>
      </c>
      <c r="E391" s="20">
        <f>SUMIFS('PvA Data'!$F$2:$F$1576,'PvA Data'!$A$2:$A$1576,$A391,'PvA Data'!$E$2:$E$1576,$D391)</f>
        <v>14</v>
      </c>
      <c r="F391" s="20">
        <f>SUMIFS('PvA Data'!$G$2:$G$1576,'PvA Data'!$A$2:$A$1576,$A391,'PvA Data'!$E$2:$E$1576,$D391)</f>
        <v>8</v>
      </c>
      <c r="G391" s="36">
        <f t="shared" si="28"/>
        <v>0.5714285714285714</v>
      </c>
      <c r="H391" s="20">
        <f>SUMIFS('PvA Data'!$G$2:$G$1576,'PvA Data'!$A$2:$A$1576,$A391,'PvA Data'!$E$2:$E$1576,$D391,'PvA Data'!$C$2:$C$1576,"Nahunta")</f>
        <v>8</v>
      </c>
      <c r="I391" s="20">
        <f>SUMIFS('PvA Data'!$G$2:$G$1576,'PvA Data'!$A$2:$A$1576,$A391,'PvA Data'!$E$2:$E$1576,$D391,'PvA Data'!$C$2:$C$1576,"Martin")</f>
        <v>0</v>
      </c>
      <c r="J391" s="20">
        <f>SUMIFS('PvA Data'!$G$2:$G$1576,'PvA Data'!$A$2:$A$1576,$A391,'PvA Data'!$E$2:$E$1576,$D391,'PvA Data'!$C$2:$C$1576,"Custom")</f>
        <v>0</v>
      </c>
      <c r="K391" s="36">
        <f t="shared" si="29"/>
        <v>1</v>
      </c>
      <c r="L391" s="36">
        <f t="shared" si="30"/>
        <v>0</v>
      </c>
      <c r="M391" s="36">
        <f t="shared" si="31"/>
        <v>0</v>
      </c>
    </row>
    <row r="392" spans="1:13" ht="15" customHeight="1" x14ac:dyDescent="0.75">
      <c r="A392" s="18" t="s">
        <v>81</v>
      </c>
      <c r="B392" s="19">
        <v>46139</v>
      </c>
      <c r="C392" s="17">
        <v>666501</v>
      </c>
      <c r="D392" s="18" t="s">
        <v>5</v>
      </c>
      <c r="E392" s="20">
        <f>SUMIFS('PvA Data'!$F$2:$F$1576,'PvA Data'!$A$2:$A$1576,$A392,'PvA Data'!$E$2:$E$1576,$D392)</f>
        <v>402</v>
      </c>
      <c r="F392" s="20">
        <f>SUMIFS('PvA Data'!$G$2:$G$1576,'PvA Data'!$A$2:$A$1576,$A392,'PvA Data'!$E$2:$E$1576,$D392)</f>
        <v>237</v>
      </c>
      <c r="G392" s="36">
        <f t="shared" si="28"/>
        <v>0.58955223880597019</v>
      </c>
      <c r="H392" s="20">
        <f>SUMIFS('PvA Data'!$G$2:$G$1576,'PvA Data'!$A$2:$A$1576,$A392,'PvA Data'!$E$2:$E$1576,$D392,'PvA Data'!$C$2:$C$1576,"Nahunta")</f>
        <v>0</v>
      </c>
      <c r="I392" s="20">
        <f>SUMIFS('PvA Data'!$G$2:$G$1576,'PvA Data'!$A$2:$A$1576,$A392,'PvA Data'!$E$2:$E$1576,$D392,'PvA Data'!$C$2:$C$1576,"Martin")</f>
        <v>231</v>
      </c>
      <c r="J392" s="20">
        <f>SUMIFS('PvA Data'!$G$2:$G$1576,'PvA Data'!$A$2:$A$1576,$A392,'PvA Data'!$E$2:$E$1576,$D392,'PvA Data'!$C$2:$C$1576,"Custom")</f>
        <v>6</v>
      </c>
      <c r="K392" s="36">
        <f t="shared" si="29"/>
        <v>0</v>
      </c>
      <c r="L392" s="36">
        <f t="shared" si="30"/>
        <v>0.97468354430379744</v>
      </c>
      <c r="M392" s="36">
        <f t="shared" si="31"/>
        <v>2.5316455696202531E-2</v>
      </c>
    </row>
    <row r="393" spans="1:13" ht="15" customHeight="1" x14ac:dyDescent="0.75">
      <c r="A393" s="18" t="s">
        <v>81</v>
      </c>
      <c r="B393" s="19">
        <v>46139</v>
      </c>
      <c r="C393" s="17">
        <v>666502</v>
      </c>
      <c r="D393" s="18" t="s">
        <v>7</v>
      </c>
      <c r="E393" s="20">
        <f>SUMIFS('PvA Data'!$F$2:$F$1576,'PvA Data'!$A$2:$A$1576,$A393,'PvA Data'!$E$2:$E$1576,$D393)</f>
        <v>184.5</v>
      </c>
      <c r="F393" s="20">
        <f>SUMIFS('PvA Data'!$G$2:$G$1576,'PvA Data'!$A$2:$A$1576,$A393,'PvA Data'!$E$2:$E$1576,$D393)</f>
        <v>151</v>
      </c>
      <c r="G393" s="36">
        <f t="shared" si="28"/>
        <v>0.81842818428184283</v>
      </c>
      <c r="H393" s="20">
        <f>SUMIFS('PvA Data'!$G$2:$G$1576,'PvA Data'!$A$2:$A$1576,$A393,'PvA Data'!$E$2:$E$1576,$D393,'PvA Data'!$C$2:$C$1576,"Nahunta")</f>
        <v>0</v>
      </c>
      <c r="I393" s="20">
        <f>SUMIFS('PvA Data'!$G$2:$G$1576,'PvA Data'!$A$2:$A$1576,$A393,'PvA Data'!$E$2:$E$1576,$D393,'PvA Data'!$C$2:$C$1576,"Martin")</f>
        <v>77</v>
      </c>
      <c r="J393" s="20">
        <f>SUMIFS('PvA Data'!$G$2:$G$1576,'PvA Data'!$A$2:$A$1576,$A393,'PvA Data'!$E$2:$E$1576,$D393,'PvA Data'!$C$2:$C$1576,"Custom")</f>
        <v>74</v>
      </c>
      <c r="K393" s="36">
        <f t="shared" si="29"/>
        <v>0</v>
      </c>
      <c r="L393" s="36">
        <f t="shared" si="30"/>
        <v>0.50993377483443714</v>
      </c>
      <c r="M393" s="36">
        <f t="shared" si="31"/>
        <v>0.49006622516556292</v>
      </c>
    </row>
    <row r="394" spans="1:13" ht="15" customHeight="1" x14ac:dyDescent="0.75">
      <c r="A394" s="18" t="s">
        <v>81</v>
      </c>
      <c r="B394" s="19">
        <v>46139</v>
      </c>
      <c r="C394" s="17">
        <v>666505</v>
      </c>
      <c r="D394" s="18" t="s">
        <v>9</v>
      </c>
      <c r="E394" s="20">
        <f>SUMIFS('PvA Data'!$F$2:$F$1576,'PvA Data'!$A$2:$A$1576,$A394,'PvA Data'!$E$2:$E$1576,$D394)</f>
        <v>29</v>
      </c>
      <c r="F394" s="20">
        <f>SUMIFS('PvA Data'!$G$2:$G$1576,'PvA Data'!$A$2:$A$1576,$A394,'PvA Data'!$E$2:$E$1576,$D394)</f>
        <v>0</v>
      </c>
      <c r="G394" s="36">
        <f t="shared" si="28"/>
        <v>0</v>
      </c>
      <c r="H394" s="20">
        <f>SUMIFS('PvA Data'!$G$2:$G$1576,'PvA Data'!$A$2:$A$1576,$A394,'PvA Data'!$E$2:$E$1576,$D394,'PvA Data'!$C$2:$C$1576,"Nahunta")</f>
        <v>0</v>
      </c>
      <c r="I394" s="20">
        <f>SUMIFS('PvA Data'!$G$2:$G$1576,'PvA Data'!$A$2:$A$1576,$A394,'PvA Data'!$E$2:$E$1576,$D394,'PvA Data'!$C$2:$C$1576,"Martin")</f>
        <v>0</v>
      </c>
      <c r="J394" s="20">
        <f>SUMIFS('PvA Data'!$G$2:$G$1576,'PvA Data'!$A$2:$A$1576,$A394,'PvA Data'!$E$2:$E$1576,$D394,'PvA Data'!$C$2:$C$1576,"Custom")</f>
        <v>0</v>
      </c>
      <c r="K394" s="36" t="str">
        <f t="shared" si="29"/>
        <v/>
      </c>
      <c r="L394" s="36" t="str">
        <f t="shared" si="30"/>
        <v/>
      </c>
      <c r="M394" s="36" t="str">
        <f t="shared" si="31"/>
        <v/>
      </c>
    </row>
    <row r="395" spans="1:13" ht="15" customHeight="1" x14ac:dyDescent="0.75">
      <c r="A395" s="18" t="s">
        <v>81</v>
      </c>
      <c r="B395" s="19">
        <v>46139</v>
      </c>
      <c r="C395" s="17">
        <v>666506</v>
      </c>
      <c r="D395" s="18" t="s">
        <v>11</v>
      </c>
      <c r="E395" s="20">
        <f>SUMIFS('PvA Data'!$F$2:$F$1576,'PvA Data'!$A$2:$A$1576,$A395,'PvA Data'!$E$2:$E$1576,$D395)</f>
        <v>138.5</v>
      </c>
      <c r="F395" s="20">
        <f>SUMIFS('PvA Data'!$G$2:$G$1576,'PvA Data'!$A$2:$A$1576,$A395,'PvA Data'!$E$2:$E$1576,$D395)</f>
        <v>123</v>
      </c>
      <c r="G395" s="36">
        <f t="shared" si="28"/>
        <v>0.88808664259927794</v>
      </c>
      <c r="H395" s="20">
        <f>SUMIFS('PvA Data'!$G$2:$G$1576,'PvA Data'!$A$2:$A$1576,$A395,'PvA Data'!$E$2:$E$1576,$D395,'PvA Data'!$C$2:$C$1576,"Nahunta")</f>
        <v>0</v>
      </c>
      <c r="I395" s="20">
        <f>SUMIFS('PvA Data'!$G$2:$G$1576,'PvA Data'!$A$2:$A$1576,$A395,'PvA Data'!$E$2:$E$1576,$D395,'PvA Data'!$C$2:$C$1576,"Martin")</f>
        <v>123</v>
      </c>
      <c r="J395" s="20">
        <f>SUMIFS('PvA Data'!$G$2:$G$1576,'PvA Data'!$A$2:$A$1576,$A395,'PvA Data'!$E$2:$E$1576,$D395,'PvA Data'!$C$2:$C$1576,"Custom")</f>
        <v>0</v>
      </c>
      <c r="K395" s="36">
        <f t="shared" si="29"/>
        <v>0</v>
      </c>
      <c r="L395" s="36">
        <f t="shared" si="30"/>
        <v>1</v>
      </c>
      <c r="M395" s="36">
        <f t="shared" si="31"/>
        <v>0</v>
      </c>
    </row>
    <row r="396" spans="1:13" ht="15" customHeight="1" x14ac:dyDescent="0.75">
      <c r="A396" s="18" t="s">
        <v>81</v>
      </c>
      <c r="B396" s="19">
        <v>46139</v>
      </c>
      <c r="C396" s="17">
        <v>666507</v>
      </c>
      <c r="D396" s="18" t="s">
        <v>13</v>
      </c>
      <c r="E396" s="20">
        <f>SUMIFS('PvA Data'!$F$2:$F$1576,'PvA Data'!$A$2:$A$1576,$A396,'PvA Data'!$E$2:$E$1576,$D396)</f>
        <v>8</v>
      </c>
      <c r="F396" s="20">
        <f>SUMIFS('PvA Data'!$G$2:$G$1576,'PvA Data'!$A$2:$A$1576,$A396,'PvA Data'!$E$2:$E$1576,$D396)</f>
        <v>16</v>
      </c>
      <c r="G396" s="36">
        <f t="shared" si="28"/>
        <v>2</v>
      </c>
      <c r="H396" s="20">
        <f>SUMIFS('PvA Data'!$G$2:$G$1576,'PvA Data'!$A$2:$A$1576,$A396,'PvA Data'!$E$2:$E$1576,$D396,'PvA Data'!$C$2:$C$1576,"Nahunta")</f>
        <v>16</v>
      </c>
      <c r="I396" s="20">
        <f>SUMIFS('PvA Data'!$G$2:$G$1576,'PvA Data'!$A$2:$A$1576,$A396,'PvA Data'!$E$2:$E$1576,$D396,'PvA Data'!$C$2:$C$1576,"Martin")</f>
        <v>0</v>
      </c>
      <c r="J396" s="20">
        <f>SUMIFS('PvA Data'!$G$2:$G$1576,'PvA Data'!$A$2:$A$1576,$A396,'PvA Data'!$E$2:$E$1576,$D396,'PvA Data'!$C$2:$C$1576,"Custom")</f>
        <v>0</v>
      </c>
      <c r="K396" s="36">
        <f t="shared" si="29"/>
        <v>1</v>
      </c>
      <c r="L396" s="36">
        <f t="shared" si="30"/>
        <v>0</v>
      </c>
      <c r="M396" s="36">
        <f t="shared" si="31"/>
        <v>0</v>
      </c>
    </row>
    <row r="397" spans="1:13" ht="15" customHeight="1" x14ac:dyDescent="0.75">
      <c r="A397" s="18" t="s">
        <v>81</v>
      </c>
      <c r="B397" s="19">
        <v>46139</v>
      </c>
      <c r="C397" s="17">
        <v>666509</v>
      </c>
      <c r="D397" s="18" t="s">
        <v>15</v>
      </c>
      <c r="E397" s="20">
        <f>SUMIFS('PvA Data'!$F$2:$F$1576,'PvA Data'!$A$2:$A$1576,$A397,'PvA Data'!$E$2:$E$1576,$D397)</f>
        <v>34</v>
      </c>
      <c r="F397" s="20">
        <f>SUMIFS('PvA Data'!$G$2:$G$1576,'PvA Data'!$A$2:$A$1576,$A397,'PvA Data'!$E$2:$E$1576,$D397)</f>
        <v>26</v>
      </c>
      <c r="G397" s="36">
        <f t="shared" si="28"/>
        <v>0.76470588235294112</v>
      </c>
      <c r="H397" s="20">
        <f>SUMIFS('PvA Data'!$G$2:$G$1576,'PvA Data'!$A$2:$A$1576,$A397,'PvA Data'!$E$2:$E$1576,$D397,'PvA Data'!$C$2:$C$1576,"Nahunta")</f>
        <v>26</v>
      </c>
      <c r="I397" s="20">
        <f>SUMIFS('PvA Data'!$G$2:$G$1576,'PvA Data'!$A$2:$A$1576,$A397,'PvA Data'!$E$2:$E$1576,$D397,'PvA Data'!$C$2:$C$1576,"Martin")</f>
        <v>0</v>
      </c>
      <c r="J397" s="20">
        <f>SUMIFS('PvA Data'!$G$2:$G$1576,'PvA Data'!$A$2:$A$1576,$A397,'PvA Data'!$E$2:$E$1576,$D397,'PvA Data'!$C$2:$C$1576,"Custom")</f>
        <v>0</v>
      </c>
      <c r="K397" s="36">
        <f t="shared" si="29"/>
        <v>1</v>
      </c>
      <c r="L397" s="36">
        <f t="shared" si="30"/>
        <v>0</v>
      </c>
      <c r="M397" s="36">
        <f t="shared" si="31"/>
        <v>0</v>
      </c>
    </row>
    <row r="398" spans="1:13" ht="15" customHeight="1" x14ac:dyDescent="0.75">
      <c r="A398" s="18" t="s">
        <v>81</v>
      </c>
      <c r="B398" s="19">
        <v>46139</v>
      </c>
      <c r="C398" s="17">
        <v>666510</v>
      </c>
      <c r="D398" s="18" t="s">
        <v>17</v>
      </c>
      <c r="E398" s="20">
        <f>SUMIFS('PvA Data'!$F$2:$F$1576,'PvA Data'!$A$2:$A$1576,$A398,'PvA Data'!$E$2:$E$1576,$D398)</f>
        <v>0</v>
      </c>
      <c r="F398" s="20">
        <f>SUMIFS('PvA Data'!$G$2:$G$1576,'PvA Data'!$A$2:$A$1576,$A398,'PvA Data'!$E$2:$E$1576,$D398)</f>
        <v>0</v>
      </c>
      <c r="G398" s="36" t="str">
        <f t="shared" si="28"/>
        <v/>
      </c>
      <c r="H398" s="20">
        <f>SUMIFS('PvA Data'!$G$2:$G$1576,'PvA Data'!$A$2:$A$1576,$A398,'PvA Data'!$E$2:$E$1576,$D398,'PvA Data'!$C$2:$C$1576,"Nahunta")</f>
        <v>0</v>
      </c>
      <c r="I398" s="20">
        <f>SUMIFS('PvA Data'!$G$2:$G$1576,'PvA Data'!$A$2:$A$1576,$A398,'PvA Data'!$E$2:$E$1576,$D398,'PvA Data'!$C$2:$C$1576,"Martin")</f>
        <v>0</v>
      </c>
      <c r="J398" s="20">
        <f>SUMIFS('PvA Data'!$G$2:$G$1576,'PvA Data'!$A$2:$A$1576,$A398,'PvA Data'!$E$2:$E$1576,$D398,'PvA Data'!$C$2:$C$1576,"Custom")</f>
        <v>0</v>
      </c>
      <c r="K398" s="36" t="str">
        <f t="shared" si="29"/>
        <v/>
      </c>
      <c r="L398" s="36" t="str">
        <f t="shared" si="30"/>
        <v/>
      </c>
      <c r="M398" s="36" t="str">
        <f t="shared" si="31"/>
        <v/>
      </c>
    </row>
    <row r="399" spans="1:13" ht="15" customHeight="1" x14ac:dyDescent="0.75">
      <c r="A399" s="18" t="s">
        <v>81</v>
      </c>
      <c r="B399" s="19">
        <v>46139</v>
      </c>
      <c r="C399" s="17">
        <v>666511</v>
      </c>
      <c r="D399" s="18" t="s">
        <v>19</v>
      </c>
      <c r="E399" s="20">
        <f>SUMIFS('PvA Data'!$F$2:$F$1576,'PvA Data'!$A$2:$A$1576,$A399,'PvA Data'!$E$2:$E$1576,$D399)</f>
        <v>3</v>
      </c>
      <c r="F399" s="20">
        <f>SUMIFS('PvA Data'!$G$2:$G$1576,'PvA Data'!$A$2:$A$1576,$A399,'PvA Data'!$E$2:$E$1576,$D399)</f>
        <v>6</v>
      </c>
      <c r="G399" s="36">
        <f t="shared" si="28"/>
        <v>2</v>
      </c>
      <c r="H399" s="20">
        <f>SUMIFS('PvA Data'!$G$2:$G$1576,'PvA Data'!$A$2:$A$1576,$A399,'PvA Data'!$E$2:$E$1576,$D399,'PvA Data'!$C$2:$C$1576,"Nahunta")</f>
        <v>6</v>
      </c>
      <c r="I399" s="20">
        <f>SUMIFS('PvA Data'!$G$2:$G$1576,'PvA Data'!$A$2:$A$1576,$A399,'PvA Data'!$E$2:$E$1576,$D399,'PvA Data'!$C$2:$C$1576,"Martin")</f>
        <v>0</v>
      </c>
      <c r="J399" s="20">
        <f>SUMIFS('PvA Data'!$G$2:$G$1576,'PvA Data'!$A$2:$A$1576,$A399,'PvA Data'!$E$2:$E$1576,$D399,'PvA Data'!$C$2:$C$1576,"Custom")</f>
        <v>0</v>
      </c>
      <c r="K399" s="36">
        <f t="shared" si="29"/>
        <v>1</v>
      </c>
      <c r="L399" s="36">
        <f t="shared" si="30"/>
        <v>0</v>
      </c>
      <c r="M399" s="36">
        <f t="shared" si="31"/>
        <v>0</v>
      </c>
    </row>
    <row r="400" spans="1:13" ht="15" customHeight="1" x14ac:dyDescent="0.75">
      <c r="A400" s="18" t="s">
        <v>81</v>
      </c>
      <c r="B400" s="19">
        <v>46139</v>
      </c>
      <c r="C400" s="17">
        <v>666513</v>
      </c>
      <c r="D400" s="18" t="s">
        <v>21</v>
      </c>
      <c r="E400" s="20">
        <f>SUMIFS('PvA Data'!$F$2:$F$1576,'PvA Data'!$A$2:$A$1576,$A400,'PvA Data'!$E$2:$E$1576,$D400)</f>
        <v>10</v>
      </c>
      <c r="F400" s="20">
        <f>SUMIFS('PvA Data'!$G$2:$G$1576,'PvA Data'!$A$2:$A$1576,$A400,'PvA Data'!$E$2:$E$1576,$D400)</f>
        <v>0</v>
      </c>
      <c r="G400" s="36">
        <f t="shared" si="28"/>
        <v>0</v>
      </c>
      <c r="H400" s="20">
        <f>SUMIFS('PvA Data'!$G$2:$G$1576,'PvA Data'!$A$2:$A$1576,$A400,'PvA Data'!$E$2:$E$1576,$D400,'PvA Data'!$C$2:$C$1576,"Nahunta")</f>
        <v>0</v>
      </c>
      <c r="I400" s="20">
        <f>SUMIFS('PvA Data'!$G$2:$G$1576,'PvA Data'!$A$2:$A$1576,$A400,'PvA Data'!$E$2:$E$1576,$D400,'PvA Data'!$C$2:$C$1576,"Martin")</f>
        <v>0</v>
      </c>
      <c r="J400" s="20">
        <f>SUMIFS('PvA Data'!$G$2:$G$1576,'PvA Data'!$A$2:$A$1576,$A400,'PvA Data'!$E$2:$E$1576,$D400,'PvA Data'!$C$2:$C$1576,"Custom")</f>
        <v>0</v>
      </c>
      <c r="K400" s="36" t="str">
        <f t="shared" si="29"/>
        <v/>
      </c>
      <c r="L400" s="36" t="str">
        <f t="shared" si="30"/>
        <v/>
      </c>
      <c r="M400" s="36" t="str">
        <f t="shared" si="31"/>
        <v/>
      </c>
    </row>
    <row r="401" spans="1:13" ht="15" customHeight="1" x14ac:dyDescent="0.75">
      <c r="A401" s="18" t="s">
        <v>81</v>
      </c>
      <c r="B401" s="19">
        <v>46139</v>
      </c>
      <c r="C401" s="17">
        <v>666516</v>
      </c>
      <c r="D401" s="18" t="s">
        <v>23</v>
      </c>
      <c r="E401" s="20">
        <f>SUMIFS('PvA Data'!$F$2:$F$1576,'PvA Data'!$A$2:$A$1576,$A401,'PvA Data'!$E$2:$E$1576,$D401)</f>
        <v>31</v>
      </c>
      <c r="F401" s="20">
        <f>SUMIFS('PvA Data'!$G$2:$G$1576,'PvA Data'!$A$2:$A$1576,$A401,'PvA Data'!$E$2:$E$1576,$D401)</f>
        <v>0</v>
      </c>
      <c r="G401" s="36">
        <f t="shared" si="28"/>
        <v>0</v>
      </c>
      <c r="H401" s="20">
        <f>SUMIFS('PvA Data'!$G$2:$G$1576,'PvA Data'!$A$2:$A$1576,$A401,'PvA Data'!$E$2:$E$1576,$D401,'PvA Data'!$C$2:$C$1576,"Nahunta")</f>
        <v>0</v>
      </c>
      <c r="I401" s="20">
        <f>SUMIFS('PvA Data'!$G$2:$G$1576,'PvA Data'!$A$2:$A$1576,$A401,'PvA Data'!$E$2:$E$1576,$D401,'PvA Data'!$C$2:$C$1576,"Martin")</f>
        <v>0</v>
      </c>
      <c r="J401" s="20">
        <f>SUMIFS('PvA Data'!$G$2:$G$1576,'PvA Data'!$A$2:$A$1576,$A401,'PvA Data'!$E$2:$E$1576,$D401,'PvA Data'!$C$2:$C$1576,"Custom")</f>
        <v>0</v>
      </c>
      <c r="K401" s="36" t="str">
        <f t="shared" si="29"/>
        <v/>
      </c>
      <c r="L401" s="36" t="str">
        <f t="shared" si="30"/>
        <v/>
      </c>
      <c r="M401" s="36" t="str">
        <f t="shared" si="31"/>
        <v/>
      </c>
    </row>
    <row r="402" spans="1:13" ht="15" customHeight="1" x14ac:dyDescent="0.75">
      <c r="A402" s="18" t="s">
        <v>81</v>
      </c>
      <c r="B402" s="19">
        <v>46139</v>
      </c>
      <c r="C402" s="17">
        <v>666517</v>
      </c>
      <c r="D402" s="18" t="s">
        <v>25</v>
      </c>
      <c r="E402" s="20">
        <f>SUMIFS('PvA Data'!$F$2:$F$1576,'PvA Data'!$A$2:$A$1576,$A402,'PvA Data'!$E$2:$E$1576,$D402)</f>
        <v>28</v>
      </c>
      <c r="F402" s="20">
        <f>SUMIFS('PvA Data'!$G$2:$G$1576,'PvA Data'!$A$2:$A$1576,$A402,'PvA Data'!$E$2:$E$1576,$D402)</f>
        <v>0</v>
      </c>
      <c r="G402" s="36">
        <f t="shared" si="28"/>
        <v>0</v>
      </c>
      <c r="H402" s="20">
        <f>SUMIFS('PvA Data'!$G$2:$G$1576,'PvA Data'!$A$2:$A$1576,$A402,'PvA Data'!$E$2:$E$1576,$D402,'PvA Data'!$C$2:$C$1576,"Nahunta")</f>
        <v>0</v>
      </c>
      <c r="I402" s="20">
        <f>SUMIFS('PvA Data'!$G$2:$G$1576,'PvA Data'!$A$2:$A$1576,$A402,'PvA Data'!$E$2:$E$1576,$D402,'PvA Data'!$C$2:$C$1576,"Martin")</f>
        <v>0</v>
      </c>
      <c r="J402" s="20">
        <f>SUMIFS('PvA Data'!$G$2:$G$1576,'PvA Data'!$A$2:$A$1576,$A402,'PvA Data'!$E$2:$E$1576,$D402,'PvA Data'!$C$2:$C$1576,"Custom")</f>
        <v>0</v>
      </c>
      <c r="K402" s="36" t="str">
        <f t="shared" si="29"/>
        <v/>
      </c>
      <c r="L402" s="36" t="str">
        <f t="shared" si="30"/>
        <v/>
      </c>
      <c r="M402" s="36" t="str">
        <f t="shared" si="31"/>
        <v/>
      </c>
    </row>
    <row r="403" spans="1:13" ht="15" customHeight="1" x14ac:dyDescent="0.75">
      <c r="A403" s="18" t="s">
        <v>81</v>
      </c>
      <c r="B403" s="19">
        <v>46139</v>
      </c>
      <c r="C403" s="17">
        <v>666518</v>
      </c>
      <c r="D403" s="18" t="s">
        <v>27</v>
      </c>
      <c r="E403" s="20">
        <f>SUMIFS('PvA Data'!$F$2:$F$1576,'PvA Data'!$A$2:$A$1576,$A403,'PvA Data'!$E$2:$E$1576,$D403)</f>
        <v>0</v>
      </c>
      <c r="F403" s="20">
        <f>SUMIFS('PvA Data'!$G$2:$G$1576,'PvA Data'!$A$2:$A$1576,$A403,'PvA Data'!$E$2:$E$1576,$D403)</f>
        <v>0</v>
      </c>
      <c r="G403" s="36" t="str">
        <f t="shared" si="28"/>
        <v/>
      </c>
      <c r="H403" s="20">
        <f>SUMIFS('PvA Data'!$G$2:$G$1576,'PvA Data'!$A$2:$A$1576,$A403,'PvA Data'!$E$2:$E$1576,$D403,'PvA Data'!$C$2:$C$1576,"Nahunta")</f>
        <v>0</v>
      </c>
      <c r="I403" s="20">
        <f>SUMIFS('PvA Data'!$G$2:$G$1576,'PvA Data'!$A$2:$A$1576,$A403,'PvA Data'!$E$2:$E$1576,$D403,'PvA Data'!$C$2:$C$1576,"Martin")</f>
        <v>0</v>
      </c>
      <c r="J403" s="20">
        <f>SUMIFS('PvA Data'!$G$2:$G$1576,'PvA Data'!$A$2:$A$1576,$A403,'PvA Data'!$E$2:$E$1576,$D403,'PvA Data'!$C$2:$C$1576,"Custom")</f>
        <v>0</v>
      </c>
      <c r="K403" s="36" t="str">
        <f t="shared" si="29"/>
        <v/>
      </c>
      <c r="L403" s="36" t="str">
        <f t="shared" si="30"/>
        <v/>
      </c>
      <c r="M403" s="36" t="str">
        <f t="shared" si="31"/>
        <v/>
      </c>
    </row>
    <row r="404" spans="1:13" ht="15" customHeight="1" x14ac:dyDescent="0.75">
      <c r="A404" s="18" t="s">
        <v>81</v>
      </c>
      <c r="B404" s="19">
        <v>46139</v>
      </c>
      <c r="C404" s="17">
        <v>666519</v>
      </c>
      <c r="D404" s="18" t="s">
        <v>29</v>
      </c>
      <c r="E404" s="20">
        <f>SUMIFS('PvA Data'!$F$2:$F$1576,'PvA Data'!$A$2:$A$1576,$A404,'PvA Data'!$E$2:$E$1576,$D404)</f>
        <v>26</v>
      </c>
      <c r="F404" s="20">
        <f>SUMIFS('PvA Data'!$G$2:$G$1576,'PvA Data'!$A$2:$A$1576,$A404,'PvA Data'!$E$2:$E$1576,$D404)</f>
        <v>0</v>
      </c>
      <c r="G404" s="36">
        <f t="shared" si="28"/>
        <v>0</v>
      </c>
      <c r="H404" s="20">
        <f>SUMIFS('PvA Data'!$G$2:$G$1576,'PvA Data'!$A$2:$A$1576,$A404,'PvA Data'!$E$2:$E$1576,$D404,'PvA Data'!$C$2:$C$1576,"Nahunta")</f>
        <v>0</v>
      </c>
      <c r="I404" s="20">
        <f>SUMIFS('PvA Data'!$G$2:$G$1576,'PvA Data'!$A$2:$A$1576,$A404,'PvA Data'!$E$2:$E$1576,$D404,'PvA Data'!$C$2:$C$1576,"Martin")</f>
        <v>0</v>
      </c>
      <c r="J404" s="20">
        <f>SUMIFS('PvA Data'!$G$2:$G$1576,'PvA Data'!$A$2:$A$1576,$A404,'PvA Data'!$E$2:$E$1576,$D404,'PvA Data'!$C$2:$C$1576,"Custom")</f>
        <v>0</v>
      </c>
      <c r="K404" s="36" t="str">
        <f t="shared" si="29"/>
        <v/>
      </c>
      <c r="L404" s="36" t="str">
        <f t="shared" si="30"/>
        <v/>
      </c>
      <c r="M404" s="36" t="str">
        <f t="shared" si="31"/>
        <v/>
      </c>
    </row>
    <row r="405" spans="1:13" ht="15" customHeight="1" x14ac:dyDescent="0.75">
      <c r="A405" s="18" t="s">
        <v>81</v>
      </c>
      <c r="B405" s="19">
        <v>46139</v>
      </c>
      <c r="C405" s="17">
        <v>666521</v>
      </c>
      <c r="D405" s="18" t="s">
        <v>31</v>
      </c>
      <c r="E405" s="20">
        <f>SUMIFS('PvA Data'!$F$2:$F$1576,'PvA Data'!$A$2:$A$1576,$A405,'PvA Data'!$E$2:$E$1576,$D405)</f>
        <v>60</v>
      </c>
      <c r="F405" s="20">
        <f>SUMIFS('PvA Data'!$G$2:$G$1576,'PvA Data'!$A$2:$A$1576,$A405,'PvA Data'!$E$2:$E$1576,$D405)</f>
        <v>46</v>
      </c>
      <c r="G405" s="36">
        <f t="shared" si="28"/>
        <v>0.76666666666666672</v>
      </c>
      <c r="H405" s="20">
        <f>SUMIFS('PvA Data'!$G$2:$G$1576,'PvA Data'!$A$2:$A$1576,$A405,'PvA Data'!$E$2:$E$1576,$D405,'PvA Data'!$C$2:$C$1576,"Nahunta")</f>
        <v>46</v>
      </c>
      <c r="I405" s="20">
        <f>SUMIFS('PvA Data'!$G$2:$G$1576,'PvA Data'!$A$2:$A$1576,$A405,'PvA Data'!$E$2:$E$1576,$D405,'PvA Data'!$C$2:$C$1576,"Martin")</f>
        <v>0</v>
      </c>
      <c r="J405" s="20">
        <f>SUMIFS('PvA Data'!$G$2:$G$1576,'PvA Data'!$A$2:$A$1576,$A405,'PvA Data'!$E$2:$E$1576,$D405,'PvA Data'!$C$2:$C$1576,"Custom")</f>
        <v>0</v>
      </c>
      <c r="K405" s="36">
        <f t="shared" si="29"/>
        <v>1</v>
      </c>
      <c r="L405" s="36">
        <f t="shared" si="30"/>
        <v>0</v>
      </c>
      <c r="M405" s="36">
        <f t="shared" si="31"/>
        <v>0</v>
      </c>
    </row>
    <row r="406" spans="1:13" ht="15" customHeight="1" x14ac:dyDescent="0.75">
      <c r="A406" s="18" t="s">
        <v>81</v>
      </c>
      <c r="B406" s="19">
        <v>46139</v>
      </c>
      <c r="C406" s="17">
        <v>666522</v>
      </c>
      <c r="D406" s="18" t="s">
        <v>33</v>
      </c>
      <c r="E406" s="20">
        <f>SUMIFS('PvA Data'!$F$2:$F$1576,'PvA Data'!$A$2:$A$1576,$A406,'PvA Data'!$E$2:$E$1576,$D406)</f>
        <v>210</v>
      </c>
      <c r="F406" s="20">
        <f>SUMIFS('PvA Data'!$G$2:$G$1576,'PvA Data'!$A$2:$A$1576,$A406,'PvA Data'!$E$2:$E$1576,$D406)</f>
        <v>35</v>
      </c>
      <c r="G406" s="36">
        <f t="shared" si="28"/>
        <v>0.16666666666666666</v>
      </c>
      <c r="H406" s="20">
        <f>SUMIFS('PvA Data'!$G$2:$G$1576,'PvA Data'!$A$2:$A$1576,$A406,'PvA Data'!$E$2:$E$1576,$D406,'PvA Data'!$C$2:$C$1576,"Nahunta")</f>
        <v>25</v>
      </c>
      <c r="I406" s="20">
        <f>SUMIFS('PvA Data'!$G$2:$G$1576,'PvA Data'!$A$2:$A$1576,$A406,'PvA Data'!$E$2:$E$1576,$D406,'PvA Data'!$C$2:$C$1576,"Martin")</f>
        <v>10</v>
      </c>
      <c r="J406" s="20">
        <f>SUMIFS('PvA Data'!$G$2:$G$1576,'PvA Data'!$A$2:$A$1576,$A406,'PvA Data'!$E$2:$E$1576,$D406,'PvA Data'!$C$2:$C$1576,"Custom")</f>
        <v>0</v>
      </c>
      <c r="K406" s="36">
        <f t="shared" si="29"/>
        <v>0.7142857142857143</v>
      </c>
      <c r="L406" s="36">
        <f t="shared" si="30"/>
        <v>0.2857142857142857</v>
      </c>
      <c r="M406" s="36">
        <f t="shared" si="31"/>
        <v>0</v>
      </c>
    </row>
    <row r="407" spans="1:13" ht="15" customHeight="1" x14ac:dyDescent="0.75">
      <c r="A407" s="18" t="s">
        <v>81</v>
      </c>
      <c r="B407" s="19">
        <v>46139</v>
      </c>
      <c r="C407" s="17">
        <v>666523</v>
      </c>
      <c r="D407" s="18" t="s">
        <v>35</v>
      </c>
      <c r="E407" s="20">
        <f>SUMIFS('PvA Data'!$F$2:$F$1576,'PvA Data'!$A$2:$A$1576,$A407,'PvA Data'!$E$2:$E$1576,$D407)</f>
        <v>20</v>
      </c>
      <c r="F407" s="20">
        <f>SUMIFS('PvA Data'!$G$2:$G$1576,'PvA Data'!$A$2:$A$1576,$A407,'PvA Data'!$E$2:$E$1576,$D407)</f>
        <v>0</v>
      </c>
      <c r="G407" s="36">
        <f t="shared" si="28"/>
        <v>0</v>
      </c>
      <c r="H407" s="20">
        <f>SUMIFS('PvA Data'!$G$2:$G$1576,'PvA Data'!$A$2:$A$1576,$A407,'PvA Data'!$E$2:$E$1576,$D407,'PvA Data'!$C$2:$C$1576,"Nahunta")</f>
        <v>0</v>
      </c>
      <c r="I407" s="20">
        <f>SUMIFS('PvA Data'!$G$2:$G$1576,'PvA Data'!$A$2:$A$1576,$A407,'PvA Data'!$E$2:$E$1576,$D407,'PvA Data'!$C$2:$C$1576,"Martin")</f>
        <v>0</v>
      </c>
      <c r="J407" s="20">
        <f>SUMIFS('PvA Data'!$G$2:$G$1576,'PvA Data'!$A$2:$A$1576,$A407,'PvA Data'!$E$2:$E$1576,$D407,'PvA Data'!$C$2:$C$1576,"Custom")</f>
        <v>0</v>
      </c>
      <c r="K407" s="36" t="str">
        <f t="shared" si="29"/>
        <v/>
      </c>
      <c r="L407" s="36" t="str">
        <f t="shared" si="30"/>
        <v/>
      </c>
      <c r="M407" s="36" t="str">
        <f t="shared" si="31"/>
        <v/>
      </c>
    </row>
    <row r="408" spans="1:13" ht="15" customHeight="1" x14ac:dyDescent="0.75">
      <c r="A408" s="18" t="s">
        <v>81</v>
      </c>
      <c r="B408" s="19">
        <v>46139</v>
      </c>
      <c r="C408" s="17">
        <v>666530</v>
      </c>
      <c r="D408" s="18" t="s">
        <v>37</v>
      </c>
      <c r="E408" s="20">
        <f>SUMIFS('PvA Data'!$F$2:$F$1576,'PvA Data'!$A$2:$A$1576,$A408,'PvA Data'!$E$2:$E$1576,$D408)</f>
        <v>12</v>
      </c>
      <c r="F408" s="20">
        <f>SUMIFS('PvA Data'!$G$2:$G$1576,'PvA Data'!$A$2:$A$1576,$A408,'PvA Data'!$E$2:$E$1576,$D408)</f>
        <v>0</v>
      </c>
      <c r="G408" s="36">
        <f t="shared" si="28"/>
        <v>0</v>
      </c>
      <c r="H408" s="20">
        <f>SUMIFS('PvA Data'!$G$2:$G$1576,'PvA Data'!$A$2:$A$1576,$A408,'PvA Data'!$E$2:$E$1576,$D408,'PvA Data'!$C$2:$C$1576,"Nahunta")</f>
        <v>0</v>
      </c>
      <c r="I408" s="20">
        <f>SUMIFS('PvA Data'!$G$2:$G$1576,'PvA Data'!$A$2:$A$1576,$A408,'PvA Data'!$E$2:$E$1576,$D408,'PvA Data'!$C$2:$C$1576,"Martin")</f>
        <v>0</v>
      </c>
      <c r="J408" s="20">
        <f>SUMIFS('PvA Data'!$G$2:$G$1576,'PvA Data'!$A$2:$A$1576,$A408,'PvA Data'!$E$2:$E$1576,$D408,'PvA Data'!$C$2:$C$1576,"Custom")</f>
        <v>0</v>
      </c>
      <c r="K408" s="36" t="str">
        <f t="shared" si="29"/>
        <v/>
      </c>
      <c r="L408" s="36" t="str">
        <f t="shared" si="30"/>
        <v/>
      </c>
      <c r="M408" s="36" t="str">
        <f t="shared" si="31"/>
        <v/>
      </c>
    </row>
    <row r="409" spans="1:13" ht="15" customHeight="1" x14ac:dyDescent="0.75">
      <c r="A409" s="18" t="s">
        <v>81</v>
      </c>
      <c r="B409" s="19">
        <v>46139</v>
      </c>
      <c r="C409" s="17">
        <v>666531</v>
      </c>
      <c r="D409" s="18" t="s">
        <v>39</v>
      </c>
      <c r="E409" s="20">
        <f>SUMIFS('PvA Data'!$F$2:$F$1576,'PvA Data'!$A$2:$A$1576,$A409,'PvA Data'!$E$2:$E$1576,$D409)</f>
        <v>14</v>
      </c>
      <c r="F409" s="20">
        <f>SUMIFS('PvA Data'!$G$2:$G$1576,'PvA Data'!$A$2:$A$1576,$A409,'PvA Data'!$E$2:$E$1576,$D409)</f>
        <v>5</v>
      </c>
      <c r="G409" s="36">
        <f t="shared" si="28"/>
        <v>0.35714285714285715</v>
      </c>
      <c r="H409" s="20">
        <f>SUMIFS('PvA Data'!$G$2:$G$1576,'PvA Data'!$A$2:$A$1576,$A409,'PvA Data'!$E$2:$E$1576,$D409,'PvA Data'!$C$2:$C$1576,"Nahunta")</f>
        <v>5</v>
      </c>
      <c r="I409" s="20">
        <f>SUMIFS('PvA Data'!$G$2:$G$1576,'PvA Data'!$A$2:$A$1576,$A409,'PvA Data'!$E$2:$E$1576,$D409,'PvA Data'!$C$2:$C$1576,"Martin")</f>
        <v>0</v>
      </c>
      <c r="J409" s="20">
        <f>SUMIFS('PvA Data'!$G$2:$G$1576,'PvA Data'!$A$2:$A$1576,$A409,'PvA Data'!$E$2:$E$1576,$D409,'PvA Data'!$C$2:$C$1576,"Custom")</f>
        <v>0</v>
      </c>
      <c r="K409" s="36">
        <f t="shared" si="29"/>
        <v>1</v>
      </c>
      <c r="L409" s="36">
        <f t="shared" si="30"/>
        <v>0</v>
      </c>
      <c r="M409" s="36">
        <f t="shared" si="31"/>
        <v>0</v>
      </c>
    </row>
    <row r="410" spans="1:13" ht="15" customHeight="1" x14ac:dyDescent="0.75">
      <c r="A410" s="18" t="s">
        <v>81</v>
      </c>
      <c r="B410" s="19">
        <v>46139</v>
      </c>
      <c r="C410" s="17">
        <v>666540</v>
      </c>
      <c r="D410" s="18" t="s">
        <v>40</v>
      </c>
      <c r="E410" s="20">
        <f>SUMIFS('PvA Data'!$F$2:$F$1576,'PvA Data'!$A$2:$A$1576,$A410,'PvA Data'!$E$2:$E$1576,$D410)</f>
        <v>20</v>
      </c>
      <c r="F410" s="20">
        <f>SUMIFS('PvA Data'!$G$2:$G$1576,'PvA Data'!$A$2:$A$1576,$A410,'PvA Data'!$E$2:$E$1576,$D410)</f>
        <v>1</v>
      </c>
      <c r="G410" s="36">
        <f t="shared" si="28"/>
        <v>0.05</v>
      </c>
      <c r="H410" s="20">
        <f>SUMIFS('PvA Data'!$G$2:$G$1576,'PvA Data'!$A$2:$A$1576,$A410,'PvA Data'!$E$2:$E$1576,$D410,'PvA Data'!$C$2:$C$1576,"Nahunta")</f>
        <v>0</v>
      </c>
      <c r="I410" s="20">
        <f>SUMIFS('PvA Data'!$G$2:$G$1576,'PvA Data'!$A$2:$A$1576,$A410,'PvA Data'!$E$2:$E$1576,$D410,'PvA Data'!$C$2:$C$1576,"Martin")</f>
        <v>1</v>
      </c>
      <c r="J410" s="20">
        <f>SUMIFS('PvA Data'!$G$2:$G$1576,'PvA Data'!$A$2:$A$1576,$A410,'PvA Data'!$E$2:$E$1576,$D410,'PvA Data'!$C$2:$C$1576,"Custom")</f>
        <v>0</v>
      </c>
      <c r="K410" s="36">
        <f t="shared" si="29"/>
        <v>0</v>
      </c>
      <c r="L410" s="36">
        <f t="shared" si="30"/>
        <v>1</v>
      </c>
      <c r="M410" s="36">
        <f t="shared" si="31"/>
        <v>0</v>
      </c>
    </row>
    <row r="411" spans="1:13" ht="15" customHeight="1" x14ac:dyDescent="0.75">
      <c r="A411" s="18" t="s">
        <v>81</v>
      </c>
      <c r="B411" s="19">
        <v>46139</v>
      </c>
      <c r="C411" s="17">
        <v>666541</v>
      </c>
      <c r="D411" s="18" t="s">
        <v>41</v>
      </c>
      <c r="E411" s="20">
        <f>SUMIFS('PvA Data'!$F$2:$F$1576,'PvA Data'!$A$2:$A$1576,$A411,'PvA Data'!$E$2:$E$1576,$D411)</f>
        <v>340</v>
      </c>
      <c r="F411" s="20">
        <f>SUMIFS('PvA Data'!$G$2:$G$1576,'PvA Data'!$A$2:$A$1576,$A411,'PvA Data'!$E$2:$E$1576,$D411)</f>
        <v>188</v>
      </c>
      <c r="G411" s="36">
        <f t="shared" si="28"/>
        <v>0.55294117647058827</v>
      </c>
      <c r="H411" s="20">
        <f>SUMIFS('PvA Data'!$G$2:$G$1576,'PvA Data'!$A$2:$A$1576,$A411,'PvA Data'!$E$2:$E$1576,$D411,'PvA Data'!$C$2:$C$1576,"Nahunta")</f>
        <v>0</v>
      </c>
      <c r="I411" s="20">
        <f>SUMIFS('PvA Data'!$G$2:$G$1576,'PvA Data'!$A$2:$A$1576,$A411,'PvA Data'!$E$2:$E$1576,$D411,'PvA Data'!$C$2:$C$1576,"Martin")</f>
        <v>188</v>
      </c>
      <c r="J411" s="20">
        <f>SUMIFS('PvA Data'!$G$2:$G$1576,'PvA Data'!$A$2:$A$1576,$A411,'PvA Data'!$E$2:$E$1576,$D411,'PvA Data'!$C$2:$C$1576,"Custom")</f>
        <v>0</v>
      </c>
      <c r="K411" s="36">
        <f t="shared" si="29"/>
        <v>0</v>
      </c>
      <c r="L411" s="36">
        <f t="shared" si="30"/>
        <v>1</v>
      </c>
      <c r="M411" s="36">
        <f t="shared" si="31"/>
        <v>0</v>
      </c>
    </row>
    <row r="412" spans="1:13" ht="15" customHeight="1" x14ac:dyDescent="0.75">
      <c r="A412" s="18" t="s">
        <v>81</v>
      </c>
      <c r="B412" s="19">
        <v>46139</v>
      </c>
      <c r="C412" s="17">
        <v>666536</v>
      </c>
      <c r="D412" s="18" t="s">
        <v>43</v>
      </c>
      <c r="E412" s="20">
        <f>SUMIFS('PvA Data'!$F$2:$F$1576,'PvA Data'!$A$2:$A$1576,$A412,'PvA Data'!$E$2:$E$1576,$D412)</f>
        <v>14</v>
      </c>
      <c r="F412" s="20">
        <f>SUMIFS('PvA Data'!$G$2:$G$1576,'PvA Data'!$A$2:$A$1576,$A412,'PvA Data'!$E$2:$E$1576,$D412)</f>
        <v>9</v>
      </c>
      <c r="G412" s="36">
        <f t="shared" si="28"/>
        <v>0.6428571428571429</v>
      </c>
      <c r="H412" s="20">
        <f>SUMIFS('PvA Data'!$G$2:$G$1576,'PvA Data'!$A$2:$A$1576,$A412,'PvA Data'!$E$2:$E$1576,$D412,'PvA Data'!$C$2:$C$1576,"Nahunta")</f>
        <v>9</v>
      </c>
      <c r="I412" s="20">
        <f>SUMIFS('PvA Data'!$G$2:$G$1576,'PvA Data'!$A$2:$A$1576,$A412,'PvA Data'!$E$2:$E$1576,$D412,'PvA Data'!$C$2:$C$1576,"Martin")</f>
        <v>0</v>
      </c>
      <c r="J412" s="20">
        <f>SUMIFS('PvA Data'!$G$2:$G$1576,'PvA Data'!$A$2:$A$1576,$A412,'PvA Data'!$E$2:$E$1576,$D412,'PvA Data'!$C$2:$C$1576,"Custom")</f>
        <v>0</v>
      </c>
      <c r="K412" s="36">
        <f t="shared" si="29"/>
        <v>1</v>
      </c>
      <c r="L412" s="36">
        <f t="shared" si="30"/>
        <v>0</v>
      </c>
      <c r="M412" s="36">
        <f t="shared" si="31"/>
        <v>0</v>
      </c>
    </row>
    <row r="413" spans="1:13" ht="15" customHeight="1" x14ac:dyDescent="0.75">
      <c r="A413" s="18" t="s">
        <v>82</v>
      </c>
      <c r="B413" s="19">
        <v>46146</v>
      </c>
      <c r="C413" s="17">
        <v>666501</v>
      </c>
      <c r="D413" s="18" t="s">
        <v>5</v>
      </c>
      <c r="E413" s="20">
        <f>SUMIFS('PvA Data'!$F$2:$F$1576,'PvA Data'!$A$2:$A$1576,$A413,'PvA Data'!$E$2:$E$1576,$D413)</f>
        <v>273</v>
      </c>
      <c r="F413" s="20">
        <f>SUMIFS('PvA Data'!$G$2:$G$1576,'PvA Data'!$A$2:$A$1576,$A413,'PvA Data'!$E$2:$E$1576,$D413)</f>
        <v>471</v>
      </c>
      <c r="G413" s="36">
        <f t="shared" si="28"/>
        <v>1.7252747252747254</v>
      </c>
      <c r="H413" s="20">
        <f>SUMIFS('PvA Data'!$G$2:$G$1576,'PvA Data'!$A$2:$A$1576,$A413,'PvA Data'!$E$2:$E$1576,$D413,'PvA Data'!$C$2:$C$1576,"Nahunta")</f>
        <v>42</v>
      </c>
      <c r="I413" s="20">
        <f>SUMIFS('PvA Data'!$G$2:$G$1576,'PvA Data'!$A$2:$A$1576,$A413,'PvA Data'!$E$2:$E$1576,$D413,'PvA Data'!$C$2:$C$1576,"Martin")</f>
        <v>390</v>
      </c>
      <c r="J413" s="20">
        <f>SUMIFS('PvA Data'!$G$2:$G$1576,'PvA Data'!$A$2:$A$1576,$A413,'PvA Data'!$E$2:$E$1576,$D413,'PvA Data'!$C$2:$C$1576,"Custom")</f>
        <v>39</v>
      </c>
      <c r="K413" s="36">
        <f t="shared" si="29"/>
        <v>8.9171974522292988E-2</v>
      </c>
      <c r="L413" s="36">
        <f t="shared" si="30"/>
        <v>0.82802547770700641</v>
      </c>
      <c r="M413" s="36">
        <f t="shared" si="31"/>
        <v>8.2802547770700632E-2</v>
      </c>
    </row>
    <row r="414" spans="1:13" ht="15" customHeight="1" x14ac:dyDescent="0.75">
      <c r="A414" s="18" t="s">
        <v>82</v>
      </c>
      <c r="B414" s="19">
        <v>46146</v>
      </c>
      <c r="C414" s="17">
        <v>666502</v>
      </c>
      <c r="D414" s="18" t="s">
        <v>7</v>
      </c>
      <c r="E414" s="20">
        <f>SUMIFS('PvA Data'!$F$2:$F$1576,'PvA Data'!$A$2:$A$1576,$A414,'PvA Data'!$E$2:$E$1576,$D414)</f>
        <v>180</v>
      </c>
      <c r="F414" s="20">
        <f>SUMIFS('PvA Data'!$G$2:$G$1576,'PvA Data'!$A$2:$A$1576,$A414,'PvA Data'!$E$2:$E$1576,$D414)</f>
        <v>174</v>
      </c>
      <c r="G414" s="36">
        <f t="shared" si="28"/>
        <v>0.96666666666666667</v>
      </c>
      <c r="H414" s="20">
        <f>SUMIFS('PvA Data'!$G$2:$G$1576,'PvA Data'!$A$2:$A$1576,$A414,'PvA Data'!$E$2:$E$1576,$D414,'PvA Data'!$C$2:$C$1576,"Nahunta")</f>
        <v>0</v>
      </c>
      <c r="I414" s="20">
        <f>SUMIFS('PvA Data'!$G$2:$G$1576,'PvA Data'!$A$2:$A$1576,$A414,'PvA Data'!$E$2:$E$1576,$D414,'PvA Data'!$C$2:$C$1576,"Martin")</f>
        <v>135</v>
      </c>
      <c r="J414" s="20">
        <f>SUMIFS('PvA Data'!$G$2:$G$1576,'PvA Data'!$A$2:$A$1576,$A414,'PvA Data'!$E$2:$E$1576,$D414,'PvA Data'!$C$2:$C$1576,"Custom")</f>
        <v>39</v>
      </c>
      <c r="K414" s="36">
        <f t="shared" si="29"/>
        <v>0</v>
      </c>
      <c r="L414" s="36">
        <f t="shared" si="30"/>
        <v>0.77586206896551724</v>
      </c>
      <c r="M414" s="36">
        <f t="shared" si="31"/>
        <v>0.22413793103448276</v>
      </c>
    </row>
    <row r="415" spans="1:13" ht="15" customHeight="1" x14ac:dyDescent="0.75">
      <c r="A415" s="18" t="s">
        <v>82</v>
      </c>
      <c r="B415" s="19">
        <v>46146</v>
      </c>
      <c r="C415" s="17">
        <v>666505</v>
      </c>
      <c r="D415" s="18" t="s">
        <v>9</v>
      </c>
      <c r="E415" s="20">
        <f>SUMIFS('PvA Data'!$F$2:$F$1576,'PvA Data'!$A$2:$A$1576,$A415,'PvA Data'!$E$2:$E$1576,$D415)</f>
        <v>25</v>
      </c>
      <c r="F415" s="20">
        <f>SUMIFS('PvA Data'!$G$2:$G$1576,'PvA Data'!$A$2:$A$1576,$A415,'PvA Data'!$E$2:$E$1576,$D415)</f>
        <v>50</v>
      </c>
      <c r="G415" s="36">
        <f t="shared" si="28"/>
        <v>2</v>
      </c>
      <c r="H415" s="20">
        <f>SUMIFS('PvA Data'!$G$2:$G$1576,'PvA Data'!$A$2:$A$1576,$A415,'PvA Data'!$E$2:$E$1576,$D415,'PvA Data'!$C$2:$C$1576,"Nahunta")</f>
        <v>16</v>
      </c>
      <c r="I415" s="20">
        <f>SUMIFS('PvA Data'!$G$2:$G$1576,'PvA Data'!$A$2:$A$1576,$A415,'PvA Data'!$E$2:$E$1576,$D415,'PvA Data'!$C$2:$C$1576,"Martin")</f>
        <v>0</v>
      </c>
      <c r="J415" s="20">
        <f>SUMIFS('PvA Data'!$G$2:$G$1576,'PvA Data'!$A$2:$A$1576,$A415,'PvA Data'!$E$2:$E$1576,$D415,'PvA Data'!$C$2:$C$1576,"Custom")</f>
        <v>34</v>
      </c>
      <c r="K415" s="36">
        <f t="shared" si="29"/>
        <v>0.32</v>
      </c>
      <c r="L415" s="36">
        <f t="shared" si="30"/>
        <v>0</v>
      </c>
      <c r="M415" s="36">
        <f t="shared" si="31"/>
        <v>0.68</v>
      </c>
    </row>
    <row r="416" spans="1:13" ht="15" customHeight="1" x14ac:dyDescent="0.75">
      <c r="A416" s="18" t="s">
        <v>82</v>
      </c>
      <c r="B416" s="19">
        <v>46146</v>
      </c>
      <c r="C416" s="17">
        <v>666506</v>
      </c>
      <c r="D416" s="18" t="s">
        <v>11</v>
      </c>
      <c r="E416" s="20">
        <f>SUMIFS('PvA Data'!$F$2:$F$1576,'PvA Data'!$A$2:$A$1576,$A416,'PvA Data'!$E$2:$E$1576,$D416)</f>
        <v>150</v>
      </c>
      <c r="F416" s="20">
        <f>SUMIFS('PvA Data'!$G$2:$G$1576,'PvA Data'!$A$2:$A$1576,$A416,'PvA Data'!$E$2:$E$1576,$D416)</f>
        <v>119</v>
      </c>
      <c r="G416" s="36">
        <f t="shared" si="28"/>
        <v>0.79333333333333333</v>
      </c>
      <c r="H416" s="20">
        <f>SUMIFS('PvA Data'!$G$2:$G$1576,'PvA Data'!$A$2:$A$1576,$A416,'PvA Data'!$E$2:$E$1576,$D416,'PvA Data'!$C$2:$C$1576,"Nahunta")</f>
        <v>0</v>
      </c>
      <c r="I416" s="20">
        <f>SUMIFS('PvA Data'!$G$2:$G$1576,'PvA Data'!$A$2:$A$1576,$A416,'PvA Data'!$E$2:$E$1576,$D416,'PvA Data'!$C$2:$C$1576,"Martin")</f>
        <v>119</v>
      </c>
      <c r="J416" s="20">
        <f>SUMIFS('PvA Data'!$G$2:$G$1576,'PvA Data'!$A$2:$A$1576,$A416,'PvA Data'!$E$2:$E$1576,$D416,'PvA Data'!$C$2:$C$1576,"Custom")</f>
        <v>0</v>
      </c>
      <c r="K416" s="36">
        <f t="shared" si="29"/>
        <v>0</v>
      </c>
      <c r="L416" s="36">
        <f t="shared" si="30"/>
        <v>1</v>
      </c>
      <c r="M416" s="36">
        <f t="shared" si="31"/>
        <v>0</v>
      </c>
    </row>
    <row r="417" spans="1:13" ht="15" customHeight="1" x14ac:dyDescent="0.75">
      <c r="A417" s="18" t="s">
        <v>82</v>
      </c>
      <c r="B417" s="19">
        <v>46146</v>
      </c>
      <c r="C417" s="17">
        <v>666507</v>
      </c>
      <c r="D417" s="18" t="s">
        <v>13</v>
      </c>
      <c r="E417" s="20">
        <f>SUMIFS('PvA Data'!$F$2:$F$1576,'PvA Data'!$A$2:$A$1576,$A417,'PvA Data'!$E$2:$E$1576,$D417)</f>
        <v>8</v>
      </c>
      <c r="F417" s="20">
        <f>SUMIFS('PvA Data'!$G$2:$G$1576,'PvA Data'!$A$2:$A$1576,$A417,'PvA Data'!$E$2:$E$1576,$D417)</f>
        <v>0</v>
      </c>
      <c r="G417" s="36">
        <f t="shared" si="28"/>
        <v>0</v>
      </c>
      <c r="H417" s="20">
        <f>SUMIFS('PvA Data'!$G$2:$G$1576,'PvA Data'!$A$2:$A$1576,$A417,'PvA Data'!$E$2:$E$1576,$D417,'PvA Data'!$C$2:$C$1576,"Nahunta")</f>
        <v>0</v>
      </c>
      <c r="I417" s="20">
        <f>SUMIFS('PvA Data'!$G$2:$G$1576,'PvA Data'!$A$2:$A$1576,$A417,'PvA Data'!$E$2:$E$1576,$D417,'PvA Data'!$C$2:$C$1576,"Martin")</f>
        <v>0</v>
      </c>
      <c r="J417" s="20">
        <f>SUMIFS('PvA Data'!$G$2:$G$1576,'PvA Data'!$A$2:$A$1576,$A417,'PvA Data'!$E$2:$E$1576,$D417,'PvA Data'!$C$2:$C$1576,"Custom")</f>
        <v>0</v>
      </c>
      <c r="K417" s="36" t="str">
        <f t="shared" si="29"/>
        <v/>
      </c>
      <c r="L417" s="36" t="str">
        <f t="shared" si="30"/>
        <v/>
      </c>
      <c r="M417" s="36" t="str">
        <f t="shared" si="31"/>
        <v/>
      </c>
    </row>
    <row r="418" spans="1:13" ht="15" customHeight="1" x14ac:dyDescent="0.75">
      <c r="A418" s="18" t="s">
        <v>82</v>
      </c>
      <c r="B418" s="19">
        <v>46146</v>
      </c>
      <c r="C418" s="17">
        <v>666509</v>
      </c>
      <c r="D418" s="18" t="s">
        <v>15</v>
      </c>
      <c r="E418" s="20">
        <f>SUMIFS('PvA Data'!$F$2:$F$1576,'PvA Data'!$A$2:$A$1576,$A418,'PvA Data'!$E$2:$E$1576,$D418)</f>
        <v>25</v>
      </c>
      <c r="F418" s="20">
        <f>SUMIFS('PvA Data'!$G$2:$G$1576,'PvA Data'!$A$2:$A$1576,$A418,'PvA Data'!$E$2:$E$1576,$D418)</f>
        <v>50</v>
      </c>
      <c r="G418" s="36">
        <f t="shared" si="28"/>
        <v>2</v>
      </c>
      <c r="H418" s="20">
        <f>SUMIFS('PvA Data'!$G$2:$G$1576,'PvA Data'!$A$2:$A$1576,$A418,'PvA Data'!$E$2:$E$1576,$D418,'PvA Data'!$C$2:$C$1576,"Nahunta")</f>
        <v>50</v>
      </c>
      <c r="I418" s="20">
        <f>SUMIFS('PvA Data'!$G$2:$G$1576,'PvA Data'!$A$2:$A$1576,$A418,'PvA Data'!$E$2:$E$1576,$D418,'PvA Data'!$C$2:$C$1576,"Martin")</f>
        <v>0</v>
      </c>
      <c r="J418" s="20">
        <f>SUMIFS('PvA Data'!$G$2:$G$1576,'PvA Data'!$A$2:$A$1576,$A418,'PvA Data'!$E$2:$E$1576,$D418,'PvA Data'!$C$2:$C$1576,"Custom")</f>
        <v>0</v>
      </c>
      <c r="K418" s="36">
        <f t="shared" si="29"/>
        <v>1</v>
      </c>
      <c r="L418" s="36">
        <f t="shared" si="30"/>
        <v>0</v>
      </c>
      <c r="M418" s="36">
        <f t="shared" si="31"/>
        <v>0</v>
      </c>
    </row>
    <row r="419" spans="1:13" ht="15" customHeight="1" x14ac:dyDescent="0.75">
      <c r="A419" s="18" t="s">
        <v>82</v>
      </c>
      <c r="B419" s="19">
        <v>46146</v>
      </c>
      <c r="C419" s="17">
        <v>666510</v>
      </c>
      <c r="D419" s="18" t="s">
        <v>17</v>
      </c>
      <c r="E419" s="20">
        <f>SUMIFS('PvA Data'!$F$2:$F$1576,'PvA Data'!$A$2:$A$1576,$A419,'PvA Data'!$E$2:$E$1576,$D419)</f>
        <v>0</v>
      </c>
      <c r="F419" s="20">
        <f>SUMIFS('PvA Data'!$G$2:$G$1576,'PvA Data'!$A$2:$A$1576,$A419,'PvA Data'!$E$2:$E$1576,$D419)</f>
        <v>0</v>
      </c>
      <c r="G419" s="36" t="str">
        <f t="shared" ref="G419:G482" si="32">IF(E419=0,"",F419/E419)</f>
        <v/>
      </c>
      <c r="H419" s="20">
        <f>SUMIFS('PvA Data'!$G$2:$G$1576,'PvA Data'!$A$2:$A$1576,$A419,'PvA Data'!$E$2:$E$1576,$D419,'PvA Data'!$C$2:$C$1576,"Nahunta")</f>
        <v>0</v>
      </c>
      <c r="I419" s="20">
        <f>SUMIFS('PvA Data'!$G$2:$G$1576,'PvA Data'!$A$2:$A$1576,$A419,'PvA Data'!$E$2:$E$1576,$D419,'PvA Data'!$C$2:$C$1576,"Martin")</f>
        <v>0</v>
      </c>
      <c r="J419" s="20">
        <f>SUMIFS('PvA Data'!$G$2:$G$1576,'PvA Data'!$A$2:$A$1576,$A419,'PvA Data'!$E$2:$E$1576,$D419,'PvA Data'!$C$2:$C$1576,"Custom")</f>
        <v>0</v>
      </c>
      <c r="K419" s="36" t="str">
        <f t="shared" ref="K419:K482" si="33">IF($F419=0,"",H419/$F419)</f>
        <v/>
      </c>
      <c r="L419" s="36" t="str">
        <f t="shared" ref="L419:L482" si="34">IF($F419=0,"",I419/$F419)</f>
        <v/>
      </c>
      <c r="M419" s="36" t="str">
        <f t="shared" ref="M419:M482" si="35">IF($F419=0,"",J419/$F419)</f>
        <v/>
      </c>
    </row>
    <row r="420" spans="1:13" ht="15" customHeight="1" x14ac:dyDescent="0.75">
      <c r="A420" s="18" t="s">
        <v>82</v>
      </c>
      <c r="B420" s="19">
        <v>46146</v>
      </c>
      <c r="C420" s="17">
        <v>666511</v>
      </c>
      <c r="D420" s="18" t="s">
        <v>19</v>
      </c>
      <c r="E420" s="20">
        <f>SUMIFS('PvA Data'!$F$2:$F$1576,'PvA Data'!$A$2:$A$1576,$A420,'PvA Data'!$E$2:$E$1576,$D420)</f>
        <v>3</v>
      </c>
      <c r="F420" s="20">
        <f>SUMIFS('PvA Data'!$G$2:$G$1576,'PvA Data'!$A$2:$A$1576,$A420,'PvA Data'!$E$2:$E$1576,$D420)</f>
        <v>0</v>
      </c>
      <c r="G420" s="36">
        <f t="shared" si="32"/>
        <v>0</v>
      </c>
      <c r="H420" s="20">
        <f>SUMIFS('PvA Data'!$G$2:$G$1576,'PvA Data'!$A$2:$A$1576,$A420,'PvA Data'!$E$2:$E$1576,$D420,'PvA Data'!$C$2:$C$1576,"Nahunta")</f>
        <v>0</v>
      </c>
      <c r="I420" s="20">
        <f>SUMIFS('PvA Data'!$G$2:$G$1576,'PvA Data'!$A$2:$A$1576,$A420,'PvA Data'!$E$2:$E$1576,$D420,'PvA Data'!$C$2:$C$1576,"Martin")</f>
        <v>0</v>
      </c>
      <c r="J420" s="20">
        <f>SUMIFS('PvA Data'!$G$2:$G$1576,'PvA Data'!$A$2:$A$1576,$A420,'PvA Data'!$E$2:$E$1576,$D420,'PvA Data'!$C$2:$C$1576,"Custom")</f>
        <v>0</v>
      </c>
      <c r="K420" s="36" t="str">
        <f t="shared" si="33"/>
        <v/>
      </c>
      <c r="L420" s="36" t="str">
        <f t="shared" si="34"/>
        <v/>
      </c>
      <c r="M420" s="36" t="str">
        <f t="shared" si="35"/>
        <v/>
      </c>
    </row>
    <row r="421" spans="1:13" ht="15" customHeight="1" x14ac:dyDescent="0.75">
      <c r="A421" s="18" t="s">
        <v>82</v>
      </c>
      <c r="B421" s="19">
        <v>46146</v>
      </c>
      <c r="C421" s="17">
        <v>666513</v>
      </c>
      <c r="D421" s="18" t="s">
        <v>21</v>
      </c>
      <c r="E421" s="20">
        <f>SUMIFS('PvA Data'!$F$2:$F$1576,'PvA Data'!$A$2:$A$1576,$A421,'PvA Data'!$E$2:$E$1576,$D421)</f>
        <v>14</v>
      </c>
      <c r="F421" s="20">
        <f>SUMIFS('PvA Data'!$G$2:$G$1576,'PvA Data'!$A$2:$A$1576,$A421,'PvA Data'!$E$2:$E$1576,$D421)</f>
        <v>28</v>
      </c>
      <c r="G421" s="36">
        <f t="shared" si="32"/>
        <v>2</v>
      </c>
      <c r="H421" s="20">
        <f>SUMIFS('PvA Data'!$G$2:$G$1576,'PvA Data'!$A$2:$A$1576,$A421,'PvA Data'!$E$2:$E$1576,$D421,'PvA Data'!$C$2:$C$1576,"Nahunta")</f>
        <v>8</v>
      </c>
      <c r="I421" s="20">
        <f>SUMIFS('PvA Data'!$G$2:$G$1576,'PvA Data'!$A$2:$A$1576,$A421,'PvA Data'!$E$2:$E$1576,$D421,'PvA Data'!$C$2:$C$1576,"Martin")</f>
        <v>0</v>
      </c>
      <c r="J421" s="20">
        <f>SUMIFS('PvA Data'!$G$2:$G$1576,'PvA Data'!$A$2:$A$1576,$A421,'PvA Data'!$E$2:$E$1576,$D421,'PvA Data'!$C$2:$C$1576,"Custom")</f>
        <v>20</v>
      </c>
      <c r="K421" s="36">
        <f t="shared" si="33"/>
        <v>0.2857142857142857</v>
      </c>
      <c r="L421" s="36">
        <f t="shared" si="34"/>
        <v>0</v>
      </c>
      <c r="M421" s="36">
        <f t="shared" si="35"/>
        <v>0.7142857142857143</v>
      </c>
    </row>
    <row r="422" spans="1:13" ht="15" customHeight="1" x14ac:dyDescent="0.75">
      <c r="A422" s="18" t="s">
        <v>82</v>
      </c>
      <c r="B422" s="19">
        <v>46146</v>
      </c>
      <c r="C422" s="17">
        <v>666516</v>
      </c>
      <c r="D422" s="18" t="s">
        <v>23</v>
      </c>
      <c r="E422" s="20">
        <f>SUMIFS('PvA Data'!$F$2:$F$1576,'PvA Data'!$A$2:$A$1576,$A422,'PvA Data'!$E$2:$E$1576,$D422)</f>
        <v>27</v>
      </c>
      <c r="F422" s="20">
        <f>SUMIFS('PvA Data'!$G$2:$G$1576,'PvA Data'!$A$2:$A$1576,$A422,'PvA Data'!$E$2:$E$1576,$D422)</f>
        <v>54</v>
      </c>
      <c r="G422" s="36">
        <f t="shared" si="32"/>
        <v>2</v>
      </c>
      <c r="H422" s="20">
        <f>SUMIFS('PvA Data'!$G$2:$G$1576,'PvA Data'!$A$2:$A$1576,$A422,'PvA Data'!$E$2:$E$1576,$D422,'PvA Data'!$C$2:$C$1576,"Nahunta")</f>
        <v>27</v>
      </c>
      <c r="I422" s="20">
        <f>SUMIFS('PvA Data'!$G$2:$G$1576,'PvA Data'!$A$2:$A$1576,$A422,'PvA Data'!$E$2:$E$1576,$D422,'PvA Data'!$C$2:$C$1576,"Martin")</f>
        <v>0</v>
      </c>
      <c r="J422" s="20">
        <f>SUMIFS('PvA Data'!$G$2:$G$1576,'PvA Data'!$A$2:$A$1576,$A422,'PvA Data'!$E$2:$E$1576,$D422,'PvA Data'!$C$2:$C$1576,"Custom")</f>
        <v>27</v>
      </c>
      <c r="K422" s="36">
        <f t="shared" si="33"/>
        <v>0.5</v>
      </c>
      <c r="L422" s="36">
        <f t="shared" si="34"/>
        <v>0</v>
      </c>
      <c r="M422" s="36">
        <f t="shared" si="35"/>
        <v>0.5</v>
      </c>
    </row>
    <row r="423" spans="1:13" ht="15" customHeight="1" x14ac:dyDescent="0.75">
      <c r="A423" s="18" t="s">
        <v>82</v>
      </c>
      <c r="B423" s="19">
        <v>46146</v>
      </c>
      <c r="C423" s="17">
        <v>666517</v>
      </c>
      <c r="D423" s="18" t="s">
        <v>25</v>
      </c>
      <c r="E423" s="20">
        <f>SUMIFS('PvA Data'!$F$2:$F$1576,'PvA Data'!$A$2:$A$1576,$A423,'PvA Data'!$E$2:$E$1576,$D423)</f>
        <v>24</v>
      </c>
      <c r="F423" s="20">
        <f>SUMIFS('PvA Data'!$G$2:$G$1576,'PvA Data'!$A$2:$A$1576,$A423,'PvA Data'!$E$2:$E$1576,$D423)</f>
        <v>48</v>
      </c>
      <c r="G423" s="36">
        <f t="shared" si="32"/>
        <v>2</v>
      </c>
      <c r="H423" s="20">
        <f>SUMIFS('PvA Data'!$G$2:$G$1576,'PvA Data'!$A$2:$A$1576,$A423,'PvA Data'!$E$2:$E$1576,$D423,'PvA Data'!$C$2:$C$1576,"Nahunta")</f>
        <v>33</v>
      </c>
      <c r="I423" s="20">
        <f>SUMIFS('PvA Data'!$G$2:$G$1576,'PvA Data'!$A$2:$A$1576,$A423,'PvA Data'!$E$2:$E$1576,$D423,'PvA Data'!$C$2:$C$1576,"Martin")</f>
        <v>0</v>
      </c>
      <c r="J423" s="20">
        <f>SUMIFS('PvA Data'!$G$2:$G$1576,'PvA Data'!$A$2:$A$1576,$A423,'PvA Data'!$E$2:$E$1576,$D423,'PvA Data'!$C$2:$C$1576,"Custom")</f>
        <v>15</v>
      </c>
      <c r="K423" s="36">
        <f t="shared" si="33"/>
        <v>0.6875</v>
      </c>
      <c r="L423" s="36">
        <f t="shared" si="34"/>
        <v>0</v>
      </c>
      <c r="M423" s="36">
        <f t="shared" si="35"/>
        <v>0.3125</v>
      </c>
    </row>
    <row r="424" spans="1:13" ht="15" customHeight="1" x14ac:dyDescent="0.75">
      <c r="A424" s="18" t="s">
        <v>82</v>
      </c>
      <c r="B424" s="19">
        <v>46146</v>
      </c>
      <c r="C424" s="17">
        <v>666518</v>
      </c>
      <c r="D424" s="18" t="s">
        <v>27</v>
      </c>
      <c r="E424" s="20">
        <f>SUMIFS('PvA Data'!$F$2:$F$1576,'PvA Data'!$A$2:$A$1576,$A424,'PvA Data'!$E$2:$E$1576,$D424)</f>
        <v>0</v>
      </c>
      <c r="F424" s="20">
        <f>SUMIFS('PvA Data'!$G$2:$G$1576,'PvA Data'!$A$2:$A$1576,$A424,'PvA Data'!$E$2:$E$1576,$D424)</f>
        <v>0</v>
      </c>
      <c r="G424" s="36" t="str">
        <f t="shared" si="32"/>
        <v/>
      </c>
      <c r="H424" s="20">
        <f>SUMIFS('PvA Data'!$G$2:$G$1576,'PvA Data'!$A$2:$A$1576,$A424,'PvA Data'!$E$2:$E$1576,$D424,'PvA Data'!$C$2:$C$1576,"Nahunta")</f>
        <v>0</v>
      </c>
      <c r="I424" s="20">
        <f>SUMIFS('PvA Data'!$G$2:$G$1576,'PvA Data'!$A$2:$A$1576,$A424,'PvA Data'!$E$2:$E$1576,$D424,'PvA Data'!$C$2:$C$1576,"Martin")</f>
        <v>0</v>
      </c>
      <c r="J424" s="20">
        <f>SUMIFS('PvA Data'!$G$2:$G$1576,'PvA Data'!$A$2:$A$1576,$A424,'PvA Data'!$E$2:$E$1576,$D424,'PvA Data'!$C$2:$C$1576,"Custom")</f>
        <v>0</v>
      </c>
      <c r="K424" s="36" t="str">
        <f t="shared" si="33"/>
        <v/>
      </c>
      <c r="L424" s="36" t="str">
        <f t="shared" si="34"/>
        <v/>
      </c>
      <c r="M424" s="36" t="str">
        <f t="shared" si="35"/>
        <v/>
      </c>
    </row>
    <row r="425" spans="1:13" ht="15" customHeight="1" x14ac:dyDescent="0.75">
      <c r="A425" s="18" t="s">
        <v>82</v>
      </c>
      <c r="B425" s="19">
        <v>46146</v>
      </c>
      <c r="C425" s="17">
        <v>666519</v>
      </c>
      <c r="D425" s="18" t="s">
        <v>29</v>
      </c>
      <c r="E425" s="20">
        <f>SUMIFS('PvA Data'!$F$2:$F$1576,'PvA Data'!$A$2:$A$1576,$A425,'PvA Data'!$E$2:$E$1576,$D425)</f>
        <v>26</v>
      </c>
      <c r="F425" s="20">
        <f>SUMIFS('PvA Data'!$G$2:$G$1576,'PvA Data'!$A$2:$A$1576,$A425,'PvA Data'!$E$2:$E$1576,$D425)</f>
        <v>52</v>
      </c>
      <c r="G425" s="36">
        <f t="shared" si="32"/>
        <v>2</v>
      </c>
      <c r="H425" s="20">
        <f>SUMIFS('PvA Data'!$G$2:$G$1576,'PvA Data'!$A$2:$A$1576,$A425,'PvA Data'!$E$2:$E$1576,$D425,'PvA Data'!$C$2:$C$1576,"Nahunta")</f>
        <v>26</v>
      </c>
      <c r="I425" s="20">
        <f>SUMIFS('PvA Data'!$G$2:$G$1576,'PvA Data'!$A$2:$A$1576,$A425,'PvA Data'!$E$2:$E$1576,$D425,'PvA Data'!$C$2:$C$1576,"Martin")</f>
        <v>0</v>
      </c>
      <c r="J425" s="20">
        <f>SUMIFS('PvA Data'!$G$2:$G$1576,'PvA Data'!$A$2:$A$1576,$A425,'PvA Data'!$E$2:$E$1576,$D425,'PvA Data'!$C$2:$C$1576,"Custom")</f>
        <v>26</v>
      </c>
      <c r="K425" s="36">
        <f t="shared" si="33"/>
        <v>0.5</v>
      </c>
      <c r="L425" s="36">
        <f t="shared" si="34"/>
        <v>0</v>
      </c>
      <c r="M425" s="36">
        <f t="shared" si="35"/>
        <v>0.5</v>
      </c>
    </row>
    <row r="426" spans="1:13" ht="15" customHeight="1" x14ac:dyDescent="0.75">
      <c r="A426" s="18" t="s">
        <v>82</v>
      </c>
      <c r="B426" s="19">
        <v>46146</v>
      </c>
      <c r="C426" s="17">
        <v>666521</v>
      </c>
      <c r="D426" s="18" t="s">
        <v>31</v>
      </c>
      <c r="E426" s="20">
        <f>SUMIFS('PvA Data'!$F$2:$F$1576,'PvA Data'!$A$2:$A$1576,$A426,'PvA Data'!$E$2:$E$1576,$D426)</f>
        <v>40</v>
      </c>
      <c r="F426" s="20">
        <f>SUMIFS('PvA Data'!$G$2:$G$1576,'PvA Data'!$A$2:$A$1576,$A426,'PvA Data'!$E$2:$E$1576,$D426)</f>
        <v>41</v>
      </c>
      <c r="G426" s="36">
        <f t="shared" si="32"/>
        <v>1.0249999999999999</v>
      </c>
      <c r="H426" s="20">
        <f>SUMIFS('PvA Data'!$G$2:$G$1576,'PvA Data'!$A$2:$A$1576,$A426,'PvA Data'!$E$2:$E$1576,$D426,'PvA Data'!$C$2:$C$1576,"Nahunta")</f>
        <v>41</v>
      </c>
      <c r="I426" s="20">
        <f>SUMIFS('PvA Data'!$G$2:$G$1576,'PvA Data'!$A$2:$A$1576,$A426,'PvA Data'!$E$2:$E$1576,$D426,'PvA Data'!$C$2:$C$1576,"Martin")</f>
        <v>0</v>
      </c>
      <c r="J426" s="20">
        <f>SUMIFS('PvA Data'!$G$2:$G$1576,'PvA Data'!$A$2:$A$1576,$A426,'PvA Data'!$E$2:$E$1576,$D426,'PvA Data'!$C$2:$C$1576,"Custom")</f>
        <v>0</v>
      </c>
      <c r="K426" s="36">
        <f t="shared" si="33"/>
        <v>1</v>
      </c>
      <c r="L426" s="36">
        <f t="shared" si="34"/>
        <v>0</v>
      </c>
      <c r="M426" s="36">
        <f t="shared" si="35"/>
        <v>0</v>
      </c>
    </row>
    <row r="427" spans="1:13" ht="15" customHeight="1" x14ac:dyDescent="0.75">
      <c r="A427" s="18" t="s">
        <v>82</v>
      </c>
      <c r="B427" s="19">
        <v>46146</v>
      </c>
      <c r="C427" s="17">
        <v>666522</v>
      </c>
      <c r="D427" s="18" t="s">
        <v>33</v>
      </c>
      <c r="E427" s="20">
        <f>SUMIFS('PvA Data'!$F$2:$F$1576,'PvA Data'!$A$2:$A$1576,$A427,'PvA Data'!$E$2:$E$1576,$D427)</f>
        <v>177.5</v>
      </c>
      <c r="F427" s="20">
        <f>SUMIFS('PvA Data'!$G$2:$G$1576,'PvA Data'!$A$2:$A$1576,$A427,'PvA Data'!$E$2:$E$1576,$D427)</f>
        <v>355</v>
      </c>
      <c r="G427" s="36">
        <f t="shared" si="32"/>
        <v>2</v>
      </c>
      <c r="H427" s="20">
        <f>SUMIFS('PvA Data'!$G$2:$G$1576,'PvA Data'!$A$2:$A$1576,$A427,'PvA Data'!$E$2:$E$1576,$D427,'PvA Data'!$C$2:$C$1576,"Nahunta")</f>
        <v>180</v>
      </c>
      <c r="I427" s="20">
        <f>SUMIFS('PvA Data'!$G$2:$G$1576,'PvA Data'!$A$2:$A$1576,$A427,'PvA Data'!$E$2:$E$1576,$D427,'PvA Data'!$C$2:$C$1576,"Martin")</f>
        <v>50</v>
      </c>
      <c r="J427" s="20">
        <f>SUMIFS('PvA Data'!$G$2:$G$1576,'PvA Data'!$A$2:$A$1576,$A427,'PvA Data'!$E$2:$E$1576,$D427,'PvA Data'!$C$2:$C$1576,"Custom")</f>
        <v>125</v>
      </c>
      <c r="K427" s="36">
        <f t="shared" si="33"/>
        <v>0.50704225352112675</v>
      </c>
      <c r="L427" s="36">
        <f t="shared" si="34"/>
        <v>0.14084507042253522</v>
      </c>
      <c r="M427" s="36">
        <f t="shared" si="35"/>
        <v>0.352112676056338</v>
      </c>
    </row>
    <row r="428" spans="1:13" ht="15" customHeight="1" x14ac:dyDescent="0.75">
      <c r="A428" s="18" t="s">
        <v>82</v>
      </c>
      <c r="B428" s="19">
        <v>46146</v>
      </c>
      <c r="C428" s="17">
        <v>666523</v>
      </c>
      <c r="D428" s="18" t="s">
        <v>35</v>
      </c>
      <c r="E428" s="20">
        <f>SUMIFS('PvA Data'!$F$2:$F$1576,'PvA Data'!$A$2:$A$1576,$A428,'PvA Data'!$E$2:$E$1576,$D428)</f>
        <v>20</v>
      </c>
      <c r="F428" s="20">
        <f>SUMIFS('PvA Data'!$G$2:$G$1576,'PvA Data'!$A$2:$A$1576,$A428,'PvA Data'!$E$2:$E$1576,$D428)</f>
        <v>40</v>
      </c>
      <c r="G428" s="36">
        <f t="shared" si="32"/>
        <v>2</v>
      </c>
      <c r="H428" s="20">
        <f>SUMIFS('PvA Data'!$G$2:$G$1576,'PvA Data'!$A$2:$A$1576,$A428,'PvA Data'!$E$2:$E$1576,$D428,'PvA Data'!$C$2:$C$1576,"Nahunta")</f>
        <v>0</v>
      </c>
      <c r="I428" s="20">
        <f>SUMIFS('PvA Data'!$G$2:$G$1576,'PvA Data'!$A$2:$A$1576,$A428,'PvA Data'!$E$2:$E$1576,$D428,'PvA Data'!$C$2:$C$1576,"Martin")</f>
        <v>0</v>
      </c>
      <c r="J428" s="20">
        <f>SUMIFS('PvA Data'!$G$2:$G$1576,'PvA Data'!$A$2:$A$1576,$A428,'PvA Data'!$E$2:$E$1576,$D428,'PvA Data'!$C$2:$C$1576,"Custom")</f>
        <v>40</v>
      </c>
      <c r="K428" s="36">
        <f t="shared" si="33"/>
        <v>0</v>
      </c>
      <c r="L428" s="36">
        <f t="shared" si="34"/>
        <v>0</v>
      </c>
      <c r="M428" s="36">
        <f t="shared" si="35"/>
        <v>1</v>
      </c>
    </row>
    <row r="429" spans="1:13" ht="15" customHeight="1" x14ac:dyDescent="0.75">
      <c r="A429" s="18" t="s">
        <v>82</v>
      </c>
      <c r="B429" s="19">
        <v>46146</v>
      </c>
      <c r="C429" s="17">
        <v>666530</v>
      </c>
      <c r="D429" s="18" t="s">
        <v>37</v>
      </c>
      <c r="E429" s="20">
        <f>SUMIFS('PvA Data'!$F$2:$F$1576,'PvA Data'!$A$2:$A$1576,$A429,'PvA Data'!$E$2:$E$1576,$D429)</f>
        <v>12</v>
      </c>
      <c r="F429" s="20">
        <f>SUMIFS('PvA Data'!$G$2:$G$1576,'PvA Data'!$A$2:$A$1576,$A429,'PvA Data'!$E$2:$E$1576,$D429)</f>
        <v>24</v>
      </c>
      <c r="G429" s="36">
        <f t="shared" si="32"/>
        <v>2</v>
      </c>
      <c r="H429" s="20">
        <f>SUMIFS('PvA Data'!$G$2:$G$1576,'PvA Data'!$A$2:$A$1576,$A429,'PvA Data'!$E$2:$E$1576,$D429,'PvA Data'!$C$2:$C$1576,"Nahunta")</f>
        <v>0</v>
      </c>
      <c r="I429" s="20">
        <f>SUMIFS('PvA Data'!$G$2:$G$1576,'PvA Data'!$A$2:$A$1576,$A429,'PvA Data'!$E$2:$E$1576,$D429,'PvA Data'!$C$2:$C$1576,"Martin")</f>
        <v>0</v>
      </c>
      <c r="J429" s="20">
        <f>SUMIFS('PvA Data'!$G$2:$G$1576,'PvA Data'!$A$2:$A$1576,$A429,'PvA Data'!$E$2:$E$1576,$D429,'PvA Data'!$C$2:$C$1576,"Custom")</f>
        <v>24</v>
      </c>
      <c r="K429" s="36">
        <f t="shared" si="33"/>
        <v>0</v>
      </c>
      <c r="L429" s="36">
        <f t="shared" si="34"/>
        <v>0</v>
      </c>
      <c r="M429" s="36">
        <f t="shared" si="35"/>
        <v>1</v>
      </c>
    </row>
    <row r="430" spans="1:13" ht="15" customHeight="1" x14ac:dyDescent="0.75">
      <c r="A430" s="18" t="s">
        <v>82</v>
      </c>
      <c r="B430" s="19">
        <v>46146</v>
      </c>
      <c r="C430" s="17">
        <v>666531</v>
      </c>
      <c r="D430" s="18" t="s">
        <v>39</v>
      </c>
      <c r="E430" s="20">
        <f>SUMIFS('PvA Data'!$F$2:$F$1576,'PvA Data'!$A$2:$A$1576,$A430,'PvA Data'!$E$2:$E$1576,$D430)</f>
        <v>14</v>
      </c>
      <c r="F430" s="20">
        <f>SUMIFS('PvA Data'!$G$2:$G$1576,'PvA Data'!$A$2:$A$1576,$A430,'PvA Data'!$E$2:$E$1576,$D430)</f>
        <v>14</v>
      </c>
      <c r="G430" s="36">
        <f t="shared" si="32"/>
        <v>1</v>
      </c>
      <c r="H430" s="20">
        <f>SUMIFS('PvA Data'!$G$2:$G$1576,'PvA Data'!$A$2:$A$1576,$A430,'PvA Data'!$E$2:$E$1576,$D430,'PvA Data'!$C$2:$C$1576,"Nahunta")</f>
        <v>6</v>
      </c>
      <c r="I430" s="20">
        <f>SUMIFS('PvA Data'!$G$2:$G$1576,'PvA Data'!$A$2:$A$1576,$A430,'PvA Data'!$E$2:$E$1576,$D430,'PvA Data'!$C$2:$C$1576,"Martin")</f>
        <v>0</v>
      </c>
      <c r="J430" s="20">
        <f>SUMIFS('PvA Data'!$G$2:$G$1576,'PvA Data'!$A$2:$A$1576,$A430,'PvA Data'!$E$2:$E$1576,$D430,'PvA Data'!$C$2:$C$1576,"Custom")</f>
        <v>8</v>
      </c>
      <c r="K430" s="36">
        <f t="shared" si="33"/>
        <v>0.42857142857142855</v>
      </c>
      <c r="L430" s="36">
        <f t="shared" si="34"/>
        <v>0</v>
      </c>
      <c r="M430" s="36">
        <f t="shared" si="35"/>
        <v>0.5714285714285714</v>
      </c>
    </row>
    <row r="431" spans="1:13" ht="15" customHeight="1" x14ac:dyDescent="0.75">
      <c r="A431" s="18" t="s">
        <v>82</v>
      </c>
      <c r="B431" s="19">
        <v>46146</v>
      </c>
      <c r="C431" s="17">
        <v>666540</v>
      </c>
      <c r="D431" s="18" t="s">
        <v>40</v>
      </c>
      <c r="E431" s="20">
        <f>SUMIFS('PvA Data'!$F$2:$F$1576,'PvA Data'!$A$2:$A$1576,$A431,'PvA Data'!$E$2:$E$1576,$D431)</f>
        <v>20</v>
      </c>
      <c r="F431" s="20">
        <f>SUMIFS('PvA Data'!$G$2:$G$1576,'PvA Data'!$A$2:$A$1576,$A431,'PvA Data'!$E$2:$E$1576,$D431)</f>
        <v>0</v>
      </c>
      <c r="G431" s="36">
        <f t="shared" si="32"/>
        <v>0</v>
      </c>
      <c r="H431" s="20">
        <f>SUMIFS('PvA Data'!$G$2:$G$1576,'PvA Data'!$A$2:$A$1576,$A431,'PvA Data'!$E$2:$E$1576,$D431,'PvA Data'!$C$2:$C$1576,"Nahunta")</f>
        <v>0</v>
      </c>
      <c r="I431" s="20">
        <f>SUMIFS('PvA Data'!$G$2:$G$1576,'PvA Data'!$A$2:$A$1576,$A431,'PvA Data'!$E$2:$E$1576,$D431,'PvA Data'!$C$2:$C$1576,"Martin")</f>
        <v>0</v>
      </c>
      <c r="J431" s="20">
        <f>SUMIFS('PvA Data'!$G$2:$G$1576,'PvA Data'!$A$2:$A$1576,$A431,'PvA Data'!$E$2:$E$1576,$D431,'PvA Data'!$C$2:$C$1576,"Custom")</f>
        <v>0</v>
      </c>
      <c r="K431" s="36" t="str">
        <f t="shared" si="33"/>
        <v/>
      </c>
      <c r="L431" s="36" t="str">
        <f t="shared" si="34"/>
        <v/>
      </c>
      <c r="M431" s="36" t="str">
        <f t="shared" si="35"/>
        <v/>
      </c>
    </row>
    <row r="432" spans="1:13" ht="15" customHeight="1" x14ac:dyDescent="0.75">
      <c r="A432" s="18" t="s">
        <v>82</v>
      </c>
      <c r="B432" s="19">
        <v>46146</v>
      </c>
      <c r="C432" s="17">
        <v>666541</v>
      </c>
      <c r="D432" s="18" t="s">
        <v>41</v>
      </c>
      <c r="E432" s="20">
        <f>SUMIFS('PvA Data'!$F$2:$F$1576,'PvA Data'!$A$2:$A$1576,$A432,'PvA Data'!$E$2:$E$1576,$D432)</f>
        <v>340</v>
      </c>
      <c r="F432" s="20">
        <f>SUMIFS('PvA Data'!$G$2:$G$1576,'PvA Data'!$A$2:$A$1576,$A432,'PvA Data'!$E$2:$E$1576,$D432)</f>
        <v>184</v>
      </c>
      <c r="G432" s="36">
        <f t="shared" si="32"/>
        <v>0.54117647058823526</v>
      </c>
      <c r="H432" s="20">
        <f>SUMIFS('PvA Data'!$G$2:$G$1576,'PvA Data'!$A$2:$A$1576,$A432,'PvA Data'!$E$2:$E$1576,$D432,'PvA Data'!$C$2:$C$1576,"Nahunta")</f>
        <v>0</v>
      </c>
      <c r="I432" s="20">
        <f>SUMIFS('PvA Data'!$G$2:$G$1576,'PvA Data'!$A$2:$A$1576,$A432,'PvA Data'!$E$2:$E$1576,$D432,'PvA Data'!$C$2:$C$1576,"Martin")</f>
        <v>184</v>
      </c>
      <c r="J432" s="20">
        <f>SUMIFS('PvA Data'!$G$2:$G$1576,'PvA Data'!$A$2:$A$1576,$A432,'PvA Data'!$E$2:$E$1576,$D432,'PvA Data'!$C$2:$C$1576,"Custom")</f>
        <v>0</v>
      </c>
      <c r="K432" s="36">
        <f t="shared" si="33"/>
        <v>0</v>
      </c>
      <c r="L432" s="36">
        <f t="shared" si="34"/>
        <v>1</v>
      </c>
      <c r="M432" s="36">
        <f t="shared" si="35"/>
        <v>0</v>
      </c>
    </row>
    <row r="433" spans="1:13" ht="15" customHeight="1" x14ac:dyDescent="0.75">
      <c r="A433" s="18" t="s">
        <v>82</v>
      </c>
      <c r="B433" s="19">
        <v>46146</v>
      </c>
      <c r="C433" s="17">
        <v>666536</v>
      </c>
      <c r="D433" s="18" t="s">
        <v>43</v>
      </c>
      <c r="E433" s="20">
        <f>SUMIFS('PvA Data'!$F$2:$F$1576,'PvA Data'!$A$2:$A$1576,$A433,'PvA Data'!$E$2:$E$1576,$D433)</f>
        <v>20</v>
      </c>
      <c r="F433" s="20">
        <f>SUMIFS('PvA Data'!$G$2:$G$1576,'PvA Data'!$A$2:$A$1576,$A433,'PvA Data'!$E$2:$E$1576,$D433)</f>
        <v>12</v>
      </c>
      <c r="G433" s="36">
        <f t="shared" si="32"/>
        <v>0.6</v>
      </c>
      <c r="H433" s="20">
        <f>SUMIFS('PvA Data'!$G$2:$G$1576,'PvA Data'!$A$2:$A$1576,$A433,'PvA Data'!$E$2:$E$1576,$D433,'PvA Data'!$C$2:$C$1576,"Nahunta")</f>
        <v>12</v>
      </c>
      <c r="I433" s="20">
        <f>SUMIFS('PvA Data'!$G$2:$G$1576,'PvA Data'!$A$2:$A$1576,$A433,'PvA Data'!$E$2:$E$1576,$D433,'PvA Data'!$C$2:$C$1576,"Martin")</f>
        <v>0</v>
      </c>
      <c r="J433" s="20">
        <f>SUMIFS('PvA Data'!$G$2:$G$1576,'PvA Data'!$A$2:$A$1576,$A433,'PvA Data'!$E$2:$E$1576,$D433,'PvA Data'!$C$2:$C$1576,"Custom")</f>
        <v>0</v>
      </c>
      <c r="K433" s="36">
        <f t="shared" si="33"/>
        <v>1</v>
      </c>
      <c r="L433" s="36">
        <f t="shared" si="34"/>
        <v>0</v>
      </c>
      <c r="M433" s="36">
        <f t="shared" si="35"/>
        <v>0</v>
      </c>
    </row>
    <row r="434" spans="1:13" ht="15" customHeight="1" x14ac:dyDescent="0.75">
      <c r="A434" s="18" t="s">
        <v>83</v>
      </c>
      <c r="B434" s="19">
        <v>46153</v>
      </c>
      <c r="C434" s="17">
        <v>666501</v>
      </c>
      <c r="D434" s="18" t="s">
        <v>5</v>
      </c>
      <c r="E434" s="20">
        <f>SUMIFS('PvA Data'!$F$2:$F$1576,'PvA Data'!$A$2:$A$1576,$A434,'PvA Data'!$E$2:$E$1576,$D434)</f>
        <v>273</v>
      </c>
      <c r="F434" s="20">
        <f>SUMIFS('PvA Data'!$G$2:$G$1576,'PvA Data'!$A$2:$A$1576,$A434,'PvA Data'!$E$2:$E$1576,$D434)</f>
        <v>75</v>
      </c>
      <c r="G434" s="36">
        <f t="shared" si="32"/>
        <v>0.27472527472527475</v>
      </c>
      <c r="H434" s="20">
        <f>SUMIFS('PvA Data'!$G$2:$G$1576,'PvA Data'!$A$2:$A$1576,$A434,'PvA Data'!$E$2:$E$1576,$D434,'PvA Data'!$C$2:$C$1576,"Nahunta")</f>
        <v>0</v>
      </c>
      <c r="I434" s="20">
        <f>SUMIFS('PvA Data'!$G$2:$G$1576,'PvA Data'!$A$2:$A$1576,$A434,'PvA Data'!$E$2:$E$1576,$D434,'PvA Data'!$C$2:$C$1576,"Martin")</f>
        <v>75</v>
      </c>
      <c r="J434" s="20">
        <f>SUMIFS('PvA Data'!$G$2:$G$1576,'PvA Data'!$A$2:$A$1576,$A434,'PvA Data'!$E$2:$E$1576,$D434,'PvA Data'!$C$2:$C$1576,"Custom")</f>
        <v>0</v>
      </c>
      <c r="K434" s="36">
        <f t="shared" si="33"/>
        <v>0</v>
      </c>
      <c r="L434" s="36">
        <f t="shared" si="34"/>
        <v>1</v>
      </c>
      <c r="M434" s="36">
        <f t="shared" si="35"/>
        <v>0</v>
      </c>
    </row>
    <row r="435" spans="1:13" ht="15" customHeight="1" x14ac:dyDescent="0.75">
      <c r="A435" s="18" t="s">
        <v>83</v>
      </c>
      <c r="B435" s="19">
        <v>46153</v>
      </c>
      <c r="C435" s="17">
        <v>666502</v>
      </c>
      <c r="D435" s="18" t="s">
        <v>7</v>
      </c>
      <c r="E435" s="20">
        <f>SUMIFS('PvA Data'!$F$2:$F$1576,'PvA Data'!$A$2:$A$1576,$A435,'PvA Data'!$E$2:$E$1576,$D435)</f>
        <v>180</v>
      </c>
      <c r="F435" s="20">
        <f>SUMIFS('PvA Data'!$G$2:$G$1576,'PvA Data'!$A$2:$A$1576,$A435,'PvA Data'!$E$2:$E$1576,$D435)</f>
        <v>179</v>
      </c>
      <c r="G435" s="36">
        <f t="shared" si="32"/>
        <v>0.99444444444444446</v>
      </c>
      <c r="H435" s="20">
        <f>SUMIFS('PvA Data'!$G$2:$G$1576,'PvA Data'!$A$2:$A$1576,$A435,'PvA Data'!$E$2:$E$1576,$D435,'PvA Data'!$C$2:$C$1576,"Nahunta")</f>
        <v>0</v>
      </c>
      <c r="I435" s="20">
        <f>SUMIFS('PvA Data'!$G$2:$G$1576,'PvA Data'!$A$2:$A$1576,$A435,'PvA Data'!$E$2:$E$1576,$D435,'PvA Data'!$C$2:$C$1576,"Martin")</f>
        <v>118</v>
      </c>
      <c r="J435" s="20">
        <f>SUMIFS('PvA Data'!$G$2:$G$1576,'PvA Data'!$A$2:$A$1576,$A435,'PvA Data'!$E$2:$E$1576,$D435,'PvA Data'!$C$2:$C$1576,"Custom")</f>
        <v>61</v>
      </c>
      <c r="K435" s="36">
        <f t="shared" si="33"/>
        <v>0</v>
      </c>
      <c r="L435" s="36">
        <f t="shared" si="34"/>
        <v>0.65921787709497204</v>
      </c>
      <c r="M435" s="36">
        <f t="shared" si="35"/>
        <v>0.34078212290502791</v>
      </c>
    </row>
    <row r="436" spans="1:13" ht="15" customHeight="1" x14ac:dyDescent="0.75">
      <c r="A436" s="18" t="s">
        <v>83</v>
      </c>
      <c r="B436" s="19">
        <v>46153</v>
      </c>
      <c r="C436" s="17">
        <v>666505</v>
      </c>
      <c r="D436" s="18" t="s">
        <v>9</v>
      </c>
      <c r="E436" s="20">
        <f>SUMIFS('PvA Data'!$F$2:$F$1576,'PvA Data'!$A$2:$A$1576,$A436,'PvA Data'!$E$2:$E$1576,$D436)</f>
        <v>25</v>
      </c>
      <c r="F436" s="20">
        <f>SUMIFS('PvA Data'!$G$2:$G$1576,'PvA Data'!$A$2:$A$1576,$A436,'PvA Data'!$E$2:$E$1576,$D436)</f>
        <v>0</v>
      </c>
      <c r="G436" s="36">
        <f t="shared" si="32"/>
        <v>0</v>
      </c>
      <c r="H436" s="20">
        <f>SUMIFS('PvA Data'!$G$2:$G$1576,'PvA Data'!$A$2:$A$1576,$A436,'PvA Data'!$E$2:$E$1576,$D436,'PvA Data'!$C$2:$C$1576,"Nahunta")</f>
        <v>0</v>
      </c>
      <c r="I436" s="20">
        <f>SUMIFS('PvA Data'!$G$2:$G$1576,'PvA Data'!$A$2:$A$1576,$A436,'PvA Data'!$E$2:$E$1576,$D436,'PvA Data'!$C$2:$C$1576,"Martin")</f>
        <v>0</v>
      </c>
      <c r="J436" s="20">
        <f>SUMIFS('PvA Data'!$G$2:$G$1576,'PvA Data'!$A$2:$A$1576,$A436,'PvA Data'!$E$2:$E$1576,$D436,'PvA Data'!$C$2:$C$1576,"Custom")</f>
        <v>0</v>
      </c>
      <c r="K436" s="36" t="str">
        <f t="shared" si="33"/>
        <v/>
      </c>
      <c r="L436" s="36" t="str">
        <f t="shared" si="34"/>
        <v/>
      </c>
      <c r="M436" s="36" t="str">
        <f t="shared" si="35"/>
        <v/>
      </c>
    </row>
    <row r="437" spans="1:13" ht="15" customHeight="1" x14ac:dyDescent="0.75">
      <c r="A437" s="18" t="s">
        <v>83</v>
      </c>
      <c r="B437" s="19">
        <v>46153</v>
      </c>
      <c r="C437" s="17">
        <v>666506</v>
      </c>
      <c r="D437" s="18" t="s">
        <v>11</v>
      </c>
      <c r="E437" s="20">
        <f>SUMIFS('PvA Data'!$F$2:$F$1576,'PvA Data'!$A$2:$A$1576,$A437,'PvA Data'!$E$2:$E$1576,$D437)</f>
        <v>150</v>
      </c>
      <c r="F437" s="20">
        <f>SUMIFS('PvA Data'!$G$2:$G$1576,'PvA Data'!$A$2:$A$1576,$A437,'PvA Data'!$E$2:$E$1576,$D437)</f>
        <v>149</v>
      </c>
      <c r="G437" s="36">
        <f t="shared" si="32"/>
        <v>0.99333333333333329</v>
      </c>
      <c r="H437" s="20">
        <f>SUMIFS('PvA Data'!$G$2:$G$1576,'PvA Data'!$A$2:$A$1576,$A437,'PvA Data'!$E$2:$E$1576,$D437,'PvA Data'!$C$2:$C$1576,"Nahunta")</f>
        <v>0</v>
      </c>
      <c r="I437" s="20">
        <f>SUMIFS('PvA Data'!$G$2:$G$1576,'PvA Data'!$A$2:$A$1576,$A437,'PvA Data'!$E$2:$E$1576,$D437,'PvA Data'!$C$2:$C$1576,"Martin")</f>
        <v>149</v>
      </c>
      <c r="J437" s="20">
        <f>SUMIFS('PvA Data'!$G$2:$G$1576,'PvA Data'!$A$2:$A$1576,$A437,'PvA Data'!$E$2:$E$1576,$D437,'PvA Data'!$C$2:$C$1576,"Custom")</f>
        <v>0</v>
      </c>
      <c r="K437" s="36">
        <f t="shared" si="33"/>
        <v>0</v>
      </c>
      <c r="L437" s="36">
        <f t="shared" si="34"/>
        <v>1</v>
      </c>
      <c r="M437" s="36">
        <f t="shared" si="35"/>
        <v>0</v>
      </c>
    </row>
    <row r="438" spans="1:13" ht="15" customHeight="1" x14ac:dyDescent="0.75">
      <c r="A438" s="18" t="s">
        <v>83</v>
      </c>
      <c r="B438" s="19">
        <v>46153</v>
      </c>
      <c r="C438" s="17">
        <v>666507</v>
      </c>
      <c r="D438" s="18" t="s">
        <v>13</v>
      </c>
      <c r="E438" s="20">
        <f>SUMIFS('PvA Data'!$F$2:$F$1576,'PvA Data'!$A$2:$A$1576,$A438,'PvA Data'!$E$2:$E$1576,$D438)</f>
        <v>8</v>
      </c>
      <c r="F438" s="20">
        <f>SUMIFS('PvA Data'!$G$2:$G$1576,'PvA Data'!$A$2:$A$1576,$A438,'PvA Data'!$E$2:$E$1576,$D438)</f>
        <v>16</v>
      </c>
      <c r="G438" s="36">
        <f t="shared" si="32"/>
        <v>2</v>
      </c>
      <c r="H438" s="20">
        <f>SUMIFS('PvA Data'!$G$2:$G$1576,'PvA Data'!$A$2:$A$1576,$A438,'PvA Data'!$E$2:$E$1576,$D438,'PvA Data'!$C$2:$C$1576,"Nahunta")</f>
        <v>16</v>
      </c>
      <c r="I438" s="20">
        <f>SUMIFS('PvA Data'!$G$2:$G$1576,'PvA Data'!$A$2:$A$1576,$A438,'PvA Data'!$E$2:$E$1576,$D438,'PvA Data'!$C$2:$C$1576,"Martin")</f>
        <v>0</v>
      </c>
      <c r="J438" s="20">
        <f>SUMIFS('PvA Data'!$G$2:$G$1576,'PvA Data'!$A$2:$A$1576,$A438,'PvA Data'!$E$2:$E$1576,$D438,'PvA Data'!$C$2:$C$1576,"Custom")</f>
        <v>0</v>
      </c>
      <c r="K438" s="36">
        <f t="shared" si="33"/>
        <v>1</v>
      </c>
      <c r="L438" s="36">
        <f t="shared" si="34"/>
        <v>0</v>
      </c>
      <c r="M438" s="36">
        <f t="shared" si="35"/>
        <v>0</v>
      </c>
    </row>
    <row r="439" spans="1:13" ht="15" customHeight="1" x14ac:dyDescent="0.75">
      <c r="A439" s="18" t="s">
        <v>83</v>
      </c>
      <c r="B439" s="19">
        <v>46153</v>
      </c>
      <c r="C439" s="17">
        <v>666509</v>
      </c>
      <c r="D439" s="18" t="s">
        <v>15</v>
      </c>
      <c r="E439" s="20">
        <f>SUMIFS('PvA Data'!$F$2:$F$1576,'PvA Data'!$A$2:$A$1576,$A439,'PvA Data'!$E$2:$E$1576,$D439)</f>
        <v>25</v>
      </c>
      <c r="F439" s="20">
        <f>SUMIFS('PvA Data'!$G$2:$G$1576,'PvA Data'!$A$2:$A$1576,$A439,'PvA Data'!$E$2:$E$1576,$D439)</f>
        <v>0</v>
      </c>
      <c r="G439" s="36">
        <f t="shared" si="32"/>
        <v>0</v>
      </c>
      <c r="H439" s="20">
        <f>SUMIFS('PvA Data'!$G$2:$G$1576,'PvA Data'!$A$2:$A$1576,$A439,'PvA Data'!$E$2:$E$1576,$D439,'PvA Data'!$C$2:$C$1576,"Nahunta")</f>
        <v>0</v>
      </c>
      <c r="I439" s="20">
        <f>SUMIFS('PvA Data'!$G$2:$G$1576,'PvA Data'!$A$2:$A$1576,$A439,'PvA Data'!$E$2:$E$1576,$D439,'PvA Data'!$C$2:$C$1576,"Martin")</f>
        <v>0</v>
      </c>
      <c r="J439" s="20">
        <f>SUMIFS('PvA Data'!$G$2:$G$1576,'PvA Data'!$A$2:$A$1576,$A439,'PvA Data'!$E$2:$E$1576,$D439,'PvA Data'!$C$2:$C$1576,"Custom")</f>
        <v>0</v>
      </c>
      <c r="K439" s="36" t="str">
        <f t="shared" si="33"/>
        <v/>
      </c>
      <c r="L439" s="36" t="str">
        <f t="shared" si="34"/>
        <v/>
      </c>
      <c r="M439" s="36" t="str">
        <f t="shared" si="35"/>
        <v/>
      </c>
    </row>
    <row r="440" spans="1:13" ht="15" customHeight="1" x14ac:dyDescent="0.75">
      <c r="A440" s="18" t="s">
        <v>83</v>
      </c>
      <c r="B440" s="19">
        <v>46153</v>
      </c>
      <c r="C440" s="17">
        <v>666510</v>
      </c>
      <c r="D440" s="18" t="s">
        <v>17</v>
      </c>
      <c r="E440" s="20">
        <f>SUMIFS('PvA Data'!$F$2:$F$1576,'PvA Data'!$A$2:$A$1576,$A440,'PvA Data'!$E$2:$E$1576,$D440)</f>
        <v>0</v>
      </c>
      <c r="F440" s="20">
        <f>SUMIFS('PvA Data'!$G$2:$G$1576,'PvA Data'!$A$2:$A$1576,$A440,'PvA Data'!$E$2:$E$1576,$D440)</f>
        <v>0</v>
      </c>
      <c r="G440" s="36" t="str">
        <f t="shared" si="32"/>
        <v/>
      </c>
      <c r="H440" s="20">
        <f>SUMIFS('PvA Data'!$G$2:$G$1576,'PvA Data'!$A$2:$A$1576,$A440,'PvA Data'!$E$2:$E$1576,$D440,'PvA Data'!$C$2:$C$1576,"Nahunta")</f>
        <v>0</v>
      </c>
      <c r="I440" s="20">
        <f>SUMIFS('PvA Data'!$G$2:$G$1576,'PvA Data'!$A$2:$A$1576,$A440,'PvA Data'!$E$2:$E$1576,$D440,'PvA Data'!$C$2:$C$1576,"Martin")</f>
        <v>0</v>
      </c>
      <c r="J440" s="20">
        <f>SUMIFS('PvA Data'!$G$2:$G$1576,'PvA Data'!$A$2:$A$1576,$A440,'PvA Data'!$E$2:$E$1576,$D440,'PvA Data'!$C$2:$C$1576,"Custom")</f>
        <v>0</v>
      </c>
      <c r="K440" s="36" t="str">
        <f t="shared" si="33"/>
        <v/>
      </c>
      <c r="L440" s="36" t="str">
        <f t="shared" si="34"/>
        <v/>
      </c>
      <c r="M440" s="36" t="str">
        <f t="shared" si="35"/>
        <v/>
      </c>
    </row>
    <row r="441" spans="1:13" ht="15" customHeight="1" x14ac:dyDescent="0.75">
      <c r="A441" s="18" t="s">
        <v>83</v>
      </c>
      <c r="B441" s="19">
        <v>46153</v>
      </c>
      <c r="C441" s="17">
        <v>666511</v>
      </c>
      <c r="D441" s="18" t="s">
        <v>19</v>
      </c>
      <c r="E441" s="20">
        <f>SUMIFS('PvA Data'!$F$2:$F$1576,'PvA Data'!$A$2:$A$1576,$A441,'PvA Data'!$E$2:$E$1576,$D441)</f>
        <v>3</v>
      </c>
      <c r="F441" s="20">
        <f>SUMIFS('PvA Data'!$G$2:$G$1576,'PvA Data'!$A$2:$A$1576,$A441,'PvA Data'!$E$2:$E$1576,$D441)</f>
        <v>6</v>
      </c>
      <c r="G441" s="36">
        <f t="shared" si="32"/>
        <v>2</v>
      </c>
      <c r="H441" s="20">
        <f>SUMIFS('PvA Data'!$G$2:$G$1576,'PvA Data'!$A$2:$A$1576,$A441,'PvA Data'!$E$2:$E$1576,$D441,'PvA Data'!$C$2:$C$1576,"Nahunta")</f>
        <v>6</v>
      </c>
      <c r="I441" s="20">
        <f>SUMIFS('PvA Data'!$G$2:$G$1576,'PvA Data'!$A$2:$A$1576,$A441,'PvA Data'!$E$2:$E$1576,$D441,'PvA Data'!$C$2:$C$1576,"Martin")</f>
        <v>0</v>
      </c>
      <c r="J441" s="20">
        <f>SUMIFS('PvA Data'!$G$2:$G$1576,'PvA Data'!$A$2:$A$1576,$A441,'PvA Data'!$E$2:$E$1576,$D441,'PvA Data'!$C$2:$C$1576,"Custom")</f>
        <v>0</v>
      </c>
      <c r="K441" s="36">
        <f t="shared" si="33"/>
        <v>1</v>
      </c>
      <c r="L441" s="36">
        <f t="shared" si="34"/>
        <v>0</v>
      </c>
      <c r="M441" s="36">
        <f t="shared" si="35"/>
        <v>0</v>
      </c>
    </row>
    <row r="442" spans="1:13" ht="15" customHeight="1" x14ac:dyDescent="0.75">
      <c r="A442" s="18" t="s">
        <v>83</v>
      </c>
      <c r="B442" s="19">
        <v>46153</v>
      </c>
      <c r="C442" s="17">
        <v>666513</v>
      </c>
      <c r="D442" s="18" t="s">
        <v>21</v>
      </c>
      <c r="E442" s="20">
        <f>SUMIFS('PvA Data'!$F$2:$F$1576,'PvA Data'!$A$2:$A$1576,$A442,'PvA Data'!$E$2:$E$1576,$D442)</f>
        <v>14</v>
      </c>
      <c r="F442" s="20">
        <f>SUMIFS('PvA Data'!$G$2:$G$1576,'PvA Data'!$A$2:$A$1576,$A442,'PvA Data'!$E$2:$E$1576,$D442)</f>
        <v>0</v>
      </c>
      <c r="G442" s="36">
        <f t="shared" si="32"/>
        <v>0</v>
      </c>
      <c r="H442" s="20">
        <f>SUMIFS('PvA Data'!$G$2:$G$1576,'PvA Data'!$A$2:$A$1576,$A442,'PvA Data'!$E$2:$E$1576,$D442,'PvA Data'!$C$2:$C$1576,"Nahunta")</f>
        <v>0</v>
      </c>
      <c r="I442" s="20">
        <f>SUMIFS('PvA Data'!$G$2:$G$1576,'PvA Data'!$A$2:$A$1576,$A442,'PvA Data'!$E$2:$E$1576,$D442,'PvA Data'!$C$2:$C$1576,"Martin")</f>
        <v>0</v>
      </c>
      <c r="J442" s="20">
        <f>SUMIFS('PvA Data'!$G$2:$G$1576,'PvA Data'!$A$2:$A$1576,$A442,'PvA Data'!$E$2:$E$1576,$D442,'PvA Data'!$C$2:$C$1576,"Custom")</f>
        <v>0</v>
      </c>
      <c r="K442" s="36" t="str">
        <f t="shared" si="33"/>
        <v/>
      </c>
      <c r="L442" s="36" t="str">
        <f t="shared" si="34"/>
        <v/>
      </c>
      <c r="M442" s="36" t="str">
        <f t="shared" si="35"/>
        <v/>
      </c>
    </row>
    <row r="443" spans="1:13" ht="15" customHeight="1" x14ac:dyDescent="0.75">
      <c r="A443" s="18" t="s">
        <v>83</v>
      </c>
      <c r="B443" s="19">
        <v>46153</v>
      </c>
      <c r="C443" s="17">
        <v>666516</v>
      </c>
      <c r="D443" s="18" t="s">
        <v>23</v>
      </c>
      <c r="E443" s="20">
        <f>SUMIFS('PvA Data'!$F$2:$F$1576,'PvA Data'!$A$2:$A$1576,$A443,'PvA Data'!$E$2:$E$1576,$D443)</f>
        <v>27</v>
      </c>
      <c r="F443" s="20">
        <f>SUMIFS('PvA Data'!$G$2:$G$1576,'PvA Data'!$A$2:$A$1576,$A443,'PvA Data'!$E$2:$E$1576,$D443)</f>
        <v>0</v>
      </c>
      <c r="G443" s="36">
        <f t="shared" si="32"/>
        <v>0</v>
      </c>
      <c r="H443" s="20">
        <f>SUMIFS('PvA Data'!$G$2:$G$1576,'PvA Data'!$A$2:$A$1576,$A443,'PvA Data'!$E$2:$E$1576,$D443,'PvA Data'!$C$2:$C$1576,"Nahunta")</f>
        <v>0</v>
      </c>
      <c r="I443" s="20">
        <f>SUMIFS('PvA Data'!$G$2:$G$1576,'PvA Data'!$A$2:$A$1576,$A443,'PvA Data'!$E$2:$E$1576,$D443,'PvA Data'!$C$2:$C$1576,"Martin")</f>
        <v>0</v>
      </c>
      <c r="J443" s="20">
        <f>SUMIFS('PvA Data'!$G$2:$G$1576,'PvA Data'!$A$2:$A$1576,$A443,'PvA Data'!$E$2:$E$1576,$D443,'PvA Data'!$C$2:$C$1576,"Custom")</f>
        <v>0</v>
      </c>
      <c r="K443" s="36" t="str">
        <f t="shared" si="33"/>
        <v/>
      </c>
      <c r="L443" s="36" t="str">
        <f t="shared" si="34"/>
        <v/>
      </c>
      <c r="M443" s="36" t="str">
        <f t="shared" si="35"/>
        <v/>
      </c>
    </row>
    <row r="444" spans="1:13" ht="15" customHeight="1" x14ac:dyDescent="0.75">
      <c r="A444" s="18" t="s">
        <v>83</v>
      </c>
      <c r="B444" s="19">
        <v>46153</v>
      </c>
      <c r="C444" s="17">
        <v>666517</v>
      </c>
      <c r="D444" s="18" t="s">
        <v>25</v>
      </c>
      <c r="E444" s="20">
        <f>SUMIFS('PvA Data'!$F$2:$F$1576,'PvA Data'!$A$2:$A$1576,$A444,'PvA Data'!$E$2:$E$1576,$D444)</f>
        <v>24</v>
      </c>
      <c r="F444" s="20">
        <f>SUMIFS('PvA Data'!$G$2:$G$1576,'PvA Data'!$A$2:$A$1576,$A444,'PvA Data'!$E$2:$E$1576,$D444)</f>
        <v>0</v>
      </c>
      <c r="G444" s="36">
        <f t="shared" si="32"/>
        <v>0</v>
      </c>
      <c r="H444" s="20">
        <f>SUMIFS('PvA Data'!$G$2:$G$1576,'PvA Data'!$A$2:$A$1576,$A444,'PvA Data'!$E$2:$E$1576,$D444,'PvA Data'!$C$2:$C$1576,"Nahunta")</f>
        <v>0</v>
      </c>
      <c r="I444" s="20">
        <f>SUMIFS('PvA Data'!$G$2:$G$1576,'PvA Data'!$A$2:$A$1576,$A444,'PvA Data'!$E$2:$E$1576,$D444,'PvA Data'!$C$2:$C$1576,"Martin")</f>
        <v>0</v>
      </c>
      <c r="J444" s="20">
        <f>SUMIFS('PvA Data'!$G$2:$G$1576,'PvA Data'!$A$2:$A$1576,$A444,'PvA Data'!$E$2:$E$1576,$D444,'PvA Data'!$C$2:$C$1576,"Custom")</f>
        <v>0</v>
      </c>
      <c r="K444" s="36" t="str">
        <f t="shared" si="33"/>
        <v/>
      </c>
      <c r="L444" s="36" t="str">
        <f t="shared" si="34"/>
        <v/>
      </c>
      <c r="M444" s="36" t="str">
        <f t="shared" si="35"/>
        <v/>
      </c>
    </row>
    <row r="445" spans="1:13" ht="15" customHeight="1" x14ac:dyDescent="0.75">
      <c r="A445" s="18" t="s">
        <v>83</v>
      </c>
      <c r="B445" s="19">
        <v>46153</v>
      </c>
      <c r="C445" s="17">
        <v>666518</v>
      </c>
      <c r="D445" s="18" t="s">
        <v>27</v>
      </c>
      <c r="E445" s="20">
        <f>SUMIFS('PvA Data'!$F$2:$F$1576,'PvA Data'!$A$2:$A$1576,$A445,'PvA Data'!$E$2:$E$1576,$D445)</f>
        <v>0</v>
      </c>
      <c r="F445" s="20">
        <f>SUMIFS('PvA Data'!$G$2:$G$1576,'PvA Data'!$A$2:$A$1576,$A445,'PvA Data'!$E$2:$E$1576,$D445)</f>
        <v>0</v>
      </c>
      <c r="G445" s="36" t="str">
        <f t="shared" si="32"/>
        <v/>
      </c>
      <c r="H445" s="20">
        <f>SUMIFS('PvA Data'!$G$2:$G$1576,'PvA Data'!$A$2:$A$1576,$A445,'PvA Data'!$E$2:$E$1576,$D445,'PvA Data'!$C$2:$C$1576,"Nahunta")</f>
        <v>0</v>
      </c>
      <c r="I445" s="20">
        <f>SUMIFS('PvA Data'!$G$2:$G$1576,'PvA Data'!$A$2:$A$1576,$A445,'PvA Data'!$E$2:$E$1576,$D445,'PvA Data'!$C$2:$C$1576,"Martin")</f>
        <v>0</v>
      </c>
      <c r="J445" s="20">
        <f>SUMIFS('PvA Data'!$G$2:$G$1576,'PvA Data'!$A$2:$A$1576,$A445,'PvA Data'!$E$2:$E$1576,$D445,'PvA Data'!$C$2:$C$1576,"Custom")</f>
        <v>0</v>
      </c>
      <c r="K445" s="36" t="str">
        <f t="shared" si="33"/>
        <v/>
      </c>
      <c r="L445" s="36" t="str">
        <f t="shared" si="34"/>
        <v/>
      </c>
      <c r="M445" s="36" t="str">
        <f t="shared" si="35"/>
        <v/>
      </c>
    </row>
    <row r="446" spans="1:13" ht="15" customHeight="1" x14ac:dyDescent="0.75">
      <c r="A446" s="18" t="s">
        <v>83</v>
      </c>
      <c r="B446" s="19">
        <v>46153</v>
      </c>
      <c r="C446" s="17">
        <v>666519</v>
      </c>
      <c r="D446" s="18" t="s">
        <v>29</v>
      </c>
      <c r="E446" s="20">
        <f>SUMIFS('PvA Data'!$F$2:$F$1576,'PvA Data'!$A$2:$A$1576,$A446,'PvA Data'!$E$2:$E$1576,$D446)</f>
        <v>26</v>
      </c>
      <c r="F446" s="20">
        <f>SUMIFS('PvA Data'!$G$2:$G$1576,'PvA Data'!$A$2:$A$1576,$A446,'PvA Data'!$E$2:$E$1576,$D446)</f>
        <v>0</v>
      </c>
      <c r="G446" s="36">
        <f t="shared" si="32"/>
        <v>0</v>
      </c>
      <c r="H446" s="20">
        <f>SUMIFS('PvA Data'!$G$2:$G$1576,'PvA Data'!$A$2:$A$1576,$A446,'PvA Data'!$E$2:$E$1576,$D446,'PvA Data'!$C$2:$C$1576,"Nahunta")</f>
        <v>0</v>
      </c>
      <c r="I446" s="20">
        <f>SUMIFS('PvA Data'!$G$2:$G$1576,'PvA Data'!$A$2:$A$1576,$A446,'PvA Data'!$E$2:$E$1576,$D446,'PvA Data'!$C$2:$C$1576,"Martin")</f>
        <v>0</v>
      </c>
      <c r="J446" s="20">
        <f>SUMIFS('PvA Data'!$G$2:$G$1576,'PvA Data'!$A$2:$A$1576,$A446,'PvA Data'!$E$2:$E$1576,$D446,'PvA Data'!$C$2:$C$1576,"Custom")</f>
        <v>0</v>
      </c>
      <c r="K446" s="36" t="str">
        <f t="shared" si="33"/>
        <v/>
      </c>
      <c r="L446" s="36" t="str">
        <f t="shared" si="34"/>
        <v/>
      </c>
      <c r="M446" s="36" t="str">
        <f t="shared" si="35"/>
        <v/>
      </c>
    </row>
    <row r="447" spans="1:13" ht="15" customHeight="1" x14ac:dyDescent="0.75">
      <c r="A447" s="18" t="s">
        <v>83</v>
      </c>
      <c r="B447" s="19">
        <v>46153</v>
      </c>
      <c r="C447" s="17">
        <v>666521</v>
      </c>
      <c r="D447" s="18" t="s">
        <v>31</v>
      </c>
      <c r="E447" s="20">
        <f>SUMIFS('PvA Data'!$F$2:$F$1576,'PvA Data'!$A$2:$A$1576,$A447,'PvA Data'!$E$2:$E$1576,$D447)</f>
        <v>40</v>
      </c>
      <c r="F447" s="20">
        <f>SUMIFS('PvA Data'!$G$2:$G$1576,'PvA Data'!$A$2:$A$1576,$A447,'PvA Data'!$E$2:$E$1576,$D447)</f>
        <v>39</v>
      </c>
      <c r="G447" s="36">
        <f t="shared" si="32"/>
        <v>0.97499999999999998</v>
      </c>
      <c r="H447" s="20">
        <f>SUMIFS('PvA Data'!$G$2:$G$1576,'PvA Data'!$A$2:$A$1576,$A447,'PvA Data'!$E$2:$E$1576,$D447,'PvA Data'!$C$2:$C$1576,"Nahunta")</f>
        <v>39</v>
      </c>
      <c r="I447" s="20">
        <f>SUMIFS('PvA Data'!$G$2:$G$1576,'PvA Data'!$A$2:$A$1576,$A447,'PvA Data'!$E$2:$E$1576,$D447,'PvA Data'!$C$2:$C$1576,"Martin")</f>
        <v>0</v>
      </c>
      <c r="J447" s="20">
        <f>SUMIFS('PvA Data'!$G$2:$G$1576,'PvA Data'!$A$2:$A$1576,$A447,'PvA Data'!$E$2:$E$1576,$D447,'PvA Data'!$C$2:$C$1576,"Custom")</f>
        <v>0</v>
      </c>
      <c r="K447" s="36">
        <f t="shared" si="33"/>
        <v>1</v>
      </c>
      <c r="L447" s="36">
        <f t="shared" si="34"/>
        <v>0</v>
      </c>
      <c r="M447" s="36">
        <f t="shared" si="35"/>
        <v>0</v>
      </c>
    </row>
    <row r="448" spans="1:13" ht="15" customHeight="1" x14ac:dyDescent="0.75">
      <c r="A448" s="18" t="s">
        <v>83</v>
      </c>
      <c r="B448" s="19">
        <v>46153</v>
      </c>
      <c r="C448" s="17">
        <v>666522</v>
      </c>
      <c r="D448" s="18" t="s">
        <v>33</v>
      </c>
      <c r="E448" s="20">
        <f>SUMIFS('PvA Data'!$F$2:$F$1576,'PvA Data'!$A$2:$A$1576,$A448,'PvA Data'!$E$2:$E$1576,$D448)</f>
        <v>177.5</v>
      </c>
      <c r="F448" s="20">
        <f>SUMIFS('PvA Data'!$G$2:$G$1576,'PvA Data'!$A$2:$A$1576,$A448,'PvA Data'!$E$2:$E$1576,$D448)</f>
        <v>0</v>
      </c>
      <c r="G448" s="36">
        <f t="shared" si="32"/>
        <v>0</v>
      </c>
      <c r="H448" s="20">
        <f>SUMIFS('PvA Data'!$G$2:$G$1576,'PvA Data'!$A$2:$A$1576,$A448,'PvA Data'!$E$2:$E$1576,$D448,'PvA Data'!$C$2:$C$1576,"Nahunta")</f>
        <v>0</v>
      </c>
      <c r="I448" s="20">
        <f>SUMIFS('PvA Data'!$G$2:$G$1576,'PvA Data'!$A$2:$A$1576,$A448,'PvA Data'!$E$2:$E$1576,$D448,'PvA Data'!$C$2:$C$1576,"Martin")</f>
        <v>0</v>
      </c>
      <c r="J448" s="20">
        <f>SUMIFS('PvA Data'!$G$2:$G$1576,'PvA Data'!$A$2:$A$1576,$A448,'PvA Data'!$E$2:$E$1576,$D448,'PvA Data'!$C$2:$C$1576,"Custom")</f>
        <v>0</v>
      </c>
      <c r="K448" s="36" t="str">
        <f t="shared" si="33"/>
        <v/>
      </c>
      <c r="L448" s="36" t="str">
        <f t="shared" si="34"/>
        <v/>
      </c>
      <c r="M448" s="36" t="str">
        <f t="shared" si="35"/>
        <v/>
      </c>
    </row>
    <row r="449" spans="1:13" ht="15" customHeight="1" x14ac:dyDescent="0.75">
      <c r="A449" s="18" t="s">
        <v>83</v>
      </c>
      <c r="B449" s="19">
        <v>46153</v>
      </c>
      <c r="C449" s="17">
        <v>666523</v>
      </c>
      <c r="D449" s="18" t="s">
        <v>35</v>
      </c>
      <c r="E449" s="20">
        <f>SUMIFS('PvA Data'!$F$2:$F$1576,'PvA Data'!$A$2:$A$1576,$A449,'PvA Data'!$E$2:$E$1576,$D449)</f>
        <v>20</v>
      </c>
      <c r="F449" s="20">
        <f>SUMIFS('PvA Data'!$G$2:$G$1576,'PvA Data'!$A$2:$A$1576,$A449,'PvA Data'!$E$2:$E$1576,$D449)</f>
        <v>0</v>
      </c>
      <c r="G449" s="36">
        <f t="shared" si="32"/>
        <v>0</v>
      </c>
      <c r="H449" s="20">
        <f>SUMIFS('PvA Data'!$G$2:$G$1576,'PvA Data'!$A$2:$A$1576,$A449,'PvA Data'!$E$2:$E$1576,$D449,'PvA Data'!$C$2:$C$1576,"Nahunta")</f>
        <v>0</v>
      </c>
      <c r="I449" s="20">
        <f>SUMIFS('PvA Data'!$G$2:$G$1576,'PvA Data'!$A$2:$A$1576,$A449,'PvA Data'!$E$2:$E$1576,$D449,'PvA Data'!$C$2:$C$1576,"Martin")</f>
        <v>0</v>
      </c>
      <c r="J449" s="20">
        <f>SUMIFS('PvA Data'!$G$2:$G$1576,'PvA Data'!$A$2:$A$1576,$A449,'PvA Data'!$E$2:$E$1576,$D449,'PvA Data'!$C$2:$C$1576,"Custom")</f>
        <v>0</v>
      </c>
      <c r="K449" s="36" t="str">
        <f t="shared" si="33"/>
        <v/>
      </c>
      <c r="L449" s="36" t="str">
        <f t="shared" si="34"/>
        <v/>
      </c>
      <c r="M449" s="36" t="str">
        <f t="shared" si="35"/>
        <v/>
      </c>
    </row>
    <row r="450" spans="1:13" ht="15" customHeight="1" x14ac:dyDescent="0.75">
      <c r="A450" s="18" t="s">
        <v>83</v>
      </c>
      <c r="B450" s="19">
        <v>46153</v>
      </c>
      <c r="C450" s="17">
        <v>666530</v>
      </c>
      <c r="D450" s="18" t="s">
        <v>37</v>
      </c>
      <c r="E450" s="20">
        <f>SUMIFS('PvA Data'!$F$2:$F$1576,'PvA Data'!$A$2:$A$1576,$A450,'PvA Data'!$E$2:$E$1576,$D450)</f>
        <v>12</v>
      </c>
      <c r="F450" s="20">
        <f>SUMIFS('PvA Data'!$G$2:$G$1576,'PvA Data'!$A$2:$A$1576,$A450,'PvA Data'!$E$2:$E$1576,$D450)</f>
        <v>0</v>
      </c>
      <c r="G450" s="36">
        <f t="shared" si="32"/>
        <v>0</v>
      </c>
      <c r="H450" s="20">
        <f>SUMIFS('PvA Data'!$G$2:$G$1576,'PvA Data'!$A$2:$A$1576,$A450,'PvA Data'!$E$2:$E$1576,$D450,'PvA Data'!$C$2:$C$1576,"Nahunta")</f>
        <v>0</v>
      </c>
      <c r="I450" s="20">
        <f>SUMIFS('PvA Data'!$G$2:$G$1576,'PvA Data'!$A$2:$A$1576,$A450,'PvA Data'!$E$2:$E$1576,$D450,'PvA Data'!$C$2:$C$1576,"Martin")</f>
        <v>0</v>
      </c>
      <c r="J450" s="20">
        <f>SUMIFS('PvA Data'!$G$2:$G$1576,'PvA Data'!$A$2:$A$1576,$A450,'PvA Data'!$E$2:$E$1576,$D450,'PvA Data'!$C$2:$C$1576,"Custom")</f>
        <v>0</v>
      </c>
      <c r="K450" s="36" t="str">
        <f t="shared" si="33"/>
        <v/>
      </c>
      <c r="L450" s="36" t="str">
        <f t="shared" si="34"/>
        <v/>
      </c>
      <c r="M450" s="36" t="str">
        <f t="shared" si="35"/>
        <v/>
      </c>
    </row>
    <row r="451" spans="1:13" ht="15" customHeight="1" x14ac:dyDescent="0.75">
      <c r="A451" s="18" t="s">
        <v>83</v>
      </c>
      <c r="B451" s="19">
        <v>46153</v>
      </c>
      <c r="C451" s="17">
        <v>666531</v>
      </c>
      <c r="D451" s="18" t="s">
        <v>39</v>
      </c>
      <c r="E451" s="20">
        <f>SUMIFS('PvA Data'!$F$2:$F$1576,'PvA Data'!$A$2:$A$1576,$A451,'PvA Data'!$E$2:$E$1576,$D451)</f>
        <v>14</v>
      </c>
      <c r="F451" s="20">
        <f>SUMIFS('PvA Data'!$G$2:$G$1576,'PvA Data'!$A$2:$A$1576,$A451,'PvA Data'!$E$2:$E$1576,$D451)</f>
        <v>14</v>
      </c>
      <c r="G451" s="36">
        <f t="shared" si="32"/>
        <v>1</v>
      </c>
      <c r="H451" s="20">
        <f>SUMIFS('PvA Data'!$G$2:$G$1576,'PvA Data'!$A$2:$A$1576,$A451,'PvA Data'!$E$2:$E$1576,$D451,'PvA Data'!$C$2:$C$1576,"Nahunta")</f>
        <v>14</v>
      </c>
      <c r="I451" s="20">
        <f>SUMIFS('PvA Data'!$G$2:$G$1576,'PvA Data'!$A$2:$A$1576,$A451,'PvA Data'!$E$2:$E$1576,$D451,'PvA Data'!$C$2:$C$1576,"Martin")</f>
        <v>0</v>
      </c>
      <c r="J451" s="20">
        <f>SUMIFS('PvA Data'!$G$2:$G$1576,'PvA Data'!$A$2:$A$1576,$A451,'PvA Data'!$E$2:$E$1576,$D451,'PvA Data'!$C$2:$C$1576,"Custom")</f>
        <v>0</v>
      </c>
      <c r="K451" s="36">
        <f t="shared" si="33"/>
        <v>1</v>
      </c>
      <c r="L451" s="36">
        <f t="shared" si="34"/>
        <v>0</v>
      </c>
      <c r="M451" s="36">
        <f t="shared" si="35"/>
        <v>0</v>
      </c>
    </row>
    <row r="452" spans="1:13" ht="15" customHeight="1" x14ac:dyDescent="0.75">
      <c r="A452" s="18" t="s">
        <v>83</v>
      </c>
      <c r="B452" s="19">
        <v>46153</v>
      </c>
      <c r="C452" s="17">
        <v>666540</v>
      </c>
      <c r="D452" s="18" t="s">
        <v>40</v>
      </c>
      <c r="E452" s="20">
        <f>SUMIFS('PvA Data'!$F$2:$F$1576,'PvA Data'!$A$2:$A$1576,$A452,'PvA Data'!$E$2:$E$1576,$D452)</f>
        <v>20</v>
      </c>
      <c r="F452" s="20">
        <f>SUMIFS('PvA Data'!$G$2:$G$1576,'PvA Data'!$A$2:$A$1576,$A452,'PvA Data'!$E$2:$E$1576,$D452)</f>
        <v>0</v>
      </c>
      <c r="G452" s="36">
        <f t="shared" si="32"/>
        <v>0</v>
      </c>
      <c r="H452" s="20">
        <f>SUMIFS('PvA Data'!$G$2:$G$1576,'PvA Data'!$A$2:$A$1576,$A452,'PvA Data'!$E$2:$E$1576,$D452,'PvA Data'!$C$2:$C$1576,"Nahunta")</f>
        <v>0</v>
      </c>
      <c r="I452" s="20">
        <f>SUMIFS('PvA Data'!$G$2:$G$1576,'PvA Data'!$A$2:$A$1576,$A452,'PvA Data'!$E$2:$E$1576,$D452,'PvA Data'!$C$2:$C$1576,"Martin")</f>
        <v>0</v>
      </c>
      <c r="J452" s="20">
        <f>SUMIFS('PvA Data'!$G$2:$G$1576,'PvA Data'!$A$2:$A$1576,$A452,'PvA Data'!$E$2:$E$1576,$D452,'PvA Data'!$C$2:$C$1576,"Custom")</f>
        <v>0</v>
      </c>
      <c r="K452" s="36" t="str">
        <f t="shared" si="33"/>
        <v/>
      </c>
      <c r="L452" s="36" t="str">
        <f t="shared" si="34"/>
        <v/>
      </c>
      <c r="M452" s="36" t="str">
        <f t="shared" si="35"/>
        <v/>
      </c>
    </row>
    <row r="453" spans="1:13" ht="15" customHeight="1" x14ac:dyDescent="0.75">
      <c r="A453" s="18" t="s">
        <v>83</v>
      </c>
      <c r="B453" s="19">
        <v>46153</v>
      </c>
      <c r="C453" s="17">
        <v>666541</v>
      </c>
      <c r="D453" s="18" t="s">
        <v>41</v>
      </c>
      <c r="E453" s="20">
        <f>SUMIFS('PvA Data'!$F$2:$F$1576,'PvA Data'!$A$2:$A$1576,$A453,'PvA Data'!$E$2:$E$1576,$D453)</f>
        <v>340</v>
      </c>
      <c r="F453" s="20">
        <f>SUMIFS('PvA Data'!$G$2:$G$1576,'PvA Data'!$A$2:$A$1576,$A453,'PvA Data'!$E$2:$E$1576,$D453)</f>
        <v>163</v>
      </c>
      <c r="G453" s="36">
        <f t="shared" si="32"/>
        <v>0.47941176470588237</v>
      </c>
      <c r="H453" s="20">
        <f>SUMIFS('PvA Data'!$G$2:$G$1576,'PvA Data'!$A$2:$A$1576,$A453,'PvA Data'!$E$2:$E$1576,$D453,'PvA Data'!$C$2:$C$1576,"Nahunta")</f>
        <v>0</v>
      </c>
      <c r="I453" s="20">
        <f>SUMIFS('PvA Data'!$G$2:$G$1576,'PvA Data'!$A$2:$A$1576,$A453,'PvA Data'!$E$2:$E$1576,$D453,'PvA Data'!$C$2:$C$1576,"Martin")</f>
        <v>163</v>
      </c>
      <c r="J453" s="20">
        <f>SUMIFS('PvA Data'!$G$2:$G$1576,'PvA Data'!$A$2:$A$1576,$A453,'PvA Data'!$E$2:$E$1576,$D453,'PvA Data'!$C$2:$C$1576,"Custom")</f>
        <v>0</v>
      </c>
      <c r="K453" s="36">
        <f t="shared" si="33"/>
        <v>0</v>
      </c>
      <c r="L453" s="36">
        <f t="shared" si="34"/>
        <v>1</v>
      </c>
      <c r="M453" s="36">
        <f t="shared" si="35"/>
        <v>0</v>
      </c>
    </row>
    <row r="454" spans="1:13" ht="15" customHeight="1" x14ac:dyDescent="0.75">
      <c r="A454" s="18" t="s">
        <v>83</v>
      </c>
      <c r="B454" s="19">
        <v>46153</v>
      </c>
      <c r="C454" s="17">
        <v>666536</v>
      </c>
      <c r="D454" s="18" t="s">
        <v>43</v>
      </c>
      <c r="E454" s="20">
        <f>SUMIFS('PvA Data'!$F$2:$F$1576,'PvA Data'!$A$2:$A$1576,$A454,'PvA Data'!$E$2:$E$1576,$D454)</f>
        <v>20</v>
      </c>
      <c r="F454" s="20">
        <f>SUMIFS('PvA Data'!$G$2:$G$1576,'PvA Data'!$A$2:$A$1576,$A454,'PvA Data'!$E$2:$E$1576,$D454)</f>
        <v>6</v>
      </c>
      <c r="G454" s="36">
        <f t="shared" si="32"/>
        <v>0.3</v>
      </c>
      <c r="H454" s="20">
        <f>SUMIFS('PvA Data'!$G$2:$G$1576,'PvA Data'!$A$2:$A$1576,$A454,'PvA Data'!$E$2:$E$1576,$D454,'PvA Data'!$C$2:$C$1576,"Nahunta")</f>
        <v>6</v>
      </c>
      <c r="I454" s="20">
        <f>SUMIFS('PvA Data'!$G$2:$G$1576,'PvA Data'!$A$2:$A$1576,$A454,'PvA Data'!$E$2:$E$1576,$D454,'PvA Data'!$C$2:$C$1576,"Martin")</f>
        <v>0</v>
      </c>
      <c r="J454" s="20">
        <f>SUMIFS('PvA Data'!$G$2:$G$1576,'PvA Data'!$A$2:$A$1576,$A454,'PvA Data'!$E$2:$E$1576,$D454,'PvA Data'!$C$2:$C$1576,"Custom")</f>
        <v>0</v>
      </c>
      <c r="K454" s="36">
        <f t="shared" si="33"/>
        <v>1</v>
      </c>
      <c r="L454" s="36">
        <f t="shared" si="34"/>
        <v>0</v>
      </c>
      <c r="M454" s="36">
        <f t="shared" si="35"/>
        <v>0</v>
      </c>
    </row>
    <row r="455" spans="1:13" ht="15" customHeight="1" x14ac:dyDescent="0.75">
      <c r="A455" s="18" t="s">
        <v>84</v>
      </c>
      <c r="B455" s="19">
        <v>46160</v>
      </c>
      <c r="C455" s="17">
        <v>666501</v>
      </c>
      <c r="D455" s="18" t="s">
        <v>5</v>
      </c>
      <c r="E455" s="20">
        <f>SUMIFS('PvA Data'!$F$2:$F$1576,'PvA Data'!$A$2:$A$1576,$A455,'PvA Data'!$E$2:$E$1576,$D455)</f>
        <v>253.5</v>
      </c>
      <c r="F455" s="20">
        <f>SUMIFS('PvA Data'!$G$2:$G$1576,'PvA Data'!$A$2:$A$1576,$A455,'PvA Data'!$E$2:$E$1576,$D455)</f>
        <v>366</v>
      </c>
      <c r="G455" s="36">
        <f t="shared" si="32"/>
        <v>1.4437869822485208</v>
      </c>
      <c r="H455" s="20">
        <f>SUMIFS('PvA Data'!$G$2:$G$1576,'PvA Data'!$A$2:$A$1576,$A455,'PvA Data'!$E$2:$E$1576,$D455,'PvA Data'!$C$2:$C$1576,"Nahunta")</f>
        <v>45</v>
      </c>
      <c r="I455" s="20">
        <f>SUMIFS('PvA Data'!$G$2:$G$1576,'PvA Data'!$A$2:$A$1576,$A455,'PvA Data'!$E$2:$E$1576,$D455,'PvA Data'!$C$2:$C$1576,"Martin")</f>
        <v>282</v>
      </c>
      <c r="J455" s="20">
        <f>SUMIFS('PvA Data'!$G$2:$G$1576,'PvA Data'!$A$2:$A$1576,$A455,'PvA Data'!$E$2:$E$1576,$D455,'PvA Data'!$C$2:$C$1576,"Custom")</f>
        <v>39</v>
      </c>
      <c r="K455" s="36">
        <f t="shared" si="33"/>
        <v>0.12295081967213115</v>
      </c>
      <c r="L455" s="36">
        <f t="shared" si="34"/>
        <v>0.77049180327868849</v>
      </c>
      <c r="M455" s="36">
        <f t="shared" si="35"/>
        <v>0.10655737704918032</v>
      </c>
    </row>
    <row r="456" spans="1:13" ht="15" customHeight="1" x14ac:dyDescent="0.75">
      <c r="A456" s="18" t="s">
        <v>84</v>
      </c>
      <c r="B456" s="19">
        <v>46160</v>
      </c>
      <c r="C456" s="17">
        <v>666502</v>
      </c>
      <c r="D456" s="18" t="s">
        <v>7</v>
      </c>
      <c r="E456" s="20">
        <f>SUMIFS('PvA Data'!$F$2:$F$1576,'PvA Data'!$A$2:$A$1576,$A456,'PvA Data'!$E$2:$E$1576,$D456)</f>
        <v>180</v>
      </c>
      <c r="F456" s="20">
        <f>SUMIFS('PvA Data'!$G$2:$G$1576,'PvA Data'!$A$2:$A$1576,$A456,'PvA Data'!$E$2:$E$1576,$D456)</f>
        <v>182</v>
      </c>
      <c r="G456" s="36">
        <f t="shared" si="32"/>
        <v>1.0111111111111111</v>
      </c>
      <c r="H456" s="20">
        <f>SUMIFS('PvA Data'!$G$2:$G$1576,'PvA Data'!$A$2:$A$1576,$A456,'PvA Data'!$E$2:$E$1576,$D456,'PvA Data'!$C$2:$C$1576,"Nahunta")</f>
        <v>0</v>
      </c>
      <c r="I456" s="20">
        <f>SUMIFS('PvA Data'!$G$2:$G$1576,'PvA Data'!$A$2:$A$1576,$A456,'PvA Data'!$E$2:$E$1576,$D456,'PvA Data'!$C$2:$C$1576,"Martin")</f>
        <v>145</v>
      </c>
      <c r="J456" s="20">
        <f>SUMIFS('PvA Data'!$G$2:$G$1576,'PvA Data'!$A$2:$A$1576,$A456,'PvA Data'!$E$2:$E$1576,$D456,'PvA Data'!$C$2:$C$1576,"Custom")</f>
        <v>37</v>
      </c>
      <c r="K456" s="36">
        <f t="shared" si="33"/>
        <v>0</v>
      </c>
      <c r="L456" s="36">
        <f t="shared" si="34"/>
        <v>0.79670329670329665</v>
      </c>
      <c r="M456" s="36">
        <f t="shared" si="35"/>
        <v>0.2032967032967033</v>
      </c>
    </row>
    <row r="457" spans="1:13" ht="15" customHeight="1" x14ac:dyDescent="0.75">
      <c r="A457" s="18" t="s">
        <v>84</v>
      </c>
      <c r="B457" s="19">
        <v>46160</v>
      </c>
      <c r="C457" s="17">
        <v>666505</v>
      </c>
      <c r="D457" s="18" t="s">
        <v>9</v>
      </c>
      <c r="E457" s="20">
        <f>SUMIFS('PvA Data'!$F$2:$F$1576,'PvA Data'!$A$2:$A$1576,$A457,'PvA Data'!$E$2:$E$1576,$D457)</f>
        <v>25</v>
      </c>
      <c r="F457" s="20">
        <f>SUMIFS('PvA Data'!$G$2:$G$1576,'PvA Data'!$A$2:$A$1576,$A457,'PvA Data'!$E$2:$E$1576,$D457)</f>
        <v>50</v>
      </c>
      <c r="G457" s="36">
        <f t="shared" si="32"/>
        <v>2</v>
      </c>
      <c r="H457" s="20">
        <f>SUMIFS('PvA Data'!$G$2:$G$1576,'PvA Data'!$A$2:$A$1576,$A457,'PvA Data'!$E$2:$E$1576,$D457,'PvA Data'!$C$2:$C$1576,"Nahunta")</f>
        <v>16</v>
      </c>
      <c r="I457" s="20">
        <f>SUMIFS('PvA Data'!$G$2:$G$1576,'PvA Data'!$A$2:$A$1576,$A457,'PvA Data'!$E$2:$E$1576,$D457,'PvA Data'!$C$2:$C$1576,"Martin")</f>
        <v>0</v>
      </c>
      <c r="J457" s="20">
        <f>SUMIFS('PvA Data'!$G$2:$G$1576,'PvA Data'!$A$2:$A$1576,$A457,'PvA Data'!$E$2:$E$1576,$D457,'PvA Data'!$C$2:$C$1576,"Custom")</f>
        <v>34</v>
      </c>
      <c r="K457" s="36">
        <f t="shared" si="33"/>
        <v>0.32</v>
      </c>
      <c r="L457" s="36">
        <f t="shared" si="34"/>
        <v>0</v>
      </c>
      <c r="M457" s="36">
        <f t="shared" si="35"/>
        <v>0.68</v>
      </c>
    </row>
    <row r="458" spans="1:13" ht="15" customHeight="1" x14ac:dyDescent="0.75">
      <c r="A458" s="18" t="s">
        <v>84</v>
      </c>
      <c r="B458" s="19">
        <v>46160</v>
      </c>
      <c r="C458" s="17">
        <v>666506</v>
      </c>
      <c r="D458" s="18" t="s">
        <v>11</v>
      </c>
      <c r="E458" s="20">
        <f>SUMIFS('PvA Data'!$F$2:$F$1576,'PvA Data'!$A$2:$A$1576,$A458,'PvA Data'!$E$2:$E$1576,$D458)</f>
        <v>101.5</v>
      </c>
      <c r="F458" s="20">
        <f>SUMIFS('PvA Data'!$G$2:$G$1576,'PvA Data'!$A$2:$A$1576,$A458,'PvA Data'!$E$2:$E$1576,$D458)</f>
        <v>203</v>
      </c>
      <c r="G458" s="36">
        <f t="shared" si="32"/>
        <v>2</v>
      </c>
      <c r="H458" s="20">
        <f>SUMIFS('PvA Data'!$G$2:$G$1576,'PvA Data'!$A$2:$A$1576,$A458,'PvA Data'!$E$2:$E$1576,$D458,'PvA Data'!$C$2:$C$1576,"Nahunta")</f>
        <v>0</v>
      </c>
      <c r="I458" s="20">
        <f>SUMIFS('PvA Data'!$G$2:$G$1576,'PvA Data'!$A$2:$A$1576,$A458,'PvA Data'!$E$2:$E$1576,$D458,'PvA Data'!$C$2:$C$1576,"Martin")</f>
        <v>203</v>
      </c>
      <c r="J458" s="20">
        <f>SUMIFS('PvA Data'!$G$2:$G$1576,'PvA Data'!$A$2:$A$1576,$A458,'PvA Data'!$E$2:$E$1576,$D458,'PvA Data'!$C$2:$C$1576,"Custom")</f>
        <v>0</v>
      </c>
      <c r="K458" s="36">
        <f t="shared" si="33"/>
        <v>0</v>
      </c>
      <c r="L458" s="36">
        <f t="shared" si="34"/>
        <v>1</v>
      </c>
      <c r="M458" s="36">
        <f t="shared" si="35"/>
        <v>0</v>
      </c>
    </row>
    <row r="459" spans="1:13" ht="15" customHeight="1" x14ac:dyDescent="0.75">
      <c r="A459" s="18" t="s">
        <v>84</v>
      </c>
      <c r="B459" s="19">
        <v>46160</v>
      </c>
      <c r="C459" s="17">
        <v>666507</v>
      </c>
      <c r="D459" s="18" t="s">
        <v>13</v>
      </c>
      <c r="E459" s="20">
        <f>SUMIFS('PvA Data'!$F$2:$F$1576,'PvA Data'!$A$2:$A$1576,$A459,'PvA Data'!$E$2:$E$1576,$D459)</f>
        <v>8</v>
      </c>
      <c r="F459" s="20">
        <f>SUMIFS('PvA Data'!$G$2:$G$1576,'PvA Data'!$A$2:$A$1576,$A459,'PvA Data'!$E$2:$E$1576,$D459)</f>
        <v>0</v>
      </c>
      <c r="G459" s="36">
        <f t="shared" si="32"/>
        <v>0</v>
      </c>
      <c r="H459" s="20">
        <f>SUMIFS('PvA Data'!$G$2:$G$1576,'PvA Data'!$A$2:$A$1576,$A459,'PvA Data'!$E$2:$E$1576,$D459,'PvA Data'!$C$2:$C$1576,"Nahunta")</f>
        <v>0</v>
      </c>
      <c r="I459" s="20">
        <f>SUMIFS('PvA Data'!$G$2:$G$1576,'PvA Data'!$A$2:$A$1576,$A459,'PvA Data'!$E$2:$E$1576,$D459,'PvA Data'!$C$2:$C$1576,"Martin")</f>
        <v>0</v>
      </c>
      <c r="J459" s="20">
        <f>SUMIFS('PvA Data'!$G$2:$G$1576,'PvA Data'!$A$2:$A$1576,$A459,'PvA Data'!$E$2:$E$1576,$D459,'PvA Data'!$C$2:$C$1576,"Custom")</f>
        <v>0</v>
      </c>
      <c r="K459" s="36" t="str">
        <f t="shared" si="33"/>
        <v/>
      </c>
      <c r="L459" s="36" t="str">
        <f t="shared" si="34"/>
        <v/>
      </c>
      <c r="M459" s="36" t="str">
        <f t="shared" si="35"/>
        <v/>
      </c>
    </row>
    <row r="460" spans="1:13" ht="15" customHeight="1" x14ac:dyDescent="0.75">
      <c r="A460" s="18" t="s">
        <v>84</v>
      </c>
      <c r="B460" s="19">
        <v>46160</v>
      </c>
      <c r="C460" s="17">
        <v>666509</v>
      </c>
      <c r="D460" s="18" t="s">
        <v>15</v>
      </c>
      <c r="E460" s="20">
        <f>SUMIFS('PvA Data'!$F$2:$F$1576,'PvA Data'!$A$2:$A$1576,$A460,'PvA Data'!$E$2:$E$1576,$D460)</f>
        <v>25</v>
      </c>
      <c r="F460" s="20">
        <f>SUMIFS('PvA Data'!$G$2:$G$1576,'PvA Data'!$A$2:$A$1576,$A460,'PvA Data'!$E$2:$E$1576,$D460)</f>
        <v>50</v>
      </c>
      <c r="G460" s="36">
        <f t="shared" si="32"/>
        <v>2</v>
      </c>
      <c r="H460" s="20">
        <f>SUMIFS('PvA Data'!$G$2:$G$1576,'PvA Data'!$A$2:$A$1576,$A460,'PvA Data'!$E$2:$E$1576,$D460,'PvA Data'!$C$2:$C$1576,"Nahunta")</f>
        <v>50</v>
      </c>
      <c r="I460" s="20">
        <f>SUMIFS('PvA Data'!$G$2:$G$1576,'PvA Data'!$A$2:$A$1576,$A460,'PvA Data'!$E$2:$E$1576,$D460,'PvA Data'!$C$2:$C$1576,"Martin")</f>
        <v>0</v>
      </c>
      <c r="J460" s="20">
        <f>SUMIFS('PvA Data'!$G$2:$G$1576,'PvA Data'!$A$2:$A$1576,$A460,'PvA Data'!$E$2:$E$1576,$D460,'PvA Data'!$C$2:$C$1576,"Custom")</f>
        <v>0</v>
      </c>
      <c r="K460" s="36">
        <f t="shared" si="33"/>
        <v>1</v>
      </c>
      <c r="L460" s="36">
        <f t="shared" si="34"/>
        <v>0</v>
      </c>
      <c r="M460" s="36">
        <f t="shared" si="35"/>
        <v>0</v>
      </c>
    </row>
    <row r="461" spans="1:13" ht="15" customHeight="1" x14ac:dyDescent="0.75">
      <c r="A461" s="18" t="s">
        <v>84</v>
      </c>
      <c r="B461" s="19">
        <v>46160</v>
      </c>
      <c r="C461" s="17">
        <v>666510</v>
      </c>
      <c r="D461" s="18" t="s">
        <v>17</v>
      </c>
      <c r="E461" s="20">
        <f>SUMIFS('PvA Data'!$F$2:$F$1576,'PvA Data'!$A$2:$A$1576,$A461,'PvA Data'!$E$2:$E$1576,$D461)</f>
        <v>0</v>
      </c>
      <c r="F461" s="20">
        <f>SUMIFS('PvA Data'!$G$2:$G$1576,'PvA Data'!$A$2:$A$1576,$A461,'PvA Data'!$E$2:$E$1576,$D461)</f>
        <v>0</v>
      </c>
      <c r="G461" s="36" t="str">
        <f t="shared" si="32"/>
        <v/>
      </c>
      <c r="H461" s="20">
        <f>SUMIFS('PvA Data'!$G$2:$G$1576,'PvA Data'!$A$2:$A$1576,$A461,'PvA Data'!$E$2:$E$1576,$D461,'PvA Data'!$C$2:$C$1576,"Nahunta")</f>
        <v>0</v>
      </c>
      <c r="I461" s="20">
        <f>SUMIFS('PvA Data'!$G$2:$G$1576,'PvA Data'!$A$2:$A$1576,$A461,'PvA Data'!$E$2:$E$1576,$D461,'PvA Data'!$C$2:$C$1576,"Martin")</f>
        <v>0</v>
      </c>
      <c r="J461" s="20">
        <f>SUMIFS('PvA Data'!$G$2:$G$1576,'PvA Data'!$A$2:$A$1576,$A461,'PvA Data'!$E$2:$E$1576,$D461,'PvA Data'!$C$2:$C$1576,"Custom")</f>
        <v>0</v>
      </c>
      <c r="K461" s="36" t="str">
        <f t="shared" si="33"/>
        <v/>
      </c>
      <c r="L461" s="36" t="str">
        <f t="shared" si="34"/>
        <v/>
      </c>
      <c r="M461" s="36" t="str">
        <f t="shared" si="35"/>
        <v/>
      </c>
    </row>
    <row r="462" spans="1:13" ht="15" customHeight="1" x14ac:dyDescent="0.75">
      <c r="A462" s="18" t="s">
        <v>84</v>
      </c>
      <c r="B462" s="19">
        <v>46160</v>
      </c>
      <c r="C462" s="17">
        <v>666511</v>
      </c>
      <c r="D462" s="18" t="s">
        <v>19</v>
      </c>
      <c r="E462" s="20">
        <f>SUMIFS('PvA Data'!$F$2:$F$1576,'PvA Data'!$A$2:$A$1576,$A462,'PvA Data'!$E$2:$E$1576,$D462)</f>
        <v>2</v>
      </c>
      <c r="F462" s="20">
        <f>SUMIFS('PvA Data'!$G$2:$G$1576,'PvA Data'!$A$2:$A$1576,$A462,'PvA Data'!$E$2:$E$1576,$D462)</f>
        <v>0</v>
      </c>
      <c r="G462" s="36">
        <f t="shared" si="32"/>
        <v>0</v>
      </c>
      <c r="H462" s="20">
        <f>SUMIFS('PvA Data'!$G$2:$G$1576,'PvA Data'!$A$2:$A$1576,$A462,'PvA Data'!$E$2:$E$1576,$D462,'PvA Data'!$C$2:$C$1576,"Nahunta")</f>
        <v>0</v>
      </c>
      <c r="I462" s="20">
        <f>SUMIFS('PvA Data'!$G$2:$G$1576,'PvA Data'!$A$2:$A$1576,$A462,'PvA Data'!$E$2:$E$1576,$D462,'PvA Data'!$C$2:$C$1576,"Martin")</f>
        <v>0</v>
      </c>
      <c r="J462" s="20">
        <f>SUMIFS('PvA Data'!$G$2:$G$1576,'PvA Data'!$A$2:$A$1576,$A462,'PvA Data'!$E$2:$E$1576,$D462,'PvA Data'!$C$2:$C$1576,"Custom")</f>
        <v>0</v>
      </c>
      <c r="K462" s="36" t="str">
        <f t="shared" si="33"/>
        <v/>
      </c>
      <c r="L462" s="36" t="str">
        <f t="shared" si="34"/>
        <v/>
      </c>
      <c r="M462" s="36" t="str">
        <f t="shared" si="35"/>
        <v/>
      </c>
    </row>
    <row r="463" spans="1:13" ht="15" customHeight="1" x14ac:dyDescent="0.75">
      <c r="A463" s="18" t="s">
        <v>84</v>
      </c>
      <c r="B463" s="19">
        <v>46160</v>
      </c>
      <c r="C463" s="17">
        <v>666513</v>
      </c>
      <c r="D463" s="18" t="s">
        <v>21</v>
      </c>
      <c r="E463" s="20">
        <f>SUMIFS('PvA Data'!$F$2:$F$1576,'PvA Data'!$A$2:$A$1576,$A463,'PvA Data'!$E$2:$E$1576,$D463)</f>
        <v>14</v>
      </c>
      <c r="F463" s="20">
        <f>SUMIFS('PvA Data'!$G$2:$G$1576,'PvA Data'!$A$2:$A$1576,$A463,'PvA Data'!$E$2:$E$1576,$D463)</f>
        <v>28</v>
      </c>
      <c r="G463" s="36">
        <f t="shared" si="32"/>
        <v>2</v>
      </c>
      <c r="H463" s="20">
        <f>SUMIFS('PvA Data'!$G$2:$G$1576,'PvA Data'!$A$2:$A$1576,$A463,'PvA Data'!$E$2:$E$1576,$D463,'PvA Data'!$C$2:$C$1576,"Nahunta")</f>
        <v>8</v>
      </c>
      <c r="I463" s="20">
        <f>SUMIFS('PvA Data'!$G$2:$G$1576,'PvA Data'!$A$2:$A$1576,$A463,'PvA Data'!$E$2:$E$1576,$D463,'PvA Data'!$C$2:$C$1576,"Martin")</f>
        <v>0</v>
      </c>
      <c r="J463" s="20">
        <f>SUMIFS('PvA Data'!$G$2:$G$1576,'PvA Data'!$A$2:$A$1576,$A463,'PvA Data'!$E$2:$E$1576,$D463,'PvA Data'!$C$2:$C$1576,"Custom")</f>
        <v>20</v>
      </c>
      <c r="K463" s="36">
        <f t="shared" si="33"/>
        <v>0.2857142857142857</v>
      </c>
      <c r="L463" s="36">
        <f t="shared" si="34"/>
        <v>0</v>
      </c>
      <c r="M463" s="36">
        <f t="shared" si="35"/>
        <v>0.7142857142857143</v>
      </c>
    </row>
    <row r="464" spans="1:13" ht="15" customHeight="1" x14ac:dyDescent="0.75">
      <c r="A464" s="18" t="s">
        <v>84</v>
      </c>
      <c r="B464" s="19">
        <v>46160</v>
      </c>
      <c r="C464" s="17">
        <v>666516</v>
      </c>
      <c r="D464" s="18" t="s">
        <v>23</v>
      </c>
      <c r="E464" s="20">
        <f>SUMIFS('PvA Data'!$F$2:$F$1576,'PvA Data'!$A$2:$A$1576,$A464,'PvA Data'!$E$2:$E$1576,$D464)</f>
        <v>20</v>
      </c>
      <c r="F464" s="20">
        <f>SUMIFS('PvA Data'!$G$2:$G$1576,'PvA Data'!$A$2:$A$1576,$A464,'PvA Data'!$E$2:$E$1576,$D464)</f>
        <v>40</v>
      </c>
      <c r="G464" s="36">
        <f t="shared" si="32"/>
        <v>2</v>
      </c>
      <c r="H464" s="20">
        <f>SUMIFS('PvA Data'!$G$2:$G$1576,'PvA Data'!$A$2:$A$1576,$A464,'PvA Data'!$E$2:$E$1576,$D464,'PvA Data'!$C$2:$C$1576,"Nahunta")</f>
        <v>20</v>
      </c>
      <c r="I464" s="20">
        <f>SUMIFS('PvA Data'!$G$2:$G$1576,'PvA Data'!$A$2:$A$1576,$A464,'PvA Data'!$E$2:$E$1576,$D464,'PvA Data'!$C$2:$C$1576,"Martin")</f>
        <v>0</v>
      </c>
      <c r="J464" s="20">
        <f>SUMIFS('PvA Data'!$G$2:$G$1576,'PvA Data'!$A$2:$A$1576,$A464,'PvA Data'!$E$2:$E$1576,$D464,'PvA Data'!$C$2:$C$1576,"Custom")</f>
        <v>20</v>
      </c>
      <c r="K464" s="36">
        <f t="shared" si="33"/>
        <v>0.5</v>
      </c>
      <c r="L464" s="36">
        <f t="shared" si="34"/>
        <v>0</v>
      </c>
      <c r="M464" s="36">
        <f t="shared" si="35"/>
        <v>0.5</v>
      </c>
    </row>
    <row r="465" spans="1:13" ht="15" customHeight="1" x14ac:dyDescent="0.75">
      <c r="A465" s="18" t="s">
        <v>84</v>
      </c>
      <c r="B465" s="19">
        <v>46160</v>
      </c>
      <c r="C465" s="17">
        <v>666517</v>
      </c>
      <c r="D465" s="18" t="s">
        <v>25</v>
      </c>
      <c r="E465" s="20">
        <f>SUMIFS('PvA Data'!$F$2:$F$1576,'PvA Data'!$A$2:$A$1576,$A465,'PvA Data'!$E$2:$E$1576,$D465)</f>
        <v>22</v>
      </c>
      <c r="F465" s="20">
        <f>SUMIFS('PvA Data'!$G$2:$G$1576,'PvA Data'!$A$2:$A$1576,$A465,'PvA Data'!$E$2:$E$1576,$D465)</f>
        <v>44</v>
      </c>
      <c r="G465" s="36">
        <f t="shared" si="32"/>
        <v>2</v>
      </c>
      <c r="H465" s="20">
        <f>SUMIFS('PvA Data'!$G$2:$G$1576,'PvA Data'!$A$2:$A$1576,$A465,'PvA Data'!$E$2:$E$1576,$D465,'PvA Data'!$C$2:$C$1576,"Nahunta")</f>
        <v>30</v>
      </c>
      <c r="I465" s="20">
        <f>SUMIFS('PvA Data'!$G$2:$G$1576,'PvA Data'!$A$2:$A$1576,$A465,'PvA Data'!$E$2:$E$1576,$D465,'PvA Data'!$C$2:$C$1576,"Martin")</f>
        <v>0</v>
      </c>
      <c r="J465" s="20">
        <f>SUMIFS('PvA Data'!$G$2:$G$1576,'PvA Data'!$A$2:$A$1576,$A465,'PvA Data'!$E$2:$E$1576,$D465,'PvA Data'!$C$2:$C$1576,"Custom")</f>
        <v>14</v>
      </c>
      <c r="K465" s="36">
        <f t="shared" si="33"/>
        <v>0.68181818181818177</v>
      </c>
      <c r="L465" s="36">
        <f t="shared" si="34"/>
        <v>0</v>
      </c>
      <c r="M465" s="36">
        <f t="shared" si="35"/>
        <v>0.31818181818181818</v>
      </c>
    </row>
    <row r="466" spans="1:13" ht="15" customHeight="1" x14ac:dyDescent="0.75">
      <c r="A466" s="18" t="s">
        <v>84</v>
      </c>
      <c r="B466" s="19">
        <v>46160</v>
      </c>
      <c r="C466" s="17">
        <v>666518</v>
      </c>
      <c r="D466" s="18" t="s">
        <v>27</v>
      </c>
      <c r="E466" s="20">
        <f>SUMIFS('PvA Data'!$F$2:$F$1576,'PvA Data'!$A$2:$A$1576,$A466,'PvA Data'!$E$2:$E$1576,$D466)</f>
        <v>0</v>
      </c>
      <c r="F466" s="20">
        <f>SUMIFS('PvA Data'!$G$2:$G$1576,'PvA Data'!$A$2:$A$1576,$A466,'PvA Data'!$E$2:$E$1576,$D466)</f>
        <v>0</v>
      </c>
      <c r="G466" s="36" t="str">
        <f t="shared" si="32"/>
        <v/>
      </c>
      <c r="H466" s="20">
        <f>SUMIFS('PvA Data'!$G$2:$G$1576,'PvA Data'!$A$2:$A$1576,$A466,'PvA Data'!$E$2:$E$1576,$D466,'PvA Data'!$C$2:$C$1576,"Nahunta")</f>
        <v>0</v>
      </c>
      <c r="I466" s="20">
        <f>SUMIFS('PvA Data'!$G$2:$G$1576,'PvA Data'!$A$2:$A$1576,$A466,'PvA Data'!$E$2:$E$1576,$D466,'PvA Data'!$C$2:$C$1576,"Martin")</f>
        <v>0</v>
      </c>
      <c r="J466" s="20">
        <f>SUMIFS('PvA Data'!$G$2:$G$1576,'PvA Data'!$A$2:$A$1576,$A466,'PvA Data'!$E$2:$E$1576,$D466,'PvA Data'!$C$2:$C$1576,"Custom")</f>
        <v>0</v>
      </c>
      <c r="K466" s="36" t="str">
        <f t="shared" si="33"/>
        <v/>
      </c>
      <c r="L466" s="36" t="str">
        <f t="shared" si="34"/>
        <v/>
      </c>
      <c r="M466" s="36" t="str">
        <f t="shared" si="35"/>
        <v/>
      </c>
    </row>
    <row r="467" spans="1:13" ht="15" customHeight="1" x14ac:dyDescent="0.75">
      <c r="A467" s="18" t="s">
        <v>84</v>
      </c>
      <c r="B467" s="19">
        <v>46160</v>
      </c>
      <c r="C467" s="17">
        <v>666519</v>
      </c>
      <c r="D467" s="18" t="s">
        <v>29</v>
      </c>
      <c r="E467" s="20">
        <f>SUMIFS('PvA Data'!$F$2:$F$1576,'PvA Data'!$A$2:$A$1576,$A467,'PvA Data'!$E$2:$E$1576,$D467)</f>
        <v>26</v>
      </c>
      <c r="F467" s="20">
        <f>SUMIFS('PvA Data'!$G$2:$G$1576,'PvA Data'!$A$2:$A$1576,$A467,'PvA Data'!$E$2:$E$1576,$D467)</f>
        <v>52</v>
      </c>
      <c r="G467" s="36">
        <f t="shared" si="32"/>
        <v>2</v>
      </c>
      <c r="H467" s="20">
        <f>SUMIFS('PvA Data'!$G$2:$G$1576,'PvA Data'!$A$2:$A$1576,$A467,'PvA Data'!$E$2:$E$1576,$D467,'PvA Data'!$C$2:$C$1576,"Nahunta")</f>
        <v>26</v>
      </c>
      <c r="I467" s="20">
        <f>SUMIFS('PvA Data'!$G$2:$G$1576,'PvA Data'!$A$2:$A$1576,$A467,'PvA Data'!$E$2:$E$1576,$D467,'PvA Data'!$C$2:$C$1576,"Martin")</f>
        <v>0</v>
      </c>
      <c r="J467" s="20">
        <f>SUMIFS('PvA Data'!$G$2:$G$1576,'PvA Data'!$A$2:$A$1576,$A467,'PvA Data'!$E$2:$E$1576,$D467,'PvA Data'!$C$2:$C$1576,"Custom")</f>
        <v>26</v>
      </c>
      <c r="K467" s="36">
        <f t="shared" si="33"/>
        <v>0.5</v>
      </c>
      <c r="L467" s="36">
        <f t="shared" si="34"/>
        <v>0</v>
      </c>
      <c r="M467" s="36">
        <f t="shared" si="35"/>
        <v>0.5</v>
      </c>
    </row>
    <row r="468" spans="1:13" ht="15" customHeight="1" x14ac:dyDescent="0.75">
      <c r="A468" s="18" t="s">
        <v>84</v>
      </c>
      <c r="B468" s="19">
        <v>46160</v>
      </c>
      <c r="C468" s="17">
        <v>666521</v>
      </c>
      <c r="D468" s="18" t="s">
        <v>31</v>
      </c>
      <c r="E468" s="20">
        <f>SUMIFS('PvA Data'!$F$2:$F$1576,'PvA Data'!$A$2:$A$1576,$A468,'PvA Data'!$E$2:$E$1576,$D468)</f>
        <v>32</v>
      </c>
      <c r="F468" s="20">
        <f>SUMIFS('PvA Data'!$G$2:$G$1576,'PvA Data'!$A$2:$A$1576,$A468,'PvA Data'!$E$2:$E$1576,$D468)</f>
        <v>49</v>
      </c>
      <c r="G468" s="36">
        <f t="shared" si="32"/>
        <v>1.53125</v>
      </c>
      <c r="H468" s="20">
        <f>SUMIFS('PvA Data'!$G$2:$G$1576,'PvA Data'!$A$2:$A$1576,$A468,'PvA Data'!$E$2:$E$1576,$D468,'PvA Data'!$C$2:$C$1576,"Nahunta")</f>
        <v>49</v>
      </c>
      <c r="I468" s="20">
        <f>SUMIFS('PvA Data'!$G$2:$G$1576,'PvA Data'!$A$2:$A$1576,$A468,'PvA Data'!$E$2:$E$1576,$D468,'PvA Data'!$C$2:$C$1576,"Martin")</f>
        <v>0</v>
      </c>
      <c r="J468" s="20">
        <f>SUMIFS('PvA Data'!$G$2:$G$1576,'PvA Data'!$A$2:$A$1576,$A468,'PvA Data'!$E$2:$E$1576,$D468,'PvA Data'!$C$2:$C$1576,"Custom")</f>
        <v>0</v>
      </c>
      <c r="K468" s="36">
        <f t="shared" si="33"/>
        <v>1</v>
      </c>
      <c r="L468" s="36">
        <f t="shared" si="34"/>
        <v>0</v>
      </c>
      <c r="M468" s="36">
        <f t="shared" si="35"/>
        <v>0</v>
      </c>
    </row>
    <row r="469" spans="1:13" ht="15" customHeight="1" x14ac:dyDescent="0.75">
      <c r="A469" s="18" t="s">
        <v>84</v>
      </c>
      <c r="B469" s="19">
        <v>46160</v>
      </c>
      <c r="C469" s="17">
        <v>666522</v>
      </c>
      <c r="D469" s="18" t="s">
        <v>33</v>
      </c>
      <c r="E469" s="20">
        <f>SUMIFS('PvA Data'!$F$2:$F$1576,'PvA Data'!$A$2:$A$1576,$A469,'PvA Data'!$E$2:$E$1576,$D469)</f>
        <v>202.5</v>
      </c>
      <c r="F469" s="20">
        <f>SUMIFS('PvA Data'!$G$2:$G$1576,'PvA Data'!$A$2:$A$1576,$A469,'PvA Data'!$E$2:$E$1576,$D469)</f>
        <v>260</v>
      </c>
      <c r="G469" s="36">
        <f t="shared" si="32"/>
        <v>1.2839506172839505</v>
      </c>
      <c r="H469" s="20">
        <f>SUMIFS('PvA Data'!$G$2:$G$1576,'PvA Data'!$A$2:$A$1576,$A469,'PvA Data'!$E$2:$E$1576,$D469,'PvA Data'!$C$2:$C$1576,"Nahunta")</f>
        <v>105</v>
      </c>
      <c r="I469" s="20">
        <f>SUMIFS('PvA Data'!$G$2:$G$1576,'PvA Data'!$A$2:$A$1576,$A469,'PvA Data'!$E$2:$E$1576,$D469,'PvA Data'!$C$2:$C$1576,"Martin")</f>
        <v>50</v>
      </c>
      <c r="J469" s="20">
        <f>SUMIFS('PvA Data'!$G$2:$G$1576,'PvA Data'!$A$2:$A$1576,$A469,'PvA Data'!$E$2:$E$1576,$D469,'PvA Data'!$C$2:$C$1576,"Custom")</f>
        <v>105</v>
      </c>
      <c r="K469" s="36">
        <f t="shared" si="33"/>
        <v>0.40384615384615385</v>
      </c>
      <c r="L469" s="36">
        <f t="shared" si="34"/>
        <v>0.19230769230769232</v>
      </c>
      <c r="M469" s="36">
        <f t="shared" si="35"/>
        <v>0.40384615384615385</v>
      </c>
    </row>
    <row r="470" spans="1:13" ht="15" customHeight="1" x14ac:dyDescent="0.75">
      <c r="A470" s="18" t="s">
        <v>84</v>
      </c>
      <c r="B470" s="19">
        <v>46160</v>
      </c>
      <c r="C470" s="17">
        <v>666523</v>
      </c>
      <c r="D470" s="18" t="s">
        <v>35</v>
      </c>
      <c r="E470" s="20">
        <f>SUMIFS('PvA Data'!$F$2:$F$1576,'PvA Data'!$A$2:$A$1576,$A470,'PvA Data'!$E$2:$E$1576,$D470)</f>
        <v>16</v>
      </c>
      <c r="F470" s="20">
        <f>SUMIFS('PvA Data'!$G$2:$G$1576,'PvA Data'!$A$2:$A$1576,$A470,'PvA Data'!$E$2:$E$1576,$D470)</f>
        <v>32</v>
      </c>
      <c r="G470" s="36">
        <f t="shared" si="32"/>
        <v>2</v>
      </c>
      <c r="H470" s="20">
        <f>SUMIFS('PvA Data'!$G$2:$G$1576,'PvA Data'!$A$2:$A$1576,$A470,'PvA Data'!$E$2:$E$1576,$D470,'PvA Data'!$C$2:$C$1576,"Nahunta")</f>
        <v>0</v>
      </c>
      <c r="I470" s="20">
        <f>SUMIFS('PvA Data'!$G$2:$G$1576,'PvA Data'!$A$2:$A$1576,$A470,'PvA Data'!$E$2:$E$1576,$D470,'PvA Data'!$C$2:$C$1576,"Martin")</f>
        <v>0</v>
      </c>
      <c r="J470" s="20">
        <f>SUMIFS('PvA Data'!$G$2:$G$1576,'PvA Data'!$A$2:$A$1576,$A470,'PvA Data'!$E$2:$E$1576,$D470,'PvA Data'!$C$2:$C$1576,"Custom")</f>
        <v>32</v>
      </c>
      <c r="K470" s="36">
        <f t="shared" si="33"/>
        <v>0</v>
      </c>
      <c r="L470" s="36">
        <f t="shared" si="34"/>
        <v>0</v>
      </c>
      <c r="M470" s="36">
        <f t="shared" si="35"/>
        <v>1</v>
      </c>
    </row>
    <row r="471" spans="1:13" ht="15" customHeight="1" x14ac:dyDescent="0.75">
      <c r="A471" s="18" t="s">
        <v>84</v>
      </c>
      <c r="B471" s="19">
        <v>46160</v>
      </c>
      <c r="C471" s="17">
        <v>666530</v>
      </c>
      <c r="D471" s="18" t="s">
        <v>37</v>
      </c>
      <c r="E471" s="20">
        <f>SUMIFS('PvA Data'!$F$2:$F$1576,'PvA Data'!$A$2:$A$1576,$A471,'PvA Data'!$E$2:$E$1576,$D471)</f>
        <v>12</v>
      </c>
      <c r="F471" s="20">
        <f>SUMIFS('PvA Data'!$G$2:$G$1576,'PvA Data'!$A$2:$A$1576,$A471,'PvA Data'!$E$2:$E$1576,$D471)</f>
        <v>24</v>
      </c>
      <c r="G471" s="36">
        <f t="shared" si="32"/>
        <v>2</v>
      </c>
      <c r="H471" s="20">
        <f>SUMIFS('PvA Data'!$G$2:$G$1576,'PvA Data'!$A$2:$A$1576,$A471,'PvA Data'!$E$2:$E$1576,$D471,'PvA Data'!$C$2:$C$1576,"Nahunta")</f>
        <v>0</v>
      </c>
      <c r="I471" s="20">
        <f>SUMIFS('PvA Data'!$G$2:$G$1576,'PvA Data'!$A$2:$A$1576,$A471,'PvA Data'!$E$2:$E$1576,$D471,'PvA Data'!$C$2:$C$1576,"Martin")</f>
        <v>0</v>
      </c>
      <c r="J471" s="20">
        <f>SUMIFS('PvA Data'!$G$2:$G$1576,'PvA Data'!$A$2:$A$1576,$A471,'PvA Data'!$E$2:$E$1576,$D471,'PvA Data'!$C$2:$C$1576,"Custom")</f>
        <v>24</v>
      </c>
      <c r="K471" s="36">
        <f t="shared" si="33"/>
        <v>0</v>
      </c>
      <c r="L471" s="36">
        <f t="shared" si="34"/>
        <v>0</v>
      </c>
      <c r="M471" s="36">
        <f t="shared" si="35"/>
        <v>1</v>
      </c>
    </row>
    <row r="472" spans="1:13" ht="15" customHeight="1" x14ac:dyDescent="0.75">
      <c r="A472" s="18" t="s">
        <v>84</v>
      </c>
      <c r="B472" s="19">
        <v>46160</v>
      </c>
      <c r="C472" s="17">
        <v>666531</v>
      </c>
      <c r="D472" s="18" t="s">
        <v>39</v>
      </c>
      <c r="E472" s="20">
        <f>SUMIFS('PvA Data'!$F$2:$F$1576,'PvA Data'!$A$2:$A$1576,$A472,'PvA Data'!$E$2:$E$1576,$D472)</f>
        <v>14</v>
      </c>
      <c r="F472" s="20">
        <f>SUMIFS('PvA Data'!$G$2:$G$1576,'PvA Data'!$A$2:$A$1576,$A472,'PvA Data'!$E$2:$E$1576,$D472)</f>
        <v>15</v>
      </c>
      <c r="G472" s="36">
        <f t="shared" si="32"/>
        <v>1.0714285714285714</v>
      </c>
      <c r="H472" s="20">
        <f>SUMIFS('PvA Data'!$G$2:$G$1576,'PvA Data'!$A$2:$A$1576,$A472,'PvA Data'!$E$2:$E$1576,$D472,'PvA Data'!$C$2:$C$1576,"Nahunta")</f>
        <v>13</v>
      </c>
      <c r="I472" s="20">
        <f>SUMIFS('PvA Data'!$G$2:$G$1576,'PvA Data'!$A$2:$A$1576,$A472,'PvA Data'!$E$2:$E$1576,$D472,'PvA Data'!$C$2:$C$1576,"Martin")</f>
        <v>0</v>
      </c>
      <c r="J472" s="20">
        <f>SUMIFS('PvA Data'!$G$2:$G$1576,'PvA Data'!$A$2:$A$1576,$A472,'PvA Data'!$E$2:$E$1576,$D472,'PvA Data'!$C$2:$C$1576,"Custom")</f>
        <v>2</v>
      </c>
      <c r="K472" s="36">
        <f t="shared" si="33"/>
        <v>0.8666666666666667</v>
      </c>
      <c r="L472" s="36">
        <f t="shared" si="34"/>
        <v>0</v>
      </c>
      <c r="M472" s="36">
        <f t="shared" si="35"/>
        <v>0.13333333333333333</v>
      </c>
    </row>
    <row r="473" spans="1:13" ht="15" customHeight="1" x14ac:dyDescent="0.75">
      <c r="A473" s="18" t="s">
        <v>84</v>
      </c>
      <c r="B473" s="19">
        <v>46160</v>
      </c>
      <c r="C473" s="17">
        <v>666540</v>
      </c>
      <c r="D473" s="18" t="s">
        <v>40</v>
      </c>
      <c r="E473" s="20">
        <f>SUMIFS('PvA Data'!$F$2:$F$1576,'PvA Data'!$A$2:$A$1576,$A473,'PvA Data'!$E$2:$E$1576,$D473)</f>
        <v>20</v>
      </c>
      <c r="F473" s="20">
        <f>SUMIFS('PvA Data'!$G$2:$G$1576,'PvA Data'!$A$2:$A$1576,$A473,'PvA Data'!$E$2:$E$1576,$D473)</f>
        <v>0</v>
      </c>
      <c r="G473" s="36">
        <f t="shared" si="32"/>
        <v>0</v>
      </c>
      <c r="H473" s="20">
        <f>SUMIFS('PvA Data'!$G$2:$G$1576,'PvA Data'!$A$2:$A$1576,$A473,'PvA Data'!$E$2:$E$1576,$D473,'PvA Data'!$C$2:$C$1576,"Nahunta")</f>
        <v>0</v>
      </c>
      <c r="I473" s="20">
        <f>SUMIFS('PvA Data'!$G$2:$G$1576,'PvA Data'!$A$2:$A$1576,$A473,'PvA Data'!$E$2:$E$1576,$D473,'PvA Data'!$C$2:$C$1576,"Martin")</f>
        <v>0</v>
      </c>
      <c r="J473" s="20">
        <f>SUMIFS('PvA Data'!$G$2:$G$1576,'PvA Data'!$A$2:$A$1576,$A473,'PvA Data'!$E$2:$E$1576,$D473,'PvA Data'!$C$2:$C$1576,"Custom")</f>
        <v>0</v>
      </c>
      <c r="K473" s="36" t="str">
        <f t="shared" si="33"/>
        <v/>
      </c>
      <c r="L473" s="36" t="str">
        <f t="shared" si="34"/>
        <v/>
      </c>
      <c r="M473" s="36" t="str">
        <f t="shared" si="35"/>
        <v/>
      </c>
    </row>
    <row r="474" spans="1:13" ht="15" customHeight="1" x14ac:dyDescent="0.75">
      <c r="A474" s="18" t="s">
        <v>84</v>
      </c>
      <c r="B474" s="19">
        <v>46160</v>
      </c>
      <c r="C474" s="17">
        <v>666541</v>
      </c>
      <c r="D474" s="18" t="s">
        <v>41</v>
      </c>
      <c r="E474" s="20">
        <f>SUMIFS('PvA Data'!$F$2:$F$1576,'PvA Data'!$A$2:$A$1576,$A474,'PvA Data'!$E$2:$E$1576,$D474)</f>
        <v>340</v>
      </c>
      <c r="F474" s="20">
        <f>SUMIFS('PvA Data'!$G$2:$G$1576,'PvA Data'!$A$2:$A$1576,$A474,'PvA Data'!$E$2:$E$1576,$D474)</f>
        <v>202</v>
      </c>
      <c r="G474" s="36">
        <f t="shared" si="32"/>
        <v>0.59411764705882353</v>
      </c>
      <c r="H474" s="20">
        <f>SUMIFS('PvA Data'!$G$2:$G$1576,'PvA Data'!$A$2:$A$1576,$A474,'PvA Data'!$E$2:$E$1576,$D474,'PvA Data'!$C$2:$C$1576,"Nahunta")</f>
        <v>0</v>
      </c>
      <c r="I474" s="20">
        <f>SUMIFS('PvA Data'!$G$2:$G$1576,'PvA Data'!$A$2:$A$1576,$A474,'PvA Data'!$E$2:$E$1576,$D474,'PvA Data'!$C$2:$C$1576,"Martin")</f>
        <v>202</v>
      </c>
      <c r="J474" s="20">
        <f>SUMIFS('PvA Data'!$G$2:$G$1576,'PvA Data'!$A$2:$A$1576,$A474,'PvA Data'!$E$2:$E$1576,$D474,'PvA Data'!$C$2:$C$1576,"Custom")</f>
        <v>0</v>
      </c>
      <c r="K474" s="36">
        <f t="shared" si="33"/>
        <v>0</v>
      </c>
      <c r="L474" s="36">
        <f t="shared" si="34"/>
        <v>1</v>
      </c>
      <c r="M474" s="36">
        <f t="shared" si="35"/>
        <v>0</v>
      </c>
    </row>
    <row r="475" spans="1:13" ht="15" customHeight="1" x14ac:dyDescent="0.75">
      <c r="A475" s="18" t="s">
        <v>84</v>
      </c>
      <c r="B475" s="19">
        <v>46160</v>
      </c>
      <c r="C475" s="17">
        <v>666536</v>
      </c>
      <c r="D475" s="18" t="s">
        <v>43</v>
      </c>
      <c r="E475" s="20">
        <f>SUMIFS('PvA Data'!$F$2:$F$1576,'PvA Data'!$A$2:$A$1576,$A475,'PvA Data'!$E$2:$E$1576,$D475)</f>
        <v>20</v>
      </c>
      <c r="F475" s="20">
        <f>SUMIFS('PvA Data'!$G$2:$G$1576,'PvA Data'!$A$2:$A$1576,$A475,'PvA Data'!$E$2:$E$1576,$D475)</f>
        <v>17</v>
      </c>
      <c r="G475" s="36">
        <f t="shared" si="32"/>
        <v>0.85</v>
      </c>
      <c r="H475" s="20">
        <f>SUMIFS('PvA Data'!$G$2:$G$1576,'PvA Data'!$A$2:$A$1576,$A475,'PvA Data'!$E$2:$E$1576,$D475,'PvA Data'!$C$2:$C$1576,"Nahunta")</f>
        <v>17</v>
      </c>
      <c r="I475" s="20">
        <f>SUMIFS('PvA Data'!$G$2:$G$1576,'PvA Data'!$A$2:$A$1576,$A475,'PvA Data'!$E$2:$E$1576,$D475,'PvA Data'!$C$2:$C$1576,"Martin")</f>
        <v>0</v>
      </c>
      <c r="J475" s="20">
        <f>SUMIFS('PvA Data'!$G$2:$G$1576,'PvA Data'!$A$2:$A$1576,$A475,'PvA Data'!$E$2:$E$1576,$D475,'PvA Data'!$C$2:$C$1576,"Custom")</f>
        <v>0</v>
      </c>
      <c r="K475" s="36">
        <f t="shared" si="33"/>
        <v>1</v>
      </c>
      <c r="L475" s="36">
        <f t="shared" si="34"/>
        <v>0</v>
      </c>
      <c r="M475" s="36">
        <f t="shared" si="35"/>
        <v>0</v>
      </c>
    </row>
    <row r="476" spans="1:13" ht="15" customHeight="1" x14ac:dyDescent="0.75">
      <c r="A476" s="18" t="s">
        <v>85</v>
      </c>
      <c r="B476" s="19">
        <v>46167</v>
      </c>
      <c r="C476" s="17">
        <v>666501</v>
      </c>
      <c r="D476" s="18" t="s">
        <v>5</v>
      </c>
      <c r="E476" s="20">
        <f>SUMIFS('PvA Data'!$F$2:$F$1576,'PvA Data'!$A$2:$A$1576,$A476,'PvA Data'!$E$2:$E$1576,$D476)</f>
        <v>253.5</v>
      </c>
      <c r="F476" s="20">
        <f>SUMIFS('PvA Data'!$G$2:$G$1576,'PvA Data'!$A$2:$A$1576,$A476,'PvA Data'!$E$2:$E$1576,$D476)</f>
        <v>141</v>
      </c>
      <c r="G476" s="36">
        <f t="shared" si="32"/>
        <v>0.55621301775147924</v>
      </c>
      <c r="H476" s="20">
        <f>SUMIFS('PvA Data'!$G$2:$G$1576,'PvA Data'!$A$2:$A$1576,$A476,'PvA Data'!$E$2:$E$1576,$D476,'PvA Data'!$C$2:$C$1576,"Nahunta")</f>
        <v>0</v>
      </c>
      <c r="I476" s="20">
        <f>SUMIFS('PvA Data'!$G$2:$G$1576,'PvA Data'!$A$2:$A$1576,$A476,'PvA Data'!$E$2:$E$1576,$D476,'PvA Data'!$C$2:$C$1576,"Martin")</f>
        <v>141</v>
      </c>
      <c r="J476" s="20">
        <f>SUMIFS('PvA Data'!$G$2:$G$1576,'PvA Data'!$A$2:$A$1576,$A476,'PvA Data'!$E$2:$E$1576,$D476,'PvA Data'!$C$2:$C$1576,"Custom")</f>
        <v>0</v>
      </c>
      <c r="K476" s="36">
        <f t="shared" si="33"/>
        <v>0</v>
      </c>
      <c r="L476" s="36">
        <f t="shared" si="34"/>
        <v>1</v>
      </c>
      <c r="M476" s="36">
        <f t="shared" si="35"/>
        <v>0</v>
      </c>
    </row>
    <row r="477" spans="1:13" ht="15" customHeight="1" x14ac:dyDescent="0.75">
      <c r="A477" s="18" t="s">
        <v>85</v>
      </c>
      <c r="B477" s="19">
        <v>46167</v>
      </c>
      <c r="C477" s="17">
        <v>666502</v>
      </c>
      <c r="D477" s="18" t="s">
        <v>7</v>
      </c>
      <c r="E477" s="20">
        <f>SUMIFS('PvA Data'!$F$2:$F$1576,'PvA Data'!$A$2:$A$1576,$A477,'PvA Data'!$E$2:$E$1576,$D477)</f>
        <v>180</v>
      </c>
      <c r="F477" s="20">
        <f>SUMIFS('PvA Data'!$G$2:$G$1576,'PvA Data'!$A$2:$A$1576,$A477,'PvA Data'!$E$2:$E$1576,$D477)</f>
        <v>178</v>
      </c>
      <c r="G477" s="36">
        <f t="shared" si="32"/>
        <v>0.98888888888888893</v>
      </c>
      <c r="H477" s="20">
        <f>SUMIFS('PvA Data'!$G$2:$G$1576,'PvA Data'!$A$2:$A$1576,$A477,'PvA Data'!$E$2:$E$1576,$D477,'PvA Data'!$C$2:$C$1576,"Nahunta")</f>
        <v>0</v>
      </c>
      <c r="I477" s="20">
        <f>SUMIFS('PvA Data'!$G$2:$G$1576,'PvA Data'!$A$2:$A$1576,$A477,'PvA Data'!$E$2:$E$1576,$D477,'PvA Data'!$C$2:$C$1576,"Martin")</f>
        <v>115</v>
      </c>
      <c r="J477" s="20">
        <f>SUMIFS('PvA Data'!$G$2:$G$1576,'PvA Data'!$A$2:$A$1576,$A477,'PvA Data'!$E$2:$E$1576,$D477,'PvA Data'!$C$2:$C$1576,"Custom")</f>
        <v>63</v>
      </c>
      <c r="K477" s="36">
        <f t="shared" si="33"/>
        <v>0</v>
      </c>
      <c r="L477" s="36">
        <f t="shared" si="34"/>
        <v>0.6460674157303371</v>
      </c>
      <c r="M477" s="36">
        <f t="shared" si="35"/>
        <v>0.3539325842696629</v>
      </c>
    </row>
    <row r="478" spans="1:13" ht="15" customHeight="1" x14ac:dyDescent="0.75">
      <c r="A478" s="18" t="s">
        <v>85</v>
      </c>
      <c r="B478" s="19">
        <v>46167</v>
      </c>
      <c r="C478" s="17">
        <v>666505</v>
      </c>
      <c r="D478" s="18" t="s">
        <v>9</v>
      </c>
      <c r="E478" s="20">
        <f>SUMIFS('PvA Data'!$F$2:$F$1576,'PvA Data'!$A$2:$A$1576,$A478,'PvA Data'!$E$2:$E$1576,$D478)</f>
        <v>25</v>
      </c>
      <c r="F478" s="20">
        <f>SUMIFS('PvA Data'!$G$2:$G$1576,'PvA Data'!$A$2:$A$1576,$A478,'PvA Data'!$E$2:$E$1576,$D478)</f>
        <v>0</v>
      </c>
      <c r="G478" s="36">
        <f t="shared" si="32"/>
        <v>0</v>
      </c>
      <c r="H478" s="20">
        <f>SUMIFS('PvA Data'!$G$2:$G$1576,'PvA Data'!$A$2:$A$1576,$A478,'PvA Data'!$E$2:$E$1576,$D478,'PvA Data'!$C$2:$C$1576,"Nahunta")</f>
        <v>0</v>
      </c>
      <c r="I478" s="20">
        <f>SUMIFS('PvA Data'!$G$2:$G$1576,'PvA Data'!$A$2:$A$1576,$A478,'PvA Data'!$E$2:$E$1576,$D478,'PvA Data'!$C$2:$C$1576,"Martin")</f>
        <v>0</v>
      </c>
      <c r="J478" s="20">
        <f>SUMIFS('PvA Data'!$G$2:$G$1576,'PvA Data'!$A$2:$A$1576,$A478,'PvA Data'!$E$2:$E$1576,$D478,'PvA Data'!$C$2:$C$1576,"Custom")</f>
        <v>0</v>
      </c>
      <c r="K478" s="36" t="str">
        <f t="shared" si="33"/>
        <v/>
      </c>
      <c r="L478" s="36" t="str">
        <f t="shared" si="34"/>
        <v/>
      </c>
      <c r="M478" s="36" t="str">
        <f t="shared" si="35"/>
        <v/>
      </c>
    </row>
    <row r="479" spans="1:13" ht="15" customHeight="1" x14ac:dyDescent="0.75">
      <c r="A479" s="18" t="s">
        <v>85</v>
      </c>
      <c r="B479" s="19">
        <v>46167</v>
      </c>
      <c r="C479" s="17">
        <v>666506</v>
      </c>
      <c r="D479" s="18" t="s">
        <v>11</v>
      </c>
      <c r="E479" s="20">
        <f>SUMIFS('PvA Data'!$F$2:$F$1576,'PvA Data'!$A$2:$A$1576,$A479,'PvA Data'!$E$2:$E$1576,$D479)</f>
        <v>101.5</v>
      </c>
      <c r="F479" s="20">
        <f>SUMIFS('PvA Data'!$G$2:$G$1576,'PvA Data'!$A$2:$A$1576,$A479,'PvA Data'!$E$2:$E$1576,$D479)</f>
        <v>0</v>
      </c>
      <c r="G479" s="36">
        <f t="shared" si="32"/>
        <v>0</v>
      </c>
      <c r="H479" s="20">
        <f>SUMIFS('PvA Data'!$G$2:$G$1576,'PvA Data'!$A$2:$A$1576,$A479,'PvA Data'!$E$2:$E$1576,$D479,'PvA Data'!$C$2:$C$1576,"Nahunta")</f>
        <v>0</v>
      </c>
      <c r="I479" s="20">
        <f>SUMIFS('PvA Data'!$G$2:$G$1576,'PvA Data'!$A$2:$A$1576,$A479,'PvA Data'!$E$2:$E$1576,$D479,'PvA Data'!$C$2:$C$1576,"Martin")</f>
        <v>0</v>
      </c>
      <c r="J479" s="20">
        <f>SUMIFS('PvA Data'!$G$2:$G$1576,'PvA Data'!$A$2:$A$1576,$A479,'PvA Data'!$E$2:$E$1576,$D479,'PvA Data'!$C$2:$C$1576,"Custom")</f>
        <v>0</v>
      </c>
      <c r="K479" s="36" t="str">
        <f t="shared" si="33"/>
        <v/>
      </c>
      <c r="L479" s="36" t="str">
        <f t="shared" si="34"/>
        <v/>
      </c>
      <c r="M479" s="36" t="str">
        <f t="shared" si="35"/>
        <v/>
      </c>
    </row>
    <row r="480" spans="1:13" ht="15" customHeight="1" x14ac:dyDescent="0.75">
      <c r="A480" s="18" t="s">
        <v>85</v>
      </c>
      <c r="B480" s="19">
        <v>46167</v>
      </c>
      <c r="C480" s="17">
        <v>666507</v>
      </c>
      <c r="D480" s="18" t="s">
        <v>13</v>
      </c>
      <c r="E480" s="20">
        <f>SUMIFS('PvA Data'!$F$2:$F$1576,'PvA Data'!$A$2:$A$1576,$A480,'PvA Data'!$E$2:$E$1576,$D480)</f>
        <v>8</v>
      </c>
      <c r="F480" s="20">
        <f>SUMIFS('PvA Data'!$G$2:$G$1576,'PvA Data'!$A$2:$A$1576,$A480,'PvA Data'!$E$2:$E$1576,$D480)</f>
        <v>16</v>
      </c>
      <c r="G480" s="36">
        <f t="shared" si="32"/>
        <v>2</v>
      </c>
      <c r="H480" s="20">
        <f>SUMIFS('PvA Data'!$G$2:$G$1576,'PvA Data'!$A$2:$A$1576,$A480,'PvA Data'!$E$2:$E$1576,$D480,'PvA Data'!$C$2:$C$1576,"Nahunta")</f>
        <v>16</v>
      </c>
      <c r="I480" s="20">
        <f>SUMIFS('PvA Data'!$G$2:$G$1576,'PvA Data'!$A$2:$A$1576,$A480,'PvA Data'!$E$2:$E$1576,$D480,'PvA Data'!$C$2:$C$1576,"Martin")</f>
        <v>0</v>
      </c>
      <c r="J480" s="20">
        <f>SUMIFS('PvA Data'!$G$2:$G$1576,'PvA Data'!$A$2:$A$1576,$A480,'PvA Data'!$E$2:$E$1576,$D480,'PvA Data'!$C$2:$C$1576,"Custom")</f>
        <v>0</v>
      </c>
      <c r="K480" s="36">
        <f t="shared" si="33"/>
        <v>1</v>
      </c>
      <c r="L480" s="36">
        <f t="shared" si="34"/>
        <v>0</v>
      </c>
      <c r="M480" s="36">
        <f t="shared" si="35"/>
        <v>0</v>
      </c>
    </row>
    <row r="481" spans="1:13" ht="15" customHeight="1" x14ac:dyDescent="0.75">
      <c r="A481" s="18" t="s">
        <v>85</v>
      </c>
      <c r="B481" s="19">
        <v>46167</v>
      </c>
      <c r="C481" s="17">
        <v>666509</v>
      </c>
      <c r="D481" s="18" t="s">
        <v>15</v>
      </c>
      <c r="E481" s="20">
        <f>SUMIFS('PvA Data'!$F$2:$F$1576,'PvA Data'!$A$2:$A$1576,$A481,'PvA Data'!$E$2:$E$1576,$D481)</f>
        <v>25</v>
      </c>
      <c r="F481" s="20">
        <f>SUMIFS('PvA Data'!$G$2:$G$1576,'PvA Data'!$A$2:$A$1576,$A481,'PvA Data'!$E$2:$E$1576,$D481)</f>
        <v>0</v>
      </c>
      <c r="G481" s="36">
        <f t="shared" si="32"/>
        <v>0</v>
      </c>
      <c r="H481" s="20">
        <f>SUMIFS('PvA Data'!$G$2:$G$1576,'PvA Data'!$A$2:$A$1576,$A481,'PvA Data'!$E$2:$E$1576,$D481,'PvA Data'!$C$2:$C$1576,"Nahunta")</f>
        <v>0</v>
      </c>
      <c r="I481" s="20">
        <f>SUMIFS('PvA Data'!$G$2:$G$1576,'PvA Data'!$A$2:$A$1576,$A481,'PvA Data'!$E$2:$E$1576,$D481,'PvA Data'!$C$2:$C$1576,"Martin")</f>
        <v>0</v>
      </c>
      <c r="J481" s="20">
        <f>SUMIFS('PvA Data'!$G$2:$G$1576,'PvA Data'!$A$2:$A$1576,$A481,'PvA Data'!$E$2:$E$1576,$D481,'PvA Data'!$C$2:$C$1576,"Custom")</f>
        <v>0</v>
      </c>
      <c r="K481" s="36" t="str">
        <f t="shared" si="33"/>
        <v/>
      </c>
      <c r="L481" s="36" t="str">
        <f t="shared" si="34"/>
        <v/>
      </c>
      <c r="M481" s="36" t="str">
        <f t="shared" si="35"/>
        <v/>
      </c>
    </row>
    <row r="482" spans="1:13" ht="15" customHeight="1" x14ac:dyDescent="0.75">
      <c r="A482" s="18" t="s">
        <v>85</v>
      </c>
      <c r="B482" s="19">
        <v>46167</v>
      </c>
      <c r="C482" s="17">
        <v>666510</v>
      </c>
      <c r="D482" s="18" t="s">
        <v>17</v>
      </c>
      <c r="E482" s="20">
        <f>SUMIFS('PvA Data'!$F$2:$F$1576,'PvA Data'!$A$2:$A$1576,$A482,'PvA Data'!$E$2:$E$1576,$D482)</f>
        <v>0</v>
      </c>
      <c r="F482" s="20">
        <f>SUMIFS('PvA Data'!$G$2:$G$1576,'PvA Data'!$A$2:$A$1576,$A482,'PvA Data'!$E$2:$E$1576,$D482)</f>
        <v>0</v>
      </c>
      <c r="G482" s="36" t="str">
        <f t="shared" si="32"/>
        <v/>
      </c>
      <c r="H482" s="20">
        <f>SUMIFS('PvA Data'!$G$2:$G$1576,'PvA Data'!$A$2:$A$1576,$A482,'PvA Data'!$E$2:$E$1576,$D482,'PvA Data'!$C$2:$C$1576,"Nahunta")</f>
        <v>0</v>
      </c>
      <c r="I482" s="20">
        <f>SUMIFS('PvA Data'!$G$2:$G$1576,'PvA Data'!$A$2:$A$1576,$A482,'PvA Data'!$E$2:$E$1576,$D482,'PvA Data'!$C$2:$C$1576,"Martin")</f>
        <v>0</v>
      </c>
      <c r="J482" s="20">
        <f>SUMIFS('PvA Data'!$G$2:$G$1576,'PvA Data'!$A$2:$A$1576,$A482,'PvA Data'!$E$2:$E$1576,$D482,'PvA Data'!$C$2:$C$1576,"Custom")</f>
        <v>0</v>
      </c>
      <c r="K482" s="36" t="str">
        <f t="shared" si="33"/>
        <v/>
      </c>
      <c r="L482" s="36" t="str">
        <f t="shared" si="34"/>
        <v/>
      </c>
      <c r="M482" s="36" t="str">
        <f t="shared" si="35"/>
        <v/>
      </c>
    </row>
    <row r="483" spans="1:13" ht="15" customHeight="1" x14ac:dyDescent="0.75">
      <c r="A483" s="18" t="s">
        <v>85</v>
      </c>
      <c r="B483" s="19">
        <v>46167</v>
      </c>
      <c r="C483" s="17">
        <v>666511</v>
      </c>
      <c r="D483" s="18" t="s">
        <v>19</v>
      </c>
      <c r="E483" s="20">
        <f>SUMIFS('PvA Data'!$F$2:$F$1576,'PvA Data'!$A$2:$A$1576,$A483,'PvA Data'!$E$2:$E$1576,$D483)</f>
        <v>2</v>
      </c>
      <c r="F483" s="20">
        <f>SUMIFS('PvA Data'!$G$2:$G$1576,'PvA Data'!$A$2:$A$1576,$A483,'PvA Data'!$E$2:$E$1576,$D483)</f>
        <v>4</v>
      </c>
      <c r="G483" s="36">
        <f t="shared" ref="G483:G546" si="36">IF(E483=0,"",F483/E483)</f>
        <v>2</v>
      </c>
      <c r="H483" s="20">
        <f>SUMIFS('PvA Data'!$G$2:$G$1576,'PvA Data'!$A$2:$A$1576,$A483,'PvA Data'!$E$2:$E$1576,$D483,'PvA Data'!$C$2:$C$1576,"Nahunta")</f>
        <v>4</v>
      </c>
      <c r="I483" s="20">
        <f>SUMIFS('PvA Data'!$G$2:$G$1576,'PvA Data'!$A$2:$A$1576,$A483,'PvA Data'!$E$2:$E$1576,$D483,'PvA Data'!$C$2:$C$1576,"Martin")</f>
        <v>0</v>
      </c>
      <c r="J483" s="20">
        <f>SUMIFS('PvA Data'!$G$2:$G$1576,'PvA Data'!$A$2:$A$1576,$A483,'PvA Data'!$E$2:$E$1576,$D483,'PvA Data'!$C$2:$C$1576,"Custom")</f>
        <v>0</v>
      </c>
      <c r="K483" s="36">
        <f t="shared" ref="K483:K546" si="37">IF($F483=0,"",H483/$F483)</f>
        <v>1</v>
      </c>
      <c r="L483" s="36">
        <f t="shared" ref="L483:L546" si="38">IF($F483=0,"",I483/$F483)</f>
        <v>0</v>
      </c>
      <c r="M483" s="36">
        <f t="shared" ref="M483:M546" si="39">IF($F483=0,"",J483/$F483)</f>
        <v>0</v>
      </c>
    </row>
    <row r="484" spans="1:13" ht="15" customHeight="1" x14ac:dyDescent="0.75">
      <c r="A484" s="18" t="s">
        <v>85</v>
      </c>
      <c r="B484" s="19">
        <v>46167</v>
      </c>
      <c r="C484" s="17">
        <v>666513</v>
      </c>
      <c r="D484" s="18" t="s">
        <v>21</v>
      </c>
      <c r="E484" s="20">
        <f>SUMIFS('PvA Data'!$F$2:$F$1576,'PvA Data'!$A$2:$A$1576,$A484,'PvA Data'!$E$2:$E$1576,$D484)</f>
        <v>14</v>
      </c>
      <c r="F484" s="20">
        <f>SUMIFS('PvA Data'!$G$2:$G$1576,'PvA Data'!$A$2:$A$1576,$A484,'PvA Data'!$E$2:$E$1576,$D484)</f>
        <v>0</v>
      </c>
      <c r="G484" s="36">
        <f t="shared" si="36"/>
        <v>0</v>
      </c>
      <c r="H484" s="20">
        <f>SUMIFS('PvA Data'!$G$2:$G$1576,'PvA Data'!$A$2:$A$1576,$A484,'PvA Data'!$E$2:$E$1576,$D484,'PvA Data'!$C$2:$C$1576,"Nahunta")</f>
        <v>0</v>
      </c>
      <c r="I484" s="20">
        <f>SUMIFS('PvA Data'!$G$2:$G$1576,'PvA Data'!$A$2:$A$1576,$A484,'PvA Data'!$E$2:$E$1576,$D484,'PvA Data'!$C$2:$C$1576,"Martin")</f>
        <v>0</v>
      </c>
      <c r="J484" s="20">
        <f>SUMIFS('PvA Data'!$G$2:$G$1576,'PvA Data'!$A$2:$A$1576,$A484,'PvA Data'!$E$2:$E$1576,$D484,'PvA Data'!$C$2:$C$1576,"Custom")</f>
        <v>0</v>
      </c>
      <c r="K484" s="36" t="str">
        <f t="shared" si="37"/>
        <v/>
      </c>
      <c r="L484" s="36" t="str">
        <f t="shared" si="38"/>
        <v/>
      </c>
      <c r="M484" s="36" t="str">
        <f t="shared" si="39"/>
        <v/>
      </c>
    </row>
    <row r="485" spans="1:13" ht="15" customHeight="1" x14ac:dyDescent="0.75">
      <c r="A485" s="18" t="s">
        <v>85</v>
      </c>
      <c r="B485" s="19">
        <v>46167</v>
      </c>
      <c r="C485" s="17">
        <v>666516</v>
      </c>
      <c r="D485" s="18" t="s">
        <v>23</v>
      </c>
      <c r="E485" s="20">
        <f>SUMIFS('PvA Data'!$F$2:$F$1576,'PvA Data'!$A$2:$A$1576,$A485,'PvA Data'!$E$2:$E$1576,$D485)</f>
        <v>20</v>
      </c>
      <c r="F485" s="20">
        <f>SUMIFS('PvA Data'!$G$2:$G$1576,'PvA Data'!$A$2:$A$1576,$A485,'PvA Data'!$E$2:$E$1576,$D485)</f>
        <v>0</v>
      </c>
      <c r="G485" s="36">
        <f t="shared" si="36"/>
        <v>0</v>
      </c>
      <c r="H485" s="20">
        <f>SUMIFS('PvA Data'!$G$2:$G$1576,'PvA Data'!$A$2:$A$1576,$A485,'PvA Data'!$E$2:$E$1576,$D485,'PvA Data'!$C$2:$C$1576,"Nahunta")</f>
        <v>0</v>
      </c>
      <c r="I485" s="20">
        <f>SUMIFS('PvA Data'!$G$2:$G$1576,'PvA Data'!$A$2:$A$1576,$A485,'PvA Data'!$E$2:$E$1576,$D485,'PvA Data'!$C$2:$C$1576,"Martin")</f>
        <v>0</v>
      </c>
      <c r="J485" s="20">
        <f>SUMIFS('PvA Data'!$G$2:$G$1576,'PvA Data'!$A$2:$A$1576,$A485,'PvA Data'!$E$2:$E$1576,$D485,'PvA Data'!$C$2:$C$1576,"Custom")</f>
        <v>0</v>
      </c>
      <c r="K485" s="36" t="str">
        <f t="shared" si="37"/>
        <v/>
      </c>
      <c r="L485" s="36" t="str">
        <f t="shared" si="38"/>
        <v/>
      </c>
      <c r="M485" s="36" t="str">
        <f t="shared" si="39"/>
        <v/>
      </c>
    </row>
    <row r="486" spans="1:13" ht="15" customHeight="1" x14ac:dyDescent="0.75">
      <c r="A486" s="18" t="s">
        <v>85</v>
      </c>
      <c r="B486" s="19">
        <v>46167</v>
      </c>
      <c r="C486" s="17">
        <v>666517</v>
      </c>
      <c r="D486" s="18" t="s">
        <v>25</v>
      </c>
      <c r="E486" s="20">
        <f>SUMIFS('PvA Data'!$F$2:$F$1576,'PvA Data'!$A$2:$A$1576,$A486,'PvA Data'!$E$2:$E$1576,$D486)</f>
        <v>22</v>
      </c>
      <c r="F486" s="20">
        <f>SUMIFS('PvA Data'!$G$2:$G$1576,'PvA Data'!$A$2:$A$1576,$A486,'PvA Data'!$E$2:$E$1576,$D486)</f>
        <v>0</v>
      </c>
      <c r="G486" s="36">
        <f t="shared" si="36"/>
        <v>0</v>
      </c>
      <c r="H486" s="20">
        <f>SUMIFS('PvA Data'!$G$2:$G$1576,'PvA Data'!$A$2:$A$1576,$A486,'PvA Data'!$E$2:$E$1576,$D486,'PvA Data'!$C$2:$C$1576,"Nahunta")</f>
        <v>0</v>
      </c>
      <c r="I486" s="20">
        <f>SUMIFS('PvA Data'!$G$2:$G$1576,'PvA Data'!$A$2:$A$1576,$A486,'PvA Data'!$E$2:$E$1576,$D486,'PvA Data'!$C$2:$C$1576,"Martin")</f>
        <v>0</v>
      </c>
      <c r="J486" s="20">
        <f>SUMIFS('PvA Data'!$G$2:$G$1576,'PvA Data'!$A$2:$A$1576,$A486,'PvA Data'!$E$2:$E$1576,$D486,'PvA Data'!$C$2:$C$1576,"Custom")</f>
        <v>0</v>
      </c>
      <c r="K486" s="36" t="str">
        <f t="shared" si="37"/>
        <v/>
      </c>
      <c r="L486" s="36" t="str">
        <f t="shared" si="38"/>
        <v/>
      </c>
      <c r="M486" s="36" t="str">
        <f t="shared" si="39"/>
        <v/>
      </c>
    </row>
    <row r="487" spans="1:13" ht="15" customHeight="1" x14ac:dyDescent="0.75">
      <c r="A487" s="18" t="s">
        <v>85</v>
      </c>
      <c r="B487" s="19">
        <v>46167</v>
      </c>
      <c r="C487" s="17">
        <v>666518</v>
      </c>
      <c r="D487" s="18" t="s">
        <v>27</v>
      </c>
      <c r="E487" s="20">
        <f>SUMIFS('PvA Data'!$F$2:$F$1576,'PvA Data'!$A$2:$A$1576,$A487,'PvA Data'!$E$2:$E$1576,$D487)</f>
        <v>0</v>
      </c>
      <c r="F487" s="20">
        <f>SUMIFS('PvA Data'!$G$2:$G$1576,'PvA Data'!$A$2:$A$1576,$A487,'PvA Data'!$E$2:$E$1576,$D487)</f>
        <v>0</v>
      </c>
      <c r="G487" s="36" t="str">
        <f t="shared" si="36"/>
        <v/>
      </c>
      <c r="H487" s="20">
        <f>SUMIFS('PvA Data'!$G$2:$G$1576,'PvA Data'!$A$2:$A$1576,$A487,'PvA Data'!$E$2:$E$1576,$D487,'PvA Data'!$C$2:$C$1576,"Nahunta")</f>
        <v>0</v>
      </c>
      <c r="I487" s="20">
        <f>SUMIFS('PvA Data'!$G$2:$G$1576,'PvA Data'!$A$2:$A$1576,$A487,'PvA Data'!$E$2:$E$1576,$D487,'PvA Data'!$C$2:$C$1576,"Martin")</f>
        <v>0</v>
      </c>
      <c r="J487" s="20">
        <f>SUMIFS('PvA Data'!$G$2:$G$1576,'PvA Data'!$A$2:$A$1576,$A487,'PvA Data'!$E$2:$E$1576,$D487,'PvA Data'!$C$2:$C$1576,"Custom")</f>
        <v>0</v>
      </c>
      <c r="K487" s="36" t="str">
        <f t="shared" si="37"/>
        <v/>
      </c>
      <c r="L487" s="36" t="str">
        <f t="shared" si="38"/>
        <v/>
      </c>
      <c r="M487" s="36" t="str">
        <f t="shared" si="39"/>
        <v/>
      </c>
    </row>
    <row r="488" spans="1:13" ht="15" customHeight="1" x14ac:dyDescent="0.75">
      <c r="A488" s="18" t="s">
        <v>85</v>
      </c>
      <c r="B488" s="19">
        <v>46167</v>
      </c>
      <c r="C488" s="17">
        <v>666519</v>
      </c>
      <c r="D488" s="18" t="s">
        <v>29</v>
      </c>
      <c r="E488" s="20">
        <f>SUMIFS('PvA Data'!$F$2:$F$1576,'PvA Data'!$A$2:$A$1576,$A488,'PvA Data'!$E$2:$E$1576,$D488)</f>
        <v>26</v>
      </c>
      <c r="F488" s="20">
        <f>SUMIFS('PvA Data'!$G$2:$G$1576,'PvA Data'!$A$2:$A$1576,$A488,'PvA Data'!$E$2:$E$1576,$D488)</f>
        <v>0</v>
      </c>
      <c r="G488" s="36">
        <f t="shared" si="36"/>
        <v>0</v>
      </c>
      <c r="H488" s="20">
        <f>SUMIFS('PvA Data'!$G$2:$G$1576,'PvA Data'!$A$2:$A$1576,$A488,'PvA Data'!$E$2:$E$1576,$D488,'PvA Data'!$C$2:$C$1576,"Nahunta")</f>
        <v>0</v>
      </c>
      <c r="I488" s="20">
        <f>SUMIFS('PvA Data'!$G$2:$G$1576,'PvA Data'!$A$2:$A$1576,$A488,'PvA Data'!$E$2:$E$1576,$D488,'PvA Data'!$C$2:$C$1576,"Martin")</f>
        <v>0</v>
      </c>
      <c r="J488" s="20">
        <f>SUMIFS('PvA Data'!$G$2:$G$1576,'PvA Data'!$A$2:$A$1576,$A488,'PvA Data'!$E$2:$E$1576,$D488,'PvA Data'!$C$2:$C$1576,"Custom")</f>
        <v>0</v>
      </c>
      <c r="K488" s="36" t="str">
        <f t="shared" si="37"/>
        <v/>
      </c>
      <c r="L488" s="36" t="str">
        <f t="shared" si="38"/>
        <v/>
      </c>
      <c r="M488" s="36" t="str">
        <f t="shared" si="39"/>
        <v/>
      </c>
    </row>
    <row r="489" spans="1:13" ht="15" customHeight="1" x14ac:dyDescent="0.75">
      <c r="A489" s="18" t="s">
        <v>85</v>
      </c>
      <c r="B489" s="19">
        <v>46167</v>
      </c>
      <c r="C489" s="17">
        <v>666521</v>
      </c>
      <c r="D489" s="18" t="s">
        <v>31</v>
      </c>
      <c r="E489" s="20">
        <f>SUMIFS('PvA Data'!$F$2:$F$1576,'PvA Data'!$A$2:$A$1576,$A489,'PvA Data'!$E$2:$E$1576,$D489)</f>
        <v>32</v>
      </c>
      <c r="F489" s="20">
        <f>SUMIFS('PvA Data'!$G$2:$G$1576,'PvA Data'!$A$2:$A$1576,$A489,'PvA Data'!$E$2:$E$1576,$D489)</f>
        <v>15</v>
      </c>
      <c r="G489" s="36">
        <f t="shared" si="36"/>
        <v>0.46875</v>
      </c>
      <c r="H489" s="20">
        <f>SUMIFS('PvA Data'!$G$2:$G$1576,'PvA Data'!$A$2:$A$1576,$A489,'PvA Data'!$E$2:$E$1576,$D489,'PvA Data'!$C$2:$C$1576,"Nahunta")</f>
        <v>15</v>
      </c>
      <c r="I489" s="20">
        <f>SUMIFS('PvA Data'!$G$2:$G$1576,'PvA Data'!$A$2:$A$1576,$A489,'PvA Data'!$E$2:$E$1576,$D489,'PvA Data'!$C$2:$C$1576,"Martin")</f>
        <v>0</v>
      </c>
      <c r="J489" s="20">
        <f>SUMIFS('PvA Data'!$G$2:$G$1576,'PvA Data'!$A$2:$A$1576,$A489,'PvA Data'!$E$2:$E$1576,$D489,'PvA Data'!$C$2:$C$1576,"Custom")</f>
        <v>0</v>
      </c>
      <c r="K489" s="36">
        <f t="shared" si="37"/>
        <v>1</v>
      </c>
      <c r="L489" s="36">
        <f t="shared" si="38"/>
        <v>0</v>
      </c>
      <c r="M489" s="36">
        <f t="shared" si="39"/>
        <v>0</v>
      </c>
    </row>
    <row r="490" spans="1:13" ht="15" customHeight="1" x14ac:dyDescent="0.75">
      <c r="A490" s="18" t="s">
        <v>85</v>
      </c>
      <c r="B490" s="19">
        <v>46167</v>
      </c>
      <c r="C490" s="17">
        <v>666522</v>
      </c>
      <c r="D490" s="18" t="s">
        <v>33</v>
      </c>
      <c r="E490" s="20">
        <f>SUMIFS('PvA Data'!$F$2:$F$1576,'PvA Data'!$A$2:$A$1576,$A490,'PvA Data'!$E$2:$E$1576,$D490)</f>
        <v>202.5</v>
      </c>
      <c r="F490" s="20">
        <f>SUMIFS('PvA Data'!$G$2:$G$1576,'PvA Data'!$A$2:$A$1576,$A490,'PvA Data'!$E$2:$E$1576,$D490)</f>
        <v>145</v>
      </c>
      <c r="G490" s="36">
        <f t="shared" si="36"/>
        <v>0.71604938271604934</v>
      </c>
      <c r="H490" s="20">
        <f>SUMIFS('PvA Data'!$G$2:$G$1576,'PvA Data'!$A$2:$A$1576,$A490,'PvA Data'!$E$2:$E$1576,$D490,'PvA Data'!$C$2:$C$1576,"Nahunta")</f>
        <v>75</v>
      </c>
      <c r="I490" s="20">
        <f>SUMIFS('PvA Data'!$G$2:$G$1576,'PvA Data'!$A$2:$A$1576,$A490,'PvA Data'!$E$2:$E$1576,$D490,'PvA Data'!$C$2:$C$1576,"Martin")</f>
        <v>50</v>
      </c>
      <c r="J490" s="20">
        <f>SUMIFS('PvA Data'!$G$2:$G$1576,'PvA Data'!$A$2:$A$1576,$A490,'PvA Data'!$E$2:$E$1576,$D490,'PvA Data'!$C$2:$C$1576,"Custom")</f>
        <v>20</v>
      </c>
      <c r="K490" s="36">
        <f t="shared" si="37"/>
        <v>0.51724137931034486</v>
      </c>
      <c r="L490" s="36">
        <f t="shared" si="38"/>
        <v>0.34482758620689657</v>
      </c>
      <c r="M490" s="36">
        <f t="shared" si="39"/>
        <v>0.13793103448275862</v>
      </c>
    </row>
    <row r="491" spans="1:13" ht="15" customHeight="1" x14ac:dyDescent="0.75">
      <c r="A491" s="18" t="s">
        <v>85</v>
      </c>
      <c r="B491" s="19">
        <v>46167</v>
      </c>
      <c r="C491" s="17">
        <v>666523</v>
      </c>
      <c r="D491" s="18" t="s">
        <v>35</v>
      </c>
      <c r="E491" s="20">
        <f>SUMIFS('PvA Data'!$F$2:$F$1576,'PvA Data'!$A$2:$A$1576,$A491,'PvA Data'!$E$2:$E$1576,$D491)</f>
        <v>16</v>
      </c>
      <c r="F491" s="20">
        <f>SUMIFS('PvA Data'!$G$2:$G$1576,'PvA Data'!$A$2:$A$1576,$A491,'PvA Data'!$E$2:$E$1576,$D491)</f>
        <v>0</v>
      </c>
      <c r="G491" s="36">
        <f t="shared" si="36"/>
        <v>0</v>
      </c>
      <c r="H491" s="20">
        <f>SUMIFS('PvA Data'!$G$2:$G$1576,'PvA Data'!$A$2:$A$1576,$A491,'PvA Data'!$E$2:$E$1576,$D491,'PvA Data'!$C$2:$C$1576,"Nahunta")</f>
        <v>0</v>
      </c>
      <c r="I491" s="20">
        <f>SUMIFS('PvA Data'!$G$2:$G$1576,'PvA Data'!$A$2:$A$1576,$A491,'PvA Data'!$E$2:$E$1576,$D491,'PvA Data'!$C$2:$C$1576,"Martin")</f>
        <v>0</v>
      </c>
      <c r="J491" s="20">
        <f>SUMIFS('PvA Data'!$G$2:$G$1576,'PvA Data'!$A$2:$A$1576,$A491,'PvA Data'!$E$2:$E$1576,$D491,'PvA Data'!$C$2:$C$1576,"Custom")</f>
        <v>0</v>
      </c>
      <c r="K491" s="36" t="str">
        <f t="shared" si="37"/>
        <v/>
      </c>
      <c r="L491" s="36" t="str">
        <f t="shared" si="38"/>
        <v/>
      </c>
      <c r="M491" s="36" t="str">
        <f t="shared" si="39"/>
        <v/>
      </c>
    </row>
    <row r="492" spans="1:13" ht="15" customHeight="1" x14ac:dyDescent="0.75">
      <c r="A492" s="18" t="s">
        <v>85</v>
      </c>
      <c r="B492" s="19">
        <v>46167</v>
      </c>
      <c r="C492" s="17">
        <v>666530</v>
      </c>
      <c r="D492" s="18" t="s">
        <v>37</v>
      </c>
      <c r="E492" s="20">
        <f>SUMIFS('PvA Data'!$F$2:$F$1576,'PvA Data'!$A$2:$A$1576,$A492,'PvA Data'!$E$2:$E$1576,$D492)</f>
        <v>12</v>
      </c>
      <c r="F492" s="20">
        <f>SUMIFS('PvA Data'!$G$2:$G$1576,'PvA Data'!$A$2:$A$1576,$A492,'PvA Data'!$E$2:$E$1576,$D492)</f>
        <v>0</v>
      </c>
      <c r="G492" s="36">
        <f t="shared" si="36"/>
        <v>0</v>
      </c>
      <c r="H492" s="20">
        <f>SUMIFS('PvA Data'!$G$2:$G$1576,'PvA Data'!$A$2:$A$1576,$A492,'PvA Data'!$E$2:$E$1576,$D492,'PvA Data'!$C$2:$C$1576,"Nahunta")</f>
        <v>0</v>
      </c>
      <c r="I492" s="20">
        <f>SUMIFS('PvA Data'!$G$2:$G$1576,'PvA Data'!$A$2:$A$1576,$A492,'PvA Data'!$E$2:$E$1576,$D492,'PvA Data'!$C$2:$C$1576,"Martin")</f>
        <v>0</v>
      </c>
      <c r="J492" s="20">
        <f>SUMIFS('PvA Data'!$G$2:$G$1576,'PvA Data'!$A$2:$A$1576,$A492,'PvA Data'!$E$2:$E$1576,$D492,'PvA Data'!$C$2:$C$1576,"Custom")</f>
        <v>0</v>
      </c>
      <c r="K492" s="36" t="str">
        <f t="shared" si="37"/>
        <v/>
      </c>
      <c r="L492" s="36" t="str">
        <f t="shared" si="38"/>
        <v/>
      </c>
      <c r="M492" s="36" t="str">
        <f t="shared" si="39"/>
        <v/>
      </c>
    </row>
    <row r="493" spans="1:13" ht="15" customHeight="1" x14ac:dyDescent="0.75">
      <c r="A493" s="18" t="s">
        <v>85</v>
      </c>
      <c r="B493" s="19">
        <v>46167</v>
      </c>
      <c r="C493" s="17">
        <v>666531</v>
      </c>
      <c r="D493" s="18" t="s">
        <v>39</v>
      </c>
      <c r="E493" s="20">
        <f>SUMIFS('PvA Data'!$F$2:$F$1576,'PvA Data'!$A$2:$A$1576,$A493,'PvA Data'!$E$2:$E$1576,$D493)</f>
        <v>14</v>
      </c>
      <c r="F493" s="20">
        <f>SUMIFS('PvA Data'!$G$2:$G$1576,'PvA Data'!$A$2:$A$1576,$A493,'PvA Data'!$E$2:$E$1576,$D493)</f>
        <v>13</v>
      </c>
      <c r="G493" s="36">
        <f t="shared" si="36"/>
        <v>0.9285714285714286</v>
      </c>
      <c r="H493" s="20">
        <f>SUMIFS('PvA Data'!$G$2:$G$1576,'PvA Data'!$A$2:$A$1576,$A493,'PvA Data'!$E$2:$E$1576,$D493,'PvA Data'!$C$2:$C$1576,"Nahunta")</f>
        <v>7</v>
      </c>
      <c r="I493" s="20">
        <f>SUMIFS('PvA Data'!$G$2:$G$1576,'PvA Data'!$A$2:$A$1576,$A493,'PvA Data'!$E$2:$E$1576,$D493,'PvA Data'!$C$2:$C$1576,"Martin")</f>
        <v>0</v>
      </c>
      <c r="J493" s="20">
        <f>SUMIFS('PvA Data'!$G$2:$G$1576,'PvA Data'!$A$2:$A$1576,$A493,'PvA Data'!$E$2:$E$1576,$D493,'PvA Data'!$C$2:$C$1576,"Custom")</f>
        <v>6</v>
      </c>
      <c r="K493" s="36">
        <f t="shared" si="37"/>
        <v>0.53846153846153844</v>
      </c>
      <c r="L493" s="36">
        <f t="shared" si="38"/>
        <v>0</v>
      </c>
      <c r="M493" s="36">
        <f t="shared" si="39"/>
        <v>0.46153846153846156</v>
      </c>
    </row>
    <row r="494" spans="1:13" ht="15" customHeight="1" x14ac:dyDescent="0.75">
      <c r="A494" s="18" t="s">
        <v>85</v>
      </c>
      <c r="B494" s="19">
        <v>46167</v>
      </c>
      <c r="C494" s="17">
        <v>666540</v>
      </c>
      <c r="D494" s="18" t="s">
        <v>40</v>
      </c>
      <c r="E494" s="20">
        <f>SUMIFS('PvA Data'!$F$2:$F$1576,'PvA Data'!$A$2:$A$1576,$A494,'PvA Data'!$E$2:$E$1576,$D494)</f>
        <v>20</v>
      </c>
      <c r="F494" s="20">
        <f>SUMIFS('PvA Data'!$G$2:$G$1576,'PvA Data'!$A$2:$A$1576,$A494,'PvA Data'!$E$2:$E$1576,$D494)</f>
        <v>0</v>
      </c>
      <c r="G494" s="36">
        <f t="shared" si="36"/>
        <v>0</v>
      </c>
      <c r="H494" s="20">
        <f>SUMIFS('PvA Data'!$G$2:$G$1576,'PvA Data'!$A$2:$A$1576,$A494,'PvA Data'!$E$2:$E$1576,$D494,'PvA Data'!$C$2:$C$1576,"Nahunta")</f>
        <v>0</v>
      </c>
      <c r="I494" s="20">
        <f>SUMIFS('PvA Data'!$G$2:$G$1576,'PvA Data'!$A$2:$A$1576,$A494,'PvA Data'!$E$2:$E$1576,$D494,'PvA Data'!$C$2:$C$1576,"Martin")</f>
        <v>0</v>
      </c>
      <c r="J494" s="20">
        <f>SUMIFS('PvA Data'!$G$2:$G$1576,'PvA Data'!$A$2:$A$1576,$A494,'PvA Data'!$E$2:$E$1576,$D494,'PvA Data'!$C$2:$C$1576,"Custom")</f>
        <v>0</v>
      </c>
      <c r="K494" s="36" t="str">
        <f t="shared" si="37"/>
        <v/>
      </c>
      <c r="L494" s="36" t="str">
        <f t="shared" si="38"/>
        <v/>
      </c>
      <c r="M494" s="36" t="str">
        <f t="shared" si="39"/>
        <v/>
      </c>
    </row>
    <row r="495" spans="1:13" ht="15" customHeight="1" x14ac:dyDescent="0.75">
      <c r="A495" s="18" t="s">
        <v>85</v>
      </c>
      <c r="B495" s="19">
        <v>46167</v>
      </c>
      <c r="C495" s="17">
        <v>666541</v>
      </c>
      <c r="D495" s="18" t="s">
        <v>41</v>
      </c>
      <c r="E495" s="20">
        <f>SUMIFS('PvA Data'!$F$2:$F$1576,'PvA Data'!$A$2:$A$1576,$A495,'PvA Data'!$E$2:$E$1576,$D495)</f>
        <v>340</v>
      </c>
      <c r="F495" s="20">
        <f>SUMIFS('PvA Data'!$G$2:$G$1576,'PvA Data'!$A$2:$A$1576,$A495,'PvA Data'!$E$2:$E$1576,$D495)</f>
        <v>191</v>
      </c>
      <c r="G495" s="36">
        <f t="shared" si="36"/>
        <v>0.56176470588235294</v>
      </c>
      <c r="H495" s="20">
        <f>SUMIFS('PvA Data'!$G$2:$G$1576,'PvA Data'!$A$2:$A$1576,$A495,'PvA Data'!$E$2:$E$1576,$D495,'PvA Data'!$C$2:$C$1576,"Nahunta")</f>
        <v>0</v>
      </c>
      <c r="I495" s="20">
        <f>SUMIFS('PvA Data'!$G$2:$G$1576,'PvA Data'!$A$2:$A$1576,$A495,'PvA Data'!$E$2:$E$1576,$D495,'PvA Data'!$C$2:$C$1576,"Martin")</f>
        <v>191</v>
      </c>
      <c r="J495" s="20">
        <f>SUMIFS('PvA Data'!$G$2:$G$1576,'PvA Data'!$A$2:$A$1576,$A495,'PvA Data'!$E$2:$E$1576,$D495,'PvA Data'!$C$2:$C$1576,"Custom")</f>
        <v>0</v>
      </c>
      <c r="K495" s="36">
        <f t="shared" si="37"/>
        <v>0</v>
      </c>
      <c r="L495" s="36">
        <f t="shared" si="38"/>
        <v>1</v>
      </c>
      <c r="M495" s="36">
        <f t="shared" si="39"/>
        <v>0</v>
      </c>
    </row>
    <row r="496" spans="1:13" ht="15" customHeight="1" x14ac:dyDescent="0.75">
      <c r="A496" s="18" t="s">
        <v>85</v>
      </c>
      <c r="B496" s="19">
        <v>46167</v>
      </c>
      <c r="C496" s="17">
        <v>666536</v>
      </c>
      <c r="D496" s="18" t="s">
        <v>43</v>
      </c>
      <c r="E496" s="20">
        <f>SUMIFS('PvA Data'!$F$2:$F$1576,'PvA Data'!$A$2:$A$1576,$A496,'PvA Data'!$E$2:$E$1576,$D496)</f>
        <v>20</v>
      </c>
      <c r="F496" s="20">
        <f>SUMIFS('PvA Data'!$G$2:$G$1576,'PvA Data'!$A$2:$A$1576,$A496,'PvA Data'!$E$2:$E$1576,$D496)</f>
        <v>7</v>
      </c>
      <c r="G496" s="36">
        <f t="shared" si="36"/>
        <v>0.35</v>
      </c>
      <c r="H496" s="20">
        <f>SUMIFS('PvA Data'!$G$2:$G$1576,'PvA Data'!$A$2:$A$1576,$A496,'PvA Data'!$E$2:$E$1576,$D496,'PvA Data'!$C$2:$C$1576,"Nahunta")</f>
        <v>7</v>
      </c>
      <c r="I496" s="20">
        <f>SUMIFS('PvA Data'!$G$2:$G$1576,'PvA Data'!$A$2:$A$1576,$A496,'PvA Data'!$E$2:$E$1576,$D496,'PvA Data'!$C$2:$C$1576,"Martin")</f>
        <v>0</v>
      </c>
      <c r="J496" s="20">
        <f>SUMIFS('PvA Data'!$G$2:$G$1576,'PvA Data'!$A$2:$A$1576,$A496,'PvA Data'!$E$2:$E$1576,$D496,'PvA Data'!$C$2:$C$1576,"Custom")</f>
        <v>0</v>
      </c>
      <c r="K496" s="36">
        <f t="shared" si="37"/>
        <v>1</v>
      </c>
      <c r="L496" s="36">
        <f t="shared" si="38"/>
        <v>0</v>
      </c>
      <c r="M496" s="36">
        <f t="shared" si="39"/>
        <v>0</v>
      </c>
    </row>
    <row r="497" spans="1:13" ht="15" customHeight="1" x14ac:dyDescent="0.75">
      <c r="A497" s="18" t="s">
        <v>86</v>
      </c>
      <c r="B497" s="19">
        <v>46174</v>
      </c>
      <c r="C497" s="17">
        <v>666501</v>
      </c>
      <c r="D497" s="18" t="s">
        <v>5</v>
      </c>
      <c r="E497" s="20">
        <f>SUMIFS('PvA Data'!$F$2:$F$1576,'PvA Data'!$A$2:$A$1576,$A497,'PvA Data'!$E$2:$E$1576,$D497)</f>
        <v>237</v>
      </c>
      <c r="F497" s="20">
        <f>SUMIFS('PvA Data'!$G$2:$G$1576,'PvA Data'!$A$2:$A$1576,$A497,'PvA Data'!$E$2:$E$1576,$D497)</f>
        <v>345</v>
      </c>
      <c r="G497" s="36">
        <f t="shared" si="36"/>
        <v>1.4556962025316456</v>
      </c>
      <c r="H497" s="20">
        <f>SUMIFS('PvA Data'!$G$2:$G$1576,'PvA Data'!$A$2:$A$1576,$A497,'PvA Data'!$E$2:$E$1576,$D497,'PvA Data'!$C$2:$C$1576,"Nahunta")</f>
        <v>42</v>
      </c>
      <c r="I497" s="20">
        <f>SUMIFS('PvA Data'!$G$2:$G$1576,'PvA Data'!$A$2:$A$1576,$A497,'PvA Data'!$E$2:$E$1576,$D497,'PvA Data'!$C$2:$C$1576,"Martin")</f>
        <v>264</v>
      </c>
      <c r="J497" s="20">
        <f>SUMIFS('PvA Data'!$G$2:$G$1576,'PvA Data'!$A$2:$A$1576,$A497,'PvA Data'!$E$2:$E$1576,$D497,'PvA Data'!$C$2:$C$1576,"Custom")</f>
        <v>39</v>
      </c>
      <c r="K497" s="36">
        <f t="shared" si="37"/>
        <v>0.12173913043478261</v>
      </c>
      <c r="L497" s="36">
        <f t="shared" si="38"/>
        <v>0.76521739130434785</v>
      </c>
      <c r="M497" s="36">
        <f t="shared" si="39"/>
        <v>0.11304347826086956</v>
      </c>
    </row>
    <row r="498" spans="1:13" ht="15" customHeight="1" x14ac:dyDescent="0.75">
      <c r="A498" s="18" t="s">
        <v>86</v>
      </c>
      <c r="B498" s="19">
        <v>46174</v>
      </c>
      <c r="C498" s="17">
        <v>666502</v>
      </c>
      <c r="D498" s="18" t="s">
        <v>7</v>
      </c>
      <c r="E498" s="20">
        <f>SUMIFS('PvA Data'!$F$2:$F$1576,'PvA Data'!$A$2:$A$1576,$A498,'PvA Data'!$E$2:$E$1576,$D498)</f>
        <v>156</v>
      </c>
      <c r="F498" s="20">
        <f>SUMIFS('PvA Data'!$G$2:$G$1576,'PvA Data'!$A$2:$A$1576,$A498,'PvA Data'!$E$2:$E$1576,$D498)</f>
        <v>169</v>
      </c>
      <c r="G498" s="36">
        <f t="shared" si="36"/>
        <v>1.0833333333333333</v>
      </c>
      <c r="H498" s="20">
        <f>SUMIFS('PvA Data'!$G$2:$G$1576,'PvA Data'!$A$2:$A$1576,$A498,'PvA Data'!$E$2:$E$1576,$D498,'PvA Data'!$C$2:$C$1576,"Nahunta")</f>
        <v>0</v>
      </c>
      <c r="I498" s="20">
        <f>SUMIFS('PvA Data'!$G$2:$G$1576,'PvA Data'!$A$2:$A$1576,$A498,'PvA Data'!$E$2:$E$1576,$D498,'PvA Data'!$C$2:$C$1576,"Martin")</f>
        <v>138</v>
      </c>
      <c r="J498" s="20">
        <f>SUMIFS('PvA Data'!$G$2:$G$1576,'PvA Data'!$A$2:$A$1576,$A498,'PvA Data'!$E$2:$E$1576,$D498,'PvA Data'!$C$2:$C$1576,"Custom")</f>
        <v>31</v>
      </c>
      <c r="K498" s="36">
        <f t="shared" si="37"/>
        <v>0</v>
      </c>
      <c r="L498" s="36">
        <f t="shared" si="38"/>
        <v>0.81656804733727806</v>
      </c>
      <c r="M498" s="36">
        <f t="shared" si="39"/>
        <v>0.18343195266272189</v>
      </c>
    </row>
    <row r="499" spans="1:13" ht="15" customHeight="1" x14ac:dyDescent="0.75">
      <c r="A499" s="18" t="s">
        <v>86</v>
      </c>
      <c r="B499" s="19">
        <v>46174</v>
      </c>
      <c r="C499" s="17">
        <v>666505</v>
      </c>
      <c r="D499" s="18" t="s">
        <v>9</v>
      </c>
      <c r="E499" s="20">
        <f>SUMIFS('PvA Data'!$F$2:$F$1576,'PvA Data'!$A$2:$A$1576,$A499,'PvA Data'!$E$2:$E$1576,$D499)</f>
        <v>20</v>
      </c>
      <c r="F499" s="20">
        <f>SUMIFS('PvA Data'!$G$2:$G$1576,'PvA Data'!$A$2:$A$1576,$A499,'PvA Data'!$E$2:$E$1576,$D499)</f>
        <v>40</v>
      </c>
      <c r="G499" s="36">
        <f t="shared" si="36"/>
        <v>2</v>
      </c>
      <c r="H499" s="20">
        <f>SUMIFS('PvA Data'!$G$2:$G$1576,'PvA Data'!$A$2:$A$1576,$A499,'PvA Data'!$E$2:$E$1576,$D499,'PvA Data'!$C$2:$C$1576,"Nahunta")</f>
        <v>13</v>
      </c>
      <c r="I499" s="20">
        <f>SUMIFS('PvA Data'!$G$2:$G$1576,'PvA Data'!$A$2:$A$1576,$A499,'PvA Data'!$E$2:$E$1576,$D499,'PvA Data'!$C$2:$C$1576,"Martin")</f>
        <v>0</v>
      </c>
      <c r="J499" s="20">
        <f>SUMIFS('PvA Data'!$G$2:$G$1576,'PvA Data'!$A$2:$A$1576,$A499,'PvA Data'!$E$2:$E$1576,$D499,'PvA Data'!$C$2:$C$1576,"Custom")</f>
        <v>27</v>
      </c>
      <c r="K499" s="36">
        <f t="shared" si="37"/>
        <v>0.32500000000000001</v>
      </c>
      <c r="L499" s="36">
        <f t="shared" si="38"/>
        <v>0</v>
      </c>
      <c r="M499" s="36">
        <f t="shared" si="39"/>
        <v>0.67500000000000004</v>
      </c>
    </row>
    <row r="500" spans="1:13" ht="15" customHeight="1" x14ac:dyDescent="0.75">
      <c r="A500" s="18" t="s">
        <v>86</v>
      </c>
      <c r="B500" s="19">
        <v>46174</v>
      </c>
      <c r="C500" s="17">
        <v>666506</v>
      </c>
      <c r="D500" s="18" t="s">
        <v>11</v>
      </c>
      <c r="E500" s="20">
        <f>SUMIFS('PvA Data'!$F$2:$F$1576,'PvA Data'!$A$2:$A$1576,$A500,'PvA Data'!$E$2:$E$1576,$D500)</f>
        <v>72</v>
      </c>
      <c r="F500" s="20">
        <f>SUMIFS('PvA Data'!$G$2:$G$1576,'PvA Data'!$A$2:$A$1576,$A500,'PvA Data'!$E$2:$E$1576,$D500)</f>
        <v>127</v>
      </c>
      <c r="G500" s="36">
        <f t="shared" si="36"/>
        <v>1.7638888888888888</v>
      </c>
      <c r="H500" s="20">
        <f>SUMIFS('PvA Data'!$G$2:$G$1576,'PvA Data'!$A$2:$A$1576,$A500,'PvA Data'!$E$2:$E$1576,$D500,'PvA Data'!$C$2:$C$1576,"Nahunta")</f>
        <v>0</v>
      </c>
      <c r="I500" s="20">
        <f>SUMIFS('PvA Data'!$G$2:$G$1576,'PvA Data'!$A$2:$A$1576,$A500,'PvA Data'!$E$2:$E$1576,$D500,'PvA Data'!$C$2:$C$1576,"Martin")</f>
        <v>127</v>
      </c>
      <c r="J500" s="20">
        <f>SUMIFS('PvA Data'!$G$2:$G$1576,'PvA Data'!$A$2:$A$1576,$A500,'PvA Data'!$E$2:$E$1576,$D500,'PvA Data'!$C$2:$C$1576,"Custom")</f>
        <v>0</v>
      </c>
      <c r="K500" s="36">
        <f t="shared" si="37"/>
        <v>0</v>
      </c>
      <c r="L500" s="36">
        <f t="shared" si="38"/>
        <v>1</v>
      </c>
      <c r="M500" s="36">
        <f t="shared" si="39"/>
        <v>0</v>
      </c>
    </row>
    <row r="501" spans="1:13" ht="15" customHeight="1" x14ac:dyDescent="0.75">
      <c r="A501" s="18" t="s">
        <v>86</v>
      </c>
      <c r="B501" s="19">
        <v>46174</v>
      </c>
      <c r="C501" s="17">
        <v>666507</v>
      </c>
      <c r="D501" s="18" t="s">
        <v>13</v>
      </c>
      <c r="E501" s="20">
        <f>SUMIFS('PvA Data'!$F$2:$F$1576,'PvA Data'!$A$2:$A$1576,$A501,'PvA Data'!$E$2:$E$1576,$D501)</f>
        <v>4</v>
      </c>
      <c r="F501" s="20">
        <f>SUMIFS('PvA Data'!$G$2:$G$1576,'PvA Data'!$A$2:$A$1576,$A501,'PvA Data'!$E$2:$E$1576,$D501)</f>
        <v>8</v>
      </c>
      <c r="G501" s="36">
        <f t="shared" si="36"/>
        <v>2</v>
      </c>
      <c r="H501" s="20">
        <f>SUMIFS('PvA Data'!$G$2:$G$1576,'PvA Data'!$A$2:$A$1576,$A501,'PvA Data'!$E$2:$E$1576,$D501,'PvA Data'!$C$2:$C$1576,"Nahunta")</f>
        <v>8</v>
      </c>
      <c r="I501" s="20">
        <f>SUMIFS('PvA Data'!$G$2:$G$1576,'PvA Data'!$A$2:$A$1576,$A501,'PvA Data'!$E$2:$E$1576,$D501,'PvA Data'!$C$2:$C$1576,"Martin")</f>
        <v>0</v>
      </c>
      <c r="J501" s="20">
        <f>SUMIFS('PvA Data'!$G$2:$G$1576,'PvA Data'!$A$2:$A$1576,$A501,'PvA Data'!$E$2:$E$1576,$D501,'PvA Data'!$C$2:$C$1576,"Custom")</f>
        <v>0</v>
      </c>
      <c r="K501" s="36">
        <f t="shared" si="37"/>
        <v>1</v>
      </c>
      <c r="L501" s="36">
        <f t="shared" si="38"/>
        <v>0</v>
      </c>
      <c r="M501" s="36">
        <f t="shared" si="39"/>
        <v>0</v>
      </c>
    </row>
    <row r="502" spans="1:13" ht="15" customHeight="1" x14ac:dyDescent="0.75">
      <c r="A502" s="18" t="s">
        <v>86</v>
      </c>
      <c r="B502" s="19">
        <v>46174</v>
      </c>
      <c r="C502" s="17">
        <v>666509</v>
      </c>
      <c r="D502" s="18" t="s">
        <v>15</v>
      </c>
      <c r="E502" s="20">
        <f>SUMIFS('PvA Data'!$F$2:$F$1576,'PvA Data'!$A$2:$A$1576,$A502,'PvA Data'!$E$2:$E$1576,$D502)</f>
        <v>25</v>
      </c>
      <c r="F502" s="20">
        <f>SUMIFS('PvA Data'!$G$2:$G$1576,'PvA Data'!$A$2:$A$1576,$A502,'PvA Data'!$E$2:$E$1576,$D502)</f>
        <v>35</v>
      </c>
      <c r="G502" s="36">
        <f t="shared" si="36"/>
        <v>1.4</v>
      </c>
      <c r="H502" s="20">
        <f>SUMIFS('PvA Data'!$G$2:$G$1576,'PvA Data'!$A$2:$A$1576,$A502,'PvA Data'!$E$2:$E$1576,$D502,'PvA Data'!$C$2:$C$1576,"Nahunta")</f>
        <v>35</v>
      </c>
      <c r="I502" s="20">
        <f>SUMIFS('PvA Data'!$G$2:$G$1576,'PvA Data'!$A$2:$A$1576,$A502,'PvA Data'!$E$2:$E$1576,$D502,'PvA Data'!$C$2:$C$1576,"Martin")</f>
        <v>0</v>
      </c>
      <c r="J502" s="20">
        <f>SUMIFS('PvA Data'!$G$2:$G$1576,'PvA Data'!$A$2:$A$1576,$A502,'PvA Data'!$E$2:$E$1576,$D502,'PvA Data'!$C$2:$C$1576,"Custom")</f>
        <v>0</v>
      </c>
      <c r="K502" s="36">
        <f t="shared" si="37"/>
        <v>1</v>
      </c>
      <c r="L502" s="36">
        <f t="shared" si="38"/>
        <v>0</v>
      </c>
      <c r="M502" s="36">
        <f t="shared" si="39"/>
        <v>0</v>
      </c>
    </row>
    <row r="503" spans="1:13" ht="15" customHeight="1" x14ac:dyDescent="0.75">
      <c r="A503" s="18" t="s">
        <v>86</v>
      </c>
      <c r="B503" s="19">
        <v>46174</v>
      </c>
      <c r="C503" s="17">
        <v>666510</v>
      </c>
      <c r="D503" s="18" t="s">
        <v>17</v>
      </c>
      <c r="E503" s="20">
        <f>SUMIFS('PvA Data'!$F$2:$F$1576,'PvA Data'!$A$2:$A$1576,$A503,'PvA Data'!$E$2:$E$1576,$D503)</f>
        <v>0</v>
      </c>
      <c r="F503" s="20">
        <f>SUMIFS('PvA Data'!$G$2:$G$1576,'PvA Data'!$A$2:$A$1576,$A503,'PvA Data'!$E$2:$E$1576,$D503)</f>
        <v>0</v>
      </c>
      <c r="G503" s="36" t="str">
        <f t="shared" si="36"/>
        <v/>
      </c>
      <c r="H503" s="20">
        <f>SUMIFS('PvA Data'!$G$2:$G$1576,'PvA Data'!$A$2:$A$1576,$A503,'PvA Data'!$E$2:$E$1576,$D503,'PvA Data'!$C$2:$C$1576,"Nahunta")</f>
        <v>0</v>
      </c>
      <c r="I503" s="20">
        <f>SUMIFS('PvA Data'!$G$2:$G$1576,'PvA Data'!$A$2:$A$1576,$A503,'PvA Data'!$E$2:$E$1576,$D503,'PvA Data'!$C$2:$C$1576,"Martin")</f>
        <v>0</v>
      </c>
      <c r="J503" s="20">
        <f>SUMIFS('PvA Data'!$G$2:$G$1576,'PvA Data'!$A$2:$A$1576,$A503,'PvA Data'!$E$2:$E$1576,$D503,'PvA Data'!$C$2:$C$1576,"Custom")</f>
        <v>0</v>
      </c>
      <c r="K503" s="36" t="str">
        <f t="shared" si="37"/>
        <v/>
      </c>
      <c r="L503" s="36" t="str">
        <f t="shared" si="38"/>
        <v/>
      </c>
      <c r="M503" s="36" t="str">
        <f t="shared" si="39"/>
        <v/>
      </c>
    </row>
    <row r="504" spans="1:13" ht="15" customHeight="1" x14ac:dyDescent="0.75">
      <c r="A504" s="18" t="s">
        <v>86</v>
      </c>
      <c r="B504" s="19">
        <v>46174</v>
      </c>
      <c r="C504" s="17">
        <v>666511</v>
      </c>
      <c r="D504" s="18" t="s">
        <v>19</v>
      </c>
      <c r="E504" s="20">
        <f>SUMIFS('PvA Data'!$F$2:$F$1576,'PvA Data'!$A$2:$A$1576,$A504,'PvA Data'!$E$2:$E$1576,$D504)</f>
        <v>2</v>
      </c>
      <c r="F504" s="20">
        <f>SUMIFS('PvA Data'!$G$2:$G$1576,'PvA Data'!$A$2:$A$1576,$A504,'PvA Data'!$E$2:$E$1576,$D504)</f>
        <v>0</v>
      </c>
      <c r="G504" s="36">
        <f t="shared" si="36"/>
        <v>0</v>
      </c>
      <c r="H504" s="20">
        <f>SUMIFS('PvA Data'!$G$2:$G$1576,'PvA Data'!$A$2:$A$1576,$A504,'PvA Data'!$E$2:$E$1576,$D504,'PvA Data'!$C$2:$C$1576,"Nahunta")</f>
        <v>0</v>
      </c>
      <c r="I504" s="20">
        <f>SUMIFS('PvA Data'!$G$2:$G$1576,'PvA Data'!$A$2:$A$1576,$A504,'PvA Data'!$E$2:$E$1576,$D504,'PvA Data'!$C$2:$C$1576,"Martin")</f>
        <v>0</v>
      </c>
      <c r="J504" s="20">
        <f>SUMIFS('PvA Data'!$G$2:$G$1576,'PvA Data'!$A$2:$A$1576,$A504,'PvA Data'!$E$2:$E$1576,$D504,'PvA Data'!$C$2:$C$1576,"Custom")</f>
        <v>0</v>
      </c>
      <c r="K504" s="36" t="str">
        <f t="shared" si="37"/>
        <v/>
      </c>
      <c r="L504" s="36" t="str">
        <f t="shared" si="38"/>
        <v/>
      </c>
      <c r="M504" s="36" t="str">
        <f t="shared" si="39"/>
        <v/>
      </c>
    </row>
    <row r="505" spans="1:13" ht="15" customHeight="1" x14ac:dyDescent="0.75">
      <c r="A505" s="18" t="s">
        <v>86</v>
      </c>
      <c r="B505" s="19">
        <v>46174</v>
      </c>
      <c r="C505" s="17">
        <v>666513</v>
      </c>
      <c r="D505" s="18" t="s">
        <v>21</v>
      </c>
      <c r="E505" s="20">
        <f>SUMIFS('PvA Data'!$F$2:$F$1576,'PvA Data'!$A$2:$A$1576,$A505,'PvA Data'!$E$2:$E$1576,$D505)</f>
        <v>24</v>
      </c>
      <c r="F505" s="20">
        <f>SUMIFS('PvA Data'!$G$2:$G$1576,'PvA Data'!$A$2:$A$1576,$A505,'PvA Data'!$E$2:$E$1576,$D505)</f>
        <v>48</v>
      </c>
      <c r="G505" s="36">
        <f t="shared" si="36"/>
        <v>2</v>
      </c>
      <c r="H505" s="20">
        <f>SUMIFS('PvA Data'!$G$2:$G$1576,'PvA Data'!$A$2:$A$1576,$A505,'PvA Data'!$E$2:$E$1576,$D505,'PvA Data'!$C$2:$C$1576,"Nahunta")</f>
        <v>14</v>
      </c>
      <c r="I505" s="20">
        <f>SUMIFS('PvA Data'!$G$2:$G$1576,'PvA Data'!$A$2:$A$1576,$A505,'PvA Data'!$E$2:$E$1576,$D505,'PvA Data'!$C$2:$C$1576,"Martin")</f>
        <v>0</v>
      </c>
      <c r="J505" s="20">
        <f>SUMIFS('PvA Data'!$G$2:$G$1576,'PvA Data'!$A$2:$A$1576,$A505,'PvA Data'!$E$2:$E$1576,$D505,'PvA Data'!$C$2:$C$1576,"Custom")</f>
        <v>34</v>
      </c>
      <c r="K505" s="36">
        <f t="shared" si="37"/>
        <v>0.29166666666666669</v>
      </c>
      <c r="L505" s="36">
        <f t="shared" si="38"/>
        <v>0</v>
      </c>
      <c r="M505" s="36">
        <f t="shared" si="39"/>
        <v>0.70833333333333337</v>
      </c>
    </row>
    <row r="506" spans="1:13" ht="15" customHeight="1" x14ac:dyDescent="0.75">
      <c r="A506" s="18" t="s">
        <v>86</v>
      </c>
      <c r="B506" s="19">
        <v>46174</v>
      </c>
      <c r="C506" s="17">
        <v>666516</v>
      </c>
      <c r="D506" s="18" t="s">
        <v>23</v>
      </c>
      <c r="E506" s="20">
        <f>SUMIFS('PvA Data'!$F$2:$F$1576,'PvA Data'!$A$2:$A$1576,$A506,'PvA Data'!$E$2:$E$1576,$D506)</f>
        <v>16</v>
      </c>
      <c r="F506" s="20">
        <f>SUMIFS('PvA Data'!$G$2:$G$1576,'PvA Data'!$A$2:$A$1576,$A506,'PvA Data'!$E$2:$E$1576,$D506)</f>
        <v>32</v>
      </c>
      <c r="G506" s="36">
        <f t="shared" si="36"/>
        <v>2</v>
      </c>
      <c r="H506" s="20">
        <f>SUMIFS('PvA Data'!$G$2:$G$1576,'PvA Data'!$A$2:$A$1576,$A506,'PvA Data'!$E$2:$E$1576,$D506,'PvA Data'!$C$2:$C$1576,"Nahunta")</f>
        <v>16</v>
      </c>
      <c r="I506" s="20">
        <f>SUMIFS('PvA Data'!$G$2:$G$1576,'PvA Data'!$A$2:$A$1576,$A506,'PvA Data'!$E$2:$E$1576,$D506,'PvA Data'!$C$2:$C$1576,"Martin")</f>
        <v>0</v>
      </c>
      <c r="J506" s="20">
        <f>SUMIFS('PvA Data'!$G$2:$G$1576,'PvA Data'!$A$2:$A$1576,$A506,'PvA Data'!$E$2:$E$1576,$D506,'PvA Data'!$C$2:$C$1576,"Custom")</f>
        <v>16</v>
      </c>
      <c r="K506" s="36">
        <f t="shared" si="37"/>
        <v>0.5</v>
      </c>
      <c r="L506" s="36">
        <f t="shared" si="38"/>
        <v>0</v>
      </c>
      <c r="M506" s="36">
        <f t="shared" si="39"/>
        <v>0.5</v>
      </c>
    </row>
    <row r="507" spans="1:13" ht="15" customHeight="1" x14ac:dyDescent="0.75">
      <c r="A507" s="18" t="s">
        <v>86</v>
      </c>
      <c r="B507" s="19">
        <v>46174</v>
      </c>
      <c r="C507" s="17">
        <v>666517</v>
      </c>
      <c r="D507" s="18" t="s">
        <v>25</v>
      </c>
      <c r="E507" s="20">
        <f>SUMIFS('PvA Data'!$F$2:$F$1576,'PvA Data'!$A$2:$A$1576,$A507,'PvA Data'!$E$2:$E$1576,$D507)</f>
        <v>16</v>
      </c>
      <c r="F507" s="20">
        <f>SUMIFS('PvA Data'!$G$2:$G$1576,'PvA Data'!$A$2:$A$1576,$A507,'PvA Data'!$E$2:$E$1576,$D507)</f>
        <v>32</v>
      </c>
      <c r="G507" s="36">
        <f t="shared" si="36"/>
        <v>2</v>
      </c>
      <c r="H507" s="20">
        <f>SUMIFS('PvA Data'!$G$2:$G$1576,'PvA Data'!$A$2:$A$1576,$A507,'PvA Data'!$E$2:$E$1576,$D507,'PvA Data'!$C$2:$C$1576,"Nahunta")</f>
        <v>22</v>
      </c>
      <c r="I507" s="20">
        <f>SUMIFS('PvA Data'!$G$2:$G$1576,'PvA Data'!$A$2:$A$1576,$A507,'PvA Data'!$E$2:$E$1576,$D507,'PvA Data'!$C$2:$C$1576,"Martin")</f>
        <v>0</v>
      </c>
      <c r="J507" s="20">
        <f>SUMIFS('PvA Data'!$G$2:$G$1576,'PvA Data'!$A$2:$A$1576,$A507,'PvA Data'!$E$2:$E$1576,$D507,'PvA Data'!$C$2:$C$1576,"Custom")</f>
        <v>10</v>
      </c>
      <c r="K507" s="36">
        <f t="shared" si="37"/>
        <v>0.6875</v>
      </c>
      <c r="L507" s="36">
        <f t="shared" si="38"/>
        <v>0</v>
      </c>
      <c r="M507" s="36">
        <f t="shared" si="39"/>
        <v>0.3125</v>
      </c>
    </row>
    <row r="508" spans="1:13" ht="15" customHeight="1" x14ac:dyDescent="0.75">
      <c r="A508" s="18" t="s">
        <v>86</v>
      </c>
      <c r="B508" s="19">
        <v>46174</v>
      </c>
      <c r="C508" s="17">
        <v>666518</v>
      </c>
      <c r="D508" s="18" t="s">
        <v>27</v>
      </c>
      <c r="E508" s="20">
        <f>SUMIFS('PvA Data'!$F$2:$F$1576,'PvA Data'!$A$2:$A$1576,$A508,'PvA Data'!$E$2:$E$1576,$D508)</f>
        <v>0</v>
      </c>
      <c r="F508" s="20">
        <f>SUMIFS('PvA Data'!$G$2:$G$1576,'PvA Data'!$A$2:$A$1576,$A508,'PvA Data'!$E$2:$E$1576,$D508)</f>
        <v>0</v>
      </c>
      <c r="G508" s="36" t="str">
        <f t="shared" si="36"/>
        <v/>
      </c>
      <c r="H508" s="20">
        <f>SUMIFS('PvA Data'!$G$2:$G$1576,'PvA Data'!$A$2:$A$1576,$A508,'PvA Data'!$E$2:$E$1576,$D508,'PvA Data'!$C$2:$C$1576,"Nahunta")</f>
        <v>0</v>
      </c>
      <c r="I508" s="20">
        <f>SUMIFS('PvA Data'!$G$2:$G$1576,'PvA Data'!$A$2:$A$1576,$A508,'PvA Data'!$E$2:$E$1576,$D508,'PvA Data'!$C$2:$C$1576,"Martin")</f>
        <v>0</v>
      </c>
      <c r="J508" s="20">
        <f>SUMIFS('PvA Data'!$G$2:$G$1576,'PvA Data'!$A$2:$A$1576,$A508,'PvA Data'!$E$2:$E$1576,$D508,'PvA Data'!$C$2:$C$1576,"Custom")</f>
        <v>0</v>
      </c>
      <c r="K508" s="36" t="str">
        <f t="shared" si="37"/>
        <v/>
      </c>
      <c r="L508" s="36" t="str">
        <f t="shared" si="38"/>
        <v/>
      </c>
      <c r="M508" s="36" t="str">
        <f t="shared" si="39"/>
        <v/>
      </c>
    </row>
    <row r="509" spans="1:13" ht="15" customHeight="1" x14ac:dyDescent="0.75">
      <c r="A509" s="18" t="s">
        <v>86</v>
      </c>
      <c r="B509" s="19">
        <v>46174</v>
      </c>
      <c r="C509" s="17">
        <v>666519</v>
      </c>
      <c r="D509" s="18" t="s">
        <v>29</v>
      </c>
      <c r="E509" s="20">
        <f>SUMIFS('PvA Data'!$F$2:$F$1576,'PvA Data'!$A$2:$A$1576,$A509,'PvA Data'!$E$2:$E$1576,$D509)</f>
        <v>22</v>
      </c>
      <c r="F509" s="20">
        <f>SUMIFS('PvA Data'!$G$2:$G$1576,'PvA Data'!$A$2:$A$1576,$A509,'PvA Data'!$E$2:$E$1576,$D509)</f>
        <v>44</v>
      </c>
      <c r="G509" s="36">
        <f t="shared" si="36"/>
        <v>2</v>
      </c>
      <c r="H509" s="20">
        <f>SUMIFS('PvA Data'!$G$2:$G$1576,'PvA Data'!$A$2:$A$1576,$A509,'PvA Data'!$E$2:$E$1576,$D509,'PvA Data'!$C$2:$C$1576,"Nahunta")</f>
        <v>22</v>
      </c>
      <c r="I509" s="20">
        <f>SUMIFS('PvA Data'!$G$2:$G$1576,'PvA Data'!$A$2:$A$1576,$A509,'PvA Data'!$E$2:$E$1576,$D509,'PvA Data'!$C$2:$C$1576,"Martin")</f>
        <v>0</v>
      </c>
      <c r="J509" s="20">
        <f>SUMIFS('PvA Data'!$G$2:$G$1576,'PvA Data'!$A$2:$A$1576,$A509,'PvA Data'!$E$2:$E$1576,$D509,'PvA Data'!$C$2:$C$1576,"Custom")</f>
        <v>22</v>
      </c>
      <c r="K509" s="36">
        <f t="shared" si="37"/>
        <v>0.5</v>
      </c>
      <c r="L509" s="36">
        <f t="shared" si="38"/>
        <v>0</v>
      </c>
      <c r="M509" s="36">
        <f t="shared" si="39"/>
        <v>0.5</v>
      </c>
    </row>
    <row r="510" spans="1:13" ht="15" customHeight="1" x14ac:dyDescent="0.75">
      <c r="A510" s="18" t="s">
        <v>86</v>
      </c>
      <c r="B510" s="19">
        <v>46174</v>
      </c>
      <c r="C510" s="17">
        <v>666521</v>
      </c>
      <c r="D510" s="18" t="s">
        <v>31</v>
      </c>
      <c r="E510" s="20">
        <f>SUMIFS('PvA Data'!$F$2:$F$1576,'PvA Data'!$A$2:$A$1576,$A510,'PvA Data'!$E$2:$E$1576,$D510)</f>
        <v>24</v>
      </c>
      <c r="F510" s="20">
        <f>SUMIFS('PvA Data'!$G$2:$G$1576,'PvA Data'!$A$2:$A$1576,$A510,'PvA Data'!$E$2:$E$1576,$D510)</f>
        <v>48</v>
      </c>
      <c r="G510" s="36">
        <f t="shared" si="36"/>
        <v>2</v>
      </c>
      <c r="H510" s="20">
        <f>SUMIFS('PvA Data'!$G$2:$G$1576,'PvA Data'!$A$2:$A$1576,$A510,'PvA Data'!$E$2:$E$1576,$D510,'PvA Data'!$C$2:$C$1576,"Nahunta")</f>
        <v>48</v>
      </c>
      <c r="I510" s="20">
        <f>SUMIFS('PvA Data'!$G$2:$G$1576,'PvA Data'!$A$2:$A$1576,$A510,'PvA Data'!$E$2:$E$1576,$D510,'PvA Data'!$C$2:$C$1576,"Martin")</f>
        <v>0</v>
      </c>
      <c r="J510" s="20">
        <f>SUMIFS('PvA Data'!$G$2:$G$1576,'PvA Data'!$A$2:$A$1576,$A510,'PvA Data'!$E$2:$E$1576,$D510,'PvA Data'!$C$2:$C$1576,"Custom")</f>
        <v>0</v>
      </c>
      <c r="K510" s="36">
        <f t="shared" si="37"/>
        <v>1</v>
      </c>
      <c r="L510" s="36">
        <f t="shared" si="38"/>
        <v>0</v>
      </c>
      <c r="M510" s="36">
        <f t="shared" si="39"/>
        <v>0</v>
      </c>
    </row>
    <row r="511" spans="1:13" ht="15" customHeight="1" x14ac:dyDescent="0.75">
      <c r="A511" s="18" t="s">
        <v>86</v>
      </c>
      <c r="B511" s="19">
        <v>46174</v>
      </c>
      <c r="C511" s="17">
        <v>666522</v>
      </c>
      <c r="D511" s="18" t="s">
        <v>33</v>
      </c>
      <c r="E511" s="20">
        <f>SUMIFS('PvA Data'!$F$2:$F$1576,'PvA Data'!$A$2:$A$1576,$A511,'PvA Data'!$E$2:$E$1576,$D511)</f>
        <v>152.5</v>
      </c>
      <c r="F511" s="20">
        <f>SUMIFS('PvA Data'!$G$2:$G$1576,'PvA Data'!$A$2:$A$1576,$A511,'PvA Data'!$E$2:$E$1576,$D511)</f>
        <v>235</v>
      </c>
      <c r="G511" s="36">
        <f t="shared" si="36"/>
        <v>1.540983606557377</v>
      </c>
      <c r="H511" s="20">
        <f>SUMIFS('PvA Data'!$G$2:$G$1576,'PvA Data'!$A$2:$A$1576,$A511,'PvA Data'!$E$2:$E$1576,$D511,'PvA Data'!$C$2:$C$1576,"Nahunta")</f>
        <v>110</v>
      </c>
      <c r="I511" s="20">
        <f>SUMIFS('PvA Data'!$G$2:$G$1576,'PvA Data'!$A$2:$A$1576,$A511,'PvA Data'!$E$2:$E$1576,$D511,'PvA Data'!$C$2:$C$1576,"Martin")</f>
        <v>0</v>
      </c>
      <c r="J511" s="20">
        <f>SUMIFS('PvA Data'!$G$2:$G$1576,'PvA Data'!$A$2:$A$1576,$A511,'PvA Data'!$E$2:$E$1576,$D511,'PvA Data'!$C$2:$C$1576,"Custom")</f>
        <v>125</v>
      </c>
      <c r="K511" s="36">
        <f t="shared" si="37"/>
        <v>0.46808510638297873</v>
      </c>
      <c r="L511" s="36">
        <f t="shared" si="38"/>
        <v>0</v>
      </c>
      <c r="M511" s="36">
        <f t="shared" si="39"/>
        <v>0.53191489361702127</v>
      </c>
    </row>
    <row r="512" spans="1:13" ht="15" customHeight="1" x14ac:dyDescent="0.75">
      <c r="A512" s="18" t="s">
        <v>86</v>
      </c>
      <c r="B512" s="19">
        <v>46174</v>
      </c>
      <c r="C512" s="17">
        <v>666523</v>
      </c>
      <c r="D512" s="18" t="s">
        <v>35</v>
      </c>
      <c r="E512" s="20">
        <f>SUMIFS('PvA Data'!$F$2:$F$1576,'PvA Data'!$A$2:$A$1576,$A512,'PvA Data'!$E$2:$E$1576,$D512)</f>
        <v>14</v>
      </c>
      <c r="F512" s="20">
        <f>SUMIFS('PvA Data'!$G$2:$G$1576,'PvA Data'!$A$2:$A$1576,$A512,'PvA Data'!$E$2:$E$1576,$D512)</f>
        <v>28</v>
      </c>
      <c r="G512" s="36">
        <f t="shared" si="36"/>
        <v>2</v>
      </c>
      <c r="H512" s="20">
        <f>SUMIFS('PvA Data'!$G$2:$G$1576,'PvA Data'!$A$2:$A$1576,$A512,'PvA Data'!$E$2:$E$1576,$D512,'PvA Data'!$C$2:$C$1576,"Nahunta")</f>
        <v>0</v>
      </c>
      <c r="I512" s="20">
        <f>SUMIFS('PvA Data'!$G$2:$G$1576,'PvA Data'!$A$2:$A$1576,$A512,'PvA Data'!$E$2:$E$1576,$D512,'PvA Data'!$C$2:$C$1576,"Martin")</f>
        <v>0</v>
      </c>
      <c r="J512" s="20">
        <f>SUMIFS('PvA Data'!$G$2:$G$1576,'PvA Data'!$A$2:$A$1576,$A512,'PvA Data'!$E$2:$E$1576,$D512,'PvA Data'!$C$2:$C$1576,"Custom")</f>
        <v>28</v>
      </c>
      <c r="K512" s="36">
        <f t="shared" si="37"/>
        <v>0</v>
      </c>
      <c r="L512" s="36">
        <f t="shared" si="38"/>
        <v>0</v>
      </c>
      <c r="M512" s="36">
        <f t="shared" si="39"/>
        <v>1</v>
      </c>
    </row>
    <row r="513" spans="1:13" ht="15" customHeight="1" x14ac:dyDescent="0.75">
      <c r="A513" s="18" t="s">
        <v>86</v>
      </c>
      <c r="B513" s="19">
        <v>46174</v>
      </c>
      <c r="C513" s="17">
        <v>666530</v>
      </c>
      <c r="D513" s="18" t="s">
        <v>37</v>
      </c>
      <c r="E513" s="20">
        <f>SUMIFS('PvA Data'!$F$2:$F$1576,'PvA Data'!$A$2:$A$1576,$A513,'PvA Data'!$E$2:$E$1576,$D513)</f>
        <v>9</v>
      </c>
      <c r="F513" s="20">
        <f>SUMIFS('PvA Data'!$G$2:$G$1576,'PvA Data'!$A$2:$A$1576,$A513,'PvA Data'!$E$2:$E$1576,$D513)</f>
        <v>18</v>
      </c>
      <c r="G513" s="36">
        <f t="shared" si="36"/>
        <v>2</v>
      </c>
      <c r="H513" s="20">
        <f>SUMIFS('PvA Data'!$G$2:$G$1576,'PvA Data'!$A$2:$A$1576,$A513,'PvA Data'!$E$2:$E$1576,$D513,'PvA Data'!$C$2:$C$1576,"Nahunta")</f>
        <v>0</v>
      </c>
      <c r="I513" s="20">
        <f>SUMIFS('PvA Data'!$G$2:$G$1576,'PvA Data'!$A$2:$A$1576,$A513,'PvA Data'!$E$2:$E$1576,$D513,'PvA Data'!$C$2:$C$1576,"Martin")</f>
        <v>0</v>
      </c>
      <c r="J513" s="20">
        <f>SUMIFS('PvA Data'!$G$2:$G$1576,'PvA Data'!$A$2:$A$1576,$A513,'PvA Data'!$E$2:$E$1576,$D513,'PvA Data'!$C$2:$C$1576,"Custom")</f>
        <v>18</v>
      </c>
      <c r="K513" s="36">
        <f t="shared" si="37"/>
        <v>0</v>
      </c>
      <c r="L513" s="36">
        <f t="shared" si="38"/>
        <v>0</v>
      </c>
      <c r="M513" s="36">
        <f t="shared" si="39"/>
        <v>1</v>
      </c>
    </row>
    <row r="514" spans="1:13" ht="15" customHeight="1" x14ac:dyDescent="0.75">
      <c r="A514" s="18" t="s">
        <v>86</v>
      </c>
      <c r="B514" s="19">
        <v>46174</v>
      </c>
      <c r="C514" s="17">
        <v>666531</v>
      </c>
      <c r="D514" s="18" t="s">
        <v>39</v>
      </c>
      <c r="E514" s="20">
        <f>SUMIFS('PvA Data'!$F$2:$F$1576,'PvA Data'!$A$2:$A$1576,$A514,'PvA Data'!$E$2:$E$1576,$D514)</f>
        <v>14</v>
      </c>
      <c r="F514" s="20">
        <f>SUMIFS('PvA Data'!$G$2:$G$1576,'PvA Data'!$A$2:$A$1576,$A514,'PvA Data'!$E$2:$E$1576,$D514)</f>
        <v>28</v>
      </c>
      <c r="G514" s="36">
        <f t="shared" si="36"/>
        <v>2</v>
      </c>
      <c r="H514" s="20">
        <f>SUMIFS('PvA Data'!$G$2:$G$1576,'PvA Data'!$A$2:$A$1576,$A514,'PvA Data'!$E$2:$E$1576,$D514,'PvA Data'!$C$2:$C$1576,"Nahunta")</f>
        <v>20</v>
      </c>
      <c r="I514" s="20">
        <f>SUMIFS('PvA Data'!$G$2:$G$1576,'PvA Data'!$A$2:$A$1576,$A514,'PvA Data'!$E$2:$E$1576,$D514,'PvA Data'!$C$2:$C$1576,"Martin")</f>
        <v>0</v>
      </c>
      <c r="J514" s="20">
        <f>SUMIFS('PvA Data'!$G$2:$G$1576,'PvA Data'!$A$2:$A$1576,$A514,'PvA Data'!$E$2:$E$1576,$D514,'PvA Data'!$C$2:$C$1576,"Custom")</f>
        <v>8</v>
      </c>
      <c r="K514" s="36">
        <f t="shared" si="37"/>
        <v>0.7142857142857143</v>
      </c>
      <c r="L514" s="36">
        <f t="shared" si="38"/>
        <v>0</v>
      </c>
      <c r="M514" s="36">
        <f t="shared" si="39"/>
        <v>0.2857142857142857</v>
      </c>
    </row>
    <row r="515" spans="1:13" ht="15" customHeight="1" x14ac:dyDescent="0.75">
      <c r="A515" s="18" t="s">
        <v>86</v>
      </c>
      <c r="B515" s="19">
        <v>46174</v>
      </c>
      <c r="C515" s="17">
        <v>666540</v>
      </c>
      <c r="D515" s="18" t="s">
        <v>40</v>
      </c>
      <c r="E515" s="20">
        <f>SUMIFS('PvA Data'!$F$2:$F$1576,'PvA Data'!$A$2:$A$1576,$A515,'PvA Data'!$E$2:$E$1576,$D515)</f>
        <v>20</v>
      </c>
      <c r="F515" s="20">
        <f>SUMIFS('PvA Data'!$G$2:$G$1576,'PvA Data'!$A$2:$A$1576,$A515,'PvA Data'!$E$2:$E$1576,$D515)</f>
        <v>0</v>
      </c>
      <c r="G515" s="36">
        <f t="shared" si="36"/>
        <v>0</v>
      </c>
      <c r="H515" s="20">
        <f>SUMIFS('PvA Data'!$G$2:$G$1576,'PvA Data'!$A$2:$A$1576,$A515,'PvA Data'!$E$2:$E$1576,$D515,'PvA Data'!$C$2:$C$1576,"Nahunta")</f>
        <v>0</v>
      </c>
      <c r="I515" s="20">
        <f>SUMIFS('PvA Data'!$G$2:$G$1576,'PvA Data'!$A$2:$A$1576,$A515,'PvA Data'!$E$2:$E$1576,$D515,'PvA Data'!$C$2:$C$1576,"Martin")</f>
        <v>0</v>
      </c>
      <c r="J515" s="20">
        <f>SUMIFS('PvA Data'!$G$2:$G$1576,'PvA Data'!$A$2:$A$1576,$A515,'PvA Data'!$E$2:$E$1576,$D515,'PvA Data'!$C$2:$C$1576,"Custom")</f>
        <v>0</v>
      </c>
      <c r="K515" s="36" t="str">
        <f t="shared" si="37"/>
        <v/>
      </c>
      <c r="L515" s="36" t="str">
        <f t="shared" si="38"/>
        <v/>
      </c>
      <c r="M515" s="36" t="str">
        <f t="shared" si="39"/>
        <v/>
      </c>
    </row>
    <row r="516" spans="1:13" ht="15" customHeight="1" x14ac:dyDescent="0.75">
      <c r="A516" s="18" t="s">
        <v>86</v>
      </c>
      <c r="B516" s="19">
        <v>46174</v>
      </c>
      <c r="C516" s="17">
        <v>666541</v>
      </c>
      <c r="D516" s="18" t="s">
        <v>41</v>
      </c>
      <c r="E516" s="20">
        <f>SUMIFS('PvA Data'!$F$2:$F$1576,'PvA Data'!$A$2:$A$1576,$A516,'PvA Data'!$E$2:$E$1576,$D516)</f>
        <v>250</v>
      </c>
      <c r="F516" s="20">
        <f>SUMIFS('PvA Data'!$G$2:$G$1576,'PvA Data'!$A$2:$A$1576,$A516,'PvA Data'!$E$2:$E$1576,$D516)</f>
        <v>142</v>
      </c>
      <c r="G516" s="36">
        <f t="shared" si="36"/>
        <v>0.56799999999999995</v>
      </c>
      <c r="H516" s="20">
        <f>SUMIFS('PvA Data'!$G$2:$G$1576,'PvA Data'!$A$2:$A$1576,$A516,'PvA Data'!$E$2:$E$1576,$D516,'PvA Data'!$C$2:$C$1576,"Nahunta")</f>
        <v>0</v>
      </c>
      <c r="I516" s="20">
        <f>SUMIFS('PvA Data'!$G$2:$G$1576,'PvA Data'!$A$2:$A$1576,$A516,'PvA Data'!$E$2:$E$1576,$D516,'PvA Data'!$C$2:$C$1576,"Martin")</f>
        <v>142</v>
      </c>
      <c r="J516" s="20">
        <f>SUMIFS('PvA Data'!$G$2:$G$1576,'PvA Data'!$A$2:$A$1576,$A516,'PvA Data'!$E$2:$E$1576,$D516,'PvA Data'!$C$2:$C$1576,"Custom")</f>
        <v>0</v>
      </c>
      <c r="K516" s="36">
        <f t="shared" si="37"/>
        <v>0</v>
      </c>
      <c r="L516" s="36">
        <f t="shared" si="38"/>
        <v>1</v>
      </c>
      <c r="M516" s="36">
        <f t="shared" si="39"/>
        <v>0</v>
      </c>
    </row>
    <row r="517" spans="1:13" ht="15" customHeight="1" x14ac:dyDescent="0.75">
      <c r="A517" s="18" t="s">
        <v>86</v>
      </c>
      <c r="B517" s="19">
        <v>46174</v>
      </c>
      <c r="C517" s="17">
        <v>666536</v>
      </c>
      <c r="D517" s="18" t="s">
        <v>43</v>
      </c>
      <c r="E517" s="20">
        <f>SUMIFS('PvA Data'!$F$2:$F$1576,'PvA Data'!$A$2:$A$1576,$A517,'PvA Data'!$E$2:$E$1576,$D517)</f>
        <v>20</v>
      </c>
      <c r="F517" s="20">
        <f>SUMIFS('PvA Data'!$G$2:$G$1576,'PvA Data'!$A$2:$A$1576,$A517,'PvA Data'!$E$2:$E$1576,$D517)</f>
        <v>3</v>
      </c>
      <c r="G517" s="36">
        <f t="shared" si="36"/>
        <v>0.15</v>
      </c>
      <c r="H517" s="20">
        <f>SUMIFS('PvA Data'!$G$2:$G$1576,'PvA Data'!$A$2:$A$1576,$A517,'PvA Data'!$E$2:$E$1576,$D517,'PvA Data'!$C$2:$C$1576,"Nahunta")</f>
        <v>3</v>
      </c>
      <c r="I517" s="20">
        <f>SUMIFS('PvA Data'!$G$2:$G$1576,'PvA Data'!$A$2:$A$1576,$A517,'PvA Data'!$E$2:$E$1576,$D517,'PvA Data'!$C$2:$C$1576,"Martin")</f>
        <v>0</v>
      </c>
      <c r="J517" s="20">
        <f>SUMIFS('PvA Data'!$G$2:$G$1576,'PvA Data'!$A$2:$A$1576,$A517,'PvA Data'!$E$2:$E$1576,$D517,'PvA Data'!$C$2:$C$1576,"Custom")</f>
        <v>0</v>
      </c>
      <c r="K517" s="36">
        <f t="shared" si="37"/>
        <v>1</v>
      </c>
      <c r="L517" s="36">
        <f t="shared" si="38"/>
        <v>0</v>
      </c>
      <c r="M517" s="36">
        <f t="shared" si="39"/>
        <v>0</v>
      </c>
    </row>
    <row r="518" spans="1:13" ht="15" customHeight="1" x14ac:dyDescent="0.75">
      <c r="A518" s="18" t="s">
        <v>87</v>
      </c>
      <c r="B518" s="19">
        <v>46181</v>
      </c>
      <c r="C518" s="17">
        <v>666501</v>
      </c>
      <c r="D518" s="18" t="s">
        <v>5</v>
      </c>
      <c r="E518" s="20">
        <f>SUMIFS('PvA Data'!$F$2:$F$1576,'PvA Data'!$A$2:$A$1576,$A518,'PvA Data'!$E$2:$E$1576,$D518)</f>
        <v>237</v>
      </c>
      <c r="F518" s="20">
        <f>SUMIFS('PvA Data'!$G$2:$G$1576,'PvA Data'!$A$2:$A$1576,$A518,'PvA Data'!$E$2:$E$1576,$D518)</f>
        <v>129</v>
      </c>
      <c r="G518" s="36">
        <f t="shared" si="36"/>
        <v>0.54430379746835444</v>
      </c>
      <c r="H518" s="20">
        <f>SUMIFS('PvA Data'!$G$2:$G$1576,'PvA Data'!$A$2:$A$1576,$A518,'PvA Data'!$E$2:$E$1576,$D518,'PvA Data'!$C$2:$C$1576,"Nahunta")</f>
        <v>0</v>
      </c>
      <c r="I518" s="20">
        <f>SUMIFS('PvA Data'!$G$2:$G$1576,'PvA Data'!$A$2:$A$1576,$A518,'PvA Data'!$E$2:$E$1576,$D518,'PvA Data'!$C$2:$C$1576,"Martin")</f>
        <v>129</v>
      </c>
      <c r="J518" s="20">
        <f>SUMIFS('PvA Data'!$G$2:$G$1576,'PvA Data'!$A$2:$A$1576,$A518,'PvA Data'!$E$2:$E$1576,$D518,'PvA Data'!$C$2:$C$1576,"Custom")</f>
        <v>0</v>
      </c>
      <c r="K518" s="36">
        <f t="shared" si="37"/>
        <v>0</v>
      </c>
      <c r="L518" s="36">
        <f t="shared" si="38"/>
        <v>1</v>
      </c>
      <c r="M518" s="36">
        <f t="shared" si="39"/>
        <v>0</v>
      </c>
    </row>
    <row r="519" spans="1:13" ht="15" customHeight="1" x14ac:dyDescent="0.75">
      <c r="A519" s="18" t="s">
        <v>87</v>
      </c>
      <c r="B519" s="19">
        <v>46181</v>
      </c>
      <c r="C519" s="17">
        <v>666502</v>
      </c>
      <c r="D519" s="18" t="s">
        <v>7</v>
      </c>
      <c r="E519" s="20">
        <f>SUMIFS('PvA Data'!$F$2:$F$1576,'PvA Data'!$A$2:$A$1576,$A519,'PvA Data'!$E$2:$E$1576,$D519)</f>
        <v>156</v>
      </c>
      <c r="F519" s="20">
        <f>SUMIFS('PvA Data'!$G$2:$G$1576,'PvA Data'!$A$2:$A$1576,$A519,'PvA Data'!$E$2:$E$1576,$D519)</f>
        <v>143</v>
      </c>
      <c r="G519" s="36">
        <f t="shared" si="36"/>
        <v>0.91666666666666663</v>
      </c>
      <c r="H519" s="20">
        <f>SUMIFS('PvA Data'!$G$2:$G$1576,'PvA Data'!$A$2:$A$1576,$A519,'PvA Data'!$E$2:$E$1576,$D519,'PvA Data'!$C$2:$C$1576,"Nahunta")</f>
        <v>0</v>
      </c>
      <c r="I519" s="20">
        <f>SUMIFS('PvA Data'!$G$2:$G$1576,'PvA Data'!$A$2:$A$1576,$A519,'PvA Data'!$E$2:$E$1576,$D519,'PvA Data'!$C$2:$C$1576,"Martin")</f>
        <v>74</v>
      </c>
      <c r="J519" s="20">
        <f>SUMIFS('PvA Data'!$G$2:$G$1576,'PvA Data'!$A$2:$A$1576,$A519,'PvA Data'!$E$2:$E$1576,$D519,'PvA Data'!$C$2:$C$1576,"Custom")</f>
        <v>69</v>
      </c>
      <c r="K519" s="36">
        <f t="shared" si="37"/>
        <v>0</v>
      </c>
      <c r="L519" s="36">
        <f t="shared" si="38"/>
        <v>0.5174825174825175</v>
      </c>
      <c r="M519" s="36">
        <f t="shared" si="39"/>
        <v>0.4825174825174825</v>
      </c>
    </row>
    <row r="520" spans="1:13" ht="15" customHeight="1" x14ac:dyDescent="0.75">
      <c r="A520" s="18" t="s">
        <v>87</v>
      </c>
      <c r="B520" s="19">
        <v>46181</v>
      </c>
      <c r="C520" s="17">
        <v>666505</v>
      </c>
      <c r="D520" s="18" t="s">
        <v>9</v>
      </c>
      <c r="E520" s="20">
        <f>SUMIFS('PvA Data'!$F$2:$F$1576,'PvA Data'!$A$2:$A$1576,$A520,'PvA Data'!$E$2:$E$1576,$D520)</f>
        <v>20</v>
      </c>
      <c r="F520" s="20">
        <f>SUMIFS('PvA Data'!$G$2:$G$1576,'PvA Data'!$A$2:$A$1576,$A520,'PvA Data'!$E$2:$E$1576,$D520)</f>
        <v>0</v>
      </c>
      <c r="G520" s="36">
        <f t="shared" si="36"/>
        <v>0</v>
      </c>
      <c r="H520" s="20">
        <f>SUMIFS('PvA Data'!$G$2:$G$1576,'PvA Data'!$A$2:$A$1576,$A520,'PvA Data'!$E$2:$E$1576,$D520,'PvA Data'!$C$2:$C$1576,"Nahunta")</f>
        <v>0</v>
      </c>
      <c r="I520" s="20">
        <f>SUMIFS('PvA Data'!$G$2:$G$1576,'PvA Data'!$A$2:$A$1576,$A520,'PvA Data'!$E$2:$E$1576,$D520,'PvA Data'!$C$2:$C$1576,"Martin")</f>
        <v>0</v>
      </c>
      <c r="J520" s="20">
        <f>SUMIFS('PvA Data'!$G$2:$G$1576,'PvA Data'!$A$2:$A$1576,$A520,'PvA Data'!$E$2:$E$1576,$D520,'PvA Data'!$C$2:$C$1576,"Custom")</f>
        <v>0</v>
      </c>
      <c r="K520" s="36" t="str">
        <f t="shared" si="37"/>
        <v/>
      </c>
      <c r="L520" s="36" t="str">
        <f t="shared" si="38"/>
        <v/>
      </c>
      <c r="M520" s="36" t="str">
        <f t="shared" si="39"/>
        <v/>
      </c>
    </row>
    <row r="521" spans="1:13" ht="15" customHeight="1" x14ac:dyDescent="0.75">
      <c r="A521" s="18" t="s">
        <v>87</v>
      </c>
      <c r="B521" s="19">
        <v>46181</v>
      </c>
      <c r="C521" s="17">
        <v>666506</v>
      </c>
      <c r="D521" s="18" t="s">
        <v>11</v>
      </c>
      <c r="E521" s="20">
        <f>SUMIFS('PvA Data'!$F$2:$F$1576,'PvA Data'!$A$2:$A$1576,$A521,'PvA Data'!$E$2:$E$1576,$D521)</f>
        <v>72</v>
      </c>
      <c r="F521" s="20">
        <f>SUMIFS('PvA Data'!$G$2:$G$1576,'PvA Data'!$A$2:$A$1576,$A521,'PvA Data'!$E$2:$E$1576,$D521)</f>
        <v>17</v>
      </c>
      <c r="G521" s="36">
        <f t="shared" si="36"/>
        <v>0.2361111111111111</v>
      </c>
      <c r="H521" s="20">
        <f>SUMIFS('PvA Data'!$G$2:$G$1576,'PvA Data'!$A$2:$A$1576,$A521,'PvA Data'!$E$2:$E$1576,$D521,'PvA Data'!$C$2:$C$1576,"Nahunta")</f>
        <v>0</v>
      </c>
      <c r="I521" s="20">
        <f>SUMIFS('PvA Data'!$G$2:$G$1576,'PvA Data'!$A$2:$A$1576,$A521,'PvA Data'!$E$2:$E$1576,$D521,'PvA Data'!$C$2:$C$1576,"Martin")</f>
        <v>17</v>
      </c>
      <c r="J521" s="20">
        <f>SUMIFS('PvA Data'!$G$2:$G$1576,'PvA Data'!$A$2:$A$1576,$A521,'PvA Data'!$E$2:$E$1576,$D521,'PvA Data'!$C$2:$C$1576,"Custom")</f>
        <v>0</v>
      </c>
      <c r="K521" s="36">
        <f t="shared" si="37"/>
        <v>0</v>
      </c>
      <c r="L521" s="36">
        <f t="shared" si="38"/>
        <v>1</v>
      </c>
      <c r="M521" s="36">
        <f t="shared" si="39"/>
        <v>0</v>
      </c>
    </row>
    <row r="522" spans="1:13" ht="15" customHeight="1" x14ac:dyDescent="0.75">
      <c r="A522" s="18" t="s">
        <v>87</v>
      </c>
      <c r="B522" s="19">
        <v>46181</v>
      </c>
      <c r="C522" s="17">
        <v>666507</v>
      </c>
      <c r="D522" s="18" t="s">
        <v>13</v>
      </c>
      <c r="E522" s="20">
        <f>SUMIFS('PvA Data'!$F$2:$F$1576,'PvA Data'!$A$2:$A$1576,$A522,'PvA Data'!$E$2:$E$1576,$D522)</f>
        <v>4</v>
      </c>
      <c r="F522" s="20">
        <f>SUMIFS('PvA Data'!$G$2:$G$1576,'PvA Data'!$A$2:$A$1576,$A522,'PvA Data'!$E$2:$E$1576,$D522)</f>
        <v>0</v>
      </c>
      <c r="G522" s="36">
        <f t="shared" si="36"/>
        <v>0</v>
      </c>
      <c r="H522" s="20">
        <f>SUMIFS('PvA Data'!$G$2:$G$1576,'PvA Data'!$A$2:$A$1576,$A522,'PvA Data'!$E$2:$E$1576,$D522,'PvA Data'!$C$2:$C$1576,"Nahunta")</f>
        <v>0</v>
      </c>
      <c r="I522" s="20">
        <f>SUMIFS('PvA Data'!$G$2:$G$1576,'PvA Data'!$A$2:$A$1576,$A522,'PvA Data'!$E$2:$E$1576,$D522,'PvA Data'!$C$2:$C$1576,"Martin")</f>
        <v>0</v>
      </c>
      <c r="J522" s="20">
        <f>SUMIFS('PvA Data'!$G$2:$G$1576,'PvA Data'!$A$2:$A$1576,$A522,'PvA Data'!$E$2:$E$1576,$D522,'PvA Data'!$C$2:$C$1576,"Custom")</f>
        <v>0</v>
      </c>
      <c r="K522" s="36" t="str">
        <f t="shared" si="37"/>
        <v/>
      </c>
      <c r="L522" s="36" t="str">
        <f t="shared" si="38"/>
        <v/>
      </c>
      <c r="M522" s="36" t="str">
        <f t="shared" si="39"/>
        <v/>
      </c>
    </row>
    <row r="523" spans="1:13" ht="15" customHeight="1" x14ac:dyDescent="0.75">
      <c r="A523" s="18" t="s">
        <v>87</v>
      </c>
      <c r="B523" s="19">
        <v>46181</v>
      </c>
      <c r="C523" s="17">
        <v>666509</v>
      </c>
      <c r="D523" s="18" t="s">
        <v>15</v>
      </c>
      <c r="E523" s="20">
        <f>SUMIFS('PvA Data'!$F$2:$F$1576,'PvA Data'!$A$2:$A$1576,$A523,'PvA Data'!$E$2:$E$1576,$D523)</f>
        <v>25</v>
      </c>
      <c r="F523" s="20">
        <f>SUMIFS('PvA Data'!$G$2:$G$1576,'PvA Data'!$A$2:$A$1576,$A523,'PvA Data'!$E$2:$E$1576,$D523)</f>
        <v>15</v>
      </c>
      <c r="G523" s="36">
        <f t="shared" si="36"/>
        <v>0.6</v>
      </c>
      <c r="H523" s="20">
        <f>SUMIFS('PvA Data'!$G$2:$G$1576,'PvA Data'!$A$2:$A$1576,$A523,'PvA Data'!$E$2:$E$1576,$D523,'PvA Data'!$C$2:$C$1576,"Nahunta")</f>
        <v>15</v>
      </c>
      <c r="I523" s="20">
        <f>SUMIFS('PvA Data'!$G$2:$G$1576,'PvA Data'!$A$2:$A$1576,$A523,'PvA Data'!$E$2:$E$1576,$D523,'PvA Data'!$C$2:$C$1576,"Martin")</f>
        <v>0</v>
      </c>
      <c r="J523" s="20">
        <f>SUMIFS('PvA Data'!$G$2:$G$1576,'PvA Data'!$A$2:$A$1576,$A523,'PvA Data'!$E$2:$E$1576,$D523,'PvA Data'!$C$2:$C$1576,"Custom")</f>
        <v>0</v>
      </c>
      <c r="K523" s="36">
        <f t="shared" si="37"/>
        <v>1</v>
      </c>
      <c r="L523" s="36">
        <f t="shared" si="38"/>
        <v>0</v>
      </c>
      <c r="M523" s="36">
        <f t="shared" si="39"/>
        <v>0</v>
      </c>
    </row>
    <row r="524" spans="1:13" ht="15" customHeight="1" x14ac:dyDescent="0.75">
      <c r="A524" s="18" t="s">
        <v>87</v>
      </c>
      <c r="B524" s="19">
        <v>46181</v>
      </c>
      <c r="C524" s="17">
        <v>666510</v>
      </c>
      <c r="D524" s="18" t="s">
        <v>17</v>
      </c>
      <c r="E524" s="20">
        <f>SUMIFS('PvA Data'!$F$2:$F$1576,'PvA Data'!$A$2:$A$1576,$A524,'PvA Data'!$E$2:$E$1576,$D524)</f>
        <v>0</v>
      </c>
      <c r="F524" s="20">
        <f>SUMIFS('PvA Data'!$G$2:$G$1576,'PvA Data'!$A$2:$A$1576,$A524,'PvA Data'!$E$2:$E$1576,$D524)</f>
        <v>0</v>
      </c>
      <c r="G524" s="36" t="str">
        <f t="shared" si="36"/>
        <v/>
      </c>
      <c r="H524" s="20">
        <f>SUMIFS('PvA Data'!$G$2:$G$1576,'PvA Data'!$A$2:$A$1576,$A524,'PvA Data'!$E$2:$E$1576,$D524,'PvA Data'!$C$2:$C$1576,"Nahunta")</f>
        <v>0</v>
      </c>
      <c r="I524" s="20">
        <f>SUMIFS('PvA Data'!$G$2:$G$1576,'PvA Data'!$A$2:$A$1576,$A524,'PvA Data'!$E$2:$E$1576,$D524,'PvA Data'!$C$2:$C$1576,"Martin")</f>
        <v>0</v>
      </c>
      <c r="J524" s="20">
        <f>SUMIFS('PvA Data'!$G$2:$G$1576,'PvA Data'!$A$2:$A$1576,$A524,'PvA Data'!$E$2:$E$1576,$D524,'PvA Data'!$C$2:$C$1576,"Custom")</f>
        <v>0</v>
      </c>
      <c r="K524" s="36" t="str">
        <f t="shared" si="37"/>
        <v/>
      </c>
      <c r="L524" s="36" t="str">
        <f t="shared" si="38"/>
        <v/>
      </c>
      <c r="M524" s="36" t="str">
        <f t="shared" si="39"/>
        <v/>
      </c>
    </row>
    <row r="525" spans="1:13" ht="15" customHeight="1" x14ac:dyDescent="0.75">
      <c r="A525" s="18" t="s">
        <v>87</v>
      </c>
      <c r="B525" s="19">
        <v>46181</v>
      </c>
      <c r="C525" s="17">
        <v>666511</v>
      </c>
      <c r="D525" s="18" t="s">
        <v>19</v>
      </c>
      <c r="E525" s="20">
        <f>SUMIFS('PvA Data'!$F$2:$F$1576,'PvA Data'!$A$2:$A$1576,$A525,'PvA Data'!$E$2:$E$1576,$D525)</f>
        <v>2</v>
      </c>
      <c r="F525" s="20">
        <f>SUMIFS('PvA Data'!$G$2:$G$1576,'PvA Data'!$A$2:$A$1576,$A525,'PvA Data'!$E$2:$E$1576,$D525)</f>
        <v>4</v>
      </c>
      <c r="G525" s="36">
        <f t="shared" si="36"/>
        <v>2</v>
      </c>
      <c r="H525" s="20">
        <f>SUMIFS('PvA Data'!$G$2:$G$1576,'PvA Data'!$A$2:$A$1576,$A525,'PvA Data'!$E$2:$E$1576,$D525,'PvA Data'!$C$2:$C$1576,"Nahunta")</f>
        <v>4</v>
      </c>
      <c r="I525" s="20">
        <f>SUMIFS('PvA Data'!$G$2:$G$1576,'PvA Data'!$A$2:$A$1576,$A525,'PvA Data'!$E$2:$E$1576,$D525,'PvA Data'!$C$2:$C$1576,"Martin")</f>
        <v>0</v>
      </c>
      <c r="J525" s="20">
        <f>SUMIFS('PvA Data'!$G$2:$G$1576,'PvA Data'!$A$2:$A$1576,$A525,'PvA Data'!$E$2:$E$1576,$D525,'PvA Data'!$C$2:$C$1576,"Custom")</f>
        <v>0</v>
      </c>
      <c r="K525" s="36">
        <f t="shared" si="37"/>
        <v>1</v>
      </c>
      <c r="L525" s="36">
        <f t="shared" si="38"/>
        <v>0</v>
      </c>
      <c r="M525" s="36">
        <f t="shared" si="39"/>
        <v>0</v>
      </c>
    </row>
    <row r="526" spans="1:13" ht="15" customHeight="1" x14ac:dyDescent="0.75">
      <c r="A526" s="18" t="s">
        <v>87</v>
      </c>
      <c r="B526" s="19">
        <v>46181</v>
      </c>
      <c r="C526" s="17">
        <v>666513</v>
      </c>
      <c r="D526" s="18" t="s">
        <v>21</v>
      </c>
      <c r="E526" s="20">
        <f>SUMIFS('PvA Data'!$F$2:$F$1576,'PvA Data'!$A$2:$A$1576,$A526,'PvA Data'!$E$2:$E$1576,$D526)</f>
        <v>24</v>
      </c>
      <c r="F526" s="20">
        <f>SUMIFS('PvA Data'!$G$2:$G$1576,'PvA Data'!$A$2:$A$1576,$A526,'PvA Data'!$E$2:$E$1576,$D526)</f>
        <v>0</v>
      </c>
      <c r="G526" s="36">
        <f t="shared" si="36"/>
        <v>0</v>
      </c>
      <c r="H526" s="20">
        <f>SUMIFS('PvA Data'!$G$2:$G$1576,'PvA Data'!$A$2:$A$1576,$A526,'PvA Data'!$E$2:$E$1576,$D526,'PvA Data'!$C$2:$C$1576,"Nahunta")</f>
        <v>0</v>
      </c>
      <c r="I526" s="20">
        <f>SUMIFS('PvA Data'!$G$2:$G$1576,'PvA Data'!$A$2:$A$1576,$A526,'PvA Data'!$E$2:$E$1576,$D526,'PvA Data'!$C$2:$C$1576,"Martin")</f>
        <v>0</v>
      </c>
      <c r="J526" s="20">
        <f>SUMIFS('PvA Data'!$G$2:$G$1576,'PvA Data'!$A$2:$A$1576,$A526,'PvA Data'!$E$2:$E$1576,$D526,'PvA Data'!$C$2:$C$1576,"Custom")</f>
        <v>0</v>
      </c>
      <c r="K526" s="36" t="str">
        <f t="shared" si="37"/>
        <v/>
      </c>
      <c r="L526" s="36" t="str">
        <f t="shared" si="38"/>
        <v/>
      </c>
      <c r="M526" s="36" t="str">
        <f t="shared" si="39"/>
        <v/>
      </c>
    </row>
    <row r="527" spans="1:13" ht="15" customHeight="1" x14ac:dyDescent="0.75">
      <c r="A527" s="18" t="s">
        <v>87</v>
      </c>
      <c r="B527" s="19">
        <v>46181</v>
      </c>
      <c r="C527" s="17">
        <v>666516</v>
      </c>
      <c r="D527" s="18" t="s">
        <v>23</v>
      </c>
      <c r="E527" s="20">
        <f>SUMIFS('PvA Data'!$F$2:$F$1576,'PvA Data'!$A$2:$A$1576,$A527,'PvA Data'!$E$2:$E$1576,$D527)</f>
        <v>16</v>
      </c>
      <c r="F527" s="20">
        <f>SUMIFS('PvA Data'!$G$2:$G$1576,'PvA Data'!$A$2:$A$1576,$A527,'PvA Data'!$E$2:$E$1576,$D527)</f>
        <v>0</v>
      </c>
      <c r="G527" s="36">
        <f t="shared" si="36"/>
        <v>0</v>
      </c>
      <c r="H527" s="20">
        <f>SUMIFS('PvA Data'!$G$2:$G$1576,'PvA Data'!$A$2:$A$1576,$A527,'PvA Data'!$E$2:$E$1576,$D527,'PvA Data'!$C$2:$C$1576,"Nahunta")</f>
        <v>0</v>
      </c>
      <c r="I527" s="20">
        <f>SUMIFS('PvA Data'!$G$2:$G$1576,'PvA Data'!$A$2:$A$1576,$A527,'PvA Data'!$E$2:$E$1576,$D527,'PvA Data'!$C$2:$C$1576,"Martin")</f>
        <v>0</v>
      </c>
      <c r="J527" s="20">
        <f>SUMIFS('PvA Data'!$G$2:$G$1576,'PvA Data'!$A$2:$A$1576,$A527,'PvA Data'!$E$2:$E$1576,$D527,'PvA Data'!$C$2:$C$1576,"Custom")</f>
        <v>0</v>
      </c>
      <c r="K527" s="36" t="str">
        <f t="shared" si="37"/>
        <v/>
      </c>
      <c r="L527" s="36" t="str">
        <f t="shared" si="38"/>
        <v/>
      </c>
      <c r="M527" s="36" t="str">
        <f t="shared" si="39"/>
        <v/>
      </c>
    </row>
    <row r="528" spans="1:13" ht="15" customHeight="1" x14ac:dyDescent="0.75">
      <c r="A528" s="18" t="s">
        <v>87</v>
      </c>
      <c r="B528" s="19">
        <v>46181</v>
      </c>
      <c r="C528" s="17">
        <v>666517</v>
      </c>
      <c r="D528" s="18" t="s">
        <v>25</v>
      </c>
      <c r="E528" s="20">
        <f>SUMIFS('PvA Data'!$F$2:$F$1576,'PvA Data'!$A$2:$A$1576,$A528,'PvA Data'!$E$2:$E$1576,$D528)</f>
        <v>16</v>
      </c>
      <c r="F528" s="20">
        <f>SUMIFS('PvA Data'!$G$2:$G$1576,'PvA Data'!$A$2:$A$1576,$A528,'PvA Data'!$E$2:$E$1576,$D528)</f>
        <v>0</v>
      </c>
      <c r="G528" s="36">
        <f t="shared" si="36"/>
        <v>0</v>
      </c>
      <c r="H528" s="20">
        <f>SUMIFS('PvA Data'!$G$2:$G$1576,'PvA Data'!$A$2:$A$1576,$A528,'PvA Data'!$E$2:$E$1576,$D528,'PvA Data'!$C$2:$C$1576,"Nahunta")</f>
        <v>0</v>
      </c>
      <c r="I528" s="20">
        <f>SUMIFS('PvA Data'!$G$2:$G$1576,'PvA Data'!$A$2:$A$1576,$A528,'PvA Data'!$E$2:$E$1576,$D528,'PvA Data'!$C$2:$C$1576,"Martin")</f>
        <v>0</v>
      </c>
      <c r="J528" s="20">
        <f>SUMIFS('PvA Data'!$G$2:$G$1576,'PvA Data'!$A$2:$A$1576,$A528,'PvA Data'!$E$2:$E$1576,$D528,'PvA Data'!$C$2:$C$1576,"Custom")</f>
        <v>0</v>
      </c>
      <c r="K528" s="36" t="str">
        <f t="shared" si="37"/>
        <v/>
      </c>
      <c r="L528" s="36" t="str">
        <f t="shared" si="38"/>
        <v/>
      </c>
      <c r="M528" s="36" t="str">
        <f t="shared" si="39"/>
        <v/>
      </c>
    </row>
    <row r="529" spans="1:13" ht="15" customHeight="1" x14ac:dyDescent="0.75">
      <c r="A529" s="18" t="s">
        <v>87</v>
      </c>
      <c r="B529" s="19">
        <v>46181</v>
      </c>
      <c r="C529" s="17">
        <v>666518</v>
      </c>
      <c r="D529" s="18" t="s">
        <v>27</v>
      </c>
      <c r="E529" s="20">
        <f>SUMIFS('PvA Data'!$F$2:$F$1576,'PvA Data'!$A$2:$A$1576,$A529,'PvA Data'!$E$2:$E$1576,$D529)</f>
        <v>0</v>
      </c>
      <c r="F529" s="20">
        <f>SUMIFS('PvA Data'!$G$2:$G$1576,'PvA Data'!$A$2:$A$1576,$A529,'PvA Data'!$E$2:$E$1576,$D529)</f>
        <v>0</v>
      </c>
      <c r="G529" s="36" t="str">
        <f t="shared" si="36"/>
        <v/>
      </c>
      <c r="H529" s="20">
        <f>SUMIFS('PvA Data'!$G$2:$G$1576,'PvA Data'!$A$2:$A$1576,$A529,'PvA Data'!$E$2:$E$1576,$D529,'PvA Data'!$C$2:$C$1576,"Nahunta")</f>
        <v>0</v>
      </c>
      <c r="I529" s="20">
        <f>SUMIFS('PvA Data'!$G$2:$G$1576,'PvA Data'!$A$2:$A$1576,$A529,'PvA Data'!$E$2:$E$1576,$D529,'PvA Data'!$C$2:$C$1576,"Martin")</f>
        <v>0</v>
      </c>
      <c r="J529" s="20">
        <f>SUMIFS('PvA Data'!$G$2:$G$1576,'PvA Data'!$A$2:$A$1576,$A529,'PvA Data'!$E$2:$E$1576,$D529,'PvA Data'!$C$2:$C$1576,"Custom")</f>
        <v>0</v>
      </c>
      <c r="K529" s="36" t="str">
        <f t="shared" si="37"/>
        <v/>
      </c>
      <c r="L529" s="36" t="str">
        <f t="shared" si="38"/>
        <v/>
      </c>
      <c r="M529" s="36" t="str">
        <f t="shared" si="39"/>
        <v/>
      </c>
    </row>
    <row r="530" spans="1:13" ht="15" customHeight="1" x14ac:dyDescent="0.75">
      <c r="A530" s="18" t="s">
        <v>87</v>
      </c>
      <c r="B530" s="19">
        <v>46181</v>
      </c>
      <c r="C530" s="17">
        <v>666519</v>
      </c>
      <c r="D530" s="18" t="s">
        <v>29</v>
      </c>
      <c r="E530" s="20">
        <f>SUMIFS('PvA Data'!$F$2:$F$1576,'PvA Data'!$A$2:$A$1576,$A530,'PvA Data'!$E$2:$E$1576,$D530)</f>
        <v>22</v>
      </c>
      <c r="F530" s="20">
        <f>SUMIFS('PvA Data'!$G$2:$G$1576,'PvA Data'!$A$2:$A$1576,$A530,'PvA Data'!$E$2:$E$1576,$D530)</f>
        <v>0</v>
      </c>
      <c r="G530" s="36">
        <f t="shared" si="36"/>
        <v>0</v>
      </c>
      <c r="H530" s="20">
        <f>SUMIFS('PvA Data'!$G$2:$G$1576,'PvA Data'!$A$2:$A$1576,$A530,'PvA Data'!$E$2:$E$1576,$D530,'PvA Data'!$C$2:$C$1576,"Nahunta")</f>
        <v>0</v>
      </c>
      <c r="I530" s="20">
        <f>SUMIFS('PvA Data'!$G$2:$G$1576,'PvA Data'!$A$2:$A$1576,$A530,'PvA Data'!$E$2:$E$1576,$D530,'PvA Data'!$C$2:$C$1576,"Martin")</f>
        <v>0</v>
      </c>
      <c r="J530" s="20">
        <f>SUMIFS('PvA Data'!$G$2:$G$1576,'PvA Data'!$A$2:$A$1576,$A530,'PvA Data'!$E$2:$E$1576,$D530,'PvA Data'!$C$2:$C$1576,"Custom")</f>
        <v>0</v>
      </c>
      <c r="K530" s="36" t="str">
        <f t="shared" si="37"/>
        <v/>
      </c>
      <c r="L530" s="36" t="str">
        <f t="shared" si="38"/>
        <v/>
      </c>
      <c r="M530" s="36" t="str">
        <f t="shared" si="39"/>
        <v/>
      </c>
    </row>
    <row r="531" spans="1:13" ht="15" customHeight="1" x14ac:dyDescent="0.75">
      <c r="A531" s="18" t="s">
        <v>87</v>
      </c>
      <c r="B531" s="19">
        <v>46181</v>
      </c>
      <c r="C531" s="17">
        <v>666521</v>
      </c>
      <c r="D531" s="18" t="s">
        <v>31</v>
      </c>
      <c r="E531" s="20">
        <f>SUMIFS('PvA Data'!$F$2:$F$1576,'PvA Data'!$A$2:$A$1576,$A531,'PvA Data'!$E$2:$E$1576,$D531)</f>
        <v>24</v>
      </c>
      <c r="F531" s="20">
        <f>SUMIFS('PvA Data'!$G$2:$G$1576,'PvA Data'!$A$2:$A$1576,$A531,'PvA Data'!$E$2:$E$1576,$D531)</f>
        <v>0</v>
      </c>
      <c r="G531" s="36">
        <f t="shared" si="36"/>
        <v>0</v>
      </c>
      <c r="H531" s="20">
        <f>SUMIFS('PvA Data'!$G$2:$G$1576,'PvA Data'!$A$2:$A$1576,$A531,'PvA Data'!$E$2:$E$1576,$D531,'PvA Data'!$C$2:$C$1576,"Nahunta")</f>
        <v>0</v>
      </c>
      <c r="I531" s="20">
        <f>SUMIFS('PvA Data'!$G$2:$G$1576,'PvA Data'!$A$2:$A$1576,$A531,'PvA Data'!$E$2:$E$1576,$D531,'PvA Data'!$C$2:$C$1576,"Martin")</f>
        <v>0</v>
      </c>
      <c r="J531" s="20">
        <f>SUMIFS('PvA Data'!$G$2:$G$1576,'PvA Data'!$A$2:$A$1576,$A531,'PvA Data'!$E$2:$E$1576,$D531,'PvA Data'!$C$2:$C$1576,"Custom")</f>
        <v>0</v>
      </c>
      <c r="K531" s="36" t="str">
        <f t="shared" si="37"/>
        <v/>
      </c>
      <c r="L531" s="36" t="str">
        <f t="shared" si="38"/>
        <v/>
      </c>
      <c r="M531" s="36" t="str">
        <f t="shared" si="39"/>
        <v/>
      </c>
    </row>
    <row r="532" spans="1:13" ht="15" customHeight="1" x14ac:dyDescent="0.75">
      <c r="A532" s="18" t="s">
        <v>87</v>
      </c>
      <c r="B532" s="19">
        <v>46181</v>
      </c>
      <c r="C532" s="17">
        <v>666522</v>
      </c>
      <c r="D532" s="18" t="s">
        <v>33</v>
      </c>
      <c r="E532" s="20">
        <f>SUMIFS('PvA Data'!$F$2:$F$1576,'PvA Data'!$A$2:$A$1576,$A532,'PvA Data'!$E$2:$E$1576,$D532)</f>
        <v>152.5</v>
      </c>
      <c r="F532" s="20">
        <f>SUMIFS('PvA Data'!$G$2:$G$1576,'PvA Data'!$A$2:$A$1576,$A532,'PvA Data'!$E$2:$E$1576,$D532)</f>
        <v>70</v>
      </c>
      <c r="G532" s="36">
        <f t="shared" si="36"/>
        <v>0.45901639344262296</v>
      </c>
      <c r="H532" s="20">
        <f>SUMIFS('PvA Data'!$G$2:$G$1576,'PvA Data'!$A$2:$A$1576,$A532,'PvA Data'!$E$2:$E$1576,$D532,'PvA Data'!$C$2:$C$1576,"Nahunta")</f>
        <v>70</v>
      </c>
      <c r="I532" s="20">
        <f>SUMIFS('PvA Data'!$G$2:$G$1576,'PvA Data'!$A$2:$A$1576,$A532,'PvA Data'!$E$2:$E$1576,$D532,'PvA Data'!$C$2:$C$1576,"Martin")</f>
        <v>0</v>
      </c>
      <c r="J532" s="20">
        <f>SUMIFS('PvA Data'!$G$2:$G$1576,'PvA Data'!$A$2:$A$1576,$A532,'PvA Data'!$E$2:$E$1576,$D532,'PvA Data'!$C$2:$C$1576,"Custom")</f>
        <v>0</v>
      </c>
      <c r="K532" s="36">
        <f t="shared" si="37"/>
        <v>1</v>
      </c>
      <c r="L532" s="36">
        <f t="shared" si="38"/>
        <v>0</v>
      </c>
      <c r="M532" s="36">
        <f t="shared" si="39"/>
        <v>0</v>
      </c>
    </row>
    <row r="533" spans="1:13" ht="15" customHeight="1" x14ac:dyDescent="0.75">
      <c r="A533" s="18" t="s">
        <v>87</v>
      </c>
      <c r="B533" s="19">
        <v>46181</v>
      </c>
      <c r="C533" s="17">
        <v>666523</v>
      </c>
      <c r="D533" s="18" t="s">
        <v>35</v>
      </c>
      <c r="E533" s="20">
        <f>SUMIFS('PvA Data'!$F$2:$F$1576,'PvA Data'!$A$2:$A$1576,$A533,'PvA Data'!$E$2:$E$1576,$D533)</f>
        <v>14</v>
      </c>
      <c r="F533" s="20">
        <f>SUMIFS('PvA Data'!$G$2:$G$1576,'PvA Data'!$A$2:$A$1576,$A533,'PvA Data'!$E$2:$E$1576,$D533)</f>
        <v>0</v>
      </c>
      <c r="G533" s="36">
        <f t="shared" si="36"/>
        <v>0</v>
      </c>
      <c r="H533" s="20">
        <f>SUMIFS('PvA Data'!$G$2:$G$1576,'PvA Data'!$A$2:$A$1576,$A533,'PvA Data'!$E$2:$E$1576,$D533,'PvA Data'!$C$2:$C$1576,"Nahunta")</f>
        <v>0</v>
      </c>
      <c r="I533" s="20">
        <f>SUMIFS('PvA Data'!$G$2:$G$1576,'PvA Data'!$A$2:$A$1576,$A533,'PvA Data'!$E$2:$E$1576,$D533,'PvA Data'!$C$2:$C$1576,"Martin")</f>
        <v>0</v>
      </c>
      <c r="J533" s="20">
        <f>SUMIFS('PvA Data'!$G$2:$G$1576,'PvA Data'!$A$2:$A$1576,$A533,'PvA Data'!$E$2:$E$1576,$D533,'PvA Data'!$C$2:$C$1576,"Custom")</f>
        <v>0</v>
      </c>
      <c r="K533" s="36" t="str">
        <f t="shared" si="37"/>
        <v/>
      </c>
      <c r="L533" s="36" t="str">
        <f t="shared" si="38"/>
        <v/>
      </c>
      <c r="M533" s="36" t="str">
        <f t="shared" si="39"/>
        <v/>
      </c>
    </row>
    <row r="534" spans="1:13" ht="15" customHeight="1" x14ac:dyDescent="0.75">
      <c r="A534" s="18" t="s">
        <v>87</v>
      </c>
      <c r="B534" s="19">
        <v>46181</v>
      </c>
      <c r="C534" s="17">
        <v>666530</v>
      </c>
      <c r="D534" s="18" t="s">
        <v>37</v>
      </c>
      <c r="E534" s="20">
        <f>SUMIFS('PvA Data'!$F$2:$F$1576,'PvA Data'!$A$2:$A$1576,$A534,'PvA Data'!$E$2:$E$1576,$D534)</f>
        <v>9</v>
      </c>
      <c r="F534" s="20">
        <f>SUMIFS('PvA Data'!$G$2:$G$1576,'PvA Data'!$A$2:$A$1576,$A534,'PvA Data'!$E$2:$E$1576,$D534)</f>
        <v>0</v>
      </c>
      <c r="G534" s="36">
        <f t="shared" si="36"/>
        <v>0</v>
      </c>
      <c r="H534" s="20">
        <f>SUMIFS('PvA Data'!$G$2:$G$1576,'PvA Data'!$A$2:$A$1576,$A534,'PvA Data'!$E$2:$E$1576,$D534,'PvA Data'!$C$2:$C$1576,"Nahunta")</f>
        <v>0</v>
      </c>
      <c r="I534" s="20">
        <f>SUMIFS('PvA Data'!$G$2:$G$1576,'PvA Data'!$A$2:$A$1576,$A534,'PvA Data'!$E$2:$E$1576,$D534,'PvA Data'!$C$2:$C$1576,"Martin")</f>
        <v>0</v>
      </c>
      <c r="J534" s="20">
        <f>SUMIFS('PvA Data'!$G$2:$G$1576,'PvA Data'!$A$2:$A$1576,$A534,'PvA Data'!$E$2:$E$1576,$D534,'PvA Data'!$C$2:$C$1576,"Custom")</f>
        <v>0</v>
      </c>
      <c r="K534" s="36" t="str">
        <f t="shared" si="37"/>
        <v/>
      </c>
      <c r="L534" s="36" t="str">
        <f t="shared" si="38"/>
        <v/>
      </c>
      <c r="M534" s="36" t="str">
        <f t="shared" si="39"/>
        <v/>
      </c>
    </row>
    <row r="535" spans="1:13" ht="15" customHeight="1" x14ac:dyDescent="0.75">
      <c r="A535" s="18" t="s">
        <v>87</v>
      </c>
      <c r="B535" s="19">
        <v>46181</v>
      </c>
      <c r="C535" s="17">
        <v>666531</v>
      </c>
      <c r="D535" s="18" t="s">
        <v>39</v>
      </c>
      <c r="E535" s="20">
        <f>SUMIFS('PvA Data'!$F$2:$F$1576,'PvA Data'!$A$2:$A$1576,$A535,'PvA Data'!$E$2:$E$1576,$D535)</f>
        <v>14</v>
      </c>
      <c r="F535" s="20">
        <f>SUMIFS('PvA Data'!$G$2:$G$1576,'PvA Data'!$A$2:$A$1576,$A535,'PvA Data'!$E$2:$E$1576,$D535)</f>
        <v>0</v>
      </c>
      <c r="G535" s="36">
        <f t="shared" si="36"/>
        <v>0</v>
      </c>
      <c r="H535" s="20">
        <f>SUMIFS('PvA Data'!$G$2:$G$1576,'PvA Data'!$A$2:$A$1576,$A535,'PvA Data'!$E$2:$E$1576,$D535,'PvA Data'!$C$2:$C$1576,"Nahunta")</f>
        <v>0</v>
      </c>
      <c r="I535" s="20">
        <f>SUMIFS('PvA Data'!$G$2:$G$1576,'PvA Data'!$A$2:$A$1576,$A535,'PvA Data'!$E$2:$E$1576,$D535,'PvA Data'!$C$2:$C$1576,"Martin")</f>
        <v>0</v>
      </c>
      <c r="J535" s="20">
        <f>SUMIFS('PvA Data'!$G$2:$G$1576,'PvA Data'!$A$2:$A$1576,$A535,'PvA Data'!$E$2:$E$1576,$D535,'PvA Data'!$C$2:$C$1576,"Custom")</f>
        <v>0</v>
      </c>
      <c r="K535" s="36" t="str">
        <f t="shared" si="37"/>
        <v/>
      </c>
      <c r="L535" s="36" t="str">
        <f t="shared" si="38"/>
        <v/>
      </c>
      <c r="M535" s="36" t="str">
        <f t="shared" si="39"/>
        <v/>
      </c>
    </row>
    <row r="536" spans="1:13" ht="15" customHeight="1" x14ac:dyDescent="0.75">
      <c r="A536" s="18" t="s">
        <v>87</v>
      </c>
      <c r="B536" s="19">
        <v>46181</v>
      </c>
      <c r="C536" s="17">
        <v>666540</v>
      </c>
      <c r="D536" s="18" t="s">
        <v>40</v>
      </c>
      <c r="E536" s="20">
        <f>SUMIFS('PvA Data'!$F$2:$F$1576,'PvA Data'!$A$2:$A$1576,$A536,'PvA Data'!$E$2:$E$1576,$D536)</f>
        <v>20</v>
      </c>
      <c r="F536" s="20">
        <f>SUMIFS('PvA Data'!$G$2:$G$1576,'PvA Data'!$A$2:$A$1576,$A536,'PvA Data'!$E$2:$E$1576,$D536)</f>
        <v>0</v>
      </c>
      <c r="G536" s="36">
        <f t="shared" si="36"/>
        <v>0</v>
      </c>
      <c r="H536" s="20">
        <f>SUMIFS('PvA Data'!$G$2:$G$1576,'PvA Data'!$A$2:$A$1576,$A536,'PvA Data'!$E$2:$E$1576,$D536,'PvA Data'!$C$2:$C$1576,"Nahunta")</f>
        <v>0</v>
      </c>
      <c r="I536" s="20">
        <f>SUMIFS('PvA Data'!$G$2:$G$1576,'PvA Data'!$A$2:$A$1576,$A536,'PvA Data'!$E$2:$E$1576,$D536,'PvA Data'!$C$2:$C$1576,"Martin")</f>
        <v>0</v>
      </c>
      <c r="J536" s="20">
        <f>SUMIFS('PvA Data'!$G$2:$G$1576,'PvA Data'!$A$2:$A$1576,$A536,'PvA Data'!$E$2:$E$1576,$D536,'PvA Data'!$C$2:$C$1576,"Custom")</f>
        <v>0</v>
      </c>
      <c r="K536" s="36" t="str">
        <f t="shared" si="37"/>
        <v/>
      </c>
      <c r="L536" s="36" t="str">
        <f t="shared" si="38"/>
        <v/>
      </c>
      <c r="M536" s="36" t="str">
        <f t="shared" si="39"/>
        <v/>
      </c>
    </row>
    <row r="537" spans="1:13" ht="15" customHeight="1" x14ac:dyDescent="0.75">
      <c r="A537" s="18" t="s">
        <v>87</v>
      </c>
      <c r="B537" s="19">
        <v>46181</v>
      </c>
      <c r="C537" s="17">
        <v>666541</v>
      </c>
      <c r="D537" s="18" t="s">
        <v>41</v>
      </c>
      <c r="E537" s="20">
        <f>SUMIFS('PvA Data'!$F$2:$F$1576,'PvA Data'!$A$2:$A$1576,$A537,'PvA Data'!$E$2:$E$1576,$D537)</f>
        <v>250</v>
      </c>
      <c r="F537" s="20">
        <f>SUMIFS('PvA Data'!$G$2:$G$1576,'PvA Data'!$A$2:$A$1576,$A537,'PvA Data'!$E$2:$E$1576,$D537)</f>
        <v>105</v>
      </c>
      <c r="G537" s="36">
        <f t="shared" si="36"/>
        <v>0.42</v>
      </c>
      <c r="H537" s="20">
        <f>SUMIFS('PvA Data'!$G$2:$G$1576,'PvA Data'!$A$2:$A$1576,$A537,'PvA Data'!$E$2:$E$1576,$D537,'PvA Data'!$C$2:$C$1576,"Nahunta")</f>
        <v>0</v>
      </c>
      <c r="I537" s="20">
        <f>SUMIFS('PvA Data'!$G$2:$G$1576,'PvA Data'!$A$2:$A$1576,$A537,'PvA Data'!$E$2:$E$1576,$D537,'PvA Data'!$C$2:$C$1576,"Martin")</f>
        <v>105</v>
      </c>
      <c r="J537" s="20">
        <f>SUMIFS('PvA Data'!$G$2:$G$1576,'PvA Data'!$A$2:$A$1576,$A537,'PvA Data'!$E$2:$E$1576,$D537,'PvA Data'!$C$2:$C$1576,"Custom")</f>
        <v>0</v>
      </c>
      <c r="K537" s="36">
        <f t="shared" si="37"/>
        <v>0</v>
      </c>
      <c r="L537" s="36">
        <f t="shared" si="38"/>
        <v>1</v>
      </c>
      <c r="M537" s="36">
        <f t="shared" si="39"/>
        <v>0</v>
      </c>
    </row>
    <row r="538" spans="1:13" ht="15" customHeight="1" x14ac:dyDescent="0.75">
      <c r="A538" s="18" t="s">
        <v>87</v>
      </c>
      <c r="B538" s="19">
        <v>46181</v>
      </c>
      <c r="C538" s="17">
        <v>666536</v>
      </c>
      <c r="D538" s="18" t="s">
        <v>43</v>
      </c>
      <c r="E538" s="20">
        <f>SUMIFS('PvA Data'!$F$2:$F$1576,'PvA Data'!$A$2:$A$1576,$A538,'PvA Data'!$E$2:$E$1576,$D538)</f>
        <v>20</v>
      </c>
      <c r="F538" s="20">
        <f>SUMIFS('PvA Data'!$G$2:$G$1576,'PvA Data'!$A$2:$A$1576,$A538,'PvA Data'!$E$2:$E$1576,$D538)</f>
        <v>7</v>
      </c>
      <c r="G538" s="36">
        <f t="shared" si="36"/>
        <v>0.35</v>
      </c>
      <c r="H538" s="20">
        <f>SUMIFS('PvA Data'!$G$2:$G$1576,'PvA Data'!$A$2:$A$1576,$A538,'PvA Data'!$E$2:$E$1576,$D538,'PvA Data'!$C$2:$C$1576,"Nahunta")</f>
        <v>7</v>
      </c>
      <c r="I538" s="20">
        <f>SUMIFS('PvA Data'!$G$2:$G$1576,'PvA Data'!$A$2:$A$1576,$A538,'PvA Data'!$E$2:$E$1576,$D538,'PvA Data'!$C$2:$C$1576,"Martin")</f>
        <v>0</v>
      </c>
      <c r="J538" s="20">
        <f>SUMIFS('PvA Data'!$G$2:$G$1576,'PvA Data'!$A$2:$A$1576,$A538,'PvA Data'!$E$2:$E$1576,$D538,'PvA Data'!$C$2:$C$1576,"Custom")</f>
        <v>0</v>
      </c>
      <c r="K538" s="36">
        <f t="shared" si="37"/>
        <v>1</v>
      </c>
      <c r="L538" s="36">
        <f t="shared" si="38"/>
        <v>0</v>
      </c>
      <c r="M538" s="36">
        <f t="shared" si="39"/>
        <v>0</v>
      </c>
    </row>
    <row r="539" spans="1:13" ht="15" customHeight="1" x14ac:dyDescent="0.75">
      <c r="A539" s="18" t="s">
        <v>88</v>
      </c>
      <c r="B539" s="19">
        <v>46188</v>
      </c>
      <c r="C539" s="17">
        <v>666501</v>
      </c>
      <c r="D539" s="18" t="s">
        <v>5</v>
      </c>
      <c r="E539" s="20">
        <f>SUMIFS('PvA Data'!$F$2:$F$1576,'PvA Data'!$A$2:$A$1576,$A539,'PvA Data'!$E$2:$E$1576,$D539)</f>
        <v>235.5</v>
      </c>
      <c r="F539" s="20">
        <f>SUMIFS('PvA Data'!$G$2:$G$1576,'PvA Data'!$A$2:$A$1576,$A539,'PvA Data'!$E$2:$E$1576,$D539)</f>
        <v>299</v>
      </c>
      <c r="G539" s="36">
        <f t="shared" si="36"/>
        <v>1.2696390658174097</v>
      </c>
      <c r="H539" s="20">
        <f>SUMIFS('PvA Data'!$G$2:$G$1576,'PvA Data'!$A$2:$A$1576,$A539,'PvA Data'!$E$2:$E$1576,$D539,'PvA Data'!$C$2:$C$1576,"Nahunta")</f>
        <v>42</v>
      </c>
      <c r="I539" s="20">
        <f>SUMIFS('PvA Data'!$G$2:$G$1576,'PvA Data'!$A$2:$A$1576,$A539,'PvA Data'!$E$2:$E$1576,$D539,'PvA Data'!$C$2:$C$1576,"Martin")</f>
        <v>239</v>
      </c>
      <c r="J539" s="20">
        <f>SUMIFS('PvA Data'!$G$2:$G$1576,'PvA Data'!$A$2:$A$1576,$A539,'PvA Data'!$E$2:$E$1576,$D539,'PvA Data'!$C$2:$C$1576,"Custom")</f>
        <v>18</v>
      </c>
      <c r="K539" s="36">
        <f t="shared" si="37"/>
        <v>0.14046822742474915</v>
      </c>
      <c r="L539" s="36">
        <f t="shared" si="38"/>
        <v>0.79933110367892979</v>
      </c>
      <c r="M539" s="36">
        <f t="shared" si="39"/>
        <v>6.0200668896321072E-2</v>
      </c>
    </row>
    <row r="540" spans="1:13" ht="15" customHeight="1" x14ac:dyDescent="0.75">
      <c r="A540" s="18" t="s">
        <v>88</v>
      </c>
      <c r="B540" s="19">
        <v>46188</v>
      </c>
      <c r="C540" s="17">
        <v>666502</v>
      </c>
      <c r="D540" s="18" t="s">
        <v>7</v>
      </c>
      <c r="E540" s="20">
        <f>SUMIFS('PvA Data'!$F$2:$F$1576,'PvA Data'!$A$2:$A$1576,$A540,'PvA Data'!$E$2:$E$1576,$D540)</f>
        <v>156</v>
      </c>
      <c r="F540" s="20">
        <f>SUMIFS('PvA Data'!$G$2:$G$1576,'PvA Data'!$A$2:$A$1576,$A540,'PvA Data'!$E$2:$E$1576,$D540)</f>
        <v>136</v>
      </c>
      <c r="G540" s="36">
        <f t="shared" si="36"/>
        <v>0.87179487179487181</v>
      </c>
      <c r="H540" s="20">
        <f>SUMIFS('PvA Data'!$G$2:$G$1576,'PvA Data'!$A$2:$A$1576,$A540,'PvA Data'!$E$2:$E$1576,$D540,'PvA Data'!$C$2:$C$1576,"Nahunta")</f>
        <v>0</v>
      </c>
      <c r="I540" s="20">
        <f>SUMIFS('PvA Data'!$G$2:$G$1576,'PvA Data'!$A$2:$A$1576,$A540,'PvA Data'!$E$2:$E$1576,$D540,'PvA Data'!$C$2:$C$1576,"Martin")</f>
        <v>91</v>
      </c>
      <c r="J540" s="20">
        <f>SUMIFS('PvA Data'!$G$2:$G$1576,'PvA Data'!$A$2:$A$1576,$A540,'PvA Data'!$E$2:$E$1576,$D540,'PvA Data'!$C$2:$C$1576,"Custom")</f>
        <v>45</v>
      </c>
      <c r="K540" s="36">
        <f t="shared" si="37"/>
        <v>0</v>
      </c>
      <c r="L540" s="36">
        <f t="shared" si="38"/>
        <v>0.66911764705882348</v>
      </c>
      <c r="M540" s="36">
        <f t="shared" si="39"/>
        <v>0.33088235294117646</v>
      </c>
    </row>
    <row r="541" spans="1:13" ht="15" customHeight="1" x14ac:dyDescent="0.75">
      <c r="A541" s="18" t="s">
        <v>88</v>
      </c>
      <c r="B541" s="19">
        <v>46188</v>
      </c>
      <c r="C541" s="17">
        <v>666505</v>
      </c>
      <c r="D541" s="18" t="s">
        <v>9</v>
      </c>
      <c r="E541" s="20">
        <f>SUMIFS('PvA Data'!$F$2:$F$1576,'PvA Data'!$A$2:$A$1576,$A541,'PvA Data'!$E$2:$E$1576,$D541)</f>
        <v>20</v>
      </c>
      <c r="F541" s="20">
        <f>SUMIFS('PvA Data'!$G$2:$G$1576,'PvA Data'!$A$2:$A$1576,$A541,'PvA Data'!$E$2:$E$1576,$D541)</f>
        <v>40</v>
      </c>
      <c r="G541" s="36">
        <f t="shared" si="36"/>
        <v>2</v>
      </c>
      <c r="H541" s="20">
        <f>SUMIFS('PvA Data'!$G$2:$G$1576,'PvA Data'!$A$2:$A$1576,$A541,'PvA Data'!$E$2:$E$1576,$D541,'PvA Data'!$C$2:$C$1576,"Nahunta")</f>
        <v>13</v>
      </c>
      <c r="I541" s="20">
        <f>SUMIFS('PvA Data'!$G$2:$G$1576,'PvA Data'!$A$2:$A$1576,$A541,'PvA Data'!$E$2:$E$1576,$D541,'PvA Data'!$C$2:$C$1576,"Martin")</f>
        <v>0</v>
      </c>
      <c r="J541" s="20">
        <f>SUMIFS('PvA Data'!$G$2:$G$1576,'PvA Data'!$A$2:$A$1576,$A541,'PvA Data'!$E$2:$E$1576,$D541,'PvA Data'!$C$2:$C$1576,"Custom")</f>
        <v>27</v>
      </c>
      <c r="K541" s="36">
        <f t="shared" si="37"/>
        <v>0.32500000000000001</v>
      </c>
      <c r="L541" s="36">
        <f t="shared" si="38"/>
        <v>0</v>
      </c>
      <c r="M541" s="36">
        <f t="shared" si="39"/>
        <v>0.67500000000000004</v>
      </c>
    </row>
    <row r="542" spans="1:13" ht="15" customHeight="1" x14ac:dyDescent="0.75">
      <c r="A542" s="18" t="s">
        <v>88</v>
      </c>
      <c r="B542" s="19">
        <v>46188</v>
      </c>
      <c r="C542" s="17">
        <v>666506</v>
      </c>
      <c r="D542" s="18" t="s">
        <v>11</v>
      </c>
      <c r="E542" s="20">
        <f>SUMIFS('PvA Data'!$F$2:$F$1576,'PvA Data'!$A$2:$A$1576,$A542,'PvA Data'!$E$2:$E$1576,$D542)</f>
        <v>72</v>
      </c>
      <c r="F542" s="20">
        <f>SUMIFS('PvA Data'!$G$2:$G$1576,'PvA Data'!$A$2:$A$1576,$A542,'PvA Data'!$E$2:$E$1576,$D542)</f>
        <v>132</v>
      </c>
      <c r="G542" s="36">
        <f t="shared" si="36"/>
        <v>1.8333333333333333</v>
      </c>
      <c r="H542" s="20">
        <f>SUMIFS('PvA Data'!$G$2:$G$1576,'PvA Data'!$A$2:$A$1576,$A542,'PvA Data'!$E$2:$E$1576,$D542,'PvA Data'!$C$2:$C$1576,"Nahunta")</f>
        <v>0</v>
      </c>
      <c r="I542" s="20">
        <f>SUMIFS('PvA Data'!$G$2:$G$1576,'PvA Data'!$A$2:$A$1576,$A542,'PvA Data'!$E$2:$E$1576,$D542,'PvA Data'!$C$2:$C$1576,"Martin")</f>
        <v>132</v>
      </c>
      <c r="J542" s="20">
        <f>SUMIFS('PvA Data'!$G$2:$G$1576,'PvA Data'!$A$2:$A$1576,$A542,'PvA Data'!$E$2:$E$1576,$D542,'PvA Data'!$C$2:$C$1576,"Custom")</f>
        <v>0</v>
      </c>
      <c r="K542" s="36">
        <f t="shared" si="37"/>
        <v>0</v>
      </c>
      <c r="L542" s="36">
        <f t="shared" si="38"/>
        <v>1</v>
      </c>
      <c r="M542" s="36">
        <f t="shared" si="39"/>
        <v>0</v>
      </c>
    </row>
    <row r="543" spans="1:13" ht="15" customHeight="1" x14ac:dyDescent="0.75">
      <c r="A543" s="18" t="s">
        <v>88</v>
      </c>
      <c r="B543" s="19">
        <v>46188</v>
      </c>
      <c r="C543" s="17">
        <v>666507</v>
      </c>
      <c r="D543" s="18" t="s">
        <v>13</v>
      </c>
      <c r="E543" s="20">
        <f>SUMIFS('PvA Data'!$F$2:$F$1576,'PvA Data'!$A$2:$A$1576,$A543,'PvA Data'!$E$2:$E$1576,$D543)</f>
        <v>4</v>
      </c>
      <c r="F543" s="20">
        <f>SUMIFS('PvA Data'!$G$2:$G$1576,'PvA Data'!$A$2:$A$1576,$A543,'PvA Data'!$E$2:$E$1576,$D543)</f>
        <v>0</v>
      </c>
      <c r="G543" s="36">
        <f t="shared" si="36"/>
        <v>0</v>
      </c>
      <c r="H543" s="20">
        <f>SUMIFS('PvA Data'!$G$2:$G$1576,'PvA Data'!$A$2:$A$1576,$A543,'PvA Data'!$E$2:$E$1576,$D543,'PvA Data'!$C$2:$C$1576,"Nahunta")</f>
        <v>0</v>
      </c>
      <c r="I543" s="20">
        <f>SUMIFS('PvA Data'!$G$2:$G$1576,'PvA Data'!$A$2:$A$1576,$A543,'PvA Data'!$E$2:$E$1576,$D543,'PvA Data'!$C$2:$C$1576,"Martin")</f>
        <v>0</v>
      </c>
      <c r="J543" s="20">
        <f>SUMIFS('PvA Data'!$G$2:$G$1576,'PvA Data'!$A$2:$A$1576,$A543,'PvA Data'!$E$2:$E$1576,$D543,'PvA Data'!$C$2:$C$1576,"Custom")</f>
        <v>0</v>
      </c>
      <c r="K543" s="36" t="str">
        <f t="shared" si="37"/>
        <v/>
      </c>
      <c r="L543" s="36" t="str">
        <f t="shared" si="38"/>
        <v/>
      </c>
      <c r="M543" s="36" t="str">
        <f t="shared" si="39"/>
        <v/>
      </c>
    </row>
    <row r="544" spans="1:13" ht="15" customHeight="1" x14ac:dyDescent="0.75">
      <c r="A544" s="18" t="s">
        <v>88</v>
      </c>
      <c r="B544" s="19">
        <v>46188</v>
      </c>
      <c r="C544" s="17">
        <v>666509</v>
      </c>
      <c r="D544" s="18" t="s">
        <v>15</v>
      </c>
      <c r="E544" s="20">
        <f>SUMIFS('PvA Data'!$F$2:$F$1576,'PvA Data'!$A$2:$A$1576,$A544,'PvA Data'!$E$2:$E$1576,$D544)</f>
        <v>25</v>
      </c>
      <c r="F544" s="20">
        <f>SUMIFS('PvA Data'!$G$2:$G$1576,'PvA Data'!$A$2:$A$1576,$A544,'PvA Data'!$E$2:$E$1576,$D544)</f>
        <v>20</v>
      </c>
      <c r="G544" s="36">
        <f t="shared" si="36"/>
        <v>0.8</v>
      </c>
      <c r="H544" s="20">
        <f>SUMIFS('PvA Data'!$G$2:$G$1576,'PvA Data'!$A$2:$A$1576,$A544,'PvA Data'!$E$2:$E$1576,$D544,'PvA Data'!$C$2:$C$1576,"Nahunta")</f>
        <v>20</v>
      </c>
      <c r="I544" s="20">
        <f>SUMIFS('PvA Data'!$G$2:$G$1576,'PvA Data'!$A$2:$A$1576,$A544,'PvA Data'!$E$2:$E$1576,$D544,'PvA Data'!$C$2:$C$1576,"Martin")</f>
        <v>0</v>
      </c>
      <c r="J544" s="20">
        <f>SUMIFS('PvA Data'!$G$2:$G$1576,'PvA Data'!$A$2:$A$1576,$A544,'PvA Data'!$E$2:$E$1576,$D544,'PvA Data'!$C$2:$C$1576,"Custom")</f>
        <v>0</v>
      </c>
      <c r="K544" s="36">
        <f t="shared" si="37"/>
        <v>1</v>
      </c>
      <c r="L544" s="36">
        <f t="shared" si="38"/>
        <v>0</v>
      </c>
      <c r="M544" s="36">
        <f t="shared" si="39"/>
        <v>0</v>
      </c>
    </row>
    <row r="545" spans="1:13" ht="15" customHeight="1" x14ac:dyDescent="0.75">
      <c r="A545" s="18" t="s">
        <v>88</v>
      </c>
      <c r="B545" s="19">
        <v>46188</v>
      </c>
      <c r="C545" s="17">
        <v>666510</v>
      </c>
      <c r="D545" s="18" t="s">
        <v>17</v>
      </c>
      <c r="E545" s="20">
        <f>SUMIFS('PvA Data'!$F$2:$F$1576,'PvA Data'!$A$2:$A$1576,$A545,'PvA Data'!$E$2:$E$1576,$D545)</f>
        <v>0</v>
      </c>
      <c r="F545" s="20">
        <f>SUMIFS('PvA Data'!$G$2:$G$1576,'PvA Data'!$A$2:$A$1576,$A545,'PvA Data'!$E$2:$E$1576,$D545)</f>
        <v>0</v>
      </c>
      <c r="G545" s="36" t="str">
        <f t="shared" si="36"/>
        <v/>
      </c>
      <c r="H545" s="20">
        <f>SUMIFS('PvA Data'!$G$2:$G$1576,'PvA Data'!$A$2:$A$1576,$A545,'PvA Data'!$E$2:$E$1576,$D545,'PvA Data'!$C$2:$C$1576,"Nahunta")</f>
        <v>0</v>
      </c>
      <c r="I545" s="20">
        <f>SUMIFS('PvA Data'!$G$2:$G$1576,'PvA Data'!$A$2:$A$1576,$A545,'PvA Data'!$E$2:$E$1576,$D545,'PvA Data'!$C$2:$C$1576,"Martin")</f>
        <v>0</v>
      </c>
      <c r="J545" s="20">
        <f>SUMIFS('PvA Data'!$G$2:$G$1576,'PvA Data'!$A$2:$A$1576,$A545,'PvA Data'!$E$2:$E$1576,$D545,'PvA Data'!$C$2:$C$1576,"Custom")</f>
        <v>0</v>
      </c>
      <c r="K545" s="36" t="str">
        <f t="shared" si="37"/>
        <v/>
      </c>
      <c r="L545" s="36" t="str">
        <f t="shared" si="38"/>
        <v/>
      </c>
      <c r="M545" s="36" t="str">
        <f t="shared" si="39"/>
        <v/>
      </c>
    </row>
    <row r="546" spans="1:13" ht="15" customHeight="1" x14ac:dyDescent="0.75">
      <c r="A546" s="18" t="s">
        <v>88</v>
      </c>
      <c r="B546" s="19">
        <v>46188</v>
      </c>
      <c r="C546" s="17">
        <v>666511</v>
      </c>
      <c r="D546" s="18" t="s">
        <v>19</v>
      </c>
      <c r="E546" s="20">
        <f>SUMIFS('PvA Data'!$F$2:$F$1576,'PvA Data'!$A$2:$A$1576,$A546,'PvA Data'!$E$2:$E$1576,$D546)</f>
        <v>2</v>
      </c>
      <c r="F546" s="20">
        <f>SUMIFS('PvA Data'!$G$2:$G$1576,'PvA Data'!$A$2:$A$1576,$A546,'PvA Data'!$E$2:$E$1576,$D546)</f>
        <v>0</v>
      </c>
      <c r="G546" s="36">
        <f t="shared" si="36"/>
        <v>0</v>
      </c>
      <c r="H546" s="20">
        <f>SUMIFS('PvA Data'!$G$2:$G$1576,'PvA Data'!$A$2:$A$1576,$A546,'PvA Data'!$E$2:$E$1576,$D546,'PvA Data'!$C$2:$C$1576,"Nahunta")</f>
        <v>0</v>
      </c>
      <c r="I546" s="20">
        <f>SUMIFS('PvA Data'!$G$2:$G$1576,'PvA Data'!$A$2:$A$1576,$A546,'PvA Data'!$E$2:$E$1576,$D546,'PvA Data'!$C$2:$C$1576,"Martin")</f>
        <v>0</v>
      </c>
      <c r="J546" s="20">
        <f>SUMIFS('PvA Data'!$G$2:$G$1576,'PvA Data'!$A$2:$A$1576,$A546,'PvA Data'!$E$2:$E$1576,$D546,'PvA Data'!$C$2:$C$1576,"Custom")</f>
        <v>0</v>
      </c>
      <c r="K546" s="36" t="str">
        <f t="shared" si="37"/>
        <v/>
      </c>
      <c r="L546" s="36" t="str">
        <f t="shared" si="38"/>
        <v/>
      </c>
      <c r="M546" s="36" t="str">
        <f t="shared" si="39"/>
        <v/>
      </c>
    </row>
    <row r="547" spans="1:13" ht="15" customHeight="1" x14ac:dyDescent="0.75">
      <c r="A547" s="18" t="s">
        <v>88</v>
      </c>
      <c r="B547" s="19">
        <v>46188</v>
      </c>
      <c r="C547" s="17">
        <v>666513</v>
      </c>
      <c r="D547" s="18" t="s">
        <v>21</v>
      </c>
      <c r="E547" s="20">
        <f>SUMIFS('PvA Data'!$F$2:$F$1576,'PvA Data'!$A$2:$A$1576,$A547,'PvA Data'!$E$2:$E$1576,$D547)</f>
        <v>24</v>
      </c>
      <c r="F547" s="20">
        <f>SUMIFS('PvA Data'!$G$2:$G$1576,'PvA Data'!$A$2:$A$1576,$A547,'PvA Data'!$E$2:$E$1576,$D547)</f>
        <v>48</v>
      </c>
      <c r="G547" s="36">
        <f t="shared" ref="G547:G610" si="40">IF(E547=0,"",F547/E547)</f>
        <v>2</v>
      </c>
      <c r="H547" s="20">
        <f>SUMIFS('PvA Data'!$G$2:$G$1576,'PvA Data'!$A$2:$A$1576,$A547,'PvA Data'!$E$2:$E$1576,$D547,'PvA Data'!$C$2:$C$1576,"Nahunta")</f>
        <v>14</v>
      </c>
      <c r="I547" s="20">
        <f>SUMIFS('PvA Data'!$G$2:$G$1576,'PvA Data'!$A$2:$A$1576,$A547,'PvA Data'!$E$2:$E$1576,$D547,'PvA Data'!$C$2:$C$1576,"Martin")</f>
        <v>0</v>
      </c>
      <c r="J547" s="20">
        <f>SUMIFS('PvA Data'!$G$2:$G$1576,'PvA Data'!$A$2:$A$1576,$A547,'PvA Data'!$E$2:$E$1576,$D547,'PvA Data'!$C$2:$C$1576,"Custom")</f>
        <v>34</v>
      </c>
      <c r="K547" s="36">
        <f t="shared" ref="K547:K559" si="41">IF($F547=0,"",H547/$F547)</f>
        <v>0.29166666666666669</v>
      </c>
      <c r="L547" s="36">
        <f t="shared" ref="L547:L559" si="42">IF($F547=0,"",I547/$F547)</f>
        <v>0</v>
      </c>
      <c r="M547" s="36">
        <f t="shared" ref="M547:M559" si="43">IF($F547=0,"",J547/$F547)</f>
        <v>0.70833333333333337</v>
      </c>
    </row>
    <row r="548" spans="1:13" ht="15" customHeight="1" x14ac:dyDescent="0.75">
      <c r="A548" s="18" t="s">
        <v>88</v>
      </c>
      <c r="B548" s="19">
        <v>46188</v>
      </c>
      <c r="C548" s="17">
        <v>666516</v>
      </c>
      <c r="D548" s="18" t="s">
        <v>23</v>
      </c>
      <c r="E548" s="20">
        <f>SUMIFS('PvA Data'!$F$2:$F$1576,'PvA Data'!$A$2:$A$1576,$A548,'PvA Data'!$E$2:$E$1576,$D548)</f>
        <v>16</v>
      </c>
      <c r="F548" s="20">
        <f>SUMIFS('PvA Data'!$G$2:$G$1576,'PvA Data'!$A$2:$A$1576,$A548,'PvA Data'!$E$2:$E$1576,$D548)</f>
        <v>32</v>
      </c>
      <c r="G548" s="36">
        <f t="shared" si="40"/>
        <v>2</v>
      </c>
      <c r="H548" s="20">
        <f>SUMIFS('PvA Data'!$G$2:$G$1576,'PvA Data'!$A$2:$A$1576,$A548,'PvA Data'!$E$2:$E$1576,$D548,'PvA Data'!$C$2:$C$1576,"Nahunta")</f>
        <v>16</v>
      </c>
      <c r="I548" s="20">
        <f>SUMIFS('PvA Data'!$G$2:$G$1576,'PvA Data'!$A$2:$A$1576,$A548,'PvA Data'!$E$2:$E$1576,$D548,'PvA Data'!$C$2:$C$1576,"Martin")</f>
        <v>0</v>
      </c>
      <c r="J548" s="20">
        <f>SUMIFS('PvA Data'!$G$2:$G$1576,'PvA Data'!$A$2:$A$1576,$A548,'PvA Data'!$E$2:$E$1576,$D548,'PvA Data'!$C$2:$C$1576,"Custom")</f>
        <v>16</v>
      </c>
      <c r="K548" s="36">
        <f t="shared" si="41"/>
        <v>0.5</v>
      </c>
      <c r="L548" s="36">
        <f t="shared" si="42"/>
        <v>0</v>
      </c>
      <c r="M548" s="36">
        <f t="shared" si="43"/>
        <v>0.5</v>
      </c>
    </row>
    <row r="549" spans="1:13" ht="15" customHeight="1" x14ac:dyDescent="0.75">
      <c r="A549" s="18" t="s">
        <v>88</v>
      </c>
      <c r="B549" s="19">
        <v>46188</v>
      </c>
      <c r="C549" s="17">
        <v>666517</v>
      </c>
      <c r="D549" s="18" t="s">
        <v>25</v>
      </c>
      <c r="E549" s="20">
        <f>SUMIFS('PvA Data'!$F$2:$F$1576,'PvA Data'!$A$2:$A$1576,$A549,'PvA Data'!$E$2:$E$1576,$D549)</f>
        <v>16</v>
      </c>
      <c r="F549" s="20">
        <f>SUMIFS('PvA Data'!$G$2:$G$1576,'PvA Data'!$A$2:$A$1576,$A549,'PvA Data'!$E$2:$E$1576,$D549)</f>
        <v>32</v>
      </c>
      <c r="G549" s="36">
        <f t="shared" si="40"/>
        <v>2</v>
      </c>
      <c r="H549" s="20">
        <f>SUMIFS('PvA Data'!$G$2:$G$1576,'PvA Data'!$A$2:$A$1576,$A549,'PvA Data'!$E$2:$E$1576,$D549,'PvA Data'!$C$2:$C$1576,"Nahunta")</f>
        <v>22</v>
      </c>
      <c r="I549" s="20">
        <f>SUMIFS('PvA Data'!$G$2:$G$1576,'PvA Data'!$A$2:$A$1576,$A549,'PvA Data'!$E$2:$E$1576,$D549,'PvA Data'!$C$2:$C$1576,"Martin")</f>
        <v>0</v>
      </c>
      <c r="J549" s="20">
        <f>SUMIFS('PvA Data'!$G$2:$G$1576,'PvA Data'!$A$2:$A$1576,$A549,'PvA Data'!$E$2:$E$1576,$D549,'PvA Data'!$C$2:$C$1576,"Custom")</f>
        <v>10</v>
      </c>
      <c r="K549" s="36">
        <f t="shared" si="41"/>
        <v>0.6875</v>
      </c>
      <c r="L549" s="36">
        <f t="shared" si="42"/>
        <v>0</v>
      </c>
      <c r="M549" s="36">
        <f t="shared" si="43"/>
        <v>0.3125</v>
      </c>
    </row>
    <row r="550" spans="1:13" ht="15" customHeight="1" x14ac:dyDescent="0.75">
      <c r="A550" s="18" t="s">
        <v>88</v>
      </c>
      <c r="B550" s="19">
        <v>46188</v>
      </c>
      <c r="C550" s="17">
        <v>666518</v>
      </c>
      <c r="D550" s="18" t="s">
        <v>27</v>
      </c>
      <c r="E550" s="20">
        <f>SUMIFS('PvA Data'!$F$2:$F$1576,'PvA Data'!$A$2:$A$1576,$A550,'PvA Data'!$E$2:$E$1576,$D550)</f>
        <v>0</v>
      </c>
      <c r="F550" s="20">
        <f>SUMIFS('PvA Data'!$G$2:$G$1576,'PvA Data'!$A$2:$A$1576,$A550,'PvA Data'!$E$2:$E$1576,$D550)</f>
        <v>0</v>
      </c>
      <c r="G550" s="36" t="str">
        <f t="shared" si="40"/>
        <v/>
      </c>
      <c r="H550" s="20">
        <f>SUMIFS('PvA Data'!$G$2:$G$1576,'PvA Data'!$A$2:$A$1576,$A550,'PvA Data'!$E$2:$E$1576,$D550,'PvA Data'!$C$2:$C$1576,"Nahunta")</f>
        <v>0</v>
      </c>
      <c r="I550" s="20">
        <f>SUMIFS('PvA Data'!$G$2:$G$1576,'PvA Data'!$A$2:$A$1576,$A550,'PvA Data'!$E$2:$E$1576,$D550,'PvA Data'!$C$2:$C$1576,"Martin")</f>
        <v>0</v>
      </c>
      <c r="J550" s="20">
        <f>SUMIFS('PvA Data'!$G$2:$G$1576,'PvA Data'!$A$2:$A$1576,$A550,'PvA Data'!$E$2:$E$1576,$D550,'PvA Data'!$C$2:$C$1576,"Custom")</f>
        <v>0</v>
      </c>
      <c r="K550" s="36" t="str">
        <f t="shared" si="41"/>
        <v/>
      </c>
      <c r="L550" s="36" t="str">
        <f t="shared" si="42"/>
        <v/>
      </c>
      <c r="M550" s="36" t="str">
        <f t="shared" si="43"/>
        <v/>
      </c>
    </row>
    <row r="551" spans="1:13" ht="15" customHeight="1" x14ac:dyDescent="0.75">
      <c r="A551" s="18" t="s">
        <v>88</v>
      </c>
      <c r="B551" s="19">
        <v>46188</v>
      </c>
      <c r="C551" s="17">
        <v>666519</v>
      </c>
      <c r="D551" s="18" t="s">
        <v>29</v>
      </c>
      <c r="E551" s="20">
        <f>SUMIFS('PvA Data'!$F$2:$F$1576,'PvA Data'!$A$2:$A$1576,$A551,'PvA Data'!$E$2:$E$1576,$D551)</f>
        <v>22</v>
      </c>
      <c r="F551" s="20">
        <f>SUMIFS('PvA Data'!$G$2:$G$1576,'PvA Data'!$A$2:$A$1576,$A551,'PvA Data'!$E$2:$E$1576,$D551)</f>
        <v>44</v>
      </c>
      <c r="G551" s="36">
        <f t="shared" si="40"/>
        <v>2</v>
      </c>
      <c r="H551" s="20">
        <f>SUMIFS('PvA Data'!$G$2:$G$1576,'PvA Data'!$A$2:$A$1576,$A551,'PvA Data'!$E$2:$E$1576,$D551,'PvA Data'!$C$2:$C$1576,"Nahunta")</f>
        <v>22</v>
      </c>
      <c r="I551" s="20">
        <f>SUMIFS('PvA Data'!$G$2:$G$1576,'PvA Data'!$A$2:$A$1576,$A551,'PvA Data'!$E$2:$E$1576,$D551,'PvA Data'!$C$2:$C$1576,"Martin")</f>
        <v>0</v>
      </c>
      <c r="J551" s="20">
        <f>SUMIFS('PvA Data'!$G$2:$G$1576,'PvA Data'!$A$2:$A$1576,$A551,'PvA Data'!$E$2:$E$1576,$D551,'PvA Data'!$C$2:$C$1576,"Custom")</f>
        <v>22</v>
      </c>
      <c r="K551" s="36">
        <f t="shared" si="41"/>
        <v>0.5</v>
      </c>
      <c r="L551" s="36">
        <f t="shared" si="42"/>
        <v>0</v>
      </c>
      <c r="M551" s="36">
        <f t="shared" si="43"/>
        <v>0.5</v>
      </c>
    </row>
    <row r="552" spans="1:13" ht="15" customHeight="1" x14ac:dyDescent="0.75">
      <c r="A552" s="18" t="s">
        <v>88</v>
      </c>
      <c r="B552" s="19">
        <v>46188</v>
      </c>
      <c r="C552" s="17">
        <v>666521</v>
      </c>
      <c r="D552" s="18" t="s">
        <v>31</v>
      </c>
      <c r="E552" s="20">
        <f>SUMIFS('PvA Data'!$F$2:$F$1576,'PvA Data'!$A$2:$A$1576,$A552,'PvA Data'!$E$2:$E$1576,$D552)</f>
        <v>18</v>
      </c>
      <c r="F552" s="20">
        <f>SUMIFS('PvA Data'!$G$2:$G$1576,'PvA Data'!$A$2:$A$1576,$A552,'PvA Data'!$E$2:$E$1576,$D552)</f>
        <v>24</v>
      </c>
      <c r="G552" s="36">
        <f t="shared" si="40"/>
        <v>1.3333333333333333</v>
      </c>
      <c r="H552" s="20">
        <f>SUMIFS('PvA Data'!$G$2:$G$1576,'PvA Data'!$A$2:$A$1576,$A552,'PvA Data'!$E$2:$E$1576,$D552,'PvA Data'!$C$2:$C$1576,"Nahunta")</f>
        <v>24</v>
      </c>
      <c r="I552" s="20">
        <f>SUMIFS('PvA Data'!$G$2:$G$1576,'PvA Data'!$A$2:$A$1576,$A552,'PvA Data'!$E$2:$E$1576,$D552,'PvA Data'!$C$2:$C$1576,"Martin")</f>
        <v>0</v>
      </c>
      <c r="J552" s="20">
        <f>SUMIFS('PvA Data'!$G$2:$G$1576,'PvA Data'!$A$2:$A$1576,$A552,'PvA Data'!$E$2:$E$1576,$D552,'PvA Data'!$C$2:$C$1576,"Custom")</f>
        <v>0</v>
      </c>
      <c r="K552" s="36">
        <f t="shared" si="41"/>
        <v>1</v>
      </c>
      <c r="L552" s="36">
        <f t="shared" si="42"/>
        <v>0</v>
      </c>
      <c r="M552" s="36">
        <f t="shared" si="43"/>
        <v>0</v>
      </c>
    </row>
    <row r="553" spans="1:13" ht="15" customHeight="1" x14ac:dyDescent="0.75">
      <c r="A553" s="18" t="s">
        <v>88</v>
      </c>
      <c r="B553" s="19">
        <v>46188</v>
      </c>
      <c r="C553" s="17">
        <v>666522</v>
      </c>
      <c r="D553" s="18" t="s">
        <v>33</v>
      </c>
      <c r="E553" s="20">
        <f>SUMIFS('PvA Data'!$F$2:$F$1576,'PvA Data'!$A$2:$A$1576,$A553,'PvA Data'!$E$2:$E$1576,$D553)</f>
        <v>180</v>
      </c>
      <c r="F553" s="20">
        <f>SUMIFS('PvA Data'!$G$2:$G$1576,'PvA Data'!$A$2:$A$1576,$A553,'PvA Data'!$E$2:$E$1576,$D553)</f>
        <v>180</v>
      </c>
      <c r="G553" s="36">
        <f t="shared" si="40"/>
        <v>1</v>
      </c>
      <c r="H553" s="20">
        <f>SUMIFS('PvA Data'!$G$2:$G$1576,'PvA Data'!$A$2:$A$1576,$A553,'PvA Data'!$E$2:$E$1576,$D553,'PvA Data'!$C$2:$C$1576,"Nahunta")</f>
        <v>55</v>
      </c>
      <c r="I553" s="20">
        <f>SUMIFS('PvA Data'!$G$2:$G$1576,'PvA Data'!$A$2:$A$1576,$A553,'PvA Data'!$E$2:$E$1576,$D553,'PvA Data'!$C$2:$C$1576,"Martin")</f>
        <v>0</v>
      </c>
      <c r="J553" s="20">
        <f>SUMIFS('PvA Data'!$G$2:$G$1576,'PvA Data'!$A$2:$A$1576,$A553,'PvA Data'!$E$2:$E$1576,$D553,'PvA Data'!$C$2:$C$1576,"Custom")</f>
        <v>125</v>
      </c>
      <c r="K553" s="36">
        <f t="shared" si="41"/>
        <v>0.30555555555555558</v>
      </c>
      <c r="L553" s="36">
        <f t="shared" si="42"/>
        <v>0</v>
      </c>
      <c r="M553" s="36">
        <f t="shared" si="43"/>
        <v>0.69444444444444442</v>
      </c>
    </row>
    <row r="554" spans="1:13" ht="15" customHeight="1" x14ac:dyDescent="0.75">
      <c r="A554" s="18" t="s">
        <v>88</v>
      </c>
      <c r="B554" s="19">
        <v>46188</v>
      </c>
      <c r="C554" s="17">
        <v>666523</v>
      </c>
      <c r="D554" s="18" t="s">
        <v>35</v>
      </c>
      <c r="E554" s="20">
        <f>SUMIFS('PvA Data'!$F$2:$F$1576,'PvA Data'!$A$2:$A$1576,$A554,'PvA Data'!$E$2:$E$1576,$D554)</f>
        <v>14</v>
      </c>
      <c r="F554" s="20">
        <f>SUMIFS('PvA Data'!$G$2:$G$1576,'PvA Data'!$A$2:$A$1576,$A554,'PvA Data'!$E$2:$E$1576,$D554)</f>
        <v>28</v>
      </c>
      <c r="G554" s="36">
        <f t="shared" si="40"/>
        <v>2</v>
      </c>
      <c r="H554" s="20">
        <f>SUMIFS('PvA Data'!$G$2:$G$1576,'PvA Data'!$A$2:$A$1576,$A554,'PvA Data'!$E$2:$E$1576,$D554,'PvA Data'!$C$2:$C$1576,"Nahunta")</f>
        <v>0</v>
      </c>
      <c r="I554" s="20">
        <f>SUMIFS('PvA Data'!$G$2:$G$1576,'PvA Data'!$A$2:$A$1576,$A554,'PvA Data'!$E$2:$E$1576,$D554,'PvA Data'!$C$2:$C$1576,"Martin")</f>
        <v>0</v>
      </c>
      <c r="J554" s="20">
        <f>SUMIFS('PvA Data'!$G$2:$G$1576,'PvA Data'!$A$2:$A$1576,$A554,'PvA Data'!$E$2:$E$1576,$D554,'PvA Data'!$C$2:$C$1576,"Custom")</f>
        <v>28</v>
      </c>
      <c r="K554" s="36">
        <f t="shared" si="41"/>
        <v>0</v>
      </c>
      <c r="L554" s="36">
        <f t="shared" si="42"/>
        <v>0</v>
      </c>
      <c r="M554" s="36">
        <f t="shared" si="43"/>
        <v>1</v>
      </c>
    </row>
    <row r="555" spans="1:13" ht="15" customHeight="1" x14ac:dyDescent="0.75">
      <c r="A555" s="18" t="s">
        <v>88</v>
      </c>
      <c r="B555" s="19">
        <v>46188</v>
      </c>
      <c r="C555" s="17">
        <v>666530</v>
      </c>
      <c r="D555" s="18" t="s">
        <v>37</v>
      </c>
      <c r="E555" s="20">
        <f>SUMIFS('PvA Data'!$F$2:$F$1576,'PvA Data'!$A$2:$A$1576,$A555,'PvA Data'!$E$2:$E$1576,$D555)</f>
        <v>0</v>
      </c>
      <c r="F555" s="20">
        <f>SUMIFS('PvA Data'!$G$2:$G$1576,'PvA Data'!$A$2:$A$1576,$A555,'PvA Data'!$E$2:$E$1576,$D555)</f>
        <v>0</v>
      </c>
      <c r="G555" s="36" t="str">
        <f t="shared" si="40"/>
        <v/>
      </c>
      <c r="H555" s="20">
        <f>SUMIFS('PvA Data'!$G$2:$G$1576,'PvA Data'!$A$2:$A$1576,$A555,'PvA Data'!$E$2:$E$1576,$D555,'PvA Data'!$C$2:$C$1576,"Nahunta")</f>
        <v>0</v>
      </c>
      <c r="I555" s="20">
        <f>SUMIFS('PvA Data'!$G$2:$G$1576,'PvA Data'!$A$2:$A$1576,$A555,'PvA Data'!$E$2:$E$1576,$D555,'PvA Data'!$C$2:$C$1576,"Martin")</f>
        <v>0</v>
      </c>
      <c r="J555" s="20">
        <f>SUMIFS('PvA Data'!$G$2:$G$1576,'PvA Data'!$A$2:$A$1576,$A555,'PvA Data'!$E$2:$E$1576,$D555,'PvA Data'!$C$2:$C$1576,"Custom")</f>
        <v>0</v>
      </c>
      <c r="K555" s="36" t="str">
        <f t="shared" si="41"/>
        <v/>
      </c>
      <c r="L555" s="36" t="str">
        <f t="shared" si="42"/>
        <v/>
      </c>
      <c r="M555" s="36" t="str">
        <f t="shared" si="43"/>
        <v/>
      </c>
    </row>
    <row r="556" spans="1:13" ht="15" customHeight="1" x14ac:dyDescent="0.75">
      <c r="A556" s="18" t="s">
        <v>88</v>
      </c>
      <c r="B556" s="19">
        <v>46188</v>
      </c>
      <c r="C556" s="17">
        <v>666531</v>
      </c>
      <c r="D556" s="18" t="s">
        <v>39</v>
      </c>
      <c r="E556" s="20">
        <f>SUMIFS('PvA Data'!$F$2:$F$1576,'PvA Data'!$A$2:$A$1576,$A556,'PvA Data'!$E$2:$E$1576,$D556)</f>
        <v>10</v>
      </c>
      <c r="F556" s="20">
        <f>SUMIFS('PvA Data'!$G$2:$G$1576,'PvA Data'!$A$2:$A$1576,$A556,'PvA Data'!$E$2:$E$1576,$D556)</f>
        <v>14</v>
      </c>
      <c r="G556" s="36">
        <f t="shared" si="40"/>
        <v>1.4</v>
      </c>
      <c r="H556" s="20">
        <f>SUMIFS('PvA Data'!$G$2:$G$1576,'PvA Data'!$A$2:$A$1576,$A556,'PvA Data'!$E$2:$E$1576,$D556,'PvA Data'!$C$2:$C$1576,"Nahunta")</f>
        <v>8</v>
      </c>
      <c r="I556" s="20">
        <f>SUMIFS('PvA Data'!$G$2:$G$1576,'PvA Data'!$A$2:$A$1576,$A556,'PvA Data'!$E$2:$E$1576,$D556,'PvA Data'!$C$2:$C$1576,"Martin")</f>
        <v>0</v>
      </c>
      <c r="J556" s="20">
        <f>SUMIFS('PvA Data'!$G$2:$G$1576,'PvA Data'!$A$2:$A$1576,$A556,'PvA Data'!$E$2:$E$1576,$D556,'PvA Data'!$C$2:$C$1576,"Custom")</f>
        <v>6</v>
      </c>
      <c r="K556" s="36">
        <f t="shared" si="41"/>
        <v>0.5714285714285714</v>
      </c>
      <c r="L556" s="36">
        <f t="shared" si="42"/>
        <v>0</v>
      </c>
      <c r="M556" s="36">
        <f t="shared" si="43"/>
        <v>0.42857142857142855</v>
      </c>
    </row>
    <row r="557" spans="1:13" ht="15" customHeight="1" x14ac:dyDescent="0.75">
      <c r="A557" s="18" t="s">
        <v>88</v>
      </c>
      <c r="B557" s="19">
        <v>46188</v>
      </c>
      <c r="C557" s="17">
        <v>666540</v>
      </c>
      <c r="D557" s="18" t="s">
        <v>40</v>
      </c>
      <c r="E557" s="20">
        <f>SUMIFS('PvA Data'!$F$2:$F$1576,'PvA Data'!$A$2:$A$1576,$A557,'PvA Data'!$E$2:$E$1576,$D557)</f>
        <v>0</v>
      </c>
      <c r="F557" s="20">
        <f>SUMIFS('PvA Data'!$G$2:$G$1576,'PvA Data'!$A$2:$A$1576,$A557,'PvA Data'!$E$2:$E$1576,$D557)</f>
        <v>0</v>
      </c>
      <c r="G557" s="36" t="str">
        <f t="shared" si="40"/>
        <v/>
      </c>
      <c r="H557" s="20">
        <f>SUMIFS('PvA Data'!$G$2:$G$1576,'PvA Data'!$A$2:$A$1576,$A557,'PvA Data'!$E$2:$E$1576,$D557,'PvA Data'!$C$2:$C$1576,"Nahunta")</f>
        <v>0</v>
      </c>
      <c r="I557" s="20">
        <f>SUMIFS('PvA Data'!$G$2:$G$1576,'PvA Data'!$A$2:$A$1576,$A557,'PvA Data'!$E$2:$E$1576,$D557,'PvA Data'!$C$2:$C$1576,"Martin")</f>
        <v>0</v>
      </c>
      <c r="J557" s="20">
        <f>SUMIFS('PvA Data'!$G$2:$G$1576,'PvA Data'!$A$2:$A$1576,$A557,'PvA Data'!$E$2:$E$1576,$D557,'PvA Data'!$C$2:$C$1576,"Custom")</f>
        <v>0</v>
      </c>
      <c r="K557" s="36" t="str">
        <f t="shared" si="41"/>
        <v/>
      </c>
      <c r="L557" s="36" t="str">
        <f t="shared" si="42"/>
        <v/>
      </c>
      <c r="M557" s="36" t="str">
        <f t="shared" si="43"/>
        <v/>
      </c>
    </row>
    <row r="558" spans="1:13" ht="15" customHeight="1" x14ac:dyDescent="0.75">
      <c r="A558" s="18" t="s">
        <v>88</v>
      </c>
      <c r="B558" s="19">
        <v>46188</v>
      </c>
      <c r="C558" s="17">
        <v>666541</v>
      </c>
      <c r="D558" s="18" t="s">
        <v>41</v>
      </c>
      <c r="E558" s="20">
        <f>SUMIFS('PvA Data'!$F$2:$F$1576,'PvA Data'!$A$2:$A$1576,$A558,'PvA Data'!$E$2:$E$1576,$D558)</f>
        <v>250</v>
      </c>
      <c r="F558" s="20">
        <f>SUMIFS('PvA Data'!$G$2:$G$1576,'PvA Data'!$A$2:$A$1576,$A558,'PvA Data'!$E$2:$E$1576,$D558)</f>
        <v>110</v>
      </c>
      <c r="G558" s="36">
        <f t="shared" si="40"/>
        <v>0.44</v>
      </c>
      <c r="H558" s="20">
        <f>SUMIFS('PvA Data'!$G$2:$G$1576,'PvA Data'!$A$2:$A$1576,$A558,'PvA Data'!$E$2:$E$1576,$D558,'PvA Data'!$C$2:$C$1576,"Nahunta")</f>
        <v>0</v>
      </c>
      <c r="I558" s="20">
        <f>SUMIFS('PvA Data'!$G$2:$G$1576,'PvA Data'!$A$2:$A$1576,$A558,'PvA Data'!$E$2:$E$1576,$D558,'PvA Data'!$C$2:$C$1576,"Martin")</f>
        <v>110</v>
      </c>
      <c r="J558" s="20">
        <f>SUMIFS('PvA Data'!$G$2:$G$1576,'PvA Data'!$A$2:$A$1576,$A558,'PvA Data'!$E$2:$E$1576,$D558,'PvA Data'!$C$2:$C$1576,"Custom")</f>
        <v>0</v>
      </c>
      <c r="K558" s="36">
        <f t="shared" si="41"/>
        <v>0</v>
      </c>
      <c r="L558" s="36">
        <f t="shared" si="42"/>
        <v>1</v>
      </c>
      <c r="M558" s="36">
        <f t="shared" si="43"/>
        <v>0</v>
      </c>
    </row>
    <row r="559" spans="1:13" ht="15" customHeight="1" x14ac:dyDescent="0.75">
      <c r="A559" s="18" t="s">
        <v>88</v>
      </c>
      <c r="B559" s="19">
        <v>46188</v>
      </c>
      <c r="C559" s="17">
        <v>666536</v>
      </c>
      <c r="D559" s="18" t="s">
        <v>43</v>
      </c>
      <c r="E559" s="20">
        <f>SUMIFS('PvA Data'!$F$2:$F$1576,'PvA Data'!$A$2:$A$1576,$A559,'PvA Data'!$E$2:$E$1576,$D559)</f>
        <v>20</v>
      </c>
      <c r="F559" s="20">
        <f>SUMIFS('PvA Data'!$G$2:$G$1576,'PvA Data'!$A$2:$A$1576,$A559,'PvA Data'!$E$2:$E$1576,$D559)</f>
        <v>0</v>
      </c>
      <c r="G559" s="36">
        <f t="shared" si="40"/>
        <v>0</v>
      </c>
      <c r="H559" s="20">
        <f>SUMIFS('PvA Data'!$G$2:$G$1576,'PvA Data'!$A$2:$A$1576,$A559,'PvA Data'!$E$2:$E$1576,$D559,'PvA Data'!$C$2:$C$1576,"Nahunta")</f>
        <v>0</v>
      </c>
      <c r="I559" s="20">
        <f>SUMIFS('PvA Data'!$G$2:$G$1576,'PvA Data'!$A$2:$A$1576,$A559,'PvA Data'!$E$2:$E$1576,$D559,'PvA Data'!$C$2:$C$1576,"Martin")</f>
        <v>0</v>
      </c>
      <c r="J559" s="20">
        <f>SUMIFS('PvA Data'!$G$2:$G$1576,'PvA Data'!$A$2:$A$1576,$A559,'PvA Data'!$E$2:$E$1576,$D559,'PvA Data'!$C$2:$C$1576,"Custom")</f>
        <v>0</v>
      </c>
      <c r="K559" s="36" t="str">
        <f t="shared" si="41"/>
        <v/>
      </c>
      <c r="L559" s="36" t="str">
        <f t="shared" si="42"/>
        <v/>
      </c>
      <c r="M559" s="36" t="str">
        <f t="shared" si="43"/>
        <v/>
      </c>
    </row>
  </sheetData>
  <autoFilter ref="A34:M559" xr:uid="{00000000-0009-0000-0000-000006000000}"/>
  <conditionalFormatting sqref="E6:E30">
    <cfRule type="cellIs" dxfId="327" priority="2" operator="lessThan">
      <formula>0.9</formula>
    </cfRule>
    <cfRule type="cellIs" dxfId="326" priority="3" operator="greaterThanOrEqual">
      <formula>1</formula>
    </cfRule>
  </conditionalFormatting>
  <conditionalFormatting sqref="G35:G559">
    <cfRule type="cellIs" dxfId="325" priority="10" operator="lessThan">
      <formula>0.9</formula>
    </cfRule>
    <cfRule type="cellIs" dxfId="324" priority="11" operator="greaterThanOrEqual">
      <formula>1</formula>
    </cfRule>
  </conditionalFormatting>
  <conditionalFormatting sqref="I6:I30">
    <cfRule type="cellIs" dxfId="323" priority="4" operator="lessThan">
      <formula>0.9</formula>
    </cfRule>
    <cfRule type="cellIs" dxfId="322" priority="5" operator="greaterThanOrEqual">
      <formula>1</formula>
    </cfRule>
  </conditionalFormatting>
  <conditionalFormatting sqref="L6:L30">
    <cfRule type="cellIs" dxfId="321" priority="6" operator="lessThan">
      <formula>0.9</formula>
    </cfRule>
    <cfRule type="cellIs" dxfId="320" priority="7" operator="greaterThanOrEqual">
      <formula>1</formula>
    </cfRule>
  </conditionalFormatting>
  <conditionalFormatting sqref="O6:O30">
    <cfRule type="cellIs" dxfId="319" priority="8" operator="lessThan">
      <formula>0.9</formula>
    </cfRule>
    <cfRule type="cellIs" dxfId="318" priority="9" operator="greaterThanOrEqual">
      <formula>1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BE3D6"/>
  </sheetPr>
  <dimension ref="A1:J1093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54296875" defaultRowHeight="14.75" x14ac:dyDescent="0.75"/>
  <cols>
    <col min="1" max="1" width="10" customWidth="1"/>
    <col min="2" max="2" width="12" customWidth="1"/>
    <col min="3" max="3" width="7" customWidth="1"/>
    <col min="4" max="4" width="6" customWidth="1"/>
    <col min="5" max="6" width="12" customWidth="1"/>
    <col min="7" max="7" width="15" customWidth="1"/>
    <col min="8" max="8" width="12" customWidth="1"/>
    <col min="9" max="9" width="24" customWidth="1"/>
    <col min="10" max="10" width="14" customWidth="1"/>
  </cols>
  <sheetData>
    <row r="1" spans="1:10" ht="15" customHeight="1" x14ac:dyDescent="0.75">
      <c r="A1" s="16" t="s">
        <v>44</v>
      </c>
      <c r="B1" s="16" t="s">
        <v>45</v>
      </c>
      <c r="C1" s="16" t="s">
        <v>46</v>
      </c>
      <c r="D1" s="16" t="s">
        <v>47</v>
      </c>
      <c r="E1" s="16" t="s">
        <v>48</v>
      </c>
      <c r="F1" s="16" t="s">
        <v>49</v>
      </c>
      <c r="G1" s="16" t="s">
        <v>50</v>
      </c>
      <c r="H1" s="16" t="s">
        <v>1</v>
      </c>
      <c r="I1" s="16" t="s">
        <v>51</v>
      </c>
      <c r="J1" s="16" t="s">
        <v>52</v>
      </c>
    </row>
    <row r="2" spans="1:10" ht="15" customHeight="1" x14ac:dyDescent="0.75">
      <c r="A2" s="18" t="s">
        <v>53</v>
      </c>
      <c r="B2" s="19">
        <v>46020</v>
      </c>
      <c r="C2" s="17">
        <v>1</v>
      </c>
      <c r="D2" s="18" t="s">
        <v>54</v>
      </c>
      <c r="E2" s="19">
        <v>46020</v>
      </c>
      <c r="F2" s="18" t="s">
        <v>55</v>
      </c>
      <c r="G2" s="18" t="s">
        <v>56</v>
      </c>
      <c r="H2" s="17">
        <v>666501</v>
      </c>
      <c r="I2" s="18" t="s">
        <v>5</v>
      </c>
      <c r="J2" s="20">
        <v>15</v>
      </c>
    </row>
    <row r="3" spans="1:10" ht="15" customHeight="1" x14ac:dyDescent="0.75">
      <c r="A3" s="18" t="s">
        <v>53</v>
      </c>
      <c r="B3" s="19">
        <v>46020</v>
      </c>
      <c r="C3" s="17">
        <v>1</v>
      </c>
      <c r="D3" s="18" t="s">
        <v>54</v>
      </c>
      <c r="E3" s="19">
        <v>46020</v>
      </c>
      <c r="F3" s="18" t="s">
        <v>55</v>
      </c>
      <c r="G3" s="18" t="s">
        <v>56</v>
      </c>
      <c r="H3" s="17">
        <v>666505</v>
      </c>
      <c r="I3" s="18" t="s">
        <v>9</v>
      </c>
      <c r="J3" s="20">
        <v>20</v>
      </c>
    </row>
    <row r="4" spans="1:10" ht="15" customHeight="1" x14ac:dyDescent="0.75">
      <c r="A4" s="18" t="s">
        <v>53</v>
      </c>
      <c r="B4" s="19">
        <v>46020</v>
      </c>
      <c r="C4" s="17">
        <v>1</v>
      </c>
      <c r="D4" s="18" t="s">
        <v>54</v>
      </c>
      <c r="E4" s="19">
        <v>46020</v>
      </c>
      <c r="F4" s="18" t="s">
        <v>55</v>
      </c>
      <c r="G4" s="18" t="s">
        <v>56</v>
      </c>
      <c r="H4" s="17">
        <v>666507</v>
      </c>
      <c r="I4" s="18" t="s">
        <v>13</v>
      </c>
      <c r="J4" s="20">
        <v>10</v>
      </c>
    </row>
    <row r="5" spans="1:10" ht="15" customHeight="1" x14ac:dyDescent="0.75">
      <c r="A5" s="18" t="s">
        <v>53</v>
      </c>
      <c r="B5" s="19">
        <v>46020</v>
      </c>
      <c r="C5" s="17">
        <v>1</v>
      </c>
      <c r="D5" s="18" t="s">
        <v>54</v>
      </c>
      <c r="E5" s="19">
        <v>46020</v>
      </c>
      <c r="F5" s="18" t="s">
        <v>55</v>
      </c>
      <c r="G5" s="18" t="s">
        <v>56</v>
      </c>
      <c r="H5" s="17">
        <v>666509</v>
      </c>
      <c r="I5" s="18" t="s">
        <v>15</v>
      </c>
      <c r="J5" s="20">
        <v>9</v>
      </c>
    </row>
    <row r="6" spans="1:10" ht="15" customHeight="1" x14ac:dyDescent="0.75">
      <c r="A6" s="18" t="s">
        <v>53</v>
      </c>
      <c r="B6" s="19">
        <v>46020</v>
      </c>
      <c r="C6" s="17">
        <v>1</v>
      </c>
      <c r="D6" s="18" t="s">
        <v>54</v>
      </c>
      <c r="E6" s="19">
        <v>46020</v>
      </c>
      <c r="F6" s="18" t="s">
        <v>55</v>
      </c>
      <c r="G6" s="18" t="s">
        <v>56</v>
      </c>
      <c r="H6" s="17">
        <v>666513</v>
      </c>
      <c r="I6" s="18" t="s">
        <v>21</v>
      </c>
      <c r="J6" s="20">
        <v>16</v>
      </c>
    </row>
    <row r="7" spans="1:10" ht="15" customHeight="1" x14ac:dyDescent="0.75">
      <c r="A7" s="18" t="s">
        <v>53</v>
      </c>
      <c r="B7" s="19">
        <v>46020</v>
      </c>
      <c r="C7" s="17">
        <v>1</v>
      </c>
      <c r="D7" s="18" t="s">
        <v>54</v>
      </c>
      <c r="E7" s="19">
        <v>46020</v>
      </c>
      <c r="F7" s="18" t="s">
        <v>55</v>
      </c>
      <c r="G7" s="18" t="s">
        <v>56</v>
      </c>
      <c r="H7" s="17">
        <v>666516</v>
      </c>
      <c r="I7" s="18" t="s">
        <v>23</v>
      </c>
      <c r="J7" s="20">
        <v>14</v>
      </c>
    </row>
    <row r="8" spans="1:10" ht="15" customHeight="1" x14ac:dyDescent="0.75">
      <c r="A8" s="18" t="s">
        <v>53</v>
      </c>
      <c r="B8" s="19">
        <v>46020</v>
      </c>
      <c r="C8" s="17">
        <v>1</v>
      </c>
      <c r="D8" s="18" t="s">
        <v>54</v>
      </c>
      <c r="E8" s="19">
        <v>46020</v>
      </c>
      <c r="F8" s="18" t="s">
        <v>55</v>
      </c>
      <c r="G8" s="18" t="s">
        <v>56</v>
      </c>
      <c r="H8" s="17">
        <v>666517</v>
      </c>
      <c r="I8" s="18" t="s">
        <v>25</v>
      </c>
      <c r="J8" s="20">
        <v>15</v>
      </c>
    </row>
    <row r="9" spans="1:10" ht="15" customHeight="1" x14ac:dyDescent="0.75">
      <c r="A9" s="18" t="s">
        <v>53</v>
      </c>
      <c r="B9" s="19">
        <v>46020</v>
      </c>
      <c r="C9" s="17">
        <v>1</v>
      </c>
      <c r="D9" s="18" t="s">
        <v>54</v>
      </c>
      <c r="E9" s="19">
        <v>46020</v>
      </c>
      <c r="F9" s="18" t="s">
        <v>55</v>
      </c>
      <c r="G9" s="18" t="s">
        <v>56</v>
      </c>
      <c r="H9" s="17">
        <v>666519</v>
      </c>
      <c r="I9" s="18" t="s">
        <v>29</v>
      </c>
      <c r="J9" s="20">
        <v>14</v>
      </c>
    </row>
    <row r="10" spans="1:10" ht="15" customHeight="1" x14ac:dyDescent="0.75">
      <c r="A10" s="18" t="s">
        <v>53</v>
      </c>
      <c r="B10" s="19">
        <v>46020</v>
      </c>
      <c r="C10" s="17">
        <v>1</v>
      </c>
      <c r="D10" s="18" t="s">
        <v>54</v>
      </c>
      <c r="E10" s="19">
        <v>46020</v>
      </c>
      <c r="F10" s="18" t="s">
        <v>55</v>
      </c>
      <c r="G10" s="18" t="s">
        <v>56</v>
      </c>
      <c r="H10" s="17">
        <v>666522</v>
      </c>
      <c r="I10" s="18" t="s">
        <v>33</v>
      </c>
      <c r="J10" s="20">
        <v>45</v>
      </c>
    </row>
    <row r="11" spans="1:10" ht="15" customHeight="1" x14ac:dyDescent="0.75">
      <c r="A11" s="18" t="s">
        <v>53</v>
      </c>
      <c r="B11" s="19">
        <v>46020</v>
      </c>
      <c r="C11" s="17">
        <v>1</v>
      </c>
      <c r="D11" s="18" t="s">
        <v>54</v>
      </c>
      <c r="E11" s="19">
        <v>46020</v>
      </c>
      <c r="F11" s="18" t="s">
        <v>55</v>
      </c>
      <c r="G11" s="18" t="s">
        <v>56</v>
      </c>
      <c r="H11" s="17">
        <v>666530</v>
      </c>
      <c r="I11" s="18" t="s">
        <v>37</v>
      </c>
      <c r="J11" s="20">
        <v>4</v>
      </c>
    </row>
    <row r="12" spans="1:10" ht="15" customHeight="1" x14ac:dyDescent="0.75">
      <c r="A12" s="18" t="s">
        <v>53</v>
      </c>
      <c r="B12" s="19">
        <v>46020</v>
      </c>
      <c r="C12" s="17">
        <v>1</v>
      </c>
      <c r="D12" s="18" t="s">
        <v>54</v>
      </c>
      <c r="E12" s="19">
        <v>46020</v>
      </c>
      <c r="F12" s="18" t="s">
        <v>55</v>
      </c>
      <c r="G12" s="18" t="s">
        <v>56</v>
      </c>
      <c r="H12" s="17">
        <v>666531</v>
      </c>
      <c r="I12" s="18" t="s">
        <v>39</v>
      </c>
      <c r="J12" s="20">
        <v>14</v>
      </c>
    </row>
    <row r="13" spans="1:10" ht="15" customHeight="1" x14ac:dyDescent="0.75">
      <c r="A13" s="18" t="s">
        <v>53</v>
      </c>
      <c r="B13" s="19">
        <v>46020</v>
      </c>
      <c r="C13" s="17">
        <v>1</v>
      </c>
      <c r="D13" s="18" t="s">
        <v>54</v>
      </c>
      <c r="E13" s="19">
        <v>46020</v>
      </c>
      <c r="F13" s="18" t="s">
        <v>55</v>
      </c>
      <c r="G13" s="18" t="s">
        <v>56</v>
      </c>
      <c r="H13" s="17">
        <v>666536</v>
      </c>
      <c r="I13" s="18" t="s">
        <v>43</v>
      </c>
      <c r="J13" s="20">
        <v>1</v>
      </c>
    </row>
    <row r="14" spans="1:10" ht="15" customHeight="1" x14ac:dyDescent="0.75">
      <c r="A14" s="18" t="s">
        <v>53</v>
      </c>
      <c r="B14" s="19">
        <v>46020</v>
      </c>
      <c r="C14" s="17">
        <v>1</v>
      </c>
      <c r="D14" s="18" t="s">
        <v>54</v>
      </c>
      <c r="E14" s="19">
        <v>46020</v>
      </c>
      <c r="F14" s="18" t="s">
        <v>57</v>
      </c>
      <c r="G14" s="18" t="s">
        <v>58</v>
      </c>
      <c r="H14" s="17">
        <v>666501</v>
      </c>
      <c r="I14" s="18" t="s">
        <v>5</v>
      </c>
      <c r="J14" s="20">
        <v>51</v>
      </c>
    </row>
    <row r="15" spans="1:10" ht="15" customHeight="1" x14ac:dyDescent="0.75">
      <c r="A15" s="18" t="s">
        <v>53</v>
      </c>
      <c r="B15" s="19">
        <v>46020</v>
      </c>
      <c r="C15" s="17">
        <v>1</v>
      </c>
      <c r="D15" s="18" t="s">
        <v>54</v>
      </c>
      <c r="E15" s="19">
        <v>46020</v>
      </c>
      <c r="F15" s="18" t="s">
        <v>57</v>
      </c>
      <c r="G15" s="18" t="s">
        <v>58</v>
      </c>
      <c r="H15" s="17">
        <v>666502</v>
      </c>
      <c r="I15" s="18" t="s">
        <v>7</v>
      </c>
      <c r="J15" s="20">
        <v>11</v>
      </c>
    </row>
    <row r="16" spans="1:10" ht="15" customHeight="1" x14ac:dyDescent="0.75">
      <c r="A16" s="18" t="s">
        <v>53</v>
      </c>
      <c r="B16" s="19">
        <v>46020</v>
      </c>
      <c r="C16" s="17">
        <v>1</v>
      </c>
      <c r="D16" s="18" t="s">
        <v>54</v>
      </c>
      <c r="E16" s="19">
        <v>46020</v>
      </c>
      <c r="F16" s="18" t="s">
        <v>57</v>
      </c>
      <c r="G16" s="18" t="s">
        <v>58</v>
      </c>
      <c r="H16" s="17">
        <v>666522</v>
      </c>
      <c r="I16" s="18" t="s">
        <v>33</v>
      </c>
      <c r="J16" s="20">
        <v>115</v>
      </c>
    </row>
    <row r="17" spans="1:10" ht="15" customHeight="1" x14ac:dyDescent="0.75">
      <c r="A17" s="18" t="s">
        <v>53</v>
      </c>
      <c r="B17" s="19">
        <v>46020</v>
      </c>
      <c r="C17" s="17">
        <v>1</v>
      </c>
      <c r="D17" s="18" t="s">
        <v>54</v>
      </c>
      <c r="E17" s="19">
        <v>46020</v>
      </c>
      <c r="F17" s="18" t="s">
        <v>57</v>
      </c>
      <c r="G17" s="18" t="s">
        <v>58</v>
      </c>
      <c r="H17" s="17">
        <v>666540</v>
      </c>
      <c r="I17" s="18" t="s">
        <v>40</v>
      </c>
      <c r="J17" s="20">
        <v>20</v>
      </c>
    </row>
    <row r="18" spans="1:10" ht="15" customHeight="1" x14ac:dyDescent="0.75">
      <c r="A18" s="18" t="s">
        <v>53</v>
      </c>
      <c r="B18" s="19">
        <v>46020</v>
      </c>
      <c r="C18" s="17">
        <v>1</v>
      </c>
      <c r="D18" s="18" t="s">
        <v>54</v>
      </c>
      <c r="E18" s="19">
        <v>46020</v>
      </c>
      <c r="F18" s="18" t="s">
        <v>57</v>
      </c>
      <c r="G18" s="18" t="s">
        <v>58</v>
      </c>
      <c r="H18" s="17">
        <v>666541</v>
      </c>
      <c r="I18" s="18" t="s">
        <v>41</v>
      </c>
      <c r="J18" s="20">
        <v>51</v>
      </c>
    </row>
    <row r="19" spans="1:10" ht="15" customHeight="1" x14ac:dyDescent="0.75">
      <c r="A19" s="18" t="s">
        <v>53</v>
      </c>
      <c r="B19" s="19">
        <v>46020</v>
      </c>
      <c r="C19" s="17">
        <v>1</v>
      </c>
      <c r="D19" s="18" t="s">
        <v>59</v>
      </c>
      <c r="E19" s="19">
        <v>46021</v>
      </c>
      <c r="F19" s="18" t="s">
        <v>55</v>
      </c>
      <c r="G19" s="18" t="s">
        <v>56</v>
      </c>
      <c r="H19" s="17">
        <v>666501</v>
      </c>
      <c r="I19" s="18" t="s">
        <v>5</v>
      </c>
      <c r="J19" s="20">
        <v>12</v>
      </c>
    </row>
    <row r="20" spans="1:10" ht="15" customHeight="1" x14ac:dyDescent="0.75">
      <c r="A20" s="18" t="s">
        <v>53</v>
      </c>
      <c r="B20" s="19">
        <v>46020</v>
      </c>
      <c r="C20" s="17">
        <v>1</v>
      </c>
      <c r="D20" s="18" t="s">
        <v>59</v>
      </c>
      <c r="E20" s="19">
        <v>46021</v>
      </c>
      <c r="F20" s="18" t="s">
        <v>55</v>
      </c>
      <c r="G20" s="18" t="s">
        <v>56</v>
      </c>
      <c r="H20" s="17">
        <v>666507</v>
      </c>
      <c r="I20" s="18" t="s">
        <v>13</v>
      </c>
      <c r="J20" s="20">
        <v>9</v>
      </c>
    </row>
    <row r="21" spans="1:10" ht="15" customHeight="1" x14ac:dyDescent="0.75">
      <c r="A21" s="18" t="s">
        <v>53</v>
      </c>
      <c r="B21" s="19">
        <v>46020</v>
      </c>
      <c r="C21" s="17">
        <v>1</v>
      </c>
      <c r="D21" s="18" t="s">
        <v>59</v>
      </c>
      <c r="E21" s="19">
        <v>46021</v>
      </c>
      <c r="F21" s="18" t="s">
        <v>55</v>
      </c>
      <c r="G21" s="18" t="s">
        <v>56</v>
      </c>
      <c r="H21" s="17">
        <v>666509</v>
      </c>
      <c r="I21" s="18" t="s">
        <v>15</v>
      </c>
      <c r="J21" s="20">
        <v>14</v>
      </c>
    </row>
    <row r="22" spans="1:10" ht="15" customHeight="1" x14ac:dyDescent="0.75">
      <c r="A22" s="18" t="s">
        <v>53</v>
      </c>
      <c r="B22" s="19">
        <v>46020</v>
      </c>
      <c r="C22" s="17">
        <v>1</v>
      </c>
      <c r="D22" s="18" t="s">
        <v>59</v>
      </c>
      <c r="E22" s="19">
        <v>46021</v>
      </c>
      <c r="F22" s="18" t="s">
        <v>55</v>
      </c>
      <c r="G22" s="18" t="s">
        <v>56</v>
      </c>
      <c r="H22" s="17">
        <v>666513</v>
      </c>
      <c r="I22" s="18" t="s">
        <v>21</v>
      </c>
      <c r="J22" s="20">
        <v>4</v>
      </c>
    </row>
    <row r="23" spans="1:10" ht="15" customHeight="1" x14ac:dyDescent="0.75">
      <c r="A23" s="18" t="s">
        <v>53</v>
      </c>
      <c r="B23" s="19">
        <v>46020</v>
      </c>
      <c r="C23" s="17">
        <v>1</v>
      </c>
      <c r="D23" s="18" t="s">
        <v>59</v>
      </c>
      <c r="E23" s="19">
        <v>46021</v>
      </c>
      <c r="F23" s="18" t="s">
        <v>55</v>
      </c>
      <c r="G23" s="18" t="s">
        <v>56</v>
      </c>
      <c r="H23" s="17">
        <v>666516</v>
      </c>
      <c r="I23" s="18" t="s">
        <v>23</v>
      </c>
      <c r="J23" s="20">
        <v>12</v>
      </c>
    </row>
    <row r="24" spans="1:10" ht="15" customHeight="1" x14ac:dyDescent="0.75">
      <c r="A24" s="18" t="s">
        <v>53</v>
      </c>
      <c r="B24" s="19">
        <v>46020</v>
      </c>
      <c r="C24" s="17">
        <v>1</v>
      </c>
      <c r="D24" s="18" t="s">
        <v>59</v>
      </c>
      <c r="E24" s="19">
        <v>46021</v>
      </c>
      <c r="F24" s="18" t="s">
        <v>55</v>
      </c>
      <c r="G24" s="18" t="s">
        <v>56</v>
      </c>
      <c r="H24" s="17">
        <v>666517</v>
      </c>
      <c r="I24" s="18" t="s">
        <v>25</v>
      </c>
      <c r="J24" s="20">
        <v>15</v>
      </c>
    </row>
    <row r="25" spans="1:10" ht="15" customHeight="1" x14ac:dyDescent="0.75">
      <c r="A25" s="18" t="s">
        <v>53</v>
      </c>
      <c r="B25" s="19">
        <v>46020</v>
      </c>
      <c r="C25" s="17">
        <v>1</v>
      </c>
      <c r="D25" s="18" t="s">
        <v>59</v>
      </c>
      <c r="E25" s="19">
        <v>46021</v>
      </c>
      <c r="F25" s="18" t="s">
        <v>55</v>
      </c>
      <c r="G25" s="18" t="s">
        <v>56</v>
      </c>
      <c r="H25" s="17">
        <v>666519</v>
      </c>
      <c r="I25" s="18" t="s">
        <v>29</v>
      </c>
      <c r="J25" s="20">
        <v>13</v>
      </c>
    </row>
    <row r="26" spans="1:10" ht="15" customHeight="1" x14ac:dyDescent="0.75">
      <c r="A26" s="18" t="s">
        <v>53</v>
      </c>
      <c r="B26" s="19">
        <v>46020</v>
      </c>
      <c r="C26" s="17">
        <v>1</v>
      </c>
      <c r="D26" s="18" t="s">
        <v>59</v>
      </c>
      <c r="E26" s="19">
        <v>46021</v>
      </c>
      <c r="F26" s="18" t="s">
        <v>55</v>
      </c>
      <c r="G26" s="18" t="s">
        <v>56</v>
      </c>
      <c r="H26" s="17">
        <v>666522</v>
      </c>
      <c r="I26" s="18" t="s">
        <v>33</v>
      </c>
      <c r="J26" s="20">
        <v>40</v>
      </c>
    </row>
    <row r="27" spans="1:10" ht="15" customHeight="1" x14ac:dyDescent="0.75">
      <c r="A27" s="18" t="s">
        <v>53</v>
      </c>
      <c r="B27" s="19">
        <v>46020</v>
      </c>
      <c r="C27" s="17">
        <v>1</v>
      </c>
      <c r="D27" s="18" t="s">
        <v>59</v>
      </c>
      <c r="E27" s="19">
        <v>46021</v>
      </c>
      <c r="F27" s="18" t="s">
        <v>55</v>
      </c>
      <c r="G27" s="18" t="s">
        <v>56</v>
      </c>
      <c r="H27" s="17">
        <v>666531</v>
      </c>
      <c r="I27" s="18" t="s">
        <v>39</v>
      </c>
      <c r="J27" s="20">
        <v>3</v>
      </c>
    </row>
    <row r="28" spans="1:10" ht="15" customHeight="1" x14ac:dyDescent="0.75">
      <c r="A28" s="18" t="s">
        <v>53</v>
      </c>
      <c r="B28" s="19">
        <v>46020</v>
      </c>
      <c r="C28" s="17">
        <v>1</v>
      </c>
      <c r="D28" s="18" t="s">
        <v>59</v>
      </c>
      <c r="E28" s="19">
        <v>46021</v>
      </c>
      <c r="F28" s="18" t="s">
        <v>57</v>
      </c>
      <c r="G28" s="18" t="s">
        <v>58</v>
      </c>
      <c r="H28" s="17">
        <v>666501</v>
      </c>
      <c r="I28" s="18" t="s">
        <v>5</v>
      </c>
      <c r="J28" s="20">
        <v>51</v>
      </c>
    </row>
    <row r="29" spans="1:10" ht="15" customHeight="1" x14ac:dyDescent="0.75">
      <c r="A29" s="18" t="s">
        <v>53</v>
      </c>
      <c r="B29" s="19">
        <v>46020</v>
      </c>
      <c r="C29" s="17">
        <v>1</v>
      </c>
      <c r="D29" s="18" t="s">
        <v>59</v>
      </c>
      <c r="E29" s="19">
        <v>46021</v>
      </c>
      <c r="F29" s="18" t="s">
        <v>57</v>
      </c>
      <c r="G29" s="18" t="s">
        <v>58</v>
      </c>
      <c r="H29" s="17">
        <v>666502</v>
      </c>
      <c r="I29" s="18" t="s">
        <v>7</v>
      </c>
      <c r="J29" s="20">
        <v>10</v>
      </c>
    </row>
    <row r="30" spans="1:10" ht="15" customHeight="1" x14ac:dyDescent="0.75">
      <c r="A30" s="18" t="s">
        <v>53</v>
      </c>
      <c r="B30" s="19">
        <v>46020</v>
      </c>
      <c r="C30" s="17">
        <v>1</v>
      </c>
      <c r="D30" s="18" t="s">
        <v>59</v>
      </c>
      <c r="E30" s="19">
        <v>46021</v>
      </c>
      <c r="F30" s="18" t="s">
        <v>57</v>
      </c>
      <c r="G30" s="18" t="s">
        <v>58</v>
      </c>
      <c r="H30" s="17">
        <v>666522</v>
      </c>
      <c r="I30" s="18" t="s">
        <v>33</v>
      </c>
      <c r="J30" s="20">
        <v>45</v>
      </c>
    </row>
    <row r="31" spans="1:10" ht="15" customHeight="1" x14ac:dyDescent="0.75">
      <c r="A31" s="18" t="s">
        <v>53</v>
      </c>
      <c r="B31" s="19">
        <v>46020</v>
      </c>
      <c r="C31" s="17">
        <v>1</v>
      </c>
      <c r="D31" s="18" t="s">
        <v>59</v>
      </c>
      <c r="E31" s="19">
        <v>46021</v>
      </c>
      <c r="F31" s="18" t="s">
        <v>57</v>
      </c>
      <c r="G31" s="18" t="s">
        <v>58</v>
      </c>
      <c r="H31" s="17">
        <v>666540</v>
      </c>
      <c r="I31" s="18" t="s">
        <v>40</v>
      </c>
      <c r="J31" s="20">
        <v>17</v>
      </c>
    </row>
    <row r="32" spans="1:10" ht="15" customHeight="1" x14ac:dyDescent="0.75">
      <c r="A32" s="18" t="s">
        <v>53</v>
      </c>
      <c r="B32" s="19">
        <v>46020</v>
      </c>
      <c r="C32" s="17">
        <v>1</v>
      </c>
      <c r="D32" s="18" t="s">
        <v>59</v>
      </c>
      <c r="E32" s="19">
        <v>46021</v>
      </c>
      <c r="F32" s="18" t="s">
        <v>57</v>
      </c>
      <c r="G32" s="18" t="s">
        <v>58</v>
      </c>
      <c r="H32" s="17">
        <v>666541</v>
      </c>
      <c r="I32" s="18" t="s">
        <v>41</v>
      </c>
      <c r="J32" s="20">
        <v>67</v>
      </c>
    </row>
    <row r="33" spans="1:10" ht="15" customHeight="1" x14ac:dyDescent="0.75">
      <c r="A33" s="18" t="s">
        <v>53</v>
      </c>
      <c r="B33" s="19">
        <v>46020</v>
      </c>
      <c r="C33" s="17">
        <v>1</v>
      </c>
      <c r="D33" s="18" t="s">
        <v>60</v>
      </c>
      <c r="E33" s="19">
        <v>46022</v>
      </c>
      <c r="F33" s="18" t="s">
        <v>57</v>
      </c>
      <c r="G33" s="18" t="s">
        <v>58</v>
      </c>
      <c r="H33" s="17">
        <v>666501</v>
      </c>
      <c r="I33" s="18" t="s">
        <v>5</v>
      </c>
      <c r="J33" s="20">
        <v>48</v>
      </c>
    </row>
    <row r="34" spans="1:10" ht="15" customHeight="1" x14ac:dyDescent="0.75">
      <c r="A34" s="18" t="s">
        <v>53</v>
      </c>
      <c r="B34" s="19">
        <v>46020</v>
      </c>
      <c r="C34" s="17">
        <v>1</v>
      </c>
      <c r="D34" s="18" t="s">
        <v>60</v>
      </c>
      <c r="E34" s="19">
        <v>46022</v>
      </c>
      <c r="F34" s="18" t="s">
        <v>57</v>
      </c>
      <c r="G34" s="18" t="s">
        <v>58</v>
      </c>
      <c r="H34" s="17">
        <v>666502</v>
      </c>
      <c r="I34" s="18" t="s">
        <v>7</v>
      </c>
      <c r="J34" s="20">
        <v>14</v>
      </c>
    </row>
    <row r="35" spans="1:10" ht="15" customHeight="1" x14ac:dyDescent="0.75">
      <c r="A35" s="18" t="s">
        <v>53</v>
      </c>
      <c r="B35" s="19">
        <v>46020</v>
      </c>
      <c r="C35" s="17">
        <v>1</v>
      </c>
      <c r="D35" s="18" t="s">
        <v>60</v>
      </c>
      <c r="E35" s="19">
        <v>46022</v>
      </c>
      <c r="F35" s="18" t="s">
        <v>57</v>
      </c>
      <c r="G35" s="18" t="s">
        <v>58</v>
      </c>
      <c r="H35" s="17">
        <v>666522</v>
      </c>
      <c r="I35" s="18" t="s">
        <v>33</v>
      </c>
      <c r="J35" s="20">
        <v>30</v>
      </c>
    </row>
    <row r="36" spans="1:10" ht="15" customHeight="1" x14ac:dyDescent="0.75">
      <c r="A36" s="18" t="s">
        <v>53</v>
      </c>
      <c r="B36" s="19">
        <v>46020</v>
      </c>
      <c r="C36" s="17">
        <v>1</v>
      </c>
      <c r="D36" s="18" t="s">
        <v>60</v>
      </c>
      <c r="E36" s="19">
        <v>46022</v>
      </c>
      <c r="F36" s="18" t="s">
        <v>57</v>
      </c>
      <c r="G36" s="18" t="s">
        <v>58</v>
      </c>
      <c r="H36" s="17">
        <v>666540</v>
      </c>
      <c r="I36" s="18" t="s">
        <v>40</v>
      </c>
      <c r="J36" s="20">
        <v>4</v>
      </c>
    </row>
    <row r="37" spans="1:10" ht="15" customHeight="1" x14ac:dyDescent="0.75">
      <c r="A37" s="18" t="s">
        <v>53</v>
      </c>
      <c r="B37" s="19">
        <v>46020</v>
      </c>
      <c r="C37" s="17">
        <v>1</v>
      </c>
      <c r="D37" s="18" t="s">
        <v>60</v>
      </c>
      <c r="E37" s="19">
        <v>46022</v>
      </c>
      <c r="F37" s="18" t="s">
        <v>57</v>
      </c>
      <c r="G37" s="18" t="s">
        <v>58</v>
      </c>
      <c r="H37" s="17">
        <v>666541</v>
      </c>
      <c r="I37" s="18" t="s">
        <v>41</v>
      </c>
      <c r="J37" s="20">
        <v>57</v>
      </c>
    </row>
    <row r="38" spans="1:10" ht="15" customHeight="1" x14ac:dyDescent="0.75">
      <c r="A38" s="18" t="s">
        <v>61</v>
      </c>
      <c r="B38" s="19">
        <v>46027</v>
      </c>
      <c r="C38" s="17">
        <v>2</v>
      </c>
      <c r="D38" s="18" t="s">
        <v>54</v>
      </c>
      <c r="E38" s="19">
        <v>46027</v>
      </c>
      <c r="F38" s="18" t="s">
        <v>55</v>
      </c>
      <c r="G38" s="18" t="s">
        <v>56</v>
      </c>
      <c r="H38" s="17">
        <v>666501</v>
      </c>
      <c r="I38" s="18" t="s">
        <v>5</v>
      </c>
      <c r="J38" s="20">
        <v>3</v>
      </c>
    </row>
    <row r="39" spans="1:10" ht="15" customHeight="1" x14ac:dyDescent="0.75">
      <c r="A39" s="18" t="s">
        <v>61</v>
      </c>
      <c r="B39" s="19">
        <v>46027</v>
      </c>
      <c r="C39" s="17">
        <v>2</v>
      </c>
      <c r="D39" s="18" t="s">
        <v>54</v>
      </c>
      <c r="E39" s="19">
        <v>46027</v>
      </c>
      <c r="F39" s="18" t="s">
        <v>55</v>
      </c>
      <c r="G39" s="18" t="s">
        <v>56</v>
      </c>
      <c r="H39" s="17">
        <v>666507</v>
      </c>
      <c r="I39" s="18" t="s">
        <v>13</v>
      </c>
      <c r="J39" s="20">
        <v>18</v>
      </c>
    </row>
    <row r="40" spans="1:10" ht="15" customHeight="1" x14ac:dyDescent="0.75">
      <c r="A40" s="18" t="s">
        <v>61</v>
      </c>
      <c r="B40" s="19">
        <v>46027</v>
      </c>
      <c r="C40" s="17">
        <v>2</v>
      </c>
      <c r="D40" s="18" t="s">
        <v>54</v>
      </c>
      <c r="E40" s="19">
        <v>46027</v>
      </c>
      <c r="F40" s="18" t="s">
        <v>55</v>
      </c>
      <c r="G40" s="18" t="s">
        <v>56</v>
      </c>
      <c r="H40" s="17">
        <v>666509</v>
      </c>
      <c r="I40" s="18" t="s">
        <v>15</v>
      </c>
      <c r="J40" s="20">
        <v>17</v>
      </c>
    </row>
    <row r="41" spans="1:10" ht="15" customHeight="1" x14ac:dyDescent="0.75">
      <c r="A41" s="18" t="s">
        <v>61</v>
      </c>
      <c r="B41" s="19">
        <v>46027</v>
      </c>
      <c r="C41" s="17">
        <v>2</v>
      </c>
      <c r="D41" s="18" t="s">
        <v>54</v>
      </c>
      <c r="E41" s="19">
        <v>46027</v>
      </c>
      <c r="F41" s="18" t="s">
        <v>55</v>
      </c>
      <c r="G41" s="18" t="s">
        <v>56</v>
      </c>
      <c r="H41" s="17">
        <v>666516</v>
      </c>
      <c r="I41" s="18" t="s">
        <v>23</v>
      </c>
      <c r="J41" s="20">
        <v>4</v>
      </c>
    </row>
    <row r="42" spans="1:10" ht="15" customHeight="1" x14ac:dyDescent="0.75">
      <c r="A42" s="18" t="s">
        <v>61</v>
      </c>
      <c r="B42" s="19">
        <v>46027</v>
      </c>
      <c r="C42" s="17">
        <v>2</v>
      </c>
      <c r="D42" s="18" t="s">
        <v>54</v>
      </c>
      <c r="E42" s="19">
        <v>46027</v>
      </c>
      <c r="F42" s="18" t="s">
        <v>55</v>
      </c>
      <c r="G42" s="18" t="s">
        <v>56</v>
      </c>
      <c r="H42" s="17">
        <v>666517</v>
      </c>
      <c r="I42" s="18" t="s">
        <v>25</v>
      </c>
      <c r="J42" s="20">
        <v>4</v>
      </c>
    </row>
    <row r="43" spans="1:10" ht="15" customHeight="1" x14ac:dyDescent="0.75">
      <c r="A43" s="18" t="s">
        <v>61</v>
      </c>
      <c r="B43" s="19">
        <v>46027</v>
      </c>
      <c r="C43" s="17">
        <v>2</v>
      </c>
      <c r="D43" s="18" t="s">
        <v>54</v>
      </c>
      <c r="E43" s="19">
        <v>46027</v>
      </c>
      <c r="F43" s="18" t="s">
        <v>55</v>
      </c>
      <c r="G43" s="18" t="s">
        <v>56</v>
      </c>
      <c r="H43" s="17">
        <v>666519</v>
      </c>
      <c r="I43" s="18" t="s">
        <v>29</v>
      </c>
      <c r="J43" s="20">
        <v>4</v>
      </c>
    </row>
    <row r="44" spans="1:10" ht="15" customHeight="1" x14ac:dyDescent="0.75">
      <c r="A44" s="18" t="s">
        <v>61</v>
      </c>
      <c r="B44" s="19">
        <v>46027</v>
      </c>
      <c r="C44" s="17">
        <v>2</v>
      </c>
      <c r="D44" s="18" t="s">
        <v>54</v>
      </c>
      <c r="E44" s="19">
        <v>46027</v>
      </c>
      <c r="F44" s="18" t="s">
        <v>55</v>
      </c>
      <c r="G44" s="18" t="s">
        <v>56</v>
      </c>
      <c r="H44" s="17">
        <v>666522</v>
      </c>
      <c r="I44" s="18" t="s">
        <v>33</v>
      </c>
      <c r="J44" s="20">
        <v>40</v>
      </c>
    </row>
    <row r="45" spans="1:10" ht="15" customHeight="1" x14ac:dyDescent="0.75">
      <c r="A45" s="18" t="s">
        <v>61</v>
      </c>
      <c r="B45" s="19">
        <v>46027</v>
      </c>
      <c r="C45" s="17">
        <v>2</v>
      </c>
      <c r="D45" s="18" t="s">
        <v>54</v>
      </c>
      <c r="E45" s="19">
        <v>46027</v>
      </c>
      <c r="F45" s="18" t="s">
        <v>55</v>
      </c>
      <c r="G45" s="18" t="s">
        <v>56</v>
      </c>
      <c r="H45" s="17">
        <v>666536</v>
      </c>
      <c r="I45" s="18" t="s">
        <v>43</v>
      </c>
      <c r="J45" s="20">
        <v>6</v>
      </c>
    </row>
    <row r="46" spans="1:10" ht="15" customHeight="1" x14ac:dyDescent="0.75">
      <c r="A46" s="18" t="s">
        <v>61</v>
      </c>
      <c r="B46" s="19">
        <v>46027</v>
      </c>
      <c r="C46" s="17">
        <v>2</v>
      </c>
      <c r="D46" s="18" t="s">
        <v>54</v>
      </c>
      <c r="E46" s="19">
        <v>46027</v>
      </c>
      <c r="F46" s="18" t="s">
        <v>57</v>
      </c>
      <c r="G46" s="18" t="s">
        <v>58</v>
      </c>
      <c r="H46" s="17">
        <v>666501</v>
      </c>
      <c r="I46" s="18" t="s">
        <v>5</v>
      </c>
      <c r="J46" s="20">
        <v>150</v>
      </c>
    </row>
    <row r="47" spans="1:10" ht="15" customHeight="1" x14ac:dyDescent="0.75">
      <c r="A47" s="18" t="s">
        <v>61</v>
      </c>
      <c r="B47" s="19">
        <v>46027</v>
      </c>
      <c r="C47" s="17">
        <v>2</v>
      </c>
      <c r="D47" s="18" t="s">
        <v>54</v>
      </c>
      <c r="E47" s="19">
        <v>46027</v>
      </c>
      <c r="F47" s="18" t="s">
        <v>57</v>
      </c>
      <c r="G47" s="18" t="s">
        <v>58</v>
      </c>
      <c r="H47" s="17">
        <v>666502</v>
      </c>
      <c r="I47" s="18" t="s">
        <v>7</v>
      </c>
      <c r="J47" s="20">
        <v>17</v>
      </c>
    </row>
    <row r="48" spans="1:10" ht="15" customHeight="1" x14ac:dyDescent="0.75">
      <c r="A48" s="18" t="s">
        <v>61</v>
      </c>
      <c r="B48" s="19">
        <v>46027</v>
      </c>
      <c r="C48" s="17">
        <v>2</v>
      </c>
      <c r="D48" s="18" t="s">
        <v>54</v>
      </c>
      <c r="E48" s="19">
        <v>46027</v>
      </c>
      <c r="F48" s="18" t="s">
        <v>57</v>
      </c>
      <c r="G48" s="18" t="s">
        <v>58</v>
      </c>
      <c r="H48" s="17">
        <v>666506</v>
      </c>
      <c r="I48" s="18" t="s">
        <v>11</v>
      </c>
      <c r="J48" s="20">
        <v>20</v>
      </c>
    </row>
    <row r="49" spans="1:10" ht="15" customHeight="1" x14ac:dyDescent="0.75">
      <c r="A49" s="18" t="s">
        <v>61</v>
      </c>
      <c r="B49" s="19">
        <v>46027</v>
      </c>
      <c r="C49" s="17">
        <v>2</v>
      </c>
      <c r="D49" s="18" t="s">
        <v>54</v>
      </c>
      <c r="E49" s="19">
        <v>46027</v>
      </c>
      <c r="F49" s="18" t="s">
        <v>57</v>
      </c>
      <c r="G49" s="18" t="s">
        <v>58</v>
      </c>
      <c r="H49" s="17">
        <v>666523</v>
      </c>
      <c r="I49" s="18" t="s">
        <v>35</v>
      </c>
      <c r="J49" s="20">
        <v>112</v>
      </c>
    </row>
    <row r="50" spans="1:10" ht="15" customHeight="1" x14ac:dyDescent="0.75">
      <c r="A50" s="18" t="s">
        <v>61</v>
      </c>
      <c r="B50" s="19">
        <v>46027</v>
      </c>
      <c r="C50" s="17">
        <v>2</v>
      </c>
      <c r="D50" s="18" t="s">
        <v>54</v>
      </c>
      <c r="E50" s="19">
        <v>46027</v>
      </c>
      <c r="F50" s="18" t="s">
        <v>57</v>
      </c>
      <c r="G50" s="18" t="s">
        <v>58</v>
      </c>
      <c r="H50" s="17">
        <v>666541</v>
      </c>
      <c r="I50" s="18" t="s">
        <v>41</v>
      </c>
      <c r="J50" s="20">
        <v>55</v>
      </c>
    </row>
    <row r="51" spans="1:10" ht="15" customHeight="1" x14ac:dyDescent="0.75">
      <c r="A51" s="18" t="s">
        <v>61</v>
      </c>
      <c r="B51" s="19">
        <v>46027</v>
      </c>
      <c r="C51" s="17">
        <v>2</v>
      </c>
      <c r="D51" s="18" t="s">
        <v>59</v>
      </c>
      <c r="E51" s="19">
        <v>46028</v>
      </c>
      <c r="F51" s="18" t="s">
        <v>57</v>
      </c>
      <c r="G51" s="18" t="s">
        <v>58</v>
      </c>
      <c r="H51" s="17">
        <v>666502</v>
      </c>
      <c r="I51" s="18" t="s">
        <v>7</v>
      </c>
      <c r="J51" s="20">
        <v>33</v>
      </c>
    </row>
    <row r="52" spans="1:10" ht="15" customHeight="1" x14ac:dyDescent="0.75">
      <c r="A52" s="18" t="s">
        <v>61</v>
      </c>
      <c r="B52" s="19">
        <v>46027</v>
      </c>
      <c r="C52" s="17">
        <v>2</v>
      </c>
      <c r="D52" s="18" t="s">
        <v>59</v>
      </c>
      <c r="E52" s="19">
        <v>46028</v>
      </c>
      <c r="F52" s="18" t="s">
        <v>57</v>
      </c>
      <c r="G52" s="18" t="s">
        <v>58</v>
      </c>
      <c r="H52" s="17">
        <v>666506</v>
      </c>
      <c r="I52" s="18" t="s">
        <v>11</v>
      </c>
      <c r="J52" s="20">
        <v>74</v>
      </c>
    </row>
    <row r="53" spans="1:10" ht="15" customHeight="1" x14ac:dyDescent="0.75">
      <c r="A53" s="18" t="s">
        <v>61</v>
      </c>
      <c r="B53" s="19">
        <v>46027</v>
      </c>
      <c r="C53" s="17">
        <v>2</v>
      </c>
      <c r="D53" s="18" t="s">
        <v>59</v>
      </c>
      <c r="E53" s="19">
        <v>46028</v>
      </c>
      <c r="F53" s="18" t="s">
        <v>57</v>
      </c>
      <c r="G53" s="18" t="s">
        <v>58</v>
      </c>
      <c r="H53" s="17">
        <v>666540</v>
      </c>
      <c r="I53" s="18" t="s">
        <v>40</v>
      </c>
      <c r="J53" s="20">
        <v>11</v>
      </c>
    </row>
    <row r="54" spans="1:10" ht="15" customHeight="1" x14ac:dyDescent="0.75">
      <c r="A54" s="18" t="s">
        <v>61</v>
      </c>
      <c r="B54" s="19">
        <v>46027</v>
      </c>
      <c r="C54" s="17">
        <v>2</v>
      </c>
      <c r="D54" s="18" t="s">
        <v>59</v>
      </c>
      <c r="E54" s="19">
        <v>46028</v>
      </c>
      <c r="F54" s="18" t="s">
        <v>57</v>
      </c>
      <c r="G54" s="18" t="s">
        <v>58</v>
      </c>
      <c r="H54" s="17">
        <v>666541</v>
      </c>
      <c r="I54" s="18" t="s">
        <v>41</v>
      </c>
      <c r="J54" s="20">
        <v>10</v>
      </c>
    </row>
    <row r="55" spans="1:10" ht="15" customHeight="1" x14ac:dyDescent="0.75">
      <c r="A55" s="18" t="s">
        <v>61</v>
      </c>
      <c r="B55" s="19">
        <v>46027</v>
      </c>
      <c r="C55" s="17">
        <v>2</v>
      </c>
      <c r="D55" s="18" t="s">
        <v>60</v>
      </c>
      <c r="E55" s="19">
        <v>46029</v>
      </c>
      <c r="F55" s="18" t="s">
        <v>55</v>
      </c>
      <c r="G55" s="18" t="s">
        <v>56</v>
      </c>
      <c r="H55" s="17">
        <v>666501</v>
      </c>
      <c r="I55" s="18" t="s">
        <v>5</v>
      </c>
      <c r="J55" s="20">
        <v>3</v>
      </c>
    </row>
    <row r="56" spans="1:10" ht="15" customHeight="1" x14ac:dyDescent="0.75">
      <c r="A56" s="18" t="s">
        <v>61</v>
      </c>
      <c r="B56" s="19">
        <v>46027</v>
      </c>
      <c r="C56" s="17">
        <v>2</v>
      </c>
      <c r="D56" s="18" t="s">
        <v>60</v>
      </c>
      <c r="E56" s="19">
        <v>46029</v>
      </c>
      <c r="F56" s="18" t="s">
        <v>55</v>
      </c>
      <c r="G56" s="18" t="s">
        <v>56</v>
      </c>
      <c r="H56" s="17">
        <v>666507</v>
      </c>
      <c r="I56" s="18" t="s">
        <v>13</v>
      </c>
      <c r="J56" s="20">
        <v>22</v>
      </c>
    </row>
    <row r="57" spans="1:10" ht="15" customHeight="1" x14ac:dyDescent="0.75">
      <c r="A57" s="18" t="s">
        <v>61</v>
      </c>
      <c r="B57" s="19">
        <v>46027</v>
      </c>
      <c r="C57" s="17">
        <v>2</v>
      </c>
      <c r="D57" s="18" t="s">
        <v>60</v>
      </c>
      <c r="E57" s="19">
        <v>46029</v>
      </c>
      <c r="F57" s="18" t="s">
        <v>55</v>
      </c>
      <c r="G57" s="18" t="s">
        <v>56</v>
      </c>
      <c r="H57" s="17">
        <v>666509</v>
      </c>
      <c r="I57" s="18" t="s">
        <v>15</v>
      </c>
      <c r="J57" s="20">
        <v>20</v>
      </c>
    </row>
    <row r="58" spans="1:10" ht="15" customHeight="1" x14ac:dyDescent="0.75">
      <c r="A58" s="18" t="s">
        <v>61</v>
      </c>
      <c r="B58" s="19">
        <v>46027</v>
      </c>
      <c r="C58" s="17">
        <v>2</v>
      </c>
      <c r="D58" s="18" t="s">
        <v>60</v>
      </c>
      <c r="E58" s="19">
        <v>46029</v>
      </c>
      <c r="F58" s="18" t="s">
        <v>55</v>
      </c>
      <c r="G58" s="18" t="s">
        <v>56</v>
      </c>
      <c r="H58" s="17">
        <v>666516</v>
      </c>
      <c r="I58" s="18" t="s">
        <v>23</v>
      </c>
      <c r="J58" s="20">
        <v>2</v>
      </c>
    </row>
    <row r="59" spans="1:10" ht="15" customHeight="1" x14ac:dyDescent="0.75">
      <c r="A59" s="18" t="s">
        <v>61</v>
      </c>
      <c r="B59" s="19">
        <v>46027</v>
      </c>
      <c r="C59" s="17">
        <v>2</v>
      </c>
      <c r="D59" s="18" t="s">
        <v>60</v>
      </c>
      <c r="E59" s="19">
        <v>46029</v>
      </c>
      <c r="F59" s="18" t="s">
        <v>55</v>
      </c>
      <c r="G59" s="18" t="s">
        <v>56</v>
      </c>
      <c r="H59" s="17">
        <v>666517</v>
      </c>
      <c r="I59" s="18" t="s">
        <v>25</v>
      </c>
      <c r="J59" s="20">
        <v>7</v>
      </c>
    </row>
    <row r="60" spans="1:10" ht="15" customHeight="1" x14ac:dyDescent="0.75">
      <c r="A60" s="18" t="s">
        <v>61</v>
      </c>
      <c r="B60" s="19">
        <v>46027</v>
      </c>
      <c r="C60" s="17">
        <v>2</v>
      </c>
      <c r="D60" s="18" t="s">
        <v>60</v>
      </c>
      <c r="E60" s="19">
        <v>46029</v>
      </c>
      <c r="F60" s="18" t="s">
        <v>55</v>
      </c>
      <c r="G60" s="18" t="s">
        <v>56</v>
      </c>
      <c r="H60" s="17">
        <v>666519</v>
      </c>
      <c r="I60" s="18" t="s">
        <v>29</v>
      </c>
      <c r="J60" s="20">
        <v>1</v>
      </c>
    </row>
    <row r="61" spans="1:10" ht="15" customHeight="1" x14ac:dyDescent="0.75">
      <c r="A61" s="18" t="s">
        <v>61</v>
      </c>
      <c r="B61" s="19">
        <v>46027</v>
      </c>
      <c r="C61" s="17">
        <v>2</v>
      </c>
      <c r="D61" s="18" t="s">
        <v>60</v>
      </c>
      <c r="E61" s="19">
        <v>46029</v>
      </c>
      <c r="F61" s="18" t="s">
        <v>55</v>
      </c>
      <c r="G61" s="18" t="s">
        <v>56</v>
      </c>
      <c r="H61" s="17">
        <v>666522</v>
      </c>
      <c r="I61" s="18" t="s">
        <v>33</v>
      </c>
      <c r="J61" s="20">
        <v>5</v>
      </c>
    </row>
    <row r="62" spans="1:10" ht="15" customHeight="1" x14ac:dyDescent="0.75">
      <c r="A62" s="18" t="s">
        <v>61</v>
      </c>
      <c r="B62" s="19">
        <v>46027</v>
      </c>
      <c r="C62" s="17">
        <v>2</v>
      </c>
      <c r="D62" s="18" t="s">
        <v>60</v>
      </c>
      <c r="E62" s="19">
        <v>46029</v>
      </c>
      <c r="F62" s="18" t="s">
        <v>55</v>
      </c>
      <c r="G62" s="18" t="s">
        <v>56</v>
      </c>
      <c r="H62" s="17">
        <v>666536</v>
      </c>
      <c r="I62" s="18" t="s">
        <v>43</v>
      </c>
      <c r="J62" s="20">
        <v>1</v>
      </c>
    </row>
    <row r="63" spans="1:10" ht="15" customHeight="1" x14ac:dyDescent="0.75">
      <c r="A63" s="18" t="s">
        <v>61</v>
      </c>
      <c r="B63" s="19">
        <v>46027</v>
      </c>
      <c r="C63" s="17">
        <v>2</v>
      </c>
      <c r="D63" s="18" t="s">
        <v>60</v>
      </c>
      <c r="E63" s="19">
        <v>46029</v>
      </c>
      <c r="F63" s="18" t="s">
        <v>57</v>
      </c>
      <c r="G63" s="18" t="s">
        <v>58</v>
      </c>
      <c r="H63" s="17">
        <v>666502</v>
      </c>
      <c r="I63" s="18" t="s">
        <v>7</v>
      </c>
      <c r="J63" s="20">
        <v>18</v>
      </c>
    </row>
    <row r="64" spans="1:10" ht="15" customHeight="1" x14ac:dyDescent="0.75">
      <c r="A64" s="18" t="s">
        <v>61</v>
      </c>
      <c r="B64" s="19">
        <v>46027</v>
      </c>
      <c r="C64" s="17">
        <v>2</v>
      </c>
      <c r="D64" s="18" t="s">
        <v>60</v>
      </c>
      <c r="E64" s="19">
        <v>46029</v>
      </c>
      <c r="F64" s="18" t="s">
        <v>57</v>
      </c>
      <c r="G64" s="18" t="s">
        <v>58</v>
      </c>
      <c r="H64" s="17">
        <v>666506</v>
      </c>
      <c r="I64" s="18" t="s">
        <v>11</v>
      </c>
      <c r="J64" s="20">
        <v>46</v>
      </c>
    </row>
    <row r="65" spans="1:10" ht="15" customHeight="1" x14ac:dyDescent="0.75">
      <c r="A65" s="18" t="s">
        <v>61</v>
      </c>
      <c r="B65" s="19">
        <v>46027</v>
      </c>
      <c r="C65" s="17">
        <v>2</v>
      </c>
      <c r="D65" s="18" t="s">
        <v>60</v>
      </c>
      <c r="E65" s="19">
        <v>46029</v>
      </c>
      <c r="F65" s="18" t="s">
        <v>57</v>
      </c>
      <c r="G65" s="18" t="s">
        <v>58</v>
      </c>
      <c r="H65" s="17">
        <v>666540</v>
      </c>
      <c r="I65" s="18" t="s">
        <v>40</v>
      </c>
      <c r="J65" s="20">
        <v>10</v>
      </c>
    </row>
    <row r="66" spans="1:10" ht="15" customHeight="1" x14ac:dyDescent="0.75">
      <c r="A66" s="18" t="s">
        <v>61</v>
      </c>
      <c r="B66" s="19">
        <v>46027</v>
      </c>
      <c r="C66" s="17">
        <v>2</v>
      </c>
      <c r="D66" s="18" t="s">
        <v>62</v>
      </c>
      <c r="E66" s="19">
        <v>46030</v>
      </c>
      <c r="F66" s="18" t="s">
        <v>55</v>
      </c>
      <c r="G66" s="18" t="s">
        <v>56</v>
      </c>
      <c r="H66" s="17">
        <v>666507</v>
      </c>
      <c r="I66" s="18" t="s">
        <v>13</v>
      </c>
      <c r="J66" s="20">
        <v>1</v>
      </c>
    </row>
    <row r="67" spans="1:10" ht="15" customHeight="1" x14ac:dyDescent="0.75">
      <c r="A67" s="18" t="s">
        <v>61</v>
      </c>
      <c r="B67" s="19">
        <v>46027</v>
      </c>
      <c r="C67" s="17">
        <v>2</v>
      </c>
      <c r="D67" s="18" t="s">
        <v>62</v>
      </c>
      <c r="E67" s="19">
        <v>46030</v>
      </c>
      <c r="F67" s="18" t="s">
        <v>55</v>
      </c>
      <c r="G67" s="18" t="s">
        <v>56</v>
      </c>
      <c r="H67" s="17">
        <v>666509</v>
      </c>
      <c r="I67" s="18" t="s">
        <v>15</v>
      </c>
      <c r="J67" s="20">
        <v>25</v>
      </c>
    </row>
    <row r="68" spans="1:10" ht="15" customHeight="1" x14ac:dyDescent="0.75">
      <c r="A68" s="18" t="s">
        <v>61</v>
      </c>
      <c r="B68" s="19">
        <v>46027</v>
      </c>
      <c r="C68" s="17">
        <v>2</v>
      </c>
      <c r="D68" s="18" t="s">
        <v>62</v>
      </c>
      <c r="E68" s="19">
        <v>46030</v>
      </c>
      <c r="F68" s="18" t="s">
        <v>55</v>
      </c>
      <c r="G68" s="18" t="s">
        <v>56</v>
      </c>
      <c r="H68" s="17">
        <v>666511</v>
      </c>
      <c r="I68" s="18" t="s">
        <v>19</v>
      </c>
      <c r="J68" s="20">
        <v>4</v>
      </c>
    </row>
    <row r="69" spans="1:10" ht="15" customHeight="1" x14ac:dyDescent="0.75">
      <c r="A69" s="18" t="s">
        <v>61</v>
      </c>
      <c r="B69" s="19">
        <v>46027</v>
      </c>
      <c r="C69" s="17">
        <v>2</v>
      </c>
      <c r="D69" s="18" t="s">
        <v>62</v>
      </c>
      <c r="E69" s="19">
        <v>46030</v>
      </c>
      <c r="F69" s="18" t="s">
        <v>55</v>
      </c>
      <c r="G69" s="18" t="s">
        <v>56</v>
      </c>
      <c r="H69" s="17">
        <v>666536</v>
      </c>
      <c r="I69" s="18" t="s">
        <v>43</v>
      </c>
      <c r="J69" s="20">
        <v>6</v>
      </c>
    </row>
    <row r="70" spans="1:10" ht="15" customHeight="1" x14ac:dyDescent="0.75">
      <c r="A70" s="18" t="s">
        <v>61</v>
      </c>
      <c r="B70" s="19">
        <v>46027</v>
      </c>
      <c r="C70" s="17">
        <v>2</v>
      </c>
      <c r="D70" s="18" t="s">
        <v>62</v>
      </c>
      <c r="E70" s="19">
        <v>46030</v>
      </c>
      <c r="F70" s="18" t="s">
        <v>57</v>
      </c>
      <c r="G70" s="18" t="s">
        <v>58</v>
      </c>
      <c r="H70" s="17">
        <v>666502</v>
      </c>
      <c r="I70" s="18" t="s">
        <v>7</v>
      </c>
      <c r="J70" s="20">
        <v>47</v>
      </c>
    </row>
    <row r="71" spans="1:10" ht="15" customHeight="1" x14ac:dyDescent="0.75">
      <c r="A71" s="18" t="s">
        <v>61</v>
      </c>
      <c r="B71" s="19">
        <v>46027</v>
      </c>
      <c r="C71" s="17">
        <v>2</v>
      </c>
      <c r="D71" s="18" t="s">
        <v>62</v>
      </c>
      <c r="E71" s="19">
        <v>46030</v>
      </c>
      <c r="F71" s="18" t="s">
        <v>57</v>
      </c>
      <c r="G71" s="18" t="s">
        <v>58</v>
      </c>
      <c r="H71" s="17">
        <v>666506</v>
      </c>
      <c r="I71" s="18" t="s">
        <v>11</v>
      </c>
      <c r="J71" s="20">
        <v>60</v>
      </c>
    </row>
    <row r="72" spans="1:10" ht="15" customHeight="1" x14ac:dyDescent="0.75">
      <c r="A72" s="18" t="s">
        <v>61</v>
      </c>
      <c r="B72" s="19">
        <v>46027</v>
      </c>
      <c r="C72" s="17">
        <v>2</v>
      </c>
      <c r="D72" s="18" t="s">
        <v>62</v>
      </c>
      <c r="E72" s="19">
        <v>46030</v>
      </c>
      <c r="F72" s="18" t="s">
        <v>57</v>
      </c>
      <c r="G72" s="18" t="s">
        <v>58</v>
      </c>
      <c r="H72" s="17">
        <v>666540</v>
      </c>
      <c r="I72" s="18" t="s">
        <v>40</v>
      </c>
      <c r="J72" s="20">
        <v>25</v>
      </c>
    </row>
    <row r="73" spans="1:10" ht="15" customHeight="1" x14ac:dyDescent="0.75">
      <c r="A73" s="18" t="s">
        <v>61</v>
      </c>
      <c r="B73" s="19">
        <v>46027</v>
      </c>
      <c r="C73" s="17">
        <v>2</v>
      </c>
      <c r="D73" s="18" t="s">
        <v>63</v>
      </c>
      <c r="E73" s="19">
        <v>46031</v>
      </c>
      <c r="F73" s="18" t="s">
        <v>55</v>
      </c>
      <c r="G73" s="18" t="s">
        <v>56</v>
      </c>
      <c r="H73" s="17">
        <v>666509</v>
      </c>
      <c r="I73" s="18" t="s">
        <v>15</v>
      </c>
      <c r="J73" s="20">
        <v>21</v>
      </c>
    </row>
    <row r="74" spans="1:10" ht="15" customHeight="1" x14ac:dyDescent="0.75">
      <c r="A74" s="18" t="s">
        <v>61</v>
      </c>
      <c r="B74" s="19">
        <v>46027</v>
      </c>
      <c r="C74" s="17">
        <v>2</v>
      </c>
      <c r="D74" s="18" t="s">
        <v>63</v>
      </c>
      <c r="E74" s="19">
        <v>46031</v>
      </c>
      <c r="F74" s="18" t="s">
        <v>55</v>
      </c>
      <c r="G74" s="18" t="s">
        <v>56</v>
      </c>
      <c r="H74" s="17">
        <v>666511</v>
      </c>
      <c r="I74" s="18" t="s">
        <v>19</v>
      </c>
      <c r="J74" s="20">
        <v>2</v>
      </c>
    </row>
    <row r="75" spans="1:10" ht="15" customHeight="1" x14ac:dyDescent="0.75">
      <c r="A75" s="18" t="s">
        <v>61</v>
      </c>
      <c r="B75" s="19">
        <v>46027</v>
      </c>
      <c r="C75" s="17">
        <v>2</v>
      </c>
      <c r="D75" s="18" t="s">
        <v>63</v>
      </c>
      <c r="E75" s="19">
        <v>46031</v>
      </c>
      <c r="F75" s="18" t="s">
        <v>55</v>
      </c>
      <c r="G75" s="18" t="s">
        <v>56</v>
      </c>
      <c r="H75" s="17">
        <v>666536</v>
      </c>
      <c r="I75" s="18" t="s">
        <v>43</v>
      </c>
      <c r="J75" s="20">
        <v>1</v>
      </c>
    </row>
    <row r="76" spans="1:10" ht="15" customHeight="1" x14ac:dyDescent="0.75">
      <c r="A76" s="18" t="s">
        <v>64</v>
      </c>
      <c r="B76" s="19">
        <v>46034</v>
      </c>
      <c r="C76" s="17">
        <v>3</v>
      </c>
      <c r="D76" s="18" t="s">
        <v>54</v>
      </c>
      <c r="E76" s="19">
        <v>46034</v>
      </c>
      <c r="F76" s="18" t="s">
        <v>55</v>
      </c>
      <c r="G76" s="18" t="s">
        <v>56</v>
      </c>
      <c r="H76" s="17">
        <v>666505</v>
      </c>
      <c r="I76" s="18" t="s">
        <v>9</v>
      </c>
      <c r="J76" s="20">
        <v>9</v>
      </c>
    </row>
    <row r="77" spans="1:10" ht="15" customHeight="1" x14ac:dyDescent="0.75">
      <c r="A77" s="18" t="s">
        <v>64</v>
      </c>
      <c r="B77" s="19">
        <v>46034</v>
      </c>
      <c r="C77" s="17">
        <v>3</v>
      </c>
      <c r="D77" s="18" t="s">
        <v>54</v>
      </c>
      <c r="E77" s="19">
        <v>46034</v>
      </c>
      <c r="F77" s="18" t="s">
        <v>55</v>
      </c>
      <c r="G77" s="18" t="s">
        <v>56</v>
      </c>
      <c r="H77" s="17">
        <v>666507</v>
      </c>
      <c r="I77" s="18" t="s">
        <v>13</v>
      </c>
      <c r="J77" s="20">
        <v>11</v>
      </c>
    </row>
    <row r="78" spans="1:10" ht="15" customHeight="1" x14ac:dyDescent="0.75">
      <c r="A78" s="18" t="s">
        <v>64</v>
      </c>
      <c r="B78" s="19">
        <v>46034</v>
      </c>
      <c r="C78" s="17">
        <v>3</v>
      </c>
      <c r="D78" s="18" t="s">
        <v>54</v>
      </c>
      <c r="E78" s="19">
        <v>46034</v>
      </c>
      <c r="F78" s="18" t="s">
        <v>55</v>
      </c>
      <c r="G78" s="18" t="s">
        <v>56</v>
      </c>
      <c r="H78" s="17">
        <v>666509</v>
      </c>
      <c r="I78" s="18" t="s">
        <v>15</v>
      </c>
      <c r="J78" s="20">
        <v>13</v>
      </c>
    </row>
    <row r="79" spans="1:10" ht="15" customHeight="1" x14ac:dyDescent="0.75">
      <c r="A79" s="18" t="s">
        <v>64</v>
      </c>
      <c r="B79" s="19">
        <v>46034</v>
      </c>
      <c r="C79" s="17">
        <v>3</v>
      </c>
      <c r="D79" s="18" t="s">
        <v>54</v>
      </c>
      <c r="E79" s="19">
        <v>46034</v>
      </c>
      <c r="F79" s="18" t="s">
        <v>55</v>
      </c>
      <c r="G79" s="18" t="s">
        <v>56</v>
      </c>
      <c r="H79" s="17">
        <v>666517</v>
      </c>
      <c r="I79" s="18" t="s">
        <v>25</v>
      </c>
      <c r="J79" s="20">
        <v>14</v>
      </c>
    </row>
    <row r="80" spans="1:10" ht="15" customHeight="1" x14ac:dyDescent="0.75">
      <c r="A80" s="18" t="s">
        <v>64</v>
      </c>
      <c r="B80" s="19">
        <v>46034</v>
      </c>
      <c r="C80" s="17">
        <v>3</v>
      </c>
      <c r="D80" s="18" t="s">
        <v>54</v>
      </c>
      <c r="E80" s="19">
        <v>46034</v>
      </c>
      <c r="F80" s="18" t="s">
        <v>55</v>
      </c>
      <c r="G80" s="18" t="s">
        <v>56</v>
      </c>
      <c r="H80" s="17">
        <v>666519</v>
      </c>
      <c r="I80" s="18" t="s">
        <v>29</v>
      </c>
      <c r="J80" s="20">
        <v>6</v>
      </c>
    </row>
    <row r="81" spans="1:10" ht="15" customHeight="1" x14ac:dyDescent="0.75">
      <c r="A81" s="18" t="s">
        <v>64</v>
      </c>
      <c r="B81" s="19">
        <v>46034</v>
      </c>
      <c r="C81" s="17">
        <v>3</v>
      </c>
      <c r="D81" s="18" t="s">
        <v>54</v>
      </c>
      <c r="E81" s="19">
        <v>46034</v>
      </c>
      <c r="F81" s="18" t="s">
        <v>55</v>
      </c>
      <c r="G81" s="18" t="s">
        <v>56</v>
      </c>
      <c r="H81" s="17">
        <v>666522</v>
      </c>
      <c r="I81" s="18" t="s">
        <v>33</v>
      </c>
      <c r="J81" s="20">
        <v>45</v>
      </c>
    </row>
    <row r="82" spans="1:10" ht="15" customHeight="1" x14ac:dyDescent="0.75">
      <c r="A82" s="18" t="s">
        <v>64</v>
      </c>
      <c r="B82" s="19">
        <v>46034</v>
      </c>
      <c r="C82" s="17">
        <v>3</v>
      </c>
      <c r="D82" s="18" t="s">
        <v>54</v>
      </c>
      <c r="E82" s="19">
        <v>46034</v>
      </c>
      <c r="F82" s="18" t="s">
        <v>55</v>
      </c>
      <c r="G82" s="18" t="s">
        <v>56</v>
      </c>
      <c r="H82" s="17">
        <v>666530</v>
      </c>
      <c r="I82" s="18" t="s">
        <v>37</v>
      </c>
      <c r="J82" s="20">
        <v>1</v>
      </c>
    </row>
    <row r="83" spans="1:10" ht="15" customHeight="1" x14ac:dyDescent="0.75">
      <c r="A83" s="18" t="s">
        <v>64</v>
      </c>
      <c r="B83" s="19">
        <v>46034</v>
      </c>
      <c r="C83" s="17">
        <v>3</v>
      </c>
      <c r="D83" s="18" t="s">
        <v>54</v>
      </c>
      <c r="E83" s="19">
        <v>46034</v>
      </c>
      <c r="F83" s="18" t="s">
        <v>55</v>
      </c>
      <c r="G83" s="18" t="s">
        <v>56</v>
      </c>
      <c r="H83" s="17">
        <v>666531</v>
      </c>
      <c r="I83" s="18" t="s">
        <v>39</v>
      </c>
      <c r="J83" s="20">
        <v>1</v>
      </c>
    </row>
    <row r="84" spans="1:10" ht="15" customHeight="1" x14ac:dyDescent="0.75">
      <c r="A84" s="18" t="s">
        <v>64</v>
      </c>
      <c r="B84" s="19">
        <v>46034</v>
      </c>
      <c r="C84" s="17">
        <v>3</v>
      </c>
      <c r="D84" s="18" t="s">
        <v>54</v>
      </c>
      <c r="E84" s="19">
        <v>46034</v>
      </c>
      <c r="F84" s="18" t="s">
        <v>57</v>
      </c>
      <c r="G84" s="18" t="s">
        <v>58</v>
      </c>
      <c r="H84" s="17">
        <v>666502</v>
      </c>
      <c r="I84" s="18" t="s">
        <v>7</v>
      </c>
      <c r="J84" s="20">
        <v>25</v>
      </c>
    </row>
    <row r="85" spans="1:10" ht="15" customHeight="1" x14ac:dyDescent="0.75">
      <c r="A85" s="18" t="s">
        <v>64</v>
      </c>
      <c r="B85" s="19">
        <v>46034</v>
      </c>
      <c r="C85" s="17">
        <v>3</v>
      </c>
      <c r="D85" s="18" t="s">
        <v>54</v>
      </c>
      <c r="E85" s="19">
        <v>46034</v>
      </c>
      <c r="F85" s="18" t="s">
        <v>57</v>
      </c>
      <c r="G85" s="18" t="s">
        <v>58</v>
      </c>
      <c r="H85" s="17">
        <v>666522</v>
      </c>
      <c r="I85" s="18" t="s">
        <v>33</v>
      </c>
      <c r="J85" s="20">
        <v>165</v>
      </c>
    </row>
    <row r="86" spans="1:10" ht="15" customHeight="1" x14ac:dyDescent="0.75">
      <c r="A86" s="18" t="s">
        <v>64</v>
      </c>
      <c r="B86" s="19">
        <v>46034</v>
      </c>
      <c r="C86" s="17">
        <v>3</v>
      </c>
      <c r="D86" s="18" t="s">
        <v>54</v>
      </c>
      <c r="E86" s="19">
        <v>46034</v>
      </c>
      <c r="F86" s="18" t="s">
        <v>57</v>
      </c>
      <c r="G86" s="18" t="s">
        <v>58</v>
      </c>
      <c r="H86" s="17">
        <v>666523</v>
      </c>
      <c r="I86" s="18" t="s">
        <v>35</v>
      </c>
      <c r="J86" s="20">
        <v>47</v>
      </c>
    </row>
    <row r="87" spans="1:10" ht="15" customHeight="1" x14ac:dyDescent="0.75">
      <c r="A87" s="18" t="s">
        <v>64</v>
      </c>
      <c r="B87" s="19">
        <v>46034</v>
      </c>
      <c r="C87" s="17">
        <v>3</v>
      </c>
      <c r="D87" s="18" t="s">
        <v>54</v>
      </c>
      <c r="E87" s="19">
        <v>46034</v>
      </c>
      <c r="F87" s="18" t="s">
        <v>57</v>
      </c>
      <c r="G87" s="18" t="s">
        <v>58</v>
      </c>
      <c r="H87" s="17">
        <v>666540</v>
      </c>
      <c r="I87" s="18" t="s">
        <v>40</v>
      </c>
      <c r="J87" s="20">
        <v>6</v>
      </c>
    </row>
    <row r="88" spans="1:10" ht="15" customHeight="1" x14ac:dyDescent="0.75">
      <c r="A88" s="18" t="s">
        <v>64</v>
      </c>
      <c r="B88" s="19">
        <v>46034</v>
      </c>
      <c r="C88" s="17">
        <v>3</v>
      </c>
      <c r="D88" s="18" t="s">
        <v>54</v>
      </c>
      <c r="E88" s="19">
        <v>46034</v>
      </c>
      <c r="F88" s="18" t="s">
        <v>57</v>
      </c>
      <c r="G88" s="18" t="s">
        <v>58</v>
      </c>
      <c r="H88" s="17">
        <v>666541</v>
      </c>
      <c r="I88" s="18" t="s">
        <v>41</v>
      </c>
      <c r="J88" s="20">
        <v>28</v>
      </c>
    </row>
    <row r="89" spans="1:10" ht="15" customHeight="1" x14ac:dyDescent="0.75">
      <c r="A89" s="18" t="s">
        <v>64</v>
      </c>
      <c r="B89" s="19">
        <v>46034</v>
      </c>
      <c r="C89" s="17">
        <v>3</v>
      </c>
      <c r="D89" s="18" t="s">
        <v>54</v>
      </c>
      <c r="E89" s="19">
        <v>46034</v>
      </c>
      <c r="F89" s="18" t="s">
        <v>65</v>
      </c>
      <c r="G89" s="18" t="s">
        <v>66</v>
      </c>
      <c r="H89" s="17">
        <v>666505</v>
      </c>
      <c r="I89" s="18" t="s">
        <v>9</v>
      </c>
      <c r="J89" s="20">
        <v>41</v>
      </c>
    </row>
    <row r="90" spans="1:10" ht="15" customHeight="1" x14ac:dyDescent="0.75">
      <c r="A90" s="18" t="s">
        <v>64</v>
      </c>
      <c r="B90" s="19">
        <v>46034</v>
      </c>
      <c r="C90" s="17">
        <v>3</v>
      </c>
      <c r="D90" s="18" t="s">
        <v>54</v>
      </c>
      <c r="E90" s="19">
        <v>46034</v>
      </c>
      <c r="F90" s="18" t="s">
        <v>65</v>
      </c>
      <c r="G90" s="18" t="s">
        <v>66</v>
      </c>
      <c r="H90" s="17">
        <v>666516</v>
      </c>
      <c r="I90" s="18" t="s">
        <v>23</v>
      </c>
      <c r="J90" s="20">
        <v>4</v>
      </c>
    </row>
    <row r="91" spans="1:10" ht="15" customHeight="1" x14ac:dyDescent="0.75">
      <c r="A91" s="18" t="s">
        <v>64</v>
      </c>
      <c r="B91" s="19">
        <v>46034</v>
      </c>
      <c r="C91" s="17">
        <v>3</v>
      </c>
      <c r="D91" s="18" t="s">
        <v>54</v>
      </c>
      <c r="E91" s="19">
        <v>46034</v>
      </c>
      <c r="F91" s="18" t="s">
        <v>65</v>
      </c>
      <c r="G91" s="18" t="s">
        <v>66</v>
      </c>
      <c r="H91" s="17">
        <v>666517</v>
      </c>
      <c r="I91" s="18" t="s">
        <v>25</v>
      </c>
      <c r="J91" s="20">
        <v>5</v>
      </c>
    </row>
    <row r="92" spans="1:10" ht="15" customHeight="1" x14ac:dyDescent="0.75">
      <c r="A92" s="18" t="s">
        <v>64</v>
      </c>
      <c r="B92" s="19">
        <v>46034</v>
      </c>
      <c r="C92" s="17">
        <v>3</v>
      </c>
      <c r="D92" s="18" t="s">
        <v>54</v>
      </c>
      <c r="E92" s="19">
        <v>46034</v>
      </c>
      <c r="F92" s="18" t="s">
        <v>65</v>
      </c>
      <c r="G92" s="18" t="s">
        <v>66</v>
      </c>
      <c r="H92" s="17">
        <v>666519</v>
      </c>
      <c r="I92" s="18" t="s">
        <v>29</v>
      </c>
      <c r="J92" s="20">
        <v>4</v>
      </c>
    </row>
    <row r="93" spans="1:10" ht="15" customHeight="1" x14ac:dyDescent="0.75">
      <c r="A93" s="18" t="s">
        <v>64</v>
      </c>
      <c r="B93" s="19">
        <v>46034</v>
      </c>
      <c r="C93" s="17">
        <v>3</v>
      </c>
      <c r="D93" s="18" t="s">
        <v>54</v>
      </c>
      <c r="E93" s="19">
        <v>46034</v>
      </c>
      <c r="F93" s="18" t="s">
        <v>65</v>
      </c>
      <c r="G93" s="18" t="s">
        <v>66</v>
      </c>
      <c r="H93" s="17">
        <v>666522</v>
      </c>
      <c r="I93" s="18" t="s">
        <v>33</v>
      </c>
      <c r="J93" s="20">
        <v>65</v>
      </c>
    </row>
    <row r="94" spans="1:10" ht="15" customHeight="1" x14ac:dyDescent="0.75">
      <c r="A94" s="18" t="s">
        <v>64</v>
      </c>
      <c r="B94" s="19">
        <v>46034</v>
      </c>
      <c r="C94" s="17">
        <v>3</v>
      </c>
      <c r="D94" s="18" t="s">
        <v>54</v>
      </c>
      <c r="E94" s="19">
        <v>46034</v>
      </c>
      <c r="F94" s="18" t="s">
        <v>65</v>
      </c>
      <c r="G94" s="18" t="s">
        <v>66</v>
      </c>
      <c r="H94" s="17">
        <v>666523</v>
      </c>
      <c r="I94" s="18" t="s">
        <v>35</v>
      </c>
      <c r="J94" s="20">
        <v>3</v>
      </c>
    </row>
    <row r="95" spans="1:10" ht="15" customHeight="1" x14ac:dyDescent="0.75">
      <c r="A95" s="18" t="s">
        <v>64</v>
      </c>
      <c r="B95" s="19">
        <v>46034</v>
      </c>
      <c r="C95" s="17">
        <v>3</v>
      </c>
      <c r="D95" s="18" t="s">
        <v>59</v>
      </c>
      <c r="E95" s="19">
        <v>46035</v>
      </c>
      <c r="F95" s="18" t="s">
        <v>57</v>
      </c>
      <c r="G95" s="18" t="s">
        <v>58</v>
      </c>
      <c r="H95" s="17">
        <v>666502</v>
      </c>
      <c r="I95" s="18" t="s">
        <v>7</v>
      </c>
      <c r="J95" s="20">
        <v>32</v>
      </c>
    </row>
    <row r="96" spans="1:10" ht="15" customHeight="1" x14ac:dyDescent="0.75">
      <c r="A96" s="18" t="s">
        <v>64</v>
      </c>
      <c r="B96" s="19">
        <v>46034</v>
      </c>
      <c r="C96" s="17">
        <v>3</v>
      </c>
      <c r="D96" s="18" t="s">
        <v>59</v>
      </c>
      <c r="E96" s="19">
        <v>46035</v>
      </c>
      <c r="F96" s="18" t="s">
        <v>57</v>
      </c>
      <c r="G96" s="18" t="s">
        <v>58</v>
      </c>
      <c r="H96" s="17">
        <v>666522</v>
      </c>
      <c r="I96" s="18" t="s">
        <v>33</v>
      </c>
      <c r="J96" s="20">
        <v>50</v>
      </c>
    </row>
    <row r="97" spans="1:10" ht="15" customHeight="1" x14ac:dyDescent="0.75">
      <c r="A97" s="18" t="s">
        <v>64</v>
      </c>
      <c r="B97" s="19">
        <v>46034</v>
      </c>
      <c r="C97" s="17">
        <v>3</v>
      </c>
      <c r="D97" s="18" t="s">
        <v>59</v>
      </c>
      <c r="E97" s="19">
        <v>46035</v>
      </c>
      <c r="F97" s="18" t="s">
        <v>57</v>
      </c>
      <c r="G97" s="18" t="s">
        <v>58</v>
      </c>
      <c r="H97" s="17">
        <v>666540</v>
      </c>
      <c r="I97" s="18" t="s">
        <v>40</v>
      </c>
      <c r="J97" s="20">
        <v>12</v>
      </c>
    </row>
    <row r="98" spans="1:10" ht="15" customHeight="1" x14ac:dyDescent="0.75">
      <c r="A98" s="18" t="s">
        <v>64</v>
      </c>
      <c r="B98" s="19">
        <v>46034</v>
      </c>
      <c r="C98" s="17">
        <v>3</v>
      </c>
      <c r="D98" s="18" t="s">
        <v>59</v>
      </c>
      <c r="E98" s="19">
        <v>46035</v>
      </c>
      <c r="F98" s="18" t="s">
        <v>57</v>
      </c>
      <c r="G98" s="18" t="s">
        <v>58</v>
      </c>
      <c r="H98" s="17">
        <v>666541</v>
      </c>
      <c r="I98" s="18" t="s">
        <v>41</v>
      </c>
      <c r="J98" s="20">
        <v>40</v>
      </c>
    </row>
    <row r="99" spans="1:10" ht="15" customHeight="1" x14ac:dyDescent="0.75">
      <c r="A99" s="18" t="s">
        <v>64</v>
      </c>
      <c r="B99" s="19">
        <v>46034</v>
      </c>
      <c r="C99" s="17">
        <v>3</v>
      </c>
      <c r="D99" s="18" t="s">
        <v>60</v>
      </c>
      <c r="E99" s="19">
        <v>46036</v>
      </c>
      <c r="F99" s="18" t="s">
        <v>55</v>
      </c>
      <c r="G99" s="18" t="s">
        <v>56</v>
      </c>
      <c r="H99" s="17">
        <v>666505</v>
      </c>
      <c r="I99" s="18" t="s">
        <v>9</v>
      </c>
      <c r="J99" s="20">
        <v>10</v>
      </c>
    </row>
    <row r="100" spans="1:10" ht="15" customHeight="1" x14ac:dyDescent="0.75">
      <c r="A100" s="18" t="s">
        <v>64</v>
      </c>
      <c r="B100" s="19">
        <v>46034</v>
      </c>
      <c r="C100" s="17">
        <v>3</v>
      </c>
      <c r="D100" s="18" t="s">
        <v>60</v>
      </c>
      <c r="E100" s="19">
        <v>46036</v>
      </c>
      <c r="F100" s="18" t="s">
        <v>55</v>
      </c>
      <c r="G100" s="18" t="s">
        <v>56</v>
      </c>
      <c r="H100" s="17">
        <v>666507</v>
      </c>
      <c r="I100" s="18" t="s">
        <v>13</v>
      </c>
      <c r="J100" s="20">
        <v>6</v>
      </c>
    </row>
    <row r="101" spans="1:10" ht="15" customHeight="1" x14ac:dyDescent="0.75">
      <c r="A101" s="18" t="s">
        <v>64</v>
      </c>
      <c r="B101" s="19">
        <v>46034</v>
      </c>
      <c r="C101" s="17">
        <v>3</v>
      </c>
      <c r="D101" s="18" t="s">
        <v>60</v>
      </c>
      <c r="E101" s="19">
        <v>46036</v>
      </c>
      <c r="F101" s="18" t="s">
        <v>55</v>
      </c>
      <c r="G101" s="18" t="s">
        <v>56</v>
      </c>
      <c r="H101" s="17">
        <v>666509</v>
      </c>
      <c r="I101" s="18" t="s">
        <v>15</v>
      </c>
      <c r="J101" s="20">
        <v>19</v>
      </c>
    </row>
    <row r="102" spans="1:10" ht="15" customHeight="1" x14ac:dyDescent="0.75">
      <c r="A102" s="18" t="s">
        <v>64</v>
      </c>
      <c r="B102" s="19">
        <v>46034</v>
      </c>
      <c r="C102" s="17">
        <v>3</v>
      </c>
      <c r="D102" s="18" t="s">
        <v>60</v>
      </c>
      <c r="E102" s="19">
        <v>46036</v>
      </c>
      <c r="F102" s="18" t="s">
        <v>55</v>
      </c>
      <c r="G102" s="18" t="s">
        <v>56</v>
      </c>
      <c r="H102" s="17">
        <v>666516</v>
      </c>
      <c r="I102" s="18" t="s">
        <v>23</v>
      </c>
      <c r="J102" s="20">
        <v>20</v>
      </c>
    </row>
    <row r="103" spans="1:10" ht="15" customHeight="1" x14ac:dyDescent="0.75">
      <c r="A103" s="18" t="s">
        <v>64</v>
      </c>
      <c r="B103" s="19">
        <v>46034</v>
      </c>
      <c r="C103" s="17">
        <v>3</v>
      </c>
      <c r="D103" s="18" t="s">
        <v>60</v>
      </c>
      <c r="E103" s="19">
        <v>46036</v>
      </c>
      <c r="F103" s="18" t="s">
        <v>55</v>
      </c>
      <c r="G103" s="18" t="s">
        <v>56</v>
      </c>
      <c r="H103" s="17">
        <v>666517</v>
      </c>
      <c r="I103" s="18" t="s">
        <v>25</v>
      </c>
      <c r="J103" s="20">
        <v>19</v>
      </c>
    </row>
    <row r="104" spans="1:10" ht="15" customHeight="1" x14ac:dyDescent="0.75">
      <c r="A104" s="18" t="s">
        <v>64</v>
      </c>
      <c r="B104" s="19">
        <v>46034</v>
      </c>
      <c r="C104" s="17">
        <v>3</v>
      </c>
      <c r="D104" s="18" t="s">
        <v>60</v>
      </c>
      <c r="E104" s="19">
        <v>46036</v>
      </c>
      <c r="F104" s="18" t="s">
        <v>55</v>
      </c>
      <c r="G104" s="18" t="s">
        <v>56</v>
      </c>
      <c r="H104" s="17">
        <v>666519</v>
      </c>
      <c r="I104" s="18" t="s">
        <v>29</v>
      </c>
      <c r="J104" s="20">
        <v>24</v>
      </c>
    </row>
    <row r="105" spans="1:10" ht="15" customHeight="1" x14ac:dyDescent="0.75">
      <c r="A105" s="18" t="s">
        <v>64</v>
      </c>
      <c r="B105" s="19">
        <v>46034</v>
      </c>
      <c r="C105" s="17">
        <v>3</v>
      </c>
      <c r="D105" s="18" t="s">
        <v>60</v>
      </c>
      <c r="E105" s="19">
        <v>46036</v>
      </c>
      <c r="F105" s="18" t="s">
        <v>55</v>
      </c>
      <c r="G105" s="18" t="s">
        <v>56</v>
      </c>
      <c r="H105" s="17">
        <v>666522</v>
      </c>
      <c r="I105" s="18" t="s">
        <v>33</v>
      </c>
      <c r="J105" s="20">
        <v>20</v>
      </c>
    </row>
    <row r="106" spans="1:10" ht="15" customHeight="1" x14ac:dyDescent="0.75">
      <c r="A106" s="18" t="s">
        <v>64</v>
      </c>
      <c r="B106" s="19">
        <v>46034</v>
      </c>
      <c r="C106" s="17">
        <v>3</v>
      </c>
      <c r="D106" s="18" t="s">
        <v>60</v>
      </c>
      <c r="E106" s="19">
        <v>46036</v>
      </c>
      <c r="F106" s="18" t="s">
        <v>55</v>
      </c>
      <c r="G106" s="18" t="s">
        <v>56</v>
      </c>
      <c r="H106" s="17">
        <v>666530</v>
      </c>
      <c r="I106" s="18" t="s">
        <v>37</v>
      </c>
      <c r="J106" s="20">
        <v>4</v>
      </c>
    </row>
    <row r="107" spans="1:10" ht="15" customHeight="1" x14ac:dyDescent="0.75">
      <c r="A107" s="18" t="s">
        <v>64</v>
      </c>
      <c r="B107" s="19">
        <v>46034</v>
      </c>
      <c r="C107" s="17">
        <v>3</v>
      </c>
      <c r="D107" s="18" t="s">
        <v>60</v>
      </c>
      <c r="E107" s="19">
        <v>46036</v>
      </c>
      <c r="F107" s="18" t="s">
        <v>55</v>
      </c>
      <c r="G107" s="18" t="s">
        <v>56</v>
      </c>
      <c r="H107" s="17">
        <v>666531</v>
      </c>
      <c r="I107" s="18" t="s">
        <v>39</v>
      </c>
      <c r="J107" s="20">
        <v>17</v>
      </c>
    </row>
    <row r="108" spans="1:10" ht="15" customHeight="1" x14ac:dyDescent="0.75">
      <c r="A108" s="18" t="s">
        <v>64</v>
      </c>
      <c r="B108" s="19">
        <v>46034</v>
      </c>
      <c r="C108" s="17">
        <v>3</v>
      </c>
      <c r="D108" s="18" t="s">
        <v>60</v>
      </c>
      <c r="E108" s="19">
        <v>46036</v>
      </c>
      <c r="F108" s="18" t="s">
        <v>55</v>
      </c>
      <c r="G108" s="18" t="s">
        <v>56</v>
      </c>
      <c r="H108" s="17">
        <v>666536</v>
      </c>
      <c r="I108" s="18" t="s">
        <v>43</v>
      </c>
      <c r="J108" s="20">
        <v>2</v>
      </c>
    </row>
    <row r="109" spans="1:10" ht="15" customHeight="1" x14ac:dyDescent="0.75">
      <c r="A109" s="18" t="s">
        <v>64</v>
      </c>
      <c r="B109" s="19">
        <v>46034</v>
      </c>
      <c r="C109" s="17">
        <v>3</v>
      </c>
      <c r="D109" s="18" t="s">
        <v>60</v>
      </c>
      <c r="E109" s="19">
        <v>46036</v>
      </c>
      <c r="F109" s="18" t="s">
        <v>57</v>
      </c>
      <c r="G109" s="18" t="s">
        <v>58</v>
      </c>
      <c r="H109" s="17">
        <v>666502</v>
      </c>
      <c r="I109" s="18" t="s">
        <v>7</v>
      </c>
      <c r="J109" s="20">
        <v>50</v>
      </c>
    </row>
    <row r="110" spans="1:10" ht="15" customHeight="1" x14ac:dyDescent="0.75">
      <c r="A110" s="18" t="s">
        <v>64</v>
      </c>
      <c r="B110" s="19">
        <v>46034</v>
      </c>
      <c r="C110" s="17">
        <v>3</v>
      </c>
      <c r="D110" s="18" t="s">
        <v>60</v>
      </c>
      <c r="E110" s="19">
        <v>46036</v>
      </c>
      <c r="F110" s="18" t="s">
        <v>57</v>
      </c>
      <c r="G110" s="18" t="s">
        <v>58</v>
      </c>
      <c r="H110" s="17">
        <v>666540</v>
      </c>
      <c r="I110" s="18" t="s">
        <v>40</v>
      </c>
      <c r="J110" s="20">
        <v>11</v>
      </c>
    </row>
    <row r="111" spans="1:10" ht="15" customHeight="1" x14ac:dyDescent="0.75">
      <c r="A111" s="18" t="s">
        <v>64</v>
      </c>
      <c r="B111" s="19">
        <v>46034</v>
      </c>
      <c r="C111" s="17">
        <v>3</v>
      </c>
      <c r="D111" s="18" t="s">
        <v>60</v>
      </c>
      <c r="E111" s="19">
        <v>46036</v>
      </c>
      <c r="F111" s="18" t="s">
        <v>57</v>
      </c>
      <c r="G111" s="18" t="s">
        <v>58</v>
      </c>
      <c r="H111" s="17">
        <v>666541</v>
      </c>
      <c r="I111" s="18" t="s">
        <v>41</v>
      </c>
      <c r="J111" s="20">
        <v>28</v>
      </c>
    </row>
    <row r="112" spans="1:10" ht="15" customHeight="1" x14ac:dyDescent="0.75">
      <c r="A112" s="18" t="s">
        <v>64</v>
      </c>
      <c r="B112" s="19">
        <v>46034</v>
      </c>
      <c r="C112" s="17">
        <v>3</v>
      </c>
      <c r="D112" s="18" t="s">
        <v>62</v>
      </c>
      <c r="E112" s="19">
        <v>46037</v>
      </c>
      <c r="F112" s="18" t="s">
        <v>55</v>
      </c>
      <c r="G112" s="18" t="s">
        <v>56</v>
      </c>
      <c r="H112" s="17">
        <v>666507</v>
      </c>
      <c r="I112" s="18" t="s">
        <v>13</v>
      </c>
      <c r="J112" s="20">
        <v>7</v>
      </c>
    </row>
    <row r="113" spans="1:10" ht="15" customHeight="1" x14ac:dyDescent="0.75">
      <c r="A113" s="18" t="s">
        <v>64</v>
      </c>
      <c r="B113" s="19">
        <v>46034</v>
      </c>
      <c r="C113" s="17">
        <v>3</v>
      </c>
      <c r="D113" s="18" t="s">
        <v>62</v>
      </c>
      <c r="E113" s="19">
        <v>46037</v>
      </c>
      <c r="F113" s="18" t="s">
        <v>55</v>
      </c>
      <c r="G113" s="18" t="s">
        <v>56</v>
      </c>
      <c r="H113" s="17">
        <v>666509</v>
      </c>
      <c r="I113" s="18" t="s">
        <v>15</v>
      </c>
      <c r="J113" s="20">
        <v>21</v>
      </c>
    </row>
    <row r="114" spans="1:10" ht="15" customHeight="1" x14ac:dyDescent="0.75">
      <c r="A114" s="18" t="s">
        <v>64</v>
      </c>
      <c r="B114" s="19">
        <v>46034</v>
      </c>
      <c r="C114" s="17">
        <v>3</v>
      </c>
      <c r="D114" s="18" t="s">
        <v>62</v>
      </c>
      <c r="E114" s="19">
        <v>46037</v>
      </c>
      <c r="F114" s="18" t="s">
        <v>55</v>
      </c>
      <c r="G114" s="18" t="s">
        <v>56</v>
      </c>
      <c r="H114" s="17">
        <v>666522</v>
      </c>
      <c r="I114" s="18" t="s">
        <v>33</v>
      </c>
      <c r="J114" s="20">
        <v>40</v>
      </c>
    </row>
    <row r="115" spans="1:10" ht="15" customHeight="1" x14ac:dyDescent="0.75">
      <c r="A115" s="18" t="s">
        <v>64</v>
      </c>
      <c r="B115" s="19">
        <v>46034</v>
      </c>
      <c r="C115" s="17">
        <v>3</v>
      </c>
      <c r="D115" s="18" t="s">
        <v>62</v>
      </c>
      <c r="E115" s="19">
        <v>46037</v>
      </c>
      <c r="F115" s="18" t="s">
        <v>57</v>
      </c>
      <c r="G115" s="18" t="s">
        <v>58</v>
      </c>
      <c r="H115" s="17">
        <v>666502</v>
      </c>
      <c r="I115" s="18" t="s">
        <v>7</v>
      </c>
      <c r="J115" s="20">
        <v>12</v>
      </c>
    </row>
    <row r="116" spans="1:10" ht="15" customHeight="1" x14ac:dyDescent="0.75">
      <c r="A116" s="18" t="s">
        <v>64</v>
      </c>
      <c r="B116" s="19">
        <v>46034</v>
      </c>
      <c r="C116" s="17">
        <v>3</v>
      </c>
      <c r="D116" s="18" t="s">
        <v>62</v>
      </c>
      <c r="E116" s="19">
        <v>46037</v>
      </c>
      <c r="F116" s="18" t="s">
        <v>57</v>
      </c>
      <c r="G116" s="18" t="s">
        <v>58</v>
      </c>
      <c r="H116" s="17">
        <v>666540</v>
      </c>
      <c r="I116" s="18" t="s">
        <v>40</v>
      </c>
      <c r="J116" s="20">
        <v>10</v>
      </c>
    </row>
    <row r="117" spans="1:10" ht="15" customHeight="1" x14ac:dyDescent="0.75">
      <c r="A117" s="18" t="s">
        <v>64</v>
      </c>
      <c r="B117" s="19">
        <v>46034</v>
      </c>
      <c r="C117" s="17">
        <v>3</v>
      </c>
      <c r="D117" s="18" t="s">
        <v>62</v>
      </c>
      <c r="E117" s="19">
        <v>46037</v>
      </c>
      <c r="F117" s="18" t="s">
        <v>57</v>
      </c>
      <c r="G117" s="18" t="s">
        <v>58</v>
      </c>
      <c r="H117" s="17">
        <v>666541</v>
      </c>
      <c r="I117" s="18" t="s">
        <v>41</v>
      </c>
      <c r="J117" s="20">
        <v>41</v>
      </c>
    </row>
    <row r="118" spans="1:10" ht="15" customHeight="1" x14ac:dyDescent="0.75">
      <c r="A118" s="18" t="s">
        <v>64</v>
      </c>
      <c r="B118" s="19">
        <v>46034</v>
      </c>
      <c r="C118" s="17">
        <v>3</v>
      </c>
      <c r="D118" s="18" t="s">
        <v>63</v>
      </c>
      <c r="E118" s="19">
        <v>46038</v>
      </c>
      <c r="F118" s="18" t="s">
        <v>55</v>
      </c>
      <c r="G118" s="18" t="s">
        <v>56</v>
      </c>
      <c r="H118" s="17">
        <v>666507</v>
      </c>
      <c r="I118" s="18" t="s">
        <v>13</v>
      </c>
      <c r="J118" s="20">
        <v>7</v>
      </c>
    </row>
    <row r="119" spans="1:10" ht="15" customHeight="1" x14ac:dyDescent="0.75">
      <c r="A119" s="18" t="s">
        <v>64</v>
      </c>
      <c r="B119" s="19">
        <v>46034</v>
      </c>
      <c r="C119" s="17">
        <v>3</v>
      </c>
      <c r="D119" s="18" t="s">
        <v>63</v>
      </c>
      <c r="E119" s="19">
        <v>46038</v>
      </c>
      <c r="F119" s="18" t="s">
        <v>55</v>
      </c>
      <c r="G119" s="18" t="s">
        <v>56</v>
      </c>
      <c r="H119" s="17">
        <v>666509</v>
      </c>
      <c r="I119" s="18" t="s">
        <v>15</v>
      </c>
      <c r="J119" s="20">
        <v>10</v>
      </c>
    </row>
    <row r="120" spans="1:10" ht="15" customHeight="1" x14ac:dyDescent="0.75">
      <c r="A120" s="18" t="s">
        <v>64</v>
      </c>
      <c r="B120" s="19">
        <v>46034</v>
      </c>
      <c r="C120" s="17">
        <v>3</v>
      </c>
      <c r="D120" s="18" t="s">
        <v>63</v>
      </c>
      <c r="E120" s="19">
        <v>46038</v>
      </c>
      <c r="F120" s="18" t="s">
        <v>55</v>
      </c>
      <c r="G120" s="18" t="s">
        <v>56</v>
      </c>
      <c r="H120" s="17">
        <v>666511</v>
      </c>
      <c r="I120" s="18" t="s">
        <v>19</v>
      </c>
      <c r="J120" s="20">
        <v>8</v>
      </c>
    </row>
    <row r="121" spans="1:10" ht="15" customHeight="1" x14ac:dyDescent="0.75">
      <c r="A121" s="18" t="s">
        <v>64</v>
      </c>
      <c r="B121" s="19">
        <v>46034</v>
      </c>
      <c r="C121" s="17">
        <v>3</v>
      </c>
      <c r="D121" s="18" t="s">
        <v>63</v>
      </c>
      <c r="E121" s="19">
        <v>46038</v>
      </c>
      <c r="F121" s="18" t="s">
        <v>55</v>
      </c>
      <c r="G121" s="18" t="s">
        <v>56</v>
      </c>
      <c r="H121" s="17">
        <v>666522</v>
      </c>
      <c r="I121" s="18" t="s">
        <v>33</v>
      </c>
      <c r="J121" s="20">
        <v>20</v>
      </c>
    </row>
    <row r="122" spans="1:10" ht="15" customHeight="1" x14ac:dyDescent="0.75">
      <c r="A122" s="18" t="s">
        <v>64</v>
      </c>
      <c r="B122" s="19">
        <v>46034</v>
      </c>
      <c r="C122" s="17">
        <v>3</v>
      </c>
      <c r="D122" s="18" t="s">
        <v>63</v>
      </c>
      <c r="E122" s="19">
        <v>46038</v>
      </c>
      <c r="F122" s="18" t="s">
        <v>57</v>
      </c>
      <c r="G122" s="18" t="s">
        <v>58</v>
      </c>
      <c r="H122" s="17">
        <v>666502</v>
      </c>
      <c r="I122" s="18" t="s">
        <v>7</v>
      </c>
      <c r="J122" s="20">
        <v>23</v>
      </c>
    </row>
    <row r="123" spans="1:10" ht="15" customHeight="1" x14ac:dyDescent="0.75">
      <c r="A123" s="18" t="s">
        <v>64</v>
      </c>
      <c r="B123" s="19">
        <v>46034</v>
      </c>
      <c r="C123" s="17">
        <v>3</v>
      </c>
      <c r="D123" s="18" t="s">
        <v>63</v>
      </c>
      <c r="E123" s="19">
        <v>46038</v>
      </c>
      <c r="F123" s="18" t="s">
        <v>57</v>
      </c>
      <c r="G123" s="18" t="s">
        <v>58</v>
      </c>
      <c r="H123" s="17">
        <v>666506</v>
      </c>
      <c r="I123" s="18" t="s">
        <v>11</v>
      </c>
      <c r="J123" s="20">
        <v>8</v>
      </c>
    </row>
    <row r="124" spans="1:10" ht="15" customHeight="1" x14ac:dyDescent="0.75">
      <c r="A124" s="18" t="s">
        <v>64</v>
      </c>
      <c r="B124" s="19">
        <v>46034</v>
      </c>
      <c r="C124" s="17">
        <v>3</v>
      </c>
      <c r="D124" s="18" t="s">
        <v>63</v>
      </c>
      <c r="E124" s="19">
        <v>46038</v>
      </c>
      <c r="F124" s="18" t="s">
        <v>57</v>
      </c>
      <c r="G124" s="18" t="s">
        <v>58</v>
      </c>
      <c r="H124" s="17">
        <v>666540</v>
      </c>
      <c r="I124" s="18" t="s">
        <v>40</v>
      </c>
      <c r="J124" s="20">
        <v>6</v>
      </c>
    </row>
    <row r="125" spans="1:10" ht="15" customHeight="1" x14ac:dyDescent="0.75">
      <c r="A125" s="18" t="s">
        <v>64</v>
      </c>
      <c r="B125" s="19">
        <v>46034</v>
      </c>
      <c r="C125" s="17">
        <v>3</v>
      </c>
      <c r="D125" s="18" t="s">
        <v>63</v>
      </c>
      <c r="E125" s="19">
        <v>46038</v>
      </c>
      <c r="F125" s="18" t="s">
        <v>57</v>
      </c>
      <c r="G125" s="18" t="s">
        <v>58</v>
      </c>
      <c r="H125" s="17">
        <v>666541</v>
      </c>
      <c r="I125" s="18" t="s">
        <v>41</v>
      </c>
      <c r="J125" s="20">
        <v>22</v>
      </c>
    </row>
    <row r="126" spans="1:10" ht="15" customHeight="1" x14ac:dyDescent="0.75">
      <c r="A126" s="18" t="s">
        <v>67</v>
      </c>
      <c r="B126" s="19">
        <v>46041</v>
      </c>
      <c r="C126" s="17">
        <v>4</v>
      </c>
      <c r="D126" s="18" t="s">
        <v>59</v>
      </c>
      <c r="E126" s="19">
        <v>46042</v>
      </c>
      <c r="F126" s="18" t="s">
        <v>57</v>
      </c>
      <c r="G126" s="18" t="s">
        <v>58</v>
      </c>
      <c r="H126" s="17">
        <v>666502</v>
      </c>
      <c r="I126" s="18" t="s">
        <v>7</v>
      </c>
      <c r="J126" s="20">
        <v>36</v>
      </c>
    </row>
    <row r="127" spans="1:10" ht="15" customHeight="1" x14ac:dyDescent="0.75">
      <c r="A127" s="18" t="s">
        <v>67</v>
      </c>
      <c r="B127" s="19">
        <v>46041</v>
      </c>
      <c r="C127" s="17">
        <v>4</v>
      </c>
      <c r="D127" s="18" t="s">
        <v>59</v>
      </c>
      <c r="E127" s="19">
        <v>46042</v>
      </c>
      <c r="F127" s="18" t="s">
        <v>57</v>
      </c>
      <c r="G127" s="18" t="s">
        <v>58</v>
      </c>
      <c r="H127" s="17">
        <v>666506</v>
      </c>
      <c r="I127" s="18" t="s">
        <v>11</v>
      </c>
      <c r="J127" s="20">
        <v>5</v>
      </c>
    </row>
    <row r="128" spans="1:10" ht="15" customHeight="1" x14ac:dyDescent="0.75">
      <c r="A128" s="18" t="s">
        <v>67</v>
      </c>
      <c r="B128" s="19">
        <v>46041</v>
      </c>
      <c r="C128" s="17">
        <v>4</v>
      </c>
      <c r="D128" s="18" t="s">
        <v>59</v>
      </c>
      <c r="E128" s="19">
        <v>46042</v>
      </c>
      <c r="F128" s="18" t="s">
        <v>57</v>
      </c>
      <c r="G128" s="18" t="s">
        <v>58</v>
      </c>
      <c r="H128" s="17">
        <v>666540</v>
      </c>
      <c r="I128" s="18" t="s">
        <v>40</v>
      </c>
      <c r="J128" s="20">
        <v>12</v>
      </c>
    </row>
    <row r="129" spans="1:10" ht="15" customHeight="1" x14ac:dyDescent="0.75">
      <c r="A129" s="18" t="s">
        <v>67</v>
      </c>
      <c r="B129" s="19">
        <v>46041</v>
      </c>
      <c r="C129" s="17">
        <v>4</v>
      </c>
      <c r="D129" s="18" t="s">
        <v>59</v>
      </c>
      <c r="E129" s="19">
        <v>46042</v>
      </c>
      <c r="F129" s="18" t="s">
        <v>57</v>
      </c>
      <c r="G129" s="18" t="s">
        <v>58</v>
      </c>
      <c r="H129" s="17">
        <v>666541</v>
      </c>
      <c r="I129" s="18" t="s">
        <v>41</v>
      </c>
      <c r="J129" s="20">
        <v>43</v>
      </c>
    </row>
    <row r="130" spans="1:10" ht="15" customHeight="1" x14ac:dyDescent="0.75">
      <c r="A130" s="18" t="s">
        <v>67</v>
      </c>
      <c r="B130" s="19">
        <v>46041</v>
      </c>
      <c r="C130" s="17">
        <v>4</v>
      </c>
      <c r="D130" s="18" t="s">
        <v>60</v>
      </c>
      <c r="E130" s="19">
        <v>46043</v>
      </c>
      <c r="F130" s="18" t="s">
        <v>55</v>
      </c>
      <c r="G130" s="18" t="s">
        <v>56</v>
      </c>
      <c r="H130" s="17">
        <v>666507</v>
      </c>
      <c r="I130" s="18" t="s">
        <v>13</v>
      </c>
      <c r="J130" s="20">
        <v>12</v>
      </c>
    </row>
    <row r="131" spans="1:10" ht="15" customHeight="1" x14ac:dyDescent="0.75">
      <c r="A131" s="18" t="s">
        <v>67</v>
      </c>
      <c r="B131" s="19">
        <v>46041</v>
      </c>
      <c r="C131" s="17">
        <v>4</v>
      </c>
      <c r="D131" s="18" t="s">
        <v>60</v>
      </c>
      <c r="E131" s="19">
        <v>46043</v>
      </c>
      <c r="F131" s="18" t="s">
        <v>55</v>
      </c>
      <c r="G131" s="18" t="s">
        <v>56</v>
      </c>
      <c r="H131" s="17">
        <v>666509</v>
      </c>
      <c r="I131" s="18" t="s">
        <v>15</v>
      </c>
      <c r="J131" s="20">
        <v>22</v>
      </c>
    </row>
    <row r="132" spans="1:10" ht="15" customHeight="1" x14ac:dyDescent="0.75">
      <c r="A132" s="18" t="s">
        <v>67</v>
      </c>
      <c r="B132" s="19">
        <v>46041</v>
      </c>
      <c r="C132" s="17">
        <v>4</v>
      </c>
      <c r="D132" s="18" t="s">
        <v>60</v>
      </c>
      <c r="E132" s="19">
        <v>46043</v>
      </c>
      <c r="F132" s="18" t="s">
        <v>55</v>
      </c>
      <c r="G132" s="18" t="s">
        <v>56</v>
      </c>
      <c r="H132" s="17">
        <v>666522</v>
      </c>
      <c r="I132" s="18" t="s">
        <v>33</v>
      </c>
      <c r="J132" s="20">
        <v>15</v>
      </c>
    </row>
    <row r="133" spans="1:10" ht="15" customHeight="1" x14ac:dyDescent="0.75">
      <c r="A133" s="18" t="s">
        <v>67</v>
      </c>
      <c r="B133" s="19">
        <v>46041</v>
      </c>
      <c r="C133" s="17">
        <v>4</v>
      </c>
      <c r="D133" s="18" t="s">
        <v>60</v>
      </c>
      <c r="E133" s="19">
        <v>46043</v>
      </c>
      <c r="F133" s="18" t="s">
        <v>57</v>
      </c>
      <c r="G133" s="18" t="s">
        <v>58</v>
      </c>
      <c r="H133" s="17">
        <v>666502</v>
      </c>
      <c r="I133" s="18" t="s">
        <v>7</v>
      </c>
      <c r="J133" s="20">
        <v>40</v>
      </c>
    </row>
    <row r="134" spans="1:10" ht="15" customHeight="1" x14ac:dyDescent="0.75">
      <c r="A134" s="18" t="s">
        <v>67</v>
      </c>
      <c r="B134" s="19">
        <v>46041</v>
      </c>
      <c r="C134" s="17">
        <v>4</v>
      </c>
      <c r="D134" s="18" t="s">
        <v>60</v>
      </c>
      <c r="E134" s="19">
        <v>46043</v>
      </c>
      <c r="F134" s="18" t="s">
        <v>57</v>
      </c>
      <c r="G134" s="18" t="s">
        <v>58</v>
      </c>
      <c r="H134" s="17">
        <v>666506</v>
      </c>
      <c r="I134" s="18" t="s">
        <v>11</v>
      </c>
      <c r="J134" s="20">
        <v>10</v>
      </c>
    </row>
    <row r="135" spans="1:10" ht="15" customHeight="1" x14ac:dyDescent="0.75">
      <c r="A135" s="18" t="s">
        <v>67</v>
      </c>
      <c r="B135" s="19">
        <v>46041</v>
      </c>
      <c r="C135" s="17">
        <v>4</v>
      </c>
      <c r="D135" s="18" t="s">
        <v>60</v>
      </c>
      <c r="E135" s="19">
        <v>46043</v>
      </c>
      <c r="F135" s="18" t="s">
        <v>57</v>
      </c>
      <c r="G135" s="18" t="s">
        <v>58</v>
      </c>
      <c r="H135" s="17">
        <v>666540</v>
      </c>
      <c r="I135" s="18" t="s">
        <v>40</v>
      </c>
      <c r="J135" s="20">
        <v>5</v>
      </c>
    </row>
    <row r="136" spans="1:10" ht="15" customHeight="1" x14ac:dyDescent="0.75">
      <c r="A136" s="18" t="s">
        <v>67</v>
      </c>
      <c r="B136" s="19">
        <v>46041</v>
      </c>
      <c r="C136" s="17">
        <v>4</v>
      </c>
      <c r="D136" s="18" t="s">
        <v>60</v>
      </c>
      <c r="E136" s="19">
        <v>46043</v>
      </c>
      <c r="F136" s="18" t="s">
        <v>57</v>
      </c>
      <c r="G136" s="18" t="s">
        <v>58</v>
      </c>
      <c r="H136" s="17">
        <v>666541</v>
      </c>
      <c r="I136" s="18" t="s">
        <v>41</v>
      </c>
      <c r="J136" s="20">
        <v>37</v>
      </c>
    </row>
    <row r="137" spans="1:10" ht="15" customHeight="1" x14ac:dyDescent="0.75">
      <c r="A137" s="18" t="s">
        <v>67</v>
      </c>
      <c r="B137" s="19">
        <v>46041</v>
      </c>
      <c r="C137" s="17">
        <v>4</v>
      </c>
      <c r="D137" s="18" t="s">
        <v>62</v>
      </c>
      <c r="E137" s="19">
        <v>46044</v>
      </c>
      <c r="F137" s="18" t="s">
        <v>57</v>
      </c>
      <c r="G137" s="18" t="s">
        <v>58</v>
      </c>
      <c r="H137" s="17">
        <v>666502</v>
      </c>
      <c r="I137" s="18" t="s">
        <v>7</v>
      </c>
      <c r="J137" s="20">
        <v>25</v>
      </c>
    </row>
    <row r="138" spans="1:10" ht="15" customHeight="1" x14ac:dyDescent="0.75">
      <c r="A138" s="18" t="s">
        <v>67</v>
      </c>
      <c r="B138" s="19">
        <v>46041</v>
      </c>
      <c r="C138" s="17">
        <v>4</v>
      </c>
      <c r="D138" s="18" t="s">
        <v>62</v>
      </c>
      <c r="E138" s="19">
        <v>46044</v>
      </c>
      <c r="F138" s="18" t="s">
        <v>57</v>
      </c>
      <c r="G138" s="18" t="s">
        <v>58</v>
      </c>
      <c r="H138" s="17">
        <v>666506</v>
      </c>
      <c r="I138" s="18" t="s">
        <v>11</v>
      </c>
      <c r="J138" s="20">
        <v>3</v>
      </c>
    </row>
    <row r="139" spans="1:10" ht="15" customHeight="1" x14ac:dyDescent="0.75">
      <c r="A139" s="18" t="s">
        <v>67</v>
      </c>
      <c r="B139" s="19">
        <v>46041</v>
      </c>
      <c r="C139" s="17">
        <v>4</v>
      </c>
      <c r="D139" s="18" t="s">
        <v>62</v>
      </c>
      <c r="E139" s="19">
        <v>46044</v>
      </c>
      <c r="F139" s="18" t="s">
        <v>57</v>
      </c>
      <c r="G139" s="18" t="s">
        <v>58</v>
      </c>
      <c r="H139" s="17">
        <v>666540</v>
      </c>
      <c r="I139" s="18" t="s">
        <v>40</v>
      </c>
      <c r="J139" s="20">
        <v>2</v>
      </c>
    </row>
    <row r="140" spans="1:10" ht="15" customHeight="1" x14ac:dyDescent="0.75">
      <c r="A140" s="18" t="s">
        <v>67</v>
      </c>
      <c r="B140" s="19">
        <v>46041</v>
      </c>
      <c r="C140" s="17">
        <v>4</v>
      </c>
      <c r="D140" s="18" t="s">
        <v>62</v>
      </c>
      <c r="E140" s="19">
        <v>46044</v>
      </c>
      <c r="F140" s="18" t="s">
        <v>57</v>
      </c>
      <c r="G140" s="18" t="s">
        <v>58</v>
      </c>
      <c r="H140" s="17">
        <v>666541</v>
      </c>
      <c r="I140" s="18" t="s">
        <v>41</v>
      </c>
      <c r="J140" s="20">
        <v>24</v>
      </c>
    </row>
    <row r="141" spans="1:10" ht="15" customHeight="1" x14ac:dyDescent="0.75">
      <c r="A141" s="18" t="s">
        <v>67</v>
      </c>
      <c r="B141" s="19">
        <v>46041</v>
      </c>
      <c r="C141" s="17">
        <v>4</v>
      </c>
      <c r="D141" s="18" t="s">
        <v>62</v>
      </c>
      <c r="E141" s="19">
        <v>46044</v>
      </c>
      <c r="F141" s="18" t="s">
        <v>55</v>
      </c>
      <c r="G141" s="18" t="s">
        <v>66</v>
      </c>
      <c r="H141" s="17">
        <v>666502</v>
      </c>
      <c r="I141" s="18" t="s">
        <v>7</v>
      </c>
      <c r="J141" s="20">
        <v>28</v>
      </c>
    </row>
    <row r="142" spans="1:10" ht="15" customHeight="1" x14ac:dyDescent="0.75">
      <c r="A142" s="18" t="s">
        <v>67</v>
      </c>
      <c r="B142" s="19">
        <v>46041</v>
      </c>
      <c r="C142" s="17">
        <v>4</v>
      </c>
      <c r="D142" s="18" t="s">
        <v>62</v>
      </c>
      <c r="E142" s="19">
        <v>46044</v>
      </c>
      <c r="F142" s="18" t="s">
        <v>55</v>
      </c>
      <c r="G142" s="18" t="s">
        <v>66</v>
      </c>
      <c r="H142" s="17">
        <v>666522</v>
      </c>
      <c r="I142" s="18" t="s">
        <v>33</v>
      </c>
      <c r="J142" s="20">
        <v>20</v>
      </c>
    </row>
    <row r="143" spans="1:10" ht="15" customHeight="1" x14ac:dyDescent="0.75">
      <c r="A143" s="18" t="s">
        <v>67</v>
      </c>
      <c r="B143" s="19">
        <v>46041</v>
      </c>
      <c r="C143" s="17">
        <v>4</v>
      </c>
      <c r="D143" s="18" t="s">
        <v>63</v>
      </c>
      <c r="E143" s="19">
        <v>46045</v>
      </c>
      <c r="F143" s="18" t="s">
        <v>55</v>
      </c>
      <c r="G143" s="18" t="s">
        <v>56</v>
      </c>
      <c r="H143" s="17">
        <v>666507</v>
      </c>
      <c r="I143" s="18" t="s">
        <v>13</v>
      </c>
      <c r="J143" s="20">
        <v>5</v>
      </c>
    </row>
    <row r="144" spans="1:10" ht="15" customHeight="1" x14ac:dyDescent="0.75">
      <c r="A144" s="18" t="s">
        <v>67</v>
      </c>
      <c r="B144" s="19">
        <v>46041</v>
      </c>
      <c r="C144" s="17">
        <v>4</v>
      </c>
      <c r="D144" s="18" t="s">
        <v>63</v>
      </c>
      <c r="E144" s="19">
        <v>46045</v>
      </c>
      <c r="F144" s="18" t="s">
        <v>57</v>
      </c>
      <c r="G144" s="18" t="s">
        <v>58</v>
      </c>
      <c r="H144" s="17">
        <v>666502</v>
      </c>
      <c r="I144" s="18" t="s">
        <v>7</v>
      </c>
      <c r="J144" s="20">
        <v>20</v>
      </c>
    </row>
    <row r="145" spans="1:10" ht="15" customHeight="1" x14ac:dyDescent="0.75">
      <c r="A145" s="18" t="s">
        <v>67</v>
      </c>
      <c r="B145" s="19">
        <v>46041</v>
      </c>
      <c r="C145" s="17">
        <v>4</v>
      </c>
      <c r="D145" s="18" t="s">
        <v>63</v>
      </c>
      <c r="E145" s="19">
        <v>46045</v>
      </c>
      <c r="F145" s="18" t="s">
        <v>57</v>
      </c>
      <c r="G145" s="18" t="s">
        <v>58</v>
      </c>
      <c r="H145" s="17">
        <v>666506</v>
      </c>
      <c r="I145" s="18" t="s">
        <v>11</v>
      </c>
      <c r="J145" s="20">
        <v>9</v>
      </c>
    </row>
    <row r="146" spans="1:10" ht="15" customHeight="1" x14ac:dyDescent="0.75">
      <c r="A146" s="18" t="s">
        <v>67</v>
      </c>
      <c r="B146" s="19">
        <v>46041</v>
      </c>
      <c r="C146" s="17">
        <v>4</v>
      </c>
      <c r="D146" s="18" t="s">
        <v>63</v>
      </c>
      <c r="E146" s="19">
        <v>46045</v>
      </c>
      <c r="F146" s="18" t="s">
        <v>57</v>
      </c>
      <c r="G146" s="18" t="s">
        <v>58</v>
      </c>
      <c r="H146" s="17">
        <v>666540</v>
      </c>
      <c r="I146" s="18" t="s">
        <v>40</v>
      </c>
      <c r="J146" s="20">
        <v>1</v>
      </c>
    </row>
    <row r="147" spans="1:10" ht="15" customHeight="1" x14ac:dyDescent="0.75">
      <c r="A147" s="18" t="s">
        <v>67</v>
      </c>
      <c r="B147" s="19">
        <v>46041</v>
      </c>
      <c r="C147" s="17">
        <v>4</v>
      </c>
      <c r="D147" s="18" t="s">
        <v>63</v>
      </c>
      <c r="E147" s="19">
        <v>46045</v>
      </c>
      <c r="F147" s="18" t="s">
        <v>57</v>
      </c>
      <c r="G147" s="18" t="s">
        <v>58</v>
      </c>
      <c r="H147" s="17">
        <v>666541</v>
      </c>
      <c r="I147" s="18" t="s">
        <v>41</v>
      </c>
      <c r="J147" s="20">
        <v>17</v>
      </c>
    </row>
    <row r="148" spans="1:10" ht="15" customHeight="1" x14ac:dyDescent="0.75">
      <c r="A148" s="18" t="s">
        <v>68</v>
      </c>
      <c r="B148" s="19">
        <v>46048</v>
      </c>
      <c r="C148" s="17">
        <v>5</v>
      </c>
      <c r="D148" s="18" t="s">
        <v>59</v>
      </c>
      <c r="E148" s="19">
        <v>46049</v>
      </c>
      <c r="F148" s="18" t="s">
        <v>57</v>
      </c>
      <c r="G148" s="18" t="s">
        <v>58</v>
      </c>
      <c r="H148" s="17">
        <v>666502</v>
      </c>
      <c r="I148" s="18" t="s">
        <v>7</v>
      </c>
      <c r="J148" s="20">
        <v>17</v>
      </c>
    </row>
    <row r="149" spans="1:10" ht="15" customHeight="1" x14ac:dyDescent="0.75">
      <c r="A149" s="18" t="s">
        <v>68</v>
      </c>
      <c r="B149" s="19">
        <v>46048</v>
      </c>
      <c r="C149" s="17">
        <v>5</v>
      </c>
      <c r="D149" s="18" t="s">
        <v>59</v>
      </c>
      <c r="E149" s="19">
        <v>46049</v>
      </c>
      <c r="F149" s="18" t="s">
        <v>57</v>
      </c>
      <c r="G149" s="18" t="s">
        <v>58</v>
      </c>
      <c r="H149" s="17">
        <v>666522</v>
      </c>
      <c r="I149" s="18" t="s">
        <v>33</v>
      </c>
      <c r="J149" s="20">
        <v>100</v>
      </c>
    </row>
    <row r="150" spans="1:10" ht="15" customHeight="1" x14ac:dyDescent="0.75">
      <c r="A150" s="18" t="s">
        <v>68</v>
      </c>
      <c r="B150" s="19">
        <v>46048</v>
      </c>
      <c r="C150" s="17">
        <v>5</v>
      </c>
      <c r="D150" s="18" t="s">
        <v>59</v>
      </c>
      <c r="E150" s="19">
        <v>46049</v>
      </c>
      <c r="F150" s="18" t="s">
        <v>57</v>
      </c>
      <c r="G150" s="18" t="s">
        <v>58</v>
      </c>
      <c r="H150" s="17">
        <v>666523</v>
      </c>
      <c r="I150" s="18" t="s">
        <v>35</v>
      </c>
      <c r="J150" s="20">
        <v>47</v>
      </c>
    </row>
    <row r="151" spans="1:10" ht="15" customHeight="1" x14ac:dyDescent="0.75">
      <c r="A151" s="18" t="s">
        <v>68</v>
      </c>
      <c r="B151" s="19">
        <v>46048</v>
      </c>
      <c r="C151" s="17">
        <v>5</v>
      </c>
      <c r="D151" s="18" t="s">
        <v>59</v>
      </c>
      <c r="E151" s="19">
        <v>46049</v>
      </c>
      <c r="F151" s="18" t="s">
        <v>57</v>
      </c>
      <c r="G151" s="18" t="s">
        <v>58</v>
      </c>
      <c r="H151" s="17">
        <v>666540</v>
      </c>
      <c r="I151" s="18" t="s">
        <v>40</v>
      </c>
      <c r="J151" s="20">
        <v>8</v>
      </c>
    </row>
    <row r="152" spans="1:10" ht="15" customHeight="1" x14ac:dyDescent="0.75">
      <c r="A152" s="18" t="s">
        <v>68</v>
      </c>
      <c r="B152" s="19">
        <v>46048</v>
      </c>
      <c r="C152" s="17">
        <v>5</v>
      </c>
      <c r="D152" s="18" t="s">
        <v>59</v>
      </c>
      <c r="E152" s="19">
        <v>46049</v>
      </c>
      <c r="F152" s="18" t="s">
        <v>57</v>
      </c>
      <c r="G152" s="18" t="s">
        <v>58</v>
      </c>
      <c r="H152" s="17">
        <v>666541</v>
      </c>
      <c r="I152" s="18" t="s">
        <v>41</v>
      </c>
      <c r="J152" s="20">
        <v>37</v>
      </c>
    </row>
    <row r="153" spans="1:10" ht="15" customHeight="1" x14ac:dyDescent="0.75">
      <c r="A153" s="18" t="s">
        <v>68</v>
      </c>
      <c r="B153" s="19">
        <v>46048</v>
      </c>
      <c r="C153" s="17">
        <v>5</v>
      </c>
      <c r="D153" s="18" t="s">
        <v>59</v>
      </c>
      <c r="E153" s="19">
        <v>46049</v>
      </c>
      <c r="F153" s="18" t="s">
        <v>55</v>
      </c>
      <c r="G153" s="18" t="s">
        <v>66</v>
      </c>
      <c r="H153" s="17">
        <v>666505</v>
      </c>
      <c r="I153" s="18" t="s">
        <v>9</v>
      </c>
      <c r="J153" s="20">
        <v>41</v>
      </c>
    </row>
    <row r="154" spans="1:10" ht="15" customHeight="1" x14ac:dyDescent="0.75">
      <c r="A154" s="18" t="s">
        <v>68</v>
      </c>
      <c r="B154" s="19">
        <v>46048</v>
      </c>
      <c r="C154" s="17">
        <v>5</v>
      </c>
      <c r="D154" s="18" t="s">
        <v>59</v>
      </c>
      <c r="E154" s="19">
        <v>46049</v>
      </c>
      <c r="F154" s="18" t="s">
        <v>55</v>
      </c>
      <c r="G154" s="18" t="s">
        <v>66</v>
      </c>
      <c r="H154" s="17">
        <v>666516</v>
      </c>
      <c r="I154" s="18" t="s">
        <v>23</v>
      </c>
      <c r="J154" s="20">
        <v>20</v>
      </c>
    </row>
    <row r="155" spans="1:10" ht="15" customHeight="1" x14ac:dyDescent="0.75">
      <c r="A155" s="18" t="s">
        <v>68</v>
      </c>
      <c r="B155" s="19">
        <v>46048</v>
      </c>
      <c r="C155" s="17">
        <v>5</v>
      </c>
      <c r="D155" s="18" t="s">
        <v>59</v>
      </c>
      <c r="E155" s="19">
        <v>46049</v>
      </c>
      <c r="F155" s="18" t="s">
        <v>55</v>
      </c>
      <c r="G155" s="18" t="s">
        <v>66</v>
      </c>
      <c r="H155" s="17">
        <v>666517</v>
      </c>
      <c r="I155" s="18" t="s">
        <v>25</v>
      </c>
      <c r="J155" s="20">
        <v>15</v>
      </c>
    </row>
    <row r="156" spans="1:10" ht="15" customHeight="1" x14ac:dyDescent="0.75">
      <c r="A156" s="18" t="s">
        <v>68</v>
      </c>
      <c r="B156" s="19">
        <v>46048</v>
      </c>
      <c r="C156" s="17">
        <v>5</v>
      </c>
      <c r="D156" s="18" t="s">
        <v>59</v>
      </c>
      <c r="E156" s="19">
        <v>46049</v>
      </c>
      <c r="F156" s="18" t="s">
        <v>55</v>
      </c>
      <c r="G156" s="18" t="s">
        <v>66</v>
      </c>
      <c r="H156" s="17">
        <v>666519</v>
      </c>
      <c r="I156" s="18" t="s">
        <v>29</v>
      </c>
      <c r="J156" s="20">
        <v>25</v>
      </c>
    </row>
    <row r="157" spans="1:10" ht="15" customHeight="1" x14ac:dyDescent="0.75">
      <c r="A157" s="18" t="s">
        <v>68</v>
      </c>
      <c r="B157" s="19">
        <v>46048</v>
      </c>
      <c r="C157" s="17">
        <v>5</v>
      </c>
      <c r="D157" s="18" t="s">
        <v>59</v>
      </c>
      <c r="E157" s="19">
        <v>46049</v>
      </c>
      <c r="F157" s="18" t="s">
        <v>55</v>
      </c>
      <c r="G157" s="18" t="s">
        <v>66</v>
      </c>
      <c r="H157" s="17">
        <v>666522</v>
      </c>
      <c r="I157" s="18" t="s">
        <v>33</v>
      </c>
      <c r="J157" s="20">
        <v>80</v>
      </c>
    </row>
    <row r="158" spans="1:10" ht="15" customHeight="1" x14ac:dyDescent="0.75">
      <c r="A158" s="18" t="s">
        <v>68</v>
      </c>
      <c r="B158" s="19">
        <v>46048</v>
      </c>
      <c r="C158" s="17">
        <v>5</v>
      </c>
      <c r="D158" s="18" t="s">
        <v>59</v>
      </c>
      <c r="E158" s="19">
        <v>46049</v>
      </c>
      <c r="F158" s="18" t="s">
        <v>55</v>
      </c>
      <c r="G158" s="18" t="s">
        <v>66</v>
      </c>
      <c r="H158" s="17">
        <v>666530</v>
      </c>
      <c r="I158" s="18" t="s">
        <v>37</v>
      </c>
      <c r="J158" s="20">
        <v>15</v>
      </c>
    </row>
    <row r="159" spans="1:10" ht="15" customHeight="1" x14ac:dyDescent="0.75">
      <c r="A159" s="18" t="s">
        <v>68</v>
      </c>
      <c r="B159" s="19">
        <v>46048</v>
      </c>
      <c r="C159" s="17">
        <v>5</v>
      </c>
      <c r="D159" s="18" t="s">
        <v>59</v>
      </c>
      <c r="E159" s="19">
        <v>46049</v>
      </c>
      <c r="F159" s="18" t="s">
        <v>55</v>
      </c>
      <c r="G159" s="18" t="s">
        <v>66</v>
      </c>
      <c r="H159" s="17">
        <v>666531</v>
      </c>
      <c r="I159" s="18" t="s">
        <v>39</v>
      </c>
      <c r="J159" s="20">
        <v>8</v>
      </c>
    </row>
    <row r="160" spans="1:10" ht="15" customHeight="1" x14ac:dyDescent="0.75">
      <c r="A160" s="18" t="s">
        <v>68</v>
      </c>
      <c r="B160" s="19">
        <v>46048</v>
      </c>
      <c r="C160" s="17">
        <v>5</v>
      </c>
      <c r="D160" s="18" t="s">
        <v>60</v>
      </c>
      <c r="E160" s="19">
        <v>46050</v>
      </c>
      <c r="F160" s="18" t="s">
        <v>65</v>
      </c>
      <c r="G160" s="18" t="s">
        <v>56</v>
      </c>
      <c r="H160" s="17">
        <v>666505</v>
      </c>
      <c r="I160" s="18" t="s">
        <v>9</v>
      </c>
      <c r="J160" s="20">
        <v>19</v>
      </c>
    </row>
    <row r="161" spans="1:10" ht="15" customHeight="1" x14ac:dyDescent="0.75">
      <c r="A161" s="18" t="s">
        <v>68</v>
      </c>
      <c r="B161" s="19">
        <v>46048</v>
      </c>
      <c r="C161" s="17">
        <v>5</v>
      </c>
      <c r="D161" s="18" t="s">
        <v>60</v>
      </c>
      <c r="E161" s="19">
        <v>46050</v>
      </c>
      <c r="F161" s="18" t="s">
        <v>65</v>
      </c>
      <c r="G161" s="18" t="s">
        <v>56</v>
      </c>
      <c r="H161" s="17">
        <v>666507</v>
      </c>
      <c r="I161" s="18" t="s">
        <v>13</v>
      </c>
      <c r="J161" s="20">
        <v>2</v>
      </c>
    </row>
    <row r="162" spans="1:10" ht="15" customHeight="1" x14ac:dyDescent="0.75">
      <c r="A162" s="18" t="s">
        <v>68</v>
      </c>
      <c r="B162" s="19">
        <v>46048</v>
      </c>
      <c r="C162" s="17">
        <v>5</v>
      </c>
      <c r="D162" s="18" t="s">
        <v>60</v>
      </c>
      <c r="E162" s="19">
        <v>46050</v>
      </c>
      <c r="F162" s="18" t="s">
        <v>65</v>
      </c>
      <c r="G162" s="18" t="s">
        <v>56</v>
      </c>
      <c r="H162" s="17">
        <v>666509</v>
      </c>
      <c r="I162" s="18" t="s">
        <v>15</v>
      </c>
      <c r="J162" s="20">
        <v>25</v>
      </c>
    </row>
    <row r="163" spans="1:10" ht="15" customHeight="1" x14ac:dyDescent="0.75">
      <c r="A163" s="18" t="s">
        <v>68</v>
      </c>
      <c r="B163" s="19">
        <v>46048</v>
      </c>
      <c r="C163" s="17">
        <v>5</v>
      </c>
      <c r="D163" s="18" t="s">
        <v>60</v>
      </c>
      <c r="E163" s="19">
        <v>46050</v>
      </c>
      <c r="F163" s="18" t="s">
        <v>65</v>
      </c>
      <c r="G163" s="18" t="s">
        <v>56</v>
      </c>
      <c r="H163" s="17">
        <v>666516</v>
      </c>
      <c r="I163" s="18" t="s">
        <v>23</v>
      </c>
      <c r="J163" s="20">
        <v>20</v>
      </c>
    </row>
    <row r="164" spans="1:10" ht="15" customHeight="1" x14ac:dyDescent="0.75">
      <c r="A164" s="18" t="s">
        <v>68</v>
      </c>
      <c r="B164" s="19">
        <v>46048</v>
      </c>
      <c r="C164" s="17">
        <v>5</v>
      </c>
      <c r="D164" s="18" t="s">
        <v>60</v>
      </c>
      <c r="E164" s="19">
        <v>46050</v>
      </c>
      <c r="F164" s="18" t="s">
        <v>65</v>
      </c>
      <c r="G164" s="18" t="s">
        <v>56</v>
      </c>
      <c r="H164" s="17">
        <v>666517</v>
      </c>
      <c r="I164" s="18" t="s">
        <v>25</v>
      </c>
      <c r="J164" s="20">
        <v>18</v>
      </c>
    </row>
    <row r="165" spans="1:10" ht="15" customHeight="1" x14ac:dyDescent="0.75">
      <c r="A165" s="18" t="s">
        <v>68</v>
      </c>
      <c r="B165" s="19">
        <v>46048</v>
      </c>
      <c r="C165" s="17">
        <v>5</v>
      </c>
      <c r="D165" s="18" t="s">
        <v>60</v>
      </c>
      <c r="E165" s="19">
        <v>46050</v>
      </c>
      <c r="F165" s="18" t="s">
        <v>65</v>
      </c>
      <c r="G165" s="18" t="s">
        <v>56</v>
      </c>
      <c r="H165" s="17">
        <v>666519</v>
      </c>
      <c r="I165" s="18" t="s">
        <v>29</v>
      </c>
      <c r="J165" s="20">
        <v>18</v>
      </c>
    </row>
    <row r="166" spans="1:10" ht="15" customHeight="1" x14ac:dyDescent="0.75">
      <c r="A166" s="18" t="s">
        <v>68</v>
      </c>
      <c r="B166" s="19">
        <v>46048</v>
      </c>
      <c r="C166" s="17">
        <v>5</v>
      </c>
      <c r="D166" s="18" t="s">
        <v>60</v>
      </c>
      <c r="E166" s="19">
        <v>46050</v>
      </c>
      <c r="F166" s="18" t="s">
        <v>65</v>
      </c>
      <c r="G166" s="18" t="s">
        <v>56</v>
      </c>
      <c r="H166" s="17">
        <v>666522</v>
      </c>
      <c r="I166" s="18" t="s">
        <v>33</v>
      </c>
      <c r="J166" s="20">
        <v>35</v>
      </c>
    </row>
    <row r="167" spans="1:10" ht="15" customHeight="1" x14ac:dyDescent="0.75">
      <c r="A167" s="18" t="s">
        <v>68</v>
      </c>
      <c r="B167" s="19">
        <v>46048</v>
      </c>
      <c r="C167" s="17">
        <v>5</v>
      </c>
      <c r="D167" s="18" t="s">
        <v>60</v>
      </c>
      <c r="E167" s="19">
        <v>46050</v>
      </c>
      <c r="F167" s="18" t="s">
        <v>65</v>
      </c>
      <c r="G167" s="18" t="s">
        <v>56</v>
      </c>
      <c r="H167" s="17">
        <v>666531</v>
      </c>
      <c r="I167" s="18" t="s">
        <v>39</v>
      </c>
      <c r="J167" s="20">
        <v>18</v>
      </c>
    </row>
    <row r="168" spans="1:10" ht="15" customHeight="1" x14ac:dyDescent="0.75">
      <c r="A168" s="18" t="s">
        <v>68</v>
      </c>
      <c r="B168" s="19">
        <v>46048</v>
      </c>
      <c r="C168" s="17">
        <v>5</v>
      </c>
      <c r="D168" s="18" t="s">
        <v>60</v>
      </c>
      <c r="E168" s="19">
        <v>46050</v>
      </c>
      <c r="F168" s="18" t="s">
        <v>57</v>
      </c>
      <c r="G168" s="18" t="s">
        <v>58</v>
      </c>
      <c r="H168" s="17">
        <v>666502</v>
      </c>
      <c r="I168" s="18" t="s">
        <v>7</v>
      </c>
      <c r="J168" s="20">
        <v>29</v>
      </c>
    </row>
    <row r="169" spans="1:10" ht="15" customHeight="1" x14ac:dyDescent="0.75">
      <c r="A169" s="18" t="s">
        <v>68</v>
      </c>
      <c r="B169" s="19">
        <v>46048</v>
      </c>
      <c r="C169" s="17">
        <v>5</v>
      </c>
      <c r="D169" s="18" t="s">
        <v>60</v>
      </c>
      <c r="E169" s="19">
        <v>46050</v>
      </c>
      <c r="F169" s="18" t="s">
        <v>57</v>
      </c>
      <c r="G169" s="18" t="s">
        <v>58</v>
      </c>
      <c r="H169" s="17">
        <v>666522</v>
      </c>
      <c r="I169" s="18" t="s">
        <v>33</v>
      </c>
      <c r="J169" s="20">
        <v>105</v>
      </c>
    </row>
    <row r="170" spans="1:10" ht="15" customHeight="1" x14ac:dyDescent="0.75">
      <c r="A170" s="18" t="s">
        <v>68</v>
      </c>
      <c r="B170" s="19">
        <v>46048</v>
      </c>
      <c r="C170" s="17">
        <v>5</v>
      </c>
      <c r="D170" s="18" t="s">
        <v>60</v>
      </c>
      <c r="E170" s="19">
        <v>46050</v>
      </c>
      <c r="F170" s="18" t="s">
        <v>57</v>
      </c>
      <c r="G170" s="18" t="s">
        <v>58</v>
      </c>
      <c r="H170" s="17">
        <v>666540</v>
      </c>
      <c r="I170" s="18" t="s">
        <v>40</v>
      </c>
      <c r="J170" s="20">
        <v>11</v>
      </c>
    </row>
    <row r="171" spans="1:10" ht="15" customHeight="1" x14ac:dyDescent="0.75">
      <c r="A171" s="18" t="s">
        <v>68</v>
      </c>
      <c r="B171" s="19">
        <v>46048</v>
      </c>
      <c r="C171" s="17">
        <v>5</v>
      </c>
      <c r="D171" s="18" t="s">
        <v>60</v>
      </c>
      <c r="E171" s="19">
        <v>46050</v>
      </c>
      <c r="F171" s="18" t="s">
        <v>57</v>
      </c>
      <c r="G171" s="18" t="s">
        <v>58</v>
      </c>
      <c r="H171" s="17">
        <v>666541</v>
      </c>
      <c r="I171" s="18" t="s">
        <v>41</v>
      </c>
      <c r="J171" s="20">
        <v>53</v>
      </c>
    </row>
    <row r="172" spans="1:10" ht="15" customHeight="1" x14ac:dyDescent="0.75">
      <c r="A172" s="18" t="s">
        <v>68</v>
      </c>
      <c r="B172" s="19">
        <v>46048</v>
      </c>
      <c r="C172" s="17">
        <v>5</v>
      </c>
      <c r="D172" s="18" t="s">
        <v>62</v>
      </c>
      <c r="E172" s="19">
        <v>46051</v>
      </c>
      <c r="F172" s="18" t="s">
        <v>65</v>
      </c>
      <c r="G172" s="18" t="s">
        <v>56</v>
      </c>
      <c r="H172" s="17">
        <v>666509</v>
      </c>
      <c r="I172" s="18" t="s">
        <v>15</v>
      </c>
      <c r="J172" s="20">
        <v>15</v>
      </c>
    </row>
    <row r="173" spans="1:10" ht="15" customHeight="1" x14ac:dyDescent="0.75">
      <c r="A173" s="18" t="s">
        <v>68</v>
      </c>
      <c r="B173" s="19">
        <v>46048</v>
      </c>
      <c r="C173" s="17">
        <v>5</v>
      </c>
      <c r="D173" s="18" t="s">
        <v>62</v>
      </c>
      <c r="E173" s="19">
        <v>46051</v>
      </c>
      <c r="F173" s="18" t="s">
        <v>65</v>
      </c>
      <c r="G173" s="18" t="s">
        <v>56</v>
      </c>
      <c r="H173" s="17">
        <v>666517</v>
      </c>
      <c r="I173" s="18" t="s">
        <v>25</v>
      </c>
      <c r="J173" s="20">
        <v>11</v>
      </c>
    </row>
    <row r="174" spans="1:10" ht="15" customHeight="1" x14ac:dyDescent="0.75">
      <c r="A174" s="18" t="s">
        <v>68</v>
      </c>
      <c r="B174" s="19">
        <v>46048</v>
      </c>
      <c r="C174" s="17">
        <v>5</v>
      </c>
      <c r="D174" s="18" t="s">
        <v>62</v>
      </c>
      <c r="E174" s="19">
        <v>46051</v>
      </c>
      <c r="F174" s="18" t="s">
        <v>65</v>
      </c>
      <c r="G174" s="18" t="s">
        <v>56</v>
      </c>
      <c r="H174" s="17">
        <v>666519</v>
      </c>
      <c r="I174" s="18" t="s">
        <v>29</v>
      </c>
      <c r="J174" s="20">
        <v>12</v>
      </c>
    </row>
    <row r="175" spans="1:10" ht="15" customHeight="1" x14ac:dyDescent="0.75">
      <c r="A175" s="18" t="s">
        <v>68</v>
      </c>
      <c r="B175" s="19">
        <v>46048</v>
      </c>
      <c r="C175" s="17">
        <v>5</v>
      </c>
      <c r="D175" s="18" t="s">
        <v>62</v>
      </c>
      <c r="E175" s="19">
        <v>46051</v>
      </c>
      <c r="F175" s="18" t="s">
        <v>65</v>
      </c>
      <c r="G175" s="18" t="s">
        <v>56</v>
      </c>
      <c r="H175" s="17">
        <v>666522</v>
      </c>
      <c r="I175" s="18" t="s">
        <v>33</v>
      </c>
      <c r="J175" s="20">
        <v>20</v>
      </c>
    </row>
    <row r="176" spans="1:10" ht="15" customHeight="1" x14ac:dyDescent="0.75">
      <c r="A176" s="18" t="s">
        <v>68</v>
      </c>
      <c r="B176" s="19">
        <v>46048</v>
      </c>
      <c r="C176" s="17">
        <v>5</v>
      </c>
      <c r="D176" s="18" t="s">
        <v>62</v>
      </c>
      <c r="E176" s="19">
        <v>46051</v>
      </c>
      <c r="F176" s="18" t="s">
        <v>57</v>
      </c>
      <c r="G176" s="18" t="s">
        <v>58</v>
      </c>
      <c r="H176" s="17">
        <v>666502</v>
      </c>
      <c r="I176" s="18" t="s">
        <v>7</v>
      </c>
      <c r="J176" s="20">
        <v>31</v>
      </c>
    </row>
    <row r="177" spans="1:10" ht="15" customHeight="1" x14ac:dyDescent="0.75">
      <c r="A177" s="18" t="s">
        <v>68</v>
      </c>
      <c r="B177" s="19">
        <v>46048</v>
      </c>
      <c r="C177" s="17">
        <v>5</v>
      </c>
      <c r="D177" s="18" t="s">
        <v>62</v>
      </c>
      <c r="E177" s="19">
        <v>46051</v>
      </c>
      <c r="F177" s="18" t="s">
        <v>57</v>
      </c>
      <c r="G177" s="18" t="s">
        <v>58</v>
      </c>
      <c r="H177" s="17">
        <v>666506</v>
      </c>
      <c r="I177" s="18" t="s">
        <v>11</v>
      </c>
      <c r="J177" s="20">
        <v>9</v>
      </c>
    </row>
    <row r="178" spans="1:10" ht="15" customHeight="1" x14ac:dyDescent="0.75">
      <c r="A178" s="18" t="s">
        <v>68</v>
      </c>
      <c r="B178" s="19">
        <v>46048</v>
      </c>
      <c r="C178" s="17">
        <v>5</v>
      </c>
      <c r="D178" s="18" t="s">
        <v>62</v>
      </c>
      <c r="E178" s="19">
        <v>46051</v>
      </c>
      <c r="F178" s="18" t="s">
        <v>57</v>
      </c>
      <c r="G178" s="18" t="s">
        <v>58</v>
      </c>
      <c r="H178" s="17">
        <v>666540</v>
      </c>
      <c r="I178" s="18" t="s">
        <v>40</v>
      </c>
      <c r="J178" s="20">
        <v>4</v>
      </c>
    </row>
    <row r="179" spans="1:10" ht="15" customHeight="1" x14ac:dyDescent="0.75">
      <c r="A179" s="18" t="s">
        <v>68</v>
      </c>
      <c r="B179" s="19">
        <v>46048</v>
      </c>
      <c r="C179" s="17">
        <v>5</v>
      </c>
      <c r="D179" s="18" t="s">
        <v>62</v>
      </c>
      <c r="E179" s="19">
        <v>46051</v>
      </c>
      <c r="F179" s="18" t="s">
        <v>57</v>
      </c>
      <c r="G179" s="18" t="s">
        <v>58</v>
      </c>
      <c r="H179" s="17">
        <v>666541</v>
      </c>
      <c r="I179" s="18" t="s">
        <v>41</v>
      </c>
      <c r="J179" s="20">
        <v>34</v>
      </c>
    </row>
    <row r="180" spans="1:10" ht="15" customHeight="1" x14ac:dyDescent="0.75">
      <c r="A180" s="18" t="s">
        <v>68</v>
      </c>
      <c r="B180" s="19">
        <v>46048</v>
      </c>
      <c r="C180" s="17">
        <v>5</v>
      </c>
      <c r="D180" s="18" t="s">
        <v>62</v>
      </c>
      <c r="E180" s="19">
        <v>46051</v>
      </c>
      <c r="F180" s="18" t="s">
        <v>55</v>
      </c>
      <c r="G180" s="18" t="s">
        <v>66</v>
      </c>
      <c r="H180" s="17">
        <v>666502</v>
      </c>
      <c r="I180" s="18" t="s">
        <v>7</v>
      </c>
      <c r="J180" s="20">
        <v>18</v>
      </c>
    </row>
    <row r="181" spans="1:10" ht="15" customHeight="1" x14ac:dyDescent="0.75">
      <c r="A181" s="18" t="s">
        <v>68</v>
      </c>
      <c r="B181" s="19">
        <v>46048</v>
      </c>
      <c r="C181" s="17">
        <v>5</v>
      </c>
      <c r="D181" s="18" t="s">
        <v>62</v>
      </c>
      <c r="E181" s="19">
        <v>46051</v>
      </c>
      <c r="F181" s="18" t="s">
        <v>55</v>
      </c>
      <c r="G181" s="18" t="s">
        <v>66</v>
      </c>
      <c r="H181" s="17">
        <v>666519</v>
      </c>
      <c r="I181" s="18" t="s">
        <v>29</v>
      </c>
      <c r="J181" s="20">
        <v>5</v>
      </c>
    </row>
    <row r="182" spans="1:10" ht="15" customHeight="1" x14ac:dyDescent="0.75">
      <c r="A182" s="18" t="s">
        <v>68</v>
      </c>
      <c r="B182" s="19">
        <v>46048</v>
      </c>
      <c r="C182" s="17">
        <v>5</v>
      </c>
      <c r="D182" s="18" t="s">
        <v>62</v>
      </c>
      <c r="E182" s="19">
        <v>46051</v>
      </c>
      <c r="F182" s="18" t="s">
        <v>55</v>
      </c>
      <c r="G182" s="18" t="s">
        <v>66</v>
      </c>
      <c r="H182" s="17">
        <v>666522</v>
      </c>
      <c r="I182" s="18" t="s">
        <v>33</v>
      </c>
      <c r="J182" s="20">
        <v>5</v>
      </c>
    </row>
    <row r="183" spans="1:10" ht="15" customHeight="1" x14ac:dyDescent="0.75">
      <c r="A183" s="18" t="s">
        <v>68</v>
      </c>
      <c r="B183" s="19">
        <v>46048</v>
      </c>
      <c r="C183" s="17">
        <v>5</v>
      </c>
      <c r="D183" s="18" t="s">
        <v>62</v>
      </c>
      <c r="E183" s="19">
        <v>46051</v>
      </c>
      <c r="F183" s="18" t="s">
        <v>55</v>
      </c>
      <c r="G183" s="18" t="s">
        <v>66</v>
      </c>
      <c r="H183" s="17">
        <v>666523</v>
      </c>
      <c r="I183" s="18" t="s">
        <v>35</v>
      </c>
      <c r="J183" s="20">
        <v>12</v>
      </c>
    </row>
    <row r="184" spans="1:10" ht="15" customHeight="1" x14ac:dyDescent="0.75">
      <c r="A184" s="18" t="s">
        <v>68</v>
      </c>
      <c r="B184" s="19">
        <v>46048</v>
      </c>
      <c r="C184" s="17">
        <v>5</v>
      </c>
      <c r="D184" s="18" t="s">
        <v>63</v>
      </c>
      <c r="E184" s="19">
        <v>46052</v>
      </c>
      <c r="F184" s="18" t="s">
        <v>65</v>
      </c>
      <c r="G184" s="18" t="s">
        <v>56</v>
      </c>
      <c r="H184" s="17">
        <v>666507</v>
      </c>
      <c r="I184" s="18" t="s">
        <v>13</v>
      </c>
      <c r="J184" s="20">
        <v>3</v>
      </c>
    </row>
    <row r="185" spans="1:10" ht="15" customHeight="1" x14ac:dyDescent="0.75">
      <c r="A185" s="18" t="s">
        <v>68</v>
      </c>
      <c r="B185" s="19">
        <v>46048</v>
      </c>
      <c r="C185" s="17">
        <v>5</v>
      </c>
      <c r="D185" s="18" t="s">
        <v>63</v>
      </c>
      <c r="E185" s="19">
        <v>46052</v>
      </c>
      <c r="F185" s="18" t="s">
        <v>65</v>
      </c>
      <c r="G185" s="18" t="s">
        <v>56</v>
      </c>
      <c r="H185" s="17">
        <v>666509</v>
      </c>
      <c r="I185" s="18" t="s">
        <v>15</v>
      </c>
      <c r="J185" s="20">
        <v>20</v>
      </c>
    </row>
    <row r="186" spans="1:10" ht="15" customHeight="1" x14ac:dyDescent="0.75">
      <c r="A186" s="18" t="s">
        <v>68</v>
      </c>
      <c r="B186" s="19">
        <v>46048</v>
      </c>
      <c r="C186" s="17">
        <v>5</v>
      </c>
      <c r="D186" s="18" t="s">
        <v>63</v>
      </c>
      <c r="E186" s="19">
        <v>46052</v>
      </c>
      <c r="F186" s="18" t="s">
        <v>65</v>
      </c>
      <c r="G186" s="18" t="s">
        <v>56</v>
      </c>
      <c r="H186" s="17">
        <v>666517</v>
      </c>
      <c r="I186" s="18" t="s">
        <v>25</v>
      </c>
      <c r="J186" s="20">
        <v>4</v>
      </c>
    </row>
    <row r="187" spans="1:10" ht="15" customHeight="1" x14ac:dyDescent="0.75">
      <c r="A187" s="18" t="s">
        <v>68</v>
      </c>
      <c r="B187" s="19">
        <v>46048</v>
      </c>
      <c r="C187" s="17">
        <v>5</v>
      </c>
      <c r="D187" s="18" t="s">
        <v>63</v>
      </c>
      <c r="E187" s="19">
        <v>46052</v>
      </c>
      <c r="F187" s="18" t="s">
        <v>65</v>
      </c>
      <c r="G187" s="18" t="s">
        <v>56</v>
      </c>
      <c r="H187" s="17">
        <v>666522</v>
      </c>
      <c r="I187" s="18" t="s">
        <v>33</v>
      </c>
      <c r="J187" s="20">
        <v>20</v>
      </c>
    </row>
    <row r="188" spans="1:10" ht="15" customHeight="1" x14ac:dyDescent="0.75">
      <c r="A188" s="18" t="s">
        <v>68</v>
      </c>
      <c r="B188" s="19">
        <v>46048</v>
      </c>
      <c r="C188" s="17">
        <v>5</v>
      </c>
      <c r="D188" s="18" t="s">
        <v>63</v>
      </c>
      <c r="E188" s="19">
        <v>46052</v>
      </c>
      <c r="F188" s="18" t="s">
        <v>65</v>
      </c>
      <c r="G188" s="18" t="s">
        <v>56</v>
      </c>
      <c r="H188" s="17">
        <v>666530</v>
      </c>
      <c r="I188" s="18" t="s">
        <v>37</v>
      </c>
      <c r="J188" s="20">
        <v>2</v>
      </c>
    </row>
    <row r="189" spans="1:10" ht="15" customHeight="1" x14ac:dyDescent="0.75">
      <c r="A189" s="18" t="s">
        <v>68</v>
      </c>
      <c r="B189" s="19">
        <v>46048</v>
      </c>
      <c r="C189" s="17">
        <v>5</v>
      </c>
      <c r="D189" s="18" t="s">
        <v>63</v>
      </c>
      <c r="E189" s="19">
        <v>46052</v>
      </c>
      <c r="F189" s="18" t="s">
        <v>57</v>
      </c>
      <c r="G189" s="18" t="s">
        <v>58</v>
      </c>
      <c r="H189" s="17">
        <v>666502</v>
      </c>
      <c r="I189" s="18" t="s">
        <v>7</v>
      </c>
      <c r="J189" s="20">
        <v>32</v>
      </c>
    </row>
    <row r="190" spans="1:10" ht="15" customHeight="1" x14ac:dyDescent="0.75">
      <c r="A190" s="18" t="s">
        <v>68</v>
      </c>
      <c r="B190" s="19">
        <v>46048</v>
      </c>
      <c r="C190" s="17">
        <v>5</v>
      </c>
      <c r="D190" s="18" t="s">
        <v>63</v>
      </c>
      <c r="E190" s="19">
        <v>46052</v>
      </c>
      <c r="F190" s="18" t="s">
        <v>57</v>
      </c>
      <c r="G190" s="18" t="s">
        <v>58</v>
      </c>
      <c r="H190" s="17">
        <v>666506</v>
      </c>
      <c r="I190" s="18" t="s">
        <v>11</v>
      </c>
      <c r="J190" s="20">
        <v>11</v>
      </c>
    </row>
    <row r="191" spans="1:10" ht="15" customHeight="1" x14ac:dyDescent="0.75">
      <c r="A191" s="18" t="s">
        <v>68</v>
      </c>
      <c r="B191" s="19">
        <v>46048</v>
      </c>
      <c r="C191" s="17">
        <v>5</v>
      </c>
      <c r="D191" s="18" t="s">
        <v>63</v>
      </c>
      <c r="E191" s="19">
        <v>46052</v>
      </c>
      <c r="F191" s="18" t="s">
        <v>57</v>
      </c>
      <c r="G191" s="18" t="s">
        <v>58</v>
      </c>
      <c r="H191" s="17">
        <v>666540</v>
      </c>
      <c r="I191" s="18" t="s">
        <v>40</v>
      </c>
      <c r="J191" s="20">
        <v>8</v>
      </c>
    </row>
    <row r="192" spans="1:10" ht="15" customHeight="1" x14ac:dyDescent="0.75">
      <c r="A192" s="18" t="s">
        <v>68</v>
      </c>
      <c r="B192" s="19">
        <v>46048</v>
      </c>
      <c r="C192" s="17">
        <v>5</v>
      </c>
      <c r="D192" s="18" t="s">
        <v>63</v>
      </c>
      <c r="E192" s="19">
        <v>46052</v>
      </c>
      <c r="F192" s="18" t="s">
        <v>57</v>
      </c>
      <c r="G192" s="18" t="s">
        <v>58</v>
      </c>
      <c r="H192" s="17">
        <v>666541</v>
      </c>
      <c r="I192" s="18" t="s">
        <v>41</v>
      </c>
      <c r="J192" s="20">
        <v>32</v>
      </c>
    </row>
    <row r="193" spans="1:10" ht="15" customHeight="1" x14ac:dyDescent="0.75">
      <c r="A193" s="18" t="s">
        <v>69</v>
      </c>
      <c r="B193" s="19">
        <v>46055</v>
      </c>
      <c r="C193" s="17">
        <v>6</v>
      </c>
      <c r="D193" s="18" t="s">
        <v>59</v>
      </c>
      <c r="E193" s="19">
        <v>46056</v>
      </c>
      <c r="F193" s="18" t="s">
        <v>57</v>
      </c>
      <c r="G193" s="18" t="s">
        <v>58</v>
      </c>
      <c r="H193" s="17">
        <v>666502</v>
      </c>
      <c r="I193" s="18" t="s">
        <v>7</v>
      </c>
      <c r="J193" s="20">
        <v>27</v>
      </c>
    </row>
    <row r="194" spans="1:10" ht="15" customHeight="1" x14ac:dyDescent="0.75">
      <c r="A194" s="18" t="s">
        <v>69</v>
      </c>
      <c r="B194" s="19">
        <v>46055</v>
      </c>
      <c r="C194" s="17">
        <v>6</v>
      </c>
      <c r="D194" s="18" t="s">
        <v>59</v>
      </c>
      <c r="E194" s="19">
        <v>46056</v>
      </c>
      <c r="F194" s="18" t="s">
        <v>57</v>
      </c>
      <c r="G194" s="18" t="s">
        <v>58</v>
      </c>
      <c r="H194" s="17">
        <v>666506</v>
      </c>
      <c r="I194" s="18" t="s">
        <v>11</v>
      </c>
      <c r="J194" s="20">
        <v>7</v>
      </c>
    </row>
    <row r="195" spans="1:10" ht="15" customHeight="1" x14ac:dyDescent="0.75">
      <c r="A195" s="18" t="s">
        <v>69</v>
      </c>
      <c r="B195" s="19">
        <v>46055</v>
      </c>
      <c r="C195" s="17">
        <v>6</v>
      </c>
      <c r="D195" s="18" t="s">
        <v>59</v>
      </c>
      <c r="E195" s="19">
        <v>46056</v>
      </c>
      <c r="F195" s="18" t="s">
        <v>57</v>
      </c>
      <c r="G195" s="18" t="s">
        <v>58</v>
      </c>
      <c r="H195" s="17">
        <v>666540</v>
      </c>
      <c r="I195" s="18" t="s">
        <v>40</v>
      </c>
      <c r="J195" s="20">
        <v>6</v>
      </c>
    </row>
    <row r="196" spans="1:10" ht="15" customHeight="1" x14ac:dyDescent="0.75">
      <c r="A196" s="18" t="s">
        <v>69</v>
      </c>
      <c r="B196" s="19">
        <v>46055</v>
      </c>
      <c r="C196" s="17">
        <v>6</v>
      </c>
      <c r="D196" s="18" t="s">
        <v>59</v>
      </c>
      <c r="E196" s="19">
        <v>46056</v>
      </c>
      <c r="F196" s="18" t="s">
        <v>57</v>
      </c>
      <c r="G196" s="18" t="s">
        <v>58</v>
      </c>
      <c r="H196" s="17">
        <v>666541</v>
      </c>
      <c r="I196" s="18" t="s">
        <v>41</v>
      </c>
      <c r="J196" s="20">
        <v>46</v>
      </c>
    </row>
    <row r="197" spans="1:10" ht="15" customHeight="1" x14ac:dyDescent="0.75">
      <c r="A197" s="18" t="s">
        <v>69</v>
      </c>
      <c r="B197" s="19">
        <v>46055</v>
      </c>
      <c r="C197" s="17">
        <v>6</v>
      </c>
      <c r="D197" s="18" t="s">
        <v>59</v>
      </c>
      <c r="E197" s="19">
        <v>46056</v>
      </c>
      <c r="F197" s="18" t="s">
        <v>55</v>
      </c>
      <c r="G197" s="18" t="s">
        <v>66</v>
      </c>
      <c r="H197" s="17">
        <v>666502</v>
      </c>
      <c r="I197" s="18" t="s">
        <v>7</v>
      </c>
      <c r="J197" s="20">
        <v>22</v>
      </c>
    </row>
    <row r="198" spans="1:10" ht="15" customHeight="1" x14ac:dyDescent="0.75">
      <c r="A198" s="18" t="s">
        <v>69</v>
      </c>
      <c r="B198" s="19">
        <v>46055</v>
      </c>
      <c r="C198" s="17">
        <v>6</v>
      </c>
      <c r="D198" s="18" t="s">
        <v>60</v>
      </c>
      <c r="E198" s="19">
        <v>46057</v>
      </c>
      <c r="F198" s="18" t="s">
        <v>65</v>
      </c>
      <c r="G198" s="18" t="s">
        <v>56</v>
      </c>
      <c r="H198" s="17">
        <v>666507</v>
      </c>
      <c r="I198" s="18" t="s">
        <v>13</v>
      </c>
      <c r="J198" s="20">
        <v>8</v>
      </c>
    </row>
    <row r="199" spans="1:10" ht="15" customHeight="1" x14ac:dyDescent="0.75">
      <c r="A199" s="18" t="s">
        <v>69</v>
      </c>
      <c r="B199" s="19">
        <v>46055</v>
      </c>
      <c r="C199" s="17">
        <v>6</v>
      </c>
      <c r="D199" s="18" t="s">
        <v>60</v>
      </c>
      <c r="E199" s="19">
        <v>46057</v>
      </c>
      <c r="F199" s="18" t="s">
        <v>65</v>
      </c>
      <c r="G199" s="18" t="s">
        <v>56</v>
      </c>
      <c r="H199" s="17">
        <v>666509</v>
      </c>
      <c r="I199" s="18" t="s">
        <v>15</v>
      </c>
      <c r="J199" s="20">
        <v>40</v>
      </c>
    </row>
    <row r="200" spans="1:10" ht="15" customHeight="1" x14ac:dyDescent="0.75">
      <c r="A200" s="18" t="s">
        <v>69</v>
      </c>
      <c r="B200" s="19">
        <v>46055</v>
      </c>
      <c r="C200" s="17">
        <v>6</v>
      </c>
      <c r="D200" s="18" t="s">
        <v>60</v>
      </c>
      <c r="E200" s="19">
        <v>46057</v>
      </c>
      <c r="F200" s="18" t="s">
        <v>65</v>
      </c>
      <c r="G200" s="18" t="s">
        <v>56</v>
      </c>
      <c r="H200" s="17">
        <v>666511</v>
      </c>
      <c r="I200" s="18" t="s">
        <v>19</v>
      </c>
      <c r="J200" s="20">
        <v>3</v>
      </c>
    </row>
    <row r="201" spans="1:10" ht="15" customHeight="1" x14ac:dyDescent="0.75">
      <c r="A201" s="18" t="s">
        <v>69</v>
      </c>
      <c r="B201" s="19">
        <v>46055</v>
      </c>
      <c r="C201" s="17">
        <v>6</v>
      </c>
      <c r="D201" s="18" t="s">
        <v>60</v>
      </c>
      <c r="E201" s="19">
        <v>46057</v>
      </c>
      <c r="F201" s="18" t="s">
        <v>65</v>
      </c>
      <c r="G201" s="18" t="s">
        <v>56</v>
      </c>
      <c r="H201" s="17">
        <v>666522</v>
      </c>
      <c r="I201" s="18" t="s">
        <v>33</v>
      </c>
      <c r="J201" s="20">
        <v>25</v>
      </c>
    </row>
    <row r="202" spans="1:10" ht="15" customHeight="1" x14ac:dyDescent="0.75">
      <c r="A202" s="18" t="s">
        <v>69</v>
      </c>
      <c r="B202" s="19">
        <v>46055</v>
      </c>
      <c r="C202" s="17">
        <v>6</v>
      </c>
      <c r="D202" s="18" t="s">
        <v>60</v>
      </c>
      <c r="E202" s="19">
        <v>46057</v>
      </c>
      <c r="F202" s="18" t="s">
        <v>65</v>
      </c>
      <c r="G202" s="18" t="s">
        <v>56</v>
      </c>
      <c r="H202" s="17">
        <v>666530</v>
      </c>
      <c r="I202" s="18" t="s">
        <v>37</v>
      </c>
      <c r="J202" s="20">
        <v>3</v>
      </c>
    </row>
    <row r="203" spans="1:10" ht="15" customHeight="1" x14ac:dyDescent="0.75">
      <c r="A203" s="18" t="s">
        <v>69</v>
      </c>
      <c r="B203" s="19">
        <v>46055</v>
      </c>
      <c r="C203" s="17">
        <v>6</v>
      </c>
      <c r="D203" s="18" t="s">
        <v>60</v>
      </c>
      <c r="E203" s="19">
        <v>46057</v>
      </c>
      <c r="F203" s="18" t="s">
        <v>57</v>
      </c>
      <c r="G203" s="18" t="s">
        <v>58</v>
      </c>
      <c r="H203" s="17">
        <v>666502</v>
      </c>
      <c r="I203" s="18" t="s">
        <v>7</v>
      </c>
      <c r="J203" s="20">
        <v>41</v>
      </c>
    </row>
    <row r="204" spans="1:10" ht="15" customHeight="1" x14ac:dyDescent="0.75">
      <c r="A204" s="18" t="s">
        <v>69</v>
      </c>
      <c r="B204" s="19">
        <v>46055</v>
      </c>
      <c r="C204" s="17">
        <v>6</v>
      </c>
      <c r="D204" s="18" t="s">
        <v>60</v>
      </c>
      <c r="E204" s="19">
        <v>46057</v>
      </c>
      <c r="F204" s="18" t="s">
        <v>57</v>
      </c>
      <c r="G204" s="18" t="s">
        <v>58</v>
      </c>
      <c r="H204" s="17">
        <v>666506</v>
      </c>
      <c r="I204" s="18" t="s">
        <v>11</v>
      </c>
      <c r="J204" s="20">
        <v>19</v>
      </c>
    </row>
    <row r="205" spans="1:10" ht="15" customHeight="1" x14ac:dyDescent="0.75">
      <c r="A205" s="18" t="s">
        <v>69</v>
      </c>
      <c r="B205" s="19">
        <v>46055</v>
      </c>
      <c r="C205" s="17">
        <v>6</v>
      </c>
      <c r="D205" s="18" t="s">
        <v>60</v>
      </c>
      <c r="E205" s="19">
        <v>46057</v>
      </c>
      <c r="F205" s="18" t="s">
        <v>57</v>
      </c>
      <c r="G205" s="18" t="s">
        <v>58</v>
      </c>
      <c r="H205" s="17">
        <v>666540</v>
      </c>
      <c r="I205" s="18" t="s">
        <v>40</v>
      </c>
      <c r="J205" s="20">
        <v>6</v>
      </c>
    </row>
    <row r="206" spans="1:10" ht="15" customHeight="1" x14ac:dyDescent="0.75">
      <c r="A206" s="18" t="s">
        <v>69</v>
      </c>
      <c r="B206" s="19">
        <v>46055</v>
      </c>
      <c r="C206" s="17">
        <v>6</v>
      </c>
      <c r="D206" s="18" t="s">
        <v>60</v>
      </c>
      <c r="E206" s="19">
        <v>46057</v>
      </c>
      <c r="F206" s="18" t="s">
        <v>57</v>
      </c>
      <c r="G206" s="18" t="s">
        <v>58</v>
      </c>
      <c r="H206" s="17">
        <v>666541</v>
      </c>
      <c r="I206" s="18" t="s">
        <v>41</v>
      </c>
      <c r="J206" s="20">
        <v>52</v>
      </c>
    </row>
    <row r="207" spans="1:10" ht="15" customHeight="1" x14ac:dyDescent="0.75">
      <c r="A207" s="18" t="s">
        <v>69</v>
      </c>
      <c r="B207" s="19">
        <v>46055</v>
      </c>
      <c r="C207" s="17">
        <v>6</v>
      </c>
      <c r="D207" s="18" t="s">
        <v>62</v>
      </c>
      <c r="E207" s="19">
        <v>46058</v>
      </c>
      <c r="F207" s="18" t="s">
        <v>65</v>
      </c>
      <c r="G207" s="18" t="s">
        <v>56</v>
      </c>
      <c r="H207" s="17">
        <v>666507</v>
      </c>
      <c r="I207" s="18" t="s">
        <v>13</v>
      </c>
      <c r="J207" s="20">
        <v>23</v>
      </c>
    </row>
    <row r="208" spans="1:10" ht="15" customHeight="1" x14ac:dyDescent="0.75">
      <c r="A208" s="18" t="s">
        <v>69</v>
      </c>
      <c r="B208" s="19">
        <v>46055</v>
      </c>
      <c r="C208" s="17">
        <v>6</v>
      </c>
      <c r="D208" s="18" t="s">
        <v>62</v>
      </c>
      <c r="E208" s="19">
        <v>46058</v>
      </c>
      <c r="F208" s="18" t="s">
        <v>65</v>
      </c>
      <c r="G208" s="18" t="s">
        <v>56</v>
      </c>
      <c r="H208" s="17">
        <v>666511</v>
      </c>
      <c r="I208" s="18" t="s">
        <v>19</v>
      </c>
      <c r="J208" s="20">
        <v>5</v>
      </c>
    </row>
    <row r="209" spans="1:10" ht="15" customHeight="1" x14ac:dyDescent="0.75">
      <c r="A209" s="18" t="s">
        <v>69</v>
      </c>
      <c r="B209" s="19">
        <v>46055</v>
      </c>
      <c r="C209" s="17">
        <v>6</v>
      </c>
      <c r="D209" s="18" t="s">
        <v>62</v>
      </c>
      <c r="E209" s="19">
        <v>46058</v>
      </c>
      <c r="F209" s="18" t="s">
        <v>57</v>
      </c>
      <c r="G209" s="18" t="s">
        <v>58</v>
      </c>
      <c r="H209" s="17">
        <v>666502</v>
      </c>
      <c r="I209" s="18" t="s">
        <v>7</v>
      </c>
      <c r="J209" s="20">
        <v>34</v>
      </c>
    </row>
    <row r="210" spans="1:10" ht="15" customHeight="1" x14ac:dyDescent="0.75">
      <c r="A210" s="18" t="s">
        <v>69</v>
      </c>
      <c r="B210" s="19">
        <v>46055</v>
      </c>
      <c r="C210" s="17">
        <v>6</v>
      </c>
      <c r="D210" s="18" t="s">
        <v>62</v>
      </c>
      <c r="E210" s="19">
        <v>46058</v>
      </c>
      <c r="F210" s="18" t="s">
        <v>57</v>
      </c>
      <c r="G210" s="18" t="s">
        <v>58</v>
      </c>
      <c r="H210" s="17">
        <v>666506</v>
      </c>
      <c r="I210" s="18" t="s">
        <v>11</v>
      </c>
      <c r="J210" s="20">
        <v>57</v>
      </c>
    </row>
    <row r="211" spans="1:10" ht="15" customHeight="1" x14ac:dyDescent="0.75">
      <c r="A211" s="18" t="s">
        <v>69</v>
      </c>
      <c r="B211" s="19">
        <v>46055</v>
      </c>
      <c r="C211" s="17">
        <v>6</v>
      </c>
      <c r="D211" s="18" t="s">
        <v>62</v>
      </c>
      <c r="E211" s="19">
        <v>46058</v>
      </c>
      <c r="F211" s="18" t="s">
        <v>57</v>
      </c>
      <c r="G211" s="18" t="s">
        <v>58</v>
      </c>
      <c r="H211" s="17">
        <v>666540</v>
      </c>
      <c r="I211" s="18" t="s">
        <v>40</v>
      </c>
      <c r="J211" s="20">
        <v>6</v>
      </c>
    </row>
    <row r="212" spans="1:10" ht="15" customHeight="1" x14ac:dyDescent="0.75">
      <c r="A212" s="18" t="s">
        <v>69</v>
      </c>
      <c r="B212" s="19">
        <v>46055</v>
      </c>
      <c r="C212" s="17">
        <v>6</v>
      </c>
      <c r="D212" s="18" t="s">
        <v>62</v>
      </c>
      <c r="E212" s="19">
        <v>46058</v>
      </c>
      <c r="F212" s="18" t="s">
        <v>57</v>
      </c>
      <c r="G212" s="18" t="s">
        <v>58</v>
      </c>
      <c r="H212" s="17">
        <v>666541</v>
      </c>
      <c r="I212" s="18" t="s">
        <v>41</v>
      </c>
      <c r="J212" s="20">
        <v>6</v>
      </c>
    </row>
    <row r="213" spans="1:10" ht="15" customHeight="1" x14ac:dyDescent="0.75">
      <c r="A213" s="18" t="s">
        <v>69</v>
      </c>
      <c r="B213" s="19">
        <v>46055</v>
      </c>
      <c r="C213" s="17">
        <v>6</v>
      </c>
      <c r="D213" s="18" t="s">
        <v>63</v>
      </c>
      <c r="E213" s="19">
        <v>46059</v>
      </c>
      <c r="F213" s="18" t="s">
        <v>65</v>
      </c>
      <c r="G213" s="18" t="s">
        <v>56</v>
      </c>
      <c r="H213" s="17">
        <v>666507</v>
      </c>
      <c r="I213" s="18" t="s">
        <v>13</v>
      </c>
      <c r="J213" s="20">
        <v>13</v>
      </c>
    </row>
    <row r="214" spans="1:10" ht="15" customHeight="1" x14ac:dyDescent="0.75">
      <c r="A214" s="18" t="s">
        <v>69</v>
      </c>
      <c r="B214" s="19">
        <v>46055</v>
      </c>
      <c r="C214" s="17">
        <v>6</v>
      </c>
      <c r="D214" s="18" t="s">
        <v>63</v>
      </c>
      <c r="E214" s="19">
        <v>46059</v>
      </c>
      <c r="F214" s="18" t="s">
        <v>57</v>
      </c>
      <c r="G214" s="18" t="s">
        <v>58</v>
      </c>
      <c r="H214" s="17">
        <v>666502</v>
      </c>
      <c r="I214" s="18" t="s">
        <v>7</v>
      </c>
      <c r="J214" s="20">
        <v>40</v>
      </c>
    </row>
    <row r="215" spans="1:10" ht="15" customHeight="1" x14ac:dyDescent="0.75">
      <c r="A215" s="18" t="s">
        <v>69</v>
      </c>
      <c r="B215" s="19">
        <v>46055</v>
      </c>
      <c r="C215" s="17">
        <v>6</v>
      </c>
      <c r="D215" s="18" t="s">
        <v>63</v>
      </c>
      <c r="E215" s="19">
        <v>46059</v>
      </c>
      <c r="F215" s="18" t="s">
        <v>57</v>
      </c>
      <c r="G215" s="18" t="s">
        <v>58</v>
      </c>
      <c r="H215" s="17">
        <v>666506</v>
      </c>
      <c r="I215" s="18" t="s">
        <v>11</v>
      </c>
      <c r="J215" s="20">
        <v>57</v>
      </c>
    </row>
    <row r="216" spans="1:10" ht="15" customHeight="1" x14ac:dyDescent="0.75">
      <c r="A216" s="18" t="s">
        <v>69</v>
      </c>
      <c r="B216" s="19">
        <v>46055</v>
      </c>
      <c r="C216" s="17">
        <v>6</v>
      </c>
      <c r="D216" s="18" t="s">
        <v>63</v>
      </c>
      <c r="E216" s="19">
        <v>46059</v>
      </c>
      <c r="F216" s="18" t="s">
        <v>57</v>
      </c>
      <c r="G216" s="18" t="s">
        <v>58</v>
      </c>
      <c r="H216" s="17">
        <v>666540</v>
      </c>
      <c r="I216" s="18" t="s">
        <v>40</v>
      </c>
      <c r="J216" s="20">
        <v>4</v>
      </c>
    </row>
    <row r="217" spans="1:10" ht="15" customHeight="1" x14ac:dyDescent="0.75">
      <c r="A217" s="18" t="s">
        <v>70</v>
      </c>
      <c r="B217" s="19">
        <v>46062</v>
      </c>
      <c r="C217" s="17">
        <v>7</v>
      </c>
      <c r="D217" s="18" t="s">
        <v>54</v>
      </c>
      <c r="E217" s="19">
        <v>46062</v>
      </c>
      <c r="F217" s="18" t="s">
        <v>65</v>
      </c>
      <c r="G217" s="18" t="s">
        <v>56</v>
      </c>
      <c r="H217" s="17">
        <v>666501</v>
      </c>
      <c r="I217" s="18" t="s">
        <v>5</v>
      </c>
      <c r="J217" s="20">
        <v>12</v>
      </c>
    </row>
    <row r="218" spans="1:10" ht="15" customHeight="1" x14ac:dyDescent="0.75">
      <c r="A218" s="18" t="s">
        <v>70</v>
      </c>
      <c r="B218" s="19">
        <v>46062</v>
      </c>
      <c r="C218" s="17">
        <v>7</v>
      </c>
      <c r="D218" s="18" t="s">
        <v>54</v>
      </c>
      <c r="E218" s="19">
        <v>46062</v>
      </c>
      <c r="F218" s="18" t="s">
        <v>65</v>
      </c>
      <c r="G218" s="18" t="s">
        <v>56</v>
      </c>
      <c r="H218" s="17">
        <v>666505</v>
      </c>
      <c r="I218" s="18" t="s">
        <v>9</v>
      </c>
      <c r="J218" s="20">
        <v>19</v>
      </c>
    </row>
    <row r="219" spans="1:10" ht="15" customHeight="1" x14ac:dyDescent="0.75">
      <c r="A219" s="18" t="s">
        <v>70</v>
      </c>
      <c r="B219" s="19">
        <v>46062</v>
      </c>
      <c r="C219" s="17">
        <v>7</v>
      </c>
      <c r="D219" s="18" t="s">
        <v>54</v>
      </c>
      <c r="E219" s="19">
        <v>46062</v>
      </c>
      <c r="F219" s="18" t="s">
        <v>65</v>
      </c>
      <c r="G219" s="18" t="s">
        <v>56</v>
      </c>
      <c r="H219" s="17">
        <v>666507</v>
      </c>
      <c r="I219" s="18" t="s">
        <v>13</v>
      </c>
      <c r="J219" s="20">
        <v>8</v>
      </c>
    </row>
    <row r="220" spans="1:10" ht="15" customHeight="1" x14ac:dyDescent="0.75">
      <c r="A220" s="18" t="s">
        <v>70</v>
      </c>
      <c r="B220" s="19">
        <v>46062</v>
      </c>
      <c r="C220" s="17">
        <v>7</v>
      </c>
      <c r="D220" s="18" t="s">
        <v>54</v>
      </c>
      <c r="E220" s="19">
        <v>46062</v>
      </c>
      <c r="F220" s="18" t="s">
        <v>65</v>
      </c>
      <c r="G220" s="18" t="s">
        <v>56</v>
      </c>
      <c r="H220" s="17">
        <v>666517</v>
      </c>
      <c r="I220" s="18" t="s">
        <v>25</v>
      </c>
      <c r="J220" s="20">
        <v>12</v>
      </c>
    </row>
    <row r="221" spans="1:10" ht="15" customHeight="1" x14ac:dyDescent="0.75">
      <c r="A221" s="18" t="s">
        <v>70</v>
      </c>
      <c r="B221" s="19">
        <v>46062</v>
      </c>
      <c r="C221" s="17">
        <v>7</v>
      </c>
      <c r="D221" s="18" t="s">
        <v>54</v>
      </c>
      <c r="E221" s="19">
        <v>46062</v>
      </c>
      <c r="F221" s="18" t="s">
        <v>65</v>
      </c>
      <c r="G221" s="18" t="s">
        <v>56</v>
      </c>
      <c r="H221" s="17">
        <v>666519</v>
      </c>
      <c r="I221" s="18" t="s">
        <v>29</v>
      </c>
      <c r="J221" s="20">
        <v>11</v>
      </c>
    </row>
    <row r="222" spans="1:10" ht="15" customHeight="1" x14ac:dyDescent="0.75">
      <c r="A222" s="18" t="s">
        <v>70</v>
      </c>
      <c r="B222" s="19">
        <v>46062</v>
      </c>
      <c r="C222" s="17">
        <v>7</v>
      </c>
      <c r="D222" s="18" t="s">
        <v>54</v>
      </c>
      <c r="E222" s="19">
        <v>46062</v>
      </c>
      <c r="F222" s="18" t="s">
        <v>65</v>
      </c>
      <c r="G222" s="18" t="s">
        <v>56</v>
      </c>
      <c r="H222" s="17">
        <v>666522</v>
      </c>
      <c r="I222" s="18" t="s">
        <v>33</v>
      </c>
      <c r="J222" s="20">
        <v>35</v>
      </c>
    </row>
    <row r="223" spans="1:10" ht="15" customHeight="1" x14ac:dyDescent="0.75">
      <c r="A223" s="18" t="s">
        <v>70</v>
      </c>
      <c r="B223" s="19">
        <v>46062</v>
      </c>
      <c r="C223" s="17">
        <v>7</v>
      </c>
      <c r="D223" s="18" t="s">
        <v>54</v>
      </c>
      <c r="E223" s="19">
        <v>46062</v>
      </c>
      <c r="F223" s="18" t="s">
        <v>65</v>
      </c>
      <c r="G223" s="18" t="s">
        <v>56</v>
      </c>
      <c r="H223" s="17">
        <v>666530</v>
      </c>
      <c r="I223" s="18" t="s">
        <v>37</v>
      </c>
      <c r="J223" s="20">
        <v>5</v>
      </c>
    </row>
    <row r="224" spans="1:10" ht="15" customHeight="1" x14ac:dyDescent="0.75">
      <c r="A224" s="18" t="s">
        <v>70</v>
      </c>
      <c r="B224" s="19">
        <v>46062</v>
      </c>
      <c r="C224" s="17">
        <v>7</v>
      </c>
      <c r="D224" s="18" t="s">
        <v>54</v>
      </c>
      <c r="E224" s="19">
        <v>46062</v>
      </c>
      <c r="F224" s="18" t="s">
        <v>65</v>
      </c>
      <c r="G224" s="18" t="s">
        <v>56</v>
      </c>
      <c r="H224" s="17">
        <v>666531</v>
      </c>
      <c r="I224" s="18" t="s">
        <v>39</v>
      </c>
      <c r="J224" s="20">
        <v>13</v>
      </c>
    </row>
    <row r="225" spans="1:10" ht="15" customHeight="1" x14ac:dyDescent="0.75">
      <c r="A225" s="18" t="s">
        <v>70</v>
      </c>
      <c r="B225" s="19">
        <v>46062</v>
      </c>
      <c r="C225" s="17">
        <v>7</v>
      </c>
      <c r="D225" s="18" t="s">
        <v>54</v>
      </c>
      <c r="E225" s="19">
        <v>46062</v>
      </c>
      <c r="F225" s="18" t="s">
        <v>57</v>
      </c>
      <c r="G225" s="18" t="s">
        <v>58</v>
      </c>
      <c r="H225" s="17">
        <v>666501</v>
      </c>
      <c r="I225" s="18" t="s">
        <v>5</v>
      </c>
      <c r="J225" s="20">
        <v>51</v>
      </c>
    </row>
    <row r="226" spans="1:10" ht="15" customHeight="1" x14ac:dyDescent="0.75">
      <c r="A226" s="18" t="s">
        <v>70</v>
      </c>
      <c r="B226" s="19">
        <v>46062</v>
      </c>
      <c r="C226" s="17">
        <v>7</v>
      </c>
      <c r="D226" s="18" t="s">
        <v>54</v>
      </c>
      <c r="E226" s="19">
        <v>46062</v>
      </c>
      <c r="F226" s="18" t="s">
        <v>57</v>
      </c>
      <c r="G226" s="18" t="s">
        <v>58</v>
      </c>
      <c r="H226" s="17">
        <v>666502</v>
      </c>
      <c r="I226" s="18" t="s">
        <v>7</v>
      </c>
      <c r="J226" s="20">
        <v>17</v>
      </c>
    </row>
    <row r="227" spans="1:10" ht="15" customHeight="1" x14ac:dyDescent="0.75">
      <c r="A227" s="18" t="s">
        <v>70</v>
      </c>
      <c r="B227" s="19">
        <v>46062</v>
      </c>
      <c r="C227" s="17">
        <v>7</v>
      </c>
      <c r="D227" s="18" t="s">
        <v>54</v>
      </c>
      <c r="E227" s="19">
        <v>46062</v>
      </c>
      <c r="F227" s="18" t="s">
        <v>57</v>
      </c>
      <c r="G227" s="18" t="s">
        <v>58</v>
      </c>
      <c r="H227" s="17">
        <v>666506</v>
      </c>
      <c r="I227" s="18" t="s">
        <v>11</v>
      </c>
      <c r="J227" s="20">
        <v>7</v>
      </c>
    </row>
    <row r="228" spans="1:10" ht="15" customHeight="1" x14ac:dyDescent="0.75">
      <c r="A228" s="18" t="s">
        <v>70</v>
      </c>
      <c r="B228" s="19">
        <v>46062</v>
      </c>
      <c r="C228" s="17">
        <v>7</v>
      </c>
      <c r="D228" s="18" t="s">
        <v>54</v>
      </c>
      <c r="E228" s="19">
        <v>46062</v>
      </c>
      <c r="F228" s="18" t="s">
        <v>57</v>
      </c>
      <c r="G228" s="18" t="s">
        <v>58</v>
      </c>
      <c r="H228" s="17">
        <v>666522</v>
      </c>
      <c r="I228" s="18" t="s">
        <v>33</v>
      </c>
      <c r="J228" s="20">
        <v>160</v>
      </c>
    </row>
    <row r="229" spans="1:10" ht="15" customHeight="1" x14ac:dyDescent="0.75">
      <c r="A229" s="18" t="s">
        <v>70</v>
      </c>
      <c r="B229" s="19">
        <v>46062</v>
      </c>
      <c r="C229" s="17">
        <v>7</v>
      </c>
      <c r="D229" s="18" t="s">
        <v>54</v>
      </c>
      <c r="E229" s="19">
        <v>46062</v>
      </c>
      <c r="F229" s="18" t="s">
        <v>57</v>
      </c>
      <c r="G229" s="18" t="s">
        <v>58</v>
      </c>
      <c r="H229" s="17">
        <v>666523</v>
      </c>
      <c r="I229" s="18" t="s">
        <v>35</v>
      </c>
      <c r="J229" s="20">
        <v>48</v>
      </c>
    </row>
    <row r="230" spans="1:10" ht="15" customHeight="1" x14ac:dyDescent="0.75">
      <c r="A230" s="18" t="s">
        <v>70</v>
      </c>
      <c r="B230" s="19">
        <v>46062</v>
      </c>
      <c r="C230" s="17">
        <v>7</v>
      </c>
      <c r="D230" s="18" t="s">
        <v>54</v>
      </c>
      <c r="E230" s="19">
        <v>46062</v>
      </c>
      <c r="F230" s="18" t="s">
        <v>57</v>
      </c>
      <c r="G230" s="18" t="s">
        <v>58</v>
      </c>
      <c r="H230" s="17">
        <v>666540</v>
      </c>
      <c r="I230" s="18" t="s">
        <v>40</v>
      </c>
      <c r="J230" s="20">
        <v>1</v>
      </c>
    </row>
    <row r="231" spans="1:10" ht="15" customHeight="1" x14ac:dyDescent="0.75">
      <c r="A231" s="18" t="s">
        <v>70</v>
      </c>
      <c r="B231" s="19">
        <v>46062</v>
      </c>
      <c r="C231" s="17">
        <v>7</v>
      </c>
      <c r="D231" s="18" t="s">
        <v>54</v>
      </c>
      <c r="E231" s="19">
        <v>46062</v>
      </c>
      <c r="F231" s="18" t="s">
        <v>57</v>
      </c>
      <c r="G231" s="18" t="s">
        <v>58</v>
      </c>
      <c r="H231" s="17">
        <v>666541</v>
      </c>
      <c r="I231" s="18" t="s">
        <v>41</v>
      </c>
      <c r="J231" s="20">
        <v>23</v>
      </c>
    </row>
    <row r="232" spans="1:10" ht="15" customHeight="1" x14ac:dyDescent="0.75">
      <c r="A232" s="18" t="s">
        <v>70</v>
      </c>
      <c r="B232" s="19">
        <v>46062</v>
      </c>
      <c r="C232" s="17">
        <v>7</v>
      </c>
      <c r="D232" s="18" t="s">
        <v>54</v>
      </c>
      <c r="E232" s="19">
        <v>46062</v>
      </c>
      <c r="F232" s="18" t="s">
        <v>55</v>
      </c>
      <c r="G232" s="18" t="s">
        <v>66</v>
      </c>
      <c r="H232" s="17">
        <v>666501</v>
      </c>
      <c r="I232" s="18" t="s">
        <v>5</v>
      </c>
      <c r="J232" s="20">
        <v>42</v>
      </c>
    </row>
    <row r="233" spans="1:10" ht="15" customHeight="1" x14ac:dyDescent="0.75">
      <c r="A233" s="18" t="s">
        <v>70</v>
      </c>
      <c r="B233" s="19">
        <v>46062</v>
      </c>
      <c r="C233" s="17">
        <v>7</v>
      </c>
      <c r="D233" s="18" t="s">
        <v>54</v>
      </c>
      <c r="E233" s="19">
        <v>46062</v>
      </c>
      <c r="F233" s="18" t="s">
        <v>55</v>
      </c>
      <c r="G233" s="18" t="s">
        <v>66</v>
      </c>
      <c r="H233" s="17">
        <v>666505</v>
      </c>
      <c r="I233" s="18" t="s">
        <v>9</v>
      </c>
      <c r="J233" s="20">
        <v>41</v>
      </c>
    </row>
    <row r="234" spans="1:10" ht="15" customHeight="1" x14ac:dyDescent="0.75">
      <c r="A234" s="18" t="s">
        <v>70</v>
      </c>
      <c r="B234" s="19">
        <v>46062</v>
      </c>
      <c r="C234" s="17">
        <v>7</v>
      </c>
      <c r="D234" s="18" t="s">
        <v>54</v>
      </c>
      <c r="E234" s="19">
        <v>46062</v>
      </c>
      <c r="F234" s="18" t="s">
        <v>55</v>
      </c>
      <c r="G234" s="18" t="s">
        <v>66</v>
      </c>
      <c r="H234" s="17">
        <v>666516</v>
      </c>
      <c r="I234" s="18" t="s">
        <v>23</v>
      </c>
      <c r="J234" s="20">
        <v>14</v>
      </c>
    </row>
    <row r="235" spans="1:10" ht="15" customHeight="1" x14ac:dyDescent="0.75">
      <c r="A235" s="18" t="s">
        <v>70</v>
      </c>
      <c r="B235" s="19">
        <v>46062</v>
      </c>
      <c r="C235" s="17">
        <v>7</v>
      </c>
      <c r="D235" s="18" t="s">
        <v>54</v>
      </c>
      <c r="E235" s="19">
        <v>46062</v>
      </c>
      <c r="F235" s="18" t="s">
        <v>55</v>
      </c>
      <c r="G235" s="18" t="s">
        <v>66</v>
      </c>
      <c r="H235" s="17">
        <v>666517</v>
      </c>
      <c r="I235" s="18" t="s">
        <v>25</v>
      </c>
      <c r="J235" s="20">
        <v>13</v>
      </c>
    </row>
    <row r="236" spans="1:10" ht="15" customHeight="1" x14ac:dyDescent="0.75">
      <c r="A236" s="18" t="s">
        <v>70</v>
      </c>
      <c r="B236" s="19">
        <v>46062</v>
      </c>
      <c r="C236" s="17">
        <v>7</v>
      </c>
      <c r="D236" s="18" t="s">
        <v>54</v>
      </c>
      <c r="E236" s="19">
        <v>46062</v>
      </c>
      <c r="F236" s="18" t="s">
        <v>55</v>
      </c>
      <c r="G236" s="18" t="s">
        <v>66</v>
      </c>
      <c r="H236" s="17">
        <v>666519</v>
      </c>
      <c r="I236" s="18" t="s">
        <v>29</v>
      </c>
      <c r="J236" s="20">
        <v>31</v>
      </c>
    </row>
    <row r="237" spans="1:10" ht="15" customHeight="1" x14ac:dyDescent="0.75">
      <c r="A237" s="18" t="s">
        <v>70</v>
      </c>
      <c r="B237" s="19">
        <v>46062</v>
      </c>
      <c r="C237" s="17">
        <v>7</v>
      </c>
      <c r="D237" s="18" t="s">
        <v>54</v>
      </c>
      <c r="E237" s="19">
        <v>46062</v>
      </c>
      <c r="F237" s="18" t="s">
        <v>55</v>
      </c>
      <c r="G237" s="18" t="s">
        <v>66</v>
      </c>
      <c r="H237" s="17">
        <v>666522</v>
      </c>
      <c r="I237" s="18" t="s">
        <v>33</v>
      </c>
      <c r="J237" s="20">
        <v>45</v>
      </c>
    </row>
    <row r="238" spans="1:10" ht="15" customHeight="1" x14ac:dyDescent="0.75">
      <c r="A238" s="18" t="s">
        <v>70</v>
      </c>
      <c r="B238" s="19">
        <v>46062</v>
      </c>
      <c r="C238" s="17">
        <v>7</v>
      </c>
      <c r="D238" s="18" t="s">
        <v>54</v>
      </c>
      <c r="E238" s="19">
        <v>46062</v>
      </c>
      <c r="F238" s="18" t="s">
        <v>55</v>
      </c>
      <c r="G238" s="18" t="s">
        <v>66</v>
      </c>
      <c r="H238" s="17">
        <v>666523</v>
      </c>
      <c r="I238" s="18" t="s">
        <v>35</v>
      </c>
      <c r="J238" s="20">
        <v>12</v>
      </c>
    </row>
    <row r="239" spans="1:10" ht="15" customHeight="1" x14ac:dyDescent="0.75">
      <c r="A239" s="18" t="s">
        <v>70</v>
      </c>
      <c r="B239" s="19">
        <v>46062</v>
      </c>
      <c r="C239" s="17">
        <v>7</v>
      </c>
      <c r="D239" s="18" t="s">
        <v>54</v>
      </c>
      <c r="E239" s="19">
        <v>46062</v>
      </c>
      <c r="F239" s="18" t="s">
        <v>55</v>
      </c>
      <c r="G239" s="18" t="s">
        <v>66</v>
      </c>
      <c r="H239" s="17">
        <v>666530</v>
      </c>
      <c r="I239" s="18" t="s">
        <v>37</v>
      </c>
      <c r="J239" s="20">
        <v>15</v>
      </c>
    </row>
    <row r="240" spans="1:10" ht="15" customHeight="1" x14ac:dyDescent="0.75">
      <c r="A240" s="18" t="s">
        <v>70</v>
      </c>
      <c r="B240" s="19">
        <v>46062</v>
      </c>
      <c r="C240" s="17">
        <v>7</v>
      </c>
      <c r="D240" s="18" t="s">
        <v>54</v>
      </c>
      <c r="E240" s="19">
        <v>46062</v>
      </c>
      <c r="F240" s="18" t="s">
        <v>55</v>
      </c>
      <c r="G240" s="18" t="s">
        <v>66</v>
      </c>
      <c r="H240" s="17">
        <v>666531</v>
      </c>
      <c r="I240" s="18" t="s">
        <v>39</v>
      </c>
      <c r="J240" s="20">
        <v>8</v>
      </c>
    </row>
    <row r="241" spans="1:10" ht="15" customHeight="1" x14ac:dyDescent="0.75">
      <c r="A241" s="18" t="s">
        <v>70</v>
      </c>
      <c r="B241" s="19">
        <v>46062</v>
      </c>
      <c r="C241" s="17">
        <v>7</v>
      </c>
      <c r="D241" s="18" t="s">
        <v>59</v>
      </c>
      <c r="E241" s="19">
        <v>46063</v>
      </c>
      <c r="F241" s="18" t="s">
        <v>57</v>
      </c>
      <c r="G241" s="18" t="s">
        <v>58</v>
      </c>
      <c r="H241" s="17">
        <v>666501</v>
      </c>
      <c r="I241" s="18" t="s">
        <v>5</v>
      </c>
      <c r="J241" s="20">
        <v>114</v>
      </c>
    </row>
    <row r="242" spans="1:10" ht="15" customHeight="1" x14ac:dyDescent="0.75">
      <c r="A242" s="18" t="s">
        <v>70</v>
      </c>
      <c r="B242" s="19">
        <v>46062</v>
      </c>
      <c r="C242" s="17">
        <v>7</v>
      </c>
      <c r="D242" s="18" t="s">
        <v>59</v>
      </c>
      <c r="E242" s="19">
        <v>46063</v>
      </c>
      <c r="F242" s="18" t="s">
        <v>57</v>
      </c>
      <c r="G242" s="18" t="s">
        <v>58</v>
      </c>
      <c r="H242" s="17">
        <v>666502</v>
      </c>
      <c r="I242" s="18" t="s">
        <v>7</v>
      </c>
      <c r="J242" s="20">
        <v>27</v>
      </c>
    </row>
    <row r="243" spans="1:10" ht="15" customHeight="1" x14ac:dyDescent="0.75">
      <c r="A243" s="18" t="s">
        <v>70</v>
      </c>
      <c r="B243" s="19">
        <v>46062</v>
      </c>
      <c r="C243" s="17">
        <v>7</v>
      </c>
      <c r="D243" s="18" t="s">
        <v>59</v>
      </c>
      <c r="E243" s="19">
        <v>46063</v>
      </c>
      <c r="F243" s="18" t="s">
        <v>57</v>
      </c>
      <c r="G243" s="18" t="s">
        <v>58</v>
      </c>
      <c r="H243" s="17">
        <v>666506</v>
      </c>
      <c r="I243" s="18" t="s">
        <v>11</v>
      </c>
      <c r="J243" s="20">
        <v>10</v>
      </c>
    </row>
    <row r="244" spans="1:10" ht="15" customHeight="1" x14ac:dyDescent="0.75">
      <c r="A244" s="18" t="s">
        <v>70</v>
      </c>
      <c r="B244" s="19">
        <v>46062</v>
      </c>
      <c r="C244" s="17">
        <v>7</v>
      </c>
      <c r="D244" s="18" t="s">
        <v>59</v>
      </c>
      <c r="E244" s="19">
        <v>46063</v>
      </c>
      <c r="F244" s="18" t="s">
        <v>57</v>
      </c>
      <c r="G244" s="18" t="s">
        <v>58</v>
      </c>
      <c r="H244" s="17">
        <v>666522</v>
      </c>
      <c r="I244" s="18" t="s">
        <v>33</v>
      </c>
      <c r="J244" s="20">
        <v>15</v>
      </c>
    </row>
    <row r="245" spans="1:10" ht="15" customHeight="1" x14ac:dyDescent="0.75">
      <c r="A245" s="18" t="s">
        <v>70</v>
      </c>
      <c r="B245" s="19">
        <v>46062</v>
      </c>
      <c r="C245" s="17">
        <v>7</v>
      </c>
      <c r="D245" s="18" t="s">
        <v>59</v>
      </c>
      <c r="E245" s="19">
        <v>46063</v>
      </c>
      <c r="F245" s="18" t="s">
        <v>57</v>
      </c>
      <c r="G245" s="18" t="s">
        <v>58</v>
      </c>
      <c r="H245" s="17">
        <v>666540</v>
      </c>
      <c r="I245" s="18" t="s">
        <v>40</v>
      </c>
      <c r="J245" s="20">
        <v>11</v>
      </c>
    </row>
    <row r="246" spans="1:10" ht="15" customHeight="1" x14ac:dyDescent="0.75">
      <c r="A246" s="18" t="s">
        <v>70</v>
      </c>
      <c r="B246" s="19">
        <v>46062</v>
      </c>
      <c r="C246" s="17">
        <v>7</v>
      </c>
      <c r="D246" s="18" t="s">
        <v>59</v>
      </c>
      <c r="E246" s="19">
        <v>46063</v>
      </c>
      <c r="F246" s="18" t="s">
        <v>57</v>
      </c>
      <c r="G246" s="18" t="s">
        <v>58</v>
      </c>
      <c r="H246" s="17">
        <v>666541</v>
      </c>
      <c r="I246" s="18" t="s">
        <v>41</v>
      </c>
      <c r="J246" s="20">
        <v>39</v>
      </c>
    </row>
    <row r="247" spans="1:10" ht="15" customHeight="1" x14ac:dyDescent="0.75">
      <c r="A247" s="18" t="s">
        <v>70</v>
      </c>
      <c r="B247" s="19">
        <v>46062</v>
      </c>
      <c r="C247" s="17">
        <v>7</v>
      </c>
      <c r="D247" s="18" t="s">
        <v>60</v>
      </c>
      <c r="E247" s="19">
        <v>46064</v>
      </c>
      <c r="F247" s="18" t="s">
        <v>65</v>
      </c>
      <c r="G247" s="18" t="s">
        <v>56</v>
      </c>
      <c r="H247" s="17">
        <v>666501</v>
      </c>
      <c r="I247" s="18" t="s">
        <v>5</v>
      </c>
      <c r="J247" s="20">
        <v>9</v>
      </c>
    </row>
    <row r="248" spans="1:10" ht="15" customHeight="1" x14ac:dyDescent="0.75">
      <c r="A248" s="18" t="s">
        <v>70</v>
      </c>
      <c r="B248" s="19">
        <v>46062</v>
      </c>
      <c r="C248" s="17">
        <v>7</v>
      </c>
      <c r="D248" s="18" t="s">
        <v>60</v>
      </c>
      <c r="E248" s="19">
        <v>46064</v>
      </c>
      <c r="F248" s="18" t="s">
        <v>65</v>
      </c>
      <c r="G248" s="18" t="s">
        <v>56</v>
      </c>
      <c r="H248" s="17">
        <v>666507</v>
      </c>
      <c r="I248" s="18" t="s">
        <v>13</v>
      </c>
      <c r="J248" s="20">
        <v>9</v>
      </c>
    </row>
    <row r="249" spans="1:10" ht="15" customHeight="1" x14ac:dyDescent="0.75">
      <c r="A249" s="18" t="s">
        <v>70</v>
      </c>
      <c r="B249" s="19">
        <v>46062</v>
      </c>
      <c r="C249" s="17">
        <v>7</v>
      </c>
      <c r="D249" s="18" t="s">
        <v>60</v>
      </c>
      <c r="E249" s="19">
        <v>46064</v>
      </c>
      <c r="F249" s="18" t="s">
        <v>65</v>
      </c>
      <c r="G249" s="18" t="s">
        <v>56</v>
      </c>
      <c r="H249" s="17">
        <v>666517</v>
      </c>
      <c r="I249" s="18" t="s">
        <v>25</v>
      </c>
      <c r="J249" s="20">
        <v>8</v>
      </c>
    </row>
    <row r="250" spans="1:10" ht="15" customHeight="1" x14ac:dyDescent="0.75">
      <c r="A250" s="18" t="s">
        <v>70</v>
      </c>
      <c r="B250" s="19">
        <v>46062</v>
      </c>
      <c r="C250" s="17">
        <v>7</v>
      </c>
      <c r="D250" s="18" t="s">
        <v>60</v>
      </c>
      <c r="E250" s="19">
        <v>46064</v>
      </c>
      <c r="F250" s="18" t="s">
        <v>65</v>
      </c>
      <c r="G250" s="18" t="s">
        <v>56</v>
      </c>
      <c r="H250" s="17">
        <v>666519</v>
      </c>
      <c r="I250" s="18" t="s">
        <v>29</v>
      </c>
      <c r="J250" s="20">
        <v>9</v>
      </c>
    </row>
    <row r="251" spans="1:10" ht="15" customHeight="1" x14ac:dyDescent="0.75">
      <c r="A251" s="18" t="s">
        <v>70</v>
      </c>
      <c r="B251" s="19">
        <v>46062</v>
      </c>
      <c r="C251" s="17">
        <v>7</v>
      </c>
      <c r="D251" s="18" t="s">
        <v>60</v>
      </c>
      <c r="E251" s="19">
        <v>46064</v>
      </c>
      <c r="F251" s="18" t="s">
        <v>65</v>
      </c>
      <c r="G251" s="18" t="s">
        <v>56</v>
      </c>
      <c r="H251" s="17">
        <v>666522</v>
      </c>
      <c r="I251" s="18" t="s">
        <v>33</v>
      </c>
      <c r="J251" s="20">
        <v>30</v>
      </c>
    </row>
    <row r="252" spans="1:10" ht="15" customHeight="1" x14ac:dyDescent="0.75">
      <c r="A252" s="18" t="s">
        <v>70</v>
      </c>
      <c r="B252" s="19">
        <v>46062</v>
      </c>
      <c r="C252" s="17">
        <v>7</v>
      </c>
      <c r="D252" s="18" t="s">
        <v>60</v>
      </c>
      <c r="E252" s="19">
        <v>46064</v>
      </c>
      <c r="F252" s="18" t="s">
        <v>65</v>
      </c>
      <c r="G252" s="18" t="s">
        <v>56</v>
      </c>
      <c r="H252" s="17">
        <v>666531</v>
      </c>
      <c r="I252" s="18" t="s">
        <v>39</v>
      </c>
      <c r="J252" s="20">
        <v>5</v>
      </c>
    </row>
    <row r="253" spans="1:10" ht="15" customHeight="1" x14ac:dyDescent="0.75">
      <c r="A253" s="18" t="s">
        <v>70</v>
      </c>
      <c r="B253" s="19">
        <v>46062</v>
      </c>
      <c r="C253" s="17">
        <v>7</v>
      </c>
      <c r="D253" s="18" t="s">
        <v>60</v>
      </c>
      <c r="E253" s="19">
        <v>46064</v>
      </c>
      <c r="F253" s="18" t="s">
        <v>57</v>
      </c>
      <c r="G253" s="18" t="s">
        <v>58</v>
      </c>
      <c r="H253" s="17">
        <v>666501</v>
      </c>
      <c r="I253" s="18" t="s">
        <v>5</v>
      </c>
      <c r="J253" s="20">
        <v>81</v>
      </c>
    </row>
    <row r="254" spans="1:10" ht="15" customHeight="1" x14ac:dyDescent="0.75">
      <c r="A254" s="18" t="s">
        <v>70</v>
      </c>
      <c r="B254" s="19">
        <v>46062</v>
      </c>
      <c r="C254" s="17">
        <v>7</v>
      </c>
      <c r="D254" s="18" t="s">
        <v>60</v>
      </c>
      <c r="E254" s="19">
        <v>46064</v>
      </c>
      <c r="F254" s="18" t="s">
        <v>57</v>
      </c>
      <c r="G254" s="18" t="s">
        <v>58</v>
      </c>
      <c r="H254" s="17">
        <v>666502</v>
      </c>
      <c r="I254" s="18" t="s">
        <v>7</v>
      </c>
      <c r="J254" s="20">
        <v>28</v>
      </c>
    </row>
    <row r="255" spans="1:10" ht="15" customHeight="1" x14ac:dyDescent="0.75">
      <c r="A255" s="18" t="s">
        <v>70</v>
      </c>
      <c r="B255" s="19">
        <v>46062</v>
      </c>
      <c r="C255" s="17">
        <v>7</v>
      </c>
      <c r="D255" s="18" t="s">
        <v>60</v>
      </c>
      <c r="E255" s="19">
        <v>46064</v>
      </c>
      <c r="F255" s="18" t="s">
        <v>57</v>
      </c>
      <c r="G255" s="18" t="s">
        <v>58</v>
      </c>
      <c r="H255" s="17">
        <v>666506</v>
      </c>
      <c r="I255" s="18" t="s">
        <v>11</v>
      </c>
      <c r="J255" s="20">
        <v>6</v>
      </c>
    </row>
    <row r="256" spans="1:10" ht="15" customHeight="1" x14ac:dyDescent="0.75">
      <c r="A256" s="18" t="s">
        <v>70</v>
      </c>
      <c r="B256" s="19">
        <v>46062</v>
      </c>
      <c r="C256" s="17">
        <v>7</v>
      </c>
      <c r="D256" s="18" t="s">
        <v>60</v>
      </c>
      <c r="E256" s="19">
        <v>46064</v>
      </c>
      <c r="F256" s="18" t="s">
        <v>57</v>
      </c>
      <c r="G256" s="18" t="s">
        <v>58</v>
      </c>
      <c r="H256" s="17">
        <v>666540</v>
      </c>
      <c r="I256" s="18" t="s">
        <v>40</v>
      </c>
      <c r="J256" s="20">
        <v>22</v>
      </c>
    </row>
    <row r="257" spans="1:10" ht="15" customHeight="1" x14ac:dyDescent="0.75">
      <c r="A257" s="18" t="s">
        <v>70</v>
      </c>
      <c r="B257" s="19">
        <v>46062</v>
      </c>
      <c r="C257" s="17">
        <v>7</v>
      </c>
      <c r="D257" s="18" t="s">
        <v>60</v>
      </c>
      <c r="E257" s="19">
        <v>46064</v>
      </c>
      <c r="F257" s="18" t="s">
        <v>57</v>
      </c>
      <c r="G257" s="18" t="s">
        <v>58</v>
      </c>
      <c r="H257" s="17">
        <v>666541</v>
      </c>
      <c r="I257" s="18" t="s">
        <v>41</v>
      </c>
      <c r="J257" s="20">
        <v>33</v>
      </c>
    </row>
    <row r="258" spans="1:10" ht="15" customHeight="1" x14ac:dyDescent="0.75">
      <c r="A258" s="18" t="s">
        <v>70</v>
      </c>
      <c r="B258" s="19">
        <v>46062</v>
      </c>
      <c r="C258" s="17">
        <v>7</v>
      </c>
      <c r="D258" s="18" t="s">
        <v>62</v>
      </c>
      <c r="E258" s="19">
        <v>46065</v>
      </c>
      <c r="F258" s="18" t="s">
        <v>65</v>
      </c>
      <c r="G258" s="18" t="s">
        <v>56</v>
      </c>
      <c r="H258" s="17">
        <v>666501</v>
      </c>
      <c r="I258" s="18" t="s">
        <v>5</v>
      </c>
      <c r="J258" s="20">
        <v>12</v>
      </c>
    </row>
    <row r="259" spans="1:10" ht="15" customHeight="1" x14ac:dyDescent="0.75">
      <c r="A259" s="18" t="s">
        <v>70</v>
      </c>
      <c r="B259" s="19">
        <v>46062</v>
      </c>
      <c r="C259" s="17">
        <v>7</v>
      </c>
      <c r="D259" s="18" t="s">
        <v>62</v>
      </c>
      <c r="E259" s="19">
        <v>46065</v>
      </c>
      <c r="F259" s="18" t="s">
        <v>65</v>
      </c>
      <c r="G259" s="18" t="s">
        <v>56</v>
      </c>
      <c r="H259" s="17">
        <v>666507</v>
      </c>
      <c r="I259" s="18" t="s">
        <v>13</v>
      </c>
      <c r="J259" s="20">
        <v>8</v>
      </c>
    </row>
    <row r="260" spans="1:10" ht="15" customHeight="1" x14ac:dyDescent="0.75">
      <c r="A260" s="18" t="s">
        <v>70</v>
      </c>
      <c r="B260" s="19">
        <v>46062</v>
      </c>
      <c r="C260" s="17">
        <v>7</v>
      </c>
      <c r="D260" s="18" t="s">
        <v>62</v>
      </c>
      <c r="E260" s="19">
        <v>46065</v>
      </c>
      <c r="F260" s="18" t="s">
        <v>65</v>
      </c>
      <c r="G260" s="18" t="s">
        <v>56</v>
      </c>
      <c r="H260" s="17">
        <v>666517</v>
      </c>
      <c r="I260" s="18" t="s">
        <v>25</v>
      </c>
      <c r="J260" s="20">
        <v>9</v>
      </c>
    </row>
    <row r="261" spans="1:10" ht="15" customHeight="1" x14ac:dyDescent="0.75">
      <c r="A261" s="18" t="s">
        <v>70</v>
      </c>
      <c r="B261" s="19">
        <v>46062</v>
      </c>
      <c r="C261" s="17">
        <v>7</v>
      </c>
      <c r="D261" s="18" t="s">
        <v>62</v>
      </c>
      <c r="E261" s="19">
        <v>46065</v>
      </c>
      <c r="F261" s="18" t="s">
        <v>65</v>
      </c>
      <c r="G261" s="18" t="s">
        <v>56</v>
      </c>
      <c r="H261" s="17">
        <v>666519</v>
      </c>
      <c r="I261" s="18" t="s">
        <v>29</v>
      </c>
      <c r="J261" s="20">
        <v>11</v>
      </c>
    </row>
    <row r="262" spans="1:10" ht="15" customHeight="1" x14ac:dyDescent="0.75">
      <c r="A262" s="18" t="s">
        <v>70</v>
      </c>
      <c r="B262" s="19">
        <v>46062</v>
      </c>
      <c r="C262" s="17">
        <v>7</v>
      </c>
      <c r="D262" s="18" t="s">
        <v>62</v>
      </c>
      <c r="E262" s="19">
        <v>46065</v>
      </c>
      <c r="F262" s="18" t="s">
        <v>65</v>
      </c>
      <c r="G262" s="18" t="s">
        <v>56</v>
      </c>
      <c r="H262" s="17">
        <v>666522</v>
      </c>
      <c r="I262" s="18" t="s">
        <v>33</v>
      </c>
      <c r="J262" s="20">
        <v>35</v>
      </c>
    </row>
    <row r="263" spans="1:10" ht="15" customHeight="1" x14ac:dyDescent="0.75">
      <c r="A263" s="18" t="s">
        <v>70</v>
      </c>
      <c r="B263" s="19">
        <v>46062</v>
      </c>
      <c r="C263" s="17">
        <v>7</v>
      </c>
      <c r="D263" s="18" t="s">
        <v>63</v>
      </c>
      <c r="E263" s="19">
        <v>46066</v>
      </c>
      <c r="F263" s="18" t="s">
        <v>65</v>
      </c>
      <c r="G263" s="18" t="s">
        <v>56</v>
      </c>
      <c r="H263" s="17">
        <v>666501</v>
      </c>
      <c r="I263" s="18" t="s">
        <v>5</v>
      </c>
      <c r="J263" s="20">
        <v>6</v>
      </c>
    </row>
    <row r="264" spans="1:10" ht="15" customHeight="1" x14ac:dyDescent="0.75">
      <c r="A264" s="18" t="s">
        <v>70</v>
      </c>
      <c r="B264" s="19">
        <v>46062</v>
      </c>
      <c r="C264" s="17">
        <v>7</v>
      </c>
      <c r="D264" s="18" t="s">
        <v>63</v>
      </c>
      <c r="E264" s="19">
        <v>46066</v>
      </c>
      <c r="F264" s="18" t="s">
        <v>65</v>
      </c>
      <c r="G264" s="18" t="s">
        <v>56</v>
      </c>
      <c r="H264" s="17">
        <v>666507</v>
      </c>
      <c r="I264" s="18" t="s">
        <v>13</v>
      </c>
      <c r="J264" s="20">
        <v>4</v>
      </c>
    </row>
    <row r="265" spans="1:10" ht="15" customHeight="1" x14ac:dyDescent="0.75">
      <c r="A265" s="18" t="s">
        <v>70</v>
      </c>
      <c r="B265" s="19">
        <v>46062</v>
      </c>
      <c r="C265" s="17">
        <v>7</v>
      </c>
      <c r="D265" s="18" t="s">
        <v>63</v>
      </c>
      <c r="E265" s="19">
        <v>46066</v>
      </c>
      <c r="F265" s="18" t="s">
        <v>65</v>
      </c>
      <c r="G265" s="18" t="s">
        <v>56</v>
      </c>
      <c r="H265" s="17">
        <v>666522</v>
      </c>
      <c r="I265" s="18" t="s">
        <v>33</v>
      </c>
      <c r="J265" s="20">
        <v>15</v>
      </c>
    </row>
    <row r="266" spans="1:10" ht="15" customHeight="1" x14ac:dyDescent="0.75">
      <c r="A266" s="18" t="s">
        <v>71</v>
      </c>
      <c r="B266" s="19">
        <v>46069</v>
      </c>
      <c r="C266" s="17">
        <v>8</v>
      </c>
      <c r="D266" s="18" t="s">
        <v>59</v>
      </c>
      <c r="E266" s="19">
        <v>46070</v>
      </c>
      <c r="F266" s="18" t="s">
        <v>57</v>
      </c>
      <c r="G266" s="18" t="s">
        <v>58</v>
      </c>
      <c r="H266" s="17">
        <v>666501</v>
      </c>
      <c r="I266" s="18" t="s">
        <v>5</v>
      </c>
      <c r="J266" s="20">
        <v>90</v>
      </c>
    </row>
    <row r="267" spans="1:10" ht="15" customHeight="1" x14ac:dyDescent="0.75">
      <c r="A267" s="18" t="s">
        <v>71</v>
      </c>
      <c r="B267" s="19">
        <v>46069</v>
      </c>
      <c r="C267" s="17">
        <v>8</v>
      </c>
      <c r="D267" s="18" t="s">
        <v>59</v>
      </c>
      <c r="E267" s="19">
        <v>46070</v>
      </c>
      <c r="F267" s="18" t="s">
        <v>57</v>
      </c>
      <c r="G267" s="18" t="s">
        <v>58</v>
      </c>
      <c r="H267" s="17">
        <v>666502</v>
      </c>
      <c r="I267" s="18" t="s">
        <v>7</v>
      </c>
      <c r="J267" s="20">
        <v>27</v>
      </c>
    </row>
    <row r="268" spans="1:10" ht="15" customHeight="1" x14ac:dyDescent="0.75">
      <c r="A268" s="18" t="s">
        <v>71</v>
      </c>
      <c r="B268" s="19">
        <v>46069</v>
      </c>
      <c r="C268" s="17">
        <v>8</v>
      </c>
      <c r="D268" s="18" t="s">
        <v>59</v>
      </c>
      <c r="E268" s="19">
        <v>46070</v>
      </c>
      <c r="F268" s="18" t="s">
        <v>57</v>
      </c>
      <c r="G268" s="18" t="s">
        <v>58</v>
      </c>
      <c r="H268" s="17">
        <v>666506</v>
      </c>
      <c r="I268" s="18" t="s">
        <v>11</v>
      </c>
      <c r="J268" s="20">
        <v>9</v>
      </c>
    </row>
    <row r="269" spans="1:10" ht="15" customHeight="1" x14ac:dyDescent="0.75">
      <c r="A269" s="18" t="s">
        <v>71</v>
      </c>
      <c r="B269" s="19">
        <v>46069</v>
      </c>
      <c r="C269" s="17">
        <v>8</v>
      </c>
      <c r="D269" s="18" t="s">
        <v>59</v>
      </c>
      <c r="E269" s="19">
        <v>46070</v>
      </c>
      <c r="F269" s="18" t="s">
        <v>57</v>
      </c>
      <c r="G269" s="18" t="s">
        <v>58</v>
      </c>
      <c r="H269" s="17">
        <v>666540</v>
      </c>
      <c r="I269" s="18" t="s">
        <v>40</v>
      </c>
      <c r="J269" s="20">
        <v>1</v>
      </c>
    </row>
    <row r="270" spans="1:10" ht="15" customHeight="1" x14ac:dyDescent="0.75">
      <c r="A270" s="18" t="s">
        <v>71</v>
      </c>
      <c r="B270" s="19">
        <v>46069</v>
      </c>
      <c r="C270" s="17">
        <v>8</v>
      </c>
      <c r="D270" s="18" t="s">
        <v>59</v>
      </c>
      <c r="E270" s="19">
        <v>46070</v>
      </c>
      <c r="F270" s="18" t="s">
        <v>57</v>
      </c>
      <c r="G270" s="18" t="s">
        <v>58</v>
      </c>
      <c r="H270" s="17">
        <v>666541</v>
      </c>
      <c r="I270" s="18" t="s">
        <v>41</v>
      </c>
      <c r="J270" s="20">
        <v>63</v>
      </c>
    </row>
    <row r="271" spans="1:10" ht="15" customHeight="1" x14ac:dyDescent="0.75">
      <c r="A271" s="18" t="s">
        <v>71</v>
      </c>
      <c r="B271" s="19">
        <v>46069</v>
      </c>
      <c r="C271" s="17">
        <v>8</v>
      </c>
      <c r="D271" s="18" t="s">
        <v>59</v>
      </c>
      <c r="E271" s="19">
        <v>46070</v>
      </c>
      <c r="F271" s="18" t="s">
        <v>65</v>
      </c>
      <c r="G271" s="18" t="s">
        <v>66</v>
      </c>
      <c r="H271" s="17">
        <v>666502</v>
      </c>
      <c r="I271" s="18" t="s">
        <v>7</v>
      </c>
      <c r="J271" s="20">
        <v>34</v>
      </c>
    </row>
    <row r="272" spans="1:10" ht="15" customHeight="1" x14ac:dyDescent="0.75">
      <c r="A272" s="18" t="s">
        <v>71</v>
      </c>
      <c r="B272" s="19">
        <v>46069</v>
      </c>
      <c r="C272" s="17">
        <v>8</v>
      </c>
      <c r="D272" s="18" t="s">
        <v>59</v>
      </c>
      <c r="E272" s="19">
        <v>46070</v>
      </c>
      <c r="F272" s="18" t="s">
        <v>65</v>
      </c>
      <c r="G272" s="18" t="s">
        <v>66</v>
      </c>
      <c r="H272" s="17">
        <v>666516</v>
      </c>
      <c r="I272" s="18" t="s">
        <v>23</v>
      </c>
      <c r="J272" s="20">
        <v>6</v>
      </c>
    </row>
    <row r="273" spans="1:10" ht="15" customHeight="1" x14ac:dyDescent="0.75">
      <c r="A273" s="18" t="s">
        <v>71</v>
      </c>
      <c r="B273" s="19">
        <v>46069</v>
      </c>
      <c r="C273" s="17">
        <v>8</v>
      </c>
      <c r="D273" s="18" t="s">
        <v>59</v>
      </c>
      <c r="E273" s="19">
        <v>46070</v>
      </c>
      <c r="F273" s="18" t="s">
        <v>65</v>
      </c>
      <c r="G273" s="18" t="s">
        <v>66</v>
      </c>
      <c r="H273" s="17">
        <v>666522</v>
      </c>
      <c r="I273" s="18" t="s">
        <v>33</v>
      </c>
      <c r="J273" s="20">
        <v>25</v>
      </c>
    </row>
    <row r="274" spans="1:10" ht="15" customHeight="1" x14ac:dyDescent="0.75">
      <c r="A274" s="18" t="s">
        <v>71</v>
      </c>
      <c r="B274" s="19">
        <v>46069</v>
      </c>
      <c r="C274" s="17">
        <v>8</v>
      </c>
      <c r="D274" s="18" t="s">
        <v>60</v>
      </c>
      <c r="E274" s="19">
        <v>46071</v>
      </c>
      <c r="F274" s="18" t="s">
        <v>55</v>
      </c>
      <c r="G274" s="18" t="s">
        <v>56</v>
      </c>
      <c r="H274" s="17">
        <v>666501</v>
      </c>
      <c r="I274" s="18" t="s">
        <v>5</v>
      </c>
      <c r="J274" s="20">
        <v>6</v>
      </c>
    </row>
    <row r="275" spans="1:10" ht="15" customHeight="1" x14ac:dyDescent="0.75">
      <c r="A275" s="18" t="s">
        <v>71</v>
      </c>
      <c r="B275" s="19">
        <v>46069</v>
      </c>
      <c r="C275" s="17">
        <v>8</v>
      </c>
      <c r="D275" s="18" t="s">
        <v>60</v>
      </c>
      <c r="E275" s="19">
        <v>46071</v>
      </c>
      <c r="F275" s="18" t="s">
        <v>55</v>
      </c>
      <c r="G275" s="18" t="s">
        <v>56</v>
      </c>
      <c r="H275" s="17">
        <v>666507</v>
      </c>
      <c r="I275" s="18" t="s">
        <v>13</v>
      </c>
      <c r="J275" s="20">
        <v>13</v>
      </c>
    </row>
    <row r="276" spans="1:10" ht="15" customHeight="1" x14ac:dyDescent="0.75">
      <c r="A276" s="18" t="s">
        <v>71</v>
      </c>
      <c r="B276" s="19">
        <v>46069</v>
      </c>
      <c r="C276" s="17">
        <v>8</v>
      </c>
      <c r="D276" s="18" t="s">
        <v>60</v>
      </c>
      <c r="E276" s="19">
        <v>46071</v>
      </c>
      <c r="F276" s="18" t="s">
        <v>55</v>
      </c>
      <c r="G276" s="18" t="s">
        <v>56</v>
      </c>
      <c r="H276" s="17">
        <v>666511</v>
      </c>
      <c r="I276" s="18" t="s">
        <v>19</v>
      </c>
      <c r="J276" s="20">
        <v>6</v>
      </c>
    </row>
    <row r="277" spans="1:10" ht="15" customHeight="1" x14ac:dyDescent="0.75">
      <c r="A277" s="18" t="s">
        <v>71</v>
      </c>
      <c r="B277" s="19">
        <v>46069</v>
      </c>
      <c r="C277" s="17">
        <v>8</v>
      </c>
      <c r="D277" s="18" t="s">
        <v>60</v>
      </c>
      <c r="E277" s="19">
        <v>46071</v>
      </c>
      <c r="F277" s="18" t="s">
        <v>57</v>
      </c>
      <c r="G277" s="18" t="s">
        <v>58</v>
      </c>
      <c r="H277" s="17">
        <v>666501</v>
      </c>
      <c r="I277" s="18" t="s">
        <v>5</v>
      </c>
      <c r="J277" s="20">
        <v>75</v>
      </c>
    </row>
    <row r="278" spans="1:10" ht="15" customHeight="1" x14ac:dyDescent="0.75">
      <c r="A278" s="18" t="s">
        <v>71</v>
      </c>
      <c r="B278" s="19">
        <v>46069</v>
      </c>
      <c r="C278" s="17">
        <v>8</v>
      </c>
      <c r="D278" s="18" t="s">
        <v>60</v>
      </c>
      <c r="E278" s="19">
        <v>46071</v>
      </c>
      <c r="F278" s="18" t="s">
        <v>57</v>
      </c>
      <c r="G278" s="18" t="s">
        <v>58</v>
      </c>
      <c r="H278" s="17">
        <v>666502</v>
      </c>
      <c r="I278" s="18" t="s">
        <v>7</v>
      </c>
      <c r="J278" s="20">
        <v>41</v>
      </c>
    </row>
    <row r="279" spans="1:10" ht="15" customHeight="1" x14ac:dyDescent="0.75">
      <c r="A279" s="18" t="s">
        <v>71</v>
      </c>
      <c r="B279" s="19">
        <v>46069</v>
      </c>
      <c r="C279" s="17">
        <v>8</v>
      </c>
      <c r="D279" s="18" t="s">
        <v>60</v>
      </c>
      <c r="E279" s="19">
        <v>46071</v>
      </c>
      <c r="F279" s="18" t="s">
        <v>57</v>
      </c>
      <c r="G279" s="18" t="s">
        <v>58</v>
      </c>
      <c r="H279" s="17">
        <v>666506</v>
      </c>
      <c r="I279" s="18" t="s">
        <v>11</v>
      </c>
      <c r="J279" s="20">
        <v>11</v>
      </c>
    </row>
    <row r="280" spans="1:10" ht="15" customHeight="1" x14ac:dyDescent="0.75">
      <c r="A280" s="18" t="s">
        <v>71</v>
      </c>
      <c r="B280" s="19">
        <v>46069</v>
      </c>
      <c r="C280" s="17">
        <v>8</v>
      </c>
      <c r="D280" s="18" t="s">
        <v>60</v>
      </c>
      <c r="E280" s="19">
        <v>46071</v>
      </c>
      <c r="F280" s="18" t="s">
        <v>57</v>
      </c>
      <c r="G280" s="18" t="s">
        <v>58</v>
      </c>
      <c r="H280" s="17">
        <v>666541</v>
      </c>
      <c r="I280" s="18" t="s">
        <v>41</v>
      </c>
      <c r="J280" s="20">
        <v>20</v>
      </c>
    </row>
    <row r="281" spans="1:10" ht="15" customHeight="1" x14ac:dyDescent="0.75">
      <c r="A281" s="18" t="s">
        <v>71</v>
      </c>
      <c r="B281" s="19">
        <v>46069</v>
      </c>
      <c r="C281" s="17">
        <v>8</v>
      </c>
      <c r="D281" s="18" t="s">
        <v>62</v>
      </c>
      <c r="E281" s="19">
        <v>46072</v>
      </c>
      <c r="F281" s="18" t="s">
        <v>55</v>
      </c>
      <c r="G281" s="18" t="s">
        <v>56</v>
      </c>
      <c r="H281" s="17">
        <v>666511</v>
      </c>
      <c r="I281" s="18" t="s">
        <v>19</v>
      </c>
      <c r="J281" s="20">
        <v>2</v>
      </c>
    </row>
    <row r="282" spans="1:10" ht="15" customHeight="1" x14ac:dyDescent="0.75">
      <c r="A282" s="18" t="s">
        <v>71</v>
      </c>
      <c r="B282" s="19">
        <v>46069</v>
      </c>
      <c r="C282" s="17">
        <v>8</v>
      </c>
      <c r="D282" s="18" t="s">
        <v>62</v>
      </c>
      <c r="E282" s="19">
        <v>46072</v>
      </c>
      <c r="F282" s="18" t="s">
        <v>55</v>
      </c>
      <c r="G282" s="18" t="s">
        <v>56</v>
      </c>
      <c r="H282" s="17">
        <v>666536</v>
      </c>
      <c r="I282" s="18" t="s">
        <v>43</v>
      </c>
      <c r="J282" s="20">
        <v>2</v>
      </c>
    </row>
    <row r="283" spans="1:10" ht="15" customHeight="1" x14ac:dyDescent="0.75">
      <c r="A283" s="18" t="s">
        <v>71</v>
      </c>
      <c r="B283" s="19">
        <v>46069</v>
      </c>
      <c r="C283" s="17">
        <v>8</v>
      </c>
      <c r="D283" s="18" t="s">
        <v>62</v>
      </c>
      <c r="E283" s="19">
        <v>46072</v>
      </c>
      <c r="F283" s="18" t="s">
        <v>57</v>
      </c>
      <c r="G283" s="18" t="s">
        <v>58</v>
      </c>
      <c r="H283" s="17">
        <v>666501</v>
      </c>
      <c r="I283" s="18" t="s">
        <v>5</v>
      </c>
      <c r="J283" s="20">
        <v>9</v>
      </c>
    </row>
    <row r="284" spans="1:10" ht="15" customHeight="1" x14ac:dyDescent="0.75">
      <c r="A284" s="18" t="s">
        <v>71</v>
      </c>
      <c r="B284" s="19">
        <v>46069</v>
      </c>
      <c r="C284" s="17">
        <v>8</v>
      </c>
      <c r="D284" s="18" t="s">
        <v>62</v>
      </c>
      <c r="E284" s="19">
        <v>46072</v>
      </c>
      <c r="F284" s="18" t="s">
        <v>57</v>
      </c>
      <c r="G284" s="18" t="s">
        <v>58</v>
      </c>
      <c r="H284" s="17">
        <v>666502</v>
      </c>
      <c r="I284" s="18" t="s">
        <v>7</v>
      </c>
      <c r="J284" s="20">
        <v>44</v>
      </c>
    </row>
    <row r="285" spans="1:10" ht="15" customHeight="1" x14ac:dyDescent="0.75">
      <c r="A285" s="18" t="s">
        <v>71</v>
      </c>
      <c r="B285" s="19">
        <v>46069</v>
      </c>
      <c r="C285" s="17">
        <v>8</v>
      </c>
      <c r="D285" s="18" t="s">
        <v>62</v>
      </c>
      <c r="E285" s="19">
        <v>46072</v>
      </c>
      <c r="F285" s="18" t="s">
        <v>57</v>
      </c>
      <c r="G285" s="18" t="s">
        <v>58</v>
      </c>
      <c r="H285" s="17">
        <v>666506</v>
      </c>
      <c r="I285" s="18" t="s">
        <v>11</v>
      </c>
      <c r="J285" s="20">
        <v>17</v>
      </c>
    </row>
    <row r="286" spans="1:10" ht="15" customHeight="1" x14ac:dyDescent="0.75">
      <c r="A286" s="18" t="s">
        <v>71</v>
      </c>
      <c r="B286" s="19">
        <v>46069</v>
      </c>
      <c r="C286" s="17">
        <v>8</v>
      </c>
      <c r="D286" s="18" t="s">
        <v>62</v>
      </c>
      <c r="E286" s="19">
        <v>46072</v>
      </c>
      <c r="F286" s="18" t="s">
        <v>57</v>
      </c>
      <c r="G286" s="18" t="s">
        <v>58</v>
      </c>
      <c r="H286" s="17">
        <v>666541</v>
      </c>
      <c r="I286" s="18" t="s">
        <v>41</v>
      </c>
      <c r="J286" s="20">
        <v>43</v>
      </c>
    </row>
    <row r="287" spans="1:10" ht="15" customHeight="1" x14ac:dyDescent="0.75">
      <c r="A287" s="18" t="s">
        <v>71</v>
      </c>
      <c r="B287" s="19">
        <v>46069</v>
      </c>
      <c r="C287" s="17">
        <v>8</v>
      </c>
      <c r="D287" s="18" t="s">
        <v>62</v>
      </c>
      <c r="E287" s="19">
        <v>46072</v>
      </c>
      <c r="F287" s="18" t="s">
        <v>65</v>
      </c>
      <c r="G287" s="18" t="s">
        <v>66</v>
      </c>
      <c r="H287" s="17">
        <v>666502</v>
      </c>
      <c r="I287" s="18" t="s">
        <v>7</v>
      </c>
      <c r="J287" s="20">
        <v>16</v>
      </c>
    </row>
    <row r="288" spans="1:10" ht="15" customHeight="1" x14ac:dyDescent="0.75">
      <c r="A288" s="18" t="s">
        <v>71</v>
      </c>
      <c r="B288" s="19">
        <v>46069</v>
      </c>
      <c r="C288" s="17">
        <v>8</v>
      </c>
      <c r="D288" s="18" t="s">
        <v>63</v>
      </c>
      <c r="E288" s="19">
        <v>46073</v>
      </c>
      <c r="F288" s="18" t="s">
        <v>57</v>
      </c>
      <c r="G288" s="18" t="s">
        <v>58</v>
      </c>
      <c r="H288" s="17">
        <v>666502</v>
      </c>
      <c r="I288" s="18" t="s">
        <v>7</v>
      </c>
      <c r="J288" s="20">
        <v>23</v>
      </c>
    </row>
    <row r="289" spans="1:10" ht="15" customHeight="1" x14ac:dyDescent="0.75">
      <c r="A289" s="18" t="s">
        <v>71</v>
      </c>
      <c r="B289" s="19">
        <v>46069</v>
      </c>
      <c r="C289" s="17">
        <v>8</v>
      </c>
      <c r="D289" s="18" t="s">
        <v>63</v>
      </c>
      <c r="E289" s="19">
        <v>46073</v>
      </c>
      <c r="F289" s="18" t="s">
        <v>57</v>
      </c>
      <c r="G289" s="18" t="s">
        <v>58</v>
      </c>
      <c r="H289" s="17">
        <v>666506</v>
      </c>
      <c r="I289" s="18" t="s">
        <v>11</v>
      </c>
      <c r="J289" s="20">
        <v>5</v>
      </c>
    </row>
    <row r="290" spans="1:10" ht="15" customHeight="1" x14ac:dyDescent="0.75">
      <c r="A290" s="18" t="s">
        <v>71</v>
      </c>
      <c r="B290" s="19">
        <v>46069</v>
      </c>
      <c r="C290" s="17">
        <v>8</v>
      </c>
      <c r="D290" s="18" t="s">
        <v>63</v>
      </c>
      <c r="E290" s="19">
        <v>46073</v>
      </c>
      <c r="F290" s="18" t="s">
        <v>57</v>
      </c>
      <c r="G290" s="18" t="s">
        <v>58</v>
      </c>
      <c r="H290" s="17">
        <v>666541</v>
      </c>
      <c r="I290" s="18" t="s">
        <v>41</v>
      </c>
      <c r="J290" s="20">
        <v>47</v>
      </c>
    </row>
    <row r="291" spans="1:10" ht="15" customHeight="1" x14ac:dyDescent="0.75">
      <c r="A291" s="18" t="s">
        <v>72</v>
      </c>
      <c r="B291" s="19">
        <v>46076</v>
      </c>
      <c r="C291" s="17">
        <v>9</v>
      </c>
      <c r="D291" s="18" t="s">
        <v>54</v>
      </c>
      <c r="E291" s="19">
        <v>46076</v>
      </c>
      <c r="F291" s="18" t="s">
        <v>65</v>
      </c>
      <c r="G291" s="18" t="s">
        <v>56</v>
      </c>
      <c r="H291" s="17">
        <v>666501</v>
      </c>
      <c r="I291" s="18" t="s">
        <v>5</v>
      </c>
      <c r="J291" s="20">
        <v>33</v>
      </c>
    </row>
    <row r="292" spans="1:10" ht="15" customHeight="1" x14ac:dyDescent="0.75">
      <c r="A292" s="18" t="s">
        <v>72</v>
      </c>
      <c r="B292" s="19">
        <v>46076</v>
      </c>
      <c r="C292" s="17">
        <v>9</v>
      </c>
      <c r="D292" s="18" t="s">
        <v>54</v>
      </c>
      <c r="E292" s="19">
        <v>46076</v>
      </c>
      <c r="F292" s="18" t="s">
        <v>65</v>
      </c>
      <c r="G292" s="18" t="s">
        <v>56</v>
      </c>
      <c r="H292" s="17">
        <v>666505</v>
      </c>
      <c r="I292" s="18" t="s">
        <v>9</v>
      </c>
      <c r="J292" s="20">
        <v>20</v>
      </c>
    </row>
    <row r="293" spans="1:10" ht="15" customHeight="1" x14ac:dyDescent="0.75">
      <c r="A293" s="18" t="s">
        <v>72</v>
      </c>
      <c r="B293" s="19">
        <v>46076</v>
      </c>
      <c r="C293" s="17">
        <v>9</v>
      </c>
      <c r="D293" s="18" t="s">
        <v>54</v>
      </c>
      <c r="E293" s="19">
        <v>46076</v>
      </c>
      <c r="F293" s="18" t="s">
        <v>65</v>
      </c>
      <c r="G293" s="18" t="s">
        <v>56</v>
      </c>
      <c r="H293" s="17">
        <v>666507</v>
      </c>
      <c r="I293" s="18" t="s">
        <v>13</v>
      </c>
      <c r="J293" s="20">
        <v>6</v>
      </c>
    </row>
    <row r="294" spans="1:10" ht="15" customHeight="1" x14ac:dyDescent="0.75">
      <c r="A294" s="18" t="s">
        <v>72</v>
      </c>
      <c r="B294" s="19">
        <v>46076</v>
      </c>
      <c r="C294" s="17">
        <v>9</v>
      </c>
      <c r="D294" s="18" t="s">
        <v>54</v>
      </c>
      <c r="E294" s="19">
        <v>46076</v>
      </c>
      <c r="F294" s="18" t="s">
        <v>65</v>
      </c>
      <c r="G294" s="18" t="s">
        <v>56</v>
      </c>
      <c r="H294" s="17">
        <v>666509</v>
      </c>
      <c r="I294" s="18" t="s">
        <v>15</v>
      </c>
      <c r="J294" s="20">
        <v>30</v>
      </c>
    </row>
    <row r="295" spans="1:10" ht="15" customHeight="1" x14ac:dyDescent="0.75">
      <c r="A295" s="18" t="s">
        <v>72</v>
      </c>
      <c r="B295" s="19">
        <v>46076</v>
      </c>
      <c r="C295" s="17">
        <v>9</v>
      </c>
      <c r="D295" s="18" t="s">
        <v>54</v>
      </c>
      <c r="E295" s="19">
        <v>46076</v>
      </c>
      <c r="F295" s="18" t="s">
        <v>65</v>
      </c>
      <c r="G295" s="18" t="s">
        <v>56</v>
      </c>
      <c r="H295" s="17">
        <v>666511</v>
      </c>
      <c r="I295" s="18" t="s">
        <v>19</v>
      </c>
      <c r="J295" s="20">
        <v>1</v>
      </c>
    </row>
    <row r="296" spans="1:10" ht="15" customHeight="1" x14ac:dyDescent="0.75">
      <c r="A296" s="18" t="s">
        <v>72</v>
      </c>
      <c r="B296" s="19">
        <v>46076</v>
      </c>
      <c r="C296" s="17">
        <v>9</v>
      </c>
      <c r="D296" s="18" t="s">
        <v>54</v>
      </c>
      <c r="E296" s="19">
        <v>46076</v>
      </c>
      <c r="F296" s="18" t="s">
        <v>65</v>
      </c>
      <c r="G296" s="18" t="s">
        <v>56</v>
      </c>
      <c r="H296" s="17">
        <v>666516</v>
      </c>
      <c r="I296" s="18" t="s">
        <v>23</v>
      </c>
      <c r="J296" s="20">
        <v>34</v>
      </c>
    </row>
    <row r="297" spans="1:10" ht="15" customHeight="1" x14ac:dyDescent="0.75">
      <c r="A297" s="18" t="s">
        <v>72</v>
      </c>
      <c r="B297" s="19">
        <v>46076</v>
      </c>
      <c r="C297" s="17">
        <v>9</v>
      </c>
      <c r="D297" s="18" t="s">
        <v>54</v>
      </c>
      <c r="E297" s="19">
        <v>46076</v>
      </c>
      <c r="F297" s="18" t="s">
        <v>65</v>
      </c>
      <c r="G297" s="18" t="s">
        <v>56</v>
      </c>
      <c r="H297" s="17">
        <v>666517</v>
      </c>
      <c r="I297" s="18" t="s">
        <v>25</v>
      </c>
      <c r="J297" s="20">
        <v>29</v>
      </c>
    </row>
    <row r="298" spans="1:10" ht="15" customHeight="1" x14ac:dyDescent="0.75">
      <c r="A298" s="18" t="s">
        <v>72</v>
      </c>
      <c r="B298" s="19">
        <v>46076</v>
      </c>
      <c r="C298" s="17">
        <v>9</v>
      </c>
      <c r="D298" s="18" t="s">
        <v>54</v>
      </c>
      <c r="E298" s="19">
        <v>46076</v>
      </c>
      <c r="F298" s="18" t="s">
        <v>65</v>
      </c>
      <c r="G298" s="18" t="s">
        <v>56</v>
      </c>
      <c r="H298" s="17">
        <v>666519</v>
      </c>
      <c r="I298" s="18" t="s">
        <v>29</v>
      </c>
      <c r="J298" s="20">
        <v>33</v>
      </c>
    </row>
    <row r="299" spans="1:10" ht="15" customHeight="1" x14ac:dyDescent="0.75">
      <c r="A299" s="18" t="s">
        <v>72</v>
      </c>
      <c r="B299" s="19">
        <v>46076</v>
      </c>
      <c r="C299" s="17">
        <v>9</v>
      </c>
      <c r="D299" s="18" t="s">
        <v>54</v>
      </c>
      <c r="E299" s="19">
        <v>46076</v>
      </c>
      <c r="F299" s="18" t="s">
        <v>65</v>
      </c>
      <c r="G299" s="18" t="s">
        <v>56</v>
      </c>
      <c r="H299" s="17">
        <v>666522</v>
      </c>
      <c r="I299" s="18" t="s">
        <v>33</v>
      </c>
      <c r="J299" s="20">
        <v>65</v>
      </c>
    </row>
    <row r="300" spans="1:10" ht="15" customHeight="1" x14ac:dyDescent="0.75">
      <c r="A300" s="18" t="s">
        <v>72</v>
      </c>
      <c r="B300" s="19">
        <v>46076</v>
      </c>
      <c r="C300" s="17">
        <v>9</v>
      </c>
      <c r="D300" s="18" t="s">
        <v>54</v>
      </c>
      <c r="E300" s="19">
        <v>46076</v>
      </c>
      <c r="F300" s="18" t="s">
        <v>65</v>
      </c>
      <c r="G300" s="18" t="s">
        <v>56</v>
      </c>
      <c r="H300" s="17">
        <v>666530</v>
      </c>
      <c r="I300" s="18" t="s">
        <v>37</v>
      </c>
      <c r="J300" s="20">
        <v>5</v>
      </c>
    </row>
    <row r="301" spans="1:10" ht="15" customHeight="1" x14ac:dyDescent="0.75">
      <c r="A301" s="18" t="s">
        <v>72</v>
      </c>
      <c r="B301" s="19">
        <v>46076</v>
      </c>
      <c r="C301" s="17">
        <v>9</v>
      </c>
      <c r="D301" s="18" t="s">
        <v>54</v>
      </c>
      <c r="E301" s="19">
        <v>46076</v>
      </c>
      <c r="F301" s="18" t="s">
        <v>65</v>
      </c>
      <c r="G301" s="18" t="s">
        <v>56</v>
      </c>
      <c r="H301" s="17">
        <v>666531</v>
      </c>
      <c r="I301" s="18" t="s">
        <v>39</v>
      </c>
      <c r="J301" s="20">
        <v>18</v>
      </c>
    </row>
    <row r="302" spans="1:10" ht="15" customHeight="1" x14ac:dyDescent="0.75">
      <c r="A302" s="18" t="s">
        <v>72</v>
      </c>
      <c r="B302" s="19">
        <v>46076</v>
      </c>
      <c r="C302" s="17">
        <v>9</v>
      </c>
      <c r="D302" s="18" t="s">
        <v>54</v>
      </c>
      <c r="E302" s="19">
        <v>46076</v>
      </c>
      <c r="F302" s="18" t="s">
        <v>65</v>
      </c>
      <c r="G302" s="18" t="s">
        <v>56</v>
      </c>
      <c r="H302" s="17">
        <v>666536</v>
      </c>
      <c r="I302" s="18" t="s">
        <v>43</v>
      </c>
      <c r="J302" s="20">
        <v>2</v>
      </c>
    </row>
    <row r="303" spans="1:10" ht="15" customHeight="1" x14ac:dyDescent="0.75">
      <c r="A303" s="18" t="s">
        <v>72</v>
      </c>
      <c r="B303" s="19">
        <v>46076</v>
      </c>
      <c r="C303" s="17">
        <v>9</v>
      </c>
      <c r="D303" s="18" t="s">
        <v>54</v>
      </c>
      <c r="E303" s="19">
        <v>46076</v>
      </c>
      <c r="F303" s="18" t="s">
        <v>57</v>
      </c>
      <c r="G303" s="18" t="s">
        <v>58</v>
      </c>
      <c r="H303" s="17">
        <v>666501</v>
      </c>
      <c r="I303" s="18" t="s">
        <v>5</v>
      </c>
      <c r="J303" s="20">
        <v>27</v>
      </c>
    </row>
    <row r="304" spans="1:10" ht="15" customHeight="1" x14ac:dyDescent="0.75">
      <c r="A304" s="18" t="s">
        <v>72</v>
      </c>
      <c r="B304" s="19">
        <v>46076</v>
      </c>
      <c r="C304" s="17">
        <v>9</v>
      </c>
      <c r="D304" s="18" t="s">
        <v>54</v>
      </c>
      <c r="E304" s="19">
        <v>46076</v>
      </c>
      <c r="F304" s="18" t="s">
        <v>57</v>
      </c>
      <c r="G304" s="18" t="s">
        <v>58</v>
      </c>
      <c r="H304" s="17">
        <v>666502</v>
      </c>
      <c r="I304" s="18" t="s">
        <v>7</v>
      </c>
      <c r="J304" s="20">
        <v>19</v>
      </c>
    </row>
    <row r="305" spans="1:10" ht="15" customHeight="1" x14ac:dyDescent="0.75">
      <c r="A305" s="18" t="s">
        <v>72</v>
      </c>
      <c r="B305" s="19">
        <v>46076</v>
      </c>
      <c r="C305" s="17">
        <v>9</v>
      </c>
      <c r="D305" s="18" t="s">
        <v>54</v>
      </c>
      <c r="E305" s="19">
        <v>46076</v>
      </c>
      <c r="F305" s="18" t="s">
        <v>57</v>
      </c>
      <c r="G305" s="18" t="s">
        <v>58</v>
      </c>
      <c r="H305" s="17">
        <v>666541</v>
      </c>
      <c r="I305" s="18" t="s">
        <v>41</v>
      </c>
      <c r="J305" s="20">
        <v>21</v>
      </c>
    </row>
    <row r="306" spans="1:10" ht="15" customHeight="1" x14ac:dyDescent="0.75">
      <c r="A306" s="18" t="s">
        <v>72</v>
      </c>
      <c r="B306" s="19">
        <v>46076</v>
      </c>
      <c r="C306" s="17">
        <v>9</v>
      </c>
      <c r="D306" s="18" t="s">
        <v>54</v>
      </c>
      <c r="E306" s="19">
        <v>46076</v>
      </c>
      <c r="F306" s="18" t="s">
        <v>55</v>
      </c>
      <c r="G306" s="18" t="s">
        <v>66</v>
      </c>
      <c r="H306" s="17">
        <v>666501</v>
      </c>
      <c r="I306" s="18" t="s">
        <v>5</v>
      </c>
      <c r="J306" s="20">
        <v>27</v>
      </c>
    </row>
    <row r="307" spans="1:10" ht="15" customHeight="1" x14ac:dyDescent="0.75">
      <c r="A307" s="18" t="s">
        <v>72</v>
      </c>
      <c r="B307" s="19">
        <v>46076</v>
      </c>
      <c r="C307" s="17">
        <v>9</v>
      </c>
      <c r="D307" s="18" t="s">
        <v>54</v>
      </c>
      <c r="E307" s="19">
        <v>46076</v>
      </c>
      <c r="F307" s="18" t="s">
        <v>55</v>
      </c>
      <c r="G307" s="18" t="s">
        <v>66</v>
      </c>
      <c r="H307" s="17">
        <v>666505</v>
      </c>
      <c r="I307" s="18" t="s">
        <v>9</v>
      </c>
      <c r="J307" s="20">
        <v>30</v>
      </c>
    </row>
    <row r="308" spans="1:10" ht="15" customHeight="1" x14ac:dyDescent="0.75">
      <c r="A308" s="18" t="s">
        <v>72</v>
      </c>
      <c r="B308" s="19">
        <v>46076</v>
      </c>
      <c r="C308" s="17">
        <v>9</v>
      </c>
      <c r="D308" s="18" t="s">
        <v>54</v>
      </c>
      <c r="E308" s="19">
        <v>46076</v>
      </c>
      <c r="F308" s="18" t="s">
        <v>55</v>
      </c>
      <c r="G308" s="18" t="s">
        <v>66</v>
      </c>
      <c r="H308" s="17">
        <v>666516</v>
      </c>
      <c r="I308" s="18" t="s">
        <v>23</v>
      </c>
      <c r="J308" s="20">
        <v>21</v>
      </c>
    </row>
    <row r="309" spans="1:10" ht="15" customHeight="1" x14ac:dyDescent="0.75">
      <c r="A309" s="18" t="s">
        <v>72</v>
      </c>
      <c r="B309" s="19">
        <v>46076</v>
      </c>
      <c r="C309" s="17">
        <v>9</v>
      </c>
      <c r="D309" s="18" t="s">
        <v>54</v>
      </c>
      <c r="E309" s="19">
        <v>46076</v>
      </c>
      <c r="F309" s="18" t="s">
        <v>55</v>
      </c>
      <c r="G309" s="18" t="s">
        <v>66</v>
      </c>
      <c r="H309" s="17">
        <v>666517</v>
      </c>
      <c r="I309" s="18" t="s">
        <v>25</v>
      </c>
      <c r="J309" s="20">
        <v>20</v>
      </c>
    </row>
    <row r="310" spans="1:10" ht="15" customHeight="1" x14ac:dyDescent="0.75">
      <c r="A310" s="18" t="s">
        <v>72</v>
      </c>
      <c r="B310" s="19">
        <v>46076</v>
      </c>
      <c r="C310" s="17">
        <v>9</v>
      </c>
      <c r="D310" s="18" t="s">
        <v>54</v>
      </c>
      <c r="E310" s="19">
        <v>46076</v>
      </c>
      <c r="F310" s="18" t="s">
        <v>55</v>
      </c>
      <c r="G310" s="18" t="s">
        <v>66</v>
      </c>
      <c r="H310" s="17">
        <v>666519</v>
      </c>
      <c r="I310" s="18" t="s">
        <v>29</v>
      </c>
      <c r="J310" s="20">
        <v>31</v>
      </c>
    </row>
    <row r="311" spans="1:10" ht="15" customHeight="1" x14ac:dyDescent="0.75">
      <c r="A311" s="18" t="s">
        <v>72</v>
      </c>
      <c r="B311" s="19">
        <v>46076</v>
      </c>
      <c r="C311" s="17">
        <v>9</v>
      </c>
      <c r="D311" s="18" t="s">
        <v>54</v>
      </c>
      <c r="E311" s="19">
        <v>46076</v>
      </c>
      <c r="F311" s="18" t="s">
        <v>55</v>
      </c>
      <c r="G311" s="18" t="s">
        <v>66</v>
      </c>
      <c r="H311" s="17">
        <v>666522</v>
      </c>
      <c r="I311" s="18" t="s">
        <v>33</v>
      </c>
      <c r="J311" s="20">
        <v>40</v>
      </c>
    </row>
    <row r="312" spans="1:10" ht="15" customHeight="1" x14ac:dyDescent="0.75">
      <c r="A312" s="18" t="s">
        <v>72</v>
      </c>
      <c r="B312" s="19">
        <v>46076</v>
      </c>
      <c r="C312" s="17">
        <v>9</v>
      </c>
      <c r="D312" s="18" t="s">
        <v>54</v>
      </c>
      <c r="E312" s="19">
        <v>46076</v>
      </c>
      <c r="F312" s="18" t="s">
        <v>55</v>
      </c>
      <c r="G312" s="18" t="s">
        <v>66</v>
      </c>
      <c r="H312" s="17">
        <v>666523</v>
      </c>
      <c r="I312" s="18" t="s">
        <v>35</v>
      </c>
      <c r="J312" s="20">
        <v>10</v>
      </c>
    </row>
    <row r="313" spans="1:10" ht="15" customHeight="1" x14ac:dyDescent="0.75">
      <c r="A313" s="18" t="s">
        <v>72</v>
      </c>
      <c r="B313" s="19">
        <v>46076</v>
      </c>
      <c r="C313" s="17">
        <v>9</v>
      </c>
      <c r="D313" s="18" t="s">
        <v>54</v>
      </c>
      <c r="E313" s="19">
        <v>46076</v>
      </c>
      <c r="F313" s="18" t="s">
        <v>55</v>
      </c>
      <c r="G313" s="18" t="s">
        <v>66</v>
      </c>
      <c r="H313" s="17">
        <v>666530</v>
      </c>
      <c r="I313" s="18" t="s">
        <v>37</v>
      </c>
      <c r="J313" s="20">
        <v>12</v>
      </c>
    </row>
    <row r="314" spans="1:10" ht="15" customHeight="1" x14ac:dyDescent="0.75">
      <c r="A314" s="18" t="s">
        <v>72</v>
      </c>
      <c r="B314" s="19">
        <v>46076</v>
      </c>
      <c r="C314" s="17">
        <v>9</v>
      </c>
      <c r="D314" s="18" t="s">
        <v>54</v>
      </c>
      <c r="E314" s="19">
        <v>46076</v>
      </c>
      <c r="F314" s="18" t="s">
        <v>55</v>
      </c>
      <c r="G314" s="18" t="s">
        <v>66</v>
      </c>
      <c r="H314" s="17">
        <v>666531</v>
      </c>
      <c r="I314" s="18" t="s">
        <v>39</v>
      </c>
      <c r="J314" s="20">
        <v>8</v>
      </c>
    </row>
    <row r="315" spans="1:10" ht="15" customHeight="1" x14ac:dyDescent="0.75">
      <c r="A315" s="18" t="s">
        <v>72</v>
      </c>
      <c r="B315" s="19">
        <v>46076</v>
      </c>
      <c r="C315" s="17">
        <v>9</v>
      </c>
      <c r="D315" s="18" t="s">
        <v>59</v>
      </c>
      <c r="E315" s="19">
        <v>46077</v>
      </c>
      <c r="F315" s="18" t="s">
        <v>57</v>
      </c>
      <c r="G315" s="18" t="s">
        <v>58</v>
      </c>
      <c r="H315" s="17">
        <v>666501</v>
      </c>
      <c r="I315" s="18" t="s">
        <v>5</v>
      </c>
      <c r="J315" s="20">
        <v>60</v>
      </c>
    </row>
    <row r="316" spans="1:10" ht="15" customHeight="1" x14ac:dyDescent="0.75">
      <c r="A316" s="18" t="s">
        <v>72</v>
      </c>
      <c r="B316" s="19">
        <v>46076</v>
      </c>
      <c r="C316" s="17">
        <v>9</v>
      </c>
      <c r="D316" s="18" t="s">
        <v>59</v>
      </c>
      <c r="E316" s="19">
        <v>46077</v>
      </c>
      <c r="F316" s="18" t="s">
        <v>57</v>
      </c>
      <c r="G316" s="18" t="s">
        <v>58</v>
      </c>
      <c r="H316" s="17">
        <v>666502</v>
      </c>
      <c r="I316" s="18" t="s">
        <v>7</v>
      </c>
      <c r="J316" s="20">
        <v>43</v>
      </c>
    </row>
    <row r="317" spans="1:10" ht="15" customHeight="1" x14ac:dyDescent="0.75">
      <c r="A317" s="18" t="s">
        <v>72</v>
      </c>
      <c r="B317" s="19">
        <v>46076</v>
      </c>
      <c r="C317" s="17">
        <v>9</v>
      </c>
      <c r="D317" s="18" t="s">
        <v>59</v>
      </c>
      <c r="E317" s="19">
        <v>46077</v>
      </c>
      <c r="F317" s="18" t="s">
        <v>57</v>
      </c>
      <c r="G317" s="18" t="s">
        <v>58</v>
      </c>
      <c r="H317" s="17">
        <v>666506</v>
      </c>
      <c r="I317" s="18" t="s">
        <v>11</v>
      </c>
      <c r="J317" s="20">
        <v>7</v>
      </c>
    </row>
    <row r="318" spans="1:10" ht="15" customHeight="1" x14ac:dyDescent="0.75">
      <c r="A318" s="18" t="s">
        <v>72</v>
      </c>
      <c r="B318" s="19">
        <v>46076</v>
      </c>
      <c r="C318" s="17">
        <v>9</v>
      </c>
      <c r="D318" s="18" t="s">
        <v>59</v>
      </c>
      <c r="E318" s="19">
        <v>46077</v>
      </c>
      <c r="F318" s="18" t="s">
        <v>57</v>
      </c>
      <c r="G318" s="18" t="s">
        <v>58</v>
      </c>
      <c r="H318" s="17">
        <v>666522</v>
      </c>
      <c r="I318" s="18" t="s">
        <v>33</v>
      </c>
      <c r="J318" s="20">
        <v>95</v>
      </c>
    </row>
    <row r="319" spans="1:10" ht="15" customHeight="1" x14ac:dyDescent="0.75">
      <c r="A319" s="18" t="s">
        <v>72</v>
      </c>
      <c r="B319" s="19">
        <v>46076</v>
      </c>
      <c r="C319" s="17">
        <v>9</v>
      </c>
      <c r="D319" s="18" t="s">
        <v>59</v>
      </c>
      <c r="E319" s="19">
        <v>46077</v>
      </c>
      <c r="F319" s="18" t="s">
        <v>57</v>
      </c>
      <c r="G319" s="18" t="s">
        <v>58</v>
      </c>
      <c r="H319" s="17">
        <v>666523</v>
      </c>
      <c r="I319" s="18" t="s">
        <v>35</v>
      </c>
      <c r="J319" s="20">
        <v>40</v>
      </c>
    </row>
    <row r="320" spans="1:10" ht="15" customHeight="1" x14ac:dyDescent="0.75">
      <c r="A320" s="18" t="s">
        <v>72</v>
      </c>
      <c r="B320" s="19">
        <v>46076</v>
      </c>
      <c r="C320" s="17">
        <v>9</v>
      </c>
      <c r="D320" s="18" t="s">
        <v>59</v>
      </c>
      <c r="E320" s="19">
        <v>46077</v>
      </c>
      <c r="F320" s="18" t="s">
        <v>57</v>
      </c>
      <c r="G320" s="18" t="s">
        <v>58</v>
      </c>
      <c r="H320" s="17">
        <v>666541</v>
      </c>
      <c r="I320" s="18" t="s">
        <v>41</v>
      </c>
      <c r="J320" s="20">
        <v>67</v>
      </c>
    </row>
    <row r="321" spans="1:10" ht="15" customHeight="1" x14ac:dyDescent="0.75">
      <c r="A321" s="18" t="s">
        <v>72</v>
      </c>
      <c r="B321" s="19">
        <v>46076</v>
      </c>
      <c r="C321" s="17">
        <v>9</v>
      </c>
      <c r="D321" s="18" t="s">
        <v>60</v>
      </c>
      <c r="E321" s="19">
        <v>46078</v>
      </c>
      <c r="F321" s="18" t="s">
        <v>65</v>
      </c>
      <c r="G321" s="18" t="s">
        <v>56</v>
      </c>
      <c r="H321" s="17">
        <v>666501</v>
      </c>
      <c r="I321" s="18" t="s">
        <v>5</v>
      </c>
      <c r="J321" s="20">
        <v>12</v>
      </c>
    </row>
    <row r="322" spans="1:10" ht="15" customHeight="1" x14ac:dyDescent="0.75">
      <c r="A322" s="18" t="s">
        <v>72</v>
      </c>
      <c r="B322" s="19">
        <v>46076</v>
      </c>
      <c r="C322" s="17">
        <v>9</v>
      </c>
      <c r="D322" s="18" t="s">
        <v>60</v>
      </c>
      <c r="E322" s="19">
        <v>46078</v>
      </c>
      <c r="F322" s="18" t="s">
        <v>65</v>
      </c>
      <c r="G322" s="18" t="s">
        <v>56</v>
      </c>
      <c r="H322" s="17">
        <v>666509</v>
      </c>
      <c r="I322" s="18" t="s">
        <v>15</v>
      </c>
      <c r="J322" s="20">
        <v>28</v>
      </c>
    </row>
    <row r="323" spans="1:10" ht="15" customHeight="1" x14ac:dyDescent="0.75">
      <c r="A323" s="18" t="s">
        <v>72</v>
      </c>
      <c r="B323" s="19">
        <v>46076</v>
      </c>
      <c r="C323" s="17">
        <v>9</v>
      </c>
      <c r="D323" s="18" t="s">
        <v>60</v>
      </c>
      <c r="E323" s="19">
        <v>46078</v>
      </c>
      <c r="F323" s="18" t="s">
        <v>65</v>
      </c>
      <c r="G323" s="18" t="s">
        <v>56</v>
      </c>
      <c r="H323" s="17">
        <v>666511</v>
      </c>
      <c r="I323" s="18" t="s">
        <v>19</v>
      </c>
      <c r="J323" s="20">
        <v>3</v>
      </c>
    </row>
    <row r="324" spans="1:10" ht="15" customHeight="1" x14ac:dyDescent="0.75">
      <c r="A324" s="18" t="s">
        <v>72</v>
      </c>
      <c r="B324" s="19">
        <v>46076</v>
      </c>
      <c r="C324" s="17">
        <v>9</v>
      </c>
      <c r="D324" s="18" t="s">
        <v>60</v>
      </c>
      <c r="E324" s="19">
        <v>46078</v>
      </c>
      <c r="F324" s="18" t="s">
        <v>65</v>
      </c>
      <c r="G324" s="18" t="s">
        <v>56</v>
      </c>
      <c r="H324" s="17">
        <v>666517</v>
      </c>
      <c r="I324" s="18" t="s">
        <v>25</v>
      </c>
      <c r="J324" s="20">
        <v>17</v>
      </c>
    </row>
    <row r="325" spans="1:10" ht="15" customHeight="1" x14ac:dyDescent="0.75">
      <c r="A325" s="18" t="s">
        <v>72</v>
      </c>
      <c r="B325" s="19">
        <v>46076</v>
      </c>
      <c r="C325" s="17">
        <v>9</v>
      </c>
      <c r="D325" s="18" t="s">
        <v>60</v>
      </c>
      <c r="E325" s="19">
        <v>46078</v>
      </c>
      <c r="F325" s="18" t="s">
        <v>57</v>
      </c>
      <c r="G325" s="18" t="s">
        <v>58</v>
      </c>
      <c r="H325" s="17">
        <v>666501</v>
      </c>
      <c r="I325" s="18" t="s">
        <v>5</v>
      </c>
      <c r="J325" s="20">
        <v>33</v>
      </c>
    </row>
    <row r="326" spans="1:10" ht="15" customHeight="1" x14ac:dyDescent="0.75">
      <c r="A326" s="18" t="s">
        <v>72</v>
      </c>
      <c r="B326" s="19">
        <v>46076</v>
      </c>
      <c r="C326" s="17">
        <v>9</v>
      </c>
      <c r="D326" s="18" t="s">
        <v>60</v>
      </c>
      <c r="E326" s="19">
        <v>46078</v>
      </c>
      <c r="F326" s="18" t="s">
        <v>57</v>
      </c>
      <c r="G326" s="18" t="s">
        <v>58</v>
      </c>
      <c r="H326" s="17">
        <v>666502</v>
      </c>
      <c r="I326" s="18" t="s">
        <v>7</v>
      </c>
      <c r="J326" s="20">
        <v>49</v>
      </c>
    </row>
    <row r="327" spans="1:10" ht="15" customHeight="1" x14ac:dyDescent="0.75">
      <c r="A327" s="18" t="s">
        <v>72</v>
      </c>
      <c r="B327" s="19">
        <v>46076</v>
      </c>
      <c r="C327" s="17">
        <v>9</v>
      </c>
      <c r="D327" s="18" t="s">
        <v>60</v>
      </c>
      <c r="E327" s="19">
        <v>46078</v>
      </c>
      <c r="F327" s="18" t="s">
        <v>57</v>
      </c>
      <c r="G327" s="18" t="s">
        <v>58</v>
      </c>
      <c r="H327" s="17">
        <v>666506</v>
      </c>
      <c r="I327" s="18" t="s">
        <v>11</v>
      </c>
      <c r="J327" s="20">
        <v>4</v>
      </c>
    </row>
    <row r="328" spans="1:10" ht="15" customHeight="1" x14ac:dyDescent="0.75">
      <c r="A328" s="18" t="s">
        <v>72</v>
      </c>
      <c r="B328" s="19">
        <v>46076</v>
      </c>
      <c r="C328" s="17">
        <v>9</v>
      </c>
      <c r="D328" s="18" t="s">
        <v>60</v>
      </c>
      <c r="E328" s="19">
        <v>46078</v>
      </c>
      <c r="F328" s="18" t="s">
        <v>57</v>
      </c>
      <c r="G328" s="18" t="s">
        <v>58</v>
      </c>
      <c r="H328" s="17">
        <v>666541</v>
      </c>
      <c r="I328" s="18" t="s">
        <v>41</v>
      </c>
      <c r="J328" s="20">
        <v>40</v>
      </c>
    </row>
    <row r="329" spans="1:10" ht="15" customHeight="1" x14ac:dyDescent="0.75">
      <c r="A329" s="18" t="s">
        <v>72</v>
      </c>
      <c r="B329" s="19">
        <v>46076</v>
      </c>
      <c r="C329" s="17">
        <v>9</v>
      </c>
      <c r="D329" s="18" t="s">
        <v>62</v>
      </c>
      <c r="E329" s="19">
        <v>46079</v>
      </c>
      <c r="F329" s="18" t="s">
        <v>65</v>
      </c>
      <c r="G329" s="18" t="s">
        <v>56</v>
      </c>
      <c r="H329" s="17">
        <v>666507</v>
      </c>
      <c r="I329" s="18" t="s">
        <v>13</v>
      </c>
      <c r="J329" s="20">
        <v>6</v>
      </c>
    </row>
    <row r="330" spans="1:10" ht="15" customHeight="1" x14ac:dyDescent="0.75">
      <c r="A330" s="18" t="s">
        <v>72</v>
      </c>
      <c r="B330" s="19">
        <v>46076</v>
      </c>
      <c r="C330" s="17">
        <v>9</v>
      </c>
      <c r="D330" s="18" t="s">
        <v>62</v>
      </c>
      <c r="E330" s="19">
        <v>46079</v>
      </c>
      <c r="F330" s="18" t="s">
        <v>65</v>
      </c>
      <c r="G330" s="18" t="s">
        <v>56</v>
      </c>
      <c r="H330" s="17">
        <v>666509</v>
      </c>
      <c r="I330" s="18" t="s">
        <v>15</v>
      </c>
      <c r="J330" s="20">
        <v>29</v>
      </c>
    </row>
    <row r="331" spans="1:10" ht="15" customHeight="1" x14ac:dyDescent="0.75">
      <c r="A331" s="18" t="s">
        <v>72</v>
      </c>
      <c r="B331" s="19">
        <v>46076</v>
      </c>
      <c r="C331" s="17">
        <v>9</v>
      </c>
      <c r="D331" s="18" t="s">
        <v>62</v>
      </c>
      <c r="E331" s="19">
        <v>46079</v>
      </c>
      <c r="F331" s="18" t="s">
        <v>65</v>
      </c>
      <c r="G331" s="18" t="s">
        <v>56</v>
      </c>
      <c r="H331" s="17">
        <v>666521</v>
      </c>
      <c r="I331" s="18" t="s">
        <v>31</v>
      </c>
      <c r="J331" s="20">
        <v>4</v>
      </c>
    </row>
    <row r="332" spans="1:10" ht="15" customHeight="1" x14ac:dyDescent="0.75">
      <c r="A332" s="18" t="s">
        <v>72</v>
      </c>
      <c r="B332" s="19">
        <v>46076</v>
      </c>
      <c r="C332" s="17">
        <v>9</v>
      </c>
      <c r="D332" s="18" t="s">
        <v>62</v>
      </c>
      <c r="E332" s="19">
        <v>46079</v>
      </c>
      <c r="F332" s="18" t="s">
        <v>57</v>
      </c>
      <c r="G332" s="18" t="s">
        <v>58</v>
      </c>
      <c r="H332" s="17">
        <v>666501</v>
      </c>
      <c r="I332" s="18" t="s">
        <v>5</v>
      </c>
      <c r="J332" s="20">
        <v>33</v>
      </c>
    </row>
    <row r="333" spans="1:10" ht="15" customHeight="1" x14ac:dyDescent="0.75">
      <c r="A333" s="18" t="s">
        <v>72</v>
      </c>
      <c r="B333" s="19">
        <v>46076</v>
      </c>
      <c r="C333" s="17">
        <v>9</v>
      </c>
      <c r="D333" s="18" t="s">
        <v>62</v>
      </c>
      <c r="E333" s="19">
        <v>46079</v>
      </c>
      <c r="F333" s="18" t="s">
        <v>57</v>
      </c>
      <c r="G333" s="18" t="s">
        <v>58</v>
      </c>
      <c r="H333" s="17">
        <v>666502</v>
      </c>
      <c r="I333" s="18" t="s">
        <v>7</v>
      </c>
      <c r="J333" s="20">
        <v>11</v>
      </c>
    </row>
    <row r="334" spans="1:10" ht="15" customHeight="1" x14ac:dyDescent="0.75">
      <c r="A334" s="18" t="s">
        <v>72</v>
      </c>
      <c r="B334" s="19">
        <v>46076</v>
      </c>
      <c r="C334" s="17">
        <v>9</v>
      </c>
      <c r="D334" s="18" t="s">
        <v>62</v>
      </c>
      <c r="E334" s="19">
        <v>46079</v>
      </c>
      <c r="F334" s="18" t="s">
        <v>57</v>
      </c>
      <c r="G334" s="18" t="s">
        <v>58</v>
      </c>
      <c r="H334" s="17">
        <v>666506</v>
      </c>
      <c r="I334" s="18" t="s">
        <v>11</v>
      </c>
      <c r="J334" s="20">
        <v>4</v>
      </c>
    </row>
    <row r="335" spans="1:10" ht="15" customHeight="1" x14ac:dyDescent="0.75">
      <c r="A335" s="18" t="s">
        <v>72</v>
      </c>
      <c r="B335" s="19">
        <v>46076</v>
      </c>
      <c r="C335" s="17">
        <v>9</v>
      </c>
      <c r="D335" s="18" t="s">
        <v>62</v>
      </c>
      <c r="E335" s="19">
        <v>46079</v>
      </c>
      <c r="F335" s="18" t="s">
        <v>57</v>
      </c>
      <c r="G335" s="18" t="s">
        <v>58</v>
      </c>
      <c r="H335" s="17">
        <v>666541</v>
      </c>
      <c r="I335" s="18" t="s">
        <v>41</v>
      </c>
      <c r="J335" s="20">
        <v>93</v>
      </c>
    </row>
    <row r="336" spans="1:10" ht="15" customHeight="1" x14ac:dyDescent="0.75">
      <c r="A336" s="18" t="s">
        <v>72</v>
      </c>
      <c r="B336" s="19">
        <v>46076</v>
      </c>
      <c r="C336" s="17">
        <v>9</v>
      </c>
      <c r="D336" s="18" t="s">
        <v>62</v>
      </c>
      <c r="E336" s="19">
        <v>46079</v>
      </c>
      <c r="F336" s="18" t="s">
        <v>55</v>
      </c>
      <c r="G336" s="18" t="s">
        <v>66</v>
      </c>
      <c r="H336" s="17">
        <v>666501</v>
      </c>
      <c r="I336" s="18" t="s">
        <v>5</v>
      </c>
      <c r="J336" s="20">
        <v>18</v>
      </c>
    </row>
    <row r="337" spans="1:10" ht="15" customHeight="1" x14ac:dyDescent="0.75">
      <c r="A337" s="18" t="s">
        <v>72</v>
      </c>
      <c r="B337" s="19">
        <v>46076</v>
      </c>
      <c r="C337" s="17">
        <v>9</v>
      </c>
      <c r="D337" s="18" t="s">
        <v>62</v>
      </c>
      <c r="E337" s="19">
        <v>46079</v>
      </c>
      <c r="F337" s="18" t="s">
        <v>55</v>
      </c>
      <c r="G337" s="18" t="s">
        <v>66</v>
      </c>
      <c r="H337" s="17">
        <v>666502</v>
      </c>
      <c r="I337" s="18" t="s">
        <v>7</v>
      </c>
      <c r="J337" s="20">
        <v>10</v>
      </c>
    </row>
    <row r="338" spans="1:10" ht="15" customHeight="1" x14ac:dyDescent="0.75">
      <c r="A338" s="18" t="s">
        <v>72</v>
      </c>
      <c r="B338" s="19">
        <v>46076</v>
      </c>
      <c r="C338" s="17">
        <v>9</v>
      </c>
      <c r="D338" s="18" t="s">
        <v>62</v>
      </c>
      <c r="E338" s="19">
        <v>46079</v>
      </c>
      <c r="F338" s="18" t="s">
        <v>55</v>
      </c>
      <c r="G338" s="18" t="s">
        <v>66</v>
      </c>
      <c r="H338" s="17">
        <v>666505</v>
      </c>
      <c r="I338" s="18" t="s">
        <v>9</v>
      </c>
      <c r="J338" s="20">
        <v>14</v>
      </c>
    </row>
    <row r="339" spans="1:10" ht="15" customHeight="1" x14ac:dyDescent="0.75">
      <c r="A339" s="18" t="s">
        <v>72</v>
      </c>
      <c r="B339" s="19">
        <v>46076</v>
      </c>
      <c r="C339" s="17">
        <v>9</v>
      </c>
      <c r="D339" s="18" t="s">
        <v>62</v>
      </c>
      <c r="E339" s="19">
        <v>46079</v>
      </c>
      <c r="F339" s="18" t="s">
        <v>55</v>
      </c>
      <c r="G339" s="18" t="s">
        <v>66</v>
      </c>
      <c r="H339" s="17">
        <v>666516</v>
      </c>
      <c r="I339" s="18" t="s">
        <v>23</v>
      </c>
      <c r="J339" s="20">
        <v>13</v>
      </c>
    </row>
    <row r="340" spans="1:10" ht="15" customHeight="1" x14ac:dyDescent="0.75">
      <c r="A340" s="18" t="s">
        <v>72</v>
      </c>
      <c r="B340" s="19">
        <v>46076</v>
      </c>
      <c r="C340" s="17">
        <v>9</v>
      </c>
      <c r="D340" s="18" t="s">
        <v>62</v>
      </c>
      <c r="E340" s="19">
        <v>46079</v>
      </c>
      <c r="F340" s="18" t="s">
        <v>55</v>
      </c>
      <c r="G340" s="18" t="s">
        <v>66</v>
      </c>
      <c r="H340" s="17">
        <v>666519</v>
      </c>
      <c r="I340" s="18" t="s">
        <v>29</v>
      </c>
      <c r="J340" s="20">
        <v>2</v>
      </c>
    </row>
    <row r="341" spans="1:10" ht="15" customHeight="1" x14ac:dyDescent="0.75">
      <c r="A341" s="18" t="s">
        <v>72</v>
      </c>
      <c r="B341" s="19">
        <v>46076</v>
      </c>
      <c r="C341" s="17">
        <v>9</v>
      </c>
      <c r="D341" s="18" t="s">
        <v>62</v>
      </c>
      <c r="E341" s="19">
        <v>46079</v>
      </c>
      <c r="F341" s="18" t="s">
        <v>55</v>
      </c>
      <c r="G341" s="18" t="s">
        <v>66</v>
      </c>
      <c r="H341" s="17">
        <v>666530</v>
      </c>
      <c r="I341" s="18" t="s">
        <v>37</v>
      </c>
      <c r="J341" s="20">
        <v>3</v>
      </c>
    </row>
    <row r="342" spans="1:10" ht="15" customHeight="1" x14ac:dyDescent="0.75">
      <c r="A342" s="18" t="s">
        <v>72</v>
      </c>
      <c r="B342" s="19">
        <v>46076</v>
      </c>
      <c r="C342" s="17">
        <v>9</v>
      </c>
      <c r="D342" s="18" t="s">
        <v>63</v>
      </c>
      <c r="E342" s="19">
        <v>46080</v>
      </c>
      <c r="F342" s="18" t="s">
        <v>65</v>
      </c>
      <c r="G342" s="18" t="s">
        <v>56</v>
      </c>
      <c r="H342" s="17">
        <v>666507</v>
      </c>
      <c r="I342" s="18" t="s">
        <v>13</v>
      </c>
      <c r="J342" s="20">
        <v>4</v>
      </c>
    </row>
    <row r="343" spans="1:10" ht="15" customHeight="1" x14ac:dyDescent="0.75">
      <c r="A343" s="18" t="s">
        <v>72</v>
      </c>
      <c r="B343" s="19">
        <v>46076</v>
      </c>
      <c r="C343" s="17">
        <v>9</v>
      </c>
      <c r="D343" s="18" t="s">
        <v>63</v>
      </c>
      <c r="E343" s="19">
        <v>46080</v>
      </c>
      <c r="F343" s="18" t="s">
        <v>65</v>
      </c>
      <c r="G343" s="18" t="s">
        <v>56</v>
      </c>
      <c r="H343" s="17">
        <v>666509</v>
      </c>
      <c r="I343" s="18" t="s">
        <v>15</v>
      </c>
      <c r="J343" s="20">
        <v>8</v>
      </c>
    </row>
    <row r="344" spans="1:10" ht="15" customHeight="1" x14ac:dyDescent="0.75">
      <c r="A344" s="18" t="s">
        <v>72</v>
      </c>
      <c r="B344" s="19">
        <v>46076</v>
      </c>
      <c r="C344" s="17">
        <v>9</v>
      </c>
      <c r="D344" s="18" t="s">
        <v>63</v>
      </c>
      <c r="E344" s="19">
        <v>46080</v>
      </c>
      <c r="F344" s="18" t="s">
        <v>65</v>
      </c>
      <c r="G344" s="18" t="s">
        <v>56</v>
      </c>
      <c r="H344" s="17">
        <v>666521</v>
      </c>
      <c r="I344" s="18" t="s">
        <v>31</v>
      </c>
      <c r="J344" s="20">
        <v>5</v>
      </c>
    </row>
    <row r="345" spans="1:10" ht="15" customHeight="1" x14ac:dyDescent="0.75">
      <c r="A345" s="18" t="s">
        <v>72</v>
      </c>
      <c r="B345" s="19">
        <v>46076</v>
      </c>
      <c r="C345" s="17">
        <v>9</v>
      </c>
      <c r="D345" s="18" t="s">
        <v>63</v>
      </c>
      <c r="E345" s="19">
        <v>46080</v>
      </c>
      <c r="F345" s="18" t="s">
        <v>65</v>
      </c>
      <c r="G345" s="18" t="s">
        <v>56</v>
      </c>
      <c r="H345" s="17">
        <v>666536</v>
      </c>
      <c r="I345" s="18" t="s">
        <v>43</v>
      </c>
      <c r="J345" s="20">
        <v>6</v>
      </c>
    </row>
    <row r="346" spans="1:10" ht="15" customHeight="1" x14ac:dyDescent="0.75">
      <c r="A346" s="18" t="s">
        <v>72</v>
      </c>
      <c r="B346" s="19">
        <v>46076</v>
      </c>
      <c r="C346" s="17">
        <v>9</v>
      </c>
      <c r="D346" s="18" t="s">
        <v>63</v>
      </c>
      <c r="E346" s="19">
        <v>46080</v>
      </c>
      <c r="F346" s="18" t="s">
        <v>57</v>
      </c>
      <c r="G346" s="18" t="s">
        <v>58</v>
      </c>
      <c r="H346" s="17">
        <v>666501</v>
      </c>
      <c r="I346" s="18" t="s">
        <v>5</v>
      </c>
      <c r="J346" s="20">
        <v>66</v>
      </c>
    </row>
    <row r="347" spans="1:10" ht="15" customHeight="1" x14ac:dyDescent="0.75">
      <c r="A347" s="18" t="s">
        <v>72</v>
      </c>
      <c r="B347" s="19">
        <v>46076</v>
      </c>
      <c r="C347" s="17">
        <v>9</v>
      </c>
      <c r="D347" s="18" t="s">
        <v>63</v>
      </c>
      <c r="E347" s="19">
        <v>46080</v>
      </c>
      <c r="F347" s="18" t="s">
        <v>57</v>
      </c>
      <c r="G347" s="18" t="s">
        <v>58</v>
      </c>
      <c r="H347" s="17">
        <v>666502</v>
      </c>
      <c r="I347" s="18" t="s">
        <v>7</v>
      </c>
      <c r="J347" s="20">
        <v>39</v>
      </c>
    </row>
    <row r="348" spans="1:10" ht="15" customHeight="1" x14ac:dyDescent="0.75">
      <c r="A348" s="18" t="s">
        <v>72</v>
      </c>
      <c r="B348" s="19">
        <v>46076</v>
      </c>
      <c r="C348" s="17">
        <v>9</v>
      </c>
      <c r="D348" s="18" t="s">
        <v>63</v>
      </c>
      <c r="E348" s="19">
        <v>46080</v>
      </c>
      <c r="F348" s="18" t="s">
        <v>57</v>
      </c>
      <c r="G348" s="18" t="s">
        <v>58</v>
      </c>
      <c r="H348" s="17">
        <v>666506</v>
      </c>
      <c r="I348" s="18" t="s">
        <v>11</v>
      </c>
      <c r="J348" s="20">
        <v>32</v>
      </c>
    </row>
    <row r="349" spans="1:10" ht="15" customHeight="1" x14ac:dyDescent="0.75">
      <c r="A349" s="18" t="s">
        <v>72</v>
      </c>
      <c r="B349" s="19">
        <v>46076</v>
      </c>
      <c r="C349" s="17">
        <v>9</v>
      </c>
      <c r="D349" s="18" t="s">
        <v>63</v>
      </c>
      <c r="E349" s="19">
        <v>46080</v>
      </c>
      <c r="F349" s="18" t="s">
        <v>57</v>
      </c>
      <c r="G349" s="18" t="s">
        <v>58</v>
      </c>
      <c r="H349" s="17">
        <v>666541</v>
      </c>
      <c r="I349" s="18" t="s">
        <v>41</v>
      </c>
      <c r="J349" s="20">
        <v>19</v>
      </c>
    </row>
    <row r="350" spans="1:10" ht="15" customHeight="1" x14ac:dyDescent="0.75">
      <c r="A350" s="18" t="s">
        <v>73</v>
      </c>
      <c r="B350" s="19">
        <v>46083</v>
      </c>
      <c r="C350" s="17">
        <v>10</v>
      </c>
      <c r="D350" s="18" t="s">
        <v>54</v>
      </c>
      <c r="E350" s="19">
        <v>46083</v>
      </c>
      <c r="F350" s="18" t="s">
        <v>65</v>
      </c>
      <c r="G350" s="18" t="s">
        <v>56</v>
      </c>
      <c r="H350" s="17">
        <v>666507</v>
      </c>
      <c r="I350" s="18" t="s">
        <v>13</v>
      </c>
      <c r="J350" s="20">
        <v>6</v>
      </c>
    </row>
    <row r="351" spans="1:10" ht="15" customHeight="1" x14ac:dyDescent="0.75">
      <c r="A351" s="18" t="s">
        <v>73</v>
      </c>
      <c r="B351" s="19">
        <v>46083</v>
      </c>
      <c r="C351" s="17">
        <v>10</v>
      </c>
      <c r="D351" s="18" t="s">
        <v>54</v>
      </c>
      <c r="E351" s="19">
        <v>46083</v>
      </c>
      <c r="F351" s="18" t="s">
        <v>65</v>
      </c>
      <c r="G351" s="18" t="s">
        <v>56</v>
      </c>
      <c r="H351" s="17">
        <v>666509</v>
      </c>
      <c r="I351" s="18" t="s">
        <v>15</v>
      </c>
      <c r="J351" s="20">
        <v>9</v>
      </c>
    </row>
    <row r="352" spans="1:10" ht="15" customHeight="1" x14ac:dyDescent="0.75">
      <c r="A352" s="18" t="s">
        <v>73</v>
      </c>
      <c r="B352" s="19">
        <v>46083</v>
      </c>
      <c r="C352" s="17">
        <v>10</v>
      </c>
      <c r="D352" s="18" t="s">
        <v>54</v>
      </c>
      <c r="E352" s="19">
        <v>46083</v>
      </c>
      <c r="F352" s="18" t="s">
        <v>65</v>
      </c>
      <c r="G352" s="18" t="s">
        <v>56</v>
      </c>
      <c r="H352" s="17">
        <v>666521</v>
      </c>
      <c r="I352" s="18" t="s">
        <v>31</v>
      </c>
      <c r="J352" s="20">
        <v>6</v>
      </c>
    </row>
    <row r="353" spans="1:10" ht="15" customHeight="1" x14ac:dyDescent="0.75">
      <c r="A353" s="18" t="s">
        <v>73</v>
      </c>
      <c r="B353" s="19">
        <v>46083</v>
      </c>
      <c r="C353" s="17">
        <v>10</v>
      </c>
      <c r="D353" s="18" t="s">
        <v>54</v>
      </c>
      <c r="E353" s="19">
        <v>46083</v>
      </c>
      <c r="F353" s="18" t="s">
        <v>57</v>
      </c>
      <c r="G353" s="18" t="s">
        <v>58</v>
      </c>
      <c r="H353" s="17">
        <v>666501</v>
      </c>
      <c r="I353" s="18" t="s">
        <v>5</v>
      </c>
      <c r="J353" s="20">
        <v>81</v>
      </c>
    </row>
    <row r="354" spans="1:10" ht="15" customHeight="1" x14ac:dyDescent="0.75">
      <c r="A354" s="18" t="s">
        <v>73</v>
      </c>
      <c r="B354" s="19">
        <v>46083</v>
      </c>
      <c r="C354" s="17">
        <v>10</v>
      </c>
      <c r="D354" s="18" t="s">
        <v>54</v>
      </c>
      <c r="E354" s="19">
        <v>46083</v>
      </c>
      <c r="F354" s="18" t="s">
        <v>57</v>
      </c>
      <c r="G354" s="18" t="s">
        <v>58</v>
      </c>
      <c r="H354" s="17">
        <v>666502</v>
      </c>
      <c r="I354" s="18" t="s">
        <v>7</v>
      </c>
      <c r="J354" s="20">
        <v>8</v>
      </c>
    </row>
    <row r="355" spans="1:10" ht="15" customHeight="1" x14ac:dyDescent="0.75">
      <c r="A355" s="18" t="s">
        <v>73</v>
      </c>
      <c r="B355" s="19">
        <v>46083</v>
      </c>
      <c r="C355" s="17">
        <v>10</v>
      </c>
      <c r="D355" s="18" t="s">
        <v>54</v>
      </c>
      <c r="E355" s="19">
        <v>46083</v>
      </c>
      <c r="F355" s="18" t="s">
        <v>57</v>
      </c>
      <c r="G355" s="18" t="s">
        <v>58</v>
      </c>
      <c r="H355" s="17">
        <v>666506</v>
      </c>
      <c r="I355" s="18" t="s">
        <v>11</v>
      </c>
      <c r="J355" s="20">
        <v>66</v>
      </c>
    </row>
    <row r="356" spans="1:10" ht="15" customHeight="1" x14ac:dyDescent="0.75">
      <c r="A356" s="18" t="s">
        <v>73</v>
      </c>
      <c r="B356" s="19">
        <v>46083</v>
      </c>
      <c r="C356" s="17">
        <v>10</v>
      </c>
      <c r="D356" s="18" t="s">
        <v>54</v>
      </c>
      <c r="E356" s="19">
        <v>46083</v>
      </c>
      <c r="F356" s="18" t="s">
        <v>55</v>
      </c>
      <c r="G356" s="18" t="s">
        <v>66</v>
      </c>
      <c r="H356" s="17">
        <v>666502</v>
      </c>
      <c r="I356" s="18" t="s">
        <v>7</v>
      </c>
      <c r="J356" s="20">
        <v>37</v>
      </c>
    </row>
    <row r="357" spans="1:10" ht="15" customHeight="1" x14ac:dyDescent="0.75">
      <c r="A357" s="18" t="s">
        <v>73</v>
      </c>
      <c r="B357" s="19">
        <v>46083</v>
      </c>
      <c r="C357" s="17">
        <v>10</v>
      </c>
      <c r="D357" s="18" t="s">
        <v>59</v>
      </c>
      <c r="E357" s="19">
        <v>46084</v>
      </c>
      <c r="F357" s="18" t="s">
        <v>57</v>
      </c>
      <c r="G357" s="18" t="s">
        <v>58</v>
      </c>
      <c r="H357" s="17">
        <v>666501</v>
      </c>
      <c r="I357" s="18" t="s">
        <v>5</v>
      </c>
      <c r="J357" s="20">
        <v>120</v>
      </c>
    </row>
    <row r="358" spans="1:10" ht="15" customHeight="1" x14ac:dyDescent="0.75">
      <c r="A358" s="18" t="s">
        <v>73</v>
      </c>
      <c r="B358" s="19">
        <v>46083</v>
      </c>
      <c r="C358" s="17">
        <v>10</v>
      </c>
      <c r="D358" s="18" t="s">
        <v>59</v>
      </c>
      <c r="E358" s="19">
        <v>46084</v>
      </c>
      <c r="F358" s="18" t="s">
        <v>57</v>
      </c>
      <c r="G358" s="18" t="s">
        <v>58</v>
      </c>
      <c r="H358" s="17">
        <v>666502</v>
      </c>
      <c r="I358" s="18" t="s">
        <v>7</v>
      </c>
      <c r="J358" s="20">
        <v>43</v>
      </c>
    </row>
    <row r="359" spans="1:10" ht="15" customHeight="1" x14ac:dyDescent="0.75">
      <c r="A359" s="18" t="s">
        <v>73</v>
      </c>
      <c r="B359" s="19">
        <v>46083</v>
      </c>
      <c r="C359" s="17">
        <v>10</v>
      </c>
      <c r="D359" s="18" t="s">
        <v>59</v>
      </c>
      <c r="E359" s="19">
        <v>46084</v>
      </c>
      <c r="F359" s="18" t="s">
        <v>57</v>
      </c>
      <c r="G359" s="18" t="s">
        <v>58</v>
      </c>
      <c r="H359" s="17">
        <v>666506</v>
      </c>
      <c r="I359" s="18" t="s">
        <v>11</v>
      </c>
      <c r="J359" s="20">
        <v>73</v>
      </c>
    </row>
    <row r="360" spans="1:10" ht="15" customHeight="1" x14ac:dyDescent="0.75">
      <c r="A360" s="18" t="s">
        <v>73</v>
      </c>
      <c r="B360" s="19">
        <v>46083</v>
      </c>
      <c r="C360" s="17">
        <v>10</v>
      </c>
      <c r="D360" s="18" t="s">
        <v>60</v>
      </c>
      <c r="E360" s="19">
        <v>46085</v>
      </c>
      <c r="F360" s="18" t="s">
        <v>65</v>
      </c>
      <c r="G360" s="18" t="s">
        <v>56</v>
      </c>
      <c r="H360" s="17">
        <v>666521</v>
      </c>
      <c r="I360" s="18" t="s">
        <v>31</v>
      </c>
      <c r="J360" s="20">
        <v>20</v>
      </c>
    </row>
    <row r="361" spans="1:10" ht="15" customHeight="1" x14ac:dyDescent="0.75">
      <c r="A361" s="18" t="s">
        <v>73</v>
      </c>
      <c r="B361" s="19">
        <v>46083</v>
      </c>
      <c r="C361" s="17">
        <v>10</v>
      </c>
      <c r="D361" s="18" t="s">
        <v>60</v>
      </c>
      <c r="E361" s="19">
        <v>46085</v>
      </c>
      <c r="F361" s="18" t="s">
        <v>65</v>
      </c>
      <c r="G361" s="18" t="s">
        <v>56</v>
      </c>
      <c r="H361" s="17">
        <v>666536</v>
      </c>
      <c r="I361" s="18" t="s">
        <v>43</v>
      </c>
      <c r="J361" s="20">
        <v>2</v>
      </c>
    </row>
    <row r="362" spans="1:10" ht="15" customHeight="1" x14ac:dyDescent="0.75">
      <c r="A362" s="18" t="s">
        <v>73</v>
      </c>
      <c r="B362" s="19">
        <v>46083</v>
      </c>
      <c r="C362" s="17">
        <v>10</v>
      </c>
      <c r="D362" s="18" t="s">
        <v>60</v>
      </c>
      <c r="E362" s="19">
        <v>46085</v>
      </c>
      <c r="F362" s="18" t="s">
        <v>57</v>
      </c>
      <c r="G362" s="18" t="s">
        <v>58</v>
      </c>
      <c r="H362" s="17">
        <v>666502</v>
      </c>
      <c r="I362" s="18" t="s">
        <v>7</v>
      </c>
      <c r="J362" s="20">
        <v>47</v>
      </c>
    </row>
    <row r="363" spans="1:10" ht="15" customHeight="1" x14ac:dyDescent="0.75">
      <c r="A363" s="18" t="s">
        <v>73</v>
      </c>
      <c r="B363" s="19">
        <v>46083</v>
      </c>
      <c r="C363" s="17">
        <v>10</v>
      </c>
      <c r="D363" s="18" t="s">
        <v>60</v>
      </c>
      <c r="E363" s="19">
        <v>46085</v>
      </c>
      <c r="F363" s="18" t="s">
        <v>57</v>
      </c>
      <c r="G363" s="18" t="s">
        <v>58</v>
      </c>
      <c r="H363" s="17">
        <v>666506</v>
      </c>
      <c r="I363" s="18" t="s">
        <v>11</v>
      </c>
      <c r="J363" s="20">
        <v>14</v>
      </c>
    </row>
    <row r="364" spans="1:10" ht="15" customHeight="1" x14ac:dyDescent="0.75">
      <c r="A364" s="18" t="s">
        <v>73</v>
      </c>
      <c r="B364" s="19">
        <v>46083</v>
      </c>
      <c r="C364" s="17">
        <v>10</v>
      </c>
      <c r="D364" s="18" t="s">
        <v>60</v>
      </c>
      <c r="E364" s="19">
        <v>46085</v>
      </c>
      <c r="F364" s="18" t="s">
        <v>57</v>
      </c>
      <c r="G364" s="18" t="s">
        <v>58</v>
      </c>
      <c r="H364" s="17">
        <v>666541</v>
      </c>
      <c r="I364" s="18" t="s">
        <v>41</v>
      </c>
      <c r="J364" s="20">
        <v>56</v>
      </c>
    </row>
    <row r="365" spans="1:10" ht="15" customHeight="1" x14ac:dyDescent="0.75">
      <c r="A365" s="18" t="s">
        <v>73</v>
      </c>
      <c r="B365" s="19">
        <v>46083</v>
      </c>
      <c r="C365" s="17">
        <v>10</v>
      </c>
      <c r="D365" s="18" t="s">
        <v>62</v>
      </c>
      <c r="E365" s="19">
        <v>46086</v>
      </c>
      <c r="F365" s="18" t="s">
        <v>65</v>
      </c>
      <c r="G365" s="18" t="s">
        <v>56</v>
      </c>
      <c r="H365" s="17">
        <v>666507</v>
      </c>
      <c r="I365" s="18" t="s">
        <v>13</v>
      </c>
      <c r="J365" s="20">
        <v>10</v>
      </c>
    </row>
    <row r="366" spans="1:10" ht="15" customHeight="1" x14ac:dyDescent="0.75">
      <c r="A366" s="18" t="s">
        <v>73</v>
      </c>
      <c r="B366" s="19">
        <v>46083</v>
      </c>
      <c r="C366" s="17">
        <v>10</v>
      </c>
      <c r="D366" s="18" t="s">
        <v>62</v>
      </c>
      <c r="E366" s="19">
        <v>46086</v>
      </c>
      <c r="F366" s="18" t="s">
        <v>65</v>
      </c>
      <c r="G366" s="18" t="s">
        <v>56</v>
      </c>
      <c r="H366" s="17">
        <v>666521</v>
      </c>
      <c r="I366" s="18" t="s">
        <v>31</v>
      </c>
      <c r="J366" s="20">
        <v>10</v>
      </c>
    </row>
    <row r="367" spans="1:10" ht="15" customHeight="1" x14ac:dyDescent="0.75">
      <c r="A367" s="18" t="s">
        <v>73</v>
      </c>
      <c r="B367" s="19">
        <v>46083</v>
      </c>
      <c r="C367" s="17">
        <v>10</v>
      </c>
      <c r="D367" s="18" t="s">
        <v>62</v>
      </c>
      <c r="E367" s="19">
        <v>46086</v>
      </c>
      <c r="F367" s="18" t="s">
        <v>57</v>
      </c>
      <c r="G367" s="18" t="s">
        <v>58</v>
      </c>
      <c r="H367" s="17">
        <v>666502</v>
      </c>
      <c r="I367" s="18" t="s">
        <v>7</v>
      </c>
      <c r="J367" s="20">
        <v>25</v>
      </c>
    </row>
    <row r="368" spans="1:10" ht="15" customHeight="1" x14ac:dyDescent="0.75">
      <c r="A368" s="18" t="s">
        <v>73</v>
      </c>
      <c r="B368" s="19">
        <v>46083</v>
      </c>
      <c r="C368" s="17">
        <v>10</v>
      </c>
      <c r="D368" s="18" t="s">
        <v>62</v>
      </c>
      <c r="E368" s="19">
        <v>46086</v>
      </c>
      <c r="F368" s="18" t="s">
        <v>57</v>
      </c>
      <c r="G368" s="18" t="s">
        <v>58</v>
      </c>
      <c r="H368" s="17">
        <v>666541</v>
      </c>
      <c r="I368" s="18" t="s">
        <v>41</v>
      </c>
      <c r="J368" s="20">
        <v>82</v>
      </c>
    </row>
    <row r="369" spans="1:10" ht="15" customHeight="1" x14ac:dyDescent="0.75">
      <c r="A369" s="18" t="s">
        <v>73</v>
      </c>
      <c r="B369" s="19">
        <v>46083</v>
      </c>
      <c r="C369" s="17">
        <v>10</v>
      </c>
      <c r="D369" s="18" t="s">
        <v>62</v>
      </c>
      <c r="E369" s="19">
        <v>46086</v>
      </c>
      <c r="F369" s="18" t="s">
        <v>55</v>
      </c>
      <c r="G369" s="18" t="s">
        <v>66</v>
      </c>
      <c r="H369" s="17">
        <v>666502</v>
      </c>
      <c r="I369" s="18" t="s">
        <v>7</v>
      </c>
      <c r="J369" s="20">
        <v>3</v>
      </c>
    </row>
    <row r="370" spans="1:10" ht="15" customHeight="1" x14ac:dyDescent="0.75">
      <c r="A370" s="18" t="s">
        <v>73</v>
      </c>
      <c r="B370" s="19">
        <v>46083</v>
      </c>
      <c r="C370" s="17">
        <v>10</v>
      </c>
      <c r="D370" s="18" t="s">
        <v>63</v>
      </c>
      <c r="E370" s="19">
        <v>46087</v>
      </c>
      <c r="F370" s="18" t="s">
        <v>65</v>
      </c>
      <c r="G370" s="18" t="s">
        <v>56</v>
      </c>
      <c r="H370" s="17">
        <v>666507</v>
      </c>
      <c r="I370" s="18" t="s">
        <v>13</v>
      </c>
      <c r="J370" s="20">
        <v>11</v>
      </c>
    </row>
    <row r="371" spans="1:10" ht="15" customHeight="1" x14ac:dyDescent="0.75">
      <c r="A371" s="18" t="s">
        <v>73</v>
      </c>
      <c r="B371" s="19">
        <v>46083</v>
      </c>
      <c r="C371" s="17">
        <v>10</v>
      </c>
      <c r="D371" s="18" t="s">
        <v>63</v>
      </c>
      <c r="E371" s="19">
        <v>46087</v>
      </c>
      <c r="F371" s="18" t="s">
        <v>65</v>
      </c>
      <c r="G371" s="18" t="s">
        <v>56</v>
      </c>
      <c r="H371" s="17">
        <v>666511</v>
      </c>
      <c r="I371" s="18" t="s">
        <v>19</v>
      </c>
      <c r="J371" s="20">
        <v>4</v>
      </c>
    </row>
    <row r="372" spans="1:10" ht="15" customHeight="1" x14ac:dyDescent="0.75">
      <c r="A372" s="18" t="s">
        <v>73</v>
      </c>
      <c r="B372" s="19">
        <v>46083</v>
      </c>
      <c r="C372" s="17">
        <v>10</v>
      </c>
      <c r="D372" s="18" t="s">
        <v>63</v>
      </c>
      <c r="E372" s="19">
        <v>46087</v>
      </c>
      <c r="F372" s="18" t="s">
        <v>65</v>
      </c>
      <c r="G372" s="18" t="s">
        <v>56</v>
      </c>
      <c r="H372" s="17">
        <v>666521</v>
      </c>
      <c r="I372" s="18" t="s">
        <v>31</v>
      </c>
      <c r="J372" s="20">
        <v>9</v>
      </c>
    </row>
    <row r="373" spans="1:10" ht="15" customHeight="1" x14ac:dyDescent="0.75">
      <c r="A373" s="18" t="s">
        <v>73</v>
      </c>
      <c r="B373" s="19">
        <v>46083</v>
      </c>
      <c r="C373" s="17">
        <v>10</v>
      </c>
      <c r="D373" s="18" t="s">
        <v>63</v>
      </c>
      <c r="E373" s="19">
        <v>46087</v>
      </c>
      <c r="F373" s="18" t="s">
        <v>57</v>
      </c>
      <c r="G373" s="18" t="s">
        <v>58</v>
      </c>
      <c r="H373" s="17">
        <v>666502</v>
      </c>
      <c r="I373" s="18" t="s">
        <v>7</v>
      </c>
      <c r="J373" s="20">
        <v>26</v>
      </c>
    </row>
    <row r="374" spans="1:10" ht="15" customHeight="1" x14ac:dyDescent="0.75">
      <c r="A374" s="18" t="s">
        <v>73</v>
      </c>
      <c r="B374" s="19">
        <v>46083</v>
      </c>
      <c r="C374" s="17">
        <v>10</v>
      </c>
      <c r="D374" s="18" t="s">
        <v>63</v>
      </c>
      <c r="E374" s="19">
        <v>46087</v>
      </c>
      <c r="F374" s="18" t="s">
        <v>57</v>
      </c>
      <c r="G374" s="18" t="s">
        <v>58</v>
      </c>
      <c r="H374" s="17">
        <v>666541</v>
      </c>
      <c r="I374" s="18" t="s">
        <v>41</v>
      </c>
      <c r="J374" s="20">
        <v>57</v>
      </c>
    </row>
    <row r="375" spans="1:10" ht="15" customHeight="1" x14ac:dyDescent="0.75">
      <c r="A375" s="18" t="s">
        <v>74</v>
      </c>
      <c r="B375" s="19">
        <v>46090</v>
      </c>
      <c r="C375" s="17">
        <v>11</v>
      </c>
      <c r="D375" s="18" t="s">
        <v>54</v>
      </c>
      <c r="E375" s="19">
        <v>46090</v>
      </c>
      <c r="F375" s="18" t="s">
        <v>65</v>
      </c>
      <c r="G375" s="18" t="s">
        <v>56</v>
      </c>
      <c r="H375" s="17">
        <v>666501</v>
      </c>
      <c r="I375" s="18" t="s">
        <v>5</v>
      </c>
      <c r="J375" s="20">
        <v>6</v>
      </c>
    </row>
    <row r="376" spans="1:10" ht="15" customHeight="1" x14ac:dyDescent="0.75">
      <c r="A376" s="18" t="s">
        <v>74</v>
      </c>
      <c r="B376" s="19">
        <v>46090</v>
      </c>
      <c r="C376" s="17">
        <v>11</v>
      </c>
      <c r="D376" s="18" t="s">
        <v>54</v>
      </c>
      <c r="E376" s="19">
        <v>46090</v>
      </c>
      <c r="F376" s="18" t="s">
        <v>65</v>
      </c>
      <c r="G376" s="18" t="s">
        <v>56</v>
      </c>
      <c r="H376" s="17">
        <v>666505</v>
      </c>
      <c r="I376" s="18" t="s">
        <v>9</v>
      </c>
      <c r="J376" s="20">
        <v>20</v>
      </c>
    </row>
    <row r="377" spans="1:10" ht="15" customHeight="1" x14ac:dyDescent="0.75">
      <c r="A377" s="18" t="s">
        <v>74</v>
      </c>
      <c r="B377" s="19">
        <v>46090</v>
      </c>
      <c r="C377" s="17">
        <v>11</v>
      </c>
      <c r="D377" s="18" t="s">
        <v>54</v>
      </c>
      <c r="E377" s="19">
        <v>46090</v>
      </c>
      <c r="F377" s="18" t="s">
        <v>65</v>
      </c>
      <c r="G377" s="18" t="s">
        <v>56</v>
      </c>
      <c r="H377" s="17">
        <v>666509</v>
      </c>
      <c r="I377" s="18" t="s">
        <v>15</v>
      </c>
      <c r="J377" s="20">
        <v>10</v>
      </c>
    </row>
    <row r="378" spans="1:10" ht="15" customHeight="1" x14ac:dyDescent="0.75">
      <c r="A378" s="18" t="s">
        <v>74</v>
      </c>
      <c r="B378" s="19">
        <v>46090</v>
      </c>
      <c r="C378" s="17">
        <v>11</v>
      </c>
      <c r="D378" s="18" t="s">
        <v>54</v>
      </c>
      <c r="E378" s="19">
        <v>46090</v>
      </c>
      <c r="F378" s="18" t="s">
        <v>65</v>
      </c>
      <c r="G378" s="18" t="s">
        <v>56</v>
      </c>
      <c r="H378" s="17">
        <v>666516</v>
      </c>
      <c r="I378" s="18" t="s">
        <v>23</v>
      </c>
      <c r="J378" s="20">
        <v>18</v>
      </c>
    </row>
    <row r="379" spans="1:10" ht="15" customHeight="1" x14ac:dyDescent="0.75">
      <c r="A379" s="18" t="s">
        <v>74</v>
      </c>
      <c r="B379" s="19">
        <v>46090</v>
      </c>
      <c r="C379" s="17">
        <v>11</v>
      </c>
      <c r="D379" s="18" t="s">
        <v>54</v>
      </c>
      <c r="E379" s="19">
        <v>46090</v>
      </c>
      <c r="F379" s="18" t="s">
        <v>65</v>
      </c>
      <c r="G379" s="18" t="s">
        <v>56</v>
      </c>
      <c r="H379" s="17">
        <v>666517</v>
      </c>
      <c r="I379" s="18" t="s">
        <v>25</v>
      </c>
      <c r="J379" s="20">
        <v>18</v>
      </c>
    </row>
    <row r="380" spans="1:10" ht="15" customHeight="1" x14ac:dyDescent="0.75">
      <c r="A380" s="18" t="s">
        <v>74</v>
      </c>
      <c r="B380" s="19">
        <v>46090</v>
      </c>
      <c r="C380" s="17">
        <v>11</v>
      </c>
      <c r="D380" s="18" t="s">
        <v>54</v>
      </c>
      <c r="E380" s="19">
        <v>46090</v>
      </c>
      <c r="F380" s="18" t="s">
        <v>65</v>
      </c>
      <c r="G380" s="18" t="s">
        <v>56</v>
      </c>
      <c r="H380" s="17">
        <v>666519</v>
      </c>
      <c r="I380" s="18" t="s">
        <v>29</v>
      </c>
      <c r="J380" s="20">
        <v>18</v>
      </c>
    </row>
    <row r="381" spans="1:10" ht="15" customHeight="1" x14ac:dyDescent="0.75">
      <c r="A381" s="18" t="s">
        <v>74</v>
      </c>
      <c r="B381" s="19">
        <v>46090</v>
      </c>
      <c r="C381" s="17">
        <v>11</v>
      </c>
      <c r="D381" s="18" t="s">
        <v>54</v>
      </c>
      <c r="E381" s="19">
        <v>46090</v>
      </c>
      <c r="F381" s="18" t="s">
        <v>65</v>
      </c>
      <c r="G381" s="18" t="s">
        <v>56</v>
      </c>
      <c r="H381" s="17">
        <v>666522</v>
      </c>
      <c r="I381" s="18" t="s">
        <v>33</v>
      </c>
      <c r="J381" s="20">
        <v>15</v>
      </c>
    </row>
    <row r="382" spans="1:10" ht="15" customHeight="1" x14ac:dyDescent="0.75">
      <c r="A382" s="18" t="s">
        <v>74</v>
      </c>
      <c r="B382" s="19">
        <v>46090</v>
      </c>
      <c r="C382" s="17">
        <v>11</v>
      </c>
      <c r="D382" s="18" t="s">
        <v>54</v>
      </c>
      <c r="E382" s="19">
        <v>46090</v>
      </c>
      <c r="F382" s="18" t="s">
        <v>65</v>
      </c>
      <c r="G382" s="18" t="s">
        <v>56</v>
      </c>
      <c r="H382" s="17">
        <v>666531</v>
      </c>
      <c r="I382" s="18" t="s">
        <v>39</v>
      </c>
      <c r="J382" s="20">
        <v>2</v>
      </c>
    </row>
    <row r="383" spans="1:10" ht="15" customHeight="1" x14ac:dyDescent="0.75">
      <c r="A383" s="18" t="s">
        <v>74</v>
      </c>
      <c r="B383" s="19">
        <v>46090</v>
      </c>
      <c r="C383" s="17">
        <v>11</v>
      </c>
      <c r="D383" s="18" t="s">
        <v>54</v>
      </c>
      <c r="E383" s="19">
        <v>46090</v>
      </c>
      <c r="F383" s="18" t="s">
        <v>57</v>
      </c>
      <c r="G383" s="18" t="s">
        <v>58</v>
      </c>
      <c r="H383" s="17">
        <v>666502</v>
      </c>
      <c r="I383" s="18" t="s">
        <v>7</v>
      </c>
      <c r="J383" s="20">
        <v>28</v>
      </c>
    </row>
    <row r="384" spans="1:10" ht="15" customHeight="1" x14ac:dyDescent="0.75">
      <c r="A384" s="18" t="s">
        <v>74</v>
      </c>
      <c r="B384" s="19">
        <v>46090</v>
      </c>
      <c r="C384" s="17">
        <v>11</v>
      </c>
      <c r="D384" s="18" t="s">
        <v>54</v>
      </c>
      <c r="E384" s="19">
        <v>46090</v>
      </c>
      <c r="F384" s="18" t="s">
        <v>57</v>
      </c>
      <c r="G384" s="18" t="s">
        <v>58</v>
      </c>
      <c r="H384" s="17">
        <v>666506</v>
      </c>
      <c r="I384" s="18" t="s">
        <v>11</v>
      </c>
      <c r="J384" s="20">
        <v>9</v>
      </c>
    </row>
    <row r="385" spans="1:10" ht="15" customHeight="1" x14ac:dyDescent="0.75">
      <c r="A385" s="18" t="s">
        <v>74</v>
      </c>
      <c r="B385" s="19">
        <v>46090</v>
      </c>
      <c r="C385" s="17">
        <v>11</v>
      </c>
      <c r="D385" s="18" t="s">
        <v>54</v>
      </c>
      <c r="E385" s="19">
        <v>46090</v>
      </c>
      <c r="F385" s="18" t="s">
        <v>57</v>
      </c>
      <c r="G385" s="18" t="s">
        <v>58</v>
      </c>
      <c r="H385" s="17">
        <v>666522</v>
      </c>
      <c r="I385" s="18" t="s">
        <v>33</v>
      </c>
      <c r="J385" s="20">
        <v>20</v>
      </c>
    </row>
    <row r="386" spans="1:10" ht="15" customHeight="1" x14ac:dyDescent="0.75">
      <c r="A386" s="18" t="s">
        <v>74</v>
      </c>
      <c r="B386" s="19">
        <v>46090</v>
      </c>
      <c r="C386" s="17">
        <v>11</v>
      </c>
      <c r="D386" s="18" t="s">
        <v>54</v>
      </c>
      <c r="E386" s="19">
        <v>46090</v>
      </c>
      <c r="F386" s="18" t="s">
        <v>57</v>
      </c>
      <c r="G386" s="18" t="s">
        <v>58</v>
      </c>
      <c r="H386" s="17">
        <v>666523</v>
      </c>
      <c r="I386" s="18" t="s">
        <v>35</v>
      </c>
      <c r="J386" s="20">
        <v>8</v>
      </c>
    </row>
    <row r="387" spans="1:10" ht="15" customHeight="1" x14ac:dyDescent="0.75">
      <c r="A387" s="18" t="s">
        <v>74</v>
      </c>
      <c r="B387" s="19">
        <v>46090</v>
      </c>
      <c r="C387" s="17">
        <v>11</v>
      </c>
      <c r="D387" s="18" t="s">
        <v>54</v>
      </c>
      <c r="E387" s="19">
        <v>46090</v>
      </c>
      <c r="F387" s="18" t="s">
        <v>57</v>
      </c>
      <c r="G387" s="18" t="s">
        <v>58</v>
      </c>
      <c r="H387" s="17">
        <v>666541</v>
      </c>
      <c r="I387" s="18" t="s">
        <v>41</v>
      </c>
      <c r="J387" s="20">
        <v>61</v>
      </c>
    </row>
    <row r="388" spans="1:10" ht="15" customHeight="1" x14ac:dyDescent="0.75">
      <c r="A388" s="18" t="s">
        <v>74</v>
      </c>
      <c r="B388" s="19">
        <v>46090</v>
      </c>
      <c r="C388" s="17">
        <v>11</v>
      </c>
      <c r="D388" s="18" t="s">
        <v>59</v>
      </c>
      <c r="E388" s="19">
        <v>46091</v>
      </c>
      <c r="F388" s="18" t="s">
        <v>57</v>
      </c>
      <c r="G388" s="18" t="s">
        <v>58</v>
      </c>
      <c r="H388" s="17">
        <v>666502</v>
      </c>
      <c r="I388" s="18" t="s">
        <v>7</v>
      </c>
      <c r="J388" s="20">
        <v>32</v>
      </c>
    </row>
    <row r="389" spans="1:10" ht="15" customHeight="1" x14ac:dyDescent="0.75">
      <c r="A389" s="18" t="s">
        <v>74</v>
      </c>
      <c r="B389" s="19">
        <v>46090</v>
      </c>
      <c r="C389" s="17">
        <v>11</v>
      </c>
      <c r="D389" s="18" t="s">
        <v>59</v>
      </c>
      <c r="E389" s="19">
        <v>46091</v>
      </c>
      <c r="F389" s="18" t="s">
        <v>57</v>
      </c>
      <c r="G389" s="18" t="s">
        <v>58</v>
      </c>
      <c r="H389" s="17">
        <v>666506</v>
      </c>
      <c r="I389" s="18" t="s">
        <v>11</v>
      </c>
      <c r="J389" s="20">
        <v>12</v>
      </c>
    </row>
    <row r="390" spans="1:10" ht="15" customHeight="1" x14ac:dyDescent="0.75">
      <c r="A390" s="18" t="s">
        <v>74</v>
      </c>
      <c r="B390" s="19">
        <v>46090</v>
      </c>
      <c r="C390" s="17">
        <v>11</v>
      </c>
      <c r="D390" s="18" t="s">
        <v>59</v>
      </c>
      <c r="E390" s="19">
        <v>46091</v>
      </c>
      <c r="F390" s="18" t="s">
        <v>57</v>
      </c>
      <c r="G390" s="18" t="s">
        <v>58</v>
      </c>
      <c r="H390" s="17">
        <v>666541</v>
      </c>
      <c r="I390" s="18" t="s">
        <v>41</v>
      </c>
      <c r="J390" s="20">
        <v>78</v>
      </c>
    </row>
    <row r="391" spans="1:10" ht="15" customHeight="1" x14ac:dyDescent="0.75">
      <c r="A391" s="18" t="s">
        <v>74</v>
      </c>
      <c r="B391" s="19">
        <v>46090</v>
      </c>
      <c r="C391" s="17">
        <v>11</v>
      </c>
      <c r="D391" s="18" t="s">
        <v>60</v>
      </c>
      <c r="E391" s="19">
        <v>46092</v>
      </c>
      <c r="F391" s="18" t="s">
        <v>65</v>
      </c>
      <c r="G391" s="18" t="s">
        <v>56</v>
      </c>
      <c r="H391" s="17">
        <v>666501</v>
      </c>
      <c r="I391" s="18" t="s">
        <v>5</v>
      </c>
      <c r="J391" s="20">
        <v>12</v>
      </c>
    </row>
    <row r="392" spans="1:10" ht="15" customHeight="1" x14ac:dyDescent="0.75">
      <c r="A392" s="18" t="s">
        <v>74</v>
      </c>
      <c r="B392" s="19">
        <v>46090</v>
      </c>
      <c r="C392" s="17">
        <v>11</v>
      </c>
      <c r="D392" s="18" t="s">
        <v>60</v>
      </c>
      <c r="E392" s="19">
        <v>46092</v>
      </c>
      <c r="F392" s="18" t="s">
        <v>65</v>
      </c>
      <c r="G392" s="18" t="s">
        <v>56</v>
      </c>
      <c r="H392" s="17">
        <v>666507</v>
      </c>
      <c r="I392" s="18" t="s">
        <v>13</v>
      </c>
      <c r="J392" s="20">
        <v>12</v>
      </c>
    </row>
    <row r="393" spans="1:10" ht="15" customHeight="1" x14ac:dyDescent="0.75">
      <c r="A393" s="18" t="s">
        <v>74</v>
      </c>
      <c r="B393" s="19">
        <v>46090</v>
      </c>
      <c r="C393" s="17">
        <v>11</v>
      </c>
      <c r="D393" s="18" t="s">
        <v>60</v>
      </c>
      <c r="E393" s="19">
        <v>46092</v>
      </c>
      <c r="F393" s="18" t="s">
        <v>65</v>
      </c>
      <c r="G393" s="18" t="s">
        <v>56</v>
      </c>
      <c r="H393" s="17">
        <v>666509</v>
      </c>
      <c r="I393" s="18" t="s">
        <v>15</v>
      </c>
      <c r="J393" s="20">
        <v>20</v>
      </c>
    </row>
    <row r="394" spans="1:10" ht="15" customHeight="1" x14ac:dyDescent="0.75">
      <c r="A394" s="18" t="s">
        <v>74</v>
      </c>
      <c r="B394" s="19">
        <v>46090</v>
      </c>
      <c r="C394" s="17">
        <v>11</v>
      </c>
      <c r="D394" s="18" t="s">
        <v>60</v>
      </c>
      <c r="E394" s="19">
        <v>46092</v>
      </c>
      <c r="F394" s="18" t="s">
        <v>65</v>
      </c>
      <c r="G394" s="18" t="s">
        <v>56</v>
      </c>
      <c r="H394" s="17">
        <v>666516</v>
      </c>
      <c r="I394" s="18" t="s">
        <v>23</v>
      </c>
      <c r="J394" s="20">
        <v>16</v>
      </c>
    </row>
    <row r="395" spans="1:10" ht="15" customHeight="1" x14ac:dyDescent="0.75">
      <c r="A395" s="18" t="s">
        <v>74</v>
      </c>
      <c r="B395" s="19">
        <v>46090</v>
      </c>
      <c r="C395" s="17">
        <v>11</v>
      </c>
      <c r="D395" s="18" t="s">
        <v>60</v>
      </c>
      <c r="E395" s="19">
        <v>46092</v>
      </c>
      <c r="F395" s="18" t="s">
        <v>65</v>
      </c>
      <c r="G395" s="18" t="s">
        <v>56</v>
      </c>
      <c r="H395" s="17">
        <v>666517</v>
      </c>
      <c r="I395" s="18" t="s">
        <v>25</v>
      </c>
      <c r="J395" s="20">
        <v>16</v>
      </c>
    </row>
    <row r="396" spans="1:10" ht="15" customHeight="1" x14ac:dyDescent="0.75">
      <c r="A396" s="18" t="s">
        <v>74</v>
      </c>
      <c r="B396" s="19">
        <v>46090</v>
      </c>
      <c r="C396" s="17">
        <v>11</v>
      </c>
      <c r="D396" s="18" t="s">
        <v>60</v>
      </c>
      <c r="E396" s="19">
        <v>46092</v>
      </c>
      <c r="F396" s="18" t="s">
        <v>65</v>
      </c>
      <c r="G396" s="18" t="s">
        <v>56</v>
      </c>
      <c r="H396" s="17">
        <v>666519</v>
      </c>
      <c r="I396" s="18" t="s">
        <v>29</v>
      </c>
      <c r="J396" s="20">
        <v>15</v>
      </c>
    </row>
    <row r="397" spans="1:10" ht="15" customHeight="1" x14ac:dyDescent="0.75">
      <c r="A397" s="18" t="s">
        <v>74</v>
      </c>
      <c r="B397" s="19">
        <v>46090</v>
      </c>
      <c r="C397" s="17">
        <v>11</v>
      </c>
      <c r="D397" s="18" t="s">
        <v>60</v>
      </c>
      <c r="E397" s="19">
        <v>46092</v>
      </c>
      <c r="F397" s="18" t="s">
        <v>65</v>
      </c>
      <c r="G397" s="18" t="s">
        <v>56</v>
      </c>
      <c r="H397" s="17">
        <v>666521</v>
      </c>
      <c r="I397" s="18" t="s">
        <v>31</v>
      </c>
      <c r="J397" s="20">
        <v>4</v>
      </c>
    </row>
    <row r="398" spans="1:10" ht="15" customHeight="1" x14ac:dyDescent="0.75">
      <c r="A398" s="18" t="s">
        <v>74</v>
      </c>
      <c r="B398" s="19">
        <v>46090</v>
      </c>
      <c r="C398" s="17">
        <v>11</v>
      </c>
      <c r="D398" s="18" t="s">
        <v>60</v>
      </c>
      <c r="E398" s="19">
        <v>46092</v>
      </c>
      <c r="F398" s="18" t="s">
        <v>65</v>
      </c>
      <c r="G398" s="18" t="s">
        <v>56</v>
      </c>
      <c r="H398" s="17">
        <v>666522</v>
      </c>
      <c r="I398" s="18" t="s">
        <v>33</v>
      </c>
      <c r="J398" s="20">
        <v>45</v>
      </c>
    </row>
    <row r="399" spans="1:10" ht="15" customHeight="1" x14ac:dyDescent="0.75">
      <c r="A399" s="18" t="s">
        <v>74</v>
      </c>
      <c r="B399" s="19">
        <v>46090</v>
      </c>
      <c r="C399" s="17">
        <v>11</v>
      </c>
      <c r="D399" s="18" t="s">
        <v>60</v>
      </c>
      <c r="E399" s="19">
        <v>46092</v>
      </c>
      <c r="F399" s="18" t="s">
        <v>65</v>
      </c>
      <c r="G399" s="18" t="s">
        <v>56</v>
      </c>
      <c r="H399" s="17">
        <v>666531</v>
      </c>
      <c r="I399" s="18" t="s">
        <v>39</v>
      </c>
      <c r="J399" s="20">
        <v>9</v>
      </c>
    </row>
    <row r="400" spans="1:10" ht="15" customHeight="1" x14ac:dyDescent="0.75">
      <c r="A400" s="18" t="s">
        <v>74</v>
      </c>
      <c r="B400" s="19">
        <v>46090</v>
      </c>
      <c r="C400" s="17">
        <v>11</v>
      </c>
      <c r="D400" s="18" t="s">
        <v>60</v>
      </c>
      <c r="E400" s="19">
        <v>46092</v>
      </c>
      <c r="F400" s="18" t="s">
        <v>65</v>
      </c>
      <c r="G400" s="18" t="s">
        <v>56</v>
      </c>
      <c r="H400" s="17">
        <v>666536</v>
      </c>
      <c r="I400" s="18" t="s">
        <v>43</v>
      </c>
      <c r="J400" s="20">
        <v>4</v>
      </c>
    </row>
    <row r="401" spans="1:10" ht="15" customHeight="1" x14ac:dyDescent="0.75">
      <c r="A401" s="18" t="s">
        <v>74</v>
      </c>
      <c r="B401" s="19">
        <v>46090</v>
      </c>
      <c r="C401" s="17">
        <v>11</v>
      </c>
      <c r="D401" s="18" t="s">
        <v>60</v>
      </c>
      <c r="E401" s="19">
        <v>46092</v>
      </c>
      <c r="F401" s="18" t="s">
        <v>57</v>
      </c>
      <c r="G401" s="18" t="s">
        <v>58</v>
      </c>
      <c r="H401" s="17">
        <v>666501</v>
      </c>
      <c r="I401" s="18" t="s">
        <v>5</v>
      </c>
      <c r="J401" s="20">
        <v>102</v>
      </c>
    </row>
    <row r="402" spans="1:10" ht="15" customHeight="1" x14ac:dyDescent="0.75">
      <c r="A402" s="18" t="s">
        <v>74</v>
      </c>
      <c r="B402" s="19">
        <v>46090</v>
      </c>
      <c r="C402" s="17">
        <v>11</v>
      </c>
      <c r="D402" s="18" t="s">
        <v>60</v>
      </c>
      <c r="E402" s="19">
        <v>46092</v>
      </c>
      <c r="F402" s="18" t="s">
        <v>57</v>
      </c>
      <c r="G402" s="18" t="s">
        <v>58</v>
      </c>
      <c r="H402" s="17">
        <v>666502</v>
      </c>
      <c r="I402" s="18" t="s">
        <v>7</v>
      </c>
      <c r="J402" s="20">
        <v>39</v>
      </c>
    </row>
    <row r="403" spans="1:10" ht="15" customHeight="1" x14ac:dyDescent="0.75">
      <c r="A403" s="18" t="s">
        <v>74</v>
      </c>
      <c r="B403" s="19">
        <v>46090</v>
      </c>
      <c r="C403" s="17">
        <v>11</v>
      </c>
      <c r="D403" s="18" t="s">
        <v>60</v>
      </c>
      <c r="E403" s="19">
        <v>46092</v>
      </c>
      <c r="F403" s="18" t="s">
        <v>57</v>
      </c>
      <c r="G403" s="18" t="s">
        <v>58</v>
      </c>
      <c r="H403" s="17">
        <v>666522</v>
      </c>
      <c r="I403" s="18" t="s">
        <v>33</v>
      </c>
      <c r="J403" s="20">
        <v>90</v>
      </c>
    </row>
    <row r="404" spans="1:10" ht="15" customHeight="1" x14ac:dyDescent="0.75">
      <c r="A404" s="18" t="s">
        <v>74</v>
      </c>
      <c r="B404" s="19">
        <v>46090</v>
      </c>
      <c r="C404" s="17">
        <v>11</v>
      </c>
      <c r="D404" s="18" t="s">
        <v>60</v>
      </c>
      <c r="E404" s="19">
        <v>46092</v>
      </c>
      <c r="F404" s="18" t="s">
        <v>57</v>
      </c>
      <c r="G404" s="18" t="s">
        <v>58</v>
      </c>
      <c r="H404" s="17">
        <v>666523</v>
      </c>
      <c r="I404" s="18" t="s">
        <v>35</v>
      </c>
      <c r="J404" s="20">
        <v>15</v>
      </c>
    </row>
    <row r="405" spans="1:10" ht="15" customHeight="1" x14ac:dyDescent="0.75">
      <c r="A405" s="18" t="s">
        <v>74</v>
      </c>
      <c r="B405" s="19">
        <v>46090</v>
      </c>
      <c r="C405" s="17">
        <v>11</v>
      </c>
      <c r="D405" s="18" t="s">
        <v>60</v>
      </c>
      <c r="E405" s="19">
        <v>46092</v>
      </c>
      <c r="F405" s="18" t="s">
        <v>57</v>
      </c>
      <c r="G405" s="18" t="s">
        <v>58</v>
      </c>
      <c r="H405" s="17">
        <v>666541</v>
      </c>
      <c r="I405" s="18" t="s">
        <v>41</v>
      </c>
      <c r="J405" s="20">
        <v>46</v>
      </c>
    </row>
    <row r="406" spans="1:10" ht="15" customHeight="1" x14ac:dyDescent="0.75">
      <c r="A406" s="18" t="s">
        <v>74</v>
      </c>
      <c r="B406" s="19">
        <v>46090</v>
      </c>
      <c r="C406" s="17">
        <v>11</v>
      </c>
      <c r="D406" s="18" t="s">
        <v>62</v>
      </c>
      <c r="E406" s="19">
        <v>46093</v>
      </c>
      <c r="F406" s="18" t="s">
        <v>65</v>
      </c>
      <c r="G406" s="18" t="s">
        <v>56</v>
      </c>
      <c r="H406" s="17">
        <v>666501</v>
      </c>
      <c r="I406" s="18" t="s">
        <v>5</v>
      </c>
      <c r="J406" s="20">
        <v>9</v>
      </c>
    </row>
    <row r="407" spans="1:10" ht="15" customHeight="1" x14ac:dyDescent="0.75">
      <c r="A407" s="18" t="s">
        <v>74</v>
      </c>
      <c r="B407" s="19">
        <v>46090</v>
      </c>
      <c r="C407" s="17">
        <v>11</v>
      </c>
      <c r="D407" s="18" t="s">
        <v>62</v>
      </c>
      <c r="E407" s="19">
        <v>46093</v>
      </c>
      <c r="F407" s="18" t="s">
        <v>65</v>
      </c>
      <c r="G407" s="18" t="s">
        <v>56</v>
      </c>
      <c r="H407" s="17">
        <v>666507</v>
      </c>
      <c r="I407" s="18" t="s">
        <v>13</v>
      </c>
      <c r="J407" s="20">
        <v>9</v>
      </c>
    </row>
    <row r="408" spans="1:10" ht="15" customHeight="1" x14ac:dyDescent="0.75">
      <c r="A408" s="18" t="s">
        <v>74</v>
      </c>
      <c r="B408" s="19">
        <v>46090</v>
      </c>
      <c r="C408" s="17">
        <v>11</v>
      </c>
      <c r="D408" s="18" t="s">
        <v>62</v>
      </c>
      <c r="E408" s="19">
        <v>46093</v>
      </c>
      <c r="F408" s="18" t="s">
        <v>65</v>
      </c>
      <c r="G408" s="18" t="s">
        <v>56</v>
      </c>
      <c r="H408" s="17">
        <v>666509</v>
      </c>
      <c r="I408" s="18" t="s">
        <v>15</v>
      </c>
      <c r="J408" s="20">
        <v>15</v>
      </c>
    </row>
    <row r="409" spans="1:10" ht="15" customHeight="1" x14ac:dyDescent="0.75">
      <c r="A409" s="18" t="s">
        <v>74</v>
      </c>
      <c r="B409" s="19">
        <v>46090</v>
      </c>
      <c r="C409" s="17">
        <v>11</v>
      </c>
      <c r="D409" s="18" t="s">
        <v>62</v>
      </c>
      <c r="E409" s="19">
        <v>46093</v>
      </c>
      <c r="F409" s="18" t="s">
        <v>65</v>
      </c>
      <c r="G409" s="18" t="s">
        <v>56</v>
      </c>
      <c r="H409" s="17">
        <v>666517</v>
      </c>
      <c r="I409" s="18" t="s">
        <v>25</v>
      </c>
      <c r="J409" s="20">
        <v>12</v>
      </c>
    </row>
    <row r="410" spans="1:10" ht="15" customHeight="1" x14ac:dyDescent="0.75">
      <c r="A410" s="18" t="s">
        <v>74</v>
      </c>
      <c r="B410" s="19">
        <v>46090</v>
      </c>
      <c r="C410" s="17">
        <v>11</v>
      </c>
      <c r="D410" s="18" t="s">
        <v>62</v>
      </c>
      <c r="E410" s="19">
        <v>46093</v>
      </c>
      <c r="F410" s="18" t="s">
        <v>65</v>
      </c>
      <c r="G410" s="18" t="s">
        <v>56</v>
      </c>
      <c r="H410" s="17">
        <v>666521</v>
      </c>
      <c r="I410" s="18" t="s">
        <v>31</v>
      </c>
      <c r="J410" s="20">
        <v>7</v>
      </c>
    </row>
    <row r="411" spans="1:10" ht="15" customHeight="1" x14ac:dyDescent="0.75">
      <c r="A411" s="18" t="s">
        <v>74</v>
      </c>
      <c r="B411" s="19">
        <v>46090</v>
      </c>
      <c r="C411" s="17">
        <v>11</v>
      </c>
      <c r="D411" s="18" t="s">
        <v>62</v>
      </c>
      <c r="E411" s="19">
        <v>46093</v>
      </c>
      <c r="F411" s="18" t="s">
        <v>65</v>
      </c>
      <c r="G411" s="18" t="s">
        <v>56</v>
      </c>
      <c r="H411" s="17">
        <v>666522</v>
      </c>
      <c r="I411" s="18" t="s">
        <v>33</v>
      </c>
      <c r="J411" s="20">
        <v>40</v>
      </c>
    </row>
    <row r="412" spans="1:10" ht="15" customHeight="1" x14ac:dyDescent="0.75">
      <c r="A412" s="18" t="s">
        <v>74</v>
      </c>
      <c r="B412" s="19">
        <v>46090</v>
      </c>
      <c r="C412" s="17">
        <v>11</v>
      </c>
      <c r="D412" s="18" t="s">
        <v>62</v>
      </c>
      <c r="E412" s="19">
        <v>46093</v>
      </c>
      <c r="F412" s="18" t="s">
        <v>65</v>
      </c>
      <c r="G412" s="18" t="s">
        <v>56</v>
      </c>
      <c r="H412" s="17">
        <v>666531</v>
      </c>
      <c r="I412" s="18" t="s">
        <v>39</v>
      </c>
      <c r="J412" s="20">
        <v>7</v>
      </c>
    </row>
    <row r="413" spans="1:10" ht="15" customHeight="1" x14ac:dyDescent="0.75">
      <c r="A413" s="18" t="s">
        <v>74</v>
      </c>
      <c r="B413" s="19">
        <v>46090</v>
      </c>
      <c r="C413" s="17">
        <v>11</v>
      </c>
      <c r="D413" s="18" t="s">
        <v>62</v>
      </c>
      <c r="E413" s="19">
        <v>46093</v>
      </c>
      <c r="F413" s="18" t="s">
        <v>57</v>
      </c>
      <c r="G413" s="18" t="s">
        <v>58</v>
      </c>
      <c r="H413" s="17">
        <v>666501</v>
      </c>
      <c r="I413" s="18" t="s">
        <v>5</v>
      </c>
      <c r="J413" s="20">
        <v>90</v>
      </c>
    </row>
    <row r="414" spans="1:10" ht="15" customHeight="1" x14ac:dyDescent="0.75">
      <c r="A414" s="18" t="s">
        <v>74</v>
      </c>
      <c r="B414" s="19">
        <v>46090</v>
      </c>
      <c r="C414" s="17">
        <v>11</v>
      </c>
      <c r="D414" s="18" t="s">
        <v>62</v>
      </c>
      <c r="E414" s="19">
        <v>46093</v>
      </c>
      <c r="F414" s="18" t="s">
        <v>57</v>
      </c>
      <c r="G414" s="18" t="s">
        <v>58</v>
      </c>
      <c r="H414" s="17">
        <v>666502</v>
      </c>
      <c r="I414" s="18" t="s">
        <v>7</v>
      </c>
      <c r="J414" s="20">
        <v>30</v>
      </c>
    </row>
    <row r="415" spans="1:10" ht="15" customHeight="1" x14ac:dyDescent="0.75">
      <c r="A415" s="18" t="s">
        <v>74</v>
      </c>
      <c r="B415" s="19">
        <v>46090</v>
      </c>
      <c r="C415" s="17">
        <v>11</v>
      </c>
      <c r="D415" s="18" t="s">
        <v>62</v>
      </c>
      <c r="E415" s="19">
        <v>46093</v>
      </c>
      <c r="F415" s="18" t="s">
        <v>57</v>
      </c>
      <c r="G415" s="18" t="s">
        <v>58</v>
      </c>
      <c r="H415" s="17">
        <v>666506</v>
      </c>
      <c r="I415" s="18" t="s">
        <v>11</v>
      </c>
      <c r="J415" s="20">
        <v>2</v>
      </c>
    </row>
    <row r="416" spans="1:10" ht="15" customHeight="1" x14ac:dyDescent="0.75">
      <c r="A416" s="18" t="s">
        <v>74</v>
      </c>
      <c r="B416" s="19">
        <v>46090</v>
      </c>
      <c r="C416" s="17">
        <v>11</v>
      </c>
      <c r="D416" s="18" t="s">
        <v>62</v>
      </c>
      <c r="E416" s="19">
        <v>46093</v>
      </c>
      <c r="F416" s="18" t="s">
        <v>57</v>
      </c>
      <c r="G416" s="18" t="s">
        <v>58</v>
      </c>
      <c r="H416" s="17">
        <v>666523</v>
      </c>
      <c r="I416" s="18" t="s">
        <v>35</v>
      </c>
      <c r="J416" s="20">
        <v>8</v>
      </c>
    </row>
    <row r="417" spans="1:10" ht="15" customHeight="1" x14ac:dyDescent="0.75">
      <c r="A417" s="18" t="s">
        <v>74</v>
      </c>
      <c r="B417" s="19">
        <v>46090</v>
      </c>
      <c r="C417" s="17">
        <v>11</v>
      </c>
      <c r="D417" s="18" t="s">
        <v>62</v>
      </c>
      <c r="E417" s="19">
        <v>46093</v>
      </c>
      <c r="F417" s="18" t="s">
        <v>57</v>
      </c>
      <c r="G417" s="18" t="s">
        <v>58</v>
      </c>
      <c r="H417" s="17">
        <v>666541</v>
      </c>
      <c r="I417" s="18" t="s">
        <v>41</v>
      </c>
      <c r="J417" s="20">
        <v>52</v>
      </c>
    </row>
    <row r="418" spans="1:10" ht="15" customHeight="1" x14ac:dyDescent="0.75">
      <c r="A418" s="18" t="s">
        <v>74</v>
      </c>
      <c r="B418" s="19">
        <v>46090</v>
      </c>
      <c r="C418" s="17">
        <v>11</v>
      </c>
      <c r="D418" s="18" t="s">
        <v>62</v>
      </c>
      <c r="E418" s="19">
        <v>46093</v>
      </c>
      <c r="F418" s="18" t="s">
        <v>55</v>
      </c>
      <c r="G418" s="18" t="s">
        <v>66</v>
      </c>
      <c r="H418" s="17">
        <v>666501</v>
      </c>
      <c r="I418" s="18" t="s">
        <v>5</v>
      </c>
      <c r="J418" s="20">
        <v>27</v>
      </c>
    </row>
    <row r="419" spans="1:10" ht="15" customHeight="1" x14ac:dyDescent="0.75">
      <c r="A419" s="18" t="s">
        <v>74</v>
      </c>
      <c r="B419" s="19">
        <v>46090</v>
      </c>
      <c r="C419" s="17">
        <v>11</v>
      </c>
      <c r="D419" s="18" t="s">
        <v>62</v>
      </c>
      <c r="E419" s="19">
        <v>46093</v>
      </c>
      <c r="F419" s="18" t="s">
        <v>55</v>
      </c>
      <c r="G419" s="18" t="s">
        <v>66</v>
      </c>
      <c r="H419" s="17">
        <v>666505</v>
      </c>
      <c r="I419" s="18" t="s">
        <v>9</v>
      </c>
      <c r="J419" s="20">
        <v>39</v>
      </c>
    </row>
    <row r="420" spans="1:10" ht="15" customHeight="1" x14ac:dyDescent="0.75">
      <c r="A420" s="18" t="s">
        <v>74</v>
      </c>
      <c r="B420" s="19">
        <v>46090</v>
      </c>
      <c r="C420" s="17">
        <v>11</v>
      </c>
      <c r="D420" s="18" t="s">
        <v>62</v>
      </c>
      <c r="E420" s="19">
        <v>46093</v>
      </c>
      <c r="F420" s="18" t="s">
        <v>55</v>
      </c>
      <c r="G420" s="18" t="s">
        <v>66</v>
      </c>
      <c r="H420" s="17">
        <v>666516</v>
      </c>
      <c r="I420" s="18" t="s">
        <v>23</v>
      </c>
      <c r="J420" s="20">
        <v>21</v>
      </c>
    </row>
    <row r="421" spans="1:10" ht="15" customHeight="1" x14ac:dyDescent="0.75">
      <c r="A421" s="18" t="s">
        <v>74</v>
      </c>
      <c r="B421" s="19">
        <v>46090</v>
      </c>
      <c r="C421" s="17">
        <v>11</v>
      </c>
      <c r="D421" s="18" t="s">
        <v>62</v>
      </c>
      <c r="E421" s="19">
        <v>46093</v>
      </c>
      <c r="F421" s="18" t="s">
        <v>55</v>
      </c>
      <c r="G421" s="18" t="s">
        <v>66</v>
      </c>
      <c r="H421" s="17">
        <v>666517</v>
      </c>
      <c r="I421" s="18" t="s">
        <v>25</v>
      </c>
      <c r="J421" s="20">
        <v>20</v>
      </c>
    </row>
    <row r="422" spans="1:10" ht="15" customHeight="1" x14ac:dyDescent="0.75">
      <c r="A422" s="18" t="s">
        <v>74</v>
      </c>
      <c r="B422" s="19">
        <v>46090</v>
      </c>
      <c r="C422" s="17">
        <v>11</v>
      </c>
      <c r="D422" s="18" t="s">
        <v>62</v>
      </c>
      <c r="E422" s="19">
        <v>46093</v>
      </c>
      <c r="F422" s="18" t="s">
        <v>55</v>
      </c>
      <c r="G422" s="18" t="s">
        <v>66</v>
      </c>
      <c r="H422" s="17">
        <v>666519</v>
      </c>
      <c r="I422" s="18" t="s">
        <v>29</v>
      </c>
      <c r="J422" s="20">
        <v>27</v>
      </c>
    </row>
    <row r="423" spans="1:10" ht="15" customHeight="1" x14ac:dyDescent="0.75">
      <c r="A423" s="18" t="s">
        <v>74</v>
      </c>
      <c r="B423" s="19">
        <v>46090</v>
      </c>
      <c r="C423" s="17">
        <v>11</v>
      </c>
      <c r="D423" s="18" t="s">
        <v>62</v>
      </c>
      <c r="E423" s="19">
        <v>46093</v>
      </c>
      <c r="F423" s="18" t="s">
        <v>55</v>
      </c>
      <c r="G423" s="18" t="s">
        <v>66</v>
      </c>
      <c r="H423" s="17">
        <v>666522</v>
      </c>
      <c r="I423" s="18" t="s">
        <v>33</v>
      </c>
      <c r="J423" s="20">
        <v>35</v>
      </c>
    </row>
    <row r="424" spans="1:10" ht="15" customHeight="1" x14ac:dyDescent="0.75">
      <c r="A424" s="18" t="s">
        <v>74</v>
      </c>
      <c r="B424" s="19">
        <v>46090</v>
      </c>
      <c r="C424" s="17">
        <v>11</v>
      </c>
      <c r="D424" s="18" t="s">
        <v>62</v>
      </c>
      <c r="E424" s="19">
        <v>46093</v>
      </c>
      <c r="F424" s="18" t="s">
        <v>55</v>
      </c>
      <c r="G424" s="18" t="s">
        <v>66</v>
      </c>
      <c r="H424" s="17">
        <v>666523</v>
      </c>
      <c r="I424" s="18" t="s">
        <v>35</v>
      </c>
      <c r="J424" s="20">
        <v>10</v>
      </c>
    </row>
    <row r="425" spans="1:10" ht="15" customHeight="1" x14ac:dyDescent="0.75">
      <c r="A425" s="18" t="s">
        <v>74</v>
      </c>
      <c r="B425" s="19">
        <v>46090</v>
      </c>
      <c r="C425" s="17">
        <v>11</v>
      </c>
      <c r="D425" s="18" t="s">
        <v>62</v>
      </c>
      <c r="E425" s="19">
        <v>46093</v>
      </c>
      <c r="F425" s="18" t="s">
        <v>55</v>
      </c>
      <c r="G425" s="18" t="s">
        <v>66</v>
      </c>
      <c r="H425" s="17">
        <v>666531</v>
      </c>
      <c r="I425" s="18" t="s">
        <v>39</v>
      </c>
      <c r="J425" s="20">
        <v>8</v>
      </c>
    </row>
    <row r="426" spans="1:10" ht="15" customHeight="1" x14ac:dyDescent="0.75">
      <c r="A426" s="18" t="s">
        <v>74</v>
      </c>
      <c r="B426" s="19">
        <v>46090</v>
      </c>
      <c r="C426" s="17">
        <v>11</v>
      </c>
      <c r="D426" s="18" t="s">
        <v>63</v>
      </c>
      <c r="E426" s="19">
        <v>46094</v>
      </c>
      <c r="F426" s="18" t="s">
        <v>65</v>
      </c>
      <c r="G426" s="18" t="s">
        <v>56</v>
      </c>
      <c r="H426" s="17">
        <v>666501</v>
      </c>
      <c r="I426" s="18" t="s">
        <v>5</v>
      </c>
      <c r="J426" s="20">
        <v>6</v>
      </c>
    </row>
    <row r="427" spans="1:10" ht="15" customHeight="1" x14ac:dyDescent="0.75">
      <c r="A427" s="18" t="s">
        <v>74</v>
      </c>
      <c r="B427" s="19">
        <v>46090</v>
      </c>
      <c r="C427" s="17">
        <v>11</v>
      </c>
      <c r="D427" s="18" t="s">
        <v>63</v>
      </c>
      <c r="E427" s="19">
        <v>46094</v>
      </c>
      <c r="F427" s="18" t="s">
        <v>65</v>
      </c>
      <c r="G427" s="18" t="s">
        <v>56</v>
      </c>
      <c r="H427" s="17">
        <v>666509</v>
      </c>
      <c r="I427" s="18" t="s">
        <v>15</v>
      </c>
      <c r="J427" s="20">
        <v>10</v>
      </c>
    </row>
    <row r="428" spans="1:10" ht="15" customHeight="1" x14ac:dyDescent="0.75">
      <c r="A428" s="18" t="s">
        <v>74</v>
      </c>
      <c r="B428" s="19">
        <v>46090</v>
      </c>
      <c r="C428" s="17">
        <v>11</v>
      </c>
      <c r="D428" s="18" t="s">
        <v>63</v>
      </c>
      <c r="E428" s="19">
        <v>46094</v>
      </c>
      <c r="F428" s="18" t="s">
        <v>65</v>
      </c>
      <c r="G428" s="18" t="s">
        <v>56</v>
      </c>
      <c r="H428" s="17">
        <v>666521</v>
      </c>
      <c r="I428" s="18" t="s">
        <v>31</v>
      </c>
      <c r="J428" s="20">
        <v>6</v>
      </c>
    </row>
    <row r="429" spans="1:10" ht="15" customHeight="1" x14ac:dyDescent="0.75">
      <c r="A429" s="18" t="s">
        <v>74</v>
      </c>
      <c r="B429" s="19">
        <v>46090</v>
      </c>
      <c r="C429" s="17">
        <v>11</v>
      </c>
      <c r="D429" s="18" t="s">
        <v>63</v>
      </c>
      <c r="E429" s="19">
        <v>46094</v>
      </c>
      <c r="F429" s="18" t="s">
        <v>65</v>
      </c>
      <c r="G429" s="18" t="s">
        <v>56</v>
      </c>
      <c r="H429" s="17">
        <v>666522</v>
      </c>
      <c r="I429" s="18" t="s">
        <v>33</v>
      </c>
      <c r="J429" s="20">
        <v>15</v>
      </c>
    </row>
    <row r="430" spans="1:10" ht="15" customHeight="1" x14ac:dyDescent="0.75">
      <c r="A430" s="18" t="s">
        <v>74</v>
      </c>
      <c r="B430" s="19">
        <v>46090</v>
      </c>
      <c r="C430" s="17">
        <v>11</v>
      </c>
      <c r="D430" s="18" t="s">
        <v>63</v>
      </c>
      <c r="E430" s="19">
        <v>46094</v>
      </c>
      <c r="F430" s="18" t="s">
        <v>57</v>
      </c>
      <c r="G430" s="18" t="s">
        <v>58</v>
      </c>
      <c r="H430" s="17">
        <v>666501</v>
      </c>
      <c r="I430" s="18" t="s">
        <v>5</v>
      </c>
      <c r="J430" s="20">
        <v>108</v>
      </c>
    </row>
    <row r="431" spans="1:10" ht="15" customHeight="1" x14ac:dyDescent="0.75">
      <c r="A431" s="18" t="s">
        <v>74</v>
      </c>
      <c r="B431" s="19">
        <v>46090</v>
      </c>
      <c r="C431" s="17">
        <v>11</v>
      </c>
      <c r="D431" s="18" t="s">
        <v>63</v>
      </c>
      <c r="E431" s="19">
        <v>46094</v>
      </c>
      <c r="F431" s="18" t="s">
        <v>57</v>
      </c>
      <c r="G431" s="18" t="s">
        <v>58</v>
      </c>
      <c r="H431" s="17">
        <v>666502</v>
      </c>
      <c r="I431" s="18" t="s">
        <v>7</v>
      </c>
      <c r="J431" s="20">
        <v>25</v>
      </c>
    </row>
    <row r="432" spans="1:10" ht="15" customHeight="1" x14ac:dyDescent="0.75">
      <c r="A432" s="18" t="s">
        <v>74</v>
      </c>
      <c r="B432" s="19">
        <v>46090</v>
      </c>
      <c r="C432" s="17">
        <v>11</v>
      </c>
      <c r="D432" s="18" t="s">
        <v>63</v>
      </c>
      <c r="E432" s="19">
        <v>46094</v>
      </c>
      <c r="F432" s="18" t="s">
        <v>57</v>
      </c>
      <c r="G432" s="18" t="s">
        <v>58</v>
      </c>
      <c r="H432" s="17">
        <v>666506</v>
      </c>
      <c r="I432" s="18" t="s">
        <v>11</v>
      </c>
      <c r="J432" s="20">
        <v>1</v>
      </c>
    </row>
    <row r="433" spans="1:10" ht="15" customHeight="1" x14ac:dyDescent="0.75">
      <c r="A433" s="18" t="s">
        <v>74</v>
      </c>
      <c r="B433" s="19">
        <v>46090</v>
      </c>
      <c r="C433" s="17">
        <v>11</v>
      </c>
      <c r="D433" s="18" t="s">
        <v>63</v>
      </c>
      <c r="E433" s="19">
        <v>46094</v>
      </c>
      <c r="F433" s="18" t="s">
        <v>57</v>
      </c>
      <c r="G433" s="18" t="s">
        <v>58</v>
      </c>
      <c r="H433" s="17">
        <v>666523</v>
      </c>
      <c r="I433" s="18" t="s">
        <v>35</v>
      </c>
      <c r="J433" s="20">
        <v>9</v>
      </c>
    </row>
    <row r="434" spans="1:10" ht="15" customHeight="1" x14ac:dyDescent="0.75">
      <c r="A434" s="18" t="s">
        <v>74</v>
      </c>
      <c r="B434" s="19">
        <v>46090</v>
      </c>
      <c r="C434" s="17">
        <v>11</v>
      </c>
      <c r="D434" s="18" t="s">
        <v>63</v>
      </c>
      <c r="E434" s="19">
        <v>46094</v>
      </c>
      <c r="F434" s="18" t="s">
        <v>57</v>
      </c>
      <c r="G434" s="18" t="s">
        <v>58</v>
      </c>
      <c r="H434" s="17">
        <v>666541</v>
      </c>
      <c r="I434" s="18" t="s">
        <v>41</v>
      </c>
      <c r="J434" s="20">
        <v>14</v>
      </c>
    </row>
    <row r="435" spans="1:10" ht="15" customHeight="1" x14ac:dyDescent="0.75">
      <c r="A435" s="18" t="s">
        <v>75</v>
      </c>
      <c r="B435" s="19">
        <v>46097</v>
      </c>
      <c r="C435" s="17">
        <v>12</v>
      </c>
      <c r="D435" s="18" t="s">
        <v>54</v>
      </c>
      <c r="E435" s="19">
        <v>46097</v>
      </c>
      <c r="F435" s="18" t="s">
        <v>57</v>
      </c>
      <c r="G435" s="18" t="s">
        <v>58</v>
      </c>
      <c r="H435" s="17">
        <v>666502</v>
      </c>
      <c r="I435" s="18" t="s">
        <v>7</v>
      </c>
      <c r="J435" s="20">
        <v>33</v>
      </c>
    </row>
    <row r="436" spans="1:10" ht="15" customHeight="1" x14ac:dyDescent="0.75">
      <c r="A436" s="18" t="s">
        <v>75</v>
      </c>
      <c r="B436" s="19">
        <v>46097</v>
      </c>
      <c r="C436" s="17">
        <v>12</v>
      </c>
      <c r="D436" s="18" t="s">
        <v>54</v>
      </c>
      <c r="E436" s="19">
        <v>46097</v>
      </c>
      <c r="F436" s="18" t="s">
        <v>57</v>
      </c>
      <c r="G436" s="18" t="s">
        <v>58</v>
      </c>
      <c r="H436" s="17">
        <v>666506</v>
      </c>
      <c r="I436" s="18" t="s">
        <v>11</v>
      </c>
      <c r="J436" s="20">
        <v>3</v>
      </c>
    </row>
    <row r="437" spans="1:10" ht="15" customHeight="1" x14ac:dyDescent="0.75">
      <c r="A437" s="18" t="s">
        <v>75</v>
      </c>
      <c r="B437" s="19">
        <v>46097</v>
      </c>
      <c r="C437" s="17">
        <v>12</v>
      </c>
      <c r="D437" s="18" t="s">
        <v>54</v>
      </c>
      <c r="E437" s="19">
        <v>46097</v>
      </c>
      <c r="F437" s="18" t="s">
        <v>57</v>
      </c>
      <c r="G437" s="18" t="s">
        <v>58</v>
      </c>
      <c r="H437" s="17">
        <v>666541</v>
      </c>
      <c r="I437" s="18" t="s">
        <v>41</v>
      </c>
      <c r="J437" s="20">
        <v>26</v>
      </c>
    </row>
    <row r="438" spans="1:10" ht="15" customHeight="1" x14ac:dyDescent="0.75">
      <c r="A438" s="18" t="s">
        <v>75</v>
      </c>
      <c r="B438" s="19">
        <v>46097</v>
      </c>
      <c r="C438" s="17">
        <v>12</v>
      </c>
      <c r="D438" s="18" t="s">
        <v>54</v>
      </c>
      <c r="E438" s="19">
        <v>46097</v>
      </c>
      <c r="F438" s="18" t="s">
        <v>55</v>
      </c>
      <c r="G438" s="18" t="s">
        <v>66</v>
      </c>
      <c r="H438" s="17">
        <v>666501</v>
      </c>
      <c r="I438" s="18" t="s">
        <v>5</v>
      </c>
      <c r="J438" s="20">
        <v>27</v>
      </c>
    </row>
    <row r="439" spans="1:10" ht="15" customHeight="1" x14ac:dyDescent="0.75">
      <c r="A439" s="18" t="s">
        <v>75</v>
      </c>
      <c r="B439" s="19">
        <v>46097</v>
      </c>
      <c r="C439" s="17">
        <v>12</v>
      </c>
      <c r="D439" s="18" t="s">
        <v>54</v>
      </c>
      <c r="E439" s="19">
        <v>46097</v>
      </c>
      <c r="F439" s="18" t="s">
        <v>55</v>
      </c>
      <c r="G439" s="18" t="s">
        <v>66</v>
      </c>
      <c r="H439" s="17">
        <v>666505</v>
      </c>
      <c r="I439" s="18" t="s">
        <v>9</v>
      </c>
      <c r="J439" s="20">
        <v>5</v>
      </c>
    </row>
    <row r="440" spans="1:10" ht="15" customHeight="1" x14ac:dyDescent="0.75">
      <c r="A440" s="18" t="s">
        <v>75</v>
      </c>
      <c r="B440" s="19">
        <v>46097</v>
      </c>
      <c r="C440" s="17">
        <v>12</v>
      </c>
      <c r="D440" s="18" t="s">
        <v>54</v>
      </c>
      <c r="E440" s="19">
        <v>46097</v>
      </c>
      <c r="F440" s="18" t="s">
        <v>55</v>
      </c>
      <c r="G440" s="18" t="s">
        <v>66</v>
      </c>
      <c r="H440" s="17">
        <v>666516</v>
      </c>
      <c r="I440" s="18" t="s">
        <v>23</v>
      </c>
      <c r="J440" s="20">
        <v>13</v>
      </c>
    </row>
    <row r="441" spans="1:10" ht="15" customHeight="1" x14ac:dyDescent="0.75">
      <c r="A441" s="18" t="s">
        <v>75</v>
      </c>
      <c r="B441" s="19">
        <v>46097</v>
      </c>
      <c r="C441" s="17">
        <v>12</v>
      </c>
      <c r="D441" s="18" t="s">
        <v>54</v>
      </c>
      <c r="E441" s="19">
        <v>46097</v>
      </c>
      <c r="F441" s="18" t="s">
        <v>55</v>
      </c>
      <c r="G441" s="18" t="s">
        <v>66</v>
      </c>
      <c r="H441" s="17">
        <v>666519</v>
      </c>
      <c r="I441" s="18" t="s">
        <v>29</v>
      </c>
      <c r="J441" s="20">
        <v>6</v>
      </c>
    </row>
    <row r="442" spans="1:10" ht="15" customHeight="1" x14ac:dyDescent="0.75">
      <c r="A442" s="18" t="s">
        <v>75</v>
      </c>
      <c r="B442" s="19">
        <v>46097</v>
      </c>
      <c r="C442" s="17">
        <v>12</v>
      </c>
      <c r="D442" s="18" t="s">
        <v>54</v>
      </c>
      <c r="E442" s="19">
        <v>46097</v>
      </c>
      <c r="F442" s="18" t="s">
        <v>55</v>
      </c>
      <c r="G442" s="18" t="s">
        <v>66</v>
      </c>
      <c r="H442" s="17">
        <v>666522</v>
      </c>
      <c r="I442" s="18" t="s">
        <v>33</v>
      </c>
      <c r="J442" s="20">
        <v>40</v>
      </c>
    </row>
    <row r="443" spans="1:10" ht="15" customHeight="1" x14ac:dyDescent="0.75">
      <c r="A443" s="18" t="s">
        <v>75</v>
      </c>
      <c r="B443" s="19">
        <v>46097</v>
      </c>
      <c r="C443" s="17">
        <v>12</v>
      </c>
      <c r="D443" s="18" t="s">
        <v>54</v>
      </c>
      <c r="E443" s="19">
        <v>46097</v>
      </c>
      <c r="F443" s="18" t="s">
        <v>55</v>
      </c>
      <c r="G443" s="18" t="s">
        <v>66</v>
      </c>
      <c r="H443" s="17">
        <v>666530</v>
      </c>
      <c r="I443" s="18" t="s">
        <v>37</v>
      </c>
      <c r="J443" s="20">
        <v>15</v>
      </c>
    </row>
    <row r="444" spans="1:10" ht="15" customHeight="1" x14ac:dyDescent="0.75">
      <c r="A444" s="18" t="s">
        <v>75</v>
      </c>
      <c r="B444" s="19">
        <v>46097</v>
      </c>
      <c r="C444" s="17">
        <v>12</v>
      </c>
      <c r="D444" s="18" t="s">
        <v>59</v>
      </c>
      <c r="E444" s="19">
        <v>46098</v>
      </c>
      <c r="F444" s="18" t="s">
        <v>57</v>
      </c>
      <c r="G444" s="18" t="s">
        <v>58</v>
      </c>
      <c r="H444" s="17">
        <v>666502</v>
      </c>
      <c r="I444" s="18" t="s">
        <v>7</v>
      </c>
      <c r="J444" s="20">
        <v>25</v>
      </c>
    </row>
    <row r="445" spans="1:10" ht="15" customHeight="1" x14ac:dyDescent="0.75">
      <c r="A445" s="18" t="s">
        <v>75</v>
      </c>
      <c r="B445" s="19">
        <v>46097</v>
      </c>
      <c r="C445" s="17">
        <v>12</v>
      </c>
      <c r="D445" s="18" t="s">
        <v>59</v>
      </c>
      <c r="E445" s="19">
        <v>46098</v>
      </c>
      <c r="F445" s="18" t="s">
        <v>57</v>
      </c>
      <c r="G445" s="18" t="s">
        <v>58</v>
      </c>
      <c r="H445" s="17">
        <v>666506</v>
      </c>
      <c r="I445" s="18" t="s">
        <v>11</v>
      </c>
      <c r="J445" s="20">
        <v>3</v>
      </c>
    </row>
    <row r="446" spans="1:10" ht="15" customHeight="1" x14ac:dyDescent="0.75">
      <c r="A446" s="18" t="s">
        <v>75</v>
      </c>
      <c r="B446" s="19">
        <v>46097</v>
      </c>
      <c r="C446" s="17">
        <v>12</v>
      </c>
      <c r="D446" s="18" t="s">
        <v>59</v>
      </c>
      <c r="E446" s="19">
        <v>46098</v>
      </c>
      <c r="F446" s="18" t="s">
        <v>57</v>
      </c>
      <c r="G446" s="18" t="s">
        <v>58</v>
      </c>
      <c r="H446" s="17">
        <v>666541</v>
      </c>
      <c r="I446" s="18" t="s">
        <v>41</v>
      </c>
      <c r="J446" s="20">
        <v>70</v>
      </c>
    </row>
    <row r="447" spans="1:10" ht="15" customHeight="1" x14ac:dyDescent="0.75">
      <c r="A447" s="18" t="s">
        <v>75</v>
      </c>
      <c r="B447" s="19">
        <v>46097</v>
      </c>
      <c r="C447" s="17">
        <v>12</v>
      </c>
      <c r="D447" s="18" t="s">
        <v>59</v>
      </c>
      <c r="E447" s="19">
        <v>46098</v>
      </c>
      <c r="F447" s="18" t="s">
        <v>55</v>
      </c>
      <c r="G447" s="18" t="s">
        <v>66</v>
      </c>
      <c r="H447" s="17">
        <v>666501</v>
      </c>
      <c r="I447" s="18" t="s">
        <v>5</v>
      </c>
      <c r="J447" s="20">
        <v>6</v>
      </c>
    </row>
    <row r="448" spans="1:10" ht="15" customHeight="1" x14ac:dyDescent="0.75">
      <c r="A448" s="18" t="s">
        <v>75</v>
      </c>
      <c r="B448" s="19">
        <v>46097</v>
      </c>
      <c r="C448" s="17">
        <v>12</v>
      </c>
      <c r="D448" s="18" t="s">
        <v>59</v>
      </c>
      <c r="E448" s="19">
        <v>46098</v>
      </c>
      <c r="F448" s="18" t="s">
        <v>55</v>
      </c>
      <c r="G448" s="18" t="s">
        <v>66</v>
      </c>
      <c r="H448" s="17">
        <v>666502</v>
      </c>
      <c r="I448" s="18" t="s">
        <v>7</v>
      </c>
      <c r="J448" s="20">
        <v>26</v>
      </c>
    </row>
    <row r="449" spans="1:10" ht="15" customHeight="1" x14ac:dyDescent="0.75">
      <c r="A449" s="18" t="s">
        <v>75</v>
      </c>
      <c r="B449" s="19">
        <v>46097</v>
      </c>
      <c r="C449" s="17">
        <v>12</v>
      </c>
      <c r="D449" s="18" t="s">
        <v>59</v>
      </c>
      <c r="E449" s="19">
        <v>46098</v>
      </c>
      <c r="F449" s="18" t="s">
        <v>55</v>
      </c>
      <c r="G449" s="18" t="s">
        <v>66</v>
      </c>
      <c r="H449" s="17">
        <v>666522</v>
      </c>
      <c r="I449" s="18" t="s">
        <v>33</v>
      </c>
      <c r="J449" s="20">
        <v>5</v>
      </c>
    </row>
    <row r="450" spans="1:10" ht="15" customHeight="1" x14ac:dyDescent="0.75">
      <c r="A450" s="18" t="s">
        <v>75</v>
      </c>
      <c r="B450" s="19">
        <v>46097</v>
      </c>
      <c r="C450" s="17">
        <v>12</v>
      </c>
      <c r="D450" s="18" t="s">
        <v>60</v>
      </c>
      <c r="E450" s="19">
        <v>46099</v>
      </c>
      <c r="F450" s="18" t="s">
        <v>65</v>
      </c>
      <c r="G450" s="18" t="s">
        <v>56</v>
      </c>
      <c r="H450" s="17">
        <v>666501</v>
      </c>
      <c r="I450" s="18" t="s">
        <v>5</v>
      </c>
      <c r="J450" s="20">
        <v>3</v>
      </c>
    </row>
    <row r="451" spans="1:10" ht="15" customHeight="1" x14ac:dyDescent="0.75">
      <c r="A451" s="18" t="s">
        <v>75</v>
      </c>
      <c r="B451" s="19">
        <v>46097</v>
      </c>
      <c r="C451" s="17">
        <v>12</v>
      </c>
      <c r="D451" s="18" t="s">
        <v>60</v>
      </c>
      <c r="E451" s="19">
        <v>46099</v>
      </c>
      <c r="F451" s="18" t="s">
        <v>65</v>
      </c>
      <c r="G451" s="18" t="s">
        <v>56</v>
      </c>
      <c r="H451" s="17">
        <v>666507</v>
      </c>
      <c r="I451" s="18" t="s">
        <v>13</v>
      </c>
      <c r="J451" s="20">
        <v>11</v>
      </c>
    </row>
    <row r="452" spans="1:10" ht="15" customHeight="1" x14ac:dyDescent="0.75">
      <c r="A452" s="18" t="s">
        <v>75</v>
      </c>
      <c r="B452" s="19">
        <v>46097</v>
      </c>
      <c r="C452" s="17">
        <v>12</v>
      </c>
      <c r="D452" s="18" t="s">
        <v>60</v>
      </c>
      <c r="E452" s="19">
        <v>46099</v>
      </c>
      <c r="F452" s="18" t="s">
        <v>65</v>
      </c>
      <c r="G452" s="18" t="s">
        <v>56</v>
      </c>
      <c r="H452" s="17">
        <v>666509</v>
      </c>
      <c r="I452" s="18" t="s">
        <v>15</v>
      </c>
      <c r="J452" s="20">
        <v>25</v>
      </c>
    </row>
    <row r="453" spans="1:10" ht="15" customHeight="1" x14ac:dyDescent="0.75">
      <c r="A453" s="18" t="s">
        <v>75</v>
      </c>
      <c r="B453" s="19">
        <v>46097</v>
      </c>
      <c r="C453" s="17">
        <v>12</v>
      </c>
      <c r="D453" s="18" t="s">
        <v>60</v>
      </c>
      <c r="E453" s="19">
        <v>46099</v>
      </c>
      <c r="F453" s="18" t="s">
        <v>65</v>
      </c>
      <c r="G453" s="18" t="s">
        <v>56</v>
      </c>
      <c r="H453" s="17">
        <v>666521</v>
      </c>
      <c r="I453" s="18" t="s">
        <v>31</v>
      </c>
      <c r="J453" s="20">
        <v>6</v>
      </c>
    </row>
    <row r="454" spans="1:10" ht="15" customHeight="1" x14ac:dyDescent="0.75">
      <c r="A454" s="18" t="s">
        <v>75</v>
      </c>
      <c r="B454" s="19">
        <v>46097</v>
      </c>
      <c r="C454" s="17">
        <v>12</v>
      </c>
      <c r="D454" s="18" t="s">
        <v>60</v>
      </c>
      <c r="E454" s="19">
        <v>46099</v>
      </c>
      <c r="F454" s="18" t="s">
        <v>65</v>
      </c>
      <c r="G454" s="18" t="s">
        <v>56</v>
      </c>
      <c r="H454" s="17">
        <v>666522</v>
      </c>
      <c r="I454" s="18" t="s">
        <v>33</v>
      </c>
      <c r="J454" s="20">
        <v>15</v>
      </c>
    </row>
    <row r="455" spans="1:10" ht="15" customHeight="1" x14ac:dyDescent="0.75">
      <c r="A455" s="18" t="s">
        <v>75</v>
      </c>
      <c r="B455" s="19">
        <v>46097</v>
      </c>
      <c r="C455" s="17">
        <v>12</v>
      </c>
      <c r="D455" s="18" t="s">
        <v>60</v>
      </c>
      <c r="E455" s="19">
        <v>46099</v>
      </c>
      <c r="F455" s="18" t="s">
        <v>65</v>
      </c>
      <c r="G455" s="18" t="s">
        <v>56</v>
      </c>
      <c r="H455" s="17">
        <v>666530</v>
      </c>
      <c r="I455" s="18" t="s">
        <v>37</v>
      </c>
      <c r="J455" s="20">
        <v>1</v>
      </c>
    </row>
    <row r="456" spans="1:10" ht="15" customHeight="1" x14ac:dyDescent="0.75">
      <c r="A456" s="18" t="s">
        <v>75</v>
      </c>
      <c r="B456" s="19">
        <v>46097</v>
      </c>
      <c r="C456" s="17">
        <v>12</v>
      </c>
      <c r="D456" s="18" t="s">
        <v>60</v>
      </c>
      <c r="E456" s="19">
        <v>46099</v>
      </c>
      <c r="F456" s="18" t="s">
        <v>57</v>
      </c>
      <c r="G456" s="18" t="s">
        <v>58</v>
      </c>
      <c r="H456" s="17">
        <v>666501</v>
      </c>
      <c r="I456" s="18" t="s">
        <v>5</v>
      </c>
      <c r="J456" s="20">
        <v>108</v>
      </c>
    </row>
    <row r="457" spans="1:10" ht="15" customHeight="1" x14ac:dyDescent="0.75">
      <c r="A457" s="18" t="s">
        <v>75</v>
      </c>
      <c r="B457" s="19">
        <v>46097</v>
      </c>
      <c r="C457" s="17">
        <v>12</v>
      </c>
      <c r="D457" s="18" t="s">
        <v>60</v>
      </c>
      <c r="E457" s="19">
        <v>46099</v>
      </c>
      <c r="F457" s="18" t="s">
        <v>57</v>
      </c>
      <c r="G457" s="18" t="s">
        <v>58</v>
      </c>
      <c r="H457" s="17">
        <v>666502</v>
      </c>
      <c r="I457" s="18" t="s">
        <v>7</v>
      </c>
      <c r="J457" s="20">
        <v>40</v>
      </c>
    </row>
    <row r="458" spans="1:10" ht="15" customHeight="1" x14ac:dyDescent="0.75">
      <c r="A458" s="18" t="s">
        <v>75</v>
      </c>
      <c r="B458" s="19">
        <v>46097</v>
      </c>
      <c r="C458" s="17">
        <v>12</v>
      </c>
      <c r="D458" s="18" t="s">
        <v>60</v>
      </c>
      <c r="E458" s="19">
        <v>46099</v>
      </c>
      <c r="F458" s="18" t="s">
        <v>57</v>
      </c>
      <c r="G458" s="18" t="s">
        <v>58</v>
      </c>
      <c r="H458" s="17">
        <v>666506</v>
      </c>
      <c r="I458" s="18" t="s">
        <v>11</v>
      </c>
      <c r="J458" s="20">
        <v>16</v>
      </c>
    </row>
    <row r="459" spans="1:10" ht="15" customHeight="1" x14ac:dyDescent="0.75">
      <c r="A459" s="18" t="s">
        <v>75</v>
      </c>
      <c r="B459" s="19">
        <v>46097</v>
      </c>
      <c r="C459" s="17">
        <v>12</v>
      </c>
      <c r="D459" s="18" t="s">
        <v>60</v>
      </c>
      <c r="E459" s="19">
        <v>46099</v>
      </c>
      <c r="F459" s="18" t="s">
        <v>57</v>
      </c>
      <c r="G459" s="18" t="s">
        <v>58</v>
      </c>
      <c r="H459" s="17">
        <v>666541</v>
      </c>
      <c r="I459" s="18" t="s">
        <v>41</v>
      </c>
      <c r="J459" s="20">
        <v>70</v>
      </c>
    </row>
    <row r="460" spans="1:10" ht="15" customHeight="1" x14ac:dyDescent="0.75">
      <c r="A460" s="18" t="s">
        <v>75</v>
      </c>
      <c r="B460" s="19">
        <v>46097</v>
      </c>
      <c r="C460" s="17">
        <v>12</v>
      </c>
      <c r="D460" s="18" t="s">
        <v>62</v>
      </c>
      <c r="E460" s="19">
        <v>46100</v>
      </c>
      <c r="F460" s="18" t="s">
        <v>65</v>
      </c>
      <c r="G460" s="18" t="s">
        <v>56</v>
      </c>
      <c r="H460" s="17">
        <v>666501</v>
      </c>
      <c r="I460" s="18" t="s">
        <v>5</v>
      </c>
      <c r="J460" s="20">
        <v>9</v>
      </c>
    </row>
    <row r="461" spans="1:10" ht="15" customHeight="1" x14ac:dyDescent="0.75">
      <c r="A461" s="18" t="s">
        <v>75</v>
      </c>
      <c r="B461" s="19">
        <v>46097</v>
      </c>
      <c r="C461" s="17">
        <v>12</v>
      </c>
      <c r="D461" s="18" t="s">
        <v>62</v>
      </c>
      <c r="E461" s="19">
        <v>46100</v>
      </c>
      <c r="F461" s="18" t="s">
        <v>65</v>
      </c>
      <c r="G461" s="18" t="s">
        <v>56</v>
      </c>
      <c r="H461" s="17">
        <v>666507</v>
      </c>
      <c r="I461" s="18" t="s">
        <v>13</v>
      </c>
      <c r="J461" s="20">
        <v>3</v>
      </c>
    </row>
    <row r="462" spans="1:10" ht="15" customHeight="1" x14ac:dyDescent="0.75">
      <c r="A462" s="18" t="s">
        <v>75</v>
      </c>
      <c r="B462" s="19">
        <v>46097</v>
      </c>
      <c r="C462" s="17">
        <v>12</v>
      </c>
      <c r="D462" s="18" t="s">
        <v>62</v>
      </c>
      <c r="E462" s="19">
        <v>46100</v>
      </c>
      <c r="F462" s="18" t="s">
        <v>65</v>
      </c>
      <c r="G462" s="18" t="s">
        <v>56</v>
      </c>
      <c r="H462" s="17">
        <v>666509</v>
      </c>
      <c r="I462" s="18" t="s">
        <v>15</v>
      </c>
      <c r="J462" s="20">
        <v>12</v>
      </c>
    </row>
    <row r="463" spans="1:10" ht="15" customHeight="1" x14ac:dyDescent="0.75">
      <c r="A463" s="18" t="s">
        <v>75</v>
      </c>
      <c r="B463" s="19">
        <v>46097</v>
      </c>
      <c r="C463" s="17">
        <v>12</v>
      </c>
      <c r="D463" s="18" t="s">
        <v>62</v>
      </c>
      <c r="E463" s="19">
        <v>46100</v>
      </c>
      <c r="F463" s="18" t="s">
        <v>65</v>
      </c>
      <c r="G463" s="18" t="s">
        <v>56</v>
      </c>
      <c r="H463" s="17">
        <v>666521</v>
      </c>
      <c r="I463" s="18" t="s">
        <v>31</v>
      </c>
      <c r="J463" s="20">
        <v>7</v>
      </c>
    </row>
    <row r="464" spans="1:10" ht="15" customHeight="1" x14ac:dyDescent="0.75">
      <c r="A464" s="18" t="s">
        <v>75</v>
      </c>
      <c r="B464" s="19">
        <v>46097</v>
      </c>
      <c r="C464" s="17">
        <v>12</v>
      </c>
      <c r="D464" s="18" t="s">
        <v>62</v>
      </c>
      <c r="E464" s="19">
        <v>46100</v>
      </c>
      <c r="F464" s="18" t="s">
        <v>65</v>
      </c>
      <c r="G464" s="18" t="s">
        <v>56</v>
      </c>
      <c r="H464" s="17">
        <v>666536</v>
      </c>
      <c r="I464" s="18" t="s">
        <v>43</v>
      </c>
      <c r="J464" s="20">
        <v>3</v>
      </c>
    </row>
    <row r="465" spans="1:10" ht="15" customHeight="1" x14ac:dyDescent="0.75">
      <c r="A465" s="18" t="s">
        <v>75</v>
      </c>
      <c r="B465" s="19">
        <v>46097</v>
      </c>
      <c r="C465" s="17">
        <v>12</v>
      </c>
      <c r="D465" s="18" t="s">
        <v>62</v>
      </c>
      <c r="E465" s="19">
        <v>46100</v>
      </c>
      <c r="F465" s="18" t="s">
        <v>57</v>
      </c>
      <c r="G465" s="18" t="s">
        <v>58</v>
      </c>
      <c r="H465" s="17">
        <v>666502</v>
      </c>
      <c r="I465" s="18" t="s">
        <v>7</v>
      </c>
      <c r="J465" s="20">
        <v>7</v>
      </c>
    </row>
    <row r="466" spans="1:10" ht="15" customHeight="1" x14ac:dyDescent="0.75">
      <c r="A466" s="18" t="s">
        <v>75</v>
      </c>
      <c r="B466" s="19">
        <v>46097</v>
      </c>
      <c r="C466" s="17">
        <v>12</v>
      </c>
      <c r="D466" s="18" t="s">
        <v>62</v>
      </c>
      <c r="E466" s="19">
        <v>46100</v>
      </c>
      <c r="F466" s="18" t="s">
        <v>57</v>
      </c>
      <c r="G466" s="18" t="s">
        <v>58</v>
      </c>
      <c r="H466" s="17">
        <v>666506</v>
      </c>
      <c r="I466" s="18" t="s">
        <v>11</v>
      </c>
      <c r="J466" s="20">
        <v>19</v>
      </c>
    </row>
    <row r="467" spans="1:10" ht="15" customHeight="1" x14ac:dyDescent="0.75">
      <c r="A467" s="18" t="s">
        <v>75</v>
      </c>
      <c r="B467" s="19">
        <v>46097</v>
      </c>
      <c r="C467" s="17">
        <v>12</v>
      </c>
      <c r="D467" s="18" t="s">
        <v>62</v>
      </c>
      <c r="E467" s="19">
        <v>46100</v>
      </c>
      <c r="F467" s="18" t="s">
        <v>57</v>
      </c>
      <c r="G467" s="18" t="s">
        <v>58</v>
      </c>
      <c r="H467" s="17">
        <v>666522</v>
      </c>
      <c r="I467" s="18" t="s">
        <v>33</v>
      </c>
      <c r="J467" s="20">
        <v>60</v>
      </c>
    </row>
    <row r="468" spans="1:10" ht="15" customHeight="1" x14ac:dyDescent="0.75">
      <c r="A468" s="18" t="s">
        <v>75</v>
      </c>
      <c r="B468" s="19">
        <v>46097</v>
      </c>
      <c r="C468" s="17">
        <v>12</v>
      </c>
      <c r="D468" s="18" t="s">
        <v>62</v>
      </c>
      <c r="E468" s="19">
        <v>46100</v>
      </c>
      <c r="F468" s="18" t="s">
        <v>57</v>
      </c>
      <c r="G468" s="18" t="s">
        <v>58</v>
      </c>
      <c r="H468" s="17">
        <v>666541</v>
      </c>
      <c r="I468" s="18" t="s">
        <v>41</v>
      </c>
      <c r="J468" s="20">
        <v>114</v>
      </c>
    </row>
    <row r="469" spans="1:10" ht="15" customHeight="1" x14ac:dyDescent="0.75">
      <c r="A469" s="18" t="s">
        <v>75</v>
      </c>
      <c r="B469" s="19">
        <v>46097</v>
      </c>
      <c r="C469" s="17">
        <v>12</v>
      </c>
      <c r="D469" s="18" t="s">
        <v>62</v>
      </c>
      <c r="E469" s="19">
        <v>46100</v>
      </c>
      <c r="F469" s="18" t="s">
        <v>55</v>
      </c>
      <c r="G469" s="18" t="s">
        <v>66</v>
      </c>
      <c r="H469" s="17">
        <v>666502</v>
      </c>
      <c r="I469" s="18" t="s">
        <v>7</v>
      </c>
      <c r="J469" s="20">
        <v>24</v>
      </c>
    </row>
    <row r="470" spans="1:10" ht="15" customHeight="1" x14ac:dyDescent="0.75">
      <c r="A470" s="18" t="s">
        <v>75</v>
      </c>
      <c r="B470" s="19">
        <v>46097</v>
      </c>
      <c r="C470" s="17">
        <v>12</v>
      </c>
      <c r="D470" s="18" t="s">
        <v>63</v>
      </c>
      <c r="E470" s="19">
        <v>46101</v>
      </c>
      <c r="F470" s="18" t="s">
        <v>65</v>
      </c>
      <c r="G470" s="18" t="s">
        <v>56</v>
      </c>
      <c r="H470" s="17">
        <v>666501</v>
      </c>
      <c r="I470" s="18" t="s">
        <v>5</v>
      </c>
      <c r="J470" s="20">
        <v>9</v>
      </c>
    </row>
    <row r="471" spans="1:10" ht="15" customHeight="1" x14ac:dyDescent="0.75">
      <c r="A471" s="18" t="s">
        <v>75</v>
      </c>
      <c r="B471" s="19">
        <v>46097</v>
      </c>
      <c r="C471" s="17">
        <v>12</v>
      </c>
      <c r="D471" s="18" t="s">
        <v>63</v>
      </c>
      <c r="E471" s="19">
        <v>46101</v>
      </c>
      <c r="F471" s="18" t="s">
        <v>65</v>
      </c>
      <c r="G471" s="18" t="s">
        <v>56</v>
      </c>
      <c r="H471" s="17">
        <v>666507</v>
      </c>
      <c r="I471" s="18" t="s">
        <v>13</v>
      </c>
      <c r="J471" s="20">
        <v>1</v>
      </c>
    </row>
    <row r="472" spans="1:10" ht="15" customHeight="1" x14ac:dyDescent="0.75">
      <c r="A472" s="18" t="s">
        <v>75</v>
      </c>
      <c r="B472" s="19">
        <v>46097</v>
      </c>
      <c r="C472" s="17">
        <v>12</v>
      </c>
      <c r="D472" s="18" t="s">
        <v>63</v>
      </c>
      <c r="E472" s="19">
        <v>46101</v>
      </c>
      <c r="F472" s="18" t="s">
        <v>65</v>
      </c>
      <c r="G472" s="18" t="s">
        <v>56</v>
      </c>
      <c r="H472" s="17">
        <v>666509</v>
      </c>
      <c r="I472" s="18" t="s">
        <v>15</v>
      </c>
      <c r="J472" s="20">
        <v>8</v>
      </c>
    </row>
    <row r="473" spans="1:10" ht="15" customHeight="1" x14ac:dyDescent="0.75">
      <c r="A473" s="18" t="s">
        <v>75</v>
      </c>
      <c r="B473" s="19">
        <v>46097</v>
      </c>
      <c r="C473" s="17">
        <v>12</v>
      </c>
      <c r="D473" s="18" t="s">
        <v>63</v>
      </c>
      <c r="E473" s="19">
        <v>46101</v>
      </c>
      <c r="F473" s="18" t="s">
        <v>65</v>
      </c>
      <c r="G473" s="18" t="s">
        <v>56</v>
      </c>
      <c r="H473" s="17">
        <v>666511</v>
      </c>
      <c r="I473" s="18" t="s">
        <v>19</v>
      </c>
      <c r="J473" s="20">
        <v>8</v>
      </c>
    </row>
    <row r="474" spans="1:10" ht="15" customHeight="1" x14ac:dyDescent="0.75">
      <c r="A474" s="18" t="s">
        <v>75</v>
      </c>
      <c r="B474" s="19">
        <v>46097</v>
      </c>
      <c r="C474" s="17">
        <v>12</v>
      </c>
      <c r="D474" s="18" t="s">
        <v>63</v>
      </c>
      <c r="E474" s="19">
        <v>46101</v>
      </c>
      <c r="F474" s="18" t="s">
        <v>65</v>
      </c>
      <c r="G474" s="18" t="s">
        <v>56</v>
      </c>
      <c r="H474" s="17">
        <v>666521</v>
      </c>
      <c r="I474" s="18" t="s">
        <v>31</v>
      </c>
      <c r="J474" s="20">
        <v>3</v>
      </c>
    </row>
    <row r="475" spans="1:10" ht="15" customHeight="1" x14ac:dyDescent="0.75">
      <c r="A475" s="18" t="s">
        <v>75</v>
      </c>
      <c r="B475" s="19">
        <v>46097</v>
      </c>
      <c r="C475" s="17">
        <v>12</v>
      </c>
      <c r="D475" s="18" t="s">
        <v>63</v>
      </c>
      <c r="E475" s="19">
        <v>46101</v>
      </c>
      <c r="F475" s="18" t="s">
        <v>65</v>
      </c>
      <c r="G475" s="18" t="s">
        <v>56</v>
      </c>
      <c r="H475" s="17">
        <v>666530</v>
      </c>
      <c r="I475" s="18" t="s">
        <v>37</v>
      </c>
      <c r="J475" s="20">
        <v>4</v>
      </c>
    </row>
    <row r="476" spans="1:10" ht="15" customHeight="1" x14ac:dyDescent="0.75">
      <c r="A476" s="18" t="s">
        <v>75</v>
      </c>
      <c r="B476" s="19">
        <v>46097</v>
      </c>
      <c r="C476" s="17">
        <v>12</v>
      </c>
      <c r="D476" s="18" t="s">
        <v>63</v>
      </c>
      <c r="E476" s="19">
        <v>46101</v>
      </c>
      <c r="F476" s="18" t="s">
        <v>57</v>
      </c>
      <c r="G476" s="18" t="s">
        <v>58</v>
      </c>
      <c r="H476" s="17">
        <v>666501</v>
      </c>
      <c r="I476" s="18" t="s">
        <v>5</v>
      </c>
      <c r="J476" s="20">
        <v>150</v>
      </c>
    </row>
    <row r="477" spans="1:10" ht="15" customHeight="1" x14ac:dyDescent="0.75">
      <c r="A477" s="18" t="s">
        <v>75</v>
      </c>
      <c r="B477" s="19">
        <v>46097</v>
      </c>
      <c r="C477" s="17">
        <v>12</v>
      </c>
      <c r="D477" s="18" t="s">
        <v>63</v>
      </c>
      <c r="E477" s="19">
        <v>46101</v>
      </c>
      <c r="F477" s="18" t="s">
        <v>57</v>
      </c>
      <c r="G477" s="18" t="s">
        <v>58</v>
      </c>
      <c r="H477" s="17">
        <v>666502</v>
      </c>
      <c r="I477" s="18" t="s">
        <v>7</v>
      </c>
      <c r="J477" s="20">
        <v>42</v>
      </c>
    </row>
    <row r="478" spans="1:10" ht="15" customHeight="1" x14ac:dyDescent="0.75">
      <c r="A478" s="18" t="s">
        <v>75</v>
      </c>
      <c r="B478" s="19">
        <v>46097</v>
      </c>
      <c r="C478" s="17">
        <v>12</v>
      </c>
      <c r="D478" s="18" t="s">
        <v>63</v>
      </c>
      <c r="E478" s="19">
        <v>46101</v>
      </c>
      <c r="F478" s="18" t="s">
        <v>57</v>
      </c>
      <c r="G478" s="18" t="s">
        <v>58</v>
      </c>
      <c r="H478" s="17">
        <v>666506</v>
      </c>
      <c r="I478" s="18" t="s">
        <v>11</v>
      </c>
      <c r="J478" s="20">
        <v>12</v>
      </c>
    </row>
    <row r="479" spans="1:10" ht="15" customHeight="1" x14ac:dyDescent="0.75">
      <c r="A479" s="18" t="s">
        <v>75</v>
      </c>
      <c r="B479" s="19">
        <v>46097</v>
      </c>
      <c r="C479" s="17">
        <v>12</v>
      </c>
      <c r="D479" s="18" t="s">
        <v>63</v>
      </c>
      <c r="E479" s="19">
        <v>46101</v>
      </c>
      <c r="F479" s="18" t="s">
        <v>57</v>
      </c>
      <c r="G479" s="18" t="s">
        <v>58</v>
      </c>
      <c r="H479" s="17">
        <v>666522</v>
      </c>
      <c r="I479" s="18" t="s">
        <v>33</v>
      </c>
      <c r="J479" s="20">
        <v>25</v>
      </c>
    </row>
    <row r="480" spans="1:10" ht="15" customHeight="1" x14ac:dyDescent="0.75">
      <c r="A480" s="18" t="s">
        <v>75</v>
      </c>
      <c r="B480" s="19">
        <v>46097</v>
      </c>
      <c r="C480" s="17">
        <v>12</v>
      </c>
      <c r="D480" s="18" t="s">
        <v>63</v>
      </c>
      <c r="E480" s="19">
        <v>46101</v>
      </c>
      <c r="F480" s="18" t="s">
        <v>57</v>
      </c>
      <c r="G480" s="18" t="s">
        <v>58</v>
      </c>
      <c r="H480" s="17">
        <v>666541</v>
      </c>
      <c r="I480" s="18" t="s">
        <v>41</v>
      </c>
      <c r="J480" s="20">
        <v>42</v>
      </c>
    </row>
    <row r="481" spans="1:10" ht="15" customHeight="1" x14ac:dyDescent="0.75">
      <c r="A481" s="18" t="s">
        <v>76</v>
      </c>
      <c r="B481" s="19">
        <v>46104</v>
      </c>
      <c r="C481" s="17">
        <v>13</v>
      </c>
      <c r="D481" s="18" t="s">
        <v>54</v>
      </c>
      <c r="E481" s="19">
        <v>46104</v>
      </c>
      <c r="F481" s="18" t="s">
        <v>57</v>
      </c>
      <c r="G481" s="18" t="s">
        <v>56</v>
      </c>
      <c r="H481" s="17">
        <v>666501</v>
      </c>
      <c r="I481" s="18" t="s">
        <v>5</v>
      </c>
      <c r="J481" s="20">
        <v>6</v>
      </c>
    </row>
    <row r="482" spans="1:10" ht="15" customHeight="1" x14ac:dyDescent="0.75">
      <c r="A482" s="18" t="s">
        <v>76</v>
      </c>
      <c r="B482" s="19">
        <v>46104</v>
      </c>
      <c r="C482" s="17">
        <v>13</v>
      </c>
      <c r="D482" s="18" t="s">
        <v>54</v>
      </c>
      <c r="E482" s="19">
        <v>46104</v>
      </c>
      <c r="F482" s="18" t="s">
        <v>57</v>
      </c>
      <c r="G482" s="18" t="s">
        <v>56</v>
      </c>
      <c r="H482" s="17">
        <v>666505</v>
      </c>
      <c r="I482" s="18" t="s">
        <v>9</v>
      </c>
      <c r="J482" s="20">
        <v>18</v>
      </c>
    </row>
    <row r="483" spans="1:10" ht="15" customHeight="1" x14ac:dyDescent="0.75">
      <c r="A483" s="18" t="s">
        <v>76</v>
      </c>
      <c r="B483" s="19">
        <v>46104</v>
      </c>
      <c r="C483" s="17">
        <v>13</v>
      </c>
      <c r="D483" s="18" t="s">
        <v>54</v>
      </c>
      <c r="E483" s="19">
        <v>46104</v>
      </c>
      <c r="F483" s="18" t="s">
        <v>57</v>
      </c>
      <c r="G483" s="18" t="s">
        <v>56</v>
      </c>
      <c r="H483" s="17">
        <v>666507</v>
      </c>
      <c r="I483" s="18" t="s">
        <v>13</v>
      </c>
      <c r="J483" s="20">
        <v>4</v>
      </c>
    </row>
    <row r="484" spans="1:10" ht="15" customHeight="1" x14ac:dyDescent="0.75">
      <c r="A484" s="18" t="s">
        <v>76</v>
      </c>
      <c r="B484" s="19">
        <v>46104</v>
      </c>
      <c r="C484" s="17">
        <v>13</v>
      </c>
      <c r="D484" s="18" t="s">
        <v>54</v>
      </c>
      <c r="E484" s="19">
        <v>46104</v>
      </c>
      <c r="F484" s="18" t="s">
        <v>57</v>
      </c>
      <c r="G484" s="18" t="s">
        <v>56</v>
      </c>
      <c r="H484" s="17">
        <v>666509</v>
      </c>
      <c r="I484" s="18" t="s">
        <v>15</v>
      </c>
      <c r="J484" s="20">
        <v>14</v>
      </c>
    </row>
    <row r="485" spans="1:10" ht="15" customHeight="1" x14ac:dyDescent="0.75">
      <c r="A485" s="18" t="s">
        <v>76</v>
      </c>
      <c r="B485" s="19">
        <v>46104</v>
      </c>
      <c r="C485" s="17">
        <v>13</v>
      </c>
      <c r="D485" s="18" t="s">
        <v>54</v>
      </c>
      <c r="E485" s="19">
        <v>46104</v>
      </c>
      <c r="F485" s="18" t="s">
        <v>57</v>
      </c>
      <c r="G485" s="18" t="s">
        <v>56</v>
      </c>
      <c r="H485" s="17">
        <v>666516</v>
      </c>
      <c r="I485" s="18" t="s">
        <v>23</v>
      </c>
      <c r="J485" s="20">
        <v>6</v>
      </c>
    </row>
    <row r="486" spans="1:10" ht="15" customHeight="1" x14ac:dyDescent="0.75">
      <c r="A486" s="18" t="s">
        <v>76</v>
      </c>
      <c r="B486" s="19">
        <v>46104</v>
      </c>
      <c r="C486" s="17">
        <v>13</v>
      </c>
      <c r="D486" s="18" t="s">
        <v>54</v>
      </c>
      <c r="E486" s="19">
        <v>46104</v>
      </c>
      <c r="F486" s="18" t="s">
        <v>57</v>
      </c>
      <c r="G486" s="18" t="s">
        <v>56</v>
      </c>
      <c r="H486" s="17">
        <v>666517</v>
      </c>
      <c r="I486" s="18" t="s">
        <v>25</v>
      </c>
      <c r="J486" s="20">
        <v>7</v>
      </c>
    </row>
    <row r="487" spans="1:10" ht="15" customHeight="1" x14ac:dyDescent="0.75">
      <c r="A487" s="18" t="s">
        <v>76</v>
      </c>
      <c r="B487" s="19">
        <v>46104</v>
      </c>
      <c r="C487" s="17">
        <v>13</v>
      </c>
      <c r="D487" s="18" t="s">
        <v>54</v>
      </c>
      <c r="E487" s="19">
        <v>46104</v>
      </c>
      <c r="F487" s="18" t="s">
        <v>57</v>
      </c>
      <c r="G487" s="18" t="s">
        <v>56</v>
      </c>
      <c r="H487" s="17">
        <v>666519</v>
      </c>
      <c r="I487" s="18" t="s">
        <v>29</v>
      </c>
      <c r="J487" s="20">
        <v>8</v>
      </c>
    </row>
    <row r="488" spans="1:10" ht="15" customHeight="1" x14ac:dyDescent="0.75">
      <c r="A488" s="18" t="s">
        <v>76</v>
      </c>
      <c r="B488" s="19">
        <v>46104</v>
      </c>
      <c r="C488" s="17">
        <v>13</v>
      </c>
      <c r="D488" s="18" t="s">
        <v>54</v>
      </c>
      <c r="E488" s="19">
        <v>46104</v>
      </c>
      <c r="F488" s="18" t="s">
        <v>57</v>
      </c>
      <c r="G488" s="18" t="s">
        <v>56</v>
      </c>
      <c r="H488" s="17">
        <v>666521</v>
      </c>
      <c r="I488" s="18" t="s">
        <v>31</v>
      </c>
      <c r="J488" s="20">
        <v>3</v>
      </c>
    </row>
    <row r="489" spans="1:10" ht="15" customHeight="1" x14ac:dyDescent="0.75">
      <c r="A489" s="18" t="s">
        <v>76</v>
      </c>
      <c r="B489" s="19">
        <v>46104</v>
      </c>
      <c r="C489" s="17">
        <v>13</v>
      </c>
      <c r="D489" s="18" t="s">
        <v>54</v>
      </c>
      <c r="E489" s="19">
        <v>46104</v>
      </c>
      <c r="F489" s="18" t="s">
        <v>57</v>
      </c>
      <c r="G489" s="18" t="s">
        <v>56</v>
      </c>
      <c r="H489" s="17">
        <v>666522</v>
      </c>
      <c r="I489" s="18" t="s">
        <v>33</v>
      </c>
      <c r="J489" s="20">
        <v>10</v>
      </c>
    </row>
    <row r="490" spans="1:10" ht="15" customHeight="1" x14ac:dyDescent="0.75">
      <c r="A490" s="18" t="s">
        <v>76</v>
      </c>
      <c r="B490" s="19">
        <v>46104</v>
      </c>
      <c r="C490" s="17">
        <v>13</v>
      </c>
      <c r="D490" s="18" t="s">
        <v>54</v>
      </c>
      <c r="E490" s="19">
        <v>46104</v>
      </c>
      <c r="F490" s="18" t="s">
        <v>57</v>
      </c>
      <c r="G490" s="18" t="s">
        <v>56</v>
      </c>
      <c r="H490" s="17">
        <v>666530</v>
      </c>
      <c r="I490" s="18" t="s">
        <v>37</v>
      </c>
      <c r="J490" s="20">
        <v>5</v>
      </c>
    </row>
    <row r="491" spans="1:10" ht="15" customHeight="1" x14ac:dyDescent="0.75">
      <c r="A491" s="18" t="s">
        <v>76</v>
      </c>
      <c r="B491" s="19">
        <v>46104</v>
      </c>
      <c r="C491" s="17">
        <v>13</v>
      </c>
      <c r="D491" s="18" t="s">
        <v>54</v>
      </c>
      <c r="E491" s="19">
        <v>46104</v>
      </c>
      <c r="F491" s="18" t="s">
        <v>57</v>
      </c>
      <c r="G491" s="18" t="s">
        <v>56</v>
      </c>
      <c r="H491" s="17">
        <v>666531</v>
      </c>
      <c r="I491" s="18" t="s">
        <v>39</v>
      </c>
      <c r="J491" s="20">
        <v>6</v>
      </c>
    </row>
    <row r="492" spans="1:10" ht="15" customHeight="1" x14ac:dyDescent="0.75">
      <c r="A492" s="18" t="s">
        <v>76</v>
      </c>
      <c r="B492" s="19">
        <v>46104</v>
      </c>
      <c r="C492" s="17">
        <v>13</v>
      </c>
      <c r="D492" s="18" t="s">
        <v>54</v>
      </c>
      <c r="E492" s="19">
        <v>46104</v>
      </c>
      <c r="F492" s="18" t="s">
        <v>57</v>
      </c>
      <c r="G492" s="18" t="s">
        <v>56</v>
      </c>
      <c r="H492" s="17">
        <v>666536</v>
      </c>
      <c r="I492" s="18" t="s">
        <v>43</v>
      </c>
      <c r="J492" s="20">
        <v>4</v>
      </c>
    </row>
    <row r="493" spans="1:10" ht="15" customHeight="1" x14ac:dyDescent="0.75">
      <c r="A493" s="18" t="s">
        <v>76</v>
      </c>
      <c r="B493" s="19">
        <v>46104</v>
      </c>
      <c r="C493" s="17">
        <v>13</v>
      </c>
      <c r="D493" s="18" t="s">
        <v>54</v>
      </c>
      <c r="E493" s="19">
        <v>46104</v>
      </c>
      <c r="F493" s="18" t="s">
        <v>65</v>
      </c>
      <c r="G493" s="18" t="s">
        <v>58</v>
      </c>
      <c r="H493" s="17">
        <v>666502</v>
      </c>
      <c r="I493" s="18" t="s">
        <v>7</v>
      </c>
      <c r="J493" s="20">
        <v>50</v>
      </c>
    </row>
    <row r="494" spans="1:10" ht="15" customHeight="1" x14ac:dyDescent="0.75">
      <c r="A494" s="18" t="s">
        <v>76</v>
      </c>
      <c r="B494" s="19">
        <v>46104</v>
      </c>
      <c r="C494" s="17">
        <v>13</v>
      </c>
      <c r="D494" s="18" t="s">
        <v>54</v>
      </c>
      <c r="E494" s="19">
        <v>46104</v>
      </c>
      <c r="F494" s="18" t="s">
        <v>65</v>
      </c>
      <c r="G494" s="18" t="s">
        <v>58</v>
      </c>
      <c r="H494" s="17">
        <v>666522</v>
      </c>
      <c r="I494" s="18" t="s">
        <v>33</v>
      </c>
      <c r="J494" s="20">
        <v>60</v>
      </c>
    </row>
    <row r="495" spans="1:10" ht="15" customHeight="1" x14ac:dyDescent="0.75">
      <c r="A495" s="18" t="s">
        <v>76</v>
      </c>
      <c r="B495" s="19">
        <v>46104</v>
      </c>
      <c r="C495" s="17">
        <v>13</v>
      </c>
      <c r="D495" s="18" t="s">
        <v>54</v>
      </c>
      <c r="E495" s="19">
        <v>46104</v>
      </c>
      <c r="F495" s="18" t="s">
        <v>65</v>
      </c>
      <c r="G495" s="18" t="s">
        <v>58</v>
      </c>
      <c r="H495" s="17">
        <v>666541</v>
      </c>
      <c r="I495" s="18" t="s">
        <v>41</v>
      </c>
      <c r="J495" s="20">
        <v>25</v>
      </c>
    </row>
    <row r="496" spans="1:10" ht="15" customHeight="1" x14ac:dyDescent="0.75">
      <c r="A496" s="18" t="s">
        <v>76</v>
      </c>
      <c r="B496" s="19">
        <v>46104</v>
      </c>
      <c r="C496" s="17">
        <v>13</v>
      </c>
      <c r="D496" s="18" t="s">
        <v>59</v>
      </c>
      <c r="E496" s="19">
        <v>46105</v>
      </c>
      <c r="F496" s="18" t="s">
        <v>65</v>
      </c>
      <c r="G496" s="18" t="s">
        <v>58</v>
      </c>
      <c r="H496" s="17">
        <v>666501</v>
      </c>
      <c r="I496" s="18" t="s">
        <v>5</v>
      </c>
      <c r="J496" s="20">
        <v>135</v>
      </c>
    </row>
    <row r="497" spans="1:10" ht="15" customHeight="1" x14ac:dyDescent="0.75">
      <c r="A497" s="18" t="s">
        <v>76</v>
      </c>
      <c r="B497" s="19">
        <v>46104</v>
      </c>
      <c r="C497" s="17">
        <v>13</v>
      </c>
      <c r="D497" s="18" t="s">
        <v>59</v>
      </c>
      <c r="E497" s="19">
        <v>46105</v>
      </c>
      <c r="F497" s="18" t="s">
        <v>65</v>
      </c>
      <c r="G497" s="18" t="s">
        <v>58</v>
      </c>
      <c r="H497" s="17">
        <v>666502</v>
      </c>
      <c r="I497" s="18" t="s">
        <v>7</v>
      </c>
      <c r="J497" s="20">
        <v>34</v>
      </c>
    </row>
    <row r="498" spans="1:10" ht="15" customHeight="1" x14ac:dyDescent="0.75">
      <c r="A498" s="18" t="s">
        <v>76</v>
      </c>
      <c r="B498" s="19">
        <v>46104</v>
      </c>
      <c r="C498" s="17">
        <v>13</v>
      </c>
      <c r="D498" s="18" t="s">
        <v>59</v>
      </c>
      <c r="E498" s="19">
        <v>46105</v>
      </c>
      <c r="F498" s="18" t="s">
        <v>65</v>
      </c>
      <c r="G498" s="18" t="s">
        <v>58</v>
      </c>
      <c r="H498" s="17">
        <v>666506</v>
      </c>
      <c r="I498" s="18" t="s">
        <v>11</v>
      </c>
      <c r="J498" s="20">
        <v>14</v>
      </c>
    </row>
    <row r="499" spans="1:10" ht="15" customHeight="1" x14ac:dyDescent="0.75">
      <c r="A499" s="18" t="s">
        <v>76</v>
      </c>
      <c r="B499" s="19">
        <v>46104</v>
      </c>
      <c r="C499" s="17">
        <v>13</v>
      </c>
      <c r="D499" s="18" t="s">
        <v>59</v>
      </c>
      <c r="E499" s="19">
        <v>46105</v>
      </c>
      <c r="F499" s="18" t="s">
        <v>65</v>
      </c>
      <c r="G499" s="18" t="s">
        <v>58</v>
      </c>
      <c r="H499" s="17">
        <v>666522</v>
      </c>
      <c r="I499" s="18" t="s">
        <v>33</v>
      </c>
      <c r="J499" s="20">
        <v>25</v>
      </c>
    </row>
    <row r="500" spans="1:10" ht="15" customHeight="1" x14ac:dyDescent="0.75">
      <c r="A500" s="18" t="s">
        <v>76</v>
      </c>
      <c r="B500" s="19">
        <v>46104</v>
      </c>
      <c r="C500" s="17">
        <v>13</v>
      </c>
      <c r="D500" s="18" t="s">
        <v>59</v>
      </c>
      <c r="E500" s="19">
        <v>46105</v>
      </c>
      <c r="F500" s="18" t="s">
        <v>65</v>
      </c>
      <c r="G500" s="18" t="s">
        <v>58</v>
      </c>
      <c r="H500" s="17">
        <v>666523</v>
      </c>
      <c r="I500" s="18" t="s">
        <v>35</v>
      </c>
      <c r="J500" s="20">
        <v>35</v>
      </c>
    </row>
    <row r="501" spans="1:10" ht="15" customHeight="1" x14ac:dyDescent="0.75">
      <c r="A501" s="18" t="s">
        <v>76</v>
      </c>
      <c r="B501" s="19">
        <v>46104</v>
      </c>
      <c r="C501" s="17">
        <v>13</v>
      </c>
      <c r="D501" s="18" t="s">
        <v>59</v>
      </c>
      <c r="E501" s="19">
        <v>46105</v>
      </c>
      <c r="F501" s="18" t="s">
        <v>65</v>
      </c>
      <c r="G501" s="18" t="s">
        <v>58</v>
      </c>
      <c r="H501" s="17">
        <v>666541</v>
      </c>
      <c r="I501" s="18" t="s">
        <v>41</v>
      </c>
      <c r="J501" s="20">
        <v>47</v>
      </c>
    </row>
    <row r="502" spans="1:10" ht="15" customHeight="1" x14ac:dyDescent="0.75">
      <c r="A502" s="18" t="s">
        <v>76</v>
      </c>
      <c r="B502" s="19">
        <v>46104</v>
      </c>
      <c r="C502" s="17">
        <v>13</v>
      </c>
      <c r="D502" s="18" t="s">
        <v>59</v>
      </c>
      <c r="E502" s="19">
        <v>46105</v>
      </c>
      <c r="F502" s="18" t="s">
        <v>55</v>
      </c>
      <c r="G502" s="18" t="s">
        <v>66</v>
      </c>
      <c r="H502" s="17">
        <v>666501</v>
      </c>
      <c r="I502" s="18" t="s">
        <v>5</v>
      </c>
      <c r="J502" s="20">
        <v>24</v>
      </c>
    </row>
    <row r="503" spans="1:10" ht="15" customHeight="1" x14ac:dyDescent="0.75">
      <c r="A503" s="18" t="s">
        <v>76</v>
      </c>
      <c r="B503" s="19">
        <v>46104</v>
      </c>
      <c r="C503" s="17">
        <v>13</v>
      </c>
      <c r="D503" s="18" t="s">
        <v>59</v>
      </c>
      <c r="E503" s="19">
        <v>46105</v>
      </c>
      <c r="F503" s="18" t="s">
        <v>55</v>
      </c>
      <c r="G503" s="18" t="s">
        <v>66</v>
      </c>
      <c r="H503" s="17">
        <v>666505</v>
      </c>
      <c r="I503" s="18" t="s">
        <v>9</v>
      </c>
      <c r="J503" s="20">
        <v>44</v>
      </c>
    </row>
    <row r="504" spans="1:10" ht="15" customHeight="1" x14ac:dyDescent="0.75">
      <c r="A504" s="18" t="s">
        <v>76</v>
      </c>
      <c r="B504" s="19">
        <v>46104</v>
      </c>
      <c r="C504" s="17">
        <v>13</v>
      </c>
      <c r="D504" s="18" t="s">
        <v>59</v>
      </c>
      <c r="E504" s="19">
        <v>46105</v>
      </c>
      <c r="F504" s="18" t="s">
        <v>55</v>
      </c>
      <c r="G504" s="18" t="s">
        <v>66</v>
      </c>
      <c r="H504" s="17">
        <v>666516</v>
      </c>
      <c r="I504" s="18" t="s">
        <v>23</v>
      </c>
      <c r="J504" s="20">
        <v>32</v>
      </c>
    </row>
    <row r="505" spans="1:10" ht="15" customHeight="1" x14ac:dyDescent="0.75">
      <c r="A505" s="18" t="s">
        <v>76</v>
      </c>
      <c r="B505" s="19">
        <v>46104</v>
      </c>
      <c r="C505" s="17">
        <v>13</v>
      </c>
      <c r="D505" s="18" t="s">
        <v>59</v>
      </c>
      <c r="E505" s="19">
        <v>46105</v>
      </c>
      <c r="F505" s="18" t="s">
        <v>55</v>
      </c>
      <c r="G505" s="18" t="s">
        <v>66</v>
      </c>
      <c r="H505" s="17">
        <v>666517</v>
      </c>
      <c r="I505" s="18" t="s">
        <v>25</v>
      </c>
      <c r="J505" s="20">
        <v>20</v>
      </c>
    </row>
    <row r="506" spans="1:10" ht="15" customHeight="1" x14ac:dyDescent="0.75">
      <c r="A506" s="18" t="s">
        <v>76</v>
      </c>
      <c r="B506" s="19">
        <v>46104</v>
      </c>
      <c r="C506" s="17">
        <v>13</v>
      </c>
      <c r="D506" s="18" t="s">
        <v>59</v>
      </c>
      <c r="E506" s="19">
        <v>46105</v>
      </c>
      <c r="F506" s="18" t="s">
        <v>55</v>
      </c>
      <c r="G506" s="18" t="s">
        <v>66</v>
      </c>
      <c r="H506" s="17">
        <v>666519</v>
      </c>
      <c r="I506" s="18" t="s">
        <v>29</v>
      </c>
      <c r="J506" s="20">
        <v>33</v>
      </c>
    </row>
    <row r="507" spans="1:10" ht="15" customHeight="1" x14ac:dyDescent="0.75">
      <c r="A507" s="18" t="s">
        <v>76</v>
      </c>
      <c r="B507" s="19">
        <v>46104</v>
      </c>
      <c r="C507" s="17">
        <v>13</v>
      </c>
      <c r="D507" s="18" t="s">
        <v>59</v>
      </c>
      <c r="E507" s="19">
        <v>46105</v>
      </c>
      <c r="F507" s="18" t="s">
        <v>55</v>
      </c>
      <c r="G507" s="18" t="s">
        <v>66</v>
      </c>
      <c r="H507" s="17">
        <v>666522</v>
      </c>
      <c r="I507" s="18" t="s">
        <v>33</v>
      </c>
      <c r="J507" s="20">
        <v>45</v>
      </c>
    </row>
    <row r="508" spans="1:10" ht="15" customHeight="1" x14ac:dyDescent="0.75">
      <c r="A508" s="18" t="s">
        <v>76</v>
      </c>
      <c r="B508" s="19">
        <v>46104</v>
      </c>
      <c r="C508" s="17">
        <v>13</v>
      </c>
      <c r="D508" s="18" t="s">
        <v>59</v>
      </c>
      <c r="E508" s="19">
        <v>46105</v>
      </c>
      <c r="F508" s="18" t="s">
        <v>55</v>
      </c>
      <c r="G508" s="18" t="s">
        <v>66</v>
      </c>
      <c r="H508" s="17">
        <v>666523</v>
      </c>
      <c r="I508" s="18" t="s">
        <v>35</v>
      </c>
      <c r="J508" s="20">
        <v>10</v>
      </c>
    </row>
    <row r="509" spans="1:10" ht="15" customHeight="1" x14ac:dyDescent="0.75">
      <c r="A509" s="18" t="s">
        <v>76</v>
      </c>
      <c r="B509" s="19">
        <v>46104</v>
      </c>
      <c r="C509" s="17">
        <v>13</v>
      </c>
      <c r="D509" s="18" t="s">
        <v>59</v>
      </c>
      <c r="E509" s="19">
        <v>46105</v>
      </c>
      <c r="F509" s="18" t="s">
        <v>55</v>
      </c>
      <c r="G509" s="18" t="s">
        <v>66</v>
      </c>
      <c r="H509" s="17">
        <v>666530</v>
      </c>
      <c r="I509" s="18" t="s">
        <v>37</v>
      </c>
      <c r="J509" s="20">
        <v>15</v>
      </c>
    </row>
    <row r="510" spans="1:10" ht="15" customHeight="1" x14ac:dyDescent="0.75">
      <c r="A510" s="18" t="s">
        <v>76</v>
      </c>
      <c r="B510" s="19">
        <v>46104</v>
      </c>
      <c r="C510" s="17">
        <v>13</v>
      </c>
      <c r="D510" s="18" t="s">
        <v>60</v>
      </c>
      <c r="E510" s="19">
        <v>46106</v>
      </c>
      <c r="F510" s="18" t="s">
        <v>57</v>
      </c>
      <c r="G510" s="18" t="s">
        <v>56</v>
      </c>
      <c r="H510" s="17">
        <v>666501</v>
      </c>
      <c r="I510" s="18" t="s">
        <v>5</v>
      </c>
      <c r="J510" s="20">
        <v>6</v>
      </c>
    </row>
    <row r="511" spans="1:10" ht="15" customHeight="1" x14ac:dyDescent="0.75">
      <c r="A511" s="18" t="s">
        <v>76</v>
      </c>
      <c r="B511" s="19">
        <v>46104</v>
      </c>
      <c r="C511" s="17">
        <v>13</v>
      </c>
      <c r="D511" s="18" t="s">
        <v>60</v>
      </c>
      <c r="E511" s="19">
        <v>46106</v>
      </c>
      <c r="F511" s="18" t="s">
        <v>57</v>
      </c>
      <c r="G511" s="18" t="s">
        <v>56</v>
      </c>
      <c r="H511" s="17">
        <v>666505</v>
      </c>
      <c r="I511" s="18" t="s">
        <v>9</v>
      </c>
      <c r="J511" s="20">
        <v>2</v>
      </c>
    </row>
    <row r="512" spans="1:10" ht="15" customHeight="1" x14ac:dyDescent="0.75">
      <c r="A512" s="18" t="s">
        <v>76</v>
      </c>
      <c r="B512" s="19">
        <v>46104</v>
      </c>
      <c r="C512" s="17">
        <v>13</v>
      </c>
      <c r="D512" s="18" t="s">
        <v>60</v>
      </c>
      <c r="E512" s="19">
        <v>46106</v>
      </c>
      <c r="F512" s="18" t="s">
        <v>57</v>
      </c>
      <c r="G512" s="18" t="s">
        <v>56</v>
      </c>
      <c r="H512" s="17">
        <v>666507</v>
      </c>
      <c r="I512" s="18" t="s">
        <v>13</v>
      </c>
      <c r="J512" s="20">
        <v>4</v>
      </c>
    </row>
    <row r="513" spans="1:10" ht="15" customHeight="1" x14ac:dyDescent="0.75">
      <c r="A513" s="18" t="s">
        <v>76</v>
      </c>
      <c r="B513" s="19">
        <v>46104</v>
      </c>
      <c r="C513" s="17">
        <v>13</v>
      </c>
      <c r="D513" s="18" t="s">
        <v>60</v>
      </c>
      <c r="E513" s="19">
        <v>46106</v>
      </c>
      <c r="F513" s="18" t="s">
        <v>57</v>
      </c>
      <c r="G513" s="18" t="s">
        <v>56</v>
      </c>
      <c r="H513" s="17">
        <v>666509</v>
      </c>
      <c r="I513" s="18" t="s">
        <v>15</v>
      </c>
      <c r="J513" s="20">
        <v>18</v>
      </c>
    </row>
    <row r="514" spans="1:10" ht="15" customHeight="1" x14ac:dyDescent="0.75">
      <c r="A514" s="18" t="s">
        <v>76</v>
      </c>
      <c r="B514" s="19">
        <v>46104</v>
      </c>
      <c r="C514" s="17">
        <v>13</v>
      </c>
      <c r="D514" s="18" t="s">
        <v>60</v>
      </c>
      <c r="E514" s="19">
        <v>46106</v>
      </c>
      <c r="F514" s="18" t="s">
        <v>57</v>
      </c>
      <c r="G514" s="18" t="s">
        <v>56</v>
      </c>
      <c r="H514" s="17">
        <v>666516</v>
      </c>
      <c r="I514" s="18" t="s">
        <v>23</v>
      </c>
      <c r="J514" s="20">
        <v>11</v>
      </c>
    </row>
    <row r="515" spans="1:10" ht="15" customHeight="1" x14ac:dyDescent="0.75">
      <c r="A515" s="18" t="s">
        <v>76</v>
      </c>
      <c r="B515" s="19">
        <v>46104</v>
      </c>
      <c r="C515" s="17">
        <v>13</v>
      </c>
      <c r="D515" s="18" t="s">
        <v>60</v>
      </c>
      <c r="E515" s="19">
        <v>46106</v>
      </c>
      <c r="F515" s="18" t="s">
        <v>57</v>
      </c>
      <c r="G515" s="18" t="s">
        <v>56</v>
      </c>
      <c r="H515" s="17">
        <v>666517</v>
      </c>
      <c r="I515" s="18" t="s">
        <v>25</v>
      </c>
      <c r="J515" s="20">
        <v>11</v>
      </c>
    </row>
    <row r="516" spans="1:10" ht="15" customHeight="1" x14ac:dyDescent="0.75">
      <c r="A516" s="18" t="s">
        <v>76</v>
      </c>
      <c r="B516" s="19">
        <v>46104</v>
      </c>
      <c r="C516" s="17">
        <v>13</v>
      </c>
      <c r="D516" s="18" t="s">
        <v>60</v>
      </c>
      <c r="E516" s="19">
        <v>46106</v>
      </c>
      <c r="F516" s="18" t="s">
        <v>57</v>
      </c>
      <c r="G516" s="18" t="s">
        <v>56</v>
      </c>
      <c r="H516" s="17">
        <v>666519</v>
      </c>
      <c r="I516" s="18" t="s">
        <v>29</v>
      </c>
      <c r="J516" s="20">
        <v>13</v>
      </c>
    </row>
    <row r="517" spans="1:10" ht="15" customHeight="1" x14ac:dyDescent="0.75">
      <c r="A517" s="18" t="s">
        <v>76</v>
      </c>
      <c r="B517" s="19">
        <v>46104</v>
      </c>
      <c r="C517" s="17">
        <v>13</v>
      </c>
      <c r="D517" s="18" t="s">
        <v>60</v>
      </c>
      <c r="E517" s="19">
        <v>46106</v>
      </c>
      <c r="F517" s="18" t="s">
        <v>57</v>
      </c>
      <c r="G517" s="18" t="s">
        <v>56</v>
      </c>
      <c r="H517" s="17">
        <v>666521</v>
      </c>
      <c r="I517" s="18" t="s">
        <v>31</v>
      </c>
      <c r="J517" s="20">
        <v>7</v>
      </c>
    </row>
    <row r="518" spans="1:10" ht="15" customHeight="1" x14ac:dyDescent="0.75">
      <c r="A518" s="18" t="s">
        <v>76</v>
      </c>
      <c r="B518" s="19">
        <v>46104</v>
      </c>
      <c r="C518" s="17">
        <v>13</v>
      </c>
      <c r="D518" s="18" t="s">
        <v>60</v>
      </c>
      <c r="E518" s="19">
        <v>46106</v>
      </c>
      <c r="F518" s="18" t="s">
        <v>57</v>
      </c>
      <c r="G518" s="18" t="s">
        <v>56</v>
      </c>
      <c r="H518" s="17">
        <v>666522</v>
      </c>
      <c r="I518" s="18" t="s">
        <v>33</v>
      </c>
      <c r="J518" s="20">
        <v>20</v>
      </c>
    </row>
    <row r="519" spans="1:10" ht="15" customHeight="1" x14ac:dyDescent="0.75">
      <c r="A519" s="18" t="s">
        <v>76</v>
      </c>
      <c r="B519" s="19">
        <v>46104</v>
      </c>
      <c r="C519" s="17">
        <v>13</v>
      </c>
      <c r="D519" s="18" t="s">
        <v>60</v>
      </c>
      <c r="E519" s="19">
        <v>46106</v>
      </c>
      <c r="F519" s="18" t="s">
        <v>57</v>
      </c>
      <c r="G519" s="18" t="s">
        <v>56</v>
      </c>
      <c r="H519" s="17">
        <v>666531</v>
      </c>
      <c r="I519" s="18" t="s">
        <v>39</v>
      </c>
      <c r="J519" s="20">
        <v>5</v>
      </c>
    </row>
    <row r="520" spans="1:10" ht="15" customHeight="1" x14ac:dyDescent="0.75">
      <c r="A520" s="18" t="s">
        <v>76</v>
      </c>
      <c r="B520" s="19">
        <v>46104</v>
      </c>
      <c r="C520" s="17">
        <v>13</v>
      </c>
      <c r="D520" s="18" t="s">
        <v>60</v>
      </c>
      <c r="E520" s="19">
        <v>46106</v>
      </c>
      <c r="F520" s="18" t="s">
        <v>57</v>
      </c>
      <c r="G520" s="18" t="s">
        <v>56</v>
      </c>
      <c r="H520" s="17">
        <v>666536</v>
      </c>
      <c r="I520" s="18" t="s">
        <v>43</v>
      </c>
      <c r="J520" s="20">
        <v>3</v>
      </c>
    </row>
    <row r="521" spans="1:10" ht="15" customHeight="1" x14ac:dyDescent="0.75">
      <c r="A521" s="18" t="s">
        <v>76</v>
      </c>
      <c r="B521" s="19">
        <v>46104</v>
      </c>
      <c r="C521" s="17">
        <v>13</v>
      </c>
      <c r="D521" s="18" t="s">
        <v>60</v>
      </c>
      <c r="E521" s="19">
        <v>46106</v>
      </c>
      <c r="F521" s="18" t="s">
        <v>65</v>
      </c>
      <c r="G521" s="18" t="s">
        <v>58</v>
      </c>
      <c r="H521" s="17">
        <v>666501</v>
      </c>
      <c r="I521" s="18" t="s">
        <v>5</v>
      </c>
      <c r="J521" s="20">
        <v>57</v>
      </c>
    </row>
    <row r="522" spans="1:10" ht="15" customHeight="1" x14ac:dyDescent="0.75">
      <c r="A522" s="18" t="s">
        <v>76</v>
      </c>
      <c r="B522" s="19">
        <v>46104</v>
      </c>
      <c r="C522" s="17">
        <v>13</v>
      </c>
      <c r="D522" s="18" t="s">
        <v>60</v>
      </c>
      <c r="E522" s="19">
        <v>46106</v>
      </c>
      <c r="F522" s="18" t="s">
        <v>65</v>
      </c>
      <c r="G522" s="18" t="s">
        <v>58</v>
      </c>
      <c r="H522" s="17">
        <v>666502</v>
      </c>
      <c r="I522" s="18" t="s">
        <v>7</v>
      </c>
      <c r="J522" s="20">
        <v>20</v>
      </c>
    </row>
    <row r="523" spans="1:10" ht="15" customHeight="1" x14ac:dyDescent="0.75">
      <c r="A523" s="18" t="s">
        <v>76</v>
      </c>
      <c r="B523" s="19">
        <v>46104</v>
      </c>
      <c r="C523" s="17">
        <v>13</v>
      </c>
      <c r="D523" s="18" t="s">
        <v>60</v>
      </c>
      <c r="E523" s="19">
        <v>46106</v>
      </c>
      <c r="F523" s="18" t="s">
        <v>65</v>
      </c>
      <c r="G523" s="18" t="s">
        <v>58</v>
      </c>
      <c r="H523" s="17">
        <v>666522</v>
      </c>
      <c r="I523" s="18" t="s">
        <v>33</v>
      </c>
      <c r="J523" s="20">
        <v>15</v>
      </c>
    </row>
    <row r="524" spans="1:10" ht="15" customHeight="1" x14ac:dyDescent="0.75">
      <c r="A524" s="18" t="s">
        <v>76</v>
      </c>
      <c r="B524" s="19">
        <v>46104</v>
      </c>
      <c r="C524" s="17">
        <v>13</v>
      </c>
      <c r="D524" s="18" t="s">
        <v>60</v>
      </c>
      <c r="E524" s="19">
        <v>46106</v>
      </c>
      <c r="F524" s="18" t="s">
        <v>65</v>
      </c>
      <c r="G524" s="18" t="s">
        <v>58</v>
      </c>
      <c r="H524" s="17">
        <v>666523</v>
      </c>
      <c r="I524" s="18" t="s">
        <v>35</v>
      </c>
      <c r="J524" s="20">
        <v>5</v>
      </c>
    </row>
    <row r="525" spans="1:10" ht="15" customHeight="1" x14ac:dyDescent="0.75">
      <c r="A525" s="18" t="s">
        <v>76</v>
      </c>
      <c r="B525" s="19">
        <v>46104</v>
      </c>
      <c r="C525" s="17">
        <v>13</v>
      </c>
      <c r="D525" s="18" t="s">
        <v>60</v>
      </c>
      <c r="E525" s="19">
        <v>46106</v>
      </c>
      <c r="F525" s="18" t="s">
        <v>65</v>
      </c>
      <c r="G525" s="18" t="s">
        <v>58</v>
      </c>
      <c r="H525" s="17">
        <v>666541</v>
      </c>
      <c r="I525" s="18" t="s">
        <v>41</v>
      </c>
      <c r="J525" s="20">
        <v>17</v>
      </c>
    </row>
    <row r="526" spans="1:10" ht="15" customHeight="1" x14ac:dyDescent="0.75">
      <c r="A526" s="18" t="s">
        <v>76</v>
      </c>
      <c r="B526" s="19">
        <v>46104</v>
      </c>
      <c r="C526" s="17">
        <v>13</v>
      </c>
      <c r="D526" s="18" t="s">
        <v>62</v>
      </c>
      <c r="E526" s="19">
        <v>46107</v>
      </c>
      <c r="F526" s="18" t="s">
        <v>57</v>
      </c>
      <c r="G526" s="18" t="s">
        <v>56</v>
      </c>
      <c r="H526" s="17">
        <v>666501</v>
      </c>
      <c r="I526" s="18" t="s">
        <v>5</v>
      </c>
      <c r="J526" s="20">
        <v>9</v>
      </c>
    </row>
    <row r="527" spans="1:10" ht="15" customHeight="1" x14ac:dyDescent="0.75">
      <c r="A527" s="18" t="s">
        <v>76</v>
      </c>
      <c r="B527" s="19">
        <v>46104</v>
      </c>
      <c r="C527" s="17">
        <v>13</v>
      </c>
      <c r="D527" s="18" t="s">
        <v>62</v>
      </c>
      <c r="E527" s="19">
        <v>46107</v>
      </c>
      <c r="F527" s="18" t="s">
        <v>57</v>
      </c>
      <c r="G527" s="18" t="s">
        <v>56</v>
      </c>
      <c r="H527" s="17">
        <v>666507</v>
      </c>
      <c r="I527" s="18" t="s">
        <v>13</v>
      </c>
      <c r="J527" s="20">
        <v>4</v>
      </c>
    </row>
    <row r="528" spans="1:10" ht="15" customHeight="1" x14ac:dyDescent="0.75">
      <c r="A528" s="18" t="s">
        <v>76</v>
      </c>
      <c r="B528" s="19">
        <v>46104</v>
      </c>
      <c r="C528" s="17">
        <v>13</v>
      </c>
      <c r="D528" s="18" t="s">
        <v>62</v>
      </c>
      <c r="E528" s="19">
        <v>46107</v>
      </c>
      <c r="F528" s="18" t="s">
        <v>57</v>
      </c>
      <c r="G528" s="18" t="s">
        <v>56</v>
      </c>
      <c r="H528" s="17">
        <v>666509</v>
      </c>
      <c r="I528" s="18" t="s">
        <v>15</v>
      </c>
      <c r="J528" s="20">
        <v>11</v>
      </c>
    </row>
    <row r="529" spans="1:10" ht="15" customHeight="1" x14ac:dyDescent="0.75">
      <c r="A529" s="18" t="s">
        <v>76</v>
      </c>
      <c r="B529" s="19">
        <v>46104</v>
      </c>
      <c r="C529" s="17">
        <v>13</v>
      </c>
      <c r="D529" s="18" t="s">
        <v>62</v>
      </c>
      <c r="E529" s="19">
        <v>46107</v>
      </c>
      <c r="F529" s="18" t="s">
        <v>57</v>
      </c>
      <c r="G529" s="18" t="s">
        <v>56</v>
      </c>
      <c r="H529" s="17">
        <v>666516</v>
      </c>
      <c r="I529" s="18" t="s">
        <v>23</v>
      </c>
      <c r="J529" s="20">
        <v>9</v>
      </c>
    </row>
    <row r="530" spans="1:10" ht="15" customHeight="1" x14ac:dyDescent="0.75">
      <c r="A530" s="18" t="s">
        <v>76</v>
      </c>
      <c r="B530" s="19">
        <v>46104</v>
      </c>
      <c r="C530" s="17">
        <v>13</v>
      </c>
      <c r="D530" s="18" t="s">
        <v>62</v>
      </c>
      <c r="E530" s="19">
        <v>46107</v>
      </c>
      <c r="F530" s="18" t="s">
        <v>57</v>
      </c>
      <c r="G530" s="18" t="s">
        <v>56</v>
      </c>
      <c r="H530" s="17">
        <v>666517</v>
      </c>
      <c r="I530" s="18" t="s">
        <v>25</v>
      </c>
      <c r="J530" s="20">
        <v>9</v>
      </c>
    </row>
    <row r="531" spans="1:10" ht="15" customHeight="1" x14ac:dyDescent="0.75">
      <c r="A531" s="18" t="s">
        <v>76</v>
      </c>
      <c r="B531" s="19">
        <v>46104</v>
      </c>
      <c r="C531" s="17">
        <v>13</v>
      </c>
      <c r="D531" s="18" t="s">
        <v>62</v>
      </c>
      <c r="E531" s="19">
        <v>46107</v>
      </c>
      <c r="F531" s="18" t="s">
        <v>57</v>
      </c>
      <c r="G531" s="18" t="s">
        <v>56</v>
      </c>
      <c r="H531" s="17">
        <v>666519</v>
      </c>
      <c r="I531" s="18" t="s">
        <v>29</v>
      </c>
      <c r="J531" s="20">
        <v>12</v>
      </c>
    </row>
    <row r="532" spans="1:10" ht="15" customHeight="1" x14ac:dyDescent="0.75">
      <c r="A532" s="18" t="s">
        <v>76</v>
      </c>
      <c r="B532" s="19">
        <v>46104</v>
      </c>
      <c r="C532" s="17">
        <v>13</v>
      </c>
      <c r="D532" s="18" t="s">
        <v>62</v>
      </c>
      <c r="E532" s="19">
        <v>46107</v>
      </c>
      <c r="F532" s="18" t="s">
        <v>57</v>
      </c>
      <c r="G532" s="18" t="s">
        <v>56</v>
      </c>
      <c r="H532" s="17">
        <v>666521</v>
      </c>
      <c r="I532" s="18" t="s">
        <v>31</v>
      </c>
      <c r="J532" s="20">
        <v>8</v>
      </c>
    </row>
    <row r="533" spans="1:10" ht="15" customHeight="1" x14ac:dyDescent="0.75">
      <c r="A533" s="18" t="s">
        <v>76</v>
      </c>
      <c r="B533" s="19">
        <v>46104</v>
      </c>
      <c r="C533" s="17">
        <v>13</v>
      </c>
      <c r="D533" s="18" t="s">
        <v>62</v>
      </c>
      <c r="E533" s="19">
        <v>46107</v>
      </c>
      <c r="F533" s="18" t="s">
        <v>57</v>
      </c>
      <c r="G533" s="18" t="s">
        <v>56</v>
      </c>
      <c r="H533" s="17">
        <v>666522</v>
      </c>
      <c r="I533" s="18" t="s">
        <v>33</v>
      </c>
      <c r="J533" s="20">
        <v>35</v>
      </c>
    </row>
    <row r="534" spans="1:10" ht="15" customHeight="1" x14ac:dyDescent="0.75">
      <c r="A534" s="18" t="s">
        <v>76</v>
      </c>
      <c r="B534" s="19">
        <v>46104</v>
      </c>
      <c r="C534" s="17">
        <v>13</v>
      </c>
      <c r="D534" s="18" t="s">
        <v>62</v>
      </c>
      <c r="E534" s="19">
        <v>46107</v>
      </c>
      <c r="F534" s="18" t="s">
        <v>57</v>
      </c>
      <c r="G534" s="18" t="s">
        <v>56</v>
      </c>
      <c r="H534" s="17">
        <v>666531</v>
      </c>
      <c r="I534" s="18" t="s">
        <v>39</v>
      </c>
      <c r="J534" s="20">
        <v>6</v>
      </c>
    </row>
    <row r="535" spans="1:10" ht="15" customHeight="1" x14ac:dyDescent="0.75">
      <c r="A535" s="18" t="s">
        <v>76</v>
      </c>
      <c r="B535" s="19">
        <v>46104</v>
      </c>
      <c r="C535" s="17">
        <v>13</v>
      </c>
      <c r="D535" s="18" t="s">
        <v>62</v>
      </c>
      <c r="E535" s="19">
        <v>46107</v>
      </c>
      <c r="F535" s="18" t="s">
        <v>57</v>
      </c>
      <c r="G535" s="18" t="s">
        <v>56</v>
      </c>
      <c r="H535" s="17">
        <v>666536</v>
      </c>
      <c r="I535" s="18" t="s">
        <v>43</v>
      </c>
      <c r="J535" s="20">
        <v>2</v>
      </c>
    </row>
    <row r="536" spans="1:10" ht="15" customHeight="1" x14ac:dyDescent="0.75">
      <c r="A536" s="18" t="s">
        <v>76</v>
      </c>
      <c r="B536" s="19">
        <v>46104</v>
      </c>
      <c r="C536" s="17">
        <v>13</v>
      </c>
      <c r="D536" s="18" t="s">
        <v>62</v>
      </c>
      <c r="E536" s="19">
        <v>46107</v>
      </c>
      <c r="F536" s="18" t="s">
        <v>65</v>
      </c>
      <c r="G536" s="18" t="s">
        <v>58</v>
      </c>
      <c r="H536" s="17">
        <v>666501</v>
      </c>
      <c r="I536" s="18" t="s">
        <v>5</v>
      </c>
      <c r="J536" s="20">
        <v>51</v>
      </c>
    </row>
    <row r="537" spans="1:10" ht="15" customHeight="1" x14ac:dyDescent="0.75">
      <c r="A537" s="18" t="s">
        <v>76</v>
      </c>
      <c r="B537" s="19">
        <v>46104</v>
      </c>
      <c r="C537" s="17">
        <v>13</v>
      </c>
      <c r="D537" s="18" t="s">
        <v>62</v>
      </c>
      <c r="E537" s="19">
        <v>46107</v>
      </c>
      <c r="F537" s="18" t="s">
        <v>65</v>
      </c>
      <c r="G537" s="18" t="s">
        <v>58</v>
      </c>
      <c r="H537" s="17">
        <v>666541</v>
      </c>
      <c r="I537" s="18" t="s">
        <v>41</v>
      </c>
      <c r="J537" s="20">
        <v>32</v>
      </c>
    </row>
    <row r="538" spans="1:10" ht="15" customHeight="1" x14ac:dyDescent="0.75">
      <c r="A538" s="18" t="s">
        <v>76</v>
      </c>
      <c r="B538" s="19">
        <v>46104</v>
      </c>
      <c r="C538" s="17">
        <v>13</v>
      </c>
      <c r="D538" s="18" t="s">
        <v>62</v>
      </c>
      <c r="E538" s="19">
        <v>46107</v>
      </c>
      <c r="F538" s="18" t="s">
        <v>55</v>
      </c>
      <c r="G538" s="18" t="s">
        <v>66</v>
      </c>
      <c r="H538" s="17">
        <v>666501</v>
      </c>
      <c r="I538" s="18" t="s">
        <v>5</v>
      </c>
      <c r="J538" s="20">
        <v>24</v>
      </c>
    </row>
    <row r="539" spans="1:10" ht="15" customHeight="1" x14ac:dyDescent="0.75">
      <c r="A539" s="18" t="s">
        <v>76</v>
      </c>
      <c r="B539" s="19">
        <v>46104</v>
      </c>
      <c r="C539" s="17">
        <v>13</v>
      </c>
      <c r="D539" s="18" t="s">
        <v>62</v>
      </c>
      <c r="E539" s="19">
        <v>46107</v>
      </c>
      <c r="F539" s="18" t="s">
        <v>55</v>
      </c>
      <c r="G539" s="18" t="s">
        <v>66</v>
      </c>
      <c r="H539" s="17">
        <v>666516</v>
      </c>
      <c r="I539" s="18" t="s">
        <v>23</v>
      </c>
      <c r="J539" s="20">
        <v>2</v>
      </c>
    </row>
    <row r="540" spans="1:10" ht="15" customHeight="1" x14ac:dyDescent="0.75">
      <c r="A540" s="18" t="s">
        <v>76</v>
      </c>
      <c r="B540" s="19">
        <v>46104</v>
      </c>
      <c r="C540" s="17">
        <v>13</v>
      </c>
      <c r="D540" s="18" t="s">
        <v>62</v>
      </c>
      <c r="E540" s="19">
        <v>46107</v>
      </c>
      <c r="F540" s="18" t="s">
        <v>55</v>
      </c>
      <c r="G540" s="18" t="s">
        <v>66</v>
      </c>
      <c r="H540" s="17">
        <v>666522</v>
      </c>
      <c r="I540" s="18" t="s">
        <v>33</v>
      </c>
      <c r="J540" s="20">
        <v>35</v>
      </c>
    </row>
    <row r="541" spans="1:10" ht="15" customHeight="1" x14ac:dyDescent="0.75">
      <c r="A541" s="18" t="s">
        <v>76</v>
      </c>
      <c r="B541" s="19">
        <v>46104</v>
      </c>
      <c r="C541" s="17">
        <v>13</v>
      </c>
      <c r="D541" s="18" t="s">
        <v>62</v>
      </c>
      <c r="E541" s="19">
        <v>46107</v>
      </c>
      <c r="F541" s="18" t="s">
        <v>55</v>
      </c>
      <c r="G541" s="18" t="s">
        <v>66</v>
      </c>
      <c r="H541" s="17">
        <v>666531</v>
      </c>
      <c r="I541" s="18" t="s">
        <v>39</v>
      </c>
      <c r="J541" s="20">
        <v>3</v>
      </c>
    </row>
    <row r="542" spans="1:10" ht="15" customHeight="1" x14ac:dyDescent="0.75">
      <c r="A542" s="18" t="s">
        <v>76</v>
      </c>
      <c r="B542" s="19">
        <v>46104</v>
      </c>
      <c r="C542" s="17">
        <v>13</v>
      </c>
      <c r="D542" s="18" t="s">
        <v>63</v>
      </c>
      <c r="E542" s="19">
        <v>46108</v>
      </c>
      <c r="F542" s="18" t="s">
        <v>57</v>
      </c>
      <c r="G542" s="18" t="s">
        <v>56</v>
      </c>
      <c r="H542" s="17">
        <v>666501</v>
      </c>
      <c r="I542" s="18" t="s">
        <v>5</v>
      </c>
      <c r="J542" s="20">
        <v>9</v>
      </c>
    </row>
    <row r="543" spans="1:10" ht="15" customHeight="1" x14ac:dyDescent="0.75">
      <c r="A543" s="18" t="s">
        <v>76</v>
      </c>
      <c r="B543" s="19">
        <v>46104</v>
      </c>
      <c r="C543" s="17">
        <v>13</v>
      </c>
      <c r="D543" s="18" t="s">
        <v>63</v>
      </c>
      <c r="E543" s="19">
        <v>46108</v>
      </c>
      <c r="F543" s="18" t="s">
        <v>57</v>
      </c>
      <c r="G543" s="18" t="s">
        <v>56</v>
      </c>
      <c r="H543" s="17">
        <v>666507</v>
      </c>
      <c r="I543" s="18" t="s">
        <v>13</v>
      </c>
      <c r="J543" s="20">
        <v>4</v>
      </c>
    </row>
    <row r="544" spans="1:10" ht="15" customHeight="1" x14ac:dyDescent="0.75">
      <c r="A544" s="18" t="s">
        <v>76</v>
      </c>
      <c r="B544" s="19">
        <v>46104</v>
      </c>
      <c r="C544" s="17">
        <v>13</v>
      </c>
      <c r="D544" s="18" t="s">
        <v>63</v>
      </c>
      <c r="E544" s="19">
        <v>46108</v>
      </c>
      <c r="F544" s="18" t="s">
        <v>57</v>
      </c>
      <c r="G544" s="18" t="s">
        <v>56</v>
      </c>
      <c r="H544" s="17">
        <v>666509</v>
      </c>
      <c r="I544" s="18" t="s">
        <v>15</v>
      </c>
      <c r="J544" s="20">
        <v>23</v>
      </c>
    </row>
    <row r="545" spans="1:10" ht="15" customHeight="1" x14ac:dyDescent="0.75">
      <c r="A545" s="18" t="s">
        <v>76</v>
      </c>
      <c r="B545" s="19">
        <v>46104</v>
      </c>
      <c r="C545" s="17">
        <v>13</v>
      </c>
      <c r="D545" s="18" t="s">
        <v>63</v>
      </c>
      <c r="E545" s="19">
        <v>46108</v>
      </c>
      <c r="F545" s="18" t="s">
        <v>57</v>
      </c>
      <c r="G545" s="18" t="s">
        <v>56</v>
      </c>
      <c r="H545" s="17">
        <v>666516</v>
      </c>
      <c r="I545" s="18" t="s">
        <v>23</v>
      </c>
      <c r="J545" s="20">
        <v>8</v>
      </c>
    </row>
    <row r="546" spans="1:10" ht="15" customHeight="1" x14ac:dyDescent="0.75">
      <c r="A546" s="18" t="s">
        <v>76</v>
      </c>
      <c r="B546" s="19">
        <v>46104</v>
      </c>
      <c r="C546" s="17">
        <v>13</v>
      </c>
      <c r="D546" s="18" t="s">
        <v>63</v>
      </c>
      <c r="E546" s="19">
        <v>46108</v>
      </c>
      <c r="F546" s="18" t="s">
        <v>57</v>
      </c>
      <c r="G546" s="18" t="s">
        <v>56</v>
      </c>
      <c r="H546" s="17">
        <v>666517</v>
      </c>
      <c r="I546" s="18" t="s">
        <v>25</v>
      </c>
      <c r="J546" s="20">
        <v>10</v>
      </c>
    </row>
    <row r="547" spans="1:10" ht="15" customHeight="1" x14ac:dyDescent="0.75">
      <c r="A547" s="18" t="s">
        <v>76</v>
      </c>
      <c r="B547" s="19">
        <v>46104</v>
      </c>
      <c r="C547" s="17">
        <v>13</v>
      </c>
      <c r="D547" s="18" t="s">
        <v>63</v>
      </c>
      <c r="E547" s="19">
        <v>46108</v>
      </c>
      <c r="F547" s="18" t="s">
        <v>57</v>
      </c>
      <c r="G547" s="18" t="s">
        <v>56</v>
      </c>
      <c r="H547" s="17">
        <v>666521</v>
      </c>
      <c r="I547" s="18" t="s">
        <v>31</v>
      </c>
      <c r="J547" s="20">
        <v>6</v>
      </c>
    </row>
    <row r="548" spans="1:10" ht="15" customHeight="1" x14ac:dyDescent="0.75">
      <c r="A548" s="18" t="s">
        <v>76</v>
      </c>
      <c r="B548" s="19">
        <v>46104</v>
      </c>
      <c r="C548" s="17">
        <v>13</v>
      </c>
      <c r="D548" s="18" t="s">
        <v>63</v>
      </c>
      <c r="E548" s="19">
        <v>46108</v>
      </c>
      <c r="F548" s="18" t="s">
        <v>57</v>
      </c>
      <c r="G548" s="18" t="s">
        <v>56</v>
      </c>
      <c r="H548" s="17">
        <v>666522</v>
      </c>
      <c r="I548" s="18" t="s">
        <v>33</v>
      </c>
      <c r="J548" s="20">
        <v>20</v>
      </c>
    </row>
    <row r="549" spans="1:10" ht="15" customHeight="1" x14ac:dyDescent="0.75">
      <c r="A549" s="18" t="s">
        <v>76</v>
      </c>
      <c r="B549" s="19">
        <v>46104</v>
      </c>
      <c r="C549" s="17">
        <v>13</v>
      </c>
      <c r="D549" s="18" t="s">
        <v>63</v>
      </c>
      <c r="E549" s="19">
        <v>46108</v>
      </c>
      <c r="F549" s="18" t="s">
        <v>57</v>
      </c>
      <c r="G549" s="18" t="s">
        <v>56</v>
      </c>
      <c r="H549" s="17">
        <v>666531</v>
      </c>
      <c r="I549" s="18" t="s">
        <v>39</v>
      </c>
      <c r="J549" s="20">
        <v>1</v>
      </c>
    </row>
    <row r="550" spans="1:10" ht="15" customHeight="1" x14ac:dyDescent="0.75">
      <c r="A550" s="18" t="s">
        <v>76</v>
      </c>
      <c r="B550" s="19">
        <v>46104</v>
      </c>
      <c r="C550" s="17">
        <v>13</v>
      </c>
      <c r="D550" s="18" t="s">
        <v>63</v>
      </c>
      <c r="E550" s="19">
        <v>46108</v>
      </c>
      <c r="F550" s="18" t="s">
        <v>57</v>
      </c>
      <c r="G550" s="18" t="s">
        <v>56</v>
      </c>
      <c r="H550" s="17">
        <v>666536</v>
      </c>
      <c r="I550" s="18" t="s">
        <v>43</v>
      </c>
      <c r="J550" s="20">
        <v>3</v>
      </c>
    </row>
    <row r="551" spans="1:10" ht="15" customHeight="1" x14ac:dyDescent="0.75">
      <c r="A551" s="18" t="s">
        <v>76</v>
      </c>
      <c r="B551" s="19">
        <v>46104</v>
      </c>
      <c r="C551" s="17">
        <v>13</v>
      </c>
      <c r="D551" s="18" t="s">
        <v>63</v>
      </c>
      <c r="E551" s="19">
        <v>46108</v>
      </c>
      <c r="F551" s="18" t="s">
        <v>65</v>
      </c>
      <c r="G551" s="18" t="s">
        <v>58</v>
      </c>
      <c r="H551" s="17">
        <v>666501</v>
      </c>
      <c r="I551" s="18" t="s">
        <v>5</v>
      </c>
      <c r="J551" s="20">
        <v>66</v>
      </c>
    </row>
    <row r="552" spans="1:10" ht="15" customHeight="1" x14ac:dyDescent="0.75">
      <c r="A552" s="18" t="s">
        <v>76</v>
      </c>
      <c r="B552" s="19">
        <v>46104</v>
      </c>
      <c r="C552" s="17">
        <v>13</v>
      </c>
      <c r="D552" s="18" t="s">
        <v>63</v>
      </c>
      <c r="E552" s="19">
        <v>46108</v>
      </c>
      <c r="F552" s="18" t="s">
        <v>65</v>
      </c>
      <c r="G552" s="18" t="s">
        <v>58</v>
      </c>
      <c r="H552" s="17">
        <v>666502</v>
      </c>
      <c r="I552" s="18" t="s">
        <v>7</v>
      </c>
      <c r="J552" s="20">
        <v>20</v>
      </c>
    </row>
    <row r="553" spans="1:10" ht="15" customHeight="1" x14ac:dyDescent="0.75">
      <c r="A553" s="18" t="s">
        <v>76</v>
      </c>
      <c r="B553" s="19">
        <v>46104</v>
      </c>
      <c r="C553" s="17">
        <v>13</v>
      </c>
      <c r="D553" s="18" t="s">
        <v>63</v>
      </c>
      <c r="E553" s="19">
        <v>46108</v>
      </c>
      <c r="F553" s="18" t="s">
        <v>65</v>
      </c>
      <c r="G553" s="18" t="s">
        <v>58</v>
      </c>
      <c r="H553" s="17">
        <v>666522</v>
      </c>
      <c r="I553" s="18" t="s">
        <v>33</v>
      </c>
      <c r="J553" s="20">
        <v>85</v>
      </c>
    </row>
    <row r="554" spans="1:10" ht="15" customHeight="1" x14ac:dyDescent="0.75">
      <c r="A554" s="18" t="s">
        <v>76</v>
      </c>
      <c r="B554" s="19">
        <v>46104</v>
      </c>
      <c r="C554" s="17">
        <v>13</v>
      </c>
      <c r="D554" s="18" t="s">
        <v>63</v>
      </c>
      <c r="E554" s="19">
        <v>46108</v>
      </c>
      <c r="F554" s="18" t="s">
        <v>65</v>
      </c>
      <c r="G554" s="18" t="s">
        <v>58</v>
      </c>
      <c r="H554" s="17">
        <v>666541</v>
      </c>
      <c r="I554" s="18" t="s">
        <v>41</v>
      </c>
      <c r="J554" s="20">
        <v>28</v>
      </c>
    </row>
    <row r="555" spans="1:10" ht="15" customHeight="1" x14ac:dyDescent="0.75">
      <c r="A555" s="18" t="s">
        <v>77</v>
      </c>
      <c r="B555" s="19">
        <v>46111</v>
      </c>
      <c r="C555" s="17">
        <v>14</v>
      </c>
      <c r="D555" s="18" t="s">
        <v>54</v>
      </c>
      <c r="E555" s="19">
        <v>46111</v>
      </c>
      <c r="F555" s="18" t="s">
        <v>57</v>
      </c>
      <c r="G555" s="18" t="s">
        <v>56</v>
      </c>
      <c r="H555" s="17">
        <v>666501</v>
      </c>
      <c r="I555" s="18" t="s">
        <v>5</v>
      </c>
      <c r="J555" s="20">
        <v>18</v>
      </c>
    </row>
    <row r="556" spans="1:10" ht="15" customHeight="1" x14ac:dyDescent="0.75">
      <c r="A556" s="18" t="s">
        <v>77</v>
      </c>
      <c r="B556" s="19">
        <v>46111</v>
      </c>
      <c r="C556" s="17">
        <v>14</v>
      </c>
      <c r="D556" s="18" t="s">
        <v>54</v>
      </c>
      <c r="E556" s="19">
        <v>46111</v>
      </c>
      <c r="F556" s="18" t="s">
        <v>57</v>
      </c>
      <c r="G556" s="18" t="s">
        <v>56</v>
      </c>
      <c r="H556" s="17">
        <v>666507</v>
      </c>
      <c r="I556" s="18" t="s">
        <v>13</v>
      </c>
      <c r="J556" s="20">
        <v>1</v>
      </c>
    </row>
    <row r="557" spans="1:10" ht="15" customHeight="1" x14ac:dyDescent="0.75">
      <c r="A557" s="18" t="s">
        <v>77</v>
      </c>
      <c r="B557" s="19">
        <v>46111</v>
      </c>
      <c r="C557" s="17">
        <v>14</v>
      </c>
      <c r="D557" s="18" t="s">
        <v>54</v>
      </c>
      <c r="E557" s="19">
        <v>46111</v>
      </c>
      <c r="F557" s="18" t="s">
        <v>57</v>
      </c>
      <c r="G557" s="18" t="s">
        <v>56</v>
      </c>
      <c r="H557" s="17">
        <v>666509</v>
      </c>
      <c r="I557" s="18" t="s">
        <v>15</v>
      </c>
      <c r="J557" s="20">
        <v>10</v>
      </c>
    </row>
    <row r="558" spans="1:10" ht="15" customHeight="1" x14ac:dyDescent="0.75">
      <c r="A558" s="18" t="s">
        <v>77</v>
      </c>
      <c r="B558" s="19">
        <v>46111</v>
      </c>
      <c r="C558" s="17">
        <v>14</v>
      </c>
      <c r="D558" s="18" t="s">
        <v>54</v>
      </c>
      <c r="E558" s="19">
        <v>46111</v>
      </c>
      <c r="F558" s="18" t="s">
        <v>57</v>
      </c>
      <c r="G558" s="18" t="s">
        <v>56</v>
      </c>
      <c r="H558" s="17">
        <v>666517</v>
      </c>
      <c r="I558" s="18" t="s">
        <v>25</v>
      </c>
      <c r="J558" s="20">
        <v>9</v>
      </c>
    </row>
    <row r="559" spans="1:10" ht="15" customHeight="1" x14ac:dyDescent="0.75">
      <c r="A559" s="18" t="s">
        <v>77</v>
      </c>
      <c r="B559" s="19">
        <v>46111</v>
      </c>
      <c r="C559" s="17">
        <v>14</v>
      </c>
      <c r="D559" s="18" t="s">
        <v>54</v>
      </c>
      <c r="E559" s="19">
        <v>46111</v>
      </c>
      <c r="F559" s="18" t="s">
        <v>57</v>
      </c>
      <c r="G559" s="18" t="s">
        <v>56</v>
      </c>
      <c r="H559" s="17">
        <v>666521</v>
      </c>
      <c r="I559" s="18" t="s">
        <v>31</v>
      </c>
      <c r="J559" s="20">
        <v>11</v>
      </c>
    </row>
    <row r="560" spans="1:10" ht="15" customHeight="1" x14ac:dyDescent="0.75">
      <c r="A560" s="18" t="s">
        <v>77</v>
      </c>
      <c r="B560" s="19">
        <v>46111</v>
      </c>
      <c r="C560" s="17">
        <v>14</v>
      </c>
      <c r="D560" s="18" t="s">
        <v>54</v>
      </c>
      <c r="E560" s="19">
        <v>46111</v>
      </c>
      <c r="F560" s="18" t="s">
        <v>57</v>
      </c>
      <c r="G560" s="18" t="s">
        <v>56</v>
      </c>
      <c r="H560" s="17">
        <v>666522</v>
      </c>
      <c r="I560" s="18" t="s">
        <v>33</v>
      </c>
      <c r="J560" s="20">
        <v>35</v>
      </c>
    </row>
    <row r="561" spans="1:10" ht="15" customHeight="1" x14ac:dyDescent="0.75">
      <c r="A561" s="18" t="s">
        <v>77</v>
      </c>
      <c r="B561" s="19">
        <v>46111</v>
      </c>
      <c r="C561" s="17">
        <v>14</v>
      </c>
      <c r="D561" s="18" t="s">
        <v>54</v>
      </c>
      <c r="E561" s="19">
        <v>46111</v>
      </c>
      <c r="F561" s="18" t="s">
        <v>57</v>
      </c>
      <c r="G561" s="18" t="s">
        <v>56</v>
      </c>
      <c r="H561" s="17">
        <v>666536</v>
      </c>
      <c r="I561" s="18" t="s">
        <v>43</v>
      </c>
      <c r="J561" s="20">
        <v>2</v>
      </c>
    </row>
    <row r="562" spans="1:10" ht="15" customHeight="1" x14ac:dyDescent="0.75">
      <c r="A562" s="18" t="s">
        <v>77</v>
      </c>
      <c r="B562" s="19">
        <v>46111</v>
      </c>
      <c r="C562" s="17">
        <v>14</v>
      </c>
      <c r="D562" s="18" t="s">
        <v>54</v>
      </c>
      <c r="E562" s="19">
        <v>46111</v>
      </c>
      <c r="F562" s="18" t="s">
        <v>65</v>
      </c>
      <c r="G562" s="18" t="s">
        <v>58</v>
      </c>
      <c r="H562" s="17">
        <v>666501</v>
      </c>
      <c r="I562" s="18" t="s">
        <v>5</v>
      </c>
      <c r="J562" s="20">
        <v>90</v>
      </c>
    </row>
    <row r="563" spans="1:10" ht="15" customHeight="1" x14ac:dyDescent="0.75">
      <c r="A563" s="18" t="s">
        <v>77</v>
      </c>
      <c r="B563" s="19">
        <v>46111</v>
      </c>
      <c r="C563" s="17">
        <v>14</v>
      </c>
      <c r="D563" s="18" t="s">
        <v>54</v>
      </c>
      <c r="E563" s="19">
        <v>46111</v>
      </c>
      <c r="F563" s="18" t="s">
        <v>65</v>
      </c>
      <c r="G563" s="18" t="s">
        <v>58</v>
      </c>
      <c r="H563" s="17">
        <v>666502</v>
      </c>
      <c r="I563" s="18" t="s">
        <v>7</v>
      </c>
      <c r="J563" s="20">
        <v>17</v>
      </c>
    </row>
    <row r="564" spans="1:10" ht="15" customHeight="1" x14ac:dyDescent="0.75">
      <c r="A564" s="18" t="s">
        <v>77</v>
      </c>
      <c r="B564" s="19">
        <v>46111</v>
      </c>
      <c r="C564" s="17">
        <v>14</v>
      </c>
      <c r="D564" s="18" t="s">
        <v>54</v>
      </c>
      <c r="E564" s="19">
        <v>46111</v>
      </c>
      <c r="F564" s="18" t="s">
        <v>65</v>
      </c>
      <c r="G564" s="18" t="s">
        <v>58</v>
      </c>
      <c r="H564" s="17">
        <v>666506</v>
      </c>
      <c r="I564" s="18" t="s">
        <v>11</v>
      </c>
      <c r="J564" s="20">
        <v>5</v>
      </c>
    </row>
    <row r="565" spans="1:10" ht="15" customHeight="1" x14ac:dyDescent="0.75">
      <c r="A565" s="18" t="s">
        <v>77</v>
      </c>
      <c r="B565" s="19">
        <v>46111</v>
      </c>
      <c r="C565" s="17">
        <v>14</v>
      </c>
      <c r="D565" s="18" t="s">
        <v>54</v>
      </c>
      <c r="E565" s="19">
        <v>46111</v>
      </c>
      <c r="F565" s="18" t="s">
        <v>65</v>
      </c>
      <c r="G565" s="18" t="s">
        <v>58</v>
      </c>
      <c r="H565" s="17">
        <v>666541</v>
      </c>
      <c r="I565" s="18" t="s">
        <v>41</v>
      </c>
      <c r="J565" s="20">
        <v>21</v>
      </c>
    </row>
    <row r="566" spans="1:10" ht="15" customHeight="1" x14ac:dyDescent="0.75">
      <c r="A566" s="18" t="s">
        <v>77</v>
      </c>
      <c r="B566" s="19">
        <v>46111</v>
      </c>
      <c r="C566" s="17">
        <v>14</v>
      </c>
      <c r="D566" s="18" t="s">
        <v>54</v>
      </c>
      <c r="E566" s="19">
        <v>46111</v>
      </c>
      <c r="F566" s="18" t="s">
        <v>55</v>
      </c>
      <c r="G566" s="18" t="s">
        <v>66</v>
      </c>
      <c r="H566" s="17">
        <v>666501</v>
      </c>
      <c r="I566" s="18" t="s">
        <v>5</v>
      </c>
      <c r="J566" s="20">
        <v>12</v>
      </c>
    </row>
    <row r="567" spans="1:10" ht="15" customHeight="1" x14ac:dyDescent="0.75">
      <c r="A567" s="18" t="s">
        <v>77</v>
      </c>
      <c r="B567" s="19">
        <v>46111</v>
      </c>
      <c r="C567" s="17">
        <v>14</v>
      </c>
      <c r="D567" s="18" t="s">
        <v>54</v>
      </c>
      <c r="E567" s="19">
        <v>46111</v>
      </c>
      <c r="F567" s="18" t="s">
        <v>55</v>
      </c>
      <c r="G567" s="18" t="s">
        <v>66</v>
      </c>
      <c r="H567" s="17">
        <v>666502</v>
      </c>
      <c r="I567" s="18" t="s">
        <v>7</v>
      </c>
      <c r="J567" s="20">
        <v>30</v>
      </c>
    </row>
    <row r="568" spans="1:10" ht="15" customHeight="1" x14ac:dyDescent="0.75">
      <c r="A568" s="18" t="s">
        <v>77</v>
      </c>
      <c r="B568" s="19">
        <v>46111</v>
      </c>
      <c r="C568" s="17">
        <v>14</v>
      </c>
      <c r="D568" s="18" t="s">
        <v>54</v>
      </c>
      <c r="E568" s="19">
        <v>46111</v>
      </c>
      <c r="F568" s="18" t="s">
        <v>55</v>
      </c>
      <c r="G568" s="18" t="s">
        <v>66</v>
      </c>
      <c r="H568" s="17">
        <v>666531</v>
      </c>
      <c r="I568" s="18" t="s">
        <v>39</v>
      </c>
      <c r="J568" s="20">
        <v>5</v>
      </c>
    </row>
    <row r="569" spans="1:10" ht="15" customHeight="1" x14ac:dyDescent="0.75">
      <c r="A569" s="18" t="s">
        <v>77</v>
      </c>
      <c r="B569" s="19">
        <v>46111</v>
      </c>
      <c r="C569" s="17">
        <v>14</v>
      </c>
      <c r="D569" s="18" t="s">
        <v>59</v>
      </c>
      <c r="E569" s="19">
        <v>46112</v>
      </c>
      <c r="F569" s="18" t="s">
        <v>65</v>
      </c>
      <c r="G569" s="18" t="s">
        <v>58</v>
      </c>
      <c r="H569" s="17">
        <v>666501</v>
      </c>
      <c r="I569" s="18" t="s">
        <v>5</v>
      </c>
      <c r="J569" s="20">
        <v>159</v>
      </c>
    </row>
    <row r="570" spans="1:10" ht="15" customHeight="1" x14ac:dyDescent="0.75">
      <c r="A570" s="18" t="s">
        <v>77</v>
      </c>
      <c r="B570" s="19">
        <v>46111</v>
      </c>
      <c r="C570" s="17">
        <v>14</v>
      </c>
      <c r="D570" s="18" t="s">
        <v>59</v>
      </c>
      <c r="E570" s="19">
        <v>46112</v>
      </c>
      <c r="F570" s="18" t="s">
        <v>65</v>
      </c>
      <c r="G570" s="18" t="s">
        <v>58</v>
      </c>
      <c r="H570" s="17">
        <v>666502</v>
      </c>
      <c r="I570" s="18" t="s">
        <v>7</v>
      </c>
      <c r="J570" s="20">
        <v>50</v>
      </c>
    </row>
    <row r="571" spans="1:10" ht="15" customHeight="1" x14ac:dyDescent="0.75">
      <c r="A571" s="18" t="s">
        <v>77</v>
      </c>
      <c r="B571" s="19">
        <v>46111</v>
      </c>
      <c r="C571" s="17">
        <v>14</v>
      </c>
      <c r="D571" s="18" t="s">
        <v>59</v>
      </c>
      <c r="E571" s="19">
        <v>46112</v>
      </c>
      <c r="F571" s="18" t="s">
        <v>65</v>
      </c>
      <c r="G571" s="18" t="s">
        <v>58</v>
      </c>
      <c r="H571" s="17">
        <v>666541</v>
      </c>
      <c r="I571" s="18" t="s">
        <v>41</v>
      </c>
      <c r="J571" s="20">
        <v>64</v>
      </c>
    </row>
    <row r="572" spans="1:10" ht="15" customHeight="1" x14ac:dyDescent="0.75">
      <c r="A572" s="18" t="s">
        <v>77</v>
      </c>
      <c r="B572" s="19">
        <v>46111</v>
      </c>
      <c r="C572" s="17">
        <v>14</v>
      </c>
      <c r="D572" s="18" t="s">
        <v>59</v>
      </c>
      <c r="E572" s="19">
        <v>46112</v>
      </c>
      <c r="F572" s="18" t="s">
        <v>55</v>
      </c>
      <c r="G572" s="18" t="s">
        <v>66</v>
      </c>
      <c r="H572" s="17">
        <v>666502</v>
      </c>
      <c r="I572" s="18" t="s">
        <v>7</v>
      </c>
      <c r="J572" s="20">
        <v>20</v>
      </c>
    </row>
    <row r="573" spans="1:10" ht="15" customHeight="1" x14ac:dyDescent="0.75">
      <c r="A573" s="18" t="s">
        <v>77</v>
      </c>
      <c r="B573" s="19">
        <v>46111</v>
      </c>
      <c r="C573" s="17">
        <v>14</v>
      </c>
      <c r="D573" s="18" t="s">
        <v>60</v>
      </c>
      <c r="E573" s="19">
        <v>46113</v>
      </c>
      <c r="F573" s="18" t="s">
        <v>57</v>
      </c>
      <c r="G573" s="18" t="s">
        <v>56</v>
      </c>
      <c r="H573" s="17">
        <v>666501</v>
      </c>
      <c r="I573" s="18" t="s">
        <v>5</v>
      </c>
      <c r="J573" s="20">
        <v>3</v>
      </c>
    </row>
    <row r="574" spans="1:10" ht="15" customHeight="1" x14ac:dyDescent="0.75">
      <c r="A574" s="18" t="s">
        <v>77</v>
      </c>
      <c r="B574" s="19">
        <v>46111</v>
      </c>
      <c r="C574" s="17">
        <v>14</v>
      </c>
      <c r="D574" s="18" t="s">
        <v>60</v>
      </c>
      <c r="E574" s="19">
        <v>46113</v>
      </c>
      <c r="F574" s="18" t="s">
        <v>57</v>
      </c>
      <c r="G574" s="18" t="s">
        <v>56</v>
      </c>
      <c r="H574" s="17">
        <v>666507</v>
      </c>
      <c r="I574" s="18" t="s">
        <v>13</v>
      </c>
      <c r="J574" s="20">
        <v>9</v>
      </c>
    </row>
    <row r="575" spans="1:10" ht="15" customHeight="1" x14ac:dyDescent="0.75">
      <c r="A575" s="18" t="s">
        <v>77</v>
      </c>
      <c r="B575" s="19">
        <v>46111</v>
      </c>
      <c r="C575" s="17">
        <v>14</v>
      </c>
      <c r="D575" s="18" t="s">
        <v>60</v>
      </c>
      <c r="E575" s="19">
        <v>46113</v>
      </c>
      <c r="F575" s="18" t="s">
        <v>57</v>
      </c>
      <c r="G575" s="18" t="s">
        <v>56</v>
      </c>
      <c r="H575" s="17">
        <v>666509</v>
      </c>
      <c r="I575" s="18" t="s">
        <v>15</v>
      </c>
      <c r="J575" s="20">
        <v>24</v>
      </c>
    </row>
    <row r="576" spans="1:10" ht="15" customHeight="1" x14ac:dyDescent="0.75">
      <c r="A576" s="18" t="s">
        <v>77</v>
      </c>
      <c r="B576" s="19">
        <v>46111</v>
      </c>
      <c r="C576" s="17">
        <v>14</v>
      </c>
      <c r="D576" s="18" t="s">
        <v>60</v>
      </c>
      <c r="E576" s="19">
        <v>46113</v>
      </c>
      <c r="F576" s="18" t="s">
        <v>57</v>
      </c>
      <c r="G576" s="18" t="s">
        <v>56</v>
      </c>
      <c r="H576" s="17">
        <v>666511</v>
      </c>
      <c r="I576" s="18" t="s">
        <v>19</v>
      </c>
      <c r="J576" s="20">
        <v>5</v>
      </c>
    </row>
    <row r="577" spans="1:10" ht="15" customHeight="1" x14ac:dyDescent="0.75">
      <c r="A577" s="18" t="s">
        <v>77</v>
      </c>
      <c r="B577" s="19">
        <v>46111</v>
      </c>
      <c r="C577" s="17">
        <v>14</v>
      </c>
      <c r="D577" s="18" t="s">
        <v>60</v>
      </c>
      <c r="E577" s="19">
        <v>46113</v>
      </c>
      <c r="F577" s="18" t="s">
        <v>57</v>
      </c>
      <c r="G577" s="18" t="s">
        <v>56</v>
      </c>
      <c r="H577" s="17">
        <v>666521</v>
      </c>
      <c r="I577" s="18" t="s">
        <v>31</v>
      </c>
      <c r="J577" s="20">
        <v>5</v>
      </c>
    </row>
    <row r="578" spans="1:10" ht="15" customHeight="1" x14ac:dyDescent="0.75">
      <c r="A578" s="18" t="s">
        <v>77</v>
      </c>
      <c r="B578" s="19">
        <v>46111</v>
      </c>
      <c r="C578" s="17">
        <v>14</v>
      </c>
      <c r="D578" s="18" t="s">
        <v>60</v>
      </c>
      <c r="E578" s="19">
        <v>46113</v>
      </c>
      <c r="F578" s="18" t="s">
        <v>57</v>
      </c>
      <c r="G578" s="18" t="s">
        <v>56</v>
      </c>
      <c r="H578" s="17">
        <v>666522</v>
      </c>
      <c r="I578" s="18" t="s">
        <v>33</v>
      </c>
      <c r="J578" s="20">
        <v>10</v>
      </c>
    </row>
    <row r="579" spans="1:10" ht="15" customHeight="1" x14ac:dyDescent="0.75">
      <c r="A579" s="18" t="s">
        <v>77</v>
      </c>
      <c r="B579" s="19">
        <v>46111</v>
      </c>
      <c r="C579" s="17">
        <v>14</v>
      </c>
      <c r="D579" s="18" t="s">
        <v>60</v>
      </c>
      <c r="E579" s="19">
        <v>46113</v>
      </c>
      <c r="F579" s="18" t="s">
        <v>57</v>
      </c>
      <c r="G579" s="18" t="s">
        <v>56</v>
      </c>
      <c r="H579" s="17">
        <v>666536</v>
      </c>
      <c r="I579" s="18" t="s">
        <v>43</v>
      </c>
      <c r="J579" s="20">
        <v>3</v>
      </c>
    </row>
    <row r="580" spans="1:10" ht="15" customHeight="1" x14ac:dyDescent="0.75">
      <c r="A580" s="18" t="s">
        <v>77</v>
      </c>
      <c r="B580" s="19">
        <v>46111</v>
      </c>
      <c r="C580" s="17">
        <v>14</v>
      </c>
      <c r="D580" s="18" t="s">
        <v>60</v>
      </c>
      <c r="E580" s="19">
        <v>46113</v>
      </c>
      <c r="F580" s="18" t="s">
        <v>65</v>
      </c>
      <c r="G580" s="18" t="s">
        <v>58</v>
      </c>
      <c r="H580" s="17">
        <v>666501</v>
      </c>
      <c r="I580" s="18" t="s">
        <v>5</v>
      </c>
      <c r="J580" s="20">
        <v>66</v>
      </c>
    </row>
    <row r="581" spans="1:10" ht="15" customHeight="1" x14ac:dyDescent="0.75">
      <c r="A581" s="18" t="s">
        <v>77</v>
      </c>
      <c r="B581" s="19">
        <v>46111</v>
      </c>
      <c r="C581" s="17">
        <v>14</v>
      </c>
      <c r="D581" s="18" t="s">
        <v>60</v>
      </c>
      <c r="E581" s="19">
        <v>46113</v>
      </c>
      <c r="F581" s="18" t="s">
        <v>65</v>
      </c>
      <c r="G581" s="18" t="s">
        <v>58</v>
      </c>
      <c r="H581" s="17">
        <v>666502</v>
      </c>
      <c r="I581" s="18" t="s">
        <v>7</v>
      </c>
      <c r="J581" s="20">
        <v>66</v>
      </c>
    </row>
    <row r="582" spans="1:10" ht="15" customHeight="1" x14ac:dyDescent="0.75">
      <c r="A582" s="18" t="s">
        <v>77</v>
      </c>
      <c r="B582" s="19">
        <v>46111</v>
      </c>
      <c r="C582" s="17">
        <v>14</v>
      </c>
      <c r="D582" s="18" t="s">
        <v>60</v>
      </c>
      <c r="E582" s="19">
        <v>46113</v>
      </c>
      <c r="F582" s="18" t="s">
        <v>65</v>
      </c>
      <c r="G582" s="18" t="s">
        <v>58</v>
      </c>
      <c r="H582" s="17">
        <v>666522</v>
      </c>
      <c r="I582" s="18" t="s">
        <v>33</v>
      </c>
      <c r="J582" s="20">
        <v>5</v>
      </c>
    </row>
    <row r="583" spans="1:10" ht="15" customHeight="1" x14ac:dyDescent="0.75">
      <c r="A583" s="18" t="s">
        <v>77</v>
      </c>
      <c r="B583" s="19">
        <v>46111</v>
      </c>
      <c r="C583" s="17">
        <v>14</v>
      </c>
      <c r="D583" s="18" t="s">
        <v>60</v>
      </c>
      <c r="E583" s="19">
        <v>46113</v>
      </c>
      <c r="F583" s="18" t="s">
        <v>65</v>
      </c>
      <c r="G583" s="18" t="s">
        <v>58</v>
      </c>
      <c r="H583" s="17">
        <v>666541</v>
      </c>
      <c r="I583" s="18" t="s">
        <v>41</v>
      </c>
      <c r="J583" s="20">
        <v>20</v>
      </c>
    </row>
    <row r="584" spans="1:10" ht="15" customHeight="1" x14ac:dyDescent="0.75">
      <c r="A584" s="18" t="s">
        <v>77</v>
      </c>
      <c r="B584" s="19">
        <v>46111</v>
      </c>
      <c r="C584" s="17">
        <v>14</v>
      </c>
      <c r="D584" s="18" t="s">
        <v>62</v>
      </c>
      <c r="E584" s="19">
        <v>46114</v>
      </c>
      <c r="F584" s="18" t="s">
        <v>57</v>
      </c>
      <c r="G584" s="18" t="s">
        <v>56</v>
      </c>
      <c r="H584" s="17">
        <v>666501</v>
      </c>
      <c r="I584" s="18" t="s">
        <v>5</v>
      </c>
      <c r="J584" s="20">
        <v>18</v>
      </c>
    </row>
    <row r="585" spans="1:10" ht="15" customHeight="1" x14ac:dyDescent="0.75">
      <c r="A585" s="18" t="s">
        <v>77</v>
      </c>
      <c r="B585" s="19">
        <v>46111</v>
      </c>
      <c r="C585" s="17">
        <v>14</v>
      </c>
      <c r="D585" s="18" t="s">
        <v>62</v>
      </c>
      <c r="E585" s="19">
        <v>46114</v>
      </c>
      <c r="F585" s="18" t="s">
        <v>57</v>
      </c>
      <c r="G585" s="18" t="s">
        <v>56</v>
      </c>
      <c r="H585" s="17">
        <v>666507</v>
      </c>
      <c r="I585" s="18" t="s">
        <v>13</v>
      </c>
      <c r="J585" s="20">
        <v>11</v>
      </c>
    </row>
    <row r="586" spans="1:10" ht="15" customHeight="1" x14ac:dyDescent="0.75">
      <c r="A586" s="18" t="s">
        <v>77</v>
      </c>
      <c r="B586" s="19">
        <v>46111</v>
      </c>
      <c r="C586" s="17">
        <v>14</v>
      </c>
      <c r="D586" s="18" t="s">
        <v>62</v>
      </c>
      <c r="E586" s="19">
        <v>46114</v>
      </c>
      <c r="F586" s="18" t="s">
        <v>57</v>
      </c>
      <c r="G586" s="18" t="s">
        <v>56</v>
      </c>
      <c r="H586" s="17">
        <v>666511</v>
      </c>
      <c r="I586" s="18" t="s">
        <v>19</v>
      </c>
      <c r="J586" s="20">
        <v>3</v>
      </c>
    </row>
    <row r="587" spans="1:10" ht="15" customHeight="1" x14ac:dyDescent="0.75">
      <c r="A587" s="18" t="s">
        <v>77</v>
      </c>
      <c r="B587" s="19">
        <v>46111</v>
      </c>
      <c r="C587" s="17">
        <v>14</v>
      </c>
      <c r="D587" s="18" t="s">
        <v>62</v>
      </c>
      <c r="E587" s="19">
        <v>46114</v>
      </c>
      <c r="F587" s="18" t="s">
        <v>57</v>
      </c>
      <c r="G587" s="18" t="s">
        <v>56</v>
      </c>
      <c r="H587" s="17">
        <v>666521</v>
      </c>
      <c r="I587" s="18" t="s">
        <v>31</v>
      </c>
      <c r="J587" s="20">
        <v>10</v>
      </c>
    </row>
    <row r="588" spans="1:10" ht="15" customHeight="1" x14ac:dyDescent="0.75">
      <c r="A588" s="18" t="s">
        <v>77</v>
      </c>
      <c r="B588" s="19">
        <v>46111</v>
      </c>
      <c r="C588" s="17">
        <v>14</v>
      </c>
      <c r="D588" s="18" t="s">
        <v>62</v>
      </c>
      <c r="E588" s="19">
        <v>46114</v>
      </c>
      <c r="F588" s="18" t="s">
        <v>57</v>
      </c>
      <c r="G588" s="18" t="s">
        <v>56</v>
      </c>
      <c r="H588" s="17">
        <v>666536</v>
      </c>
      <c r="I588" s="18" t="s">
        <v>43</v>
      </c>
      <c r="J588" s="20">
        <v>2</v>
      </c>
    </row>
    <row r="589" spans="1:10" ht="15" customHeight="1" x14ac:dyDescent="0.75">
      <c r="A589" s="18" t="s">
        <v>77</v>
      </c>
      <c r="B589" s="19">
        <v>46111</v>
      </c>
      <c r="C589" s="17">
        <v>14</v>
      </c>
      <c r="D589" s="18" t="s">
        <v>62</v>
      </c>
      <c r="E589" s="19">
        <v>46114</v>
      </c>
      <c r="F589" s="18" t="s">
        <v>65</v>
      </c>
      <c r="G589" s="18" t="s">
        <v>58</v>
      </c>
      <c r="H589" s="17">
        <v>666502</v>
      </c>
      <c r="I589" s="18" t="s">
        <v>7</v>
      </c>
      <c r="J589" s="20">
        <v>79</v>
      </c>
    </row>
    <row r="590" spans="1:10" ht="15" customHeight="1" x14ac:dyDescent="0.75">
      <c r="A590" s="18" t="s">
        <v>77</v>
      </c>
      <c r="B590" s="19">
        <v>46111</v>
      </c>
      <c r="C590" s="17">
        <v>14</v>
      </c>
      <c r="D590" s="18" t="s">
        <v>62</v>
      </c>
      <c r="E590" s="19">
        <v>46114</v>
      </c>
      <c r="F590" s="18" t="s">
        <v>65</v>
      </c>
      <c r="G590" s="18" t="s">
        <v>58</v>
      </c>
      <c r="H590" s="17">
        <v>666541</v>
      </c>
      <c r="I590" s="18" t="s">
        <v>41</v>
      </c>
      <c r="J590" s="20">
        <v>20</v>
      </c>
    </row>
    <row r="591" spans="1:10" ht="15" customHeight="1" x14ac:dyDescent="0.75">
      <c r="A591" s="18" t="s">
        <v>77</v>
      </c>
      <c r="B591" s="19">
        <v>46111</v>
      </c>
      <c r="C591" s="17">
        <v>14</v>
      </c>
      <c r="D591" s="18" t="s">
        <v>63</v>
      </c>
      <c r="E591" s="19">
        <v>46115</v>
      </c>
      <c r="F591" s="18" t="s">
        <v>57</v>
      </c>
      <c r="G591" s="18" t="s">
        <v>56</v>
      </c>
      <c r="H591" s="17">
        <v>666507</v>
      </c>
      <c r="I591" s="18" t="s">
        <v>13</v>
      </c>
      <c r="J591" s="20">
        <v>5</v>
      </c>
    </row>
    <row r="592" spans="1:10" ht="15" customHeight="1" x14ac:dyDescent="0.75">
      <c r="A592" s="18" t="s">
        <v>77</v>
      </c>
      <c r="B592" s="19">
        <v>46111</v>
      </c>
      <c r="C592" s="17">
        <v>14</v>
      </c>
      <c r="D592" s="18" t="s">
        <v>63</v>
      </c>
      <c r="E592" s="19">
        <v>46115</v>
      </c>
      <c r="F592" s="18" t="s">
        <v>57</v>
      </c>
      <c r="G592" s="18" t="s">
        <v>56</v>
      </c>
      <c r="H592" s="17">
        <v>666521</v>
      </c>
      <c r="I592" s="18" t="s">
        <v>31</v>
      </c>
      <c r="J592" s="20">
        <v>2</v>
      </c>
    </row>
    <row r="593" spans="1:10" ht="15" customHeight="1" x14ac:dyDescent="0.75">
      <c r="A593" s="18" t="s">
        <v>77</v>
      </c>
      <c r="B593" s="19">
        <v>46111</v>
      </c>
      <c r="C593" s="17">
        <v>14</v>
      </c>
      <c r="D593" s="18" t="s">
        <v>63</v>
      </c>
      <c r="E593" s="19">
        <v>46115</v>
      </c>
      <c r="F593" s="18" t="s">
        <v>57</v>
      </c>
      <c r="G593" s="18" t="s">
        <v>56</v>
      </c>
      <c r="H593" s="17">
        <v>666536</v>
      </c>
      <c r="I593" s="18" t="s">
        <v>43</v>
      </c>
      <c r="J593" s="20">
        <v>4</v>
      </c>
    </row>
    <row r="594" spans="1:10" ht="15" customHeight="1" x14ac:dyDescent="0.75">
      <c r="A594" s="18" t="s">
        <v>77</v>
      </c>
      <c r="B594" s="19">
        <v>46111</v>
      </c>
      <c r="C594" s="17">
        <v>14</v>
      </c>
      <c r="D594" s="18" t="s">
        <v>63</v>
      </c>
      <c r="E594" s="19">
        <v>46115</v>
      </c>
      <c r="F594" s="18" t="s">
        <v>65</v>
      </c>
      <c r="G594" s="18" t="s">
        <v>58</v>
      </c>
      <c r="H594" s="17">
        <v>666502</v>
      </c>
      <c r="I594" s="18" t="s">
        <v>7</v>
      </c>
      <c r="J594" s="20">
        <v>14</v>
      </c>
    </row>
    <row r="595" spans="1:10" ht="15" customHeight="1" x14ac:dyDescent="0.75">
      <c r="A595" s="18" t="s">
        <v>77</v>
      </c>
      <c r="B595" s="19">
        <v>46111</v>
      </c>
      <c r="C595" s="17">
        <v>14</v>
      </c>
      <c r="D595" s="18" t="s">
        <v>63</v>
      </c>
      <c r="E595" s="19">
        <v>46115</v>
      </c>
      <c r="F595" s="18" t="s">
        <v>65</v>
      </c>
      <c r="G595" s="18" t="s">
        <v>58</v>
      </c>
      <c r="H595" s="17">
        <v>666541</v>
      </c>
      <c r="I595" s="18" t="s">
        <v>41</v>
      </c>
      <c r="J595" s="20">
        <v>34</v>
      </c>
    </row>
    <row r="596" spans="1:10" ht="15" customHeight="1" x14ac:dyDescent="0.75">
      <c r="A596" s="18" t="s">
        <v>78</v>
      </c>
      <c r="B596" s="19">
        <v>46118</v>
      </c>
      <c r="C596" s="17">
        <v>15</v>
      </c>
      <c r="D596" s="18" t="s">
        <v>59</v>
      </c>
      <c r="E596" s="19">
        <v>46119</v>
      </c>
      <c r="F596" s="18" t="s">
        <v>65</v>
      </c>
      <c r="G596" s="18" t="s">
        <v>56</v>
      </c>
      <c r="H596" s="17">
        <v>666501</v>
      </c>
      <c r="I596" s="18" t="s">
        <v>5</v>
      </c>
      <c r="J596" s="20">
        <v>6</v>
      </c>
    </row>
    <row r="597" spans="1:10" ht="15" customHeight="1" x14ac:dyDescent="0.75">
      <c r="A597" s="18" t="s">
        <v>78</v>
      </c>
      <c r="B597" s="19">
        <v>46118</v>
      </c>
      <c r="C597" s="17">
        <v>15</v>
      </c>
      <c r="D597" s="18" t="s">
        <v>59</v>
      </c>
      <c r="E597" s="19">
        <v>46119</v>
      </c>
      <c r="F597" s="18" t="s">
        <v>65</v>
      </c>
      <c r="G597" s="18" t="s">
        <v>56</v>
      </c>
      <c r="H597" s="17">
        <v>666505</v>
      </c>
      <c r="I597" s="18" t="s">
        <v>9</v>
      </c>
      <c r="J597" s="20">
        <v>19</v>
      </c>
    </row>
    <row r="598" spans="1:10" ht="15" customHeight="1" x14ac:dyDescent="0.75">
      <c r="A598" s="18" t="s">
        <v>78</v>
      </c>
      <c r="B598" s="19">
        <v>46118</v>
      </c>
      <c r="C598" s="17">
        <v>15</v>
      </c>
      <c r="D598" s="18" t="s">
        <v>59</v>
      </c>
      <c r="E598" s="19">
        <v>46119</v>
      </c>
      <c r="F598" s="18" t="s">
        <v>65</v>
      </c>
      <c r="G598" s="18" t="s">
        <v>56</v>
      </c>
      <c r="H598" s="17">
        <v>666509</v>
      </c>
      <c r="I598" s="18" t="s">
        <v>15</v>
      </c>
      <c r="J598" s="20">
        <v>10</v>
      </c>
    </row>
    <row r="599" spans="1:10" ht="15" customHeight="1" x14ac:dyDescent="0.75">
      <c r="A599" s="18" t="s">
        <v>78</v>
      </c>
      <c r="B599" s="19">
        <v>46118</v>
      </c>
      <c r="C599" s="17">
        <v>15</v>
      </c>
      <c r="D599" s="18" t="s">
        <v>59</v>
      </c>
      <c r="E599" s="19">
        <v>46119</v>
      </c>
      <c r="F599" s="18" t="s">
        <v>65</v>
      </c>
      <c r="G599" s="18" t="s">
        <v>56</v>
      </c>
      <c r="H599" s="17">
        <v>666513</v>
      </c>
      <c r="I599" s="18" t="s">
        <v>21</v>
      </c>
      <c r="J599" s="20">
        <v>6</v>
      </c>
    </row>
    <row r="600" spans="1:10" ht="15" customHeight="1" x14ac:dyDescent="0.75">
      <c r="A600" s="18" t="s">
        <v>78</v>
      </c>
      <c r="B600" s="19">
        <v>46118</v>
      </c>
      <c r="C600" s="17">
        <v>15</v>
      </c>
      <c r="D600" s="18" t="s">
        <v>59</v>
      </c>
      <c r="E600" s="19">
        <v>46119</v>
      </c>
      <c r="F600" s="18" t="s">
        <v>65</v>
      </c>
      <c r="G600" s="18" t="s">
        <v>56</v>
      </c>
      <c r="H600" s="17">
        <v>666516</v>
      </c>
      <c r="I600" s="18" t="s">
        <v>23</v>
      </c>
      <c r="J600" s="20">
        <v>19</v>
      </c>
    </row>
    <row r="601" spans="1:10" ht="15" customHeight="1" x14ac:dyDescent="0.75">
      <c r="A601" s="18" t="s">
        <v>78</v>
      </c>
      <c r="B601" s="19">
        <v>46118</v>
      </c>
      <c r="C601" s="17">
        <v>15</v>
      </c>
      <c r="D601" s="18" t="s">
        <v>59</v>
      </c>
      <c r="E601" s="19">
        <v>46119</v>
      </c>
      <c r="F601" s="18" t="s">
        <v>65</v>
      </c>
      <c r="G601" s="18" t="s">
        <v>56</v>
      </c>
      <c r="H601" s="17">
        <v>666517</v>
      </c>
      <c r="I601" s="18" t="s">
        <v>25</v>
      </c>
      <c r="J601" s="20">
        <v>17</v>
      </c>
    </row>
    <row r="602" spans="1:10" ht="15" customHeight="1" x14ac:dyDescent="0.75">
      <c r="A602" s="18" t="s">
        <v>78</v>
      </c>
      <c r="B602" s="19">
        <v>46118</v>
      </c>
      <c r="C602" s="17">
        <v>15</v>
      </c>
      <c r="D602" s="18" t="s">
        <v>59</v>
      </c>
      <c r="E602" s="19">
        <v>46119</v>
      </c>
      <c r="F602" s="18" t="s">
        <v>65</v>
      </c>
      <c r="G602" s="18" t="s">
        <v>56</v>
      </c>
      <c r="H602" s="17">
        <v>666519</v>
      </c>
      <c r="I602" s="18" t="s">
        <v>29</v>
      </c>
      <c r="J602" s="20">
        <v>26</v>
      </c>
    </row>
    <row r="603" spans="1:10" ht="15" customHeight="1" x14ac:dyDescent="0.75">
      <c r="A603" s="18" t="s">
        <v>78</v>
      </c>
      <c r="B603" s="19">
        <v>46118</v>
      </c>
      <c r="C603" s="17">
        <v>15</v>
      </c>
      <c r="D603" s="18" t="s">
        <v>59</v>
      </c>
      <c r="E603" s="19">
        <v>46119</v>
      </c>
      <c r="F603" s="18" t="s">
        <v>65</v>
      </c>
      <c r="G603" s="18" t="s">
        <v>56</v>
      </c>
      <c r="H603" s="17">
        <v>666521</v>
      </c>
      <c r="I603" s="18" t="s">
        <v>31</v>
      </c>
      <c r="J603" s="20">
        <v>10</v>
      </c>
    </row>
    <row r="604" spans="1:10" ht="15" customHeight="1" x14ac:dyDescent="0.75">
      <c r="A604" s="18" t="s">
        <v>78</v>
      </c>
      <c r="B604" s="19">
        <v>46118</v>
      </c>
      <c r="C604" s="17">
        <v>15</v>
      </c>
      <c r="D604" s="18" t="s">
        <v>59</v>
      </c>
      <c r="E604" s="19">
        <v>46119</v>
      </c>
      <c r="F604" s="18" t="s">
        <v>65</v>
      </c>
      <c r="G604" s="18" t="s">
        <v>56</v>
      </c>
      <c r="H604" s="17">
        <v>666522</v>
      </c>
      <c r="I604" s="18" t="s">
        <v>33</v>
      </c>
      <c r="J604" s="20">
        <v>45</v>
      </c>
    </row>
    <row r="605" spans="1:10" ht="15" customHeight="1" x14ac:dyDescent="0.75">
      <c r="A605" s="18" t="s">
        <v>78</v>
      </c>
      <c r="B605" s="19">
        <v>46118</v>
      </c>
      <c r="C605" s="17">
        <v>15</v>
      </c>
      <c r="D605" s="18" t="s">
        <v>59</v>
      </c>
      <c r="E605" s="19">
        <v>46119</v>
      </c>
      <c r="F605" s="18" t="s">
        <v>65</v>
      </c>
      <c r="G605" s="18" t="s">
        <v>56</v>
      </c>
      <c r="H605" s="17">
        <v>666531</v>
      </c>
      <c r="I605" s="18" t="s">
        <v>39</v>
      </c>
      <c r="J605" s="20">
        <v>12</v>
      </c>
    </row>
    <row r="606" spans="1:10" ht="15" customHeight="1" x14ac:dyDescent="0.75">
      <c r="A606" s="18" t="s">
        <v>78</v>
      </c>
      <c r="B606" s="19">
        <v>46118</v>
      </c>
      <c r="C606" s="17">
        <v>15</v>
      </c>
      <c r="D606" s="18" t="s">
        <v>59</v>
      </c>
      <c r="E606" s="19">
        <v>46119</v>
      </c>
      <c r="F606" s="18" t="s">
        <v>57</v>
      </c>
      <c r="G606" s="18" t="s">
        <v>58</v>
      </c>
      <c r="H606" s="17">
        <v>666501</v>
      </c>
      <c r="I606" s="18" t="s">
        <v>5</v>
      </c>
      <c r="J606" s="20">
        <v>87</v>
      </c>
    </row>
    <row r="607" spans="1:10" ht="15" customHeight="1" x14ac:dyDescent="0.75">
      <c r="A607" s="18" t="s">
        <v>78</v>
      </c>
      <c r="B607" s="19">
        <v>46118</v>
      </c>
      <c r="C607" s="17">
        <v>15</v>
      </c>
      <c r="D607" s="18" t="s">
        <v>59</v>
      </c>
      <c r="E607" s="19">
        <v>46119</v>
      </c>
      <c r="F607" s="18" t="s">
        <v>57</v>
      </c>
      <c r="G607" s="18" t="s">
        <v>58</v>
      </c>
      <c r="H607" s="17">
        <v>666502</v>
      </c>
      <c r="I607" s="18" t="s">
        <v>7</v>
      </c>
      <c r="J607" s="20">
        <v>11</v>
      </c>
    </row>
    <row r="608" spans="1:10" ht="15" customHeight="1" x14ac:dyDescent="0.75">
      <c r="A608" s="18" t="s">
        <v>78</v>
      </c>
      <c r="B608" s="19">
        <v>46118</v>
      </c>
      <c r="C608" s="17">
        <v>15</v>
      </c>
      <c r="D608" s="18" t="s">
        <v>59</v>
      </c>
      <c r="E608" s="19">
        <v>46119</v>
      </c>
      <c r="F608" s="18" t="s">
        <v>57</v>
      </c>
      <c r="G608" s="18" t="s">
        <v>58</v>
      </c>
      <c r="H608" s="17">
        <v>666506</v>
      </c>
      <c r="I608" s="18" t="s">
        <v>11</v>
      </c>
      <c r="J608" s="20">
        <v>6</v>
      </c>
    </row>
    <row r="609" spans="1:10" ht="15" customHeight="1" x14ac:dyDescent="0.75">
      <c r="A609" s="18" t="s">
        <v>78</v>
      </c>
      <c r="B609" s="19">
        <v>46118</v>
      </c>
      <c r="C609" s="17">
        <v>15</v>
      </c>
      <c r="D609" s="18" t="s">
        <v>59</v>
      </c>
      <c r="E609" s="19">
        <v>46119</v>
      </c>
      <c r="F609" s="18" t="s">
        <v>57</v>
      </c>
      <c r="G609" s="18" t="s">
        <v>58</v>
      </c>
      <c r="H609" s="17">
        <v>666522</v>
      </c>
      <c r="I609" s="18" t="s">
        <v>33</v>
      </c>
      <c r="J609" s="20">
        <v>60</v>
      </c>
    </row>
    <row r="610" spans="1:10" ht="15" customHeight="1" x14ac:dyDescent="0.75">
      <c r="A610" s="18" t="s">
        <v>78</v>
      </c>
      <c r="B610" s="19">
        <v>46118</v>
      </c>
      <c r="C610" s="17">
        <v>15</v>
      </c>
      <c r="D610" s="18" t="s">
        <v>59</v>
      </c>
      <c r="E610" s="19">
        <v>46119</v>
      </c>
      <c r="F610" s="18" t="s">
        <v>57</v>
      </c>
      <c r="G610" s="18" t="s">
        <v>58</v>
      </c>
      <c r="H610" s="17">
        <v>666541</v>
      </c>
      <c r="I610" s="18" t="s">
        <v>41</v>
      </c>
      <c r="J610" s="20">
        <v>55</v>
      </c>
    </row>
    <row r="611" spans="1:10" ht="15" customHeight="1" x14ac:dyDescent="0.75">
      <c r="A611" s="18" t="s">
        <v>78</v>
      </c>
      <c r="B611" s="19">
        <v>46118</v>
      </c>
      <c r="C611" s="17">
        <v>15</v>
      </c>
      <c r="D611" s="18" t="s">
        <v>59</v>
      </c>
      <c r="E611" s="19">
        <v>46119</v>
      </c>
      <c r="F611" s="18" t="s">
        <v>55</v>
      </c>
      <c r="G611" s="18" t="s">
        <v>66</v>
      </c>
      <c r="H611" s="17">
        <v>666501</v>
      </c>
      <c r="I611" s="18" t="s">
        <v>5</v>
      </c>
      <c r="J611" s="20">
        <v>30</v>
      </c>
    </row>
    <row r="612" spans="1:10" ht="15" customHeight="1" x14ac:dyDescent="0.75">
      <c r="A612" s="18" t="s">
        <v>78</v>
      </c>
      <c r="B612" s="19">
        <v>46118</v>
      </c>
      <c r="C612" s="17">
        <v>15</v>
      </c>
      <c r="D612" s="18" t="s">
        <v>59</v>
      </c>
      <c r="E612" s="19">
        <v>46119</v>
      </c>
      <c r="F612" s="18" t="s">
        <v>55</v>
      </c>
      <c r="G612" s="18" t="s">
        <v>66</v>
      </c>
      <c r="H612" s="17">
        <v>666505</v>
      </c>
      <c r="I612" s="18" t="s">
        <v>9</v>
      </c>
      <c r="J612" s="20">
        <v>39</v>
      </c>
    </row>
    <row r="613" spans="1:10" ht="15" customHeight="1" x14ac:dyDescent="0.75">
      <c r="A613" s="18" t="s">
        <v>78</v>
      </c>
      <c r="B613" s="19">
        <v>46118</v>
      </c>
      <c r="C613" s="17">
        <v>15</v>
      </c>
      <c r="D613" s="18" t="s">
        <v>59</v>
      </c>
      <c r="E613" s="19">
        <v>46119</v>
      </c>
      <c r="F613" s="18" t="s">
        <v>55</v>
      </c>
      <c r="G613" s="18" t="s">
        <v>66</v>
      </c>
      <c r="H613" s="17">
        <v>666513</v>
      </c>
      <c r="I613" s="18" t="s">
        <v>21</v>
      </c>
      <c r="J613" s="20">
        <v>14</v>
      </c>
    </row>
    <row r="614" spans="1:10" ht="15" customHeight="1" x14ac:dyDescent="0.75">
      <c r="A614" s="18" t="s">
        <v>78</v>
      </c>
      <c r="B614" s="19">
        <v>46118</v>
      </c>
      <c r="C614" s="17">
        <v>15</v>
      </c>
      <c r="D614" s="18" t="s">
        <v>59</v>
      </c>
      <c r="E614" s="19">
        <v>46119</v>
      </c>
      <c r="F614" s="18" t="s">
        <v>55</v>
      </c>
      <c r="G614" s="18" t="s">
        <v>66</v>
      </c>
      <c r="H614" s="17">
        <v>666516</v>
      </c>
      <c r="I614" s="18" t="s">
        <v>23</v>
      </c>
      <c r="J614" s="20">
        <v>26</v>
      </c>
    </row>
    <row r="615" spans="1:10" ht="15" customHeight="1" x14ac:dyDescent="0.75">
      <c r="A615" s="18" t="s">
        <v>78</v>
      </c>
      <c r="B615" s="19">
        <v>46118</v>
      </c>
      <c r="C615" s="17">
        <v>15</v>
      </c>
      <c r="D615" s="18" t="s">
        <v>59</v>
      </c>
      <c r="E615" s="19">
        <v>46119</v>
      </c>
      <c r="F615" s="18" t="s">
        <v>55</v>
      </c>
      <c r="G615" s="18" t="s">
        <v>66</v>
      </c>
      <c r="H615" s="17">
        <v>666517</v>
      </c>
      <c r="I615" s="18" t="s">
        <v>25</v>
      </c>
      <c r="J615" s="20">
        <v>17</v>
      </c>
    </row>
    <row r="616" spans="1:10" ht="15" customHeight="1" x14ac:dyDescent="0.75">
      <c r="A616" s="18" t="s">
        <v>78</v>
      </c>
      <c r="B616" s="19">
        <v>46118</v>
      </c>
      <c r="C616" s="17">
        <v>15</v>
      </c>
      <c r="D616" s="18" t="s">
        <v>59</v>
      </c>
      <c r="E616" s="19">
        <v>46119</v>
      </c>
      <c r="F616" s="18" t="s">
        <v>55</v>
      </c>
      <c r="G616" s="18" t="s">
        <v>66</v>
      </c>
      <c r="H616" s="17">
        <v>666519</v>
      </c>
      <c r="I616" s="18" t="s">
        <v>29</v>
      </c>
      <c r="J616" s="20">
        <v>26</v>
      </c>
    </row>
    <row r="617" spans="1:10" ht="15" customHeight="1" x14ac:dyDescent="0.75">
      <c r="A617" s="18" t="s">
        <v>78</v>
      </c>
      <c r="B617" s="19">
        <v>46118</v>
      </c>
      <c r="C617" s="17">
        <v>15</v>
      </c>
      <c r="D617" s="18" t="s">
        <v>59</v>
      </c>
      <c r="E617" s="19">
        <v>46119</v>
      </c>
      <c r="F617" s="18" t="s">
        <v>55</v>
      </c>
      <c r="G617" s="18" t="s">
        <v>66</v>
      </c>
      <c r="H617" s="17">
        <v>666522</v>
      </c>
      <c r="I617" s="18" t="s">
        <v>33</v>
      </c>
      <c r="J617" s="20">
        <v>35</v>
      </c>
    </row>
    <row r="618" spans="1:10" ht="15" customHeight="1" x14ac:dyDescent="0.75">
      <c r="A618" s="18" t="s">
        <v>78</v>
      </c>
      <c r="B618" s="19">
        <v>46118</v>
      </c>
      <c r="C618" s="17">
        <v>15</v>
      </c>
      <c r="D618" s="18" t="s">
        <v>59</v>
      </c>
      <c r="E618" s="19">
        <v>46119</v>
      </c>
      <c r="F618" s="18" t="s">
        <v>55</v>
      </c>
      <c r="G618" s="18" t="s">
        <v>66</v>
      </c>
      <c r="H618" s="17">
        <v>666523</v>
      </c>
      <c r="I618" s="18" t="s">
        <v>35</v>
      </c>
      <c r="J618" s="20">
        <v>20</v>
      </c>
    </row>
    <row r="619" spans="1:10" ht="15" customHeight="1" x14ac:dyDescent="0.75">
      <c r="A619" s="18" t="s">
        <v>78</v>
      </c>
      <c r="B619" s="19">
        <v>46118</v>
      </c>
      <c r="C619" s="17">
        <v>15</v>
      </c>
      <c r="D619" s="18" t="s">
        <v>59</v>
      </c>
      <c r="E619" s="19">
        <v>46119</v>
      </c>
      <c r="F619" s="18" t="s">
        <v>55</v>
      </c>
      <c r="G619" s="18" t="s">
        <v>66</v>
      </c>
      <c r="H619" s="17">
        <v>666530</v>
      </c>
      <c r="I619" s="18" t="s">
        <v>37</v>
      </c>
      <c r="J619" s="20">
        <v>17</v>
      </c>
    </row>
    <row r="620" spans="1:10" ht="15" customHeight="1" x14ac:dyDescent="0.75">
      <c r="A620" s="18" t="s">
        <v>78</v>
      </c>
      <c r="B620" s="19">
        <v>46118</v>
      </c>
      <c r="C620" s="17">
        <v>15</v>
      </c>
      <c r="D620" s="18" t="s">
        <v>59</v>
      </c>
      <c r="E620" s="19">
        <v>46119</v>
      </c>
      <c r="F620" s="18" t="s">
        <v>55</v>
      </c>
      <c r="G620" s="18" t="s">
        <v>66</v>
      </c>
      <c r="H620" s="17">
        <v>666531</v>
      </c>
      <c r="I620" s="18" t="s">
        <v>39</v>
      </c>
      <c r="J620" s="20">
        <v>8</v>
      </c>
    </row>
    <row r="621" spans="1:10" ht="15" customHeight="1" x14ac:dyDescent="0.75">
      <c r="A621" s="18" t="s">
        <v>78</v>
      </c>
      <c r="B621" s="19">
        <v>46118</v>
      </c>
      <c r="C621" s="17">
        <v>15</v>
      </c>
      <c r="D621" s="18" t="s">
        <v>60</v>
      </c>
      <c r="E621" s="19">
        <v>46120</v>
      </c>
      <c r="F621" s="18" t="s">
        <v>65</v>
      </c>
      <c r="G621" s="18" t="s">
        <v>56</v>
      </c>
      <c r="H621" s="17">
        <v>666501</v>
      </c>
      <c r="I621" s="18" t="s">
        <v>5</v>
      </c>
      <c r="J621" s="20">
        <v>9</v>
      </c>
    </row>
    <row r="622" spans="1:10" ht="15" customHeight="1" x14ac:dyDescent="0.75">
      <c r="A622" s="18" t="s">
        <v>78</v>
      </c>
      <c r="B622" s="19">
        <v>46118</v>
      </c>
      <c r="C622" s="17">
        <v>15</v>
      </c>
      <c r="D622" s="18" t="s">
        <v>60</v>
      </c>
      <c r="E622" s="19">
        <v>46120</v>
      </c>
      <c r="F622" s="18" t="s">
        <v>65</v>
      </c>
      <c r="G622" s="18" t="s">
        <v>56</v>
      </c>
      <c r="H622" s="17">
        <v>666509</v>
      </c>
      <c r="I622" s="18" t="s">
        <v>15</v>
      </c>
      <c r="J622" s="20">
        <v>10</v>
      </c>
    </row>
    <row r="623" spans="1:10" ht="15" customHeight="1" x14ac:dyDescent="0.75">
      <c r="A623" s="18" t="s">
        <v>78</v>
      </c>
      <c r="B623" s="19">
        <v>46118</v>
      </c>
      <c r="C623" s="17">
        <v>15</v>
      </c>
      <c r="D623" s="18" t="s">
        <v>60</v>
      </c>
      <c r="E623" s="19">
        <v>46120</v>
      </c>
      <c r="F623" s="18" t="s">
        <v>65</v>
      </c>
      <c r="G623" s="18" t="s">
        <v>56</v>
      </c>
      <c r="H623" s="17">
        <v>666516</v>
      </c>
      <c r="I623" s="18" t="s">
        <v>23</v>
      </c>
      <c r="J623" s="20">
        <v>12</v>
      </c>
    </row>
    <row r="624" spans="1:10" ht="15" customHeight="1" x14ac:dyDescent="0.75">
      <c r="A624" s="18" t="s">
        <v>78</v>
      </c>
      <c r="B624" s="19">
        <v>46118</v>
      </c>
      <c r="C624" s="17">
        <v>15</v>
      </c>
      <c r="D624" s="18" t="s">
        <v>60</v>
      </c>
      <c r="E624" s="19">
        <v>46120</v>
      </c>
      <c r="F624" s="18" t="s">
        <v>65</v>
      </c>
      <c r="G624" s="18" t="s">
        <v>56</v>
      </c>
      <c r="H624" s="17">
        <v>666517</v>
      </c>
      <c r="I624" s="18" t="s">
        <v>25</v>
      </c>
      <c r="J624" s="20">
        <v>22</v>
      </c>
    </row>
    <row r="625" spans="1:10" ht="15" customHeight="1" x14ac:dyDescent="0.75">
      <c r="A625" s="18" t="s">
        <v>78</v>
      </c>
      <c r="B625" s="19">
        <v>46118</v>
      </c>
      <c r="C625" s="17">
        <v>15</v>
      </c>
      <c r="D625" s="18" t="s">
        <v>60</v>
      </c>
      <c r="E625" s="19">
        <v>46120</v>
      </c>
      <c r="F625" s="18" t="s">
        <v>65</v>
      </c>
      <c r="G625" s="18" t="s">
        <v>56</v>
      </c>
      <c r="H625" s="17">
        <v>666521</v>
      </c>
      <c r="I625" s="18" t="s">
        <v>31</v>
      </c>
      <c r="J625" s="20">
        <v>17</v>
      </c>
    </row>
    <row r="626" spans="1:10" ht="15" customHeight="1" x14ac:dyDescent="0.75">
      <c r="A626" s="18" t="s">
        <v>78</v>
      </c>
      <c r="B626" s="19">
        <v>46118</v>
      </c>
      <c r="C626" s="17">
        <v>15</v>
      </c>
      <c r="D626" s="18" t="s">
        <v>60</v>
      </c>
      <c r="E626" s="19">
        <v>46120</v>
      </c>
      <c r="F626" s="18" t="s">
        <v>65</v>
      </c>
      <c r="G626" s="18" t="s">
        <v>56</v>
      </c>
      <c r="H626" s="17">
        <v>666522</v>
      </c>
      <c r="I626" s="18" t="s">
        <v>33</v>
      </c>
      <c r="J626" s="20">
        <v>35</v>
      </c>
    </row>
    <row r="627" spans="1:10" ht="15" customHeight="1" x14ac:dyDescent="0.75">
      <c r="A627" s="18" t="s">
        <v>78</v>
      </c>
      <c r="B627" s="19">
        <v>46118</v>
      </c>
      <c r="C627" s="17">
        <v>15</v>
      </c>
      <c r="D627" s="18" t="s">
        <v>60</v>
      </c>
      <c r="E627" s="19">
        <v>46120</v>
      </c>
      <c r="F627" s="18" t="s">
        <v>65</v>
      </c>
      <c r="G627" s="18" t="s">
        <v>56</v>
      </c>
      <c r="H627" s="17">
        <v>666531</v>
      </c>
      <c r="I627" s="18" t="s">
        <v>39</v>
      </c>
      <c r="J627" s="20">
        <v>8</v>
      </c>
    </row>
    <row r="628" spans="1:10" ht="15" customHeight="1" x14ac:dyDescent="0.75">
      <c r="A628" s="18" t="s">
        <v>78</v>
      </c>
      <c r="B628" s="19">
        <v>46118</v>
      </c>
      <c r="C628" s="17">
        <v>15</v>
      </c>
      <c r="D628" s="18" t="s">
        <v>60</v>
      </c>
      <c r="E628" s="19">
        <v>46120</v>
      </c>
      <c r="F628" s="18" t="s">
        <v>65</v>
      </c>
      <c r="G628" s="18" t="s">
        <v>56</v>
      </c>
      <c r="H628" s="17">
        <v>666536</v>
      </c>
      <c r="I628" s="18" t="s">
        <v>43</v>
      </c>
      <c r="J628" s="20">
        <v>3</v>
      </c>
    </row>
    <row r="629" spans="1:10" ht="15" customHeight="1" x14ac:dyDescent="0.75">
      <c r="A629" s="18" t="s">
        <v>78</v>
      </c>
      <c r="B629" s="19">
        <v>46118</v>
      </c>
      <c r="C629" s="17">
        <v>15</v>
      </c>
      <c r="D629" s="18" t="s">
        <v>60</v>
      </c>
      <c r="E629" s="19">
        <v>46120</v>
      </c>
      <c r="F629" s="18" t="s">
        <v>57</v>
      </c>
      <c r="G629" s="18" t="s">
        <v>58</v>
      </c>
      <c r="H629" s="17">
        <v>666501</v>
      </c>
      <c r="I629" s="18" t="s">
        <v>5</v>
      </c>
      <c r="J629" s="20">
        <v>96</v>
      </c>
    </row>
    <row r="630" spans="1:10" ht="15" customHeight="1" x14ac:dyDescent="0.75">
      <c r="A630" s="18" t="s">
        <v>78</v>
      </c>
      <c r="B630" s="19">
        <v>46118</v>
      </c>
      <c r="C630" s="17">
        <v>15</v>
      </c>
      <c r="D630" s="18" t="s">
        <v>60</v>
      </c>
      <c r="E630" s="19">
        <v>46120</v>
      </c>
      <c r="F630" s="18" t="s">
        <v>57</v>
      </c>
      <c r="G630" s="18" t="s">
        <v>58</v>
      </c>
      <c r="H630" s="17">
        <v>666502</v>
      </c>
      <c r="I630" s="18" t="s">
        <v>7</v>
      </c>
      <c r="J630" s="20">
        <v>39</v>
      </c>
    </row>
    <row r="631" spans="1:10" ht="15" customHeight="1" x14ac:dyDescent="0.75">
      <c r="A631" s="18" t="s">
        <v>78</v>
      </c>
      <c r="B631" s="19">
        <v>46118</v>
      </c>
      <c r="C631" s="17">
        <v>15</v>
      </c>
      <c r="D631" s="18" t="s">
        <v>60</v>
      </c>
      <c r="E631" s="19">
        <v>46120</v>
      </c>
      <c r="F631" s="18" t="s">
        <v>57</v>
      </c>
      <c r="G631" s="18" t="s">
        <v>58</v>
      </c>
      <c r="H631" s="17">
        <v>666506</v>
      </c>
      <c r="I631" s="18" t="s">
        <v>11</v>
      </c>
      <c r="J631" s="20">
        <v>7</v>
      </c>
    </row>
    <row r="632" spans="1:10" ht="15" customHeight="1" x14ac:dyDescent="0.75">
      <c r="A632" s="18" t="s">
        <v>78</v>
      </c>
      <c r="B632" s="19">
        <v>46118</v>
      </c>
      <c r="C632" s="17">
        <v>15</v>
      </c>
      <c r="D632" s="18" t="s">
        <v>60</v>
      </c>
      <c r="E632" s="19">
        <v>46120</v>
      </c>
      <c r="F632" s="18" t="s">
        <v>57</v>
      </c>
      <c r="G632" s="18" t="s">
        <v>58</v>
      </c>
      <c r="H632" s="17">
        <v>666522</v>
      </c>
      <c r="I632" s="18" t="s">
        <v>33</v>
      </c>
      <c r="J632" s="20">
        <v>110</v>
      </c>
    </row>
    <row r="633" spans="1:10" ht="15" customHeight="1" x14ac:dyDescent="0.75">
      <c r="A633" s="18" t="s">
        <v>78</v>
      </c>
      <c r="B633" s="19">
        <v>46118</v>
      </c>
      <c r="C633" s="17">
        <v>15</v>
      </c>
      <c r="D633" s="18" t="s">
        <v>60</v>
      </c>
      <c r="E633" s="19">
        <v>46120</v>
      </c>
      <c r="F633" s="18" t="s">
        <v>57</v>
      </c>
      <c r="G633" s="18" t="s">
        <v>58</v>
      </c>
      <c r="H633" s="17">
        <v>666541</v>
      </c>
      <c r="I633" s="18" t="s">
        <v>41</v>
      </c>
      <c r="J633" s="20">
        <v>56</v>
      </c>
    </row>
    <row r="634" spans="1:10" ht="15" customHeight="1" x14ac:dyDescent="0.75">
      <c r="A634" s="18" t="s">
        <v>78</v>
      </c>
      <c r="B634" s="19">
        <v>46118</v>
      </c>
      <c r="C634" s="17">
        <v>15</v>
      </c>
      <c r="D634" s="18" t="s">
        <v>62</v>
      </c>
      <c r="E634" s="19">
        <v>46121</v>
      </c>
      <c r="F634" s="18" t="s">
        <v>65</v>
      </c>
      <c r="G634" s="18" t="s">
        <v>56</v>
      </c>
      <c r="H634" s="17">
        <v>666501</v>
      </c>
      <c r="I634" s="18" t="s">
        <v>5</v>
      </c>
      <c r="J634" s="20">
        <v>3</v>
      </c>
    </row>
    <row r="635" spans="1:10" ht="15" customHeight="1" x14ac:dyDescent="0.75">
      <c r="A635" s="18" t="s">
        <v>78</v>
      </c>
      <c r="B635" s="19">
        <v>46118</v>
      </c>
      <c r="C635" s="17">
        <v>15</v>
      </c>
      <c r="D635" s="18" t="s">
        <v>62</v>
      </c>
      <c r="E635" s="19">
        <v>46121</v>
      </c>
      <c r="F635" s="18" t="s">
        <v>65</v>
      </c>
      <c r="G635" s="18" t="s">
        <v>56</v>
      </c>
      <c r="H635" s="17">
        <v>666509</v>
      </c>
      <c r="I635" s="18" t="s">
        <v>15</v>
      </c>
      <c r="J635" s="20">
        <v>15</v>
      </c>
    </row>
    <row r="636" spans="1:10" ht="15" customHeight="1" x14ac:dyDescent="0.75">
      <c r="A636" s="18" t="s">
        <v>78</v>
      </c>
      <c r="B636" s="19">
        <v>46118</v>
      </c>
      <c r="C636" s="17">
        <v>15</v>
      </c>
      <c r="D636" s="18" t="s">
        <v>62</v>
      </c>
      <c r="E636" s="19">
        <v>46121</v>
      </c>
      <c r="F636" s="18" t="s">
        <v>65</v>
      </c>
      <c r="G636" s="18" t="s">
        <v>56</v>
      </c>
      <c r="H636" s="17">
        <v>666521</v>
      </c>
      <c r="I636" s="18" t="s">
        <v>31</v>
      </c>
      <c r="J636" s="20">
        <v>17</v>
      </c>
    </row>
    <row r="637" spans="1:10" ht="15" customHeight="1" x14ac:dyDescent="0.75">
      <c r="A637" s="18" t="s">
        <v>78</v>
      </c>
      <c r="B637" s="19">
        <v>46118</v>
      </c>
      <c r="C637" s="17">
        <v>15</v>
      </c>
      <c r="D637" s="18" t="s">
        <v>62</v>
      </c>
      <c r="E637" s="19">
        <v>46121</v>
      </c>
      <c r="F637" s="18" t="s">
        <v>65</v>
      </c>
      <c r="G637" s="18" t="s">
        <v>56</v>
      </c>
      <c r="H637" s="17">
        <v>666522</v>
      </c>
      <c r="I637" s="18" t="s">
        <v>33</v>
      </c>
      <c r="J637" s="20">
        <v>30</v>
      </c>
    </row>
    <row r="638" spans="1:10" ht="15" customHeight="1" x14ac:dyDescent="0.75">
      <c r="A638" s="18" t="s">
        <v>78</v>
      </c>
      <c r="B638" s="19">
        <v>46118</v>
      </c>
      <c r="C638" s="17">
        <v>15</v>
      </c>
      <c r="D638" s="18" t="s">
        <v>62</v>
      </c>
      <c r="E638" s="19">
        <v>46121</v>
      </c>
      <c r="F638" s="18" t="s">
        <v>65</v>
      </c>
      <c r="G638" s="18" t="s">
        <v>56</v>
      </c>
      <c r="H638" s="17">
        <v>666536</v>
      </c>
      <c r="I638" s="18" t="s">
        <v>43</v>
      </c>
      <c r="J638" s="20">
        <v>3</v>
      </c>
    </row>
    <row r="639" spans="1:10" ht="15" customHeight="1" x14ac:dyDescent="0.75">
      <c r="A639" s="18" t="s">
        <v>78</v>
      </c>
      <c r="B639" s="19">
        <v>46118</v>
      </c>
      <c r="C639" s="17">
        <v>15</v>
      </c>
      <c r="D639" s="18" t="s">
        <v>62</v>
      </c>
      <c r="E639" s="19">
        <v>46121</v>
      </c>
      <c r="F639" s="18" t="s">
        <v>57</v>
      </c>
      <c r="G639" s="18" t="s">
        <v>58</v>
      </c>
      <c r="H639" s="17">
        <v>666501</v>
      </c>
      <c r="I639" s="18" t="s">
        <v>5</v>
      </c>
      <c r="J639" s="20">
        <v>162</v>
      </c>
    </row>
    <row r="640" spans="1:10" ht="15" customHeight="1" x14ac:dyDescent="0.75">
      <c r="A640" s="18" t="s">
        <v>78</v>
      </c>
      <c r="B640" s="19">
        <v>46118</v>
      </c>
      <c r="C640" s="17">
        <v>15</v>
      </c>
      <c r="D640" s="18" t="s">
        <v>62</v>
      </c>
      <c r="E640" s="19">
        <v>46121</v>
      </c>
      <c r="F640" s="18" t="s">
        <v>57</v>
      </c>
      <c r="G640" s="18" t="s">
        <v>58</v>
      </c>
      <c r="H640" s="17">
        <v>666502</v>
      </c>
      <c r="I640" s="18" t="s">
        <v>7</v>
      </c>
      <c r="J640" s="20">
        <v>12</v>
      </c>
    </row>
    <row r="641" spans="1:10" ht="15" customHeight="1" x14ac:dyDescent="0.75">
      <c r="A641" s="18" t="s">
        <v>78</v>
      </c>
      <c r="B641" s="19">
        <v>46118</v>
      </c>
      <c r="C641" s="17">
        <v>15</v>
      </c>
      <c r="D641" s="18" t="s">
        <v>62</v>
      </c>
      <c r="E641" s="19">
        <v>46121</v>
      </c>
      <c r="F641" s="18" t="s">
        <v>57</v>
      </c>
      <c r="G641" s="18" t="s">
        <v>58</v>
      </c>
      <c r="H641" s="17">
        <v>666506</v>
      </c>
      <c r="I641" s="18" t="s">
        <v>11</v>
      </c>
      <c r="J641" s="20">
        <v>7</v>
      </c>
    </row>
    <row r="642" spans="1:10" ht="15" customHeight="1" x14ac:dyDescent="0.75">
      <c r="A642" s="18" t="s">
        <v>78</v>
      </c>
      <c r="B642" s="19">
        <v>46118</v>
      </c>
      <c r="C642" s="17">
        <v>15</v>
      </c>
      <c r="D642" s="18" t="s">
        <v>62</v>
      </c>
      <c r="E642" s="19">
        <v>46121</v>
      </c>
      <c r="F642" s="18" t="s">
        <v>57</v>
      </c>
      <c r="G642" s="18" t="s">
        <v>58</v>
      </c>
      <c r="H642" s="17">
        <v>666540</v>
      </c>
      <c r="I642" s="18" t="s">
        <v>40</v>
      </c>
      <c r="J642" s="20">
        <v>1</v>
      </c>
    </row>
    <row r="643" spans="1:10" ht="15" customHeight="1" x14ac:dyDescent="0.75">
      <c r="A643" s="18" t="s">
        <v>78</v>
      </c>
      <c r="B643" s="19">
        <v>46118</v>
      </c>
      <c r="C643" s="17">
        <v>15</v>
      </c>
      <c r="D643" s="18" t="s">
        <v>62</v>
      </c>
      <c r="E643" s="19">
        <v>46121</v>
      </c>
      <c r="F643" s="18" t="s">
        <v>57</v>
      </c>
      <c r="G643" s="18" t="s">
        <v>58</v>
      </c>
      <c r="H643" s="17">
        <v>666541</v>
      </c>
      <c r="I643" s="18" t="s">
        <v>41</v>
      </c>
      <c r="J643" s="20">
        <v>73</v>
      </c>
    </row>
    <row r="644" spans="1:10" ht="15" customHeight="1" x14ac:dyDescent="0.75">
      <c r="A644" s="18" t="s">
        <v>78</v>
      </c>
      <c r="B644" s="19">
        <v>46118</v>
      </c>
      <c r="C644" s="17">
        <v>15</v>
      </c>
      <c r="D644" s="18" t="s">
        <v>62</v>
      </c>
      <c r="E644" s="19">
        <v>46121</v>
      </c>
      <c r="F644" s="18" t="s">
        <v>55</v>
      </c>
      <c r="G644" s="18" t="s">
        <v>66</v>
      </c>
      <c r="H644" s="17">
        <v>666501</v>
      </c>
      <c r="I644" s="18" t="s">
        <v>5</v>
      </c>
      <c r="J644" s="20">
        <v>36</v>
      </c>
    </row>
    <row r="645" spans="1:10" ht="15" customHeight="1" x14ac:dyDescent="0.75">
      <c r="A645" s="18" t="s">
        <v>78</v>
      </c>
      <c r="B645" s="19">
        <v>46118</v>
      </c>
      <c r="C645" s="17">
        <v>15</v>
      </c>
      <c r="D645" s="18" t="s">
        <v>62</v>
      </c>
      <c r="E645" s="19">
        <v>46121</v>
      </c>
      <c r="F645" s="18" t="s">
        <v>55</v>
      </c>
      <c r="G645" s="18" t="s">
        <v>66</v>
      </c>
      <c r="H645" s="17">
        <v>666502</v>
      </c>
      <c r="I645" s="18" t="s">
        <v>7</v>
      </c>
      <c r="J645" s="20">
        <v>11</v>
      </c>
    </row>
    <row r="646" spans="1:10" ht="15" customHeight="1" x14ac:dyDescent="0.75">
      <c r="A646" s="18" t="s">
        <v>78</v>
      </c>
      <c r="B646" s="19">
        <v>46118</v>
      </c>
      <c r="C646" s="17">
        <v>15</v>
      </c>
      <c r="D646" s="18" t="s">
        <v>62</v>
      </c>
      <c r="E646" s="19">
        <v>46121</v>
      </c>
      <c r="F646" s="18" t="s">
        <v>55</v>
      </c>
      <c r="G646" s="18" t="s">
        <v>66</v>
      </c>
      <c r="H646" s="17">
        <v>666516</v>
      </c>
      <c r="I646" s="18" t="s">
        <v>23</v>
      </c>
      <c r="J646" s="20">
        <v>5</v>
      </c>
    </row>
    <row r="647" spans="1:10" ht="15" customHeight="1" x14ac:dyDescent="0.75">
      <c r="A647" s="18" t="s">
        <v>78</v>
      </c>
      <c r="B647" s="19">
        <v>46118</v>
      </c>
      <c r="C647" s="17">
        <v>15</v>
      </c>
      <c r="D647" s="18" t="s">
        <v>62</v>
      </c>
      <c r="E647" s="19">
        <v>46121</v>
      </c>
      <c r="F647" s="18" t="s">
        <v>55</v>
      </c>
      <c r="G647" s="18" t="s">
        <v>66</v>
      </c>
      <c r="H647" s="17">
        <v>666522</v>
      </c>
      <c r="I647" s="18" t="s">
        <v>33</v>
      </c>
      <c r="J647" s="20">
        <v>65</v>
      </c>
    </row>
    <row r="648" spans="1:10" ht="15" customHeight="1" x14ac:dyDescent="0.75">
      <c r="A648" s="18" t="s">
        <v>78</v>
      </c>
      <c r="B648" s="19">
        <v>46118</v>
      </c>
      <c r="C648" s="17">
        <v>15</v>
      </c>
      <c r="D648" s="18" t="s">
        <v>62</v>
      </c>
      <c r="E648" s="19">
        <v>46121</v>
      </c>
      <c r="F648" s="18" t="s">
        <v>55</v>
      </c>
      <c r="G648" s="18" t="s">
        <v>66</v>
      </c>
      <c r="H648" s="17">
        <v>666523</v>
      </c>
      <c r="I648" s="18" t="s">
        <v>35</v>
      </c>
      <c r="J648" s="20">
        <v>20</v>
      </c>
    </row>
    <row r="649" spans="1:10" ht="15" customHeight="1" x14ac:dyDescent="0.75">
      <c r="A649" s="18" t="s">
        <v>78</v>
      </c>
      <c r="B649" s="19">
        <v>46118</v>
      </c>
      <c r="C649" s="17">
        <v>15</v>
      </c>
      <c r="D649" s="18" t="s">
        <v>62</v>
      </c>
      <c r="E649" s="19">
        <v>46121</v>
      </c>
      <c r="F649" s="18" t="s">
        <v>55</v>
      </c>
      <c r="G649" s="18" t="s">
        <v>66</v>
      </c>
      <c r="H649" s="17">
        <v>666530</v>
      </c>
      <c r="I649" s="18" t="s">
        <v>37</v>
      </c>
      <c r="J649" s="20">
        <v>7</v>
      </c>
    </row>
    <row r="650" spans="1:10" ht="15" customHeight="1" x14ac:dyDescent="0.75">
      <c r="A650" s="18" t="s">
        <v>78</v>
      </c>
      <c r="B650" s="19">
        <v>46118</v>
      </c>
      <c r="C650" s="17">
        <v>15</v>
      </c>
      <c r="D650" s="18" t="s">
        <v>63</v>
      </c>
      <c r="E650" s="19">
        <v>46122</v>
      </c>
      <c r="F650" s="18" t="s">
        <v>65</v>
      </c>
      <c r="G650" s="18" t="s">
        <v>56</v>
      </c>
      <c r="H650" s="17">
        <v>666521</v>
      </c>
      <c r="I650" s="18" t="s">
        <v>31</v>
      </c>
      <c r="J650" s="20">
        <v>9</v>
      </c>
    </row>
    <row r="651" spans="1:10" ht="15" customHeight="1" x14ac:dyDescent="0.75">
      <c r="A651" s="18" t="s">
        <v>78</v>
      </c>
      <c r="B651" s="19">
        <v>46118</v>
      </c>
      <c r="C651" s="17">
        <v>15</v>
      </c>
      <c r="D651" s="18" t="s">
        <v>63</v>
      </c>
      <c r="E651" s="19">
        <v>46122</v>
      </c>
      <c r="F651" s="18" t="s">
        <v>65</v>
      </c>
      <c r="G651" s="18" t="s">
        <v>56</v>
      </c>
      <c r="H651" s="17">
        <v>666522</v>
      </c>
      <c r="I651" s="18" t="s">
        <v>33</v>
      </c>
      <c r="J651" s="20">
        <v>10</v>
      </c>
    </row>
    <row r="652" spans="1:10" ht="15" customHeight="1" x14ac:dyDescent="0.75">
      <c r="A652" s="18" t="s">
        <v>78</v>
      </c>
      <c r="B652" s="19">
        <v>46118</v>
      </c>
      <c r="C652" s="17">
        <v>15</v>
      </c>
      <c r="D652" s="18" t="s">
        <v>63</v>
      </c>
      <c r="E652" s="19">
        <v>46122</v>
      </c>
      <c r="F652" s="18" t="s">
        <v>65</v>
      </c>
      <c r="G652" s="18" t="s">
        <v>56</v>
      </c>
      <c r="H652" s="17">
        <v>666536</v>
      </c>
      <c r="I652" s="18" t="s">
        <v>43</v>
      </c>
      <c r="J652" s="20">
        <v>5</v>
      </c>
    </row>
    <row r="653" spans="1:10" ht="15" customHeight="1" x14ac:dyDescent="0.75">
      <c r="A653" s="18" t="s">
        <v>78</v>
      </c>
      <c r="B653" s="19">
        <v>46118</v>
      </c>
      <c r="C653" s="17">
        <v>15</v>
      </c>
      <c r="D653" s="18" t="s">
        <v>63</v>
      </c>
      <c r="E653" s="19">
        <v>46122</v>
      </c>
      <c r="F653" s="18" t="s">
        <v>57</v>
      </c>
      <c r="G653" s="18" t="s">
        <v>58</v>
      </c>
      <c r="H653" s="17">
        <v>666501</v>
      </c>
      <c r="I653" s="18" t="s">
        <v>5</v>
      </c>
      <c r="J653" s="20">
        <v>93</v>
      </c>
    </row>
    <row r="654" spans="1:10" ht="15" customHeight="1" x14ac:dyDescent="0.75">
      <c r="A654" s="18" t="s">
        <v>78</v>
      </c>
      <c r="B654" s="19">
        <v>46118</v>
      </c>
      <c r="C654" s="17">
        <v>15</v>
      </c>
      <c r="D654" s="18" t="s">
        <v>63</v>
      </c>
      <c r="E654" s="19">
        <v>46122</v>
      </c>
      <c r="F654" s="18" t="s">
        <v>57</v>
      </c>
      <c r="G654" s="18" t="s">
        <v>58</v>
      </c>
      <c r="H654" s="17">
        <v>666502</v>
      </c>
      <c r="I654" s="18" t="s">
        <v>7</v>
      </c>
      <c r="J654" s="20">
        <v>37</v>
      </c>
    </row>
    <row r="655" spans="1:10" ht="15" customHeight="1" x14ac:dyDescent="0.75">
      <c r="A655" s="18" t="s">
        <v>78</v>
      </c>
      <c r="B655" s="19">
        <v>46118</v>
      </c>
      <c r="C655" s="17">
        <v>15</v>
      </c>
      <c r="D655" s="18" t="s">
        <v>63</v>
      </c>
      <c r="E655" s="19">
        <v>46122</v>
      </c>
      <c r="F655" s="18" t="s">
        <v>57</v>
      </c>
      <c r="G655" s="18" t="s">
        <v>58</v>
      </c>
      <c r="H655" s="17">
        <v>666506</v>
      </c>
      <c r="I655" s="18" t="s">
        <v>11</v>
      </c>
      <c r="J655" s="20">
        <v>5</v>
      </c>
    </row>
    <row r="656" spans="1:10" ht="15" customHeight="1" x14ac:dyDescent="0.75">
      <c r="A656" s="18" t="s">
        <v>78</v>
      </c>
      <c r="B656" s="19">
        <v>46118</v>
      </c>
      <c r="C656" s="17">
        <v>15</v>
      </c>
      <c r="D656" s="18" t="s">
        <v>63</v>
      </c>
      <c r="E656" s="19">
        <v>46122</v>
      </c>
      <c r="F656" s="18" t="s">
        <v>57</v>
      </c>
      <c r="G656" s="18" t="s">
        <v>58</v>
      </c>
      <c r="H656" s="17">
        <v>666541</v>
      </c>
      <c r="I656" s="18" t="s">
        <v>41</v>
      </c>
      <c r="J656" s="20">
        <v>35</v>
      </c>
    </row>
    <row r="657" spans="1:10" ht="15" customHeight="1" x14ac:dyDescent="0.75">
      <c r="A657" s="18" t="s">
        <v>79</v>
      </c>
      <c r="B657" s="19">
        <v>46125</v>
      </c>
      <c r="C657" s="17">
        <v>16</v>
      </c>
      <c r="D657" s="18" t="s">
        <v>54</v>
      </c>
      <c r="E657" s="19">
        <v>46125</v>
      </c>
      <c r="F657" s="18" t="s">
        <v>65</v>
      </c>
      <c r="G657" s="18" t="s">
        <v>56</v>
      </c>
      <c r="H657" s="17">
        <v>666509</v>
      </c>
      <c r="I657" s="18" t="s">
        <v>15</v>
      </c>
      <c r="J657" s="20">
        <v>10</v>
      </c>
    </row>
    <row r="658" spans="1:10" ht="15" customHeight="1" x14ac:dyDescent="0.75">
      <c r="A658" s="18" t="s">
        <v>79</v>
      </c>
      <c r="B658" s="19">
        <v>46125</v>
      </c>
      <c r="C658" s="17">
        <v>16</v>
      </c>
      <c r="D658" s="18" t="s">
        <v>54</v>
      </c>
      <c r="E658" s="19">
        <v>46125</v>
      </c>
      <c r="F658" s="18" t="s">
        <v>65</v>
      </c>
      <c r="G658" s="18" t="s">
        <v>56</v>
      </c>
      <c r="H658" s="17">
        <v>666521</v>
      </c>
      <c r="I658" s="18" t="s">
        <v>31</v>
      </c>
      <c r="J658" s="20">
        <v>14</v>
      </c>
    </row>
    <row r="659" spans="1:10" ht="15" customHeight="1" x14ac:dyDescent="0.75">
      <c r="A659" s="18" t="s">
        <v>79</v>
      </c>
      <c r="B659" s="19">
        <v>46125</v>
      </c>
      <c r="C659" s="17">
        <v>16</v>
      </c>
      <c r="D659" s="18" t="s">
        <v>54</v>
      </c>
      <c r="E659" s="19">
        <v>46125</v>
      </c>
      <c r="F659" s="18" t="s">
        <v>65</v>
      </c>
      <c r="G659" s="18" t="s">
        <v>56</v>
      </c>
      <c r="H659" s="17">
        <v>666522</v>
      </c>
      <c r="I659" s="18" t="s">
        <v>33</v>
      </c>
      <c r="J659" s="20">
        <v>20</v>
      </c>
    </row>
    <row r="660" spans="1:10" ht="15" customHeight="1" x14ac:dyDescent="0.75">
      <c r="A660" s="18" t="s">
        <v>79</v>
      </c>
      <c r="B660" s="19">
        <v>46125</v>
      </c>
      <c r="C660" s="17">
        <v>16</v>
      </c>
      <c r="D660" s="18" t="s">
        <v>54</v>
      </c>
      <c r="E660" s="19">
        <v>46125</v>
      </c>
      <c r="F660" s="18" t="s">
        <v>57</v>
      </c>
      <c r="G660" s="18" t="s">
        <v>58</v>
      </c>
      <c r="H660" s="17">
        <v>666502</v>
      </c>
      <c r="I660" s="18" t="s">
        <v>7</v>
      </c>
      <c r="J660" s="20">
        <v>31</v>
      </c>
    </row>
    <row r="661" spans="1:10" ht="15" customHeight="1" x14ac:dyDescent="0.75">
      <c r="A661" s="18" t="s">
        <v>79</v>
      </c>
      <c r="B661" s="19">
        <v>46125</v>
      </c>
      <c r="C661" s="17">
        <v>16</v>
      </c>
      <c r="D661" s="18" t="s">
        <v>54</v>
      </c>
      <c r="E661" s="19">
        <v>46125</v>
      </c>
      <c r="F661" s="18" t="s">
        <v>57</v>
      </c>
      <c r="G661" s="18" t="s">
        <v>58</v>
      </c>
      <c r="H661" s="17">
        <v>666506</v>
      </c>
      <c r="I661" s="18" t="s">
        <v>11</v>
      </c>
      <c r="J661" s="20">
        <v>12</v>
      </c>
    </row>
    <row r="662" spans="1:10" ht="15" customHeight="1" x14ac:dyDescent="0.75">
      <c r="A662" s="18" t="s">
        <v>79</v>
      </c>
      <c r="B662" s="19">
        <v>46125</v>
      </c>
      <c r="C662" s="17">
        <v>16</v>
      </c>
      <c r="D662" s="18" t="s">
        <v>54</v>
      </c>
      <c r="E662" s="19">
        <v>46125</v>
      </c>
      <c r="F662" s="18" t="s">
        <v>57</v>
      </c>
      <c r="G662" s="18" t="s">
        <v>58</v>
      </c>
      <c r="H662" s="17">
        <v>666541</v>
      </c>
      <c r="I662" s="18" t="s">
        <v>41</v>
      </c>
      <c r="J662" s="20">
        <v>50</v>
      </c>
    </row>
    <row r="663" spans="1:10" ht="15" customHeight="1" x14ac:dyDescent="0.75">
      <c r="A663" s="18" t="s">
        <v>79</v>
      </c>
      <c r="B663" s="19">
        <v>46125</v>
      </c>
      <c r="C663" s="17">
        <v>16</v>
      </c>
      <c r="D663" s="18" t="s">
        <v>54</v>
      </c>
      <c r="E663" s="19">
        <v>46125</v>
      </c>
      <c r="F663" s="18" t="s">
        <v>55</v>
      </c>
      <c r="G663" s="18" t="s">
        <v>66</v>
      </c>
      <c r="H663" s="17">
        <v>666502</v>
      </c>
      <c r="I663" s="18" t="s">
        <v>7</v>
      </c>
      <c r="J663" s="20">
        <v>27</v>
      </c>
    </row>
    <row r="664" spans="1:10" ht="15" customHeight="1" x14ac:dyDescent="0.75">
      <c r="A664" s="18" t="s">
        <v>79</v>
      </c>
      <c r="B664" s="19">
        <v>46125</v>
      </c>
      <c r="C664" s="17">
        <v>16</v>
      </c>
      <c r="D664" s="18" t="s">
        <v>59</v>
      </c>
      <c r="E664" s="19">
        <v>46126</v>
      </c>
      <c r="F664" s="18" t="s">
        <v>57</v>
      </c>
      <c r="G664" s="18" t="s">
        <v>58</v>
      </c>
      <c r="H664" s="17">
        <v>666501</v>
      </c>
      <c r="I664" s="18" t="s">
        <v>5</v>
      </c>
      <c r="J664" s="20">
        <v>42</v>
      </c>
    </row>
    <row r="665" spans="1:10" ht="15" customHeight="1" x14ac:dyDescent="0.75">
      <c r="A665" s="18" t="s">
        <v>79</v>
      </c>
      <c r="B665" s="19">
        <v>46125</v>
      </c>
      <c r="C665" s="17">
        <v>16</v>
      </c>
      <c r="D665" s="18" t="s">
        <v>59</v>
      </c>
      <c r="E665" s="19">
        <v>46126</v>
      </c>
      <c r="F665" s="18" t="s">
        <v>57</v>
      </c>
      <c r="G665" s="18" t="s">
        <v>58</v>
      </c>
      <c r="H665" s="17">
        <v>666502</v>
      </c>
      <c r="I665" s="18" t="s">
        <v>7</v>
      </c>
      <c r="J665" s="20">
        <v>25</v>
      </c>
    </row>
    <row r="666" spans="1:10" ht="15" customHeight="1" x14ac:dyDescent="0.75">
      <c r="A666" s="18" t="s">
        <v>79</v>
      </c>
      <c r="B666" s="19">
        <v>46125</v>
      </c>
      <c r="C666" s="17">
        <v>16</v>
      </c>
      <c r="D666" s="18" t="s">
        <v>59</v>
      </c>
      <c r="E666" s="19">
        <v>46126</v>
      </c>
      <c r="F666" s="18" t="s">
        <v>57</v>
      </c>
      <c r="G666" s="18" t="s">
        <v>58</v>
      </c>
      <c r="H666" s="17">
        <v>666506</v>
      </c>
      <c r="I666" s="18" t="s">
        <v>11</v>
      </c>
      <c r="J666" s="20">
        <v>15</v>
      </c>
    </row>
    <row r="667" spans="1:10" ht="15" customHeight="1" x14ac:dyDescent="0.75">
      <c r="A667" s="18" t="s">
        <v>79</v>
      </c>
      <c r="B667" s="19">
        <v>46125</v>
      </c>
      <c r="C667" s="17">
        <v>16</v>
      </c>
      <c r="D667" s="18" t="s">
        <v>59</v>
      </c>
      <c r="E667" s="19">
        <v>46126</v>
      </c>
      <c r="F667" s="18" t="s">
        <v>57</v>
      </c>
      <c r="G667" s="18" t="s">
        <v>58</v>
      </c>
      <c r="H667" s="17">
        <v>666541</v>
      </c>
      <c r="I667" s="18" t="s">
        <v>41</v>
      </c>
      <c r="J667" s="20">
        <v>96</v>
      </c>
    </row>
    <row r="668" spans="1:10" ht="15" customHeight="1" x14ac:dyDescent="0.75">
      <c r="A668" s="18" t="s">
        <v>79</v>
      </c>
      <c r="B668" s="19">
        <v>46125</v>
      </c>
      <c r="C668" s="17">
        <v>16</v>
      </c>
      <c r="D668" s="18" t="s">
        <v>59</v>
      </c>
      <c r="E668" s="19">
        <v>46126</v>
      </c>
      <c r="F668" s="18" t="s">
        <v>55</v>
      </c>
      <c r="G668" s="18" t="s">
        <v>66</v>
      </c>
      <c r="H668" s="17">
        <v>666502</v>
      </c>
      <c r="I668" s="18" t="s">
        <v>7</v>
      </c>
      <c r="J668" s="20">
        <v>29</v>
      </c>
    </row>
    <row r="669" spans="1:10" ht="15" customHeight="1" x14ac:dyDescent="0.75">
      <c r="A669" s="18" t="s">
        <v>79</v>
      </c>
      <c r="B669" s="19">
        <v>46125</v>
      </c>
      <c r="C669" s="17">
        <v>16</v>
      </c>
      <c r="D669" s="18" t="s">
        <v>60</v>
      </c>
      <c r="E669" s="19">
        <v>46127</v>
      </c>
      <c r="F669" s="18" t="s">
        <v>65</v>
      </c>
      <c r="G669" s="18" t="s">
        <v>56</v>
      </c>
      <c r="H669" s="17">
        <v>666501</v>
      </c>
      <c r="I669" s="18" t="s">
        <v>5</v>
      </c>
      <c r="J669" s="20">
        <v>45</v>
      </c>
    </row>
    <row r="670" spans="1:10" ht="15" customHeight="1" x14ac:dyDescent="0.75">
      <c r="A670" s="18" t="s">
        <v>79</v>
      </c>
      <c r="B670" s="19">
        <v>46125</v>
      </c>
      <c r="C670" s="17">
        <v>16</v>
      </c>
      <c r="D670" s="18" t="s">
        <v>60</v>
      </c>
      <c r="E670" s="19">
        <v>46127</v>
      </c>
      <c r="F670" s="18" t="s">
        <v>65</v>
      </c>
      <c r="G670" s="18" t="s">
        <v>56</v>
      </c>
      <c r="H670" s="17">
        <v>666507</v>
      </c>
      <c r="I670" s="18" t="s">
        <v>13</v>
      </c>
      <c r="J670" s="20">
        <v>10</v>
      </c>
    </row>
    <row r="671" spans="1:10" ht="15" customHeight="1" x14ac:dyDescent="0.75">
      <c r="A671" s="18" t="s">
        <v>79</v>
      </c>
      <c r="B671" s="19">
        <v>46125</v>
      </c>
      <c r="C671" s="17">
        <v>16</v>
      </c>
      <c r="D671" s="18" t="s">
        <v>60</v>
      </c>
      <c r="E671" s="19">
        <v>46127</v>
      </c>
      <c r="F671" s="18" t="s">
        <v>65</v>
      </c>
      <c r="G671" s="18" t="s">
        <v>56</v>
      </c>
      <c r="H671" s="17">
        <v>666509</v>
      </c>
      <c r="I671" s="18" t="s">
        <v>15</v>
      </c>
      <c r="J671" s="20">
        <v>10</v>
      </c>
    </row>
    <row r="672" spans="1:10" ht="15" customHeight="1" x14ac:dyDescent="0.75">
      <c r="A672" s="18" t="s">
        <v>79</v>
      </c>
      <c r="B672" s="19">
        <v>46125</v>
      </c>
      <c r="C672" s="17">
        <v>16</v>
      </c>
      <c r="D672" s="18" t="s">
        <v>60</v>
      </c>
      <c r="E672" s="19">
        <v>46127</v>
      </c>
      <c r="F672" s="18" t="s">
        <v>65</v>
      </c>
      <c r="G672" s="18" t="s">
        <v>56</v>
      </c>
      <c r="H672" s="17">
        <v>666511</v>
      </c>
      <c r="I672" s="18" t="s">
        <v>19</v>
      </c>
      <c r="J672" s="20">
        <v>6</v>
      </c>
    </row>
    <row r="673" spans="1:10" ht="15" customHeight="1" x14ac:dyDescent="0.75">
      <c r="A673" s="18" t="s">
        <v>79</v>
      </c>
      <c r="B673" s="19">
        <v>46125</v>
      </c>
      <c r="C673" s="17">
        <v>16</v>
      </c>
      <c r="D673" s="18" t="s">
        <v>60</v>
      </c>
      <c r="E673" s="19">
        <v>46127</v>
      </c>
      <c r="F673" s="18" t="s">
        <v>65</v>
      </c>
      <c r="G673" s="18" t="s">
        <v>56</v>
      </c>
      <c r="H673" s="17">
        <v>666521</v>
      </c>
      <c r="I673" s="18" t="s">
        <v>31</v>
      </c>
      <c r="J673" s="20">
        <v>5</v>
      </c>
    </row>
    <row r="674" spans="1:10" ht="15" customHeight="1" x14ac:dyDescent="0.75">
      <c r="A674" s="18" t="s">
        <v>79</v>
      </c>
      <c r="B674" s="19">
        <v>46125</v>
      </c>
      <c r="C674" s="17">
        <v>16</v>
      </c>
      <c r="D674" s="18" t="s">
        <v>60</v>
      </c>
      <c r="E674" s="19">
        <v>46127</v>
      </c>
      <c r="F674" s="18" t="s">
        <v>65</v>
      </c>
      <c r="G674" s="18" t="s">
        <v>56</v>
      </c>
      <c r="H674" s="17">
        <v>666522</v>
      </c>
      <c r="I674" s="18" t="s">
        <v>33</v>
      </c>
      <c r="J674" s="20">
        <v>50</v>
      </c>
    </row>
    <row r="675" spans="1:10" ht="15" customHeight="1" x14ac:dyDescent="0.75">
      <c r="A675" s="18" t="s">
        <v>79</v>
      </c>
      <c r="B675" s="19">
        <v>46125</v>
      </c>
      <c r="C675" s="17">
        <v>16</v>
      </c>
      <c r="D675" s="18" t="s">
        <v>60</v>
      </c>
      <c r="E675" s="19">
        <v>46127</v>
      </c>
      <c r="F675" s="18" t="s">
        <v>57</v>
      </c>
      <c r="G675" s="18" t="s">
        <v>58</v>
      </c>
      <c r="H675" s="17">
        <v>666501</v>
      </c>
      <c r="I675" s="18" t="s">
        <v>5</v>
      </c>
      <c r="J675" s="20">
        <v>93</v>
      </c>
    </row>
    <row r="676" spans="1:10" ht="15" customHeight="1" x14ac:dyDescent="0.75">
      <c r="A676" s="18" t="s">
        <v>79</v>
      </c>
      <c r="B676" s="19">
        <v>46125</v>
      </c>
      <c r="C676" s="17">
        <v>16</v>
      </c>
      <c r="D676" s="18" t="s">
        <v>60</v>
      </c>
      <c r="E676" s="19">
        <v>46127</v>
      </c>
      <c r="F676" s="18" t="s">
        <v>57</v>
      </c>
      <c r="G676" s="18" t="s">
        <v>58</v>
      </c>
      <c r="H676" s="17">
        <v>666502</v>
      </c>
      <c r="I676" s="18" t="s">
        <v>7</v>
      </c>
      <c r="J676" s="20">
        <v>35</v>
      </c>
    </row>
    <row r="677" spans="1:10" ht="15" customHeight="1" x14ac:dyDescent="0.75">
      <c r="A677" s="18" t="s">
        <v>79</v>
      </c>
      <c r="B677" s="19">
        <v>46125</v>
      </c>
      <c r="C677" s="17">
        <v>16</v>
      </c>
      <c r="D677" s="18" t="s">
        <v>60</v>
      </c>
      <c r="E677" s="19">
        <v>46127</v>
      </c>
      <c r="F677" s="18" t="s">
        <v>57</v>
      </c>
      <c r="G677" s="18" t="s">
        <v>58</v>
      </c>
      <c r="H677" s="17">
        <v>666506</v>
      </c>
      <c r="I677" s="18" t="s">
        <v>11</v>
      </c>
      <c r="J677" s="20">
        <v>8</v>
      </c>
    </row>
    <row r="678" spans="1:10" ht="15" customHeight="1" x14ac:dyDescent="0.75">
      <c r="A678" s="18" t="s">
        <v>79</v>
      </c>
      <c r="B678" s="19">
        <v>46125</v>
      </c>
      <c r="C678" s="17">
        <v>16</v>
      </c>
      <c r="D678" s="18" t="s">
        <v>60</v>
      </c>
      <c r="E678" s="19">
        <v>46127</v>
      </c>
      <c r="F678" s="18" t="s">
        <v>57</v>
      </c>
      <c r="G678" s="18" t="s">
        <v>58</v>
      </c>
      <c r="H678" s="17">
        <v>666541</v>
      </c>
      <c r="I678" s="18" t="s">
        <v>41</v>
      </c>
      <c r="J678" s="20">
        <v>26</v>
      </c>
    </row>
    <row r="679" spans="1:10" ht="15" customHeight="1" x14ac:dyDescent="0.75">
      <c r="A679" s="18" t="s">
        <v>79</v>
      </c>
      <c r="B679" s="19">
        <v>46125</v>
      </c>
      <c r="C679" s="17">
        <v>16</v>
      </c>
      <c r="D679" s="18" t="s">
        <v>62</v>
      </c>
      <c r="E679" s="19">
        <v>46128</v>
      </c>
      <c r="F679" s="18" t="s">
        <v>65</v>
      </c>
      <c r="G679" s="18" t="s">
        <v>56</v>
      </c>
      <c r="H679" s="17">
        <v>666501</v>
      </c>
      <c r="I679" s="18" t="s">
        <v>5</v>
      </c>
      <c r="J679" s="20">
        <v>9</v>
      </c>
    </row>
    <row r="680" spans="1:10" ht="15" customHeight="1" x14ac:dyDescent="0.75">
      <c r="A680" s="18" t="s">
        <v>79</v>
      </c>
      <c r="B680" s="19">
        <v>46125</v>
      </c>
      <c r="C680" s="17">
        <v>16</v>
      </c>
      <c r="D680" s="18" t="s">
        <v>62</v>
      </c>
      <c r="E680" s="19">
        <v>46128</v>
      </c>
      <c r="F680" s="18" t="s">
        <v>65</v>
      </c>
      <c r="G680" s="18" t="s">
        <v>56</v>
      </c>
      <c r="H680" s="17">
        <v>666509</v>
      </c>
      <c r="I680" s="18" t="s">
        <v>15</v>
      </c>
      <c r="J680" s="20">
        <v>13</v>
      </c>
    </row>
    <row r="681" spans="1:10" ht="15" customHeight="1" x14ac:dyDescent="0.75">
      <c r="A681" s="18" t="s">
        <v>79</v>
      </c>
      <c r="B681" s="19">
        <v>46125</v>
      </c>
      <c r="C681" s="17">
        <v>16</v>
      </c>
      <c r="D681" s="18" t="s">
        <v>62</v>
      </c>
      <c r="E681" s="19">
        <v>46128</v>
      </c>
      <c r="F681" s="18" t="s">
        <v>65</v>
      </c>
      <c r="G681" s="18" t="s">
        <v>56</v>
      </c>
      <c r="H681" s="17">
        <v>666521</v>
      </c>
      <c r="I681" s="18" t="s">
        <v>31</v>
      </c>
      <c r="J681" s="20">
        <v>1</v>
      </c>
    </row>
    <row r="682" spans="1:10" ht="15" customHeight="1" x14ac:dyDescent="0.75">
      <c r="A682" s="18" t="s">
        <v>79</v>
      </c>
      <c r="B682" s="19">
        <v>46125</v>
      </c>
      <c r="C682" s="17">
        <v>16</v>
      </c>
      <c r="D682" s="18" t="s">
        <v>62</v>
      </c>
      <c r="E682" s="19">
        <v>46128</v>
      </c>
      <c r="F682" s="18" t="s">
        <v>65</v>
      </c>
      <c r="G682" s="18" t="s">
        <v>56</v>
      </c>
      <c r="H682" s="17">
        <v>666536</v>
      </c>
      <c r="I682" s="18" t="s">
        <v>43</v>
      </c>
      <c r="J682" s="20">
        <v>1</v>
      </c>
    </row>
    <row r="683" spans="1:10" ht="15" customHeight="1" x14ac:dyDescent="0.75">
      <c r="A683" s="18" t="s">
        <v>79</v>
      </c>
      <c r="B683" s="19">
        <v>46125</v>
      </c>
      <c r="C683" s="17">
        <v>16</v>
      </c>
      <c r="D683" s="18" t="s">
        <v>62</v>
      </c>
      <c r="E683" s="19">
        <v>46128</v>
      </c>
      <c r="F683" s="18" t="s">
        <v>57</v>
      </c>
      <c r="G683" s="18" t="s">
        <v>58</v>
      </c>
      <c r="H683" s="17">
        <v>666502</v>
      </c>
      <c r="I683" s="18" t="s">
        <v>7</v>
      </c>
      <c r="J683" s="20">
        <v>25</v>
      </c>
    </row>
    <row r="684" spans="1:10" ht="15" customHeight="1" x14ac:dyDescent="0.75">
      <c r="A684" s="18" t="s">
        <v>79</v>
      </c>
      <c r="B684" s="19">
        <v>46125</v>
      </c>
      <c r="C684" s="17">
        <v>16</v>
      </c>
      <c r="D684" s="18" t="s">
        <v>62</v>
      </c>
      <c r="E684" s="19">
        <v>46128</v>
      </c>
      <c r="F684" s="18" t="s">
        <v>57</v>
      </c>
      <c r="G684" s="18" t="s">
        <v>58</v>
      </c>
      <c r="H684" s="17">
        <v>666506</v>
      </c>
      <c r="I684" s="18" t="s">
        <v>11</v>
      </c>
      <c r="J684" s="20">
        <v>14</v>
      </c>
    </row>
    <row r="685" spans="1:10" ht="15" customHeight="1" x14ac:dyDescent="0.75">
      <c r="A685" s="18" t="s">
        <v>79</v>
      </c>
      <c r="B685" s="19">
        <v>46125</v>
      </c>
      <c r="C685" s="17">
        <v>16</v>
      </c>
      <c r="D685" s="18" t="s">
        <v>62</v>
      </c>
      <c r="E685" s="19">
        <v>46128</v>
      </c>
      <c r="F685" s="18" t="s">
        <v>57</v>
      </c>
      <c r="G685" s="18" t="s">
        <v>58</v>
      </c>
      <c r="H685" s="17">
        <v>666541</v>
      </c>
      <c r="I685" s="18" t="s">
        <v>41</v>
      </c>
      <c r="J685" s="20">
        <v>108</v>
      </c>
    </row>
    <row r="686" spans="1:10" ht="15" customHeight="1" x14ac:dyDescent="0.75">
      <c r="A686" s="18" t="s">
        <v>79</v>
      </c>
      <c r="B686" s="19">
        <v>46125</v>
      </c>
      <c r="C686" s="17">
        <v>16</v>
      </c>
      <c r="D686" s="18" t="s">
        <v>62</v>
      </c>
      <c r="E686" s="19">
        <v>46128</v>
      </c>
      <c r="F686" s="18" t="s">
        <v>55</v>
      </c>
      <c r="G686" s="18" t="s">
        <v>66</v>
      </c>
      <c r="H686" s="17">
        <v>666502</v>
      </c>
      <c r="I686" s="18" t="s">
        <v>7</v>
      </c>
      <c r="J686" s="20">
        <v>7</v>
      </c>
    </row>
    <row r="687" spans="1:10" ht="15" customHeight="1" x14ac:dyDescent="0.75">
      <c r="A687" s="18" t="s">
        <v>79</v>
      </c>
      <c r="B687" s="19">
        <v>46125</v>
      </c>
      <c r="C687" s="17">
        <v>16</v>
      </c>
      <c r="D687" s="18" t="s">
        <v>63</v>
      </c>
      <c r="E687" s="19">
        <v>46129</v>
      </c>
      <c r="F687" s="18" t="s">
        <v>65</v>
      </c>
      <c r="G687" s="18" t="s">
        <v>56</v>
      </c>
      <c r="H687" s="17">
        <v>666507</v>
      </c>
      <c r="I687" s="18" t="s">
        <v>13</v>
      </c>
      <c r="J687" s="20">
        <v>6</v>
      </c>
    </row>
    <row r="688" spans="1:10" ht="15" customHeight="1" x14ac:dyDescent="0.75">
      <c r="A688" s="18" t="s">
        <v>79</v>
      </c>
      <c r="B688" s="19">
        <v>46125</v>
      </c>
      <c r="C688" s="17">
        <v>16</v>
      </c>
      <c r="D688" s="18" t="s">
        <v>63</v>
      </c>
      <c r="E688" s="19">
        <v>46129</v>
      </c>
      <c r="F688" s="18" t="s">
        <v>65</v>
      </c>
      <c r="G688" s="18" t="s">
        <v>56</v>
      </c>
      <c r="H688" s="17">
        <v>666521</v>
      </c>
      <c r="I688" s="18" t="s">
        <v>31</v>
      </c>
      <c r="J688" s="20">
        <v>1</v>
      </c>
    </row>
    <row r="689" spans="1:10" ht="15" customHeight="1" x14ac:dyDescent="0.75">
      <c r="A689" s="18" t="s">
        <v>79</v>
      </c>
      <c r="B689" s="19">
        <v>46125</v>
      </c>
      <c r="C689" s="17">
        <v>16</v>
      </c>
      <c r="D689" s="18" t="s">
        <v>63</v>
      </c>
      <c r="E689" s="19">
        <v>46129</v>
      </c>
      <c r="F689" s="18" t="s">
        <v>57</v>
      </c>
      <c r="G689" s="18" t="s">
        <v>58</v>
      </c>
      <c r="H689" s="17">
        <v>666501</v>
      </c>
      <c r="I689" s="18" t="s">
        <v>5</v>
      </c>
      <c r="J689" s="20">
        <v>93</v>
      </c>
    </row>
    <row r="690" spans="1:10" ht="15" customHeight="1" x14ac:dyDescent="0.75">
      <c r="A690" s="18" t="s">
        <v>79</v>
      </c>
      <c r="B690" s="19">
        <v>46125</v>
      </c>
      <c r="C690" s="17">
        <v>16</v>
      </c>
      <c r="D690" s="18" t="s">
        <v>63</v>
      </c>
      <c r="E690" s="19">
        <v>46129</v>
      </c>
      <c r="F690" s="18" t="s">
        <v>57</v>
      </c>
      <c r="G690" s="18" t="s">
        <v>58</v>
      </c>
      <c r="H690" s="17">
        <v>666502</v>
      </c>
      <c r="I690" s="18" t="s">
        <v>7</v>
      </c>
      <c r="J690" s="20">
        <v>41</v>
      </c>
    </row>
    <row r="691" spans="1:10" ht="15" customHeight="1" x14ac:dyDescent="0.75">
      <c r="A691" s="18" t="s">
        <v>79</v>
      </c>
      <c r="B691" s="19">
        <v>46125</v>
      </c>
      <c r="C691" s="17">
        <v>16</v>
      </c>
      <c r="D691" s="18" t="s">
        <v>63</v>
      </c>
      <c r="E691" s="19">
        <v>46129</v>
      </c>
      <c r="F691" s="18" t="s">
        <v>57</v>
      </c>
      <c r="G691" s="18" t="s">
        <v>58</v>
      </c>
      <c r="H691" s="17">
        <v>666506</v>
      </c>
      <c r="I691" s="18" t="s">
        <v>11</v>
      </c>
      <c r="J691" s="20">
        <v>11</v>
      </c>
    </row>
    <row r="692" spans="1:10" ht="15" customHeight="1" x14ac:dyDescent="0.75">
      <c r="A692" s="18" t="s">
        <v>79</v>
      </c>
      <c r="B692" s="19">
        <v>46125</v>
      </c>
      <c r="C692" s="17">
        <v>16</v>
      </c>
      <c r="D692" s="18" t="s">
        <v>63</v>
      </c>
      <c r="E692" s="19">
        <v>46129</v>
      </c>
      <c r="F692" s="18" t="s">
        <v>57</v>
      </c>
      <c r="G692" s="18" t="s">
        <v>58</v>
      </c>
      <c r="H692" s="17">
        <v>666541</v>
      </c>
      <c r="I692" s="18" t="s">
        <v>41</v>
      </c>
      <c r="J692" s="20">
        <v>43</v>
      </c>
    </row>
    <row r="693" spans="1:10" ht="15" customHeight="1" x14ac:dyDescent="0.75">
      <c r="A693" s="18" t="s">
        <v>80</v>
      </c>
      <c r="B693" s="19">
        <v>46132</v>
      </c>
      <c r="C693" s="17">
        <v>17</v>
      </c>
      <c r="D693" s="18" t="s">
        <v>54</v>
      </c>
      <c r="E693" s="19">
        <v>46132</v>
      </c>
      <c r="F693" s="18" t="s">
        <v>65</v>
      </c>
      <c r="G693" s="18" t="s">
        <v>56</v>
      </c>
      <c r="H693" s="17">
        <v>666501</v>
      </c>
      <c r="I693" s="18" t="s">
        <v>5</v>
      </c>
      <c r="J693" s="20">
        <v>9</v>
      </c>
    </row>
    <row r="694" spans="1:10" ht="15" customHeight="1" x14ac:dyDescent="0.75">
      <c r="A694" s="18" t="s">
        <v>80</v>
      </c>
      <c r="B694" s="19">
        <v>46132</v>
      </c>
      <c r="C694" s="17">
        <v>17</v>
      </c>
      <c r="D694" s="18" t="s">
        <v>54</v>
      </c>
      <c r="E694" s="19">
        <v>46132</v>
      </c>
      <c r="F694" s="18" t="s">
        <v>65</v>
      </c>
      <c r="G694" s="18" t="s">
        <v>56</v>
      </c>
      <c r="H694" s="17">
        <v>666505</v>
      </c>
      <c r="I694" s="18" t="s">
        <v>9</v>
      </c>
      <c r="J694" s="20">
        <v>19</v>
      </c>
    </row>
    <row r="695" spans="1:10" ht="15" customHeight="1" x14ac:dyDescent="0.75">
      <c r="A695" s="18" t="s">
        <v>80</v>
      </c>
      <c r="B695" s="19">
        <v>46132</v>
      </c>
      <c r="C695" s="17">
        <v>17</v>
      </c>
      <c r="D695" s="18" t="s">
        <v>54</v>
      </c>
      <c r="E695" s="19">
        <v>46132</v>
      </c>
      <c r="F695" s="18" t="s">
        <v>65</v>
      </c>
      <c r="G695" s="18" t="s">
        <v>56</v>
      </c>
      <c r="H695" s="17">
        <v>666509</v>
      </c>
      <c r="I695" s="18" t="s">
        <v>15</v>
      </c>
      <c r="J695" s="20">
        <v>10</v>
      </c>
    </row>
    <row r="696" spans="1:10" ht="15" customHeight="1" x14ac:dyDescent="0.75">
      <c r="A696" s="18" t="s">
        <v>80</v>
      </c>
      <c r="B696" s="19">
        <v>46132</v>
      </c>
      <c r="C696" s="17">
        <v>17</v>
      </c>
      <c r="D696" s="18" t="s">
        <v>54</v>
      </c>
      <c r="E696" s="19">
        <v>46132</v>
      </c>
      <c r="F696" s="18" t="s">
        <v>65</v>
      </c>
      <c r="G696" s="18" t="s">
        <v>56</v>
      </c>
      <c r="H696" s="17">
        <v>666513</v>
      </c>
      <c r="I696" s="18" t="s">
        <v>21</v>
      </c>
      <c r="J696" s="20">
        <v>6</v>
      </c>
    </row>
    <row r="697" spans="1:10" ht="15" customHeight="1" x14ac:dyDescent="0.75">
      <c r="A697" s="18" t="s">
        <v>80</v>
      </c>
      <c r="B697" s="19">
        <v>46132</v>
      </c>
      <c r="C697" s="17">
        <v>17</v>
      </c>
      <c r="D697" s="18" t="s">
        <v>54</v>
      </c>
      <c r="E697" s="19">
        <v>46132</v>
      </c>
      <c r="F697" s="18" t="s">
        <v>65</v>
      </c>
      <c r="G697" s="18" t="s">
        <v>56</v>
      </c>
      <c r="H697" s="17">
        <v>666516</v>
      </c>
      <c r="I697" s="18" t="s">
        <v>23</v>
      </c>
      <c r="J697" s="20">
        <v>29</v>
      </c>
    </row>
    <row r="698" spans="1:10" ht="15" customHeight="1" x14ac:dyDescent="0.75">
      <c r="A698" s="18" t="s">
        <v>80</v>
      </c>
      <c r="B698" s="19">
        <v>46132</v>
      </c>
      <c r="C698" s="17">
        <v>17</v>
      </c>
      <c r="D698" s="18" t="s">
        <v>54</v>
      </c>
      <c r="E698" s="19">
        <v>46132</v>
      </c>
      <c r="F698" s="18" t="s">
        <v>65</v>
      </c>
      <c r="G698" s="18" t="s">
        <v>56</v>
      </c>
      <c r="H698" s="17">
        <v>666517</v>
      </c>
      <c r="I698" s="18" t="s">
        <v>25</v>
      </c>
      <c r="J698" s="20">
        <v>30</v>
      </c>
    </row>
    <row r="699" spans="1:10" ht="15" customHeight="1" x14ac:dyDescent="0.75">
      <c r="A699" s="18" t="s">
        <v>80</v>
      </c>
      <c r="B699" s="19">
        <v>46132</v>
      </c>
      <c r="C699" s="17">
        <v>17</v>
      </c>
      <c r="D699" s="18" t="s">
        <v>54</v>
      </c>
      <c r="E699" s="19">
        <v>46132</v>
      </c>
      <c r="F699" s="18" t="s">
        <v>65</v>
      </c>
      <c r="G699" s="18" t="s">
        <v>56</v>
      </c>
      <c r="H699" s="17">
        <v>666519</v>
      </c>
      <c r="I699" s="18" t="s">
        <v>29</v>
      </c>
      <c r="J699" s="20">
        <v>26</v>
      </c>
    </row>
    <row r="700" spans="1:10" ht="15" customHeight="1" x14ac:dyDescent="0.75">
      <c r="A700" s="18" t="s">
        <v>80</v>
      </c>
      <c r="B700" s="19">
        <v>46132</v>
      </c>
      <c r="C700" s="17">
        <v>17</v>
      </c>
      <c r="D700" s="18" t="s">
        <v>54</v>
      </c>
      <c r="E700" s="19">
        <v>46132</v>
      </c>
      <c r="F700" s="18" t="s">
        <v>65</v>
      </c>
      <c r="G700" s="18" t="s">
        <v>56</v>
      </c>
      <c r="H700" s="17">
        <v>666521</v>
      </c>
      <c r="I700" s="18" t="s">
        <v>31</v>
      </c>
      <c r="J700" s="20">
        <v>20</v>
      </c>
    </row>
    <row r="701" spans="1:10" ht="15" customHeight="1" x14ac:dyDescent="0.75">
      <c r="A701" s="18" t="s">
        <v>80</v>
      </c>
      <c r="B701" s="19">
        <v>46132</v>
      </c>
      <c r="C701" s="17">
        <v>17</v>
      </c>
      <c r="D701" s="18" t="s">
        <v>54</v>
      </c>
      <c r="E701" s="19">
        <v>46132</v>
      </c>
      <c r="F701" s="18" t="s">
        <v>65</v>
      </c>
      <c r="G701" s="18" t="s">
        <v>56</v>
      </c>
      <c r="H701" s="17">
        <v>666522</v>
      </c>
      <c r="I701" s="18" t="s">
        <v>33</v>
      </c>
      <c r="J701" s="20">
        <v>40</v>
      </c>
    </row>
    <row r="702" spans="1:10" ht="15" customHeight="1" x14ac:dyDescent="0.75">
      <c r="A702" s="18" t="s">
        <v>80</v>
      </c>
      <c r="B702" s="19">
        <v>46132</v>
      </c>
      <c r="C702" s="17">
        <v>17</v>
      </c>
      <c r="D702" s="18" t="s">
        <v>54</v>
      </c>
      <c r="E702" s="19">
        <v>46132</v>
      </c>
      <c r="F702" s="18" t="s">
        <v>65</v>
      </c>
      <c r="G702" s="18" t="s">
        <v>56</v>
      </c>
      <c r="H702" s="17">
        <v>666531</v>
      </c>
      <c r="I702" s="18" t="s">
        <v>39</v>
      </c>
      <c r="J702" s="20">
        <v>3</v>
      </c>
    </row>
    <row r="703" spans="1:10" ht="15" customHeight="1" x14ac:dyDescent="0.75">
      <c r="A703" s="18" t="s">
        <v>80</v>
      </c>
      <c r="B703" s="19">
        <v>46132</v>
      </c>
      <c r="C703" s="17">
        <v>17</v>
      </c>
      <c r="D703" s="18" t="s">
        <v>54</v>
      </c>
      <c r="E703" s="19">
        <v>46132</v>
      </c>
      <c r="F703" s="18" t="s">
        <v>65</v>
      </c>
      <c r="G703" s="18" t="s">
        <v>56</v>
      </c>
      <c r="H703" s="17">
        <v>666536</v>
      </c>
      <c r="I703" s="18" t="s">
        <v>43</v>
      </c>
      <c r="J703" s="20">
        <v>5</v>
      </c>
    </row>
    <row r="704" spans="1:10" ht="15" customHeight="1" x14ac:dyDescent="0.75">
      <c r="A704" s="18" t="s">
        <v>80</v>
      </c>
      <c r="B704" s="19">
        <v>46132</v>
      </c>
      <c r="C704" s="17">
        <v>17</v>
      </c>
      <c r="D704" s="18" t="s">
        <v>54</v>
      </c>
      <c r="E704" s="19">
        <v>46132</v>
      </c>
      <c r="F704" s="18" t="s">
        <v>57</v>
      </c>
      <c r="G704" s="18" t="s">
        <v>58</v>
      </c>
      <c r="H704" s="17">
        <v>666501</v>
      </c>
      <c r="I704" s="18" t="s">
        <v>5</v>
      </c>
      <c r="J704" s="20">
        <v>72</v>
      </c>
    </row>
    <row r="705" spans="1:10" ht="15" customHeight="1" x14ac:dyDescent="0.75">
      <c r="A705" s="18" t="s">
        <v>80</v>
      </c>
      <c r="B705" s="19">
        <v>46132</v>
      </c>
      <c r="C705" s="17">
        <v>17</v>
      </c>
      <c r="D705" s="18" t="s">
        <v>54</v>
      </c>
      <c r="E705" s="19">
        <v>46132</v>
      </c>
      <c r="F705" s="18" t="s">
        <v>57</v>
      </c>
      <c r="G705" s="18" t="s">
        <v>58</v>
      </c>
      <c r="H705" s="17">
        <v>666502</v>
      </c>
      <c r="I705" s="18" t="s">
        <v>7</v>
      </c>
      <c r="J705" s="20">
        <v>43</v>
      </c>
    </row>
    <row r="706" spans="1:10" ht="15" customHeight="1" x14ac:dyDescent="0.75">
      <c r="A706" s="18" t="s">
        <v>80</v>
      </c>
      <c r="B706" s="19">
        <v>46132</v>
      </c>
      <c r="C706" s="17">
        <v>17</v>
      </c>
      <c r="D706" s="18" t="s">
        <v>54</v>
      </c>
      <c r="E706" s="19">
        <v>46132</v>
      </c>
      <c r="F706" s="18" t="s">
        <v>57</v>
      </c>
      <c r="G706" s="18" t="s">
        <v>58</v>
      </c>
      <c r="H706" s="17">
        <v>666506</v>
      </c>
      <c r="I706" s="18" t="s">
        <v>11</v>
      </c>
      <c r="J706" s="20">
        <v>29</v>
      </c>
    </row>
    <row r="707" spans="1:10" ht="15" customHeight="1" x14ac:dyDescent="0.75">
      <c r="A707" s="18" t="s">
        <v>80</v>
      </c>
      <c r="B707" s="19">
        <v>46132</v>
      </c>
      <c r="C707" s="17">
        <v>17</v>
      </c>
      <c r="D707" s="18" t="s">
        <v>54</v>
      </c>
      <c r="E707" s="19">
        <v>46132</v>
      </c>
      <c r="F707" s="18" t="s">
        <v>57</v>
      </c>
      <c r="G707" s="18" t="s">
        <v>58</v>
      </c>
      <c r="H707" s="17">
        <v>666541</v>
      </c>
      <c r="I707" s="18" t="s">
        <v>41</v>
      </c>
      <c r="J707" s="20">
        <v>19</v>
      </c>
    </row>
    <row r="708" spans="1:10" ht="15" customHeight="1" x14ac:dyDescent="0.75">
      <c r="A708" s="18" t="s">
        <v>80</v>
      </c>
      <c r="B708" s="19">
        <v>46132</v>
      </c>
      <c r="C708" s="17">
        <v>17</v>
      </c>
      <c r="D708" s="18" t="s">
        <v>54</v>
      </c>
      <c r="E708" s="19">
        <v>46132</v>
      </c>
      <c r="F708" s="18" t="s">
        <v>55</v>
      </c>
      <c r="G708" s="18" t="s">
        <v>66</v>
      </c>
      <c r="H708" s="17">
        <v>666501</v>
      </c>
      <c r="I708" s="18" t="s">
        <v>5</v>
      </c>
      <c r="J708" s="20">
        <v>30</v>
      </c>
    </row>
    <row r="709" spans="1:10" ht="15" customHeight="1" x14ac:dyDescent="0.75">
      <c r="A709" s="18" t="s">
        <v>80</v>
      </c>
      <c r="B709" s="19">
        <v>46132</v>
      </c>
      <c r="C709" s="17">
        <v>17</v>
      </c>
      <c r="D709" s="18" t="s">
        <v>54</v>
      </c>
      <c r="E709" s="19">
        <v>46132</v>
      </c>
      <c r="F709" s="18" t="s">
        <v>55</v>
      </c>
      <c r="G709" s="18" t="s">
        <v>66</v>
      </c>
      <c r="H709" s="17">
        <v>666502</v>
      </c>
      <c r="I709" s="18" t="s">
        <v>7</v>
      </c>
      <c r="J709" s="20">
        <v>10</v>
      </c>
    </row>
    <row r="710" spans="1:10" ht="15" customHeight="1" x14ac:dyDescent="0.75">
      <c r="A710" s="18" t="s">
        <v>80</v>
      </c>
      <c r="B710" s="19">
        <v>46132</v>
      </c>
      <c r="C710" s="17">
        <v>17</v>
      </c>
      <c r="D710" s="18" t="s">
        <v>54</v>
      </c>
      <c r="E710" s="19">
        <v>46132</v>
      </c>
      <c r="F710" s="18" t="s">
        <v>55</v>
      </c>
      <c r="G710" s="18" t="s">
        <v>66</v>
      </c>
      <c r="H710" s="17">
        <v>666505</v>
      </c>
      <c r="I710" s="18" t="s">
        <v>9</v>
      </c>
      <c r="J710" s="20">
        <v>39</v>
      </c>
    </row>
    <row r="711" spans="1:10" ht="15" customHeight="1" x14ac:dyDescent="0.75">
      <c r="A711" s="18" t="s">
        <v>80</v>
      </c>
      <c r="B711" s="19">
        <v>46132</v>
      </c>
      <c r="C711" s="17">
        <v>17</v>
      </c>
      <c r="D711" s="18" t="s">
        <v>54</v>
      </c>
      <c r="E711" s="19">
        <v>46132</v>
      </c>
      <c r="F711" s="18" t="s">
        <v>55</v>
      </c>
      <c r="G711" s="18" t="s">
        <v>66</v>
      </c>
      <c r="H711" s="17">
        <v>666513</v>
      </c>
      <c r="I711" s="18" t="s">
        <v>21</v>
      </c>
      <c r="J711" s="20">
        <v>14</v>
      </c>
    </row>
    <row r="712" spans="1:10" ht="15" customHeight="1" x14ac:dyDescent="0.75">
      <c r="A712" s="18" t="s">
        <v>80</v>
      </c>
      <c r="B712" s="19">
        <v>46132</v>
      </c>
      <c r="C712" s="17">
        <v>17</v>
      </c>
      <c r="D712" s="18" t="s">
        <v>54</v>
      </c>
      <c r="E712" s="19">
        <v>46132</v>
      </c>
      <c r="F712" s="18" t="s">
        <v>55</v>
      </c>
      <c r="G712" s="18" t="s">
        <v>66</v>
      </c>
      <c r="H712" s="17">
        <v>666516</v>
      </c>
      <c r="I712" s="18" t="s">
        <v>23</v>
      </c>
      <c r="J712" s="20">
        <v>19</v>
      </c>
    </row>
    <row r="713" spans="1:10" ht="15" customHeight="1" x14ac:dyDescent="0.75">
      <c r="A713" s="18" t="s">
        <v>80</v>
      </c>
      <c r="B713" s="19">
        <v>46132</v>
      </c>
      <c r="C713" s="17">
        <v>17</v>
      </c>
      <c r="D713" s="18" t="s">
        <v>54</v>
      </c>
      <c r="E713" s="19">
        <v>46132</v>
      </c>
      <c r="F713" s="18" t="s">
        <v>55</v>
      </c>
      <c r="G713" s="18" t="s">
        <v>66</v>
      </c>
      <c r="H713" s="17">
        <v>666517</v>
      </c>
      <c r="I713" s="18" t="s">
        <v>25</v>
      </c>
      <c r="J713" s="20">
        <v>17</v>
      </c>
    </row>
    <row r="714" spans="1:10" ht="15" customHeight="1" x14ac:dyDescent="0.75">
      <c r="A714" s="18" t="s">
        <v>80</v>
      </c>
      <c r="B714" s="19">
        <v>46132</v>
      </c>
      <c r="C714" s="17">
        <v>17</v>
      </c>
      <c r="D714" s="18" t="s">
        <v>54</v>
      </c>
      <c r="E714" s="19">
        <v>46132</v>
      </c>
      <c r="F714" s="18" t="s">
        <v>55</v>
      </c>
      <c r="G714" s="18" t="s">
        <v>66</v>
      </c>
      <c r="H714" s="17">
        <v>666519</v>
      </c>
      <c r="I714" s="18" t="s">
        <v>29</v>
      </c>
      <c r="J714" s="20">
        <v>20</v>
      </c>
    </row>
    <row r="715" spans="1:10" ht="15" customHeight="1" x14ac:dyDescent="0.75">
      <c r="A715" s="18" t="s">
        <v>80</v>
      </c>
      <c r="B715" s="19">
        <v>46132</v>
      </c>
      <c r="C715" s="17">
        <v>17</v>
      </c>
      <c r="D715" s="18" t="s">
        <v>54</v>
      </c>
      <c r="E715" s="19">
        <v>46132</v>
      </c>
      <c r="F715" s="18" t="s">
        <v>55</v>
      </c>
      <c r="G715" s="18" t="s">
        <v>66</v>
      </c>
      <c r="H715" s="17">
        <v>666522</v>
      </c>
      <c r="I715" s="18" t="s">
        <v>33</v>
      </c>
      <c r="J715" s="20">
        <v>75</v>
      </c>
    </row>
    <row r="716" spans="1:10" ht="15" customHeight="1" x14ac:dyDescent="0.75">
      <c r="A716" s="18" t="s">
        <v>80</v>
      </c>
      <c r="B716" s="19">
        <v>46132</v>
      </c>
      <c r="C716" s="17">
        <v>17</v>
      </c>
      <c r="D716" s="18" t="s">
        <v>54</v>
      </c>
      <c r="E716" s="19">
        <v>46132</v>
      </c>
      <c r="F716" s="18" t="s">
        <v>55</v>
      </c>
      <c r="G716" s="18" t="s">
        <v>66</v>
      </c>
      <c r="H716" s="17">
        <v>666523</v>
      </c>
      <c r="I716" s="18" t="s">
        <v>35</v>
      </c>
      <c r="J716" s="20">
        <v>23</v>
      </c>
    </row>
    <row r="717" spans="1:10" ht="15" customHeight="1" x14ac:dyDescent="0.75">
      <c r="A717" s="18" t="s">
        <v>80</v>
      </c>
      <c r="B717" s="19">
        <v>46132</v>
      </c>
      <c r="C717" s="17">
        <v>17</v>
      </c>
      <c r="D717" s="18" t="s">
        <v>54</v>
      </c>
      <c r="E717" s="19">
        <v>46132</v>
      </c>
      <c r="F717" s="18" t="s">
        <v>55</v>
      </c>
      <c r="G717" s="18" t="s">
        <v>66</v>
      </c>
      <c r="H717" s="17">
        <v>666530</v>
      </c>
      <c r="I717" s="18" t="s">
        <v>37</v>
      </c>
      <c r="J717" s="20">
        <v>17</v>
      </c>
    </row>
    <row r="718" spans="1:10" ht="15" customHeight="1" x14ac:dyDescent="0.75">
      <c r="A718" s="18" t="s">
        <v>80</v>
      </c>
      <c r="B718" s="19">
        <v>46132</v>
      </c>
      <c r="C718" s="17">
        <v>17</v>
      </c>
      <c r="D718" s="18" t="s">
        <v>54</v>
      </c>
      <c r="E718" s="19">
        <v>46132</v>
      </c>
      <c r="F718" s="18" t="s">
        <v>55</v>
      </c>
      <c r="G718" s="18" t="s">
        <v>66</v>
      </c>
      <c r="H718" s="17">
        <v>666531</v>
      </c>
      <c r="I718" s="18" t="s">
        <v>39</v>
      </c>
      <c r="J718" s="20">
        <v>8</v>
      </c>
    </row>
    <row r="719" spans="1:10" ht="15" customHeight="1" x14ac:dyDescent="0.75">
      <c r="A719" s="18" t="s">
        <v>80</v>
      </c>
      <c r="B719" s="19">
        <v>46132</v>
      </c>
      <c r="C719" s="17">
        <v>17</v>
      </c>
      <c r="D719" s="18" t="s">
        <v>59</v>
      </c>
      <c r="E719" s="19">
        <v>46133</v>
      </c>
      <c r="F719" s="18" t="s">
        <v>57</v>
      </c>
      <c r="G719" s="18" t="s">
        <v>58</v>
      </c>
      <c r="H719" s="17">
        <v>666501</v>
      </c>
      <c r="I719" s="18" t="s">
        <v>5</v>
      </c>
      <c r="J719" s="20">
        <v>96</v>
      </c>
    </row>
    <row r="720" spans="1:10" ht="15" customHeight="1" x14ac:dyDescent="0.75">
      <c r="A720" s="18" t="s">
        <v>80</v>
      </c>
      <c r="B720" s="19">
        <v>46132</v>
      </c>
      <c r="C720" s="17">
        <v>17</v>
      </c>
      <c r="D720" s="18" t="s">
        <v>59</v>
      </c>
      <c r="E720" s="19">
        <v>46133</v>
      </c>
      <c r="F720" s="18" t="s">
        <v>57</v>
      </c>
      <c r="G720" s="18" t="s">
        <v>58</v>
      </c>
      <c r="H720" s="17">
        <v>666502</v>
      </c>
      <c r="I720" s="18" t="s">
        <v>7</v>
      </c>
      <c r="J720" s="20">
        <v>36</v>
      </c>
    </row>
    <row r="721" spans="1:10" ht="15" customHeight="1" x14ac:dyDescent="0.75">
      <c r="A721" s="18" t="s">
        <v>80</v>
      </c>
      <c r="B721" s="19">
        <v>46132</v>
      </c>
      <c r="C721" s="17">
        <v>17</v>
      </c>
      <c r="D721" s="18" t="s">
        <v>59</v>
      </c>
      <c r="E721" s="19">
        <v>46133</v>
      </c>
      <c r="F721" s="18" t="s">
        <v>57</v>
      </c>
      <c r="G721" s="18" t="s">
        <v>58</v>
      </c>
      <c r="H721" s="17">
        <v>666506</v>
      </c>
      <c r="I721" s="18" t="s">
        <v>11</v>
      </c>
      <c r="J721" s="20">
        <v>21</v>
      </c>
    </row>
    <row r="722" spans="1:10" ht="15" customHeight="1" x14ac:dyDescent="0.75">
      <c r="A722" s="18" t="s">
        <v>80</v>
      </c>
      <c r="B722" s="19">
        <v>46132</v>
      </c>
      <c r="C722" s="17">
        <v>17</v>
      </c>
      <c r="D722" s="18" t="s">
        <v>59</v>
      </c>
      <c r="E722" s="19">
        <v>46133</v>
      </c>
      <c r="F722" s="18" t="s">
        <v>57</v>
      </c>
      <c r="G722" s="18" t="s">
        <v>58</v>
      </c>
      <c r="H722" s="17">
        <v>666541</v>
      </c>
      <c r="I722" s="18" t="s">
        <v>41</v>
      </c>
      <c r="J722" s="20">
        <v>37</v>
      </c>
    </row>
    <row r="723" spans="1:10" ht="15" customHeight="1" x14ac:dyDescent="0.75">
      <c r="A723" s="18" t="s">
        <v>80</v>
      </c>
      <c r="B723" s="19">
        <v>46132</v>
      </c>
      <c r="C723" s="17">
        <v>17</v>
      </c>
      <c r="D723" s="18" t="s">
        <v>59</v>
      </c>
      <c r="E723" s="19">
        <v>46133</v>
      </c>
      <c r="F723" s="18" t="s">
        <v>55</v>
      </c>
      <c r="G723" s="18" t="s">
        <v>66</v>
      </c>
      <c r="H723" s="17">
        <v>666501</v>
      </c>
      <c r="I723" s="18" t="s">
        <v>5</v>
      </c>
      <c r="J723" s="20">
        <v>30</v>
      </c>
    </row>
    <row r="724" spans="1:10" ht="15" customHeight="1" x14ac:dyDescent="0.75">
      <c r="A724" s="18" t="s">
        <v>80</v>
      </c>
      <c r="B724" s="19">
        <v>46132</v>
      </c>
      <c r="C724" s="17">
        <v>17</v>
      </c>
      <c r="D724" s="18" t="s">
        <v>59</v>
      </c>
      <c r="E724" s="19">
        <v>46133</v>
      </c>
      <c r="F724" s="18" t="s">
        <v>55</v>
      </c>
      <c r="G724" s="18" t="s">
        <v>66</v>
      </c>
      <c r="H724" s="17">
        <v>666502</v>
      </c>
      <c r="I724" s="18" t="s">
        <v>7</v>
      </c>
      <c r="J724" s="20">
        <v>8</v>
      </c>
    </row>
    <row r="725" spans="1:10" ht="15" customHeight="1" x14ac:dyDescent="0.75">
      <c r="A725" s="18" t="s">
        <v>80</v>
      </c>
      <c r="B725" s="19">
        <v>46132</v>
      </c>
      <c r="C725" s="17">
        <v>17</v>
      </c>
      <c r="D725" s="18" t="s">
        <v>59</v>
      </c>
      <c r="E725" s="19">
        <v>46133</v>
      </c>
      <c r="F725" s="18" t="s">
        <v>55</v>
      </c>
      <c r="G725" s="18" t="s">
        <v>66</v>
      </c>
      <c r="H725" s="17">
        <v>666516</v>
      </c>
      <c r="I725" s="18" t="s">
        <v>23</v>
      </c>
      <c r="J725" s="20">
        <v>12</v>
      </c>
    </row>
    <row r="726" spans="1:10" ht="15" customHeight="1" x14ac:dyDescent="0.75">
      <c r="A726" s="18" t="s">
        <v>80</v>
      </c>
      <c r="B726" s="19">
        <v>46132</v>
      </c>
      <c r="C726" s="17">
        <v>17</v>
      </c>
      <c r="D726" s="18" t="s">
        <v>59</v>
      </c>
      <c r="E726" s="19">
        <v>46133</v>
      </c>
      <c r="F726" s="18" t="s">
        <v>55</v>
      </c>
      <c r="G726" s="18" t="s">
        <v>66</v>
      </c>
      <c r="H726" s="17">
        <v>666519</v>
      </c>
      <c r="I726" s="18" t="s">
        <v>29</v>
      </c>
      <c r="J726" s="20">
        <v>6</v>
      </c>
    </row>
    <row r="727" spans="1:10" ht="15" customHeight="1" x14ac:dyDescent="0.75">
      <c r="A727" s="18" t="s">
        <v>80</v>
      </c>
      <c r="B727" s="19">
        <v>46132</v>
      </c>
      <c r="C727" s="17">
        <v>17</v>
      </c>
      <c r="D727" s="18" t="s">
        <v>59</v>
      </c>
      <c r="E727" s="19">
        <v>46133</v>
      </c>
      <c r="F727" s="18" t="s">
        <v>55</v>
      </c>
      <c r="G727" s="18" t="s">
        <v>66</v>
      </c>
      <c r="H727" s="17">
        <v>666522</v>
      </c>
      <c r="I727" s="18" t="s">
        <v>33</v>
      </c>
      <c r="J727" s="20">
        <v>75</v>
      </c>
    </row>
    <row r="728" spans="1:10" ht="15" customHeight="1" x14ac:dyDescent="0.75">
      <c r="A728" s="18" t="s">
        <v>80</v>
      </c>
      <c r="B728" s="19">
        <v>46132</v>
      </c>
      <c r="C728" s="17">
        <v>17</v>
      </c>
      <c r="D728" s="18" t="s">
        <v>59</v>
      </c>
      <c r="E728" s="19">
        <v>46133</v>
      </c>
      <c r="F728" s="18" t="s">
        <v>55</v>
      </c>
      <c r="G728" s="18" t="s">
        <v>66</v>
      </c>
      <c r="H728" s="17">
        <v>666523</v>
      </c>
      <c r="I728" s="18" t="s">
        <v>35</v>
      </c>
      <c r="J728" s="20">
        <v>17</v>
      </c>
    </row>
    <row r="729" spans="1:10" ht="15" customHeight="1" x14ac:dyDescent="0.75">
      <c r="A729" s="18" t="s">
        <v>80</v>
      </c>
      <c r="B729" s="19">
        <v>46132</v>
      </c>
      <c r="C729" s="17">
        <v>17</v>
      </c>
      <c r="D729" s="18" t="s">
        <v>59</v>
      </c>
      <c r="E729" s="19">
        <v>46133</v>
      </c>
      <c r="F729" s="18" t="s">
        <v>55</v>
      </c>
      <c r="G729" s="18" t="s">
        <v>66</v>
      </c>
      <c r="H729" s="17">
        <v>666530</v>
      </c>
      <c r="I729" s="18" t="s">
        <v>37</v>
      </c>
      <c r="J729" s="20">
        <v>7</v>
      </c>
    </row>
    <row r="730" spans="1:10" ht="15" customHeight="1" x14ac:dyDescent="0.75">
      <c r="A730" s="18" t="s">
        <v>80</v>
      </c>
      <c r="B730" s="19">
        <v>46132</v>
      </c>
      <c r="C730" s="17">
        <v>17</v>
      </c>
      <c r="D730" s="18" t="s">
        <v>60</v>
      </c>
      <c r="E730" s="19">
        <v>46134</v>
      </c>
      <c r="F730" s="18" t="s">
        <v>65</v>
      </c>
      <c r="G730" s="18" t="s">
        <v>56</v>
      </c>
      <c r="H730" s="17">
        <v>666501</v>
      </c>
      <c r="I730" s="18" t="s">
        <v>5</v>
      </c>
      <c r="J730" s="20">
        <v>57</v>
      </c>
    </row>
    <row r="731" spans="1:10" ht="15" customHeight="1" x14ac:dyDescent="0.75">
      <c r="A731" s="18" t="s">
        <v>80</v>
      </c>
      <c r="B731" s="19">
        <v>46132</v>
      </c>
      <c r="C731" s="17">
        <v>17</v>
      </c>
      <c r="D731" s="18" t="s">
        <v>60</v>
      </c>
      <c r="E731" s="19">
        <v>46134</v>
      </c>
      <c r="F731" s="18" t="s">
        <v>65</v>
      </c>
      <c r="G731" s="18" t="s">
        <v>56</v>
      </c>
      <c r="H731" s="17">
        <v>666509</v>
      </c>
      <c r="I731" s="18" t="s">
        <v>15</v>
      </c>
      <c r="J731" s="20">
        <v>12</v>
      </c>
    </row>
    <row r="732" spans="1:10" ht="15" customHeight="1" x14ac:dyDescent="0.75">
      <c r="A732" s="18" t="s">
        <v>80</v>
      </c>
      <c r="B732" s="19">
        <v>46132</v>
      </c>
      <c r="C732" s="17">
        <v>17</v>
      </c>
      <c r="D732" s="18" t="s">
        <v>60</v>
      </c>
      <c r="E732" s="19">
        <v>46134</v>
      </c>
      <c r="F732" s="18" t="s">
        <v>65</v>
      </c>
      <c r="G732" s="18" t="s">
        <v>56</v>
      </c>
      <c r="H732" s="17">
        <v>666516</v>
      </c>
      <c r="I732" s="18" t="s">
        <v>23</v>
      </c>
      <c r="J732" s="20">
        <v>2</v>
      </c>
    </row>
    <row r="733" spans="1:10" ht="15" customHeight="1" x14ac:dyDescent="0.75">
      <c r="A733" s="18" t="s">
        <v>80</v>
      </c>
      <c r="B733" s="19">
        <v>46132</v>
      </c>
      <c r="C733" s="17">
        <v>17</v>
      </c>
      <c r="D733" s="18" t="s">
        <v>60</v>
      </c>
      <c r="E733" s="19">
        <v>46134</v>
      </c>
      <c r="F733" s="18" t="s">
        <v>65</v>
      </c>
      <c r="G733" s="18" t="s">
        <v>56</v>
      </c>
      <c r="H733" s="17">
        <v>666517</v>
      </c>
      <c r="I733" s="18" t="s">
        <v>25</v>
      </c>
      <c r="J733" s="20">
        <v>8</v>
      </c>
    </row>
    <row r="734" spans="1:10" ht="15" customHeight="1" x14ac:dyDescent="0.75">
      <c r="A734" s="18" t="s">
        <v>80</v>
      </c>
      <c r="B734" s="19">
        <v>46132</v>
      </c>
      <c r="C734" s="17">
        <v>17</v>
      </c>
      <c r="D734" s="18" t="s">
        <v>60</v>
      </c>
      <c r="E734" s="19">
        <v>46134</v>
      </c>
      <c r="F734" s="18" t="s">
        <v>65</v>
      </c>
      <c r="G734" s="18" t="s">
        <v>56</v>
      </c>
      <c r="H734" s="17">
        <v>666521</v>
      </c>
      <c r="I734" s="18" t="s">
        <v>31</v>
      </c>
      <c r="J734" s="20">
        <v>24</v>
      </c>
    </row>
    <row r="735" spans="1:10" ht="15" customHeight="1" x14ac:dyDescent="0.75">
      <c r="A735" s="18" t="s">
        <v>80</v>
      </c>
      <c r="B735" s="19">
        <v>46132</v>
      </c>
      <c r="C735" s="17">
        <v>17</v>
      </c>
      <c r="D735" s="18" t="s">
        <v>60</v>
      </c>
      <c r="E735" s="19">
        <v>46134</v>
      </c>
      <c r="F735" s="18" t="s">
        <v>65</v>
      </c>
      <c r="G735" s="18" t="s">
        <v>56</v>
      </c>
      <c r="H735" s="17">
        <v>666522</v>
      </c>
      <c r="I735" s="18" t="s">
        <v>33</v>
      </c>
      <c r="J735" s="20">
        <v>85</v>
      </c>
    </row>
    <row r="736" spans="1:10" ht="15" customHeight="1" x14ac:dyDescent="0.75">
      <c r="A736" s="18" t="s">
        <v>80</v>
      </c>
      <c r="B736" s="19">
        <v>46132</v>
      </c>
      <c r="C736" s="17">
        <v>17</v>
      </c>
      <c r="D736" s="18" t="s">
        <v>60</v>
      </c>
      <c r="E736" s="19">
        <v>46134</v>
      </c>
      <c r="F736" s="18" t="s">
        <v>65</v>
      </c>
      <c r="G736" s="18" t="s">
        <v>56</v>
      </c>
      <c r="H736" s="17">
        <v>666531</v>
      </c>
      <c r="I736" s="18" t="s">
        <v>39</v>
      </c>
      <c r="J736" s="20">
        <v>4</v>
      </c>
    </row>
    <row r="737" spans="1:10" ht="15" customHeight="1" x14ac:dyDescent="0.75">
      <c r="A737" s="18" t="s">
        <v>80</v>
      </c>
      <c r="B737" s="19">
        <v>46132</v>
      </c>
      <c r="C737" s="17">
        <v>17</v>
      </c>
      <c r="D737" s="18" t="s">
        <v>60</v>
      </c>
      <c r="E737" s="19">
        <v>46134</v>
      </c>
      <c r="F737" s="18" t="s">
        <v>57</v>
      </c>
      <c r="G737" s="18" t="s">
        <v>58</v>
      </c>
      <c r="H737" s="17">
        <v>666501</v>
      </c>
      <c r="I737" s="18" t="s">
        <v>5</v>
      </c>
      <c r="J737" s="20">
        <v>102</v>
      </c>
    </row>
    <row r="738" spans="1:10" ht="15" customHeight="1" x14ac:dyDescent="0.75">
      <c r="A738" s="18" t="s">
        <v>80</v>
      </c>
      <c r="B738" s="19">
        <v>46132</v>
      </c>
      <c r="C738" s="17">
        <v>17</v>
      </c>
      <c r="D738" s="18" t="s">
        <v>60</v>
      </c>
      <c r="E738" s="19">
        <v>46134</v>
      </c>
      <c r="F738" s="18" t="s">
        <v>57</v>
      </c>
      <c r="G738" s="18" t="s">
        <v>58</v>
      </c>
      <c r="H738" s="17">
        <v>666502</v>
      </c>
      <c r="I738" s="18" t="s">
        <v>7</v>
      </c>
      <c r="J738" s="20">
        <v>47</v>
      </c>
    </row>
    <row r="739" spans="1:10" ht="15" customHeight="1" x14ac:dyDescent="0.75">
      <c r="A739" s="18" t="s">
        <v>80</v>
      </c>
      <c r="B739" s="19">
        <v>46132</v>
      </c>
      <c r="C739" s="17">
        <v>17</v>
      </c>
      <c r="D739" s="18" t="s">
        <v>60</v>
      </c>
      <c r="E739" s="19">
        <v>46134</v>
      </c>
      <c r="F739" s="18" t="s">
        <v>57</v>
      </c>
      <c r="G739" s="18" t="s">
        <v>58</v>
      </c>
      <c r="H739" s="17">
        <v>666506</v>
      </c>
      <c r="I739" s="18" t="s">
        <v>11</v>
      </c>
      <c r="J739" s="20">
        <v>30</v>
      </c>
    </row>
    <row r="740" spans="1:10" ht="15" customHeight="1" x14ac:dyDescent="0.75">
      <c r="A740" s="18" t="s">
        <v>80</v>
      </c>
      <c r="B740" s="19">
        <v>46132</v>
      </c>
      <c r="C740" s="17">
        <v>17</v>
      </c>
      <c r="D740" s="18" t="s">
        <v>60</v>
      </c>
      <c r="E740" s="19">
        <v>46134</v>
      </c>
      <c r="F740" s="18" t="s">
        <v>57</v>
      </c>
      <c r="G740" s="18" t="s">
        <v>58</v>
      </c>
      <c r="H740" s="17">
        <v>666541</v>
      </c>
      <c r="I740" s="18" t="s">
        <v>41</v>
      </c>
      <c r="J740" s="20">
        <v>70</v>
      </c>
    </row>
    <row r="741" spans="1:10" ht="15" customHeight="1" x14ac:dyDescent="0.75">
      <c r="A741" s="18" t="s">
        <v>80</v>
      </c>
      <c r="B741" s="19">
        <v>46132</v>
      </c>
      <c r="C741" s="17">
        <v>17</v>
      </c>
      <c r="D741" s="18" t="s">
        <v>62</v>
      </c>
      <c r="E741" s="19">
        <v>46135</v>
      </c>
      <c r="F741" s="18" t="s">
        <v>65</v>
      </c>
      <c r="G741" s="18" t="s">
        <v>56</v>
      </c>
      <c r="H741" s="17">
        <v>666501</v>
      </c>
      <c r="I741" s="18" t="s">
        <v>5</v>
      </c>
      <c r="J741" s="20">
        <v>6</v>
      </c>
    </row>
    <row r="742" spans="1:10" ht="15" customHeight="1" x14ac:dyDescent="0.75">
      <c r="A742" s="18" t="s">
        <v>80</v>
      </c>
      <c r="B742" s="19">
        <v>46132</v>
      </c>
      <c r="C742" s="17">
        <v>17</v>
      </c>
      <c r="D742" s="18" t="s">
        <v>62</v>
      </c>
      <c r="E742" s="19">
        <v>46135</v>
      </c>
      <c r="F742" s="18" t="s">
        <v>65</v>
      </c>
      <c r="G742" s="18" t="s">
        <v>56</v>
      </c>
      <c r="H742" s="17">
        <v>666509</v>
      </c>
      <c r="I742" s="18" t="s">
        <v>15</v>
      </c>
      <c r="J742" s="20">
        <v>12</v>
      </c>
    </row>
    <row r="743" spans="1:10" ht="15" customHeight="1" x14ac:dyDescent="0.75">
      <c r="A743" s="18" t="s">
        <v>80</v>
      </c>
      <c r="B743" s="19">
        <v>46132</v>
      </c>
      <c r="C743" s="17">
        <v>17</v>
      </c>
      <c r="D743" s="18" t="s">
        <v>62</v>
      </c>
      <c r="E743" s="19">
        <v>46135</v>
      </c>
      <c r="F743" s="18" t="s">
        <v>65</v>
      </c>
      <c r="G743" s="18" t="s">
        <v>56</v>
      </c>
      <c r="H743" s="17">
        <v>666521</v>
      </c>
      <c r="I743" s="18" t="s">
        <v>31</v>
      </c>
      <c r="J743" s="20">
        <v>16</v>
      </c>
    </row>
    <row r="744" spans="1:10" ht="15" customHeight="1" x14ac:dyDescent="0.75">
      <c r="A744" s="18" t="s">
        <v>80</v>
      </c>
      <c r="B744" s="19">
        <v>46132</v>
      </c>
      <c r="C744" s="17">
        <v>17</v>
      </c>
      <c r="D744" s="18" t="s">
        <v>62</v>
      </c>
      <c r="E744" s="19">
        <v>46135</v>
      </c>
      <c r="F744" s="18" t="s">
        <v>65</v>
      </c>
      <c r="G744" s="18" t="s">
        <v>56</v>
      </c>
      <c r="H744" s="17">
        <v>666522</v>
      </c>
      <c r="I744" s="18" t="s">
        <v>33</v>
      </c>
      <c r="J744" s="20">
        <v>35</v>
      </c>
    </row>
    <row r="745" spans="1:10" ht="15" customHeight="1" x14ac:dyDescent="0.75">
      <c r="A745" s="18" t="s">
        <v>80</v>
      </c>
      <c r="B745" s="19">
        <v>46132</v>
      </c>
      <c r="C745" s="17">
        <v>17</v>
      </c>
      <c r="D745" s="18" t="s">
        <v>62</v>
      </c>
      <c r="E745" s="19">
        <v>46135</v>
      </c>
      <c r="F745" s="18" t="s">
        <v>65</v>
      </c>
      <c r="G745" s="18" t="s">
        <v>56</v>
      </c>
      <c r="H745" s="17">
        <v>666531</v>
      </c>
      <c r="I745" s="18" t="s">
        <v>39</v>
      </c>
      <c r="J745" s="20">
        <v>4</v>
      </c>
    </row>
    <row r="746" spans="1:10" ht="15" customHeight="1" x14ac:dyDescent="0.75">
      <c r="A746" s="18" t="s">
        <v>80</v>
      </c>
      <c r="B746" s="19">
        <v>46132</v>
      </c>
      <c r="C746" s="17">
        <v>17</v>
      </c>
      <c r="D746" s="18" t="s">
        <v>62</v>
      </c>
      <c r="E746" s="19">
        <v>46135</v>
      </c>
      <c r="F746" s="18" t="s">
        <v>65</v>
      </c>
      <c r="G746" s="18" t="s">
        <v>56</v>
      </c>
      <c r="H746" s="17">
        <v>666536</v>
      </c>
      <c r="I746" s="18" t="s">
        <v>43</v>
      </c>
      <c r="J746" s="20">
        <v>2</v>
      </c>
    </row>
    <row r="747" spans="1:10" ht="15" customHeight="1" x14ac:dyDescent="0.75">
      <c r="A747" s="18" t="s">
        <v>80</v>
      </c>
      <c r="B747" s="19">
        <v>46132</v>
      </c>
      <c r="C747" s="17">
        <v>17</v>
      </c>
      <c r="D747" s="18" t="s">
        <v>62</v>
      </c>
      <c r="E747" s="19">
        <v>46135</v>
      </c>
      <c r="F747" s="18" t="s">
        <v>57</v>
      </c>
      <c r="G747" s="18" t="s">
        <v>58</v>
      </c>
      <c r="H747" s="17">
        <v>666501</v>
      </c>
      <c r="I747" s="18" t="s">
        <v>5</v>
      </c>
      <c r="J747" s="20">
        <v>30</v>
      </c>
    </row>
    <row r="748" spans="1:10" ht="15" customHeight="1" x14ac:dyDescent="0.75">
      <c r="A748" s="18" t="s">
        <v>80</v>
      </c>
      <c r="B748" s="19">
        <v>46132</v>
      </c>
      <c r="C748" s="17">
        <v>17</v>
      </c>
      <c r="D748" s="18" t="s">
        <v>62</v>
      </c>
      <c r="E748" s="19">
        <v>46135</v>
      </c>
      <c r="F748" s="18" t="s">
        <v>57</v>
      </c>
      <c r="G748" s="18" t="s">
        <v>58</v>
      </c>
      <c r="H748" s="17">
        <v>666502</v>
      </c>
      <c r="I748" s="18" t="s">
        <v>7</v>
      </c>
      <c r="J748" s="20">
        <v>24</v>
      </c>
    </row>
    <row r="749" spans="1:10" ht="15" customHeight="1" x14ac:dyDescent="0.75">
      <c r="A749" s="18" t="s">
        <v>80</v>
      </c>
      <c r="B749" s="19">
        <v>46132</v>
      </c>
      <c r="C749" s="17">
        <v>17</v>
      </c>
      <c r="D749" s="18" t="s">
        <v>62</v>
      </c>
      <c r="E749" s="19">
        <v>46135</v>
      </c>
      <c r="F749" s="18" t="s">
        <v>57</v>
      </c>
      <c r="G749" s="18" t="s">
        <v>58</v>
      </c>
      <c r="H749" s="17">
        <v>666506</v>
      </c>
      <c r="I749" s="18" t="s">
        <v>11</v>
      </c>
      <c r="J749" s="20">
        <v>34</v>
      </c>
    </row>
    <row r="750" spans="1:10" ht="15" customHeight="1" x14ac:dyDescent="0.75">
      <c r="A750" s="18" t="s">
        <v>80</v>
      </c>
      <c r="B750" s="19">
        <v>46132</v>
      </c>
      <c r="C750" s="17">
        <v>17</v>
      </c>
      <c r="D750" s="18" t="s">
        <v>62</v>
      </c>
      <c r="E750" s="19">
        <v>46135</v>
      </c>
      <c r="F750" s="18" t="s">
        <v>57</v>
      </c>
      <c r="G750" s="18" t="s">
        <v>58</v>
      </c>
      <c r="H750" s="17">
        <v>666541</v>
      </c>
      <c r="I750" s="18" t="s">
        <v>41</v>
      </c>
      <c r="J750" s="20">
        <v>57</v>
      </c>
    </row>
    <row r="751" spans="1:10" ht="15" customHeight="1" x14ac:dyDescent="0.75">
      <c r="A751" s="18" t="s">
        <v>80</v>
      </c>
      <c r="B751" s="19">
        <v>46132</v>
      </c>
      <c r="C751" s="17">
        <v>17</v>
      </c>
      <c r="D751" s="18" t="s">
        <v>63</v>
      </c>
      <c r="E751" s="19">
        <v>46136</v>
      </c>
      <c r="F751" s="18" t="s">
        <v>65</v>
      </c>
      <c r="G751" s="18" t="s">
        <v>56</v>
      </c>
      <c r="H751" s="17">
        <v>666509</v>
      </c>
      <c r="I751" s="18" t="s">
        <v>15</v>
      </c>
      <c r="J751" s="20">
        <v>8</v>
      </c>
    </row>
    <row r="752" spans="1:10" ht="15" customHeight="1" x14ac:dyDescent="0.75">
      <c r="A752" s="18" t="s">
        <v>80</v>
      </c>
      <c r="B752" s="19">
        <v>46132</v>
      </c>
      <c r="C752" s="17">
        <v>17</v>
      </c>
      <c r="D752" s="18" t="s">
        <v>63</v>
      </c>
      <c r="E752" s="19">
        <v>46136</v>
      </c>
      <c r="F752" s="18" t="s">
        <v>65</v>
      </c>
      <c r="G752" s="18" t="s">
        <v>56</v>
      </c>
      <c r="H752" s="17">
        <v>666521</v>
      </c>
      <c r="I752" s="18" t="s">
        <v>31</v>
      </c>
      <c r="J752" s="20">
        <v>14</v>
      </c>
    </row>
    <row r="753" spans="1:10" ht="15" customHeight="1" x14ac:dyDescent="0.75">
      <c r="A753" s="18" t="s">
        <v>80</v>
      </c>
      <c r="B753" s="19">
        <v>46132</v>
      </c>
      <c r="C753" s="17">
        <v>17</v>
      </c>
      <c r="D753" s="18" t="s">
        <v>63</v>
      </c>
      <c r="E753" s="19">
        <v>46136</v>
      </c>
      <c r="F753" s="18" t="s">
        <v>65</v>
      </c>
      <c r="G753" s="18" t="s">
        <v>56</v>
      </c>
      <c r="H753" s="17">
        <v>666522</v>
      </c>
      <c r="I753" s="18" t="s">
        <v>33</v>
      </c>
      <c r="J753" s="20">
        <v>25</v>
      </c>
    </row>
    <row r="754" spans="1:10" ht="15" customHeight="1" x14ac:dyDescent="0.75">
      <c r="A754" s="18" t="s">
        <v>80</v>
      </c>
      <c r="B754" s="19">
        <v>46132</v>
      </c>
      <c r="C754" s="17">
        <v>17</v>
      </c>
      <c r="D754" s="18" t="s">
        <v>63</v>
      </c>
      <c r="E754" s="19">
        <v>46136</v>
      </c>
      <c r="F754" s="18" t="s">
        <v>65</v>
      </c>
      <c r="G754" s="18" t="s">
        <v>56</v>
      </c>
      <c r="H754" s="17">
        <v>666531</v>
      </c>
      <c r="I754" s="18" t="s">
        <v>39</v>
      </c>
      <c r="J754" s="20">
        <v>4</v>
      </c>
    </row>
    <row r="755" spans="1:10" ht="15" customHeight="1" x14ac:dyDescent="0.75">
      <c r="A755" s="18" t="s">
        <v>80</v>
      </c>
      <c r="B755" s="19">
        <v>46132</v>
      </c>
      <c r="C755" s="17">
        <v>17</v>
      </c>
      <c r="D755" s="18" t="s">
        <v>63</v>
      </c>
      <c r="E755" s="19">
        <v>46136</v>
      </c>
      <c r="F755" s="18" t="s">
        <v>65</v>
      </c>
      <c r="G755" s="18" t="s">
        <v>56</v>
      </c>
      <c r="H755" s="17">
        <v>666536</v>
      </c>
      <c r="I755" s="18" t="s">
        <v>43</v>
      </c>
      <c r="J755" s="20">
        <v>1</v>
      </c>
    </row>
    <row r="756" spans="1:10" ht="15" customHeight="1" x14ac:dyDescent="0.75">
      <c r="A756" s="18" t="s">
        <v>80</v>
      </c>
      <c r="B756" s="19">
        <v>46132</v>
      </c>
      <c r="C756" s="17">
        <v>17</v>
      </c>
      <c r="D756" s="18" t="s">
        <v>63</v>
      </c>
      <c r="E756" s="19">
        <v>46136</v>
      </c>
      <c r="F756" s="18" t="s">
        <v>57</v>
      </c>
      <c r="G756" s="18" t="s">
        <v>58</v>
      </c>
      <c r="H756" s="17">
        <v>666501</v>
      </c>
      <c r="I756" s="18" t="s">
        <v>5</v>
      </c>
      <c r="J756" s="20">
        <v>135</v>
      </c>
    </row>
    <row r="757" spans="1:10" ht="15" customHeight="1" x14ac:dyDescent="0.75">
      <c r="A757" s="18" t="s">
        <v>80</v>
      </c>
      <c r="B757" s="19">
        <v>46132</v>
      </c>
      <c r="C757" s="17">
        <v>17</v>
      </c>
      <c r="D757" s="18" t="s">
        <v>63</v>
      </c>
      <c r="E757" s="19">
        <v>46136</v>
      </c>
      <c r="F757" s="18" t="s">
        <v>57</v>
      </c>
      <c r="G757" s="18" t="s">
        <v>58</v>
      </c>
      <c r="H757" s="17">
        <v>666502</v>
      </c>
      <c r="I757" s="18" t="s">
        <v>7</v>
      </c>
      <c r="J757" s="20">
        <v>42</v>
      </c>
    </row>
    <row r="758" spans="1:10" ht="15" customHeight="1" x14ac:dyDescent="0.75">
      <c r="A758" s="18" t="s">
        <v>80</v>
      </c>
      <c r="B758" s="19">
        <v>46132</v>
      </c>
      <c r="C758" s="17">
        <v>17</v>
      </c>
      <c r="D758" s="18" t="s">
        <v>63</v>
      </c>
      <c r="E758" s="19">
        <v>46136</v>
      </c>
      <c r="F758" s="18" t="s">
        <v>57</v>
      </c>
      <c r="G758" s="18" t="s">
        <v>58</v>
      </c>
      <c r="H758" s="17">
        <v>666506</v>
      </c>
      <c r="I758" s="18" t="s">
        <v>11</v>
      </c>
      <c r="J758" s="20">
        <v>40</v>
      </c>
    </row>
    <row r="759" spans="1:10" ht="15" customHeight="1" x14ac:dyDescent="0.75">
      <c r="A759" s="18" t="s">
        <v>80</v>
      </c>
      <c r="B759" s="19">
        <v>46132</v>
      </c>
      <c r="C759" s="17">
        <v>17</v>
      </c>
      <c r="D759" s="18" t="s">
        <v>63</v>
      </c>
      <c r="E759" s="19">
        <v>46136</v>
      </c>
      <c r="F759" s="18" t="s">
        <v>57</v>
      </c>
      <c r="G759" s="18" t="s">
        <v>58</v>
      </c>
      <c r="H759" s="17">
        <v>666522</v>
      </c>
      <c r="I759" s="18" t="s">
        <v>33</v>
      </c>
      <c r="J759" s="20">
        <v>50</v>
      </c>
    </row>
    <row r="760" spans="1:10" ht="15" customHeight="1" x14ac:dyDescent="0.75">
      <c r="A760" s="18" t="s">
        <v>80</v>
      </c>
      <c r="B760" s="19">
        <v>46132</v>
      </c>
      <c r="C760" s="17">
        <v>17</v>
      </c>
      <c r="D760" s="18" t="s">
        <v>63</v>
      </c>
      <c r="E760" s="19">
        <v>46136</v>
      </c>
      <c r="F760" s="18" t="s">
        <v>57</v>
      </c>
      <c r="G760" s="18" t="s">
        <v>58</v>
      </c>
      <c r="H760" s="17">
        <v>666541</v>
      </c>
      <c r="I760" s="18" t="s">
        <v>41</v>
      </c>
      <c r="J760" s="20">
        <v>57</v>
      </c>
    </row>
    <row r="761" spans="1:10" ht="15" customHeight="1" x14ac:dyDescent="0.75">
      <c r="A761" s="18" t="s">
        <v>81</v>
      </c>
      <c r="B761" s="19">
        <v>46139</v>
      </c>
      <c r="C761" s="17">
        <v>18</v>
      </c>
      <c r="D761" s="18" t="s">
        <v>54</v>
      </c>
      <c r="E761" s="19">
        <v>46139</v>
      </c>
      <c r="F761" s="18" t="s">
        <v>65</v>
      </c>
      <c r="G761" s="18" t="s">
        <v>56</v>
      </c>
      <c r="H761" s="17">
        <v>666509</v>
      </c>
      <c r="I761" s="18" t="s">
        <v>15</v>
      </c>
      <c r="J761" s="20">
        <v>11</v>
      </c>
    </row>
    <row r="762" spans="1:10" ht="15" customHeight="1" x14ac:dyDescent="0.75">
      <c r="A762" s="18" t="s">
        <v>81</v>
      </c>
      <c r="B762" s="19">
        <v>46139</v>
      </c>
      <c r="C762" s="17">
        <v>18</v>
      </c>
      <c r="D762" s="18" t="s">
        <v>54</v>
      </c>
      <c r="E762" s="19">
        <v>46139</v>
      </c>
      <c r="F762" s="18" t="s">
        <v>65</v>
      </c>
      <c r="G762" s="18" t="s">
        <v>56</v>
      </c>
      <c r="H762" s="17">
        <v>666521</v>
      </c>
      <c r="I762" s="18" t="s">
        <v>31</v>
      </c>
      <c r="J762" s="20">
        <v>13</v>
      </c>
    </row>
    <row r="763" spans="1:10" ht="15" customHeight="1" x14ac:dyDescent="0.75">
      <c r="A763" s="18" t="s">
        <v>81</v>
      </c>
      <c r="B763" s="19">
        <v>46139</v>
      </c>
      <c r="C763" s="17">
        <v>18</v>
      </c>
      <c r="D763" s="18" t="s">
        <v>54</v>
      </c>
      <c r="E763" s="19">
        <v>46139</v>
      </c>
      <c r="F763" s="18" t="s">
        <v>65</v>
      </c>
      <c r="G763" s="18" t="s">
        <v>56</v>
      </c>
      <c r="H763" s="17">
        <v>666522</v>
      </c>
      <c r="I763" s="18" t="s">
        <v>33</v>
      </c>
      <c r="J763" s="20">
        <v>20</v>
      </c>
    </row>
    <row r="764" spans="1:10" ht="15" customHeight="1" x14ac:dyDescent="0.75">
      <c r="A764" s="18" t="s">
        <v>81</v>
      </c>
      <c r="B764" s="19">
        <v>46139</v>
      </c>
      <c r="C764" s="17">
        <v>18</v>
      </c>
      <c r="D764" s="18" t="s">
        <v>54</v>
      </c>
      <c r="E764" s="19">
        <v>46139</v>
      </c>
      <c r="F764" s="18" t="s">
        <v>65</v>
      </c>
      <c r="G764" s="18" t="s">
        <v>56</v>
      </c>
      <c r="H764" s="17">
        <v>666536</v>
      </c>
      <c r="I764" s="18" t="s">
        <v>43</v>
      </c>
      <c r="J764" s="20">
        <v>7</v>
      </c>
    </row>
    <row r="765" spans="1:10" ht="15" customHeight="1" x14ac:dyDescent="0.75">
      <c r="A765" s="18" t="s">
        <v>81</v>
      </c>
      <c r="B765" s="19">
        <v>46139</v>
      </c>
      <c r="C765" s="17">
        <v>18</v>
      </c>
      <c r="D765" s="18" t="s">
        <v>54</v>
      </c>
      <c r="E765" s="19">
        <v>46139</v>
      </c>
      <c r="F765" s="18" t="s">
        <v>57</v>
      </c>
      <c r="G765" s="18" t="s">
        <v>58</v>
      </c>
      <c r="H765" s="17">
        <v>666501</v>
      </c>
      <c r="I765" s="18" t="s">
        <v>5</v>
      </c>
      <c r="J765" s="20">
        <v>147</v>
      </c>
    </row>
    <row r="766" spans="1:10" ht="15" customHeight="1" x14ac:dyDescent="0.75">
      <c r="A766" s="18" t="s">
        <v>81</v>
      </c>
      <c r="B766" s="19">
        <v>46139</v>
      </c>
      <c r="C766" s="17">
        <v>18</v>
      </c>
      <c r="D766" s="18" t="s">
        <v>54</v>
      </c>
      <c r="E766" s="19">
        <v>46139</v>
      </c>
      <c r="F766" s="18" t="s">
        <v>57</v>
      </c>
      <c r="G766" s="18" t="s">
        <v>58</v>
      </c>
      <c r="H766" s="17">
        <v>666502</v>
      </c>
      <c r="I766" s="18" t="s">
        <v>7</v>
      </c>
      <c r="J766" s="20">
        <v>29</v>
      </c>
    </row>
    <row r="767" spans="1:10" ht="15" customHeight="1" x14ac:dyDescent="0.75">
      <c r="A767" s="18" t="s">
        <v>81</v>
      </c>
      <c r="B767" s="19">
        <v>46139</v>
      </c>
      <c r="C767" s="17">
        <v>18</v>
      </c>
      <c r="D767" s="18" t="s">
        <v>54</v>
      </c>
      <c r="E767" s="19">
        <v>46139</v>
      </c>
      <c r="F767" s="18" t="s">
        <v>57</v>
      </c>
      <c r="G767" s="18" t="s">
        <v>58</v>
      </c>
      <c r="H767" s="17">
        <v>666506</v>
      </c>
      <c r="I767" s="18" t="s">
        <v>11</v>
      </c>
      <c r="J767" s="20">
        <v>22</v>
      </c>
    </row>
    <row r="768" spans="1:10" ht="15" customHeight="1" x14ac:dyDescent="0.75">
      <c r="A768" s="18" t="s">
        <v>81</v>
      </c>
      <c r="B768" s="19">
        <v>46139</v>
      </c>
      <c r="C768" s="17">
        <v>18</v>
      </c>
      <c r="D768" s="18" t="s">
        <v>54</v>
      </c>
      <c r="E768" s="19">
        <v>46139</v>
      </c>
      <c r="F768" s="18" t="s">
        <v>57</v>
      </c>
      <c r="G768" s="18" t="s">
        <v>58</v>
      </c>
      <c r="H768" s="17">
        <v>666541</v>
      </c>
      <c r="I768" s="18" t="s">
        <v>41</v>
      </c>
      <c r="J768" s="20">
        <v>28</v>
      </c>
    </row>
    <row r="769" spans="1:10" ht="15" customHeight="1" x14ac:dyDescent="0.75">
      <c r="A769" s="18" t="s">
        <v>81</v>
      </c>
      <c r="B769" s="19">
        <v>46139</v>
      </c>
      <c r="C769" s="17">
        <v>18</v>
      </c>
      <c r="D769" s="18" t="s">
        <v>54</v>
      </c>
      <c r="E769" s="19">
        <v>46139</v>
      </c>
      <c r="F769" s="18" t="s">
        <v>55</v>
      </c>
      <c r="G769" s="18" t="s">
        <v>66</v>
      </c>
      <c r="H769" s="17">
        <v>666501</v>
      </c>
      <c r="I769" s="18" t="s">
        <v>5</v>
      </c>
      <c r="J769" s="20">
        <v>6</v>
      </c>
    </row>
    <row r="770" spans="1:10" ht="15" customHeight="1" x14ac:dyDescent="0.75">
      <c r="A770" s="18" t="s">
        <v>81</v>
      </c>
      <c r="B770" s="19">
        <v>46139</v>
      </c>
      <c r="C770" s="17">
        <v>18</v>
      </c>
      <c r="D770" s="18" t="s">
        <v>54</v>
      </c>
      <c r="E770" s="19">
        <v>46139</v>
      </c>
      <c r="F770" s="18" t="s">
        <v>55</v>
      </c>
      <c r="G770" s="18" t="s">
        <v>66</v>
      </c>
      <c r="H770" s="17">
        <v>666502</v>
      </c>
      <c r="I770" s="18" t="s">
        <v>7</v>
      </c>
      <c r="J770" s="20">
        <v>27</v>
      </c>
    </row>
    <row r="771" spans="1:10" ht="15" customHeight="1" x14ac:dyDescent="0.75">
      <c r="A771" s="18" t="s">
        <v>81</v>
      </c>
      <c r="B771" s="19">
        <v>46139</v>
      </c>
      <c r="C771" s="17">
        <v>18</v>
      </c>
      <c r="D771" s="18" t="s">
        <v>59</v>
      </c>
      <c r="E771" s="19">
        <v>46140</v>
      </c>
      <c r="F771" s="18" t="s">
        <v>57</v>
      </c>
      <c r="G771" s="18" t="s">
        <v>58</v>
      </c>
      <c r="H771" s="17">
        <v>666501</v>
      </c>
      <c r="I771" s="18" t="s">
        <v>5</v>
      </c>
      <c r="J771" s="20">
        <v>45</v>
      </c>
    </row>
    <row r="772" spans="1:10" ht="15" customHeight="1" x14ac:dyDescent="0.75">
      <c r="A772" s="18" t="s">
        <v>81</v>
      </c>
      <c r="B772" s="19">
        <v>46139</v>
      </c>
      <c r="C772" s="17">
        <v>18</v>
      </c>
      <c r="D772" s="18" t="s">
        <v>59</v>
      </c>
      <c r="E772" s="19">
        <v>46140</v>
      </c>
      <c r="F772" s="18" t="s">
        <v>57</v>
      </c>
      <c r="G772" s="18" t="s">
        <v>58</v>
      </c>
      <c r="H772" s="17">
        <v>666502</v>
      </c>
      <c r="I772" s="18" t="s">
        <v>7</v>
      </c>
      <c r="J772" s="20">
        <v>32</v>
      </c>
    </row>
    <row r="773" spans="1:10" ht="15" customHeight="1" x14ac:dyDescent="0.75">
      <c r="A773" s="18" t="s">
        <v>81</v>
      </c>
      <c r="B773" s="19">
        <v>46139</v>
      </c>
      <c r="C773" s="17">
        <v>18</v>
      </c>
      <c r="D773" s="18" t="s">
        <v>59</v>
      </c>
      <c r="E773" s="19">
        <v>46140</v>
      </c>
      <c r="F773" s="18" t="s">
        <v>57</v>
      </c>
      <c r="G773" s="18" t="s">
        <v>58</v>
      </c>
      <c r="H773" s="17">
        <v>666506</v>
      </c>
      <c r="I773" s="18" t="s">
        <v>11</v>
      </c>
      <c r="J773" s="20">
        <v>22</v>
      </c>
    </row>
    <row r="774" spans="1:10" ht="15" customHeight="1" x14ac:dyDescent="0.75">
      <c r="A774" s="18" t="s">
        <v>81</v>
      </c>
      <c r="B774" s="19">
        <v>46139</v>
      </c>
      <c r="C774" s="17">
        <v>18</v>
      </c>
      <c r="D774" s="18" t="s">
        <v>59</v>
      </c>
      <c r="E774" s="19">
        <v>46140</v>
      </c>
      <c r="F774" s="18" t="s">
        <v>57</v>
      </c>
      <c r="G774" s="18" t="s">
        <v>58</v>
      </c>
      <c r="H774" s="17">
        <v>666522</v>
      </c>
      <c r="I774" s="18" t="s">
        <v>33</v>
      </c>
      <c r="J774" s="20">
        <v>10</v>
      </c>
    </row>
    <row r="775" spans="1:10" ht="15" customHeight="1" x14ac:dyDescent="0.75">
      <c r="A775" s="18" t="s">
        <v>81</v>
      </c>
      <c r="B775" s="19">
        <v>46139</v>
      </c>
      <c r="C775" s="17">
        <v>18</v>
      </c>
      <c r="D775" s="18" t="s">
        <v>59</v>
      </c>
      <c r="E775" s="19">
        <v>46140</v>
      </c>
      <c r="F775" s="18" t="s">
        <v>57</v>
      </c>
      <c r="G775" s="18" t="s">
        <v>58</v>
      </c>
      <c r="H775" s="17">
        <v>666541</v>
      </c>
      <c r="I775" s="18" t="s">
        <v>41</v>
      </c>
      <c r="J775" s="20">
        <v>35</v>
      </c>
    </row>
    <row r="776" spans="1:10" ht="15" customHeight="1" x14ac:dyDescent="0.75">
      <c r="A776" s="18" t="s">
        <v>81</v>
      </c>
      <c r="B776" s="19">
        <v>46139</v>
      </c>
      <c r="C776" s="17">
        <v>18</v>
      </c>
      <c r="D776" s="18" t="s">
        <v>59</v>
      </c>
      <c r="E776" s="19">
        <v>46140</v>
      </c>
      <c r="F776" s="18" t="s">
        <v>55</v>
      </c>
      <c r="G776" s="18" t="s">
        <v>66</v>
      </c>
      <c r="H776" s="17">
        <v>666502</v>
      </c>
      <c r="I776" s="18" t="s">
        <v>7</v>
      </c>
      <c r="J776" s="20">
        <v>26</v>
      </c>
    </row>
    <row r="777" spans="1:10" ht="15" customHeight="1" x14ac:dyDescent="0.75">
      <c r="A777" s="18" t="s">
        <v>81</v>
      </c>
      <c r="B777" s="19">
        <v>46139</v>
      </c>
      <c r="C777" s="17">
        <v>18</v>
      </c>
      <c r="D777" s="18" t="s">
        <v>60</v>
      </c>
      <c r="E777" s="19">
        <v>46141</v>
      </c>
      <c r="F777" s="18" t="s">
        <v>65</v>
      </c>
      <c r="G777" s="18" t="s">
        <v>56</v>
      </c>
      <c r="H777" s="17">
        <v>666509</v>
      </c>
      <c r="I777" s="18" t="s">
        <v>15</v>
      </c>
      <c r="J777" s="20">
        <v>15</v>
      </c>
    </row>
    <row r="778" spans="1:10" ht="15" customHeight="1" x14ac:dyDescent="0.75">
      <c r="A778" s="18" t="s">
        <v>81</v>
      </c>
      <c r="B778" s="19">
        <v>46139</v>
      </c>
      <c r="C778" s="17">
        <v>18</v>
      </c>
      <c r="D778" s="18" t="s">
        <v>60</v>
      </c>
      <c r="E778" s="19">
        <v>46141</v>
      </c>
      <c r="F778" s="18" t="s">
        <v>65</v>
      </c>
      <c r="G778" s="18" t="s">
        <v>56</v>
      </c>
      <c r="H778" s="17">
        <v>666521</v>
      </c>
      <c r="I778" s="18" t="s">
        <v>31</v>
      </c>
      <c r="J778" s="20">
        <v>23</v>
      </c>
    </row>
    <row r="779" spans="1:10" ht="15" customHeight="1" x14ac:dyDescent="0.75">
      <c r="A779" s="18" t="s">
        <v>81</v>
      </c>
      <c r="B779" s="19">
        <v>46139</v>
      </c>
      <c r="C779" s="17">
        <v>18</v>
      </c>
      <c r="D779" s="18" t="s">
        <v>60</v>
      </c>
      <c r="E779" s="19">
        <v>46141</v>
      </c>
      <c r="F779" s="18" t="s">
        <v>65</v>
      </c>
      <c r="G779" s="18" t="s">
        <v>56</v>
      </c>
      <c r="H779" s="17">
        <v>666522</v>
      </c>
      <c r="I779" s="18" t="s">
        <v>33</v>
      </c>
      <c r="J779" s="20">
        <v>5</v>
      </c>
    </row>
    <row r="780" spans="1:10" ht="15" customHeight="1" x14ac:dyDescent="0.75">
      <c r="A780" s="18" t="s">
        <v>81</v>
      </c>
      <c r="B780" s="19">
        <v>46139</v>
      </c>
      <c r="C780" s="17">
        <v>18</v>
      </c>
      <c r="D780" s="18" t="s">
        <v>60</v>
      </c>
      <c r="E780" s="19">
        <v>46141</v>
      </c>
      <c r="F780" s="18" t="s">
        <v>65</v>
      </c>
      <c r="G780" s="18" t="s">
        <v>56</v>
      </c>
      <c r="H780" s="17">
        <v>666531</v>
      </c>
      <c r="I780" s="18" t="s">
        <v>39</v>
      </c>
      <c r="J780" s="20">
        <v>5</v>
      </c>
    </row>
    <row r="781" spans="1:10" ht="15" customHeight="1" x14ac:dyDescent="0.75">
      <c r="A781" s="18" t="s">
        <v>81</v>
      </c>
      <c r="B781" s="19">
        <v>46139</v>
      </c>
      <c r="C781" s="17">
        <v>18</v>
      </c>
      <c r="D781" s="18" t="s">
        <v>60</v>
      </c>
      <c r="E781" s="19">
        <v>46141</v>
      </c>
      <c r="F781" s="18" t="s">
        <v>65</v>
      </c>
      <c r="G781" s="18" t="s">
        <v>56</v>
      </c>
      <c r="H781" s="17">
        <v>666536</v>
      </c>
      <c r="I781" s="18" t="s">
        <v>43</v>
      </c>
      <c r="J781" s="20">
        <v>2</v>
      </c>
    </row>
    <row r="782" spans="1:10" ht="15" customHeight="1" x14ac:dyDescent="0.75">
      <c r="A782" s="18" t="s">
        <v>81</v>
      </c>
      <c r="B782" s="19">
        <v>46139</v>
      </c>
      <c r="C782" s="17">
        <v>18</v>
      </c>
      <c r="D782" s="18" t="s">
        <v>60</v>
      </c>
      <c r="E782" s="19">
        <v>46141</v>
      </c>
      <c r="F782" s="18" t="s">
        <v>57</v>
      </c>
      <c r="G782" s="18" t="s">
        <v>58</v>
      </c>
      <c r="H782" s="17">
        <v>666501</v>
      </c>
      <c r="I782" s="18" t="s">
        <v>5</v>
      </c>
      <c r="J782" s="20">
        <v>33</v>
      </c>
    </row>
    <row r="783" spans="1:10" ht="15" customHeight="1" x14ac:dyDescent="0.75">
      <c r="A783" s="18" t="s">
        <v>81</v>
      </c>
      <c r="B783" s="19">
        <v>46139</v>
      </c>
      <c r="C783" s="17">
        <v>18</v>
      </c>
      <c r="D783" s="18" t="s">
        <v>60</v>
      </c>
      <c r="E783" s="19">
        <v>46141</v>
      </c>
      <c r="F783" s="18" t="s">
        <v>57</v>
      </c>
      <c r="G783" s="18" t="s">
        <v>58</v>
      </c>
      <c r="H783" s="17">
        <v>666502</v>
      </c>
      <c r="I783" s="18" t="s">
        <v>7</v>
      </c>
      <c r="J783" s="20">
        <v>14</v>
      </c>
    </row>
    <row r="784" spans="1:10" ht="15" customHeight="1" x14ac:dyDescent="0.75">
      <c r="A784" s="18" t="s">
        <v>81</v>
      </c>
      <c r="B784" s="19">
        <v>46139</v>
      </c>
      <c r="C784" s="17">
        <v>18</v>
      </c>
      <c r="D784" s="18" t="s">
        <v>60</v>
      </c>
      <c r="E784" s="19">
        <v>46141</v>
      </c>
      <c r="F784" s="18" t="s">
        <v>57</v>
      </c>
      <c r="G784" s="18" t="s">
        <v>58</v>
      </c>
      <c r="H784" s="17">
        <v>666506</v>
      </c>
      <c r="I784" s="18" t="s">
        <v>11</v>
      </c>
      <c r="J784" s="20">
        <v>32</v>
      </c>
    </row>
    <row r="785" spans="1:10" ht="15" customHeight="1" x14ac:dyDescent="0.75">
      <c r="A785" s="18" t="s">
        <v>81</v>
      </c>
      <c r="B785" s="19">
        <v>46139</v>
      </c>
      <c r="C785" s="17">
        <v>18</v>
      </c>
      <c r="D785" s="18" t="s">
        <v>60</v>
      </c>
      <c r="E785" s="19">
        <v>46141</v>
      </c>
      <c r="F785" s="18" t="s">
        <v>57</v>
      </c>
      <c r="G785" s="18" t="s">
        <v>58</v>
      </c>
      <c r="H785" s="17">
        <v>666541</v>
      </c>
      <c r="I785" s="18" t="s">
        <v>41</v>
      </c>
      <c r="J785" s="20">
        <v>37</v>
      </c>
    </row>
    <row r="786" spans="1:10" ht="15" customHeight="1" x14ac:dyDescent="0.75">
      <c r="A786" s="18" t="s">
        <v>81</v>
      </c>
      <c r="B786" s="19">
        <v>46139</v>
      </c>
      <c r="C786" s="17">
        <v>18</v>
      </c>
      <c r="D786" s="18" t="s">
        <v>62</v>
      </c>
      <c r="E786" s="19">
        <v>46142</v>
      </c>
      <c r="F786" s="18" t="s">
        <v>65</v>
      </c>
      <c r="G786" s="18" t="s">
        <v>56</v>
      </c>
      <c r="H786" s="17">
        <v>666507</v>
      </c>
      <c r="I786" s="18" t="s">
        <v>13</v>
      </c>
      <c r="J786" s="20">
        <v>11</v>
      </c>
    </row>
    <row r="787" spans="1:10" ht="15" customHeight="1" x14ac:dyDescent="0.75">
      <c r="A787" s="18" t="s">
        <v>81</v>
      </c>
      <c r="B787" s="19">
        <v>46139</v>
      </c>
      <c r="C787" s="17">
        <v>18</v>
      </c>
      <c r="D787" s="18" t="s">
        <v>62</v>
      </c>
      <c r="E787" s="19">
        <v>46142</v>
      </c>
      <c r="F787" s="18" t="s">
        <v>65</v>
      </c>
      <c r="G787" s="18" t="s">
        <v>56</v>
      </c>
      <c r="H787" s="17">
        <v>666521</v>
      </c>
      <c r="I787" s="18" t="s">
        <v>31</v>
      </c>
      <c r="J787" s="20">
        <v>1</v>
      </c>
    </row>
    <row r="788" spans="1:10" ht="15" customHeight="1" x14ac:dyDescent="0.75">
      <c r="A788" s="18" t="s">
        <v>81</v>
      </c>
      <c r="B788" s="19">
        <v>46139</v>
      </c>
      <c r="C788" s="17">
        <v>18</v>
      </c>
      <c r="D788" s="18" t="s">
        <v>62</v>
      </c>
      <c r="E788" s="19">
        <v>46142</v>
      </c>
      <c r="F788" s="18" t="s">
        <v>57</v>
      </c>
      <c r="G788" s="18" t="s">
        <v>58</v>
      </c>
      <c r="H788" s="17">
        <v>666506</v>
      </c>
      <c r="I788" s="18" t="s">
        <v>11</v>
      </c>
      <c r="J788" s="20">
        <v>43</v>
      </c>
    </row>
    <row r="789" spans="1:10" ht="15" customHeight="1" x14ac:dyDescent="0.75">
      <c r="A789" s="18" t="s">
        <v>81</v>
      </c>
      <c r="B789" s="19">
        <v>46139</v>
      </c>
      <c r="C789" s="17">
        <v>18</v>
      </c>
      <c r="D789" s="18" t="s">
        <v>62</v>
      </c>
      <c r="E789" s="19">
        <v>46142</v>
      </c>
      <c r="F789" s="18" t="s">
        <v>57</v>
      </c>
      <c r="G789" s="18" t="s">
        <v>58</v>
      </c>
      <c r="H789" s="17">
        <v>666541</v>
      </c>
      <c r="I789" s="18" t="s">
        <v>41</v>
      </c>
      <c r="J789" s="20">
        <v>61</v>
      </c>
    </row>
    <row r="790" spans="1:10" ht="15" customHeight="1" x14ac:dyDescent="0.75">
      <c r="A790" s="18" t="s">
        <v>81</v>
      </c>
      <c r="B790" s="19">
        <v>46139</v>
      </c>
      <c r="C790" s="17">
        <v>18</v>
      </c>
      <c r="D790" s="18" t="s">
        <v>62</v>
      </c>
      <c r="E790" s="19">
        <v>46142</v>
      </c>
      <c r="F790" s="18" t="s">
        <v>55</v>
      </c>
      <c r="G790" s="18" t="s">
        <v>66</v>
      </c>
      <c r="H790" s="17">
        <v>666502</v>
      </c>
      <c r="I790" s="18" t="s">
        <v>7</v>
      </c>
      <c r="J790" s="20">
        <v>21</v>
      </c>
    </row>
    <row r="791" spans="1:10" ht="15" customHeight="1" x14ac:dyDescent="0.75">
      <c r="A791" s="18" t="s">
        <v>81</v>
      </c>
      <c r="B791" s="19">
        <v>46139</v>
      </c>
      <c r="C791" s="17">
        <v>18</v>
      </c>
      <c r="D791" s="18" t="s">
        <v>63</v>
      </c>
      <c r="E791" s="19">
        <v>46143</v>
      </c>
      <c r="F791" s="18" t="s">
        <v>65</v>
      </c>
      <c r="G791" s="18" t="s">
        <v>56</v>
      </c>
      <c r="H791" s="17">
        <v>666507</v>
      </c>
      <c r="I791" s="18" t="s">
        <v>13</v>
      </c>
      <c r="J791" s="20">
        <v>5</v>
      </c>
    </row>
    <row r="792" spans="1:10" ht="15" customHeight="1" x14ac:dyDescent="0.75">
      <c r="A792" s="18" t="s">
        <v>81</v>
      </c>
      <c r="B792" s="19">
        <v>46139</v>
      </c>
      <c r="C792" s="17">
        <v>18</v>
      </c>
      <c r="D792" s="18" t="s">
        <v>63</v>
      </c>
      <c r="E792" s="19">
        <v>46143</v>
      </c>
      <c r="F792" s="18" t="s">
        <v>65</v>
      </c>
      <c r="G792" s="18" t="s">
        <v>56</v>
      </c>
      <c r="H792" s="17">
        <v>666511</v>
      </c>
      <c r="I792" s="18" t="s">
        <v>19</v>
      </c>
      <c r="J792" s="20">
        <v>6</v>
      </c>
    </row>
    <row r="793" spans="1:10" ht="15" customHeight="1" x14ac:dyDescent="0.75">
      <c r="A793" s="18" t="s">
        <v>81</v>
      </c>
      <c r="B793" s="19">
        <v>46139</v>
      </c>
      <c r="C793" s="17">
        <v>18</v>
      </c>
      <c r="D793" s="18" t="s">
        <v>63</v>
      </c>
      <c r="E793" s="19">
        <v>46143</v>
      </c>
      <c r="F793" s="18" t="s">
        <v>65</v>
      </c>
      <c r="G793" s="18" t="s">
        <v>56</v>
      </c>
      <c r="H793" s="17">
        <v>666521</v>
      </c>
      <c r="I793" s="18" t="s">
        <v>31</v>
      </c>
      <c r="J793" s="20">
        <v>9</v>
      </c>
    </row>
    <row r="794" spans="1:10" ht="15" customHeight="1" x14ac:dyDescent="0.75">
      <c r="A794" s="18" t="s">
        <v>81</v>
      </c>
      <c r="B794" s="19">
        <v>46139</v>
      </c>
      <c r="C794" s="17">
        <v>18</v>
      </c>
      <c r="D794" s="18" t="s">
        <v>63</v>
      </c>
      <c r="E794" s="19">
        <v>46143</v>
      </c>
      <c r="F794" s="18" t="s">
        <v>57</v>
      </c>
      <c r="G794" s="18" t="s">
        <v>58</v>
      </c>
      <c r="H794" s="17">
        <v>666501</v>
      </c>
      <c r="I794" s="18" t="s">
        <v>5</v>
      </c>
      <c r="J794" s="20">
        <v>6</v>
      </c>
    </row>
    <row r="795" spans="1:10" ht="15" customHeight="1" x14ac:dyDescent="0.75">
      <c r="A795" s="18" t="s">
        <v>81</v>
      </c>
      <c r="B795" s="19">
        <v>46139</v>
      </c>
      <c r="C795" s="17">
        <v>18</v>
      </c>
      <c r="D795" s="18" t="s">
        <v>63</v>
      </c>
      <c r="E795" s="19">
        <v>46143</v>
      </c>
      <c r="F795" s="18" t="s">
        <v>57</v>
      </c>
      <c r="G795" s="18" t="s">
        <v>58</v>
      </c>
      <c r="H795" s="17">
        <v>666502</v>
      </c>
      <c r="I795" s="18" t="s">
        <v>7</v>
      </c>
      <c r="J795" s="20">
        <v>2</v>
      </c>
    </row>
    <row r="796" spans="1:10" ht="15" customHeight="1" x14ac:dyDescent="0.75">
      <c r="A796" s="18" t="s">
        <v>81</v>
      </c>
      <c r="B796" s="19">
        <v>46139</v>
      </c>
      <c r="C796" s="17">
        <v>18</v>
      </c>
      <c r="D796" s="18" t="s">
        <v>63</v>
      </c>
      <c r="E796" s="19">
        <v>46143</v>
      </c>
      <c r="F796" s="18" t="s">
        <v>57</v>
      </c>
      <c r="G796" s="18" t="s">
        <v>58</v>
      </c>
      <c r="H796" s="17">
        <v>666506</v>
      </c>
      <c r="I796" s="18" t="s">
        <v>11</v>
      </c>
      <c r="J796" s="20">
        <v>4</v>
      </c>
    </row>
    <row r="797" spans="1:10" ht="15" customHeight="1" x14ac:dyDescent="0.75">
      <c r="A797" s="18" t="s">
        <v>81</v>
      </c>
      <c r="B797" s="19">
        <v>46139</v>
      </c>
      <c r="C797" s="17">
        <v>18</v>
      </c>
      <c r="D797" s="18" t="s">
        <v>63</v>
      </c>
      <c r="E797" s="19">
        <v>46143</v>
      </c>
      <c r="F797" s="18" t="s">
        <v>57</v>
      </c>
      <c r="G797" s="18" t="s">
        <v>58</v>
      </c>
      <c r="H797" s="17">
        <v>666540</v>
      </c>
      <c r="I797" s="18" t="s">
        <v>40</v>
      </c>
      <c r="J797" s="20">
        <v>1</v>
      </c>
    </row>
    <row r="798" spans="1:10" ht="15" customHeight="1" x14ac:dyDescent="0.75">
      <c r="A798" s="18" t="s">
        <v>81</v>
      </c>
      <c r="B798" s="19">
        <v>46139</v>
      </c>
      <c r="C798" s="17">
        <v>18</v>
      </c>
      <c r="D798" s="18" t="s">
        <v>63</v>
      </c>
      <c r="E798" s="19">
        <v>46143</v>
      </c>
      <c r="F798" s="18" t="s">
        <v>57</v>
      </c>
      <c r="G798" s="18" t="s">
        <v>58</v>
      </c>
      <c r="H798" s="17">
        <v>666541</v>
      </c>
      <c r="I798" s="18" t="s">
        <v>41</v>
      </c>
      <c r="J798" s="20">
        <v>27</v>
      </c>
    </row>
    <row r="799" spans="1:10" ht="15" customHeight="1" x14ac:dyDescent="0.75">
      <c r="A799" s="18" t="s">
        <v>82</v>
      </c>
      <c r="B799" s="19">
        <v>46146</v>
      </c>
      <c r="C799" s="17">
        <v>19</v>
      </c>
      <c r="D799" s="18" t="s">
        <v>54</v>
      </c>
      <c r="E799" s="19">
        <v>46146</v>
      </c>
      <c r="F799" s="18" t="s">
        <v>65</v>
      </c>
      <c r="G799" s="18" t="s">
        <v>56</v>
      </c>
      <c r="H799" s="17">
        <v>666501</v>
      </c>
      <c r="I799" s="18" t="s">
        <v>5</v>
      </c>
      <c r="J799" s="20">
        <v>24</v>
      </c>
    </row>
    <row r="800" spans="1:10" ht="15" customHeight="1" x14ac:dyDescent="0.75">
      <c r="A800" s="18" t="s">
        <v>82</v>
      </c>
      <c r="B800" s="19">
        <v>46146</v>
      </c>
      <c r="C800" s="17">
        <v>19</v>
      </c>
      <c r="D800" s="18" t="s">
        <v>54</v>
      </c>
      <c r="E800" s="19">
        <v>46146</v>
      </c>
      <c r="F800" s="18" t="s">
        <v>65</v>
      </c>
      <c r="G800" s="18" t="s">
        <v>56</v>
      </c>
      <c r="H800" s="17">
        <v>666505</v>
      </c>
      <c r="I800" s="18" t="s">
        <v>9</v>
      </c>
      <c r="J800" s="20">
        <v>16</v>
      </c>
    </row>
    <row r="801" spans="1:10" ht="15" customHeight="1" x14ac:dyDescent="0.75">
      <c r="A801" s="18" t="s">
        <v>82</v>
      </c>
      <c r="B801" s="19">
        <v>46146</v>
      </c>
      <c r="C801" s="17">
        <v>19</v>
      </c>
      <c r="D801" s="18" t="s">
        <v>54</v>
      </c>
      <c r="E801" s="19">
        <v>46146</v>
      </c>
      <c r="F801" s="18" t="s">
        <v>65</v>
      </c>
      <c r="G801" s="18" t="s">
        <v>56</v>
      </c>
      <c r="H801" s="17">
        <v>666509</v>
      </c>
      <c r="I801" s="18" t="s">
        <v>15</v>
      </c>
      <c r="J801" s="20">
        <v>12</v>
      </c>
    </row>
    <row r="802" spans="1:10" ht="15" customHeight="1" x14ac:dyDescent="0.75">
      <c r="A802" s="18" t="s">
        <v>82</v>
      </c>
      <c r="B802" s="19">
        <v>46146</v>
      </c>
      <c r="C802" s="17">
        <v>19</v>
      </c>
      <c r="D802" s="18" t="s">
        <v>54</v>
      </c>
      <c r="E802" s="19">
        <v>46146</v>
      </c>
      <c r="F802" s="18" t="s">
        <v>65</v>
      </c>
      <c r="G802" s="18" t="s">
        <v>56</v>
      </c>
      <c r="H802" s="17">
        <v>666513</v>
      </c>
      <c r="I802" s="18" t="s">
        <v>21</v>
      </c>
      <c r="J802" s="20">
        <v>8</v>
      </c>
    </row>
    <row r="803" spans="1:10" ht="15" customHeight="1" x14ac:dyDescent="0.75">
      <c r="A803" s="18" t="s">
        <v>82</v>
      </c>
      <c r="B803" s="19">
        <v>46146</v>
      </c>
      <c r="C803" s="17">
        <v>19</v>
      </c>
      <c r="D803" s="18" t="s">
        <v>54</v>
      </c>
      <c r="E803" s="19">
        <v>46146</v>
      </c>
      <c r="F803" s="18" t="s">
        <v>65</v>
      </c>
      <c r="G803" s="18" t="s">
        <v>56</v>
      </c>
      <c r="H803" s="17">
        <v>666516</v>
      </c>
      <c r="I803" s="18" t="s">
        <v>23</v>
      </c>
      <c r="J803" s="20">
        <v>27</v>
      </c>
    </row>
    <row r="804" spans="1:10" ht="15" customHeight="1" x14ac:dyDescent="0.75">
      <c r="A804" s="18" t="s">
        <v>82</v>
      </c>
      <c r="B804" s="19">
        <v>46146</v>
      </c>
      <c r="C804" s="17">
        <v>19</v>
      </c>
      <c r="D804" s="18" t="s">
        <v>54</v>
      </c>
      <c r="E804" s="19">
        <v>46146</v>
      </c>
      <c r="F804" s="18" t="s">
        <v>65</v>
      </c>
      <c r="G804" s="18" t="s">
        <v>56</v>
      </c>
      <c r="H804" s="17">
        <v>666517</v>
      </c>
      <c r="I804" s="18" t="s">
        <v>25</v>
      </c>
      <c r="J804" s="20">
        <v>33</v>
      </c>
    </row>
    <row r="805" spans="1:10" ht="15" customHeight="1" x14ac:dyDescent="0.75">
      <c r="A805" s="18" t="s">
        <v>82</v>
      </c>
      <c r="B805" s="19">
        <v>46146</v>
      </c>
      <c r="C805" s="17">
        <v>19</v>
      </c>
      <c r="D805" s="18" t="s">
        <v>54</v>
      </c>
      <c r="E805" s="19">
        <v>46146</v>
      </c>
      <c r="F805" s="18" t="s">
        <v>65</v>
      </c>
      <c r="G805" s="18" t="s">
        <v>56</v>
      </c>
      <c r="H805" s="17">
        <v>666519</v>
      </c>
      <c r="I805" s="18" t="s">
        <v>29</v>
      </c>
      <c r="J805" s="20">
        <v>26</v>
      </c>
    </row>
    <row r="806" spans="1:10" ht="15" customHeight="1" x14ac:dyDescent="0.75">
      <c r="A806" s="18" t="s">
        <v>82</v>
      </c>
      <c r="B806" s="19">
        <v>46146</v>
      </c>
      <c r="C806" s="17">
        <v>19</v>
      </c>
      <c r="D806" s="18" t="s">
        <v>54</v>
      </c>
      <c r="E806" s="19">
        <v>46146</v>
      </c>
      <c r="F806" s="18" t="s">
        <v>65</v>
      </c>
      <c r="G806" s="18" t="s">
        <v>56</v>
      </c>
      <c r="H806" s="17">
        <v>666521</v>
      </c>
      <c r="I806" s="18" t="s">
        <v>31</v>
      </c>
      <c r="J806" s="20">
        <v>7</v>
      </c>
    </row>
    <row r="807" spans="1:10" ht="15" customHeight="1" x14ac:dyDescent="0.75">
      <c r="A807" s="18" t="s">
        <v>82</v>
      </c>
      <c r="B807" s="19">
        <v>46146</v>
      </c>
      <c r="C807" s="17">
        <v>19</v>
      </c>
      <c r="D807" s="18" t="s">
        <v>54</v>
      </c>
      <c r="E807" s="19">
        <v>46146</v>
      </c>
      <c r="F807" s="18" t="s">
        <v>65</v>
      </c>
      <c r="G807" s="18" t="s">
        <v>56</v>
      </c>
      <c r="H807" s="17">
        <v>666522</v>
      </c>
      <c r="I807" s="18" t="s">
        <v>33</v>
      </c>
      <c r="J807" s="20">
        <v>65</v>
      </c>
    </row>
    <row r="808" spans="1:10" ht="15" customHeight="1" x14ac:dyDescent="0.75">
      <c r="A808" s="18" t="s">
        <v>82</v>
      </c>
      <c r="B808" s="19">
        <v>46146</v>
      </c>
      <c r="C808" s="17">
        <v>19</v>
      </c>
      <c r="D808" s="18" t="s">
        <v>54</v>
      </c>
      <c r="E808" s="19">
        <v>46146</v>
      </c>
      <c r="F808" s="18" t="s">
        <v>65</v>
      </c>
      <c r="G808" s="18" t="s">
        <v>56</v>
      </c>
      <c r="H808" s="17">
        <v>666531</v>
      </c>
      <c r="I808" s="18" t="s">
        <v>39</v>
      </c>
      <c r="J808" s="20">
        <v>2</v>
      </c>
    </row>
    <row r="809" spans="1:10" ht="15" customHeight="1" x14ac:dyDescent="0.75">
      <c r="A809" s="18" t="s">
        <v>82</v>
      </c>
      <c r="B809" s="19">
        <v>46146</v>
      </c>
      <c r="C809" s="17">
        <v>19</v>
      </c>
      <c r="D809" s="18" t="s">
        <v>54</v>
      </c>
      <c r="E809" s="19">
        <v>46146</v>
      </c>
      <c r="F809" s="18" t="s">
        <v>65</v>
      </c>
      <c r="G809" s="18" t="s">
        <v>56</v>
      </c>
      <c r="H809" s="17">
        <v>666536</v>
      </c>
      <c r="I809" s="18" t="s">
        <v>43</v>
      </c>
      <c r="J809" s="20">
        <v>5</v>
      </c>
    </row>
    <row r="810" spans="1:10" ht="15" customHeight="1" x14ac:dyDescent="0.75">
      <c r="A810" s="18" t="s">
        <v>82</v>
      </c>
      <c r="B810" s="19">
        <v>46146</v>
      </c>
      <c r="C810" s="17">
        <v>19</v>
      </c>
      <c r="D810" s="18" t="s">
        <v>54</v>
      </c>
      <c r="E810" s="19">
        <v>46146</v>
      </c>
      <c r="F810" s="18" t="s">
        <v>57</v>
      </c>
      <c r="G810" s="18" t="s">
        <v>58</v>
      </c>
      <c r="H810" s="17">
        <v>666502</v>
      </c>
      <c r="I810" s="18" t="s">
        <v>7</v>
      </c>
      <c r="J810" s="20">
        <v>20</v>
      </c>
    </row>
    <row r="811" spans="1:10" ht="15" customHeight="1" x14ac:dyDescent="0.75">
      <c r="A811" s="18" t="s">
        <v>82</v>
      </c>
      <c r="B811" s="19">
        <v>46146</v>
      </c>
      <c r="C811" s="17">
        <v>19</v>
      </c>
      <c r="D811" s="18" t="s">
        <v>54</v>
      </c>
      <c r="E811" s="19">
        <v>46146</v>
      </c>
      <c r="F811" s="18" t="s">
        <v>57</v>
      </c>
      <c r="G811" s="18" t="s">
        <v>58</v>
      </c>
      <c r="H811" s="17">
        <v>666506</v>
      </c>
      <c r="I811" s="18" t="s">
        <v>11</v>
      </c>
      <c r="J811" s="20">
        <v>13</v>
      </c>
    </row>
    <row r="812" spans="1:10" ht="15" customHeight="1" x14ac:dyDescent="0.75">
      <c r="A812" s="18" t="s">
        <v>82</v>
      </c>
      <c r="B812" s="19">
        <v>46146</v>
      </c>
      <c r="C812" s="17">
        <v>19</v>
      </c>
      <c r="D812" s="18" t="s">
        <v>54</v>
      </c>
      <c r="E812" s="19">
        <v>46146</v>
      </c>
      <c r="F812" s="18" t="s">
        <v>57</v>
      </c>
      <c r="G812" s="18" t="s">
        <v>58</v>
      </c>
      <c r="H812" s="17">
        <v>666541</v>
      </c>
      <c r="I812" s="18" t="s">
        <v>41</v>
      </c>
      <c r="J812" s="20">
        <v>36</v>
      </c>
    </row>
    <row r="813" spans="1:10" ht="15" customHeight="1" x14ac:dyDescent="0.75">
      <c r="A813" s="18" t="s">
        <v>82</v>
      </c>
      <c r="B813" s="19">
        <v>46146</v>
      </c>
      <c r="C813" s="17">
        <v>19</v>
      </c>
      <c r="D813" s="18" t="s">
        <v>54</v>
      </c>
      <c r="E813" s="19">
        <v>46146</v>
      </c>
      <c r="F813" s="18" t="s">
        <v>55</v>
      </c>
      <c r="G813" s="18" t="s">
        <v>66</v>
      </c>
      <c r="H813" s="17">
        <v>666501</v>
      </c>
      <c r="I813" s="18" t="s">
        <v>5</v>
      </c>
      <c r="J813" s="20">
        <v>27</v>
      </c>
    </row>
    <row r="814" spans="1:10" ht="15" customHeight="1" x14ac:dyDescent="0.75">
      <c r="A814" s="18" t="s">
        <v>82</v>
      </c>
      <c r="B814" s="19">
        <v>46146</v>
      </c>
      <c r="C814" s="17">
        <v>19</v>
      </c>
      <c r="D814" s="18" t="s">
        <v>54</v>
      </c>
      <c r="E814" s="19">
        <v>46146</v>
      </c>
      <c r="F814" s="18" t="s">
        <v>55</v>
      </c>
      <c r="G814" s="18" t="s">
        <v>66</v>
      </c>
      <c r="H814" s="17">
        <v>666502</v>
      </c>
      <c r="I814" s="18" t="s">
        <v>7</v>
      </c>
      <c r="J814" s="20">
        <v>10</v>
      </c>
    </row>
    <row r="815" spans="1:10" ht="15" customHeight="1" x14ac:dyDescent="0.75">
      <c r="A815" s="18" t="s">
        <v>82</v>
      </c>
      <c r="B815" s="19">
        <v>46146</v>
      </c>
      <c r="C815" s="17">
        <v>19</v>
      </c>
      <c r="D815" s="18" t="s">
        <v>54</v>
      </c>
      <c r="E815" s="19">
        <v>46146</v>
      </c>
      <c r="F815" s="18" t="s">
        <v>55</v>
      </c>
      <c r="G815" s="18" t="s">
        <v>66</v>
      </c>
      <c r="H815" s="17">
        <v>666505</v>
      </c>
      <c r="I815" s="18" t="s">
        <v>9</v>
      </c>
      <c r="J815" s="20">
        <v>34</v>
      </c>
    </row>
    <row r="816" spans="1:10" ht="15" customHeight="1" x14ac:dyDescent="0.75">
      <c r="A816" s="18" t="s">
        <v>82</v>
      </c>
      <c r="B816" s="19">
        <v>46146</v>
      </c>
      <c r="C816" s="17">
        <v>19</v>
      </c>
      <c r="D816" s="18" t="s">
        <v>54</v>
      </c>
      <c r="E816" s="19">
        <v>46146</v>
      </c>
      <c r="F816" s="18" t="s">
        <v>55</v>
      </c>
      <c r="G816" s="18" t="s">
        <v>66</v>
      </c>
      <c r="H816" s="17">
        <v>666513</v>
      </c>
      <c r="I816" s="18" t="s">
        <v>21</v>
      </c>
      <c r="J816" s="20">
        <v>20</v>
      </c>
    </row>
    <row r="817" spans="1:10" ht="15" customHeight="1" x14ac:dyDescent="0.75">
      <c r="A817" s="18" t="s">
        <v>82</v>
      </c>
      <c r="B817" s="19">
        <v>46146</v>
      </c>
      <c r="C817" s="17">
        <v>19</v>
      </c>
      <c r="D817" s="18" t="s">
        <v>54</v>
      </c>
      <c r="E817" s="19">
        <v>46146</v>
      </c>
      <c r="F817" s="18" t="s">
        <v>55</v>
      </c>
      <c r="G817" s="18" t="s">
        <v>66</v>
      </c>
      <c r="H817" s="17">
        <v>666516</v>
      </c>
      <c r="I817" s="18" t="s">
        <v>23</v>
      </c>
      <c r="J817" s="20">
        <v>27</v>
      </c>
    </row>
    <row r="818" spans="1:10" ht="15" customHeight="1" x14ac:dyDescent="0.75">
      <c r="A818" s="18" t="s">
        <v>82</v>
      </c>
      <c r="B818" s="19">
        <v>46146</v>
      </c>
      <c r="C818" s="17">
        <v>19</v>
      </c>
      <c r="D818" s="18" t="s">
        <v>54</v>
      </c>
      <c r="E818" s="19">
        <v>46146</v>
      </c>
      <c r="F818" s="18" t="s">
        <v>55</v>
      </c>
      <c r="G818" s="18" t="s">
        <v>66</v>
      </c>
      <c r="H818" s="17">
        <v>666517</v>
      </c>
      <c r="I818" s="18" t="s">
        <v>25</v>
      </c>
      <c r="J818" s="20">
        <v>15</v>
      </c>
    </row>
    <row r="819" spans="1:10" ht="15" customHeight="1" x14ac:dyDescent="0.75">
      <c r="A819" s="18" t="s">
        <v>82</v>
      </c>
      <c r="B819" s="19">
        <v>46146</v>
      </c>
      <c r="C819" s="17">
        <v>19</v>
      </c>
      <c r="D819" s="18" t="s">
        <v>54</v>
      </c>
      <c r="E819" s="19">
        <v>46146</v>
      </c>
      <c r="F819" s="18" t="s">
        <v>55</v>
      </c>
      <c r="G819" s="18" t="s">
        <v>66</v>
      </c>
      <c r="H819" s="17">
        <v>666519</v>
      </c>
      <c r="I819" s="18" t="s">
        <v>29</v>
      </c>
      <c r="J819" s="20">
        <v>26</v>
      </c>
    </row>
    <row r="820" spans="1:10" ht="15" customHeight="1" x14ac:dyDescent="0.75">
      <c r="A820" s="18" t="s">
        <v>82</v>
      </c>
      <c r="B820" s="19">
        <v>46146</v>
      </c>
      <c r="C820" s="17">
        <v>19</v>
      </c>
      <c r="D820" s="18" t="s">
        <v>54</v>
      </c>
      <c r="E820" s="19">
        <v>46146</v>
      </c>
      <c r="F820" s="18" t="s">
        <v>55</v>
      </c>
      <c r="G820" s="18" t="s">
        <v>66</v>
      </c>
      <c r="H820" s="17">
        <v>666522</v>
      </c>
      <c r="I820" s="18" t="s">
        <v>33</v>
      </c>
      <c r="J820" s="20">
        <v>65</v>
      </c>
    </row>
    <row r="821" spans="1:10" ht="15" customHeight="1" x14ac:dyDescent="0.75">
      <c r="A821" s="18" t="s">
        <v>82</v>
      </c>
      <c r="B821" s="19">
        <v>46146</v>
      </c>
      <c r="C821" s="17">
        <v>19</v>
      </c>
      <c r="D821" s="18" t="s">
        <v>54</v>
      </c>
      <c r="E821" s="19">
        <v>46146</v>
      </c>
      <c r="F821" s="18" t="s">
        <v>55</v>
      </c>
      <c r="G821" s="18" t="s">
        <v>66</v>
      </c>
      <c r="H821" s="17">
        <v>666523</v>
      </c>
      <c r="I821" s="18" t="s">
        <v>35</v>
      </c>
      <c r="J821" s="20">
        <v>23</v>
      </c>
    </row>
    <row r="822" spans="1:10" ht="15" customHeight="1" x14ac:dyDescent="0.75">
      <c r="A822" s="18" t="s">
        <v>82</v>
      </c>
      <c r="B822" s="19">
        <v>46146</v>
      </c>
      <c r="C822" s="17">
        <v>19</v>
      </c>
      <c r="D822" s="18" t="s">
        <v>54</v>
      </c>
      <c r="E822" s="19">
        <v>46146</v>
      </c>
      <c r="F822" s="18" t="s">
        <v>55</v>
      </c>
      <c r="G822" s="18" t="s">
        <v>66</v>
      </c>
      <c r="H822" s="17">
        <v>666531</v>
      </c>
      <c r="I822" s="18" t="s">
        <v>39</v>
      </c>
      <c r="J822" s="20">
        <v>8</v>
      </c>
    </row>
    <row r="823" spans="1:10" ht="15" customHeight="1" x14ac:dyDescent="0.75">
      <c r="A823" s="18" t="s">
        <v>82</v>
      </c>
      <c r="B823" s="19">
        <v>46146</v>
      </c>
      <c r="C823" s="17">
        <v>19</v>
      </c>
      <c r="D823" s="18" t="s">
        <v>59</v>
      </c>
      <c r="E823" s="19">
        <v>46147</v>
      </c>
      <c r="F823" s="18" t="s">
        <v>57</v>
      </c>
      <c r="G823" s="18" t="s">
        <v>58</v>
      </c>
      <c r="H823" s="17">
        <v>666501</v>
      </c>
      <c r="I823" s="18" t="s">
        <v>5</v>
      </c>
      <c r="J823" s="20">
        <v>198</v>
      </c>
    </row>
    <row r="824" spans="1:10" ht="15" customHeight="1" x14ac:dyDescent="0.75">
      <c r="A824" s="18" t="s">
        <v>82</v>
      </c>
      <c r="B824" s="19">
        <v>46146</v>
      </c>
      <c r="C824" s="17">
        <v>19</v>
      </c>
      <c r="D824" s="18" t="s">
        <v>59</v>
      </c>
      <c r="E824" s="19">
        <v>46147</v>
      </c>
      <c r="F824" s="18" t="s">
        <v>57</v>
      </c>
      <c r="G824" s="18" t="s">
        <v>58</v>
      </c>
      <c r="H824" s="17">
        <v>666502</v>
      </c>
      <c r="I824" s="18" t="s">
        <v>7</v>
      </c>
      <c r="J824" s="20">
        <v>41</v>
      </c>
    </row>
    <row r="825" spans="1:10" ht="15" customHeight="1" x14ac:dyDescent="0.75">
      <c r="A825" s="18" t="s">
        <v>82</v>
      </c>
      <c r="B825" s="19">
        <v>46146</v>
      </c>
      <c r="C825" s="17">
        <v>19</v>
      </c>
      <c r="D825" s="18" t="s">
        <v>59</v>
      </c>
      <c r="E825" s="19">
        <v>46147</v>
      </c>
      <c r="F825" s="18" t="s">
        <v>57</v>
      </c>
      <c r="G825" s="18" t="s">
        <v>58</v>
      </c>
      <c r="H825" s="17">
        <v>666506</v>
      </c>
      <c r="I825" s="18" t="s">
        <v>11</v>
      </c>
      <c r="J825" s="20">
        <v>32</v>
      </c>
    </row>
    <row r="826" spans="1:10" ht="15" customHeight="1" x14ac:dyDescent="0.75">
      <c r="A826" s="18" t="s">
        <v>82</v>
      </c>
      <c r="B826" s="19">
        <v>46146</v>
      </c>
      <c r="C826" s="17">
        <v>19</v>
      </c>
      <c r="D826" s="18" t="s">
        <v>59</v>
      </c>
      <c r="E826" s="19">
        <v>46147</v>
      </c>
      <c r="F826" s="18" t="s">
        <v>57</v>
      </c>
      <c r="G826" s="18" t="s">
        <v>58</v>
      </c>
      <c r="H826" s="17">
        <v>666522</v>
      </c>
      <c r="I826" s="18" t="s">
        <v>33</v>
      </c>
      <c r="J826" s="20">
        <v>50</v>
      </c>
    </row>
    <row r="827" spans="1:10" ht="15" customHeight="1" x14ac:dyDescent="0.75">
      <c r="A827" s="18" t="s">
        <v>82</v>
      </c>
      <c r="B827" s="19">
        <v>46146</v>
      </c>
      <c r="C827" s="17">
        <v>19</v>
      </c>
      <c r="D827" s="18" t="s">
        <v>59</v>
      </c>
      <c r="E827" s="19">
        <v>46147</v>
      </c>
      <c r="F827" s="18" t="s">
        <v>57</v>
      </c>
      <c r="G827" s="18" t="s">
        <v>58</v>
      </c>
      <c r="H827" s="17">
        <v>666541</v>
      </c>
      <c r="I827" s="18" t="s">
        <v>41</v>
      </c>
      <c r="J827" s="20">
        <v>51</v>
      </c>
    </row>
    <row r="828" spans="1:10" ht="15" customHeight="1" x14ac:dyDescent="0.75">
      <c r="A828" s="18" t="s">
        <v>82</v>
      </c>
      <c r="B828" s="19">
        <v>46146</v>
      </c>
      <c r="C828" s="17">
        <v>19</v>
      </c>
      <c r="D828" s="18" t="s">
        <v>59</v>
      </c>
      <c r="E828" s="19">
        <v>46147</v>
      </c>
      <c r="F828" s="18" t="s">
        <v>55</v>
      </c>
      <c r="G828" s="18" t="s">
        <v>66</v>
      </c>
      <c r="H828" s="17">
        <v>666501</v>
      </c>
      <c r="I828" s="18" t="s">
        <v>5</v>
      </c>
      <c r="J828" s="20">
        <v>12</v>
      </c>
    </row>
    <row r="829" spans="1:10" ht="15" customHeight="1" x14ac:dyDescent="0.75">
      <c r="A829" s="18" t="s">
        <v>82</v>
      </c>
      <c r="B829" s="19">
        <v>46146</v>
      </c>
      <c r="C829" s="17">
        <v>19</v>
      </c>
      <c r="D829" s="18" t="s">
        <v>59</v>
      </c>
      <c r="E829" s="19">
        <v>46147</v>
      </c>
      <c r="F829" s="18" t="s">
        <v>55</v>
      </c>
      <c r="G829" s="18" t="s">
        <v>66</v>
      </c>
      <c r="H829" s="17">
        <v>666502</v>
      </c>
      <c r="I829" s="18" t="s">
        <v>7</v>
      </c>
      <c r="J829" s="20">
        <v>15</v>
      </c>
    </row>
    <row r="830" spans="1:10" ht="15" customHeight="1" x14ac:dyDescent="0.75">
      <c r="A830" s="18" t="s">
        <v>82</v>
      </c>
      <c r="B830" s="19">
        <v>46146</v>
      </c>
      <c r="C830" s="17">
        <v>19</v>
      </c>
      <c r="D830" s="18" t="s">
        <v>59</v>
      </c>
      <c r="E830" s="19">
        <v>46147</v>
      </c>
      <c r="F830" s="18" t="s">
        <v>55</v>
      </c>
      <c r="G830" s="18" t="s">
        <v>66</v>
      </c>
      <c r="H830" s="17">
        <v>666522</v>
      </c>
      <c r="I830" s="18" t="s">
        <v>33</v>
      </c>
      <c r="J830" s="20">
        <v>60</v>
      </c>
    </row>
    <row r="831" spans="1:10" ht="15" customHeight="1" x14ac:dyDescent="0.75">
      <c r="A831" s="18" t="s">
        <v>82</v>
      </c>
      <c r="B831" s="19">
        <v>46146</v>
      </c>
      <c r="C831" s="17">
        <v>19</v>
      </c>
      <c r="D831" s="18" t="s">
        <v>59</v>
      </c>
      <c r="E831" s="19">
        <v>46147</v>
      </c>
      <c r="F831" s="18" t="s">
        <v>55</v>
      </c>
      <c r="G831" s="18" t="s">
        <v>66</v>
      </c>
      <c r="H831" s="17">
        <v>666523</v>
      </c>
      <c r="I831" s="18" t="s">
        <v>35</v>
      </c>
      <c r="J831" s="20">
        <v>17</v>
      </c>
    </row>
    <row r="832" spans="1:10" ht="15" customHeight="1" x14ac:dyDescent="0.75">
      <c r="A832" s="18" t="s">
        <v>82</v>
      </c>
      <c r="B832" s="19">
        <v>46146</v>
      </c>
      <c r="C832" s="17">
        <v>19</v>
      </c>
      <c r="D832" s="18" t="s">
        <v>59</v>
      </c>
      <c r="E832" s="19">
        <v>46147</v>
      </c>
      <c r="F832" s="18" t="s">
        <v>55</v>
      </c>
      <c r="G832" s="18" t="s">
        <v>66</v>
      </c>
      <c r="H832" s="17">
        <v>666530</v>
      </c>
      <c r="I832" s="18" t="s">
        <v>37</v>
      </c>
      <c r="J832" s="20">
        <v>24</v>
      </c>
    </row>
    <row r="833" spans="1:10" ht="15" customHeight="1" x14ac:dyDescent="0.75">
      <c r="A833" s="18" t="s">
        <v>82</v>
      </c>
      <c r="B833" s="19">
        <v>46146</v>
      </c>
      <c r="C833" s="17">
        <v>19</v>
      </c>
      <c r="D833" s="18" t="s">
        <v>60</v>
      </c>
      <c r="E833" s="19">
        <v>46148</v>
      </c>
      <c r="F833" s="18" t="s">
        <v>65</v>
      </c>
      <c r="G833" s="18" t="s">
        <v>56</v>
      </c>
      <c r="H833" s="17">
        <v>666501</v>
      </c>
      <c r="I833" s="18" t="s">
        <v>5</v>
      </c>
      <c r="J833" s="20">
        <v>18</v>
      </c>
    </row>
    <row r="834" spans="1:10" ht="15" customHeight="1" x14ac:dyDescent="0.75">
      <c r="A834" s="18" t="s">
        <v>82</v>
      </c>
      <c r="B834" s="19">
        <v>46146</v>
      </c>
      <c r="C834" s="17">
        <v>19</v>
      </c>
      <c r="D834" s="18" t="s">
        <v>60</v>
      </c>
      <c r="E834" s="19">
        <v>46148</v>
      </c>
      <c r="F834" s="18" t="s">
        <v>65</v>
      </c>
      <c r="G834" s="18" t="s">
        <v>56</v>
      </c>
      <c r="H834" s="17">
        <v>666509</v>
      </c>
      <c r="I834" s="18" t="s">
        <v>15</v>
      </c>
      <c r="J834" s="20">
        <v>10</v>
      </c>
    </row>
    <row r="835" spans="1:10" ht="15" customHeight="1" x14ac:dyDescent="0.75">
      <c r="A835" s="18" t="s">
        <v>82</v>
      </c>
      <c r="B835" s="19">
        <v>46146</v>
      </c>
      <c r="C835" s="17">
        <v>19</v>
      </c>
      <c r="D835" s="18" t="s">
        <v>60</v>
      </c>
      <c r="E835" s="19">
        <v>46148</v>
      </c>
      <c r="F835" s="18" t="s">
        <v>65</v>
      </c>
      <c r="G835" s="18" t="s">
        <v>56</v>
      </c>
      <c r="H835" s="17">
        <v>666521</v>
      </c>
      <c r="I835" s="18" t="s">
        <v>31</v>
      </c>
      <c r="J835" s="20">
        <v>15</v>
      </c>
    </row>
    <row r="836" spans="1:10" ht="15" customHeight="1" x14ac:dyDescent="0.75">
      <c r="A836" s="18" t="s">
        <v>82</v>
      </c>
      <c r="B836" s="19">
        <v>46146</v>
      </c>
      <c r="C836" s="17">
        <v>19</v>
      </c>
      <c r="D836" s="18" t="s">
        <v>60</v>
      </c>
      <c r="E836" s="19">
        <v>46148</v>
      </c>
      <c r="F836" s="18" t="s">
        <v>65</v>
      </c>
      <c r="G836" s="18" t="s">
        <v>56</v>
      </c>
      <c r="H836" s="17">
        <v>666522</v>
      </c>
      <c r="I836" s="18" t="s">
        <v>33</v>
      </c>
      <c r="J836" s="20">
        <v>70</v>
      </c>
    </row>
    <row r="837" spans="1:10" ht="15" customHeight="1" x14ac:dyDescent="0.75">
      <c r="A837" s="18" t="s">
        <v>82</v>
      </c>
      <c r="B837" s="19">
        <v>46146</v>
      </c>
      <c r="C837" s="17">
        <v>19</v>
      </c>
      <c r="D837" s="18" t="s">
        <v>60</v>
      </c>
      <c r="E837" s="19">
        <v>46148</v>
      </c>
      <c r="F837" s="18" t="s">
        <v>65</v>
      </c>
      <c r="G837" s="18" t="s">
        <v>56</v>
      </c>
      <c r="H837" s="17">
        <v>666531</v>
      </c>
      <c r="I837" s="18" t="s">
        <v>39</v>
      </c>
      <c r="J837" s="20">
        <v>3</v>
      </c>
    </row>
    <row r="838" spans="1:10" ht="15" customHeight="1" x14ac:dyDescent="0.75">
      <c r="A838" s="18" t="s">
        <v>82</v>
      </c>
      <c r="B838" s="19">
        <v>46146</v>
      </c>
      <c r="C838" s="17">
        <v>19</v>
      </c>
      <c r="D838" s="18" t="s">
        <v>60</v>
      </c>
      <c r="E838" s="19">
        <v>46148</v>
      </c>
      <c r="F838" s="18" t="s">
        <v>65</v>
      </c>
      <c r="G838" s="18" t="s">
        <v>56</v>
      </c>
      <c r="H838" s="17">
        <v>666536</v>
      </c>
      <c r="I838" s="18" t="s">
        <v>43</v>
      </c>
      <c r="J838" s="20">
        <v>5</v>
      </c>
    </row>
    <row r="839" spans="1:10" ht="15" customHeight="1" x14ac:dyDescent="0.75">
      <c r="A839" s="18" t="s">
        <v>82</v>
      </c>
      <c r="B839" s="19">
        <v>46146</v>
      </c>
      <c r="C839" s="17">
        <v>19</v>
      </c>
      <c r="D839" s="18" t="s">
        <v>60</v>
      </c>
      <c r="E839" s="19">
        <v>46148</v>
      </c>
      <c r="F839" s="18" t="s">
        <v>57</v>
      </c>
      <c r="G839" s="18" t="s">
        <v>58</v>
      </c>
      <c r="H839" s="17">
        <v>666501</v>
      </c>
      <c r="I839" s="18" t="s">
        <v>5</v>
      </c>
      <c r="J839" s="20">
        <v>84</v>
      </c>
    </row>
    <row r="840" spans="1:10" ht="15" customHeight="1" x14ac:dyDescent="0.75">
      <c r="A840" s="18" t="s">
        <v>82</v>
      </c>
      <c r="B840" s="19">
        <v>46146</v>
      </c>
      <c r="C840" s="17">
        <v>19</v>
      </c>
      <c r="D840" s="18" t="s">
        <v>60</v>
      </c>
      <c r="E840" s="19">
        <v>46148</v>
      </c>
      <c r="F840" s="18" t="s">
        <v>57</v>
      </c>
      <c r="G840" s="18" t="s">
        <v>58</v>
      </c>
      <c r="H840" s="17">
        <v>666502</v>
      </c>
      <c r="I840" s="18" t="s">
        <v>7</v>
      </c>
      <c r="J840" s="20">
        <v>50</v>
      </c>
    </row>
    <row r="841" spans="1:10" ht="15" customHeight="1" x14ac:dyDescent="0.75">
      <c r="A841" s="18" t="s">
        <v>82</v>
      </c>
      <c r="B841" s="19">
        <v>46146</v>
      </c>
      <c r="C841" s="17">
        <v>19</v>
      </c>
      <c r="D841" s="18" t="s">
        <v>60</v>
      </c>
      <c r="E841" s="19">
        <v>46148</v>
      </c>
      <c r="F841" s="18" t="s">
        <v>57</v>
      </c>
      <c r="G841" s="18" t="s">
        <v>58</v>
      </c>
      <c r="H841" s="17">
        <v>666506</v>
      </c>
      <c r="I841" s="18" t="s">
        <v>11</v>
      </c>
      <c r="J841" s="20">
        <v>22</v>
      </c>
    </row>
    <row r="842" spans="1:10" ht="15" customHeight="1" x14ac:dyDescent="0.75">
      <c r="A842" s="18" t="s">
        <v>82</v>
      </c>
      <c r="B842" s="19">
        <v>46146</v>
      </c>
      <c r="C842" s="17">
        <v>19</v>
      </c>
      <c r="D842" s="18" t="s">
        <v>60</v>
      </c>
      <c r="E842" s="19">
        <v>46148</v>
      </c>
      <c r="F842" s="18" t="s">
        <v>57</v>
      </c>
      <c r="G842" s="18" t="s">
        <v>58</v>
      </c>
      <c r="H842" s="17">
        <v>666541</v>
      </c>
      <c r="I842" s="18" t="s">
        <v>41</v>
      </c>
      <c r="J842" s="20">
        <v>29</v>
      </c>
    </row>
    <row r="843" spans="1:10" ht="15" customHeight="1" x14ac:dyDescent="0.75">
      <c r="A843" s="18" t="s">
        <v>82</v>
      </c>
      <c r="B843" s="19">
        <v>46146</v>
      </c>
      <c r="C843" s="17">
        <v>19</v>
      </c>
      <c r="D843" s="18" t="s">
        <v>62</v>
      </c>
      <c r="E843" s="19">
        <v>46149</v>
      </c>
      <c r="F843" s="18" t="s">
        <v>65</v>
      </c>
      <c r="G843" s="18" t="s">
        <v>56</v>
      </c>
      <c r="H843" s="17">
        <v>666509</v>
      </c>
      <c r="I843" s="18" t="s">
        <v>15</v>
      </c>
      <c r="J843" s="20">
        <v>10</v>
      </c>
    </row>
    <row r="844" spans="1:10" ht="15" customHeight="1" x14ac:dyDescent="0.75">
      <c r="A844" s="18" t="s">
        <v>82</v>
      </c>
      <c r="B844" s="19">
        <v>46146</v>
      </c>
      <c r="C844" s="17">
        <v>19</v>
      </c>
      <c r="D844" s="18" t="s">
        <v>62</v>
      </c>
      <c r="E844" s="19">
        <v>46149</v>
      </c>
      <c r="F844" s="18" t="s">
        <v>65</v>
      </c>
      <c r="G844" s="18" t="s">
        <v>56</v>
      </c>
      <c r="H844" s="17">
        <v>666521</v>
      </c>
      <c r="I844" s="18" t="s">
        <v>31</v>
      </c>
      <c r="J844" s="20">
        <v>14</v>
      </c>
    </row>
    <row r="845" spans="1:10" ht="15" customHeight="1" x14ac:dyDescent="0.75">
      <c r="A845" s="18" t="s">
        <v>82</v>
      </c>
      <c r="B845" s="19">
        <v>46146</v>
      </c>
      <c r="C845" s="17">
        <v>19</v>
      </c>
      <c r="D845" s="18" t="s">
        <v>62</v>
      </c>
      <c r="E845" s="19">
        <v>46149</v>
      </c>
      <c r="F845" s="18" t="s">
        <v>65</v>
      </c>
      <c r="G845" s="18" t="s">
        <v>56</v>
      </c>
      <c r="H845" s="17">
        <v>666522</v>
      </c>
      <c r="I845" s="18" t="s">
        <v>33</v>
      </c>
      <c r="J845" s="20">
        <v>25</v>
      </c>
    </row>
    <row r="846" spans="1:10" ht="15" customHeight="1" x14ac:dyDescent="0.75">
      <c r="A846" s="18" t="s">
        <v>82</v>
      </c>
      <c r="B846" s="19">
        <v>46146</v>
      </c>
      <c r="C846" s="17">
        <v>19</v>
      </c>
      <c r="D846" s="18" t="s">
        <v>62</v>
      </c>
      <c r="E846" s="19">
        <v>46149</v>
      </c>
      <c r="F846" s="18" t="s">
        <v>65</v>
      </c>
      <c r="G846" s="18" t="s">
        <v>56</v>
      </c>
      <c r="H846" s="17">
        <v>666531</v>
      </c>
      <c r="I846" s="18" t="s">
        <v>39</v>
      </c>
      <c r="J846" s="20">
        <v>1</v>
      </c>
    </row>
    <row r="847" spans="1:10" ht="15" customHeight="1" x14ac:dyDescent="0.75">
      <c r="A847" s="18" t="s">
        <v>82</v>
      </c>
      <c r="B847" s="19">
        <v>46146</v>
      </c>
      <c r="C847" s="17">
        <v>19</v>
      </c>
      <c r="D847" s="18" t="s">
        <v>62</v>
      </c>
      <c r="E847" s="19">
        <v>46149</v>
      </c>
      <c r="F847" s="18" t="s">
        <v>65</v>
      </c>
      <c r="G847" s="18" t="s">
        <v>56</v>
      </c>
      <c r="H847" s="17">
        <v>666536</v>
      </c>
      <c r="I847" s="18" t="s">
        <v>43</v>
      </c>
      <c r="J847" s="20">
        <v>2</v>
      </c>
    </row>
    <row r="848" spans="1:10" ht="15" customHeight="1" x14ac:dyDescent="0.75">
      <c r="A848" s="18" t="s">
        <v>82</v>
      </c>
      <c r="B848" s="19">
        <v>46146</v>
      </c>
      <c r="C848" s="17">
        <v>19</v>
      </c>
      <c r="D848" s="18" t="s">
        <v>62</v>
      </c>
      <c r="E848" s="19">
        <v>46149</v>
      </c>
      <c r="F848" s="18" t="s">
        <v>57</v>
      </c>
      <c r="G848" s="18" t="s">
        <v>58</v>
      </c>
      <c r="H848" s="17">
        <v>666501</v>
      </c>
      <c r="I848" s="18" t="s">
        <v>5</v>
      </c>
      <c r="J848" s="20">
        <v>39</v>
      </c>
    </row>
    <row r="849" spans="1:10" ht="15" customHeight="1" x14ac:dyDescent="0.75">
      <c r="A849" s="18" t="s">
        <v>82</v>
      </c>
      <c r="B849" s="19">
        <v>46146</v>
      </c>
      <c r="C849" s="17">
        <v>19</v>
      </c>
      <c r="D849" s="18" t="s">
        <v>62</v>
      </c>
      <c r="E849" s="19">
        <v>46149</v>
      </c>
      <c r="F849" s="18" t="s">
        <v>57</v>
      </c>
      <c r="G849" s="18" t="s">
        <v>58</v>
      </c>
      <c r="H849" s="17">
        <v>666502</v>
      </c>
      <c r="I849" s="18" t="s">
        <v>7</v>
      </c>
      <c r="J849" s="20">
        <v>24</v>
      </c>
    </row>
    <row r="850" spans="1:10" ht="15" customHeight="1" x14ac:dyDescent="0.75">
      <c r="A850" s="18" t="s">
        <v>82</v>
      </c>
      <c r="B850" s="19">
        <v>46146</v>
      </c>
      <c r="C850" s="17">
        <v>19</v>
      </c>
      <c r="D850" s="18" t="s">
        <v>62</v>
      </c>
      <c r="E850" s="19">
        <v>46149</v>
      </c>
      <c r="F850" s="18" t="s">
        <v>57</v>
      </c>
      <c r="G850" s="18" t="s">
        <v>58</v>
      </c>
      <c r="H850" s="17">
        <v>666506</v>
      </c>
      <c r="I850" s="18" t="s">
        <v>11</v>
      </c>
      <c r="J850" s="20">
        <v>36</v>
      </c>
    </row>
    <row r="851" spans="1:10" ht="15" customHeight="1" x14ac:dyDescent="0.75">
      <c r="A851" s="18" t="s">
        <v>82</v>
      </c>
      <c r="B851" s="19">
        <v>46146</v>
      </c>
      <c r="C851" s="17">
        <v>19</v>
      </c>
      <c r="D851" s="18" t="s">
        <v>62</v>
      </c>
      <c r="E851" s="19">
        <v>46149</v>
      </c>
      <c r="F851" s="18" t="s">
        <v>57</v>
      </c>
      <c r="G851" s="18" t="s">
        <v>58</v>
      </c>
      <c r="H851" s="17">
        <v>666541</v>
      </c>
      <c r="I851" s="18" t="s">
        <v>41</v>
      </c>
      <c r="J851" s="20">
        <v>40</v>
      </c>
    </row>
    <row r="852" spans="1:10" ht="15" customHeight="1" x14ac:dyDescent="0.75">
      <c r="A852" s="18" t="s">
        <v>82</v>
      </c>
      <c r="B852" s="19">
        <v>46146</v>
      </c>
      <c r="C852" s="17">
        <v>19</v>
      </c>
      <c r="D852" s="18" t="s">
        <v>62</v>
      </c>
      <c r="E852" s="19">
        <v>46149</v>
      </c>
      <c r="F852" s="18" t="s">
        <v>55</v>
      </c>
      <c r="G852" s="18" t="s">
        <v>66</v>
      </c>
      <c r="H852" s="17">
        <v>666502</v>
      </c>
      <c r="I852" s="18" t="s">
        <v>7</v>
      </c>
      <c r="J852" s="20">
        <v>14</v>
      </c>
    </row>
    <row r="853" spans="1:10" ht="15" customHeight="1" x14ac:dyDescent="0.75">
      <c r="A853" s="18" t="s">
        <v>82</v>
      </c>
      <c r="B853" s="19">
        <v>46146</v>
      </c>
      <c r="C853" s="17">
        <v>19</v>
      </c>
      <c r="D853" s="18" t="s">
        <v>63</v>
      </c>
      <c r="E853" s="19">
        <v>46150</v>
      </c>
      <c r="F853" s="18" t="s">
        <v>65</v>
      </c>
      <c r="G853" s="18" t="s">
        <v>56</v>
      </c>
      <c r="H853" s="17">
        <v>666509</v>
      </c>
      <c r="I853" s="18" t="s">
        <v>15</v>
      </c>
      <c r="J853" s="20">
        <v>18</v>
      </c>
    </row>
    <row r="854" spans="1:10" ht="15" customHeight="1" x14ac:dyDescent="0.75">
      <c r="A854" s="18" t="s">
        <v>82</v>
      </c>
      <c r="B854" s="19">
        <v>46146</v>
      </c>
      <c r="C854" s="17">
        <v>19</v>
      </c>
      <c r="D854" s="18" t="s">
        <v>63</v>
      </c>
      <c r="E854" s="19">
        <v>46150</v>
      </c>
      <c r="F854" s="18" t="s">
        <v>65</v>
      </c>
      <c r="G854" s="18" t="s">
        <v>56</v>
      </c>
      <c r="H854" s="17">
        <v>666521</v>
      </c>
      <c r="I854" s="18" t="s">
        <v>31</v>
      </c>
      <c r="J854" s="20">
        <v>5</v>
      </c>
    </row>
    <row r="855" spans="1:10" ht="15" customHeight="1" x14ac:dyDescent="0.75">
      <c r="A855" s="18" t="s">
        <v>82</v>
      </c>
      <c r="B855" s="19">
        <v>46146</v>
      </c>
      <c r="C855" s="17">
        <v>19</v>
      </c>
      <c r="D855" s="18" t="s">
        <v>63</v>
      </c>
      <c r="E855" s="19">
        <v>46150</v>
      </c>
      <c r="F855" s="18" t="s">
        <v>65</v>
      </c>
      <c r="G855" s="18" t="s">
        <v>56</v>
      </c>
      <c r="H855" s="17">
        <v>666522</v>
      </c>
      <c r="I855" s="18" t="s">
        <v>33</v>
      </c>
      <c r="J855" s="20">
        <v>20</v>
      </c>
    </row>
    <row r="856" spans="1:10" ht="15" customHeight="1" x14ac:dyDescent="0.75">
      <c r="A856" s="18" t="s">
        <v>82</v>
      </c>
      <c r="B856" s="19">
        <v>46146</v>
      </c>
      <c r="C856" s="17">
        <v>19</v>
      </c>
      <c r="D856" s="18" t="s">
        <v>63</v>
      </c>
      <c r="E856" s="19">
        <v>46150</v>
      </c>
      <c r="F856" s="18" t="s">
        <v>57</v>
      </c>
      <c r="G856" s="18" t="s">
        <v>58</v>
      </c>
      <c r="H856" s="17">
        <v>666501</v>
      </c>
      <c r="I856" s="18" t="s">
        <v>5</v>
      </c>
      <c r="J856" s="20">
        <v>69</v>
      </c>
    </row>
    <row r="857" spans="1:10" ht="15" customHeight="1" x14ac:dyDescent="0.75">
      <c r="A857" s="18" t="s">
        <v>82</v>
      </c>
      <c r="B857" s="19">
        <v>46146</v>
      </c>
      <c r="C857" s="17">
        <v>19</v>
      </c>
      <c r="D857" s="18" t="s">
        <v>63</v>
      </c>
      <c r="E857" s="19">
        <v>46150</v>
      </c>
      <c r="F857" s="18" t="s">
        <v>57</v>
      </c>
      <c r="G857" s="18" t="s">
        <v>58</v>
      </c>
      <c r="H857" s="17">
        <v>666506</v>
      </c>
      <c r="I857" s="18" t="s">
        <v>11</v>
      </c>
      <c r="J857" s="20">
        <v>16</v>
      </c>
    </row>
    <row r="858" spans="1:10" ht="15" customHeight="1" x14ac:dyDescent="0.75">
      <c r="A858" s="18" t="s">
        <v>82</v>
      </c>
      <c r="B858" s="19">
        <v>46146</v>
      </c>
      <c r="C858" s="17">
        <v>19</v>
      </c>
      <c r="D858" s="18" t="s">
        <v>63</v>
      </c>
      <c r="E858" s="19">
        <v>46150</v>
      </c>
      <c r="F858" s="18" t="s">
        <v>57</v>
      </c>
      <c r="G858" s="18" t="s">
        <v>58</v>
      </c>
      <c r="H858" s="17">
        <v>666541</v>
      </c>
      <c r="I858" s="18" t="s">
        <v>41</v>
      </c>
      <c r="J858" s="20">
        <v>28</v>
      </c>
    </row>
    <row r="859" spans="1:10" ht="15" customHeight="1" x14ac:dyDescent="0.75">
      <c r="A859" s="18" t="s">
        <v>83</v>
      </c>
      <c r="B859" s="19">
        <v>46153</v>
      </c>
      <c r="C859" s="17">
        <v>20</v>
      </c>
      <c r="D859" s="18" t="s">
        <v>54</v>
      </c>
      <c r="E859" s="19">
        <v>46153</v>
      </c>
      <c r="F859" s="18" t="s">
        <v>65</v>
      </c>
      <c r="G859" s="18" t="s">
        <v>56</v>
      </c>
      <c r="H859" s="17">
        <v>666521</v>
      </c>
      <c r="I859" s="18" t="s">
        <v>31</v>
      </c>
      <c r="J859" s="20">
        <v>19</v>
      </c>
    </row>
    <row r="860" spans="1:10" ht="15" customHeight="1" x14ac:dyDescent="0.75">
      <c r="A860" s="18" t="s">
        <v>83</v>
      </c>
      <c r="B860" s="19">
        <v>46153</v>
      </c>
      <c r="C860" s="17">
        <v>20</v>
      </c>
      <c r="D860" s="18" t="s">
        <v>54</v>
      </c>
      <c r="E860" s="19">
        <v>46153</v>
      </c>
      <c r="F860" s="18" t="s">
        <v>65</v>
      </c>
      <c r="G860" s="18" t="s">
        <v>56</v>
      </c>
      <c r="H860" s="17">
        <v>666531</v>
      </c>
      <c r="I860" s="18" t="s">
        <v>39</v>
      </c>
      <c r="J860" s="20">
        <v>3</v>
      </c>
    </row>
    <row r="861" spans="1:10" ht="15" customHeight="1" x14ac:dyDescent="0.75">
      <c r="A861" s="18" t="s">
        <v>83</v>
      </c>
      <c r="B861" s="19">
        <v>46153</v>
      </c>
      <c r="C861" s="17">
        <v>20</v>
      </c>
      <c r="D861" s="18" t="s">
        <v>54</v>
      </c>
      <c r="E861" s="19">
        <v>46153</v>
      </c>
      <c r="F861" s="18" t="s">
        <v>65</v>
      </c>
      <c r="G861" s="18" t="s">
        <v>56</v>
      </c>
      <c r="H861" s="17">
        <v>666536</v>
      </c>
      <c r="I861" s="18" t="s">
        <v>43</v>
      </c>
      <c r="J861" s="20">
        <v>4</v>
      </c>
    </row>
    <row r="862" spans="1:10" ht="15" customHeight="1" x14ac:dyDescent="0.75">
      <c r="A862" s="18" t="s">
        <v>83</v>
      </c>
      <c r="B862" s="19">
        <v>46153</v>
      </c>
      <c r="C862" s="17">
        <v>20</v>
      </c>
      <c r="D862" s="18" t="s">
        <v>54</v>
      </c>
      <c r="E862" s="19">
        <v>46153</v>
      </c>
      <c r="F862" s="18" t="s">
        <v>57</v>
      </c>
      <c r="G862" s="18" t="s">
        <v>58</v>
      </c>
      <c r="H862" s="17">
        <v>666502</v>
      </c>
      <c r="I862" s="18" t="s">
        <v>7</v>
      </c>
      <c r="J862" s="20">
        <v>25</v>
      </c>
    </row>
    <row r="863" spans="1:10" ht="15" customHeight="1" x14ac:dyDescent="0.75">
      <c r="A863" s="18" t="s">
        <v>83</v>
      </c>
      <c r="B863" s="19">
        <v>46153</v>
      </c>
      <c r="C863" s="17">
        <v>20</v>
      </c>
      <c r="D863" s="18" t="s">
        <v>54</v>
      </c>
      <c r="E863" s="19">
        <v>46153</v>
      </c>
      <c r="F863" s="18" t="s">
        <v>57</v>
      </c>
      <c r="G863" s="18" t="s">
        <v>58</v>
      </c>
      <c r="H863" s="17">
        <v>666506</v>
      </c>
      <c r="I863" s="18" t="s">
        <v>11</v>
      </c>
      <c r="J863" s="20">
        <v>20</v>
      </c>
    </row>
    <row r="864" spans="1:10" ht="15" customHeight="1" x14ac:dyDescent="0.75">
      <c r="A864" s="18" t="s">
        <v>83</v>
      </c>
      <c r="B864" s="19">
        <v>46153</v>
      </c>
      <c r="C864" s="17">
        <v>20</v>
      </c>
      <c r="D864" s="18" t="s">
        <v>54</v>
      </c>
      <c r="E864" s="19">
        <v>46153</v>
      </c>
      <c r="F864" s="18" t="s">
        <v>57</v>
      </c>
      <c r="G864" s="18" t="s">
        <v>58</v>
      </c>
      <c r="H864" s="17">
        <v>666541</v>
      </c>
      <c r="I864" s="18" t="s">
        <v>41</v>
      </c>
      <c r="J864" s="20">
        <v>19</v>
      </c>
    </row>
    <row r="865" spans="1:10" ht="15" customHeight="1" x14ac:dyDescent="0.75">
      <c r="A865" s="18" t="s">
        <v>83</v>
      </c>
      <c r="B865" s="19">
        <v>46153</v>
      </c>
      <c r="C865" s="17">
        <v>20</v>
      </c>
      <c r="D865" s="18" t="s">
        <v>54</v>
      </c>
      <c r="E865" s="19">
        <v>46153</v>
      </c>
      <c r="F865" s="18" t="s">
        <v>55</v>
      </c>
      <c r="G865" s="18" t="s">
        <v>66</v>
      </c>
      <c r="H865" s="17">
        <v>666502</v>
      </c>
      <c r="I865" s="18" t="s">
        <v>7</v>
      </c>
      <c r="J865" s="20">
        <v>28</v>
      </c>
    </row>
    <row r="866" spans="1:10" ht="15" customHeight="1" x14ac:dyDescent="0.75">
      <c r="A866" s="18" t="s">
        <v>83</v>
      </c>
      <c r="B866" s="19">
        <v>46153</v>
      </c>
      <c r="C866" s="17">
        <v>20</v>
      </c>
      <c r="D866" s="18" t="s">
        <v>59</v>
      </c>
      <c r="E866" s="19">
        <v>46154</v>
      </c>
      <c r="F866" s="18" t="s">
        <v>57</v>
      </c>
      <c r="G866" s="18" t="s">
        <v>58</v>
      </c>
      <c r="H866" s="17">
        <v>666502</v>
      </c>
      <c r="I866" s="18" t="s">
        <v>7</v>
      </c>
      <c r="J866" s="20">
        <v>25</v>
      </c>
    </row>
    <row r="867" spans="1:10" ht="15" customHeight="1" x14ac:dyDescent="0.75">
      <c r="A867" s="18" t="s">
        <v>83</v>
      </c>
      <c r="B867" s="19">
        <v>46153</v>
      </c>
      <c r="C867" s="17">
        <v>20</v>
      </c>
      <c r="D867" s="18" t="s">
        <v>59</v>
      </c>
      <c r="E867" s="19">
        <v>46154</v>
      </c>
      <c r="F867" s="18" t="s">
        <v>57</v>
      </c>
      <c r="G867" s="18" t="s">
        <v>58</v>
      </c>
      <c r="H867" s="17">
        <v>666506</v>
      </c>
      <c r="I867" s="18" t="s">
        <v>11</v>
      </c>
      <c r="J867" s="20">
        <v>17</v>
      </c>
    </row>
    <row r="868" spans="1:10" ht="15" customHeight="1" x14ac:dyDescent="0.75">
      <c r="A868" s="18" t="s">
        <v>83</v>
      </c>
      <c r="B868" s="19">
        <v>46153</v>
      </c>
      <c r="C868" s="17">
        <v>20</v>
      </c>
      <c r="D868" s="18" t="s">
        <v>59</v>
      </c>
      <c r="E868" s="19">
        <v>46154</v>
      </c>
      <c r="F868" s="18" t="s">
        <v>57</v>
      </c>
      <c r="G868" s="18" t="s">
        <v>58</v>
      </c>
      <c r="H868" s="17">
        <v>666541</v>
      </c>
      <c r="I868" s="18" t="s">
        <v>41</v>
      </c>
      <c r="J868" s="20">
        <v>60</v>
      </c>
    </row>
    <row r="869" spans="1:10" ht="15" customHeight="1" x14ac:dyDescent="0.75">
      <c r="A869" s="18" t="s">
        <v>83</v>
      </c>
      <c r="B869" s="19">
        <v>46153</v>
      </c>
      <c r="C869" s="17">
        <v>20</v>
      </c>
      <c r="D869" s="18" t="s">
        <v>59</v>
      </c>
      <c r="E869" s="19">
        <v>46154</v>
      </c>
      <c r="F869" s="18" t="s">
        <v>55</v>
      </c>
      <c r="G869" s="18" t="s">
        <v>66</v>
      </c>
      <c r="H869" s="17">
        <v>666502</v>
      </c>
      <c r="I869" s="18" t="s">
        <v>7</v>
      </c>
      <c r="J869" s="20">
        <v>20</v>
      </c>
    </row>
    <row r="870" spans="1:10" ht="15" customHeight="1" x14ac:dyDescent="0.75">
      <c r="A870" s="18" t="s">
        <v>83</v>
      </c>
      <c r="B870" s="19">
        <v>46153</v>
      </c>
      <c r="C870" s="17">
        <v>20</v>
      </c>
      <c r="D870" s="18" t="s">
        <v>60</v>
      </c>
      <c r="E870" s="19">
        <v>46155</v>
      </c>
      <c r="F870" s="18" t="s">
        <v>65</v>
      </c>
      <c r="G870" s="18" t="s">
        <v>56</v>
      </c>
      <c r="H870" s="17">
        <v>666521</v>
      </c>
      <c r="I870" s="18" t="s">
        <v>31</v>
      </c>
      <c r="J870" s="20">
        <v>20</v>
      </c>
    </row>
    <row r="871" spans="1:10" ht="15" customHeight="1" x14ac:dyDescent="0.75">
      <c r="A871" s="18" t="s">
        <v>83</v>
      </c>
      <c r="B871" s="19">
        <v>46153</v>
      </c>
      <c r="C871" s="17">
        <v>20</v>
      </c>
      <c r="D871" s="18" t="s">
        <v>60</v>
      </c>
      <c r="E871" s="19">
        <v>46155</v>
      </c>
      <c r="F871" s="18" t="s">
        <v>65</v>
      </c>
      <c r="G871" s="18" t="s">
        <v>56</v>
      </c>
      <c r="H871" s="17">
        <v>666531</v>
      </c>
      <c r="I871" s="18" t="s">
        <v>39</v>
      </c>
      <c r="J871" s="20">
        <v>11</v>
      </c>
    </row>
    <row r="872" spans="1:10" ht="15" customHeight="1" x14ac:dyDescent="0.75">
      <c r="A872" s="18" t="s">
        <v>83</v>
      </c>
      <c r="B872" s="19">
        <v>46153</v>
      </c>
      <c r="C872" s="17">
        <v>20</v>
      </c>
      <c r="D872" s="18" t="s">
        <v>60</v>
      </c>
      <c r="E872" s="19">
        <v>46155</v>
      </c>
      <c r="F872" s="18" t="s">
        <v>65</v>
      </c>
      <c r="G872" s="18" t="s">
        <v>56</v>
      </c>
      <c r="H872" s="17">
        <v>666536</v>
      </c>
      <c r="I872" s="18" t="s">
        <v>43</v>
      </c>
      <c r="J872" s="20">
        <v>2</v>
      </c>
    </row>
    <row r="873" spans="1:10" ht="15" customHeight="1" x14ac:dyDescent="0.75">
      <c r="A873" s="18" t="s">
        <v>83</v>
      </c>
      <c r="B873" s="19">
        <v>46153</v>
      </c>
      <c r="C873" s="17">
        <v>20</v>
      </c>
      <c r="D873" s="18" t="s">
        <v>60</v>
      </c>
      <c r="E873" s="19">
        <v>46155</v>
      </c>
      <c r="F873" s="18" t="s">
        <v>57</v>
      </c>
      <c r="G873" s="18" t="s">
        <v>58</v>
      </c>
      <c r="H873" s="17">
        <v>666501</v>
      </c>
      <c r="I873" s="18" t="s">
        <v>5</v>
      </c>
      <c r="J873" s="20">
        <v>72</v>
      </c>
    </row>
    <row r="874" spans="1:10" ht="15" customHeight="1" x14ac:dyDescent="0.75">
      <c r="A874" s="18" t="s">
        <v>83</v>
      </c>
      <c r="B874" s="19">
        <v>46153</v>
      </c>
      <c r="C874" s="17">
        <v>20</v>
      </c>
      <c r="D874" s="18" t="s">
        <v>60</v>
      </c>
      <c r="E874" s="19">
        <v>46155</v>
      </c>
      <c r="F874" s="18" t="s">
        <v>57</v>
      </c>
      <c r="G874" s="18" t="s">
        <v>58</v>
      </c>
      <c r="H874" s="17">
        <v>666502</v>
      </c>
      <c r="I874" s="18" t="s">
        <v>7</v>
      </c>
      <c r="J874" s="20">
        <v>32</v>
      </c>
    </row>
    <row r="875" spans="1:10" ht="15" customHeight="1" x14ac:dyDescent="0.75">
      <c r="A875" s="18" t="s">
        <v>83</v>
      </c>
      <c r="B875" s="19">
        <v>46153</v>
      </c>
      <c r="C875" s="17">
        <v>20</v>
      </c>
      <c r="D875" s="18" t="s">
        <v>60</v>
      </c>
      <c r="E875" s="19">
        <v>46155</v>
      </c>
      <c r="F875" s="18" t="s">
        <v>57</v>
      </c>
      <c r="G875" s="18" t="s">
        <v>58</v>
      </c>
      <c r="H875" s="17">
        <v>666506</v>
      </c>
      <c r="I875" s="18" t="s">
        <v>11</v>
      </c>
      <c r="J875" s="20">
        <v>46</v>
      </c>
    </row>
    <row r="876" spans="1:10" ht="15" customHeight="1" x14ac:dyDescent="0.75">
      <c r="A876" s="18" t="s">
        <v>83</v>
      </c>
      <c r="B876" s="19">
        <v>46153</v>
      </c>
      <c r="C876" s="17">
        <v>20</v>
      </c>
      <c r="D876" s="18" t="s">
        <v>60</v>
      </c>
      <c r="E876" s="19">
        <v>46155</v>
      </c>
      <c r="F876" s="18" t="s">
        <v>57</v>
      </c>
      <c r="G876" s="18" t="s">
        <v>58</v>
      </c>
      <c r="H876" s="17">
        <v>666541</v>
      </c>
      <c r="I876" s="18" t="s">
        <v>41</v>
      </c>
      <c r="J876" s="20">
        <v>30</v>
      </c>
    </row>
    <row r="877" spans="1:10" ht="15" customHeight="1" x14ac:dyDescent="0.75">
      <c r="A877" s="18" t="s">
        <v>83</v>
      </c>
      <c r="B877" s="19">
        <v>46153</v>
      </c>
      <c r="C877" s="17">
        <v>20</v>
      </c>
      <c r="D877" s="18" t="s">
        <v>62</v>
      </c>
      <c r="E877" s="19">
        <v>46156</v>
      </c>
      <c r="F877" s="18" t="s">
        <v>65</v>
      </c>
      <c r="G877" s="18" t="s">
        <v>56</v>
      </c>
      <c r="H877" s="17">
        <v>666507</v>
      </c>
      <c r="I877" s="18" t="s">
        <v>13</v>
      </c>
      <c r="J877" s="20">
        <v>16</v>
      </c>
    </row>
    <row r="878" spans="1:10" ht="15" customHeight="1" x14ac:dyDescent="0.75">
      <c r="A878" s="18" t="s">
        <v>83</v>
      </c>
      <c r="B878" s="19">
        <v>46153</v>
      </c>
      <c r="C878" s="17">
        <v>20</v>
      </c>
      <c r="D878" s="18" t="s">
        <v>62</v>
      </c>
      <c r="E878" s="19">
        <v>46156</v>
      </c>
      <c r="F878" s="18" t="s">
        <v>65</v>
      </c>
      <c r="G878" s="18" t="s">
        <v>56</v>
      </c>
      <c r="H878" s="17">
        <v>666511</v>
      </c>
      <c r="I878" s="18" t="s">
        <v>19</v>
      </c>
      <c r="J878" s="20">
        <v>6</v>
      </c>
    </row>
    <row r="879" spans="1:10" ht="15" customHeight="1" x14ac:dyDescent="0.75">
      <c r="A879" s="18" t="s">
        <v>83</v>
      </c>
      <c r="B879" s="19">
        <v>46153</v>
      </c>
      <c r="C879" s="17">
        <v>20</v>
      </c>
      <c r="D879" s="18" t="s">
        <v>62</v>
      </c>
      <c r="E879" s="19">
        <v>46156</v>
      </c>
      <c r="F879" s="18" t="s">
        <v>57</v>
      </c>
      <c r="G879" s="18" t="s">
        <v>58</v>
      </c>
      <c r="H879" s="17">
        <v>666502</v>
      </c>
      <c r="I879" s="18" t="s">
        <v>7</v>
      </c>
      <c r="J879" s="20">
        <v>22</v>
      </c>
    </row>
    <row r="880" spans="1:10" ht="15" customHeight="1" x14ac:dyDescent="0.75">
      <c r="A880" s="18" t="s">
        <v>83</v>
      </c>
      <c r="B880" s="19">
        <v>46153</v>
      </c>
      <c r="C880" s="17">
        <v>20</v>
      </c>
      <c r="D880" s="18" t="s">
        <v>62</v>
      </c>
      <c r="E880" s="19">
        <v>46156</v>
      </c>
      <c r="F880" s="18" t="s">
        <v>57</v>
      </c>
      <c r="G880" s="18" t="s">
        <v>58</v>
      </c>
      <c r="H880" s="17">
        <v>666506</v>
      </c>
      <c r="I880" s="18" t="s">
        <v>11</v>
      </c>
      <c r="J880" s="20">
        <v>35</v>
      </c>
    </row>
    <row r="881" spans="1:10" ht="15" customHeight="1" x14ac:dyDescent="0.75">
      <c r="A881" s="18" t="s">
        <v>83</v>
      </c>
      <c r="B881" s="19">
        <v>46153</v>
      </c>
      <c r="C881" s="17">
        <v>20</v>
      </c>
      <c r="D881" s="18" t="s">
        <v>62</v>
      </c>
      <c r="E881" s="19">
        <v>46156</v>
      </c>
      <c r="F881" s="18" t="s">
        <v>57</v>
      </c>
      <c r="G881" s="18" t="s">
        <v>58</v>
      </c>
      <c r="H881" s="17">
        <v>666541</v>
      </c>
      <c r="I881" s="18" t="s">
        <v>41</v>
      </c>
      <c r="J881" s="20">
        <v>24</v>
      </c>
    </row>
    <row r="882" spans="1:10" ht="15" customHeight="1" x14ac:dyDescent="0.75">
      <c r="A882" s="18" t="s">
        <v>83</v>
      </c>
      <c r="B882" s="19">
        <v>46153</v>
      </c>
      <c r="C882" s="17">
        <v>20</v>
      </c>
      <c r="D882" s="18" t="s">
        <v>62</v>
      </c>
      <c r="E882" s="19">
        <v>46156</v>
      </c>
      <c r="F882" s="18" t="s">
        <v>55</v>
      </c>
      <c r="G882" s="18" t="s">
        <v>66</v>
      </c>
      <c r="H882" s="17">
        <v>666502</v>
      </c>
      <c r="I882" s="18" t="s">
        <v>7</v>
      </c>
      <c r="J882" s="20">
        <v>13</v>
      </c>
    </row>
    <row r="883" spans="1:10" ht="15" customHeight="1" x14ac:dyDescent="0.75">
      <c r="A883" s="18" t="s">
        <v>83</v>
      </c>
      <c r="B883" s="19">
        <v>46153</v>
      </c>
      <c r="C883" s="17">
        <v>20</v>
      </c>
      <c r="D883" s="18" t="s">
        <v>63</v>
      </c>
      <c r="E883" s="19">
        <v>46157</v>
      </c>
      <c r="F883" s="18" t="s">
        <v>57</v>
      </c>
      <c r="G883" s="18" t="s">
        <v>58</v>
      </c>
      <c r="H883" s="17">
        <v>666501</v>
      </c>
      <c r="I883" s="18" t="s">
        <v>5</v>
      </c>
      <c r="J883" s="20">
        <v>3</v>
      </c>
    </row>
    <row r="884" spans="1:10" ht="15" customHeight="1" x14ac:dyDescent="0.75">
      <c r="A884" s="18" t="s">
        <v>83</v>
      </c>
      <c r="B884" s="19">
        <v>46153</v>
      </c>
      <c r="C884" s="17">
        <v>20</v>
      </c>
      <c r="D884" s="18" t="s">
        <v>63</v>
      </c>
      <c r="E884" s="19">
        <v>46157</v>
      </c>
      <c r="F884" s="18" t="s">
        <v>57</v>
      </c>
      <c r="G884" s="18" t="s">
        <v>58</v>
      </c>
      <c r="H884" s="17">
        <v>666502</v>
      </c>
      <c r="I884" s="18" t="s">
        <v>7</v>
      </c>
      <c r="J884" s="20">
        <v>14</v>
      </c>
    </row>
    <row r="885" spans="1:10" ht="15" customHeight="1" x14ac:dyDescent="0.75">
      <c r="A885" s="18" t="s">
        <v>83</v>
      </c>
      <c r="B885" s="19">
        <v>46153</v>
      </c>
      <c r="C885" s="17">
        <v>20</v>
      </c>
      <c r="D885" s="18" t="s">
        <v>63</v>
      </c>
      <c r="E885" s="19">
        <v>46157</v>
      </c>
      <c r="F885" s="18" t="s">
        <v>57</v>
      </c>
      <c r="G885" s="18" t="s">
        <v>58</v>
      </c>
      <c r="H885" s="17">
        <v>666506</v>
      </c>
      <c r="I885" s="18" t="s">
        <v>11</v>
      </c>
      <c r="J885" s="20">
        <v>31</v>
      </c>
    </row>
    <row r="886" spans="1:10" ht="15" customHeight="1" x14ac:dyDescent="0.75">
      <c r="A886" s="18" t="s">
        <v>83</v>
      </c>
      <c r="B886" s="19">
        <v>46153</v>
      </c>
      <c r="C886" s="17">
        <v>20</v>
      </c>
      <c r="D886" s="18" t="s">
        <v>63</v>
      </c>
      <c r="E886" s="19">
        <v>46157</v>
      </c>
      <c r="F886" s="18" t="s">
        <v>57</v>
      </c>
      <c r="G886" s="18" t="s">
        <v>58</v>
      </c>
      <c r="H886" s="17">
        <v>666541</v>
      </c>
      <c r="I886" s="18" t="s">
        <v>41</v>
      </c>
      <c r="J886" s="20">
        <v>30</v>
      </c>
    </row>
    <row r="887" spans="1:10" ht="15" customHeight="1" x14ac:dyDescent="0.75">
      <c r="A887" s="18" t="s">
        <v>84</v>
      </c>
      <c r="B887" s="19">
        <v>46160</v>
      </c>
      <c r="C887" s="17">
        <v>21</v>
      </c>
      <c r="D887" s="18" t="s">
        <v>54</v>
      </c>
      <c r="E887" s="19">
        <v>46160</v>
      </c>
      <c r="F887" s="18" t="s">
        <v>65</v>
      </c>
      <c r="G887" s="18" t="s">
        <v>56</v>
      </c>
      <c r="H887" s="17">
        <v>666501</v>
      </c>
      <c r="I887" s="18" t="s">
        <v>5</v>
      </c>
      <c r="J887" s="20">
        <v>45</v>
      </c>
    </row>
    <row r="888" spans="1:10" ht="15" customHeight="1" x14ac:dyDescent="0.75">
      <c r="A888" s="18" t="s">
        <v>84</v>
      </c>
      <c r="B888" s="19">
        <v>46160</v>
      </c>
      <c r="C888" s="17">
        <v>21</v>
      </c>
      <c r="D888" s="18" t="s">
        <v>54</v>
      </c>
      <c r="E888" s="19">
        <v>46160</v>
      </c>
      <c r="F888" s="18" t="s">
        <v>65</v>
      </c>
      <c r="G888" s="18" t="s">
        <v>56</v>
      </c>
      <c r="H888" s="17">
        <v>666505</v>
      </c>
      <c r="I888" s="18" t="s">
        <v>9</v>
      </c>
      <c r="J888" s="20">
        <v>16</v>
      </c>
    </row>
    <row r="889" spans="1:10" ht="15" customHeight="1" x14ac:dyDescent="0.75">
      <c r="A889" s="18" t="s">
        <v>84</v>
      </c>
      <c r="B889" s="19">
        <v>46160</v>
      </c>
      <c r="C889" s="17">
        <v>21</v>
      </c>
      <c r="D889" s="18" t="s">
        <v>54</v>
      </c>
      <c r="E889" s="19">
        <v>46160</v>
      </c>
      <c r="F889" s="18" t="s">
        <v>65</v>
      </c>
      <c r="G889" s="18" t="s">
        <v>56</v>
      </c>
      <c r="H889" s="17">
        <v>666509</v>
      </c>
      <c r="I889" s="18" t="s">
        <v>15</v>
      </c>
      <c r="J889" s="20">
        <v>10</v>
      </c>
    </row>
    <row r="890" spans="1:10" ht="15" customHeight="1" x14ac:dyDescent="0.75">
      <c r="A890" s="18" t="s">
        <v>84</v>
      </c>
      <c r="B890" s="19">
        <v>46160</v>
      </c>
      <c r="C890" s="17">
        <v>21</v>
      </c>
      <c r="D890" s="18" t="s">
        <v>54</v>
      </c>
      <c r="E890" s="19">
        <v>46160</v>
      </c>
      <c r="F890" s="18" t="s">
        <v>65</v>
      </c>
      <c r="G890" s="18" t="s">
        <v>56</v>
      </c>
      <c r="H890" s="17">
        <v>666513</v>
      </c>
      <c r="I890" s="18" t="s">
        <v>21</v>
      </c>
      <c r="J890" s="20">
        <v>8</v>
      </c>
    </row>
    <row r="891" spans="1:10" ht="15" customHeight="1" x14ac:dyDescent="0.75">
      <c r="A891" s="18" t="s">
        <v>84</v>
      </c>
      <c r="B891" s="19">
        <v>46160</v>
      </c>
      <c r="C891" s="17">
        <v>21</v>
      </c>
      <c r="D891" s="18" t="s">
        <v>54</v>
      </c>
      <c r="E891" s="19">
        <v>46160</v>
      </c>
      <c r="F891" s="18" t="s">
        <v>65</v>
      </c>
      <c r="G891" s="18" t="s">
        <v>56</v>
      </c>
      <c r="H891" s="17">
        <v>666516</v>
      </c>
      <c r="I891" s="18" t="s">
        <v>23</v>
      </c>
      <c r="J891" s="20">
        <v>20</v>
      </c>
    </row>
    <row r="892" spans="1:10" ht="15" customHeight="1" x14ac:dyDescent="0.75">
      <c r="A892" s="18" t="s">
        <v>84</v>
      </c>
      <c r="B892" s="19">
        <v>46160</v>
      </c>
      <c r="C892" s="17">
        <v>21</v>
      </c>
      <c r="D892" s="18" t="s">
        <v>54</v>
      </c>
      <c r="E892" s="19">
        <v>46160</v>
      </c>
      <c r="F892" s="18" t="s">
        <v>65</v>
      </c>
      <c r="G892" s="18" t="s">
        <v>56</v>
      </c>
      <c r="H892" s="17">
        <v>666517</v>
      </c>
      <c r="I892" s="18" t="s">
        <v>25</v>
      </c>
      <c r="J892" s="20">
        <v>25</v>
      </c>
    </row>
    <row r="893" spans="1:10" ht="15" customHeight="1" x14ac:dyDescent="0.75">
      <c r="A893" s="18" t="s">
        <v>84</v>
      </c>
      <c r="B893" s="19">
        <v>46160</v>
      </c>
      <c r="C893" s="17">
        <v>21</v>
      </c>
      <c r="D893" s="18" t="s">
        <v>54</v>
      </c>
      <c r="E893" s="19">
        <v>46160</v>
      </c>
      <c r="F893" s="18" t="s">
        <v>65</v>
      </c>
      <c r="G893" s="18" t="s">
        <v>56</v>
      </c>
      <c r="H893" s="17">
        <v>666519</v>
      </c>
      <c r="I893" s="18" t="s">
        <v>29</v>
      </c>
      <c r="J893" s="20">
        <v>25</v>
      </c>
    </row>
    <row r="894" spans="1:10" ht="15" customHeight="1" x14ac:dyDescent="0.75">
      <c r="A894" s="18" t="s">
        <v>84</v>
      </c>
      <c r="B894" s="19">
        <v>46160</v>
      </c>
      <c r="C894" s="17">
        <v>21</v>
      </c>
      <c r="D894" s="18" t="s">
        <v>54</v>
      </c>
      <c r="E894" s="19">
        <v>46160</v>
      </c>
      <c r="F894" s="18" t="s">
        <v>65</v>
      </c>
      <c r="G894" s="18" t="s">
        <v>56</v>
      </c>
      <c r="H894" s="17">
        <v>666521</v>
      </c>
      <c r="I894" s="18" t="s">
        <v>31</v>
      </c>
      <c r="J894" s="20">
        <v>12</v>
      </c>
    </row>
    <row r="895" spans="1:10" ht="15" customHeight="1" x14ac:dyDescent="0.75">
      <c r="A895" s="18" t="s">
        <v>84</v>
      </c>
      <c r="B895" s="19">
        <v>46160</v>
      </c>
      <c r="C895" s="17">
        <v>21</v>
      </c>
      <c r="D895" s="18" t="s">
        <v>54</v>
      </c>
      <c r="E895" s="19">
        <v>46160</v>
      </c>
      <c r="F895" s="18" t="s">
        <v>65</v>
      </c>
      <c r="G895" s="18" t="s">
        <v>56</v>
      </c>
      <c r="H895" s="17">
        <v>666522</v>
      </c>
      <c r="I895" s="18" t="s">
        <v>33</v>
      </c>
      <c r="J895" s="20">
        <v>40</v>
      </c>
    </row>
    <row r="896" spans="1:10" ht="15" customHeight="1" x14ac:dyDescent="0.75">
      <c r="A896" s="18" t="s">
        <v>84</v>
      </c>
      <c r="B896" s="19">
        <v>46160</v>
      </c>
      <c r="C896" s="17">
        <v>21</v>
      </c>
      <c r="D896" s="18" t="s">
        <v>54</v>
      </c>
      <c r="E896" s="19">
        <v>46160</v>
      </c>
      <c r="F896" s="18" t="s">
        <v>65</v>
      </c>
      <c r="G896" s="18" t="s">
        <v>56</v>
      </c>
      <c r="H896" s="17">
        <v>666531</v>
      </c>
      <c r="I896" s="18" t="s">
        <v>39</v>
      </c>
      <c r="J896" s="20">
        <v>7</v>
      </c>
    </row>
    <row r="897" spans="1:10" ht="15" customHeight="1" x14ac:dyDescent="0.75">
      <c r="A897" s="18" t="s">
        <v>84</v>
      </c>
      <c r="B897" s="19">
        <v>46160</v>
      </c>
      <c r="C897" s="17">
        <v>21</v>
      </c>
      <c r="D897" s="18" t="s">
        <v>54</v>
      </c>
      <c r="E897" s="19">
        <v>46160</v>
      </c>
      <c r="F897" s="18" t="s">
        <v>65</v>
      </c>
      <c r="G897" s="18" t="s">
        <v>56</v>
      </c>
      <c r="H897" s="17">
        <v>666536</v>
      </c>
      <c r="I897" s="18" t="s">
        <v>43</v>
      </c>
      <c r="J897" s="20">
        <v>7</v>
      </c>
    </row>
    <row r="898" spans="1:10" ht="15" customHeight="1" x14ac:dyDescent="0.75">
      <c r="A898" s="18" t="s">
        <v>84</v>
      </c>
      <c r="B898" s="19">
        <v>46160</v>
      </c>
      <c r="C898" s="17">
        <v>21</v>
      </c>
      <c r="D898" s="18" t="s">
        <v>54</v>
      </c>
      <c r="E898" s="19">
        <v>46160</v>
      </c>
      <c r="F898" s="18" t="s">
        <v>57</v>
      </c>
      <c r="G898" s="18" t="s">
        <v>58</v>
      </c>
      <c r="H898" s="17">
        <v>666502</v>
      </c>
      <c r="I898" s="18" t="s">
        <v>7</v>
      </c>
      <c r="J898" s="20">
        <v>9</v>
      </c>
    </row>
    <row r="899" spans="1:10" ht="15" customHeight="1" x14ac:dyDescent="0.75">
      <c r="A899" s="18" t="s">
        <v>84</v>
      </c>
      <c r="B899" s="19">
        <v>46160</v>
      </c>
      <c r="C899" s="17">
        <v>21</v>
      </c>
      <c r="D899" s="18" t="s">
        <v>54</v>
      </c>
      <c r="E899" s="19">
        <v>46160</v>
      </c>
      <c r="F899" s="18" t="s">
        <v>57</v>
      </c>
      <c r="G899" s="18" t="s">
        <v>58</v>
      </c>
      <c r="H899" s="17">
        <v>666506</v>
      </c>
      <c r="I899" s="18" t="s">
        <v>11</v>
      </c>
      <c r="J899" s="20">
        <v>49</v>
      </c>
    </row>
    <row r="900" spans="1:10" ht="15" customHeight="1" x14ac:dyDescent="0.75">
      <c r="A900" s="18" t="s">
        <v>84</v>
      </c>
      <c r="B900" s="19">
        <v>46160</v>
      </c>
      <c r="C900" s="17">
        <v>21</v>
      </c>
      <c r="D900" s="18" t="s">
        <v>54</v>
      </c>
      <c r="E900" s="19">
        <v>46160</v>
      </c>
      <c r="F900" s="18" t="s">
        <v>57</v>
      </c>
      <c r="G900" s="18" t="s">
        <v>58</v>
      </c>
      <c r="H900" s="17">
        <v>666541</v>
      </c>
      <c r="I900" s="18" t="s">
        <v>41</v>
      </c>
      <c r="J900" s="20">
        <v>62</v>
      </c>
    </row>
    <row r="901" spans="1:10" ht="15" customHeight="1" x14ac:dyDescent="0.75">
      <c r="A901" s="18" t="s">
        <v>84</v>
      </c>
      <c r="B901" s="19">
        <v>46160</v>
      </c>
      <c r="C901" s="17">
        <v>21</v>
      </c>
      <c r="D901" s="18" t="s">
        <v>54</v>
      </c>
      <c r="E901" s="19">
        <v>46160</v>
      </c>
      <c r="F901" s="18" t="s">
        <v>55</v>
      </c>
      <c r="G901" s="18" t="s">
        <v>66</v>
      </c>
      <c r="H901" s="17">
        <v>666501</v>
      </c>
      <c r="I901" s="18" t="s">
        <v>5</v>
      </c>
      <c r="J901" s="20">
        <v>21</v>
      </c>
    </row>
    <row r="902" spans="1:10" ht="15" customHeight="1" x14ac:dyDescent="0.75">
      <c r="A902" s="18" t="s">
        <v>84</v>
      </c>
      <c r="B902" s="19">
        <v>46160</v>
      </c>
      <c r="C902" s="17">
        <v>21</v>
      </c>
      <c r="D902" s="18" t="s">
        <v>54</v>
      </c>
      <c r="E902" s="19">
        <v>46160</v>
      </c>
      <c r="F902" s="18" t="s">
        <v>55</v>
      </c>
      <c r="G902" s="18" t="s">
        <v>66</v>
      </c>
      <c r="H902" s="17">
        <v>666505</v>
      </c>
      <c r="I902" s="18" t="s">
        <v>9</v>
      </c>
      <c r="J902" s="20">
        <v>17</v>
      </c>
    </row>
    <row r="903" spans="1:10" ht="15" customHeight="1" x14ac:dyDescent="0.75">
      <c r="A903" s="18" t="s">
        <v>84</v>
      </c>
      <c r="B903" s="19">
        <v>46160</v>
      </c>
      <c r="C903" s="17">
        <v>21</v>
      </c>
      <c r="D903" s="18" t="s">
        <v>54</v>
      </c>
      <c r="E903" s="19">
        <v>46160</v>
      </c>
      <c r="F903" s="18" t="s">
        <v>55</v>
      </c>
      <c r="G903" s="18" t="s">
        <v>66</v>
      </c>
      <c r="H903" s="17">
        <v>666513</v>
      </c>
      <c r="I903" s="18" t="s">
        <v>21</v>
      </c>
      <c r="J903" s="20">
        <v>10</v>
      </c>
    </row>
    <row r="904" spans="1:10" ht="15" customHeight="1" x14ac:dyDescent="0.75">
      <c r="A904" s="18" t="s">
        <v>84</v>
      </c>
      <c r="B904" s="19">
        <v>46160</v>
      </c>
      <c r="C904" s="17">
        <v>21</v>
      </c>
      <c r="D904" s="18" t="s">
        <v>54</v>
      </c>
      <c r="E904" s="19">
        <v>46160</v>
      </c>
      <c r="F904" s="18" t="s">
        <v>55</v>
      </c>
      <c r="G904" s="18" t="s">
        <v>66</v>
      </c>
      <c r="H904" s="17">
        <v>666516</v>
      </c>
      <c r="I904" s="18" t="s">
        <v>23</v>
      </c>
      <c r="J904" s="20">
        <v>10</v>
      </c>
    </row>
    <row r="905" spans="1:10" ht="15" customHeight="1" x14ac:dyDescent="0.75">
      <c r="A905" s="18" t="s">
        <v>84</v>
      </c>
      <c r="B905" s="19">
        <v>46160</v>
      </c>
      <c r="C905" s="17">
        <v>21</v>
      </c>
      <c r="D905" s="18" t="s">
        <v>54</v>
      </c>
      <c r="E905" s="19">
        <v>46160</v>
      </c>
      <c r="F905" s="18" t="s">
        <v>55</v>
      </c>
      <c r="G905" s="18" t="s">
        <v>66</v>
      </c>
      <c r="H905" s="17">
        <v>666517</v>
      </c>
      <c r="I905" s="18" t="s">
        <v>25</v>
      </c>
      <c r="J905" s="20">
        <v>7</v>
      </c>
    </row>
    <row r="906" spans="1:10" ht="15" customHeight="1" x14ac:dyDescent="0.75">
      <c r="A906" s="18" t="s">
        <v>84</v>
      </c>
      <c r="B906" s="19">
        <v>46160</v>
      </c>
      <c r="C906" s="17">
        <v>21</v>
      </c>
      <c r="D906" s="18" t="s">
        <v>54</v>
      </c>
      <c r="E906" s="19">
        <v>46160</v>
      </c>
      <c r="F906" s="18" t="s">
        <v>55</v>
      </c>
      <c r="G906" s="18" t="s">
        <v>66</v>
      </c>
      <c r="H906" s="17">
        <v>666519</v>
      </c>
      <c r="I906" s="18" t="s">
        <v>29</v>
      </c>
      <c r="J906" s="20">
        <v>13</v>
      </c>
    </row>
    <row r="907" spans="1:10" ht="15" customHeight="1" x14ac:dyDescent="0.75">
      <c r="A907" s="18" t="s">
        <v>84</v>
      </c>
      <c r="B907" s="19">
        <v>46160</v>
      </c>
      <c r="C907" s="17">
        <v>21</v>
      </c>
      <c r="D907" s="18" t="s">
        <v>54</v>
      </c>
      <c r="E907" s="19">
        <v>46160</v>
      </c>
      <c r="F907" s="18" t="s">
        <v>55</v>
      </c>
      <c r="G907" s="18" t="s">
        <v>66</v>
      </c>
      <c r="H907" s="17">
        <v>666522</v>
      </c>
      <c r="I907" s="18" t="s">
        <v>33</v>
      </c>
      <c r="J907" s="20">
        <v>30</v>
      </c>
    </row>
    <row r="908" spans="1:10" ht="15" customHeight="1" x14ac:dyDescent="0.75">
      <c r="A908" s="18" t="s">
        <v>84</v>
      </c>
      <c r="B908" s="19">
        <v>46160</v>
      </c>
      <c r="C908" s="17">
        <v>21</v>
      </c>
      <c r="D908" s="18" t="s">
        <v>54</v>
      </c>
      <c r="E908" s="19">
        <v>46160</v>
      </c>
      <c r="F908" s="18" t="s">
        <v>55</v>
      </c>
      <c r="G908" s="18" t="s">
        <v>66</v>
      </c>
      <c r="H908" s="17">
        <v>666523</v>
      </c>
      <c r="I908" s="18" t="s">
        <v>35</v>
      </c>
      <c r="J908" s="20">
        <v>16</v>
      </c>
    </row>
    <row r="909" spans="1:10" ht="15" customHeight="1" x14ac:dyDescent="0.75">
      <c r="A909" s="18" t="s">
        <v>84</v>
      </c>
      <c r="B909" s="19">
        <v>46160</v>
      </c>
      <c r="C909" s="17">
        <v>21</v>
      </c>
      <c r="D909" s="18" t="s">
        <v>54</v>
      </c>
      <c r="E909" s="19">
        <v>46160</v>
      </c>
      <c r="F909" s="18" t="s">
        <v>55</v>
      </c>
      <c r="G909" s="18" t="s">
        <v>66</v>
      </c>
      <c r="H909" s="17">
        <v>666530</v>
      </c>
      <c r="I909" s="18" t="s">
        <v>37</v>
      </c>
      <c r="J909" s="20">
        <v>12</v>
      </c>
    </row>
    <row r="910" spans="1:10" ht="15" customHeight="1" x14ac:dyDescent="0.75">
      <c r="A910" s="18" t="s">
        <v>84</v>
      </c>
      <c r="B910" s="19">
        <v>46160</v>
      </c>
      <c r="C910" s="17">
        <v>21</v>
      </c>
      <c r="D910" s="18" t="s">
        <v>54</v>
      </c>
      <c r="E910" s="19">
        <v>46160</v>
      </c>
      <c r="F910" s="18" t="s">
        <v>55</v>
      </c>
      <c r="G910" s="18" t="s">
        <v>66</v>
      </c>
      <c r="H910" s="17">
        <v>666531</v>
      </c>
      <c r="I910" s="18" t="s">
        <v>39</v>
      </c>
      <c r="J910" s="20">
        <v>1</v>
      </c>
    </row>
    <row r="911" spans="1:10" ht="15" customHeight="1" x14ac:dyDescent="0.75">
      <c r="A911" s="18" t="s">
        <v>84</v>
      </c>
      <c r="B911" s="19">
        <v>46160</v>
      </c>
      <c r="C911" s="17">
        <v>21</v>
      </c>
      <c r="D911" s="18" t="s">
        <v>59</v>
      </c>
      <c r="E911" s="19">
        <v>46161</v>
      </c>
      <c r="F911" s="18" t="s">
        <v>57</v>
      </c>
      <c r="G911" s="18" t="s">
        <v>58</v>
      </c>
      <c r="H911" s="17">
        <v>666501</v>
      </c>
      <c r="I911" s="18" t="s">
        <v>5</v>
      </c>
      <c r="J911" s="20">
        <v>57</v>
      </c>
    </row>
    <row r="912" spans="1:10" ht="15" customHeight="1" x14ac:dyDescent="0.75">
      <c r="A912" s="18" t="s">
        <v>84</v>
      </c>
      <c r="B912" s="19">
        <v>46160</v>
      </c>
      <c r="C912" s="17">
        <v>21</v>
      </c>
      <c r="D912" s="18" t="s">
        <v>59</v>
      </c>
      <c r="E912" s="19">
        <v>46161</v>
      </c>
      <c r="F912" s="18" t="s">
        <v>57</v>
      </c>
      <c r="G912" s="18" t="s">
        <v>58</v>
      </c>
      <c r="H912" s="17">
        <v>666502</v>
      </c>
      <c r="I912" s="18" t="s">
        <v>7</v>
      </c>
      <c r="J912" s="20">
        <v>25</v>
      </c>
    </row>
    <row r="913" spans="1:10" ht="15" customHeight="1" x14ac:dyDescent="0.75">
      <c r="A913" s="18" t="s">
        <v>84</v>
      </c>
      <c r="B913" s="19">
        <v>46160</v>
      </c>
      <c r="C913" s="17">
        <v>21</v>
      </c>
      <c r="D913" s="18" t="s">
        <v>59</v>
      </c>
      <c r="E913" s="19">
        <v>46161</v>
      </c>
      <c r="F913" s="18" t="s">
        <v>57</v>
      </c>
      <c r="G913" s="18" t="s">
        <v>58</v>
      </c>
      <c r="H913" s="17">
        <v>666506</v>
      </c>
      <c r="I913" s="18" t="s">
        <v>11</v>
      </c>
      <c r="J913" s="20">
        <v>45</v>
      </c>
    </row>
    <row r="914" spans="1:10" ht="15" customHeight="1" x14ac:dyDescent="0.75">
      <c r="A914" s="18" t="s">
        <v>84</v>
      </c>
      <c r="B914" s="19">
        <v>46160</v>
      </c>
      <c r="C914" s="17">
        <v>21</v>
      </c>
      <c r="D914" s="18" t="s">
        <v>59</v>
      </c>
      <c r="E914" s="19">
        <v>46161</v>
      </c>
      <c r="F914" s="18" t="s">
        <v>57</v>
      </c>
      <c r="G914" s="18" t="s">
        <v>58</v>
      </c>
      <c r="H914" s="17">
        <v>666522</v>
      </c>
      <c r="I914" s="18" t="s">
        <v>33</v>
      </c>
      <c r="J914" s="20">
        <v>50</v>
      </c>
    </row>
    <row r="915" spans="1:10" ht="15" customHeight="1" x14ac:dyDescent="0.75">
      <c r="A915" s="18" t="s">
        <v>84</v>
      </c>
      <c r="B915" s="19">
        <v>46160</v>
      </c>
      <c r="C915" s="17">
        <v>21</v>
      </c>
      <c r="D915" s="18" t="s">
        <v>59</v>
      </c>
      <c r="E915" s="19">
        <v>46161</v>
      </c>
      <c r="F915" s="18" t="s">
        <v>57</v>
      </c>
      <c r="G915" s="18" t="s">
        <v>58</v>
      </c>
      <c r="H915" s="17">
        <v>666541</v>
      </c>
      <c r="I915" s="18" t="s">
        <v>41</v>
      </c>
      <c r="J915" s="20">
        <v>41</v>
      </c>
    </row>
    <row r="916" spans="1:10" ht="15" customHeight="1" x14ac:dyDescent="0.75">
      <c r="A916" s="18" t="s">
        <v>84</v>
      </c>
      <c r="B916" s="19">
        <v>46160</v>
      </c>
      <c r="C916" s="17">
        <v>21</v>
      </c>
      <c r="D916" s="18" t="s">
        <v>59</v>
      </c>
      <c r="E916" s="19">
        <v>46161</v>
      </c>
      <c r="F916" s="18" t="s">
        <v>55</v>
      </c>
      <c r="G916" s="18" t="s">
        <v>66</v>
      </c>
      <c r="H916" s="17">
        <v>666501</v>
      </c>
      <c r="I916" s="18" t="s">
        <v>5</v>
      </c>
      <c r="J916" s="20">
        <v>18</v>
      </c>
    </row>
    <row r="917" spans="1:10" ht="15" customHeight="1" x14ac:dyDescent="0.75">
      <c r="A917" s="18" t="s">
        <v>84</v>
      </c>
      <c r="B917" s="19">
        <v>46160</v>
      </c>
      <c r="C917" s="17">
        <v>21</v>
      </c>
      <c r="D917" s="18" t="s">
        <v>59</v>
      </c>
      <c r="E917" s="19">
        <v>46161</v>
      </c>
      <c r="F917" s="18" t="s">
        <v>55</v>
      </c>
      <c r="G917" s="18" t="s">
        <v>66</v>
      </c>
      <c r="H917" s="17">
        <v>666502</v>
      </c>
      <c r="I917" s="18" t="s">
        <v>7</v>
      </c>
      <c r="J917" s="20">
        <v>8</v>
      </c>
    </row>
    <row r="918" spans="1:10" ht="15" customHeight="1" x14ac:dyDescent="0.75">
      <c r="A918" s="18" t="s">
        <v>84</v>
      </c>
      <c r="B918" s="19">
        <v>46160</v>
      </c>
      <c r="C918" s="17">
        <v>21</v>
      </c>
      <c r="D918" s="18" t="s">
        <v>59</v>
      </c>
      <c r="E918" s="19">
        <v>46161</v>
      </c>
      <c r="F918" s="18" t="s">
        <v>55</v>
      </c>
      <c r="G918" s="18" t="s">
        <v>66</v>
      </c>
      <c r="H918" s="17">
        <v>666505</v>
      </c>
      <c r="I918" s="18" t="s">
        <v>9</v>
      </c>
      <c r="J918" s="20">
        <v>17</v>
      </c>
    </row>
    <row r="919" spans="1:10" ht="15" customHeight="1" x14ac:dyDescent="0.75">
      <c r="A919" s="18" t="s">
        <v>84</v>
      </c>
      <c r="B919" s="19">
        <v>46160</v>
      </c>
      <c r="C919" s="17">
        <v>21</v>
      </c>
      <c r="D919" s="18" t="s">
        <v>59</v>
      </c>
      <c r="E919" s="19">
        <v>46161</v>
      </c>
      <c r="F919" s="18" t="s">
        <v>55</v>
      </c>
      <c r="G919" s="18" t="s">
        <v>66</v>
      </c>
      <c r="H919" s="17">
        <v>666513</v>
      </c>
      <c r="I919" s="18" t="s">
        <v>21</v>
      </c>
      <c r="J919" s="20">
        <v>10</v>
      </c>
    </row>
    <row r="920" spans="1:10" ht="15" customHeight="1" x14ac:dyDescent="0.75">
      <c r="A920" s="18" t="s">
        <v>84</v>
      </c>
      <c r="B920" s="19">
        <v>46160</v>
      </c>
      <c r="C920" s="17">
        <v>21</v>
      </c>
      <c r="D920" s="18" t="s">
        <v>59</v>
      </c>
      <c r="E920" s="19">
        <v>46161</v>
      </c>
      <c r="F920" s="18" t="s">
        <v>55</v>
      </c>
      <c r="G920" s="18" t="s">
        <v>66</v>
      </c>
      <c r="H920" s="17">
        <v>666516</v>
      </c>
      <c r="I920" s="18" t="s">
        <v>23</v>
      </c>
      <c r="J920" s="20">
        <v>10</v>
      </c>
    </row>
    <row r="921" spans="1:10" ht="15" customHeight="1" x14ac:dyDescent="0.75">
      <c r="A921" s="18" t="s">
        <v>84</v>
      </c>
      <c r="B921" s="19">
        <v>46160</v>
      </c>
      <c r="C921" s="17">
        <v>21</v>
      </c>
      <c r="D921" s="18" t="s">
        <v>59</v>
      </c>
      <c r="E921" s="19">
        <v>46161</v>
      </c>
      <c r="F921" s="18" t="s">
        <v>55</v>
      </c>
      <c r="G921" s="18" t="s">
        <v>66</v>
      </c>
      <c r="H921" s="17">
        <v>666517</v>
      </c>
      <c r="I921" s="18" t="s">
        <v>25</v>
      </c>
      <c r="J921" s="20">
        <v>7</v>
      </c>
    </row>
    <row r="922" spans="1:10" ht="15" customHeight="1" x14ac:dyDescent="0.75">
      <c r="A922" s="18" t="s">
        <v>84</v>
      </c>
      <c r="B922" s="19">
        <v>46160</v>
      </c>
      <c r="C922" s="17">
        <v>21</v>
      </c>
      <c r="D922" s="18" t="s">
        <v>59</v>
      </c>
      <c r="E922" s="19">
        <v>46161</v>
      </c>
      <c r="F922" s="18" t="s">
        <v>55</v>
      </c>
      <c r="G922" s="18" t="s">
        <v>66</v>
      </c>
      <c r="H922" s="17">
        <v>666519</v>
      </c>
      <c r="I922" s="18" t="s">
        <v>29</v>
      </c>
      <c r="J922" s="20">
        <v>13</v>
      </c>
    </row>
    <row r="923" spans="1:10" ht="15" customHeight="1" x14ac:dyDescent="0.75">
      <c r="A923" s="18" t="s">
        <v>84</v>
      </c>
      <c r="B923" s="19">
        <v>46160</v>
      </c>
      <c r="C923" s="17">
        <v>21</v>
      </c>
      <c r="D923" s="18" t="s">
        <v>59</v>
      </c>
      <c r="E923" s="19">
        <v>46161</v>
      </c>
      <c r="F923" s="18" t="s">
        <v>55</v>
      </c>
      <c r="G923" s="18" t="s">
        <v>66</v>
      </c>
      <c r="H923" s="17">
        <v>666522</v>
      </c>
      <c r="I923" s="18" t="s">
        <v>33</v>
      </c>
      <c r="J923" s="20">
        <v>35</v>
      </c>
    </row>
    <row r="924" spans="1:10" ht="15" customHeight="1" x14ac:dyDescent="0.75">
      <c r="A924" s="18" t="s">
        <v>84</v>
      </c>
      <c r="B924" s="19">
        <v>46160</v>
      </c>
      <c r="C924" s="17">
        <v>21</v>
      </c>
      <c r="D924" s="18" t="s">
        <v>59</v>
      </c>
      <c r="E924" s="19">
        <v>46161</v>
      </c>
      <c r="F924" s="18" t="s">
        <v>55</v>
      </c>
      <c r="G924" s="18" t="s">
        <v>66</v>
      </c>
      <c r="H924" s="17">
        <v>666523</v>
      </c>
      <c r="I924" s="18" t="s">
        <v>35</v>
      </c>
      <c r="J924" s="20">
        <v>16</v>
      </c>
    </row>
    <row r="925" spans="1:10" ht="15" customHeight="1" x14ac:dyDescent="0.75">
      <c r="A925" s="18" t="s">
        <v>84</v>
      </c>
      <c r="B925" s="19">
        <v>46160</v>
      </c>
      <c r="C925" s="17">
        <v>21</v>
      </c>
      <c r="D925" s="18" t="s">
        <v>59</v>
      </c>
      <c r="E925" s="19">
        <v>46161</v>
      </c>
      <c r="F925" s="18" t="s">
        <v>55</v>
      </c>
      <c r="G925" s="18" t="s">
        <v>66</v>
      </c>
      <c r="H925" s="17">
        <v>666530</v>
      </c>
      <c r="I925" s="18" t="s">
        <v>37</v>
      </c>
      <c r="J925" s="20">
        <v>12</v>
      </c>
    </row>
    <row r="926" spans="1:10" ht="15" customHeight="1" x14ac:dyDescent="0.75">
      <c r="A926" s="18" t="s">
        <v>84</v>
      </c>
      <c r="B926" s="19">
        <v>46160</v>
      </c>
      <c r="C926" s="17">
        <v>21</v>
      </c>
      <c r="D926" s="18" t="s">
        <v>59</v>
      </c>
      <c r="E926" s="19">
        <v>46161</v>
      </c>
      <c r="F926" s="18" t="s">
        <v>55</v>
      </c>
      <c r="G926" s="18" t="s">
        <v>66</v>
      </c>
      <c r="H926" s="17">
        <v>666531</v>
      </c>
      <c r="I926" s="18" t="s">
        <v>39</v>
      </c>
      <c r="J926" s="20">
        <v>1</v>
      </c>
    </row>
    <row r="927" spans="1:10" ht="15" customHeight="1" x14ac:dyDescent="0.75">
      <c r="A927" s="18" t="s">
        <v>84</v>
      </c>
      <c r="B927" s="19">
        <v>46160</v>
      </c>
      <c r="C927" s="17">
        <v>21</v>
      </c>
      <c r="D927" s="18" t="s">
        <v>60</v>
      </c>
      <c r="E927" s="19">
        <v>46162</v>
      </c>
      <c r="F927" s="18" t="s">
        <v>65</v>
      </c>
      <c r="G927" s="18" t="s">
        <v>56</v>
      </c>
      <c r="H927" s="17">
        <v>666509</v>
      </c>
      <c r="I927" s="18" t="s">
        <v>15</v>
      </c>
      <c r="J927" s="20">
        <v>19</v>
      </c>
    </row>
    <row r="928" spans="1:10" ht="15" customHeight="1" x14ac:dyDescent="0.75">
      <c r="A928" s="18" t="s">
        <v>84</v>
      </c>
      <c r="B928" s="19">
        <v>46160</v>
      </c>
      <c r="C928" s="17">
        <v>21</v>
      </c>
      <c r="D928" s="18" t="s">
        <v>60</v>
      </c>
      <c r="E928" s="19">
        <v>46162</v>
      </c>
      <c r="F928" s="18" t="s">
        <v>65</v>
      </c>
      <c r="G928" s="18" t="s">
        <v>56</v>
      </c>
      <c r="H928" s="17">
        <v>666517</v>
      </c>
      <c r="I928" s="18" t="s">
        <v>25</v>
      </c>
      <c r="J928" s="20">
        <v>5</v>
      </c>
    </row>
    <row r="929" spans="1:10" ht="15" customHeight="1" x14ac:dyDescent="0.75">
      <c r="A929" s="18" t="s">
        <v>84</v>
      </c>
      <c r="B929" s="19">
        <v>46160</v>
      </c>
      <c r="C929" s="17">
        <v>21</v>
      </c>
      <c r="D929" s="18" t="s">
        <v>60</v>
      </c>
      <c r="E929" s="19">
        <v>46162</v>
      </c>
      <c r="F929" s="18" t="s">
        <v>65</v>
      </c>
      <c r="G929" s="18" t="s">
        <v>56</v>
      </c>
      <c r="H929" s="17">
        <v>666519</v>
      </c>
      <c r="I929" s="18" t="s">
        <v>29</v>
      </c>
      <c r="J929" s="20">
        <v>1</v>
      </c>
    </row>
    <row r="930" spans="1:10" ht="15" customHeight="1" x14ac:dyDescent="0.75">
      <c r="A930" s="18" t="s">
        <v>84</v>
      </c>
      <c r="B930" s="19">
        <v>46160</v>
      </c>
      <c r="C930" s="17">
        <v>21</v>
      </c>
      <c r="D930" s="18" t="s">
        <v>60</v>
      </c>
      <c r="E930" s="19">
        <v>46162</v>
      </c>
      <c r="F930" s="18" t="s">
        <v>65</v>
      </c>
      <c r="G930" s="18" t="s">
        <v>56</v>
      </c>
      <c r="H930" s="17">
        <v>666521</v>
      </c>
      <c r="I930" s="18" t="s">
        <v>31</v>
      </c>
      <c r="J930" s="20">
        <v>15</v>
      </c>
    </row>
    <row r="931" spans="1:10" ht="15" customHeight="1" x14ac:dyDescent="0.75">
      <c r="A931" s="18" t="s">
        <v>84</v>
      </c>
      <c r="B931" s="19">
        <v>46160</v>
      </c>
      <c r="C931" s="17">
        <v>21</v>
      </c>
      <c r="D931" s="18" t="s">
        <v>60</v>
      </c>
      <c r="E931" s="19">
        <v>46162</v>
      </c>
      <c r="F931" s="18" t="s">
        <v>65</v>
      </c>
      <c r="G931" s="18" t="s">
        <v>56</v>
      </c>
      <c r="H931" s="17">
        <v>666522</v>
      </c>
      <c r="I931" s="18" t="s">
        <v>33</v>
      </c>
      <c r="J931" s="20">
        <v>30</v>
      </c>
    </row>
    <row r="932" spans="1:10" ht="15" customHeight="1" x14ac:dyDescent="0.75">
      <c r="A932" s="18" t="s">
        <v>84</v>
      </c>
      <c r="B932" s="19">
        <v>46160</v>
      </c>
      <c r="C932" s="17">
        <v>21</v>
      </c>
      <c r="D932" s="18" t="s">
        <v>60</v>
      </c>
      <c r="E932" s="19">
        <v>46162</v>
      </c>
      <c r="F932" s="18" t="s">
        <v>65</v>
      </c>
      <c r="G932" s="18" t="s">
        <v>56</v>
      </c>
      <c r="H932" s="17">
        <v>666531</v>
      </c>
      <c r="I932" s="18" t="s">
        <v>39</v>
      </c>
      <c r="J932" s="20">
        <v>6</v>
      </c>
    </row>
    <row r="933" spans="1:10" ht="15" customHeight="1" x14ac:dyDescent="0.75">
      <c r="A933" s="18" t="s">
        <v>84</v>
      </c>
      <c r="B933" s="19">
        <v>46160</v>
      </c>
      <c r="C933" s="17">
        <v>21</v>
      </c>
      <c r="D933" s="18" t="s">
        <v>60</v>
      </c>
      <c r="E933" s="19">
        <v>46162</v>
      </c>
      <c r="F933" s="18" t="s">
        <v>65</v>
      </c>
      <c r="G933" s="18" t="s">
        <v>56</v>
      </c>
      <c r="H933" s="17">
        <v>666536</v>
      </c>
      <c r="I933" s="18" t="s">
        <v>43</v>
      </c>
      <c r="J933" s="20">
        <v>2</v>
      </c>
    </row>
    <row r="934" spans="1:10" ht="15" customHeight="1" x14ac:dyDescent="0.75">
      <c r="A934" s="18" t="s">
        <v>84</v>
      </c>
      <c r="B934" s="19">
        <v>46160</v>
      </c>
      <c r="C934" s="17">
        <v>21</v>
      </c>
      <c r="D934" s="18" t="s">
        <v>60</v>
      </c>
      <c r="E934" s="19">
        <v>46162</v>
      </c>
      <c r="F934" s="18" t="s">
        <v>57</v>
      </c>
      <c r="G934" s="18" t="s">
        <v>58</v>
      </c>
      <c r="H934" s="17">
        <v>666501</v>
      </c>
      <c r="I934" s="18" t="s">
        <v>5</v>
      </c>
      <c r="J934" s="20">
        <v>141</v>
      </c>
    </row>
    <row r="935" spans="1:10" ht="15" customHeight="1" x14ac:dyDescent="0.75">
      <c r="A935" s="18" t="s">
        <v>84</v>
      </c>
      <c r="B935" s="19">
        <v>46160</v>
      </c>
      <c r="C935" s="17">
        <v>21</v>
      </c>
      <c r="D935" s="18" t="s">
        <v>60</v>
      </c>
      <c r="E935" s="19">
        <v>46162</v>
      </c>
      <c r="F935" s="18" t="s">
        <v>57</v>
      </c>
      <c r="G935" s="18" t="s">
        <v>58</v>
      </c>
      <c r="H935" s="17">
        <v>666502</v>
      </c>
      <c r="I935" s="18" t="s">
        <v>7</v>
      </c>
      <c r="J935" s="20">
        <v>48</v>
      </c>
    </row>
    <row r="936" spans="1:10" ht="15" customHeight="1" x14ac:dyDescent="0.75">
      <c r="A936" s="18" t="s">
        <v>84</v>
      </c>
      <c r="B936" s="19">
        <v>46160</v>
      </c>
      <c r="C936" s="17">
        <v>21</v>
      </c>
      <c r="D936" s="18" t="s">
        <v>60</v>
      </c>
      <c r="E936" s="19">
        <v>46162</v>
      </c>
      <c r="F936" s="18" t="s">
        <v>57</v>
      </c>
      <c r="G936" s="18" t="s">
        <v>58</v>
      </c>
      <c r="H936" s="17">
        <v>666506</v>
      </c>
      <c r="I936" s="18" t="s">
        <v>11</v>
      </c>
      <c r="J936" s="20">
        <v>27</v>
      </c>
    </row>
    <row r="937" spans="1:10" ht="15" customHeight="1" x14ac:dyDescent="0.75">
      <c r="A937" s="18" t="s">
        <v>84</v>
      </c>
      <c r="B937" s="19">
        <v>46160</v>
      </c>
      <c r="C937" s="17">
        <v>21</v>
      </c>
      <c r="D937" s="18" t="s">
        <v>60</v>
      </c>
      <c r="E937" s="19">
        <v>46162</v>
      </c>
      <c r="F937" s="18" t="s">
        <v>57</v>
      </c>
      <c r="G937" s="18" t="s">
        <v>58</v>
      </c>
      <c r="H937" s="17">
        <v>666541</v>
      </c>
      <c r="I937" s="18" t="s">
        <v>41</v>
      </c>
      <c r="J937" s="20">
        <v>30</v>
      </c>
    </row>
    <row r="938" spans="1:10" ht="15" customHeight="1" x14ac:dyDescent="0.75">
      <c r="A938" s="18" t="s">
        <v>84</v>
      </c>
      <c r="B938" s="19">
        <v>46160</v>
      </c>
      <c r="C938" s="17">
        <v>21</v>
      </c>
      <c r="D938" s="18" t="s">
        <v>62</v>
      </c>
      <c r="E938" s="19">
        <v>46163</v>
      </c>
      <c r="F938" s="18" t="s">
        <v>65</v>
      </c>
      <c r="G938" s="18" t="s">
        <v>56</v>
      </c>
      <c r="H938" s="17">
        <v>666509</v>
      </c>
      <c r="I938" s="18" t="s">
        <v>15</v>
      </c>
      <c r="J938" s="20">
        <v>21</v>
      </c>
    </row>
    <row r="939" spans="1:10" ht="15" customHeight="1" x14ac:dyDescent="0.75">
      <c r="A939" s="18" t="s">
        <v>84</v>
      </c>
      <c r="B939" s="19">
        <v>46160</v>
      </c>
      <c r="C939" s="17">
        <v>21</v>
      </c>
      <c r="D939" s="18" t="s">
        <v>62</v>
      </c>
      <c r="E939" s="19">
        <v>46163</v>
      </c>
      <c r="F939" s="18" t="s">
        <v>65</v>
      </c>
      <c r="G939" s="18" t="s">
        <v>56</v>
      </c>
      <c r="H939" s="17">
        <v>666521</v>
      </c>
      <c r="I939" s="18" t="s">
        <v>31</v>
      </c>
      <c r="J939" s="20">
        <v>14</v>
      </c>
    </row>
    <row r="940" spans="1:10" ht="15" customHeight="1" x14ac:dyDescent="0.75">
      <c r="A940" s="18" t="s">
        <v>84</v>
      </c>
      <c r="B940" s="19">
        <v>46160</v>
      </c>
      <c r="C940" s="17">
        <v>21</v>
      </c>
      <c r="D940" s="18" t="s">
        <v>62</v>
      </c>
      <c r="E940" s="19">
        <v>46163</v>
      </c>
      <c r="F940" s="18" t="s">
        <v>65</v>
      </c>
      <c r="G940" s="18" t="s">
        <v>56</v>
      </c>
      <c r="H940" s="17">
        <v>666522</v>
      </c>
      <c r="I940" s="18" t="s">
        <v>33</v>
      </c>
      <c r="J940" s="20">
        <v>10</v>
      </c>
    </row>
    <row r="941" spans="1:10" ht="15" customHeight="1" x14ac:dyDescent="0.75">
      <c r="A941" s="18" t="s">
        <v>84</v>
      </c>
      <c r="B941" s="19">
        <v>46160</v>
      </c>
      <c r="C941" s="17">
        <v>21</v>
      </c>
      <c r="D941" s="18" t="s">
        <v>62</v>
      </c>
      <c r="E941" s="19">
        <v>46163</v>
      </c>
      <c r="F941" s="18" t="s">
        <v>65</v>
      </c>
      <c r="G941" s="18" t="s">
        <v>56</v>
      </c>
      <c r="H941" s="17">
        <v>666536</v>
      </c>
      <c r="I941" s="18" t="s">
        <v>43</v>
      </c>
      <c r="J941" s="20">
        <v>3</v>
      </c>
    </row>
    <row r="942" spans="1:10" ht="15" customHeight="1" x14ac:dyDescent="0.75">
      <c r="A942" s="18" t="s">
        <v>84</v>
      </c>
      <c r="B942" s="19">
        <v>46160</v>
      </c>
      <c r="C942" s="17">
        <v>21</v>
      </c>
      <c r="D942" s="18" t="s">
        <v>62</v>
      </c>
      <c r="E942" s="19">
        <v>46163</v>
      </c>
      <c r="F942" s="18" t="s">
        <v>57</v>
      </c>
      <c r="G942" s="18" t="s">
        <v>58</v>
      </c>
      <c r="H942" s="17">
        <v>666502</v>
      </c>
      <c r="I942" s="18" t="s">
        <v>7</v>
      </c>
      <c r="J942" s="20">
        <v>26</v>
      </c>
    </row>
    <row r="943" spans="1:10" ht="15" customHeight="1" x14ac:dyDescent="0.75">
      <c r="A943" s="18" t="s">
        <v>84</v>
      </c>
      <c r="B943" s="19">
        <v>46160</v>
      </c>
      <c r="C943" s="17">
        <v>21</v>
      </c>
      <c r="D943" s="18" t="s">
        <v>62</v>
      </c>
      <c r="E943" s="19">
        <v>46163</v>
      </c>
      <c r="F943" s="18" t="s">
        <v>57</v>
      </c>
      <c r="G943" s="18" t="s">
        <v>58</v>
      </c>
      <c r="H943" s="17">
        <v>666506</v>
      </c>
      <c r="I943" s="18" t="s">
        <v>11</v>
      </c>
      <c r="J943" s="20">
        <v>41</v>
      </c>
    </row>
    <row r="944" spans="1:10" ht="15" customHeight="1" x14ac:dyDescent="0.75">
      <c r="A944" s="18" t="s">
        <v>84</v>
      </c>
      <c r="B944" s="19">
        <v>46160</v>
      </c>
      <c r="C944" s="17">
        <v>21</v>
      </c>
      <c r="D944" s="18" t="s">
        <v>62</v>
      </c>
      <c r="E944" s="19">
        <v>46163</v>
      </c>
      <c r="F944" s="18" t="s">
        <v>57</v>
      </c>
      <c r="G944" s="18" t="s">
        <v>58</v>
      </c>
      <c r="H944" s="17">
        <v>666541</v>
      </c>
      <c r="I944" s="18" t="s">
        <v>41</v>
      </c>
      <c r="J944" s="20">
        <v>27</v>
      </c>
    </row>
    <row r="945" spans="1:10" ht="15" customHeight="1" x14ac:dyDescent="0.75">
      <c r="A945" s="18" t="s">
        <v>84</v>
      </c>
      <c r="B945" s="19">
        <v>46160</v>
      </c>
      <c r="C945" s="17">
        <v>21</v>
      </c>
      <c r="D945" s="18" t="s">
        <v>62</v>
      </c>
      <c r="E945" s="19">
        <v>46163</v>
      </c>
      <c r="F945" s="18" t="s">
        <v>55</v>
      </c>
      <c r="G945" s="18" t="s">
        <v>66</v>
      </c>
      <c r="H945" s="17">
        <v>666502</v>
      </c>
      <c r="I945" s="18" t="s">
        <v>7</v>
      </c>
      <c r="J945" s="20">
        <v>29</v>
      </c>
    </row>
    <row r="946" spans="1:10" ht="15" customHeight="1" x14ac:dyDescent="0.75">
      <c r="A946" s="18" t="s">
        <v>84</v>
      </c>
      <c r="B946" s="19">
        <v>46160</v>
      </c>
      <c r="C946" s="17">
        <v>21</v>
      </c>
      <c r="D946" s="18" t="s">
        <v>62</v>
      </c>
      <c r="E946" s="19">
        <v>46163</v>
      </c>
      <c r="F946" s="18" t="s">
        <v>55</v>
      </c>
      <c r="G946" s="18" t="s">
        <v>66</v>
      </c>
      <c r="H946" s="17">
        <v>666522</v>
      </c>
      <c r="I946" s="18" t="s">
        <v>33</v>
      </c>
      <c r="J946" s="20">
        <v>40</v>
      </c>
    </row>
    <row r="947" spans="1:10" ht="15" customHeight="1" x14ac:dyDescent="0.75">
      <c r="A947" s="18" t="s">
        <v>84</v>
      </c>
      <c r="B947" s="19">
        <v>46160</v>
      </c>
      <c r="C947" s="17">
        <v>21</v>
      </c>
      <c r="D947" s="18" t="s">
        <v>63</v>
      </c>
      <c r="E947" s="19">
        <v>46164</v>
      </c>
      <c r="F947" s="18" t="s">
        <v>65</v>
      </c>
      <c r="G947" s="18" t="s">
        <v>56</v>
      </c>
      <c r="H947" s="17">
        <v>666521</v>
      </c>
      <c r="I947" s="18" t="s">
        <v>31</v>
      </c>
      <c r="J947" s="20">
        <v>8</v>
      </c>
    </row>
    <row r="948" spans="1:10" ht="15" customHeight="1" x14ac:dyDescent="0.75">
      <c r="A948" s="18" t="s">
        <v>84</v>
      </c>
      <c r="B948" s="19">
        <v>46160</v>
      </c>
      <c r="C948" s="17">
        <v>21</v>
      </c>
      <c r="D948" s="18" t="s">
        <v>63</v>
      </c>
      <c r="E948" s="19">
        <v>46164</v>
      </c>
      <c r="F948" s="18" t="s">
        <v>65</v>
      </c>
      <c r="G948" s="18" t="s">
        <v>56</v>
      </c>
      <c r="H948" s="17">
        <v>666522</v>
      </c>
      <c r="I948" s="18" t="s">
        <v>33</v>
      </c>
      <c r="J948" s="20">
        <v>25</v>
      </c>
    </row>
    <row r="949" spans="1:10" ht="15" customHeight="1" x14ac:dyDescent="0.75">
      <c r="A949" s="18" t="s">
        <v>84</v>
      </c>
      <c r="B949" s="19">
        <v>46160</v>
      </c>
      <c r="C949" s="17">
        <v>21</v>
      </c>
      <c r="D949" s="18" t="s">
        <v>63</v>
      </c>
      <c r="E949" s="19">
        <v>46164</v>
      </c>
      <c r="F949" s="18" t="s">
        <v>65</v>
      </c>
      <c r="G949" s="18" t="s">
        <v>56</v>
      </c>
      <c r="H949" s="17">
        <v>666536</v>
      </c>
      <c r="I949" s="18" t="s">
        <v>43</v>
      </c>
      <c r="J949" s="20">
        <v>5</v>
      </c>
    </row>
    <row r="950" spans="1:10" ht="15" customHeight="1" x14ac:dyDescent="0.75">
      <c r="A950" s="18" t="s">
        <v>84</v>
      </c>
      <c r="B950" s="19">
        <v>46160</v>
      </c>
      <c r="C950" s="17">
        <v>21</v>
      </c>
      <c r="D950" s="18" t="s">
        <v>63</v>
      </c>
      <c r="E950" s="19">
        <v>46164</v>
      </c>
      <c r="F950" s="18" t="s">
        <v>57</v>
      </c>
      <c r="G950" s="18" t="s">
        <v>58</v>
      </c>
      <c r="H950" s="17">
        <v>666501</v>
      </c>
      <c r="I950" s="18" t="s">
        <v>5</v>
      </c>
      <c r="J950" s="20">
        <v>84</v>
      </c>
    </row>
    <row r="951" spans="1:10" ht="15" customHeight="1" x14ac:dyDescent="0.75">
      <c r="A951" s="18" t="s">
        <v>84</v>
      </c>
      <c r="B951" s="19">
        <v>46160</v>
      </c>
      <c r="C951" s="17">
        <v>21</v>
      </c>
      <c r="D951" s="18" t="s">
        <v>63</v>
      </c>
      <c r="E951" s="19">
        <v>46164</v>
      </c>
      <c r="F951" s="18" t="s">
        <v>57</v>
      </c>
      <c r="G951" s="18" t="s">
        <v>58</v>
      </c>
      <c r="H951" s="17">
        <v>666502</v>
      </c>
      <c r="I951" s="18" t="s">
        <v>7</v>
      </c>
      <c r="J951" s="20">
        <v>37</v>
      </c>
    </row>
    <row r="952" spans="1:10" ht="15" customHeight="1" x14ac:dyDescent="0.75">
      <c r="A952" s="18" t="s">
        <v>84</v>
      </c>
      <c r="B952" s="19">
        <v>46160</v>
      </c>
      <c r="C952" s="17">
        <v>21</v>
      </c>
      <c r="D952" s="18" t="s">
        <v>63</v>
      </c>
      <c r="E952" s="19">
        <v>46164</v>
      </c>
      <c r="F952" s="18" t="s">
        <v>57</v>
      </c>
      <c r="G952" s="18" t="s">
        <v>58</v>
      </c>
      <c r="H952" s="17">
        <v>666506</v>
      </c>
      <c r="I952" s="18" t="s">
        <v>11</v>
      </c>
      <c r="J952" s="20">
        <v>41</v>
      </c>
    </row>
    <row r="953" spans="1:10" ht="15" customHeight="1" x14ac:dyDescent="0.75">
      <c r="A953" s="18" t="s">
        <v>84</v>
      </c>
      <c r="B953" s="19">
        <v>46160</v>
      </c>
      <c r="C953" s="17">
        <v>21</v>
      </c>
      <c r="D953" s="18" t="s">
        <v>63</v>
      </c>
      <c r="E953" s="19">
        <v>46164</v>
      </c>
      <c r="F953" s="18" t="s">
        <v>57</v>
      </c>
      <c r="G953" s="18" t="s">
        <v>58</v>
      </c>
      <c r="H953" s="17">
        <v>666541</v>
      </c>
      <c r="I953" s="18" t="s">
        <v>41</v>
      </c>
      <c r="J953" s="20">
        <v>42</v>
      </c>
    </row>
    <row r="954" spans="1:10" ht="15" customHeight="1" x14ac:dyDescent="0.75">
      <c r="A954" s="18" t="s">
        <v>85</v>
      </c>
      <c r="B954" s="19">
        <v>46167</v>
      </c>
      <c r="C954" s="17">
        <v>22</v>
      </c>
      <c r="D954" s="18" t="s">
        <v>63</v>
      </c>
      <c r="E954" s="19">
        <v>46171</v>
      </c>
      <c r="F954" s="18" t="s">
        <v>65</v>
      </c>
      <c r="G954" s="18" t="s">
        <v>56</v>
      </c>
      <c r="H954" s="17">
        <v>666507</v>
      </c>
      <c r="I954" s="18" t="s">
        <v>13</v>
      </c>
      <c r="J954" s="20">
        <v>16</v>
      </c>
    </row>
    <row r="955" spans="1:10" ht="15" customHeight="1" x14ac:dyDescent="0.75">
      <c r="A955" s="18" t="s">
        <v>85</v>
      </c>
      <c r="B955" s="19">
        <v>46167</v>
      </c>
      <c r="C955" s="17">
        <v>22</v>
      </c>
      <c r="D955" s="18" t="s">
        <v>63</v>
      </c>
      <c r="E955" s="19">
        <v>46171</v>
      </c>
      <c r="F955" s="18" t="s">
        <v>65</v>
      </c>
      <c r="G955" s="18" t="s">
        <v>56</v>
      </c>
      <c r="H955" s="17">
        <v>666511</v>
      </c>
      <c r="I955" s="18" t="s">
        <v>19</v>
      </c>
      <c r="J955" s="20">
        <v>4</v>
      </c>
    </row>
    <row r="956" spans="1:10" ht="15" customHeight="1" x14ac:dyDescent="0.75">
      <c r="A956" s="18" t="s">
        <v>85</v>
      </c>
      <c r="B956" s="19">
        <v>46167</v>
      </c>
      <c r="C956" s="17">
        <v>22</v>
      </c>
      <c r="D956" s="18" t="s">
        <v>63</v>
      </c>
      <c r="E956" s="19">
        <v>46171</v>
      </c>
      <c r="F956" s="18" t="s">
        <v>65</v>
      </c>
      <c r="G956" s="18" t="s">
        <v>56</v>
      </c>
      <c r="H956" s="17">
        <v>666521</v>
      </c>
      <c r="I956" s="18" t="s">
        <v>31</v>
      </c>
      <c r="J956" s="20">
        <v>15</v>
      </c>
    </row>
    <row r="957" spans="1:10" ht="15" customHeight="1" x14ac:dyDescent="0.75">
      <c r="A957" s="18" t="s">
        <v>85</v>
      </c>
      <c r="B957" s="19">
        <v>46167</v>
      </c>
      <c r="C957" s="17">
        <v>22</v>
      </c>
      <c r="D957" s="18" t="s">
        <v>63</v>
      </c>
      <c r="E957" s="19">
        <v>46171</v>
      </c>
      <c r="F957" s="18" t="s">
        <v>65</v>
      </c>
      <c r="G957" s="18" t="s">
        <v>56</v>
      </c>
      <c r="H957" s="17">
        <v>666522</v>
      </c>
      <c r="I957" s="18" t="s">
        <v>33</v>
      </c>
      <c r="J957" s="20">
        <v>75</v>
      </c>
    </row>
    <row r="958" spans="1:10" ht="15" customHeight="1" x14ac:dyDescent="0.75">
      <c r="A958" s="18" t="s">
        <v>85</v>
      </c>
      <c r="B958" s="19">
        <v>46167</v>
      </c>
      <c r="C958" s="17">
        <v>22</v>
      </c>
      <c r="D958" s="18" t="s">
        <v>63</v>
      </c>
      <c r="E958" s="19">
        <v>46171</v>
      </c>
      <c r="F958" s="18" t="s">
        <v>65</v>
      </c>
      <c r="G958" s="18" t="s">
        <v>56</v>
      </c>
      <c r="H958" s="17">
        <v>666531</v>
      </c>
      <c r="I958" s="18" t="s">
        <v>39</v>
      </c>
      <c r="J958" s="20">
        <v>7</v>
      </c>
    </row>
    <row r="959" spans="1:10" ht="15" customHeight="1" x14ac:dyDescent="0.75">
      <c r="A959" s="18" t="s">
        <v>85</v>
      </c>
      <c r="B959" s="19">
        <v>46167</v>
      </c>
      <c r="C959" s="17">
        <v>22</v>
      </c>
      <c r="D959" s="18" t="s">
        <v>63</v>
      </c>
      <c r="E959" s="19">
        <v>46171</v>
      </c>
      <c r="F959" s="18" t="s">
        <v>65</v>
      </c>
      <c r="G959" s="18" t="s">
        <v>56</v>
      </c>
      <c r="H959" s="17">
        <v>666536</v>
      </c>
      <c r="I959" s="18" t="s">
        <v>43</v>
      </c>
      <c r="J959" s="20">
        <v>7</v>
      </c>
    </row>
    <row r="960" spans="1:10" ht="15" customHeight="1" x14ac:dyDescent="0.75">
      <c r="A960" s="18" t="s">
        <v>85</v>
      </c>
      <c r="B960" s="19">
        <v>46167</v>
      </c>
      <c r="C960" s="17">
        <v>22</v>
      </c>
      <c r="D960" s="18" t="s">
        <v>63</v>
      </c>
      <c r="E960" s="19">
        <v>46171</v>
      </c>
      <c r="F960" s="18" t="s">
        <v>57</v>
      </c>
      <c r="G960" s="18" t="s">
        <v>58</v>
      </c>
      <c r="H960" s="17">
        <v>666501</v>
      </c>
      <c r="I960" s="18" t="s">
        <v>5</v>
      </c>
      <c r="J960" s="20">
        <v>141</v>
      </c>
    </row>
    <row r="961" spans="1:10" ht="15" customHeight="1" x14ac:dyDescent="0.75">
      <c r="A961" s="18" t="s">
        <v>85</v>
      </c>
      <c r="B961" s="19">
        <v>46167</v>
      </c>
      <c r="C961" s="17">
        <v>22</v>
      </c>
      <c r="D961" s="18" t="s">
        <v>63</v>
      </c>
      <c r="E961" s="19">
        <v>46171</v>
      </c>
      <c r="F961" s="18" t="s">
        <v>57</v>
      </c>
      <c r="G961" s="18" t="s">
        <v>58</v>
      </c>
      <c r="H961" s="17">
        <v>666502</v>
      </c>
      <c r="I961" s="18" t="s">
        <v>7</v>
      </c>
      <c r="J961" s="20">
        <v>115</v>
      </c>
    </row>
    <row r="962" spans="1:10" ht="15" customHeight="1" x14ac:dyDescent="0.75">
      <c r="A962" s="18" t="s">
        <v>85</v>
      </c>
      <c r="B962" s="19">
        <v>46167</v>
      </c>
      <c r="C962" s="17">
        <v>22</v>
      </c>
      <c r="D962" s="18" t="s">
        <v>63</v>
      </c>
      <c r="E962" s="19">
        <v>46171</v>
      </c>
      <c r="F962" s="18" t="s">
        <v>57</v>
      </c>
      <c r="G962" s="18" t="s">
        <v>58</v>
      </c>
      <c r="H962" s="17">
        <v>666522</v>
      </c>
      <c r="I962" s="18" t="s">
        <v>33</v>
      </c>
      <c r="J962" s="20">
        <v>50</v>
      </c>
    </row>
    <row r="963" spans="1:10" ht="15" customHeight="1" x14ac:dyDescent="0.75">
      <c r="A963" s="18" t="s">
        <v>85</v>
      </c>
      <c r="B963" s="19">
        <v>46167</v>
      </c>
      <c r="C963" s="17">
        <v>22</v>
      </c>
      <c r="D963" s="18" t="s">
        <v>63</v>
      </c>
      <c r="E963" s="19">
        <v>46171</v>
      </c>
      <c r="F963" s="18" t="s">
        <v>57</v>
      </c>
      <c r="G963" s="18" t="s">
        <v>58</v>
      </c>
      <c r="H963" s="17">
        <v>666541</v>
      </c>
      <c r="I963" s="18" t="s">
        <v>41</v>
      </c>
      <c r="J963" s="20">
        <v>191</v>
      </c>
    </row>
    <row r="964" spans="1:10" ht="15" customHeight="1" x14ac:dyDescent="0.75">
      <c r="A964" s="18" t="s">
        <v>85</v>
      </c>
      <c r="B964" s="19">
        <v>46167</v>
      </c>
      <c r="C964" s="17">
        <v>22</v>
      </c>
      <c r="D964" s="18" t="s">
        <v>63</v>
      </c>
      <c r="E964" s="19">
        <v>46171</v>
      </c>
      <c r="F964" s="18" t="s">
        <v>55</v>
      </c>
      <c r="G964" s="18" t="s">
        <v>66</v>
      </c>
      <c r="H964" s="17">
        <v>666502</v>
      </c>
      <c r="I964" s="18" t="s">
        <v>7</v>
      </c>
      <c r="J964" s="20">
        <v>63</v>
      </c>
    </row>
    <row r="965" spans="1:10" ht="15" customHeight="1" x14ac:dyDescent="0.75">
      <c r="A965" s="18" t="s">
        <v>85</v>
      </c>
      <c r="B965" s="19">
        <v>46167</v>
      </c>
      <c r="C965" s="17">
        <v>22</v>
      </c>
      <c r="D965" s="18" t="s">
        <v>63</v>
      </c>
      <c r="E965" s="19">
        <v>46171</v>
      </c>
      <c r="F965" s="18" t="s">
        <v>55</v>
      </c>
      <c r="G965" s="18" t="s">
        <v>66</v>
      </c>
      <c r="H965" s="17">
        <v>666522</v>
      </c>
      <c r="I965" s="18" t="s">
        <v>33</v>
      </c>
      <c r="J965" s="20">
        <v>20</v>
      </c>
    </row>
    <row r="966" spans="1:10" ht="15" customHeight="1" x14ac:dyDescent="0.75">
      <c r="A966" s="18" t="s">
        <v>85</v>
      </c>
      <c r="B966" s="19">
        <v>46167</v>
      </c>
      <c r="C966" s="17">
        <v>22</v>
      </c>
      <c r="D966" s="18" t="s">
        <v>63</v>
      </c>
      <c r="E966" s="19">
        <v>46171</v>
      </c>
      <c r="F966" s="18" t="s">
        <v>55</v>
      </c>
      <c r="G966" s="18" t="s">
        <v>66</v>
      </c>
      <c r="H966" s="17">
        <v>666531</v>
      </c>
      <c r="I966" s="18" t="s">
        <v>39</v>
      </c>
      <c r="J966" s="20">
        <v>6</v>
      </c>
    </row>
    <row r="967" spans="1:10" ht="15" customHeight="1" x14ac:dyDescent="0.75">
      <c r="A967" s="18" t="s">
        <v>86</v>
      </c>
      <c r="B967" s="19">
        <v>46174</v>
      </c>
      <c r="C967" s="17">
        <v>23</v>
      </c>
      <c r="D967" s="18" t="s">
        <v>54</v>
      </c>
      <c r="E967" s="19">
        <v>46174</v>
      </c>
      <c r="F967" s="18" t="s">
        <v>65</v>
      </c>
      <c r="G967" s="18" t="s">
        <v>56</v>
      </c>
      <c r="H967" s="17">
        <v>666501</v>
      </c>
      <c r="I967" s="18" t="s">
        <v>5</v>
      </c>
      <c r="J967" s="20">
        <v>39</v>
      </c>
    </row>
    <row r="968" spans="1:10" ht="15" customHeight="1" x14ac:dyDescent="0.75">
      <c r="A968" s="18" t="s">
        <v>86</v>
      </c>
      <c r="B968" s="19">
        <v>46174</v>
      </c>
      <c r="C968" s="17">
        <v>23</v>
      </c>
      <c r="D968" s="18" t="s">
        <v>54</v>
      </c>
      <c r="E968" s="19">
        <v>46174</v>
      </c>
      <c r="F968" s="18" t="s">
        <v>65</v>
      </c>
      <c r="G968" s="18" t="s">
        <v>56</v>
      </c>
      <c r="H968" s="17">
        <v>666505</v>
      </c>
      <c r="I968" s="18" t="s">
        <v>9</v>
      </c>
      <c r="J968" s="20">
        <v>13</v>
      </c>
    </row>
    <row r="969" spans="1:10" ht="15" customHeight="1" x14ac:dyDescent="0.75">
      <c r="A969" s="18" t="s">
        <v>86</v>
      </c>
      <c r="B969" s="19">
        <v>46174</v>
      </c>
      <c r="C969" s="17">
        <v>23</v>
      </c>
      <c r="D969" s="18" t="s">
        <v>54</v>
      </c>
      <c r="E969" s="19">
        <v>46174</v>
      </c>
      <c r="F969" s="18" t="s">
        <v>65</v>
      </c>
      <c r="G969" s="18" t="s">
        <v>56</v>
      </c>
      <c r="H969" s="17">
        <v>666509</v>
      </c>
      <c r="I969" s="18" t="s">
        <v>15</v>
      </c>
      <c r="J969" s="20">
        <v>15</v>
      </c>
    </row>
    <row r="970" spans="1:10" ht="15" customHeight="1" x14ac:dyDescent="0.75">
      <c r="A970" s="18" t="s">
        <v>86</v>
      </c>
      <c r="B970" s="19">
        <v>46174</v>
      </c>
      <c r="C970" s="17">
        <v>23</v>
      </c>
      <c r="D970" s="18" t="s">
        <v>54</v>
      </c>
      <c r="E970" s="19">
        <v>46174</v>
      </c>
      <c r="F970" s="18" t="s">
        <v>65</v>
      </c>
      <c r="G970" s="18" t="s">
        <v>56</v>
      </c>
      <c r="H970" s="17">
        <v>666513</v>
      </c>
      <c r="I970" s="18" t="s">
        <v>21</v>
      </c>
      <c r="J970" s="20">
        <v>14</v>
      </c>
    </row>
    <row r="971" spans="1:10" ht="15" customHeight="1" x14ac:dyDescent="0.75">
      <c r="A971" s="18" t="s">
        <v>86</v>
      </c>
      <c r="B971" s="19">
        <v>46174</v>
      </c>
      <c r="C971" s="17">
        <v>23</v>
      </c>
      <c r="D971" s="18" t="s">
        <v>54</v>
      </c>
      <c r="E971" s="19">
        <v>46174</v>
      </c>
      <c r="F971" s="18" t="s">
        <v>65</v>
      </c>
      <c r="G971" s="18" t="s">
        <v>56</v>
      </c>
      <c r="H971" s="17">
        <v>666516</v>
      </c>
      <c r="I971" s="18" t="s">
        <v>23</v>
      </c>
      <c r="J971" s="20">
        <v>16</v>
      </c>
    </row>
    <row r="972" spans="1:10" ht="15" customHeight="1" x14ac:dyDescent="0.75">
      <c r="A972" s="18" t="s">
        <v>86</v>
      </c>
      <c r="B972" s="19">
        <v>46174</v>
      </c>
      <c r="C972" s="17">
        <v>23</v>
      </c>
      <c r="D972" s="18" t="s">
        <v>54</v>
      </c>
      <c r="E972" s="19">
        <v>46174</v>
      </c>
      <c r="F972" s="18" t="s">
        <v>65</v>
      </c>
      <c r="G972" s="18" t="s">
        <v>56</v>
      </c>
      <c r="H972" s="17">
        <v>666517</v>
      </c>
      <c r="I972" s="18" t="s">
        <v>25</v>
      </c>
      <c r="J972" s="20">
        <v>22</v>
      </c>
    </row>
    <row r="973" spans="1:10" ht="15" customHeight="1" x14ac:dyDescent="0.75">
      <c r="A973" s="18" t="s">
        <v>86</v>
      </c>
      <c r="B973" s="19">
        <v>46174</v>
      </c>
      <c r="C973" s="17">
        <v>23</v>
      </c>
      <c r="D973" s="18" t="s">
        <v>54</v>
      </c>
      <c r="E973" s="19">
        <v>46174</v>
      </c>
      <c r="F973" s="18" t="s">
        <v>65</v>
      </c>
      <c r="G973" s="18" t="s">
        <v>56</v>
      </c>
      <c r="H973" s="17">
        <v>666519</v>
      </c>
      <c r="I973" s="18" t="s">
        <v>29</v>
      </c>
      <c r="J973" s="20">
        <v>22</v>
      </c>
    </row>
    <row r="974" spans="1:10" ht="15" customHeight="1" x14ac:dyDescent="0.75">
      <c r="A974" s="18" t="s">
        <v>86</v>
      </c>
      <c r="B974" s="19">
        <v>46174</v>
      </c>
      <c r="C974" s="17">
        <v>23</v>
      </c>
      <c r="D974" s="18" t="s">
        <v>54</v>
      </c>
      <c r="E974" s="19">
        <v>46174</v>
      </c>
      <c r="F974" s="18" t="s">
        <v>65</v>
      </c>
      <c r="G974" s="18" t="s">
        <v>56</v>
      </c>
      <c r="H974" s="17">
        <v>666521</v>
      </c>
      <c r="I974" s="18" t="s">
        <v>31</v>
      </c>
      <c r="J974" s="20">
        <v>27</v>
      </c>
    </row>
    <row r="975" spans="1:10" ht="15" customHeight="1" x14ac:dyDescent="0.75">
      <c r="A975" s="18" t="s">
        <v>86</v>
      </c>
      <c r="B975" s="19">
        <v>46174</v>
      </c>
      <c r="C975" s="17">
        <v>23</v>
      </c>
      <c r="D975" s="18" t="s">
        <v>54</v>
      </c>
      <c r="E975" s="19">
        <v>46174</v>
      </c>
      <c r="F975" s="18" t="s">
        <v>65</v>
      </c>
      <c r="G975" s="18" t="s">
        <v>56</v>
      </c>
      <c r="H975" s="17">
        <v>666522</v>
      </c>
      <c r="I975" s="18" t="s">
        <v>33</v>
      </c>
      <c r="J975" s="20">
        <v>50</v>
      </c>
    </row>
    <row r="976" spans="1:10" ht="15" customHeight="1" x14ac:dyDescent="0.75">
      <c r="A976" s="18" t="s">
        <v>86</v>
      </c>
      <c r="B976" s="19">
        <v>46174</v>
      </c>
      <c r="C976" s="17">
        <v>23</v>
      </c>
      <c r="D976" s="18" t="s">
        <v>54</v>
      </c>
      <c r="E976" s="19">
        <v>46174</v>
      </c>
      <c r="F976" s="18" t="s">
        <v>65</v>
      </c>
      <c r="G976" s="18" t="s">
        <v>56</v>
      </c>
      <c r="H976" s="17">
        <v>666531</v>
      </c>
      <c r="I976" s="18" t="s">
        <v>39</v>
      </c>
      <c r="J976" s="20">
        <v>13</v>
      </c>
    </row>
    <row r="977" spans="1:10" ht="15" customHeight="1" x14ac:dyDescent="0.75">
      <c r="A977" s="18" t="s">
        <v>86</v>
      </c>
      <c r="B977" s="19">
        <v>46174</v>
      </c>
      <c r="C977" s="17">
        <v>23</v>
      </c>
      <c r="D977" s="18" t="s">
        <v>54</v>
      </c>
      <c r="E977" s="19">
        <v>46174</v>
      </c>
      <c r="F977" s="18" t="s">
        <v>65</v>
      </c>
      <c r="G977" s="18" t="s">
        <v>56</v>
      </c>
      <c r="H977" s="17">
        <v>666536</v>
      </c>
      <c r="I977" s="18" t="s">
        <v>43</v>
      </c>
      <c r="J977" s="20">
        <v>3</v>
      </c>
    </row>
    <row r="978" spans="1:10" ht="15" customHeight="1" x14ac:dyDescent="0.75">
      <c r="A978" s="18" t="s">
        <v>86</v>
      </c>
      <c r="B978" s="19">
        <v>46174</v>
      </c>
      <c r="C978" s="17">
        <v>23</v>
      </c>
      <c r="D978" s="18" t="s">
        <v>54</v>
      </c>
      <c r="E978" s="19">
        <v>46174</v>
      </c>
      <c r="F978" s="18" t="s">
        <v>57</v>
      </c>
      <c r="G978" s="18" t="s">
        <v>58</v>
      </c>
      <c r="H978" s="17">
        <v>666501</v>
      </c>
      <c r="I978" s="18" t="s">
        <v>5</v>
      </c>
      <c r="J978" s="20">
        <v>90</v>
      </c>
    </row>
    <row r="979" spans="1:10" ht="15" customHeight="1" x14ac:dyDescent="0.75">
      <c r="A979" s="18" t="s">
        <v>86</v>
      </c>
      <c r="B979" s="19">
        <v>46174</v>
      </c>
      <c r="C979" s="17">
        <v>23</v>
      </c>
      <c r="D979" s="18" t="s">
        <v>54</v>
      </c>
      <c r="E979" s="19">
        <v>46174</v>
      </c>
      <c r="F979" s="18" t="s">
        <v>57</v>
      </c>
      <c r="G979" s="18" t="s">
        <v>58</v>
      </c>
      <c r="H979" s="17">
        <v>666502</v>
      </c>
      <c r="I979" s="18" t="s">
        <v>7</v>
      </c>
      <c r="J979" s="20">
        <v>33</v>
      </c>
    </row>
    <row r="980" spans="1:10" ht="15" customHeight="1" x14ac:dyDescent="0.75">
      <c r="A980" s="18" t="s">
        <v>86</v>
      </c>
      <c r="B980" s="19">
        <v>46174</v>
      </c>
      <c r="C980" s="17">
        <v>23</v>
      </c>
      <c r="D980" s="18" t="s">
        <v>54</v>
      </c>
      <c r="E980" s="19">
        <v>46174</v>
      </c>
      <c r="F980" s="18" t="s">
        <v>57</v>
      </c>
      <c r="G980" s="18" t="s">
        <v>58</v>
      </c>
      <c r="H980" s="17">
        <v>666506</v>
      </c>
      <c r="I980" s="18" t="s">
        <v>11</v>
      </c>
      <c r="J980" s="20">
        <v>35</v>
      </c>
    </row>
    <row r="981" spans="1:10" ht="15" customHeight="1" x14ac:dyDescent="0.75">
      <c r="A981" s="18" t="s">
        <v>86</v>
      </c>
      <c r="B981" s="19">
        <v>46174</v>
      </c>
      <c r="C981" s="17">
        <v>23</v>
      </c>
      <c r="D981" s="18" t="s">
        <v>54</v>
      </c>
      <c r="E981" s="19">
        <v>46174</v>
      </c>
      <c r="F981" s="18" t="s">
        <v>57</v>
      </c>
      <c r="G981" s="18" t="s">
        <v>58</v>
      </c>
      <c r="H981" s="17">
        <v>666541</v>
      </c>
      <c r="I981" s="18" t="s">
        <v>41</v>
      </c>
      <c r="J981" s="20">
        <v>9</v>
      </c>
    </row>
    <row r="982" spans="1:10" ht="15" customHeight="1" x14ac:dyDescent="0.75">
      <c r="A982" s="18" t="s">
        <v>86</v>
      </c>
      <c r="B982" s="19">
        <v>46174</v>
      </c>
      <c r="C982" s="17">
        <v>23</v>
      </c>
      <c r="D982" s="18" t="s">
        <v>54</v>
      </c>
      <c r="E982" s="19">
        <v>46174</v>
      </c>
      <c r="F982" s="18" t="s">
        <v>55</v>
      </c>
      <c r="G982" s="18" t="s">
        <v>66</v>
      </c>
      <c r="H982" s="17">
        <v>666501</v>
      </c>
      <c r="I982" s="18" t="s">
        <v>5</v>
      </c>
      <c r="J982" s="20">
        <v>21</v>
      </c>
    </row>
    <row r="983" spans="1:10" ht="15" customHeight="1" x14ac:dyDescent="0.75">
      <c r="A983" s="18" t="s">
        <v>86</v>
      </c>
      <c r="B983" s="19">
        <v>46174</v>
      </c>
      <c r="C983" s="17">
        <v>23</v>
      </c>
      <c r="D983" s="18" t="s">
        <v>54</v>
      </c>
      <c r="E983" s="19">
        <v>46174</v>
      </c>
      <c r="F983" s="18" t="s">
        <v>55</v>
      </c>
      <c r="G983" s="18" t="s">
        <v>66</v>
      </c>
      <c r="H983" s="17">
        <v>666505</v>
      </c>
      <c r="I983" s="18" t="s">
        <v>9</v>
      </c>
      <c r="J983" s="20">
        <v>14</v>
      </c>
    </row>
    <row r="984" spans="1:10" ht="15" customHeight="1" x14ac:dyDescent="0.75">
      <c r="A984" s="18" t="s">
        <v>86</v>
      </c>
      <c r="B984" s="19">
        <v>46174</v>
      </c>
      <c r="C984" s="17">
        <v>23</v>
      </c>
      <c r="D984" s="18" t="s">
        <v>54</v>
      </c>
      <c r="E984" s="19">
        <v>46174</v>
      </c>
      <c r="F984" s="18" t="s">
        <v>55</v>
      </c>
      <c r="G984" s="18" t="s">
        <v>66</v>
      </c>
      <c r="H984" s="17">
        <v>666513</v>
      </c>
      <c r="I984" s="18" t="s">
        <v>21</v>
      </c>
      <c r="J984" s="20">
        <v>17</v>
      </c>
    </row>
    <row r="985" spans="1:10" ht="15" customHeight="1" x14ac:dyDescent="0.75">
      <c r="A985" s="18" t="s">
        <v>86</v>
      </c>
      <c r="B985" s="19">
        <v>46174</v>
      </c>
      <c r="C985" s="17">
        <v>23</v>
      </c>
      <c r="D985" s="18" t="s">
        <v>54</v>
      </c>
      <c r="E985" s="19">
        <v>46174</v>
      </c>
      <c r="F985" s="18" t="s">
        <v>55</v>
      </c>
      <c r="G985" s="18" t="s">
        <v>66</v>
      </c>
      <c r="H985" s="17">
        <v>666516</v>
      </c>
      <c r="I985" s="18" t="s">
        <v>23</v>
      </c>
      <c r="J985" s="20">
        <v>8</v>
      </c>
    </row>
    <row r="986" spans="1:10" ht="15" customHeight="1" x14ac:dyDescent="0.75">
      <c r="A986" s="18" t="s">
        <v>86</v>
      </c>
      <c r="B986" s="19">
        <v>46174</v>
      </c>
      <c r="C986" s="17">
        <v>23</v>
      </c>
      <c r="D986" s="18" t="s">
        <v>54</v>
      </c>
      <c r="E986" s="19">
        <v>46174</v>
      </c>
      <c r="F986" s="18" t="s">
        <v>55</v>
      </c>
      <c r="G986" s="18" t="s">
        <v>66</v>
      </c>
      <c r="H986" s="17">
        <v>666517</v>
      </c>
      <c r="I986" s="18" t="s">
        <v>25</v>
      </c>
      <c r="J986" s="20">
        <v>5</v>
      </c>
    </row>
    <row r="987" spans="1:10" ht="15" customHeight="1" x14ac:dyDescent="0.75">
      <c r="A987" s="18" t="s">
        <v>86</v>
      </c>
      <c r="B987" s="19">
        <v>46174</v>
      </c>
      <c r="C987" s="17">
        <v>23</v>
      </c>
      <c r="D987" s="18" t="s">
        <v>54</v>
      </c>
      <c r="E987" s="19">
        <v>46174</v>
      </c>
      <c r="F987" s="18" t="s">
        <v>55</v>
      </c>
      <c r="G987" s="18" t="s">
        <v>66</v>
      </c>
      <c r="H987" s="17">
        <v>666519</v>
      </c>
      <c r="I987" s="18" t="s">
        <v>29</v>
      </c>
      <c r="J987" s="20">
        <v>11</v>
      </c>
    </row>
    <row r="988" spans="1:10" ht="15" customHeight="1" x14ac:dyDescent="0.75">
      <c r="A988" s="18" t="s">
        <v>86</v>
      </c>
      <c r="B988" s="19">
        <v>46174</v>
      </c>
      <c r="C988" s="17">
        <v>23</v>
      </c>
      <c r="D988" s="18" t="s">
        <v>54</v>
      </c>
      <c r="E988" s="19">
        <v>46174</v>
      </c>
      <c r="F988" s="18" t="s">
        <v>55</v>
      </c>
      <c r="G988" s="18" t="s">
        <v>66</v>
      </c>
      <c r="H988" s="17">
        <v>666522</v>
      </c>
      <c r="I988" s="18" t="s">
        <v>33</v>
      </c>
      <c r="J988" s="20">
        <v>35</v>
      </c>
    </row>
    <row r="989" spans="1:10" ht="15" customHeight="1" x14ac:dyDescent="0.75">
      <c r="A989" s="18" t="s">
        <v>86</v>
      </c>
      <c r="B989" s="19">
        <v>46174</v>
      </c>
      <c r="C989" s="17">
        <v>23</v>
      </c>
      <c r="D989" s="18" t="s">
        <v>54</v>
      </c>
      <c r="E989" s="19">
        <v>46174</v>
      </c>
      <c r="F989" s="18" t="s">
        <v>55</v>
      </c>
      <c r="G989" s="18" t="s">
        <v>66</v>
      </c>
      <c r="H989" s="17">
        <v>666523</v>
      </c>
      <c r="I989" s="18" t="s">
        <v>35</v>
      </c>
      <c r="J989" s="20">
        <v>14</v>
      </c>
    </row>
    <row r="990" spans="1:10" ht="15" customHeight="1" x14ac:dyDescent="0.75">
      <c r="A990" s="18" t="s">
        <v>86</v>
      </c>
      <c r="B990" s="19">
        <v>46174</v>
      </c>
      <c r="C990" s="17">
        <v>23</v>
      </c>
      <c r="D990" s="18" t="s">
        <v>54</v>
      </c>
      <c r="E990" s="19">
        <v>46174</v>
      </c>
      <c r="F990" s="18" t="s">
        <v>55</v>
      </c>
      <c r="G990" s="18" t="s">
        <v>66</v>
      </c>
      <c r="H990" s="17">
        <v>666530</v>
      </c>
      <c r="I990" s="18" t="s">
        <v>37</v>
      </c>
      <c r="J990" s="20">
        <v>9</v>
      </c>
    </row>
    <row r="991" spans="1:10" ht="15" customHeight="1" x14ac:dyDescent="0.75">
      <c r="A991" s="18" t="s">
        <v>86</v>
      </c>
      <c r="B991" s="19">
        <v>46174</v>
      </c>
      <c r="C991" s="17">
        <v>23</v>
      </c>
      <c r="D991" s="18" t="s">
        <v>54</v>
      </c>
      <c r="E991" s="19">
        <v>46174</v>
      </c>
      <c r="F991" s="18" t="s">
        <v>55</v>
      </c>
      <c r="G991" s="18" t="s">
        <v>66</v>
      </c>
      <c r="H991" s="17">
        <v>666531</v>
      </c>
      <c r="I991" s="18" t="s">
        <v>39</v>
      </c>
      <c r="J991" s="20">
        <v>4</v>
      </c>
    </row>
    <row r="992" spans="1:10" ht="15" customHeight="1" x14ac:dyDescent="0.75">
      <c r="A992" s="18" t="s">
        <v>86</v>
      </c>
      <c r="B992" s="19">
        <v>46174</v>
      </c>
      <c r="C992" s="17">
        <v>23</v>
      </c>
      <c r="D992" s="18" t="s">
        <v>59</v>
      </c>
      <c r="E992" s="19">
        <v>46175</v>
      </c>
      <c r="F992" s="18" t="s">
        <v>57</v>
      </c>
      <c r="G992" s="18" t="s">
        <v>58</v>
      </c>
      <c r="H992" s="17">
        <v>666506</v>
      </c>
      <c r="I992" s="18" t="s">
        <v>11</v>
      </c>
      <c r="J992" s="20">
        <v>29</v>
      </c>
    </row>
    <row r="993" spans="1:10" ht="15" customHeight="1" x14ac:dyDescent="0.75">
      <c r="A993" s="18" t="s">
        <v>86</v>
      </c>
      <c r="B993" s="19">
        <v>46174</v>
      </c>
      <c r="C993" s="17">
        <v>23</v>
      </c>
      <c r="D993" s="18" t="s">
        <v>59</v>
      </c>
      <c r="E993" s="19">
        <v>46175</v>
      </c>
      <c r="F993" s="18" t="s">
        <v>57</v>
      </c>
      <c r="G993" s="18" t="s">
        <v>58</v>
      </c>
      <c r="H993" s="17">
        <v>666541</v>
      </c>
      <c r="I993" s="18" t="s">
        <v>41</v>
      </c>
      <c r="J993" s="20">
        <v>51</v>
      </c>
    </row>
    <row r="994" spans="1:10" ht="15" customHeight="1" x14ac:dyDescent="0.75">
      <c r="A994" s="18" t="s">
        <v>86</v>
      </c>
      <c r="B994" s="19">
        <v>46174</v>
      </c>
      <c r="C994" s="17">
        <v>23</v>
      </c>
      <c r="D994" s="18" t="s">
        <v>59</v>
      </c>
      <c r="E994" s="19">
        <v>46175</v>
      </c>
      <c r="F994" s="18" t="s">
        <v>55</v>
      </c>
      <c r="G994" s="18" t="s">
        <v>66</v>
      </c>
      <c r="H994" s="17">
        <v>666501</v>
      </c>
      <c r="I994" s="18" t="s">
        <v>5</v>
      </c>
      <c r="J994" s="20">
        <v>18</v>
      </c>
    </row>
    <row r="995" spans="1:10" ht="15" customHeight="1" x14ac:dyDescent="0.75">
      <c r="A995" s="18" t="s">
        <v>86</v>
      </c>
      <c r="B995" s="19">
        <v>46174</v>
      </c>
      <c r="C995" s="17">
        <v>23</v>
      </c>
      <c r="D995" s="18" t="s">
        <v>59</v>
      </c>
      <c r="E995" s="19">
        <v>46175</v>
      </c>
      <c r="F995" s="18" t="s">
        <v>55</v>
      </c>
      <c r="G995" s="18" t="s">
        <v>66</v>
      </c>
      <c r="H995" s="17">
        <v>666505</v>
      </c>
      <c r="I995" s="18" t="s">
        <v>9</v>
      </c>
      <c r="J995" s="20">
        <v>13</v>
      </c>
    </row>
    <row r="996" spans="1:10" ht="15" customHeight="1" x14ac:dyDescent="0.75">
      <c r="A996" s="18" t="s">
        <v>86</v>
      </c>
      <c r="B996" s="19">
        <v>46174</v>
      </c>
      <c r="C996" s="17">
        <v>23</v>
      </c>
      <c r="D996" s="18" t="s">
        <v>59</v>
      </c>
      <c r="E996" s="19">
        <v>46175</v>
      </c>
      <c r="F996" s="18" t="s">
        <v>55</v>
      </c>
      <c r="G996" s="18" t="s">
        <v>66</v>
      </c>
      <c r="H996" s="17">
        <v>666513</v>
      </c>
      <c r="I996" s="18" t="s">
        <v>21</v>
      </c>
      <c r="J996" s="20">
        <v>17</v>
      </c>
    </row>
    <row r="997" spans="1:10" ht="15" customHeight="1" x14ac:dyDescent="0.75">
      <c r="A997" s="18" t="s">
        <v>86</v>
      </c>
      <c r="B997" s="19">
        <v>46174</v>
      </c>
      <c r="C997" s="17">
        <v>23</v>
      </c>
      <c r="D997" s="18" t="s">
        <v>59</v>
      </c>
      <c r="E997" s="19">
        <v>46175</v>
      </c>
      <c r="F997" s="18" t="s">
        <v>55</v>
      </c>
      <c r="G997" s="18" t="s">
        <v>66</v>
      </c>
      <c r="H997" s="17">
        <v>666516</v>
      </c>
      <c r="I997" s="18" t="s">
        <v>23</v>
      </c>
      <c r="J997" s="20">
        <v>8</v>
      </c>
    </row>
    <row r="998" spans="1:10" ht="15" customHeight="1" x14ac:dyDescent="0.75">
      <c r="A998" s="18" t="s">
        <v>86</v>
      </c>
      <c r="B998" s="19">
        <v>46174</v>
      </c>
      <c r="C998" s="17">
        <v>23</v>
      </c>
      <c r="D998" s="18" t="s">
        <v>59</v>
      </c>
      <c r="E998" s="19">
        <v>46175</v>
      </c>
      <c r="F998" s="18" t="s">
        <v>55</v>
      </c>
      <c r="G998" s="18" t="s">
        <v>66</v>
      </c>
      <c r="H998" s="17">
        <v>666517</v>
      </c>
      <c r="I998" s="18" t="s">
        <v>25</v>
      </c>
      <c r="J998" s="20">
        <v>5</v>
      </c>
    </row>
    <row r="999" spans="1:10" ht="15" customHeight="1" x14ac:dyDescent="0.75">
      <c r="A999" s="18" t="s">
        <v>86</v>
      </c>
      <c r="B999" s="19">
        <v>46174</v>
      </c>
      <c r="C999" s="17">
        <v>23</v>
      </c>
      <c r="D999" s="18" t="s">
        <v>59</v>
      </c>
      <c r="E999" s="19">
        <v>46175</v>
      </c>
      <c r="F999" s="18" t="s">
        <v>55</v>
      </c>
      <c r="G999" s="18" t="s">
        <v>66</v>
      </c>
      <c r="H999" s="17">
        <v>666519</v>
      </c>
      <c r="I999" s="18" t="s">
        <v>29</v>
      </c>
      <c r="J999" s="20">
        <v>11</v>
      </c>
    </row>
    <row r="1000" spans="1:10" ht="15" customHeight="1" x14ac:dyDescent="0.75">
      <c r="A1000" s="18" t="s">
        <v>86</v>
      </c>
      <c r="B1000" s="19">
        <v>46174</v>
      </c>
      <c r="C1000" s="17">
        <v>23</v>
      </c>
      <c r="D1000" s="18" t="s">
        <v>59</v>
      </c>
      <c r="E1000" s="19">
        <v>46175</v>
      </c>
      <c r="F1000" s="18" t="s">
        <v>55</v>
      </c>
      <c r="G1000" s="18" t="s">
        <v>66</v>
      </c>
      <c r="H1000" s="17">
        <v>666522</v>
      </c>
      <c r="I1000" s="18" t="s">
        <v>33</v>
      </c>
      <c r="J1000" s="20">
        <v>35</v>
      </c>
    </row>
    <row r="1001" spans="1:10" ht="15" customHeight="1" x14ac:dyDescent="0.75">
      <c r="A1001" s="18" t="s">
        <v>86</v>
      </c>
      <c r="B1001" s="19">
        <v>46174</v>
      </c>
      <c r="C1001" s="17">
        <v>23</v>
      </c>
      <c r="D1001" s="18" t="s">
        <v>59</v>
      </c>
      <c r="E1001" s="19">
        <v>46175</v>
      </c>
      <c r="F1001" s="18" t="s">
        <v>55</v>
      </c>
      <c r="G1001" s="18" t="s">
        <v>66</v>
      </c>
      <c r="H1001" s="17">
        <v>666523</v>
      </c>
      <c r="I1001" s="18" t="s">
        <v>35</v>
      </c>
      <c r="J1001" s="20">
        <v>14</v>
      </c>
    </row>
    <row r="1002" spans="1:10" ht="15" customHeight="1" x14ac:dyDescent="0.75">
      <c r="A1002" s="18" t="s">
        <v>86</v>
      </c>
      <c r="B1002" s="19">
        <v>46174</v>
      </c>
      <c r="C1002" s="17">
        <v>23</v>
      </c>
      <c r="D1002" s="18" t="s">
        <v>59</v>
      </c>
      <c r="E1002" s="19">
        <v>46175</v>
      </c>
      <c r="F1002" s="18" t="s">
        <v>55</v>
      </c>
      <c r="G1002" s="18" t="s">
        <v>66</v>
      </c>
      <c r="H1002" s="17">
        <v>666530</v>
      </c>
      <c r="I1002" s="18" t="s">
        <v>37</v>
      </c>
      <c r="J1002" s="20">
        <v>9</v>
      </c>
    </row>
    <row r="1003" spans="1:10" ht="15" customHeight="1" x14ac:dyDescent="0.75">
      <c r="A1003" s="18" t="s">
        <v>86</v>
      </c>
      <c r="B1003" s="19">
        <v>46174</v>
      </c>
      <c r="C1003" s="17">
        <v>23</v>
      </c>
      <c r="D1003" s="18" t="s">
        <v>59</v>
      </c>
      <c r="E1003" s="19">
        <v>46175</v>
      </c>
      <c r="F1003" s="18" t="s">
        <v>55</v>
      </c>
      <c r="G1003" s="18" t="s">
        <v>66</v>
      </c>
      <c r="H1003" s="17">
        <v>666531</v>
      </c>
      <c r="I1003" s="18" t="s">
        <v>39</v>
      </c>
      <c r="J1003" s="20">
        <v>4</v>
      </c>
    </row>
    <row r="1004" spans="1:10" ht="15" customHeight="1" x14ac:dyDescent="0.75">
      <c r="A1004" s="18" t="s">
        <v>86</v>
      </c>
      <c r="B1004" s="19">
        <v>46174</v>
      </c>
      <c r="C1004" s="17">
        <v>23</v>
      </c>
      <c r="D1004" s="18" t="s">
        <v>60</v>
      </c>
      <c r="E1004" s="19">
        <v>46176</v>
      </c>
      <c r="F1004" s="18" t="s">
        <v>65</v>
      </c>
      <c r="G1004" s="18" t="s">
        <v>56</v>
      </c>
      <c r="H1004" s="17">
        <v>666501</v>
      </c>
      <c r="I1004" s="18" t="s">
        <v>5</v>
      </c>
      <c r="J1004" s="20">
        <v>3</v>
      </c>
    </row>
    <row r="1005" spans="1:10" ht="15" customHeight="1" x14ac:dyDescent="0.75">
      <c r="A1005" s="18" t="s">
        <v>86</v>
      </c>
      <c r="B1005" s="19">
        <v>46174</v>
      </c>
      <c r="C1005" s="17">
        <v>23</v>
      </c>
      <c r="D1005" s="18" t="s">
        <v>60</v>
      </c>
      <c r="E1005" s="19">
        <v>46176</v>
      </c>
      <c r="F1005" s="18" t="s">
        <v>65</v>
      </c>
      <c r="G1005" s="18" t="s">
        <v>56</v>
      </c>
      <c r="H1005" s="17">
        <v>666509</v>
      </c>
      <c r="I1005" s="18" t="s">
        <v>15</v>
      </c>
      <c r="J1005" s="20">
        <v>10</v>
      </c>
    </row>
    <row r="1006" spans="1:10" ht="15" customHeight="1" x14ac:dyDescent="0.75">
      <c r="A1006" s="18" t="s">
        <v>86</v>
      </c>
      <c r="B1006" s="19">
        <v>46174</v>
      </c>
      <c r="C1006" s="17">
        <v>23</v>
      </c>
      <c r="D1006" s="18" t="s">
        <v>60</v>
      </c>
      <c r="E1006" s="19">
        <v>46176</v>
      </c>
      <c r="F1006" s="18" t="s">
        <v>65</v>
      </c>
      <c r="G1006" s="18" t="s">
        <v>56</v>
      </c>
      <c r="H1006" s="17">
        <v>666521</v>
      </c>
      <c r="I1006" s="18" t="s">
        <v>31</v>
      </c>
      <c r="J1006" s="20">
        <v>17</v>
      </c>
    </row>
    <row r="1007" spans="1:10" ht="15" customHeight="1" x14ac:dyDescent="0.75">
      <c r="A1007" s="18" t="s">
        <v>86</v>
      </c>
      <c r="B1007" s="19">
        <v>46174</v>
      </c>
      <c r="C1007" s="17">
        <v>23</v>
      </c>
      <c r="D1007" s="18" t="s">
        <v>60</v>
      </c>
      <c r="E1007" s="19">
        <v>46176</v>
      </c>
      <c r="F1007" s="18" t="s">
        <v>65</v>
      </c>
      <c r="G1007" s="18" t="s">
        <v>56</v>
      </c>
      <c r="H1007" s="17">
        <v>666522</v>
      </c>
      <c r="I1007" s="18" t="s">
        <v>33</v>
      </c>
      <c r="J1007" s="20">
        <v>40</v>
      </c>
    </row>
    <row r="1008" spans="1:10" ht="15" customHeight="1" x14ac:dyDescent="0.75">
      <c r="A1008" s="18" t="s">
        <v>86</v>
      </c>
      <c r="B1008" s="19">
        <v>46174</v>
      </c>
      <c r="C1008" s="17">
        <v>23</v>
      </c>
      <c r="D1008" s="18" t="s">
        <v>60</v>
      </c>
      <c r="E1008" s="19">
        <v>46176</v>
      </c>
      <c r="F1008" s="18" t="s">
        <v>65</v>
      </c>
      <c r="G1008" s="18" t="s">
        <v>56</v>
      </c>
      <c r="H1008" s="17">
        <v>666531</v>
      </c>
      <c r="I1008" s="18" t="s">
        <v>39</v>
      </c>
      <c r="J1008" s="20">
        <v>7</v>
      </c>
    </row>
    <row r="1009" spans="1:10" ht="15" customHeight="1" x14ac:dyDescent="0.75">
      <c r="A1009" s="18" t="s">
        <v>86</v>
      </c>
      <c r="B1009" s="19">
        <v>46174</v>
      </c>
      <c r="C1009" s="17">
        <v>23</v>
      </c>
      <c r="D1009" s="18" t="s">
        <v>60</v>
      </c>
      <c r="E1009" s="19">
        <v>46176</v>
      </c>
      <c r="F1009" s="18" t="s">
        <v>57</v>
      </c>
      <c r="G1009" s="18" t="s">
        <v>58</v>
      </c>
      <c r="H1009" s="17">
        <v>666501</v>
      </c>
      <c r="I1009" s="18" t="s">
        <v>5</v>
      </c>
      <c r="J1009" s="20">
        <v>102</v>
      </c>
    </row>
    <row r="1010" spans="1:10" ht="15" customHeight="1" x14ac:dyDescent="0.75">
      <c r="A1010" s="18" t="s">
        <v>86</v>
      </c>
      <c r="B1010" s="19">
        <v>46174</v>
      </c>
      <c r="C1010" s="17">
        <v>23</v>
      </c>
      <c r="D1010" s="18" t="s">
        <v>60</v>
      </c>
      <c r="E1010" s="19">
        <v>46176</v>
      </c>
      <c r="F1010" s="18" t="s">
        <v>57</v>
      </c>
      <c r="G1010" s="18" t="s">
        <v>58</v>
      </c>
      <c r="H1010" s="17">
        <v>666502</v>
      </c>
      <c r="I1010" s="18" t="s">
        <v>7</v>
      </c>
      <c r="J1010" s="20">
        <v>30</v>
      </c>
    </row>
    <row r="1011" spans="1:10" ht="15" customHeight="1" x14ac:dyDescent="0.75">
      <c r="A1011" s="18" t="s">
        <v>86</v>
      </c>
      <c r="B1011" s="19">
        <v>46174</v>
      </c>
      <c r="C1011" s="17">
        <v>23</v>
      </c>
      <c r="D1011" s="18" t="s">
        <v>60</v>
      </c>
      <c r="E1011" s="19">
        <v>46176</v>
      </c>
      <c r="F1011" s="18" t="s">
        <v>57</v>
      </c>
      <c r="G1011" s="18" t="s">
        <v>58</v>
      </c>
      <c r="H1011" s="17">
        <v>666506</v>
      </c>
      <c r="I1011" s="18" t="s">
        <v>11</v>
      </c>
      <c r="J1011" s="20">
        <v>33</v>
      </c>
    </row>
    <row r="1012" spans="1:10" ht="15" customHeight="1" x14ac:dyDescent="0.75">
      <c r="A1012" s="18" t="s">
        <v>86</v>
      </c>
      <c r="B1012" s="19">
        <v>46174</v>
      </c>
      <c r="C1012" s="17">
        <v>23</v>
      </c>
      <c r="D1012" s="18" t="s">
        <v>60</v>
      </c>
      <c r="E1012" s="19">
        <v>46176</v>
      </c>
      <c r="F1012" s="18" t="s">
        <v>57</v>
      </c>
      <c r="G1012" s="18" t="s">
        <v>58</v>
      </c>
      <c r="H1012" s="17">
        <v>666541</v>
      </c>
      <c r="I1012" s="18" t="s">
        <v>41</v>
      </c>
      <c r="J1012" s="20">
        <v>49</v>
      </c>
    </row>
    <row r="1013" spans="1:10" ht="15" customHeight="1" x14ac:dyDescent="0.75">
      <c r="A1013" s="18" t="s">
        <v>86</v>
      </c>
      <c r="B1013" s="19">
        <v>46174</v>
      </c>
      <c r="C1013" s="17">
        <v>23</v>
      </c>
      <c r="D1013" s="18" t="s">
        <v>62</v>
      </c>
      <c r="E1013" s="19">
        <v>46177</v>
      </c>
      <c r="F1013" s="18" t="s">
        <v>65</v>
      </c>
      <c r="G1013" s="18" t="s">
        <v>56</v>
      </c>
      <c r="H1013" s="17">
        <v>666521</v>
      </c>
      <c r="I1013" s="18" t="s">
        <v>31</v>
      </c>
      <c r="J1013" s="20">
        <v>4</v>
      </c>
    </row>
    <row r="1014" spans="1:10" ht="15" customHeight="1" x14ac:dyDescent="0.75">
      <c r="A1014" s="18" t="s">
        <v>86</v>
      </c>
      <c r="B1014" s="19">
        <v>46174</v>
      </c>
      <c r="C1014" s="17">
        <v>23</v>
      </c>
      <c r="D1014" s="18" t="s">
        <v>62</v>
      </c>
      <c r="E1014" s="19">
        <v>46177</v>
      </c>
      <c r="F1014" s="18" t="s">
        <v>57</v>
      </c>
      <c r="G1014" s="18" t="s">
        <v>58</v>
      </c>
      <c r="H1014" s="17">
        <v>666502</v>
      </c>
      <c r="I1014" s="18" t="s">
        <v>7</v>
      </c>
      <c r="J1014" s="20">
        <v>40</v>
      </c>
    </row>
    <row r="1015" spans="1:10" ht="15" customHeight="1" x14ac:dyDescent="0.75">
      <c r="A1015" s="18" t="s">
        <v>86</v>
      </c>
      <c r="B1015" s="19">
        <v>46174</v>
      </c>
      <c r="C1015" s="17">
        <v>23</v>
      </c>
      <c r="D1015" s="18" t="s">
        <v>62</v>
      </c>
      <c r="E1015" s="19">
        <v>46177</v>
      </c>
      <c r="F1015" s="18" t="s">
        <v>57</v>
      </c>
      <c r="G1015" s="18" t="s">
        <v>58</v>
      </c>
      <c r="H1015" s="17">
        <v>666506</v>
      </c>
      <c r="I1015" s="18" t="s">
        <v>11</v>
      </c>
      <c r="J1015" s="20">
        <v>20</v>
      </c>
    </row>
    <row r="1016" spans="1:10" ht="15" customHeight="1" x14ac:dyDescent="0.75">
      <c r="A1016" s="18" t="s">
        <v>86</v>
      </c>
      <c r="B1016" s="19">
        <v>46174</v>
      </c>
      <c r="C1016" s="17">
        <v>23</v>
      </c>
      <c r="D1016" s="18" t="s">
        <v>62</v>
      </c>
      <c r="E1016" s="19">
        <v>46177</v>
      </c>
      <c r="F1016" s="18" t="s">
        <v>57</v>
      </c>
      <c r="G1016" s="18" t="s">
        <v>58</v>
      </c>
      <c r="H1016" s="17">
        <v>666541</v>
      </c>
      <c r="I1016" s="18" t="s">
        <v>41</v>
      </c>
      <c r="J1016" s="20">
        <v>24</v>
      </c>
    </row>
    <row r="1017" spans="1:10" ht="15" customHeight="1" x14ac:dyDescent="0.75">
      <c r="A1017" s="18" t="s">
        <v>86</v>
      </c>
      <c r="B1017" s="19">
        <v>46174</v>
      </c>
      <c r="C1017" s="17">
        <v>23</v>
      </c>
      <c r="D1017" s="18" t="s">
        <v>62</v>
      </c>
      <c r="E1017" s="19">
        <v>46177</v>
      </c>
      <c r="F1017" s="18" t="s">
        <v>55</v>
      </c>
      <c r="G1017" s="18" t="s">
        <v>66</v>
      </c>
      <c r="H1017" s="17">
        <v>666502</v>
      </c>
      <c r="I1017" s="18" t="s">
        <v>7</v>
      </c>
      <c r="J1017" s="20">
        <v>31</v>
      </c>
    </row>
    <row r="1018" spans="1:10" ht="15" customHeight="1" x14ac:dyDescent="0.75">
      <c r="A1018" s="18" t="s">
        <v>86</v>
      </c>
      <c r="B1018" s="19">
        <v>46174</v>
      </c>
      <c r="C1018" s="17">
        <v>23</v>
      </c>
      <c r="D1018" s="18" t="s">
        <v>62</v>
      </c>
      <c r="E1018" s="19">
        <v>46177</v>
      </c>
      <c r="F1018" s="18" t="s">
        <v>55</v>
      </c>
      <c r="G1018" s="18" t="s">
        <v>66</v>
      </c>
      <c r="H1018" s="17">
        <v>666522</v>
      </c>
      <c r="I1018" s="18" t="s">
        <v>33</v>
      </c>
      <c r="J1018" s="20">
        <v>55</v>
      </c>
    </row>
    <row r="1019" spans="1:10" ht="15" customHeight="1" x14ac:dyDescent="0.75">
      <c r="A1019" s="18" t="s">
        <v>86</v>
      </c>
      <c r="B1019" s="19">
        <v>46174</v>
      </c>
      <c r="C1019" s="17">
        <v>23</v>
      </c>
      <c r="D1019" s="18" t="s">
        <v>63</v>
      </c>
      <c r="E1019" s="19">
        <v>46178</v>
      </c>
      <c r="F1019" s="18" t="s">
        <v>65</v>
      </c>
      <c r="G1019" s="18" t="s">
        <v>56</v>
      </c>
      <c r="H1019" s="17">
        <v>666507</v>
      </c>
      <c r="I1019" s="18" t="s">
        <v>13</v>
      </c>
      <c r="J1019" s="20">
        <v>8</v>
      </c>
    </row>
    <row r="1020" spans="1:10" ht="15" customHeight="1" x14ac:dyDescent="0.75">
      <c r="A1020" s="18" t="s">
        <v>86</v>
      </c>
      <c r="B1020" s="19">
        <v>46174</v>
      </c>
      <c r="C1020" s="17">
        <v>23</v>
      </c>
      <c r="D1020" s="18" t="s">
        <v>63</v>
      </c>
      <c r="E1020" s="19">
        <v>46178</v>
      </c>
      <c r="F1020" s="18" t="s">
        <v>65</v>
      </c>
      <c r="G1020" s="18" t="s">
        <v>56</v>
      </c>
      <c r="H1020" s="17">
        <v>666509</v>
      </c>
      <c r="I1020" s="18" t="s">
        <v>15</v>
      </c>
      <c r="J1020" s="20">
        <v>10</v>
      </c>
    </row>
    <row r="1021" spans="1:10" ht="15" customHeight="1" x14ac:dyDescent="0.75">
      <c r="A1021" s="18" t="s">
        <v>86</v>
      </c>
      <c r="B1021" s="19">
        <v>46174</v>
      </c>
      <c r="C1021" s="17">
        <v>23</v>
      </c>
      <c r="D1021" s="18" t="s">
        <v>63</v>
      </c>
      <c r="E1021" s="19">
        <v>46178</v>
      </c>
      <c r="F1021" s="18" t="s">
        <v>65</v>
      </c>
      <c r="G1021" s="18" t="s">
        <v>56</v>
      </c>
      <c r="H1021" s="17">
        <v>666522</v>
      </c>
      <c r="I1021" s="18" t="s">
        <v>33</v>
      </c>
      <c r="J1021" s="20">
        <v>20</v>
      </c>
    </row>
    <row r="1022" spans="1:10" ht="15" customHeight="1" x14ac:dyDescent="0.75">
      <c r="A1022" s="18" t="s">
        <v>86</v>
      </c>
      <c r="B1022" s="19">
        <v>46174</v>
      </c>
      <c r="C1022" s="17">
        <v>23</v>
      </c>
      <c r="D1022" s="18" t="s">
        <v>63</v>
      </c>
      <c r="E1022" s="19">
        <v>46178</v>
      </c>
      <c r="F1022" s="18" t="s">
        <v>57</v>
      </c>
      <c r="G1022" s="18" t="s">
        <v>58</v>
      </c>
      <c r="H1022" s="17">
        <v>666501</v>
      </c>
      <c r="I1022" s="18" t="s">
        <v>5</v>
      </c>
      <c r="J1022" s="20">
        <v>72</v>
      </c>
    </row>
    <row r="1023" spans="1:10" ht="15" customHeight="1" x14ac:dyDescent="0.75">
      <c r="A1023" s="18" t="s">
        <v>86</v>
      </c>
      <c r="B1023" s="19">
        <v>46174</v>
      </c>
      <c r="C1023" s="17">
        <v>23</v>
      </c>
      <c r="D1023" s="18" t="s">
        <v>63</v>
      </c>
      <c r="E1023" s="19">
        <v>46178</v>
      </c>
      <c r="F1023" s="18" t="s">
        <v>57</v>
      </c>
      <c r="G1023" s="18" t="s">
        <v>58</v>
      </c>
      <c r="H1023" s="17">
        <v>666502</v>
      </c>
      <c r="I1023" s="18" t="s">
        <v>7</v>
      </c>
      <c r="J1023" s="20">
        <v>35</v>
      </c>
    </row>
    <row r="1024" spans="1:10" ht="15" customHeight="1" x14ac:dyDescent="0.75">
      <c r="A1024" s="18" t="s">
        <v>86</v>
      </c>
      <c r="B1024" s="19">
        <v>46174</v>
      </c>
      <c r="C1024" s="17">
        <v>23</v>
      </c>
      <c r="D1024" s="18" t="s">
        <v>63</v>
      </c>
      <c r="E1024" s="19">
        <v>46178</v>
      </c>
      <c r="F1024" s="18" t="s">
        <v>57</v>
      </c>
      <c r="G1024" s="18" t="s">
        <v>58</v>
      </c>
      <c r="H1024" s="17">
        <v>666506</v>
      </c>
      <c r="I1024" s="18" t="s">
        <v>11</v>
      </c>
      <c r="J1024" s="20">
        <v>10</v>
      </c>
    </row>
    <row r="1025" spans="1:10" ht="15" customHeight="1" x14ac:dyDescent="0.75">
      <c r="A1025" s="18" t="s">
        <v>86</v>
      </c>
      <c r="B1025" s="19">
        <v>46174</v>
      </c>
      <c r="C1025" s="17">
        <v>23</v>
      </c>
      <c r="D1025" s="18" t="s">
        <v>63</v>
      </c>
      <c r="E1025" s="19">
        <v>46178</v>
      </c>
      <c r="F1025" s="18" t="s">
        <v>57</v>
      </c>
      <c r="G1025" s="18" t="s">
        <v>58</v>
      </c>
      <c r="H1025" s="17">
        <v>666541</v>
      </c>
      <c r="I1025" s="18" t="s">
        <v>41</v>
      </c>
      <c r="J1025" s="20">
        <v>9</v>
      </c>
    </row>
    <row r="1026" spans="1:10" ht="15" customHeight="1" x14ac:dyDescent="0.75">
      <c r="A1026" s="18" t="s">
        <v>87</v>
      </c>
      <c r="B1026" s="19">
        <v>46181</v>
      </c>
      <c r="C1026" s="17">
        <v>24</v>
      </c>
      <c r="D1026" s="18" t="s">
        <v>54</v>
      </c>
      <c r="E1026" s="19">
        <v>46181</v>
      </c>
      <c r="F1026" s="18" t="s">
        <v>65</v>
      </c>
      <c r="G1026" s="18" t="s">
        <v>56</v>
      </c>
      <c r="H1026" s="17">
        <v>666509</v>
      </c>
      <c r="I1026" s="18" t="s">
        <v>15</v>
      </c>
      <c r="J1026" s="20">
        <v>15</v>
      </c>
    </row>
    <row r="1027" spans="1:10" ht="15" customHeight="1" x14ac:dyDescent="0.75">
      <c r="A1027" s="18" t="s">
        <v>87</v>
      </c>
      <c r="B1027" s="19">
        <v>46181</v>
      </c>
      <c r="C1027" s="17">
        <v>24</v>
      </c>
      <c r="D1027" s="18" t="s">
        <v>54</v>
      </c>
      <c r="E1027" s="19">
        <v>46181</v>
      </c>
      <c r="F1027" s="18" t="s">
        <v>65</v>
      </c>
      <c r="G1027" s="18" t="s">
        <v>56</v>
      </c>
      <c r="H1027" s="17">
        <v>666522</v>
      </c>
      <c r="I1027" s="18" t="s">
        <v>33</v>
      </c>
      <c r="J1027" s="20">
        <v>35</v>
      </c>
    </row>
    <row r="1028" spans="1:10" ht="15" customHeight="1" x14ac:dyDescent="0.75">
      <c r="A1028" s="18" t="s">
        <v>87</v>
      </c>
      <c r="B1028" s="19">
        <v>46181</v>
      </c>
      <c r="C1028" s="17">
        <v>24</v>
      </c>
      <c r="D1028" s="18" t="s">
        <v>54</v>
      </c>
      <c r="E1028" s="19">
        <v>46181</v>
      </c>
      <c r="F1028" s="18" t="s">
        <v>65</v>
      </c>
      <c r="G1028" s="18" t="s">
        <v>56</v>
      </c>
      <c r="H1028" s="17">
        <v>666536</v>
      </c>
      <c r="I1028" s="18" t="s">
        <v>43</v>
      </c>
      <c r="J1028" s="20">
        <v>3</v>
      </c>
    </row>
    <row r="1029" spans="1:10" ht="15" customHeight="1" x14ac:dyDescent="0.75">
      <c r="A1029" s="18" t="s">
        <v>87</v>
      </c>
      <c r="B1029" s="19">
        <v>46181</v>
      </c>
      <c r="C1029" s="17">
        <v>24</v>
      </c>
      <c r="D1029" s="18" t="s">
        <v>54</v>
      </c>
      <c r="E1029" s="19">
        <v>46181</v>
      </c>
      <c r="F1029" s="18" t="s">
        <v>57</v>
      </c>
      <c r="G1029" s="18" t="s">
        <v>58</v>
      </c>
      <c r="H1029" s="17">
        <v>666506</v>
      </c>
      <c r="I1029" s="18" t="s">
        <v>11</v>
      </c>
      <c r="J1029" s="20">
        <v>12</v>
      </c>
    </row>
    <row r="1030" spans="1:10" ht="15" customHeight="1" x14ac:dyDescent="0.75">
      <c r="A1030" s="18" t="s">
        <v>87</v>
      </c>
      <c r="B1030" s="19">
        <v>46181</v>
      </c>
      <c r="C1030" s="17">
        <v>24</v>
      </c>
      <c r="D1030" s="18" t="s">
        <v>54</v>
      </c>
      <c r="E1030" s="19">
        <v>46181</v>
      </c>
      <c r="F1030" s="18" t="s">
        <v>57</v>
      </c>
      <c r="G1030" s="18" t="s">
        <v>58</v>
      </c>
      <c r="H1030" s="17">
        <v>666541</v>
      </c>
      <c r="I1030" s="18" t="s">
        <v>41</v>
      </c>
      <c r="J1030" s="20">
        <v>16</v>
      </c>
    </row>
    <row r="1031" spans="1:10" ht="15" customHeight="1" x14ac:dyDescent="0.75">
      <c r="A1031" s="18" t="s">
        <v>87</v>
      </c>
      <c r="B1031" s="19">
        <v>46181</v>
      </c>
      <c r="C1031" s="17">
        <v>24</v>
      </c>
      <c r="D1031" s="18" t="s">
        <v>54</v>
      </c>
      <c r="E1031" s="19">
        <v>46181</v>
      </c>
      <c r="F1031" s="18" t="s">
        <v>55</v>
      </c>
      <c r="G1031" s="18" t="s">
        <v>66</v>
      </c>
      <c r="H1031" s="17">
        <v>666502</v>
      </c>
      <c r="I1031" s="18" t="s">
        <v>7</v>
      </c>
      <c r="J1031" s="20">
        <v>29</v>
      </c>
    </row>
    <row r="1032" spans="1:10" ht="15" customHeight="1" x14ac:dyDescent="0.75">
      <c r="A1032" s="18" t="s">
        <v>87</v>
      </c>
      <c r="B1032" s="19">
        <v>46181</v>
      </c>
      <c r="C1032" s="17">
        <v>24</v>
      </c>
      <c r="D1032" s="18" t="s">
        <v>59</v>
      </c>
      <c r="E1032" s="19">
        <v>46182</v>
      </c>
      <c r="F1032" s="18" t="s">
        <v>57</v>
      </c>
      <c r="G1032" s="18" t="s">
        <v>58</v>
      </c>
      <c r="H1032" s="17">
        <v>666501</v>
      </c>
      <c r="I1032" s="18" t="s">
        <v>5</v>
      </c>
      <c r="J1032" s="20">
        <v>114</v>
      </c>
    </row>
    <row r="1033" spans="1:10" ht="15" customHeight="1" x14ac:dyDescent="0.75">
      <c r="A1033" s="18" t="s">
        <v>87</v>
      </c>
      <c r="B1033" s="19">
        <v>46181</v>
      </c>
      <c r="C1033" s="17">
        <v>24</v>
      </c>
      <c r="D1033" s="18" t="s">
        <v>59</v>
      </c>
      <c r="E1033" s="19">
        <v>46182</v>
      </c>
      <c r="F1033" s="18" t="s">
        <v>57</v>
      </c>
      <c r="G1033" s="18" t="s">
        <v>58</v>
      </c>
      <c r="H1033" s="17">
        <v>666502</v>
      </c>
      <c r="I1033" s="18" t="s">
        <v>7</v>
      </c>
      <c r="J1033" s="20">
        <v>27</v>
      </c>
    </row>
    <row r="1034" spans="1:10" ht="15" customHeight="1" x14ac:dyDescent="0.75">
      <c r="A1034" s="18" t="s">
        <v>87</v>
      </c>
      <c r="B1034" s="19">
        <v>46181</v>
      </c>
      <c r="C1034" s="17">
        <v>24</v>
      </c>
      <c r="D1034" s="18" t="s">
        <v>59</v>
      </c>
      <c r="E1034" s="19">
        <v>46182</v>
      </c>
      <c r="F1034" s="18" t="s">
        <v>57</v>
      </c>
      <c r="G1034" s="18" t="s">
        <v>58</v>
      </c>
      <c r="H1034" s="17">
        <v>666506</v>
      </c>
      <c r="I1034" s="18" t="s">
        <v>11</v>
      </c>
      <c r="J1034" s="20">
        <v>3</v>
      </c>
    </row>
    <row r="1035" spans="1:10" ht="15" customHeight="1" x14ac:dyDescent="0.75">
      <c r="A1035" s="18" t="s">
        <v>87</v>
      </c>
      <c r="B1035" s="19">
        <v>46181</v>
      </c>
      <c r="C1035" s="17">
        <v>24</v>
      </c>
      <c r="D1035" s="18" t="s">
        <v>59</v>
      </c>
      <c r="E1035" s="19">
        <v>46182</v>
      </c>
      <c r="F1035" s="18" t="s">
        <v>57</v>
      </c>
      <c r="G1035" s="18" t="s">
        <v>58</v>
      </c>
      <c r="H1035" s="17">
        <v>666541</v>
      </c>
      <c r="I1035" s="18" t="s">
        <v>41</v>
      </c>
      <c r="J1035" s="20">
        <v>29</v>
      </c>
    </row>
    <row r="1036" spans="1:10" ht="15" customHeight="1" x14ac:dyDescent="0.75">
      <c r="A1036" s="18" t="s">
        <v>87</v>
      </c>
      <c r="B1036" s="19">
        <v>46181</v>
      </c>
      <c r="C1036" s="17">
        <v>24</v>
      </c>
      <c r="D1036" s="18" t="s">
        <v>59</v>
      </c>
      <c r="E1036" s="19">
        <v>46182</v>
      </c>
      <c r="F1036" s="18" t="s">
        <v>55</v>
      </c>
      <c r="G1036" s="18" t="s">
        <v>66</v>
      </c>
      <c r="H1036" s="17">
        <v>666502</v>
      </c>
      <c r="I1036" s="18" t="s">
        <v>7</v>
      </c>
      <c r="J1036" s="20">
        <v>21</v>
      </c>
    </row>
    <row r="1037" spans="1:10" ht="15" customHeight="1" x14ac:dyDescent="0.75">
      <c r="A1037" s="18" t="s">
        <v>87</v>
      </c>
      <c r="B1037" s="19">
        <v>46181</v>
      </c>
      <c r="C1037" s="17">
        <v>24</v>
      </c>
      <c r="D1037" s="18" t="s">
        <v>60</v>
      </c>
      <c r="E1037" s="19">
        <v>46183</v>
      </c>
      <c r="F1037" s="18" t="s">
        <v>65</v>
      </c>
      <c r="G1037" s="18" t="s">
        <v>56</v>
      </c>
      <c r="H1037" s="17">
        <v>666511</v>
      </c>
      <c r="I1037" s="18" t="s">
        <v>19</v>
      </c>
      <c r="J1037" s="20">
        <v>4</v>
      </c>
    </row>
    <row r="1038" spans="1:10" ht="15" customHeight="1" x14ac:dyDescent="0.75">
      <c r="A1038" s="18" t="s">
        <v>87</v>
      </c>
      <c r="B1038" s="19">
        <v>46181</v>
      </c>
      <c r="C1038" s="17">
        <v>24</v>
      </c>
      <c r="D1038" s="18" t="s">
        <v>60</v>
      </c>
      <c r="E1038" s="19">
        <v>46183</v>
      </c>
      <c r="F1038" s="18" t="s">
        <v>65</v>
      </c>
      <c r="G1038" s="18" t="s">
        <v>56</v>
      </c>
      <c r="H1038" s="17">
        <v>666522</v>
      </c>
      <c r="I1038" s="18" t="s">
        <v>33</v>
      </c>
      <c r="J1038" s="20">
        <v>35</v>
      </c>
    </row>
    <row r="1039" spans="1:10" ht="15" customHeight="1" x14ac:dyDescent="0.75">
      <c r="A1039" s="18" t="s">
        <v>87</v>
      </c>
      <c r="B1039" s="19">
        <v>46181</v>
      </c>
      <c r="C1039" s="17">
        <v>24</v>
      </c>
      <c r="D1039" s="18" t="s">
        <v>60</v>
      </c>
      <c r="E1039" s="19">
        <v>46183</v>
      </c>
      <c r="F1039" s="18" t="s">
        <v>65</v>
      </c>
      <c r="G1039" s="18" t="s">
        <v>56</v>
      </c>
      <c r="H1039" s="17">
        <v>666536</v>
      </c>
      <c r="I1039" s="18" t="s">
        <v>43</v>
      </c>
      <c r="J1039" s="20">
        <v>4</v>
      </c>
    </row>
    <row r="1040" spans="1:10" ht="15" customHeight="1" x14ac:dyDescent="0.75">
      <c r="A1040" s="18" t="s">
        <v>87</v>
      </c>
      <c r="B1040" s="19">
        <v>46181</v>
      </c>
      <c r="C1040" s="17">
        <v>24</v>
      </c>
      <c r="D1040" s="18" t="s">
        <v>60</v>
      </c>
      <c r="E1040" s="19">
        <v>46183</v>
      </c>
      <c r="F1040" s="18" t="s">
        <v>57</v>
      </c>
      <c r="G1040" s="18" t="s">
        <v>58</v>
      </c>
      <c r="H1040" s="17">
        <v>666501</v>
      </c>
      <c r="I1040" s="18" t="s">
        <v>5</v>
      </c>
      <c r="J1040" s="20">
        <v>12</v>
      </c>
    </row>
    <row r="1041" spans="1:10" ht="15" customHeight="1" x14ac:dyDescent="0.75">
      <c r="A1041" s="18" t="s">
        <v>87</v>
      </c>
      <c r="B1041" s="19">
        <v>46181</v>
      </c>
      <c r="C1041" s="17">
        <v>24</v>
      </c>
      <c r="D1041" s="18" t="s">
        <v>60</v>
      </c>
      <c r="E1041" s="19">
        <v>46183</v>
      </c>
      <c r="F1041" s="18" t="s">
        <v>57</v>
      </c>
      <c r="G1041" s="18" t="s">
        <v>58</v>
      </c>
      <c r="H1041" s="17">
        <v>666502</v>
      </c>
      <c r="I1041" s="18" t="s">
        <v>7</v>
      </c>
      <c r="J1041" s="20">
        <v>41</v>
      </c>
    </row>
    <row r="1042" spans="1:10" ht="15" customHeight="1" x14ac:dyDescent="0.75">
      <c r="A1042" s="18" t="s">
        <v>87</v>
      </c>
      <c r="B1042" s="19">
        <v>46181</v>
      </c>
      <c r="C1042" s="17">
        <v>24</v>
      </c>
      <c r="D1042" s="18" t="s">
        <v>60</v>
      </c>
      <c r="E1042" s="19">
        <v>46183</v>
      </c>
      <c r="F1042" s="18" t="s">
        <v>57</v>
      </c>
      <c r="G1042" s="18" t="s">
        <v>58</v>
      </c>
      <c r="H1042" s="17">
        <v>666506</v>
      </c>
      <c r="I1042" s="18" t="s">
        <v>11</v>
      </c>
      <c r="J1042" s="20">
        <v>2</v>
      </c>
    </row>
    <row r="1043" spans="1:10" ht="15" customHeight="1" x14ac:dyDescent="0.75">
      <c r="A1043" s="18" t="s">
        <v>87</v>
      </c>
      <c r="B1043" s="19">
        <v>46181</v>
      </c>
      <c r="C1043" s="17">
        <v>24</v>
      </c>
      <c r="D1043" s="18" t="s">
        <v>60</v>
      </c>
      <c r="E1043" s="19">
        <v>46183</v>
      </c>
      <c r="F1043" s="18" t="s">
        <v>57</v>
      </c>
      <c r="G1043" s="18" t="s">
        <v>58</v>
      </c>
      <c r="H1043" s="17">
        <v>666541</v>
      </c>
      <c r="I1043" s="18" t="s">
        <v>41</v>
      </c>
      <c r="J1043" s="20">
        <v>20</v>
      </c>
    </row>
    <row r="1044" spans="1:10" ht="15" customHeight="1" x14ac:dyDescent="0.75">
      <c r="A1044" s="18" t="s">
        <v>87</v>
      </c>
      <c r="B1044" s="19">
        <v>46181</v>
      </c>
      <c r="C1044" s="17">
        <v>24</v>
      </c>
      <c r="D1044" s="18" t="s">
        <v>62</v>
      </c>
      <c r="E1044" s="19">
        <v>46184</v>
      </c>
      <c r="F1044" s="18" t="s">
        <v>57</v>
      </c>
      <c r="G1044" s="18" t="s">
        <v>58</v>
      </c>
      <c r="H1044" s="17">
        <v>666502</v>
      </c>
      <c r="I1044" s="18" t="s">
        <v>7</v>
      </c>
      <c r="J1044" s="20">
        <v>6</v>
      </c>
    </row>
    <row r="1045" spans="1:10" ht="15" customHeight="1" x14ac:dyDescent="0.75">
      <c r="A1045" s="18" t="s">
        <v>87</v>
      </c>
      <c r="B1045" s="19">
        <v>46181</v>
      </c>
      <c r="C1045" s="17">
        <v>24</v>
      </c>
      <c r="D1045" s="18" t="s">
        <v>62</v>
      </c>
      <c r="E1045" s="19">
        <v>46184</v>
      </c>
      <c r="F1045" s="18" t="s">
        <v>57</v>
      </c>
      <c r="G1045" s="18" t="s">
        <v>58</v>
      </c>
      <c r="H1045" s="17">
        <v>666541</v>
      </c>
      <c r="I1045" s="18" t="s">
        <v>41</v>
      </c>
      <c r="J1045" s="20">
        <v>20</v>
      </c>
    </row>
    <row r="1046" spans="1:10" ht="15" customHeight="1" x14ac:dyDescent="0.75">
      <c r="A1046" s="18" t="s">
        <v>87</v>
      </c>
      <c r="B1046" s="19">
        <v>46181</v>
      </c>
      <c r="C1046" s="17">
        <v>24</v>
      </c>
      <c r="D1046" s="18" t="s">
        <v>62</v>
      </c>
      <c r="E1046" s="19">
        <v>46184</v>
      </c>
      <c r="F1046" s="18" t="s">
        <v>55</v>
      </c>
      <c r="G1046" s="18" t="s">
        <v>66</v>
      </c>
      <c r="H1046" s="17">
        <v>666502</v>
      </c>
      <c r="I1046" s="18" t="s">
        <v>7</v>
      </c>
      <c r="J1046" s="20">
        <v>19</v>
      </c>
    </row>
    <row r="1047" spans="1:10" ht="15" customHeight="1" x14ac:dyDescent="0.75">
      <c r="A1047" s="18" t="s">
        <v>87</v>
      </c>
      <c r="B1047" s="19">
        <v>46181</v>
      </c>
      <c r="C1047" s="17">
        <v>24</v>
      </c>
      <c r="D1047" s="18" t="s">
        <v>63</v>
      </c>
      <c r="E1047" s="19">
        <v>46185</v>
      </c>
      <c r="F1047" s="18" t="s">
        <v>57</v>
      </c>
      <c r="G1047" s="18" t="s">
        <v>58</v>
      </c>
      <c r="H1047" s="17">
        <v>666501</v>
      </c>
      <c r="I1047" s="18" t="s">
        <v>5</v>
      </c>
      <c r="J1047" s="20">
        <v>3</v>
      </c>
    </row>
    <row r="1048" spans="1:10" ht="15" customHeight="1" x14ac:dyDescent="0.75">
      <c r="A1048" s="18" t="s">
        <v>87</v>
      </c>
      <c r="B1048" s="19">
        <v>46181</v>
      </c>
      <c r="C1048" s="17">
        <v>24</v>
      </c>
      <c r="D1048" s="18" t="s">
        <v>63</v>
      </c>
      <c r="E1048" s="19">
        <v>46185</v>
      </c>
      <c r="F1048" s="18" t="s">
        <v>57</v>
      </c>
      <c r="G1048" s="18" t="s">
        <v>58</v>
      </c>
      <c r="H1048" s="17">
        <v>666541</v>
      </c>
      <c r="I1048" s="18" t="s">
        <v>41</v>
      </c>
      <c r="J1048" s="20">
        <v>20</v>
      </c>
    </row>
    <row r="1049" spans="1:10" ht="15" customHeight="1" x14ac:dyDescent="0.75">
      <c r="A1049" s="18" t="s">
        <v>88</v>
      </c>
      <c r="B1049" s="19">
        <v>46188</v>
      </c>
      <c r="C1049" s="17">
        <v>25</v>
      </c>
      <c r="D1049" s="18" t="s">
        <v>54</v>
      </c>
      <c r="E1049" s="19">
        <v>46188</v>
      </c>
      <c r="F1049" s="18" t="s">
        <v>65</v>
      </c>
      <c r="G1049" s="18" t="s">
        <v>56</v>
      </c>
      <c r="H1049" s="17">
        <v>666501</v>
      </c>
      <c r="I1049" s="18" t="s">
        <v>5</v>
      </c>
      <c r="J1049" s="20">
        <v>42</v>
      </c>
    </row>
    <row r="1050" spans="1:10" ht="15" customHeight="1" x14ac:dyDescent="0.75">
      <c r="A1050" s="18" t="s">
        <v>88</v>
      </c>
      <c r="B1050" s="19">
        <v>46188</v>
      </c>
      <c r="C1050" s="17">
        <v>25</v>
      </c>
      <c r="D1050" s="18" t="s">
        <v>54</v>
      </c>
      <c r="E1050" s="19">
        <v>46188</v>
      </c>
      <c r="F1050" s="18" t="s">
        <v>65</v>
      </c>
      <c r="G1050" s="18" t="s">
        <v>56</v>
      </c>
      <c r="H1050" s="17">
        <v>666505</v>
      </c>
      <c r="I1050" s="18" t="s">
        <v>9</v>
      </c>
      <c r="J1050" s="20">
        <v>13</v>
      </c>
    </row>
    <row r="1051" spans="1:10" ht="15" customHeight="1" x14ac:dyDescent="0.75">
      <c r="A1051" s="18" t="s">
        <v>88</v>
      </c>
      <c r="B1051" s="19">
        <v>46188</v>
      </c>
      <c r="C1051" s="17">
        <v>25</v>
      </c>
      <c r="D1051" s="18" t="s">
        <v>54</v>
      </c>
      <c r="E1051" s="19">
        <v>46188</v>
      </c>
      <c r="F1051" s="18" t="s">
        <v>65</v>
      </c>
      <c r="G1051" s="18" t="s">
        <v>56</v>
      </c>
      <c r="H1051" s="17">
        <v>666509</v>
      </c>
      <c r="I1051" s="18" t="s">
        <v>15</v>
      </c>
      <c r="J1051" s="20">
        <v>8</v>
      </c>
    </row>
    <row r="1052" spans="1:10" ht="15" customHeight="1" x14ac:dyDescent="0.75">
      <c r="A1052" s="18" t="s">
        <v>88</v>
      </c>
      <c r="B1052" s="19">
        <v>46188</v>
      </c>
      <c r="C1052" s="17">
        <v>25</v>
      </c>
      <c r="D1052" s="18" t="s">
        <v>54</v>
      </c>
      <c r="E1052" s="19">
        <v>46188</v>
      </c>
      <c r="F1052" s="18" t="s">
        <v>65</v>
      </c>
      <c r="G1052" s="18" t="s">
        <v>56</v>
      </c>
      <c r="H1052" s="17">
        <v>666513</v>
      </c>
      <c r="I1052" s="18" t="s">
        <v>21</v>
      </c>
      <c r="J1052" s="20">
        <v>14</v>
      </c>
    </row>
    <row r="1053" spans="1:10" ht="15" customHeight="1" x14ac:dyDescent="0.75">
      <c r="A1053" s="18" t="s">
        <v>88</v>
      </c>
      <c r="B1053" s="19">
        <v>46188</v>
      </c>
      <c r="C1053" s="17">
        <v>25</v>
      </c>
      <c r="D1053" s="18" t="s">
        <v>54</v>
      </c>
      <c r="E1053" s="19">
        <v>46188</v>
      </c>
      <c r="F1053" s="18" t="s">
        <v>65</v>
      </c>
      <c r="G1053" s="18" t="s">
        <v>56</v>
      </c>
      <c r="H1053" s="17">
        <v>666516</v>
      </c>
      <c r="I1053" s="18" t="s">
        <v>23</v>
      </c>
      <c r="J1053" s="20">
        <v>16</v>
      </c>
    </row>
    <row r="1054" spans="1:10" ht="15" customHeight="1" x14ac:dyDescent="0.75">
      <c r="A1054" s="18" t="s">
        <v>88</v>
      </c>
      <c r="B1054" s="19">
        <v>46188</v>
      </c>
      <c r="C1054" s="17">
        <v>25</v>
      </c>
      <c r="D1054" s="18" t="s">
        <v>54</v>
      </c>
      <c r="E1054" s="19">
        <v>46188</v>
      </c>
      <c r="F1054" s="18" t="s">
        <v>65</v>
      </c>
      <c r="G1054" s="18" t="s">
        <v>56</v>
      </c>
      <c r="H1054" s="17">
        <v>666517</v>
      </c>
      <c r="I1054" s="18" t="s">
        <v>25</v>
      </c>
      <c r="J1054" s="20">
        <v>22</v>
      </c>
    </row>
    <row r="1055" spans="1:10" ht="15" customHeight="1" x14ac:dyDescent="0.75">
      <c r="A1055" s="18" t="s">
        <v>88</v>
      </c>
      <c r="B1055" s="19">
        <v>46188</v>
      </c>
      <c r="C1055" s="17">
        <v>25</v>
      </c>
      <c r="D1055" s="18" t="s">
        <v>54</v>
      </c>
      <c r="E1055" s="19">
        <v>46188</v>
      </c>
      <c r="F1055" s="18" t="s">
        <v>65</v>
      </c>
      <c r="G1055" s="18" t="s">
        <v>56</v>
      </c>
      <c r="H1055" s="17">
        <v>666519</v>
      </c>
      <c r="I1055" s="18" t="s">
        <v>29</v>
      </c>
      <c r="J1055" s="20">
        <v>22</v>
      </c>
    </row>
    <row r="1056" spans="1:10" ht="15" customHeight="1" x14ac:dyDescent="0.75">
      <c r="A1056" s="18" t="s">
        <v>88</v>
      </c>
      <c r="B1056" s="19">
        <v>46188</v>
      </c>
      <c r="C1056" s="17">
        <v>25</v>
      </c>
      <c r="D1056" s="18" t="s">
        <v>54</v>
      </c>
      <c r="E1056" s="19">
        <v>46188</v>
      </c>
      <c r="F1056" s="18" t="s">
        <v>65</v>
      </c>
      <c r="G1056" s="18" t="s">
        <v>56</v>
      </c>
      <c r="H1056" s="17">
        <v>666521</v>
      </c>
      <c r="I1056" s="18" t="s">
        <v>31</v>
      </c>
      <c r="J1056" s="20">
        <v>17</v>
      </c>
    </row>
    <row r="1057" spans="1:10" ht="15" customHeight="1" x14ac:dyDescent="0.75">
      <c r="A1057" s="18" t="s">
        <v>88</v>
      </c>
      <c r="B1057" s="19">
        <v>46188</v>
      </c>
      <c r="C1057" s="17">
        <v>25</v>
      </c>
      <c r="D1057" s="18" t="s">
        <v>54</v>
      </c>
      <c r="E1057" s="19">
        <v>46188</v>
      </c>
      <c r="F1057" s="18" t="s">
        <v>65</v>
      </c>
      <c r="G1057" s="18" t="s">
        <v>56</v>
      </c>
      <c r="H1057" s="17">
        <v>666522</v>
      </c>
      <c r="I1057" s="18" t="s">
        <v>33</v>
      </c>
      <c r="J1057" s="20">
        <v>35</v>
      </c>
    </row>
    <row r="1058" spans="1:10" ht="15" customHeight="1" x14ac:dyDescent="0.75">
      <c r="A1058" s="18" t="s">
        <v>88</v>
      </c>
      <c r="B1058" s="19">
        <v>46188</v>
      </c>
      <c r="C1058" s="17">
        <v>25</v>
      </c>
      <c r="D1058" s="18" t="s">
        <v>54</v>
      </c>
      <c r="E1058" s="19">
        <v>46188</v>
      </c>
      <c r="F1058" s="18" t="s">
        <v>65</v>
      </c>
      <c r="G1058" s="18" t="s">
        <v>56</v>
      </c>
      <c r="H1058" s="17">
        <v>666531</v>
      </c>
      <c r="I1058" s="18" t="s">
        <v>39</v>
      </c>
      <c r="J1058" s="20">
        <v>5</v>
      </c>
    </row>
    <row r="1059" spans="1:10" ht="15" customHeight="1" x14ac:dyDescent="0.75">
      <c r="A1059" s="18" t="s">
        <v>88</v>
      </c>
      <c r="B1059" s="19">
        <v>46188</v>
      </c>
      <c r="C1059" s="17">
        <v>25</v>
      </c>
      <c r="D1059" s="18" t="s">
        <v>54</v>
      </c>
      <c r="E1059" s="19">
        <v>46188</v>
      </c>
      <c r="F1059" s="18" t="s">
        <v>57</v>
      </c>
      <c r="G1059" s="18" t="s">
        <v>58</v>
      </c>
      <c r="H1059" s="17">
        <v>666501</v>
      </c>
      <c r="I1059" s="18" t="s">
        <v>5</v>
      </c>
      <c r="J1059" s="20">
        <v>141</v>
      </c>
    </row>
    <row r="1060" spans="1:10" ht="15" customHeight="1" x14ac:dyDescent="0.75">
      <c r="A1060" s="18" t="s">
        <v>88</v>
      </c>
      <c r="B1060" s="19">
        <v>46188</v>
      </c>
      <c r="C1060" s="17">
        <v>25</v>
      </c>
      <c r="D1060" s="18" t="s">
        <v>54</v>
      </c>
      <c r="E1060" s="19">
        <v>46188</v>
      </c>
      <c r="F1060" s="18" t="s">
        <v>57</v>
      </c>
      <c r="G1060" s="18" t="s">
        <v>58</v>
      </c>
      <c r="H1060" s="17">
        <v>666502</v>
      </c>
      <c r="I1060" s="18" t="s">
        <v>7</v>
      </c>
      <c r="J1060" s="20">
        <v>30</v>
      </c>
    </row>
    <row r="1061" spans="1:10" ht="15" customHeight="1" x14ac:dyDescent="0.75">
      <c r="A1061" s="18" t="s">
        <v>88</v>
      </c>
      <c r="B1061" s="19">
        <v>46188</v>
      </c>
      <c r="C1061" s="17">
        <v>25</v>
      </c>
      <c r="D1061" s="18" t="s">
        <v>54</v>
      </c>
      <c r="E1061" s="19">
        <v>46188</v>
      </c>
      <c r="F1061" s="18" t="s">
        <v>57</v>
      </c>
      <c r="G1061" s="18" t="s">
        <v>58</v>
      </c>
      <c r="H1061" s="17">
        <v>666506</v>
      </c>
      <c r="I1061" s="18" t="s">
        <v>11</v>
      </c>
      <c r="J1061" s="20">
        <v>34</v>
      </c>
    </row>
    <row r="1062" spans="1:10" ht="15" customHeight="1" x14ac:dyDescent="0.75">
      <c r="A1062" s="18" t="s">
        <v>88</v>
      </c>
      <c r="B1062" s="19">
        <v>46188</v>
      </c>
      <c r="C1062" s="17">
        <v>25</v>
      </c>
      <c r="D1062" s="18" t="s">
        <v>54</v>
      </c>
      <c r="E1062" s="19">
        <v>46188</v>
      </c>
      <c r="F1062" s="18" t="s">
        <v>57</v>
      </c>
      <c r="G1062" s="18" t="s">
        <v>58</v>
      </c>
      <c r="H1062" s="17">
        <v>666541</v>
      </c>
      <c r="I1062" s="18" t="s">
        <v>41</v>
      </c>
      <c r="J1062" s="20">
        <v>19</v>
      </c>
    </row>
    <row r="1063" spans="1:10" ht="15" customHeight="1" x14ac:dyDescent="0.75">
      <c r="A1063" s="18" t="s">
        <v>88</v>
      </c>
      <c r="B1063" s="19">
        <v>46188</v>
      </c>
      <c r="C1063" s="17">
        <v>25</v>
      </c>
      <c r="D1063" s="18" t="s">
        <v>54</v>
      </c>
      <c r="E1063" s="19">
        <v>46188</v>
      </c>
      <c r="F1063" s="18" t="s">
        <v>55</v>
      </c>
      <c r="G1063" s="18" t="s">
        <v>66</v>
      </c>
      <c r="H1063" s="17">
        <v>666505</v>
      </c>
      <c r="I1063" s="18" t="s">
        <v>9</v>
      </c>
      <c r="J1063" s="20">
        <v>14</v>
      </c>
    </row>
    <row r="1064" spans="1:10" ht="15" customHeight="1" x14ac:dyDescent="0.75">
      <c r="A1064" s="18" t="s">
        <v>88</v>
      </c>
      <c r="B1064" s="19">
        <v>46188</v>
      </c>
      <c r="C1064" s="17">
        <v>25</v>
      </c>
      <c r="D1064" s="18" t="s">
        <v>54</v>
      </c>
      <c r="E1064" s="19">
        <v>46188</v>
      </c>
      <c r="F1064" s="18" t="s">
        <v>55</v>
      </c>
      <c r="G1064" s="18" t="s">
        <v>66</v>
      </c>
      <c r="H1064" s="17">
        <v>666513</v>
      </c>
      <c r="I1064" s="18" t="s">
        <v>21</v>
      </c>
      <c r="J1064" s="20">
        <v>17</v>
      </c>
    </row>
    <row r="1065" spans="1:10" ht="15" customHeight="1" x14ac:dyDescent="0.75">
      <c r="A1065" s="18" t="s">
        <v>88</v>
      </c>
      <c r="B1065" s="19">
        <v>46188</v>
      </c>
      <c r="C1065" s="17">
        <v>25</v>
      </c>
      <c r="D1065" s="18" t="s">
        <v>54</v>
      </c>
      <c r="E1065" s="19">
        <v>46188</v>
      </c>
      <c r="F1065" s="18" t="s">
        <v>55</v>
      </c>
      <c r="G1065" s="18" t="s">
        <v>66</v>
      </c>
      <c r="H1065" s="17">
        <v>666516</v>
      </c>
      <c r="I1065" s="18" t="s">
        <v>23</v>
      </c>
      <c r="J1065" s="20">
        <v>8</v>
      </c>
    </row>
    <row r="1066" spans="1:10" ht="15" customHeight="1" x14ac:dyDescent="0.75">
      <c r="A1066" s="18" t="s">
        <v>88</v>
      </c>
      <c r="B1066" s="19">
        <v>46188</v>
      </c>
      <c r="C1066" s="17">
        <v>25</v>
      </c>
      <c r="D1066" s="18" t="s">
        <v>54</v>
      </c>
      <c r="E1066" s="19">
        <v>46188</v>
      </c>
      <c r="F1066" s="18" t="s">
        <v>55</v>
      </c>
      <c r="G1066" s="18" t="s">
        <v>66</v>
      </c>
      <c r="H1066" s="17">
        <v>666517</v>
      </c>
      <c r="I1066" s="18" t="s">
        <v>25</v>
      </c>
      <c r="J1066" s="20">
        <v>5</v>
      </c>
    </row>
    <row r="1067" spans="1:10" ht="15" customHeight="1" x14ac:dyDescent="0.75">
      <c r="A1067" s="18" t="s">
        <v>88</v>
      </c>
      <c r="B1067" s="19">
        <v>46188</v>
      </c>
      <c r="C1067" s="17">
        <v>25</v>
      </c>
      <c r="D1067" s="18" t="s">
        <v>54</v>
      </c>
      <c r="E1067" s="19">
        <v>46188</v>
      </c>
      <c r="F1067" s="18" t="s">
        <v>55</v>
      </c>
      <c r="G1067" s="18" t="s">
        <v>66</v>
      </c>
      <c r="H1067" s="17">
        <v>666519</v>
      </c>
      <c r="I1067" s="18" t="s">
        <v>29</v>
      </c>
      <c r="J1067" s="20">
        <v>11</v>
      </c>
    </row>
    <row r="1068" spans="1:10" ht="15" customHeight="1" x14ac:dyDescent="0.75">
      <c r="A1068" s="18" t="s">
        <v>88</v>
      </c>
      <c r="B1068" s="19">
        <v>46188</v>
      </c>
      <c r="C1068" s="17">
        <v>25</v>
      </c>
      <c r="D1068" s="18" t="s">
        <v>54</v>
      </c>
      <c r="E1068" s="19">
        <v>46188</v>
      </c>
      <c r="F1068" s="18" t="s">
        <v>55</v>
      </c>
      <c r="G1068" s="18" t="s">
        <v>66</v>
      </c>
      <c r="H1068" s="17">
        <v>666522</v>
      </c>
      <c r="I1068" s="18" t="s">
        <v>33</v>
      </c>
      <c r="J1068" s="20">
        <v>30</v>
      </c>
    </row>
    <row r="1069" spans="1:10" ht="15" customHeight="1" x14ac:dyDescent="0.75">
      <c r="A1069" s="18" t="s">
        <v>88</v>
      </c>
      <c r="B1069" s="19">
        <v>46188</v>
      </c>
      <c r="C1069" s="17">
        <v>25</v>
      </c>
      <c r="D1069" s="18" t="s">
        <v>54</v>
      </c>
      <c r="E1069" s="19">
        <v>46188</v>
      </c>
      <c r="F1069" s="18" t="s">
        <v>55</v>
      </c>
      <c r="G1069" s="18" t="s">
        <v>66</v>
      </c>
      <c r="H1069" s="17">
        <v>666523</v>
      </c>
      <c r="I1069" s="18" t="s">
        <v>35</v>
      </c>
      <c r="J1069" s="20">
        <v>14</v>
      </c>
    </row>
    <row r="1070" spans="1:10" ht="15" customHeight="1" x14ac:dyDescent="0.75">
      <c r="A1070" s="18" t="s">
        <v>88</v>
      </c>
      <c r="B1070" s="19">
        <v>46188</v>
      </c>
      <c r="C1070" s="17">
        <v>25</v>
      </c>
      <c r="D1070" s="18" t="s">
        <v>54</v>
      </c>
      <c r="E1070" s="19">
        <v>46188</v>
      </c>
      <c r="F1070" s="18" t="s">
        <v>55</v>
      </c>
      <c r="G1070" s="18" t="s">
        <v>66</v>
      </c>
      <c r="H1070" s="17">
        <v>666531</v>
      </c>
      <c r="I1070" s="18" t="s">
        <v>39</v>
      </c>
      <c r="J1070" s="20">
        <v>3</v>
      </c>
    </row>
    <row r="1071" spans="1:10" ht="15" customHeight="1" x14ac:dyDescent="0.75">
      <c r="A1071" s="18" t="s">
        <v>88</v>
      </c>
      <c r="B1071" s="19">
        <v>46188</v>
      </c>
      <c r="C1071" s="17">
        <v>25</v>
      </c>
      <c r="D1071" s="18" t="s">
        <v>59</v>
      </c>
      <c r="E1071" s="19">
        <v>46189</v>
      </c>
      <c r="F1071" s="18" t="s">
        <v>57</v>
      </c>
      <c r="G1071" s="18" t="s">
        <v>58</v>
      </c>
      <c r="H1071" s="17">
        <v>666501</v>
      </c>
      <c r="I1071" s="18" t="s">
        <v>5</v>
      </c>
      <c r="J1071" s="20">
        <v>98</v>
      </c>
    </row>
    <row r="1072" spans="1:10" ht="15" customHeight="1" x14ac:dyDescent="0.75">
      <c r="A1072" s="18" t="s">
        <v>88</v>
      </c>
      <c r="B1072" s="19">
        <v>46188</v>
      </c>
      <c r="C1072" s="17">
        <v>25</v>
      </c>
      <c r="D1072" s="18" t="s">
        <v>59</v>
      </c>
      <c r="E1072" s="19">
        <v>46189</v>
      </c>
      <c r="F1072" s="18" t="s">
        <v>57</v>
      </c>
      <c r="G1072" s="18" t="s">
        <v>58</v>
      </c>
      <c r="H1072" s="17">
        <v>666502</v>
      </c>
      <c r="I1072" s="18" t="s">
        <v>7</v>
      </c>
      <c r="J1072" s="20">
        <v>30</v>
      </c>
    </row>
    <row r="1073" spans="1:10" ht="15" customHeight="1" x14ac:dyDescent="0.75">
      <c r="A1073" s="18" t="s">
        <v>88</v>
      </c>
      <c r="B1073" s="19">
        <v>46188</v>
      </c>
      <c r="C1073" s="17">
        <v>25</v>
      </c>
      <c r="D1073" s="18" t="s">
        <v>59</v>
      </c>
      <c r="E1073" s="19">
        <v>46189</v>
      </c>
      <c r="F1073" s="18" t="s">
        <v>57</v>
      </c>
      <c r="G1073" s="18" t="s">
        <v>58</v>
      </c>
      <c r="H1073" s="17">
        <v>666506</v>
      </c>
      <c r="I1073" s="18" t="s">
        <v>11</v>
      </c>
      <c r="J1073" s="20">
        <v>69</v>
      </c>
    </row>
    <row r="1074" spans="1:10" ht="15" customHeight="1" x14ac:dyDescent="0.75">
      <c r="A1074" s="18" t="s">
        <v>88</v>
      </c>
      <c r="B1074" s="19">
        <v>46188</v>
      </c>
      <c r="C1074" s="17">
        <v>25</v>
      </c>
      <c r="D1074" s="18" t="s">
        <v>59</v>
      </c>
      <c r="E1074" s="19">
        <v>46189</v>
      </c>
      <c r="F1074" s="18" t="s">
        <v>57</v>
      </c>
      <c r="G1074" s="18" t="s">
        <v>58</v>
      </c>
      <c r="H1074" s="17">
        <v>666541</v>
      </c>
      <c r="I1074" s="18" t="s">
        <v>41</v>
      </c>
      <c r="J1074" s="20">
        <v>65</v>
      </c>
    </row>
    <row r="1075" spans="1:10" ht="15" customHeight="1" x14ac:dyDescent="0.75">
      <c r="A1075" s="18" t="s">
        <v>88</v>
      </c>
      <c r="B1075" s="19">
        <v>46188</v>
      </c>
      <c r="C1075" s="17">
        <v>25</v>
      </c>
      <c r="D1075" s="18" t="s">
        <v>59</v>
      </c>
      <c r="E1075" s="19">
        <v>46189</v>
      </c>
      <c r="F1075" s="18" t="s">
        <v>55</v>
      </c>
      <c r="G1075" s="18" t="s">
        <v>66</v>
      </c>
      <c r="H1075" s="17">
        <v>666501</v>
      </c>
      <c r="I1075" s="18" t="s">
        <v>5</v>
      </c>
      <c r="J1075" s="20">
        <v>18</v>
      </c>
    </row>
    <row r="1076" spans="1:10" ht="15" customHeight="1" x14ac:dyDescent="0.75">
      <c r="A1076" s="18" t="s">
        <v>88</v>
      </c>
      <c r="B1076" s="19">
        <v>46188</v>
      </c>
      <c r="C1076" s="17">
        <v>25</v>
      </c>
      <c r="D1076" s="18" t="s">
        <v>59</v>
      </c>
      <c r="E1076" s="19">
        <v>46189</v>
      </c>
      <c r="F1076" s="18" t="s">
        <v>55</v>
      </c>
      <c r="G1076" s="18" t="s">
        <v>66</v>
      </c>
      <c r="H1076" s="17">
        <v>666502</v>
      </c>
      <c r="I1076" s="18" t="s">
        <v>7</v>
      </c>
      <c r="J1076" s="20">
        <v>15</v>
      </c>
    </row>
    <row r="1077" spans="1:10" ht="15" customHeight="1" x14ac:dyDescent="0.75">
      <c r="A1077" s="18" t="s">
        <v>88</v>
      </c>
      <c r="B1077" s="19">
        <v>46188</v>
      </c>
      <c r="C1077" s="17">
        <v>25</v>
      </c>
      <c r="D1077" s="18" t="s">
        <v>59</v>
      </c>
      <c r="E1077" s="19">
        <v>46189</v>
      </c>
      <c r="F1077" s="18" t="s">
        <v>55</v>
      </c>
      <c r="G1077" s="18" t="s">
        <v>66</v>
      </c>
      <c r="H1077" s="17">
        <v>666505</v>
      </c>
      <c r="I1077" s="18" t="s">
        <v>9</v>
      </c>
      <c r="J1077" s="20">
        <v>13</v>
      </c>
    </row>
    <row r="1078" spans="1:10" ht="15" customHeight="1" x14ac:dyDescent="0.75">
      <c r="A1078" s="18" t="s">
        <v>88</v>
      </c>
      <c r="B1078" s="19">
        <v>46188</v>
      </c>
      <c r="C1078" s="17">
        <v>25</v>
      </c>
      <c r="D1078" s="18" t="s">
        <v>59</v>
      </c>
      <c r="E1078" s="19">
        <v>46189</v>
      </c>
      <c r="F1078" s="18" t="s">
        <v>55</v>
      </c>
      <c r="G1078" s="18" t="s">
        <v>66</v>
      </c>
      <c r="H1078" s="17">
        <v>666513</v>
      </c>
      <c r="I1078" s="18" t="s">
        <v>21</v>
      </c>
      <c r="J1078" s="20">
        <v>17</v>
      </c>
    </row>
    <row r="1079" spans="1:10" ht="15" customHeight="1" x14ac:dyDescent="0.75">
      <c r="A1079" s="18" t="s">
        <v>88</v>
      </c>
      <c r="B1079" s="19">
        <v>46188</v>
      </c>
      <c r="C1079" s="17">
        <v>25</v>
      </c>
      <c r="D1079" s="18" t="s">
        <v>59</v>
      </c>
      <c r="E1079" s="19">
        <v>46189</v>
      </c>
      <c r="F1079" s="18" t="s">
        <v>55</v>
      </c>
      <c r="G1079" s="18" t="s">
        <v>66</v>
      </c>
      <c r="H1079" s="17">
        <v>666516</v>
      </c>
      <c r="I1079" s="18" t="s">
        <v>23</v>
      </c>
      <c r="J1079" s="20">
        <v>8</v>
      </c>
    </row>
    <row r="1080" spans="1:10" ht="15" customHeight="1" x14ac:dyDescent="0.75">
      <c r="A1080" s="18" t="s">
        <v>88</v>
      </c>
      <c r="B1080" s="19">
        <v>46188</v>
      </c>
      <c r="C1080" s="17">
        <v>25</v>
      </c>
      <c r="D1080" s="18" t="s">
        <v>59</v>
      </c>
      <c r="E1080" s="19">
        <v>46189</v>
      </c>
      <c r="F1080" s="18" t="s">
        <v>55</v>
      </c>
      <c r="G1080" s="18" t="s">
        <v>66</v>
      </c>
      <c r="H1080" s="17">
        <v>666517</v>
      </c>
      <c r="I1080" s="18" t="s">
        <v>25</v>
      </c>
      <c r="J1080" s="20">
        <v>5</v>
      </c>
    </row>
    <row r="1081" spans="1:10" ht="15" customHeight="1" x14ac:dyDescent="0.75">
      <c r="A1081" s="18" t="s">
        <v>88</v>
      </c>
      <c r="B1081" s="19">
        <v>46188</v>
      </c>
      <c r="C1081" s="17">
        <v>25</v>
      </c>
      <c r="D1081" s="18" t="s">
        <v>59</v>
      </c>
      <c r="E1081" s="19">
        <v>46189</v>
      </c>
      <c r="F1081" s="18" t="s">
        <v>55</v>
      </c>
      <c r="G1081" s="18" t="s">
        <v>66</v>
      </c>
      <c r="H1081" s="17">
        <v>666519</v>
      </c>
      <c r="I1081" s="18" t="s">
        <v>29</v>
      </c>
      <c r="J1081" s="20">
        <v>11</v>
      </c>
    </row>
    <row r="1082" spans="1:10" ht="15" customHeight="1" x14ac:dyDescent="0.75">
      <c r="A1082" s="18" t="s">
        <v>88</v>
      </c>
      <c r="B1082" s="19">
        <v>46188</v>
      </c>
      <c r="C1082" s="17">
        <v>25</v>
      </c>
      <c r="D1082" s="18" t="s">
        <v>59</v>
      </c>
      <c r="E1082" s="19">
        <v>46189</v>
      </c>
      <c r="F1082" s="18" t="s">
        <v>55</v>
      </c>
      <c r="G1082" s="18" t="s">
        <v>66</v>
      </c>
      <c r="H1082" s="17">
        <v>666522</v>
      </c>
      <c r="I1082" s="18" t="s">
        <v>33</v>
      </c>
      <c r="J1082" s="20">
        <v>30</v>
      </c>
    </row>
    <row r="1083" spans="1:10" ht="15" customHeight="1" x14ac:dyDescent="0.75">
      <c r="A1083" s="18" t="s">
        <v>88</v>
      </c>
      <c r="B1083" s="19">
        <v>46188</v>
      </c>
      <c r="C1083" s="17">
        <v>25</v>
      </c>
      <c r="D1083" s="18" t="s">
        <v>59</v>
      </c>
      <c r="E1083" s="19">
        <v>46189</v>
      </c>
      <c r="F1083" s="18" t="s">
        <v>55</v>
      </c>
      <c r="G1083" s="18" t="s">
        <v>66</v>
      </c>
      <c r="H1083" s="17">
        <v>666523</v>
      </c>
      <c r="I1083" s="18" t="s">
        <v>35</v>
      </c>
      <c r="J1083" s="20">
        <v>14</v>
      </c>
    </row>
    <row r="1084" spans="1:10" ht="15" customHeight="1" x14ac:dyDescent="0.75">
      <c r="A1084" s="18" t="s">
        <v>88</v>
      </c>
      <c r="B1084" s="19">
        <v>46188</v>
      </c>
      <c r="C1084" s="17">
        <v>25</v>
      </c>
      <c r="D1084" s="18" t="s">
        <v>59</v>
      </c>
      <c r="E1084" s="19">
        <v>46189</v>
      </c>
      <c r="F1084" s="18" t="s">
        <v>55</v>
      </c>
      <c r="G1084" s="18" t="s">
        <v>66</v>
      </c>
      <c r="H1084" s="17">
        <v>666531</v>
      </c>
      <c r="I1084" s="18" t="s">
        <v>39</v>
      </c>
      <c r="J1084" s="20">
        <v>3</v>
      </c>
    </row>
    <row r="1085" spans="1:10" ht="15" customHeight="1" x14ac:dyDescent="0.75">
      <c r="A1085" s="18" t="s">
        <v>88</v>
      </c>
      <c r="B1085" s="19">
        <v>46188</v>
      </c>
      <c r="C1085" s="17">
        <v>25</v>
      </c>
      <c r="D1085" s="18" t="s">
        <v>62</v>
      </c>
      <c r="E1085" s="19">
        <v>46191</v>
      </c>
      <c r="F1085" s="18" t="s">
        <v>65</v>
      </c>
      <c r="G1085" s="18" t="s">
        <v>56</v>
      </c>
      <c r="H1085" s="17">
        <v>666509</v>
      </c>
      <c r="I1085" s="18" t="s">
        <v>15</v>
      </c>
      <c r="J1085" s="20">
        <v>12</v>
      </c>
    </row>
    <row r="1086" spans="1:10" ht="15" customHeight="1" x14ac:dyDescent="0.75">
      <c r="A1086" s="18" t="s">
        <v>88</v>
      </c>
      <c r="B1086" s="19">
        <v>46188</v>
      </c>
      <c r="C1086" s="17">
        <v>25</v>
      </c>
      <c r="D1086" s="18" t="s">
        <v>62</v>
      </c>
      <c r="E1086" s="19">
        <v>46191</v>
      </c>
      <c r="F1086" s="18" t="s">
        <v>65</v>
      </c>
      <c r="G1086" s="18" t="s">
        <v>56</v>
      </c>
      <c r="H1086" s="17">
        <v>666521</v>
      </c>
      <c r="I1086" s="18" t="s">
        <v>31</v>
      </c>
      <c r="J1086" s="20">
        <v>7</v>
      </c>
    </row>
    <row r="1087" spans="1:10" ht="15" customHeight="1" x14ac:dyDescent="0.75">
      <c r="A1087" s="18" t="s">
        <v>88</v>
      </c>
      <c r="B1087" s="19">
        <v>46188</v>
      </c>
      <c r="C1087" s="17">
        <v>25</v>
      </c>
      <c r="D1087" s="18" t="s">
        <v>62</v>
      </c>
      <c r="E1087" s="19">
        <v>46191</v>
      </c>
      <c r="F1087" s="18" t="s">
        <v>65</v>
      </c>
      <c r="G1087" s="18" t="s">
        <v>56</v>
      </c>
      <c r="H1087" s="17">
        <v>666522</v>
      </c>
      <c r="I1087" s="18" t="s">
        <v>33</v>
      </c>
      <c r="J1087" s="20">
        <v>20</v>
      </c>
    </row>
    <row r="1088" spans="1:10" ht="15" customHeight="1" x14ac:dyDescent="0.75">
      <c r="A1088" s="18" t="s">
        <v>88</v>
      </c>
      <c r="B1088" s="19">
        <v>46188</v>
      </c>
      <c r="C1088" s="17">
        <v>25</v>
      </c>
      <c r="D1088" s="18" t="s">
        <v>62</v>
      </c>
      <c r="E1088" s="19">
        <v>46191</v>
      </c>
      <c r="F1088" s="18" t="s">
        <v>65</v>
      </c>
      <c r="G1088" s="18" t="s">
        <v>56</v>
      </c>
      <c r="H1088" s="17">
        <v>666531</v>
      </c>
      <c r="I1088" s="18" t="s">
        <v>39</v>
      </c>
      <c r="J1088" s="20">
        <v>3</v>
      </c>
    </row>
    <row r="1089" spans="1:10" ht="15" customHeight="1" x14ac:dyDescent="0.75">
      <c r="A1089" s="18" t="s">
        <v>88</v>
      </c>
      <c r="B1089" s="19">
        <v>46188</v>
      </c>
      <c r="C1089" s="17">
        <v>25</v>
      </c>
      <c r="D1089" s="18" t="s">
        <v>62</v>
      </c>
      <c r="E1089" s="19">
        <v>46191</v>
      </c>
      <c r="F1089" s="18" t="s">
        <v>57</v>
      </c>
      <c r="G1089" s="18" t="s">
        <v>58</v>
      </c>
      <c r="H1089" s="17">
        <v>666502</v>
      </c>
      <c r="I1089" s="18" t="s">
        <v>7</v>
      </c>
      <c r="J1089" s="20">
        <v>31</v>
      </c>
    </row>
    <row r="1090" spans="1:10" ht="15" customHeight="1" x14ac:dyDescent="0.75">
      <c r="A1090" s="18" t="s">
        <v>88</v>
      </c>
      <c r="B1090" s="19">
        <v>46188</v>
      </c>
      <c r="C1090" s="17">
        <v>25</v>
      </c>
      <c r="D1090" s="18" t="s">
        <v>62</v>
      </c>
      <c r="E1090" s="19">
        <v>46191</v>
      </c>
      <c r="F1090" s="18" t="s">
        <v>57</v>
      </c>
      <c r="G1090" s="18" t="s">
        <v>58</v>
      </c>
      <c r="H1090" s="17">
        <v>666506</v>
      </c>
      <c r="I1090" s="18" t="s">
        <v>11</v>
      </c>
      <c r="J1090" s="20">
        <v>29</v>
      </c>
    </row>
    <row r="1091" spans="1:10" ht="15" customHeight="1" x14ac:dyDescent="0.75">
      <c r="A1091" s="18" t="s">
        <v>88</v>
      </c>
      <c r="B1091" s="19">
        <v>46188</v>
      </c>
      <c r="C1091" s="17">
        <v>25</v>
      </c>
      <c r="D1091" s="18" t="s">
        <v>62</v>
      </c>
      <c r="E1091" s="19">
        <v>46191</v>
      </c>
      <c r="F1091" s="18" t="s">
        <v>57</v>
      </c>
      <c r="G1091" s="18" t="s">
        <v>58</v>
      </c>
      <c r="H1091" s="17">
        <v>666541</v>
      </c>
      <c r="I1091" s="18" t="s">
        <v>41</v>
      </c>
      <c r="J1091" s="20">
        <v>26</v>
      </c>
    </row>
    <row r="1092" spans="1:10" ht="15" customHeight="1" x14ac:dyDescent="0.75">
      <c r="A1092" s="18" t="s">
        <v>88</v>
      </c>
      <c r="B1092" s="19">
        <v>46188</v>
      </c>
      <c r="C1092" s="17">
        <v>25</v>
      </c>
      <c r="D1092" s="18" t="s">
        <v>62</v>
      </c>
      <c r="E1092" s="19">
        <v>46191</v>
      </c>
      <c r="F1092" s="18" t="s">
        <v>55</v>
      </c>
      <c r="G1092" s="18" t="s">
        <v>66</v>
      </c>
      <c r="H1092" s="17">
        <v>666502</v>
      </c>
      <c r="I1092" s="18" t="s">
        <v>7</v>
      </c>
      <c r="J1092" s="20">
        <v>30</v>
      </c>
    </row>
    <row r="1093" spans="1:10" ht="15" customHeight="1" x14ac:dyDescent="0.75">
      <c r="A1093" s="18" t="s">
        <v>88</v>
      </c>
      <c r="B1093" s="19">
        <v>46188</v>
      </c>
      <c r="C1093" s="17">
        <v>25</v>
      </c>
      <c r="D1093" s="18" t="s">
        <v>62</v>
      </c>
      <c r="E1093" s="19">
        <v>46191</v>
      </c>
      <c r="F1093" s="18" t="s">
        <v>55</v>
      </c>
      <c r="G1093" s="18" t="s">
        <v>66</v>
      </c>
      <c r="H1093" s="17">
        <v>666522</v>
      </c>
      <c r="I1093" s="18" t="s">
        <v>33</v>
      </c>
      <c r="J1093" s="20">
        <v>65</v>
      </c>
    </row>
  </sheetData>
  <autoFilter ref="A1:J1093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24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M30" sqref="M30"/>
    </sheetView>
  </sheetViews>
  <sheetFormatPr defaultColWidth="8.54296875" defaultRowHeight="14.75" x14ac:dyDescent="0.75"/>
  <cols>
    <col min="1" max="1" width="16" customWidth="1"/>
    <col min="2" max="26" width="10.6796875" customWidth="1"/>
    <col min="27" max="27" width="8" customWidth="1"/>
  </cols>
  <sheetData>
    <row r="1" spans="1:27" ht="15.75" customHeight="1" x14ac:dyDescent="0.75">
      <c r="A1" s="15" t="s">
        <v>98</v>
      </c>
    </row>
    <row r="3" spans="1:27" ht="15" customHeight="1" x14ac:dyDescent="0.75">
      <c r="A3" s="14" t="s">
        <v>99</v>
      </c>
      <c r="B3" s="31">
        <v>8</v>
      </c>
      <c r="C3" s="11" t="s">
        <v>100</v>
      </c>
    </row>
    <row r="5" spans="1:27" ht="15" customHeight="1" x14ac:dyDescent="0.75">
      <c r="A5" s="13" t="s">
        <v>101</v>
      </c>
    </row>
    <row r="6" spans="1:27" ht="15" customHeight="1" x14ac:dyDescent="0.75">
      <c r="A6" s="16" t="s">
        <v>49</v>
      </c>
      <c r="B6" s="16" t="s">
        <v>53</v>
      </c>
      <c r="C6" s="16" t="s">
        <v>61</v>
      </c>
      <c r="D6" s="16" t="s">
        <v>64</v>
      </c>
      <c r="E6" s="16" t="s">
        <v>67</v>
      </c>
      <c r="F6" s="16" t="s">
        <v>68</v>
      </c>
      <c r="G6" s="16" t="s">
        <v>69</v>
      </c>
      <c r="H6" s="16" t="s">
        <v>70</v>
      </c>
      <c r="I6" s="16" t="s">
        <v>71</v>
      </c>
      <c r="J6" s="16" t="s">
        <v>72</v>
      </c>
      <c r="K6" s="16" t="s">
        <v>73</v>
      </c>
      <c r="L6" s="16" t="s">
        <v>74</v>
      </c>
      <c r="M6" s="16" t="s">
        <v>75</v>
      </c>
      <c r="N6" s="16" t="s">
        <v>76</v>
      </c>
      <c r="O6" s="16" t="s">
        <v>77</v>
      </c>
      <c r="P6" s="16" t="s">
        <v>78</v>
      </c>
      <c r="Q6" s="16" t="s">
        <v>79</v>
      </c>
      <c r="R6" s="16" t="s">
        <v>80</v>
      </c>
      <c r="S6" s="16" t="s">
        <v>81</v>
      </c>
      <c r="T6" s="16" t="s">
        <v>82</v>
      </c>
      <c r="U6" s="16" t="s">
        <v>83</v>
      </c>
      <c r="V6" s="16" t="s">
        <v>84</v>
      </c>
      <c r="W6" s="16" t="s">
        <v>85</v>
      </c>
      <c r="X6" s="16" t="s">
        <v>86</v>
      </c>
      <c r="Y6" s="16" t="s">
        <v>87</v>
      </c>
      <c r="Z6" s="16" t="s">
        <v>88</v>
      </c>
      <c r="AA6" s="16" t="s">
        <v>94</v>
      </c>
    </row>
    <row r="7" spans="1:27" ht="15" customHeight="1" x14ac:dyDescent="0.75">
      <c r="A7" s="29" t="s">
        <v>57</v>
      </c>
      <c r="B7" s="20">
        <f>SUMIFS('Harvest Detail'!$J$2:$J$1093,'Harvest Detail'!$F$2:$F$1093,$A7,'Harvest Detail'!$A$2:$A$1093,B$6)</f>
        <v>591</v>
      </c>
      <c r="C7" s="20">
        <f>SUMIFS('Harvest Detail'!$J$2:$J$1093,'Harvest Detail'!$F$2:$F$1093,$A7,'Harvest Detail'!$A$2:$A$1093,C$6)</f>
        <v>688</v>
      </c>
      <c r="D7" s="20">
        <f>SUMIFS('Harvest Detail'!$J$2:$J$1093,'Harvest Detail'!$F$2:$F$1093,$A7,'Harvest Detail'!$A$2:$A$1093,D$6)</f>
        <v>616</v>
      </c>
      <c r="E7" s="20">
        <f>SUMIFS('Harvest Detail'!$J$2:$J$1093,'Harvest Detail'!$F$2:$F$1093,$A7,'Harvest Detail'!$A$2:$A$1093,E$6)</f>
        <v>289</v>
      </c>
      <c r="F7" s="20">
        <f>SUMIFS('Harvest Detail'!$J$2:$J$1093,'Harvest Detail'!$F$2:$F$1093,$A7,'Harvest Detail'!$A$2:$A$1093,F$6)</f>
        <v>568</v>
      </c>
      <c r="G7" s="20">
        <f>SUMIFS('Harvest Detail'!$J$2:$J$1093,'Harvest Detail'!$F$2:$F$1093,$A7,'Harvest Detail'!$A$2:$A$1093,G$6)</f>
        <v>408</v>
      </c>
      <c r="H7" s="20">
        <f>SUMIFS('Harvest Detail'!$J$2:$J$1093,'Harvest Detail'!$F$2:$F$1093,$A7,'Harvest Detail'!$A$2:$A$1093,H$6)</f>
        <v>693</v>
      </c>
      <c r="I7" s="20">
        <f>SUMIFS('Harvest Detail'!$J$2:$J$1093,'Harvest Detail'!$F$2:$F$1093,$A7,'Harvest Detail'!$A$2:$A$1093,I$6)</f>
        <v>525</v>
      </c>
      <c r="J7" s="20">
        <f>SUMIFS('Harvest Detail'!$J$2:$J$1093,'Harvest Detail'!$F$2:$F$1093,$A7,'Harvest Detail'!$A$2:$A$1093,J$6)</f>
        <v>802</v>
      </c>
      <c r="K7" s="20">
        <f>SUMIFS('Harvest Detail'!$J$2:$J$1093,'Harvest Detail'!$F$2:$F$1093,$A7,'Harvest Detail'!$A$2:$A$1093,K$6)</f>
        <v>698</v>
      </c>
      <c r="L7" s="20">
        <f>SUMIFS('Harvest Detail'!$J$2:$J$1093,'Harvest Detail'!$F$2:$F$1093,$A7,'Harvest Detail'!$A$2:$A$1093,L$6)</f>
        <v>879</v>
      </c>
      <c r="M7" s="20">
        <f>SUMIFS('Harvest Detail'!$J$2:$J$1093,'Harvest Detail'!$F$2:$F$1093,$A7,'Harvest Detail'!$A$2:$A$1093,M$6)</f>
        <v>865</v>
      </c>
      <c r="N7" s="20">
        <f>SUMIFS('Harvest Detail'!$J$2:$J$1093,'Harvest Detail'!$F$2:$F$1093,$A7,'Harvest Detail'!$A$2:$A$1093,N$6)</f>
        <v>380</v>
      </c>
      <c r="O7" s="20">
        <f>SUMIFS('Harvest Detail'!$J$2:$J$1093,'Harvest Detail'!$F$2:$F$1093,$A7,'Harvest Detail'!$A$2:$A$1093,O$6)</f>
        <v>200</v>
      </c>
      <c r="P7" s="20">
        <f>SUMIFS('Harvest Detail'!$J$2:$J$1093,'Harvest Detail'!$F$2:$F$1093,$A7,'Harvest Detail'!$A$2:$A$1093,P$6)</f>
        <v>952</v>
      </c>
      <c r="Q7" s="20">
        <f>SUMIFS('Harvest Detail'!$J$2:$J$1093,'Harvest Detail'!$F$2:$F$1093,$A7,'Harvest Detail'!$A$2:$A$1093,Q$6)</f>
        <v>768</v>
      </c>
      <c r="R7" s="20">
        <f>SUMIFS('Harvest Detail'!$J$2:$J$1093,'Harvest Detail'!$F$2:$F$1093,$A7,'Harvest Detail'!$A$2:$A$1093,R$6)</f>
        <v>1071</v>
      </c>
      <c r="S7" s="20">
        <f>SUMIFS('Harvest Detail'!$J$2:$J$1093,'Harvest Detail'!$F$2:$F$1093,$A7,'Harvest Detail'!$A$2:$A$1093,S$6)</f>
        <v>630</v>
      </c>
      <c r="T7" s="20">
        <f>SUMIFS('Harvest Detail'!$J$2:$J$1093,'Harvest Detail'!$F$2:$F$1093,$A7,'Harvest Detail'!$A$2:$A$1093,T$6)</f>
        <v>878</v>
      </c>
      <c r="U7" s="20">
        <f>SUMIFS('Harvest Detail'!$J$2:$J$1093,'Harvest Detail'!$F$2:$F$1093,$A7,'Harvest Detail'!$A$2:$A$1093,U$6)</f>
        <v>505</v>
      </c>
      <c r="V7" s="20">
        <f>SUMIFS('Harvest Detail'!$J$2:$J$1093,'Harvest Detail'!$F$2:$F$1093,$A7,'Harvest Detail'!$A$2:$A$1093,V$6)</f>
        <v>882</v>
      </c>
      <c r="W7" s="20">
        <f>SUMIFS('Harvest Detail'!$J$2:$J$1093,'Harvest Detail'!$F$2:$F$1093,$A7,'Harvest Detail'!$A$2:$A$1093,W$6)</f>
        <v>497</v>
      </c>
      <c r="X7" s="20">
        <f>SUMIFS('Harvest Detail'!$J$2:$J$1093,'Harvest Detail'!$F$2:$F$1093,$A7,'Harvest Detail'!$A$2:$A$1093,X$6)</f>
        <v>671</v>
      </c>
      <c r="Y7" s="20">
        <f>SUMIFS('Harvest Detail'!$J$2:$J$1093,'Harvest Detail'!$F$2:$F$1093,$A7,'Harvest Detail'!$A$2:$A$1093,Y$6)</f>
        <v>325</v>
      </c>
      <c r="Z7" s="20">
        <f>SUMIFS('Harvest Detail'!$J$2:$J$1093,'Harvest Detail'!$F$2:$F$1093,$A7,'Harvest Detail'!$A$2:$A$1093,Z$6)</f>
        <v>572</v>
      </c>
      <c r="AA7" s="22">
        <f>SUM(B7:Z7)</f>
        <v>15953</v>
      </c>
    </row>
    <row r="8" spans="1:27" ht="15" customHeight="1" x14ac:dyDescent="0.75">
      <c r="A8" s="29" t="s">
        <v>65</v>
      </c>
      <c r="B8" s="20">
        <f>SUMIFS('Harvest Detail'!$J$2:$J$1093,'Harvest Detail'!$F$2:$F$1093,$A8,'Harvest Detail'!$A$2:$A$1093,B$6)</f>
        <v>0</v>
      </c>
      <c r="C8" s="20">
        <f>SUMIFS('Harvest Detail'!$J$2:$J$1093,'Harvest Detail'!$F$2:$F$1093,$A8,'Harvest Detail'!$A$2:$A$1093,C$6)</f>
        <v>0</v>
      </c>
      <c r="D8" s="20">
        <f>SUMIFS('Harvest Detail'!$J$2:$J$1093,'Harvest Detail'!$F$2:$F$1093,$A8,'Harvest Detail'!$A$2:$A$1093,D$6)</f>
        <v>122</v>
      </c>
      <c r="E8" s="20">
        <f>SUMIFS('Harvest Detail'!$J$2:$J$1093,'Harvest Detail'!$F$2:$F$1093,$A8,'Harvest Detail'!$A$2:$A$1093,E$6)</f>
        <v>0</v>
      </c>
      <c r="F8" s="20">
        <f>SUMIFS('Harvest Detail'!$J$2:$J$1093,'Harvest Detail'!$F$2:$F$1093,$A8,'Harvest Detail'!$A$2:$A$1093,F$6)</f>
        <v>262</v>
      </c>
      <c r="G8" s="20">
        <f>SUMIFS('Harvest Detail'!$J$2:$J$1093,'Harvest Detail'!$F$2:$F$1093,$A8,'Harvest Detail'!$A$2:$A$1093,G$6)</f>
        <v>120</v>
      </c>
      <c r="H8" s="20">
        <f>SUMIFS('Harvest Detail'!$J$2:$J$1093,'Harvest Detail'!$F$2:$F$1093,$A8,'Harvest Detail'!$A$2:$A$1093,H$6)</f>
        <v>285</v>
      </c>
      <c r="I8" s="20">
        <f>SUMIFS('Harvest Detail'!$J$2:$J$1093,'Harvest Detail'!$F$2:$F$1093,$A8,'Harvest Detail'!$A$2:$A$1093,I$6)</f>
        <v>81</v>
      </c>
      <c r="J8" s="20">
        <f>SUMIFS('Harvest Detail'!$J$2:$J$1093,'Harvest Detail'!$F$2:$F$1093,$A8,'Harvest Detail'!$A$2:$A$1093,J$6)</f>
        <v>398</v>
      </c>
      <c r="K8" s="20">
        <f>SUMIFS('Harvest Detail'!$J$2:$J$1093,'Harvest Detail'!$F$2:$F$1093,$A8,'Harvest Detail'!$A$2:$A$1093,K$6)</f>
        <v>87</v>
      </c>
      <c r="L8" s="20">
        <f>SUMIFS('Harvest Detail'!$J$2:$J$1093,'Harvest Detail'!$F$2:$F$1093,$A8,'Harvest Detail'!$A$2:$A$1093,L$6)</f>
        <v>396</v>
      </c>
      <c r="M8" s="20">
        <f>SUMIFS('Harvest Detail'!$J$2:$J$1093,'Harvest Detail'!$F$2:$F$1093,$A8,'Harvest Detail'!$A$2:$A$1093,M$6)</f>
        <v>128</v>
      </c>
      <c r="N8" s="20">
        <f>SUMIFS('Harvest Detail'!$J$2:$J$1093,'Harvest Detail'!$F$2:$F$1093,$A8,'Harvest Detail'!$A$2:$A$1093,N$6)</f>
        <v>821</v>
      </c>
      <c r="O8" s="20">
        <f>SUMIFS('Harvest Detail'!$J$2:$J$1093,'Harvest Detail'!$F$2:$F$1093,$A8,'Harvest Detail'!$A$2:$A$1093,O$6)</f>
        <v>710</v>
      </c>
      <c r="P8" s="20">
        <f>SUMIFS('Harvest Detail'!$J$2:$J$1093,'Harvest Detail'!$F$2:$F$1093,$A8,'Harvest Detail'!$A$2:$A$1093,P$6)</f>
        <v>378</v>
      </c>
      <c r="Q8" s="20">
        <f>SUMIFS('Harvest Detail'!$J$2:$J$1093,'Harvest Detail'!$F$2:$F$1093,$A8,'Harvest Detail'!$A$2:$A$1093,Q$6)</f>
        <v>201</v>
      </c>
      <c r="R8" s="20">
        <f>SUMIFS('Harvest Detail'!$J$2:$J$1093,'Harvest Detail'!$F$2:$F$1093,$A8,'Harvest Detail'!$A$2:$A$1093,R$6)</f>
        <v>516</v>
      </c>
      <c r="S8" s="20">
        <f>SUMIFS('Harvest Detail'!$J$2:$J$1093,'Harvest Detail'!$F$2:$F$1093,$A8,'Harvest Detail'!$A$2:$A$1093,S$6)</f>
        <v>133</v>
      </c>
      <c r="T8" s="20">
        <f>SUMIFS('Harvest Detail'!$J$2:$J$1093,'Harvest Detail'!$F$2:$F$1093,$A8,'Harvest Detail'!$A$2:$A$1093,T$6)</f>
        <v>441</v>
      </c>
      <c r="U8" s="20">
        <f>SUMIFS('Harvest Detail'!$J$2:$J$1093,'Harvest Detail'!$F$2:$F$1093,$A8,'Harvest Detail'!$A$2:$A$1093,U$6)</f>
        <v>81</v>
      </c>
      <c r="V8" s="20">
        <f>SUMIFS('Harvest Detail'!$J$2:$J$1093,'Harvest Detail'!$F$2:$F$1093,$A8,'Harvest Detail'!$A$2:$A$1093,V$6)</f>
        <v>379</v>
      </c>
      <c r="W8" s="20">
        <f>SUMIFS('Harvest Detail'!$J$2:$J$1093,'Harvest Detail'!$F$2:$F$1093,$A8,'Harvest Detail'!$A$2:$A$1093,W$6)</f>
        <v>124</v>
      </c>
      <c r="X8" s="20">
        <f>SUMIFS('Harvest Detail'!$J$2:$J$1093,'Harvest Detail'!$F$2:$F$1093,$A8,'Harvest Detail'!$A$2:$A$1093,X$6)</f>
        <v>353</v>
      </c>
      <c r="Y8" s="20">
        <f>SUMIFS('Harvest Detail'!$J$2:$J$1093,'Harvest Detail'!$F$2:$F$1093,$A8,'Harvest Detail'!$A$2:$A$1093,Y$6)</f>
        <v>96</v>
      </c>
      <c r="Z8" s="20">
        <f>SUMIFS('Harvest Detail'!$J$2:$J$1093,'Harvest Detail'!$F$2:$F$1093,$A8,'Harvest Detail'!$A$2:$A$1093,Z$6)</f>
        <v>236</v>
      </c>
      <c r="AA8" s="22">
        <f>SUM(B8:Z8)</f>
        <v>6348</v>
      </c>
    </row>
    <row r="9" spans="1:27" ht="15" customHeight="1" x14ac:dyDescent="0.75">
      <c r="A9" s="29" t="s">
        <v>55</v>
      </c>
      <c r="B9" s="20">
        <f>SUMIFS('Harvest Detail'!$J$2:$J$1093,'Harvest Detail'!$F$2:$F$1093,$A9,'Harvest Detail'!$A$2:$A$1093,B$6)</f>
        <v>299</v>
      </c>
      <c r="C9" s="20">
        <f>SUMIFS('Harvest Detail'!$J$2:$J$1093,'Harvest Detail'!$F$2:$F$1093,$A9,'Harvest Detail'!$A$2:$A$1093,C$6)</f>
        <v>217</v>
      </c>
      <c r="D9" s="20">
        <f>SUMIFS('Harvest Detail'!$J$2:$J$1093,'Harvest Detail'!$F$2:$F$1093,$A9,'Harvest Detail'!$A$2:$A$1093,D$6)</f>
        <v>354</v>
      </c>
      <c r="E9" s="20">
        <f>SUMIFS('Harvest Detail'!$J$2:$J$1093,'Harvest Detail'!$F$2:$F$1093,$A9,'Harvest Detail'!$A$2:$A$1093,E$6)</f>
        <v>102</v>
      </c>
      <c r="F9" s="20">
        <f>SUMIFS('Harvest Detail'!$J$2:$J$1093,'Harvest Detail'!$F$2:$F$1093,$A9,'Harvest Detail'!$A$2:$A$1093,F$6)</f>
        <v>244</v>
      </c>
      <c r="G9" s="20">
        <f>SUMIFS('Harvest Detail'!$J$2:$J$1093,'Harvest Detail'!$F$2:$F$1093,$A9,'Harvest Detail'!$A$2:$A$1093,G$6)</f>
        <v>22</v>
      </c>
      <c r="H9" s="20">
        <f>SUMIFS('Harvest Detail'!$J$2:$J$1093,'Harvest Detail'!$F$2:$F$1093,$A9,'Harvest Detail'!$A$2:$A$1093,H$6)</f>
        <v>221</v>
      </c>
      <c r="I9" s="20">
        <f>SUMIFS('Harvest Detail'!$J$2:$J$1093,'Harvest Detail'!$F$2:$F$1093,$A9,'Harvest Detail'!$A$2:$A$1093,I$6)</f>
        <v>29</v>
      </c>
      <c r="J9" s="20">
        <f>SUMIFS('Harvest Detail'!$J$2:$J$1093,'Harvest Detail'!$F$2:$F$1093,$A9,'Harvest Detail'!$A$2:$A$1093,J$6)</f>
        <v>259</v>
      </c>
      <c r="K9" s="20">
        <f>SUMIFS('Harvest Detail'!$J$2:$J$1093,'Harvest Detail'!$F$2:$F$1093,$A9,'Harvest Detail'!$A$2:$A$1093,K$6)</f>
        <v>40</v>
      </c>
      <c r="L9" s="20">
        <f>SUMIFS('Harvest Detail'!$J$2:$J$1093,'Harvest Detail'!$F$2:$F$1093,$A9,'Harvest Detail'!$A$2:$A$1093,L$6)</f>
        <v>187</v>
      </c>
      <c r="M9" s="20">
        <f>SUMIFS('Harvest Detail'!$J$2:$J$1093,'Harvest Detail'!$F$2:$F$1093,$A9,'Harvest Detail'!$A$2:$A$1093,M$6)</f>
        <v>167</v>
      </c>
      <c r="N9" s="20">
        <f>SUMIFS('Harvest Detail'!$J$2:$J$1093,'Harvest Detail'!$F$2:$F$1093,$A9,'Harvest Detail'!$A$2:$A$1093,N$6)</f>
        <v>287</v>
      </c>
      <c r="O9" s="20">
        <f>SUMIFS('Harvest Detail'!$J$2:$J$1093,'Harvest Detail'!$F$2:$F$1093,$A9,'Harvest Detail'!$A$2:$A$1093,O$6)</f>
        <v>67</v>
      </c>
      <c r="P9" s="20">
        <f>SUMIFS('Harvest Detail'!$J$2:$J$1093,'Harvest Detail'!$F$2:$F$1093,$A9,'Harvest Detail'!$A$2:$A$1093,P$6)</f>
        <v>376</v>
      </c>
      <c r="Q9" s="20">
        <f>SUMIFS('Harvest Detail'!$J$2:$J$1093,'Harvest Detail'!$F$2:$F$1093,$A9,'Harvest Detail'!$A$2:$A$1093,Q$6)</f>
        <v>63</v>
      </c>
      <c r="R9" s="20">
        <f>SUMIFS('Harvest Detail'!$J$2:$J$1093,'Harvest Detail'!$F$2:$F$1093,$A9,'Harvest Detail'!$A$2:$A$1093,R$6)</f>
        <v>427</v>
      </c>
      <c r="S9" s="20">
        <f>SUMIFS('Harvest Detail'!$J$2:$J$1093,'Harvest Detail'!$F$2:$F$1093,$A9,'Harvest Detail'!$A$2:$A$1093,S$6)</f>
        <v>80</v>
      </c>
      <c r="T9" s="20">
        <f>SUMIFS('Harvest Detail'!$J$2:$J$1093,'Harvest Detail'!$F$2:$F$1093,$A9,'Harvest Detail'!$A$2:$A$1093,T$6)</f>
        <v>397</v>
      </c>
      <c r="U9" s="20">
        <f>SUMIFS('Harvest Detail'!$J$2:$J$1093,'Harvest Detail'!$F$2:$F$1093,$A9,'Harvest Detail'!$A$2:$A$1093,U$6)</f>
        <v>61</v>
      </c>
      <c r="V9" s="20">
        <f>SUMIFS('Harvest Detail'!$J$2:$J$1093,'Harvest Detail'!$F$2:$F$1093,$A9,'Harvest Detail'!$A$2:$A$1093,V$6)</f>
        <v>353</v>
      </c>
      <c r="W9" s="20">
        <f>SUMIFS('Harvest Detail'!$J$2:$J$1093,'Harvest Detail'!$F$2:$F$1093,$A9,'Harvest Detail'!$A$2:$A$1093,W$6)</f>
        <v>89</v>
      </c>
      <c r="X9" s="20">
        <f>SUMIFS('Harvest Detail'!$J$2:$J$1093,'Harvest Detail'!$F$2:$F$1093,$A9,'Harvest Detail'!$A$2:$A$1093,X$6)</f>
        <v>358</v>
      </c>
      <c r="Y9" s="20">
        <f>SUMIFS('Harvest Detail'!$J$2:$J$1093,'Harvest Detail'!$F$2:$F$1093,$A9,'Harvest Detail'!$A$2:$A$1093,Y$6)</f>
        <v>69</v>
      </c>
      <c r="Z9" s="20">
        <f>SUMIFS('Harvest Detail'!$J$2:$J$1093,'Harvest Detail'!$F$2:$F$1093,$A9,'Harvest Detail'!$A$2:$A$1093,Z$6)</f>
        <v>331</v>
      </c>
      <c r="AA9" s="22">
        <f>SUM(B9:Z9)</f>
        <v>5099</v>
      </c>
    </row>
    <row r="11" spans="1:27" ht="15" customHeight="1" x14ac:dyDescent="0.75">
      <c r="A11" s="13" t="s">
        <v>102</v>
      </c>
    </row>
    <row r="12" spans="1:27" ht="23.25" customHeight="1" x14ac:dyDescent="0.75">
      <c r="A12" s="16" t="s">
        <v>49</v>
      </c>
      <c r="B12" s="16" t="s">
        <v>103</v>
      </c>
      <c r="C12" s="16" t="s">
        <v>104</v>
      </c>
      <c r="D12" s="16" t="s">
        <v>105</v>
      </c>
      <c r="E12" s="16" t="s">
        <v>106</v>
      </c>
      <c r="F12" s="16" t="s">
        <v>107</v>
      </c>
    </row>
    <row r="13" spans="1:27" ht="15" customHeight="1" x14ac:dyDescent="0.75">
      <c r="A13" s="29" t="s">
        <v>57</v>
      </c>
      <c r="B13" s="17">
        <f>COUNTA($B$6:$Z$6)</f>
        <v>25</v>
      </c>
      <c r="C13" s="17">
        <f>COUNTIF(B7:Z7,"&gt;0")</f>
        <v>25</v>
      </c>
      <c r="D13" s="20">
        <f>AA7</f>
        <v>15953</v>
      </c>
      <c r="E13" s="20">
        <f>B13*$B$3</f>
        <v>200</v>
      </c>
      <c r="F13" s="32">
        <f>IF(E13=0,0,D13/E13)</f>
        <v>79.765000000000001</v>
      </c>
    </row>
    <row r="14" spans="1:27" ht="15" customHeight="1" x14ac:dyDescent="0.75">
      <c r="A14" s="29" t="s">
        <v>65</v>
      </c>
      <c r="B14" s="17">
        <f>COUNTA($B$6:$Z$6)</f>
        <v>25</v>
      </c>
      <c r="C14" s="17">
        <f>COUNTIF(B8:Z8,"&gt;0")</f>
        <v>22</v>
      </c>
      <c r="D14" s="20">
        <f>AA8</f>
        <v>6348</v>
      </c>
      <c r="E14" s="20">
        <f>B14*$B$3</f>
        <v>200</v>
      </c>
      <c r="F14" s="32">
        <f>IF(E14=0,0,D14/E14)</f>
        <v>31.74</v>
      </c>
    </row>
    <row r="15" spans="1:27" ht="15" customHeight="1" x14ac:dyDescent="0.75">
      <c r="A15" s="29" t="s">
        <v>55</v>
      </c>
      <c r="B15" s="17">
        <f>COUNTA($B$6:$Z$6)</f>
        <v>25</v>
      </c>
      <c r="C15" s="17">
        <f>COUNTIF(B9:Z9,"&gt;0")</f>
        <v>25</v>
      </c>
      <c r="D15" s="20">
        <f>AA9</f>
        <v>5099</v>
      </c>
      <c r="E15" s="20">
        <f>B15*$B$3</f>
        <v>200</v>
      </c>
      <c r="F15" s="32">
        <f>IF(E15=0,0,D15/E15)</f>
        <v>25.495000000000001</v>
      </c>
    </row>
    <row r="16" spans="1:27" ht="15" customHeight="1" x14ac:dyDescent="0.75">
      <c r="A16" s="23" t="s">
        <v>108</v>
      </c>
      <c r="B16" s="33">
        <f>B13</f>
        <v>25</v>
      </c>
      <c r="C16" s="33">
        <f>MAX(C13:C15)</f>
        <v>25</v>
      </c>
      <c r="D16" s="25">
        <f>SUM(D13:D15)</f>
        <v>27400</v>
      </c>
      <c r="E16" s="25">
        <f>SUM(E13:E15)</f>
        <v>600</v>
      </c>
      <c r="F16" s="34">
        <f>IF(E16=0,0,D16/E16)</f>
        <v>45.666666666666664</v>
      </c>
    </row>
    <row r="18" spans="1:23" x14ac:dyDescent="0.75">
      <c r="A18" s="13" t="s">
        <v>109</v>
      </c>
    </row>
    <row r="19" spans="1:23" ht="15" customHeight="1" x14ac:dyDescent="0.75">
      <c r="B19" s="21">
        <v>666501</v>
      </c>
      <c r="C19" s="21">
        <v>666502</v>
      </c>
      <c r="D19" s="21">
        <v>666505</v>
      </c>
      <c r="E19" s="21">
        <v>666506</v>
      </c>
      <c r="F19" s="21">
        <v>666507</v>
      </c>
      <c r="G19" s="21">
        <v>666509</v>
      </c>
      <c r="H19" s="21">
        <v>666510</v>
      </c>
      <c r="I19" s="21">
        <v>666511</v>
      </c>
      <c r="J19" s="21">
        <v>666513</v>
      </c>
      <c r="K19" s="21">
        <v>666516</v>
      </c>
      <c r="L19" s="21">
        <v>666517</v>
      </c>
      <c r="M19" s="21">
        <v>666518</v>
      </c>
      <c r="N19" s="21">
        <v>666519</v>
      </c>
      <c r="O19" s="21">
        <v>666521</v>
      </c>
      <c r="P19" s="21">
        <v>666522</v>
      </c>
      <c r="Q19" s="21">
        <v>666523</v>
      </c>
      <c r="R19" s="21">
        <v>666530</v>
      </c>
      <c r="S19" s="21">
        <v>666531</v>
      </c>
      <c r="T19" s="21">
        <v>666540</v>
      </c>
      <c r="U19" s="21">
        <v>666541</v>
      </c>
      <c r="V19" s="21">
        <v>666536</v>
      </c>
    </row>
    <row r="20" spans="1:23" ht="34.5" customHeight="1" x14ac:dyDescent="0.75">
      <c r="A20" s="16" t="s">
        <v>49</v>
      </c>
      <c r="B20" s="16" t="s">
        <v>5</v>
      </c>
      <c r="C20" s="16" t="s">
        <v>7</v>
      </c>
      <c r="D20" s="16" t="s">
        <v>9</v>
      </c>
      <c r="E20" s="16" t="s">
        <v>11</v>
      </c>
      <c r="F20" s="16" t="s">
        <v>13</v>
      </c>
      <c r="G20" s="16" t="s">
        <v>15</v>
      </c>
      <c r="H20" s="16" t="s">
        <v>17</v>
      </c>
      <c r="I20" s="16" t="s">
        <v>19</v>
      </c>
      <c r="J20" s="16" t="s">
        <v>21</v>
      </c>
      <c r="K20" s="16" t="s">
        <v>23</v>
      </c>
      <c r="L20" s="16" t="s">
        <v>25</v>
      </c>
      <c r="M20" s="16" t="s">
        <v>27</v>
      </c>
      <c r="N20" s="16" t="s">
        <v>29</v>
      </c>
      <c r="O20" s="16" t="s">
        <v>31</v>
      </c>
      <c r="P20" s="16" t="s">
        <v>33</v>
      </c>
      <c r="Q20" s="16" t="s">
        <v>35</v>
      </c>
      <c r="R20" s="16" t="s">
        <v>37</v>
      </c>
      <c r="S20" s="16" t="s">
        <v>39</v>
      </c>
      <c r="T20" s="16" t="s">
        <v>40</v>
      </c>
      <c r="U20" s="16" t="s">
        <v>41</v>
      </c>
      <c r="V20" s="16" t="s">
        <v>43</v>
      </c>
      <c r="W20" s="16" t="s">
        <v>94</v>
      </c>
    </row>
    <row r="21" spans="1:23" ht="15" customHeight="1" x14ac:dyDescent="0.75">
      <c r="A21" s="29" t="s">
        <v>57</v>
      </c>
      <c r="B21" s="20">
        <f>SUMIFS('Harvest Detail'!$J$2:$J$1093,'Harvest Detail'!$F$2:$F$1093,$A21,'Harvest Detail'!$I$2:$I$1093,B$20)</f>
        <v>4619</v>
      </c>
      <c r="C21" s="20">
        <f>SUMIFS('Harvest Detail'!$J$2:$J$1093,'Harvest Detail'!$F$2:$F$1093,$A21,'Harvest Detail'!$I$2:$I$1093,C$20)</f>
        <v>2823</v>
      </c>
      <c r="D21" s="20">
        <f>SUMIFS('Harvest Detail'!$J$2:$J$1093,'Harvest Detail'!$F$2:$F$1093,$A21,'Harvest Detail'!$I$2:$I$1093,D$20)</f>
        <v>20</v>
      </c>
      <c r="E21" s="20">
        <f>SUMIFS('Harvest Detail'!$J$2:$J$1093,'Harvest Detail'!$F$2:$F$1093,$A21,'Harvest Detail'!$I$2:$I$1093,E$20)</f>
        <v>1846</v>
      </c>
      <c r="F21" s="20">
        <f>SUMIFS('Harvest Detail'!$J$2:$J$1093,'Harvest Detail'!$F$2:$F$1093,$A21,'Harvest Detail'!$I$2:$I$1093,F$20)</f>
        <v>42</v>
      </c>
      <c r="G21" s="20">
        <f>SUMIFS('Harvest Detail'!$J$2:$J$1093,'Harvest Detail'!$F$2:$F$1093,$A21,'Harvest Detail'!$I$2:$I$1093,G$20)</f>
        <v>100</v>
      </c>
      <c r="H21" s="20">
        <f>SUMIFS('Harvest Detail'!$J$2:$J$1093,'Harvest Detail'!$F$2:$F$1093,$A21,'Harvest Detail'!$I$2:$I$1093,H$20)</f>
        <v>0</v>
      </c>
      <c r="I21" s="20">
        <f>SUMIFS('Harvest Detail'!$J$2:$J$1093,'Harvest Detail'!$F$2:$F$1093,$A21,'Harvest Detail'!$I$2:$I$1093,I$20)</f>
        <v>8</v>
      </c>
      <c r="J21" s="20">
        <f>SUMIFS('Harvest Detail'!$J$2:$J$1093,'Harvest Detail'!$F$2:$F$1093,$A21,'Harvest Detail'!$I$2:$I$1093,J$20)</f>
        <v>0</v>
      </c>
      <c r="K21" s="20">
        <f>SUMIFS('Harvest Detail'!$J$2:$J$1093,'Harvest Detail'!$F$2:$F$1093,$A21,'Harvest Detail'!$I$2:$I$1093,K$20)</f>
        <v>34</v>
      </c>
      <c r="L21" s="20">
        <f>SUMIFS('Harvest Detail'!$J$2:$J$1093,'Harvest Detail'!$F$2:$F$1093,$A21,'Harvest Detail'!$I$2:$I$1093,L$20)</f>
        <v>46</v>
      </c>
      <c r="M21" s="20">
        <f>SUMIFS('Harvest Detail'!$J$2:$J$1093,'Harvest Detail'!$F$2:$F$1093,$A21,'Harvest Detail'!$I$2:$I$1093,M$20)</f>
        <v>0</v>
      </c>
      <c r="N21" s="20">
        <f>SUMIFS('Harvest Detail'!$J$2:$J$1093,'Harvest Detail'!$F$2:$F$1093,$A21,'Harvest Detail'!$I$2:$I$1093,N$20)</f>
        <v>33</v>
      </c>
      <c r="O21" s="20">
        <f>SUMIFS('Harvest Detail'!$J$2:$J$1093,'Harvest Detail'!$F$2:$F$1093,$A21,'Harvest Detail'!$I$2:$I$1093,O$20)</f>
        <v>52</v>
      </c>
      <c r="P21" s="20">
        <f>SUMIFS('Harvest Detail'!$J$2:$J$1093,'Harvest Detail'!$F$2:$F$1093,$A21,'Harvest Detail'!$I$2:$I$1093,P$20)</f>
        <v>1585</v>
      </c>
      <c r="Q21" s="20">
        <f>SUMIFS('Harvest Detail'!$J$2:$J$1093,'Harvest Detail'!$F$2:$F$1093,$A21,'Harvest Detail'!$I$2:$I$1093,Q$20)</f>
        <v>334</v>
      </c>
      <c r="R21" s="20">
        <f>SUMIFS('Harvest Detail'!$J$2:$J$1093,'Harvest Detail'!$F$2:$F$1093,$A21,'Harvest Detail'!$I$2:$I$1093,R$20)</f>
        <v>5</v>
      </c>
      <c r="S21" s="20">
        <f>SUMIFS('Harvest Detail'!$J$2:$J$1093,'Harvest Detail'!$F$2:$F$1093,$A21,'Harvest Detail'!$I$2:$I$1093,S$20)</f>
        <v>18</v>
      </c>
      <c r="T21" s="20">
        <f>SUMIFS('Harvest Detail'!$J$2:$J$1093,'Harvest Detail'!$F$2:$F$1093,$A21,'Harvest Detail'!$I$2:$I$1093,T$20)</f>
        <v>242</v>
      </c>
      <c r="U21" s="20">
        <f>SUMIFS('Harvest Detail'!$J$2:$J$1093,'Harvest Detail'!$F$2:$F$1093,$A21,'Harvest Detail'!$I$2:$I$1093,U$20)</f>
        <v>4123</v>
      </c>
      <c r="V21" s="20">
        <f>SUMIFS('Harvest Detail'!$J$2:$J$1093,'Harvest Detail'!$F$2:$F$1093,$A21,'Harvest Detail'!$I$2:$I$1093,V$20)</f>
        <v>23</v>
      </c>
      <c r="W21" s="22">
        <f>SUM(B21:V21)</f>
        <v>15953</v>
      </c>
    </row>
    <row r="22" spans="1:23" ht="15" customHeight="1" x14ac:dyDescent="0.75">
      <c r="A22" s="29" t="s">
        <v>65</v>
      </c>
      <c r="B22" s="20">
        <f>SUMIFS('Harvest Detail'!$J$2:$J$1093,'Harvest Detail'!$F$2:$F$1093,$A22,'Harvest Detail'!$I$2:$I$1093,B$20)</f>
        <v>1077</v>
      </c>
      <c r="C22" s="20">
        <f>SUMIFS('Harvest Detail'!$J$2:$J$1093,'Harvest Detail'!$F$2:$F$1093,$A22,'Harvest Detail'!$I$2:$I$1093,C$20)</f>
        <v>400</v>
      </c>
      <c r="D22" s="20">
        <f>SUMIFS('Harvest Detail'!$J$2:$J$1093,'Harvest Detail'!$F$2:$F$1093,$A22,'Harvest Detail'!$I$2:$I$1093,D$20)</f>
        <v>215</v>
      </c>
      <c r="E22" s="20">
        <f>SUMIFS('Harvest Detail'!$J$2:$J$1093,'Harvest Detail'!$F$2:$F$1093,$A22,'Harvest Detail'!$I$2:$I$1093,E$20)</f>
        <v>19</v>
      </c>
      <c r="F22" s="20">
        <f>SUMIFS('Harvest Detail'!$J$2:$J$1093,'Harvest Detail'!$F$2:$F$1093,$A22,'Harvest Detail'!$I$2:$I$1093,F$20)</f>
        <v>229</v>
      </c>
      <c r="G22" s="20">
        <f>SUMIFS('Harvest Detail'!$J$2:$J$1093,'Harvest Detail'!$F$2:$F$1093,$A22,'Harvest Detail'!$I$2:$I$1093,G$20)</f>
        <v>610</v>
      </c>
      <c r="H22" s="20">
        <f>SUMIFS('Harvest Detail'!$J$2:$J$1093,'Harvest Detail'!$F$2:$F$1093,$A22,'Harvest Detail'!$I$2:$I$1093,H$20)</f>
        <v>0</v>
      </c>
      <c r="I22" s="20">
        <f>SUMIFS('Harvest Detail'!$J$2:$J$1093,'Harvest Detail'!$F$2:$F$1093,$A22,'Harvest Detail'!$I$2:$I$1093,I$20)</f>
        <v>50</v>
      </c>
      <c r="J22" s="20">
        <f>SUMIFS('Harvest Detail'!$J$2:$J$1093,'Harvest Detail'!$F$2:$F$1093,$A22,'Harvest Detail'!$I$2:$I$1093,J$20)</f>
        <v>56</v>
      </c>
      <c r="K22" s="20">
        <f>SUMIFS('Harvest Detail'!$J$2:$J$1093,'Harvest Detail'!$F$2:$F$1093,$A22,'Harvest Detail'!$I$2:$I$1093,K$20)</f>
        <v>239</v>
      </c>
      <c r="L22" s="20">
        <f>SUMIFS('Harvest Detail'!$J$2:$J$1093,'Harvest Detail'!$F$2:$F$1093,$A22,'Harvest Detail'!$I$2:$I$1093,L$20)</f>
        <v>343</v>
      </c>
      <c r="M22" s="20">
        <f>SUMIFS('Harvest Detail'!$J$2:$J$1093,'Harvest Detail'!$F$2:$F$1093,$A22,'Harvest Detail'!$I$2:$I$1093,M$20)</f>
        <v>0</v>
      </c>
      <c r="N22" s="20">
        <f>SUMIFS('Harvest Detail'!$J$2:$J$1093,'Harvest Detail'!$F$2:$F$1093,$A22,'Harvest Detail'!$I$2:$I$1093,N$20)</f>
        <v>279</v>
      </c>
      <c r="O22" s="20">
        <f>SUMIFS('Harvest Detail'!$J$2:$J$1093,'Harvest Detail'!$F$2:$F$1093,$A22,'Harvest Detail'!$I$2:$I$1093,O$20)</f>
        <v>497</v>
      </c>
      <c r="P22" s="20">
        <f>SUMIFS('Harvest Detail'!$J$2:$J$1093,'Harvest Detail'!$F$2:$F$1093,$A22,'Harvest Detail'!$I$2:$I$1093,P$20)</f>
        <v>1685</v>
      </c>
      <c r="Q22" s="20">
        <f>SUMIFS('Harvest Detail'!$J$2:$J$1093,'Harvest Detail'!$F$2:$F$1093,$A22,'Harvest Detail'!$I$2:$I$1093,Q$20)</f>
        <v>43</v>
      </c>
      <c r="R22" s="20">
        <f>SUMIFS('Harvest Detail'!$J$2:$J$1093,'Harvest Detail'!$F$2:$F$1093,$A22,'Harvest Detail'!$I$2:$I$1093,R$20)</f>
        <v>20</v>
      </c>
      <c r="S22" s="20">
        <f>SUMIFS('Harvest Detail'!$J$2:$J$1093,'Harvest Detail'!$F$2:$F$1093,$A22,'Harvest Detail'!$I$2:$I$1093,S$20)</f>
        <v>180</v>
      </c>
      <c r="T22" s="20">
        <f>SUMIFS('Harvest Detail'!$J$2:$J$1093,'Harvest Detail'!$F$2:$F$1093,$A22,'Harvest Detail'!$I$2:$I$1093,T$20)</f>
        <v>0</v>
      </c>
      <c r="U22" s="20">
        <f>SUMIFS('Harvest Detail'!$J$2:$J$1093,'Harvest Detail'!$F$2:$F$1093,$A22,'Harvest Detail'!$I$2:$I$1093,U$20)</f>
        <v>308</v>
      </c>
      <c r="V22" s="20">
        <f>SUMIFS('Harvest Detail'!$J$2:$J$1093,'Harvest Detail'!$F$2:$F$1093,$A22,'Harvest Detail'!$I$2:$I$1093,V$20)</f>
        <v>98</v>
      </c>
      <c r="W22" s="22">
        <f>SUM(B22:V22)</f>
        <v>6348</v>
      </c>
    </row>
    <row r="23" spans="1:23" ht="15" customHeight="1" x14ac:dyDescent="0.75">
      <c r="A23" s="29" t="s">
        <v>55</v>
      </c>
      <c r="B23" s="20">
        <f>SUMIFS('Harvest Detail'!$J$2:$J$1093,'Harvest Detail'!$F$2:$F$1093,$A23,'Harvest Detail'!$I$2:$I$1093,B$20)</f>
        <v>513</v>
      </c>
      <c r="C23" s="20">
        <f>SUMIFS('Harvest Detail'!$J$2:$J$1093,'Harvest Detail'!$F$2:$F$1093,$A23,'Harvest Detail'!$I$2:$I$1093,C$20)</f>
        <v>729</v>
      </c>
      <c r="D23" s="20">
        <f>SUMIFS('Harvest Detail'!$J$2:$J$1093,'Harvest Detail'!$F$2:$F$1093,$A23,'Harvest Detail'!$I$2:$I$1093,D$20)</f>
        <v>453</v>
      </c>
      <c r="E23" s="20">
        <f>SUMIFS('Harvest Detail'!$J$2:$J$1093,'Harvest Detail'!$F$2:$F$1093,$A23,'Harvest Detail'!$I$2:$I$1093,E$20)</f>
        <v>0</v>
      </c>
      <c r="F23" s="20">
        <f>SUMIFS('Harvest Detail'!$J$2:$J$1093,'Harvest Detail'!$F$2:$F$1093,$A23,'Harvest Detail'!$I$2:$I$1093,F$20)</f>
        <v>121</v>
      </c>
      <c r="G23" s="20">
        <f>SUMIFS('Harvest Detail'!$J$2:$J$1093,'Harvest Detail'!$F$2:$F$1093,$A23,'Harvest Detail'!$I$2:$I$1093,G$20)</f>
        <v>191</v>
      </c>
      <c r="H23" s="20">
        <f>SUMIFS('Harvest Detail'!$J$2:$J$1093,'Harvest Detail'!$F$2:$F$1093,$A23,'Harvest Detail'!$I$2:$I$1093,H$20)</f>
        <v>0</v>
      </c>
      <c r="I23" s="20">
        <f>SUMIFS('Harvest Detail'!$J$2:$J$1093,'Harvest Detail'!$F$2:$F$1093,$A23,'Harvest Detail'!$I$2:$I$1093,I$20)</f>
        <v>22</v>
      </c>
      <c r="J23" s="20">
        <f>SUMIFS('Harvest Detail'!$J$2:$J$1093,'Harvest Detail'!$F$2:$F$1093,$A23,'Harvest Detail'!$I$2:$I$1093,J$20)</f>
        <v>156</v>
      </c>
      <c r="K23" s="20">
        <f>SUMIFS('Harvest Detail'!$J$2:$J$1093,'Harvest Detail'!$F$2:$F$1093,$A23,'Harvest Detail'!$I$2:$I$1093,K$20)</f>
        <v>329</v>
      </c>
      <c r="L23" s="20">
        <f>SUMIFS('Harvest Detail'!$J$2:$J$1093,'Harvest Detail'!$F$2:$F$1093,$A23,'Harvest Detail'!$I$2:$I$1093,L$20)</f>
        <v>245</v>
      </c>
      <c r="M23" s="20">
        <f>SUMIFS('Harvest Detail'!$J$2:$J$1093,'Harvest Detail'!$F$2:$F$1093,$A23,'Harvest Detail'!$I$2:$I$1093,M$20)</f>
        <v>0</v>
      </c>
      <c r="N23" s="20">
        <f>SUMIFS('Harvest Detail'!$J$2:$J$1093,'Harvest Detail'!$F$2:$F$1093,$A23,'Harvest Detail'!$I$2:$I$1093,N$20)</f>
        <v>370</v>
      </c>
      <c r="O23" s="20">
        <f>SUMIFS('Harvest Detail'!$J$2:$J$1093,'Harvest Detail'!$F$2:$F$1093,$A23,'Harvest Detail'!$I$2:$I$1093,O$20)</f>
        <v>0</v>
      </c>
      <c r="P23" s="20">
        <f>SUMIFS('Harvest Detail'!$J$2:$J$1093,'Harvest Detail'!$F$2:$F$1093,$A23,'Harvest Detail'!$I$2:$I$1093,P$20)</f>
        <v>1370</v>
      </c>
      <c r="Q23" s="20">
        <f>SUMIFS('Harvest Detail'!$J$2:$J$1093,'Harvest Detail'!$F$2:$F$1093,$A23,'Harvest Detail'!$I$2:$I$1093,Q$20)</f>
        <v>262</v>
      </c>
      <c r="R23" s="20">
        <f>SUMIFS('Harvest Detail'!$J$2:$J$1093,'Harvest Detail'!$F$2:$F$1093,$A23,'Harvest Detail'!$I$2:$I$1093,R$20)</f>
        <v>198</v>
      </c>
      <c r="S23" s="20">
        <f>SUMIFS('Harvest Detail'!$J$2:$J$1093,'Harvest Detail'!$F$2:$F$1093,$A23,'Harvest Detail'!$I$2:$I$1093,S$20)</f>
        <v>121</v>
      </c>
      <c r="T23" s="20">
        <f>SUMIFS('Harvest Detail'!$J$2:$J$1093,'Harvest Detail'!$F$2:$F$1093,$A23,'Harvest Detail'!$I$2:$I$1093,T$20)</f>
        <v>0</v>
      </c>
      <c r="U23" s="20">
        <f>SUMIFS('Harvest Detail'!$J$2:$J$1093,'Harvest Detail'!$F$2:$F$1093,$A23,'Harvest Detail'!$I$2:$I$1093,U$20)</f>
        <v>0</v>
      </c>
      <c r="V23" s="20">
        <f>SUMIFS('Harvest Detail'!$J$2:$J$1093,'Harvest Detail'!$F$2:$F$1093,$A23,'Harvest Detail'!$I$2:$I$1093,V$20)</f>
        <v>19</v>
      </c>
      <c r="W23" s="22">
        <f>SUM(B23:V23)</f>
        <v>5099</v>
      </c>
    </row>
    <row r="24" spans="1:23" ht="15" customHeight="1" x14ac:dyDescent="0.75">
      <c r="A24" s="23" t="s">
        <v>91</v>
      </c>
      <c r="B24" s="25">
        <f t="shared" ref="B24:W24" si="0">SUM(B21:B23)</f>
        <v>6209</v>
      </c>
      <c r="C24" s="25">
        <f t="shared" si="0"/>
        <v>3952</v>
      </c>
      <c r="D24" s="25">
        <f t="shared" si="0"/>
        <v>688</v>
      </c>
      <c r="E24" s="25">
        <f t="shared" si="0"/>
        <v>1865</v>
      </c>
      <c r="F24" s="25">
        <f t="shared" si="0"/>
        <v>392</v>
      </c>
      <c r="G24" s="25">
        <f t="shared" si="0"/>
        <v>901</v>
      </c>
      <c r="H24" s="25">
        <f t="shared" si="0"/>
        <v>0</v>
      </c>
      <c r="I24" s="25">
        <f t="shared" si="0"/>
        <v>80</v>
      </c>
      <c r="J24" s="25">
        <f t="shared" si="0"/>
        <v>212</v>
      </c>
      <c r="K24" s="25">
        <f t="shared" si="0"/>
        <v>602</v>
      </c>
      <c r="L24" s="25">
        <f t="shared" si="0"/>
        <v>634</v>
      </c>
      <c r="M24" s="25">
        <f t="shared" si="0"/>
        <v>0</v>
      </c>
      <c r="N24" s="25">
        <f t="shared" si="0"/>
        <v>682</v>
      </c>
      <c r="O24" s="25">
        <f t="shared" si="0"/>
        <v>549</v>
      </c>
      <c r="P24" s="25">
        <f t="shared" si="0"/>
        <v>4640</v>
      </c>
      <c r="Q24" s="25">
        <f t="shared" si="0"/>
        <v>639</v>
      </c>
      <c r="R24" s="25">
        <f t="shared" si="0"/>
        <v>223</v>
      </c>
      <c r="S24" s="25">
        <f t="shared" si="0"/>
        <v>319</v>
      </c>
      <c r="T24" s="25">
        <f t="shared" si="0"/>
        <v>242</v>
      </c>
      <c r="U24" s="25">
        <f t="shared" si="0"/>
        <v>4431</v>
      </c>
      <c r="V24" s="25">
        <f t="shared" si="0"/>
        <v>140</v>
      </c>
      <c r="W24" s="25">
        <f t="shared" si="0"/>
        <v>27400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79"/>
  <sheetViews>
    <sheetView showGridLines="0" zoomScaleNormal="100" workbookViewId="0">
      <pane xSplit="3" ySplit="3" topLeftCell="G4" activePane="bottomRight" state="frozen"/>
      <selection pane="topRight" activeCell="G1" sqref="G1"/>
      <selection pane="bottomLeft" activeCell="A4" sqref="A4"/>
      <selection pane="bottomRight" activeCell="V28" sqref="V28"/>
    </sheetView>
  </sheetViews>
  <sheetFormatPr defaultColWidth="8.54296875" defaultRowHeight="14.75" x14ac:dyDescent="0.75"/>
  <cols>
    <col min="1" max="1" width="10" customWidth="1"/>
    <col min="2" max="2" width="12" customWidth="1"/>
    <col min="3" max="3" width="15" customWidth="1"/>
    <col min="4" max="25" width="11" customWidth="1"/>
  </cols>
  <sheetData>
    <row r="1" spans="1:25" ht="16.5" customHeight="1" x14ac:dyDescent="0.75">
      <c r="A1" s="15" t="s">
        <v>89</v>
      </c>
    </row>
    <row r="2" spans="1:25" ht="15.75" customHeight="1" x14ac:dyDescent="0.75">
      <c r="D2" s="21">
        <v>666501</v>
      </c>
      <c r="E2" s="21">
        <v>666502</v>
      </c>
      <c r="F2" s="21">
        <v>666505</v>
      </c>
      <c r="G2" s="21">
        <v>666506</v>
      </c>
      <c r="H2" s="21">
        <v>666507</v>
      </c>
      <c r="I2" s="21">
        <v>666509</v>
      </c>
      <c r="J2" s="21">
        <v>666510</v>
      </c>
      <c r="K2" s="21">
        <v>666511</v>
      </c>
      <c r="L2" s="21">
        <v>666513</v>
      </c>
      <c r="M2" s="21">
        <v>666516</v>
      </c>
      <c r="N2" s="21">
        <v>666517</v>
      </c>
      <c r="O2" s="21">
        <v>666518</v>
      </c>
      <c r="P2" s="21">
        <v>666519</v>
      </c>
      <c r="Q2" s="21">
        <v>666521</v>
      </c>
      <c r="R2" s="21">
        <v>666522</v>
      </c>
      <c r="S2" s="21">
        <v>666523</v>
      </c>
      <c r="T2" s="21">
        <v>666530</v>
      </c>
      <c r="U2" s="21">
        <v>666531</v>
      </c>
      <c r="V2" s="21">
        <v>666540</v>
      </c>
      <c r="W2" s="21">
        <v>666541</v>
      </c>
      <c r="X2" s="21">
        <v>666536</v>
      </c>
    </row>
    <row r="3" spans="1:25" ht="34.5" customHeight="1" x14ac:dyDescent="0.75">
      <c r="A3" s="16" t="s">
        <v>44</v>
      </c>
      <c r="B3" s="16" t="s">
        <v>45</v>
      </c>
      <c r="C3" s="16" t="s">
        <v>50</v>
      </c>
      <c r="D3" s="16" t="s">
        <v>5</v>
      </c>
      <c r="E3" s="16" t="s">
        <v>7</v>
      </c>
      <c r="F3" s="16" t="s">
        <v>9</v>
      </c>
      <c r="G3" s="16" t="s">
        <v>11</v>
      </c>
      <c r="H3" s="16" t="s">
        <v>13</v>
      </c>
      <c r="I3" s="16" t="s">
        <v>15</v>
      </c>
      <c r="J3" s="16" t="s">
        <v>17</v>
      </c>
      <c r="K3" s="16" t="s">
        <v>19</v>
      </c>
      <c r="L3" s="16" t="s">
        <v>21</v>
      </c>
      <c r="M3" s="16" t="s">
        <v>23</v>
      </c>
      <c r="N3" s="16" t="s">
        <v>25</v>
      </c>
      <c r="O3" s="16" t="s">
        <v>27</v>
      </c>
      <c r="P3" s="16" t="s">
        <v>29</v>
      </c>
      <c r="Q3" s="16" t="s">
        <v>31</v>
      </c>
      <c r="R3" s="16" t="s">
        <v>33</v>
      </c>
      <c r="S3" s="16" t="s">
        <v>35</v>
      </c>
      <c r="T3" s="16" t="s">
        <v>37</v>
      </c>
      <c r="U3" s="16" t="s">
        <v>39</v>
      </c>
      <c r="V3" s="16" t="s">
        <v>40</v>
      </c>
      <c r="W3" s="16" t="s">
        <v>41</v>
      </c>
      <c r="X3" s="16" t="s">
        <v>43</v>
      </c>
      <c r="Y3" s="16" t="s">
        <v>90</v>
      </c>
    </row>
    <row r="4" spans="1:25" ht="15" customHeight="1" x14ac:dyDescent="0.75">
      <c r="A4" s="18" t="s">
        <v>53</v>
      </c>
      <c r="B4" s="19">
        <v>46020</v>
      </c>
      <c r="C4" s="18" t="s">
        <v>56</v>
      </c>
      <c r="D4" s="20">
        <f>SUMIFS('Harvest Detail'!$J$2:$J$1093,'Harvest Detail'!$A$2:$A$1093,$A4,'Harvest Detail'!$G$2:$G$1093,$C4,'Harvest Detail'!$I$2:$I$1093,D$3)</f>
        <v>27</v>
      </c>
      <c r="E4" s="20">
        <f>SUMIFS('Harvest Detail'!$J$2:$J$1093,'Harvest Detail'!$A$2:$A$1093,$A4,'Harvest Detail'!$G$2:$G$1093,$C4,'Harvest Detail'!$I$2:$I$1093,E$3)</f>
        <v>0</v>
      </c>
      <c r="F4" s="20">
        <f>SUMIFS('Harvest Detail'!$J$2:$J$1093,'Harvest Detail'!$A$2:$A$1093,$A4,'Harvest Detail'!$G$2:$G$1093,$C4,'Harvest Detail'!$I$2:$I$1093,F$3)</f>
        <v>20</v>
      </c>
      <c r="G4" s="20">
        <f>SUMIFS('Harvest Detail'!$J$2:$J$1093,'Harvest Detail'!$A$2:$A$1093,$A4,'Harvest Detail'!$G$2:$G$1093,$C4,'Harvest Detail'!$I$2:$I$1093,G$3)</f>
        <v>0</v>
      </c>
      <c r="H4" s="20">
        <f>SUMIFS('Harvest Detail'!$J$2:$J$1093,'Harvest Detail'!$A$2:$A$1093,$A4,'Harvest Detail'!$G$2:$G$1093,$C4,'Harvest Detail'!$I$2:$I$1093,H$3)</f>
        <v>19</v>
      </c>
      <c r="I4" s="20">
        <f>SUMIFS('Harvest Detail'!$J$2:$J$1093,'Harvest Detail'!$A$2:$A$1093,$A4,'Harvest Detail'!$G$2:$G$1093,$C4,'Harvest Detail'!$I$2:$I$1093,I$3)</f>
        <v>23</v>
      </c>
      <c r="J4" s="20">
        <f>SUMIFS('Harvest Detail'!$J$2:$J$1093,'Harvest Detail'!$A$2:$A$1093,$A4,'Harvest Detail'!$G$2:$G$1093,$C4,'Harvest Detail'!$I$2:$I$1093,J$3)</f>
        <v>0</v>
      </c>
      <c r="K4" s="20">
        <f>SUMIFS('Harvest Detail'!$J$2:$J$1093,'Harvest Detail'!$A$2:$A$1093,$A4,'Harvest Detail'!$G$2:$G$1093,$C4,'Harvest Detail'!$I$2:$I$1093,K$3)</f>
        <v>0</v>
      </c>
      <c r="L4" s="20">
        <f>SUMIFS('Harvest Detail'!$J$2:$J$1093,'Harvest Detail'!$A$2:$A$1093,$A4,'Harvest Detail'!$G$2:$G$1093,$C4,'Harvest Detail'!$I$2:$I$1093,L$3)</f>
        <v>20</v>
      </c>
      <c r="M4" s="20">
        <f>SUMIFS('Harvest Detail'!$J$2:$J$1093,'Harvest Detail'!$A$2:$A$1093,$A4,'Harvest Detail'!$G$2:$G$1093,$C4,'Harvest Detail'!$I$2:$I$1093,M$3)</f>
        <v>26</v>
      </c>
      <c r="N4" s="20">
        <f>SUMIFS('Harvest Detail'!$J$2:$J$1093,'Harvest Detail'!$A$2:$A$1093,$A4,'Harvest Detail'!$G$2:$G$1093,$C4,'Harvest Detail'!$I$2:$I$1093,N$3)</f>
        <v>30</v>
      </c>
      <c r="O4" s="20">
        <f>SUMIFS('Harvest Detail'!$J$2:$J$1093,'Harvest Detail'!$A$2:$A$1093,$A4,'Harvest Detail'!$G$2:$G$1093,$C4,'Harvest Detail'!$I$2:$I$1093,O$3)</f>
        <v>0</v>
      </c>
      <c r="P4" s="20">
        <f>SUMIFS('Harvest Detail'!$J$2:$J$1093,'Harvest Detail'!$A$2:$A$1093,$A4,'Harvest Detail'!$G$2:$G$1093,$C4,'Harvest Detail'!$I$2:$I$1093,P$3)</f>
        <v>27</v>
      </c>
      <c r="Q4" s="20">
        <f>SUMIFS('Harvest Detail'!$J$2:$J$1093,'Harvest Detail'!$A$2:$A$1093,$A4,'Harvest Detail'!$G$2:$G$1093,$C4,'Harvest Detail'!$I$2:$I$1093,Q$3)</f>
        <v>0</v>
      </c>
      <c r="R4" s="20">
        <f>SUMIFS('Harvest Detail'!$J$2:$J$1093,'Harvest Detail'!$A$2:$A$1093,$A4,'Harvest Detail'!$G$2:$G$1093,$C4,'Harvest Detail'!$I$2:$I$1093,R$3)</f>
        <v>85</v>
      </c>
      <c r="S4" s="20">
        <f>SUMIFS('Harvest Detail'!$J$2:$J$1093,'Harvest Detail'!$A$2:$A$1093,$A4,'Harvest Detail'!$G$2:$G$1093,$C4,'Harvest Detail'!$I$2:$I$1093,S$3)</f>
        <v>0</v>
      </c>
      <c r="T4" s="20">
        <f>SUMIFS('Harvest Detail'!$J$2:$J$1093,'Harvest Detail'!$A$2:$A$1093,$A4,'Harvest Detail'!$G$2:$G$1093,$C4,'Harvest Detail'!$I$2:$I$1093,T$3)</f>
        <v>4</v>
      </c>
      <c r="U4" s="20">
        <f>SUMIFS('Harvest Detail'!$J$2:$J$1093,'Harvest Detail'!$A$2:$A$1093,$A4,'Harvest Detail'!$G$2:$G$1093,$C4,'Harvest Detail'!$I$2:$I$1093,U$3)</f>
        <v>17</v>
      </c>
      <c r="V4" s="20">
        <f>SUMIFS('Harvest Detail'!$J$2:$J$1093,'Harvest Detail'!$A$2:$A$1093,$A4,'Harvest Detail'!$G$2:$G$1093,$C4,'Harvest Detail'!$I$2:$I$1093,V$3)</f>
        <v>0</v>
      </c>
      <c r="W4" s="20">
        <f>SUMIFS('Harvest Detail'!$J$2:$J$1093,'Harvest Detail'!$A$2:$A$1093,$A4,'Harvest Detail'!$G$2:$G$1093,$C4,'Harvest Detail'!$I$2:$I$1093,W$3)</f>
        <v>0</v>
      </c>
      <c r="X4" s="20">
        <f>SUMIFS('Harvest Detail'!$J$2:$J$1093,'Harvest Detail'!$A$2:$A$1093,$A4,'Harvest Detail'!$G$2:$G$1093,$C4,'Harvest Detail'!$I$2:$I$1093,X$3)</f>
        <v>1</v>
      </c>
      <c r="Y4" s="22">
        <f t="shared" ref="Y4:Y35" si="0">SUM(D4:X4)</f>
        <v>299</v>
      </c>
    </row>
    <row r="5" spans="1:25" ht="15" customHeight="1" x14ac:dyDescent="0.75">
      <c r="A5" s="18" t="s">
        <v>53</v>
      </c>
      <c r="B5" s="19">
        <v>46020</v>
      </c>
      <c r="C5" s="18" t="s">
        <v>58</v>
      </c>
      <c r="D5" s="20">
        <f>SUMIFS('Harvest Detail'!$J$2:$J$1093,'Harvest Detail'!$A$2:$A$1093,$A5,'Harvest Detail'!$G$2:$G$1093,$C5,'Harvest Detail'!$I$2:$I$1093,D$3)</f>
        <v>150</v>
      </c>
      <c r="E5" s="20">
        <f>SUMIFS('Harvest Detail'!$J$2:$J$1093,'Harvest Detail'!$A$2:$A$1093,$A5,'Harvest Detail'!$G$2:$G$1093,$C5,'Harvest Detail'!$I$2:$I$1093,E$3)</f>
        <v>35</v>
      </c>
      <c r="F5" s="20">
        <f>SUMIFS('Harvest Detail'!$J$2:$J$1093,'Harvest Detail'!$A$2:$A$1093,$A5,'Harvest Detail'!$G$2:$G$1093,$C5,'Harvest Detail'!$I$2:$I$1093,F$3)</f>
        <v>0</v>
      </c>
      <c r="G5" s="20">
        <f>SUMIFS('Harvest Detail'!$J$2:$J$1093,'Harvest Detail'!$A$2:$A$1093,$A5,'Harvest Detail'!$G$2:$G$1093,$C5,'Harvest Detail'!$I$2:$I$1093,G$3)</f>
        <v>0</v>
      </c>
      <c r="H5" s="20">
        <f>SUMIFS('Harvest Detail'!$J$2:$J$1093,'Harvest Detail'!$A$2:$A$1093,$A5,'Harvest Detail'!$G$2:$G$1093,$C5,'Harvest Detail'!$I$2:$I$1093,H$3)</f>
        <v>0</v>
      </c>
      <c r="I5" s="20">
        <f>SUMIFS('Harvest Detail'!$J$2:$J$1093,'Harvest Detail'!$A$2:$A$1093,$A5,'Harvest Detail'!$G$2:$G$1093,$C5,'Harvest Detail'!$I$2:$I$1093,I$3)</f>
        <v>0</v>
      </c>
      <c r="J5" s="20">
        <f>SUMIFS('Harvest Detail'!$J$2:$J$1093,'Harvest Detail'!$A$2:$A$1093,$A5,'Harvest Detail'!$G$2:$G$1093,$C5,'Harvest Detail'!$I$2:$I$1093,J$3)</f>
        <v>0</v>
      </c>
      <c r="K5" s="20">
        <f>SUMIFS('Harvest Detail'!$J$2:$J$1093,'Harvest Detail'!$A$2:$A$1093,$A5,'Harvest Detail'!$G$2:$G$1093,$C5,'Harvest Detail'!$I$2:$I$1093,K$3)</f>
        <v>0</v>
      </c>
      <c r="L5" s="20">
        <f>SUMIFS('Harvest Detail'!$J$2:$J$1093,'Harvest Detail'!$A$2:$A$1093,$A5,'Harvest Detail'!$G$2:$G$1093,$C5,'Harvest Detail'!$I$2:$I$1093,L$3)</f>
        <v>0</v>
      </c>
      <c r="M5" s="20">
        <f>SUMIFS('Harvest Detail'!$J$2:$J$1093,'Harvest Detail'!$A$2:$A$1093,$A5,'Harvest Detail'!$G$2:$G$1093,$C5,'Harvest Detail'!$I$2:$I$1093,M$3)</f>
        <v>0</v>
      </c>
      <c r="N5" s="20">
        <f>SUMIFS('Harvest Detail'!$J$2:$J$1093,'Harvest Detail'!$A$2:$A$1093,$A5,'Harvest Detail'!$G$2:$G$1093,$C5,'Harvest Detail'!$I$2:$I$1093,N$3)</f>
        <v>0</v>
      </c>
      <c r="O5" s="20">
        <f>SUMIFS('Harvest Detail'!$J$2:$J$1093,'Harvest Detail'!$A$2:$A$1093,$A5,'Harvest Detail'!$G$2:$G$1093,$C5,'Harvest Detail'!$I$2:$I$1093,O$3)</f>
        <v>0</v>
      </c>
      <c r="P5" s="20">
        <f>SUMIFS('Harvest Detail'!$J$2:$J$1093,'Harvest Detail'!$A$2:$A$1093,$A5,'Harvest Detail'!$G$2:$G$1093,$C5,'Harvest Detail'!$I$2:$I$1093,P$3)</f>
        <v>0</v>
      </c>
      <c r="Q5" s="20">
        <f>SUMIFS('Harvest Detail'!$J$2:$J$1093,'Harvest Detail'!$A$2:$A$1093,$A5,'Harvest Detail'!$G$2:$G$1093,$C5,'Harvest Detail'!$I$2:$I$1093,Q$3)</f>
        <v>0</v>
      </c>
      <c r="R5" s="20">
        <f>SUMIFS('Harvest Detail'!$J$2:$J$1093,'Harvest Detail'!$A$2:$A$1093,$A5,'Harvest Detail'!$G$2:$G$1093,$C5,'Harvest Detail'!$I$2:$I$1093,R$3)</f>
        <v>190</v>
      </c>
      <c r="S5" s="20">
        <f>SUMIFS('Harvest Detail'!$J$2:$J$1093,'Harvest Detail'!$A$2:$A$1093,$A5,'Harvest Detail'!$G$2:$G$1093,$C5,'Harvest Detail'!$I$2:$I$1093,S$3)</f>
        <v>0</v>
      </c>
      <c r="T5" s="20">
        <f>SUMIFS('Harvest Detail'!$J$2:$J$1093,'Harvest Detail'!$A$2:$A$1093,$A5,'Harvest Detail'!$G$2:$G$1093,$C5,'Harvest Detail'!$I$2:$I$1093,T$3)</f>
        <v>0</v>
      </c>
      <c r="U5" s="20">
        <f>SUMIFS('Harvest Detail'!$J$2:$J$1093,'Harvest Detail'!$A$2:$A$1093,$A5,'Harvest Detail'!$G$2:$G$1093,$C5,'Harvest Detail'!$I$2:$I$1093,U$3)</f>
        <v>0</v>
      </c>
      <c r="V5" s="20">
        <f>SUMIFS('Harvest Detail'!$J$2:$J$1093,'Harvest Detail'!$A$2:$A$1093,$A5,'Harvest Detail'!$G$2:$G$1093,$C5,'Harvest Detail'!$I$2:$I$1093,V$3)</f>
        <v>41</v>
      </c>
      <c r="W5" s="20">
        <f>SUMIFS('Harvest Detail'!$J$2:$J$1093,'Harvest Detail'!$A$2:$A$1093,$A5,'Harvest Detail'!$G$2:$G$1093,$C5,'Harvest Detail'!$I$2:$I$1093,W$3)</f>
        <v>175</v>
      </c>
      <c r="X5" s="20">
        <f>SUMIFS('Harvest Detail'!$J$2:$J$1093,'Harvest Detail'!$A$2:$A$1093,$A5,'Harvest Detail'!$G$2:$G$1093,$C5,'Harvest Detail'!$I$2:$I$1093,X$3)</f>
        <v>0</v>
      </c>
      <c r="Y5" s="22">
        <f t="shared" si="0"/>
        <v>591</v>
      </c>
    </row>
    <row r="6" spans="1:25" ht="15" customHeight="1" x14ac:dyDescent="0.75">
      <c r="A6" s="18" t="s">
        <v>53</v>
      </c>
      <c r="B6" s="19">
        <v>46020</v>
      </c>
      <c r="C6" s="18" t="s">
        <v>66</v>
      </c>
      <c r="D6" s="20">
        <f>SUMIFS('Harvest Detail'!$J$2:$J$1093,'Harvest Detail'!$A$2:$A$1093,$A6,'Harvest Detail'!$G$2:$G$1093,$C6,'Harvest Detail'!$I$2:$I$1093,D$3)</f>
        <v>0</v>
      </c>
      <c r="E6" s="20">
        <f>SUMIFS('Harvest Detail'!$J$2:$J$1093,'Harvest Detail'!$A$2:$A$1093,$A6,'Harvest Detail'!$G$2:$G$1093,$C6,'Harvest Detail'!$I$2:$I$1093,E$3)</f>
        <v>0</v>
      </c>
      <c r="F6" s="20">
        <f>SUMIFS('Harvest Detail'!$J$2:$J$1093,'Harvest Detail'!$A$2:$A$1093,$A6,'Harvest Detail'!$G$2:$G$1093,$C6,'Harvest Detail'!$I$2:$I$1093,F$3)</f>
        <v>0</v>
      </c>
      <c r="G6" s="20">
        <f>SUMIFS('Harvest Detail'!$J$2:$J$1093,'Harvest Detail'!$A$2:$A$1093,$A6,'Harvest Detail'!$G$2:$G$1093,$C6,'Harvest Detail'!$I$2:$I$1093,G$3)</f>
        <v>0</v>
      </c>
      <c r="H6" s="20">
        <f>SUMIFS('Harvest Detail'!$J$2:$J$1093,'Harvest Detail'!$A$2:$A$1093,$A6,'Harvest Detail'!$G$2:$G$1093,$C6,'Harvest Detail'!$I$2:$I$1093,H$3)</f>
        <v>0</v>
      </c>
      <c r="I6" s="20">
        <f>SUMIFS('Harvest Detail'!$J$2:$J$1093,'Harvest Detail'!$A$2:$A$1093,$A6,'Harvest Detail'!$G$2:$G$1093,$C6,'Harvest Detail'!$I$2:$I$1093,I$3)</f>
        <v>0</v>
      </c>
      <c r="J6" s="20">
        <f>SUMIFS('Harvest Detail'!$J$2:$J$1093,'Harvest Detail'!$A$2:$A$1093,$A6,'Harvest Detail'!$G$2:$G$1093,$C6,'Harvest Detail'!$I$2:$I$1093,J$3)</f>
        <v>0</v>
      </c>
      <c r="K6" s="20">
        <f>SUMIFS('Harvest Detail'!$J$2:$J$1093,'Harvest Detail'!$A$2:$A$1093,$A6,'Harvest Detail'!$G$2:$G$1093,$C6,'Harvest Detail'!$I$2:$I$1093,K$3)</f>
        <v>0</v>
      </c>
      <c r="L6" s="20">
        <f>SUMIFS('Harvest Detail'!$J$2:$J$1093,'Harvest Detail'!$A$2:$A$1093,$A6,'Harvest Detail'!$G$2:$G$1093,$C6,'Harvest Detail'!$I$2:$I$1093,L$3)</f>
        <v>0</v>
      </c>
      <c r="M6" s="20">
        <f>SUMIFS('Harvest Detail'!$J$2:$J$1093,'Harvest Detail'!$A$2:$A$1093,$A6,'Harvest Detail'!$G$2:$G$1093,$C6,'Harvest Detail'!$I$2:$I$1093,M$3)</f>
        <v>0</v>
      </c>
      <c r="N6" s="20">
        <f>SUMIFS('Harvest Detail'!$J$2:$J$1093,'Harvest Detail'!$A$2:$A$1093,$A6,'Harvest Detail'!$G$2:$G$1093,$C6,'Harvest Detail'!$I$2:$I$1093,N$3)</f>
        <v>0</v>
      </c>
      <c r="O6" s="20">
        <f>SUMIFS('Harvest Detail'!$J$2:$J$1093,'Harvest Detail'!$A$2:$A$1093,$A6,'Harvest Detail'!$G$2:$G$1093,$C6,'Harvest Detail'!$I$2:$I$1093,O$3)</f>
        <v>0</v>
      </c>
      <c r="P6" s="20">
        <f>SUMIFS('Harvest Detail'!$J$2:$J$1093,'Harvest Detail'!$A$2:$A$1093,$A6,'Harvest Detail'!$G$2:$G$1093,$C6,'Harvest Detail'!$I$2:$I$1093,P$3)</f>
        <v>0</v>
      </c>
      <c r="Q6" s="20">
        <f>SUMIFS('Harvest Detail'!$J$2:$J$1093,'Harvest Detail'!$A$2:$A$1093,$A6,'Harvest Detail'!$G$2:$G$1093,$C6,'Harvest Detail'!$I$2:$I$1093,Q$3)</f>
        <v>0</v>
      </c>
      <c r="R6" s="20">
        <f>SUMIFS('Harvest Detail'!$J$2:$J$1093,'Harvest Detail'!$A$2:$A$1093,$A6,'Harvest Detail'!$G$2:$G$1093,$C6,'Harvest Detail'!$I$2:$I$1093,R$3)</f>
        <v>0</v>
      </c>
      <c r="S6" s="20">
        <f>SUMIFS('Harvest Detail'!$J$2:$J$1093,'Harvest Detail'!$A$2:$A$1093,$A6,'Harvest Detail'!$G$2:$G$1093,$C6,'Harvest Detail'!$I$2:$I$1093,S$3)</f>
        <v>0</v>
      </c>
      <c r="T6" s="20">
        <f>SUMIFS('Harvest Detail'!$J$2:$J$1093,'Harvest Detail'!$A$2:$A$1093,$A6,'Harvest Detail'!$G$2:$G$1093,$C6,'Harvest Detail'!$I$2:$I$1093,T$3)</f>
        <v>0</v>
      </c>
      <c r="U6" s="20">
        <f>SUMIFS('Harvest Detail'!$J$2:$J$1093,'Harvest Detail'!$A$2:$A$1093,$A6,'Harvest Detail'!$G$2:$G$1093,$C6,'Harvest Detail'!$I$2:$I$1093,U$3)</f>
        <v>0</v>
      </c>
      <c r="V6" s="20">
        <f>SUMIFS('Harvest Detail'!$J$2:$J$1093,'Harvest Detail'!$A$2:$A$1093,$A6,'Harvest Detail'!$G$2:$G$1093,$C6,'Harvest Detail'!$I$2:$I$1093,V$3)</f>
        <v>0</v>
      </c>
      <c r="W6" s="20">
        <f>SUMIFS('Harvest Detail'!$J$2:$J$1093,'Harvest Detail'!$A$2:$A$1093,$A6,'Harvest Detail'!$G$2:$G$1093,$C6,'Harvest Detail'!$I$2:$I$1093,W$3)</f>
        <v>0</v>
      </c>
      <c r="X6" s="20">
        <f>SUMIFS('Harvest Detail'!$J$2:$J$1093,'Harvest Detail'!$A$2:$A$1093,$A6,'Harvest Detail'!$G$2:$G$1093,$C6,'Harvest Detail'!$I$2:$I$1093,X$3)</f>
        <v>0</v>
      </c>
      <c r="Y6" s="22">
        <f t="shared" si="0"/>
        <v>0</v>
      </c>
    </row>
    <row r="7" spans="1:25" ht="15" customHeight="1" x14ac:dyDescent="0.75">
      <c r="A7" s="18" t="s">
        <v>61</v>
      </c>
      <c r="B7" s="19">
        <v>46027</v>
      </c>
      <c r="C7" s="18" t="s">
        <v>56</v>
      </c>
      <c r="D7" s="20">
        <f>SUMIFS('Harvest Detail'!$J$2:$J$1093,'Harvest Detail'!$A$2:$A$1093,$A7,'Harvest Detail'!$G$2:$G$1093,$C7,'Harvest Detail'!$I$2:$I$1093,D$3)</f>
        <v>6</v>
      </c>
      <c r="E7" s="20">
        <f>SUMIFS('Harvest Detail'!$J$2:$J$1093,'Harvest Detail'!$A$2:$A$1093,$A7,'Harvest Detail'!$G$2:$G$1093,$C7,'Harvest Detail'!$I$2:$I$1093,E$3)</f>
        <v>0</v>
      </c>
      <c r="F7" s="20">
        <f>SUMIFS('Harvest Detail'!$J$2:$J$1093,'Harvest Detail'!$A$2:$A$1093,$A7,'Harvest Detail'!$G$2:$G$1093,$C7,'Harvest Detail'!$I$2:$I$1093,F$3)</f>
        <v>0</v>
      </c>
      <c r="G7" s="20">
        <f>SUMIFS('Harvest Detail'!$J$2:$J$1093,'Harvest Detail'!$A$2:$A$1093,$A7,'Harvest Detail'!$G$2:$G$1093,$C7,'Harvest Detail'!$I$2:$I$1093,G$3)</f>
        <v>0</v>
      </c>
      <c r="H7" s="20">
        <f>SUMIFS('Harvest Detail'!$J$2:$J$1093,'Harvest Detail'!$A$2:$A$1093,$A7,'Harvest Detail'!$G$2:$G$1093,$C7,'Harvest Detail'!$I$2:$I$1093,H$3)</f>
        <v>41</v>
      </c>
      <c r="I7" s="20">
        <f>SUMIFS('Harvest Detail'!$J$2:$J$1093,'Harvest Detail'!$A$2:$A$1093,$A7,'Harvest Detail'!$G$2:$G$1093,$C7,'Harvest Detail'!$I$2:$I$1093,I$3)</f>
        <v>83</v>
      </c>
      <c r="J7" s="20">
        <f>SUMIFS('Harvest Detail'!$J$2:$J$1093,'Harvest Detail'!$A$2:$A$1093,$A7,'Harvest Detail'!$G$2:$G$1093,$C7,'Harvest Detail'!$I$2:$I$1093,J$3)</f>
        <v>0</v>
      </c>
      <c r="K7" s="20">
        <f>SUMIFS('Harvest Detail'!$J$2:$J$1093,'Harvest Detail'!$A$2:$A$1093,$A7,'Harvest Detail'!$G$2:$G$1093,$C7,'Harvest Detail'!$I$2:$I$1093,K$3)</f>
        <v>6</v>
      </c>
      <c r="L7" s="20">
        <f>SUMIFS('Harvest Detail'!$J$2:$J$1093,'Harvest Detail'!$A$2:$A$1093,$A7,'Harvest Detail'!$G$2:$G$1093,$C7,'Harvest Detail'!$I$2:$I$1093,L$3)</f>
        <v>0</v>
      </c>
      <c r="M7" s="20">
        <f>SUMIFS('Harvest Detail'!$J$2:$J$1093,'Harvest Detail'!$A$2:$A$1093,$A7,'Harvest Detail'!$G$2:$G$1093,$C7,'Harvest Detail'!$I$2:$I$1093,M$3)</f>
        <v>6</v>
      </c>
      <c r="N7" s="20">
        <f>SUMIFS('Harvest Detail'!$J$2:$J$1093,'Harvest Detail'!$A$2:$A$1093,$A7,'Harvest Detail'!$G$2:$G$1093,$C7,'Harvest Detail'!$I$2:$I$1093,N$3)</f>
        <v>11</v>
      </c>
      <c r="O7" s="20">
        <f>SUMIFS('Harvest Detail'!$J$2:$J$1093,'Harvest Detail'!$A$2:$A$1093,$A7,'Harvest Detail'!$G$2:$G$1093,$C7,'Harvest Detail'!$I$2:$I$1093,O$3)</f>
        <v>0</v>
      </c>
      <c r="P7" s="20">
        <f>SUMIFS('Harvest Detail'!$J$2:$J$1093,'Harvest Detail'!$A$2:$A$1093,$A7,'Harvest Detail'!$G$2:$G$1093,$C7,'Harvest Detail'!$I$2:$I$1093,P$3)</f>
        <v>5</v>
      </c>
      <c r="Q7" s="20">
        <f>SUMIFS('Harvest Detail'!$J$2:$J$1093,'Harvest Detail'!$A$2:$A$1093,$A7,'Harvest Detail'!$G$2:$G$1093,$C7,'Harvest Detail'!$I$2:$I$1093,Q$3)</f>
        <v>0</v>
      </c>
      <c r="R7" s="20">
        <f>SUMIFS('Harvest Detail'!$J$2:$J$1093,'Harvest Detail'!$A$2:$A$1093,$A7,'Harvest Detail'!$G$2:$G$1093,$C7,'Harvest Detail'!$I$2:$I$1093,R$3)</f>
        <v>45</v>
      </c>
      <c r="S7" s="20">
        <f>SUMIFS('Harvest Detail'!$J$2:$J$1093,'Harvest Detail'!$A$2:$A$1093,$A7,'Harvest Detail'!$G$2:$G$1093,$C7,'Harvest Detail'!$I$2:$I$1093,S$3)</f>
        <v>0</v>
      </c>
      <c r="T7" s="20">
        <f>SUMIFS('Harvest Detail'!$J$2:$J$1093,'Harvest Detail'!$A$2:$A$1093,$A7,'Harvest Detail'!$G$2:$G$1093,$C7,'Harvest Detail'!$I$2:$I$1093,T$3)</f>
        <v>0</v>
      </c>
      <c r="U7" s="20">
        <f>SUMIFS('Harvest Detail'!$J$2:$J$1093,'Harvest Detail'!$A$2:$A$1093,$A7,'Harvest Detail'!$G$2:$G$1093,$C7,'Harvest Detail'!$I$2:$I$1093,U$3)</f>
        <v>0</v>
      </c>
      <c r="V7" s="20">
        <f>SUMIFS('Harvest Detail'!$J$2:$J$1093,'Harvest Detail'!$A$2:$A$1093,$A7,'Harvest Detail'!$G$2:$G$1093,$C7,'Harvest Detail'!$I$2:$I$1093,V$3)</f>
        <v>0</v>
      </c>
      <c r="W7" s="20">
        <f>SUMIFS('Harvest Detail'!$J$2:$J$1093,'Harvest Detail'!$A$2:$A$1093,$A7,'Harvest Detail'!$G$2:$G$1093,$C7,'Harvest Detail'!$I$2:$I$1093,W$3)</f>
        <v>0</v>
      </c>
      <c r="X7" s="20">
        <f>SUMIFS('Harvest Detail'!$J$2:$J$1093,'Harvest Detail'!$A$2:$A$1093,$A7,'Harvest Detail'!$G$2:$G$1093,$C7,'Harvest Detail'!$I$2:$I$1093,X$3)</f>
        <v>14</v>
      </c>
      <c r="Y7" s="22">
        <f t="shared" si="0"/>
        <v>217</v>
      </c>
    </row>
    <row r="8" spans="1:25" ht="15" customHeight="1" x14ac:dyDescent="0.75">
      <c r="A8" s="18" t="s">
        <v>61</v>
      </c>
      <c r="B8" s="19">
        <v>46027</v>
      </c>
      <c r="C8" s="18" t="s">
        <v>58</v>
      </c>
      <c r="D8" s="20">
        <f>SUMIFS('Harvest Detail'!$J$2:$J$1093,'Harvest Detail'!$A$2:$A$1093,$A8,'Harvest Detail'!$G$2:$G$1093,$C8,'Harvest Detail'!$I$2:$I$1093,D$3)</f>
        <v>150</v>
      </c>
      <c r="E8" s="20">
        <f>SUMIFS('Harvest Detail'!$J$2:$J$1093,'Harvest Detail'!$A$2:$A$1093,$A8,'Harvest Detail'!$G$2:$G$1093,$C8,'Harvest Detail'!$I$2:$I$1093,E$3)</f>
        <v>115</v>
      </c>
      <c r="F8" s="20">
        <f>SUMIFS('Harvest Detail'!$J$2:$J$1093,'Harvest Detail'!$A$2:$A$1093,$A8,'Harvest Detail'!$G$2:$G$1093,$C8,'Harvest Detail'!$I$2:$I$1093,F$3)</f>
        <v>0</v>
      </c>
      <c r="G8" s="20">
        <f>SUMIFS('Harvest Detail'!$J$2:$J$1093,'Harvest Detail'!$A$2:$A$1093,$A8,'Harvest Detail'!$G$2:$G$1093,$C8,'Harvest Detail'!$I$2:$I$1093,G$3)</f>
        <v>200</v>
      </c>
      <c r="H8" s="20">
        <f>SUMIFS('Harvest Detail'!$J$2:$J$1093,'Harvest Detail'!$A$2:$A$1093,$A8,'Harvest Detail'!$G$2:$G$1093,$C8,'Harvest Detail'!$I$2:$I$1093,H$3)</f>
        <v>0</v>
      </c>
      <c r="I8" s="20">
        <f>SUMIFS('Harvest Detail'!$J$2:$J$1093,'Harvest Detail'!$A$2:$A$1093,$A8,'Harvest Detail'!$G$2:$G$1093,$C8,'Harvest Detail'!$I$2:$I$1093,I$3)</f>
        <v>0</v>
      </c>
      <c r="J8" s="20">
        <f>SUMIFS('Harvest Detail'!$J$2:$J$1093,'Harvest Detail'!$A$2:$A$1093,$A8,'Harvest Detail'!$G$2:$G$1093,$C8,'Harvest Detail'!$I$2:$I$1093,J$3)</f>
        <v>0</v>
      </c>
      <c r="K8" s="20">
        <f>SUMIFS('Harvest Detail'!$J$2:$J$1093,'Harvest Detail'!$A$2:$A$1093,$A8,'Harvest Detail'!$G$2:$G$1093,$C8,'Harvest Detail'!$I$2:$I$1093,K$3)</f>
        <v>0</v>
      </c>
      <c r="L8" s="20">
        <f>SUMIFS('Harvest Detail'!$J$2:$J$1093,'Harvest Detail'!$A$2:$A$1093,$A8,'Harvest Detail'!$G$2:$G$1093,$C8,'Harvest Detail'!$I$2:$I$1093,L$3)</f>
        <v>0</v>
      </c>
      <c r="M8" s="20">
        <f>SUMIFS('Harvest Detail'!$J$2:$J$1093,'Harvest Detail'!$A$2:$A$1093,$A8,'Harvest Detail'!$G$2:$G$1093,$C8,'Harvest Detail'!$I$2:$I$1093,M$3)</f>
        <v>0</v>
      </c>
      <c r="N8" s="20">
        <f>SUMIFS('Harvest Detail'!$J$2:$J$1093,'Harvest Detail'!$A$2:$A$1093,$A8,'Harvest Detail'!$G$2:$G$1093,$C8,'Harvest Detail'!$I$2:$I$1093,N$3)</f>
        <v>0</v>
      </c>
      <c r="O8" s="20">
        <f>SUMIFS('Harvest Detail'!$J$2:$J$1093,'Harvest Detail'!$A$2:$A$1093,$A8,'Harvest Detail'!$G$2:$G$1093,$C8,'Harvest Detail'!$I$2:$I$1093,O$3)</f>
        <v>0</v>
      </c>
      <c r="P8" s="20">
        <f>SUMIFS('Harvest Detail'!$J$2:$J$1093,'Harvest Detail'!$A$2:$A$1093,$A8,'Harvest Detail'!$G$2:$G$1093,$C8,'Harvest Detail'!$I$2:$I$1093,P$3)</f>
        <v>0</v>
      </c>
      <c r="Q8" s="20">
        <f>SUMIFS('Harvest Detail'!$J$2:$J$1093,'Harvest Detail'!$A$2:$A$1093,$A8,'Harvest Detail'!$G$2:$G$1093,$C8,'Harvest Detail'!$I$2:$I$1093,Q$3)</f>
        <v>0</v>
      </c>
      <c r="R8" s="20">
        <f>SUMIFS('Harvest Detail'!$J$2:$J$1093,'Harvest Detail'!$A$2:$A$1093,$A8,'Harvest Detail'!$G$2:$G$1093,$C8,'Harvest Detail'!$I$2:$I$1093,R$3)</f>
        <v>0</v>
      </c>
      <c r="S8" s="20">
        <f>SUMIFS('Harvest Detail'!$J$2:$J$1093,'Harvest Detail'!$A$2:$A$1093,$A8,'Harvest Detail'!$G$2:$G$1093,$C8,'Harvest Detail'!$I$2:$I$1093,S$3)</f>
        <v>112</v>
      </c>
      <c r="T8" s="20">
        <f>SUMIFS('Harvest Detail'!$J$2:$J$1093,'Harvest Detail'!$A$2:$A$1093,$A8,'Harvest Detail'!$G$2:$G$1093,$C8,'Harvest Detail'!$I$2:$I$1093,T$3)</f>
        <v>0</v>
      </c>
      <c r="U8" s="20">
        <f>SUMIFS('Harvest Detail'!$J$2:$J$1093,'Harvest Detail'!$A$2:$A$1093,$A8,'Harvest Detail'!$G$2:$G$1093,$C8,'Harvest Detail'!$I$2:$I$1093,U$3)</f>
        <v>0</v>
      </c>
      <c r="V8" s="20">
        <f>SUMIFS('Harvest Detail'!$J$2:$J$1093,'Harvest Detail'!$A$2:$A$1093,$A8,'Harvest Detail'!$G$2:$G$1093,$C8,'Harvest Detail'!$I$2:$I$1093,V$3)</f>
        <v>46</v>
      </c>
      <c r="W8" s="20">
        <f>SUMIFS('Harvest Detail'!$J$2:$J$1093,'Harvest Detail'!$A$2:$A$1093,$A8,'Harvest Detail'!$G$2:$G$1093,$C8,'Harvest Detail'!$I$2:$I$1093,W$3)</f>
        <v>65</v>
      </c>
      <c r="X8" s="20">
        <f>SUMIFS('Harvest Detail'!$J$2:$J$1093,'Harvest Detail'!$A$2:$A$1093,$A8,'Harvest Detail'!$G$2:$G$1093,$C8,'Harvest Detail'!$I$2:$I$1093,X$3)</f>
        <v>0</v>
      </c>
      <c r="Y8" s="22">
        <f t="shared" si="0"/>
        <v>688</v>
      </c>
    </row>
    <row r="9" spans="1:25" ht="15" customHeight="1" x14ac:dyDescent="0.75">
      <c r="A9" s="18" t="s">
        <v>61</v>
      </c>
      <c r="B9" s="19">
        <v>46027</v>
      </c>
      <c r="C9" s="18" t="s">
        <v>66</v>
      </c>
      <c r="D9" s="20">
        <f>SUMIFS('Harvest Detail'!$J$2:$J$1093,'Harvest Detail'!$A$2:$A$1093,$A9,'Harvest Detail'!$G$2:$G$1093,$C9,'Harvest Detail'!$I$2:$I$1093,D$3)</f>
        <v>0</v>
      </c>
      <c r="E9" s="20">
        <f>SUMIFS('Harvest Detail'!$J$2:$J$1093,'Harvest Detail'!$A$2:$A$1093,$A9,'Harvest Detail'!$G$2:$G$1093,$C9,'Harvest Detail'!$I$2:$I$1093,E$3)</f>
        <v>0</v>
      </c>
      <c r="F9" s="20">
        <f>SUMIFS('Harvest Detail'!$J$2:$J$1093,'Harvest Detail'!$A$2:$A$1093,$A9,'Harvest Detail'!$G$2:$G$1093,$C9,'Harvest Detail'!$I$2:$I$1093,F$3)</f>
        <v>0</v>
      </c>
      <c r="G9" s="20">
        <f>SUMIFS('Harvest Detail'!$J$2:$J$1093,'Harvest Detail'!$A$2:$A$1093,$A9,'Harvest Detail'!$G$2:$G$1093,$C9,'Harvest Detail'!$I$2:$I$1093,G$3)</f>
        <v>0</v>
      </c>
      <c r="H9" s="20">
        <f>SUMIFS('Harvest Detail'!$J$2:$J$1093,'Harvest Detail'!$A$2:$A$1093,$A9,'Harvest Detail'!$G$2:$G$1093,$C9,'Harvest Detail'!$I$2:$I$1093,H$3)</f>
        <v>0</v>
      </c>
      <c r="I9" s="20">
        <f>SUMIFS('Harvest Detail'!$J$2:$J$1093,'Harvest Detail'!$A$2:$A$1093,$A9,'Harvest Detail'!$G$2:$G$1093,$C9,'Harvest Detail'!$I$2:$I$1093,I$3)</f>
        <v>0</v>
      </c>
      <c r="J9" s="20">
        <f>SUMIFS('Harvest Detail'!$J$2:$J$1093,'Harvest Detail'!$A$2:$A$1093,$A9,'Harvest Detail'!$G$2:$G$1093,$C9,'Harvest Detail'!$I$2:$I$1093,J$3)</f>
        <v>0</v>
      </c>
      <c r="K9" s="20">
        <f>SUMIFS('Harvest Detail'!$J$2:$J$1093,'Harvest Detail'!$A$2:$A$1093,$A9,'Harvest Detail'!$G$2:$G$1093,$C9,'Harvest Detail'!$I$2:$I$1093,K$3)</f>
        <v>0</v>
      </c>
      <c r="L9" s="20">
        <f>SUMIFS('Harvest Detail'!$J$2:$J$1093,'Harvest Detail'!$A$2:$A$1093,$A9,'Harvest Detail'!$G$2:$G$1093,$C9,'Harvest Detail'!$I$2:$I$1093,L$3)</f>
        <v>0</v>
      </c>
      <c r="M9" s="20">
        <f>SUMIFS('Harvest Detail'!$J$2:$J$1093,'Harvest Detail'!$A$2:$A$1093,$A9,'Harvest Detail'!$G$2:$G$1093,$C9,'Harvest Detail'!$I$2:$I$1093,M$3)</f>
        <v>0</v>
      </c>
      <c r="N9" s="20">
        <f>SUMIFS('Harvest Detail'!$J$2:$J$1093,'Harvest Detail'!$A$2:$A$1093,$A9,'Harvest Detail'!$G$2:$G$1093,$C9,'Harvest Detail'!$I$2:$I$1093,N$3)</f>
        <v>0</v>
      </c>
      <c r="O9" s="20">
        <f>SUMIFS('Harvest Detail'!$J$2:$J$1093,'Harvest Detail'!$A$2:$A$1093,$A9,'Harvest Detail'!$G$2:$G$1093,$C9,'Harvest Detail'!$I$2:$I$1093,O$3)</f>
        <v>0</v>
      </c>
      <c r="P9" s="20">
        <f>SUMIFS('Harvest Detail'!$J$2:$J$1093,'Harvest Detail'!$A$2:$A$1093,$A9,'Harvest Detail'!$G$2:$G$1093,$C9,'Harvest Detail'!$I$2:$I$1093,P$3)</f>
        <v>0</v>
      </c>
      <c r="Q9" s="20">
        <f>SUMIFS('Harvest Detail'!$J$2:$J$1093,'Harvest Detail'!$A$2:$A$1093,$A9,'Harvest Detail'!$G$2:$G$1093,$C9,'Harvest Detail'!$I$2:$I$1093,Q$3)</f>
        <v>0</v>
      </c>
      <c r="R9" s="20">
        <f>SUMIFS('Harvest Detail'!$J$2:$J$1093,'Harvest Detail'!$A$2:$A$1093,$A9,'Harvest Detail'!$G$2:$G$1093,$C9,'Harvest Detail'!$I$2:$I$1093,R$3)</f>
        <v>0</v>
      </c>
      <c r="S9" s="20">
        <f>SUMIFS('Harvest Detail'!$J$2:$J$1093,'Harvest Detail'!$A$2:$A$1093,$A9,'Harvest Detail'!$G$2:$G$1093,$C9,'Harvest Detail'!$I$2:$I$1093,S$3)</f>
        <v>0</v>
      </c>
      <c r="T9" s="20">
        <f>SUMIFS('Harvest Detail'!$J$2:$J$1093,'Harvest Detail'!$A$2:$A$1093,$A9,'Harvest Detail'!$G$2:$G$1093,$C9,'Harvest Detail'!$I$2:$I$1093,T$3)</f>
        <v>0</v>
      </c>
      <c r="U9" s="20">
        <f>SUMIFS('Harvest Detail'!$J$2:$J$1093,'Harvest Detail'!$A$2:$A$1093,$A9,'Harvest Detail'!$G$2:$G$1093,$C9,'Harvest Detail'!$I$2:$I$1093,U$3)</f>
        <v>0</v>
      </c>
      <c r="V9" s="20">
        <f>SUMIFS('Harvest Detail'!$J$2:$J$1093,'Harvest Detail'!$A$2:$A$1093,$A9,'Harvest Detail'!$G$2:$G$1093,$C9,'Harvest Detail'!$I$2:$I$1093,V$3)</f>
        <v>0</v>
      </c>
      <c r="W9" s="20">
        <f>SUMIFS('Harvest Detail'!$J$2:$J$1093,'Harvest Detail'!$A$2:$A$1093,$A9,'Harvest Detail'!$G$2:$G$1093,$C9,'Harvest Detail'!$I$2:$I$1093,W$3)</f>
        <v>0</v>
      </c>
      <c r="X9" s="20">
        <f>SUMIFS('Harvest Detail'!$J$2:$J$1093,'Harvest Detail'!$A$2:$A$1093,$A9,'Harvest Detail'!$G$2:$G$1093,$C9,'Harvest Detail'!$I$2:$I$1093,X$3)</f>
        <v>0</v>
      </c>
      <c r="Y9" s="22">
        <f t="shared" si="0"/>
        <v>0</v>
      </c>
    </row>
    <row r="10" spans="1:25" ht="15" customHeight="1" x14ac:dyDescent="0.75">
      <c r="A10" s="18" t="s">
        <v>64</v>
      </c>
      <c r="B10" s="19">
        <v>46034</v>
      </c>
      <c r="C10" s="18" t="s">
        <v>56</v>
      </c>
      <c r="D10" s="20">
        <f>SUMIFS('Harvest Detail'!$J$2:$J$1093,'Harvest Detail'!$A$2:$A$1093,$A10,'Harvest Detail'!$G$2:$G$1093,$C10,'Harvest Detail'!$I$2:$I$1093,D$3)</f>
        <v>0</v>
      </c>
      <c r="E10" s="20">
        <f>SUMIFS('Harvest Detail'!$J$2:$J$1093,'Harvest Detail'!$A$2:$A$1093,$A10,'Harvest Detail'!$G$2:$G$1093,$C10,'Harvest Detail'!$I$2:$I$1093,E$3)</f>
        <v>0</v>
      </c>
      <c r="F10" s="20">
        <f>SUMIFS('Harvest Detail'!$J$2:$J$1093,'Harvest Detail'!$A$2:$A$1093,$A10,'Harvest Detail'!$G$2:$G$1093,$C10,'Harvest Detail'!$I$2:$I$1093,F$3)</f>
        <v>19</v>
      </c>
      <c r="G10" s="20">
        <f>SUMIFS('Harvest Detail'!$J$2:$J$1093,'Harvest Detail'!$A$2:$A$1093,$A10,'Harvest Detail'!$G$2:$G$1093,$C10,'Harvest Detail'!$I$2:$I$1093,G$3)</f>
        <v>0</v>
      </c>
      <c r="H10" s="20">
        <f>SUMIFS('Harvest Detail'!$J$2:$J$1093,'Harvest Detail'!$A$2:$A$1093,$A10,'Harvest Detail'!$G$2:$G$1093,$C10,'Harvest Detail'!$I$2:$I$1093,H$3)</f>
        <v>31</v>
      </c>
      <c r="I10" s="20">
        <f>SUMIFS('Harvest Detail'!$J$2:$J$1093,'Harvest Detail'!$A$2:$A$1093,$A10,'Harvest Detail'!$G$2:$G$1093,$C10,'Harvest Detail'!$I$2:$I$1093,I$3)</f>
        <v>63</v>
      </c>
      <c r="J10" s="20">
        <f>SUMIFS('Harvest Detail'!$J$2:$J$1093,'Harvest Detail'!$A$2:$A$1093,$A10,'Harvest Detail'!$G$2:$G$1093,$C10,'Harvest Detail'!$I$2:$I$1093,J$3)</f>
        <v>0</v>
      </c>
      <c r="K10" s="20">
        <f>SUMIFS('Harvest Detail'!$J$2:$J$1093,'Harvest Detail'!$A$2:$A$1093,$A10,'Harvest Detail'!$G$2:$G$1093,$C10,'Harvest Detail'!$I$2:$I$1093,K$3)</f>
        <v>8</v>
      </c>
      <c r="L10" s="20">
        <f>SUMIFS('Harvest Detail'!$J$2:$J$1093,'Harvest Detail'!$A$2:$A$1093,$A10,'Harvest Detail'!$G$2:$G$1093,$C10,'Harvest Detail'!$I$2:$I$1093,L$3)</f>
        <v>0</v>
      </c>
      <c r="M10" s="20">
        <f>SUMIFS('Harvest Detail'!$J$2:$J$1093,'Harvest Detail'!$A$2:$A$1093,$A10,'Harvest Detail'!$G$2:$G$1093,$C10,'Harvest Detail'!$I$2:$I$1093,M$3)</f>
        <v>20</v>
      </c>
      <c r="N10" s="20">
        <f>SUMIFS('Harvest Detail'!$J$2:$J$1093,'Harvest Detail'!$A$2:$A$1093,$A10,'Harvest Detail'!$G$2:$G$1093,$C10,'Harvest Detail'!$I$2:$I$1093,N$3)</f>
        <v>33</v>
      </c>
      <c r="O10" s="20">
        <f>SUMIFS('Harvest Detail'!$J$2:$J$1093,'Harvest Detail'!$A$2:$A$1093,$A10,'Harvest Detail'!$G$2:$G$1093,$C10,'Harvest Detail'!$I$2:$I$1093,O$3)</f>
        <v>0</v>
      </c>
      <c r="P10" s="20">
        <f>SUMIFS('Harvest Detail'!$J$2:$J$1093,'Harvest Detail'!$A$2:$A$1093,$A10,'Harvest Detail'!$G$2:$G$1093,$C10,'Harvest Detail'!$I$2:$I$1093,P$3)</f>
        <v>30</v>
      </c>
      <c r="Q10" s="20">
        <f>SUMIFS('Harvest Detail'!$J$2:$J$1093,'Harvest Detail'!$A$2:$A$1093,$A10,'Harvest Detail'!$G$2:$G$1093,$C10,'Harvest Detail'!$I$2:$I$1093,Q$3)</f>
        <v>0</v>
      </c>
      <c r="R10" s="20">
        <f>SUMIFS('Harvest Detail'!$J$2:$J$1093,'Harvest Detail'!$A$2:$A$1093,$A10,'Harvest Detail'!$G$2:$G$1093,$C10,'Harvest Detail'!$I$2:$I$1093,R$3)</f>
        <v>125</v>
      </c>
      <c r="S10" s="20">
        <f>SUMIFS('Harvest Detail'!$J$2:$J$1093,'Harvest Detail'!$A$2:$A$1093,$A10,'Harvest Detail'!$G$2:$G$1093,$C10,'Harvest Detail'!$I$2:$I$1093,S$3)</f>
        <v>0</v>
      </c>
      <c r="T10" s="20">
        <f>SUMIFS('Harvest Detail'!$J$2:$J$1093,'Harvest Detail'!$A$2:$A$1093,$A10,'Harvest Detail'!$G$2:$G$1093,$C10,'Harvest Detail'!$I$2:$I$1093,T$3)</f>
        <v>5</v>
      </c>
      <c r="U10" s="20">
        <f>SUMIFS('Harvest Detail'!$J$2:$J$1093,'Harvest Detail'!$A$2:$A$1093,$A10,'Harvest Detail'!$G$2:$G$1093,$C10,'Harvest Detail'!$I$2:$I$1093,U$3)</f>
        <v>18</v>
      </c>
      <c r="V10" s="20">
        <f>SUMIFS('Harvest Detail'!$J$2:$J$1093,'Harvest Detail'!$A$2:$A$1093,$A10,'Harvest Detail'!$G$2:$G$1093,$C10,'Harvest Detail'!$I$2:$I$1093,V$3)</f>
        <v>0</v>
      </c>
      <c r="W10" s="20">
        <f>SUMIFS('Harvest Detail'!$J$2:$J$1093,'Harvest Detail'!$A$2:$A$1093,$A10,'Harvest Detail'!$G$2:$G$1093,$C10,'Harvest Detail'!$I$2:$I$1093,W$3)</f>
        <v>0</v>
      </c>
      <c r="X10" s="20">
        <f>SUMIFS('Harvest Detail'!$J$2:$J$1093,'Harvest Detail'!$A$2:$A$1093,$A10,'Harvest Detail'!$G$2:$G$1093,$C10,'Harvest Detail'!$I$2:$I$1093,X$3)</f>
        <v>2</v>
      </c>
      <c r="Y10" s="22">
        <f t="shared" si="0"/>
        <v>354</v>
      </c>
    </row>
    <row r="11" spans="1:25" ht="15" customHeight="1" x14ac:dyDescent="0.75">
      <c r="A11" s="18" t="s">
        <v>64</v>
      </c>
      <c r="B11" s="19">
        <v>46034</v>
      </c>
      <c r="C11" s="18" t="s">
        <v>58</v>
      </c>
      <c r="D11" s="20">
        <f>SUMIFS('Harvest Detail'!$J$2:$J$1093,'Harvest Detail'!$A$2:$A$1093,$A11,'Harvest Detail'!$G$2:$G$1093,$C11,'Harvest Detail'!$I$2:$I$1093,D$3)</f>
        <v>0</v>
      </c>
      <c r="E11" s="20">
        <f>SUMIFS('Harvest Detail'!$J$2:$J$1093,'Harvest Detail'!$A$2:$A$1093,$A11,'Harvest Detail'!$G$2:$G$1093,$C11,'Harvest Detail'!$I$2:$I$1093,E$3)</f>
        <v>142</v>
      </c>
      <c r="F11" s="20">
        <f>SUMIFS('Harvest Detail'!$J$2:$J$1093,'Harvest Detail'!$A$2:$A$1093,$A11,'Harvest Detail'!$G$2:$G$1093,$C11,'Harvest Detail'!$I$2:$I$1093,F$3)</f>
        <v>0</v>
      </c>
      <c r="G11" s="20">
        <f>SUMIFS('Harvest Detail'!$J$2:$J$1093,'Harvest Detail'!$A$2:$A$1093,$A11,'Harvest Detail'!$G$2:$G$1093,$C11,'Harvest Detail'!$I$2:$I$1093,G$3)</f>
        <v>8</v>
      </c>
      <c r="H11" s="20">
        <f>SUMIFS('Harvest Detail'!$J$2:$J$1093,'Harvest Detail'!$A$2:$A$1093,$A11,'Harvest Detail'!$G$2:$G$1093,$C11,'Harvest Detail'!$I$2:$I$1093,H$3)</f>
        <v>0</v>
      </c>
      <c r="I11" s="20">
        <f>SUMIFS('Harvest Detail'!$J$2:$J$1093,'Harvest Detail'!$A$2:$A$1093,$A11,'Harvest Detail'!$G$2:$G$1093,$C11,'Harvest Detail'!$I$2:$I$1093,I$3)</f>
        <v>0</v>
      </c>
      <c r="J11" s="20">
        <f>SUMIFS('Harvest Detail'!$J$2:$J$1093,'Harvest Detail'!$A$2:$A$1093,$A11,'Harvest Detail'!$G$2:$G$1093,$C11,'Harvest Detail'!$I$2:$I$1093,J$3)</f>
        <v>0</v>
      </c>
      <c r="K11" s="20">
        <f>SUMIFS('Harvest Detail'!$J$2:$J$1093,'Harvest Detail'!$A$2:$A$1093,$A11,'Harvest Detail'!$G$2:$G$1093,$C11,'Harvest Detail'!$I$2:$I$1093,K$3)</f>
        <v>0</v>
      </c>
      <c r="L11" s="20">
        <f>SUMIFS('Harvest Detail'!$J$2:$J$1093,'Harvest Detail'!$A$2:$A$1093,$A11,'Harvest Detail'!$G$2:$G$1093,$C11,'Harvest Detail'!$I$2:$I$1093,L$3)</f>
        <v>0</v>
      </c>
      <c r="M11" s="20">
        <f>SUMIFS('Harvest Detail'!$J$2:$J$1093,'Harvest Detail'!$A$2:$A$1093,$A11,'Harvest Detail'!$G$2:$G$1093,$C11,'Harvest Detail'!$I$2:$I$1093,M$3)</f>
        <v>0</v>
      </c>
      <c r="N11" s="20">
        <f>SUMIFS('Harvest Detail'!$J$2:$J$1093,'Harvest Detail'!$A$2:$A$1093,$A11,'Harvest Detail'!$G$2:$G$1093,$C11,'Harvest Detail'!$I$2:$I$1093,N$3)</f>
        <v>0</v>
      </c>
      <c r="O11" s="20">
        <f>SUMIFS('Harvest Detail'!$J$2:$J$1093,'Harvest Detail'!$A$2:$A$1093,$A11,'Harvest Detail'!$G$2:$G$1093,$C11,'Harvest Detail'!$I$2:$I$1093,O$3)</f>
        <v>0</v>
      </c>
      <c r="P11" s="20">
        <f>SUMIFS('Harvest Detail'!$J$2:$J$1093,'Harvest Detail'!$A$2:$A$1093,$A11,'Harvest Detail'!$G$2:$G$1093,$C11,'Harvest Detail'!$I$2:$I$1093,P$3)</f>
        <v>0</v>
      </c>
      <c r="Q11" s="20">
        <f>SUMIFS('Harvest Detail'!$J$2:$J$1093,'Harvest Detail'!$A$2:$A$1093,$A11,'Harvest Detail'!$G$2:$G$1093,$C11,'Harvest Detail'!$I$2:$I$1093,Q$3)</f>
        <v>0</v>
      </c>
      <c r="R11" s="20">
        <f>SUMIFS('Harvest Detail'!$J$2:$J$1093,'Harvest Detail'!$A$2:$A$1093,$A11,'Harvest Detail'!$G$2:$G$1093,$C11,'Harvest Detail'!$I$2:$I$1093,R$3)</f>
        <v>215</v>
      </c>
      <c r="S11" s="20">
        <f>SUMIFS('Harvest Detail'!$J$2:$J$1093,'Harvest Detail'!$A$2:$A$1093,$A11,'Harvest Detail'!$G$2:$G$1093,$C11,'Harvest Detail'!$I$2:$I$1093,S$3)</f>
        <v>47</v>
      </c>
      <c r="T11" s="20">
        <f>SUMIFS('Harvest Detail'!$J$2:$J$1093,'Harvest Detail'!$A$2:$A$1093,$A11,'Harvest Detail'!$G$2:$G$1093,$C11,'Harvest Detail'!$I$2:$I$1093,T$3)</f>
        <v>0</v>
      </c>
      <c r="U11" s="20">
        <f>SUMIFS('Harvest Detail'!$J$2:$J$1093,'Harvest Detail'!$A$2:$A$1093,$A11,'Harvest Detail'!$G$2:$G$1093,$C11,'Harvest Detail'!$I$2:$I$1093,U$3)</f>
        <v>0</v>
      </c>
      <c r="V11" s="20">
        <f>SUMIFS('Harvest Detail'!$J$2:$J$1093,'Harvest Detail'!$A$2:$A$1093,$A11,'Harvest Detail'!$G$2:$G$1093,$C11,'Harvest Detail'!$I$2:$I$1093,V$3)</f>
        <v>45</v>
      </c>
      <c r="W11" s="20">
        <f>SUMIFS('Harvest Detail'!$J$2:$J$1093,'Harvest Detail'!$A$2:$A$1093,$A11,'Harvest Detail'!$G$2:$G$1093,$C11,'Harvest Detail'!$I$2:$I$1093,W$3)</f>
        <v>159</v>
      </c>
      <c r="X11" s="20">
        <f>SUMIFS('Harvest Detail'!$J$2:$J$1093,'Harvest Detail'!$A$2:$A$1093,$A11,'Harvest Detail'!$G$2:$G$1093,$C11,'Harvest Detail'!$I$2:$I$1093,X$3)</f>
        <v>0</v>
      </c>
      <c r="Y11" s="22">
        <f t="shared" si="0"/>
        <v>616</v>
      </c>
    </row>
    <row r="12" spans="1:25" ht="15" customHeight="1" x14ac:dyDescent="0.75">
      <c r="A12" s="18" t="s">
        <v>64</v>
      </c>
      <c r="B12" s="19">
        <v>46034</v>
      </c>
      <c r="C12" s="18" t="s">
        <v>66</v>
      </c>
      <c r="D12" s="20">
        <f>SUMIFS('Harvest Detail'!$J$2:$J$1093,'Harvest Detail'!$A$2:$A$1093,$A12,'Harvest Detail'!$G$2:$G$1093,$C12,'Harvest Detail'!$I$2:$I$1093,D$3)</f>
        <v>0</v>
      </c>
      <c r="E12" s="20">
        <f>SUMIFS('Harvest Detail'!$J$2:$J$1093,'Harvest Detail'!$A$2:$A$1093,$A12,'Harvest Detail'!$G$2:$G$1093,$C12,'Harvest Detail'!$I$2:$I$1093,E$3)</f>
        <v>0</v>
      </c>
      <c r="F12" s="20">
        <f>SUMIFS('Harvest Detail'!$J$2:$J$1093,'Harvest Detail'!$A$2:$A$1093,$A12,'Harvest Detail'!$G$2:$G$1093,$C12,'Harvest Detail'!$I$2:$I$1093,F$3)</f>
        <v>41</v>
      </c>
      <c r="G12" s="20">
        <f>SUMIFS('Harvest Detail'!$J$2:$J$1093,'Harvest Detail'!$A$2:$A$1093,$A12,'Harvest Detail'!$G$2:$G$1093,$C12,'Harvest Detail'!$I$2:$I$1093,G$3)</f>
        <v>0</v>
      </c>
      <c r="H12" s="20">
        <f>SUMIFS('Harvest Detail'!$J$2:$J$1093,'Harvest Detail'!$A$2:$A$1093,$A12,'Harvest Detail'!$G$2:$G$1093,$C12,'Harvest Detail'!$I$2:$I$1093,H$3)</f>
        <v>0</v>
      </c>
      <c r="I12" s="20">
        <f>SUMIFS('Harvest Detail'!$J$2:$J$1093,'Harvest Detail'!$A$2:$A$1093,$A12,'Harvest Detail'!$G$2:$G$1093,$C12,'Harvest Detail'!$I$2:$I$1093,I$3)</f>
        <v>0</v>
      </c>
      <c r="J12" s="20">
        <f>SUMIFS('Harvest Detail'!$J$2:$J$1093,'Harvest Detail'!$A$2:$A$1093,$A12,'Harvest Detail'!$G$2:$G$1093,$C12,'Harvest Detail'!$I$2:$I$1093,J$3)</f>
        <v>0</v>
      </c>
      <c r="K12" s="20">
        <f>SUMIFS('Harvest Detail'!$J$2:$J$1093,'Harvest Detail'!$A$2:$A$1093,$A12,'Harvest Detail'!$G$2:$G$1093,$C12,'Harvest Detail'!$I$2:$I$1093,K$3)</f>
        <v>0</v>
      </c>
      <c r="L12" s="20">
        <f>SUMIFS('Harvest Detail'!$J$2:$J$1093,'Harvest Detail'!$A$2:$A$1093,$A12,'Harvest Detail'!$G$2:$G$1093,$C12,'Harvest Detail'!$I$2:$I$1093,L$3)</f>
        <v>0</v>
      </c>
      <c r="M12" s="20">
        <f>SUMIFS('Harvest Detail'!$J$2:$J$1093,'Harvest Detail'!$A$2:$A$1093,$A12,'Harvest Detail'!$G$2:$G$1093,$C12,'Harvest Detail'!$I$2:$I$1093,M$3)</f>
        <v>4</v>
      </c>
      <c r="N12" s="20">
        <f>SUMIFS('Harvest Detail'!$J$2:$J$1093,'Harvest Detail'!$A$2:$A$1093,$A12,'Harvest Detail'!$G$2:$G$1093,$C12,'Harvest Detail'!$I$2:$I$1093,N$3)</f>
        <v>5</v>
      </c>
      <c r="O12" s="20">
        <f>SUMIFS('Harvest Detail'!$J$2:$J$1093,'Harvest Detail'!$A$2:$A$1093,$A12,'Harvest Detail'!$G$2:$G$1093,$C12,'Harvest Detail'!$I$2:$I$1093,O$3)</f>
        <v>0</v>
      </c>
      <c r="P12" s="20">
        <f>SUMIFS('Harvest Detail'!$J$2:$J$1093,'Harvest Detail'!$A$2:$A$1093,$A12,'Harvest Detail'!$G$2:$G$1093,$C12,'Harvest Detail'!$I$2:$I$1093,P$3)</f>
        <v>4</v>
      </c>
      <c r="Q12" s="20">
        <f>SUMIFS('Harvest Detail'!$J$2:$J$1093,'Harvest Detail'!$A$2:$A$1093,$A12,'Harvest Detail'!$G$2:$G$1093,$C12,'Harvest Detail'!$I$2:$I$1093,Q$3)</f>
        <v>0</v>
      </c>
      <c r="R12" s="20">
        <f>SUMIFS('Harvest Detail'!$J$2:$J$1093,'Harvest Detail'!$A$2:$A$1093,$A12,'Harvest Detail'!$G$2:$G$1093,$C12,'Harvest Detail'!$I$2:$I$1093,R$3)</f>
        <v>65</v>
      </c>
      <c r="S12" s="20">
        <f>SUMIFS('Harvest Detail'!$J$2:$J$1093,'Harvest Detail'!$A$2:$A$1093,$A12,'Harvest Detail'!$G$2:$G$1093,$C12,'Harvest Detail'!$I$2:$I$1093,S$3)</f>
        <v>3</v>
      </c>
      <c r="T12" s="20">
        <f>SUMIFS('Harvest Detail'!$J$2:$J$1093,'Harvest Detail'!$A$2:$A$1093,$A12,'Harvest Detail'!$G$2:$G$1093,$C12,'Harvest Detail'!$I$2:$I$1093,T$3)</f>
        <v>0</v>
      </c>
      <c r="U12" s="20">
        <f>SUMIFS('Harvest Detail'!$J$2:$J$1093,'Harvest Detail'!$A$2:$A$1093,$A12,'Harvest Detail'!$G$2:$G$1093,$C12,'Harvest Detail'!$I$2:$I$1093,U$3)</f>
        <v>0</v>
      </c>
      <c r="V12" s="20">
        <f>SUMIFS('Harvest Detail'!$J$2:$J$1093,'Harvest Detail'!$A$2:$A$1093,$A12,'Harvest Detail'!$G$2:$G$1093,$C12,'Harvest Detail'!$I$2:$I$1093,V$3)</f>
        <v>0</v>
      </c>
      <c r="W12" s="20">
        <f>SUMIFS('Harvest Detail'!$J$2:$J$1093,'Harvest Detail'!$A$2:$A$1093,$A12,'Harvest Detail'!$G$2:$G$1093,$C12,'Harvest Detail'!$I$2:$I$1093,W$3)</f>
        <v>0</v>
      </c>
      <c r="X12" s="20">
        <f>SUMIFS('Harvest Detail'!$J$2:$J$1093,'Harvest Detail'!$A$2:$A$1093,$A12,'Harvest Detail'!$G$2:$G$1093,$C12,'Harvest Detail'!$I$2:$I$1093,X$3)</f>
        <v>0</v>
      </c>
      <c r="Y12" s="22">
        <f t="shared" si="0"/>
        <v>122</v>
      </c>
    </row>
    <row r="13" spans="1:25" ht="15" customHeight="1" x14ac:dyDescent="0.75">
      <c r="A13" s="18" t="s">
        <v>67</v>
      </c>
      <c r="B13" s="19">
        <v>46041</v>
      </c>
      <c r="C13" s="18" t="s">
        <v>56</v>
      </c>
      <c r="D13" s="20">
        <f>SUMIFS('Harvest Detail'!$J$2:$J$1093,'Harvest Detail'!$A$2:$A$1093,$A13,'Harvest Detail'!$G$2:$G$1093,$C13,'Harvest Detail'!$I$2:$I$1093,D$3)</f>
        <v>0</v>
      </c>
      <c r="E13" s="20">
        <f>SUMIFS('Harvest Detail'!$J$2:$J$1093,'Harvest Detail'!$A$2:$A$1093,$A13,'Harvest Detail'!$G$2:$G$1093,$C13,'Harvest Detail'!$I$2:$I$1093,E$3)</f>
        <v>0</v>
      </c>
      <c r="F13" s="20">
        <f>SUMIFS('Harvest Detail'!$J$2:$J$1093,'Harvest Detail'!$A$2:$A$1093,$A13,'Harvest Detail'!$G$2:$G$1093,$C13,'Harvest Detail'!$I$2:$I$1093,F$3)</f>
        <v>0</v>
      </c>
      <c r="G13" s="20">
        <f>SUMIFS('Harvest Detail'!$J$2:$J$1093,'Harvest Detail'!$A$2:$A$1093,$A13,'Harvest Detail'!$G$2:$G$1093,$C13,'Harvest Detail'!$I$2:$I$1093,G$3)</f>
        <v>0</v>
      </c>
      <c r="H13" s="20">
        <f>SUMIFS('Harvest Detail'!$J$2:$J$1093,'Harvest Detail'!$A$2:$A$1093,$A13,'Harvest Detail'!$G$2:$G$1093,$C13,'Harvest Detail'!$I$2:$I$1093,H$3)</f>
        <v>17</v>
      </c>
      <c r="I13" s="20">
        <f>SUMIFS('Harvest Detail'!$J$2:$J$1093,'Harvest Detail'!$A$2:$A$1093,$A13,'Harvest Detail'!$G$2:$G$1093,$C13,'Harvest Detail'!$I$2:$I$1093,I$3)</f>
        <v>22</v>
      </c>
      <c r="J13" s="20">
        <f>SUMIFS('Harvest Detail'!$J$2:$J$1093,'Harvest Detail'!$A$2:$A$1093,$A13,'Harvest Detail'!$G$2:$G$1093,$C13,'Harvest Detail'!$I$2:$I$1093,J$3)</f>
        <v>0</v>
      </c>
      <c r="K13" s="20">
        <f>SUMIFS('Harvest Detail'!$J$2:$J$1093,'Harvest Detail'!$A$2:$A$1093,$A13,'Harvest Detail'!$G$2:$G$1093,$C13,'Harvest Detail'!$I$2:$I$1093,K$3)</f>
        <v>0</v>
      </c>
      <c r="L13" s="20">
        <f>SUMIFS('Harvest Detail'!$J$2:$J$1093,'Harvest Detail'!$A$2:$A$1093,$A13,'Harvest Detail'!$G$2:$G$1093,$C13,'Harvest Detail'!$I$2:$I$1093,L$3)</f>
        <v>0</v>
      </c>
      <c r="M13" s="20">
        <f>SUMIFS('Harvest Detail'!$J$2:$J$1093,'Harvest Detail'!$A$2:$A$1093,$A13,'Harvest Detail'!$G$2:$G$1093,$C13,'Harvest Detail'!$I$2:$I$1093,M$3)</f>
        <v>0</v>
      </c>
      <c r="N13" s="20">
        <f>SUMIFS('Harvest Detail'!$J$2:$J$1093,'Harvest Detail'!$A$2:$A$1093,$A13,'Harvest Detail'!$G$2:$G$1093,$C13,'Harvest Detail'!$I$2:$I$1093,N$3)</f>
        <v>0</v>
      </c>
      <c r="O13" s="20">
        <f>SUMIFS('Harvest Detail'!$J$2:$J$1093,'Harvest Detail'!$A$2:$A$1093,$A13,'Harvest Detail'!$G$2:$G$1093,$C13,'Harvest Detail'!$I$2:$I$1093,O$3)</f>
        <v>0</v>
      </c>
      <c r="P13" s="20">
        <f>SUMIFS('Harvest Detail'!$J$2:$J$1093,'Harvest Detail'!$A$2:$A$1093,$A13,'Harvest Detail'!$G$2:$G$1093,$C13,'Harvest Detail'!$I$2:$I$1093,P$3)</f>
        <v>0</v>
      </c>
      <c r="Q13" s="20">
        <f>SUMIFS('Harvest Detail'!$J$2:$J$1093,'Harvest Detail'!$A$2:$A$1093,$A13,'Harvest Detail'!$G$2:$G$1093,$C13,'Harvest Detail'!$I$2:$I$1093,Q$3)</f>
        <v>0</v>
      </c>
      <c r="R13" s="20">
        <f>SUMIFS('Harvest Detail'!$J$2:$J$1093,'Harvest Detail'!$A$2:$A$1093,$A13,'Harvest Detail'!$G$2:$G$1093,$C13,'Harvest Detail'!$I$2:$I$1093,R$3)</f>
        <v>15</v>
      </c>
      <c r="S13" s="20">
        <f>SUMIFS('Harvest Detail'!$J$2:$J$1093,'Harvest Detail'!$A$2:$A$1093,$A13,'Harvest Detail'!$G$2:$G$1093,$C13,'Harvest Detail'!$I$2:$I$1093,S$3)</f>
        <v>0</v>
      </c>
      <c r="T13" s="20">
        <f>SUMIFS('Harvest Detail'!$J$2:$J$1093,'Harvest Detail'!$A$2:$A$1093,$A13,'Harvest Detail'!$G$2:$G$1093,$C13,'Harvest Detail'!$I$2:$I$1093,T$3)</f>
        <v>0</v>
      </c>
      <c r="U13" s="20">
        <f>SUMIFS('Harvest Detail'!$J$2:$J$1093,'Harvest Detail'!$A$2:$A$1093,$A13,'Harvest Detail'!$G$2:$G$1093,$C13,'Harvest Detail'!$I$2:$I$1093,U$3)</f>
        <v>0</v>
      </c>
      <c r="V13" s="20">
        <f>SUMIFS('Harvest Detail'!$J$2:$J$1093,'Harvest Detail'!$A$2:$A$1093,$A13,'Harvest Detail'!$G$2:$G$1093,$C13,'Harvest Detail'!$I$2:$I$1093,V$3)</f>
        <v>0</v>
      </c>
      <c r="W13" s="20">
        <f>SUMIFS('Harvest Detail'!$J$2:$J$1093,'Harvest Detail'!$A$2:$A$1093,$A13,'Harvest Detail'!$G$2:$G$1093,$C13,'Harvest Detail'!$I$2:$I$1093,W$3)</f>
        <v>0</v>
      </c>
      <c r="X13" s="20">
        <f>SUMIFS('Harvest Detail'!$J$2:$J$1093,'Harvest Detail'!$A$2:$A$1093,$A13,'Harvest Detail'!$G$2:$G$1093,$C13,'Harvest Detail'!$I$2:$I$1093,X$3)</f>
        <v>0</v>
      </c>
      <c r="Y13" s="22">
        <f t="shared" si="0"/>
        <v>54</v>
      </c>
    </row>
    <row r="14" spans="1:25" ht="15" customHeight="1" x14ac:dyDescent="0.75">
      <c r="A14" s="18" t="s">
        <v>67</v>
      </c>
      <c r="B14" s="19">
        <v>46041</v>
      </c>
      <c r="C14" s="18" t="s">
        <v>58</v>
      </c>
      <c r="D14" s="20">
        <f>SUMIFS('Harvest Detail'!$J$2:$J$1093,'Harvest Detail'!$A$2:$A$1093,$A14,'Harvest Detail'!$G$2:$G$1093,$C14,'Harvest Detail'!$I$2:$I$1093,D$3)</f>
        <v>0</v>
      </c>
      <c r="E14" s="20">
        <f>SUMIFS('Harvest Detail'!$J$2:$J$1093,'Harvest Detail'!$A$2:$A$1093,$A14,'Harvest Detail'!$G$2:$G$1093,$C14,'Harvest Detail'!$I$2:$I$1093,E$3)</f>
        <v>121</v>
      </c>
      <c r="F14" s="20">
        <f>SUMIFS('Harvest Detail'!$J$2:$J$1093,'Harvest Detail'!$A$2:$A$1093,$A14,'Harvest Detail'!$G$2:$G$1093,$C14,'Harvest Detail'!$I$2:$I$1093,F$3)</f>
        <v>0</v>
      </c>
      <c r="G14" s="20">
        <f>SUMIFS('Harvest Detail'!$J$2:$J$1093,'Harvest Detail'!$A$2:$A$1093,$A14,'Harvest Detail'!$G$2:$G$1093,$C14,'Harvest Detail'!$I$2:$I$1093,G$3)</f>
        <v>27</v>
      </c>
      <c r="H14" s="20">
        <f>SUMIFS('Harvest Detail'!$J$2:$J$1093,'Harvest Detail'!$A$2:$A$1093,$A14,'Harvest Detail'!$G$2:$G$1093,$C14,'Harvest Detail'!$I$2:$I$1093,H$3)</f>
        <v>0</v>
      </c>
      <c r="I14" s="20">
        <f>SUMIFS('Harvest Detail'!$J$2:$J$1093,'Harvest Detail'!$A$2:$A$1093,$A14,'Harvest Detail'!$G$2:$G$1093,$C14,'Harvest Detail'!$I$2:$I$1093,I$3)</f>
        <v>0</v>
      </c>
      <c r="J14" s="20">
        <f>SUMIFS('Harvest Detail'!$J$2:$J$1093,'Harvest Detail'!$A$2:$A$1093,$A14,'Harvest Detail'!$G$2:$G$1093,$C14,'Harvest Detail'!$I$2:$I$1093,J$3)</f>
        <v>0</v>
      </c>
      <c r="K14" s="20">
        <f>SUMIFS('Harvest Detail'!$J$2:$J$1093,'Harvest Detail'!$A$2:$A$1093,$A14,'Harvest Detail'!$G$2:$G$1093,$C14,'Harvest Detail'!$I$2:$I$1093,K$3)</f>
        <v>0</v>
      </c>
      <c r="L14" s="20">
        <f>SUMIFS('Harvest Detail'!$J$2:$J$1093,'Harvest Detail'!$A$2:$A$1093,$A14,'Harvest Detail'!$G$2:$G$1093,$C14,'Harvest Detail'!$I$2:$I$1093,L$3)</f>
        <v>0</v>
      </c>
      <c r="M14" s="20">
        <f>SUMIFS('Harvest Detail'!$J$2:$J$1093,'Harvest Detail'!$A$2:$A$1093,$A14,'Harvest Detail'!$G$2:$G$1093,$C14,'Harvest Detail'!$I$2:$I$1093,M$3)</f>
        <v>0</v>
      </c>
      <c r="N14" s="20">
        <f>SUMIFS('Harvest Detail'!$J$2:$J$1093,'Harvest Detail'!$A$2:$A$1093,$A14,'Harvest Detail'!$G$2:$G$1093,$C14,'Harvest Detail'!$I$2:$I$1093,N$3)</f>
        <v>0</v>
      </c>
      <c r="O14" s="20">
        <f>SUMIFS('Harvest Detail'!$J$2:$J$1093,'Harvest Detail'!$A$2:$A$1093,$A14,'Harvest Detail'!$G$2:$G$1093,$C14,'Harvest Detail'!$I$2:$I$1093,O$3)</f>
        <v>0</v>
      </c>
      <c r="P14" s="20">
        <f>SUMIFS('Harvest Detail'!$J$2:$J$1093,'Harvest Detail'!$A$2:$A$1093,$A14,'Harvest Detail'!$G$2:$G$1093,$C14,'Harvest Detail'!$I$2:$I$1093,P$3)</f>
        <v>0</v>
      </c>
      <c r="Q14" s="20">
        <f>SUMIFS('Harvest Detail'!$J$2:$J$1093,'Harvest Detail'!$A$2:$A$1093,$A14,'Harvest Detail'!$G$2:$G$1093,$C14,'Harvest Detail'!$I$2:$I$1093,Q$3)</f>
        <v>0</v>
      </c>
      <c r="R14" s="20">
        <f>SUMIFS('Harvest Detail'!$J$2:$J$1093,'Harvest Detail'!$A$2:$A$1093,$A14,'Harvest Detail'!$G$2:$G$1093,$C14,'Harvest Detail'!$I$2:$I$1093,R$3)</f>
        <v>0</v>
      </c>
      <c r="S14" s="20">
        <f>SUMIFS('Harvest Detail'!$J$2:$J$1093,'Harvest Detail'!$A$2:$A$1093,$A14,'Harvest Detail'!$G$2:$G$1093,$C14,'Harvest Detail'!$I$2:$I$1093,S$3)</f>
        <v>0</v>
      </c>
      <c r="T14" s="20">
        <f>SUMIFS('Harvest Detail'!$J$2:$J$1093,'Harvest Detail'!$A$2:$A$1093,$A14,'Harvest Detail'!$G$2:$G$1093,$C14,'Harvest Detail'!$I$2:$I$1093,T$3)</f>
        <v>0</v>
      </c>
      <c r="U14" s="20">
        <f>SUMIFS('Harvest Detail'!$J$2:$J$1093,'Harvest Detail'!$A$2:$A$1093,$A14,'Harvest Detail'!$G$2:$G$1093,$C14,'Harvest Detail'!$I$2:$I$1093,U$3)</f>
        <v>0</v>
      </c>
      <c r="V14" s="20">
        <f>SUMIFS('Harvest Detail'!$J$2:$J$1093,'Harvest Detail'!$A$2:$A$1093,$A14,'Harvest Detail'!$G$2:$G$1093,$C14,'Harvest Detail'!$I$2:$I$1093,V$3)</f>
        <v>20</v>
      </c>
      <c r="W14" s="20">
        <f>SUMIFS('Harvest Detail'!$J$2:$J$1093,'Harvest Detail'!$A$2:$A$1093,$A14,'Harvest Detail'!$G$2:$G$1093,$C14,'Harvest Detail'!$I$2:$I$1093,W$3)</f>
        <v>121</v>
      </c>
      <c r="X14" s="20">
        <f>SUMIFS('Harvest Detail'!$J$2:$J$1093,'Harvest Detail'!$A$2:$A$1093,$A14,'Harvest Detail'!$G$2:$G$1093,$C14,'Harvest Detail'!$I$2:$I$1093,X$3)</f>
        <v>0</v>
      </c>
      <c r="Y14" s="22">
        <f t="shared" si="0"/>
        <v>289</v>
      </c>
    </row>
    <row r="15" spans="1:25" ht="15" customHeight="1" x14ac:dyDescent="0.75">
      <c r="A15" s="18" t="s">
        <v>67</v>
      </c>
      <c r="B15" s="19">
        <v>46041</v>
      </c>
      <c r="C15" s="18" t="s">
        <v>66</v>
      </c>
      <c r="D15" s="20">
        <f>SUMIFS('Harvest Detail'!$J$2:$J$1093,'Harvest Detail'!$A$2:$A$1093,$A15,'Harvest Detail'!$G$2:$G$1093,$C15,'Harvest Detail'!$I$2:$I$1093,D$3)</f>
        <v>0</v>
      </c>
      <c r="E15" s="20">
        <f>SUMIFS('Harvest Detail'!$J$2:$J$1093,'Harvest Detail'!$A$2:$A$1093,$A15,'Harvest Detail'!$G$2:$G$1093,$C15,'Harvest Detail'!$I$2:$I$1093,E$3)</f>
        <v>28</v>
      </c>
      <c r="F15" s="20">
        <f>SUMIFS('Harvest Detail'!$J$2:$J$1093,'Harvest Detail'!$A$2:$A$1093,$A15,'Harvest Detail'!$G$2:$G$1093,$C15,'Harvest Detail'!$I$2:$I$1093,F$3)</f>
        <v>0</v>
      </c>
      <c r="G15" s="20">
        <f>SUMIFS('Harvest Detail'!$J$2:$J$1093,'Harvest Detail'!$A$2:$A$1093,$A15,'Harvest Detail'!$G$2:$G$1093,$C15,'Harvest Detail'!$I$2:$I$1093,G$3)</f>
        <v>0</v>
      </c>
      <c r="H15" s="20">
        <f>SUMIFS('Harvest Detail'!$J$2:$J$1093,'Harvest Detail'!$A$2:$A$1093,$A15,'Harvest Detail'!$G$2:$G$1093,$C15,'Harvest Detail'!$I$2:$I$1093,H$3)</f>
        <v>0</v>
      </c>
      <c r="I15" s="20">
        <f>SUMIFS('Harvest Detail'!$J$2:$J$1093,'Harvest Detail'!$A$2:$A$1093,$A15,'Harvest Detail'!$G$2:$G$1093,$C15,'Harvest Detail'!$I$2:$I$1093,I$3)</f>
        <v>0</v>
      </c>
      <c r="J15" s="20">
        <f>SUMIFS('Harvest Detail'!$J$2:$J$1093,'Harvest Detail'!$A$2:$A$1093,$A15,'Harvest Detail'!$G$2:$G$1093,$C15,'Harvest Detail'!$I$2:$I$1093,J$3)</f>
        <v>0</v>
      </c>
      <c r="K15" s="20">
        <f>SUMIFS('Harvest Detail'!$J$2:$J$1093,'Harvest Detail'!$A$2:$A$1093,$A15,'Harvest Detail'!$G$2:$G$1093,$C15,'Harvest Detail'!$I$2:$I$1093,K$3)</f>
        <v>0</v>
      </c>
      <c r="L15" s="20">
        <f>SUMIFS('Harvest Detail'!$J$2:$J$1093,'Harvest Detail'!$A$2:$A$1093,$A15,'Harvest Detail'!$G$2:$G$1093,$C15,'Harvest Detail'!$I$2:$I$1093,L$3)</f>
        <v>0</v>
      </c>
      <c r="M15" s="20">
        <f>SUMIFS('Harvest Detail'!$J$2:$J$1093,'Harvest Detail'!$A$2:$A$1093,$A15,'Harvest Detail'!$G$2:$G$1093,$C15,'Harvest Detail'!$I$2:$I$1093,M$3)</f>
        <v>0</v>
      </c>
      <c r="N15" s="20">
        <f>SUMIFS('Harvest Detail'!$J$2:$J$1093,'Harvest Detail'!$A$2:$A$1093,$A15,'Harvest Detail'!$G$2:$G$1093,$C15,'Harvest Detail'!$I$2:$I$1093,N$3)</f>
        <v>0</v>
      </c>
      <c r="O15" s="20">
        <f>SUMIFS('Harvest Detail'!$J$2:$J$1093,'Harvest Detail'!$A$2:$A$1093,$A15,'Harvest Detail'!$G$2:$G$1093,$C15,'Harvest Detail'!$I$2:$I$1093,O$3)</f>
        <v>0</v>
      </c>
      <c r="P15" s="20">
        <f>SUMIFS('Harvest Detail'!$J$2:$J$1093,'Harvest Detail'!$A$2:$A$1093,$A15,'Harvest Detail'!$G$2:$G$1093,$C15,'Harvest Detail'!$I$2:$I$1093,P$3)</f>
        <v>0</v>
      </c>
      <c r="Q15" s="20">
        <f>SUMIFS('Harvest Detail'!$J$2:$J$1093,'Harvest Detail'!$A$2:$A$1093,$A15,'Harvest Detail'!$G$2:$G$1093,$C15,'Harvest Detail'!$I$2:$I$1093,Q$3)</f>
        <v>0</v>
      </c>
      <c r="R15" s="20">
        <f>SUMIFS('Harvest Detail'!$J$2:$J$1093,'Harvest Detail'!$A$2:$A$1093,$A15,'Harvest Detail'!$G$2:$G$1093,$C15,'Harvest Detail'!$I$2:$I$1093,R$3)</f>
        <v>20</v>
      </c>
      <c r="S15" s="20">
        <f>SUMIFS('Harvest Detail'!$J$2:$J$1093,'Harvest Detail'!$A$2:$A$1093,$A15,'Harvest Detail'!$G$2:$G$1093,$C15,'Harvest Detail'!$I$2:$I$1093,S$3)</f>
        <v>0</v>
      </c>
      <c r="T15" s="20">
        <f>SUMIFS('Harvest Detail'!$J$2:$J$1093,'Harvest Detail'!$A$2:$A$1093,$A15,'Harvest Detail'!$G$2:$G$1093,$C15,'Harvest Detail'!$I$2:$I$1093,T$3)</f>
        <v>0</v>
      </c>
      <c r="U15" s="20">
        <f>SUMIFS('Harvest Detail'!$J$2:$J$1093,'Harvest Detail'!$A$2:$A$1093,$A15,'Harvest Detail'!$G$2:$G$1093,$C15,'Harvest Detail'!$I$2:$I$1093,U$3)</f>
        <v>0</v>
      </c>
      <c r="V15" s="20">
        <f>SUMIFS('Harvest Detail'!$J$2:$J$1093,'Harvest Detail'!$A$2:$A$1093,$A15,'Harvest Detail'!$G$2:$G$1093,$C15,'Harvest Detail'!$I$2:$I$1093,V$3)</f>
        <v>0</v>
      </c>
      <c r="W15" s="20">
        <f>SUMIFS('Harvest Detail'!$J$2:$J$1093,'Harvest Detail'!$A$2:$A$1093,$A15,'Harvest Detail'!$G$2:$G$1093,$C15,'Harvest Detail'!$I$2:$I$1093,W$3)</f>
        <v>0</v>
      </c>
      <c r="X15" s="20">
        <f>SUMIFS('Harvest Detail'!$J$2:$J$1093,'Harvest Detail'!$A$2:$A$1093,$A15,'Harvest Detail'!$G$2:$G$1093,$C15,'Harvest Detail'!$I$2:$I$1093,X$3)</f>
        <v>0</v>
      </c>
      <c r="Y15" s="22">
        <f t="shared" si="0"/>
        <v>48</v>
      </c>
    </row>
    <row r="16" spans="1:25" ht="15" customHeight="1" x14ac:dyDescent="0.75">
      <c r="A16" s="18" t="s">
        <v>68</v>
      </c>
      <c r="B16" s="19">
        <v>46048</v>
      </c>
      <c r="C16" s="18" t="s">
        <v>56</v>
      </c>
      <c r="D16" s="20">
        <f>SUMIFS('Harvest Detail'!$J$2:$J$1093,'Harvest Detail'!$A$2:$A$1093,$A16,'Harvest Detail'!$G$2:$G$1093,$C16,'Harvest Detail'!$I$2:$I$1093,D$3)</f>
        <v>0</v>
      </c>
      <c r="E16" s="20">
        <f>SUMIFS('Harvest Detail'!$J$2:$J$1093,'Harvest Detail'!$A$2:$A$1093,$A16,'Harvest Detail'!$G$2:$G$1093,$C16,'Harvest Detail'!$I$2:$I$1093,E$3)</f>
        <v>0</v>
      </c>
      <c r="F16" s="20">
        <f>SUMIFS('Harvest Detail'!$J$2:$J$1093,'Harvest Detail'!$A$2:$A$1093,$A16,'Harvest Detail'!$G$2:$G$1093,$C16,'Harvest Detail'!$I$2:$I$1093,F$3)</f>
        <v>19</v>
      </c>
      <c r="G16" s="20">
        <f>SUMIFS('Harvest Detail'!$J$2:$J$1093,'Harvest Detail'!$A$2:$A$1093,$A16,'Harvest Detail'!$G$2:$G$1093,$C16,'Harvest Detail'!$I$2:$I$1093,G$3)</f>
        <v>0</v>
      </c>
      <c r="H16" s="20">
        <f>SUMIFS('Harvest Detail'!$J$2:$J$1093,'Harvest Detail'!$A$2:$A$1093,$A16,'Harvest Detail'!$G$2:$G$1093,$C16,'Harvest Detail'!$I$2:$I$1093,H$3)</f>
        <v>5</v>
      </c>
      <c r="I16" s="20">
        <f>SUMIFS('Harvest Detail'!$J$2:$J$1093,'Harvest Detail'!$A$2:$A$1093,$A16,'Harvest Detail'!$G$2:$G$1093,$C16,'Harvest Detail'!$I$2:$I$1093,I$3)</f>
        <v>60</v>
      </c>
      <c r="J16" s="20">
        <f>SUMIFS('Harvest Detail'!$J$2:$J$1093,'Harvest Detail'!$A$2:$A$1093,$A16,'Harvest Detail'!$G$2:$G$1093,$C16,'Harvest Detail'!$I$2:$I$1093,J$3)</f>
        <v>0</v>
      </c>
      <c r="K16" s="20">
        <f>SUMIFS('Harvest Detail'!$J$2:$J$1093,'Harvest Detail'!$A$2:$A$1093,$A16,'Harvest Detail'!$G$2:$G$1093,$C16,'Harvest Detail'!$I$2:$I$1093,K$3)</f>
        <v>0</v>
      </c>
      <c r="L16" s="20">
        <f>SUMIFS('Harvest Detail'!$J$2:$J$1093,'Harvest Detail'!$A$2:$A$1093,$A16,'Harvest Detail'!$G$2:$G$1093,$C16,'Harvest Detail'!$I$2:$I$1093,L$3)</f>
        <v>0</v>
      </c>
      <c r="M16" s="20">
        <f>SUMIFS('Harvest Detail'!$J$2:$J$1093,'Harvest Detail'!$A$2:$A$1093,$A16,'Harvest Detail'!$G$2:$G$1093,$C16,'Harvest Detail'!$I$2:$I$1093,M$3)</f>
        <v>20</v>
      </c>
      <c r="N16" s="20">
        <f>SUMIFS('Harvest Detail'!$J$2:$J$1093,'Harvest Detail'!$A$2:$A$1093,$A16,'Harvest Detail'!$G$2:$G$1093,$C16,'Harvest Detail'!$I$2:$I$1093,N$3)</f>
        <v>33</v>
      </c>
      <c r="O16" s="20">
        <f>SUMIFS('Harvest Detail'!$J$2:$J$1093,'Harvest Detail'!$A$2:$A$1093,$A16,'Harvest Detail'!$G$2:$G$1093,$C16,'Harvest Detail'!$I$2:$I$1093,O$3)</f>
        <v>0</v>
      </c>
      <c r="P16" s="20">
        <f>SUMIFS('Harvest Detail'!$J$2:$J$1093,'Harvest Detail'!$A$2:$A$1093,$A16,'Harvest Detail'!$G$2:$G$1093,$C16,'Harvest Detail'!$I$2:$I$1093,P$3)</f>
        <v>30</v>
      </c>
      <c r="Q16" s="20">
        <f>SUMIFS('Harvest Detail'!$J$2:$J$1093,'Harvest Detail'!$A$2:$A$1093,$A16,'Harvest Detail'!$G$2:$G$1093,$C16,'Harvest Detail'!$I$2:$I$1093,Q$3)</f>
        <v>0</v>
      </c>
      <c r="R16" s="20">
        <f>SUMIFS('Harvest Detail'!$J$2:$J$1093,'Harvest Detail'!$A$2:$A$1093,$A16,'Harvest Detail'!$G$2:$G$1093,$C16,'Harvest Detail'!$I$2:$I$1093,R$3)</f>
        <v>75</v>
      </c>
      <c r="S16" s="20">
        <f>SUMIFS('Harvest Detail'!$J$2:$J$1093,'Harvest Detail'!$A$2:$A$1093,$A16,'Harvest Detail'!$G$2:$G$1093,$C16,'Harvest Detail'!$I$2:$I$1093,S$3)</f>
        <v>0</v>
      </c>
      <c r="T16" s="20">
        <f>SUMIFS('Harvest Detail'!$J$2:$J$1093,'Harvest Detail'!$A$2:$A$1093,$A16,'Harvest Detail'!$G$2:$G$1093,$C16,'Harvest Detail'!$I$2:$I$1093,T$3)</f>
        <v>2</v>
      </c>
      <c r="U16" s="20">
        <f>SUMIFS('Harvest Detail'!$J$2:$J$1093,'Harvest Detail'!$A$2:$A$1093,$A16,'Harvest Detail'!$G$2:$G$1093,$C16,'Harvest Detail'!$I$2:$I$1093,U$3)</f>
        <v>18</v>
      </c>
      <c r="V16" s="20">
        <f>SUMIFS('Harvest Detail'!$J$2:$J$1093,'Harvest Detail'!$A$2:$A$1093,$A16,'Harvest Detail'!$G$2:$G$1093,$C16,'Harvest Detail'!$I$2:$I$1093,V$3)</f>
        <v>0</v>
      </c>
      <c r="W16" s="20">
        <f>SUMIFS('Harvest Detail'!$J$2:$J$1093,'Harvest Detail'!$A$2:$A$1093,$A16,'Harvest Detail'!$G$2:$G$1093,$C16,'Harvest Detail'!$I$2:$I$1093,W$3)</f>
        <v>0</v>
      </c>
      <c r="X16" s="20">
        <f>SUMIFS('Harvest Detail'!$J$2:$J$1093,'Harvest Detail'!$A$2:$A$1093,$A16,'Harvest Detail'!$G$2:$G$1093,$C16,'Harvest Detail'!$I$2:$I$1093,X$3)</f>
        <v>0</v>
      </c>
      <c r="Y16" s="22">
        <f t="shared" si="0"/>
        <v>262</v>
      </c>
    </row>
    <row r="17" spans="1:25" ht="15" customHeight="1" x14ac:dyDescent="0.75">
      <c r="A17" s="18" t="s">
        <v>68</v>
      </c>
      <c r="B17" s="19">
        <v>46048</v>
      </c>
      <c r="C17" s="18" t="s">
        <v>58</v>
      </c>
      <c r="D17" s="20">
        <f>SUMIFS('Harvest Detail'!$J$2:$J$1093,'Harvest Detail'!$A$2:$A$1093,$A17,'Harvest Detail'!$G$2:$G$1093,$C17,'Harvest Detail'!$I$2:$I$1093,D$3)</f>
        <v>0</v>
      </c>
      <c r="E17" s="20">
        <f>SUMIFS('Harvest Detail'!$J$2:$J$1093,'Harvest Detail'!$A$2:$A$1093,$A17,'Harvest Detail'!$G$2:$G$1093,$C17,'Harvest Detail'!$I$2:$I$1093,E$3)</f>
        <v>109</v>
      </c>
      <c r="F17" s="20">
        <f>SUMIFS('Harvest Detail'!$J$2:$J$1093,'Harvest Detail'!$A$2:$A$1093,$A17,'Harvest Detail'!$G$2:$G$1093,$C17,'Harvest Detail'!$I$2:$I$1093,F$3)</f>
        <v>0</v>
      </c>
      <c r="G17" s="20">
        <f>SUMIFS('Harvest Detail'!$J$2:$J$1093,'Harvest Detail'!$A$2:$A$1093,$A17,'Harvest Detail'!$G$2:$G$1093,$C17,'Harvest Detail'!$I$2:$I$1093,G$3)</f>
        <v>20</v>
      </c>
      <c r="H17" s="20">
        <f>SUMIFS('Harvest Detail'!$J$2:$J$1093,'Harvest Detail'!$A$2:$A$1093,$A17,'Harvest Detail'!$G$2:$G$1093,$C17,'Harvest Detail'!$I$2:$I$1093,H$3)</f>
        <v>0</v>
      </c>
      <c r="I17" s="20">
        <f>SUMIFS('Harvest Detail'!$J$2:$J$1093,'Harvest Detail'!$A$2:$A$1093,$A17,'Harvest Detail'!$G$2:$G$1093,$C17,'Harvest Detail'!$I$2:$I$1093,I$3)</f>
        <v>0</v>
      </c>
      <c r="J17" s="20">
        <f>SUMIFS('Harvest Detail'!$J$2:$J$1093,'Harvest Detail'!$A$2:$A$1093,$A17,'Harvest Detail'!$G$2:$G$1093,$C17,'Harvest Detail'!$I$2:$I$1093,J$3)</f>
        <v>0</v>
      </c>
      <c r="K17" s="20">
        <f>SUMIFS('Harvest Detail'!$J$2:$J$1093,'Harvest Detail'!$A$2:$A$1093,$A17,'Harvest Detail'!$G$2:$G$1093,$C17,'Harvest Detail'!$I$2:$I$1093,K$3)</f>
        <v>0</v>
      </c>
      <c r="L17" s="20">
        <f>SUMIFS('Harvest Detail'!$J$2:$J$1093,'Harvest Detail'!$A$2:$A$1093,$A17,'Harvest Detail'!$G$2:$G$1093,$C17,'Harvest Detail'!$I$2:$I$1093,L$3)</f>
        <v>0</v>
      </c>
      <c r="M17" s="20">
        <f>SUMIFS('Harvest Detail'!$J$2:$J$1093,'Harvest Detail'!$A$2:$A$1093,$A17,'Harvest Detail'!$G$2:$G$1093,$C17,'Harvest Detail'!$I$2:$I$1093,M$3)</f>
        <v>0</v>
      </c>
      <c r="N17" s="20">
        <f>SUMIFS('Harvest Detail'!$J$2:$J$1093,'Harvest Detail'!$A$2:$A$1093,$A17,'Harvest Detail'!$G$2:$G$1093,$C17,'Harvest Detail'!$I$2:$I$1093,N$3)</f>
        <v>0</v>
      </c>
      <c r="O17" s="20">
        <f>SUMIFS('Harvest Detail'!$J$2:$J$1093,'Harvest Detail'!$A$2:$A$1093,$A17,'Harvest Detail'!$G$2:$G$1093,$C17,'Harvest Detail'!$I$2:$I$1093,O$3)</f>
        <v>0</v>
      </c>
      <c r="P17" s="20">
        <f>SUMIFS('Harvest Detail'!$J$2:$J$1093,'Harvest Detail'!$A$2:$A$1093,$A17,'Harvest Detail'!$G$2:$G$1093,$C17,'Harvest Detail'!$I$2:$I$1093,P$3)</f>
        <v>0</v>
      </c>
      <c r="Q17" s="20">
        <f>SUMIFS('Harvest Detail'!$J$2:$J$1093,'Harvest Detail'!$A$2:$A$1093,$A17,'Harvest Detail'!$G$2:$G$1093,$C17,'Harvest Detail'!$I$2:$I$1093,Q$3)</f>
        <v>0</v>
      </c>
      <c r="R17" s="20">
        <f>SUMIFS('Harvest Detail'!$J$2:$J$1093,'Harvest Detail'!$A$2:$A$1093,$A17,'Harvest Detail'!$G$2:$G$1093,$C17,'Harvest Detail'!$I$2:$I$1093,R$3)</f>
        <v>205</v>
      </c>
      <c r="S17" s="20">
        <f>SUMIFS('Harvest Detail'!$J$2:$J$1093,'Harvest Detail'!$A$2:$A$1093,$A17,'Harvest Detail'!$G$2:$G$1093,$C17,'Harvest Detail'!$I$2:$I$1093,S$3)</f>
        <v>47</v>
      </c>
      <c r="T17" s="20">
        <f>SUMIFS('Harvest Detail'!$J$2:$J$1093,'Harvest Detail'!$A$2:$A$1093,$A17,'Harvest Detail'!$G$2:$G$1093,$C17,'Harvest Detail'!$I$2:$I$1093,T$3)</f>
        <v>0</v>
      </c>
      <c r="U17" s="20">
        <f>SUMIFS('Harvest Detail'!$J$2:$J$1093,'Harvest Detail'!$A$2:$A$1093,$A17,'Harvest Detail'!$G$2:$G$1093,$C17,'Harvest Detail'!$I$2:$I$1093,U$3)</f>
        <v>0</v>
      </c>
      <c r="V17" s="20">
        <f>SUMIFS('Harvest Detail'!$J$2:$J$1093,'Harvest Detail'!$A$2:$A$1093,$A17,'Harvest Detail'!$G$2:$G$1093,$C17,'Harvest Detail'!$I$2:$I$1093,V$3)</f>
        <v>31</v>
      </c>
      <c r="W17" s="20">
        <f>SUMIFS('Harvest Detail'!$J$2:$J$1093,'Harvest Detail'!$A$2:$A$1093,$A17,'Harvest Detail'!$G$2:$G$1093,$C17,'Harvest Detail'!$I$2:$I$1093,W$3)</f>
        <v>156</v>
      </c>
      <c r="X17" s="20">
        <f>SUMIFS('Harvest Detail'!$J$2:$J$1093,'Harvest Detail'!$A$2:$A$1093,$A17,'Harvest Detail'!$G$2:$G$1093,$C17,'Harvest Detail'!$I$2:$I$1093,X$3)</f>
        <v>0</v>
      </c>
      <c r="Y17" s="22">
        <f t="shared" si="0"/>
        <v>568</v>
      </c>
    </row>
    <row r="18" spans="1:25" ht="15" customHeight="1" x14ac:dyDescent="0.75">
      <c r="A18" s="18" t="s">
        <v>68</v>
      </c>
      <c r="B18" s="19">
        <v>46048</v>
      </c>
      <c r="C18" s="18" t="s">
        <v>66</v>
      </c>
      <c r="D18" s="20">
        <f>SUMIFS('Harvest Detail'!$J$2:$J$1093,'Harvest Detail'!$A$2:$A$1093,$A18,'Harvest Detail'!$G$2:$G$1093,$C18,'Harvest Detail'!$I$2:$I$1093,D$3)</f>
        <v>0</v>
      </c>
      <c r="E18" s="20">
        <f>SUMIFS('Harvest Detail'!$J$2:$J$1093,'Harvest Detail'!$A$2:$A$1093,$A18,'Harvest Detail'!$G$2:$G$1093,$C18,'Harvest Detail'!$I$2:$I$1093,E$3)</f>
        <v>18</v>
      </c>
      <c r="F18" s="20">
        <f>SUMIFS('Harvest Detail'!$J$2:$J$1093,'Harvest Detail'!$A$2:$A$1093,$A18,'Harvest Detail'!$G$2:$G$1093,$C18,'Harvest Detail'!$I$2:$I$1093,F$3)</f>
        <v>41</v>
      </c>
      <c r="G18" s="20">
        <f>SUMIFS('Harvest Detail'!$J$2:$J$1093,'Harvest Detail'!$A$2:$A$1093,$A18,'Harvest Detail'!$G$2:$G$1093,$C18,'Harvest Detail'!$I$2:$I$1093,G$3)</f>
        <v>0</v>
      </c>
      <c r="H18" s="20">
        <f>SUMIFS('Harvest Detail'!$J$2:$J$1093,'Harvest Detail'!$A$2:$A$1093,$A18,'Harvest Detail'!$G$2:$G$1093,$C18,'Harvest Detail'!$I$2:$I$1093,H$3)</f>
        <v>0</v>
      </c>
      <c r="I18" s="20">
        <f>SUMIFS('Harvest Detail'!$J$2:$J$1093,'Harvest Detail'!$A$2:$A$1093,$A18,'Harvest Detail'!$G$2:$G$1093,$C18,'Harvest Detail'!$I$2:$I$1093,I$3)</f>
        <v>0</v>
      </c>
      <c r="J18" s="20">
        <f>SUMIFS('Harvest Detail'!$J$2:$J$1093,'Harvest Detail'!$A$2:$A$1093,$A18,'Harvest Detail'!$G$2:$G$1093,$C18,'Harvest Detail'!$I$2:$I$1093,J$3)</f>
        <v>0</v>
      </c>
      <c r="K18" s="20">
        <f>SUMIFS('Harvest Detail'!$J$2:$J$1093,'Harvest Detail'!$A$2:$A$1093,$A18,'Harvest Detail'!$G$2:$G$1093,$C18,'Harvest Detail'!$I$2:$I$1093,K$3)</f>
        <v>0</v>
      </c>
      <c r="L18" s="20">
        <f>SUMIFS('Harvest Detail'!$J$2:$J$1093,'Harvest Detail'!$A$2:$A$1093,$A18,'Harvest Detail'!$G$2:$G$1093,$C18,'Harvest Detail'!$I$2:$I$1093,L$3)</f>
        <v>0</v>
      </c>
      <c r="M18" s="20">
        <f>SUMIFS('Harvest Detail'!$J$2:$J$1093,'Harvest Detail'!$A$2:$A$1093,$A18,'Harvest Detail'!$G$2:$G$1093,$C18,'Harvest Detail'!$I$2:$I$1093,M$3)</f>
        <v>20</v>
      </c>
      <c r="N18" s="20">
        <f>SUMIFS('Harvest Detail'!$J$2:$J$1093,'Harvest Detail'!$A$2:$A$1093,$A18,'Harvest Detail'!$G$2:$G$1093,$C18,'Harvest Detail'!$I$2:$I$1093,N$3)</f>
        <v>15</v>
      </c>
      <c r="O18" s="20">
        <f>SUMIFS('Harvest Detail'!$J$2:$J$1093,'Harvest Detail'!$A$2:$A$1093,$A18,'Harvest Detail'!$G$2:$G$1093,$C18,'Harvest Detail'!$I$2:$I$1093,O$3)</f>
        <v>0</v>
      </c>
      <c r="P18" s="20">
        <f>SUMIFS('Harvest Detail'!$J$2:$J$1093,'Harvest Detail'!$A$2:$A$1093,$A18,'Harvest Detail'!$G$2:$G$1093,$C18,'Harvest Detail'!$I$2:$I$1093,P$3)</f>
        <v>30</v>
      </c>
      <c r="Q18" s="20">
        <f>SUMIFS('Harvest Detail'!$J$2:$J$1093,'Harvest Detail'!$A$2:$A$1093,$A18,'Harvest Detail'!$G$2:$G$1093,$C18,'Harvest Detail'!$I$2:$I$1093,Q$3)</f>
        <v>0</v>
      </c>
      <c r="R18" s="20">
        <f>SUMIFS('Harvest Detail'!$J$2:$J$1093,'Harvest Detail'!$A$2:$A$1093,$A18,'Harvest Detail'!$G$2:$G$1093,$C18,'Harvest Detail'!$I$2:$I$1093,R$3)</f>
        <v>85</v>
      </c>
      <c r="S18" s="20">
        <f>SUMIFS('Harvest Detail'!$J$2:$J$1093,'Harvest Detail'!$A$2:$A$1093,$A18,'Harvest Detail'!$G$2:$G$1093,$C18,'Harvest Detail'!$I$2:$I$1093,S$3)</f>
        <v>12</v>
      </c>
      <c r="T18" s="20">
        <f>SUMIFS('Harvest Detail'!$J$2:$J$1093,'Harvest Detail'!$A$2:$A$1093,$A18,'Harvest Detail'!$G$2:$G$1093,$C18,'Harvest Detail'!$I$2:$I$1093,T$3)</f>
        <v>15</v>
      </c>
      <c r="U18" s="20">
        <f>SUMIFS('Harvest Detail'!$J$2:$J$1093,'Harvest Detail'!$A$2:$A$1093,$A18,'Harvest Detail'!$G$2:$G$1093,$C18,'Harvest Detail'!$I$2:$I$1093,U$3)</f>
        <v>8</v>
      </c>
      <c r="V18" s="20">
        <f>SUMIFS('Harvest Detail'!$J$2:$J$1093,'Harvest Detail'!$A$2:$A$1093,$A18,'Harvest Detail'!$G$2:$G$1093,$C18,'Harvest Detail'!$I$2:$I$1093,V$3)</f>
        <v>0</v>
      </c>
      <c r="W18" s="20">
        <f>SUMIFS('Harvest Detail'!$J$2:$J$1093,'Harvest Detail'!$A$2:$A$1093,$A18,'Harvest Detail'!$G$2:$G$1093,$C18,'Harvest Detail'!$I$2:$I$1093,W$3)</f>
        <v>0</v>
      </c>
      <c r="X18" s="20">
        <f>SUMIFS('Harvest Detail'!$J$2:$J$1093,'Harvest Detail'!$A$2:$A$1093,$A18,'Harvest Detail'!$G$2:$G$1093,$C18,'Harvest Detail'!$I$2:$I$1093,X$3)</f>
        <v>0</v>
      </c>
      <c r="Y18" s="22">
        <f t="shared" si="0"/>
        <v>244</v>
      </c>
    </row>
    <row r="19" spans="1:25" ht="15" customHeight="1" x14ac:dyDescent="0.75">
      <c r="A19" s="18" t="s">
        <v>69</v>
      </c>
      <c r="B19" s="19">
        <v>46055</v>
      </c>
      <c r="C19" s="18" t="s">
        <v>56</v>
      </c>
      <c r="D19" s="20">
        <f>SUMIFS('Harvest Detail'!$J$2:$J$1093,'Harvest Detail'!$A$2:$A$1093,$A19,'Harvest Detail'!$G$2:$G$1093,$C19,'Harvest Detail'!$I$2:$I$1093,D$3)</f>
        <v>0</v>
      </c>
      <c r="E19" s="20">
        <f>SUMIFS('Harvest Detail'!$J$2:$J$1093,'Harvest Detail'!$A$2:$A$1093,$A19,'Harvest Detail'!$G$2:$G$1093,$C19,'Harvest Detail'!$I$2:$I$1093,E$3)</f>
        <v>0</v>
      </c>
      <c r="F19" s="20">
        <f>SUMIFS('Harvest Detail'!$J$2:$J$1093,'Harvest Detail'!$A$2:$A$1093,$A19,'Harvest Detail'!$G$2:$G$1093,$C19,'Harvest Detail'!$I$2:$I$1093,F$3)</f>
        <v>0</v>
      </c>
      <c r="G19" s="20">
        <f>SUMIFS('Harvest Detail'!$J$2:$J$1093,'Harvest Detail'!$A$2:$A$1093,$A19,'Harvest Detail'!$G$2:$G$1093,$C19,'Harvest Detail'!$I$2:$I$1093,G$3)</f>
        <v>0</v>
      </c>
      <c r="H19" s="20">
        <f>SUMIFS('Harvest Detail'!$J$2:$J$1093,'Harvest Detail'!$A$2:$A$1093,$A19,'Harvest Detail'!$G$2:$G$1093,$C19,'Harvest Detail'!$I$2:$I$1093,H$3)</f>
        <v>44</v>
      </c>
      <c r="I19" s="20">
        <f>SUMIFS('Harvest Detail'!$J$2:$J$1093,'Harvest Detail'!$A$2:$A$1093,$A19,'Harvest Detail'!$G$2:$G$1093,$C19,'Harvest Detail'!$I$2:$I$1093,I$3)</f>
        <v>40</v>
      </c>
      <c r="J19" s="20">
        <f>SUMIFS('Harvest Detail'!$J$2:$J$1093,'Harvest Detail'!$A$2:$A$1093,$A19,'Harvest Detail'!$G$2:$G$1093,$C19,'Harvest Detail'!$I$2:$I$1093,J$3)</f>
        <v>0</v>
      </c>
      <c r="K19" s="20">
        <f>SUMIFS('Harvest Detail'!$J$2:$J$1093,'Harvest Detail'!$A$2:$A$1093,$A19,'Harvest Detail'!$G$2:$G$1093,$C19,'Harvest Detail'!$I$2:$I$1093,K$3)</f>
        <v>8</v>
      </c>
      <c r="L19" s="20">
        <f>SUMIFS('Harvest Detail'!$J$2:$J$1093,'Harvest Detail'!$A$2:$A$1093,$A19,'Harvest Detail'!$G$2:$G$1093,$C19,'Harvest Detail'!$I$2:$I$1093,L$3)</f>
        <v>0</v>
      </c>
      <c r="M19" s="20">
        <f>SUMIFS('Harvest Detail'!$J$2:$J$1093,'Harvest Detail'!$A$2:$A$1093,$A19,'Harvest Detail'!$G$2:$G$1093,$C19,'Harvest Detail'!$I$2:$I$1093,M$3)</f>
        <v>0</v>
      </c>
      <c r="N19" s="20">
        <f>SUMIFS('Harvest Detail'!$J$2:$J$1093,'Harvest Detail'!$A$2:$A$1093,$A19,'Harvest Detail'!$G$2:$G$1093,$C19,'Harvest Detail'!$I$2:$I$1093,N$3)</f>
        <v>0</v>
      </c>
      <c r="O19" s="20">
        <f>SUMIFS('Harvest Detail'!$J$2:$J$1093,'Harvest Detail'!$A$2:$A$1093,$A19,'Harvest Detail'!$G$2:$G$1093,$C19,'Harvest Detail'!$I$2:$I$1093,O$3)</f>
        <v>0</v>
      </c>
      <c r="P19" s="20">
        <f>SUMIFS('Harvest Detail'!$J$2:$J$1093,'Harvest Detail'!$A$2:$A$1093,$A19,'Harvest Detail'!$G$2:$G$1093,$C19,'Harvest Detail'!$I$2:$I$1093,P$3)</f>
        <v>0</v>
      </c>
      <c r="Q19" s="20">
        <f>SUMIFS('Harvest Detail'!$J$2:$J$1093,'Harvest Detail'!$A$2:$A$1093,$A19,'Harvest Detail'!$G$2:$G$1093,$C19,'Harvest Detail'!$I$2:$I$1093,Q$3)</f>
        <v>0</v>
      </c>
      <c r="R19" s="20">
        <f>SUMIFS('Harvest Detail'!$J$2:$J$1093,'Harvest Detail'!$A$2:$A$1093,$A19,'Harvest Detail'!$G$2:$G$1093,$C19,'Harvest Detail'!$I$2:$I$1093,R$3)</f>
        <v>25</v>
      </c>
      <c r="S19" s="20">
        <f>SUMIFS('Harvest Detail'!$J$2:$J$1093,'Harvest Detail'!$A$2:$A$1093,$A19,'Harvest Detail'!$G$2:$G$1093,$C19,'Harvest Detail'!$I$2:$I$1093,S$3)</f>
        <v>0</v>
      </c>
      <c r="T19" s="20">
        <f>SUMIFS('Harvest Detail'!$J$2:$J$1093,'Harvest Detail'!$A$2:$A$1093,$A19,'Harvest Detail'!$G$2:$G$1093,$C19,'Harvest Detail'!$I$2:$I$1093,T$3)</f>
        <v>3</v>
      </c>
      <c r="U19" s="20">
        <f>SUMIFS('Harvest Detail'!$J$2:$J$1093,'Harvest Detail'!$A$2:$A$1093,$A19,'Harvest Detail'!$G$2:$G$1093,$C19,'Harvest Detail'!$I$2:$I$1093,U$3)</f>
        <v>0</v>
      </c>
      <c r="V19" s="20">
        <f>SUMIFS('Harvest Detail'!$J$2:$J$1093,'Harvest Detail'!$A$2:$A$1093,$A19,'Harvest Detail'!$G$2:$G$1093,$C19,'Harvest Detail'!$I$2:$I$1093,V$3)</f>
        <v>0</v>
      </c>
      <c r="W19" s="20">
        <f>SUMIFS('Harvest Detail'!$J$2:$J$1093,'Harvest Detail'!$A$2:$A$1093,$A19,'Harvest Detail'!$G$2:$G$1093,$C19,'Harvest Detail'!$I$2:$I$1093,W$3)</f>
        <v>0</v>
      </c>
      <c r="X19" s="20">
        <f>SUMIFS('Harvest Detail'!$J$2:$J$1093,'Harvest Detail'!$A$2:$A$1093,$A19,'Harvest Detail'!$G$2:$G$1093,$C19,'Harvest Detail'!$I$2:$I$1093,X$3)</f>
        <v>0</v>
      </c>
      <c r="Y19" s="22">
        <f t="shared" si="0"/>
        <v>120</v>
      </c>
    </row>
    <row r="20" spans="1:25" ht="15" customHeight="1" x14ac:dyDescent="0.75">
      <c r="A20" s="18" t="s">
        <v>69</v>
      </c>
      <c r="B20" s="19">
        <v>46055</v>
      </c>
      <c r="C20" s="18" t="s">
        <v>58</v>
      </c>
      <c r="D20" s="20">
        <f>SUMIFS('Harvest Detail'!$J$2:$J$1093,'Harvest Detail'!$A$2:$A$1093,$A20,'Harvest Detail'!$G$2:$G$1093,$C20,'Harvest Detail'!$I$2:$I$1093,D$3)</f>
        <v>0</v>
      </c>
      <c r="E20" s="20">
        <f>SUMIFS('Harvest Detail'!$J$2:$J$1093,'Harvest Detail'!$A$2:$A$1093,$A20,'Harvest Detail'!$G$2:$G$1093,$C20,'Harvest Detail'!$I$2:$I$1093,E$3)</f>
        <v>142</v>
      </c>
      <c r="F20" s="20">
        <f>SUMIFS('Harvest Detail'!$J$2:$J$1093,'Harvest Detail'!$A$2:$A$1093,$A20,'Harvest Detail'!$G$2:$G$1093,$C20,'Harvest Detail'!$I$2:$I$1093,F$3)</f>
        <v>0</v>
      </c>
      <c r="G20" s="20">
        <f>SUMIFS('Harvest Detail'!$J$2:$J$1093,'Harvest Detail'!$A$2:$A$1093,$A20,'Harvest Detail'!$G$2:$G$1093,$C20,'Harvest Detail'!$I$2:$I$1093,G$3)</f>
        <v>140</v>
      </c>
      <c r="H20" s="20">
        <f>SUMIFS('Harvest Detail'!$J$2:$J$1093,'Harvest Detail'!$A$2:$A$1093,$A20,'Harvest Detail'!$G$2:$G$1093,$C20,'Harvest Detail'!$I$2:$I$1093,H$3)</f>
        <v>0</v>
      </c>
      <c r="I20" s="20">
        <f>SUMIFS('Harvest Detail'!$J$2:$J$1093,'Harvest Detail'!$A$2:$A$1093,$A20,'Harvest Detail'!$G$2:$G$1093,$C20,'Harvest Detail'!$I$2:$I$1093,I$3)</f>
        <v>0</v>
      </c>
      <c r="J20" s="20">
        <f>SUMIFS('Harvest Detail'!$J$2:$J$1093,'Harvest Detail'!$A$2:$A$1093,$A20,'Harvest Detail'!$G$2:$G$1093,$C20,'Harvest Detail'!$I$2:$I$1093,J$3)</f>
        <v>0</v>
      </c>
      <c r="K20" s="20">
        <f>SUMIFS('Harvest Detail'!$J$2:$J$1093,'Harvest Detail'!$A$2:$A$1093,$A20,'Harvest Detail'!$G$2:$G$1093,$C20,'Harvest Detail'!$I$2:$I$1093,K$3)</f>
        <v>0</v>
      </c>
      <c r="L20" s="20">
        <f>SUMIFS('Harvest Detail'!$J$2:$J$1093,'Harvest Detail'!$A$2:$A$1093,$A20,'Harvest Detail'!$G$2:$G$1093,$C20,'Harvest Detail'!$I$2:$I$1093,L$3)</f>
        <v>0</v>
      </c>
      <c r="M20" s="20">
        <f>SUMIFS('Harvest Detail'!$J$2:$J$1093,'Harvest Detail'!$A$2:$A$1093,$A20,'Harvest Detail'!$G$2:$G$1093,$C20,'Harvest Detail'!$I$2:$I$1093,M$3)</f>
        <v>0</v>
      </c>
      <c r="N20" s="20">
        <f>SUMIFS('Harvest Detail'!$J$2:$J$1093,'Harvest Detail'!$A$2:$A$1093,$A20,'Harvest Detail'!$G$2:$G$1093,$C20,'Harvest Detail'!$I$2:$I$1093,N$3)</f>
        <v>0</v>
      </c>
      <c r="O20" s="20">
        <f>SUMIFS('Harvest Detail'!$J$2:$J$1093,'Harvest Detail'!$A$2:$A$1093,$A20,'Harvest Detail'!$G$2:$G$1093,$C20,'Harvest Detail'!$I$2:$I$1093,O$3)</f>
        <v>0</v>
      </c>
      <c r="P20" s="20">
        <f>SUMIFS('Harvest Detail'!$J$2:$J$1093,'Harvest Detail'!$A$2:$A$1093,$A20,'Harvest Detail'!$G$2:$G$1093,$C20,'Harvest Detail'!$I$2:$I$1093,P$3)</f>
        <v>0</v>
      </c>
      <c r="Q20" s="20">
        <f>SUMIFS('Harvest Detail'!$J$2:$J$1093,'Harvest Detail'!$A$2:$A$1093,$A20,'Harvest Detail'!$G$2:$G$1093,$C20,'Harvest Detail'!$I$2:$I$1093,Q$3)</f>
        <v>0</v>
      </c>
      <c r="R20" s="20">
        <f>SUMIFS('Harvest Detail'!$J$2:$J$1093,'Harvest Detail'!$A$2:$A$1093,$A20,'Harvest Detail'!$G$2:$G$1093,$C20,'Harvest Detail'!$I$2:$I$1093,R$3)</f>
        <v>0</v>
      </c>
      <c r="S20" s="20">
        <f>SUMIFS('Harvest Detail'!$J$2:$J$1093,'Harvest Detail'!$A$2:$A$1093,$A20,'Harvest Detail'!$G$2:$G$1093,$C20,'Harvest Detail'!$I$2:$I$1093,S$3)</f>
        <v>0</v>
      </c>
      <c r="T20" s="20">
        <f>SUMIFS('Harvest Detail'!$J$2:$J$1093,'Harvest Detail'!$A$2:$A$1093,$A20,'Harvest Detail'!$G$2:$G$1093,$C20,'Harvest Detail'!$I$2:$I$1093,T$3)</f>
        <v>0</v>
      </c>
      <c r="U20" s="20">
        <f>SUMIFS('Harvest Detail'!$J$2:$J$1093,'Harvest Detail'!$A$2:$A$1093,$A20,'Harvest Detail'!$G$2:$G$1093,$C20,'Harvest Detail'!$I$2:$I$1093,U$3)</f>
        <v>0</v>
      </c>
      <c r="V20" s="20">
        <f>SUMIFS('Harvest Detail'!$J$2:$J$1093,'Harvest Detail'!$A$2:$A$1093,$A20,'Harvest Detail'!$G$2:$G$1093,$C20,'Harvest Detail'!$I$2:$I$1093,V$3)</f>
        <v>22</v>
      </c>
      <c r="W20" s="20">
        <f>SUMIFS('Harvest Detail'!$J$2:$J$1093,'Harvest Detail'!$A$2:$A$1093,$A20,'Harvest Detail'!$G$2:$G$1093,$C20,'Harvest Detail'!$I$2:$I$1093,W$3)</f>
        <v>104</v>
      </c>
      <c r="X20" s="20">
        <f>SUMIFS('Harvest Detail'!$J$2:$J$1093,'Harvest Detail'!$A$2:$A$1093,$A20,'Harvest Detail'!$G$2:$G$1093,$C20,'Harvest Detail'!$I$2:$I$1093,X$3)</f>
        <v>0</v>
      </c>
      <c r="Y20" s="22">
        <f t="shared" si="0"/>
        <v>408</v>
      </c>
    </row>
    <row r="21" spans="1:25" ht="15" customHeight="1" x14ac:dyDescent="0.75">
      <c r="A21" s="18" t="s">
        <v>69</v>
      </c>
      <c r="B21" s="19">
        <v>46055</v>
      </c>
      <c r="C21" s="18" t="s">
        <v>66</v>
      </c>
      <c r="D21" s="20">
        <f>SUMIFS('Harvest Detail'!$J$2:$J$1093,'Harvest Detail'!$A$2:$A$1093,$A21,'Harvest Detail'!$G$2:$G$1093,$C21,'Harvest Detail'!$I$2:$I$1093,D$3)</f>
        <v>0</v>
      </c>
      <c r="E21" s="20">
        <f>SUMIFS('Harvest Detail'!$J$2:$J$1093,'Harvest Detail'!$A$2:$A$1093,$A21,'Harvest Detail'!$G$2:$G$1093,$C21,'Harvest Detail'!$I$2:$I$1093,E$3)</f>
        <v>22</v>
      </c>
      <c r="F21" s="20">
        <f>SUMIFS('Harvest Detail'!$J$2:$J$1093,'Harvest Detail'!$A$2:$A$1093,$A21,'Harvest Detail'!$G$2:$G$1093,$C21,'Harvest Detail'!$I$2:$I$1093,F$3)</f>
        <v>0</v>
      </c>
      <c r="G21" s="20">
        <f>SUMIFS('Harvest Detail'!$J$2:$J$1093,'Harvest Detail'!$A$2:$A$1093,$A21,'Harvest Detail'!$G$2:$G$1093,$C21,'Harvest Detail'!$I$2:$I$1093,G$3)</f>
        <v>0</v>
      </c>
      <c r="H21" s="20">
        <f>SUMIFS('Harvest Detail'!$J$2:$J$1093,'Harvest Detail'!$A$2:$A$1093,$A21,'Harvest Detail'!$G$2:$G$1093,$C21,'Harvest Detail'!$I$2:$I$1093,H$3)</f>
        <v>0</v>
      </c>
      <c r="I21" s="20">
        <f>SUMIFS('Harvest Detail'!$J$2:$J$1093,'Harvest Detail'!$A$2:$A$1093,$A21,'Harvest Detail'!$G$2:$G$1093,$C21,'Harvest Detail'!$I$2:$I$1093,I$3)</f>
        <v>0</v>
      </c>
      <c r="J21" s="20">
        <f>SUMIFS('Harvest Detail'!$J$2:$J$1093,'Harvest Detail'!$A$2:$A$1093,$A21,'Harvest Detail'!$G$2:$G$1093,$C21,'Harvest Detail'!$I$2:$I$1093,J$3)</f>
        <v>0</v>
      </c>
      <c r="K21" s="20">
        <f>SUMIFS('Harvest Detail'!$J$2:$J$1093,'Harvest Detail'!$A$2:$A$1093,$A21,'Harvest Detail'!$G$2:$G$1093,$C21,'Harvest Detail'!$I$2:$I$1093,K$3)</f>
        <v>0</v>
      </c>
      <c r="L21" s="20">
        <f>SUMIFS('Harvest Detail'!$J$2:$J$1093,'Harvest Detail'!$A$2:$A$1093,$A21,'Harvest Detail'!$G$2:$G$1093,$C21,'Harvest Detail'!$I$2:$I$1093,L$3)</f>
        <v>0</v>
      </c>
      <c r="M21" s="20">
        <f>SUMIFS('Harvest Detail'!$J$2:$J$1093,'Harvest Detail'!$A$2:$A$1093,$A21,'Harvest Detail'!$G$2:$G$1093,$C21,'Harvest Detail'!$I$2:$I$1093,M$3)</f>
        <v>0</v>
      </c>
      <c r="N21" s="20">
        <f>SUMIFS('Harvest Detail'!$J$2:$J$1093,'Harvest Detail'!$A$2:$A$1093,$A21,'Harvest Detail'!$G$2:$G$1093,$C21,'Harvest Detail'!$I$2:$I$1093,N$3)</f>
        <v>0</v>
      </c>
      <c r="O21" s="20">
        <f>SUMIFS('Harvest Detail'!$J$2:$J$1093,'Harvest Detail'!$A$2:$A$1093,$A21,'Harvest Detail'!$G$2:$G$1093,$C21,'Harvest Detail'!$I$2:$I$1093,O$3)</f>
        <v>0</v>
      </c>
      <c r="P21" s="20">
        <f>SUMIFS('Harvest Detail'!$J$2:$J$1093,'Harvest Detail'!$A$2:$A$1093,$A21,'Harvest Detail'!$G$2:$G$1093,$C21,'Harvest Detail'!$I$2:$I$1093,P$3)</f>
        <v>0</v>
      </c>
      <c r="Q21" s="20">
        <f>SUMIFS('Harvest Detail'!$J$2:$J$1093,'Harvest Detail'!$A$2:$A$1093,$A21,'Harvest Detail'!$G$2:$G$1093,$C21,'Harvest Detail'!$I$2:$I$1093,Q$3)</f>
        <v>0</v>
      </c>
      <c r="R21" s="20">
        <f>SUMIFS('Harvest Detail'!$J$2:$J$1093,'Harvest Detail'!$A$2:$A$1093,$A21,'Harvest Detail'!$G$2:$G$1093,$C21,'Harvest Detail'!$I$2:$I$1093,R$3)</f>
        <v>0</v>
      </c>
      <c r="S21" s="20">
        <f>SUMIFS('Harvest Detail'!$J$2:$J$1093,'Harvest Detail'!$A$2:$A$1093,$A21,'Harvest Detail'!$G$2:$G$1093,$C21,'Harvest Detail'!$I$2:$I$1093,S$3)</f>
        <v>0</v>
      </c>
      <c r="T21" s="20">
        <f>SUMIFS('Harvest Detail'!$J$2:$J$1093,'Harvest Detail'!$A$2:$A$1093,$A21,'Harvest Detail'!$G$2:$G$1093,$C21,'Harvest Detail'!$I$2:$I$1093,T$3)</f>
        <v>0</v>
      </c>
      <c r="U21" s="20">
        <f>SUMIFS('Harvest Detail'!$J$2:$J$1093,'Harvest Detail'!$A$2:$A$1093,$A21,'Harvest Detail'!$G$2:$G$1093,$C21,'Harvest Detail'!$I$2:$I$1093,U$3)</f>
        <v>0</v>
      </c>
      <c r="V21" s="20">
        <f>SUMIFS('Harvest Detail'!$J$2:$J$1093,'Harvest Detail'!$A$2:$A$1093,$A21,'Harvest Detail'!$G$2:$G$1093,$C21,'Harvest Detail'!$I$2:$I$1093,V$3)</f>
        <v>0</v>
      </c>
      <c r="W21" s="20">
        <f>SUMIFS('Harvest Detail'!$J$2:$J$1093,'Harvest Detail'!$A$2:$A$1093,$A21,'Harvest Detail'!$G$2:$G$1093,$C21,'Harvest Detail'!$I$2:$I$1093,W$3)</f>
        <v>0</v>
      </c>
      <c r="X21" s="20">
        <f>SUMIFS('Harvest Detail'!$J$2:$J$1093,'Harvest Detail'!$A$2:$A$1093,$A21,'Harvest Detail'!$G$2:$G$1093,$C21,'Harvest Detail'!$I$2:$I$1093,X$3)</f>
        <v>0</v>
      </c>
      <c r="Y21" s="22">
        <f t="shared" si="0"/>
        <v>22</v>
      </c>
    </row>
    <row r="22" spans="1:25" ht="15" customHeight="1" x14ac:dyDescent="0.75">
      <c r="A22" s="18" t="s">
        <v>70</v>
      </c>
      <c r="B22" s="19">
        <v>46062</v>
      </c>
      <c r="C22" s="18" t="s">
        <v>56</v>
      </c>
      <c r="D22" s="20">
        <f>SUMIFS('Harvest Detail'!$J$2:$J$1093,'Harvest Detail'!$A$2:$A$1093,$A22,'Harvest Detail'!$G$2:$G$1093,$C22,'Harvest Detail'!$I$2:$I$1093,D$3)</f>
        <v>39</v>
      </c>
      <c r="E22" s="20">
        <f>SUMIFS('Harvest Detail'!$J$2:$J$1093,'Harvest Detail'!$A$2:$A$1093,$A22,'Harvest Detail'!$G$2:$G$1093,$C22,'Harvest Detail'!$I$2:$I$1093,E$3)</f>
        <v>0</v>
      </c>
      <c r="F22" s="20">
        <f>SUMIFS('Harvest Detail'!$J$2:$J$1093,'Harvest Detail'!$A$2:$A$1093,$A22,'Harvest Detail'!$G$2:$G$1093,$C22,'Harvest Detail'!$I$2:$I$1093,F$3)</f>
        <v>19</v>
      </c>
      <c r="G22" s="20">
        <f>SUMIFS('Harvest Detail'!$J$2:$J$1093,'Harvest Detail'!$A$2:$A$1093,$A22,'Harvest Detail'!$G$2:$G$1093,$C22,'Harvest Detail'!$I$2:$I$1093,G$3)</f>
        <v>0</v>
      </c>
      <c r="H22" s="20">
        <f>SUMIFS('Harvest Detail'!$J$2:$J$1093,'Harvest Detail'!$A$2:$A$1093,$A22,'Harvest Detail'!$G$2:$G$1093,$C22,'Harvest Detail'!$I$2:$I$1093,H$3)</f>
        <v>29</v>
      </c>
      <c r="I22" s="20">
        <f>SUMIFS('Harvest Detail'!$J$2:$J$1093,'Harvest Detail'!$A$2:$A$1093,$A22,'Harvest Detail'!$G$2:$G$1093,$C22,'Harvest Detail'!$I$2:$I$1093,I$3)</f>
        <v>0</v>
      </c>
      <c r="J22" s="20">
        <f>SUMIFS('Harvest Detail'!$J$2:$J$1093,'Harvest Detail'!$A$2:$A$1093,$A22,'Harvest Detail'!$G$2:$G$1093,$C22,'Harvest Detail'!$I$2:$I$1093,J$3)</f>
        <v>0</v>
      </c>
      <c r="K22" s="20">
        <f>SUMIFS('Harvest Detail'!$J$2:$J$1093,'Harvest Detail'!$A$2:$A$1093,$A22,'Harvest Detail'!$G$2:$G$1093,$C22,'Harvest Detail'!$I$2:$I$1093,K$3)</f>
        <v>0</v>
      </c>
      <c r="L22" s="20">
        <f>SUMIFS('Harvest Detail'!$J$2:$J$1093,'Harvest Detail'!$A$2:$A$1093,$A22,'Harvest Detail'!$G$2:$G$1093,$C22,'Harvest Detail'!$I$2:$I$1093,L$3)</f>
        <v>0</v>
      </c>
      <c r="M22" s="20">
        <f>SUMIFS('Harvest Detail'!$J$2:$J$1093,'Harvest Detail'!$A$2:$A$1093,$A22,'Harvest Detail'!$G$2:$G$1093,$C22,'Harvest Detail'!$I$2:$I$1093,M$3)</f>
        <v>0</v>
      </c>
      <c r="N22" s="20">
        <f>SUMIFS('Harvest Detail'!$J$2:$J$1093,'Harvest Detail'!$A$2:$A$1093,$A22,'Harvest Detail'!$G$2:$G$1093,$C22,'Harvest Detail'!$I$2:$I$1093,N$3)</f>
        <v>29</v>
      </c>
      <c r="O22" s="20">
        <f>SUMIFS('Harvest Detail'!$J$2:$J$1093,'Harvest Detail'!$A$2:$A$1093,$A22,'Harvest Detail'!$G$2:$G$1093,$C22,'Harvest Detail'!$I$2:$I$1093,O$3)</f>
        <v>0</v>
      </c>
      <c r="P22" s="20">
        <f>SUMIFS('Harvest Detail'!$J$2:$J$1093,'Harvest Detail'!$A$2:$A$1093,$A22,'Harvest Detail'!$G$2:$G$1093,$C22,'Harvest Detail'!$I$2:$I$1093,P$3)</f>
        <v>31</v>
      </c>
      <c r="Q22" s="20">
        <f>SUMIFS('Harvest Detail'!$J$2:$J$1093,'Harvest Detail'!$A$2:$A$1093,$A22,'Harvest Detail'!$G$2:$G$1093,$C22,'Harvest Detail'!$I$2:$I$1093,Q$3)</f>
        <v>0</v>
      </c>
      <c r="R22" s="20">
        <f>SUMIFS('Harvest Detail'!$J$2:$J$1093,'Harvest Detail'!$A$2:$A$1093,$A22,'Harvest Detail'!$G$2:$G$1093,$C22,'Harvest Detail'!$I$2:$I$1093,R$3)</f>
        <v>115</v>
      </c>
      <c r="S22" s="20">
        <f>SUMIFS('Harvest Detail'!$J$2:$J$1093,'Harvest Detail'!$A$2:$A$1093,$A22,'Harvest Detail'!$G$2:$G$1093,$C22,'Harvest Detail'!$I$2:$I$1093,S$3)</f>
        <v>0</v>
      </c>
      <c r="T22" s="20">
        <f>SUMIFS('Harvest Detail'!$J$2:$J$1093,'Harvest Detail'!$A$2:$A$1093,$A22,'Harvest Detail'!$G$2:$G$1093,$C22,'Harvest Detail'!$I$2:$I$1093,T$3)</f>
        <v>5</v>
      </c>
      <c r="U22" s="20">
        <f>SUMIFS('Harvest Detail'!$J$2:$J$1093,'Harvest Detail'!$A$2:$A$1093,$A22,'Harvest Detail'!$G$2:$G$1093,$C22,'Harvest Detail'!$I$2:$I$1093,U$3)</f>
        <v>18</v>
      </c>
      <c r="V22" s="20">
        <f>SUMIFS('Harvest Detail'!$J$2:$J$1093,'Harvest Detail'!$A$2:$A$1093,$A22,'Harvest Detail'!$G$2:$G$1093,$C22,'Harvest Detail'!$I$2:$I$1093,V$3)</f>
        <v>0</v>
      </c>
      <c r="W22" s="20">
        <f>SUMIFS('Harvest Detail'!$J$2:$J$1093,'Harvest Detail'!$A$2:$A$1093,$A22,'Harvest Detail'!$G$2:$G$1093,$C22,'Harvest Detail'!$I$2:$I$1093,W$3)</f>
        <v>0</v>
      </c>
      <c r="X22" s="20">
        <f>SUMIFS('Harvest Detail'!$J$2:$J$1093,'Harvest Detail'!$A$2:$A$1093,$A22,'Harvest Detail'!$G$2:$G$1093,$C22,'Harvest Detail'!$I$2:$I$1093,X$3)</f>
        <v>0</v>
      </c>
      <c r="Y22" s="22">
        <f t="shared" si="0"/>
        <v>285</v>
      </c>
    </row>
    <row r="23" spans="1:25" ht="15" customHeight="1" x14ac:dyDescent="0.75">
      <c r="A23" s="18" t="s">
        <v>70</v>
      </c>
      <c r="B23" s="19">
        <v>46062</v>
      </c>
      <c r="C23" s="18" t="s">
        <v>58</v>
      </c>
      <c r="D23" s="20">
        <f>SUMIFS('Harvest Detail'!$J$2:$J$1093,'Harvest Detail'!$A$2:$A$1093,$A23,'Harvest Detail'!$G$2:$G$1093,$C23,'Harvest Detail'!$I$2:$I$1093,D$3)</f>
        <v>246</v>
      </c>
      <c r="E23" s="20">
        <f>SUMIFS('Harvest Detail'!$J$2:$J$1093,'Harvest Detail'!$A$2:$A$1093,$A23,'Harvest Detail'!$G$2:$G$1093,$C23,'Harvest Detail'!$I$2:$I$1093,E$3)</f>
        <v>72</v>
      </c>
      <c r="F23" s="20">
        <f>SUMIFS('Harvest Detail'!$J$2:$J$1093,'Harvest Detail'!$A$2:$A$1093,$A23,'Harvest Detail'!$G$2:$G$1093,$C23,'Harvest Detail'!$I$2:$I$1093,F$3)</f>
        <v>0</v>
      </c>
      <c r="G23" s="20">
        <f>SUMIFS('Harvest Detail'!$J$2:$J$1093,'Harvest Detail'!$A$2:$A$1093,$A23,'Harvest Detail'!$G$2:$G$1093,$C23,'Harvest Detail'!$I$2:$I$1093,G$3)</f>
        <v>23</v>
      </c>
      <c r="H23" s="20">
        <f>SUMIFS('Harvest Detail'!$J$2:$J$1093,'Harvest Detail'!$A$2:$A$1093,$A23,'Harvest Detail'!$G$2:$G$1093,$C23,'Harvest Detail'!$I$2:$I$1093,H$3)</f>
        <v>0</v>
      </c>
      <c r="I23" s="20">
        <f>SUMIFS('Harvest Detail'!$J$2:$J$1093,'Harvest Detail'!$A$2:$A$1093,$A23,'Harvest Detail'!$G$2:$G$1093,$C23,'Harvest Detail'!$I$2:$I$1093,I$3)</f>
        <v>0</v>
      </c>
      <c r="J23" s="20">
        <f>SUMIFS('Harvest Detail'!$J$2:$J$1093,'Harvest Detail'!$A$2:$A$1093,$A23,'Harvest Detail'!$G$2:$G$1093,$C23,'Harvest Detail'!$I$2:$I$1093,J$3)</f>
        <v>0</v>
      </c>
      <c r="K23" s="20">
        <f>SUMIFS('Harvest Detail'!$J$2:$J$1093,'Harvest Detail'!$A$2:$A$1093,$A23,'Harvest Detail'!$G$2:$G$1093,$C23,'Harvest Detail'!$I$2:$I$1093,K$3)</f>
        <v>0</v>
      </c>
      <c r="L23" s="20">
        <f>SUMIFS('Harvest Detail'!$J$2:$J$1093,'Harvest Detail'!$A$2:$A$1093,$A23,'Harvest Detail'!$G$2:$G$1093,$C23,'Harvest Detail'!$I$2:$I$1093,L$3)</f>
        <v>0</v>
      </c>
      <c r="M23" s="20">
        <f>SUMIFS('Harvest Detail'!$J$2:$J$1093,'Harvest Detail'!$A$2:$A$1093,$A23,'Harvest Detail'!$G$2:$G$1093,$C23,'Harvest Detail'!$I$2:$I$1093,M$3)</f>
        <v>0</v>
      </c>
      <c r="N23" s="20">
        <f>SUMIFS('Harvest Detail'!$J$2:$J$1093,'Harvest Detail'!$A$2:$A$1093,$A23,'Harvest Detail'!$G$2:$G$1093,$C23,'Harvest Detail'!$I$2:$I$1093,N$3)</f>
        <v>0</v>
      </c>
      <c r="O23" s="20">
        <f>SUMIFS('Harvest Detail'!$J$2:$J$1093,'Harvest Detail'!$A$2:$A$1093,$A23,'Harvest Detail'!$G$2:$G$1093,$C23,'Harvest Detail'!$I$2:$I$1093,O$3)</f>
        <v>0</v>
      </c>
      <c r="P23" s="20">
        <f>SUMIFS('Harvest Detail'!$J$2:$J$1093,'Harvest Detail'!$A$2:$A$1093,$A23,'Harvest Detail'!$G$2:$G$1093,$C23,'Harvest Detail'!$I$2:$I$1093,P$3)</f>
        <v>0</v>
      </c>
      <c r="Q23" s="20">
        <f>SUMIFS('Harvest Detail'!$J$2:$J$1093,'Harvest Detail'!$A$2:$A$1093,$A23,'Harvest Detail'!$G$2:$G$1093,$C23,'Harvest Detail'!$I$2:$I$1093,Q$3)</f>
        <v>0</v>
      </c>
      <c r="R23" s="20">
        <f>SUMIFS('Harvest Detail'!$J$2:$J$1093,'Harvest Detail'!$A$2:$A$1093,$A23,'Harvest Detail'!$G$2:$G$1093,$C23,'Harvest Detail'!$I$2:$I$1093,R$3)</f>
        <v>175</v>
      </c>
      <c r="S23" s="20">
        <f>SUMIFS('Harvest Detail'!$J$2:$J$1093,'Harvest Detail'!$A$2:$A$1093,$A23,'Harvest Detail'!$G$2:$G$1093,$C23,'Harvest Detail'!$I$2:$I$1093,S$3)</f>
        <v>48</v>
      </c>
      <c r="T23" s="20">
        <f>SUMIFS('Harvest Detail'!$J$2:$J$1093,'Harvest Detail'!$A$2:$A$1093,$A23,'Harvest Detail'!$G$2:$G$1093,$C23,'Harvest Detail'!$I$2:$I$1093,T$3)</f>
        <v>0</v>
      </c>
      <c r="U23" s="20">
        <f>SUMIFS('Harvest Detail'!$J$2:$J$1093,'Harvest Detail'!$A$2:$A$1093,$A23,'Harvest Detail'!$G$2:$G$1093,$C23,'Harvest Detail'!$I$2:$I$1093,U$3)</f>
        <v>0</v>
      </c>
      <c r="V23" s="20">
        <f>SUMIFS('Harvest Detail'!$J$2:$J$1093,'Harvest Detail'!$A$2:$A$1093,$A23,'Harvest Detail'!$G$2:$G$1093,$C23,'Harvest Detail'!$I$2:$I$1093,V$3)</f>
        <v>34</v>
      </c>
      <c r="W23" s="20">
        <f>SUMIFS('Harvest Detail'!$J$2:$J$1093,'Harvest Detail'!$A$2:$A$1093,$A23,'Harvest Detail'!$G$2:$G$1093,$C23,'Harvest Detail'!$I$2:$I$1093,W$3)</f>
        <v>95</v>
      </c>
      <c r="X23" s="20">
        <f>SUMIFS('Harvest Detail'!$J$2:$J$1093,'Harvest Detail'!$A$2:$A$1093,$A23,'Harvest Detail'!$G$2:$G$1093,$C23,'Harvest Detail'!$I$2:$I$1093,X$3)</f>
        <v>0</v>
      </c>
      <c r="Y23" s="22">
        <f t="shared" si="0"/>
        <v>693</v>
      </c>
    </row>
    <row r="24" spans="1:25" ht="15" customHeight="1" x14ac:dyDescent="0.75">
      <c r="A24" s="18" t="s">
        <v>70</v>
      </c>
      <c r="B24" s="19">
        <v>46062</v>
      </c>
      <c r="C24" s="18" t="s">
        <v>66</v>
      </c>
      <c r="D24" s="20">
        <f>SUMIFS('Harvest Detail'!$J$2:$J$1093,'Harvest Detail'!$A$2:$A$1093,$A24,'Harvest Detail'!$G$2:$G$1093,$C24,'Harvest Detail'!$I$2:$I$1093,D$3)</f>
        <v>42</v>
      </c>
      <c r="E24" s="20">
        <f>SUMIFS('Harvest Detail'!$J$2:$J$1093,'Harvest Detail'!$A$2:$A$1093,$A24,'Harvest Detail'!$G$2:$G$1093,$C24,'Harvest Detail'!$I$2:$I$1093,E$3)</f>
        <v>0</v>
      </c>
      <c r="F24" s="20">
        <f>SUMIFS('Harvest Detail'!$J$2:$J$1093,'Harvest Detail'!$A$2:$A$1093,$A24,'Harvest Detail'!$G$2:$G$1093,$C24,'Harvest Detail'!$I$2:$I$1093,F$3)</f>
        <v>41</v>
      </c>
      <c r="G24" s="20">
        <f>SUMIFS('Harvest Detail'!$J$2:$J$1093,'Harvest Detail'!$A$2:$A$1093,$A24,'Harvest Detail'!$G$2:$G$1093,$C24,'Harvest Detail'!$I$2:$I$1093,G$3)</f>
        <v>0</v>
      </c>
      <c r="H24" s="20">
        <f>SUMIFS('Harvest Detail'!$J$2:$J$1093,'Harvest Detail'!$A$2:$A$1093,$A24,'Harvest Detail'!$G$2:$G$1093,$C24,'Harvest Detail'!$I$2:$I$1093,H$3)</f>
        <v>0</v>
      </c>
      <c r="I24" s="20">
        <f>SUMIFS('Harvest Detail'!$J$2:$J$1093,'Harvest Detail'!$A$2:$A$1093,$A24,'Harvest Detail'!$G$2:$G$1093,$C24,'Harvest Detail'!$I$2:$I$1093,I$3)</f>
        <v>0</v>
      </c>
      <c r="J24" s="20">
        <f>SUMIFS('Harvest Detail'!$J$2:$J$1093,'Harvest Detail'!$A$2:$A$1093,$A24,'Harvest Detail'!$G$2:$G$1093,$C24,'Harvest Detail'!$I$2:$I$1093,J$3)</f>
        <v>0</v>
      </c>
      <c r="K24" s="20">
        <f>SUMIFS('Harvest Detail'!$J$2:$J$1093,'Harvest Detail'!$A$2:$A$1093,$A24,'Harvest Detail'!$G$2:$G$1093,$C24,'Harvest Detail'!$I$2:$I$1093,K$3)</f>
        <v>0</v>
      </c>
      <c r="L24" s="20">
        <f>SUMIFS('Harvest Detail'!$J$2:$J$1093,'Harvest Detail'!$A$2:$A$1093,$A24,'Harvest Detail'!$G$2:$G$1093,$C24,'Harvest Detail'!$I$2:$I$1093,L$3)</f>
        <v>0</v>
      </c>
      <c r="M24" s="20">
        <f>SUMIFS('Harvest Detail'!$J$2:$J$1093,'Harvest Detail'!$A$2:$A$1093,$A24,'Harvest Detail'!$G$2:$G$1093,$C24,'Harvest Detail'!$I$2:$I$1093,M$3)</f>
        <v>14</v>
      </c>
      <c r="N24" s="20">
        <f>SUMIFS('Harvest Detail'!$J$2:$J$1093,'Harvest Detail'!$A$2:$A$1093,$A24,'Harvest Detail'!$G$2:$G$1093,$C24,'Harvest Detail'!$I$2:$I$1093,N$3)</f>
        <v>13</v>
      </c>
      <c r="O24" s="20">
        <f>SUMIFS('Harvest Detail'!$J$2:$J$1093,'Harvest Detail'!$A$2:$A$1093,$A24,'Harvest Detail'!$G$2:$G$1093,$C24,'Harvest Detail'!$I$2:$I$1093,O$3)</f>
        <v>0</v>
      </c>
      <c r="P24" s="20">
        <f>SUMIFS('Harvest Detail'!$J$2:$J$1093,'Harvest Detail'!$A$2:$A$1093,$A24,'Harvest Detail'!$G$2:$G$1093,$C24,'Harvest Detail'!$I$2:$I$1093,P$3)</f>
        <v>31</v>
      </c>
      <c r="Q24" s="20">
        <f>SUMIFS('Harvest Detail'!$J$2:$J$1093,'Harvest Detail'!$A$2:$A$1093,$A24,'Harvest Detail'!$G$2:$G$1093,$C24,'Harvest Detail'!$I$2:$I$1093,Q$3)</f>
        <v>0</v>
      </c>
      <c r="R24" s="20">
        <f>SUMIFS('Harvest Detail'!$J$2:$J$1093,'Harvest Detail'!$A$2:$A$1093,$A24,'Harvest Detail'!$G$2:$G$1093,$C24,'Harvest Detail'!$I$2:$I$1093,R$3)</f>
        <v>45</v>
      </c>
      <c r="S24" s="20">
        <f>SUMIFS('Harvest Detail'!$J$2:$J$1093,'Harvest Detail'!$A$2:$A$1093,$A24,'Harvest Detail'!$G$2:$G$1093,$C24,'Harvest Detail'!$I$2:$I$1093,S$3)</f>
        <v>12</v>
      </c>
      <c r="T24" s="20">
        <f>SUMIFS('Harvest Detail'!$J$2:$J$1093,'Harvest Detail'!$A$2:$A$1093,$A24,'Harvest Detail'!$G$2:$G$1093,$C24,'Harvest Detail'!$I$2:$I$1093,T$3)</f>
        <v>15</v>
      </c>
      <c r="U24" s="20">
        <f>SUMIFS('Harvest Detail'!$J$2:$J$1093,'Harvest Detail'!$A$2:$A$1093,$A24,'Harvest Detail'!$G$2:$G$1093,$C24,'Harvest Detail'!$I$2:$I$1093,U$3)</f>
        <v>8</v>
      </c>
      <c r="V24" s="20">
        <f>SUMIFS('Harvest Detail'!$J$2:$J$1093,'Harvest Detail'!$A$2:$A$1093,$A24,'Harvest Detail'!$G$2:$G$1093,$C24,'Harvest Detail'!$I$2:$I$1093,V$3)</f>
        <v>0</v>
      </c>
      <c r="W24" s="20">
        <f>SUMIFS('Harvest Detail'!$J$2:$J$1093,'Harvest Detail'!$A$2:$A$1093,$A24,'Harvest Detail'!$G$2:$G$1093,$C24,'Harvest Detail'!$I$2:$I$1093,W$3)</f>
        <v>0</v>
      </c>
      <c r="X24" s="20">
        <f>SUMIFS('Harvest Detail'!$J$2:$J$1093,'Harvest Detail'!$A$2:$A$1093,$A24,'Harvest Detail'!$G$2:$G$1093,$C24,'Harvest Detail'!$I$2:$I$1093,X$3)</f>
        <v>0</v>
      </c>
      <c r="Y24" s="22">
        <f t="shared" si="0"/>
        <v>221</v>
      </c>
    </row>
    <row r="25" spans="1:25" ht="15" customHeight="1" x14ac:dyDescent="0.75">
      <c r="A25" s="18" t="s">
        <v>71</v>
      </c>
      <c r="B25" s="19">
        <v>46069</v>
      </c>
      <c r="C25" s="18" t="s">
        <v>56</v>
      </c>
      <c r="D25" s="20">
        <f>SUMIFS('Harvest Detail'!$J$2:$J$1093,'Harvest Detail'!$A$2:$A$1093,$A25,'Harvest Detail'!$G$2:$G$1093,$C25,'Harvest Detail'!$I$2:$I$1093,D$3)</f>
        <v>6</v>
      </c>
      <c r="E25" s="20">
        <f>SUMIFS('Harvest Detail'!$J$2:$J$1093,'Harvest Detail'!$A$2:$A$1093,$A25,'Harvest Detail'!$G$2:$G$1093,$C25,'Harvest Detail'!$I$2:$I$1093,E$3)</f>
        <v>0</v>
      </c>
      <c r="F25" s="20">
        <f>SUMIFS('Harvest Detail'!$J$2:$J$1093,'Harvest Detail'!$A$2:$A$1093,$A25,'Harvest Detail'!$G$2:$G$1093,$C25,'Harvest Detail'!$I$2:$I$1093,F$3)</f>
        <v>0</v>
      </c>
      <c r="G25" s="20">
        <f>SUMIFS('Harvest Detail'!$J$2:$J$1093,'Harvest Detail'!$A$2:$A$1093,$A25,'Harvest Detail'!$G$2:$G$1093,$C25,'Harvest Detail'!$I$2:$I$1093,G$3)</f>
        <v>0</v>
      </c>
      <c r="H25" s="20">
        <f>SUMIFS('Harvest Detail'!$J$2:$J$1093,'Harvest Detail'!$A$2:$A$1093,$A25,'Harvest Detail'!$G$2:$G$1093,$C25,'Harvest Detail'!$I$2:$I$1093,H$3)</f>
        <v>13</v>
      </c>
      <c r="I25" s="20">
        <f>SUMIFS('Harvest Detail'!$J$2:$J$1093,'Harvest Detail'!$A$2:$A$1093,$A25,'Harvest Detail'!$G$2:$G$1093,$C25,'Harvest Detail'!$I$2:$I$1093,I$3)</f>
        <v>0</v>
      </c>
      <c r="J25" s="20">
        <f>SUMIFS('Harvest Detail'!$J$2:$J$1093,'Harvest Detail'!$A$2:$A$1093,$A25,'Harvest Detail'!$G$2:$G$1093,$C25,'Harvest Detail'!$I$2:$I$1093,J$3)</f>
        <v>0</v>
      </c>
      <c r="K25" s="20">
        <f>SUMIFS('Harvest Detail'!$J$2:$J$1093,'Harvest Detail'!$A$2:$A$1093,$A25,'Harvest Detail'!$G$2:$G$1093,$C25,'Harvest Detail'!$I$2:$I$1093,K$3)</f>
        <v>8</v>
      </c>
      <c r="L25" s="20">
        <f>SUMIFS('Harvest Detail'!$J$2:$J$1093,'Harvest Detail'!$A$2:$A$1093,$A25,'Harvest Detail'!$G$2:$G$1093,$C25,'Harvest Detail'!$I$2:$I$1093,L$3)</f>
        <v>0</v>
      </c>
      <c r="M25" s="20">
        <f>SUMIFS('Harvest Detail'!$J$2:$J$1093,'Harvest Detail'!$A$2:$A$1093,$A25,'Harvest Detail'!$G$2:$G$1093,$C25,'Harvest Detail'!$I$2:$I$1093,M$3)</f>
        <v>0</v>
      </c>
      <c r="N25" s="20">
        <f>SUMIFS('Harvest Detail'!$J$2:$J$1093,'Harvest Detail'!$A$2:$A$1093,$A25,'Harvest Detail'!$G$2:$G$1093,$C25,'Harvest Detail'!$I$2:$I$1093,N$3)</f>
        <v>0</v>
      </c>
      <c r="O25" s="20">
        <f>SUMIFS('Harvest Detail'!$J$2:$J$1093,'Harvest Detail'!$A$2:$A$1093,$A25,'Harvest Detail'!$G$2:$G$1093,$C25,'Harvest Detail'!$I$2:$I$1093,O$3)</f>
        <v>0</v>
      </c>
      <c r="P25" s="20">
        <f>SUMIFS('Harvest Detail'!$J$2:$J$1093,'Harvest Detail'!$A$2:$A$1093,$A25,'Harvest Detail'!$G$2:$G$1093,$C25,'Harvest Detail'!$I$2:$I$1093,P$3)</f>
        <v>0</v>
      </c>
      <c r="Q25" s="20">
        <f>SUMIFS('Harvest Detail'!$J$2:$J$1093,'Harvest Detail'!$A$2:$A$1093,$A25,'Harvest Detail'!$G$2:$G$1093,$C25,'Harvest Detail'!$I$2:$I$1093,Q$3)</f>
        <v>0</v>
      </c>
      <c r="R25" s="20">
        <f>SUMIFS('Harvest Detail'!$J$2:$J$1093,'Harvest Detail'!$A$2:$A$1093,$A25,'Harvest Detail'!$G$2:$G$1093,$C25,'Harvest Detail'!$I$2:$I$1093,R$3)</f>
        <v>0</v>
      </c>
      <c r="S25" s="20">
        <f>SUMIFS('Harvest Detail'!$J$2:$J$1093,'Harvest Detail'!$A$2:$A$1093,$A25,'Harvest Detail'!$G$2:$G$1093,$C25,'Harvest Detail'!$I$2:$I$1093,S$3)</f>
        <v>0</v>
      </c>
      <c r="T25" s="20">
        <f>SUMIFS('Harvest Detail'!$J$2:$J$1093,'Harvest Detail'!$A$2:$A$1093,$A25,'Harvest Detail'!$G$2:$G$1093,$C25,'Harvest Detail'!$I$2:$I$1093,T$3)</f>
        <v>0</v>
      </c>
      <c r="U25" s="20">
        <f>SUMIFS('Harvest Detail'!$J$2:$J$1093,'Harvest Detail'!$A$2:$A$1093,$A25,'Harvest Detail'!$G$2:$G$1093,$C25,'Harvest Detail'!$I$2:$I$1093,U$3)</f>
        <v>0</v>
      </c>
      <c r="V25" s="20">
        <f>SUMIFS('Harvest Detail'!$J$2:$J$1093,'Harvest Detail'!$A$2:$A$1093,$A25,'Harvest Detail'!$G$2:$G$1093,$C25,'Harvest Detail'!$I$2:$I$1093,V$3)</f>
        <v>0</v>
      </c>
      <c r="W25" s="20">
        <f>SUMIFS('Harvest Detail'!$J$2:$J$1093,'Harvest Detail'!$A$2:$A$1093,$A25,'Harvest Detail'!$G$2:$G$1093,$C25,'Harvest Detail'!$I$2:$I$1093,W$3)</f>
        <v>0</v>
      </c>
      <c r="X25" s="20">
        <f>SUMIFS('Harvest Detail'!$J$2:$J$1093,'Harvest Detail'!$A$2:$A$1093,$A25,'Harvest Detail'!$G$2:$G$1093,$C25,'Harvest Detail'!$I$2:$I$1093,X$3)</f>
        <v>2</v>
      </c>
      <c r="Y25" s="22">
        <f t="shared" si="0"/>
        <v>29</v>
      </c>
    </row>
    <row r="26" spans="1:25" ht="15" customHeight="1" x14ac:dyDescent="0.75">
      <c r="A26" s="18" t="s">
        <v>71</v>
      </c>
      <c r="B26" s="19">
        <v>46069</v>
      </c>
      <c r="C26" s="18" t="s">
        <v>58</v>
      </c>
      <c r="D26" s="20">
        <f>SUMIFS('Harvest Detail'!$J$2:$J$1093,'Harvest Detail'!$A$2:$A$1093,$A26,'Harvest Detail'!$G$2:$G$1093,$C26,'Harvest Detail'!$I$2:$I$1093,D$3)</f>
        <v>174</v>
      </c>
      <c r="E26" s="20">
        <f>SUMIFS('Harvest Detail'!$J$2:$J$1093,'Harvest Detail'!$A$2:$A$1093,$A26,'Harvest Detail'!$G$2:$G$1093,$C26,'Harvest Detail'!$I$2:$I$1093,E$3)</f>
        <v>135</v>
      </c>
      <c r="F26" s="20">
        <f>SUMIFS('Harvest Detail'!$J$2:$J$1093,'Harvest Detail'!$A$2:$A$1093,$A26,'Harvest Detail'!$G$2:$G$1093,$C26,'Harvest Detail'!$I$2:$I$1093,F$3)</f>
        <v>0</v>
      </c>
      <c r="G26" s="20">
        <f>SUMIFS('Harvest Detail'!$J$2:$J$1093,'Harvest Detail'!$A$2:$A$1093,$A26,'Harvest Detail'!$G$2:$G$1093,$C26,'Harvest Detail'!$I$2:$I$1093,G$3)</f>
        <v>42</v>
      </c>
      <c r="H26" s="20">
        <f>SUMIFS('Harvest Detail'!$J$2:$J$1093,'Harvest Detail'!$A$2:$A$1093,$A26,'Harvest Detail'!$G$2:$G$1093,$C26,'Harvest Detail'!$I$2:$I$1093,H$3)</f>
        <v>0</v>
      </c>
      <c r="I26" s="20">
        <f>SUMIFS('Harvest Detail'!$J$2:$J$1093,'Harvest Detail'!$A$2:$A$1093,$A26,'Harvest Detail'!$G$2:$G$1093,$C26,'Harvest Detail'!$I$2:$I$1093,I$3)</f>
        <v>0</v>
      </c>
      <c r="J26" s="20">
        <f>SUMIFS('Harvest Detail'!$J$2:$J$1093,'Harvest Detail'!$A$2:$A$1093,$A26,'Harvest Detail'!$G$2:$G$1093,$C26,'Harvest Detail'!$I$2:$I$1093,J$3)</f>
        <v>0</v>
      </c>
      <c r="K26" s="20">
        <f>SUMIFS('Harvest Detail'!$J$2:$J$1093,'Harvest Detail'!$A$2:$A$1093,$A26,'Harvest Detail'!$G$2:$G$1093,$C26,'Harvest Detail'!$I$2:$I$1093,K$3)</f>
        <v>0</v>
      </c>
      <c r="L26" s="20">
        <f>SUMIFS('Harvest Detail'!$J$2:$J$1093,'Harvest Detail'!$A$2:$A$1093,$A26,'Harvest Detail'!$G$2:$G$1093,$C26,'Harvest Detail'!$I$2:$I$1093,L$3)</f>
        <v>0</v>
      </c>
      <c r="M26" s="20">
        <f>SUMIFS('Harvest Detail'!$J$2:$J$1093,'Harvest Detail'!$A$2:$A$1093,$A26,'Harvest Detail'!$G$2:$G$1093,$C26,'Harvest Detail'!$I$2:$I$1093,M$3)</f>
        <v>0</v>
      </c>
      <c r="N26" s="20">
        <f>SUMIFS('Harvest Detail'!$J$2:$J$1093,'Harvest Detail'!$A$2:$A$1093,$A26,'Harvest Detail'!$G$2:$G$1093,$C26,'Harvest Detail'!$I$2:$I$1093,N$3)</f>
        <v>0</v>
      </c>
      <c r="O26" s="20">
        <f>SUMIFS('Harvest Detail'!$J$2:$J$1093,'Harvest Detail'!$A$2:$A$1093,$A26,'Harvest Detail'!$G$2:$G$1093,$C26,'Harvest Detail'!$I$2:$I$1093,O$3)</f>
        <v>0</v>
      </c>
      <c r="P26" s="20">
        <f>SUMIFS('Harvest Detail'!$J$2:$J$1093,'Harvest Detail'!$A$2:$A$1093,$A26,'Harvest Detail'!$G$2:$G$1093,$C26,'Harvest Detail'!$I$2:$I$1093,P$3)</f>
        <v>0</v>
      </c>
      <c r="Q26" s="20">
        <f>SUMIFS('Harvest Detail'!$J$2:$J$1093,'Harvest Detail'!$A$2:$A$1093,$A26,'Harvest Detail'!$G$2:$G$1093,$C26,'Harvest Detail'!$I$2:$I$1093,Q$3)</f>
        <v>0</v>
      </c>
      <c r="R26" s="20">
        <f>SUMIFS('Harvest Detail'!$J$2:$J$1093,'Harvest Detail'!$A$2:$A$1093,$A26,'Harvest Detail'!$G$2:$G$1093,$C26,'Harvest Detail'!$I$2:$I$1093,R$3)</f>
        <v>0</v>
      </c>
      <c r="S26" s="20">
        <f>SUMIFS('Harvest Detail'!$J$2:$J$1093,'Harvest Detail'!$A$2:$A$1093,$A26,'Harvest Detail'!$G$2:$G$1093,$C26,'Harvest Detail'!$I$2:$I$1093,S$3)</f>
        <v>0</v>
      </c>
      <c r="T26" s="20">
        <f>SUMIFS('Harvest Detail'!$J$2:$J$1093,'Harvest Detail'!$A$2:$A$1093,$A26,'Harvest Detail'!$G$2:$G$1093,$C26,'Harvest Detail'!$I$2:$I$1093,T$3)</f>
        <v>0</v>
      </c>
      <c r="U26" s="20">
        <f>SUMIFS('Harvest Detail'!$J$2:$J$1093,'Harvest Detail'!$A$2:$A$1093,$A26,'Harvest Detail'!$G$2:$G$1093,$C26,'Harvest Detail'!$I$2:$I$1093,U$3)</f>
        <v>0</v>
      </c>
      <c r="V26" s="20">
        <f>SUMIFS('Harvest Detail'!$J$2:$J$1093,'Harvest Detail'!$A$2:$A$1093,$A26,'Harvest Detail'!$G$2:$G$1093,$C26,'Harvest Detail'!$I$2:$I$1093,V$3)</f>
        <v>1</v>
      </c>
      <c r="W26" s="20">
        <f>SUMIFS('Harvest Detail'!$J$2:$J$1093,'Harvest Detail'!$A$2:$A$1093,$A26,'Harvest Detail'!$G$2:$G$1093,$C26,'Harvest Detail'!$I$2:$I$1093,W$3)</f>
        <v>173</v>
      </c>
      <c r="X26" s="20">
        <f>SUMIFS('Harvest Detail'!$J$2:$J$1093,'Harvest Detail'!$A$2:$A$1093,$A26,'Harvest Detail'!$G$2:$G$1093,$C26,'Harvest Detail'!$I$2:$I$1093,X$3)</f>
        <v>0</v>
      </c>
      <c r="Y26" s="22">
        <f t="shared" si="0"/>
        <v>525</v>
      </c>
    </row>
    <row r="27" spans="1:25" ht="15" customHeight="1" x14ac:dyDescent="0.75">
      <c r="A27" s="18" t="s">
        <v>71</v>
      </c>
      <c r="B27" s="19">
        <v>46069</v>
      </c>
      <c r="C27" s="18" t="s">
        <v>66</v>
      </c>
      <c r="D27" s="20">
        <f>SUMIFS('Harvest Detail'!$J$2:$J$1093,'Harvest Detail'!$A$2:$A$1093,$A27,'Harvest Detail'!$G$2:$G$1093,$C27,'Harvest Detail'!$I$2:$I$1093,D$3)</f>
        <v>0</v>
      </c>
      <c r="E27" s="20">
        <f>SUMIFS('Harvest Detail'!$J$2:$J$1093,'Harvest Detail'!$A$2:$A$1093,$A27,'Harvest Detail'!$G$2:$G$1093,$C27,'Harvest Detail'!$I$2:$I$1093,E$3)</f>
        <v>50</v>
      </c>
      <c r="F27" s="20">
        <f>SUMIFS('Harvest Detail'!$J$2:$J$1093,'Harvest Detail'!$A$2:$A$1093,$A27,'Harvest Detail'!$G$2:$G$1093,$C27,'Harvest Detail'!$I$2:$I$1093,F$3)</f>
        <v>0</v>
      </c>
      <c r="G27" s="20">
        <f>SUMIFS('Harvest Detail'!$J$2:$J$1093,'Harvest Detail'!$A$2:$A$1093,$A27,'Harvest Detail'!$G$2:$G$1093,$C27,'Harvest Detail'!$I$2:$I$1093,G$3)</f>
        <v>0</v>
      </c>
      <c r="H27" s="20">
        <f>SUMIFS('Harvest Detail'!$J$2:$J$1093,'Harvest Detail'!$A$2:$A$1093,$A27,'Harvest Detail'!$G$2:$G$1093,$C27,'Harvest Detail'!$I$2:$I$1093,H$3)</f>
        <v>0</v>
      </c>
      <c r="I27" s="20">
        <f>SUMIFS('Harvest Detail'!$J$2:$J$1093,'Harvest Detail'!$A$2:$A$1093,$A27,'Harvest Detail'!$G$2:$G$1093,$C27,'Harvest Detail'!$I$2:$I$1093,I$3)</f>
        <v>0</v>
      </c>
      <c r="J27" s="20">
        <f>SUMIFS('Harvest Detail'!$J$2:$J$1093,'Harvest Detail'!$A$2:$A$1093,$A27,'Harvest Detail'!$G$2:$G$1093,$C27,'Harvest Detail'!$I$2:$I$1093,J$3)</f>
        <v>0</v>
      </c>
      <c r="K27" s="20">
        <f>SUMIFS('Harvest Detail'!$J$2:$J$1093,'Harvest Detail'!$A$2:$A$1093,$A27,'Harvest Detail'!$G$2:$G$1093,$C27,'Harvest Detail'!$I$2:$I$1093,K$3)</f>
        <v>0</v>
      </c>
      <c r="L27" s="20">
        <f>SUMIFS('Harvest Detail'!$J$2:$J$1093,'Harvest Detail'!$A$2:$A$1093,$A27,'Harvest Detail'!$G$2:$G$1093,$C27,'Harvest Detail'!$I$2:$I$1093,L$3)</f>
        <v>0</v>
      </c>
      <c r="M27" s="20">
        <f>SUMIFS('Harvest Detail'!$J$2:$J$1093,'Harvest Detail'!$A$2:$A$1093,$A27,'Harvest Detail'!$G$2:$G$1093,$C27,'Harvest Detail'!$I$2:$I$1093,M$3)</f>
        <v>6</v>
      </c>
      <c r="N27" s="20">
        <f>SUMIFS('Harvest Detail'!$J$2:$J$1093,'Harvest Detail'!$A$2:$A$1093,$A27,'Harvest Detail'!$G$2:$G$1093,$C27,'Harvest Detail'!$I$2:$I$1093,N$3)</f>
        <v>0</v>
      </c>
      <c r="O27" s="20">
        <f>SUMIFS('Harvest Detail'!$J$2:$J$1093,'Harvest Detail'!$A$2:$A$1093,$A27,'Harvest Detail'!$G$2:$G$1093,$C27,'Harvest Detail'!$I$2:$I$1093,O$3)</f>
        <v>0</v>
      </c>
      <c r="P27" s="20">
        <f>SUMIFS('Harvest Detail'!$J$2:$J$1093,'Harvest Detail'!$A$2:$A$1093,$A27,'Harvest Detail'!$G$2:$G$1093,$C27,'Harvest Detail'!$I$2:$I$1093,P$3)</f>
        <v>0</v>
      </c>
      <c r="Q27" s="20">
        <f>SUMIFS('Harvest Detail'!$J$2:$J$1093,'Harvest Detail'!$A$2:$A$1093,$A27,'Harvest Detail'!$G$2:$G$1093,$C27,'Harvest Detail'!$I$2:$I$1093,Q$3)</f>
        <v>0</v>
      </c>
      <c r="R27" s="20">
        <f>SUMIFS('Harvest Detail'!$J$2:$J$1093,'Harvest Detail'!$A$2:$A$1093,$A27,'Harvest Detail'!$G$2:$G$1093,$C27,'Harvest Detail'!$I$2:$I$1093,R$3)</f>
        <v>25</v>
      </c>
      <c r="S27" s="20">
        <f>SUMIFS('Harvest Detail'!$J$2:$J$1093,'Harvest Detail'!$A$2:$A$1093,$A27,'Harvest Detail'!$G$2:$G$1093,$C27,'Harvest Detail'!$I$2:$I$1093,S$3)</f>
        <v>0</v>
      </c>
      <c r="T27" s="20">
        <f>SUMIFS('Harvest Detail'!$J$2:$J$1093,'Harvest Detail'!$A$2:$A$1093,$A27,'Harvest Detail'!$G$2:$G$1093,$C27,'Harvest Detail'!$I$2:$I$1093,T$3)</f>
        <v>0</v>
      </c>
      <c r="U27" s="20">
        <f>SUMIFS('Harvest Detail'!$J$2:$J$1093,'Harvest Detail'!$A$2:$A$1093,$A27,'Harvest Detail'!$G$2:$G$1093,$C27,'Harvest Detail'!$I$2:$I$1093,U$3)</f>
        <v>0</v>
      </c>
      <c r="V27" s="20">
        <f>SUMIFS('Harvest Detail'!$J$2:$J$1093,'Harvest Detail'!$A$2:$A$1093,$A27,'Harvest Detail'!$G$2:$G$1093,$C27,'Harvest Detail'!$I$2:$I$1093,V$3)</f>
        <v>0</v>
      </c>
      <c r="W27" s="20">
        <f>SUMIFS('Harvest Detail'!$J$2:$J$1093,'Harvest Detail'!$A$2:$A$1093,$A27,'Harvest Detail'!$G$2:$G$1093,$C27,'Harvest Detail'!$I$2:$I$1093,W$3)</f>
        <v>0</v>
      </c>
      <c r="X27" s="20">
        <f>SUMIFS('Harvest Detail'!$J$2:$J$1093,'Harvest Detail'!$A$2:$A$1093,$A27,'Harvest Detail'!$G$2:$G$1093,$C27,'Harvest Detail'!$I$2:$I$1093,X$3)</f>
        <v>0</v>
      </c>
      <c r="Y27" s="22">
        <f t="shared" si="0"/>
        <v>81</v>
      </c>
    </row>
    <row r="28" spans="1:25" ht="15" customHeight="1" x14ac:dyDescent="0.75">
      <c r="A28" s="18" t="s">
        <v>72</v>
      </c>
      <c r="B28" s="19">
        <v>46076</v>
      </c>
      <c r="C28" s="18" t="s">
        <v>56</v>
      </c>
      <c r="D28" s="20">
        <f>SUMIFS('Harvest Detail'!$J$2:$J$1093,'Harvest Detail'!$A$2:$A$1093,$A28,'Harvest Detail'!$G$2:$G$1093,$C28,'Harvest Detail'!$I$2:$I$1093,D$3)</f>
        <v>45</v>
      </c>
      <c r="E28" s="20">
        <f>SUMIFS('Harvest Detail'!$J$2:$J$1093,'Harvest Detail'!$A$2:$A$1093,$A28,'Harvest Detail'!$G$2:$G$1093,$C28,'Harvest Detail'!$I$2:$I$1093,E$3)</f>
        <v>0</v>
      </c>
      <c r="F28" s="20">
        <f>SUMIFS('Harvest Detail'!$J$2:$J$1093,'Harvest Detail'!$A$2:$A$1093,$A28,'Harvest Detail'!$G$2:$G$1093,$C28,'Harvest Detail'!$I$2:$I$1093,F$3)</f>
        <v>20</v>
      </c>
      <c r="G28" s="20">
        <f>SUMIFS('Harvest Detail'!$J$2:$J$1093,'Harvest Detail'!$A$2:$A$1093,$A28,'Harvest Detail'!$G$2:$G$1093,$C28,'Harvest Detail'!$I$2:$I$1093,G$3)</f>
        <v>0</v>
      </c>
      <c r="H28" s="20">
        <f>SUMIFS('Harvest Detail'!$J$2:$J$1093,'Harvest Detail'!$A$2:$A$1093,$A28,'Harvest Detail'!$G$2:$G$1093,$C28,'Harvest Detail'!$I$2:$I$1093,H$3)</f>
        <v>16</v>
      </c>
      <c r="I28" s="20">
        <f>SUMIFS('Harvest Detail'!$J$2:$J$1093,'Harvest Detail'!$A$2:$A$1093,$A28,'Harvest Detail'!$G$2:$G$1093,$C28,'Harvest Detail'!$I$2:$I$1093,I$3)</f>
        <v>95</v>
      </c>
      <c r="J28" s="20">
        <f>SUMIFS('Harvest Detail'!$J$2:$J$1093,'Harvest Detail'!$A$2:$A$1093,$A28,'Harvest Detail'!$G$2:$G$1093,$C28,'Harvest Detail'!$I$2:$I$1093,J$3)</f>
        <v>0</v>
      </c>
      <c r="K28" s="20">
        <f>SUMIFS('Harvest Detail'!$J$2:$J$1093,'Harvest Detail'!$A$2:$A$1093,$A28,'Harvest Detail'!$G$2:$G$1093,$C28,'Harvest Detail'!$I$2:$I$1093,K$3)</f>
        <v>4</v>
      </c>
      <c r="L28" s="20">
        <f>SUMIFS('Harvest Detail'!$J$2:$J$1093,'Harvest Detail'!$A$2:$A$1093,$A28,'Harvest Detail'!$G$2:$G$1093,$C28,'Harvest Detail'!$I$2:$I$1093,L$3)</f>
        <v>0</v>
      </c>
      <c r="M28" s="20">
        <f>SUMIFS('Harvest Detail'!$J$2:$J$1093,'Harvest Detail'!$A$2:$A$1093,$A28,'Harvest Detail'!$G$2:$G$1093,$C28,'Harvest Detail'!$I$2:$I$1093,M$3)</f>
        <v>34</v>
      </c>
      <c r="N28" s="20">
        <f>SUMIFS('Harvest Detail'!$J$2:$J$1093,'Harvest Detail'!$A$2:$A$1093,$A28,'Harvest Detail'!$G$2:$G$1093,$C28,'Harvest Detail'!$I$2:$I$1093,N$3)</f>
        <v>46</v>
      </c>
      <c r="O28" s="20">
        <f>SUMIFS('Harvest Detail'!$J$2:$J$1093,'Harvest Detail'!$A$2:$A$1093,$A28,'Harvest Detail'!$G$2:$G$1093,$C28,'Harvest Detail'!$I$2:$I$1093,O$3)</f>
        <v>0</v>
      </c>
      <c r="P28" s="20">
        <f>SUMIFS('Harvest Detail'!$J$2:$J$1093,'Harvest Detail'!$A$2:$A$1093,$A28,'Harvest Detail'!$G$2:$G$1093,$C28,'Harvest Detail'!$I$2:$I$1093,P$3)</f>
        <v>33</v>
      </c>
      <c r="Q28" s="20">
        <f>SUMIFS('Harvest Detail'!$J$2:$J$1093,'Harvest Detail'!$A$2:$A$1093,$A28,'Harvest Detail'!$G$2:$G$1093,$C28,'Harvest Detail'!$I$2:$I$1093,Q$3)</f>
        <v>9</v>
      </c>
      <c r="R28" s="20">
        <f>SUMIFS('Harvest Detail'!$J$2:$J$1093,'Harvest Detail'!$A$2:$A$1093,$A28,'Harvest Detail'!$G$2:$G$1093,$C28,'Harvest Detail'!$I$2:$I$1093,R$3)</f>
        <v>65</v>
      </c>
      <c r="S28" s="20">
        <f>SUMIFS('Harvest Detail'!$J$2:$J$1093,'Harvest Detail'!$A$2:$A$1093,$A28,'Harvest Detail'!$G$2:$G$1093,$C28,'Harvest Detail'!$I$2:$I$1093,S$3)</f>
        <v>0</v>
      </c>
      <c r="T28" s="20">
        <f>SUMIFS('Harvest Detail'!$J$2:$J$1093,'Harvest Detail'!$A$2:$A$1093,$A28,'Harvest Detail'!$G$2:$G$1093,$C28,'Harvest Detail'!$I$2:$I$1093,T$3)</f>
        <v>5</v>
      </c>
      <c r="U28" s="20">
        <f>SUMIFS('Harvest Detail'!$J$2:$J$1093,'Harvest Detail'!$A$2:$A$1093,$A28,'Harvest Detail'!$G$2:$G$1093,$C28,'Harvest Detail'!$I$2:$I$1093,U$3)</f>
        <v>18</v>
      </c>
      <c r="V28" s="20">
        <f>SUMIFS('Harvest Detail'!$J$2:$J$1093,'Harvest Detail'!$A$2:$A$1093,$A28,'Harvest Detail'!$G$2:$G$1093,$C28,'Harvest Detail'!$I$2:$I$1093,V$3)</f>
        <v>0</v>
      </c>
      <c r="W28" s="20">
        <f>SUMIFS('Harvest Detail'!$J$2:$J$1093,'Harvest Detail'!$A$2:$A$1093,$A28,'Harvest Detail'!$G$2:$G$1093,$C28,'Harvest Detail'!$I$2:$I$1093,W$3)</f>
        <v>0</v>
      </c>
      <c r="X28" s="20">
        <f>SUMIFS('Harvest Detail'!$J$2:$J$1093,'Harvest Detail'!$A$2:$A$1093,$A28,'Harvest Detail'!$G$2:$G$1093,$C28,'Harvest Detail'!$I$2:$I$1093,X$3)</f>
        <v>8</v>
      </c>
      <c r="Y28" s="22">
        <f t="shared" si="0"/>
        <v>398</v>
      </c>
    </row>
    <row r="29" spans="1:25" ht="15" customHeight="1" x14ac:dyDescent="0.75">
      <c r="A29" s="18" t="s">
        <v>72</v>
      </c>
      <c r="B29" s="19">
        <v>46076</v>
      </c>
      <c r="C29" s="18" t="s">
        <v>58</v>
      </c>
      <c r="D29" s="20">
        <f>SUMIFS('Harvest Detail'!$J$2:$J$1093,'Harvest Detail'!$A$2:$A$1093,$A29,'Harvest Detail'!$G$2:$G$1093,$C29,'Harvest Detail'!$I$2:$I$1093,D$3)</f>
        <v>219</v>
      </c>
      <c r="E29" s="20">
        <f>SUMIFS('Harvest Detail'!$J$2:$J$1093,'Harvest Detail'!$A$2:$A$1093,$A29,'Harvest Detail'!$G$2:$G$1093,$C29,'Harvest Detail'!$I$2:$I$1093,E$3)</f>
        <v>161</v>
      </c>
      <c r="F29" s="20">
        <f>SUMIFS('Harvest Detail'!$J$2:$J$1093,'Harvest Detail'!$A$2:$A$1093,$A29,'Harvest Detail'!$G$2:$G$1093,$C29,'Harvest Detail'!$I$2:$I$1093,F$3)</f>
        <v>0</v>
      </c>
      <c r="G29" s="20">
        <f>SUMIFS('Harvest Detail'!$J$2:$J$1093,'Harvest Detail'!$A$2:$A$1093,$A29,'Harvest Detail'!$G$2:$G$1093,$C29,'Harvest Detail'!$I$2:$I$1093,G$3)</f>
        <v>47</v>
      </c>
      <c r="H29" s="20">
        <f>SUMIFS('Harvest Detail'!$J$2:$J$1093,'Harvest Detail'!$A$2:$A$1093,$A29,'Harvest Detail'!$G$2:$G$1093,$C29,'Harvest Detail'!$I$2:$I$1093,H$3)</f>
        <v>0</v>
      </c>
      <c r="I29" s="20">
        <f>SUMIFS('Harvest Detail'!$J$2:$J$1093,'Harvest Detail'!$A$2:$A$1093,$A29,'Harvest Detail'!$G$2:$G$1093,$C29,'Harvest Detail'!$I$2:$I$1093,I$3)</f>
        <v>0</v>
      </c>
      <c r="J29" s="20">
        <f>SUMIFS('Harvest Detail'!$J$2:$J$1093,'Harvest Detail'!$A$2:$A$1093,$A29,'Harvest Detail'!$G$2:$G$1093,$C29,'Harvest Detail'!$I$2:$I$1093,J$3)</f>
        <v>0</v>
      </c>
      <c r="K29" s="20">
        <f>SUMIFS('Harvest Detail'!$J$2:$J$1093,'Harvest Detail'!$A$2:$A$1093,$A29,'Harvest Detail'!$G$2:$G$1093,$C29,'Harvest Detail'!$I$2:$I$1093,K$3)</f>
        <v>0</v>
      </c>
      <c r="L29" s="20">
        <f>SUMIFS('Harvest Detail'!$J$2:$J$1093,'Harvest Detail'!$A$2:$A$1093,$A29,'Harvest Detail'!$G$2:$G$1093,$C29,'Harvest Detail'!$I$2:$I$1093,L$3)</f>
        <v>0</v>
      </c>
      <c r="M29" s="20">
        <f>SUMIFS('Harvest Detail'!$J$2:$J$1093,'Harvest Detail'!$A$2:$A$1093,$A29,'Harvest Detail'!$G$2:$G$1093,$C29,'Harvest Detail'!$I$2:$I$1093,M$3)</f>
        <v>0</v>
      </c>
      <c r="N29" s="20">
        <f>SUMIFS('Harvest Detail'!$J$2:$J$1093,'Harvest Detail'!$A$2:$A$1093,$A29,'Harvest Detail'!$G$2:$G$1093,$C29,'Harvest Detail'!$I$2:$I$1093,N$3)</f>
        <v>0</v>
      </c>
      <c r="O29" s="20">
        <f>SUMIFS('Harvest Detail'!$J$2:$J$1093,'Harvest Detail'!$A$2:$A$1093,$A29,'Harvest Detail'!$G$2:$G$1093,$C29,'Harvest Detail'!$I$2:$I$1093,O$3)</f>
        <v>0</v>
      </c>
      <c r="P29" s="20">
        <f>SUMIFS('Harvest Detail'!$J$2:$J$1093,'Harvest Detail'!$A$2:$A$1093,$A29,'Harvest Detail'!$G$2:$G$1093,$C29,'Harvest Detail'!$I$2:$I$1093,P$3)</f>
        <v>0</v>
      </c>
      <c r="Q29" s="20">
        <f>SUMIFS('Harvest Detail'!$J$2:$J$1093,'Harvest Detail'!$A$2:$A$1093,$A29,'Harvest Detail'!$G$2:$G$1093,$C29,'Harvest Detail'!$I$2:$I$1093,Q$3)</f>
        <v>0</v>
      </c>
      <c r="R29" s="20">
        <f>SUMIFS('Harvest Detail'!$J$2:$J$1093,'Harvest Detail'!$A$2:$A$1093,$A29,'Harvest Detail'!$G$2:$G$1093,$C29,'Harvest Detail'!$I$2:$I$1093,R$3)</f>
        <v>95</v>
      </c>
      <c r="S29" s="20">
        <f>SUMIFS('Harvest Detail'!$J$2:$J$1093,'Harvest Detail'!$A$2:$A$1093,$A29,'Harvest Detail'!$G$2:$G$1093,$C29,'Harvest Detail'!$I$2:$I$1093,S$3)</f>
        <v>40</v>
      </c>
      <c r="T29" s="20">
        <f>SUMIFS('Harvest Detail'!$J$2:$J$1093,'Harvest Detail'!$A$2:$A$1093,$A29,'Harvest Detail'!$G$2:$G$1093,$C29,'Harvest Detail'!$I$2:$I$1093,T$3)</f>
        <v>0</v>
      </c>
      <c r="U29" s="20">
        <f>SUMIFS('Harvest Detail'!$J$2:$J$1093,'Harvest Detail'!$A$2:$A$1093,$A29,'Harvest Detail'!$G$2:$G$1093,$C29,'Harvest Detail'!$I$2:$I$1093,U$3)</f>
        <v>0</v>
      </c>
      <c r="V29" s="20">
        <f>SUMIFS('Harvest Detail'!$J$2:$J$1093,'Harvest Detail'!$A$2:$A$1093,$A29,'Harvest Detail'!$G$2:$G$1093,$C29,'Harvest Detail'!$I$2:$I$1093,V$3)</f>
        <v>0</v>
      </c>
      <c r="W29" s="20">
        <f>SUMIFS('Harvest Detail'!$J$2:$J$1093,'Harvest Detail'!$A$2:$A$1093,$A29,'Harvest Detail'!$G$2:$G$1093,$C29,'Harvest Detail'!$I$2:$I$1093,W$3)</f>
        <v>240</v>
      </c>
      <c r="X29" s="20">
        <f>SUMIFS('Harvest Detail'!$J$2:$J$1093,'Harvest Detail'!$A$2:$A$1093,$A29,'Harvest Detail'!$G$2:$G$1093,$C29,'Harvest Detail'!$I$2:$I$1093,X$3)</f>
        <v>0</v>
      </c>
      <c r="Y29" s="22">
        <f t="shared" si="0"/>
        <v>802</v>
      </c>
    </row>
    <row r="30" spans="1:25" ht="15" customHeight="1" x14ac:dyDescent="0.75">
      <c r="A30" s="18" t="s">
        <v>72</v>
      </c>
      <c r="B30" s="19">
        <v>46076</v>
      </c>
      <c r="C30" s="18" t="s">
        <v>66</v>
      </c>
      <c r="D30" s="20">
        <f>SUMIFS('Harvest Detail'!$J$2:$J$1093,'Harvest Detail'!$A$2:$A$1093,$A30,'Harvest Detail'!$G$2:$G$1093,$C30,'Harvest Detail'!$I$2:$I$1093,D$3)</f>
        <v>45</v>
      </c>
      <c r="E30" s="20">
        <f>SUMIFS('Harvest Detail'!$J$2:$J$1093,'Harvest Detail'!$A$2:$A$1093,$A30,'Harvest Detail'!$G$2:$G$1093,$C30,'Harvest Detail'!$I$2:$I$1093,E$3)</f>
        <v>10</v>
      </c>
      <c r="F30" s="20">
        <f>SUMIFS('Harvest Detail'!$J$2:$J$1093,'Harvest Detail'!$A$2:$A$1093,$A30,'Harvest Detail'!$G$2:$G$1093,$C30,'Harvest Detail'!$I$2:$I$1093,F$3)</f>
        <v>44</v>
      </c>
      <c r="G30" s="20">
        <f>SUMIFS('Harvest Detail'!$J$2:$J$1093,'Harvest Detail'!$A$2:$A$1093,$A30,'Harvest Detail'!$G$2:$G$1093,$C30,'Harvest Detail'!$I$2:$I$1093,G$3)</f>
        <v>0</v>
      </c>
      <c r="H30" s="20">
        <f>SUMIFS('Harvest Detail'!$J$2:$J$1093,'Harvest Detail'!$A$2:$A$1093,$A30,'Harvest Detail'!$G$2:$G$1093,$C30,'Harvest Detail'!$I$2:$I$1093,H$3)</f>
        <v>0</v>
      </c>
      <c r="I30" s="20">
        <f>SUMIFS('Harvest Detail'!$J$2:$J$1093,'Harvest Detail'!$A$2:$A$1093,$A30,'Harvest Detail'!$G$2:$G$1093,$C30,'Harvest Detail'!$I$2:$I$1093,I$3)</f>
        <v>0</v>
      </c>
      <c r="J30" s="20">
        <f>SUMIFS('Harvest Detail'!$J$2:$J$1093,'Harvest Detail'!$A$2:$A$1093,$A30,'Harvest Detail'!$G$2:$G$1093,$C30,'Harvest Detail'!$I$2:$I$1093,J$3)</f>
        <v>0</v>
      </c>
      <c r="K30" s="20">
        <f>SUMIFS('Harvest Detail'!$J$2:$J$1093,'Harvest Detail'!$A$2:$A$1093,$A30,'Harvest Detail'!$G$2:$G$1093,$C30,'Harvest Detail'!$I$2:$I$1093,K$3)</f>
        <v>0</v>
      </c>
      <c r="L30" s="20">
        <f>SUMIFS('Harvest Detail'!$J$2:$J$1093,'Harvest Detail'!$A$2:$A$1093,$A30,'Harvest Detail'!$G$2:$G$1093,$C30,'Harvest Detail'!$I$2:$I$1093,L$3)</f>
        <v>0</v>
      </c>
      <c r="M30" s="20">
        <f>SUMIFS('Harvest Detail'!$J$2:$J$1093,'Harvest Detail'!$A$2:$A$1093,$A30,'Harvest Detail'!$G$2:$G$1093,$C30,'Harvest Detail'!$I$2:$I$1093,M$3)</f>
        <v>34</v>
      </c>
      <c r="N30" s="20">
        <f>SUMIFS('Harvest Detail'!$J$2:$J$1093,'Harvest Detail'!$A$2:$A$1093,$A30,'Harvest Detail'!$G$2:$G$1093,$C30,'Harvest Detail'!$I$2:$I$1093,N$3)</f>
        <v>20</v>
      </c>
      <c r="O30" s="20">
        <f>SUMIFS('Harvest Detail'!$J$2:$J$1093,'Harvest Detail'!$A$2:$A$1093,$A30,'Harvest Detail'!$G$2:$G$1093,$C30,'Harvest Detail'!$I$2:$I$1093,O$3)</f>
        <v>0</v>
      </c>
      <c r="P30" s="20">
        <f>SUMIFS('Harvest Detail'!$J$2:$J$1093,'Harvest Detail'!$A$2:$A$1093,$A30,'Harvest Detail'!$G$2:$G$1093,$C30,'Harvest Detail'!$I$2:$I$1093,P$3)</f>
        <v>33</v>
      </c>
      <c r="Q30" s="20">
        <f>SUMIFS('Harvest Detail'!$J$2:$J$1093,'Harvest Detail'!$A$2:$A$1093,$A30,'Harvest Detail'!$G$2:$G$1093,$C30,'Harvest Detail'!$I$2:$I$1093,Q$3)</f>
        <v>0</v>
      </c>
      <c r="R30" s="20">
        <f>SUMIFS('Harvest Detail'!$J$2:$J$1093,'Harvest Detail'!$A$2:$A$1093,$A30,'Harvest Detail'!$G$2:$G$1093,$C30,'Harvest Detail'!$I$2:$I$1093,R$3)</f>
        <v>40</v>
      </c>
      <c r="S30" s="20">
        <f>SUMIFS('Harvest Detail'!$J$2:$J$1093,'Harvest Detail'!$A$2:$A$1093,$A30,'Harvest Detail'!$G$2:$G$1093,$C30,'Harvest Detail'!$I$2:$I$1093,S$3)</f>
        <v>10</v>
      </c>
      <c r="T30" s="20">
        <f>SUMIFS('Harvest Detail'!$J$2:$J$1093,'Harvest Detail'!$A$2:$A$1093,$A30,'Harvest Detail'!$G$2:$G$1093,$C30,'Harvest Detail'!$I$2:$I$1093,T$3)</f>
        <v>15</v>
      </c>
      <c r="U30" s="20">
        <f>SUMIFS('Harvest Detail'!$J$2:$J$1093,'Harvest Detail'!$A$2:$A$1093,$A30,'Harvest Detail'!$G$2:$G$1093,$C30,'Harvest Detail'!$I$2:$I$1093,U$3)</f>
        <v>8</v>
      </c>
      <c r="V30" s="20">
        <f>SUMIFS('Harvest Detail'!$J$2:$J$1093,'Harvest Detail'!$A$2:$A$1093,$A30,'Harvest Detail'!$G$2:$G$1093,$C30,'Harvest Detail'!$I$2:$I$1093,V$3)</f>
        <v>0</v>
      </c>
      <c r="W30" s="20">
        <f>SUMIFS('Harvest Detail'!$J$2:$J$1093,'Harvest Detail'!$A$2:$A$1093,$A30,'Harvest Detail'!$G$2:$G$1093,$C30,'Harvest Detail'!$I$2:$I$1093,W$3)</f>
        <v>0</v>
      </c>
      <c r="X30" s="20">
        <f>SUMIFS('Harvest Detail'!$J$2:$J$1093,'Harvest Detail'!$A$2:$A$1093,$A30,'Harvest Detail'!$G$2:$G$1093,$C30,'Harvest Detail'!$I$2:$I$1093,X$3)</f>
        <v>0</v>
      </c>
      <c r="Y30" s="22">
        <f t="shared" si="0"/>
        <v>259</v>
      </c>
    </row>
    <row r="31" spans="1:25" ht="15" customHeight="1" x14ac:dyDescent="0.75">
      <c r="A31" s="18" t="s">
        <v>73</v>
      </c>
      <c r="B31" s="19">
        <v>46083</v>
      </c>
      <c r="C31" s="18" t="s">
        <v>56</v>
      </c>
      <c r="D31" s="20">
        <f>SUMIFS('Harvest Detail'!$J$2:$J$1093,'Harvest Detail'!$A$2:$A$1093,$A31,'Harvest Detail'!$G$2:$G$1093,$C31,'Harvest Detail'!$I$2:$I$1093,D$3)</f>
        <v>0</v>
      </c>
      <c r="E31" s="20">
        <f>SUMIFS('Harvest Detail'!$J$2:$J$1093,'Harvest Detail'!$A$2:$A$1093,$A31,'Harvest Detail'!$G$2:$G$1093,$C31,'Harvest Detail'!$I$2:$I$1093,E$3)</f>
        <v>0</v>
      </c>
      <c r="F31" s="20">
        <f>SUMIFS('Harvest Detail'!$J$2:$J$1093,'Harvest Detail'!$A$2:$A$1093,$A31,'Harvest Detail'!$G$2:$G$1093,$C31,'Harvest Detail'!$I$2:$I$1093,F$3)</f>
        <v>0</v>
      </c>
      <c r="G31" s="20">
        <f>SUMIFS('Harvest Detail'!$J$2:$J$1093,'Harvest Detail'!$A$2:$A$1093,$A31,'Harvest Detail'!$G$2:$G$1093,$C31,'Harvest Detail'!$I$2:$I$1093,G$3)</f>
        <v>0</v>
      </c>
      <c r="H31" s="20">
        <f>SUMIFS('Harvest Detail'!$J$2:$J$1093,'Harvest Detail'!$A$2:$A$1093,$A31,'Harvest Detail'!$G$2:$G$1093,$C31,'Harvest Detail'!$I$2:$I$1093,H$3)</f>
        <v>27</v>
      </c>
      <c r="I31" s="20">
        <f>SUMIFS('Harvest Detail'!$J$2:$J$1093,'Harvest Detail'!$A$2:$A$1093,$A31,'Harvest Detail'!$G$2:$G$1093,$C31,'Harvest Detail'!$I$2:$I$1093,I$3)</f>
        <v>9</v>
      </c>
      <c r="J31" s="20">
        <f>SUMIFS('Harvest Detail'!$J$2:$J$1093,'Harvest Detail'!$A$2:$A$1093,$A31,'Harvest Detail'!$G$2:$G$1093,$C31,'Harvest Detail'!$I$2:$I$1093,J$3)</f>
        <v>0</v>
      </c>
      <c r="K31" s="20">
        <f>SUMIFS('Harvest Detail'!$J$2:$J$1093,'Harvest Detail'!$A$2:$A$1093,$A31,'Harvest Detail'!$G$2:$G$1093,$C31,'Harvest Detail'!$I$2:$I$1093,K$3)</f>
        <v>4</v>
      </c>
      <c r="L31" s="20">
        <f>SUMIFS('Harvest Detail'!$J$2:$J$1093,'Harvest Detail'!$A$2:$A$1093,$A31,'Harvest Detail'!$G$2:$G$1093,$C31,'Harvest Detail'!$I$2:$I$1093,L$3)</f>
        <v>0</v>
      </c>
      <c r="M31" s="20">
        <f>SUMIFS('Harvest Detail'!$J$2:$J$1093,'Harvest Detail'!$A$2:$A$1093,$A31,'Harvest Detail'!$G$2:$G$1093,$C31,'Harvest Detail'!$I$2:$I$1093,M$3)</f>
        <v>0</v>
      </c>
      <c r="N31" s="20">
        <f>SUMIFS('Harvest Detail'!$J$2:$J$1093,'Harvest Detail'!$A$2:$A$1093,$A31,'Harvest Detail'!$G$2:$G$1093,$C31,'Harvest Detail'!$I$2:$I$1093,N$3)</f>
        <v>0</v>
      </c>
      <c r="O31" s="20">
        <f>SUMIFS('Harvest Detail'!$J$2:$J$1093,'Harvest Detail'!$A$2:$A$1093,$A31,'Harvest Detail'!$G$2:$G$1093,$C31,'Harvest Detail'!$I$2:$I$1093,O$3)</f>
        <v>0</v>
      </c>
      <c r="P31" s="20">
        <f>SUMIFS('Harvest Detail'!$J$2:$J$1093,'Harvest Detail'!$A$2:$A$1093,$A31,'Harvest Detail'!$G$2:$G$1093,$C31,'Harvest Detail'!$I$2:$I$1093,P$3)</f>
        <v>0</v>
      </c>
      <c r="Q31" s="20">
        <f>SUMIFS('Harvest Detail'!$J$2:$J$1093,'Harvest Detail'!$A$2:$A$1093,$A31,'Harvest Detail'!$G$2:$G$1093,$C31,'Harvest Detail'!$I$2:$I$1093,Q$3)</f>
        <v>45</v>
      </c>
      <c r="R31" s="20">
        <f>SUMIFS('Harvest Detail'!$J$2:$J$1093,'Harvest Detail'!$A$2:$A$1093,$A31,'Harvest Detail'!$G$2:$G$1093,$C31,'Harvest Detail'!$I$2:$I$1093,R$3)</f>
        <v>0</v>
      </c>
      <c r="S31" s="20">
        <f>SUMIFS('Harvest Detail'!$J$2:$J$1093,'Harvest Detail'!$A$2:$A$1093,$A31,'Harvest Detail'!$G$2:$G$1093,$C31,'Harvest Detail'!$I$2:$I$1093,S$3)</f>
        <v>0</v>
      </c>
      <c r="T31" s="20">
        <f>SUMIFS('Harvest Detail'!$J$2:$J$1093,'Harvest Detail'!$A$2:$A$1093,$A31,'Harvest Detail'!$G$2:$G$1093,$C31,'Harvest Detail'!$I$2:$I$1093,T$3)</f>
        <v>0</v>
      </c>
      <c r="U31" s="20">
        <f>SUMIFS('Harvest Detail'!$J$2:$J$1093,'Harvest Detail'!$A$2:$A$1093,$A31,'Harvest Detail'!$G$2:$G$1093,$C31,'Harvest Detail'!$I$2:$I$1093,U$3)</f>
        <v>0</v>
      </c>
      <c r="V31" s="20">
        <f>SUMIFS('Harvest Detail'!$J$2:$J$1093,'Harvest Detail'!$A$2:$A$1093,$A31,'Harvest Detail'!$G$2:$G$1093,$C31,'Harvest Detail'!$I$2:$I$1093,V$3)</f>
        <v>0</v>
      </c>
      <c r="W31" s="20">
        <f>SUMIFS('Harvest Detail'!$J$2:$J$1093,'Harvest Detail'!$A$2:$A$1093,$A31,'Harvest Detail'!$G$2:$G$1093,$C31,'Harvest Detail'!$I$2:$I$1093,W$3)</f>
        <v>0</v>
      </c>
      <c r="X31" s="20">
        <f>SUMIFS('Harvest Detail'!$J$2:$J$1093,'Harvest Detail'!$A$2:$A$1093,$A31,'Harvest Detail'!$G$2:$G$1093,$C31,'Harvest Detail'!$I$2:$I$1093,X$3)</f>
        <v>2</v>
      </c>
      <c r="Y31" s="22">
        <f t="shared" si="0"/>
        <v>87</v>
      </c>
    </row>
    <row r="32" spans="1:25" ht="15" customHeight="1" x14ac:dyDescent="0.75">
      <c r="A32" s="18" t="s">
        <v>73</v>
      </c>
      <c r="B32" s="19">
        <v>46083</v>
      </c>
      <c r="C32" s="18" t="s">
        <v>58</v>
      </c>
      <c r="D32" s="20">
        <f>SUMIFS('Harvest Detail'!$J$2:$J$1093,'Harvest Detail'!$A$2:$A$1093,$A32,'Harvest Detail'!$G$2:$G$1093,$C32,'Harvest Detail'!$I$2:$I$1093,D$3)</f>
        <v>201</v>
      </c>
      <c r="E32" s="20">
        <f>SUMIFS('Harvest Detail'!$J$2:$J$1093,'Harvest Detail'!$A$2:$A$1093,$A32,'Harvest Detail'!$G$2:$G$1093,$C32,'Harvest Detail'!$I$2:$I$1093,E$3)</f>
        <v>149</v>
      </c>
      <c r="F32" s="20">
        <f>SUMIFS('Harvest Detail'!$J$2:$J$1093,'Harvest Detail'!$A$2:$A$1093,$A32,'Harvest Detail'!$G$2:$G$1093,$C32,'Harvest Detail'!$I$2:$I$1093,F$3)</f>
        <v>0</v>
      </c>
      <c r="G32" s="20">
        <f>SUMIFS('Harvest Detail'!$J$2:$J$1093,'Harvest Detail'!$A$2:$A$1093,$A32,'Harvest Detail'!$G$2:$G$1093,$C32,'Harvest Detail'!$I$2:$I$1093,G$3)</f>
        <v>153</v>
      </c>
      <c r="H32" s="20">
        <f>SUMIFS('Harvest Detail'!$J$2:$J$1093,'Harvest Detail'!$A$2:$A$1093,$A32,'Harvest Detail'!$G$2:$G$1093,$C32,'Harvest Detail'!$I$2:$I$1093,H$3)</f>
        <v>0</v>
      </c>
      <c r="I32" s="20">
        <f>SUMIFS('Harvest Detail'!$J$2:$J$1093,'Harvest Detail'!$A$2:$A$1093,$A32,'Harvest Detail'!$G$2:$G$1093,$C32,'Harvest Detail'!$I$2:$I$1093,I$3)</f>
        <v>0</v>
      </c>
      <c r="J32" s="20">
        <f>SUMIFS('Harvest Detail'!$J$2:$J$1093,'Harvest Detail'!$A$2:$A$1093,$A32,'Harvest Detail'!$G$2:$G$1093,$C32,'Harvest Detail'!$I$2:$I$1093,J$3)</f>
        <v>0</v>
      </c>
      <c r="K32" s="20">
        <f>SUMIFS('Harvest Detail'!$J$2:$J$1093,'Harvest Detail'!$A$2:$A$1093,$A32,'Harvest Detail'!$G$2:$G$1093,$C32,'Harvest Detail'!$I$2:$I$1093,K$3)</f>
        <v>0</v>
      </c>
      <c r="L32" s="20">
        <f>SUMIFS('Harvest Detail'!$J$2:$J$1093,'Harvest Detail'!$A$2:$A$1093,$A32,'Harvest Detail'!$G$2:$G$1093,$C32,'Harvest Detail'!$I$2:$I$1093,L$3)</f>
        <v>0</v>
      </c>
      <c r="M32" s="20">
        <f>SUMIFS('Harvest Detail'!$J$2:$J$1093,'Harvest Detail'!$A$2:$A$1093,$A32,'Harvest Detail'!$G$2:$G$1093,$C32,'Harvest Detail'!$I$2:$I$1093,M$3)</f>
        <v>0</v>
      </c>
      <c r="N32" s="20">
        <f>SUMIFS('Harvest Detail'!$J$2:$J$1093,'Harvest Detail'!$A$2:$A$1093,$A32,'Harvest Detail'!$G$2:$G$1093,$C32,'Harvest Detail'!$I$2:$I$1093,N$3)</f>
        <v>0</v>
      </c>
      <c r="O32" s="20">
        <f>SUMIFS('Harvest Detail'!$J$2:$J$1093,'Harvest Detail'!$A$2:$A$1093,$A32,'Harvest Detail'!$G$2:$G$1093,$C32,'Harvest Detail'!$I$2:$I$1093,O$3)</f>
        <v>0</v>
      </c>
      <c r="P32" s="20">
        <f>SUMIFS('Harvest Detail'!$J$2:$J$1093,'Harvest Detail'!$A$2:$A$1093,$A32,'Harvest Detail'!$G$2:$G$1093,$C32,'Harvest Detail'!$I$2:$I$1093,P$3)</f>
        <v>0</v>
      </c>
      <c r="Q32" s="20">
        <f>SUMIFS('Harvest Detail'!$J$2:$J$1093,'Harvest Detail'!$A$2:$A$1093,$A32,'Harvest Detail'!$G$2:$G$1093,$C32,'Harvest Detail'!$I$2:$I$1093,Q$3)</f>
        <v>0</v>
      </c>
      <c r="R32" s="20">
        <f>SUMIFS('Harvest Detail'!$J$2:$J$1093,'Harvest Detail'!$A$2:$A$1093,$A32,'Harvest Detail'!$G$2:$G$1093,$C32,'Harvest Detail'!$I$2:$I$1093,R$3)</f>
        <v>0</v>
      </c>
      <c r="S32" s="20">
        <f>SUMIFS('Harvest Detail'!$J$2:$J$1093,'Harvest Detail'!$A$2:$A$1093,$A32,'Harvest Detail'!$G$2:$G$1093,$C32,'Harvest Detail'!$I$2:$I$1093,S$3)</f>
        <v>0</v>
      </c>
      <c r="T32" s="20">
        <f>SUMIFS('Harvest Detail'!$J$2:$J$1093,'Harvest Detail'!$A$2:$A$1093,$A32,'Harvest Detail'!$G$2:$G$1093,$C32,'Harvest Detail'!$I$2:$I$1093,T$3)</f>
        <v>0</v>
      </c>
      <c r="U32" s="20">
        <f>SUMIFS('Harvest Detail'!$J$2:$J$1093,'Harvest Detail'!$A$2:$A$1093,$A32,'Harvest Detail'!$G$2:$G$1093,$C32,'Harvest Detail'!$I$2:$I$1093,U$3)</f>
        <v>0</v>
      </c>
      <c r="V32" s="20">
        <f>SUMIFS('Harvest Detail'!$J$2:$J$1093,'Harvest Detail'!$A$2:$A$1093,$A32,'Harvest Detail'!$G$2:$G$1093,$C32,'Harvest Detail'!$I$2:$I$1093,V$3)</f>
        <v>0</v>
      </c>
      <c r="W32" s="20">
        <f>SUMIFS('Harvest Detail'!$J$2:$J$1093,'Harvest Detail'!$A$2:$A$1093,$A32,'Harvest Detail'!$G$2:$G$1093,$C32,'Harvest Detail'!$I$2:$I$1093,W$3)</f>
        <v>195</v>
      </c>
      <c r="X32" s="20">
        <f>SUMIFS('Harvest Detail'!$J$2:$J$1093,'Harvest Detail'!$A$2:$A$1093,$A32,'Harvest Detail'!$G$2:$G$1093,$C32,'Harvest Detail'!$I$2:$I$1093,X$3)</f>
        <v>0</v>
      </c>
      <c r="Y32" s="22">
        <f t="shared" si="0"/>
        <v>698</v>
      </c>
    </row>
    <row r="33" spans="1:25" ht="15" customHeight="1" x14ac:dyDescent="0.75">
      <c r="A33" s="18" t="s">
        <v>73</v>
      </c>
      <c r="B33" s="19">
        <v>46083</v>
      </c>
      <c r="C33" s="18" t="s">
        <v>66</v>
      </c>
      <c r="D33" s="20">
        <f>SUMIFS('Harvest Detail'!$J$2:$J$1093,'Harvest Detail'!$A$2:$A$1093,$A33,'Harvest Detail'!$G$2:$G$1093,$C33,'Harvest Detail'!$I$2:$I$1093,D$3)</f>
        <v>0</v>
      </c>
      <c r="E33" s="20">
        <f>SUMIFS('Harvest Detail'!$J$2:$J$1093,'Harvest Detail'!$A$2:$A$1093,$A33,'Harvest Detail'!$G$2:$G$1093,$C33,'Harvest Detail'!$I$2:$I$1093,E$3)</f>
        <v>40</v>
      </c>
      <c r="F33" s="20">
        <f>SUMIFS('Harvest Detail'!$J$2:$J$1093,'Harvest Detail'!$A$2:$A$1093,$A33,'Harvest Detail'!$G$2:$G$1093,$C33,'Harvest Detail'!$I$2:$I$1093,F$3)</f>
        <v>0</v>
      </c>
      <c r="G33" s="20">
        <f>SUMIFS('Harvest Detail'!$J$2:$J$1093,'Harvest Detail'!$A$2:$A$1093,$A33,'Harvest Detail'!$G$2:$G$1093,$C33,'Harvest Detail'!$I$2:$I$1093,G$3)</f>
        <v>0</v>
      </c>
      <c r="H33" s="20">
        <f>SUMIFS('Harvest Detail'!$J$2:$J$1093,'Harvest Detail'!$A$2:$A$1093,$A33,'Harvest Detail'!$G$2:$G$1093,$C33,'Harvest Detail'!$I$2:$I$1093,H$3)</f>
        <v>0</v>
      </c>
      <c r="I33" s="20">
        <f>SUMIFS('Harvest Detail'!$J$2:$J$1093,'Harvest Detail'!$A$2:$A$1093,$A33,'Harvest Detail'!$G$2:$G$1093,$C33,'Harvest Detail'!$I$2:$I$1093,I$3)</f>
        <v>0</v>
      </c>
      <c r="J33" s="20">
        <f>SUMIFS('Harvest Detail'!$J$2:$J$1093,'Harvest Detail'!$A$2:$A$1093,$A33,'Harvest Detail'!$G$2:$G$1093,$C33,'Harvest Detail'!$I$2:$I$1093,J$3)</f>
        <v>0</v>
      </c>
      <c r="K33" s="20">
        <f>SUMIFS('Harvest Detail'!$J$2:$J$1093,'Harvest Detail'!$A$2:$A$1093,$A33,'Harvest Detail'!$G$2:$G$1093,$C33,'Harvest Detail'!$I$2:$I$1093,K$3)</f>
        <v>0</v>
      </c>
      <c r="L33" s="20">
        <f>SUMIFS('Harvest Detail'!$J$2:$J$1093,'Harvest Detail'!$A$2:$A$1093,$A33,'Harvest Detail'!$G$2:$G$1093,$C33,'Harvest Detail'!$I$2:$I$1093,L$3)</f>
        <v>0</v>
      </c>
      <c r="M33" s="20">
        <f>SUMIFS('Harvest Detail'!$J$2:$J$1093,'Harvest Detail'!$A$2:$A$1093,$A33,'Harvest Detail'!$G$2:$G$1093,$C33,'Harvest Detail'!$I$2:$I$1093,M$3)</f>
        <v>0</v>
      </c>
      <c r="N33" s="20">
        <f>SUMIFS('Harvest Detail'!$J$2:$J$1093,'Harvest Detail'!$A$2:$A$1093,$A33,'Harvest Detail'!$G$2:$G$1093,$C33,'Harvest Detail'!$I$2:$I$1093,N$3)</f>
        <v>0</v>
      </c>
      <c r="O33" s="20">
        <f>SUMIFS('Harvest Detail'!$J$2:$J$1093,'Harvest Detail'!$A$2:$A$1093,$A33,'Harvest Detail'!$G$2:$G$1093,$C33,'Harvest Detail'!$I$2:$I$1093,O$3)</f>
        <v>0</v>
      </c>
      <c r="P33" s="20">
        <f>SUMIFS('Harvest Detail'!$J$2:$J$1093,'Harvest Detail'!$A$2:$A$1093,$A33,'Harvest Detail'!$G$2:$G$1093,$C33,'Harvest Detail'!$I$2:$I$1093,P$3)</f>
        <v>0</v>
      </c>
      <c r="Q33" s="20">
        <f>SUMIFS('Harvest Detail'!$J$2:$J$1093,'Harvest Detail'!$A$2:$A$1093,$A33,'Harvest Detail'!$G$2:$G$1093,$C33,'Harvest Detail'!$I$2:$I$1093,Q$3)</f>
        <v>0</v>
      </c>
      <c r="R33" s="20">
        <f>SUMIFS('Harvest Detail'!$J$2:$J$1093,'Harvest Detail'!$A$2:$A$1093,$A33,'Harvest Detail'!$G$2:$G$1093,$C33,'Harvest Detail'!$I$2:$I$1093,R$3)</f>
        <v>0</v>
      </c>
      <c r="S33" s="20">
        <f>SUMIFS('Harvest Detail'!$J$2:$J$1093,'Harvest Detail'!$A$2:$A$1093,$A33,'Harvest Detail'!$G$2:$G$1093,$C33,'Harvest Detail'!$I$2:$I$1093,S$3)</f>
        <v>0</v>
      </c>
      <c r="T33" s="20">
        <f>SUMIFS('Harvest Detail'!$J$2:$J$1093,'Harvest Detail'!$A$2:$A$1093,$A33,'Harvest Detail'!$G$2:$G$1093,$C33,'Harvest Detail'!$I$2:$I$1093,T$3)</f>
        <v>0</v>
      </c>
      <c r="U33" s="20">
        <f>SUMIFS('Harvest Detail'!$J$2:$J$1093,'Harvest Detail'!$A$2:$A$1093,$A33,'Harvest Detail'!$G$2:$G$1093,$C33,'Harvest Detail'!$I$2:$I$1093,U$3)</f>
        <v>0</v>
      </c>
      <c r="V33" s="20">
        <f>SUMIFS('Harvest Detail'!$J$2:$J$1093,'Harvest Detail'!$A$2:$A$1093,$A33,'Harvest Detail'!$G$2:$G$1093,$C33,'Harvest Detail'!$I$2:$I$1093,V$3)</f>
        <v>0</v>
      </c>
      <c r="W33" s="20">
        <f>SUMIFS('Harvest Detail'!$J$2:$J$1093,'Harvest Detail'!$A$2:$A$1093,$A33,'Harvest Detail'!$G$2:$G$1093,$C33,'Harvest Detail'!$I$2:$I$1093,W$3)</f>
        <v>0</v>
      </c>
      <c r="X33" s="20">
        <f>SUMIFS('Harvest Detail'!$J$2:$J$1093,'Harvest Detail'!$A$2:$A$1093,$A33,'Harvest Detail'!$G$2:$G$1093,$C33,'Harvest Detail'!$I$2:$I$1093,X$3)</f>
        <v>0</v>
      </c>
      <c r="Y33" s="22">
        <f t="shared" si="0"/>
        <v>40</v>
      </c>
    </row>
    <row r="34" spans="1:25" ht="15" customHeight="1" x14ac:dyDescent="0.75">
      <c r="A34" s="18" t="s">
        <v>74</v>
      </c>
      <c r="B34" s="19">
        <v>46090</v>
      </c>
      <c r="C34" s="18" t="s">
        <v>56</v>
      </c>
      <c r="D34" s="20">
        <f>SUMIFS('Harvest Detail'!$J$2:$J$1093,'Harvest Detail'!$A$2:$A$1093,$A34,'Harvest Detail'!$G$2:$G$1093,$C34,'Harvest Detail'!$I$2:$I$1093,D$3)</f>
        <v>33</v>
      </c>
      <c r="E34" s="20">
        <f>SUMIFS('Harvest Detail'!$J$2:$J$1093,'Harvest Detail'!$A$2:$A$1093,$A34,'Harvest Detail'!$G$2:$G$1093,$C34,'Harvest Detail'!$I$2:$I$1093,E$3)</f>
        <v>0</v>
      </c>
      <c r="F34" s="20">
        <f>SUMIFS('Harvest Detail'!$J$2:$J$1093,'Harvest Detail'!$A$2:$A$1093,$A34,'Harvest Detail'!$G$2:$G$1093,$C34,'Harvest Detail'!$I$2:$I$1093,F$3)</f>
        <v>20</v>
      </c>
      <c r="G34" s="20">
        <f>SUMIFS('Harvest Detail'!$J$2:$J$1093,'Harvest Detail'!$A$2:$A$1093,$A34,'Harvest Detail'!$G$2:$G$1093,$C34,'Harvest Detail'!$I$2:$I$1093,G$3)</f>
        <v>0</v>
      </c>
      <c r="H34" s="20">
        <f>SUMIFS('Harvest Detail'!$J$2:$J$1093,'Harvest Detail'!$A$2:$A$1093,$A34,'Harvest Detail'!$G$2:$G$1093,$C34,'Harvest Detail'!$I$2:$I$1093,H$3)</f>
        <v>21</v>
      </c>
      <c r="I34" s="20">
        <f>SUMIFS('Harvest Detail'!$J$2:$J$1093,'Harvest Detail'!$A$2:$A$1093,$A34,'Harvest Detail'!$G$2:$G$1093,$C34,'Harvest Detail'!$I$2:$I$1093,I$3)</f>
        <v>55</v>
      </c>
      <c r="J34" s="20">
        <f>SUMIFS('Harvest Detail'!$J$2:$J$1093,'Harvest Detail'!$A$2:$A$1093,$A34,'Harvest Detail'!$G$2:$G$1093,$C34,'Harvest Detail'!$I$2:$I$1093,J$3)</f>
        <v>0</v>
      </c>
      <c r="K34" s="20">
        <f>SUMIFS('Harvest Detail'!$J$2:$J$1093,'Harvest Detail'!$A$2:$A$1093,$A34,'Harvest Detail'!$G$2:$G$1093,$C34,'Harvest Detail'!$I$2:$I$1093,K$3)</f>
        <v>0</v>
      </c>
      <c r="L34" s="20">
        <f>SUMIFS('Harvest Detail'!$J$2:$J$1093,'Harvest Detail'!$A$2:$A$1093,$A34,'Harvest Detail'!$G$2:$G$1093,$C34,'Harvest Detail'!$I$2:$I$1093,L$3)</f>
        <v>0</v>
      </c>
      <c r="M34" s="20">
        <f>SUMIFS('Harvest Detail'!$J$2:$J$1093,'Harvest Detail'!$A$2:$A$1093,$A34,'Harvest Detail'!$G$2:$G$1093,$C34,'Harvest Detail'!$I$2:$I$1093,M$3)</f>
        <v>34</v>
      </c>
      <c r="N34" s="20">
        <f>SUMIFS('Harvest Detail'!$J$2:$J$1093,'Harvest Detail'!$A$2:$A$1093,$A34,'Harvest Detail'!$G$2:$G$1093,$C34,'Harvest Detail'!$I$2:$I$1093,N$3)</f>
        <v>46</v>
      </c>
      <c r="O34" s="20">
        <f>SUMIFS('Harvest Detail'!$J$2:$J$1093,'Harvest Detail'!$A$2:$A$1093,$A34,'Harvest Detail'!$G$2:$G$1093,$C34,'Harvest Detail'!$I$2:$I$1093,O$3)</f>
        <v>0</v>
      </c>
      <c r="P34" s="20">
        <f>SUMIFS('Harvest Detail'!$J$2:$J$1093,'Harvest Detail'!$A$2:$A$1093,$A34,'Harvest Detail'!$G$2:$G$1093,$C34,'Harvest Detail'!$I$2:$I$1093,P$3)</f>
        <v>33</v>
      </c>
      <c r="Q34" s="20">
        <f>SUMIFS('Harvest Detail'!$J$2:$J$1093,'Harvest Detail'!$A$2:$A$1093,$A34,'Harvest Detail'!$G$2:$G$1093,$C34,'Harvest Detail'!$I$2:$I$1093,Q$3)</f>
        <v>17</v>
      </c>
      <c r="R34" s="20">
        <f>SUMIFS('Harvest Detail'!$J$2:$J$1093,'Harvest Detail'!$A$2:$A$1093,$A34,'Harvest Detail'!$G$2:$G$1093,$C34,'Harvest Detail'!$I$2:$I$1093,R$3)</f>
        <v>115</v>
      </c>
      <c r="S34" s="20">
        <f>SUMIFS('Harvest Detail'!$J$2:$J$1093,'Harvest Detail'!$A$2:$A$1093,$A34,'Harvest Detail'!$G$2:$G$1093,$C34,'Harvest Detail'!$I$2:$I$1093,S$3)</f>
        <v>0</v>
      </c>
      <c r="T34" s="20">
        <f>SUMIFS('Harvest Detail'!$J$2:$J$1093,'Harvest Detail'!$A$2:$A$1093,$A34,'Harvest Detail'!$G$2:$G$1093,$C34,'Harvest Detail'!$I$2:$I$1093,T$3)</f>
        <v>0</v>
      </c>
      <c r="U34" s="20">
        <f>SUMIFS('Harvest Detail'!$J$2:$J$1093,'Harvest Detail'!$A$2:$A$1093,$A34,'Harvest Detail'!$G$2:$G$1093,$C34,'Harvest Detail'!$I$2:$I$1093,U$3)</f>
        <v>18</v>
      </c>
      <c r="V34" s="20">
        <f>SUMIFS('Harvest Detail'!$J$2:$J$1093,'Harvest Detail'!$A$2:$A$1093,$A34,'Harvest Detail'!$G$2:$G$1093,$C34,'Harvest Detail'!$I$2:$I$1093,V$3)</f>
        <v>0</v>
      </c>
      <c r="W34" s="20">
        <f>SUMIFS('Harvest Detail'!$J$2:$J$1093,'Harvest Detail'!$A$2:$A$1093,$A34,'Harvest Detail'!$G$2:$G$1093,$C34,'Harvest Detail'!$I$2:$I$1093,W$3)</f>
        <v>0</v>
      </c>
      <c r="X34" s="20">
        <f>SUMIFS('Harvest Detail'!$J$2:$J$1093,'Harvest Detail'!$A$2:$A$1093,$A34,'Harvest Detail'!$G$2:$G$1093,$C34,'Harvest Detail'!$I$2:$I$1093,X$3)</f>
        <v>4</v>
      </c>
      <c r="Y34" s="22">
        <f t="shared" si="0"/>
        <v>396</v>
      </c>
    </row>
    <row r="35" spans="1:25" ht="15" customHeight="1" x14ac:dyDescent="0.75">
      <c r="A35" s="18" t="s">
        <v>74</v>
      </c>
      <c r="B35" s="19">
        <v>46090</v>
      </c>
      <c r="C35" s="18" t="s">
        <v>58</v>
      </c>
      <c r="D35" s="20">
        <f>SUMIFS('Harvest Detail'!$J$2:$J$1093,'Harvest Detail'!$A$2:$A$1093,$A35,'Harvest Detail'!$G$2:$G$1093,$C35,'Harvest Detail'!$I$2:$I$1093,D$3)</f>
        <v>300</v>
      </c>
      <c r="E35" s="20">
        <f>SUMIFS('Harvest Detail'!$J$2:$J$1093,'Harvest Detail'!$A$2:$A$1093,$A35,'Harvest Detail'!$G$2:$G$1093,$C35,'Harvest Detail'!$I$2:$I$1093,E$3)</f>
        <v>154</v>
      </c>
      <c r="F35" s="20">
        <f>SUMIFS('Harvest Detail'!$J$2:$J$1093,'Harvest Detail'!$A$2:$A$1093,$A35,'Harvest Detail'!$G$2:$G$1093,$C35,'Harvest Detail'!$I$2:$I$1093,F$3)</f>
        <v>0</v>
      </c>
      <c r="G35" s="20">
        <f>SUMIFS('Harvest Detail'!$J$2:$J$1093,'Harvest Detail'!$A$2:$A$1093,$A35,'Harvest Detail'!$G$2:$G$1093,$C35,'Harvest Detail'!$I$2:$I$1093,G$3)</f>
        <v>24</v>
      </c>
      <c r="H35" s="20">
        <f>SUMIFS('Harvest Detail'!$J$2:$J$1093,'Harvest Detail'!$A$2:$A$1093,$A35,'Harvest Detail'!$G$2:$G$1093,$C35,'Harvest Detail'!$I$2:$I$1093,H$3)</f>
        <v>0</v>
      </c>
      <c r="I35" s="20">
        <f>SUMIFS('Harvest Detail'!$J$2:$J$1093,'Harvest Detail'!$A$2:$A$1093,$A35,'Harvest Detail'!$G$2:$G$1093,$C35,'Harvest Detail'!$I$2:$I$1093,I$3)</f>
        <v>0</v>
      </c>
      <c r="J35" s="20">
        <f>SUMIFS('Harvest Detail'!$J$2:$J$1093,'Harvest Detail'!$A$2:$A$1093,$A35,'Harvest Detail'!$G$2:$G$1093,$C35,'Harvest Detail'!$I$2:$I$1093,J$3)</f>
        <v>0</v>
      </c>
      <c r="K35" s="20">
        <f>SUMIFS('Harvest Detail'!$J$2:$J$1093,'Harvest Detail'!$A$2:$A$1093,$A35,'Harvest Detail'!$G$2:$G$1093,$C35,'Harvest Detail'!$I$2:$I$1093,K$3)</f>
        <v>0</v>
      </c>
      <c r="L35" s="20">
        <f>SUMIFS('Harvest Detail'!$J$2:$J$1093,'Harvest Detail'!$A$2:$A$1093,$A35,'Harvest Detail'!$G$2:$G$1093,$C35,'Harvest Detail'!$I$2:$I$1093,L$3)</f>
        <v>0</v>
      </c>
      <c r="M35" s="20">
        <f>SUMIFS('Harvest Detail'!$J$2:$J$1093,'Harvest Detail'!$A$2:$A$1093,$A35,'Harvest Detail'!$G$2:$G$1093,$C35,'Harvest Detail'!$I$2:$I$1093,M$3)</f>
        <v>0</v>
      </c>
      <c r="N35" s="20">
        <f>SUMIFS('Harvest Detail'!$J$2:$J$1093,'Harvest Detail'!$A$2:$A$1093,$A35,'Harvest Detail'!$G$2:$G$1093,$C35,'Harvest Detail'!$I$2:$I$1093,N$3)</f>
        <v>0</v>
      </c>
      <c r="O35" s="20">
        <f>SUMIFS('Harvest Detail'!$J$2:$J$1093,'Harvest Detail'!$A$2:$A$1093,$A35,'Harvest Detail'!$G$2:$G$1093,$C35,'Harvest Detail'!$I$2:$I$1093,O$3)</f>
        <v>0</v>
      </c>
      <c r="P35" s="20">
        <f>SUMIFS('Harvest Detail'!$J$2:$J$1093,'Harvest Detail'!$A$2:$A$1093,$A35,'Harvest Detail'!$G$2:$G$1093,$C35,'Harvest Detail'!$I$2:$I$1093,P$3)</f>
        <v>0</v>
      </c>
      <c r="Q35" s="20">
        <f>SUMIFS('Harvest Detail'!$J$2:$J$1093,'Harvest Detail'!$A$2:$A$1093,$A35,'Harvest Detail'!$G$2:$G$1093,$C35,'Harvest Detail'!$I$2:$I$1093,Q$3)</f>
        <v>0</v>
      </c>
      <c r="R35" s="20">
        <f>SUMIFS('Harvest Detail'!$J$2:$J$1093,'Harvest Detail'!$A$2:$A$1093,$A35,'Harvest Detail'!$G$2:$G$1093,$C35,'Harvest Detail'!$I$2:$I$1093,R$3)</f>
        <v>110</v>
      </c>
      <c r="S35" s="20">
        <f>SUMIFS('Harvest Detail'!$J$2:$J$1093,'Harvest Detail'!$A$2:$A$1093,$A35,'Harvest Detail'!$G$2:$G$1093,$C35,'Harvest Detail'!$I$2:$I$1093,S$3)</f>
        <v>40</v>
      </c>
      <c r="T35" s="20">
        <f>SUMIFS('Harvest Detail'!$J$2:$J$1093,'Harvest Detail'!$A$2:$A$1093,$A35,'Harvest Detail'!$G$2:$G$1093,$C35,'Harvest Detail'!$I$2:$I$1093,T$3)</f>
        <v>0</v>
      </c>
      <c r="U35" s="20">
        <f>SUMIFS('Harvest Detail'!$J$2:$J$1093,'Harvest Detail'!$A$2:$A$1093,$A35,'Harvest Detail'!$G$2:$G$1093,$C35,'Harvest Detail'!$I$2:$I$1093,U$3)</f>
        <v>0</v>
      </c>
      <c r="V35" s="20">
        <f>SUMIFS('Harvest Detail'!$J$2:$J$1093,'Harvest Detail'!$A$2:$A$1093,$A35,'Harvest Detail'!$G$2:$G$1093,$C35,'Harvest Detail'!$I$2:$I$1093,V$3)</f>
        <v>0</v>
      </c>
      <c r="W35" s="20">
        <f>SUMIFS('Harvest Detail'!$J$2:$J$1093,'Harvest Detail'!$A$2:$A$1093,$A35,'Harvest Detail'!$G$2:$G$1093,$C35,'Harvest Detail'!$I$2:$I$1093,W$3)</f>
        <v>251</v>
      </c>
      <c r="X35" s="20">
        <f>SUMIFS('Harvest Detail'!$J$2:$J$1093,'Harvest Detail'!$A$2:$A$1093,$A35,'Harvest Detail'!$G$2:$G$1093,$C35,'Harvest Detail'!$I$2:$I$1093,X$3)</f>
        <v>0</v>
      </c>
      <c r="Y35" s="22">
        <f t="shared" si="0"/>
        <v>879</v>
      </c>
    </row>
    <row r="36" spans="1:25" ht="15" customHeight="1" x14ac:dyDescent="0.75">
      <c r="A36" s="18" t="s">
        <v>74</v>
      </c>
      <c r="B36" s="19">
        <v>46090</v>
      </c>
      <c r="C36" s="18" t="s">
        <v>66</v>
      </c>
      <c r="D36" s="20">
        <f>SUMIFS('Harvest Detail'!$J$2:$J$1093,'Harvest Detail'!$A$2:$A$1093,$A36,'Harvest Detail'!$G$2:$G$1093,$C36,'Harvest Detail'!$I$2:$I$1093,D$3)</f>
        <v>27</v>
      </c>
      <c r="E36" s="20">
        <f>SUMIFS('Harvest Detail'!$J$2:$J$1093,'Harvest Detail'!$A$2:$A$1093,$A36,'Harvest Detail'!$G$2:$G$1093,$C36,'Harvest Detail'!$I$2:$I$1093,E$3)</f>
        <v>0</v>
      </c>
      <c r="F36" s="20">
        <f>SUMIFS('Harvest Detail'!$J$2:$J$1093,'Harvest Detail'!$A$2:$A$1093,$A36,'Harvest Detail'!$G$2:$G$1093,$C36,'Harvest Detail'!$I$2:$I$1093,F$3)</f>
        <v>39</v>
      </c>
      <c r="G36" s="20">
        <f>SUMIFS('Harvest Detail'!$J$2:$J$1093,'Harvest Detail'!$A$2:$A$1093,$A36,'Harvest Detail'!$G$2:$G$1093,$C36,'Harvest Detail'!$I$2:$I$1093,G$3)</f>
        <v>0</v>
      </c>
      <c r="H36" s="20">
        <f>SUMIFS('Harvest Detail'!$J$2:$J$1093,'Harvest Detail'!$A$2:$A$1093,$A36,'Harvest Detail'!$G$2:$G$1093,$C36,'Harvest Detail'!$I$2:$I$1093,H$3)</f>
        <v>0</v>
      </c>
      <c r="I36" s="20">
        <f>SUMIFS('Harvest Detail'!$J$2:$J$1093,'Harvest Detail'!$A$2:$A$1093,$A36,'Harvest Detail'!$G$2:$G$1093,$C36,'Harvest Detail'!$I$2:$I$1093,I$3)</f>
        <v>0</v>
      </c>
      <c r="J36" s="20">
        <f>SUMIFS('Harvest Detail'!$J$2:$J$1093,'Harvest Detail'!$A$2:$A$1093,$A36,'Harvest Detail'!$G$2:$G$1093,$C36,'Harvest Detail'!$I$2:$I$1093,J$3)</f>
        <v>0</v>
      </c>
      <c r="K36" s="20">
        <f>SUMIFS('Harvest Detail'!$J$2:$J$1093,'Harvest Detail'!$A$2:$A$1093,$A36,'Harvest Detail'!$G$2:$G$1093,$C36,'Harvest Detail'!$I$2:$I$1093,K$3)</f>
        <v>0</v>
      </c>
      <c r="L36" s="20">
        <f>SUMIFS('Harvest Detail'!$J$2:$J$1093,'Harvest Detail'!$A$2:$A$1093,$A36,'Harvest Detail'!$G$2:$G$1093,$C36,'Harvest Detail'!$I$2:$I$1093,L$3)</f>
        <v>0</v>
      </c>
      <c r="M36" s="20">
        <f>SUMIFS('Harvest Detail'!$J$2:$J$1093,'Harvest Detail'!$A$2:$A$1093,$A36,'Harvest Detail'!$G$2:$G$1093,$C36,'Harvest Detail'!$I$2:$I$1093,M$3)</f>
        <v>21</v>
      </c>
      <c r="N36" s="20">
        <f>SUMIFS('Harvest Detail'!$J$2:$J$1093,'Harvest Detail'!$A$2:$A$1093,$A36,'Harvest Detail'!$G$2:$G$1093,$C36,'Harvest Detail'!$I$2:$I$1093,N$3)</f>
        <v>20</v>
      </c>
      <c r="O36" s="20">
        <f>SUMIFS('Harvest Detail'!$J$2:$J$1093,'Harvest Detail'!$A$2:$A$1093,$A36,'Harvest Detail'!$G$2:$G$1093,$C36,'Harvest Detail'!$I$2:$I$1093,O$3)</f>
        <v>0</v>
      </c>
      <c r="P36" s="20">
        <f>SUMIFS('Harvest Detail'!$J$2:$J$1093,'Harvest Detail'!$A$2:$A$1093,$A36,'Harvest Detail'!$G$2:$G$1093,$C36,'Harvest Detail'!$I$2:$I$1093,P$3)</f>
        <v>27</v>
      </c>
      <c r="Q36" s="20">
        <f>SUMIFS('Harvest Detail'!$J$2:$J$1093,'Harvest Detail'!$A$2:$A$1093,$A36,'Harvest Detail'!$G$2:$G$1093,$C36,'Harvest Detail'!$I$2:$I$1093,Q$3)</f>
        <v>0</v>
      </c>
      <c r="R36" s="20">
        <f>SUMIFS('Harvest Detail'!$J$2:$J$1093,'Harvest Detail'!$A$2:$A$1093,$A36,'Harvest Detail'!$G$2:$G$1093,$C36,'Harvest Detail'!$I$2:$I$1093,R$3)</f>
        <v>35</v>
      </c>
      <c r="S36" s="20">
        <f>SUMIFS('Harvest Detail'!$J$2:$J$1093,'Harvest Detail'!$A$2:$A$1093,$A36,'Harvest Detail'!$G$2:$G$1093,$C36,'Harvest Detail'!$I$2:$I$1093,S$3)</f>
        <v>10</v>
      </c>
      <c r="T36" s="20">
        <f>SUMIFS('Harvest Detail'!$J$2:$J$1093,'Harvest Detail'!$A$2:$A$1093,$A36,'Harvest Detail'!$G$2:$G$1093,$C36,'Harvest Detail'!$I$2:$I$1093,T$3)</f>
        <v>0</v>
      </c>
      <c r="U36" s="20">
        <f>SUMIFS('Harvest Detail'!$J$2:$J$1093,'Harvest Detail'!$A$2:$A$1093,$A36,'Harvest Detail'!$G$2:$G$1093,$C36,'Harvest Detail'!$I$2:$I$1093,U$3)</f>
        <v>8</v>
      </c>
      <c r="V36" s="20">
        <f>SUMIFS('Harvest Detail'!$J$2:$J$1093,'Harvest Detail'!$A$2:$A$1093,$A36,'Harvest Detail'!$G$2:$G$1093,$C36,'Harvest Detail'!$I$2:$I$1093,V$3)</f>
        <v>0</v>
      </c>
      <c r="W36" s="20">
        <f>SUMIFS('Harvest Detail'!$J$2:$J$1093,'Harvest Detail'!$A$2:$A$1093,$A36,'Harvest Detail'!$G$2:$G$1093,$C36,'Harvest Detail'!$I$2:$I$1093,W$3)</f>
        <v>0</v>
      </c>
      <c r="X36" s="20">
        <f>SUMIFS('Harvest Detail'!$J$2:$J$1093,'Harvest Detail'!$A$2:$A$1093,$A36,'Harvest Detail'!$G$2:$G$1093,$C36,'Harvest Detail'!$I$2:$I$1093,X$3)</f>
        <v>0</v>
      </c>
      <c r="Y36" s="22">
        <f t="shared" ref="Y36:Y67" si="1">SUM(D36:X36)</f>
        <v>187</v>
      </c>
    </row>
    <row r="37" spans="1:25" ht="15" customHeight="1" x14ac:dyDescent="0.75">
      <c r="A37" s="18" t="s">
        <v>75</v>
      </c>
      <c r="B37" s="19">
        <v>46097</v>
      </c>
      <c r="C37" s="18" t="s">
        <v>56</v>
      </c>
      <c r="D37" s="20">
        <f>SUMIFS('Harvest Detail'!$J$2:$J$1093,'Harvest Detail'!$A$2:$A$1093,$A37,'Harvest Detail'!$G$2:$G$1093,$C37,'Harvest Detail'!$I$2:$I$1093,D$3)</f>
        <v>21</v>
      </c>
      <c r="E37" s="20">
        <f>SUMIFS('Harvest Detail'!$J$2:$J$1093,'Harvest Detail'!$A$2:$A$1093,$A37,'Harvest Detail'!$G$2:$G$1093,$C37,'Harvest Detail'!$I$2:$I$1093,E$3)</f>
        <v>0</v>
      </c>
      <c r="F37" s="20">
        <f>SUMIFS('Harvest Detail'!$J$2:$J$1093,'Harvest Detail'!$A$2:$A$1093,$A37,'Harvest Detail'!$G$2:$G$1093,$C37,'Harvest Detail'!$I$2:$I$1093,F$3)</f>
        <v>0</v>
      </c>
      <c r="G37" s="20">
        <f>SUMIFS('Harvest Detail'!$J$2:$J$1093,'Harvest Detail'!$A$2:$A$1093,$A37,'Harvest Detail'!$G$2:$G$1093,$C37,'Harvest Detail'!$I$2:$I$1093,G$3)</f>
        <v>0</v>
      </c>
      <c r="H37" s="20">
        <f>SUMIFS('Harvest Detail'!$J$2:$J$1093,'Harvest Detail'!$A$2:$A$1093,$A37,'Harvest Detail'!$G$2:$G$1093,$C37,'Harvest Detail'!$I$2:$I$1093,H$3)</f>
        <v>15</v>
      </c>
      <c r="I37" s="20">
        <f>SUMIFS('Harvest Detail'!$J$2:$J$1093,'Harvest Detail'!$A$2:$A$1093,$A37,'Harvest Detail'!$G$2:$G$1093,$C37,'Harvest Detail'!$I$2:$I$1093,I$3)</f>
        <v>45</v>
      </c>
      <c r="J37" s="20">
        <f>SUMIFS('Harvest Detail'!$J$2:$J$1093,'Harvest Detail'!$A$2:$A$1093,$A37,'Harvest Detail'!$G$2:$G$1093,$C37,'Harvest Detail'!$I$2:$I$1093,J$3)</f>
        <v>0</v>
      </c>
      <c r="K37" s="20">
        <f>SUMIFS('Harvest Detail'!$J$2:$J$1093,'Harvest Detail'!$A$2:$A$1093,$A37,'Harvest Detail'!$G$2:$G$1093,$C37,'Harvest Detail'!$I$2:$I$1093,K$3)</f>
        <v>8</v>
      </c>
      <c r="L37" s="20">
        <f>SUMIFS('Harvest Detail'!$J$2:$J$1093,'Harvest Detail'!$A$2:$A$1093,$A37,'Harvest Detail'!$G$2:$G$1093,$C37,'Harvest Detail'!$I$2:$I$1093,L$3)</f>
        <v>0</v>
      </c>
      <c r="M37" s="20">
        <f>SUMIFS('Harvest Detail'!$J$2:$J$1093,'Harvest Detail'!$A$2:$A$1093,$A37,'Harvest Detail'!$G$2:$G$1093,$C37,'Harvest Detail'!$I$2:$I$1093,M$3)</f>
        <v>0</v>
      </c>
      <c r="N37" s="20">
        <f>SUMIFS('Harvest Detail'!$J$2:$J$1093,'Harvest Detail'!$A$2:$A$1093,$A37,'Harvest Detail'!$G$2:$G$1093,$C37,'Harvest Detail'!$I$2:$I$1093,N$3)</f>
        <v>0</v>
      </c>
      <c r="O37" s="20">
        <f>SUMIFS('Harvest Detail'!$J$2:$J$1093,'Harvest Detail'!$A$2:$A$1093,$A37,'Harvest Detail'!$G$2:$G$1093,$C37,'Harvest Detail'!$I$2:$I$1093,O$3)</f>
        <v>0</v>
      </c>
      <c r="P37" s="20">
        <f>SUMIFS('Harvest Detail'!$J$2:$J$1093,'Harvest Detail'!$A$2:$A$1093,$A37,'Harvest Detail'!$G$2:$G$1093,$C37,'Harvest Detail'!$I$2:$I$1093,P$3)</f>
        <v>0</v>
      </c>
      <c r="Q37" s="20">
        <f>SUMIFS('Harvest Detail'!$J$2:$J$1093,'Harvest Detail'!$A$2:$A$1093,$A37,'Harvest Detail'!$G$2:$G$1093,$C37,'Harvest Detail'!$I$2:$I$1093,Q$3)</f>
        <v>16</v>
      </c>
      <c r="R37" s="20">
        <f>SUMIFS('Harvest Detail'!$J$2:$J$1093,'Harvest Detail'!$A$2:$A$1093,$A37,'Harvest Detail'!$G$2:$G$1093,$C37,'Harvest Detail'!$I$2:$I$1093,R$3)</f>
        <v>15</v>
      </c>
      <c r="S37" s="20">
        <f>SUMIFS('Harvest Detail'!$J$2:$J$1093,'Harvest Detail'!$A$2:$A$1093,$A37,'Harvest Detail'!$G$2:$G$1093,$C37,'Harvest Detail'!$I$2:$I$1093,S$3)</f>
        <v>0</v>
      </c>
      <c r="T37" s="20">
        <f>SUMIFS('Harvest Detail'!$J$2:$J$1093,'Harvest Detail'!$A$2:$A$1093,$A37,'Harvest Detail'!$G$2:$G$1093,$C37,'Harvest Detail'!$I$2:$I$1093,T$3)</f>
        <v>5</v>
      </c>
      <c r="U37" s="20">
        <f>SUMIFS('Harvest Detail'!$J$2:$J$1093,'Harvest Detail'!$A$2:$A$1093,$A37,'Harvest Detail'!$G$2:$G$1093,$C37,'Harvest Detail'!$I$2:$I$1093,U$3)</f>
        <v>0</v>
      </c>
      <c r="V37" s="20">
        <f>SUMIFS('Harvest Detail'!$J$2:$J$1093,'Harvest Detail'!$A$2:$A$1093,$A37,'Harvest Detail'!$G$2:$G$1093,$C37,'Harvest Detail'!$I$2:$I$1093,V$3)</f>
        <v>0</v>
      </c>
      <c r="W37" s="20">
        <f>SUMIFS('Harvest Detail'!$J$2:$J$1093,'Harvest Detail'!$A$2:$A$1093,$A37,'Harvest Detail'!$G$2:$G$1093,$C37,'Harvest Detail'!$I$2:$I$1093,W$3)</f>
        <v>0</v>
      </c>
      <c r="X37" s="20">
        <f>SUMIFS('Harvest Detail'!$J$2:$J$1093,'Harvest Detail'!$A$2:$A$1093,$A37,'Harvest Detail'!$G$2:$G$1093,$C37,'Harvest Detail'!$I$2:$I$1093,X$3)</f>
        <v>3</v>
      </c>
      <c r="Y37" s="22">
        <f t="shared" si="1"/>
        <v>128</v>
      </c>
    </row>
    <row r="38" spans="1:25" ht="15" customHeight="1" x14ac:dyDescent="0.75">
      <c r="A38" s="18" t="s">
        <v>75</v>
      </c>
      <c r="B38" s="19">
        <v>46097</v>
      </c>
      <c r="C38" s="18" t="s">
        <v>58</v>
      </c>
      <c r="D38" s="20">
        <f>SUMIFS('Harvest Detail'!$J$2:$J$1093,'Harvest Detail'!$A$2:$A$1093,$A38,'Harvest Detail'!$G$2:$G$1093,$C38,'Harvest Detail'!$I$2:$I$1093,D$3)</f>
        <v>258</v>
      </c>
      <c r="E38" s="20">
        <f>SUMIFS('Harvest Detail'!$J$2:$J$1093,'Harvest Detail'!$A$2:$A$1093,$A38,'Harvest Detail'!$G$2:$G$1093,$C38,'Harvest Detail'!$I$2:$I$1093,E$3)</f>
        <v>147</v>
      </c>
      <c r="F38" s="20">
        <f>SUMIFS('Harvest Detail'!$J$2:$J$1093,'Harvest Detail'!$A$2:$A$1093,$A38,'Harvest Detail'!$G$2:$G$1093,$C38,'Harvest Detail'!$I$2:$I$1093,F$3)</f>
        <v>0</v>
      </c>
      <c r="G38" s="20">
        <f>SUMIFS('Harvest Detail'!$J$2:$J$1093,'Harvest Detail'!$A$2:$A$1093,$A38,'Harvest Detail'!$G$2:$G$1093,$C38,'Harvest Detail'!$I$2:$I$1093,G$3)</f>
        <v>53</v>
      </c>
      <c r="H38" s="20">
        <f>SUMIFS('Harvest Detail'!$J$2:$J$1093,'Harvest Detail'!$A$2:$A$1093,$A38,'Harvest Detail'!$G$2:$G$1093,$C38,'Harvest Detail'!$I$2:$I$1093,H$3)</f>
        <v>0</v>
      </c>
      <c r="I38" s="20">
        <f>SUMIFS('Harvest Detail'!$J$2:$J$1093,'Harvest Detail'!$A$2:$A$1093,$A38,'Harvest Detail'!$G$2:$G$1093,$C38,'Harvest Detail'!$I$2:$I$1093,I$3)</f>
        <v>0</v>
      </c>
      <c r="J38" s="20">
        <f>SUMIFS('Harvest Detail'!$J$2:$J$1093,'Harvest Detail'!$A$2:$A$1093,$A38,'Harvest Detail'!$G$2:$G$1093,$C38,'Harvest Detail'!$I$2:$I$1093,J$3)</f>
        <v>0</v>
      </c>
      <c r="K38" s="20">
        <f>SUMIFS('Harvest Detail'!$J$2:$J$1093,'Harvest Detail'!$A$2:$A$1093,$A38,'Harvest Detail'!$G$2:$G$1093,$C38,'Harvest Detail'!$I$2:$I$1093,K$3)</f>
        <v>0</v>
      </c>
      <c r="L38" s="20">
        <f>SUMIFS('Harvest Detail'!$J$2:$J$1093,'Harvest Detail'!$A$2:$A$1093,$A38,'Harvest Detail'!$G$2:$G$1093,$C38,'Harvest Detail'!$I$2:$I$1093,L$3)</f>
        <v>0</v>
      </c>
      <c r="M38" s="20">
        <f>SUMIFS('Harvest Detail'!$J$2:$J$1093,'Harvest Detail'!$A$2:$A$1093,$A38,'Harvest Detail'!$G$2:$G$1093,$C38,'Harvest Detail'!$I$2:$I$1093,M$3)</f>
        <v>0</v>
      </c>
      <c r="N38" s="20">
        <f>SUMIFS('Harvest Detail'!$J$2:$J$1093,'Harvest Detail'!$A$2:$A$1093,$A38,'Harvest Detail'!$G$2:$G$1093,$C38,'Harvest Detail'!$I$2:$I$1093,N$3)</f>
        <v>0</v>
      </c>
      <c r="O38" s="20">
        <f>SUMIFS('Harvest Detail'!$J$2:$J$1093,'Harvest Detail'!$A$2:$A$1093,$A38,'Harvest Detail'!$G$2:$G$1093,$C38,'Harvest Detail'!$I$2:$I$1093,O$3)</f>
        <v>0</v>
      </c>
      <c r="P38" s="20">
        <f>SUMIFS('Harvest Detail'!$J$2:$J$1093,'Harvest Detail'!$A$2:$A$1093,$A38,'Harvest Detail'!$G$2:$G$1093,$C38,'Harvest Detail'!$I$2:$I$1093,P$3)</f>
        <v>0</v>
      </c>
      <c r="Q38" s="20">
        <f>SUMIFS('Harvest Detail'!$J$2:$J$1093,'Harvest Detail'!$A$2:$A$1093,$A38,'Harvest Detail'!$G$2:$G$1093,$C38,'Harvest Detail'!$I$2:$I$1093,Q$3)</f>
        <v>0</v>
      </c>
      <c r="R38" s="20">
        <f>SUMIFS('Harvest Detail'!$J$2:$J$1093,'Harvest Detail'!$A$2:$A$1093,$A38,'Harvest Detail'!$G$2:$G$1093,$C38,'Harvest Detail'!$I$2:$I$1093,R$3)</f>
        <v>85</v>
      </c>
      <c r="S38" s="20">
        <f>SUMIFS('Harvest Detail'!$J$2:$J$1093,'Harvest Detail'!$A$2:$A$1093,$A38,'Harvest Detail'!$G$2:$G$1093,$C38,'Harvest Detail'!$I$2:$I$1093,S$3)</f>
        <v>0</v>
      </c>
      <c r="T38" s="20">
        <f>SUMIFS('Harvest Detail'!$J$2:$J$1093,'Harvest Detail'!$A$2:$A$1093,$A38,'Harvest Detail'!$G$2:$G$1093,$C38,'Harvest Detail'!$I$2:$I$1093,T$3)</f>
        <v>0</v>
      </c>
      <c r="U38" s="20">
        <f>SUMIFS('Harvest Detail'!$J$2:$J$1093,'Harvest Detail'!$A$2:$A$1093,$A38,'Harvest Detail'!$G$2:$G$1093,$C38,'Harvest Detail'!$I$2:$I$1093,U$3)</f>
        <v>0</v>
      </c>
      <c r="V38" s="20">
        <f>SUMIFS('Harvest Detail'!$J$2:$J$1093,'Harvest Detail'!$A$2:$A$1093,$A38,'Harvest Detail'!$G$2:$G$1093,$C38,'Harvest Detail'!$I$2:$I$1093,V$3)</f>
        <v>0</v>
      </c>
      <c r="W38" s="20">
        <f>SUMIFS('Harvest Detail'!$J$2:$J$1093,'Harvest Detail'!$A$2:$A$1093,$A38,'Harvest Detail'!$G$2:$G$1093,$C38,'Harvest Detail'!$I$2:$I$1093,W$3)</f>
        <v>322</v>
      </c>
      <c r="X38" s="20">
        <f>SUMIFS('Harvest Detail'!$J$2:$J$1093,'Harvest Detail'!$A$2:$A$1093,$A38,'Harvest Detail'!$G$2:$G$1093,$C38,'Harvest Detail'!$I$2:$I$1093,X$3)</f>
        <v>0</v>
      </c>
      <c r="Y38" s="22">
        <f t="shared" si="1"/>
        <v>865</v>
      </c>
    </row>
    <row r="39" spans="1:25" ht="15" customHeight="1" x14ac:dyDescent="0.75">
      <c r="A39" s="18" t="s">
        <v>75</v>
      </c>
      <c r="B39" s="19">
        <v>46097</v>
      </c>
      <c r="C39" s="18" t="s">
        <v>66</v>
      </c>
      <c r="D39" s="20">
        <f>SUMIFS('Harvest Detail'!$J$2:$J$1093,'Harvest Detail'!$A$2:$A$1093,$A39,'Harvest Detail'!$G$2:$G$1093,$C39,'Harvest Detail'!$I$2:$I$1093,D$3)</f>
        <v>33</v>
      </c>
      <c r="E39" s="20">
        <f>SUMIFS('Harvest Detail'!$J$2:$J$1093,'Harvest Detail'!$A$2:$A$1093,$A39,'Harvest Detail'!$G$2:$G$1093,$C39,'Harvest Detail'!$I$2:$I$1093,E$3)</f>
        <v>50</v>
      </c>
      <c r="F39" s="20">
        <f>SUMIFS('Harvest Detail'!$J$2:$J$1093,'Harvest Detail'!$A$2:$A$1093,$A39,'Harvest Detail'!$G$2:$G$1093,$C39,'Harvest Detail'!$I$2:$I$1093,F$3)</f>
        <v>5</v>
      </c>
      <c r="G39" s="20">
        <f>SUMIFS('Harvest Detail'!$J$2:$J$1093,'Harvest Detail'!$A$2:$A$1093,$A39,'Harvest Detail'!$G$2:$G$1093,$C39,'Harvest Detail'!$I$2:$I$1093,G$3)</f>
        <v>0</v>
      </c>
      <c r="H39" s="20">
        <f>SUMIFS('Harvest Detail'!$J$2:$J$1093,'Harvest Detail'!$A$2:$A$1093,$A39,'Harvest Detail'!$G$2:$G$1093,$C39,'Harvest Detail'!$I$2:$I$1093,H$3)</f>
        <v>0</v>
      </c>
      <c r="I39" s="20">
        <f>SUMIFS('Harvest Detail'!$J$2:$J$1093,'Harvest Detail'!$A$2:$A$1093,$A39,'Harvest Detail'!$G$2:$G$1093,$C39,'Harvest Detail'!$I$2:$I$1093,I$3)</f>
        <v>0</v>
      </c>
      <c r="J39" s="20">
        <f>SUMIFS('Harvest Detail'!$J$2:$J$1093,'Harvest Detail'!$A$2:$A$1093,$A39,'Harvest Detail'!$G$2:$G$1093,$C39,'Harvest Detail'!$I$2:$I$1093,J$3)</f>
        <v>0</v>
      </c>
      <c r="K39" s="20">
        <f>SUMIFS('Harvest Detail'!$J$2:$J$1093,'Harvest Detail'!$A$2:$A$1093,$A39,'Harvest Detail'!$G$2:$G$1093,$C39,'Harvest Detail'!$I$2:$I$1093,K$3)</f>
        <v>0</v>
      </c>
      <c r="L39" s="20">
        <f>SUMIFS('Harvest Detail'!$J$2:$J$1093,'Harvest Detail'!$A$2:$A$1093,$A39,'Harvest Detail'!$G$2:$G$1093,$C39,'Harvest Detail'!$I$2:$I$1093,L$3)</f>
        <v>0</v>
      </c>
      <c r="M39" s="20">
        <f>SUMIFS('Harvest Detail'!$J$2:$J$1093,'Harvest Detail'!$A$2:$A$1093,$A39,'Harvest Detail'!$G$2:$G$1093,$C39,'Harvest Detail'!$I$2:$I$1093,M$3)</f>
        <v>13</v>
      </c>
      <c r="N39" s="20">
        <f>SUMIFS('Harvest Detail'!$J$2:$J$1093,'Harvest Detail'!$A$2:$A$1093,$A39,'Harvest Detail'!$G$2:$G$1093,$C39,'Harvest Detail'!$I$2:$I$1093,N$3)</f>
        <v>0</v>
      </c>
      <c r="O39" s="20">
        <f>SUMIFS('Harvest Detail'!$J$2:$J$1093,'Harvest Detail'!$A$2:$A$1093,$A39,'Harvest Detail'!$G$2:$G$1093,$C39,'Harvest Detail'!$I$2:$I$1093,O$3)</f>
        <v>0</v>
      </c>
      <c r="P39" s="20">
        <f>SUMIFS('Harvest Detail'!$J$2:$J$1093,'Harvest Detail'!$A$2:$A$1093,$A39,'Harvest Detail'!$G$2:$G$1093,$C39,'Harvest Detail'!$I$2:$I$1093,P$3)</f>
        <v>6</v>
      </c>
      <c r="Q39" s="20">
        <f>SUMIFS('Harvest Detail'!$J$2:$J$1093,'Harvest Detail'!$A$2:$A$1093,$A39,'Harvest Detail'!$G$2:$G$1093,$C39,'Harvest Detail'!$I$2:$I$1093,Q$3)</f>
        <v>0</v>
      </c>
      <c r="R39" s="20">
        <f>SUMIFS('Harvest Detail'!$J$2:$J$1093,'Harvest Detail'!$A$2:$A$1093,$A39,'Harvest Detail'!$G$2:$G$1093,$C39,'Harvest Detail'!$I$2:$I$1093,R$3)</f>
        <v>45</v>
      </c>
      <c r="S39" s="20">
        <f>SUMIFS('Harvest Detail'!$J$2:$J$1093,'Harvest Detail'!$A$2:$A$1093,$A39,'Harvest Detail'!$G$2:$G$1093,$C39,'Harvest Detail'!$I$2:$I$1093,S$3)</f>
        <v>0</v>
      </c>
      <c r="T39" s="20">
        <f>SUMIFS('Harvest Detail'!$J$2:$J$1093,'Harvest Detail'!$A$2:$A$1093,$A39,'Harvest Detail'!$G$2:$G$1093,$C39,'Harvest Detail'!$I$2:$I$1093,T$3)</f>
        <v>15</v>
      </c>
      <c r="U39" s="20">
        <f>SUMIFS('Harvest Detail'!$J$2:$J$1093,'Harvest Detail'!$A$2:$A$1093,$A39,'Harvest Detail'!$G$2:$G$1093,$C39,'Harvest Detail'!$I$2:$I$1093,U$3)</f>
        <v>0</v>
      </c>
      <c r="V39" s="20">
        <f>SUMIFS('Harvest Detail'!$J$2:$J$1093,'Harvest Detail'!$A$2:$A$1093,$A39,'Harvest Detail'!$G$2:$G$1093,$C39,'Harvest Detail'!$I$2:$I$1093,V$3)</f>
        <v>0</v>
      </c>
      <c r="W39" s="20">
        <f>SUMIFS('Harvest Detail'!$J$2:$J$1093,'Harvest Detail'!$A$2:$A$1093,$A39,'Harvest Detail'!$G$2:$G$1093,$C39,'Harvest Detail'!$I$2:$I$1093,W$3)</f>
        <v>0</v>
      </c>
      <c r="X39" s="20">
        <f>SUMIFS('Harvest Detail'!$J$2:$J$1093,'Harvest Detail'!$A$2:$A$1093,$A39,'Harvest Detail'!$G$2:$G$1093,$C39,'Harvest Detail'!$I$2:$I$1093,X$3)</f>
        <v>0</v>
      </c>
      <c r="Y39" s="22">
        <f t="shared" si="1"/>
        <v>167</v>
      </c>
    </row>
    <row r="40" spans="1:25" ht="15" customHeight="1" x14ac:dyDescent="0.75">
      <c r="A40" s="18" t="s">
        <v>76</v>
      </c>
      <c r="B40" s="19">
        <v>46104</v>
      </c>
      <c r="C40" s="18" t="s">
        <v>56</v>
      </c>
      <c r="D40" s="20">
        <f>SUMIFS('Harvest Detail'!$J$2:$J$1093,'Harvest Detail'!$A$2:$A$1093,$A40,'Harvest Detail'!$G$2:$G$1093,$C40,'Harvest Detail'!$I$2:$I$1093,D$3)</f>
        <v>30</v>
      </c>
      <c r="E40" s="20">
        <f>SUMIFS('Harvest Detail'!$J$2:$J$1093,'Harvest Detail'!$A$2:$A$1093,$A40,'Harvest Detail'!$G$2:$G$1093,$C40,'Harvest Detail'!$I$2:$I$1093,E$3)</f>
        <v>0</v>
      </c>
      <c r="F40" s="20">
        <f>SUMIFS('Harvest Detail'!$J$2:$J$1093,'Harvest Detail'!$A$2:$A$1093,$A40,'Harvest Detail'!$G$2:$G$1093,$C40,'Harvest Detail'!$I$2:$I$1093,F$3)</f>
        <v>20</v>
      </c>
      <c r="G40" s="20">
        <f>SUMIFS('Harvest Detail'!$J$2:$J$1093,'Harvest Detail'!$A$2:$A$1093,$A40,'Harvest Detail'!$G$2:$G$1093,$C40,'Harvest Detail'!$I$2:$I$1093,G$3)</f>
        <v>0</v>
      </c>
      <c r="H40" s="20">
        <f>SUMIFS('Harvest Detail'!$J$2:$J$1093,'Harvest Detail'!$A$2:$A$1093,$A40,'Harvest Detail'!$G$2:$G$1093,$C40,'Harvest Detail'!$I$2:$I$1093,H$3)</f>
        <v>16</v>
      </c>
      <c r="I40" s="20">
        <f>SUMIFS('Harvest Detail'!$J$2:$J$1093,'Harvest Detail'!$A$2:$A$1093,$A40,'Harvest Detail'!$G$2:$G$1093,$C40,'Harvest Detail'!$I$2:$I$1093,I$3)</f>
        <v>66</v>
      </c>
      <c r="J40" s="20">
        <f>SUMIFS('Harvest Detail'!$J$2:$J$1093,'Harvest Detail'!$A$2:$A$1093,$A40,'Harvest Detail'!$G$2:$G$1093,$C40,'Harvest Detail'!$I$2:$I$1093,J$3)</f>
        <v>0</v>
      </c>
      <c r="K40" s="20">
        <f>SUMIFS('Harvest Detail'!$J$2:$J$1093,'Harvest Detail'!$A$2:$A$1093,$A40,'Harvest Detail'!$G$2:$G$1093,$C40,'Harvest Detail'!$I$2:$I$1093,K$3)</f>
        <v>0</v>
      </c>
      <c r="L40" s="20">
        <f>SUMIFS('Harvest Detail'!$J$2:$J$1093,'Harvest Detail'!$A$2:$A$1093,$A40,'Harvest Detail'!$G$2:$G$1093,$C40,'Harvest Detail'!$I$2:$I$1093,L$3)</f>
        <v>0</v>
      </c>
      <c r="M40" s="20">
        <f>SUMIFS('Harvest Detail'!$J$2:$J$1093,'Harvest Detail'!$A$2:$A$1093,$A40,'Harvest Detail'!$G$2:$G$1093,$C40,'Harvest Detail'!$I$2:$I$1093,M$3)</f>
        <v>34</v>
      </c>
      <c r="N40" s="20">
        <f>SUMIFS('Harvest Detail'!$J$2:$J$1093,'Harvest Detail'!$A$2:$A$1093,$A40,'Harvest Detail'!$G$2:$G$1093,$C40,'Harvest Detail'!$I$2:$I$1093,N$3)</f>
        <v>37</v>
      </c>
      <c r="O40" s="20">
        <f>SUMIFS('Harvest Detail'!$J$2:$J$1093,'Harvest Detail'!$A$2:$A$1093,$A40,'Harvest Detail'!$G$2:$G$1093,$C40,'Harvest Detail'!$I$2:$I$1093,O$3)</f>
        <v>0</v>
      </c>
      <c r="P40" s="20">
        <f>SUMIFS('Harvest Detail'!$J$2:$J$1093,'Harvest Detail'!$A$2:$A$1093,$A40,'Harvest Detail'!$G$2:$G$1093,$C40,'Harvest Detail'!$I$2:$I$1093,P$3)</f>
        <v>33</v>
      </c>
      <c r="Q40" s="20">
        <f>SUMIFS('Harvest Detail'!$J$2:$J$1093,'Harvest Detail'!$A$2:$A$1093,$A40,'Harvest Detail'!$G$2:$G$1093,$C40,'Harvest Detail'!$I$2:$I$1093,Q$3)</f>
        <v>24</v>
      </c>
      <c r="R40" s="20">
        <f>SUMIFS('Harvest Detail'!$J$2:$J$1093,'Harvest Detail'!$A$2:$A$1093,$A40,'Harvest Detail'!$G$2:$G$1093,$C40,'Harvest Detail'!$I$2:$I$1093,R$3)</f>
        <v>85</v>
      </c>
      <c r="S40" s="20">
        <f>SUMIFS('Harvest Detail'!$J$2:$J$1093,'Harvest Detail'!$A$2:$A$1093,$A40,'Harvest Detail'!$G$2:$G$1093,$C40,'Harvest Detail'!$I$2:$I$1093,S$3)</f>
        <v>0</v>
      </c>
      <c r="T40" s="20">
        <f>SUMIFS('Harvest Detail'!$J$2:$J$1093,'Harvest Detail'!$A$2:$A$1093,$A40,'Harvest Detail'!$G$2:$G$1093,$C40,'Harvest Detail'!$I$2:$I$1093,T$3)</f>
        <v>5</v>
      </c>
      <c r="U40" s="20">
        <f>SUMIFS('Harvest Detail'!$J$2:$J$1093,'Harvest Detail'!$A$2:$A$1093,$A40,'Harvest Detail'!$G$2:$G$1093,$C40,'Harvest Detail'!$I$2:$I$1093,U$3)</f>
        <v>18</v>
      </c>
      <c r="V40" s="20">
        <f>SUMIFS('Harvest Detail'!$J$2:$J$1093,'Harvest Detail'!$A$2:$A$1093,$A40,'Harvest Detail'!$G$2:$G$1093,$C40,'Harvest Detail'!$I$2:$I$1093,V$3)</f>
        <v>0</v>
      </c>
      <c r="W40" s="20">
        <f>SUMIFS('Harvest Detail'!$J$2:$J$1093,'Harvest Detail'!$A$2:$A$1093,$A40,'Harvest Detail'!$G$2:$G$1093,$C40,'Harvest Detail'!$I$2:$I$1093,W$3)</f>
        <v>0</v>
      </c>
      <c r="X40" s="20">
        <f>SUMIFS('Harvest Detail'!$J$2:$J$1093,'Harvest Detail'!$A$2:$A$1093,$A40,'Harvest Detail'!$G$2:$G$1093,$C40,'Harvest Detail'!$I$2:$I$1093,X$3)</f>
        <v>12</v>
      </c>
      <c r="Y40" s="22">
        <f t="shared" si="1"/>
        <v>380</v>
      </c>
    </row>
    <row r="41" spans="1:25" ht="15" customHeight="1" x14ac:dyDescent="0.75">
      <c r="A41" s="18" t="s">
        <v>76</v>
      </c>
      <c r="B41" s="19">
        <v>46104</v>
      </c>
      <c r="C41" s="18" t="s">
        <v>58</v>
      </c>
      <c r="D41" s="20">
        <f>SUMIFS('Harvest Detail'!$J$2:$J$1093,'Harvest Detail'!$A$2:$A$1093,$A41,'Harvest Detail'!$G$2:$G$1093,$C41,'Harvest Detail'!$I$2:$I$1093,D$3)</f>
        <v>309</v>
      </c>
      <c r="E41" s="20">
        <f>SUMIFS('Harvest Detail'!$J$2:$J$1093,'Harvest Detail'!$A$2:$A$1093,$A41,'Harvest Detail'!$G$2:$G$1093,$C41,'Harvest Detail'!$I$2:$I$1093,E$3)</f>
        <v>124</v>
      </c>
      <c r="F41" s="20">
        <f>SUMIFS('Harvest Detail'!$J$2:$J$1093,'Harvest Detail'!$A$2:$A$1093,$A41,'Harvest Detail'!$G$2:$G$1093,$C41,'Harvest Detail'!$I$2:$I$1093,F$3)</f>
        <v>0</v>
      </c>
      <c r="G41" s="20">
        <f>SUMIFS('Harvest Detail'!$J$2:$J$1093,'Harvest Detail'!$A$2:$A$1093,$A41,'Harvest Detail'!$G$2:$G$1093,$C41,'Harvest Detail'!$I$2:$I$1093,G$3)</f>
        <v>14</v>
      </c>
      <c r="H41" s="20">
        <f>SUMIFS('Harvest Detail'!$J$2:$J$1093,'Harvest Detail'!$A$2:$A$1093,$A41,'Harvest Detail'!$G$2:$G$1093,$C41,'Harvest Detail'!$I$2:$I$1093,H$3)</f>
        <v>0</v>
      </c>
      <c r="I41" s="20">
        <f>SUMIFS('Harvest Detail'!$J$2:$J$1093,'Harvest Detail'!$A$2:$A$1093,$A41,'Harvest Detail'!$G$2:$G$1093,$C41,'Harvest Detail'!$I$2:$I$1093,I$3)</f>
        <v>0</v>
      </c>
      <c r="J41" s="20">
        <f>SUMIFS('Harvest Detail'!$J$2:$J$1093,'Harvest Detail'!$A$2:$A$1093,$A41,'Harvest Detail'!$G$2:$G$1093,$C41,'Harvest Detail'!$I$2:$I$1093,J$3)</f>
        <v>0</v>
      </c>
      <c r="K41" s="20">
        <f>SUMIFS('Harvest Detail'!$J$2:$J$1093,'Harvest Detail'!$A$2:$A$1093,$A41,'Harvest Detail'!$G$2:$G$1093,$C41,'Harvest Detail'!$I$2:$I$1093,K$3)</f>
        <v>0</v>
      </c>
      <c r="L41" s="20">
        <f>SUMIFS('Harvest Detail'!$J$2:$J$1093,'Harvest Detail'!$A$2:$A$1093,$A41,'Harvest Detail'!$G$2:$G$1093,$C41,'Harvest Detail'!$I$2:$I$1093,L$3)</f>
        <v>0</v>
      </c>
      <c r="M41" s="20">
        <f>SUMIFS('Harvest Detail'!$J$2:$J$1093,'Harvest Detail'!$A$2:$A$1093,$A41,'Harvest Detail'!$G$2:$G$1093,$C41,'Harvest Detail'!$I$2:$I$1093,M$3)</f>
        <v>0</v>
      </c>
      <c r="N41" s="20">
        <f>SUMIFS('Harvest Detail'!$J$2:$J$1093,'Harvest Detail'!$A$2:$A$1093,$A41,'Harvest Detail'!$G$2:$G$1093,$C41,'Harvest Detail'!$I$2:$I$1093,N$3)</f>
        <v>0</v>
      </c>
      <c r="O41" s="20">
        <f>SUMIFS('Harvest Detail'!$J$2:$J$1093,'Harvest Detail'!$A$2:$A$1093,$A41,'Harvest Detail'!$G$2:$G$1093,$C41,'Harvest Detail'!$I$2:$I$1093,O$3)</f>
        <v>0</v>
      </c>
      <c r="P41" s="20">
        <f>SUMIFS('Harvest Detail'!$J$2:$J$1093,'Harvest Detail'!$A$2:$A$1093,$A41,'Harvest Detail'!$G$2:$G$1093,$C41,'Harvest Detail'!$I$2:$I$1093,P$3)</f>
        <v>0</v>
      </c>
      <c r="Q41" s="20">
        <f>SUMIFS('Harvest Detail'!$J$2:$J$1093,'Harvest Detail'!$A$2:$A$1093,$A41,'Harvest Detail'!$G$2:$G$1093,$C41,'Harvest Detail'!$I$2:$I$1093,Q$3)</f>
        <v>0</v>
      </c>
      <c r="R41" s="20">
        <f>SUMIFS('Harvest Detail'!$J$2:$J$1093,'Harvest Detail'!$A$2:$A$1093,$A41,'Harvest Detail'!$G$2:$G$1093,$C41,'Harvest Detail'!$I$2:$I$1093,R$3)</f>
        <v>185</v>
      </c>
      <c r="S41" s="20">
        <f>SUMIFS('Harvest Detail'!$J$2:$J$1093,'Harvest Detail'!$A$2:$A$1093,$A41,'Harvest Detail'!$G$2:$G$1093,$C41,'Harvest Detail'!$I$2:$I$1093,S$3)</f>
        <v>40</v>
      </c>
      <c r="T41" s="20">
        <f>SUMIFS('Harvest Detail'!$J$2:$J$1093,'Harvest Detail'!$A$2:$A$1093,$A41,'Harvest Detail'!$G$2:$G$1093,$C41,'Harvest Detail'!$I$2:$I$1093,T$3)</f>
        <v>0</v>
      </c>
      <c r="U41" s="20">
        <f>SUMIFS('Harvest Detail'!$J$2:$J$1093,'Harvest Detail'!$A$2:$A$1093,$A41,'Harvest Detail'!$G$2:$G$1093,$C41,'Harvest Detail'!$I$2:$I$1093,U$3)</f>
        <v>0</v>
      </c>
      <c r="V41" s="20">
        <f>SUMIFS('Harvest Detail'!$J$2:$J$1093,'Harvest Detail'!$A$2:$A$1093,$A41,'Harvest Detail'!$G$2:$G$1093,$C41,'Harvest Detail'!$I$2:$I$1093,V$3)</f>
        <v>0</v>
      </c>
      <c r="W41" s="20">
        <f>SUMIFS('Harvest Detail'!$J$2:$J$1093,'Harvest Detail'!$A$2:$A$1093,$A41,'Harvest Detail'!$G$2:$G$1093,$C41,'Harvest Detail'!$I$2:$I$1093,W$3)</f>
        <v>149</v>
      </c>
      <c r="X41" s="20">
        <f>SUMIFS('Harvest Detail'!$J$2:$J$1093,'Harvest Detail'!$A$2:$A$1093,$A41,'Harvest Detail'!$G$2:$G$1093,$C41,'Harvest Detail'!$I$2:$I$1093,X$3)</f>
        <v>0</v>
      </c>
      <c r="Y41" s="22">
        <f t="shared" si="1"/>
        <v>821</v>
      </c>
    </row>
    <row r="42" spans="1:25" ht="15" customHeight="1" x14ac:dyDescent="0.75">
      <c r="A42" s="18" t="s">
        <v>76</v>
      </c>
      <c r="B42" s="19">
        <v>46104</v>
      </c>
      <c r="C42" s="18" t="s">
        <v>66</v>
      </c>
      <c r="D42" s="20">
        <f>SUMIFS('Harvest Detail'!$J$2:$J$1093,'Harvest Detail'!$A$2:$A$1093,$A42,'Harvest Detail'!$G$2:$G$1093,$C42,'Harvest Detail'!$I$2:$I$1093,D$3)</f>
        <v>48</v>
      </c>
      <c r="E42" s="20">
        <f>SUMIFS('Harvest Detail'!$J$2:$J$1093,'Harvest Detail'!$A$2:$A$1093,$A42,'Harvest Detail'!$G$2:$G$1093,$C42,'Harvest Detail'!$I$2:$I$1093,E$3)</f>
        <v>0</v>
      </c>
      <c r="F42" s="20">
        <f>SUMIFS('Harvest Detail'!$J$2:$J$1093,'Harvest Detail'!$A$2:$A$1093,$A42,'Harvest Detail'!$G$2:$G$1093,$C42,'Harvest Detail'!$I$2:$I$1093,F$3)</f>
        <v>44</v>
      </c>
      <c r="G42" s="20">
        <f>SUMIFS('Harvest Detail'!$J$2:$J$1093,'Harvest Detail'!$A$2:$A$1093,$A42,'Harvest Detail'!$G$2:$G$1093,$C42,'Harvest Detail'!$I$2:$I$1093,G$3)</f>
        <v>0</v>
      </c>
      <c r="H42" s="20">
        <f>SUMIFS('Harvest Detail'!$J$2:$J$1093,'Harvest Detail'!$A$2:$A$1093,$A42,'Harvest Detail'!$G$2:$G$1093,$C42,'Harvest Detail'!$I$2:$I$1093,H$3)</f>
        <v>0</v>
      </c>
      <c r="I42" s="20">
        <f>SUMIFS('Harvest Detail'!$J$2:$J$1093,'Harvest Detail'!$A$2:$A$1093,$A42,'Harvest Detail'!$G$2:$G$1093,$C42,'Harvest Detail'!$I$2:$I$1093,I$3)</f>
        <v>0</v>
      </c>
      <c r="J42" s="20">
        <f>SUMIFS('Harvest Detail'!$J$2:$J$1093,'Harvest Detail'!$A$2:$A$1093,$A42,'Harvest Detail'!$G$2:$G$1093,$C42,'Harvest Detail'!$I$2:$I$1093,J$3)</f>
        <v>0</v>
      </c>
      <c r="K42" s="20">
        <f>SUMIFS('Harvest Detail'!$J$2:$J$1093,'Harvest Detail'!$A$2:$A$1093,$A42,'Harvest Detail'!$G$2:$G$1093,$C42,'Harvest Detail'!$I$2:$I$1093,K$3)</f>
        <v>0</v>
      </c>
      <c r="L42" s="20">
        <f>SUMIFS('Harvest Detail'!$J$2:$J$1093,'Harvest Detail'!$A$2:$A$1093,$A42,'Harvest Detail'!$G$2:$G$1093,$C42,'Harvest Detail'!$I$2:$I$1093,L$3)</f>
        <v>0</v>
      </c>
      <c r="M42" s="20">
        <f>SUMIFS('Harvest Detail'!$J$2:$J$1093,'Harvest Detail'!$A$2:$A$1093,$A42,'Harvest Detail'!$G$2:$G$1093,$C42,'Harvest Detail'!$I$2:$I$1093,M$3)</f>
        <v>34</v>
      </c>
      <c r="N42" s="20">
        <f>SUMIFS('Harvest Detail'!$J$2:$J$1093,'Harvest Detail'!$A$2:$A$1093,$A42,'Harvest Detail'!$G$2:$G$1093,$C42,'Harvest Detail'!$I$2:$I$1093,N$3)</f>
        <v>20</v>
      </c>
      <c r="O42" s="20">
        <f>SUMIFS('Harvest Detail'!$J$2:$J$1093,'Harvest Detail'!$A$2:$A$1093,$A42,'Harvest Detail'!$G$2:$G$1093,$C42,'Harvest Detail'!$I$2:$I$1093,O$3)</f>
        <v>0</v>
      </c>
      <c r="P42" s="20">
        <f>SUMIFS('Harvest Detail'!$J$2:$J$1093,'Harvest Detail'!$A$2:$A$1093,$A42,'Harvest Detail'!$G$2:$G$1093,$C42,'Harvest Detail'!$I$2:$I$1093,P$3)</f>
        <v>33</v>
      </c>
      <c r="Q42" s="20">
        <f>SUMIFS('Harvest Detail'!$J$2:$J$1093,'Harvest Detail'!$A$2:$A$1093,$A42,'Harvest Detail'!$G$2:$G$1093,$C42,'Harvest Detail'!$I$2:$I$1093,Q$3)</f>
        <v>0</v>
      </c>
      <c r="R42" s="20">
        <f>SUMIFS('Harvest Detail'!$J$2:$J$1093,'Harvest Detail'!$A$2:$A$1093,$A42,'Harvest Detail'!$G$2:$G$1093,$C42,'Harvest Detail'!$I$2:$I$1093,R$3)</f>
        <v>80</v>
      </c>
      <c r="S42" s="20">
        <f>SUMIFS('Harvest Detail'!$J$2:$J$1093,'Harvest Detail'!$A$2:$A$1093,$A42,'Harvest Detail'!$G$2:$G$1093,$C42,'Harvest Detail'!$I$2:$I$1093,S$3)</f>
        <v>10</v>
      </c>
      <c r="T42" s="20">
        <f>SUMIFS('Harvest Detail'!$J$2:$J$1093,'Harvest Detail'!$A$2:$A$1093,$A42,'Harvest Detail'!$G$2:$G$1093,$C42,'Harvest Detail'!$I$2:$I$1093,T$3)</f>
        <v>15</v>
      </c>
      <c r="U42" s="20">
        <f>SUMIFS('Harvest Detail'!$J$2:$J$1093,'Harvest Detail'!$A$2:$A$1093,$A42,'Harvest Detail'!$G$2:$G$1093,$C42,'Harvest Detail'!$I$2:$I$1093,U$3)</f>
        <v>3</v>
      </c>
      <c r="V42" s="20">
        <f>SUMIFS('Harvest Detail'!$J$2:$J$1093,'Harvest Detail'!$A$2:$A$1093,$A42,'Harvest Detail'!$G$2:$G$1093,$C42,'Harvest Detail'!$I$2:$I$1093,V$3)</f>
        <v>0</v>
      </c>
      <c r="W42" s="20">
        <f>SUMIFS('Harvest Detail'!$J$2:$J$1093,'Harvest Detail'!$A$2:$A$1093,$A42,'Harvest Detail'!$G$2:$G$1093,$C42,'Harvest Detail'!$I$2:$I$1093,W$3)</f>
        <v>0</v>
      </c>
      <c r="X42" s="20">
        <f>SUMIFS('Harvest Detail'!$J$2:$J$1093,'Harvest Detail'!$A$2:$A$1093,$A42,'Harvest Detail'!$G$2:$G$1093,$C42,'Harvest Detail'!$I$2:$I$1093,X$3)</f>
        <v>0</v>
      </c>
      <c r="Y42" s="22">
        <f t="shared" si="1"/>
        <v>287</v>
      </c>
    </row>
    <row r="43" spans="1:25" ht="15" customHeight="1" x14ac:dyDescent="0.75">
      <c r="A43" s="18" t="s">
        <v>77</v>
      </c>
      <c r="B43" s="19">
        <v>46111</v>
      </c>
      <c r="C43" s="18" t="s">
        <v>56</v>
      </c>
      <c r="D43" s="20">
        <f>SUMIFS('Harvest Detail'!$J$2:$J$1093,'Harvest Detail'!$A$2:$A$1093,$A43,'Harvest Detail'!$G$2:$G$1093,$C43,'Harvest Detail'!$I$2:$I$1093,D$3)</f>
        <v>39</v>
      </c>
      <c r="E43" s="20">
        <f>SUMIFS('Harvest Detail'!$J$2:$J$1093,'Harvest Detail'!$A$2:$A$1093,$A43,'Harvest Detail'!$G$2:$G$1093,$C43,'Harvest Detail'!$I$2:$I$1093,E$3)</f>
        <v>0</v>
      </c>
      <c r="F43" s="20">
        <f>SUMIFS('Harvest Detail'!$J$2:$J$1093,'Harvest Detail'!$A$2:$A$1093,$A43,'Harvest Detail'!$G$2:$G$1093,$C43,'Harvest Detail'!$I$2:$I$1093,F$3)</f>
        <v>0</v>
      </c>
      <c r="G43" s="20">
        <f>SUMIFS('Harvest Detail'!$J$2:$J$1093,'Harvest Detail'!$A$2:$A$1093,$A43,'Harvest Detail'!$G$2:$G$1093,$C43,'Harvest Detail'!$I$2:$I$1093,G$3)</f>
        <v>0</v>
      </c>
      <c r="H43" s="20">
        <f>SUMIFS('Harvest Detail'!$J$2:$J$1093,'Harvest Detail'!$A$2:$A$1093,$A43,'Harvest Detail'!$G$2:$G$1093,$C43,'Harvest Detail'!$I$2:$I$1093,H$3)</f>
        <v>26</v>
      </c>
      <c r="I43" s="20">
        <f>SUMIFS('Harvest Detail'!$J$2:$J$1093,'Harvest Detail'!$A$2:$A$1093,$A43,'Harvest Detail'!$G$2:$G$1093,$C43,'Harvest Detail'!$I$2:$I$1093,I$3)</f>
        <v>34</v>
      </c>
      <c r="J43" s="20">
        <f>SUMIFS('Harvest Detail'!$J$2:$J$1093,'Harvest Detail'!$A$2:$A$1093,$A43,'Harvest Detail'!$G$2:$G$1093,$C43,'Harvest Detail'!$I$2:$I$1093,J$3)</f>
        <v>0</v>
      </c>
      <c r="K43" s="20">
        <f>SUMIFS('Harvest Detail'!$J$2:$J$1093,'Harvest Detail'!$A$2:$A$1093,$A43,'Harvest Detail'!$G$2:$G$1093,$C43,'Harvest Detail'!$I$2:$I$1093,K$3)</f>
        <v>8</v>
      </c>
      <c r="L43" s="20">
        <f>SUMIFS('Harvest Detail'!$J$2:$J$1093,'Harvest Detail'!$A$2:$A$1093,$A43,'Harvest Detail'!$G$2:$G$1093,$C43,'Harvest Detail'!$I$2:$I$1093,L$3)</f>
        <v>0</v>
      </c>
      <c r="M43" s="20">
        <f>SUMIFS('Harvest Detail'!$J$2:$J$1093,'Harvest Detail'!$A$2:$A$1093,$A43,'Harvest Detail'!$G$2:$G$1093,$C43,'Harvest Detail'!$I$2:$I$1093,M$3)</f>
        <v>0</v>
      </c>
      <c r="N43" s="20">
        <f>SUMIFS('Harvest Detail'!$J$2:$J$1093,'Harvest Detail'!$A$2:$A$1093,$A43,'Harvest Detail'!$G$2:$G$1093,$C43,'Harvest Detail'!$I$2:$I$1093,N$3)</f>
        <v>9</v>
      </c>
      <c r="O43" s="20">
        <f>SUMIFS('Harvest Detail'!$J$2:$J$1093,'Harvest Detail'!$A$2:$A$1093,$A43,'Harvest Detail'!$G$2:$G$1093,$C43,'Harvest Detail'!$I$2:$I$1093,O$3)</f>
        <v>0</v>
      </c>
      <c r="P43" s="20">
        <f>SUMIFS('Harvest Detail'!$J$2:$J$1093,'Harvest Detail'!$A$2:$A$1093,$A43,'Harvest Detail'!$G$2:$G$1093,$C43,'Harvest Detail'!$I$2:$I$1093,P$3)</f>
        <v>0</v>
      </c>
      <c r="Q43" s="20">
        <f>SUMIFS('Harvest Detail'!$J$2:$J$1093,'Harvest Detail'!$A$2:$A$1093,$A43,'Harvest Detail'!$G$2:$G$1093,$C43,'Harvest Detail'!$I$2:$I$1093,Q$3)</f>
        <v>28</v>
      </c>
      <c r="R43" s="20">
        <f>SUMIFS('Harvest Detail'!$J$2:$J$1093,'Harvest Detail'!$A$2:$A$1093,$A43,'Harvest Detail'!$G$2:$G$1093,$C43,'Harvest Detail'!$I$2:$I$1093,R$3)</f>
        <v>45</v>
      </c>
      <c r="S43" s="20">
        <f>SUMIFS('Harvest Detail'!$J$2:$J$1093,'Harvest Detail'!$A$2:$A$1093,$A43,'Harvest Detail'!$G$2:$G$1093,$C43,'Harvest Detail'!$I$2:$I$1093,S$3)</f>
        <v>0</v>
      </c>
      <c r="T43" s="20">
        <f>SUMIFS('Harvest Detail'!$J$2:$J$1093,'Harvest Detail'!$A$2:$A$1093,$A43,'Harvest Detail'!$G$2:$G$1093,$C43,'Harvest Detail'!$I$2:$I$1093,T$3)</f>
        <v>0</v>
      </c>
      <c r="U43" s="20">
        <f>SUMIFS('Harvest Detail'!$J$2:$J$1093,'Harvest Detail'!$A$2:$A$1093,$A43,'Harvest Detail'!$G$2:$G$1093,$C43,'Harvest Detail'!$I$2:$I$1093,U$3)</f>
        <v>0</v>
      </c>
      <c r="V43" s="20">
        <f>SUMIFS('Harvest Detail'!$J$2:$J$1093,'Harvest Detail'!$A$2:$A$1093,$A43,'Harvest Detail'!$G$2:$G$1093,$C43,'Harvest Detail'!$I$2:$I$1093,V$3)</f>
        <v>0</v>
      </c>
      <c r="W43" s="20">
        <f>SUMIFS('Harvest Detail'!$J$2:$J$1093,'Harvest Detail'!$A$2:$A$1093,$A43,'Harvest Detail'!$G$2:$G$1093,$C43,'Harvest Detail'!$I$2:$I$1093,W$3)</f>
        <v>0</v>
      </c>
      <c r="X43" s="20">
        <f>SUMIFS('Harvest Detail'!$J$2:$J$1093,'Harvest Detail'!$A$2:$A$1093,$A43,'Harvest Detail'!$G$2:$G$1093,$C43,'Harvest Detail'!$I$2:$I$1093,X$3)</f>
        <v>11</v>
      </c>
      <c r="Y43" s="22">
        <f t="shared" si="1"/>
        <v>200</v>
      </c>
    </row>
    <row r="44" spans="1:25" ht="15" customHeight="1" x14ac:dyDescent="0.75">
      <c r="A44" s="18" t="s">
        <v>77</v>
      </c>
      <c r="B44" s="19">
        <v>46111</v>
      </c>
      <c r="C44" s="18" t="s">
        <v>58</v>
      </c>
      <c r="D44" s="20">
        <f>SUMIFS('Harvest Detail'!$J$2:$J$1093,'Harvest Detail'!$A$2:$A$1093,$A44,'Harvest Detail'!$G$2:$G$1093,$C44,'Harvest Detail'!$I$2:$I$1093,D$3)</f>
        <v>315</v>
      </c>
      <c r="E44" s="20">
        <f>SUMIFS('Harvest Detail'!$J$2:$J$1093,'Harvest Detail'!$A$2:$A$1093,$A44,'Harvest Detail'!$G$2:$G$1093,$C44,'Harvest Detail'!$I$2:$I$1093,E$3)</f>
        <v>226</v>
      </c>
      <c r="F44" s="20">
        <f>SUMIFS('Harvest Detail'!$J$2:$J$1093,'Harvest Detail'!$A$2:$A$1093,$A44,'Harvest Detail'!$G$2:$G$1093,$C44,'Harvest Detail'!$I$2:$I$1093,F$3)</f>
        <v>0</v>
      </c>
      <c r="G44" s="20">
        <f>SUMIFS('Harvest Detail'!$J$2:$J$1093,'Harvest Detail'!$A$2:$A$1093,$A44,'Harvest Detail'!$G$2:$G$1093,$C44,'Harvest Detail'!$I$2:$I$1093,G$3)</f>
        <v>5</v>
      </c>
      <c r="H44" s="20">
        <f>SUMIFS('Harvest Detail'!$J$2:$J$1093,'Harvest Detail'!$A$2:$A$1093,$A44,'Harvest Detail'!$G$2:$G$1093,$C44,'Harvest Detail'!$I$2:$I$1093,H$3)</f>
        <v>0</v>
      </c>
      <c r="I44" s="20">
        <f>SUMIFS('Harvest Detail'!$J$2:$J$1093,'Harvest Detail'!$A$2:$A$1093,$A44,'Harvest Detail'!$G$2:$G$1093,$C44,'Harvest Detail'!$I$2:$I$1093,I$3)</f>
        <v>0</v>
      </c>
      <c r="J44" s="20">
        <f>SUMIFS('Harvest Detail'!$J$2:$J$1093,'Harvest Detail'!$A$2:$A$1093,$A44,'Harvest Detail'!$G$2:$G$1093,$C44,'Harvest Detail'!$I$2:$I$1093,J$3)</f>
        <v>0</v>
      </c>
      <c r="K44" s="20">
        <f>SUMIFS('Harvest Detail'!$J$2:$J$1093,'Harvest Detail'!$A$2:$A$1093,$A44,'Harvest Detail'!$G$2:$G$1093,$C44,'Harvest Detail'!$I$2:$I$1093,K$3)</f>
        <v>0</v>
      </c>
      <c r="L44" s="20">
        <f>SUMIFS('Harvest Detail'!$J$2:$J$1093,'Harvest Detail'!$A$2:$A$1093,$A44,'Harvest Detail'!$G$2:$G$1093,$C44,'Harvest Detail'!$I$2:$I$1093,L$3)</f>
        <v>0</v>
      </c>
      <c r="M44" s="20">
        <f>SUMIFS('Harvest Detail'!$J$2:$J$1093,'Harvest Detail'!$A$2:$A$1093,$A44,'Harvest Detail'!$G$2:$G$1093,$C44,'Harvest Detail'!$I$2:$I$1093,M$3)</f>
        <v>0</v>
      </c>
      <c r="N44" s="20">
        <f>SUMIFS('Harvest Detail'!$J$2:$J$1093,'Harvest Detail'!$A$2:$A$1093,$A44,'Harvest Detail'!$G$2:$G$1093,$C44,'Harvest Detail'!$I$2:$I$1093,N$3)</f>
        <v>0</v>
      </c>
      <c r="O44" s="20">
        <f>SUMIFS('Harvest Detail'!$J$2:$J$1093,'Harvest Detail'!$A$2:$A$1093,$A44,'Harvest Detail'!$G$2:$G$1093,$C44,'Harvest Detail'!$I$2:$I$1093,O$3)</f>
        <v>0</v>
      </c>
      <c r="P44" s="20">
        <f>SUMIFS('Harvest Detail'!$J$2:$J$1093,'Harvest Detail'!$A$2:$A$1093,$A44,'Harvest Detail'!$G$2:$G$1093,$C44,'Harvest Detail'!$I$2:$I$1093,P$3)</f>
        <v>0</v>
      </c>
      <c r="Q44" s="20">
        <f>SUMIFS('Harvest Detail'!$J$2:$J$1093,'Harvest Detail'!$A$2:$A$1093,$A44,'Harvest Detail'!$G$2:$G$1093,$C44,'Harvest Detail'!$I$2:$I$1093,Q$3)</f>
        <v>0</v>
      </c>
      <c r="R44" s="20">
        <f>SUMIFS('Harvest Detail'!$J$2:$J$1093,'Harvest Detail'!$A$2:$A$1093,$A44,'Harvest Detail'!$G$2:$G$1093,$C44,'Harvest Detail'!$I$2:$I$1093,R$3)</f>
        <v>5</v>
      </c>
      <c r="S44" s="20">
        <f>SUMIFS('Harvest Detail'!$J$2:$J$1093,'Harvest Detail'!$A$2:$A$1093,$A44,'Harvest Detail'!$G$2:$G$1093,$C44,'Harvest Detail'!$I$2:$I$1093,S$3)</f>
        <v>0</v>
      </c>
      <c r="T44" s="20">
        <f>SUMIFS('Harvest Detail'!$J$2:$J$1093,'Harvest Detail'!$A$2:$A$1093,$A44,'Harvest Detail'!$G$2:$G$1093,$C44,'Harvest Detail'!$I$2:$I$1093,T$3)</f>
        <v>0</v>
      </c>
      <c r="U44" s="20">
        <f>SUMIFS('Harvest Detail'!$J$2:$J$1093,'Harvest Detail'!$A$2:$A$1093,$A44,'Harvest Detail'!$G$2:$G$1093,$C44,'Harvest Detail'!$I$2:$I$1093,U$3)</f>
        <v>0</v>
      </c>
      <c r="V44" s="20">
        <f>SUMIFS('Harvest Detail'!$J$2:$J$1093,'Harvest Detail'!$A$2:$A$1093,$A44,'Harvest Detail'!$G$2:$G$1093,$C44,'Harvest Detail'!$I$2:$I$1093,V$3)</f>
        <v>0</v>
      </c>
      <c r="W44" s="20">
        <f>SUMIFS('Harvest Detail'!$J$2:$J$1093,'Harvest Detail'!$A$2:$A$1093,$A44,'Harvest Detail'!$G$2:$G$1093,$C44,'Harvest Detail'!$I$2:$I$1093,W$3)</f>
        <v>159</v>
      </c>
      <c r="X44" s="20">
        <f>SUMIFS('Harvest Detail'!$J$2:$J$1093,'Harvest Detail'!$A$2:$A$1093,$A44,'Harvest Detail'!$G$2:$G$1093,$C44,'Harvest Detail'!$I$2:$I$1093,X$3)</f>
        <v>0</v>
      </c>
      <c r="Y44" s="22">
        <f t="shared" si="1"/>
        <v>710</v>
      </c>
    </row>
    <row r="45" spans="1:25" ht="15" customHeight="1" x14ac:dyDescent="0.75">
      <c r="A45" s="18" t="s">
        <v>77</v>
      </c>
      <c r="B45" s="19">
        <v>46111</v>
      </c>
      <c r="C45" s="18" t="s">
        <v>66</v>
      </c>
      <c r="D45" s="20">
        <f>SUMIFS('Harvest Detail'!$J$2:$J$1093,'Harvest Detail'!$A$2:$A$1093,$A45,'Harvest Detail'!$G$2:$G$1093,$C45,'Harvest Detail'!$I$2:$I$1093,D$3)</f>
        <v>12</v>
      </c>
      <c r="E45" s="20">
        <f>SUMIFS('Harvest Detail'!$J$2:$J$1093,'Harvest Detail'!$A$2:$A$1093,$A45,'Harvest Detail'!$G$2:$G$1093,$C45,'Harvest Detail'!$I$2:$I$1093,E$3)</f>
        <v>50</v>
      </c>
      <c r="F45" s="20">
        <f>SUMIFS('Harvest Detail'!$J$2:$J$1093,'Harvest Detail'!$A$2:$A$1093,$A45,'Harvest Detail'!$G$2:$G$1093,$C45,'Harvest Detail'!$I$2:$I$1093,F$3)</f>
        <v>0</v>
      </c>
      <c r="G45" s="20">
        <f>SUMIFS('Harvest Detail'!$J$2:$J$1093,'Harvest Detail'!$A$2:$A$1093,$A45,'Harvest Detail'!$G$2:$G$1093,$C45,'Harvest Detail'!$I$2:$I$1093,G$3)</f>
        <v>0</v>
      </c>
      <c r="H45" s="20">
        <f>SUMIFS('Harvest Detail'!$J$2:$J$1093,'Harvest Detail'!$A$2:$A$1093,$A45,'Harvest Detail'!$G$2:$G$1093,$C45,'Harvest Detail'!$I$2:$I$1093,H$3)</f>
        <v>0</v>
      </c>
      <c r="I45" s="20">
        <f>SUMIFS('Harvest Detail'!$J$2:$J$1093,'Harvest Detail'!$A$2:$A$1093,$A45,'Harvest Detail'!$G$2:$G$1093,$C45,'Harvest Detail'!$I$2:$I$1093,I$3)</f>
        <v>0</v>
      </c>
      <c r="J45" s="20">
        <f>SUMIFS('Harvest Detail'!$J$2:$J$1093,'Harvest Detail'!$A$2:$A$1093,$A45,'Harvest Detail'!$G$2:$G$1093,$C45,'Harvest Detail'!$I$2:$I$1093,J$3)</f>
        <v>0</v>
      </c>
      <c r="K45" s="20">
        <f>SUMIFS('Harvest Detail'!$J$2:$J$1093,'Harvest Detail'!$A$2:$A$1093,$A45,'Harvest Detail'!$G$2:$G$1093,$C45,'Harvest Detail'!$I$2:$I$1093,K$3)</f>
        <v>0</v>
      </c>
      <c r="L45" s="20">
        <f>SUMIFS('Harvest Detail'!$J$2:$J$1093,'Harvest Detail'!$A$2:$A$1093,$A45,'Harvest Detail'!$G$2:$G$1093,$C45,'Harvest Detail'!$I$2:$I$1093,L$3)</f>
        <v>0</v>
      </c>
      <c r="M45" s="20">
        <f>SUMIFS('Harvest Detail'!$J$2:$J$1093,'Harvest Detail'!$A$2:$A$1093,$A45,'Harvest Detail'!$G$2:$G$1093,$C45,'Harvest Detail'!$I$2:$I$1093,M$3)</f>
        <v>0</v>
      </c>
      <c r="N45" s="20">
        <f>SUMIFS('Harvest Detail'!$J$2:$J$1093,'Harvest Detail'!$A$2:$A$1093,$A45,'Harvest Detail'!$G$2:$G$1093,$C45,'Harvest Detail'!$I$2:$I$1093,N$3)</f>
        <v>0</v>
      </c>
      <c r="O45" s="20">
        <f>SUMIFS('Harvest Detail'!$J$2:$J$1093,'Harvest Detail'!$A$2:$A$1093,$A45,'Harvest Detail'!$G$2:$G$1093,$C45,'Harvest Detail'!$I$2:$I$1093,O$3)</f>
        <v>0</v>
      </c>
      <c r="P45" s="20">
        <f>SUMIFS('Harvest Detail'!$J$2:$J$1093,'Harvest Detail'!$A$2:$A$1093,$A45,'Harvest Detail'!$G$2:$G$1093,$C45,'Harvest Detail'!$I$2:$I$1093,P$3)</f>
        <v>0</v>
      </c>
      <c r="Q45" s="20">
        <f>SUMIFS('Harvest Detail'!$J$2:$J$1093,'Harvest Detail'!$A$2:$A$1093,$A45,'Harvest Detail'!$G$2:$G$1093,$C45,'Harvest Detail'!$I$2:$I$1093,Q$3)</f>
        <v>0</v>
      </c>
      <c r="R45" s="20">
        <f>SUMIFS('Harvest Detail'!$J$2:$J$1093,'Harvest Detail'!$A$2:$A$1093,$A45,'Harvest Detail'!$G$2:$G$1093,$C45,'Harvest Detail'!$I$2:$I$1093,R$3)</f>
        <v>0</v>
      </c>
      <c r="S45" s="20">
        <f>SUMIFS('Harvest Detail'!$J$2:$J$1093,'Harvest Detail'!$A$2:$A$1093,$A45,'Harvest Detail'!$G$2:$G$1093,$C45,'Harvest Detail'!$I$2:$I$1093,S$3)</f>
        <v>0</v>
      </c>
      <c r="T45" s="20">
        <f>SUMIFS('Harvest Detail'!$J$2:$J$1093,'Harvest Detail'!$A$2:$A$1093,$A45,'Harvest Detail'!$G$2:$G$1093,$C45,'Harvest Detail'!$I$2:$I$1093,T$3)</f>
        <v>0</v>
      </c>
      <c r="U45" s="20">
        <f>SUMIFS('Harvest Detail'!$J$2:$J$1093,'Harvest Detail'!$A$2:$A$1093,$A45,'Harvest Detail'!$G$2:$G$1093,$C45,'Harvest Detail'!$I$2:$I$1093,U$3)</f>
        <v>5</v>
      </c>
      <c r="V45" s="20">
        <f>SUMIFS('Harvest Detail'!$J$2:$J$1093,'Harvest Detail'!$A$2:$A$1093,$A45,'Harvest Detail'!$G$2:$G$1093,$C45,'Harvest Detail'!$I$2:$I$1093,V$3)</f>
        <v>0</v>
      </c>
      <c r="W45" s="20">
        <f>SUMIFS('Harvest Detail'!$J$2:$J$1093,'Harvest Detail'!$A$2:$A$1093,$A45,'Harvest Detail'!$G$2:$G$1093,$C45,'Harvest Detail'!$I$2:$I$1093,W$3)</f>
        <v>0</v>
      </c>
      <c r="X45" s="20">
        <f>SUMIFS('Harvest Detail'!$J$2:$J$1093,'Harvest Detail'!$A$2:$A$1093,$A45,'Harvest Detail'!$G$2:$G$1093,$C45,'Harvest Detail'!$I$2:$I$1093,X$3)</f>
        <v>0</v>
      </c>
      <c r="Y45" s="22">
        <f t="shared" si="1"/>
        <v>67</v>
      </c>
    </row>
    <row r="46" spans="1:25" ht="15" customHeight="1" x14ac:dyDescent="0.75">
      <c r="A46" s="18" t="s">
        <v>78</v>
      </c>
      <c r="B46" s="19">
        <v>46118</v>
      </c>
      <c r="C46" s="18" t="s">
        <v>56</v>
      </c>
      <c r="D46" s="20">
        <f>SUMIFS('Harvest Detail'!$J$2:$J$1093,'Harvest Detail'!$A$2:$A$1093,$A46,'Harvest Detail'!$G$2:$G$1093,$C46,'Harvest Detail'!$I$2:$I$1093,D$3)</f>
        <v>18</v>
      </c>
      <c r="E46" s="20">
        <f>SUMIFS('Harvest Detail'!$J$2:$J$1093,'Harvest Detail'!$A$2:$A$1093,$A46,'Harvest Detail'!$G$2:$G$1093,$C46,'Harvest Detail'!$I$2:$I$1093,E$3)</f>
        <v>0</v>
      </c>
      <c r="F46" s="20">
        <f>SUMIFS('Harvest Detail'!$J$2:$J$1093,'Harvest Detail'!$A$2:$A$1093,$A46,'Harvest Detail'!$G$2:$G$1093,$C46,'Harvest Detail'!$I$2:$I$1093,F$3)</f>
        <v>19</v>
      </c>
      <c r="G46" s="20">
        <f>SUMIFS('Harvest Detail'!$J$2:$J$1093,'Harvest Detail'!$A$2:$A$1093,$A46,'Harvest Detail'!$G$2:$G$1093,$C46,'Harvest Detail'!$I$2:$I$1093,G$3)</f>
        <v>0</v>
      </c>
      <c r="H46" s="20">
        <f>SUMIFS('Harvest Detail'!$J$2:$J$1093,'Harvest Detail'!$A$2:$A$1093,$A46,'Harvest Detail'!$G$2:$G$1093,$C46,'Harvest Detail'!$I$2:$I$1093,H$3)</f>
        <v>0</v>
      </c>
      <c r="I46" s="20">
        <f>SUMIFS('Harvest Detail'!$J$2:$J$1093,'Harvest Detail'!$A$2:$A$1093,$A46,'Harvest Detail'!$G$2:$G$1093,$C46,'Harvest Detail'!$I$2:$I$1093,I$3)</f>
        <v>35</v>
      </c>
      <c r="J46" s="20">
        <f>SUMIFS('Harvest Detail'!$J$2:$J$1093,'Harvest Detail'!$A$2:$A$1093,$A46,'Harvest Detail'!$G$2:$G$1093,$C46,'Harvest Detail'!$I$2:$I$1093,J$3)</f>
        <v>0</v>
      </c>
      <c r="K46" s="20">
        <f>SUMIFS('Harvest Detail'!$J$2:$J$1093,'Harvest Detail'!$A$2:$A$1093,$A46,'Harvest Detail'!$G$2:$G$1093,$C46,'Harvest Detail'!$I$2:$I$1093,K$3)</f>
        <v>0</v>
      </c>
      <c r="L46" s="20">
        <f>SUMIFS('Harvest Detail'!$J$2:$J$1093,'Harvest Detail'!$A$2:$A$1093,$A46,'Harvest Detail'!$G$2:$G$1093,$C46,'Harvest Detail'!$I$2:$I$1093,L$3)</f>
        <v>6</v>
      </c>
      <c r="M46" s="20">
        <f>SUMIFS('Harvest Detail'!$J$2:$J$1093,'Harvest Detail'!$A$2:$A$1093,$A46,'Harvest Detail'!$G$2:$G$1093,$C46,'Harvest Detail'!$I$2:$I$1093,M$3)</f>
        <v>31</v>
      </c>
      <c r="N46" s="20">
        <f>SUMIFS('Harvest Detail'!$J$2:$J$1093,'Harvest Detail'!$A$2:$A$1093,$A46,'Harvest Detail'!$G$2:$G$1093,$C46,'Harvest Detail'!$I$2:$I$1093,N$3)</f>
        <v>39</v>
      </c>
      <c r="O46" s="20">
        <f>SUMIFS('Harvest Detail'!$J$2:$J$1093,'Harvest Detail'!$A$2:$A$1093,$A46,'Harvest Detail'!$G$2:$G$1093,$C46,'Harvest Detail'!$I$2:$I$1093,O$3)</f>
        <v>0</v>
      </c>
      <c r="P46" s="20">
        <f>SUMIFS('Harvest Detail'!$J$2:$J$1093,'Harvest Detail'!$A$2:$A$1093,$A46,'Harvest Detail'!$G$2:$G$1093,$C46,'Harvest Detail'!$I$2:$I$1093,P$3)</f>
        <v>26</v>
      </c>
      <c r="Q46" s="20">
        <f>SUMIFS('Harvest Detail'!$J$2:$J$1093,'Harvest Detail'!$A$2:$A$1093,$A46,'Harvest Detail'!$G$2:$G$1093,$C46,'Harvest Detail'!$I$2:$I$1093,Q$3)</f>
        <v>53</v>
      </c>
      <c r="R46" s="20">
        <f>SUMIFS('Harvest Detail'!$J$2:$J$1093,'Harvest Detail'!$A$2:$A$1093,$A46,'Harvest Detail'!$G$2:$G$1093,$C46,'Harvest Detail'!$I$2:$I$1093,R$3)</f>
        <v>120</v>
      </c>
      <c r="S46" s="20">
        <f>SUMIFS('Harvest Detail'!$J$2:$J$1093,'Harvest Detail'!$A$2:$A$1093,$A46,'Harvest Detail'!$G$2:$G$1093,$C46,'Harvest Detail'!$I$2:$I$1093,S$3)</f>
        <v>0</v>
      </c>
      <c r="T46" s="20">
        <f>SUMIFS('Harvest Detail'!$J$2:$J$1093,'Harvest Detail'!$A$2:$A$1093,$A46,'Harvest Detail'!$G$2:$G$1093,$C46,'Harvest Detail'!$I$2:$I$1093,T$3)</f>
        <v>0</v>
      </c>
      <c r="U46" s="20">
        <f>SUMIFS('Harvest Detail'!$J$2:$J$1093,'Harvest Detail'!$A$2:$A$1093,$A46,'Harvest Detail'!$G$2:$G$1093,$C46,'Harvest Detail'!$I$2:$I$1093,U$3)</f>
        <v>20</v>
      </c>
      <c r="V46" s="20">
        <f>SUMIFS('Harvest Detail'!$J$2:$J$1093,'Harvest Detail'!$A$2:$A$1093,$A46,'Harvest Detail'!$G$2:$G$1093,$C46,'Harvest Detail'!$I$2:$I$1093,V$3)</f>
        <v>0</v>
      </c>
      <c r="W46" s="20">
        <f>SUMIFS('Harvest Detail'!$J$2:$J$1093,'Harvest Detail'!$A$2:$A$1093,$A46,'Harvest Detail'!$G$2:$G$1093,$C46,'Harvest Detail'!$I$2:$I$1093,W$3)</f>
        <v>0</v>
      </c>
      <c r="X46" s="20">
        <f>SUMIFS('Harvest Detail'!$J$2:$J$1093,'Harvest Detail'!$A$2:$A$1093,$A46,'Harvest Detail'!$G$2:$G$1093,$C46,'Harvest Detail'!$I$2:$I$1093,X$3)</f>
        <v>11</v>
      </c>
      <c r="Y46" s="22">
        <f t="shared" si="1"/>
        <v>378</v>
      </c>
    </row>
    <row r="47" spans="1:25" ht="15" customHeight="1" x14ac:dyDescent="0.75">
      <c r="A47" s="18" t="s">
        <v>78</v>
      </c>
      <c r="B47" s="19">
        <v>46118</v>
      </c>
      <c r="C47" s="18" t="s">
        <v>58</v>
      </c>
      <c r="D47" s="20">
        <f>SUMIFS('Harvest Detail'!$J$2:$J$1093,'Harvest Detail'!$A$2:$A$1093,$A47,'Harvest Detail'!$G$2:$G$1093,$C47,'Harvest Detail'!$I$2:$I$1093,D$3)</f>
        <v>438</v>
      </c>
      <c r="E47" s="20">
        <f>SUMIFS('Harvest Detail'!$J$2:$J$1093,'Harvest Detail'!$A$2:$A$1093,$A47,'Harvest Detail'!$G$2:$G$1093,$C47,'Harvest Detail'!$I$2:$I$1093,E$3)</f>
        <v>99</v>
      </c>
      <c r="F47" s="20">
        <f>SUMIFS('Harvest Detail'!$J$2:$J$1093,'Harvest Detail'!$A$2:$A$1093,$A47,'Harvest Detail'!$G$2:$G$1093,$C47,'Harvest Detail'!$I$2:$I$1093,F$3)</f>
        <v>0</v>
      </c>
      <c r="G47" s="20">
        <f>SUMIFS('Harvest Detail'!$J$2:$J$1093,'Harvest Detail'!$A$2:$A$1093,$A47,'Harvest Detail'!$G$2:$G$1093,$C47,'Harvest Detail'!$I$2:$I$1093,G$3)</f>
        <v>25</v>
      </c>
      <c r="H47" s="20">
        <f>SUMIFS('Harvest Detail'!$J$2:$J$1093,'Harvest Detail'!$A$2:$A$1093,$A47,'Harvest Detail'!$G$2:$G$1093,$C47,'Harvest Detail'!$I$2:$I$1093,H$3)</f>
        <v>0</v>
      </c>
      <c r="I47" s="20">
        <f>SUMIFS('Harvest Detail'!$J$2:$J$1093,'Harvest Detail'!$A$2:$A$1093,$A47,'Harvest Detail'!$G$2:$G$1093,$C47,'Harvest Detail'!$I$2:$I$1093,I$3)</f>
        <v>0</v>
      </c>
      <c r="J47" s="20">
        <f>SUMIFS('Harvest Detail'!$J$2:$J$1093,'Harvest Detail'!$A$2:$A$1093,$A47,'Harvest Detail'!$G$2:$G$1093,$C47,'Harvest Detail'!$I$2:$I$1093,J$3)</f>
        <v>0</v>
      </c>
      <c r="K47" s="20">
        <f>SUMIFS('Harvest Detail'!$J$2:$J$1093,'Harvest Detail'!$A$2:$A$1093,$A47,'Harvest Detail'!$G$2:$G$1093,$C47,'Harvest Detail'!$I$2:$I$1093,K$3)</f>
        <v>0</v>
      </c>
      <c r="L47" s="20">
        <f>SUMIFS('Harvest Detail'!$J$2:$J$1093,'Harvest Detail'!$A$2:$A$1093,$A47,'Harvest Detail'!$G$2:$G$1093,$C47,'Harvest Detail'!$I$2:$I$1093,L$3)</f>
        <v>0</v>
      </c>
      <c r="M47" s="20">
        <f>SUMIFS('Harvest Detail'!$J$2:$J$1093,'Harvest Detail'!$A$2:$A$1093,$A47,'Harvest Detail'!$G$2:$G$1093,$C47,'Harvest Detail'!$I$2:$I$1093,M$3)</f>
        <v>0</v>
      </c>
      <c r="N47" s="20">
        <f>SUMIFS('Harvest Detail'!$J$2:$J$1093,'Harvest Detail'!$A$2:$A$1093,$A47,'Harvest Detail'!$G$2:$G$1093,$C47,'Harvest Detail'!$I$2:$I$1093,N$3)</f>
        <v>0</v>
      </c>
      <c r="O47" s="20">
        <f>SUMIFS('Harvest Detail'!$J$2:$J$1093,'Harvest Detail'!$A$2:$A$1093,$A47,'Harvest Detail'!$G$2:$G$1093,$C47,'Harvest Detail'!$I$2:$I$1093,O$3)</f>
        <v>0</v>
      </c>
      <c r="P47" s="20">
        <f>SUMIFS('Harvest Detail'!$J$2:$J$1093,'Harvest Detail'!$A$2:$A$1093,$A47,'Harvest Detail'!$G$2:$G$1093,$C47,'Harvest Detail'!$I$2:$I$1093,P$3)</f>
        <v>0</v>
      </c>
      <c r="Q47" s="20">
        <f>SUMIFS('Harvest Detail'!$J$2:$J$1093,'Harvest Detail'!$A$2:$A$1093,$A47,'Harvest Detail'!$G$2:$G$1093,$C47,'Harvest Detail'!$I$2:$I$1093,Q$3)</f>
        <v>0</v>
      </c>
      <c r="R47" s="20">
        <f>SUMIFS('Harvest Detail'!$J$2:$J$1093,'Harvest Detail'!$A$2:$A$1093,$A47,'Harvest Detail'!$G$2:$G$1093,$C47,'Harvest Detail'!$I$2:$I$1093,R$3)</f>
        <v>170</v>
      </c>
      <c r="S47" s="20">
        <f>SUMIFS('Harvest Detail'!$J$2:$J$1093,'Harvest Detail'!$A$2:$A$1093,$A47,'Harvest Detail'!$G$2:$G$1093,$C47,'Harvest Detail'!$I$2:$I$1093,S$3)</f>
        <v>0</v>
      </c>
      <c r="T47" s="20">
        <f>SUMIFS('Harvest Detail'!$J$2:$J$1093,'Harvest Detail'!$A$2:$A$1093,$A47,'Harvest Detail'!$G$2:$G$1093,$C47,'Harvest Detail'!$I$2:$I$1093,T$3)</f>
        <v>0</v>
      </c>
      <c r="U47" s="20">
        <f>SUMIFS('Harvest Detail'!$J$2:$J$1093,'Harvest Detail'!$A$2:$A$1093,$A47,'Harvest Detail'!$G$2:$G$1093,$C47,'Harvest Detail'!$I$2:$I$1093,U$3)</f>
        <v>0</v>
      </c>
      <c r="V47" s="20">
        <f>SUMIFS('Harvest Detail'!$J$2:$J$1093,'Harvest Detail'!$A$2:$A$1093,$A47,'Harvest Detail'!$G$2:$G$1093,$C47,'Harvest Detail'!$I$2:$I$1093,V$3)</f>
        <v>1</v>
      </c>
      <c r="W47" s="20">
        <f>SUMIFS('Harvest Detail'!$J$2:$J$1093,'Harvest Detail'!$A$2:$A$1093,$A47,'Harvest Detail'!$G$2:$G$1093,$C47,'Harvest Detail'!$I$2:$I$1093,W$3)</f>
        <v>219</v>
      </c>
      <c r="X47" s="20">
        <f>SUMIFS('Harvest Detail'!$J$2:$J$1093,'Harvest Detail'!$A$2:$A$1093,$A47,'Harvest Detail'!$G$2:$G$1093,$C47,'Harvest Detail'!$I$2:$I$1093,X$3)</f>
        <v>0</v>
      </c>
      <c r="Y47" s="22">
        <f t="shared" si="1"/>
        <v>952</v>
      </c>
    </row>
    <row r="48" spans="1:25" ht="15" customHeight="1" x14ac:dyDescent="0.75">
      <c r="A48" s="18" t="s">
        <v>78</v>
      </c>
      <c r="B48" s="19">
        <v>46118</v>
      </c>
      <c r="C48" s="18" t="s">
        <v>66</v>
      </c>
      <c r="D48" s="20">
        <f>SUMIFS('Harvest Detail'!$J$2:$J$1093,'Harvest Detail'!$A$2:$A$1093,$A48,'Harvest Detail'!$G$2:$G$1093,$C48,'Harvest Detail'!$I$2:$I$1093,D$3)</f>
        <v>66</v>
      </c>
      <c r="E48" s="20">
        <f>SUMIFS('Harvest Detail'!$J$2:$J$1093,'Harvest Detail'!$A$2:$A$1093,$A48,'Harvest Detail'!$G$2:$G$1093,$C48,'Harvest Detail'!$I$2:$I$1093,E$3)</f>
        <v>11</v>
      </c>
      <c r="F48" s="20">
        <f>SUMIFS('Harvest Detail'!$J$2:$J$1093,'Harvest Detail'!$A$2:$A$1093,$A48,'Harvest Detail'!$G$2:$G$1093,$C48,'Harvest Detail'!$I$2:$I$1093,F$3)</f>
        <v>39</v>
      </c>
      <c r="G48" s="20">
        <f>SUMIFS('Harvest Detail'!$J$2:$J$1093,'Harvest Detail'!$A$2:$A$1093,$A48,'Harvest Detail'!$G$2:$G$1093,$C48,'Harvest Detail'!$I$2:$I$1093,G$3)</f>
        <v>0</v>
      </c>
      <c r="H48" s="20">
        <f>SUMIFS('Harvest Detail'!$J$2:$J$1093,'Harvest Detail'!$A$2:$A$1093,$A48,'Harvest Detail'!$G$2:$G$1093,$C48,'Harvest Detail'!$I$2:$I$1093,H$3)</f>
        <v>0</v>
      </c>
      <c r="I48" s="20">
        <f>SUMIFS('Harvest Detail'!$J$2:$J$1093,'Harvest Detail'!$A$2:$A$1093,$A48,'Harvest Detail'!$G$2:$G$1093,$C48,'Harvest Detail'!$I$2:$I$1093,I$3)</f>
        <v>0</v>
      </c>
      <c r="J48" s="20">
        <f>SUMIFS('Harvest Detail'!$J$2:$J$1093,'Harvest Detail'!$A$2:$A$1093,$A48,'Harvest Detail'!$G$2:$G$1093,$C48,'Harvest Detail'!$I$2:$I$1093,J$3)</f>
        <v>0</v>
      </c>
      <c r="K48" s="20">
        <f>SUMIFS('Harvest Detail'!$J$2:$J$1093,'Harvest Detail'!$A$2:$A$1093,$A48,'Harvest Detail'!$G$2:$G$1093,$C48,'Harvest Detail'!$I$2:$I$1093,K$3)</f>
        <v>0</v>
      </c>
      <c r="L48" s="20">
        <f>SUMIFS('Harvest Detail'!$J$2:$J$1093,'Harvest Detail'!$A$2:$A$1093,$A48,'Harvest Detail'!$G$2:$G$1093,$C48,'Harvest Detail'!$I$2:$I$1093,L$3)</f>
        <v>14</v>
      </c>
      <c r="M48" s="20">
        <f>SUMIFS('Harvest Detail'!$J$2:$J$1093,'Harvest Detail'!$A$2:$A$1093,$A48,'Harvest Detail'!$G$2:$G$1093,$C48,'Harvest Detail'!$I$2:$I$1093,M$3)</f>
        <v>31</v>
      </c>
      <c r="N48" s="20">
        <f>SUMIFS('Harvest Detail'!$J$2:$J$1093,'Harvest Detail'!$A$2:$A$1093,$A48,'Harvest Detail'!$G$2:$G$1093,$C48,'Harvest Detail'!$I$2:$I$1093,N$3)</f>
        <v>17</v>
      </c>
      <c r="O48" s="20">
        <f>SUMIFS('Harvest Detail'!$J$2:$J$1093,'Harvest Detail'!$A$2:$A$1093,$A48,'Harvest Detail'!$G$2:$G$1093,$C48,'Harvest Detail'!$I$2:$I$1093,O$3)</f>
        <v>0</v>
      </c>
      <c r="P48" s="20">
        <f>SUMIFS('Harvest Detail'!$J$2:$J$1093,'Harvest Detail'!$A$2:$A$1093,$A48,'Harvest Detail'!$G$2:$G$1093,$C48,'Harvest Detail'!$I$2:$I$1093,P$3)</f>
        <v>26</v>
      </c>
      <c r="Q48" s="20">
        <f>SUMIFS('Harvest Detail'!$J$2:$J$1093,'Harvest Detail'!$A$2:$A$1093,$A48,'Harvest Detail'!$G$2:$G$1093,$C48,'Harvest Detail'!$I$2:$I$1093,Q$3)</f>
        <v>0</v>
      </c>
      <c r="R48" s="20">
        <f>SUMIFS('Harvest Detail'!$J$2:$J$1093,'Harvest Detail'!$A$2:$A$1093,$A48,'Harvest Detail'!$G$2:$G$1093,$C48,'Harvest Detail'!$I$2:$I$1093,R$3)</f>
        <v>100</v>
      </c>
      <c r="S48" s="20">
        <f>SUMIFS('Harvest Detail'!$J$2:$J$1093,'Harvest Detail'!$A$2:$A$1093,$A48,'Harvest Detail'!$G$2:$G$1093,$C48,'Harvest Detail'!$I$2:$I$1093,S$3)</f>
        <v>40</v>
      </c>
      <c r="T48" s="20">
        <f>SUMIFS('Harvest Detail'!$J$2:$J$1093,'Harvest Detail'!$A$2:$A$1093,$A48,'Harvest Detail'!$G$2:$G$1093,$C48,'Harvest Detail'!$I$2:$I$1093,T$3)</f>
        <v>24</v>
      </c>
      <c r="U48" s="20">
        <f>SUMIFS('Harvest Detail'!$J$2:$J$1093,'Harvest Detail'!$A$2:$A$1093,$A48,'Harvest Detail'!$G$2:$G$1093,$C48,'Harvest Detail'!$I$2:$I$1093,U$3)</f>
        <v>8</v>
      </c>
      <c r="V48" s="20">
        <f>SUMIFS('Harvest Detail'!$J$2:$J$1093,'Harvest Detail'!$A$2:$A$1093,$A48,'Harvest Detail'!$G$2:$G$1093,$C48,'Harvest Detail'!$I$2:$I$1093,V$3)</f>
        <v>0</v>
      </c>
      <c r="W48" s="20">
        <f>SUMIFS('Harvest Detail'!$J$2:$J$1093,'Harvest Detail'!$A$2:$A$1093,$A48,'Harvest Detail'!$G$2:$G$1093,$C48,'Harvest Detail'!$I$2:$I$1093,W$3)</f>
        <v>0</v>
      </c>
      <c r="X48" s="20">
        <f>SUMIFS('Harvest Detail'!$J$2:$J$1093,'Harvest Detail'!$A$2:$A$1093,$A48,'Harvest Detail'!$G$2:$G$1093,$C48,'Harvest Detail'!$I$2:$I$1093,X$3)</f>
        <v>0</v>
      </c>
      <c r="Y48" s="22">
        <f t="shared" si="1"/>
        <v>376</v>
      </c>
    </row>
    <row r="49" spans="1:25" ht="15" customHeight="1" x14ac:dyDescent="0.75">
      <c r="A49" s="18" t="s">
        <v>79</v>
      </c>
      <c r="B49" s="19">
        <v>46125</v>
      </c>
      <c r="C49" s="18" t="s">
        <v>56</v>
      </c>
      <c r="D49" s="20">
        <f>SUMIFS('Harvest Detail'!$J$2:$J$1093,'Harvest Detail'!$A$2:$A$1093,$A49,'Harvest Detail'!$G$2:$G$1093,$C49,'Harvest Detail'!$I$2:$I$1093,D$3)</f>
        <v>54</v>
      </c>
      <c r="E49" s="20">
        <f>SUMIFS('Harvest Detail'!$J$2:$J$1093,'Harvest Detail'!$A$2:$A$1093,$A49,'Harvest Detail'!$G$2:$G$1093,$C49,'Harvest Detail'!$I$2:$I$1093,E$3)</f>
        <v>0</v>
      </c>
      <c r="F49" s="20">
        <f>SUMIFS('Harvest Detail'!$J$2:$J$1093,'Harvest Detail'!$A$2:$A$1093,$A49,'Harvest Detail'!$G$2:$G$1093,$C49,'Harvest Detail'!$I$2:$I$1093,F$3)</f>
        <v>0</v>
      </c>
      <c r="G49" s="20">
        <f>SUMIFS('Harvest Detail'!$J$2:$J$1093,'Harvest Detail'!$A$2:$A$1093,$A49,'Harvest Detail'!$G$2:$G$1093,$C49,'Harvest Detail'!$I$2:$I$1093,G$3)</f>
        <v>0</v>
      </c>
      <c r="H49" s="20">
        <f>SUMIFS('Harvest Detail'!$J$2:$J$1093,'Harvest Detail'!$A$2:$A$1093,$A49,'Harvest Detail'!$G$2:$G$1093,$C49,'Harvest Detail'!$I$2:$I$1093,H$3)</f>
        <v>16</v>
      </c>
      <c r="I49" s="20">
        <f>SUMIFS('Harvest Detail'!$J$2:$J$1093,'Harvest Detail'!$A$2:$A$1093,$A49,'Harvest Detail'!$G$2:$G$1093,$C49,'Harvest Detail'!$I$2:$I$1093,I$3)</f>
        <v>33</v>
      </c>
      <c r="J49" s="20">
        <f>SUMIFS('Harvest Detail'!$J$2:$J$1093,'Harvest Detail'!$A$2:$A$1093,$A49,'Harvest Detail'!$G$2:$G$1093,$C49,'Harvest Detail'!$I$2:$I$1093,J$3)</f>
        <v>0</v>
      </c>
      <c r="K49" s="20">
        <f>SUMIFS('Harvest Detail'!$J$2:$J$1093,'Harvest Detail'!$A$2:$A$1093,$A49,'Harvest Detail'!$G$2:$G$1093,$C49,'Harvest Detail'!$I$2:$I$1093,K$3)</f>
        <v>6</v>
      </c>
      <c r="L49" s="20">
        <f>SUMIFS('Harvest Detail'!$J$2:$J$1093,'Harvest Detail'!$A$2:$A$1093,$A49,'Harvest Detail'!$G$2:$G$1093,$C49,'Harvest Detail'!$I$2:$I$1093,L$3)</f>
        <v>0</v>
      </c>
      <c r="M49" s="20">
        <f>SUMIFS('Harvest Detail'!$J$2:$J$1093,'Harvest Detail'!$A$2:$A$1093,$A49,'Harvest Detail'!$G$2:$G$1093,$C49,'Harvest Detail'!$I$2:$I$1093,M$3)</f>
        <v>0</v>
      </c>
      <c r="N49" s="20">
        <f>SUMIFS('Harvest Detail'!$J$2:$J$1093,'Harvest Detail'!$A$2:$A$1093,$A49,'Harvest Detail'!$G$2:$G$1093,$C49,'Harvest Detail'!$I$2:$I$1093,N$3)</f>
        <v>0</v>
      </c>
      <c r="O49" s="20">
        <f>SUMIFS('Harvest Detail'!$J$2:$J$1093,'Harvest Detail'!$A$2:$A$1093,$A49,'Harvest Detail'!$G$2:$G$1093,$C49,'Harvest Detail'!$I$2:$I$1093,O$3)</f>
        <v>0</v>
      </c>
      <c r="P49" s="20">
        <f>SUMIFS('Harvest Detail'!$J$2:$J$1093,'Harvest Detail'!$A$2:$A$1093,$A49,'Harvest Detail'!$G$2:$G$1093,$C49,'Harvest Detail'!$I$2:$I$1093,P$3)</f>
        <v>0</v>
      </c>
      <c r="Q49" s="20">
        <f>SUMIFS('Harvest Detail'!$J$2:$J$1093,'Harvest Detail'!$A$2:$A$1093,$A49,'Harvest Detail'!$G$2:$G$1093,$C49,'Harvest Detail'!$I$2:$I$1093,Q$3)</f>
        <v>21</v>
      </c>
      <c r="R49" s="20">
        <f>SUMIFS('Harvest Detail'!$J$2:$J$1093,'Harvest Detail'!$A$2:$A$1093,$A49,'Harvest Detail'!$G$2:$G$1093,$C49,'Harvest Detail'!$I$2:$I$1093,R$3)</f>
        <v>70</v>
      </c>
      <c r="S49" s="20">
        <f>SUMIFS('Harvest Detail'!$J$2:$J$1093,'Harvest Detail'!$A$2:$A$1093,$A49,'Harvest Detail'!$G$2:$G$1093,$C49,'Harvest Detail'!$I$2:$I$1093,S$3)</f>
        <v>0</v>
      </c>
      <c r="T49" s="20">
        <f>SUMIFS('Harvest Detail'!$J$2:$J$1093,'Harvest Detail'!$A$2:$A$1093,$A49,'Harvest Detail'!$G$2:$G$1093,$C49,'Harvest Detail'!$I$2:$I$1093,T$3)</f>
        <v>0</v>
      </c>
      <c r="U49" s="20">
        <f>SUMIFS('Harvest Detail'!$J$2:$J$1093,'Harvest Detail'!$A$2:$A$1093,$A49,'Harvest Detail'!$G$2:$G$1093,$C49,'Harvest Detail'!$I$2:$I$1093,U$3)</f>
        <v>0</v>
      </c>
      <c r="V49" s="20">
        <f>SUMIFS('Harvest Detail'!$J$2:$J$1093,'Harvest Detail'!$A$2:$A$1093,$A49,'Harvest Detail'!$G$2:$G$1093,$C49,'Harvest Detail'!$I$2:$I$1093,V$3)</f>
        <v>0</v>
      </c>
      <c r="W49" s="20">
        <f>SUMIFS('Harvest Detail'!$J$2:$J$1093,'Harvest Detail'!$A$2:$A$1093,$A49,'Harvest Detail'!$G$2:$G$1093,$C49,'Harvest Detail'!$I$2:$I$1093,W$3)</f>
        <v>0</v>
      </c>
      <c r="X49" s="20">
        <f>SUMIFS('Harvest Detail'!$J$2:$J$1093,'Harvest Detail'!$A$2:$A$1093,$A49,'Harvest Detail'!$G$2:$G$1093,$C49,'Harvest Detail'!$I$2:$I$1093,X$3)</f>
        <v>1</v>
      </c>
      <c r="Y49" s="22">
        <f t="shared" si="1"/>
        <v>201</v>
      </c>
    </row>
    <row r="50" spans="1:25" ht="15" customHeight="1" x14ac:dyDescent="0.75">
      <c r="A50" s="18" t="s">
        <v>79</v>
      </c>
      <c r="B50" s="19">
        <v>46125</v>
      </c>
      <c r="C50" s="18" t="s">
        <v>58</v>
      </c>
      <c r="D50" s="20">
        <f>SUMIFS('Harvest Detail'!$J$2:$J$1093,'Harvest Detail'!$A$2:$A$1093,$A50,'Harvest Detail'!$G$2:$G$1093,$C50,'Harvest Detail'!$I$2:$I$1093,D$3)</f>
        <v>228</v>
      </c>
      <c r="E50" s="20">
        <f>SUMIFS('Harvest Detail'!$J$2:$J$1093,'Harvest Detail'!$A$2:$A$1093,$A50,'Harvest Detail'!$G$2:$G$1093,$C50,'Harvest Detail'!$I$2:$I$1093,E$3)</f>
        <v>157</v>
      </c>
      <c r="F50" s="20">
        <f>SUMIFS('Harvest Detail'!$J$2:$J$1093,'Harvest Detail'!$A$2:$A$1093,$A50,'Harvest Detail'!$G$2:$G$1093,$C50,'Harvest Detail'!$I$2:$I$1093,F$3)</f>
        <v>0</v>
      </c>
      <c r="G50" s="20">
        <f>SUMIFS('Harvest Detail'!$J$2:$J$1093,'Harvest Detail'!$A$2:$A$1093,$A50,'Harvest Detail'!$G$2:$G$1093,$C50,'Harvest Detail'!$I$2:$I$1093,G$3)</f>
        <v>60</v>
      </c>
      <c r="H50" s="20">
        <f>SUMIFS('Harvest Detail'!$J$2:$J$1093,'Harvest Detail'!$A$2:$A$1093,$A50,'Harvest Detail'!$G$2:$G$1093,$C50,'Harvest Detail'!$I$2:$I$1093,H$3)</f>
        <v>0</v>
      </c>
      <c r="I50" s="20">
        <f>SUMIFS('Harvest Detail'!$J$2:$J$1093,'Harvest Detail'!$A$2:$A$1093,$A50,'Harvest Detail'!$G$2:$G$1093,$C50,'Harvest Detail'!$I$2:$I$1093,I$3)</f>
        <v>0</v>
      </c>
      <c r="J50" s="20">
        <f>SUMIFS('Harvest Detail'!$J$2:$J$1093,'Harvest Detail'!$A$2:$A$1093,$A50,'Harvest Detail'!$G$2:$G$1093,$C50,'Harvest Detail'!$I$2:$I$1093,J$3)</f>
        <v>0</v>
      </c>
      <c r="K50" s="20">
        <f>SUMIFS('Harvest Detail'!$J$2:$J$1093,'Harvest Detail'!$A$2:$A$1093,$A50,'Harvest Detail'!$G$2:$G$1093,$C50,'Harvest Detail'!$I$2:$I$1093,K$3)</f>
        <v>0</v>
      </c>
      <c r="L50" s="20">
        <f>SUMIFS('Harvest Detail'!$J$2:$J$1093,'Harvest Detail'!$A$2:$A$1093,$A50,'Harvest Detail'!$G$2:$G$1093,$C50,'Harvest Detail'!$I$2:$I$1093,L$3)</f>
        <v>0</v>
      </c>
      <c r="M50" s="20">
        <f>SUMIFS('Harvest Detail'!$J$2:$J$1093,'Harvest Detail'!$A$2:$A$1093,$A50,'Harvest Detail'!$G$2:$G$1093,$C50,'Harvest Detail'!$I$2:$I$1093,M$3)</f>
        <v>0</v>
      </c>
      <c r="N50" s="20">
        <f>SUMIFS('Harvest Detail'!$J$2:$J$1093,'Harvest Detail'!$A$2:$A$1093,$A50,'Harvest Detail'!$G$2:$G$1093,$C50,'Harvest Detail'!$I$2:$I$1093,N$3)</f>
        <v>0</v>
      </c>
      <c r="O50" s="20">
        <f>SUMIFS('Harvest Detail'!$J$2:$J$1093,'Harvest Detail'!$A$2:$A$1093,$A50,'Harvest Detail'!$G$2:$G$1093,$C50,'Harvest Detail'!$I$2:$I$1093,O$3)</f>
        <v>0</v>
      </c>
      <c r="P50" s="20">
        <f>SUMIFS('Harvest Detail'!$J$2:$J$1093,'Harvest Detail'!$A$2:$A$1093,$A50,'Harvest Detail'!$G$2:$G$1093,$C50,'Harvest Detail'!$I$2:$I$1093,P$3)</f>
        <v>0</v>
      </c>
      <c r="Q50" s="20">
        <f>SUMIFS('Harvest Detail'!$J$2:$J$1093,'Harvest Detail'!$A$2:$A$1093,$A50,'Harvest Detail'!$G$2:$G$1093,$C50,'Harvest Detail'!$I$2:$I$1093,Q$3)</f>
        <v>0</v>
      </c>
      <c r="R50" s="20">
        <f>SUMIFS('Harvest Detail'!$J$2:$J$1093,'Harvest Detail'!$A$2:$A$1093,$A50,'Harvest Detail'!$G$2:$G$1093,$C50,'Harvest Detail'!$I$2:$I$1093,R$3)</f>
        <v>0</v>
      </c>
      <c r="S50" s="20">
        <f>SUMIFS('Harvest Detail'!$J$2:$J$1093,'Harvest Detail'!$A$2:$A$1093,$A50,'Harvest Detail'!$G$2:$G$1093,$C50,'Harvest Detail'!$I$2:$I$1093,S$3)</f>
        <v>0</v>
      </c>
      <c r="T50" s="20">
        <f>SUMIFS('Harvest Detail'!$J$2:$J$1093,'Harvest Detail'!$A$2:$A$1093,$A50,'Harvest Detail'!$G$2:$G$1093,$C50,'Harvest Detail'!$I$2:$I$1093,T$3)</f>
        <v>0</v>
      </c>
      <c r="U50" s="20">
        <f>SUMIFS('Harvest Detail'!$J$2:$J$1093,'Harvest Detail'!$A$2:$A$1093,$A50,'Harvest Detail'!$G$2:$G$1093,$C50,'Harvest Detail'!$I$2:$I$1093,U$3)</f>
        <v>0</v>
      </c>
      <c r="V50" s="20">
        <f>SUMIFS('Harvest Detail'!$J$2:$J$1093,'Harvest Detail'!$A$2:$A$1093,$A50,'Harvest Detail'!$G$2:$G$1093,$C50,'Harvest Detail'!$I$2:$I$1093,V$3)</f>
        <v>0</v>
      </c>
      <c r="W50" s="20">
        <f>SUMIFS('Harvest Detail'!$J$2:$J$1093,'Harvest Detail'!$A$2:$A$1093,$A50,'Harvest Detail'!$G$2:$G$1093,$C50,'Harvest Detail'!$I$2:$I$1093,W$3)</f>
        <v>323</v>
      </c>
      <c r="X50" s="20">
        <f>SUMIFS('Harvest Detail'!$J$2:$J$1093,'Harvest Detail'!$A$2:$A$1093,$A50,'Harvest Detail'!$G$2:$G$1093,$C50,'Harvest Detail'!$I$2:$I$1093,X$3)</f>
        <v>0</v>
      </c>
      <c r="Y50" s="22">
        <f t="shared" si="1"/>
        <v>768</v>
      </c>
    </row>
    <row r="51" spans="1:25" ht="15" customHeight="1" x14ac:dyDescent="0.75">
      <c r="A51" s="18" t="s">
        <v>79</v>
      </c>
      <c r="B51" s="19">
        <v>46125</v>
      </c>
      <c r="C51" s="18" t="s">
        <v>66</v>
      </c>
      <c r="D51" s="20">
        <f>SUMIFS('Harvest Detail'!$J$2:$J$1093,'Harvest Detail'!$A$2:$A$1093,$A51,'Harvest Detail'!$G$2:$G$1093,$C51,'Harvest Detail'!$I$2:$I$1093,D$3)</f>
        <v>0</v>
      </c>
      <c r="E51" s="20">
        <f>SUMIFS('Harvest Detail'!$J$2:$J$1093,'Harvest Detail'!$A$2:$A$1093,$A51,'Harvest Detail'!$G$2:$G$1093,$C51,'Harvest Detail'!$I$2:$I$1093,E$3)</f>
        <v>63</v>
      </c>
      <c r="F51" s="20">
        <f>SUMIFS('Harvest Detail'!$J$2:$J$1093,'Harvest Detail'!$A$2:$A$1093,$A51,'Harvest Detail'!$G$2:$G$1093,$C51,'Harvest Detail'!$I$2:$I$1093,F$3)</f>
        <v>0</v>
      </c>
      <c r="G51" s="20">
        <f>SUMIFS('Harvest Detail'!$J$2:$J$1093,'Harvest Detail'!$A$2:$A$1093,$A51,'Harvest Detail'!$G$2:$G$1093,$C51,'Harvest Detail'!$I$2:$I$1093,G$3)</f>
        <v>0</v>
      </c>
      <c r="H51" s="20">
        <f>SUMIFS('Harvest Detail'!$J$2:$J$1093,'Harvest Detail'!$A$2:$A$1093,$A51,'Harvest Detail'!$G$2:$G$1093,$C51,'Harvest Detail'!$I$2:$I$1093,H$3)</f>
        <v>0</v>
      </c>
      <c r="I51" s="20">
        <f>SUMIFS('Harvest Detail'!$J$2:$J$1093,'Harvest Detail'!$A$2:$A$1093,$A51,'Harvest Detail'!$G$2:$G$1093,$C51,'Harvest Detail'!$I$2:$I$1093,I$3)</f>
        <v>0</v>
      </c>
      <c r="J51" s="20">
        <f>SUMIFS('Harvest Detail'!$J$2:$J$1093,'Harvest Detail'!$A$2:$A$1093,$A51,'Harvest Detail'!$G$2:$G$1093,$C51,'Harvest Detail'!$I$2:$I$1093,J$3)</f>
        <v>0</v>
      </c>
      <c r="K51" s="20">
        <f>SUMIFS('Harvest Detail'!$J$2:$J$1093,'Harvest Detail'!$A$2:$A$1093,$A51,'Harvest Detail'!$G$2:$G$1093,$C51,'Harvest Detail'!$I$2:$I$1093,K$3)</f>
        <v>0</v>
      </c>
      <c r="L51" s="20">
        <f>SUMIFS('Harvest Detail'!$J$2:$J$1093,'Harvest Detail'!$A$2:$A$1093,$A51,'Harvest Detail'!$G$2:$G$1093,$C51,'Harvest Detail'!$I$2:$I$1093,L$3)</f>
        <v>0</v>
      </c>
      <c r="M51" s="20">
        <f>SUMIFS('Harvest Detail'!$J$2:$J$1093,'Harvest Detail'!$A$2:$A$1093,$A51,'Harvest Detail'!$G$2:$G$1093,$C51,'Harvest Detail'!$I$2:$I$1093,M$3)</f>
        <v>0</v>
      </c>
      <c r="N51" s="20">
        <f>SUMIFS('Harvest Detail'!$J$2:$J$1093,'Harvest Detail'!$A$2:$A$1093,$A51,'Harvest Detail'!$G$2:$G$1093,$C51,'Harvest Detail'!$I$2:$I$1093,N$3)</f>
        <v>0</v>
      </c>
      <c r="O51" s="20">
        <f>SUMIFS('Harvest Detail'!$J$2:$J$1093,'Harvest Detail'!$A$2:$A$1093,$A51,'Harvest Detail'!$G$2:$G$1093,$C51,'Harvest Detail'!$I$2:$I$1093,O$3)</f>
        <v>0</v>
      </c>
      <c r="P51" s="20">
        <f>SUMIFS('Harvest Detail'!$J$2:$J$1093,'Harvest Detail'!$A$2:$A$1093,$A51,'Harvest Detail'!$G$2:$G$1093,$C51,'Harvest Detail'!$I$2:$I$1093,P$3)</f>
        <v>0</v>
      </c>
      <c r="Q51" s="20">
        <f>SUMIFS('Harvest Detail'!$J$2:$J$1093,'Harvest Detail'!$A$2:$A$1093,$A51,'Harvest Detail'!$G$2:$G$1093,$C51,'Harvest Detail'!$I$2:$I$1093,Q$3)</f>
        <v>0</v>
      </c>
      <c r="R51" s="20">
        <f>SUMIFS('Harvest Detail'!$J$2:$J$1093,'Harvest Detail'!$A$2:$A$1093,$A51,'Harvest Detail'!$G$2:$G$1093,$C51,'Harvest Detail'!$I$2:$I$1093,R$3)</f>
        <v>0</v>
      </c>
      <c r="S51" s="20">
        <f>SUMIFS('Harvest Detail'!$J$2:$J$1093,'Harvest Detail'!$A$2:$A$1093,$A51,'Harvest Detail'!$G$2:$G$1093,$C51,'Harvest Detail'!$I$2:$I$1093,S$3)</f>
        <v>0</v>
      </c>
      <c r="T51" s="20">
        <f>SUMIFS('Harvest Detail'!$J$2:$J$1093,'Harvest Detail'!$A$2:$A$1093,$A51,'Harvest Detail'!$G$2:$G$1093,$C51,'Harvest Detail'!$I$2:$I$1093,T$3)</f>
        <v>0</v>
      </c>
      <c r="U51" s="20">
        <f>SUMIFS('Harvest Detail'!$J$2:$J$1093,'Harvest Detail'!$A$2:$A$1093,$A51,'Harvest Detail'!$G$2:$G$1093,$C51,'Harvest Detail'!$I$2:$I$1093,U$3)</f>
        <v>0</v>
      </c>
      <c r="V51" s="20">
        <f>SUMIFS('Harvest Detail'!$J$2:$J$1093,'Harvest Detail'!$A$2:$A$1093,$A51,'Harvest Detail'!$G$2:$G$1093,$C51,'Harvest Detail'!$I$2:$I$1093,V$3)</f>
        <v>0</v>
      </c>
      <c r="W51" s="20">
        <f>SUMIFS('Harvest Detail'!$J$2:$J$1093,'Harvest Detail'!$A$2:$A$1093,$A51,'Harvest Detail'!$G$2:$G$1093,$C51,'Harvest Detail'!$I$2:$I$1093,W$3)</f>
        <v>0</v>
      </c>
      <c r="X51" s="20">
        <f>SUMIFS('Harvest Detail'!$J$2:$J$1093,'Harvest Detail'!$A$2:$A$1093,$A51,'Harvest Detail'!$G$2:$G$1093,$C51,'Harvest Detail'!$I$2:$I$1093,X$3)</f>
        <v>0</v>
      </c>
      <c r="Y51" s="22">
        <f t="shared" si="1"/>
        <v>63</v>
      </c>
    </row>
    <row r="52" spans="1:25" ht="15" customHeight="1" x14ac:dyDescent="0.75">
      <c r="A52" s="18" t="s">
        <v>80</v>
      </c>
      <c r="B52" s="19">
        <v>46132</v>
      </c>
      <c r="C52" s="18" t="s">
        <v>56</v>
      </c>
      <c r="D52" s="20">
        <f>SUMIFS('Harvest Detail'!$J$2:$J$1093,'Harvest Detail'!$A$2:$A$1093,$A52,'Harvest Detail'!$G$2:$G$1093,$C52,'Harvest Detail'!$I$2:$I$1093,D$3)</f>
        <v>72</v>
      </c>
      <c r="E52" s="20">
        <f>SUMIFS('Harvest Detail'!$J$2:$J$1093,'Harvest Detail'!$A$2:$A$1093,$A52,'Harvest Detail'!$G$2:$G$1093,$C52,'Harvest Detail'!$I$2:$I$1093,E$3)</f>
        <v>0</v>
      </c>
      <c r="F52" s="20">
        <f>SUMIFS('Harvest Detail'!$J$2:$J$1093,'Harvest Detail'!$A$2:$A$1093,$A52,'Harvest Detail'!$G$2:$G$1093,$C52,'Harvest Detail'!$I$2:$I$1093,F$3)</f>
        <v>19</v>
      </c>
      <c r="G52" s="20">
        <f>SUMIFS('Harvest Detail'!$J$2:$J$1093,'Harvest Detail'!$A$2:$A$1093,$A52,'Harvest Detail'!$G$2:$G$1093,$C52,'Harvest Detail'!$I$2:$I$1093,G$3)</f>
        <v>0</v>
      </c>
      <c r="H52" s="20">
        <f>SUMIFS('Harvest Detail'!$J$2:$J$1093,'Harvest Detail'!$A$2:$A$1093,$A52,'Harvest Detail'!$G$2:$G$1093,$C52,'Harvest Detail'!$I$2:$I$1093,H$3)</f>
        <v>0</v>
      </c>
      <c r="I52" s="20">
        <f>SUMIFS('Harvest Detail'!$J$2:$J$1093,'Harvest Detail'!$A$2:$A$1093,$A52,'Harvest Detail'!$G$2:$G$1093,$C52,'Harvest Detail'!$I$2:$I$1093,I$3)</f>
        <v>42</v>
      </c>
      <c r="J52" s="20">
        <f>SUMIFS('Harvest Detail'!$J$2:$J$1093,'Harvest Detail'!$A$2:$A$1093,$A52,'Harvest Detail'!$G$2:$G$1093,$C52,'Harvest Detail'!$I$2:$I$1093,J$3)</f>
        <v>0</v>
      </c>
      <c r="K52" s="20">
        <f>SUMIFS('Harvest Detail'!$J$2:$J$1093,'Harvest Detail'!$A$2:$A$1093,$A52,'Harvest Detail'!$G$2:$G$1093,$C52,'Harvest Detail'!$I$2:$I$1093,K$3)</f>
        <v>0</v>
      </c>
      <c r="L52" s="20">
        <f>SUMIFS('Harvest Detail'!$J$2:$J$1093,'Harvest Detail'!$A$2:$A$1093,$A52,'Harvest Detail'!$G$2:$G$1093,$C52,'Harvest Detail'!$I$2:$I$1093,L$3)</f>
        <v>6</v>
      </c>
      <c r="M52" s="20">
        <f>SUMIFS('Harvest Detail'!$J$2:$J$1093,'Harvest Detail'!$A$2:$A$1093,$A52,'Harvest Detail'!$G$2:$G$1093,$C52,'Harvest Detail'!$I$2:$I$1093,M$3)</f>
        <v>31</v>
      </c>
      <c r="N52" s="20">
        <f>SUMIFS('Harvest Detail'!$J$2:$J$1093,'Harvest Detail'!$A$2:$A$1093,$A52,'Harvest Detail'!$G$2:$G$1093,$C52,'Harvest Detail'!$I$2:$I$1093,N$3)</f>
        <v>38</v>
      </c>
      <c r="O52" s="20">
        <f>SUMIFS('Harvest Detail'!$J$2:$J$1093,'Harvest Detail'!$A$2:$A$1093,$A52,'Harvest Detail'!$G$2:$G$1093,$C52,'Harvest Detail'!$I$2:$I$1093,O$3)</f>
        <v>0</v>
      </c>
      <c r="P52" s="20">
        <f>SUMIFS('Harvest Detail'!$J$2:$J$1093,'Harvest Detail'!$A$2:$A$1093,$A52,'Harvest Detail'!$G$2:$G$1093,$C52,'Harvest Detail'!$I$2:$I$1093,P$3)</f>
        <v>26</v>
      </c>
      <c r="Q52" s="20">
        <f>SUMIFS('Harvest Detail'!$J$2:$J$1093,'Harvest Detail'!$A$2:$A$1093,$A52,'Harvest Detail'!$G$2:$G$1093,$C52,'Harvest Detail'!$I$2:$I$1093,Q$3)</f>
        <v>74</v>
      </c>
      <c r="R52" s="20">
        <f>SUMIFS('Harvest Detail'!$J$2:$J$1093,'Harvest Detail'!$A$2:$A$1093,$A52,'Harvest Detail'!$G$2:$G$1093,$C52,'Harvest Detail'!$I$2:$I$1093,R$3)</f>
        <v>185</v>
      </c>
      <c r="S52" s="20">
        <f>SUMIFS('Harvest Detail'!$J$2:$J$1093,'Harvest Detail'!$A$2:$A$1093,$A52,'Harvest Detail'!$G$2:$G$1093,$C52,'Harvest Detail'!$I$2:$I$1093,S$3)</f>
        <v>0</v>
      </c>
      <c r="T52" s="20">
        <f>SUMIFS('Harvest Detail'!$J$2:$J$1093,'Harvest Detail'!$A$2:$A$1093,$A52,'Harvest Detail'!$G$2:$G$1093,$C52,'Harvest Detail'!$I$2:$I$1093,T$3)</f>
        <v>0</v>
      </c>
      <c r="U52" s="20">
        <f>SUMIFS('Harvest Detail'!$J$2:$J$1093,'Harvest Detail'!$A$2:$A$1093,$A52,'Harvest Detail'!$G$2:$G$1093,$C52,'Harvest Detail'!$I$2:$I$1093,U$3)</f>
        <v>15</v>
      </c>
      <c r="V52" s="20">
        <f>SUMIFS('Harvest Detail'!$J$2:$J$1093,'Harvest Detail'!$A$2:$A$1093,$A52,'Harvest Detail'!$G$2:$G$1093,$C52,'Harvest Detail'!$I$2:$I$1093,V$3)</f>
        <v>0</v>
      </c>
      <c r="W52" s="20">
        <f>SUMIFS('Harvest Detail'!$J$2:$J$1093,'Harvest Detail'!$A$2:$A$1093,$A52,'Harvest Detail'!$G$2:$G$1093,$C52,'Harvest Detail'!$I$2:$I$1093,W$3)</f>
        <v>0</v>
      </c>
      <c r="X52" s="20">
        <f>SUMIFS('Harvest Detail'!$J$2:$J$1093,'Harvest Detail'!$A$2:$A$1093,$A52,'Harvest Detail'!$G$2:$G$1093,$C52,'Harvest Detail'!$I$2:$I$1093,X$3)</f>
        <v>8</v>
      </c>
      <c r="Y52" s="22">
        <f t="shared" si="1"/>
        <v>516</v>
      </c>
    </row>
    <row r="53" spans="1:25" ht="15" customHeight="1" x14ac:dyDescent="0.75">
      <c r="A53" s="18" t="s">
        <v>80</v>
      </c>
      <c r="B53" s="19">
        <v>46132</v>
      </c>
      <c r="C53" s="18" t="s">
        <v>58</v>
      </c>
      <c r="D53" s="20">
        <f>SUMIFS('Harvest Detail'!$J$2:$J$1093,'Harvest Detail'!$A$2:$A$1093,$A53,'Harvest Detail'!$G$2:$G$1093,$C53,'Harvest Detail'!$I$2:$I$1093,D$3)</f>
        <v>435</v>
      </c>
      <c r="E53" s="20">
        <f>SUMIFS('Harvest Detail'!$J$2:$J$1093,'Harvest Detail'!$A$2:$A$1093,$A53,'Harvest Detail'!$G$2:$G$1093,$C53,'Harvest Detail'!$I$2:$I$1093,E$3)</f>
        <v>192</v>
      </c>
      <c r="F53" s="20">
        <f>SUMIFS('Harvest Detail'!$J$2:$J$1093,'Harvest Detail'!$A$2:$A$1093,$A53,'Harvest Detail'!$G$2:$G$1093,$C53,'Harvest Detail'!$I$2:$I$1093,F$3)</f>
        <v>0</v>
      </c>
      <c r="G53" s="20">
        <f>SUMIFS('Harvest Detail'!$J$2:$J$1093,'Harvest Detail'!$A$2:$A$1093,$A53,'Harvest Detail'!$G$2:$G$1093,$C53,'Harvest Detail'!$I$2:$I$1093,G$3)</f>
        <v>154</v>
      </c>
      <c r="H53" s="20">
        <f>SUMIFS('Harvest Detail'!$J$2:$J$1093,'Harvest Detail'!$A$2:$A$1093,$A53,'Harvest Detail'!$G$2:$G$1093,$C53,'Harvest Detail'!$I$2:$I$1093,H$3)</f>
        <v>0</v>
      </c>
      <c r="I53" s="20">
        <f>SUMIFS('Harvest Detail'!$J$2:$J$1093,'Harvest Detail'!$A$2:$A$1093,$A53,'Harvest Detail'!$G$2:$G$1093,$C53,'Harvest Detail'!$I$2:$I$1093,I$3)</f>
        <v>0</v>
      </c>
      <c r="J53" s="20">
        <f>SUMIFS('Harvest Detail'!$J$2:$J$1093,'Harvest Detail'!$A$2:$A$1093,$A53,'Harvest Detail'!$G$2:$G$1093,$C53,'Harvest Detail'!$I$2:$I$1093,J$3)</f>
        <v>0</v>
      </c>
      <c r="K53" s="20">
        <f>SUMIFS('Harvest Detail'!$J$2:$J$1093,'Harvest Detail'!$A$2:$A$1093,$A53,'Harvest Detail'!$G$2:$G$1093,$C53,'Harvest Detail'!$I$2:$I$1093,K$3)</f>
        <v>0</v>
      </c>
      <c r="L53" s="20">
        <f>SUMIFS('Harvest Detail'!$J$2:$J$1093,'Harvest Detail'!$A$2:$A$1093,$A53,'Harvest Detail'!$G$2:$G$1093,$C53,'Harvest Detail'!$I$2:$I$1093,L$3)</f>
        <v>0</v>
      </c>
      <c r="M53" s="20">
        <f>SUMIFS('Harvest Detail'!$J$2:$J$1093,'Harvest Detail'!$A$2:$A$1093,$A53,'Harvest Detail'!$G$2:$G$1093,$C53,'Harvest Detail'!$I$2:$I$1093,M$3)</f>
        <v>0</v>
      </c>
      <c r="N53" s="20">
        <f>SUMIFS('Harvest Detail'!$J$2:$J$1093,'Harvest Detail'!$A$2:$A$1093,$A53,'Harvest Detail'!$G$2:$G$1093,$C53,'Harvest Detail'!$I$2:$I$1093,N$3)</f>
        <v>0</v>
      </c>
      <c r="O53" s="20">
        <f>SUMIFS('Harvest Detail'!$J$2:$J$1093,'Harvest Detail'!$A$2:$A$1093,$A53,'Harvest Detail'!$G$2:$G$1093,$C53,'Harvest Detail'!$I$2:$I$1093,O$3)</f>
        <v>0</v>
      </c>
      <c r="P53" s="20">
        <f>SUMIFS('Harvest Detail'!$J$2:$J$1093,'Harvest Detail'!$A$2:$A$1093,$A53,'Harvest Detail'!$G$2:$G$1093,$C53,'Harvest Detail'!$I$2:$I$1093,P$3)</f>
        <v>0</v>
      </c>
      <c r="Q53" s="20">
        <f>SUMIFS('Harvest Detail'!$J$2:$J$1093,'Harvest Detail'!$A$2:$A$1093,$A53,'Harvest Detail'!$G$2:$G$1093,$C53,'Harvest Detail'!$I$2:$I$1093,Q$3)</f>
        <v>0</v>
      </c>
      <c r="R53" s="20">
        <f>SUMIFS('Harvest Detail'!$J$2:$J$1093,'Harvest Detail'!$A$2:$A$1093,$A53,'Harvest Detail'!$G$2:$G$1093,$C53,'Harvest Detail'!$I$2:$I$1093,R$3)</f>
        <v>50</v>
      </c>
      <c r="S53" s="20">
        <f>SUMIFS('Harvest Detail'!$J$2:$J$1093,'Harvest Detail'!$A$2:$A$1093,$A53,'Harvest Detail'!$G$2:$G$1093,$C53,'Harvest Detail'!$I$2:$I$1093,S$3)</f>
        <v>0</v>
      </c>
      <c r="T53" s="20">
        <f>SUMIFS('Harvest Detail'!$J$2:$J$1093,'Harvest Detail'!$A$2:$A$1093,$A53,'Harvest Detail'!$G$2:$G$1093,$C53,'Harvest Detail'!$I$2:$I$1093,T$3)</f>
        <v>0</v>
      </c>
      <c r="U53" s="20">
        <f>SUMIFS('Harvest Detail'!$J$2:$J$1093,'Harvest Detail'!$A$2:$A$1093,$A53,'Harvest Detail'!$G$2:$G$1093,$C53,'Harvest Detail'!$I$2:$I$1093,U$3)</f>
        <v>0</v>
      </c>
      <c r="V53" s="20">
        <f>SUMIFS('Harvest Detail'!$J$2:$J$1093,'Harvest Detail'!$A$2:$A$1093,$A53,'Harvest Detail'!$G$2:$G$1093,$C53,'Harvest Detail'!$I$2:$I$1093,V$3)</f>
        <v>0</v>
      </c>
      <c r="W53" s="20">
        <f>SUMIFS('Harvest Detail'!$J$2:$J$1093,'Harvest Detail'!$A$2:$A$1093,$A53,'Harvest Detail'!$G$2:$G$1093,$C53,'Harvest Detail'!$I$2:$I$1093,W$3)</f>
        <v>240</v>
      </c>
      <c r="X53" s="20">
        <f>SUMIFS('Harvest Detail'!$J$2:$J$1093,'Harvest Detail'!$A$2:$A$1093,$A53,'Harvest Detail'!$G$2:$G$1093,$C53,'Harvest Detail'!$I$2:$I$1093,X$3)</f>
        <v>0</v>
      </c>
      <c r="Y53" s="22">
        <f t="shared" si="1"/>
        <v>1071</v>
      </c>
    </row>
    <row r="54" spans="1:25" ht="15" customHeight="1" x14ac:dyDescent="0.75">
      <c r="A54" s="18" t="s">
        <v>80</v>
      </c>
      <c r="B54" s="19">
        <v>46132</v>
      </c>
      <c r="C54" s="18" t="s">
        <v>66</v>
      </c>
      <c r="D54" s="20">
        <f>SUMIFS('Harvest Detail'!$J$2:$J$1093,'Harvest Detail'!$A$2:$A$1093,$A54,'Harvest Detail'!$G$2:$G$1093,$C54,'Harvest Detail'!$I$2:$I$1093,D$3)</f>
        <v>60</v>
      </c>
      <c r="E54" s="20">
        <f>SUMIFS('Harvest Detail'!$J$2:$J$1093,'Harvest Detail'!$A$2:$A$1093,$A54,'Harvest Detail'!$G$2:$G$1093,$C54,'Harvest Detail'!$I$2:$I$1093,E$3)</f>
        <v>18</v>
      </c>
      <c r="F54" s="20">
        <f>SUMIFS('Harvest Detail'!$J$2:$J$1093,'Harvest Detail'!$A$2:$A$1093,$A54,'Harvest Detail'!$G$2:$G$1093,$C54,'Harvest Detail'!$I$2:$I$1093,F$3)</f>
        <v>39</v>
      </c>
      <c r="G54" s="20">
        <f>SUMIFS('Harvest Detail'!$J$2:$J$1093,'Harvest Detail'!$A$2:$A$1093,$A54,'Harvest Detail'!$G$2:$G$1093,$C54,'Harvest Detail'!$I$2:$I$1093,G$3)</f>
        <v>0</v>
      </c>
      <c r="H54" s="20">
        <f>SUMIFS('Harvest Detail'!$J$2:$J$1093,'Harvest Detail'!$A$2:$A$1093,$A54,'Harvest Detail'!$G$2:$G$1093,$C54,'Harvest Detail'!$I$2:$I$1093,H$3)</f>
        <v>0</v>
      </c>
      <c r="I54" s="20">
        <f>SUMIFS('Harvest Detail'!$J$2:$J$1093,'Harvest Detail'!$A$2:$A$1093,$A54,'Harvest Detail'!$G$2:$G$1093,$C54,'Harvest Detail'!$I$2:$I$1093,I$3)</f>
        <v>0</v>
      </c>
      <c r="J54" s="20">
        <f>SUMIFS('Harvest Detail'!$J$2:$J$1093,'Harvest Detail'!$A$2:$A$1093,$A54,'Harvest Detail'!$G$2:$G$1093,$C54,'Harvest Detail'!$I$2:$I$1093,J$3)</f>
        <v>0</v>
      </c>
      <c r="K54" s="20">
        <f>SUMIFS('Harvest Detail'!$J$2:$J$1093,'Harvest Detail'!$A$2:$A$1093,$A54,'Harvest Detail'!$G$2:$G$1093,$C54,'Harvest Detail'!$I$2:$I$1093,K$3)</f>
        <v>0</v>
      </c>
      <c r="L54" s="20">
        <f>SUMIFS('Harvest Detail'!$J$2:$J$1093,'Harvest Detail'!$A$2:$A$1093,$A54,'Harvest Detail'!$G$2:$G$1093,$C54,'Harvest Detail'!$I$2:$I$1093,L$3)</f>
        <v>14</v>
      </c>
      <c r="M54" s="20">
        <f>SUMIFS('Harvest Detail'!$J$2:$J$1093,'Harvest Detail'!$A$2:$A$1093,$A54,'Harvest Detail'!$G$2:$G$1093,$C54,'Harvest Detail'!$I$2:$I$1093,M$3)</f>
        <v>31</v>
      </c>
      <c r="N54" s="20">
        <f>SUMIFS('Harvest Detail'!$J$2:$J$1093,'Harvest Detail'!$A$2:$A$1093,$A54,'Harvest Detail'!$G$2:$G$1093,$C54,'Harvest Detail'!$I$2:$I$1093,N$3)</f>
        <v>17</v>
      </c>
      <c r="O54" s="20">
        <f>SUMIFS('Harvest Detail'!$J$2:$J$1093,'Harvest Detail'!$A$2:$A$1093,$A54,'Harvest Detail'!$G$2:$G$1093,$C54,'Harvest Detail'!$I$2:$I$1093,O$3)</f>
        <v>0</v>
      </c>
      <c r="P54" s="20">
        <f>SUMIFS('Harvest Detail'!$J$2:$J$1093,'Harvest Detail'!$A$2:$A$1093,$A54,'Harvest Detail'!$G$2:$G$1093,$C54,'Harvest Detail'!$I$2:$I$1093,P$3)</f>
        <v>26</v>
      </c>
      <c r="Q54" s="20">
        <f>SUMIFS('Harvest Detail'!$J$2:$J$1093,'Harvest Detail'!$A$2:$A$1093,$A54,'Harvest Detail'!$G$2:$G$1093,$C54,'Harvest Detail'!$I$2:$I$1093,Q$3)</f>
        <v>0</v>
      </c>
      <c r="R54" s="20">
        <f>SUMIFS('Harvest Detail'!$J$2:$J$1093,'Harvest Detail'!$A$2:$A$1093,$A54,'Harvest Detail'!$G$2:$G$1093,$C54,'Harvest Detail'!$I$2:$I$1093,R$3)</f>
        <v>150</v>
      </c>
      <c r="S54" s="20">
        <f>SUMIFS('Harvest Detail'!$J$2:$J$1093,'Harvest Detail'!$A$2:$A$1093,$A54,'Harvest Detail'!$G$2:$G$1093,$C54,'Harvest Detail'!$I$2:$I$1093,S$3)</f>
        <v>40</v>
      </c>
      <c r="T54" s="20">
        <f>SUMIFS('Harvest Detail'!$J$2:$J$1093,'Harvest Detail'!$A$2:$A$1093,$A54,'Harvest Detail'!$G$2:$G$1093,$C54,'Harvest Detail'!$I$2:$I$1093,T$3)</f>
        <v>24</v>
      </c>
      <c r="U54" s="20">
        <f>SUMIFS('Harvest Detail'!$J$2:$J$1093,'Harvest Detail'!$A$2:$A$1093,$A54,'Harvest Detail'!$G$2:$G$1093,$C54,'Harvest Detail'!$I$2:$I$1093,U$3)</f>
        <v>8</v>
      </c>
      <c r="V54" s="20">
        <f>SUMIFS('Harvest Detail'!$J$2:$J$1093,'Harvest Detail'!$A$2:$A$1093,$A54,'Harvest Detail'!$G$2:$G$1093,$C54,'Harvest Detail'!$I$2:$I$1093,V$3)</f>
        <v>0</v>
      </c>
      <c r="W54" s="20">
        <f>SUMIFS('Harvest Detail'!$J$2:$J$1093,'Harvest Detail'!$A$2:$A$1093,$A54,'Harvest Detail'!$G$2:$G$1093,$C54,'Harvest Detail'!$I$2:$I$1093,W$3)</f>
        <v>0</v>
      </c>
      <c r="X54" s="20">
        <f>SUMIFS('Harvest Detail'!$J$2:$J$1093,'Harvest Detail'!$A$2:$A$1093,$A54,'Harvest Detail'!$G$2:$G$1093,$C54,'Harvest Detail'!$I$2:$I$1093,X$3)</f>
        <v>0</v>
      </c>
      <c r="Y54" s="22">
        <f t="shared" si="1"/>
        <v>427</v>
      </c>
    </row>
    <row r="55" spans="1:25" ht="15" customHeight="1" x14ac:dyDescent="0.75">
      <c r="A55" s="18" t="s">
        <v>81</v>
      </c>
      <c r="B55" s="19">
        <v>46139</v>
      </c>
      <c r="C55" s="18" t="s">
        <v>56</v>
      </c>
      <c r="D55" s="20">
        <f>SUMIFS('Harvest Detail'!$J$2:$J$1093,'Harvest Detail'!$A$2:$A$1093,$A55,'Harvest Detail'!$G$2:$G$1093,$C55,'Harvest Detail'!$I$2:$I$1093,D$3)</f>
        <v>0</v>
      </c>
      <c r="E55" s="20">
        <f>SUMIFS('Harvest Detail'!$J$2:$J$1093,'Harvest Detail'!$A$2:$A$1093,$A55,'Harvest Detail'!$G$2:$G$1093,$C55,'Harvest Detail'!$I$2:$I$1093,E$3)</f>
        <v>0</v>
      </c>
      <c r="F55" s="20">
        <f>SUMIFS('Harvest Detail'!$J$2:$J$1093,'Harvest Detail'!$A$2:$A$1093,$A55,'Harvest Detail'!$G$2:$G$1093,$C55,'Harvest Detail'!$I$2:$I$1093,F$3)</f>
        <v>0</v>
      </c>
      <c r="G55" s="20">
        <f>SUMIFS('Harvest Detail'!$J$2:$J$1093,'Harvest Detail'!$A$2:$A$1093,$A55,'Harvest Detail'!$G$2:$G$1093,$C55,'Harvest Detail'!$I$2:$I$1093,G$3)</f>
        <v>0</v>
      </c>
      <c r="H55" s="20">
        <f>SUMIFS('Harvest Detail'!$J$2:$J$1093,'Harvest Detail'!$A$2:$A$1093,$A55,'Harvest Detail'!$G$2:$G$1093,$C55,'Harvest Detail'!$I$2:$I$1093,H$3)</f>
        <v>16</v>
      </c>
      <c r="I55" s="20">
        <f>SUMIFS('Harvest Detail'!$J$2:$J$1093,'Harvest Detail'!$A$2:$A$1093,$A55,'Harvest Detail'!$G$2:$G$1093,$C55,'Harvest Detail'!$I$2:$I$1093,I$3)</f>
        <v>26</v>
      </c>
      <c r="J55" s="20">
        <f>SUMIFS('Harvest Detail'!$J$2:$J$1093,'Harvest Detail'!$A$2:$A$1093,$A55,'Harvest Detail'!$G$2:$G$1093,$C55,'Harvest Detail'!$I$2:$I$1093,J$3)</f>
        <v>0</v>
      </c>
      <c r="K55" s="20">
        <f>SUMIFS('Harvest Detail'!$J$2:$J$1093,'Harvest Detail'!$A$2:$A$1093,$A55,'Harvest Detail'!$G$2:$G$1093,$C55,'Harvest Detail'!$I$2:$I$1093,K$3)</f>
        <v>6</v>
      </c>
      <c r="L55" s="20">
        <f>SUMIFS('Harvest Detail'!$J$2:$J$1093,'Harvest Detail'!$A$2:$A$1093,$A55,'Harvest Detail'!$G$2:$G$1093,$C55,'Harvest Detail'!$I$2:$I$1093,L$3)</f>
        <v>0</v>
      </c>
      <c r="M55" s="20">
        <f>SUMIFS('Harvest Detail'!$J$2:$J$1093,'Harvest Detail'!$A$2:$A$1093,$A55,'Harvest Detail'!$G$2:$G$1093,$C55,'Harvest Detail'!$I$2:$I$1093,M$3)</f>
        <v>0</v>
      </c>
      <c r="N55" s="20">
        <f>SUMIFS('Harvest Detail'!$J$2:$J$1093,'Harvest Detail'!$A$2:$A$1093,$A55,'Harvest Detail'!$G$2:$G$1093,$C55,'Harvest Detail'!$I$2:$I$1093,N$3)</f>
        <v>0</v>
      </c>
      <c r="O55" s="20">
        <f>SUMIFS('Harvest Detail'!$J$2:$J$1093,'Harvest Detail'!$A$2:$A$1093,$A55,'Harvest Detail'!$G$2:$G$1093,$C55,'Harvest Detail'!$I$2:$I$1093,O$3)</f>
        <v>0</v>
      </c>
      <c r="P55" s="20">
        <f>SUMIFS('Harvest Detail'!$J$2:$J$1093,'Harvest Detail'!$A$2:$A$1093,$A55,'Harvest Detail'!$G$2:$G$1093,$C55,'Harvest Detail'!$I$2:$I$1093,P$3)</f>
        <v>0</v>
      </c>
      <c r="Q55" s="20">
        <f>SUMIFS('Harvest Detail'!$J$2:$J$1093,'Harvest Detail'!$A$2:$A$1093,$A55,'Harvest Detail'!$G$2:$G$1093,$C55,'Harvest Detail'!$I$2:$I$1093,Q$3)</f>
        <v>46</v>
      </c>
      <c r="R55" s="20">
        <f>SUMIFS('Harvest Detail'!$J$2:$J$1093,'Harvest Detail'!$A$2:$A$1093,$A55,'Harvest Detail'!$G$2:$G$1093,$C55,'Harvest Detail'!$I$2:$I$1093,R$3)</f>
        <v>25</v>
      </c>
      <c r="S55" s="20">
        <f>SUMIFS('Harvest Detail'!$J$2:$J$1093,'Harvest Detail'!$A$2:$A$1093,$A55,'Harvest Detail'!$G$2:$G$1093,$C55,'Harvest Detail'!$I$2:$I$1093,S$3)</f>
        <v>0</v>
      </c>
      <c r="T55" s="20">
        <f>SUMIFS('Harvest Detail'!$J$2:$J$1093,'Harvest Detail'!$A$2:$A$1093,$A55,'Harvest Detail'!$G$2:$G$1093,$C55,'Harvest Detail'!$I$2:$I$1093,T$3)</f>
        <v>0</v>
      </c>
      <c r="U55" s="20">
        <f>SUMIFS('Harvest Detail'!$J$2:$J$1093,'Harvest Detail'!$A$2:$A$1093,$A55,'Harvest Detail'!$G$2:$G$1093,$C55,'Harvest Detail'!$I$2:$I$1093,U$3)</f>
        <v>5</v>
      </c>
      <c r="V55" s="20">
        <f>SUMIFS('Harvest Detail'!$J$2:$J$1093,'Harvest Detail'!$A$2:$A$1093,$A55,'Harvest Detail'!$G$2:$G$1093,$C55,'Harvest Detail'!$I$2:$I$1093,V$3)</f>
        <v>0</v>
      </c>
      <c r="W55" s="20">
        <f>SUMIFS('Harvest Detail'!$J$2:$J$1093,'Harvest Detail'!$A$2:$A$1093,$A55,'Harvest Detail'!$G$2:$G$1093,$C55,'Harvest Detail'!$I$2:$I$1093,W$3)</f>
        <v>0</v>
      </c>
      <c r="X55" s="20">
        <f>SUMIFS('Harvest Detail'!$J$2:$J$1093,'Harvest Detail'!$A$2:$A$1093,$A55,'Harvest Detail'!$G$2:$G$1093,$C55,'Harvest Detail'!$I$2:$I$1093,X$3)</f>
        <v>9</v>
      </c>
      <c r="Y55" s="22">
        <f t="shared" si="1"/>
        <v>133</v>
      </c>
    </row>
    <row r="56" spans="1:25" ht="15" customHeight="1" x14ac:dyDescent="0.75">
      <c r="A56" s="18" t="s">
        <v>81</v>
      </c>
      <c r="B56" s="19">
        <v>46139</v>
      </c>
      <c r="C56" s="18" t="s">
        <v>58</v>
      </c>
      <c r="D56" s="20">
        <f>SUMIFS('Harvest Detail'!$J$2:$J$1093,'Harvest Detail'!$A$2:$A$1093,$A56,'Harvest Detail'!$G$2:$G$1093,$C56,'Harvest Detail'!$I$2:$I$1093,D$3)</f>
        <v>231</v>
      </c>
      <c r="E56" s="20">
        <f>SUMIFS('Harvest Detail'!$J$2:$J$1093,'Harvest Detail'!$A$2:$A$1093,$A56,'Harvest Detail'!$G$2:$G$1093,$C56,'Harvest Detail'!$I$2:$I$1093,E$3)</f>
        <v>77</v>
      </c>
      <c r="F56" s="20">
        <f>SUMIFS('Harvest Detail'!$J$2:$J$1093,'Harvest Detail'!$A$2:$A$1093,$A56,'Harvest Detail'!$G$2:$G$1093,$C56,'Harvest Detail'!$I$2:$I$1093,F$3)</f>
        <v>0</v>
      </c>
      <c r="G56" s="20">
        <f>SUMIFS('Harvest Detail'!$J$2:$J$1093,'Harvest Detail'!$A$2:$A$1093,$A56,'Harvest Detail'!$G$2:$G$1093,$C56,'Harvest Detail'!$I$2:$I$1093,G$3)</f>
        <v>123</v>
      </c>
      <c r="H56" s="20">
        <f>SUMIFS('Harvest Detail'!$J$2:$J$1093,'Harvest Detail'!$A$2:$A$1093,$A56,'Harvest Detail'!$G$2:$G$1093,$C56,'Harvest Detail'!$I$2:$I$1093,H$3)</f>
        <v>0</v>
      </c>
      <c r="I56" s="20">
        <f>SUMIFS('Harvest Detail'!$J$2:$J$1093,'Harvest Detail'!$A$2:$A$1093,$A56,'Harvest Detail'!$G$2:$G$1093,$C56,'Harvest Detail'!$I$2:$I$1093,I$3)</f>
        <v>0</v>
      </c>
      <c r="J56" s="20">
        <f>SUMIFS('Harvest Detail'!$J$2:$J$1093,'Harvest Detail'!$A$2:$A$1093,$A56,'Harvest Detail'!$G$2:$G$1093,$C56,'Harvest Detail'!$I$2:$I$1093,J$3)</f>
        <v>0</v>
      </c>
      <c r="K56" s="20">
        <f>SUMIFS('Harvest Detail'!$J$2:$J$1093,'Harvest Detail'!$A$2:$A$1093,$A56,'Harvest Detail'!$G$2:$G$1093,$C56,'Harvest Detail'!$I$2:$I$1093,K$3)</f>
        <v>0</v>
      </c>
      <c r="L56" s="20">
        <f>SUMIFS('Harvest Detail'!$J$2:$J$1093,'Harvest Detail'!$A$2:$A$1093,$A56,'Harvest Detail'!$G$2:$G$1093,$C56,'Harvest Detail'!$I$2:$I$1093,L$3)</f>
        <v>0</v>
      </c>
      <c r="M56" s="20">
        <f>SUMIFS('Harvest Detail'!$J$2:$J$1093,'Harvest Detail'!$A$2:$A$1093,$A56,'Harvest Detail'!$G$2:$G$1093,$C56,'Harvest Detail'!$I$2:$I$1093,M$3)</f>
        <v>0</v>
      </c>
      <c r="N56" s="20">
        <f>SUMIFS('Harvest Detail'!$J$2:$J$1093,'Harvest Detail'!$A$2:$A$1093,$A56,'Harvest Detail'!$G$2:$G$1093,$C56,'Harvest Detail'!$I$2:$I$1093,N$3)</f>
        <v>0</v>
      </c>
      <c r="O56" s="20">
        <f>SUMIFS('Harvest Detail'!$J$2:$J$1093,'Harvest Detail'!$A$2:$A$1093,$A56,'Harvest Detail'!$G$2:$G$1093,$C56,'Harvest Detail'!$I$2:$I$1093,O$3)</f>
        <v>0</v>
      </c>
      <c r="P56" s="20">
        <f>SUMIFS('Harvest Detail'!$J$2:$J$1093,'Harvest Detail'!$A$2:$A$1093,$A56,'Harvest Detail'!$G$2:$G$1093,$C56,'Harvest Detail'!$I$2:$I$1093,P$3)</f>
        <v>0</v>
      </c>
      <c r="Q56" s="20">
        <f>SUMIFS('Harvest Detail'!$J$2:$J$1093,'Harvest Detail'!$A$2:$A$1093,$A56,'Harvest Detail'!$G$2:$G$1093,$C56,'Harvest Detail'!$I$2:$I$1093,Q$3)</f>
        <v>0</v>
      </c>
      <c r="R56" s="20">
        <f>SUMIFS('Harvest Detail'!$J$2:$J$1093,'Harvest Detail'!$A$2:$A$1093,$A56,'Harvest Detail'!$G$2:$G$1093,$C56,'Harvest Detail'!$I$2:$I$1093,R$3)</f>
        <v>10</v>
      </c>
      <c r="S56" s="20">
        <f>SUMIFS('Harvest Detail'!$J$2:$J$1093,'Harvest Detail'!$A$2:$A$1093,$A56,'Harvest Detail'!$G$2:$G$1093,$C56,'Harvest Detail'!$I$2:$I$1093,S$3)</f>
        <v>0</v>
      </c>
      <c r="T56" s="20">
        <f>SUMIFS('Harvest Detail'!$J$2:$J$1093,'Harvest Detail'!$A$2:$A$1093,$A56,'Harvest Detail'!$G$2:$G$1093,$C56,'Harvest Detail'!$I$2:$I$1093,T$3)</f>
        <v>0</v>
      </c>
      <c r="U56" s="20">
        <f>SUMIFS('Harvest Detail'!$J$2:$J$1093,'Harvest Detail'!$A$2:$A$1093,$A56,'Harvest Detail'!$G$2:$G$1093,$C56,'Harvest Detail'!$I$2:$I$1093,U$3)</f>
        <v>0</v>
      </c>
      <c r="V56" s="20">
        <f>SUMIFS('Harvest Detail'!$J$2:$J$1093,'Harvest Detail'!$A$2:$A$1093,$A56,'Harvest Detail'!$G$2:$G$1093,$C56,'Harvest Detail'!$I$2:$I$1093,V$3)</f>
        <v>1</v>
      </c>
      <c r="W56" s="20">
        <f>SUMIFS('Harvest Detail'!$J$2:$J$1093,'Harvest Detail'!$A$2:$A$1093,$A56,'Harvest Detail'!$G$2:$G$1093,$C56,'Harvest Detail'!$I$2:$I$1093,W$3)</f>
        <v>188</v>
      </c>
      <c r="X56" s="20">
        <f>SUMIFS('Harvest Detail'!$J$2:$J$1093,'Harvest Detail'!$A$2:$A$1093,$A56,'Harvest Detail'!$G$2:$G$1093,$C56,'Harvest Detail'!$I$2:$I$1093,X$3)</f>
        <v>0</v>
      </c>
      <c r="Y56" s="22">
        <f t="shared" si="1"/>
        <v>630</v>
      </c>
    </row>
    <row r="57" spans="1:25" ht="15" customHeight="1" x14ac:dyDescent="0.75">
      <c r="A57" s="18" t="s">
        <v>81</v>
      </c>
      <c r="B57" s="19">
        <v>46139</v>
      </c>
      <c r="C57" s="18" t="s">
        <v>66</v>
      </c>
      <c r="D57" s="20">
        <f>SUMIFS('Harvest Detail'!$J$2:$J$1093,'Harvest Detail'!$A$2:$A$1093,$A57,'Harvest Detail'!$G$2:$G$1093,$C57,'Harvest Detail'!$I$2:$I$1093,D$3)</f>
        <v>6</v>
      </c>
      <c r="E57" s="20">
        <f>SUMIFS('Harvest Detail'!$J$2:$J$1093,'Harvest Detail'!$A$2:$A$1093,$A57,'Harvest Detail'!$G$2:$G$1093,$C57,'Harvest Detail'!$I$2:$I$1093,E$3)</f>
        <v>74</v>
      </c>
      <c r="F57" s="20">
        <f>SUMIFS('Harvest Detail'!$J$2:$J$1093,'Harvest Detail'!$A$2:$A$1093,$A57,'Harvest Detail'!$G$2:$G$1093,$C57,'Harvest Detail'!$I$2:$I$1093,F$3)</f>
        <v>0</v>
      </c>
      <c r="G57" s="20">
        <f>SUMIFS('Harvest Detail'!$J$2:$J$1093,'Harvest Detail'!$A$2:$A$1093,$A57,'Harvest Detail'!$G$2:$G$1093,$C57,'Harvest Detail'!$I$2:$I$1093,G$3)</f>
        <v>0</v>
      </c>
      <c r="H57" s="20">
        <f>SUMIFS('Harvest Detail'!$J$2:$J$1093,'Harvest Detail'!$A$2:$A$1093,$A57,'Harvest Detail'!$G$2:$G$1093,$C57,'Harvest Detail'!$I$2:$I$1093,H$3)</f>
        <v>0</v>
      </c>
      <c r="I57" s="20">
        <f>SUMIFS('Harvest Detail'!$J$2:$J$1093,'Harvest Detail'!$A$2:$A$1093,$A57,'Harvest Detail'!$G$2:$G$1093,$C57,'Harvest Detail'!$I$2:$I$1093,I$3)</f>
        <v>0</v>
      </c>
      <c r="J57" s="20">
        <f>SUMIFS('Harvest Detail'!$J$2:$J$1093,'Harvest Detail'!$A$2:$A$1093,$A57,'Harvest Detail'!$G$2:$G$1093,$C57,'Harvest Detail'!$I$2:$I$1093,J$3)</f>
        <v>0</v>
      </c>
      <c r="K57" s="20">
        <f>SUMIFS('Harvest Detail'!$J$2:$J$1093,'Harvest Detail'!$A$2:$A$1093,$A57,'Harvest Detail'!$G$2:$G$1093,$C57,'Harvest Detail'!$I$2:$I$1093,K$3)</f>
        <v>0</v>
      </c>
      <c r="L57" s="20">
        <f>SUMIFS('Harvest Detail'!$J$2:$J$1093,'Harvest Detail'!$A$2:$A$1093,$A57,'Harvest Detail'!$G$2:$G$1093,$C57,'Harvest Detail'!$I$2:$I$1093,L$3)</f>
        <v>0</v>
      </c>
      <c r="M57" s="20">
        <f>SUMIFS('Harvest Detail'!$J$2:$J$1093,'Harvest Detail'!$A$2:$A$1093,$A57,'Harvest Detail'!$G$2:$G$1093,$C57,'Harvest Detail'!$I$2:$I$1093,M$3)</f>
        <v>0</v>
      </c>
      <c r="N57" s="20">
        <f>SUMIFS('Harvest Detail'!$J$2:$J$1093,'Harvest Detail'!$A$2:$A$1093,$A57,'Harvest Detail'!$G$2:$G$1093,$C57,'Harvest Detail'!$I$2:$I$1093,N$3)</f>
        <v>0</v>
      </c>
      <c r="O57" s="20">
        <f>SUMIFS('Harvest Detail'!$J$2:$J$1093,'Harvest Detail'!$A$2:$A$1093,$A57,'Harvest Detail'!$G$2:$G$1093,$C57,'Harvest Detail'!$I$2:$I$1093,O$3)</f>
        <v>0</v>
      </c>
      <c r="P57" s="20">
        <f>SUMIFS('Harvest Detail'!$J$2:$J$1093,'Harvest Detail'!$A$2:$A$1093,$A57,'Harvest Detail'!$G$2:$G$1093,$C57,'Harvest Detail'!$I$2:$I$1093,P$3)</f>
        <v>0</v>
      </c>
      <c r="Q57" s="20">
        <f>SUMIFS('Harvest Detail'!$J$2:$J$1093,'Harvest Detail'!$A$2:$A$1093,$A57,'Harvest Detail'!$G$2:$G$1093,$C57,'Harvest Detail'!$I$2:$I$1093,Q$3)</f>
        <v>0</v>
      </c>
      <c r="R57" s="20">
        <f>SUMIFS('Harvest Detail'!$J$2:$J$1093,'Harvest Detail'!$A$2:$A$1093,$A57,'Harvest Detail'!$G$2:$G$1093,$C57,'Harvest Detail'!$I$2:$I$1093,R$3)</f>
        <v>0</v>
      </c>
      <c r="S57" s="20">
        <f>SUMIFS('Harvest Detail'!$J$2:$J$1093,'Harvest Detail'!$A$2:$A$1093,$A57,'Harvest Detail'!$G$2:$G$1093,$C57,'Harvest Detail'!$I$2:$I$1093,S$3)</f>
        <v>0</v>
      </c>
      <c r="T57" s="20">
        <f>SUMIFS('Harvest Detail'!$J$2:$J$1093,'Harvest Detail'!$A$2:$A$1093,$A57,'Harvest Detail'!$G$2:$G$1093,$C57,'Harvest Detail'!$I$2:$I$1093,T$3)</f>
        <v>0</v>
      </c>
      <c r="U57" s="20">
        <f>SUMIFS('Harvest Detail'!$J$2:$J$1093,'Harvest Detail'!$A$2:$A$1093,$A57,'Harvest Detail'!$G$2:$G$1093,$C57,'Harvest Detail'!$I$2:$I$1093,U$3)</f>
        <v>0</v>
      </c>
      <c r="V57" s="20">
        <f>SUMIFS('Harvest Detail'!$J$2:$J$1093,'Harvest Detail'!$A$2:$A$1093,$A57,'Harvest Detail'!$G$2:$G$1093,$C57,'Harvest Detail'!$I$2:$I$1093,V$3)</f>
        <v>0</v>
      </c>
      <c r="W57" s="20">
        <f>SUMIFS('Harvest Detail'!$J$2:$J$1093,'Harvest Detail'!$A$2:$A$1093,$A57,'Harvest Detail'!$G$2:$G$1093,$C57,'Harvest Detail'!$I$2:$I$1093,W$3)</f>
        <v>0</v>
      </c>
      <c r="X57" s="20">
        <f>SUMIFS('Harvest Detail'!$J$2:$J$1093,'Harvest Detail'!$A$2:$A$1093,$A57,'Harvest Detail'!$G$2:$G$1093,$C57,'Harvest Detail'!$I$2:$I$1093,X$3)</f>
        <v>0</v>
      </c>
      <c r="Y57" s="22">
        <f t="shared" si="1"/>
        <v>80</v>
      </c>
    </row>
    <row r="58" spans="1:25" ht="15" customHeight="1" x14ac:dyDescent="0.75">
      <c r="A58" s="18" t="s">
        <v>82</v>
      </c>
      <c r="B58" s="19">
        <v>46146</v>
      </c>
      <c r="C58" s="18" t="s">
        <v>56</v>
      </c>
      <c r="D58" s="20">
        <f>SUMIFS('Harvest Detail'!$J$2:$J$1093,'Harvest Detail'!$A$2:$A$1093,$A58,'Harvest Detail'!$G$2:$G$1093,$C58,'Harvest Detail'!$I$2:$I$1093,D$3)</f>
        <v>42</v>
      </c>
      <c r="E58" s="20">
        <f>SUMIFS('Harvest Detail'!$J$2:$J$1093,'Harvest Detail'!$A$2:$A$1093,$A58,'Harvest Detail'!$G$2:$G$1093,$C58,'Harvest Detail'!$I$2:$I$1093,E$3)</f>
        <v>0</v>
      </c>
      <c r="F58" s="20">
        <f>SUMIFS('Harvest Detail'!$J$2:$J$1093,'Harvest Detail'!$A$2:$A$1093,$A58,'Harvest Detail'!$G$2:$G$1093,$C58,'Harvest Detail'!$I$2:$I$1093,F$3)</f>
        <v>16</v>
      </c>
      <c r="G58" s="20">
        <f>SUMIFS('Harvest Detail'!$J$2:$J$1093,'Harvest Detail'!$A$2:$A$1093,$A58,'Harvest Detail'!$G$2:$G$1093,$C58,'Harvest Detail'!$I$2:$I$1093,G$3)</f>
        <v>0</v>
      </c>
      <c r="H58" s="20">
        <f>SUMIFS('Harvest Detail'!$J$2:$J$1093,'Harvest Detail'!$A$2:$A$1093,$A58,'Harvest Detail'!$G$2:$G$1093,$C58,'Harvest Detail'!$I$2:$I$1093,H$3)</f>
        <v>0</v>
      </c>
      <c r="I58" s="20">
        <f>SUMIFS('Harvest Detail'!$J$2:$J$1093,'Harvest Detail'!$A$2:$A$1093,$A58,'Harvest Detail'!$G$2:$G$1093,$C58,'Harvest Detail'!$I$2:$I$1093,I$3)</f>
        <v>50</v>
      </c>
      <c r="J58" s="20">
        <f>SUMIFS('Harvest Detail'!$J$2:$J$1093,'Harvest Detail'!$A$2:$A$1093,$A58,'Harvest Detail'!$G$2:$G$1093,$C58,'Harvest Detail'!$I$2:$I$1093,J$3)</f>
        <v>0</v>
      </c>
      <c r="K58" s="20">
        <f>SUMIFS('Harvest Detail'!$J$2:$J$1093,'Harvest Detail'!$A$2:$A$1093,$A58,'Harvest Detail'!$G$2:$G$1093,$C58,'Harvest Detail'!$I$2:$I$1093,K$3)</f>
        <v>0</v>
      </c>
      <c r="L58" s="20">
        <f>SUMIFS('Harvest Detail'!$J$2:$J$1093,'Harvest Detail'!$A$2:$A$1093,$A58,'Harvest Detail'!$G$2:$G$1093,$C58,'Harvest Detail'!$I$2:$I$1093,L$3)</f>
        <v>8</v>
      </c>
      <c r="M58" s="20">
        <f>SUMIFS('Harvest Detail'!$J$2:$J$1093,'Harvest Detail'!$A$2:$A$1093,$A58,'Harvest Detail'!$G$2:$G$1093,$C58,'Harvest Detail'!$I$2:$I$1093,M$3)</f>
        <v>27</v>
      </c>
      <c r="N58" s="20">
        <f>SUMIFS('Harvest Detail'!$J$2:$J$1093,'Harvest Detail'!$A$2:$A$1093,$A58,'Harvest Detail'!$G$2:$G$1093,$C58,'Harvest Detail'!$I$2:$I$1093,N$3)</f>
        <v>33</v>
      </c>
      <c r="O58" s="20">
        <f>SUMIFS('Harvest Detail'!$J$2:$J$1093,'Harvest Detail'!$A$2:$A$1093,$A58,'Harvest Detail'!$G$2:$G$1093,$C58,'Harvest Detail'!$I$2:$I$1093,O$3)</f>
        <v>0</v>
      </c>
      <c r="P58" s="20">
        <f>SUMIFS('Harvest Detail'!$J$2:$J$1093,'Harvest Detail'!$A$2:$A$1093,$A58,'Harvest Detail'!$G$2:$G$1093,$C58,'Harvest Detail'!$I$2:$I$1093,P$3)</f>
        <v>26</v>
      </c>
      <c r="Q58" s="20">
        <f>SUMIFS('Harvest Detail'!$J$2:$J$1093,'Harvest Detail'!$A$2:$A$1093,$A58,'Harvest Detail'!$G$2:$G$1093,$C58,'Harvest Detail'!$I$2:$I$1093,Q$3)</f>
        <v>41</v>
      </c>
      <c r="R58" s="20">
        <f>SUMIFS('Harvest Detail'!$J$2:$J$1093,'Harvest Detail'!$A$2:$A$1093,$A58,'Harvest Detail'!$G$2:$G$1093,$C58,'Harvest Detail'!$I$2:$I$1093,R$3)</f>
        <v>180</v>
      </c>
      <c r="S58" s="20">
        <f>SUMIFS('Harvest Detail'!$J$2:$J$1093,'Harvest Detail'!$A$2:$A$1093,$A58,'Harvest Detail'!$G$2:$G$1093,$C58,'Harvest Detail'!$I$2:$I$1093,S$3)</f>
        <v>0</v>
      </c>
      <c r="T58" s="20">
        <f>SUMIFS('Harvest Detail'!$J$2:$J$1093,'Harvest Detail'!$A$2:$A$1093,$A58,'Harvest Detail'!$G$2:$G$1093,$C58,'Harvest Detail'!$I$2:$I$1093,T$3)</f>
        <v>0</v>
      </c>
      <c r="U58" s="20">
        <f>SUMIFS('Harvest Detail'!$J$2:$J$1093,'Harvest Detail'!$A$2:$A$1093,$A58,'Harvest Detail'!$G$2:$G$1093,$C58,'Harvest Detail'!$I$2:$I$1093,U$3)</f>
        <v>6</v>
      </c>
      <c r="V58" s="20">
        <f>SUMIFS('Harvest Detail'!$J$2:$J$1093,'Harvest Detail'!$A$2:$A$1093,$A58,'Harvest Detail'!$G$2:$G$1093,$C58,'Harvest Detail'!$I$2:$I$1093,V$3)</f>
        <v>0</v>
      </c>
      <c r="W58" s="20">
        <f>SUMIFS('Harvest Detail'!$J$2:$J$1093,'Harvest Detail'!$A$2:$A$1093,$A58,'Harvest Detail'!$G$2:$G$1093,$C58,'Harvest Detail'!$I$2:$I$1093,W$3)</f>
        <v>0</v>
      </c>
      <c r="X58" s="20">
        <f>SUMIFS('Harvest Detail'!$J$2:$J$1093,'Harvest Detail'!$A$2:$A$1093,$A58,'Harvest Detail'!$G$2:$G$1093,$C58,'Harvest Detail'!$I$2:$I$1093,X$3)</f>
        <v>12</v>
      </c>
      <c r="Y58" s="22">
        <f t="shared" si="1"/>
        <v>441</v>
      </c>
    </row>
    <row r="59" spans="1:25" ht="15" customHeight="1" x14ac:dyDescent="0.75">
      <c r="A59" s="18" t="s">
        <v>82</v>
      </c>
      <c r="B59" s="19">
        <v>46146</v>
      </c>
      <c r="C59" s="18" t="s">
        <v>58</v>
      </c>
      <c r="D59" s="20">
        <f>SUMIFS('Harvest Detail'!$J$2:$J$1093,'Harvest Detail'!$A$2:$A$1093,$A59,'Harvest Detail'!$G$2:$G$1093,$C59,'Harvest Detail'!$I$2:$I$1093,D$3)</f>
        <v>390</v>
      </c>
      <c r="E59" s="20">
        <f>SUMIFS('Harvest Detail'!$J$2:$J$1093,'Harvest Detail'!$A$2:$A$1093,$A59,'Harvest Detail'!$G$2:$G$1093,$C59,'Harvest Detail'!$I$2:$I$1093,E$3)</f>
        <v>135</v>
      </c>
      <c r="F59" s="20">
        <f>SUMIFS('Harvest Detail'!$J$2:$J$1093,'Harvest Detail'!$A$2:$A$1093,$A59,'Harvest Detail'!$G$2:$G$1093,$C59,'Harvest Detail'!$I$2:$I$1093,F$3)</f>
        <v>0</v>
      </c>
      <c r="G59" s="20">
        <f>SUMIFS('Harvest Detail'!$J$2:$J$1093,'Harvest Detail'!$A$2:$A$1093,$A59,'Harvest Detail'!$G$2:$G$1093,$C59,'Harvest Detail'!$I$2:$I$1093,G$3)</f>
        <v>119</v>
      </c>
      <c r="H59" s="20">
        <f>SUMIFS('Harvest Detail'!$J$2:$J$1093,'Harvest Detail'!$A$2:$A$1093,$A59,'Harvest Detail'!$G$2:$G$1093,$C59,'Harvest Detail'!$I$2:$I$1093,H$3)</f>
        <v>0</v>
      </c>
      <c r="I59" s="20">
        <f>SUMIFS('Harvest Detail'!$J$2:$J$1093,'Harvest Detail'!$A$2:$A$1093,$A59,'Harvest Detail'!$G$2:$G$1093,$C59,'Harvest Detail'!$I$2:$I$1093,I$3)</f>
        <v>0</v>
      </c>
      <c r="J59" s="20">
        <f>SUMIFS('Harvest Detail'!$J$2:$J$1093,'Harvest Detail'!$A$2:$A$1093,$A59,'Harvest Detail'!$G$2:$G$1093,$C59,'Harvest Detail'!$I$2:$I$1093,J$3)</f>
        <v>0</v>
      </c>
      <c r="K59" s="20">
        <f>SUMIFS('Harvest Detail'!$J$2:$J$1093,'Harvest Detail'!$A$2:$A$1093,$A59,'Harvest Detail'!$G$2:$G$1093,$C59,'Harvest Detail'!$I$2:$I$1093,K$3)</f>
        <v>0</v>
      </c>
      <c r="L59" s="20">
        <f>SUMIFS('Harvest Detail'!$J$2:$J$1093,'Harvest Detail'!$A$2:$A$1093,$A59,'Harvest Detail'!$G$2:$G$1093,$C59,'Harvest Detail'!$I$2:$I$1093,L$3)</f>
        <v>0</v>
      </c>
      <c r="M59" s="20">
        <f>SUMIFS('Harvest Detail'!$J$2:$J$1093,'Harvest Detail'!$A$2:$A$1093,$A59,'Harvest Detail'!$G$2:$G$1093,$C59,'Harvest Detail'!$I$2:$I$1093,M$3)</f>
        <v>0</v>
      </c>
      <c r="N59" s="20">
        <f>SUMIFS('Harvest Detail'!$J$2:$J$1093,'Harvest Detail'!$A$2:$A$1093,$A59,'Harvest Detail'!$G$2:$G$1093,$C59,'Harvest Detail'!$I$2:$I$1093,N$3)</f>
        <v>0</v>
      </c>
      <c r="O59" s="20">
        <f>SUMIFS('Harvest Detail'!$J$2:$J$1093,'Harvest Detail'!$A$2:$A$1093,$A59,'Harvest Detail'!$G$2:$G$1093,$C59,'Harvest Detail'!$I$2:$I$1093,O$3)</f>
        <v>0</v>
      </c>
      <c r="P59" s="20">
        <f>SUMIFS('Harvest Detail'!$J$2:$J$1093,'Harvest Detail'!$A$2:$A$1093,$A59,'Harvest Detail'!$G$2:$G$1093,$C59,'Harvest Detail'!$I$2:$I$1093,P$3)</f>
        <v>0</v>
      </c>
      <c r="Q59" s="20">
        <f>SUMIFS('Harvest Detail'!$J$2:$J$1093,'Harvest Detail'!$A$2:$A$1093,$A59,'Harvest Detail'!$G$2:$G$1093,$C59,'Harvest Detail'!$I$2:$I$1093,Q$3)</f>
        <v>0</v>
      </c>
      <c r="R59" s="20">
        <f>SUMIFS('Harvest Detail'!$J$2:$J$1093,'Harvest Detail'!$A$2:$A$1093,$A59,'Harvest Detail'!$G$2:$G$1093,$C59,'Harvest Detail'!$I$2:$I$1093,R$3)</f>
        <v>50</v>
      </c>
      <c r="S59" s="20">
        <f>SUMIFS('Harvest Detail'!$J$2:$J$1093,'Harvest Detail'!$A$2:$A$1093,$A59,'Harvest Detail'!$G$2:$G$1093,$C59,'Harvest Detail'!$I$2:$I$1093,S$3)</f>
        <v>0</v>
      </c>
      <c r="T59" s="20">
        <f>SUMIFS('Harvest Detail'!$J$2:$J$1093,'Harvest Detail'!$A$2:$A$1093,$A59,'Harvest Detail'!$G$2:$G$1093,$C59,'Harvest Detail'!$I$2:$I$1093,T$3)</f>
        <v>0</v>
      </c>
      <c r="U59" s="20">
        <f>SUMIFS('Harvest Detail'!$J$2:$J$1093,'Harvest Detail'!$A$2:$A$1093,$A59,'Harvest Detail'!$G$2:$G$1093,$C59,'Harvest Detail'!$I$2:$I$1093,U$3)</f>
        <v>0</v>
      </c>
      <c r="V59" s="20">
        <f>SUMIFS('Harvest Detail'!$J$2:$J$1093,'Harvest Detail'!$A$2:$A$1093,$A59,'Harvest Detail'!$G$2:$G$1093,$C59,'Harvest Detail'!$I$2:$I$1093,V$3)</f>
        <v>0</v>
      </c>
      <c r="W59" s="20">
        <f>SUMIFS('Harvest Detail'!$J$2:$J$1093,'Harvest Detail'!$A$2:$A$1093,$A59,'Harvest Detail'!$G$2:$G$1093,$C59,'Harvest Detail'!$I$2:$I$1093,W$3)</f>
        <v>184</v>
      </c>
      <c r="X59" s="20">
        <f>SUMIFS('Harvest Detail'!$J$2:$J$1093,'Harvest Detail'!$A$2:$A$1093,$A59,'Harvest Detail'!$G$2:$G$1093,$C59,'Harvest Detail'!$I$2:$I$1093,X$3)</f>
        <v>0</v>
      </c>
      <c r="Y59" s="22">
        <f t="shared" si="1"/>
        <v>878</v>
      </c>
    </row>
    <row r="60" spans="1:25" ht="15" customHeight="1" x14ac:dyDescent="0.75">
      <c r="A60" s="18" t="s">
        <v>82</v>
      </c>
      <c r="B60" s="19">
        <v>46146</v>
      </c>
      <c r="C60" s="18" t="s">
        <v>66</v>
      </c>
      <c r="D60" s="20">
        <f>SUMIFS('Harvest Detail'!$J$2:$J$1093,'Harvest Detail'!$A$2:$A$1093,$A60,'Harvest Detail'!$G$2:$G$1093,$C60,'Harvest Detail'!$I$2:$I$1093,D$3)</f>
        <v>39</v>
      </c>
      <c r="E60" s="20">
        <f>SUMIFS('Harvest Detail'!$J$2:$J$1093,'Harvest Detail'!$A$2:$A$1093,$A60,'Harvest Detail'!$G$2:$G$1093,$C60,'Harvest Detail'!$I$2:$I$1093,E$3)</f>
        <v>39</v>
      </c>
      <c r="F60" s="20">
        <f>SUMIFS('Harvest Detail'!$J$2:$J$1093,'Harvest Detail'!$A$2:$A$1093,$A60,'Harvest Detail'!$G$2:$G$1093,$C60,'Harvest Detail'!$I$2:$I$1093,F$3)</f>
        <v>34</v>
      </c>
      <c r="G60" s="20">
        <f>SUMIFS('Harvest Detail'!$J$2:$J$1093,'Harvest Detail'!$A$2:$A$1093,$A60,'Harvest Detail'!$G$2:$G$1093,$C60,'Harvest Detail'!$I$2:$I$1093,G$3)</f>
        <v>0</v>
      </c>
      <c r="H60" s="20">
        <f>SUMIFS('Harvest Detail'!$J$2:$J$1093,'Harvest Detail'!$A$2:$A$1093,$A60,'Harvest Detail'!$G$2:$G$1093,$C60,'Harvest Detail'!$I$2:$I$1093,H$3)</f>
        <v>0</v>
      </c>
      <c r="I60" s="20">
        <f>SUMIFS('Harvest Detail'!$J$2:$J$1093,'Harvest Detail'!$A$2:$A$1093,$A60,'Harvest Detail'!$G$2:$G$1093,$C60,'Harvest Detail'!$I$2:$I$1093,I$3)</f>
        <v>0</v>
      </c>
      <c r="J60" s="20">
        <f>SUMIFS('Harvest Detail'!$J$2:$J$1093,'Harvest Detail'!$A$2:$A$1093,$A60,'Harvest Detail'!$G$2:$G$1093,$C60,'Harvest Detail'!$I$2:$I$1093,J$3)</f>
        <v>0</v>
      </c>
      <c r="K60" s="20">
        <f>SUMIFS('Harvest Detail'!$J$2:$J$1093,'Harvest Detail'!$A$2:$A$1093,$A60,'Harvest Detail'!$G$2:$G$1093,$C60,'Harvest Detail'!$I$2:$I$1093,K$3)</f>
        <v>0</v>
      </c>
      <c r="L60" s="20">
        <f>SUMIFS('Harvest Detail'!$J$2:$J$1093,'Harvest Detail'!$A$2:$A$1093,$A60,'Harvest Detail'!$G$2:$G$1093,$C60,'Harvest Detail'!$I$2:$I$1093,L$3)</f>
        <v>20</v>
      </c>
      <c r="M60" s="20">
        <f>SUMIFS('Harvest Detail'!$J$2:$J$1093,'Harvest Detail'!$A$2:$A$1093,$A60,'Harvest Detail'!$G$2:$G$1093,$C60,'Harvest Detail'!$I$2:$I$1093,M$3)</f>
        <v>27</v>
      </c>
      <c r="N60" s="20">
        <f>SUMIFS('Harvest Detail'!$J$2:$J$1093,'Harvest Detail'!$A$2:$A$1093,$A60,'Harvest Detail'!$G$2:$G$1093,$C60,'Harvest Detail'!$I$2:$I$1093,N$3)</f>
        <v>15</v>
      </c>
      <c r="O60" s="20">
        <f>SUMIFS('Harvest Detail'!$J$2:$J$1093,'Harvest Detail'!$A$2:$A$1093,$A60,'Harvest Detail'!$G$2:$G$1093,$C60,'Harvest Detail'!$I$2:$I$1093,O$3)</f>
        <v>0</v>
      </c>
      <c r="P60" s="20">
        <f>SUMIFS('Harvest Detail'!$J$2:$J$1093,'Harvest Detail'!$A$2:$A$1093,$A60,'Harvest Detail'!$G$2:$G$1093,$C60,'Harvest Detail'!$I$2:$I$1093,P$3)</f>
        <v>26</v>
      </c>
      <c r="Q60" s="20">
        <f>SUMIFS('Harvest Detail'!$J$2:$J$1093,'Harvest Detail'!$A$2:$A$1093,$A60,'Harvest Detail'!$G$2:$G$1093,$C60,'Harvest Detail'!$I$2:$I$1093,Q$3)</f>
        <v>0</v>
      </c>
      <c r="R60" s="20">
        <f>SUMIFS('Harvest Detail'!$J$2:$J$1093,'Harvest Detail'!$A$2:$A$1093,$A60,'Harvest Detail'!$G$2:$G$1093,$C60,'Harvest Detail'!$I$2:$I$1093,R$3)</f>
        <v>125</v>
      </c>
      <c r="S60" s="20">
        <f>SUMIFS('Harvest Detail'!$J$2:$J$1093,'Harvest Detail'!$A$2:$A$1093,$A60,'Harvest Detail'!$G$2:$G$1093,$C60,'Harvest Detail'!$I$2:$I$1093,S$3)</f>
        <v>40</v>
      </c>
      <c r="T60" s="20">
        <f>SUMIFS('Harvest Detail'!$J$2:$J$1093,'Harvest Detail'!$A$2:$A$1093,$A60,'Harvest Detail'!$G$2:$G$1093,$C60,'Harvest Detail'!$I$2:$I$1093,T$3)</f>
        <v>24</v>
      </c>
      <c r="U60" s="20">
        <f>SUMIFS('Harvest Detail'!$J$2:$J$1093,'Harvest Detail'!$A$2:$A$1093,$A60,'Harvest Detail'!$G$2:$G$1093,$C60,'Harvest Detail'!$I$2:$I$1093,U$3)</f>
        <v>8</v>
      </c>
      <c r="V60" s="20">
        <f>SUMIFS('Harvest Detail'!$J$2:$J$1093,'Harvest Detail'!$A$2:$A$1093,$A60,'Harvest Detail'!$G$2:$G$1093,$C60,'Harvest Detail'!$I$2:$I$1093,V$3)</f>
        <v>0</v>
      </c>
      <c r="W60" s="20">
        <f>SUMIFS('Harvest Detail'!$J$2:$J$1093,'Harvest Detail'!$A$2:$A$1093,$A60,'Harvest Detail'!$G$2:$G$1093,$C60,'Harvest Detail'!$I$2:$I$1093,W$3)</f>
        <v>0</v>
      </c>
      <c r="X60" s="20">
        <f>SUMIFS('Harvest Detail'!$J$2:$J$1093,'Harvest Detail'!$A$2:$A$1093,$A60,'Harvest Detail'!$G$2:$G$1093,$C60,'Harvest Detail'!$I$2:$I$1093,X$3)</f>
        <v>0</v>
      </c>
      <c r="Y60" s="22">
        <f t="shared" si="1"/>
        <v>397</v>
      </c>
    </row>
    <row r="61" spans="1:25" ht="15" customHeight="1" x14ac:dyDescent="0.75">
      <c r="A61" s="18" t="s">
        <v>83</v>
      </c>
      <c r="B61" s="19">
        <v>46153</v>
      </c>
      <c r="C61" s="18" t="s">
        <v>56</v>
      </c>
      <c r="D61" s="20">
        <f>SUMIFS('Harvest Detail'!$J$2:$J$1093,'Harvest Detail'!$A$2:$A$1093,$A61,'Harvest Detail'!$G$2:$G$1093,$C61,'Harvest Detail'!$I$2:$I$1093,D$3)</f>
        <v>0</v>
      </c>
      <c r="E61" s="20">
        <f>SUMIFS('Harvest Detail'!$J$2:$J$1093,'Harvest Detail'!$A$2:$A$1093,$A61,'Harvest Detail'!$G$2:$G$1093,$C61,'Harvest Detail'!$I$2:$I$1093,E$3)</f>
        <v>0</v>
      </c>
      <c r="F61" s="20">
        <f>SUMIFS('Harvest Detail'!$J$2:$J$1093,'Harvest Detail'!$A$2:$A$1093,$A61,'Harvest Detail'!$G$2:$G$1093,$C61,'Harvest Detail'!$I$2:$I$1093,F$3)</f>
        <v>0</v>
      </c>
      <c r="G61" s="20">
        <f>SUMIFS('Harvest Detail'!$J$2:$J$1093,'Harvest Detail'!$A$2:$A$1093,$A61,'Harvest Detail'!$G$2:$G$1093,$C61,'Harvest Detail'!$I$2:$I$1093,G$3)</f>
        <v>0</v>
      </c>
      <c r="H61" s="20">
        <f>SUMIFS('Harvest Detail'!$J$2:$J$1093,'Harvest Detail'!$A$2:$A$1093,$A61,'Harvest Detail'!$G$2:$G$1093,$C61,'Harvest Detail'!$I$2:$I$1093,H$3)</f>
        <v>16</v>
      </c>
      <c r="I61" s="20">
        <f>SUMIFS('Harvest Detail'!$J$2:$J$1093,'Harvest Detail'!$A$2:$A$1093,$A61,'Harvest Detail'!$G$2:$G$1093,$C61,'Harvest Detail'!$I$2:$I$1093,I$3)</f>
        <v>0</v>
      </c>
      <c r="J61" s="20">
        <f>SUMIFS('Harvest Detail'!$J$2:$J$1093,'Harvest Detail'!$A$2:$A$1093,$A61,'Harvest Detail'!$G$2:$G$1093,$C61,'Harvest Detail'!$I$2:$I$1093,J$3)</f>
        <v>0</v>
      </c>
      <c r="K61" s="20">
        <f>SUMIFS('Harvest Detail'!$J$2:$J$1093,'Harvest Detail'!$A$2:$A$1093,$A61,'Harvest Detail'!$G$2:$G$1093,$C61,'Harvest Detail'!$I$2:$I$1093,K$3)</f>
        <v>6</v>
      </c>
      <c r="L61" s="20">
        <f>SUMIFS('Harvest Detail'!$J$2:$J$1093,'Harvest Detail'!$A$2:$A$1093,$A61,'Harvest Detail'!$G$2:$G$1093,$C61,'Harvest Detail'!$I$2:$I$1093,L$3)</f>
        <v>0</v>
      </c>
      <c r="M61" s="20">
        <f>SUMIFS('Harvest Detail'!$J$2:$J$1093,'Harvest Detail'!$A$2:$A$1093,$A61,'Harvest Detail'!$G$2:$G$1093,$C61,'Harvest Detail'!$I$2:$I$1093,M$3)</f>
        <v>0</v>
      </c>
      <c r="N61" s="20">
        <f>SUMIFS('Harvest Detail'!$J$2:$J$1093,'Harvest Detail'!$A$2:$A$1093,$A61,'Harvest Detail'!$G$2:$G$1093,$C61,'Harvest Detail'!$I$2:$I$1093,N$3)</f>
        <v>0</v>
      </c>
      <c r="O61" s="20">
        <f>SUMIFS('Harvest Detail'!$J$2:$J$1093,'Harvest Detail'!$A$2:$A$1093,$A61,'Harvest Detail'!$G$2:$G$1093,$C61,'Harvest Detail'!$I$2:$I$1093,O$3)</f>
        <v>0</v>
      </c>
      <c r="P61" s="20">
        <f>SUMIFS('Harvest Detail'!$J$2:$J$1093,'Harvest Detail'!$A$2:$A$1093,$A61,'Harvest Detail'!$G$2:$G$1093,$C61,'Harvest Detail'!$I$2:$I$1093,P$3)</f>
        <v>0</v>
      </c>
      <c r="Q61" s="20">
        <f>SUMIFS('Harvest Detail'!$J$2:$J$1093,'Harvest Detail'!$A$2:$A$1093,$A61,'Harvest Detail'!$G$2:$G$1093,$C61,'Harvest Detail'!$I$2:$I$1093,Q$3)</f>
        <v>39</v>
      </c>
      <c r="R61" s="20">
        <f>SUMIFS('Harvest Detail'!$J$2:$J$1093,'Harvest Detail'!$A$2:$A$1093,$A61,'Harvest Detail'!$G$2:$G$1093,$C61,'Harvest Detail'!$I$2:$I$1093,R$3)</f>
        <v>0</v>
      </c>
      <c r="S61" s="20">
        <f>SUMIFS('Harvest Detail'!$J$2:$J$1093,'Harvest Detail'!$A$2:$A$1093,$A61,'Harvest Detail'!$G$2:$G$1093,$C61,'Harvest Detail'!$I$2:$I$1093,S$3)</f>
        <v>0</v>
      </c>
      <c r="T61" s="20">
        <f>SUMIFS('Harvest Detail'!$J$2:$J$1093,'Harvest Detail'!$A$2:$A$1093,$A61,'Harvest Detail'!$G$2:$G$1093,$C61,'Harvest Detail'!$I$2:$I$1093,T$3)</f>
        <v>0</v>
      </c>
      <c r="U61" s="20">
        <f>SUMIFS('Harvest Detail'!$J$2:$J$1093,'Harvest Detail'!$A$2:$A$1093,$A61,'Harvest Detail'!$G$2:$G$1093,$C61,'Harvest Detail'!$I$2:$I$1093,U$3)</f>
        <v>14</v>
      </c>
      <c r="V61" s="20">
        <f>SUMIFS('Harvest Detail'!$J$2:$J$1093,'Harvest Detail'!$A$2:$A$1093,$A61,'Harvest Detail'!$G$2:$G$1093,$C61,'Harvest Detail'!$I$2:$I$1093,V$3)</f>
        <v>0</v>
      </c>
      <c r="W61" s="20">
        <f>SUMIFS('Harvest Detail'!$J$2:$J$1093,'Harvest Detail'!$A$2:$A$1093,$A61,'Harvest Detail'!$G$2:$G$1093,$C61,'Harvest Detail'!$I$2:$I$1093,W$3)</f>
        <v>0</v>
      </c>
      <c r="X61" s="20">
        <f>SUMIFS('Harvest Detail'!$J$2:$J$1093,'Harvest Detail'!$A$2:$A$1093,$A61,'Harvest Detail'!$G$2:$G$1093,$C61,'Harvest Detail'!$I$2:$I$1093,X$3)</f>
        <v>6</v>
      </c>
      <c r="Y61" s="22">
        <f t="shared" si="1"/>
        <v>81</v>
      </c>
    </row>
    <row r="62" spans="1:25" ht="15" customHeight="1" x14ac:dyDescent="0.75">
      <c r="A62" s="18" t="s">
        <v>83</v>
      </c>
      <c r="B62" s="19">
        <v>46153</v>
      </c>
      <c r="C62" s="18" t="s">
        <v>58</v>
      </c>
      <c r="D62" s="20">
        <f>SUMIFS('Harvest Detail'!$J$2:$J$1093,'Harvest Detail'!$A$2:$A$1093,$A62,'Harvest Detail'!$G$2:$G$1093,$C62,'Harvest Detail'!$I$2:$I$1093,D$3)</f>
        <v>75</v>
      </c>
      <c r="E62" s="20">
        <f>SUMIFS('Harvest Detail'!$J$2:$J$1093,'Harvest Detail'!$A$2:$A$1093,$A62,'Harvest Detail'!$G$2:$G$1093,$C62,'Harvest Detail'!$I$2:$I$1093,E$3)</f>
        <v>118</v>
      </c>
      <c r="F62" s="20">
        <f>SUMIFS('Harvest Detail'!$J$2:$J$1093,'Harvest Detail'!$A$2:$A$1093,$A62,'Harvest Detail'!$G$2:$G$1093,$C62,'Harvest Detail'!$I$2:$I$1093,F$3)</f>
        <v>0</v>
      </c>
      <c r="G62" s="20">
        <f>SUMIFS('Harvest Detail'!$J$2:$J$1093,'Harvest Detail'!$A$2:$A$1093,$A62,'Harvest Detail'!$G$2:$G$1093,$C62,'Harvest Detail'!$I$2:$I$1093,G$3)</f>
        <v>149</v>
      </c>
      <c r="H62" s="20">
        <f>SUMIFS('Harvest Detail'!$J$2:$J$1093,'Harvest Detail'!$A$2:$A$1093,$A62,'Harvest Detail'!$G$2:$G$1093,$C62,'Harvest Detail'!$I$2:$I$1093,H$3)</f>
        <v>0</v>
      </c>
      <c r="I62" s="20">
        <f>SUMIFS('Harvest Detail'!$J$2:$J$1093,'Harvest Detail'!$A$2:$A$1093,$A62,'Harvest Detail'!$G$2:$G$1093,$C62,'Harvest Detail'!$I$2:$I$1093,I$3)</f>
        <v>0</v>
      </c>
      <c r="J62" s="20">
        <f>SUMIFS('Harvest Detail'!$J$2:$J$1093,'Harvest Detail'!$A$2:$A$1093,$A62,'Harvest Detail'!$G$2:$G$1093,$C62,'Harvest Detail'!$I$2:$I$1093,J$3)</f>
        <v>0</v>
      </c>
      <c r="K62" s="20">
        <f>SUMIFS('Harvest Detail'!$J$2:$J$1093,'Harvest Detail'!$A$2:$A$1093,$A62,'Harvest Detail'!$G$2:$G$1093,$C62,'Harvest Detail'!$I$2:$I$1093,K$3)</f>
        <v>0</v>
      </c>
      <c r="L62" s="20">
        <f>SUMIFS('Harvest Detail'!$J$2:$J$1093,'Harvest Detail'!$A$2:$A$1093,$A62,'Harvest Detail'!$G$2:$G$1093,$C62,'Harvest Detail'!$I$2:$I$1093,L$3)</f>
        <v>0</v>
      </c>
      <c r="M62" s="20">
        <f>SUMIFS('Harvest Detail'!$J$2:$J$1093,'Harvest Detail'!$A$2:$A$1093,$A62,'Harvest Detail'!$G$2:$G$1093,$C62,'Harvest Detail'!$I$2:$I$1093,M$3)</f>
        <v>0</v>
      </c>
      <c r="N62" s="20">
        <f>SUMIFS('Harvest Detail'!$J$2:$J$1093,'Harvest Detail'!$A$2:$A$1093,$A62,'Harvest Detail'!$G$2:$G$1093,$C62,'Harvest Detail'!$I$2:$I$1093,N$3)</f>
        <v>0</v>
      </c>
      <c r="O62" s="20">
        <f>SUMIFS('Harvest Detail'!$J$2:$J$1093,'Harvest Detail'!$A$2:$A$1093,$A62,'Harvest Detail'!$G$2:$G$1093,$C62,'Harvest Detail'!$I$2:$I$1093,O$3)</f>
        <v>0</v>
      </c>
      <c r="P62" s="20">
        <f>SUMIFS('Harvest Detail'!$J$2:$J$1093,'Harvest Detail'!$A$2:$A$1093,$A62,'Harvest Detail'!$G$2:$G$1093,$C62,'Harvest Detail'!$I$2:$I$1093,P$3)</f>
        <v>0</v>
      </c>
      <c r="Q62" s="20">
        <f>SUMIFS('Harvest Detail'!$J$2:$J$1093,'Harvest Detail'!$A$2:$A$1093,$A62,'Harvest Detail'!$G$2:$G$1093,$C62,'Harvest Detail'!$I$2:$I$1093,Q$3)</f>
        <v>0</v>
      </c>
      <c r="R62" s="20">
        <f>SUMIFS('Harvest Detail'!$J$2:$J$1093,'Harvest Detail'!$A$2:$A$1093,$A62,'Harvest Detail'!$G$2:$G$1093,$C62,'Harvest Detail'!$I$2:$I$1093,R$3)</f>
        <v>0</v>
      </c>
      <c r="S62" s="20">
        <f>SUMIFS('Harvest Detail'!$J$2:$J$1093,'Harvest Detail'!$A$2:$A$1093,$A62,'Harvest Detail'!$G$2:$G$1093,$C62,'Harvest Detail'!$I$2:$I$1093,S$3)</f>
        <v>0</v>
      </c>
      <c r="T62" s="20">
        <f>SUMIFS('Harvest Detail'!$J$2:$J$1093,'Harvest Detail'!$A$2:$A$1093,$A62,'Harvest Detail'!$G$2:$G$1093,$C62,'Harvest Detail'!$I$2:$I$1093,T$3)</f>
        <v>0</v>
      </c>
      <c r="U62" s="20">
        <f>SUMIFS('Harvest Detail'!$J$2:$J$1093,'Harvest Detail'!$A$2:$A$1093,$A62,'Harvest Detail'!$G$2:$G$1093,$C62,'Harvest Detail'!$I$2:$I$1093,U$3)</f>
        <v>0</v>
      </c>
      <c r="V62" s="20">
        <f>SUMIFS('Harvest Detail'!$J$2:$J$1093,'Harvest Detail'!$A$2:$A$1093,$A62,'Harvest Detail'!$G$2:$G$1093,$C62,'Harvest Detail'!$I$2:$I$1093,V$3)</f>
        <v>0</v>
      </c>
      <c r="W62" s="20">
        <f>SUMIFS('Harvest Detail'!$J$2:$J$1093,'Harvest Detail'!$A$2:$A$1093,$A62,'Harvest Detail'!$G$2:$G$1093,$C62,'Harvest Detail'!$I$2:$I$1093,W$3)</f>
        <v>163</v>
      </c>
      <c r="X62" s="20">
        <f>SUMIFS('Harvest Detail'!$J$2:$J$1093,'Harvest Detail'!$A$2:$A$1093,$A62,'Harvest Detail'!$G$2:$G$1093,$C62,'Harvest Detail'!$I$2:$I$1093,X$3)</f>
        <v>0</v>
      </c>
      <c r="Y62" s="22">
        <f t="shared" si="1"/>
        <v>505</v>
      </c>
    </row>
    <row r="63" spans="1:25" ht="15" customHeight="1" x14ac:dyDescent="0.75">
      <c r="A63" s="18" t="s">
        <v>83</v>
      </c>
      <c r="B63" s="19">
        <v>46153</v>
      </c>
      <c r="C63" s="18" t="s">
        <v>66</v>
      </c>
      <c r="D63" s="20">
        <f>SUMIFS('Harvest Detail'!$J$2:$J$1093,'Harvest Detail'!$A$2:$A$1093,$A63,'Harvest Detail'!$G$2:$G$1093,$C63,'Harvest Detail'!$I$2:$I$1093,D$3)</f>
        <v>0</v>
      </c>
      <c r="E63" s="20">
        <f>SUMIFS('Harvest Detail'!$J$2:$J$1093,'Harvest Detail'!$A$2:$A$1093,$A63,'Harvest Detail'!$G$2:$G$1093,$C63,'Harvest Detail'!$I$2:$I$1093,E$3)</f>
        <v>61</v>
      </c>
      <c r="F63" s="20">
        <f>SUMIFS('Harvest Detail'!$J$2:$J$1093,'Harvest Detail'!$A$2:$A$1093,$A63,'Harvest Detail'!$G$2:$G$1093,$C63,'Harvest Detail'!$I$2:$I$1093,F$3)</f>
        <v>0</v>
      </c>
      <c r="G63" s="20">
        <f>SUMIFS('Harvest Detail'!$J$2:$J$1093,'Harvest Detail'!$A$2:$A$1093,$A63,'Harvest Detail'!$G$2:$G$1093,$C63,'Harvest Detail'!$I$2:$I$1093,G$3)</f>
        <v>0</v>
      </c>
      <c r="H63" s="20">
        <f>SUMIFS('Harvest Detail'!$J$2:$J$1093,'Harvest Detail'!$A$2:$A$1093,$A63,'Harvest Detail'!$G$2:$G$1093,$C63,'Harvest Detail'!$I$2:$I$1093,H$3)</f>
        <v>0</v>
      </c>
      <c r="I63" s="20">
        <f>SUMIFS('Harvest Detail'!$J$2:$J$1093,'Harvest Detail'!$A$2:$A$1093,$A63,'Harvest Detail'!$G$2:$G$1093,$C63,'Harvest Detail'!$I$2:$I$1093,I$3)</f>
        <v>0</v>
      </c>
      <c r="J63" s="20">
        <f>SUMIFS('Harvest Detail'!$J$2:$J$1093,'Harvest Detail'!$A$2:$A$1093,$A63,'Harvest Detail'!$G$2:$G$1093,$C63,'Harvest Detail'!$I$2:$I$1093,J$3)</f>
        <v>0</v>
      </c>
      <c r="K63" s="20">
        <f>SUMIFS('Harvest Detail'!$J$2:$J$1093,'Harvest Detail'!$A$2:$A$1093,$A63,'Harvest Detail'!$G$2:$G$1093,$C63,'Harvest Detail'!$I$2:$I$1093,K$3)</f>
        <v>0</v>
      </c>
      <c r="L63" s="20">
        <f>SUMIFS('Harvest Detail'!$J$2:$J$1093,'Harvest Detail'!$A$2:$A$1093,$A63,'Harvest Detail'!$G$2:$G$1093,$C63,'Harvest Detail'!$I$2:$I$1093,L$3)</f>
        <v>0</v>
      </c>
      <c r="M63" s="20">
        <f>SUMIFS('Harvest Detail'!$J$2:$J$1093,'Harvest Detail'!$A$2:$A$1093,$A63,'Harvest Detail'!$G$2:$G$1093,$C63,'Harvest Detail'!$I$2:$I$1093,M$3)</f>
        <v>0</v>
      </c>
      <c r="N63" s="20">
        <f>SUMIFS('Harvest Detail'!$J$2:$J$1093,'Harvest Detail'!$A$2:$A$1093,$A63,'Harvest Detail'!$G$2:$G$1093,$C63,'Harvest Detail'!$I$2:$I$1093,N$3)</f>
        <v>0</v>
      </c>
      <c r="O63" s="20">
        <f>SUMIFS('Harvest Detail'!$J$2:$J$1093,'Harvest Detail'!$A$2:$A$1093,$A63,'Harvest Detail'!$G$2:$G$1093,$C63,'Harvest Detail'!$I$2:$I$1093,O$3)</f>
        <v>0</v>
      </c>
      <c r="P63" s="20">
        <f>SUMIFS('Harvest Detail'!$J$2:$J$1093,'Harvest Detail'!$A$2:$A$1093,$A63,'Harvest Detail'!$G$2:$G$1093,$C63,'Harvest Detail'!$I$2:$I$1093,P$3)</f>
        <v>0</v>
      </c>
      <c r="Q63" s="20">
        <f>SUMIFS('Harvest Detail'!$J$2:$J$1093,'Harvest Detail'!$A$2:$A$1093,$A63,'Harvest Detail'!$G$2:$G$1093,$C63,'Harvest Detail'!$I$2:$I$1093,Q$3)</f>
        <v>0</v>
      </c>
      <c r="R63" s="20">
        <f>SUMIFS('Harvest Detail'!$J$2:$J$1093,'Harvest Detail'!$A$2:$A$1093,$A63,'Harvest Detail'!$G$2:$G$1093,$C63,'Harvest Detail'!$I$2:$I$1093,R$3)</f>
        <v>0</v>
      </c>
      <c r="S63" s="20">
        <f>SUMIFS('Harvest Detail'!$J$2:$J$1093,'Harvest Detail'!$A$2:$A$1093,$A63,'Harvest Detail'!$G$2:$G$1093,$C63,'Harvest Detail'!$I$2:$I$1093,S$3)</f>
        <v>0</v>
      </c>
      <c r="T63" s="20">
        <f>SUMIFS('Harvest Detail'!$J$2:$J$1093,'Harvest Detail'!$A$2:$A$1093,$A63,'Harvest Detail'!$G$2:$G$1093,$C63,'Harvest Detail'!$I$2:$I$1093,T$3)</f>
        <v>0</v>
      </c>
      <c r="U63" s="20">
        <f>SUMIFS('Harvest Detail'!$J$2:$J$1093,'Harvest Detail'!$A$2:$A$1093,$A63,'Harvest Detail'!$G$2:$G$1093,$C63,'Harvest Detail'!$I$2:$I$1093,U$3)</f>
        <v>0</v>
      </c>
      <c r="V63" s="20">
        <f>SUMIFS('Harvest Detail'!$J$2:$J$1093,'Harvest Detail'!$A$2:$A$1093,$A63,'Harvest Detail'!$G$2:$G$1093,$C63,'Harvest Detail'!$I$2:$I$1093,V$3)</f>
        <v>0</v>
      </c>
      <c r="W63" s="20">
        <f>SUMIFS('Harvest Detail'!$J$2:$J$1093,'Harvest Detail'!$A$2:$A$1093,$A63,'Harvest Detail'!$G$2:$G$1093,$C63,'Harvest Detail'!$I$2:$I$1093,W$3)</f>
        <v>0</v>
      </c>
      <c r="X63" s="20">
        <f>SUMIFS('Harvest Detail'!$J$2:$J$1093,'Harvest Detail'!$A$2:$A$1093,$A63,'Harvest Detail'!$G$2:$G$1093,$C63,'Harvest Detail'!$I$2:$I$1093,X$3)</f>
        <v>0</v>
      </c>
      <c r="Y63" s="22">
        <f t="shared" si="1"/>
        <v>61</v>
      </c>
    </row>
    <row r="64" spans="1:25" ht="15" customHeight="1" x14ac:dyDescent="0.75">
      <c r="A64" s="18" t="s">
        <v>84</v>
      </c>
      <c r="B64" s="19">
        <v>46160</v>
      </c>
      <c r="C64" s="18" t="s">
        <v>56</v>
      </c>
      <c r="D64" s="20">
        <f>SUMIFS('Harvest Detail'!$J$2:$J$1093,'Harvest Detail'!$A$2:$A$1093,$A64,'Harvest Detail'!$G$2:$G$1093,$C64,'Harvest Detail'!$I$2:$I$1093,D$3)</f>
        <v>45</v>
      </c>
      <c r="E64" s="20">
        <f>SUMIFS('Harvest Detail'!$J$2:$J$1093,'Harvest Detail'!$A$2:$A$1093,$A64,'Harvest Detail'!$G$2:$G$1093,$C64,'Harvest Detail'!$I$2:$I$1093,E$3)</f>
        <v>0</v>
      </c>
      <c r="F64" s="20">
        <f>SUMIFS('Harvest Detail'!$J$2:$J$1093,'Harvest Detail'!$A$2:$A$1093,$A64,'Harvest Detail'!$G$2:$G$1093,$C64,'Harvest Detail'!$I$2:$I$1093,F$3)</f>
        <v>16</v>
      </c>
      <c r="G64" s="20">
        <f>SUMIFS('Harvest Detail'!$J$2:$J$1093,'Harvest Detail'!$A$2:$A$1093,$A64,'Harvest Detail'!$G$2:$G$1093,$C64,'Harvest Detail'!$I$2:$I$1093,G$3)</f>
        <v>0</v>
      </c>
      <c r="H64" s="20">
        <f>SUMIFS('Harvest Detail'!$J$2:$J$1093,'Harvest Detail'!$A$2:$A$1093,$A64,'Harvest Detail'!$G$2:$G$1093,$C64,'Harvest Detail'!$I$2:$I$1093,H$3)</f>
        <v>0</v>
      </c>
      <c r="I64" s="20">
        <f>SUMIFS('Harvest Detail'!$J$2:$J$1093,'Harvest Detail'!$A$2:$A$1093,$A64,'Harvest Detail'!$G$2:$G$1093,$C64,'Harvest Detail'!$I$2:$I$1093,I$3)</f>
        <v>50</v>
      </c>
      <c r="J64" s="20">
        <f>SUMIFS('Harvest Detail'!$J$2:$J$1093,'Harvest Detail'!$A$2:$A$1093,$A64,'Harvest Detail'!$G$2:$G$1093,$C64,'Harvest Detail'!$I$2:$I$1093,J$3)</f>
        <v>0</v>
      </c>
      <c r="K64" s="20">
        <f>SUMIFS('Harvest Detail'!$J$2:$J$1093,'Harvest Detail'!$A$2:$A$1093,$A64,'Harvest Detail'!$G$2:$G$1093,$C64,'Harvest Detail'!$I$2:$I$1093,K$3)</f>
        <v>0</v>
      </c>
      <c r="L64" s="20">
        <f>SUMIFS('Harvest Detail'!$J$2:$J$1093,'Harvest Detail'!$A$2:$A$1093,$A64,'Harvest Detail'!$G$2:$G$1093,$C64,'Harvest Detail'!$I$2:$I$1093,L$3)</f>
        <v>8</v>
      </c>
      <c r="M64" s="20">
        <f>SUMIFS('Harvest Detail'!$J$2:$J$1093,'Harvest Detail'!$A$2:$A$1093,$A64,'Harvest Detail'!$G$2:$G$1093,$C64,'Harvest Detail'!$I$2:$I$1093,M$3)</f>
        <v>20</v>
      </c>
      <c r="N64" s="20">
        <f>SUMIFS('Harvest Detail'!$J$2:$J$1093,'Harvest Detail'!$A$2:$A$1093,$A64,'Harvest Detail'!$G$2:$G$1093,$C64,'Harvest Detail'!$I$2:$I$1093,N$3)</f>
        <v>30</v>
      </c>
      <c r="O64" s="20">
        <f>SUMIFS('Harvest Detail'!$J$2:$J$1093,'Harvest Detail'!$A$2:$A$1093,$A64,'Harvest Detail'!$G$2:$G$1093,$C64,'Harvest Detail'!$I$2:$I$1093,O$3)</f>
        <v>0</v>
      </c>
      <c r="P64" s="20">
        <f>SUMIFS('Harvest Detail'!$J$2:$J$1093,'Harvest Detail'!$A$2:$A$1093,$A64,'Harvest Detail'!$G$2:$G$1093,$C64,'Harvest Detail'!$I$2:$I$1093,P$3)</f>
        <v>26</v>
      </c>
      <c r="Q64" s="20">
        <f>SUMIFS('Harvest Detail'!$J$2:$J$1093,'Harvest Detail'!$A$2:$A$1093,$A64,'Harvest Detail'!$G$2:$G$1093,$C64,'Harvest Detail'!$I$2:$I$1093,Q$3)</f>
        <v>49</v>
      </c>
      <c r="R64" s="20">
        <f>SUMIFS('Harvest Detail'!$J$2:$J$1093,'Harvest Detail'!$A$2:$A$1093,$A64,'Harvest Detail'!$G$2:$G$1093,$C64,'Harvest Detail'!$I$2:$I$1093,R$3)</f>
        <v>105</v>
      </c>
      <c r="S64" s="20">
        <f>SUMIFS('Harvest Detail'!$J$2:$J$1093,'Harvest Detail'!$A$2:$A$1093,$A64,'Harvest Detail'!$G$2:$G$1093,$C64,'Harvest Detail'!$I$2:$I$1093,S$3)</f>
        <v>0</v>
      </c>
      <c r="T64" s="20">
        <f>SUMIFS('Harvest Detail'!$J$2:$J$1093,'Harvest Detail'!$A$2:$A$1093,$A64,'Harvest Detail'!$G$2:$G$1093,$C64,'Harvest Detail'!$I$2:$I$1093,T$3)</f>
        <v>0</v>
      </c>
      <c r="U64" s="20">
        <f>SUMIFS('Harvest Detail'!$J$2:$J$1093,'Harvest Detail'!$A$2:$A$1093,$A64,'Harvest Detail'!$G$2:$G$1093,$C64,'Harvest Detail'!$I$2:$I$1093,U$3)</f>
        <v>13</v>
      </c>
      <c r="V64" s="20">
        <f>SUMIFS('Harvest Detail'!$J$2:$J$1093,'Harvest Detail'!$A$2:$A$1093,$A64,'Harvest Detail'!$G$2:$G$1093,$C64,'Harvest Detail'!$I$2:$I$1093,V$3)</f>
        <v>0</v>
      </c>
      <c r="W64" s="20">
        <f>SUMIFS('Harvest Detail'!$J$2:$J$1093,'Harvest Detail'!$A$2:$A$1093,$A64,'Harvest Detail'!$G$2:$G$1093,$C64,'Harvest Detail'!$I$2:$I$1093,W$3)</f>
        <v>0</v>
      </c>
      <c r="X64" s="20">
        <f>SUMIFS('Harvest Detail'!$J$2:$J$1093,'Harvest Detail'!$A$2:$A$1093,$A64,'Harvest Detail'!$G$2:$G$1093,$C64,'Harvest Detail'!$I$2:$I$1093,X$3)</f>
        <v>17</v>
      </c>
      <c r="Y64" s="22">
        <f t="shared" si="1"/>
        <v>379</v>
      </c>
    </row>
    <row r="65" spans="1:25" ht="15" customHeight="1" x14ac:dyDescent="0.75">
      <c r="A65" s="18" t="s">
        <v>84</v>
      </c>
      <c r="B65" s="19">
        <v>46160</v>
      </c>
      <c r="C65" s="18" t="s">
        <v>58</v>
      </c>
      <c r="D65" s="20">
        <f>SUMIFS('Harvest Detail'!$J$2:$J$1093,'Harvest Detail'!$A$2:$A$1093,$A65,'Harvest Detail'!$G$2:$G$1093,$C65,'Harvest Detail'!$I$2:$I$1093,D$3)</f>
        <v>282</v>
      </c>
      <c r="E65" s="20">
        <f>SUMIFS('Harvest Detail'!$J$2:$J$1093,'Harvest Detail'!$A$2:$A$1093,$A65,'Harvest Detail'!$G$2:$G$1093,$C65,'Harvest Detail'!$I$2:$I$1093,E$3)</f>
        <v>145</v>
      </c>
      <c r="F65" s="20">
        <f>SUMIFS('Harvest Detail'!$J$2:$J$1093,'Harvest Detail'!$A$2:$A$1093,$A65,'Harvest Detail'!$G$2:$G$1093,$C65,'Harvest Detail'!$I$2:$I$1093,F$3)</f>
        <v>0</v>
      </c>
      <c r="G65" s="20">
        <f>SUMIFS('Harvest Detail'!$J$2:$J$1093,'Harvest Detail'!$A$2:$A$1093,$A65,'Harvest Detail'!$G$2:$G$1093,$C65,'Harvest Detail'!$I$2:$I$1093,G$3)</f>
        <v>203</v>
      </c>
      <c r="H65" s="20">
        <f>SUMIFS('Harvest Detail'!$J$2:$J$1093,'Harvest Detail'!$A$2:$A$1093,$A65,'Harvest Detail'!$G$2:$G$1093,$C65,'Harvest Detail'!$I$2:$I$1093,H$3)</f>
        <v>0</v>
      </c>
      <c r="I65" s="20">
        <f>SUMIFS('Harvest Detail'!$J$2:$J$1093,'Harvest Detail'!$A$2:$A$1093,$A65,'Harvest Detail'!$G$2:$G$1093,$C65,'Harvest Detail'!$I$2:$I$1093,I$3)</f>
        <v>0</v>
      </c>
      <c r="J65" s="20">
        <f>SUMIFS('Harvest Detail'!$J$2:$J$1093,'Harvest Detail'!$A$2:$A$1093,$A65,'Harvest Detail'!$G$2:$G$1093,$C65,'Harvest Detail'!$I$2:$I$1093,J$3)</f>
        <v>0</v>
      </c>
      <c r="K65" s="20">
        <f>SUMIFS('Harvest Detail'!$J$2:$J$1093,'Harvest Detail'!$A$2:$A$1093,$A65,'Harvest Detail'!$G$2:$G$1093,$C65,'Harvest Detail'!$I$2:$I$1093,K$3)</f>
        <v>0</v>
      </c>
      <c r="L65" s="20">
        <f>SUMIFS('Harvest Detail'!$J$2:$J$1093,'Harvest Detail'!$A$2:$A$1093,$A65,'Harvest Detail'!$G$2:$G$1093,$C65,'Harvest Detail'!$I$2:$I$1093,L$3)</f>
        <v>0</v>
      </c>
      <c r="M65" s="20">
        <f>SUMIFS('Harvest Detail'!$J$2:$J$1093,'Harvest Detail'!$A$2:$A$1093,$A65,'Harvest Detail'!$G$2:$G$1093,$C65,'Harvest Detail'!$I$2:$I$1093,M$3)</f>
        <v>0</v>
      </c>
      <c r="N65" s="20">
        <f>SUMIFS('Harvest Detail'!$J$2:$J$1093,'Harvest Detail'!$A$2:$A$1093,$A65,'Harvest Detail'!$G$2:$G$1093,$C65,'Harvest Detail'!$I$2:$I$1093,N$3)</f>
        <v>0</v>
      </c>
      <c r="O65" s="20">
        <f>SUMIFS('Harvest Detail'!$J$2:$J$1093,'Harvest Detail'!$A$2:$A$1093,$A65,'Harvest Detail'!$G$2:$G$1093,$C65,'Harvest Detail'!$I$2:$I$1093,O$3)</f>
        <v>0</v>
      </c>
      <c r="P65" s="20">
        <f>SUMIFS('Harvest Detail'!$J$2:$J$1093,'Harvest Detail'!$A$2:$A$1093,$A65,'Harvest Detail'!$G$2:$G$1093,$C65,'Harvest Detail'!$I$2:$I$1093,P$3)</f>
        <v>0</v>
      </c>
      <c r="Q65" s="20">
        <f>SUMIFS('Harvest Detail'!$J$2:$J$1093,'Harvest Detail'!$A$2:$A$1093,$A65,'Harvest Detail'!$G$2:$G$1093,$C65,'Harvest Detail'!$I$2:$I$1093,Q$3)</f>
        <v>0</v>
      </c>
      <c r="R65" s="20">
        <f>SUMIFS('Harvest Detail'!$J$2:$J$1093,'Harvest Detail'!$A$2:$A$1093,$A65,'Harvest Detail'!$G$2:$G$1093,$C65,'Harvest Detail'!$I$2:$I$1093,R$3)</f>
        <v>50</v>
      </c>
      <c r="S65" s="20">
        <f>SUMIFS('Harvest Detail'!$J$2:$J$1093,'Harvest Detail'!$A$2:$A$1093,$A65,'Harvest Detail'!$G$2:$G$1093,$C65,'Harvest Detail'!$I$2:$I$1093,S$3)</f>
        <v>0</v>
      </c>
      <c r="T65" s="20">
        <f>SUMIFS('Harvest Detail'!$J$2:$J$1093,'Harvest Detail'!$A$2:$A$1093,$A65,'Harvest Detail'!$G$2:$G$1093,$C65,'Harvest Detail'!$I$2:$I$1093,T$3)</f>
        <v>0</v>
      </c>
      <c r="U65" s="20">
        <f>SUMIFS('Harvest Detail'!$J$2:$J$1093,'Harvest Detail'!$A$2:$A$1093,$A65,'Harvest Detail'!$G$2:$G$1093,$C65,'Harvest Detail'!$I$2:$I$1093,U$3)</f>
        <v>0</v>
      </c>
      <c r="V65" s="20">
        <f>SUMIFS('Harvest Detail'!$J$2:$J$1093,'Harvest Detail'!$A$2:$A$1093,$A65,'Harvest Detail'!$G$2:$G$1093,$C65,'Harvest Detail'!$I$2:$I$1093,V$3)</f>
        <v>0</v>
      </c>
      <c r="W65" s="20">
        <f>SUMIFS('Harvest Detail'!$J$2:$J$1093,'Harvest Detail'!$A$2:$A$1093,$A65,'Harvest Detail'!$G$2:$G$1093,$C65,'Harvest Detail'!$I$2:$I$1093,W$3)</f>
        <v>202</v>
      </c>
      <c r="X65" s="20">
        <f>SUMIFS('Harvest Detail'!$J$2:$J$1093,'Harvest Detail'!$A$2:$A$1093,$A65,'Harvest Detail'!$G$2:$G$1093,$C65,'Harvest Detail'!$I$2:$I$1093,X$3)</f>
        <v>0</v>
      </c>
      <c r="Y65" s="22">
        <f t="shared" si="1"/>
        <v>882</v>
      </c>
    </row>
    <row r="66" spans="1:25" ht="15" customHeight="1" x14ac:dyDescent="0.75">
      <c r="A66" s="18" t="s">
        <v>84</v>
      </c>
      <c r="B66" s="19">
        <v>46160</v>
      </c>
      <c r="C66" s="18" t="s">
        <v>66</v>
      </c>
      <c r="D66" s="20">
        <f>SUMIFS('Harvest Detail'!$J$2:$J$1093,'Harvest Detail'!$A$2:$A$1093,$A66,'Harvest Detail'!$G$2:$G$1093,$C66,'Harvest Detail'!$I$2:$I$1093,D$3)</f>
        <v>39</v>
      </c>
      <c r="E66" s="20">
        <f>SUMIFS('Harvest Detail'!$J$2:$J$1093,'Harvest Detail'!$A$2:$A$1093,$A66,'Harvest Detail'!$G$2:$G$1093,$C66,'Harvest Detail'!$I$2:$I$1093,E$3)</f>
        <v>37</v>
      </c>
      <c r="F66" s="20">
        <f>SUMIFS('Harvest Detail'!$J$2:$J$1093,'Harvest Detail'!$A$2:$A$1093,$A66,'Harvest Detail'!$G$2:$G$1093,$C66,'Harvest Detail'!$I$2:$I$1093,F$3)</f>
        <v>34</v>
      </c>
      <c r="G66" s="20">
        <f>SUMIFS('Harvest Detail'!$J$2:$J$1093,'Harvest Detail'!$A$2:$A$1093,$A66,'Harvest Detail'!$G$2:$G$1093,$C66,'Harvest Detail'!$I$2:$I$1093,G$3)</f>
        <v>0</v>
      </c>
      <c r="H66" s="20">
        <f>SUMIFS('Harvest Detail'!$J$2:$J$1093,'Harvest Detail'!$A$2:$A$1093,$A66,'Harvest Detail'!$G$2:$G$1093,$C66,'Harvest Detail'!$I$2:$I$1093,H$3)</f>
        <v>0</v>
      </c>
      <c r="I66" s="20">
        <f>SUMIFS('Harvest Detail'!$J$2:$J$1093,'Harvest Detail'!$A$2:$A$1093,$A66,'Harvest Detail'!$G$2:$G$1093,$C66,'Harvest Detail'!$I$2:$I$1093,I$3)</f>
        <v>0</v>
      </c>
      <c r="J66" s="20">
        <f>SUMIFS('Harvest Detail'!$J$2:$J$1093,'Harvest Detail'!$A$2:$A$1093,$A66,'Harvest Detail'!$G$2:$G$1093,$C66,'Harvest Detail'!$I$2:$I$1093,J$3)</f>
        <v>0</v>
      </c>
      <c r="K66" s="20">
        <f>SUMIFS('Harvest Detail'!$J$2:$J$1093,'Harvest Detail'!$A$2:$A$1093,$A66,'Harvest Detail'!$G$2:$G$1093,$C66,'Harvest Detail'!$I$2:$I$1093,K$3)</f>
        <v>0</v>
      </c>
      <c r="L66" s="20">
        <f>SUMIFS('Harvest Detail'!$J$2:$J$1093,'Harvest Detail'!$A$2:$A$1093,$A66,'Harvest Detail'!$G$2:$G$1093,$C66,'Harvest Detail'!$I$2:$I$1093,L$3)</f>
        <v>20</v>
      </c>
      <c r="M66" s="20">
        <f>SUMIFS('Harvest Detail'!$J$2:$J$1093,'Harvest Detail'!$A$2:$A$1093,$A66,'Harvest Detail'!$G$2:$G$1093,$C66,'Harvest Detail'!$I$2:$I$1093,M$3)</f>
        <v>20</v>
      </c>
      <c r="N66" s="20">
        <f>SUMIFS('Harvest Detail'!$J$2:$J$1093,'Harvest Detail'!$A$2:$A$1093,$A66,'Harvest Detail'!$G$2:$G$1093,$C66,'Harvest Detail'!$I$2:$I$1093,N$3)</f>
        <v>14</v>
      </c>
      <c r="O66" s="20">
        <f>SUMIFS('Harvest Detail'!$J$2:$J$1093,'Harvest Detail'!$A$2:$A$1093,$A66,'Harvest Detail'!$G$2:$G$1093,$C66,'Harvest Detail'!$I$2:$I$1093,O$3)</f>
        <v>0</v>
      </c>
      <c r="P66" s="20">
        <f>SUMIFS('Harvest Detail'!$J$2:$J$1093,'Harvest Detail'!$A$2:$A$1093,$A66,'Harvest Detail'!$G$2:$G$1093,$C66,'Harvest Detail'!$I$2:$I$1093,P$3)</f>
        <v>26</v>
      </c>
      <c r="Q66" s="20">
        <f>SUMIFS('Harvest Detail'!$J$2:$J$1093,'Harvest Detail'!$A$2:$A$1093,$A66,'Harvest Detail'!$G$2:$G$1093,$C66,'Harvest Detail'!$I$2:$I$1093,Q$3)</f>
        <v>0</v>
      </c>
      <c r="R66" s="20">
        <f>SUMIFS('Harvest Detail'!$J$2:$J$1093,'Harvest Detail'!$A$2:$A$1093,$A66,'Harvest Detail'!$G$2:$G$1093,$C66,'Harvest Detail'!$I$2:$I$1093,R$3)</f>
        <v>105</v>
      </c>
      <c r="S66" s="20">
        <f>SUMIFS('Harvest Detail'!$J$2:$J$1093,'Harvest Detail'!$A$2:$A$1093,$A66,'Harvest Detail'!$G$2:$G$1093,$C66,'Harvest Detail'!$I$2:$I$1093,S$3)</f>
        <v>32</v>
      </c>
      <c r="T66" s="20">
        <f>SUMIFS('Harvest Detail'!$J$2:$J$1093,'Harvest Detail'!$A$2:$A$1093,$A66,'Harvest Detail'!$G$2:$G$1093,$C66,'Harvest Detail'!$I$2:$I$1093,T$3)</f>
        <v>24</v>
      </c>
      <c r="U66" s="20">
        <f>SUMIFS('Harvest Detail'!$J$2:$J$1093,'Harvest Detail'!$A$2:$A$1093,$A66,'Harvest Detail'!$G$2:$G$1093,$C66,'Harvest Detail'!$I$2:$I$1093,U$3)</f>
        <v>2</v>
      </c>
      <c r="V66" s="20">
        <f>SUMIFS('Harvest Detail'!$J$2:$J$1093,'Harvest Detail'!$A$2:$A$1093,$A66,'Harvest Detail'!$G$2:$G$1093,$C66,'Harvest Detail'!$I$2:$I$1093,V$3)</f>
        <v>0</v>
      </c>
      <c r="W66" s="20">
        <f>SUMIFS('Harvest Detail'!$J$2:$J$1093,'Harvest Detail'!$A$2:$A$1093,$A66,'Harvest Detail'!$G$2:$G$1093,$C66,'Harvest Detail'!$I$2:$I$1093,W$3)</f>
        <v>0</v>
      </c>
      <c r="X66" s="20">
        <f>SUMIFS('Harvest Detail'!$J$2:$J$1093,'Harvest Detail'!$A$2:$A$1093,$A66,'Harvest Detail'!$G$2:$G$1093,$C66,'Harvest Detail'!$I$2:$I$1093,X$3)</f>
        <v>0</v>
      </c>
      <c r="Y66" s="22">
        <f t="shared" si="1"/>
        <v>353</v>
      </c>
    </row>
    <row r="67" spans="1:25" ht="15" customHeight="1" x14ac:dyDescent="0.75">
      <c r="A67" s="18" t="s">
        <v>85</v>
      </c>
      <c r="B67" s="19">
        <v>46167</v>
      </c>
      <c r="C67" s="18" t="s">
        <v>56</v>
      </c>
      <c r="D67" s="20">
        <f>SUMIFS('Harvest Detail'!$J$2:$J$1093,'Harvest Detail'!$A$2:$A$1093,$A67,'Harvest Detail'!$G$2:$G$1093,$C67,'Harvest Detail'!$I$2:$I$1093,D$3)</f>
        <v>0</v>
      </c>
      <c r="E67" s="20">
        <f>SUMIFS('Harvest Detail'!$J$2:$J$1093,'Harvest Detail'!$A$2:$A$1093,$A67,'Harvest Detail'!$G$2:$G$1093,$C67,'Harvest Detail'!$I$2:$I$1093,E$3)</f>
        <v>0</v>
      </c>
      <c r="F67" s="20">
        <f>SUMIFS('Harvest Detail'!$J$2:$J$1093,'Harvest Detail'!$A$2:$A$1093,$A67,'Harvest Detail'!$G$2:$G$1093,$C67,'Harvest Detail'!$I$2:$I$1093,F$3)</f>
        <v>0</v>
      </c>
      <c r="G67" s="20">
        <f>SUMIFS('Harvest Detail'!$J$2:$J$1093,'Harvest Detail'!$A$2:$A$1093,$A67,'Harvest Detail'!$G$2:$G$1093,$C67,'Harvest Detail'!$I$2:$I$1093,G$3)</f>
        <v>0</v>
      </c>
      <c r="H67" s="20">
        <f>SUMIFS('Harvest Detail'!$J$2:$J$1093,'Harvest Detail'!$A$2:$A$1093,$A67,'Harvest Detail'!$G$2:$G$1093,$C67,'Harvest Detail'!$I$2:$I$1093,H$3)</f>
        <v>16</v>
      </c>
      <c r="I67" s="20">
        <f>SUMIFS('Harvest Detail'!$J$2:$J$1093,'Harvest Detail'!$A$2:$A$1093,$A67,'Harvest Detail'!$G$2:$G$1093,$C67,'Harvest Detail'!$I$2:$I$1093,I$3)</f>
        <v>0</v>
      </c>
      <c r="J67" s="20">
        <f>SUMIFS('Harvest Detail'!$J$2:$J$1093,'Harvest Detail'!$A$2:$A$1093,$A67,'Harvest Detail'!$G$2:$G$1093,$C67,'Harvest Detail'!$I$2:$I$1093,J$3)</f>
        <v>0</v>
      </c>
      <c r="K67" s="20">
        <f>SUMIFS('Harvest Detail'!$J$2:$J$1093,'Harvest Detail'!$A$2:$A$1093,$A67,'Harvest Detail'!$G$2:$G$1093,$C67,'Harvest Detail'!$I$2:$I$1093,K$3)</f>
        <v>4</v>
      </c>
      <c r="L67" s="20">
        <f>SUMIFS('Harvest Detail'!$J$2:$J$1093,'Harvest Detail'!$A$2:$A$1093,$A67,'Harvest Detail'!$G$2:$G$1093,$C67,'Harvest Detail'!$I$2:$I$1093,L$3)</f>
        <v>0</v>
      </c>
      <c r="M67" s="20">
        <f>SUMIFS('Harvest Detail'!$J$2:$J$1093,'Harvest Detail'!$A$2:$A$1093,$A67,'Harvest Detail'!$G$2:$G$1093,$C67,'Harvest Detail'!$I$2:$I$1093,M$3)</f>
        <v>0</v>
      </c>
      <c r="N67" s="20">
        <f>SUMIFS('Harvest Detail'!$J$2:$J$1093,'Harvest Detail'!$A$2:$A$1093,$A67,'Harvest Detail'!$G$2:$G$1093,$C67,'Harvest Detail'!$I$2:$I$1093,N$3)</f>
        <v>0</v>
      </c>
      <c r="O67" s="20">
        <f>SUMIFS('Harvest Detail'!$J$2:$J$1093,'Harvest Detail'!$A$2:$A$1093,$A67,'Harvest Detail'!$G$2:$G$1093,$C67,'Harvest Detail'!$I$2:$I$1093,O$3)</f>
        <v>0</v>
      </c>
      <c r="P67" s="20">
        <f>SUMIFS('Harvest Detail'!$J$2:$J$1093,'Harvest Detail'!$A$2:$A$1093,$A67,'Harvest Detail'!$G$2:$G$1093,$C67,'Harvest Detail'!$I$2:$I$1093,P$3)</f>
        <v>0</v>
      </c>
      <c r="Q67" s="20">
        <f>SUMIFS('Harvest Detail'!$J$2:$J$1093,'Harvest Detail'!$A$2:$A$1093,$A67,'Harvest Detail'!$G$2:$G$1093,$C67,'Harvest Detail'!$I$2:$I$1093,Q$3)</f>
        <v>15</v>
      </c>
      <c r="R67" s="20">
        <f>SUMIFS('Harvest Detail'!$J$2:$J$1093,'Harvest Detail'!$A$2:$A$1093,$A67,'Harvest Detail'!$G$2:$G$1093,$C67,'Harvest Detail'!$I$2:$I$1093,R$3)</f>
        <v>75</v>
      </c>
      <c r="S67" s="20">
        <f>SUMIFS('Harvest Detail'!$J$2:$J$1093,'Harvest Detail'!$A$2:$A$1093,$A67,'Harvest Detail'!$G$2:$G$1093,$C67,'Harvest Detail'!$I$2:$I$1093,S$3)</f>
        <v>0</v>
      </c>
      <c r="T67" s="20">
        <f>SUMIFS('Harvest Detail'!$J$2:$J$1093,'Harvest Detail'!$A$2:$A$1093,$A67,'Harvest Detail'!$G$2:$G$1093,$C67,'Harvest Detail'!$I$2:$I$1093,T$3)</f>
        <v>0</v>
      </c>
      <c r="U67" s="20">
        <f>SUMIFS('Harvest Detail'!$J$2:$J$1093,'Harvest Detail'!$A$2:$A$1093,$A67,'Harvest Detail'!$G$2:$G$1093,$C67,'Harvest Detail'!$I$2:$I$1093,U$3)</f>
        <v>7</v>
      </c>
      <c r="V67" s="20">
        <f>SUMIFS('Harvest Detail'!$J$2:$J$1093,'Harvest Detail'!$A$2:$A$1093,$A67,'Harvest Detail'!$G$2:$G$1093,$C67,'Harvest Detail'!$I$2:$I$1093,V$3)</f>
        <v>0</v>
      </c>
      <c r="W67" s="20">
        <f>SUMIFS('Harvest Detail'!$J$2:$J$1093,'Harvest Detail'!$A$2:$A$1093,$A67,'Harvest Detail'!$G$2:$G$1093,$C67,'Harvest Detail'!$I$2:$I$1093,W$3)</f>
        <v>0</v>
      </c>
      <c r="X67" s="20">
        <f>SUMIFS('Harvest Detail'!$J$2:$J$1093,'Harvest Detail'!$A$2:$A$1093,$A67,'Harvest Detail'!$G$2:$G$1093,$C67,'Harvest Detail'!$I$2:$I$1093,X$3)</f>
        <v>7</v>
      </c>
      <c r="Y67" s="22">
        <f t="shared" si="1"/>
        <v>124</v>
      </c>
    </row>
    <row r="68" spans="1:25" ht="15" customHeight="1" x14ac:dyDescent="0.75">
      <c r="A68" s="18" t="s">
        <v>85</v>
      </c>
      <c r="B68" s="19">
        <v>46167</v>
      </c>
      <c r="C68" s="18" t="s">
        <v>58</v>
      </c>
      <c r="D68" s="20">
        <f>SUMIFS('Harvest Detail'!$J$2:$J$1093,'Harvest Detail'!$A$2:$A$1093,$A68,'Harvest Detail'!$G$2:$G$1093,$C68,'Harvest Detail'!$I$2:$I$1093,D$3)</f>
        <v>141</v>
      </c>
      <c r="E68" s="20">
        <f>SUMIFS('Harvest Detail'!$J$2:$J$1093,'Harvest Detail'!$A$2:$A$1093,$A68,'Harvest Detail'!$G$2:$G$1093,$C68,'Harvest Detail'!$I$2:$I$1093,E$3)</f>
        <v>115</v>
      </c>
      <c r="F68" s="20">
        <f>SUMIFS('Harvest Detail'!$J$2:$J$1093,'Harvest Detail'!$A$2:$A$1093,$A68,'Harvest Detail'!$G$2:$G$1093,$C68,'Harvest Detail'!$I$2:$I$1093,F$3)</f>
        <v>0</v>
      </c>
      <c r="G68" s="20">
        <f>SUMIFS('Harvest Detail'!$J$2:$J$1093,'Harvest Detail'!$A$2:$A$1093,$A68,'Harvest Detail'!$G$2:$G$1093,$C68,'Harvest Detail'!$I$2:$I$1093,G$3)</f>
        <v>0</v>
      </c>
      <c r="H68" s="20">
        <f>SUMIFS('Harvest Detail'!$J$2:$J$1093,'Harvest Detail'!$A$2:$A$1093,$A68,'Harvest Detail'!$G$2:$G$1093,$C68,'Harvest Detail'!$I$2:$I$1093,H$3)</f>
        <v>0</v>
      </c>
      <c r="I68" s="20">
        <f>SUMIFS('Harvest Detail'!$J$2:$J$1093,'Harvest Detail'!$A$2:$A$1093,$A68,'Harvest Detail'!$G$2:$G$1093,$C68,'Harvest Detail'!$I$2:$I$1093,I$3)</f>
        <v>0</v>
      </c>
      <c r="J68" s="20">
        <f>SUMIFS('Harvest Detail'!$J$2:$J$1093,'Harvest Detail'!$A$2:$A$1093,$A68,'Harvest Detail'!$G$2:$G$1093,$C68,'Harvest Detail'!$I$2:$I$1093,J$3)</f>
        <v>0</v>
      </c>
      <c r="K68" s="20">
        <f>SUMIFS('Harvest Detail'!$J$2:$J$1093,'Harvest Detail'!$A$2:$A$1093,$A68,'Harvest Detail'!$G$2:$G$1093,$C68,'Harvest Detail'!$I$2:$I$1093,K$3)</f>
        <v>0</v>
      </c>
      <c r="L68" s="20">
        <f>SUMIFS('Harvest Detail'!$J$2:$J$1093,'Harvest Detail'!$A$2:$A$1093,$A68,'Harvest Detail'!$G$2:$G$1093,$C68,'Harvest Detail'!$I$2:$I$1093,L$3)</f>
        <v>0</v>
      </c>
      <c r="M68" s="20">
        <f>SUMIFS('Harvest Detail'!$J$2:$J$1093,'Harvest Detail'!$A$2:$A$1093,$A68,'Harvest Detail'!$G$2:$G$1093,$C68,'Harvest Detail'!$I$2:$I$1093,M$3)</f>
        <v>0</v>
      </c>
      <c r="N68" s="20">
        <f>SUMIFS('Harvest Detail'!$J$2:$J$1093,'Harvest Detail'!$A$2:$A$1093,$A68,'Harvest Detail'!$G$2:$G$1093,$C68,'Harvest Detail'!$I$2:$I$1093,N$3)</f>
        <v>0</v>
      </c>
      <c r="O68" s="20">
        <f>SUMIFS('Harvest Detail'!$J$2:$J$1093,'Harvest Detail'!$A$2:$A$1093,$A68,'Harvest Detail'!$G$2:$G$1093,$C68,'Harvest Detail'!$I$2:$I$1093,O$3)</f>
        <v>0</v>
      </c>
      <c r="P68" s="20">
        <f>SUMIFS('Harvest Detail'!$J$2:$J$1093,'Harvest Detail'!$A$2:$A$1093,$A68,'Harvest Detail'!$G$2:$G$1093,$C68,'Harvest Detail'!$I$2:$I$1093,P$3)</f>
        <v>0</v>
      </c>
      <c r="Q68" s="20">
        <f>SUMIFS('Harvest Detail'!$J$2:$J$1093,'Harvest Detail'!$A$2:$A$1093,$A68,'Harvest Detail'!$G$2:$G$1093,$C68,'Harvest Detail'!$I$2:$I$1093,Q$3)</f>
        <v>0</v>
      </c>
      <c r="R68" s="20">
        <f>SUMIFS('Harvest Detail'!$J$2:$J$1093,'Harvest Detail'!$A$2:$A$1093,$A68,'Harvest Detail'!$G$2:$G$1093,$C68,'Harvest Detail'!$I$2:$I$1093,R$3)</f>
        <v>50</v>
      </c>
      <c r="S68" s="20">
        <f>SUMIFS('Harvest Detail'!$J$2:$J$1093,'Harvest Detail'!$A$2:$A$1093,$A68,'Harvest Detail'!$G$2:$G$1093,$C68,'Harvest Detail'!$I$2:$I$1093,S$3)</f>
        <v>0</v>
      </c>
      <c r="T68" s="20">
        <f>SUMIFS('Harvest Detail'!$J$2:$J$1093,'Harvest Detail'!$A$2:$A$1093,$A68,'Harvest Detail'!$G$2:$G$1093,$C68,'Harvest Detail'!$I$2:$I$1093,T$3)</f>
        <v>0</v>
      </c>
      <c r="U68" s="20">
        <f>SUMIFS('Harvest Detail'!$J$2:$J$1093,'Harvest Detail'!$A$2:$A$1093,$A68,'Harvest Detail'!$G$2:$G$1093,$C68,'Harvest Detail'!$I$2:$I$1093,U$3)</f>
        <v>0</v>
      </c>
      <c r="V68" s="20">
        <f>SUMIFS('Harvest Detail'!$J$2:$J$1093,'Harvest Detail'!$A$2:$A$1093,$A68,'Harvest Detail'!$G$2:$G$1093,$C68,'Harvest Detail'!$I$2:$I$1093,V$3)</f>
        <v>0</v>
      </c>
      <c r="W68" s="20">
        <f>SUMIFS('Harvest Detail'!$J$2:$J$1093,'Harvest Detail'!$A$2:$A$1093,$A68,'Harvest Detail'!$G$2:$G$1093,$C68,'Harvest Detail'!$I$2:$I$1093,W$3)</f>
        <v>191</v>
      </c>
      <c r="X68" s="20">
        <f>SUMIFS('Harvest Detail'!$J$2:$J$1093,'Harvest Detail'!$A$2:$A$1093,$A68,'Harvest Detail'!$G$2:$G$1093,$C68,'Harvest Detail'!$I$2:$I$1093,X$3)</f>
        <v>0</v>
      </c>
      <c r="Y68" s="22">
        <f t="shared" ref="Y68:Y99" si="2">SUM(D68:X68)</f>
        <v>497</v>
      </c>
    </row>
    <row r="69" spans="1:25" ht="15" customHeight="1" x14ac:dyDescent="0.75">
      <c r="A69" s="18" t="s">
        <v>85</v>
      </c>
      <c r="B69" s="19">
        <v>46167</v>
      </c>
      <c r="C69" s="18" t="s">
        <v>66</v>
      </c>
      <c r="D69" s="20">
        <f>SUMIFS('Harvest Detail'!$J$2:$J$1093,'Harvest Detail'!$A$2:$A$1093,$A69,'Harvest Detail'!$G$2:$G$1093,$C69,'Harvest Detail'!$I$2:$I$1093,D$3)</f>
        <v>0</v>
      </c>
      <c r="E69" s="20">
        <f>SUMIFS('Harvest Detail'!$J$2:$J$1093,'Harvest Detail'!$A$2:$A$1093,$A69,'Harvest Detail'!$G$2:$G$1093,$C69,'Harvest Detail'!$I$2:$I$1093,E$3)</f>
        <v>63</v>
      </c>
      <c r="F69" s="20">
        <f>SUMIFS('Harvest Detail'!$J$2:$J$1093,'Harvest Detail'!$A$2:$A$1093,$A69,'Harvest Detail'!$G$2:$G$1093,$C69,'Harvest Detail'!$I$2:$I$1093,F$3)</f>
        <v>0</v>
      </c>
      <c r="G69" s="20">
        <f>SUMIFS('Harvest Detail'!$J$2:$J$1093,'Harvest Detail'!$A$2:$A$1093,$A69,'Harvest Detail'!$G$2:$G$1093,$C69,'Harvest Detail'!$I$2:$I$1093,G$3)</f>
        <v>0</v>
      </c>
      <c r="H69" s="20">
        <f>SUMIFS('Harvest Detail'!$J$2:$J$1093,'Harvest Detail'!$A$2:$A$1093,$A69,'Harvest Detail'!$G$2:$G$1093,$C69,'Harvest Detail'!$I$2:$I$1093,H$3)</f>
        <v>0</v>
      </c>
      <c r="I69" s="20">
        <f>SUMIFS('Harvest Detail'!$J$2:$J$1093,'Harvest Detail'!$A$2:$A$1093,$A69,'Harvest Detail'!$G$2:$G$1093,$C69,'Harvest Detail'!$I$2:$I$1093,I$3)</f>
        <v>0</v>
      </c>
      <c r="J69" s="20">
        <f>SUMIFS('Harvest Detail'!$J$2:$J$1093,'Harvest Detail'!$A$2:$A$1093,$A69,'Harvest Detail'!$G$2:$G$1093,$C69,'Harvest Detail'!$I$2:$I$1093,J$3)</f>
        <v>0</v>
      </c>
      <c r="K69" s="20">
        <f>SUMIFS('Harvest Detail'!$J$2:$J$1093,'Harvest Detail'!$A$2:$A$1093,$A69,'Harvest Detail'!$G$2:$G$1093,$C69,'Harvest Detail'!$I$2:$I$1093,K$3)</f>
        <v>0</v>
      </c>
      <c r="L69" s="20">
        <f>SUMIFS('Harvest Detail'!$J$2:$J$1093,'Harvest Detail'!$A$2:$A$1093,$A69,'Harvest Detail'!$G$2:$G$1093,$C69,'Harvest Detail'!$I$2:$I$1093,L$3)</f>
        <v>0</v>
      </c>
      <c r="M69" s="20">
        <f>SUMIFS('Harvest Detail'!$J$2:$J$1093,'Harvest Detail'!$A$2:$A$1093,$A69,'Harvest Detail'!$G$2:$G$1093,$C69,'Harvest Detail'!$I$2:$I$1093,M$3)</f>
        <v>0</v>
      </c>
      <c r="N69" s="20">
        <f>SUMIFS('Harvest Detail'!$J$2:$J$1093,'Harvest Detail'!$A$2:$A$1093,$A69,'Harvest Detail'!$G$2:$G$1093,$C69,'Harvest Detail'!$I$2:$I$1093,N$3)</f>
        <v>0</v>
      </c>
      <c r="O69" s="20">
        <f>SUMIFS('Harvest Detail'!$J$2:$J$1093,'Harvest Detail'!$A$2:$A$1093,$A69,'Harvest Detail'!$G$2:$G$1093,$C69,'Harvest Detail'!$I$2:$I$1093,O$3)</f>
        <v>0</v>
      </c>
      <c r="P69" s="20">
        <f>SUMIFS('Harvest Detail'!$J$2:$J$1093,'Harvest Detail'!$A$2:$A$1093,$A69,'Harvest Detail'!$G$2:$G$1093,$C69,'Harvest Detail'!$I$2:$I$1093,P$3)</f>
        <v>0</v>
      </c>
      <c r="Q69" s="20">
        <f>SUMIFS('Harvest Detail'!$J$2:$J$1093,'Harvest Detail'!$A$2:$A$1093,$A69,'Harvest Detail'!$G$2:$G$1093,$C69,'Harvest Detail'!$I$2:$I$1093,Q$3)</f>
        <v>0</v>
      </c>
      <c r="R69" s="20">
        <f>SUMIFS('Harvest Detail'!$J$2:$J$1093,'Harvest Detail'!$A$2:$A$1093,$A69,'Harvest Detail'!$G$2:$G$1093,$C69,'Harvest Detail'!$I$2:$I$1093,R$3)</f>
        <v>20</v>
      </c>
      <c r="S69" s="20">
        <f>SUMIFS('Harvest Detail'!$J$2:$J$1093,'Harvest Detail'!$A$2:$A$1093,$A69,'Harvest Detail'!$G$2:$G$1093,$C69,'Harvest Detail'!$I$2:$I$1093,S$3)</f>
        <v>0</v>
      </c>
      <c r="T69" s="20">
        <f>SUMIFS('Harvest Detail'!$J$2:$J$1093,'Harvest Detail'!$A$2:$A$1093,$A69,'Harvest Detail'!$G$2:$G$1093,$C69,'Harvest Detail'!$I$2:$I$1093,T$3)</f>
        <v>0</v>
      </c>
      <c r="U69" s="20">
        <f>SUMIFS('Harvest Detail'!$J$2:$J$1093,'Harvest Detail'!$A$2:$A$1093,$A69,'Harvest Detail'!$G$2:$G$1093,$C69,'Harvest Detail'!$I$2:$I$1093,U$3)</f>
        <v>6</v>
      </c>
      <c r="V69" s="20">
        <f>SUMIFS('Harvest Detail'!$J$2:$J$1093,'Harvest Detail'!$A$2:$A$1093,$A69,'Harvest Detail'!$G$2:$G$1093,$C69,'Harvest Detail'!$I$2:$I$1093,V$3)</f>
        <v>0</v>
      </c>
      <c r="W69" s="20">
        <f>SUMIFS('Harvest Detail'!$J$2:$J$1093,'Harvest Detail'!$A$2:$A$1093,$A69,'Harvest Detail'!$G$2:$G$1093,$C69,'Harvest Detail'!$I$2:$I$1093,W$3)</f>
        <v>0</v>
      </c>
      <c r="X69" s="20">
        <f>SUMIFS('Harvest Detail'!$J$2:$J$1093,'Harvest Detail'!$A$2:$A$1093,$A69,'Harvest Detail'!$G$2:$G$1093,$C69,'Harvest Detail'!$I$2:$I$1093,X$3)</f>
        <v>0</v>
      </c>
      <c r="Y69" s="22">
        <f t="shared" si="2"/>
        <v>89</v>
      </c>
    </row>
    <row r="70" spans="1:25" ht="15" customHeight="1" x14ac:dyDescent="0.75">
      <c r="A70" s="18" t="s">
        <v>86</v>
      </c>
      <c r="B70" s="19">
        <v>46174</v>
      </c>
      <c r="C70" s="18" t="s">
        <v>56</v>
      </c>
      <c r="D70" s="20">
        <f>SUMIFS('Harvest Detail'!$J$2:$J$1093,'Harvest Detail'!$A$2:$A$1093,$A70,'Harvest Detail'!$G$2:$G$1093,$C70,'Harvest Detail'!$I$2:$I$1093,D$3)</f>
        <v>42</v>
      </c>
      <c r="E70" s="20">
        <f>SUMIFS('Harvest Detail'!$J$2:$J$1093,'Harvest Detail'!$A$2:$A$1093,$A70,'Harvest Detail'!$G$2:$G$1093,$C70,'Harvest Detail'!$I$2:$I$1093,E$3)</f>
        <v>0</v>
      </c>
      <c r="F70" s="20">
        <f>SUMIFS('Harvest Detail'!$J$2:$J$1093,'Harvest Detail'!$A$2:$A$1093,$A70,'Harvest Detail'!$G$2:$G$1093,$C70,'Harvest Detail'!$I$2:$I$1093,F$3)</f>
        <v>13</v>
      </c>
      <c r="G70" s="20">
        <f>SUMIFS('Harvest Detail'!$J$2:$J$1093,'Harvest Detail'!$A$2:$A$1093,$A70,'Harvest Detail'!$G$2:$G$1093,$C70,'Harvest Detail'!$I$2:$I$1093,G$3)</f>
        <v>0</v>
      </c>
      <c r="H70" s="20">
        <f>SUMIFS('Harvest Detail'!$J$2:$J$1093,'Harvest Detail'!$A$2:$A$1093,$A70,'Harvest Detail'!$G$2:$G$1093,$C70,'Harvest Detail'!$I$2:$I$1093,H$3)</f>
        <v>8</v>
      </c>
      <c r="I70" s="20">
        <f>SUMIFS('Harvest Detail'!$J$2:$J$1093,'Harvest Detail'!$A$2:$A$1093,$A70,'Harvest Detail'!$G$2:$G$1093,$C70,'Harvest Detail'!$I$2:$I$1093,I$3)</f>
        <v>35</v>
      </c>
      <c r="J70" s="20">
        <f>SUMIFS('Harvest Detail'!$J$2:$J$1093,'Harvest Detail'!$A$2:$A$1093,$A70,'Harvest Detail'!$G$2:$G$1093,$C70,'Harvest Detail'!$I$2:$I$1093,J$3)</f>
        <v>0</v>
      </c>
      <c r="K70" s="20">
        <f>SUMIFS('Harvest Detail'!$J$2:$J$1093,'Harvest Detail'!$A$2:$A$1093,$A70,'Harvest Detail'!$G$2:$G$1093,$C70,'Harvest Detail'!$I$2:$I$1093,K$3)</f>
        <v>0</v>
      </c>
      <c r="L70" s="20">
        <f>SUMIFS('Harvest Detail'!$J$2:$J$1093,'Harvest Detail'!$A$2:$A$1093,$A70,'Harvest Detail'!$G$2:$G$1093,$C70,'Harvest Detail'!$I$2:$I$1093,L$3)</f>
        <v>14</v>
      </c>
      <c r="M70" s="20">
        <f>SUMIFS('Harvest Detail'!$J$2:$J$1093,'Harvest Detail'!$A$2:$A$1093,$A70,'Harvest Detail'!$G$2:$G$1093,$C70,'Harvest Detail'!$I$2:$I$1093,M$3)</f>
        <v>16</v>
      </c>
      <c r="N70" s="20">
        <f>SUMIFS('Harvest Detail'!$J$2:$J$1093,'Harvest Detail'!$A$2:$A$1093,$A70,'Harvest Detail'!$G$2:$G$1093,$C70,'Harvest Detail'!$I$2:$I$1093,N$3)</f>
        <v>22</v>
      </c>
      <c r="O70" s="20">
        <f>SUMIFS('Harvest Detail'!$J$2:$J$1093,'Harvest Detail'!$A$2:$A$1093,$A70,'Harvest Detail'!$G$2:$G$1093,$C70,'Harvest Detail'!$I$2:$I$1093,O$3)</f>
        <v>0</v>
      </c>
      <c r="P70" s="20">
        <f>SUMIFS('Harvest Detail'!$J$2:$J$1093,'Harvest Detail'!$A$2:$A$1093,$A70,'Harvest Detail'!$G$2:$G$1093,$C70,'Harvest Detail'!$I$2:$I$1093,P$3)</f>
        <v>22</v>
      </c>
      <c r="Q70" s="20">
        <f>SUMIFS('Harvest Detail'!$J$2:$J$1093,'Harvest Detail'!$A$2:$A$1093,$A70,'Harvest Detail'!$G$2:$G$1093,$C70,'Harvest Detail'!$I$2:$I$1093,Q$3)</f>
        <v>48</v>
      </c>
      <c r="R70" s="20">
        <f>SUMIFS('Harvest Detail'!$J$2:$J$1093,'Harvest Detail'!$A$2:$A$1093,$A70,'Harvest Detail'!$G$2:$G$1093,$C70,'Harvest Detail'!$I$2:$I$1093,R$3)</f>
        <v>110</v>
      </c>
      <c r="S70" s="20">
        <f>SUMIFS('Harvest Detail'!$J$2:$J$1093,'Harvest Detail'!$A$2:$A$1093,$A70,'Harvest Detail'!$G$2:$G$1093,$C70,'Harvest Detail'!$I$2:$I$1093,S$3)</f>
        <v>0</v>
      </c>
      <c r="T70" s="20">
        <f>SUMIFS('Harvest Detail'!$J$2:$J$1093,'Harvest Detail'!$A$2:$A$1093,$A70,'Harvest Detail'!$G$2:$G$1093,$C70,'Harvest Detail'!$I$2:$I$1093,T$3)</f>
        <v>0</v>
      </c>
      <c r="U70" s="20">
        <f>SUMIFS('Harvest Detail'!$J$2:$J$1093,'Harvest Detail'!$A$2:$A$1093,$A70,'Harvest Detail'!$G$2:$G$1093,$C70,'Harvest Detail'!$I$2:$I$1093,U$3)</f>
        <v>20</v>
      </c>
      <c r="V70" s="20">
        <f>SUMIFS('Harvest Detail'!$J$2:$J$1093,'Harvest Detail'!$A$2:$A$1093,$A70,'Harvest Detail'!$G$2:$G$1093,$C70,'Harvest Detail'!$I$2:$I$1093,V$3)</f>
        <v>0</v>
      </c>
      <c r="W70" s="20">
        <f>SUMIFS('Harvest Detail'!$J$2:$J$1093,'Harvest Detail'!$A$2:$A$1093,$A70,'Harvest Detail'!$G$2:$G$1093,$C70,'Harvest Detail'!$I$2:$I$1093,W$3)</f>
        <v>0</v>
      </c>
      <c r="X70" s="20">
        <f>SUMIFS('Harvest Detail'!$J$2:$J$1093,'Harvest Detail'!$A$2:$A$1093,$A70,'Harvest Detail'!$G$2:$G$1093,$C70,'Harvest Detail'!$I$2:$I$1093,X$3)</f>
        <v>3</v>
      </c>
      <c r="Y70" s="22">
        <f t="shared" si="2"/>
        <v>353</v>
      </c>
    </row>
    <row r="71" spans="1:25" ht="15" customHeight="1" x14ac:dyDescent="0.75">
      <c r="A71" s="18" t="s">
        <v>86</v>
      </c>
      <c r="B71" s="19">
        <v>46174</v>
      </c>
      <c r="C71" s="18" t="s">
        <v>58</v>
      </c>
      <c r="D71" s="20">
        <f>SUMIFS('Harvest Detail'!$J$2:$J$1093,'Harvest Detail'!$A$2:$A$1093,$A71,'Harvest Detail'!$G$2:$G$1093,$C71,'Harvest Detail'!$I$2:$I$1093,D$3)</f>
        <v>264</v>
      </c>
      <c r="E71" s="20">
        <f>SUMIFS('Harvest Detail'!$J$2:$J$1093,'Harvest Detail'!$A$2:$A$1093,$A71,'Harvest Detail'!$G$2:$G$1093,$C71,'Harvest Detail'!$I$2:$I$1093,E$3)</f>
        <v>138</v>
      </c>
      <c r="F71" s="20">
        <f>SUMIFS('Harvest Detail'!$J$2:$J$1093,'Harvest Detail'!$A$2:$A$1093,$A71,'Harvest Detail'!$G$2:$G$1093,$C71,'Harvest Detail'!$I$2:$I$1093,F$3)</f>
        <v>0</v>
      </c>
      <c r="G71" s="20">
        <f>SUMIFS('Harvest Detail'!$J$2:$J$1093,'Harvest Detail'!$A$2:$A$1093,$A71,'Harvest Detail'!$G$2:$G$1093,$C71,'Harvest Detail'!$I$2:$I$1093,G$3)</f>
        <v>127</v>
      </c>
      <c r="H71" s="20">
        <f>SUMIFS('Harvest Detail'!$J$2:$J$1093,'Harvest Detail'!$A$2:$A$1093,$A71,'Harvest Detail'!$G$2:$G$1093,$C71,'Harvest Detail'!$I$2:$I$1093,H$3)</f>
        <v>0</v>
      </c>
      <c r="I71" s="20">
        <f>SUMIFS('Harvest Detail'!$J$2:$J$1093,'Harvest Detail'!$A$2:$A$1093,$A71,'Harvest Detail'!$G$2:$G$1093,$C71,'Harvest Detail'!$I$2:$I$1093,I$3)</f>
        <v>0</v>
      </c>
      <c r="J71" s="20">
        <f>SUMIFS('Harvest Detail'!$J$2:$J$1093,'Harvest Detail'!$A$2:$A$1093,$A71,'Harvest Detail'!$G$2:$G$1093,$C71,'Harvest Detail'!$I$2:$I$1093,J$3)</f>
        <v>0</v>
      </c>
      <c r="K71" s="20">
        <f>SUMIFS('Harvest Detail'!$J$2:$J$1093,'Harvest Detail'!$A$2:$A$1093,$A71,'Harvest Detail'!$G$2:$G$1093,$C71,'Harvest Detail'!$I$2:$I$1093,K$3)</f>
        <v>0</v>
      </c>
      <c r="L71" s="20">
        <f>SUMIFS('Harvest Detail'!$J$2:$J$1093,'Harvest Detail'!$A$2:$A$1093,$A71,'Harvest Detail'!$G$2:$G$1093,$C71,'Harvest Detail'!$I$2:$I$1093,L$3)</f>
        <v>0</v>
      </c>
      <c r="M71" s="20">
        <f>SUMIFS('Harvest Detail'!$J$2:$J$1093,'Harvest Detail'!$A$2:$A$1093,$A71,'Harvest Detail'!$G$2:$G$1093,$C71,'Harvest Detail'!$I$2:$I$1093,M$3)</f>
        <v>0</v>
      </c>
      <c r="N71" s="20">
        <f>SUMIFS('Harvest Detail'!$J$2:$J$1093,'Harvest Detail'!$A$2:$A$1093,$A71,'Harvest Detail'!$G$2:$G$1093,$C71,'Harvest Detail'!$I$2:$I$1093,N$3)</f>
        <v>0</v>
      </c>
      <c r="O71" s="20">
        <f>SUMIFS('Harvest Detail'!$J$2:$J$1093,'Harvest Detail'!$A$2:$A$1093,$A71,'Harvest Detail'!$G$2:$G$1093,$C71,'Harvest Detail'!$I$2:$I$1093,O$3)</f>
        <v>0</v>
      </c>
      <c r="P71" s="20">
        <f>SUMIFS('Harvest Detail'!$J$2:$J$1093,'Harvest Detail'!$A$2:$A$1093,$A71,'Harvest Detail'!$G$2:$G$1093,$C71,'Harvest Detail'!$I$2:$I$1093,P$3)</f>
        <v>0</v>
      </c>
      <c r="Q71" s="20">
        <f>SUMIFS('Harvest Detail'!$J$2:$J$1093,'Harvest Detail'!$A$2:$A$1093,$A71,'Harvest Detail'!$G$2:$G$1093,$C71,'Harvest Detail'!$I$2:$I$1093,Q$3)</f>
        <v>0</v>
      </c>
      <c r="R71" s="20">
        <f>SUMIFS('Harvest Detail'!$J$2:$J$1093,'Harvest Detail'!$A$2:$A$1093,$A71,'Harvest Detail'!$G$2:$G$1093,$C71,'Harvest Detail'!$I$2:$I$1093,R$3)</f>
        <v>0</v>
      </c>
      <c r="S71" s="20">
        <f>SUMIFS('Harvest Detail'!$J$2:$J$1093,'Harvest Detail'!$A$2:$A$1093,$A71,'Harvest Detail'!$G$2:$G$1093,$C71,'Harvest Detail'!$I$2:$I$1093,S$3)</f>
        <v>0</v>
      </c>
      <c r="T71" s="20">
        <f>SUMIFS('Harvest Detail'!$J$2:$J$1093,'Harvest Detail'!$A$2:$A$1093,$A71,'Harvest Detail'!$G$2:$G$1093,$C71,'Harvest Detail'!$I$2:$I$1093,T$3)</f>
        <v>0</v>
      </c>
      <c r="U71" s="20">
        <f>SUMIFS('Harvest Detail'!$J$2:$J$1093,'Harvest Detail'!$A$2:$A$1093,$A71,'Harvest Detail'!$G$2:$G$1093,$C71,'Harvest Detail'!$I$2:$I$1093,U$3)</f>
        <v>0</v>
      </c>
      <c r="V71" s="20">
        <f>SUMIFS('Harvest Detail'!$J$2:$J$1093,'Harvest Detail'!$A$2:$A$1093,$A71,'Harvest Detail'!$G$2:$G$1093,$C71,'Harvest Detail'!$I$2:$I$1093,V$3)</f>
        <v>0</v>
      </c>
      <c r="W71" s="20">
        <f>SUMIFS('Harvest Detail'!$J$2:$J$1093,'Harvest Detail'!$A$2:$A$1093,$A71,'Harvest Detail'!$G$2:$G$1093,$C71,'Harvest Detail'!$I$2:$I$1093,W$3)</f>
        <v>142</v>
      </c>
      <c r="X71" s="20">
        <f>SUMIFS('Harvest Detail'!$J$2:$J$1093,'Harvest Detail'!$A$2:$A$1093,$A71,'Harvest Detail'!$G$2:$G$1093,$C71,'Harvest Detail'!$I$2:$I$1093,X$3)</f>
        <v>0</v>
      </c>
      <c r="Y71" s="22">
        <f t="shared" si="2"/>
        <v>671</v>
      </c>
    </row>
    <row r="72" spans="1:25" ht="15" customHeight="1" x14ac:dyDescent="0.75">
      <c r="A72" s="18" t="s">
        <v>86</v>
      </c>
      <c r="B72" s="19">
        <v>46174</v>
      </c>
      <c r="C72" s="18" t="s">
        <v>66</v>
      </c>
      <c r="D72" s="20">
        <f>SUMIFS('Harvest Detail'!$J$2:$J$1093,'Harvest Detail'!$A$2:$A$1093,$A72,'Harvest Detail'!$G$2:$G$1093,$C72,'Harvest Detail'!$I$2:$I$1093,D$3)</f>
        <v>39</v>
      </c>
      <c r="E72" s="20">
        <f>SUMIFS('Harvest Detail'!$J$2:$J$1093,'Harvest Detail'!$A$2:$A$1093,$A72,'Harvest Detail'!$G$2:$G$1093,$C72,'Harvest Detail'!$I$2:$I$1093,E$3)</f>
        <v>31</v>
      </c>
      <c r="F72" s="20">
        <f>SUMIFS('Harvest Detail'!$J$2:$J$1093,'Harvest Detail'!$A$2:$A$1093,$A72,'Harvest Detail'!$G$2:$G$1093,$C72,'Harvest Detail'!$I$2:$I$1093,F$3)</f>
        <v>27</v>
      </c>
      <c r="G72" s="20">
        <f>SUMIFS('Harvest Detail'!$J$2:$J$1093,'Harvest Detail'!$A$2:$A$1093,$A72,'Harvest Detail'!$G$2:$G$1093,$C72,'Harvest Detail'!$I$2:$I$1093,G$3)</f>
        <v>0</v>
      </c>
      <c r="H72" s="20">
        <f>SUMIFS('Harvest Detail'!$J$2:$J$1093,'Harvest Detail'!$A$2:$A$1093,$A72,'Harvest Detail'!$G$2:$G$1093,$C72,'Harvest Detail'!$I$2:$I$1093,H$3)</f>
        <v>0</v>
      </c>
      <c r="I72" s="20">
        <f>SUMIFS('Harvest Detail'!$J$2:$J$1093,'Harvest Detail'!$A$2:$A$1093,$A72,'Harvest Detail'!$G$2:$G$1093,$C72,'Harvest Detail'!$I$2:$I$1093,I$3)</f>
        <v>0</v>
      </c>
      <c r="J72" s="20">
        <f>SUMIFS('Harvest Detail'!$J$2:$J$1093,'Harvest Detail'!$A$2:$A$1093,$A72,'Harvest Detail'!$G$2:$G$1093,$C72,'Harvest Detail'!$I$2:$I$1093,J$3)</f>
        <v>0</v>
      </c>
      <c r="K72" s="20">
        <f>SUMIFS('Harvest Detail'!$J$2:$J$1093,'Harvest Detail'!$A$2:$A$1093,$A72,'Harvest Detail'!$G$2:$G$1093,$C72,'Harvest Detail'!$I$2:$I$1093,K$3)</f>
        <v>0</v>
      </c>
      <c r="L72" s="20">
        <f>SUMIFS('Harvest Detail'!$J$2:$J$1093,'Harvest Detail'!$A$2:$A$1093,$A72,'Harvest Detail'!$G$2:$G$1093,$C72,'Harvest Detail'!$I$2:$I$1093,L$3)</f>
        <v>34</v>
      </c>
      <c r="M72" s="20">
        <f>SUMIFS('Harvest Detail'!$J$2:$J$1093,'Harvest Detail'!$A$2:$A$1093,$A72,'Harvest Detail'!$G$2:$G$1093,$C72,'Harvest Detail'!$I$2:$I$1093,M$3)</f>
        <v>16</v>
      </c>
      <c r="N72" s="20">
        <f>SUMIFS('Harvest Detail'!$J$2:$J$1093,'Harvest Detail'!$A$2:$A$1093,$A72,'Harvest Detail'!$G$2:$G$1093,$C72,'Harvest Detail'!$I$2:$I$1093,N$3)</f>
        <v>10</v>
      </c>
      <c r="O72" s="20">
        <f>SUMIFS('Harvest Detail'!$J$2:$J$1093,'Harvest Detail'!$A$2:$A$1093,$A72,'Harvest Detail'!$G$2:$G$1093,$C72,'Harvest Detail'!$I$2:$I$1093,O$3)</f>
        <v>0</v>
      </c>
      <c r="P72" s="20">
        <f>SUMIFS('Harvest Detail'!$J$2:$J$1093,'Harvest Detail'!$A$2:$A$1093,$A72,'Harvest Detail'!$G$2:$G$1093,$C72,'Harvest Detail'!$I$2:$I$1093,P$3)</f>
        <v>22</v>
      </c>
      <c r="Q72" s="20">
        <f>SUMIFS('Harvest Detail'!$J$2:$J$1093,'Harvest Detail'!$A$2:$A$1093,$A72,'Harvest Detail'!$G$2:$G$1093,$C72,'Harvest Detail'!$I$2:$I$1093,Q$3)</f>
        <v>0</v>
      </c>
      <c r="R72" s="20">
        <f>SUMIFS('Harvest Detail'!$J$2:$J$1093,'Harvest Detail'!$A$2:$A$1093,$A72,'Harvest Detail'!$G$2:$G$1093,$C72,'Harvest Detail'!$I$2:$I$1093,R$3)</f>
        <v>125</v>
      </c>
      <c r="S72" s="20">
        <f>SUMIFS('Harvest Detail'!$J$2:$J$1093,'Harvest Detail'!$A$2:$A$1093,$A72,'Harvest Detail'!$G$2:$G$1093,$C72,'Harvest Detail'!$I$2:$I$1093,S$3)</f>
        <v>28</v>
      </c>
      <c r="T72" s="20">
        <f>SUMIFS('Harvest Detail'!$J$2:$J$1093,'Harvest Detail'!$A$2:$A$1093,$A72,'Harvest Detail'!$G$2:$G$1093,$C72,'Harvest Detail'!$I$2:$I$1093,T$3)</f>
        <v>18</v>
      </c>
      <c r="U72" s="20">
        <f>SUMIFS('Harvest Detail'!$J$2:$J$1093,'Harvest Detail'!$A$2:$A$1093,$A72,'Harvest Detail'!$G$2:$G$1093,$C72,'Harvest Detail'!$I$2:$I$1093,U$3)</f>
        <v>8</v>
      </c>
      <c r="V72" s="20">
        <f>SUMIFS('Harvest Detail'!$J$2:$J$1093,'Harvest Detail'!$A$2:$A$1093,$A72,'Harvest Detail'!$G$2:$G$1093,$C72,'Harvest Detail'!$I$2:$I$1093,V$3)</f>
        <v>0</v>
      </c>
      <c r="W72" s="20">
        <f>SUMIFS('Harvest Detail'!$J$2:$J$1093,'Harvest Detail'!$A$2:$A$1093,$A72,'Harvest Detail'!$G$2:$G$1093,$C72,'Harvest Detail'!$I$2:$I$1093,W$3)</f>
        <v>0</v>
      </c>
      <c r="X72" s="20">
        <f>SUMIFS('Harvest Detail'!$J$2:$J$1093,'Harvest Detail'!$A$2:$A$1093,$A72,'Harvest Detail'!$G$2:$G$1093,$C72,'Harvest Detail'!$I$2:$I$1093,X$3)</f>
        <v>0</v>
      </c>
      <c r="Y72" s="22">
        <f t="shared" si="2"/>
        <v>358</v>
      </c>
    </row>
    <row r="73" spans="1:25" ht="15" customHeight="1" x14ac:dyDescent="0.75">
      <c r="A73" s="18" t="s">
        <v>87</v>
      </c>
      <c r="B73" s="19">
        <v>46181</v>
      </c>
      <c r="C73" s="18" t="s">
        <v>56</v>
      </c>
      <c r="D73" s="20">
        <f>SUMIFS('Harvest Detail'!$J$2:$J$1093,'Harvest Detail'!$A$2:$A$1093,$A73,'Harvest Detail'!$G$2:$G$1093,$C73,'Harvest Detail'!$I$2:$I$1093,D$3)</f>
        <v>0</v>
      </c>
      <c r="E73" s="20">
        <f>SUMIFS('Harvest Detail'!$J$2:$J$1093,'Harvest Detail'!$A$2:$A$1093,$A73,'Harvest Detail'!$G$2:$G$1093,$C73,'Harvest Detail'!$I$2:$I$1093,E$3)</f>
        <v>0</v>
      </c>
      <c r="F73" s="20">
        <f>SUMIFS('Harvest Detail'!$J$2:$J$1093,'Harvest Detail'!$A$2:$A$1093,$A73,'Harvest Detail'!$G$2:$G$1093,$C73,'Harvest Detail'!$I$2:$I$1093,F$3)</f>
        <v>0</v>
      </c>
      <c r="G73" s="20">
        <f>SUMIFS('Harvest Detail'!$J$2:$J$1093,'Harvest Detail'!$A$2:$A$1093,$A73,'Harvest Detail'!$G$2:$G$1093,$C73,'Harvest Detail'!$I$2:$I$1093,G$3)</f>
        <v>0</v>
      </c>
      <c r="H73" s="20">
        <f>SUMIFS('Harvest Detail'!$J$2:$J$1093,'Harvest Detail'!$A$2:$A$1093,$A73,'Harvest Detail'!$G$2:$G$1093,$C73,'Harvest Detail'!$I$2:$I$1093,H$3)</f>
        <v>0</v>
      </c>
      <c r="I73" s="20">
        <f>SUMIFS('Harvest Detail'!$J$2:$J$1093,'Harvest Detail'!$A$2:$A$1093,$A73,'Harvest Detail'!$G$2:$G$1093,$C73,'Harvest Detail'!$I$2:$I$1093,I$3)</f>
        <v>15</v>
      </c>
      <c r="J73" s="20">
        <f>SUMIFS('Harvest Detail'!$J$2:$J$1093,'Harvest Detail'!$A$2:$A$1093,$A73,'Harvest Detail'!$G$2:$G$1093,$C73,'Harvest Detail'!$I$2:$I$1093,J$3)</f>
        <v>0</v>
      </c>
      <c r="K73" s="20">
        <f>SUMIFS('Harvest Detail'!$J$2:$J$1093,'Harvest Detail'!$A$2:$A$1093,$A73,'Harvest Detail'!$G$2:$G$1093,$C73,'Harvest Detail'!$I$2:$I$1093,K$3)</f>
        <v>4</v>
      </c>
      <c r="L73" s="20">
        <f>SUMIFS('Harvest Detail'!$J$2:$J$1093,'Harvest Detail'!$A$2:$A$1093,$A73,'Harvest Detail'!$G$2:$G$1093,$C73,'Harvest Detail'!$I$2:$I$1093,L$3)</f>
        <v>0</v>
      </c>
      <c r="M73" s="20">
        <f>SUMIFS('Harvest Detail'!$J$2:$J$1093,'Harvest Detail'!$A$2:$A$1093,$A73,'Harvest Detail'!$G$2:$G$1093,$C73,'Harvest Detail'!$I$2:$I$1093,M$3)</f>
        <v>0</v>
      </c>
      <c r="N73" s="20">
        <f>SUMIFS('Harvest Detail'!$J$2:$J$1093,'Harvest Detail'!$A$2:$A$1093,$A73,'Harvest Detail'!$G$2:$G$1093,$C73,'Harvest Detail'!$I$2:$I$1093,N$3)</f>
        <v>0</v>
      </c>
      <c r="O73" s="20">
        <f>SUMIFS('Harvest Detail'!$J$2:$J$1093,'Harvest Detail'!$A$2:$A$1093,$A73,'Harvest Detail'!$G$2:$G$1093,$C73,'Harvest Detail'!$I$2:$I$1093,O$3)</f>
        <v>0</v>
      </c>
      <c r="P73" s="20">
        <f>SUMIFS('Harvest Detail'!$J$2:$J$1093,'Harvest Detail'!$A$2:$A$1093,$A73,'Harvest Detail'!$G$2:$G$1093,$C73,'Harvest Detail'!$I$2:$I$1093,P$3)</f>
        <v>0</v>
      </c>
      <c r="Q73" s="20">
        <f>SUMIFS('Harvest Detail'!$J$2:$J$1093,'Harvest Detail'!$A$2:$A$1093,$A73,'Harvest Detail'!$G$2:$G$1093,$C73,'Harvest Detail'!$I$2:$I$1093,Q$3)</f>
        <v>0</v>
      </c>
      <c r="R73" s="20">
        <f>SUMIFS('Harvest Detail'!$J$2:$J$1093,'Harvest Detail'!$A$2:$A$1093,$A73,'Harvest Detail'!$G$2:$G$1093,$C73,'Harvest Detail'!$I$2:$I$1093,R$3)</f>
        <v>70</v>
      </c>
      <c r="S73" s="20">
        <f>SUMIFS('Harvest Detail'!$J$2:$J$1093,'Harvest Detail'!$A$2:$A$1093,$A73,'Harvest Detail'!$G$2:$G$1093,$C73,'Harvest Detail'!$I$2:$I$1093,S$3)</f>
        <v>0</v>
      </c>
      <c r="T73" s="20">
        <f>SUMIFS('Harvest Detail'!$J$2:$J$1093,'Harvest Detail'!$A$2:$A$1093,$A73,'Harvest Detail'!$G$2:$G$1093,$C73,'Harvest Detail'!$I$2:$I$1093,T$3)</f>
        <v>0</v>
      </c>
      <c r="U73" s="20">
        <f>SUMIFS('Harvest Detail'!$J$2:$J$1093,'Harvest Detail'!$A$2:$A$1093,$A73,'Harvest Detail'!$G$2:$G$1093,$C73,'Harvest Detail'!$I$2:$I$1093,U$3)</f>
        <v>0</v>
      </c>
      <c r="V73" s="20">
        <f>SUMIFS('Harvest Detail'!$J$2:$J$1093,'Harvest Detail'!$A$2:$A$1093,$A73,'Harvest Detail'!$G$2:$G$1093,$C73,'Harvest Detail'!$I$2:$I$1093,V$3)</f>
        <v>0</v>
      </c>
      <c r="W73" s="20">
        <f>SUMIFS('Harvest Detail'!$J$2:$J$1093,'Harvest Detail'!$A$2:$A$1093,$A73,'Harvest Detail'!$G$2:$G$1093,$C73,'Harvest Detail'!$I$2:$I$1093,W$3)</f>
        <v>0</v>
      </c>
      <c r="X73" s="20">
        <f>SUMIFS('Harvest Detail'!$J$2:$J$1093,'Harvest Detail'!$A$2:$A$1093,$A73,'Harvest Detail'!$G$2:$G$1093,$C73,'Harvest Detail'!$I$2:$I$1093,X$3)</f>
        <v>7</v>
      </c>
      <c r="Y73" s="22">
        <f t="shared" si="2"/>
        <v>96</v>
      </c>
    </row>
    <row r="74" spans="1:25" ht="15" customHeight="1" x14ac:dyDescent="0.75">
      <c r="A74" s="18" t="s">
        <v>87</v>
      </c>
      <c r="B74" s="19">
        <v>46181</v>
      </c>
      <c r="C74" s="18" t="s">
        <v>58</v>
      </c>
      <c r="D74" s="20">
        <f>SUMIFS('Harvest Detail'!$J$2:$J$1093,'Harvest Detail'!$A$2:$A$1093,$A74,'Harvest Detail'!$G$2:$G$1093,$C74,'Harvest Detail'!$I$2:$I$1093,D$3)</f>
        <v>129</v>
      </c>
      <c r="E74" s="20">
        <f>SUMIFS('Harvest Detail'!$J$2:$J$1093,'Harvest Detail'!$A$2:$A$1093,$A74,'Harvest Detail'!$G$2:$G$1093,$C74,'Harvest Detail'!$I$2:$I$1093,E$3)</f>
        <v>74</v>
      </c>
      <c r="F74" s="20">
        <f>SUMIFS('Harvest Detail'!$J$2:$J$1093,'Harvest Detail'!$A$2:$A$1093,$A74,'Harvest Detail'!$G$2:$G$1093,$C74,'Harvest Detail'!$I$2:$I$1093,F$3)</f>
        <v>0</v>
      </c>
      <c r="G74" s="20">
        <f>SUMIFS('Harvest Detail'!$J$2:$J$1093,'Harvest Detail'!$A$2:$A$1093,$A74,'Harvest Detail'!$G$2:$G$1093,$C74,'Harvest Detail'!$I$2:$I$1093,G$3)</f>
        <v>17</v>
      </c>
      <c r="H74" s="20">
        <f>SUMIFS('Harvest Detail'!$J$2:$J$1093,'Harvest Detail'!$A$2:$A$1093,$A74,'Harvest Detail'!$G$2:$G$1093,$C74,'Harvest Detail'!$I$2:$I$1093,H$3)</f>
        <v>0</v>
      </c>
      <c r="I74" s="20">
        <f>SUMIFS('Harvest Detail'!$J$2:$J$1093,'Harvest Detail'!$A$2:$A$1093,$A74,'Harvest Detail'!$G$2:$G$1093,$C74,'Harvest Detail'!$I$2:$I$1093,I$3)</f>
        <v>0</v>
      </c>
      <c r="J74" s="20">
        <f>SUMIFS('Harvest Detail'!$J$2:$J$1093,'Harvest Detail'!$A$2:$A$1093,$A74,'Harvest Detail'!$G$2:$G$1093,$C74,'Harvest Detail'!$I$2:$I$1093,J$3)</f>
        <v>0</v>
      </c>
      <c r="K74" s="20">
        <f>SUMIFS('Harvest Detail'!$J$2:$J$1093,'Harvest Detail'!$A$2:$A$1093,$A74,'Harvest Detail'!$G$2:$G$1093,$C74,'Harvest Detail'!$I$2:$I$1093,K$3)</f>
        <v>0</v>
      </c>
      <c r="L74" s="20">
        <f>SUMIFS('Harvest Detail'!$J$2:$J$1093,'Harvest Detail'!$A$2:$A$1093,$A74,'Harvest Detail'!$G$2:$G$1093,$C74,'Harvest Detail'!$I$2:$I$1093,L$3)</f>
        <v>0</v>
      </c>
      <c r="M74" s="20">
        <f>SUMIFS('Harvest Detail'!$J$2:$J$1093,'Harvest Detail'!$A$2:$A$1093,$A74,'Harvest Detail'!$G$2:$G$1093,$C74,'Harvest Detail'!$I$2:$I$1093,M$3)</f>
        <v>0</v>
      </c>
      <c r="N74" s="20">
        <f>SUMIFS('Harvest Detail'!$J$2:$J$1093,'Harvest Detail'!$A$2:$A$1093,$A74,'Harvest Detail'!$G$2:$G$1093,$C74,'Harvest Detail'!$I$2:$I$1093,N$3)</f>
        <v>0</v>
      </c>
      <c r="O74" s="20">
        <f>SUMIFS('Harvest Detail'!$J$2:$J$1093,'Harvest Detail'!$A$2:$A$1093,$A74,'Harvest Detail'!$G$2:$G$1093,$C74,'Harvest Detail'!$I$2:$I$1093,O$3)</f>
        <v>0</v>
      </c>
      <c r="P74" s="20">
        <f>SUMIFS('Harvest Detail'!$J$2:$J$1093,'Harvest Detail'!$A$2:$A$1093,$A74,'Harvest Detail'!$G$2:$G$1093,$C74,'Harvest Detail'!$I$2:$I$1093,P$3)</f>
        <v>0</v>
      </c>
      <c r="Q74" s="20">
        <f>SUMIFS('Harvest Detail'!$J$2:$J$1093,'Harvest Detail'!$A$2:$A$1093,$A74,'Harvest Detail'!$G$2:$G$1093,$C74,'Harvest Detail'!$I$2:$I$1093,Q$3)</f>
        <v>0</v>
      </c>
      <c r="R74" s="20">
        <f>SUMIFS('Harvest Detail'!$J$2:$J$1093,'Harvest Detail'!$A$2:$A$1093,$A74,'Harvest Detail'!$G$2:$G$1093,$C74,'Harvest Detail'!$I$2:$I$1093,R$3)</f>
        <v>0</v>
      </c>
      <c r="S74" s="20">
        <f>SUMIFS('Harvest Detail'!$J$2:$J$1093,'Harvest Detail'!$A$2:$A$1093,$A74,'Harvest Detail'!$G$2:$G$1093,$C74,'Harvest Detail'!$I$2:$I$1093,S$3)</f>
        <v>0</v>
      </c>
      <c r="T74" s="20">
        <f>SUMIFS('Harvest Detail'!$J$2:$J$1093,'Harvest Detail'!$A$2:$A$1093,$A74,'Harvest Detail'!$G$2:$G$1093,$C74,'Harvest Detail'!$I$2:$I$1093,T$3)</f>
        <v>0</v>
      </c>
      <c r="U74" s="20">
        <f>SUMIFS('Harvest Detail'!$J$2:$J$1093,'Harvest Detail'!$A$2:$A$1093,$A74,'Harvest Detail'!$G$2:$G$1093,$C74,'Harvest Detail'!$I$2:$I$1093,U$3)</f>
        <v>0</v>
      </c>
      <c r="V74" s="20">
        <f>SUMIFS('Harvest Detail'!$J$2:$J$1093,'Harvest Detail'!$A$2:$A$1093,$A74,'Harvest Detail'!$G$2:$G$1093,$C74,'Harvest Detail'!$I$2:$I$1093,V$3)</f>
        <v>0</v>
      </c>
      <c r="W74" s="20">
        <f>SUMIFS('Harvest Detail'!$J$2:$J$1093,'Harvest Detail'!$A$2:$A$1093,$A74,'Harvest Detail'!$G$2:$G$1093,$C74,'Harvest Detail'!$I$2:$I$1093,W$3)</f>
        <v>105</v>
      </c>
      <c r="X74" s="20">
        <f>SUMIFS('Harvest Detail'!$J$2:$J$1093,'Harvest Detail'!$A$2:$A$1093,$A74,'Harvest Detail'!$G$2:$G$1093,$C74,'Harvest Detail'!$I$2:$I$1093,X$3)</f>
        <v>0</v>
      </c>
      <c r="Y74" s="22">
        <f t="shared" si="2"/>
        <v>325</v>
      </c>
    </row>
    <row r="75" spans="1:25" ht="15" customHeight="1" x14ac:dyDescent="0.75">
      <c r="A75" s="18" t="s">
        <v>87</v>
      </c>
      <c r="B75" s="19">
        <v>46181</v>
      </c>
      <c r="C75" s="18" t="s">
        <v>66</v>
      </c>
      <c r="D75" s="20">
        <f>SUMIFS('Harvest Detail'!$J$2:$J$1093,'Harvest Detail'!$A$2:$A$1093,$A75,'Harvest Detail'!$G$2:$G$1093,$C75,'Harvest Detail'!$I$2:$I$1093,D$3)</f>
        <v>0</v>
      </c>
      <c r="E75" s="20">
        <f>SUMIFS('Harvest Detail'!$J$2:$J$1093,'Harvest Detail'!$A$2:$A$1093,$A75,'Harvest Detail'!$G$2:$G$1093,$C75,'Harvest Detail'!$I$2:$I$1093,E$3)</f>
        <v>69</v>
      </c>
      <c r="F75" s="20">
        <f>SUMIFS('Harvest Detail'!$J$2:$J$1093,'Harvest Detail'!$A$2:$A$1093,$A75,'Harvest Detail'!$G$2:$G$1093,$C75,'Harvest Detail'!$I$2:$I$1093,F$3)</f>
        <v>0</v>
      </c>
      <c r="G75" s="20">
        <f>SUMIFS('Harvest Detail'!$J$2:$J$1093,'Harvest Detail'!$A$2:$A$1093,$A75,'Harvest Detail'!$G$2:$G$1093,$C75,'Harvest Detail'!$I$2:$I$1093,G$3)</f>
        <v>0</v>
      </c>
      <c r="H75" s="20">
        <f>SUMIFS('Harvest Detail'!$J$2:$J$1093,'Harvest Detail'!$A$2:$A$1093,$A75,'Harvest Detail'!$G$2:$G$1093,$C75,'Harvest Detail'!$I$2:$I$1093,H$3)</f>
        <v>0</v>
      </c>
      <c r="I75" s="20">
        <f>SUMIFS('Harvest Detail'!$J$2:$J$1093,'Harvest Detail'!$A$2:$A$1093,$A75,'Harvest Detail'!$G$2:$G$1093,$C75,'Harvest Detail'!$I$2:$I$1093,I$3)</f>
        <v>0</v>
      </c>
      <c r="J75" s="20">
        <f>SUMIFS('Harvest Detail'!$J$2:$J$1093,'Harvest Detail'!$A$2:$A$1093,$A75,'Harvest Detail'!$G$2:$G$1093,$C75,'Harvest Detail'!$I$2:$I$1093,J$3)</f>
        <v>0</v>
      </c>
      <c r="K75" s="20">
        <f>SUMIFS('Harvest Detail'!$J$2:$J$1093,'Harvest Detail'!$A$2:$A$1093,$A75,'Harvest Detail'!$G$2:$G$1093,$C75,'Harvest Detail'!$I$2:$I$1093,K$3)</f>
        <v>0</v>
      </c>
      <c r="L75" s="20">
        <f>SUMIFS('Harvest Detail'!$J$2:$J$1093,'Harvest Detail'!$A$2:$A$1093,$A75,'Harvest Detail'!$G$2:$G$1093,$C75,'Harvest Detail'!$I$2:$I$1093,L$3)</f>
        <v>0</v>
      </c>
      <c r="M75" s="20">
        <f>SUMIFS('Harvest Detail'!$J$2:$J$1093,'Harvest Detail'!$A$2:$A$1093,$A75,'Harvest Detail'!$G$2:$G$1093,$C75,'Harvest Detail'!$I$2:$I$1093,M$3)</f>
        <v>0</v>
      </c>
      <c r="N75" s="20">
        <f>SUMIFS('Harvest Detail'!$J$2:$J$1093,'Harvest Detail'!$A$2:$A$1093,$A75,'Harvest Detail'!$G$2:$G$1093,$C75,'Harvest Detail'!$I$2:$I$1093,N$3)</f>
        <v>0</v>
      </c>
      <c r="O75" s="20">
        <f>SUMIFS('Harvest Detail'!$J$2:$J$1093,'Harvest Detail'!$A$2:$A$1093,$A75,'Harvest Detail'!$G$2:$G$1093,$C75,'Harvest Detail'!$I$2:$I$1093,O$3)</f>
        <v>0</v>
      </c>
      <c r="P75" s="20">
        <f>SUMIFS('Harvest Detail'!$J$2:$J$1093,'Harvest Detail'!$A$2:$A$1093,$A75,'Harvest Detail'!$G$2:$G$1093,$C75,'Harvest Detail'!$I$2:$I$1093,P$3)</f>
        <v>0</v>
      </c>
      <c r="Q75" s="20">
        <f>SUMIFS('Harvest Detail'!$J$2:$J$1093,'Harvest Detail'!$A$2:$A$1093,$A75,'Harvest Detail'!$G$2:$G$1093,$C75,'Harvest Detail'!$I$2:$I$1093,Q$3)</f>
        <v>0</v>
      </c>
      <c r="R75" s="20">
        <f>SUMIFS('Harvest Detail'!$J$2:$J$1093,'Harvest Detail'!$A$2:$A$1093,$A75,'Harvest Detail'!$G$2:$G$1093,$C75,'Harvest Detail'!$I$2:$I$1093,R$3)</f>
        <v>0</v>
      </c>
      <c r="S75" s="20">
        <f>SUMIFS('Harvest Detail'!$J$2:$J$1093,'Harvest Detail'!$A$2:$A$1093,$A75,'Harvest Detail'!$G$2:$G$1093,$C75,'Harvest Detail'!$I$2:$I$1093,S$3)</f>
        <v>0</v>
      </c>
      <c r="T75" s="20">
        <f>SUMIFS('Harvest Detail'!$J$2:$J$1093,'Harvest Detail'!$A$2:$A$1093,$A75,'Harvest Detail'!$G$2:$G$1093,$C75,'Harvest Detail'!$I$2:$I$1093,T$3)</f>
        <v>0</v>
      </c>
      <c r="U75" s="20">
        <f>SUMIFS('Harvest Detail'!$J$2:$J$1093,'Harvest Detail'!$A$2:$A$1093,$A75,'Harvest Detail'!$G$2:$G$1093,$C75,'Harvest Detail'!$I$2:$I$1093,U$3)</f>
        <v>0</v>
      </c>
      <c r="V75" s="20">
        <f>SUMIFS('Harvest Detail'!$J$2:$J$1093,'Harvest Detail'!$A$2:$A$1093,$A75,'Harvest Detail'!$G$2:$G$1093,$C75,'Harvest Detail'!$I$2:$I$1093,V$3)</f>
        <v>0</v>
      </c>
      <c r="W75" s="20">
        <f>SUMIFS('Harvest Detail'!$J$2:$J$1093,'Harvest Detail'!$A$2:$A$1093,$A75,'Harvest Detail'!$G$2:$G$1093,$C75,'Harvest Detail'!$I$2:$I$1093,W$3)</f>
        <v>0</v>
      </c>
      <c r="X75" s="20">
        <f>SUMIFS('Harvest Detail'!$J$2:$J$1093,'Harvest Detail'!$A$2:$A$1093,$A75,'Harvest Detail'!$G$2:$G$1093,$C75,'Harvest Detail'!$I$2:$I$1093,X$3)</f>
        <v>0</v>
      </c>
      <c r="Y75" s="22">
        <f t="shared" si="2"/>
        <v>69</v>
      </c>
    </row>
    <row r="76" spans="1:25" ht="15" customHeight="1" x14ac:dyDescent="0.75">
      <c r="A76" s="18" t="s">
        <v>88</v>
      </c>
      <c r="B76" s="19">
        <v>46188</v>
      </c>
      <c r="C76" s="18" t="s">
        <v>56</v>
      </c>
      <c r="D76" s="20">
        <f>SUMIFS('Harvest Detail'!$J$2:$J$1093,'Harvest Detail'!$A$2:$A$1093,$A76,'Harvest Detail'!$G$2:$G$1093,$C76,'Harvest Detail'!$I$2:$I$1093,D$3)</f>
        <v>42</v>
      </c>
      <c r="E76" s="20">
        <f>SUMIFS('Harvest Detail'!$J$2:$J$1093,'Harvest Detail'!$A$2:$A$1093,$A76,'Harvest Detail'!$G$2:$G$1093,$C76,'Harvest Detail'!$I$2:$I$1093,E$3)</f>
        <v>0</v>
      </c>
      <c r="F76" s="20">
        <f>SUMIFS('Harvest Detail'!$J$2:$J$1093,'Harvest Detail'!$A$2:$A$1093,$A76,'Harvest Detail'!$G$2:$G$1093,$C76,'Harvest Detail'!$I$2:$I$1093,F$3)</f>
        <v>13</v>
      </c>
      <c r="G76" s="20">
        <f>SUMIFS('Harvest Detail'!$J$2:$J$1093,'Harvest Detail'!$A$2:$A$1093,$A76,'Harvest Detail'!$G$2:$G$1093,$C76,'Harvest Detail'!$I$2:$I$1093,G$3)</f>
        <v>0</v>
      </c>
      <c r="H76" s="20">
        <f>SUMIFS('Harvest Detail'!$J$2:$J$1093,'Harvest Detail'!$A$2:$A$1093,$A76,'Harvest Detail'!$G$2:$G$1093,$C76,'Harvest Detail'!$I$2:$I$1093,H$3)</f>
        <v>0</v>
      </c>
      <c r="I76" s="20">
        <f>SUMIFS('Harvest Detail'!$J$2:$J$1093,'Harvest Detail'!$A$2:$A$1093,$A76,'Harvest Detail'!$G$2:$G$1093,$C76,'Harvest Detail'!$I$2:$I$1093,I$3)</f>
        <v>20</v>
      </c>
      <c r="J76" s="20">
        <f>SUMIFS('Harvest Detail'!$J$2:$J$1093,'Harvest Detail'!$A$2:$A$1093,$A76,'Harvest Detail'!$G$2:$G$1093,$C76,'Harvest Detail'!$I$2:$I$1093,J$3)</f>
        <v>0</v>
      </c>
      <c r="K76" s="20">
        <f>SUMIFS('Harvest Detail'!$J$2:$J$1093,'Harvest Detail'!$A$2:$A$1093,$A76,'Harvest Detail'!$G$2:$G$1093,$C76,'Harvest Detail'!$I$2:$I$1093,K$3)</f>
        <v>0</v>
      </c>
      <c r="L76" s="20">
        <f>SUMIFS('Harvest Detail'!$J$2:$J$1093,'Harvest Detail'!$A$2:$A$1093,$A76,'Harvest Detail'!$G$2:$G$1093,$C76,'Harvest Detail'!$I$2:$I$1093,L$3)</f>
        <v>14</v>
      </c>
      <c r="M76" s="20">
        <f>SUMIFS('Harvest Detail'!$J$2:$J$1093,'Harvest Detail'!$A$2:$A$1093,$A76,'Harvest Detail'!$G$2:$G$1093,$C76,'Harvest Detail'!$I$2:$I$1093,M$3)</f>
        <v>16</v>
      </c>
      <c r="N76" s="20">
        <f>SUMIFS('Harvest Detail'!$J$2:$J$1093,'Harvest Detail'!$A$2:$A$1093,$A76,'Harvest Detail'!$G$2:$G$1093,$C76,'Harvest Detail'!$I$2:$I$1093,N$3)</f>
        <v>22</v>
      </c>
      <c r="O76" s="20">
        <f>SUMIFS('Harvest Detail'!$J$2:$J$1093,'Harvest Detail'!$A$2:$A$1093,$A76,'Harvest Detail'!$G$2:$G$1093,$C76,'Harvest Detail'!$I$2:$I$1093,O$3)</f>
        <v>0</v>
      </c>
      <c r="P76" s="20">
        <f>SUMIFS('Harvest Detail'!$J$2:$J$1093,'Harvest Detail'!$A$2:$A$1093,$A76,'Harvest Detail'!$G$2:$G$1093,$C76,'Harvest Detail'!$I$2:$I$1093,P$3)</f>
        <v>22</v>
      </c>
      <c r="Q76" s="20">
        <f>SUMIFS('Harvest Detail'!$J$2:$J$1093,'Harvest Detail'!$A$2:$A$1093,$A76,'Harvest Detail'!$G$2:$G$1093,$C76,'Harvest Detail'!$I$2:$I$1093,Q$3)</f>
        <v>24</v>
      </c>
      <c r="R76" s="20">
        <f>SUMIFS('Harvest Detail'!$J$2:$J$1093,'Harvest Detail'!$A$2:$A$1093,$A76,'Harvest Detail'!$G$2:$G$1093,$C76,'Harvest Detail'!$I$2:$I$1093,R$3)</f>
        <v>55</v>
      </c>
      <c r="S76" s="20">
        <f>SUMIFS('Harvest Detail'!$J$2:$J$1093,'Harvest Detail'!$A$2:$A$1093,$A76,'Harvest Detail'!$G$2:$G$1093,$C76,'Harvest Detail'!$I$2:$I$1093,S$3)</f>
        <v>0</v>
      </c>
      <c r="T76" s="20">
        <f>SUMIFS('Harvest Detail'!$J$2:$J$1093,'Harvest Detail'!$A$2:$A$1093,$A76,'Harvest Detail'!$G$2:$G$1093,$C76,'Harvest Detail'!$I$2:$I$1093,T$3)</f>
        <v>0</v>
      </c>
      <c r="U76" s="20">
        <f>SUMIFS('Harvest Detail'!$J$2:$J$1093,'Harvest Detail'!$A$2:$A$1093,$A76,'Harvest Detail'!$G$2:$G$1093,$C76,'Harvest Detail'!$I$2:$I$1093,U$3)</f>
        <v>8</v>
      </c>
      <c r="V76" s="20">
        <f>SUMIFS('Harvest Detail'!$J$2:$J$1093,'Harvest Detail'!$A$2:$A$1093,$A76,'Harvest Detail'!$G$2:$G$1093,$C76,'Harvest Detail'!$I$2:$I$1093,V$3)</f>
        <v>0</v>
      </c>
      <c r="W76" s="20">
        <f>SUMIFS('Harvest Detail'!$J$2:$J$1093,'Harvest Detail'!$A$2:$A$1093,$A76,'Harvest Detail'!$G$2:$G$1093,$C76,'Harvest Detail'!$I$2:$I$1093,W$3)</f>
        <v>0</v>
      </c>
      <c r="X76" s="20">
        <f>SUMIFS('Harvest Detail'!$J$2:$J$1093,'Harvest Detail'!$A$2:$A$1093,$A76,'Harvest Detail'!$G$2:$G$1093,$C76,'Harvest Detail'!$I$2:$I$1093,X$3)</f>
        <v>0</v>
      </c>
      <c r="Y76" s="22">
        <f t="shared" si="2"/>
        <v>236</v>
      </c>
    </row>
    <row r="77" spans="1:25" ht="15" customHeight="1" x14ac:dyDescent="0.75">
      <c r="A77" s="18" t="s">
        <v>88</v>
      </c>
      <c r="B77" s="19">
        <v>46188</v>
      </c>
      <c r="C77" s="18" t="s">
        <v>58</v>
      </c>
      <c r="D77" s="20">
        <f>SUMIFS('Harvest Detail'!$J$2:$J$1093,'Harvest Detail'!$A$2:$A$1093,$A77,'Harvest Detail'!$G$2:$G$1093,$C77,'Harvest Detail'!$I$2:$I$1093,D$3)</f>
        <v>239</v>
      </c>
      <c r="E77" s="20">
        <f>SUMIFS('Harvest Detail'!$J$2:$J$1093,'Harvest Detail'!$A$2:$A$1093,$A77,'Harvest Detail'!$G$2:$G$1093,$C77,'Harvest Detail'!$I$2:$I$1093,E$3)</f>
        <v>91</v>
      </c>
      <c r="F77" s="20">
        <f>SUMIFS('Harvest Detail'!$J$2:$J$1093,'Harvest Detail'!$A$2:$A$1093,$A77,'Harvest Detail'!$G$2:$G$1093,$C77,'Harvest Detail'!$I$2:$I$1093,F$3)</f>
        <v>0</v>
      </c>
      <c r="G77" s="20">
        <f>SUMIFS('Harvest Detail'!$J$2:$J$1093,'Harvest Detail'!$A$2:$A$1093,$A77,'Harvest Detail'!$G$2:$G$1093,$C77,'Harvest Detail'!$I$2:$I$1093,G$3)</f>
        <v>132</v>
      </c>
      <c r="H77" s="20">
        <f>SUMIFS('Harvest Detail'!$J$2:$J$1093,'Harvest Detail'!$A$2:$A$1093,$A77,'Harvest Detail'!$G$2:$G$1093,$C77,'Harvest Detail'!$I$2:$I$1093,H$3)</f>
        <v>0</v>
      </c>
      <c r="I77" s="20">
        <f>SUMIFS('Harvest Detail'!$J$2:$J$1093,'Harvest Detail'!$A$2:$A$1093,$A77,'Harvest Detail'!$G$2:$G$1093,$C77,'Harvest Detail'!$I$2:$I$1093,I$3)</f>
        <v>0</v>
      </c>
      <c r="J77" s="20">
        <f>SUMIFS('Harvest Detail'!$J$2:$J$1093,'Harvest Detail'!$A$2:$A$1093,$A77,'Harvest Detail'!$G$2:$G$1093,$C77,'Harvest Detail'!$I$2:$I$1093,J$3)</f>
        <v>0</v>
      </c>
      <c r="K77" s="20">
        <f>SUMIFS('Harvest Detail'!$J$2:$J$1093,'Harvest Detail'!$A$2:$A$1093,$A77,'Harvest Detail'!$G$2:$G$1093,$C77,'Harvest Detail'!$I$2:$I$1093,K$3)</f>
        <v>0</v>
      </c>
      <c r="L77" s="20">
        <f>SUMIFS('Harvest Detail'!$J$2:$J$1093,'Harvest Detail'!$A$2:$A$1093,$A77,'Harvest Detail'!$G$2:$G$1093,$C77,'Harvest Detail'!$I$2:$I$1093,L$3)</f>
        <v>0</v>
      </c>
      <c r="M77" s="20">
        <f>SUMIFS('Harvest Detail'!$J$2:$J$1093,'Harvest Detail'!$A$2:$A$1093,$A77,'Harvest Detail'!$G$2:$G$1093,$C77,'Harvest Detail'!$I$2:$I$1093,M$3)</f>
        <v>0</v>
      </c>
      <c r="N77" s="20">
        <f>SUMIFS('Harvest Detail'!$J$2:$J$1093,'Harvest Detail'!$A$2:$A$1093,$A77,'Harvest Detail'!$G$2:$G$1093,$C77,'Harvest Detail'!$I$2:$I$1093,N$3)</f>
        <v>0</v>
      </c>
      <c r="O77" s="20">
        <f>SUMIFS('Harvest Detail'!$J$2:$J$1093,'Harvest Detail'!$A$2:$A$1093,$A77,'Harvest Detail'!$G$2:$G$1093,$C77,'Harvest Detail'!$I$2:$I$1093,O$3)</f>
        <v>0</v>
      </c>
      <c r="P77" s="20">
        <f>SUMIFS('Harvest Detail'!$J$2:$J$1093,'Harvest Detail'!$A$2:$A$1093,$A77,'Harvest Detail'!$G$2:$G$1093,$C77,'Harvest Detail'!$I$2:$I$1093,P$3)</f>
        <v>0</v>
      </c>
      <c r="Q77" s="20">
        <f>SUMIFS('Harvest Detail'!$J$2:$J$1093,'Harvest Detail'!$A$2:$A$1093,$A77,'Harvest Detail'!$G$2:$G$1093,$C77,'Harvest Detail'!$I$2:$I$1093,Q$3)</f>
        <v>0</v>
      </c>
      <c r="R77" s="20">
        <f>SUMIFS('Harvest Detail'!$J$2:$J$1093,'Harvest Detail'!$A$2:$A$1093,$A77,'Harvest Detail'!$G$2:$G$1093,$C77,'Harvest Detail'!$I$2:$I$1093,R$3)</f>
        <v>0</v>
      </c>
      <c r="S77" s="20">
        <f>SUMIFS('Harvest Detail'!$J$2:$J$1093,'Harvest Detail'!$A$2:$A$1093,$A77,'Harvest Detail'!$G$2:$G$1093,$C77,'Harvest Detail'!$I$2:$I$1093,S$3)</f>
        <v>0</v>
      </c>
      <c r="T77" s="20">
        <f>SUMIFS('Harvest Detail'!$J$2:$J$1093,'Harvest Detail'!$A$2:$A$1093,$A77,'Harvest Detail'!$G$2:$G$1093,$C77,'Harvest Detail'!$I$2:$I$1093,T$3)</f>
        <v>0</v>
      </c>
      <c r="U77" s="20">
        <f>SUMIFS('Harvest Detail'!$J$2:$J$1093,'Harvest Detail'!$A$2:$A$1093,$A77,'Harvest Detail'!$G$2:$G$1093,$C77,'Harvest Detail'!$I$2:$I$1093,U$3)</f>
        <v>0</v>
      </c>
      <c r="V77" s="20">
        <f>SUMIFS('Harvest Detail'!$J$2:$J$1093,'Harvest Detail'!$A$2:$A$1093,$A77,'Harvest Detail'!$G$2:$G$1093,$C77,'Harvest Detail'!$I$2:$I$1093,V$3)</f>
        <v>0</v>
      </c>
      <c r="W77" s="20">
        <f>SUMIFS('Harvest Detail'!$J$2:$J$1093,'Harvest Detail'!$A$2:$A$1093,$A77,'Harvest Detail'!$G$2:$G$1093,$C77,'Harvest Detail'!$I$2:$I$1093,W$3)</f>
        <v>110</v>
      </c>
      <c r="X77" s="20">
        <f>SUMIFS('Harvest Detail'!$J$2:$J$1093,'Harvest Detail'!$A$2:$A$1093,$A77,'Harvest Detail'!$G$2:$G$1093,$C77,'Harvest Detail'!$I$2:$I$1093,X$3)</f>
        <v>0</v>
      </c>
      <c r="Y77" s="22">
        <f t="shared" si="2"/>
        <v>572</v>
      </c>
    </row>
    <row r="78" spans="1:25" ht="15" customHeight="1" x14ac:dyDescent="0.75">
      <c r="A78" s="18" t="s">
        <v>88</v>
      </c>
      <c r="B78" s="19">
        <v>46188</v>
      </c>
      <c r="C78" s="18" t="s">
        <v>66</v>
      </c>
      <c r="D78" s="20">
        <f>SUMIFS('Harvest Detail'!$J$2:$J$1093,'Harvest Detail'!$A$2:$A$1093,$A78,'Harvest Detail'!$G$2:$G$1093,$C78,'Harvest Detail'!$I$2:$I$1093,D$3)</f>
        <v>18</v>
      </c>
      <c r="E78" s="20">
        <f>SUMIFS('Harvest Detail'!$J$2:$J$1093,'Harvest Detail'!$A$2:$A$1093,$A78,'Harvest Detail'!$G$2:$G$1093,$C78,'Harvest Detail'!$I$2:$I$1093,E$3)</f>
        <v>45</v>
      </c>
      <c r="F78" s="20">
        <f>SUMIFS('Harvest Detail'!$J$2:$J$1093,'Harvest Detail'!$A$2:$A$1093,$A78,'Harvest Detail'!$G$2:$G$1093,$C78,'Harvest Detail'!$I$2:$I$1093,F$3)</f>
        <v>27</v>
      </c>
      <c r="G78" s="20">
        <f>SUMIFS('Harvest Detail'!$J$2:$J$1093,'Harvest Detail'!$A$2:$A$1093,$A78,'Harvest Detail'!$G$2:$G$1093,$C78,'Harvest Detail'!$I$2:$I$1093,G$3)</f>
        <v>0</v>
      </c>
      <c r="H78" s="20">
        <f>SUMIFS('Harvest Detail'!$J$2:$J$1093,'Harvest Detail'!$A$2:$A$1093,$A78,'Harvest Detail'!$G$2:$G$1093,$C78,'Harvest Detail'!$I$2:$I$1093,H$3)</f>
        <v>0</v>
      </c>
      <c r="I78" s="20">
        <f>SUMIFS('Harvest Detail'!$J$2:$J$1093,'Harvest Detail'!$A$2:$A$1093,$A78,'Harvest Detail'!$G$2:$G$1093,$C78,'Harvest Detail'!$I$2:$I$1093,I$3)</f>
        <v>0</v>
      </c>
      <c r="J78" s="20">
        <f>SUMIFS('Harvest Detail'!$J$2:$J$1093,'Harvest Detail'!$A$2:$A$1093,$A78,'Harvest Detail'!$G$2:$G$1093,$C78,'Harvest Detail'!$I$2:$I$1093,J$3)</f>
        <v>0</v>
      </c>
      <c r="K78" s="20">
        <f>SUMIFS('Harvest Detail'!$J$2:$J$1093,'Harvest Detail'!$A$2:$A$1093,$A78,'Harvest Detail'!$G$2:$G$1093,$C78,'Harvest Detail'!$I$2:$I$1093,K$3)</f>
        <v>0</v>
      </c>
      <c r="L78" s="20">
        <f>SUMIFS('Harvest Detail'!$J$2:$J$1093,'Harvest Detail'!$A$2:$A$1093,$A78,'Harvest Detail'!$G$2:$G$1093,$C78,'Harvest Detail'!$I$2:$I$1093,L$3)</f>
        <v>34</v>
      </c>
      <c r="M78" s="20">
        <f>SUMIFS('Harvest Detail'!$J$2:$J$1093,'Harvest Detail'!$A$2:$A$1093,$A78,'Harvest Detail'!$G$2:$G$1093,$C78,'Harvest Detail'!$I$2:$I$1093,M$3)</f>
        <v>16</v>
      </c>
      <c r="N78" s="20">
        <f>SUMIFS('Harvest Detail'!$J$2:$J$1093,'Harvest Detail'!$A$2:$A$1093,$A78,'Harvest Detail'!$G$2:$G$1093,$C78,'Harvest Detail'!$I$2:$I$1093,N$3)</f>
        <v>10</v>
      </c>
      <c r="O78" s="20">
        <f>SUMIFS('Harvest Detail'!$J$2:$J$1093,'Harvest Detail'!$A$2:$A$1093,$A78,'Harvest Detail'!$G$2:$G$1093,$C78,'Harvest Detail'!$I$2:$I$1093,O$3)</f>
        <v>0</v>
      </c>
      <c r="P78" s="20">
        <f>SUMIFS('Harvest Detail'!$J$2:$J$1093,'Harvest Detail'!$A$2:$A$1093,$A78,'Harvest Detail'!$G$2:$G$1093,$C78,'Harvest Detail'!$I$2:$I$1093,P$3)</f>
        <v>22</v>
      </c>
      <c r="Q78" s="20">
        <f>SUMIFS('Harvest Detail'!$J$2:$J$1093,'Harvest Detail'!$A$2:$A$1093,$A78,'Harvest Detail'!$G$2:$G$1093,$C78,'Harvest Detail'!$I$2:$I$1093,Q$3)</f>
        <v>0</v>
      </c>
      <c r="R78" s="20">
        <f>SUMIFS('Harvest Detail'!$J$2:$J$1093,'Harvest Detail'!$A$2:$A$1093,$A78,'Harvest Detail'!$G$2:$G$1093,$C78,'Harvest Detail'!$I$2:$I$1093,R$3)</f>
        <v>125</v>
      </c>
      <c r="S78" s="20">
        <f>SUMIFS('Harvest Detail'!$J$2:$J$1093,'Harvest Detail'!$A$2:$A$1093,$A78,'Harvest Detail'!$G$2:$G$1093,$C78,'Harvest Detail'!$I$2:$I$1093,S$3)</f>
        <v>28</v>
      </c>
      <c r="T78" s="20">
        <f>SUMIFS('Harvest Detail'!$J$2:$J$1093,'Harvest Detail'!$A$2:$A$1093,$A78,'Harvest Detail'!$G$2:$G$1093,$C78,'Harvest Detail'!$I$2:$I$1093,T$3)</f>
        <v>0</v>
      </c>
      <c r="U78" s="20">
        <f>SUMIFS('Harvest Detail'!$J$2:$J$1093,'Harvest Detail'!$A$2:$A$1093,$A78,'Harvest Detail'!$G$2:$G$1093,$C78,'Harvest Detail'!$I$2:$I$1093,U$3)</f>
        <v>6</v>
      </c>
      <c r="V78" s="20">
        <f>SUMIFS('Harvest Detail'!$J$2:$J$1093,'Harvest Detail'!$A$2:$A$1093,$A78,'Harvest Detail'!$G$2:$G$1093,$C78,'Harvest Detail'!$I$2:$I$1093,V$3)</f>
        <v>0</v>
      </c>
      <c r="W78" s="20">
        <f>SUMIFS('Harvest Detail'!$J$2:$J$1093,'Harvest Detail'!$A$2:$A$1093,$A78,'Harvest Detail'!$G$2:$G$1093,$C78,'Harvest Detail'!$I$2:$I$1093,W$3)</f>
        <v>0</v>
      </c>
      <c r="X78" s="20">
        <f>SUMIFS('Harvest Detail'!$J$2:$J$1093,'Harvest Detail'!$A$2:$A$1093,$A78,'Harvest Detail'!$G$2:$G$1093,$C78,'Harvest Detail'!$I$2:$I$1093,X$3)</f>
        <v>0</v>
      </c>
      <c r="Y78" s="22">
        <f t="shared" si="2"/>
        <v>331</v>
      </c>
    </row>
    <row r="79" spans="1:25" ht="15" customHeight="1" x14ac:dyDescent="0.75">
      <c r="A79" s="23" t="s">
        <v>91</v>
      </c>
      <c r="B79" s="24"/>
      <c r="C79" s="24"/>
      <c r="D79" s="25">
        <f t="shared" ref="D79:Y79" si="3">SUBTOTAL(109,D4:D78)</f>
        <v>6209</v>
      </c>
      <c r="E79" s="25">
        <f t="shared" si="3"/>
        <v>3952</v>
      </c>
      <c r="F79" s="25">
        <f t="shared" si="3"/>
        <v>688</v>
      </c>
      <c r="G79" s="25">
        <f t="shared" si="3"/>
        <v>1865</v>
      </c>
      <c r="H79" s="25">
        <f t="shared" si="3"/>
        <v>392</v>
      </c>
      <c r="I79" s="25">
        <f t="shared" si="3"/>
        <v>901</v>
      </c>
      <c r="J79" s="25">
        <f t="shared" si="3"/>
        <v>0</v>
      </c>
      <c r="K79" s="25">
        <f t="shared" si="3"/>
        <v>80</v>
      </c>
      <c r="L79" s="25">
        <f t="shared" si="3"/>
        <v>212</v>
      </c>
      <c r="M79" s="25">
        <f t="shared" si="3"/>
        <v>602</v>
      </c>
      <c r="N79" s="25">
        <f t="shared" si="3"/>
        <v>634</v>
      </c>
      <c r="O79" s="25">
        <f t="shared" si="3"/>
        <v>0</v>
      </c>
      <c r="P79" s="25">
        <f t="shared" si="3"/>
        <v>682</v>
      </c>
      <c r="Q79" s="25">
        <f t="shared" si="3"/>
        <v>549</v>
      </c>
      <c r="R79" s="25">
        <f t="shared" si="3"/>
        <v>4640</v>
      </c>
      <c r="S79" s="25">
        <f t="shared" si="3"/>
        <v>639</v>
      </c>
      <c r="T79" s="25">
        <f t="shared" si="3"/>
        <v>223</v>
      </c>
      <c r="U79" s="25">
        <f t="shared" si="3"/>
        <v>319</v>
      </c>
      <c r="V79" s="25">
        <f t="shared" si="3"/>
        <v>242</v>
      </c>
      <c r="W79" s="25">
        <f t="shared" si="3"/>
        <v>4431</v>
      </c>
      <c r="X79" s="25">
        <f t="shared" si="3"/>
        <v>140</v>
      </c>
      <c r="Y79" s="25">
        <f t="shared" si="3"/>
        <v>27400</v>
      </c>
    </row>
  </sheetData>
  <autoFilter ref="A3:Y78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53"/>
  <sheetViews>
    <sheetView showGridLines="0" zoomScaleNormal="100" workbookViewId="0">
      <pane xSplit="2" ySplit="5" topLeftCell="I15" activePane="bottomRight" state="frozen"/>
      <selection pane="topRight" activeCell="I1" sqref="I1"/>
      <selection pane="bottomLeft" activeCell="A6" sqref="A6"/>
      <selection pane="bottomRight" activeCell="Y7" sqref="Y7"/>
    </sheetView>
  </sheetViews>
  <sheetFormatPr defaultColWidth="8.54296875" defaultRowHeight="14.75" x14ac:dyDescent="0.75"/>
  <cols>
    <col min="1" max="1" width="13" customWidth="1"/>
    <col min="2" max="2" width="22" customWidth="1"/>
    <col min="3" max="27" width="10.6796875" customWidth="1"/>
    <col min="28" max="28" width="10" customWidth="1"/>
  </cols>
  <sheetData>
    <row r="1" spans="1:28" ht="15.75" customHeight="1" x14ac:dyDescent="0.75">
      <c r="A1" s="15" t="s">
        <v>92</v>
      </c>
    </row>
    <row r="3" spans="1:28" ht="15" customHeight="1" x14ac:dyDescent="0.75">
      <c r="A3" s="13" t="s">
        <v>93</v>
      </c>
    </row>
    <row r="4" spans="1:28" ht="15" customHeight="1" x14ac:dyDescent="0.75">
      <c r="A4" s="16" t="s">
        <v>1</v>
      </c>
      <c r="B4" s="16" t="s">
        <v>51</v>
      </c>
      <c r="C4" s="16" t="s">
        <v>53</v>
      </c>
      <c r="D4" s="16" t="s">
        <v>61</v>
      </c>
      <c r="E4" s="16" t="s">
        <v>64</v>
      </c>
      <c r="F4" s="16" t="s">
        <v>67</v>
      </c>
      <c r="G4" s="16" t="s">
        <v>68</v>
      </c>
      <c r="H4" s="16" t="s">
        <v>69</v>
      </c>
      <c r="I4" s="16" t="s">
        <v>70</v>
      </c>
      <c r="J4" s="16" t="s">
        <v>71</v>
      </c>
      <c r="K4" s="16" t="s">
        <v>72</v>
      </c>
      <c r="L4" s="16" t="s">
        <v>73</v>
      </c>
      <c r="M4" s="16" t="s">
        <v>74</v>
      </c>
      <c r="N4" s="16" t="s">
        <v>75</v>
      </c>
      <c r="O4" s="16" t="s">
        <v>76</v>
      </c>
      <c r="P4" s="16" t="s">
        <v>77</v>
      </c>
      <c r="Q4" s="16" t="s">
        <v>78</v>
      </c>
      <c r="R4" s="16" t="s">
        <v>79</v>
      </c>
      <c r="S4" s="16" t="s">
        <v>80</v>
      </c>
      <c r="T4" s="16" t="s">
        <v>81</v>
      </c>
      <c r="U4" s="16" t="s">
        <v>82</v>
      </c>
      <c r="V4" s="16" t="s">
        <v>83</v>
      </c>
      <c r="W4" s="16" t="s">
        <v>84</v>
      </c>
      <c r="X4" s="16" t="s">
        <v>85</v>
      </c>
      <c r="Y4" s="16" t="s">
        <v>86</v>
      </c>
      <c r="Z4" s="16" t="s">
        <v>87</v>
      </c>
      <c r="AA4" s="16" t="s">
        <v>88</v>
      </c>
      <c r="AB4" s="16" t="s">
        <v>94</v>
      </c>
    </row>
    <row r="5" spans="1:28" ht="15" customHeight="1" x14ac:dyDescent="0.75">
      <c r="A5" s="26"/>
      <c r="B5" s="27" t="s">
        <v>95</v>
      </c>
      <c r="C5" s="28">
        <v>46020</v>
      </c>
      <c r="D5" s="28">
        <v>46027</v>
      </c>
      <c r="E5" s="28">
        <v>46034</v>
      </c>
      <c r="F5" s="28">
        <v>46041</v>
      </c>
      <c r="G5" s="28">
        <v>46048</v>
      </c>
      <c r="H5" s="28">
        <v>46055</v>
      </c>
      <c r="I5" s="28">
        <v>46062</v>
      </c>
      <c r="J5" s="28">
        <v>46069</v>
      </c>
      <c r="K5" s="28">
        <v>46076</v>
      </c>
      <c r="L5" s="28">
        <v>46083</v>
      </c>
      <c r="M5" s="28">
        <v>46090</v>
      </c>
      <c r="N5" s="28">
        <v>46097</v>
      </c>
      <c r="O5" s="28">
        <v>46104</v>
      </c>
      <c r="P5" s="28">
        <v>46111</v>
      </c>
      <c r="Q5" s="28">
        <v>46118</v>
      </c>
      <c r="R5" s="28">
        <v>46125</v>
      </c>
      <c r="S5" s="28">
        <v>46132</v>
      </c>
      <c r="T5" s="28">
        <v>46139</v>
      </c>
      <c r="U5" s="28">
        <v>46146</v>
      </c>
      <c r="V5" s="28">
        <v>46153</v>
      </c>
      <c r="W5" s="28">
        <v>46160</v>
      </c>
      <c r="X5" s="28">
        <v>46167</v>
      </c>
      <c r="Y5" s="28">
        <v>46174</v>
      </c>
      <c r="Z5" s="28">
        <v>46181</v>
      </c>
      <c r="AA5" s="28">
        <v>46188</v>
      </c>
      <c r="AB5" s="26"/>
    </row>
    <row r="6" spans="1:28" ht="15" customHeight="1" x14ac:dyDescent="0.75">
      <c r="A6" s="17">
        <v>666501</v>
      </c>
      <c r="B6" s="29" t="s">
        <v>5</v>
      </c>
      <c r="C6" s="20">
        <f>SUMIFS('Harvest Detail'!$J$2:$J$1093,'Harvest Detail'!$I$2:$I$1093,$B6,'Harvest Detail'!$A$2:$A$1093,C$4)</f>
        <v>177</v>
      </c>
      <c r="D6" s="20">
        <f>SUMIFS('Harvest Detail'!$J$2:$J$1093,'Harvest Detail'!$I$2:$I$1093,$B6,'Harvest Detail'!$A$2:$A$1093,D$4)</f>
        <v>156</v>
      </c>
      <c r="E6" s="20">
        <f>SUMIFS('Harvest Detail'!$J$2:$J$1093,'Harvest Detail'!$I$2:$I$1093,$B6,'Harvest Detail'!$A$2:$A$1093,E$4)</f>
        <v>0</v>
      </c>
      <c r="F6" s="20">
        <f>SUMIFS('Harvest Detail'!$J$2:$J$1093,'Harvest Detail'!$I$2:$I$1093,$B6,'Harvest Detail'!$A$2:$A$1093,F$4)</f>
        <v>0</v>
      </c>
      <c r="G6" s="20">
        <f>SUMIFS('Harvest Detail'!$J$2:$J$1093,'Harvest Detail'!$I$2:$I$1093,$B6,'Harvest Detail'!$A$2:$A$1093,G$4)</f>
        <v>0</v>
      </c>
      <c r="H6" s="20">
        <f>SUMIFS('Harvest Detail'!$J$2:$J$1093,'Harvest Detail'!$I$2:$I$1093,$B6,'Harvest Detail'!$A$2:$A$1093,H$4)</f>
        <v>0</v>
      </c>
      <c r="I6" s="20">
        <f>SUMIFS('Harvest Detail'!$J$2:$J$1093,'Harvest Detail'!$I$2:$I$1093,$B6,'Harvest Detail'!$A$2:$A$1093,I$4)</f>
        <v>327</v>
      </c>
      <c r="J6" s="20">
        <f>SUMIFS('Harvest Detail'!$J$2:$J$1093,'Harvest Detail'!$I$2:$I$1093,$B6,'Harvest Detail'!$A$2:$A$1093,J$4)</f>
        <v>180</v>
      </c>
      <c r="K6" s="20">
        <f>SUMIFS('Harvest Detail'!$J$2:$J$1093,'Harvest Detail'!$I$2:$I$1093,$B6,'Harvest Detail'!$A$2:$A$1093,K$4)</f>
        <v>309</v>
      </c>
      <c r="L6" s="20">
        <f>SUMIFS('Harvest Detail'!$J$2:$J$1093,'Harvest Detail'!$I$2:$I$1093,$B6,'Harvest Detail'!$A$2:$A$1093,L$4)</f>
        <v>201</v>
      </c>
      <c r="M6" s="20">
        <f>SUMIFS('Harvest Detail'!$J$2:$J$1093,'Harvest Detail'!$I$2:$I$1093,$B6,'Harvest Detail'!$A$2:$A$1093,M$4)</f>
        <v>360</v>
      </c>
      <c r="N6" s="20">
        <f>SUMIFS('Harvest Detail'!$J$2:$J$1093,'Harvest Detail'!$I$2:$I$1093,$B6,'Harvest Detail'!$A$2:$A$1093,N$4)</f>
        <v>312</v>
      </c>
      <c r="O6" s="20">
        <f>SUMIFS('Harvest Detail'!$J$2:$J$1093,'Harvest Detail'!$I$2:$I$1093,$B6,'Harvest Detail'!$A$2:$A$1093,O$4)</f>
        <v>387</v>
      </c>
      <c r="P6" s="20">
        <f>SUMIFS('Harvest Detail'!$J$2:$J$1093,'Harvest Detail'!$I$2:$I$1093,$B6,'Harvest Detail'!$A$2:$A$1093,P$4)</f>
        <v>366</v>
      </c>
      <c r="Q6" s="20">
        <f>SUMIFS('Harvest Detail'!$J$2:$J$1093,'Harvest Detail'!$I$2:$I$1093,$B6,'Harvest Detail'!$A$2:$A$1093,Q$4)</f>
        <v>522</v>
      </c>
      <c r="R6" s="20">
        <f>SUMIFS('Harvest Detail'!$J$2:$J$1093,'Harvest Detail'!$I$2:$I$1093,$B6,'Harvest Detail'!$A$2:$A$1093,R$4)</f>
        <v>282</v>
      </c>
      <c r="S6" s="20">
        <f>SUMIFS('Harvest Detail'!$J$2:$J$1093,'Harvest Detail'!$I$2:$I$1093,$B6,'Harvest Detail'!$A$2:$A$1093,S$4)</f>
        <v>567</v>
      </c>
      <c r="T6" s="20">
        <f>SUMIFS('Harvest Detail'!$J$2:$J$1093,'Harvest Detail'!$I$2:$I$1093,$B6,'Harvest Detail'!$A$2:$A$1093,T$4)</f>
        <v>237</v>
      </c>
      <c r="U6" s="20">
        <f>SUMIFS('Harvest Detail'!$J$2:$J$1093,'Harvest Detail'!$I$2:$I$1093,$B6,'Harvest Detail'!$A$2:$A$1093,U$4)</f>
        <v>471</v>
      </c>
      <c r="V6" s="20">
        <f>SUMIFS('Harvest Detail'!$J$2:$J$1093,'Harvest Detail'!$I$2:$I$1093,$B6,'Harvest Detail'!$A$2:$A$1093,V$4)</f>
        <v>75</v>
      </c>
      <c r="W6" s="20">
        <f>SUMIFS('Harvest Detail'!$J$2:$J$1093,'Harvest Detail'!$I$2:$I$1093,$B6,'Harvest Detail'!$A$2:$A$1093,W$4)</f>
        <v>366</v>
      </c>
      <c r="X6" s="20">
        <f>SUMIFS('Harvest Detail'!$J$2:$J$1093,'Harvest Detail'!$I$2:$I$1093,$B6,'Harvest Detail'!$A$2:$A$1093,X$4)</f>
        <v>141</v>
      </c>
      <c r="Y6" s="20">
        <f>SUMIFS('Harvest Detail'!$J$2:$J$1093,'Harvest Detail'!$I$2:$I$1093,$B6,'Harvest Detail'!$A$2:$A$1093,Y$4)</f>
        <v>345</v>
      </c>
      <c r="Z6" s="20">
        <f>SUMIFS('Harvest Detail'!$J$2:$J$1093,'Harvest Detail'!$I$2:$I$1093,$B6,'Harvest Detail'!$A$2:$A$1093,Z$4)</f>
        <v>129</v>
      </c>
      <c r="AA6" s="20">
        <f>SUMIFS('Harvest Detail'!$J$2:$J$1093,'Harvest Detail'!$I$2:$I$1093,$B6,'Harvest Detail'!$A$2:$A$1093,AA$4)</f>
        <v>299</v>
      </c>
      <c r="AB6" s="22">
        <f t="shared" ref="AB6:AB26" si="0">SUM(C6:AA6)</f>
        <v>6209</v>
      </c>
    </row>
    <row r="7" spans="1:28" ht="15" customHeight="1" x14ac:dyDescent="0.75">
      <c r="A7" s="17">
        <v>666502</v>
      </c>
      <c r="B7" s="29" t="s">
        <v>7</v>
      </c>
      <c r="C7" s="20">
        <f>SUMIFS('Harvest Detail'!$J$2:$J$1093,'Harvest Detail'!$I$2:$I$1093,$B7,'Harvest Detail'!$A$2:$A$1093,C$4)</f>
        <v>35</v>
      </c>
      <c r="D7" s="20">
        <f>SUMIFS('Harvest Detail'!$J$2:$J$1093,'Harvest Detail'!$I$2:$I$1093,$B7,'Harvest Detail'!$A$2:$A$1093,D$4)</f>
        <v>115</v>
      </c>
      <c r="E7" s="20">
        <f>SUMIFS('Harvest Detail'!$J$2:$J$1093,'Harvest Detail'!$I$2:$I$1093,$B7,'Harvest Detail'!$A$2:$A$1093,E$4)</f>
        <v>142</v>
      </c>
      <c r="F7" s="20">
        <f>SUMIFS('Harvest Detail'!$J$2:$J$1093,'Harvest Detail'!$I$2:$I$1093,$B7,'Harvest Detail'!$A$2:$A$1093,F$4)</f>
        <v>149</v>
      </c>
      <c r="G7" s="20">
        <f>SUMIFS('Harvest Detail'!$J$2:$J$1093,'Harvest Detail'!$I$2:$I$1093,$B7,'Harvest Detail'!$A$2:$A$1093,G$4)</f>
        <v>127</v>
      </c>
      <c r="H7" s="20">
        <f>SUMIFS('Harvest Detail'!$J$2:$J$1093,'Harvest Detail'!$I$2:$I$1093,$B7,'Harvest Detail'!$A$2:$A$1093,H$4)</f>
        <v>164</v>
      </c>
      <c r="I7" s="20">
        <f>SUMIFS('Harvest Detail'!$J$2:$J$1093,'Harvest Detail'!$I$2:$I$1093,$B7,'Harvest Detail'!$A$2:$A$1093,I$4)</f>
        <v>72</v>
      </c>
      <c r="J7" s="20">
        <f>SUMIFS('Harvest Detail'!$J$2:$J$1093,'Harvest Detail'!$I$2:$I$1093,$B7,'Harvest Detail'!$A$2:$A$1093,J$4)</f>
        <v>185</v>
      </c>
      <c r="K7" s="20">
        <f>SUMIFS('Harvest Detail'!$J$2:$J$1093,'Harvest Detail'!$I$2:$I$1093,$B7,'Harvest Detail'!$A$2:$A$1093,K$4)</f>
        <v>171</v>
      </c>
      <c r="L7" s="20">
        <f>SUMIFS('Harvest Detail'!$J$2:$J$1093,'Harvest Detail'!$I$2:$I$1093,$B7,'Harvest Detail'!$A$2:$A$1093,L$4)</f>
        <v>189</v>
      </c>
      <c r="M7" s="20">
        <f>SUMIFS('Harvest Detail'!$J$2:$J$1093,'Harvest Detail'!$I$2:$I$1093,$B7,'Harvest Detail'!$A$2:$A$1093,M$4)</f>
        <v>154</v>
      </c>
      <c r="N7" s="20">
        <f>SUMIFS('Harvest Detail'!$J$2:$J$1093,'Harvest Detail'!$I$2:$I$1093,$B7,'Harvest Detail'!$A$2:$A$1093,N$4)</f>
        <v>197</v>
      </c>
      <c r="O7" s="20">
        <f>SUMIFS('Harvest Detail'!$J$2:$J$1093,'Harvest Detail'!$I$2:$I$1093,$B7,'Harvest Detail'!$A$2:$A$1093,O$4)</f>
        <v>124</v>
      </c>
      <c r="P7" s="20">
        <f>SUMIFS('Harvest Detail'!$J$2:$J$1093,'Harvest Detail'!$I$2:$I$1093,$B7,'Harvest Detail'!$A$2:$A$1093,P$4)</f>
        <v>276</v>
      </c>
      <c r="Q7" s="20">
        <f>SUMIFS('Harvest Detail'!$J$2:$J$1093,'Harvest Detail'!$I$2:$I$1093,$B7,'Harvest Detail'!$A$2:$A$1093,Q$4)</f>
        <v>110</v>
      </c>
      <c r="R7" s="20">
        <f>SUMIFS('Harvest Detail'!$J$2:$J$1093,'Harvest Detail'!$I$2:$I$1093,$B7,'Harvest Detail'!$A$2:$A$1093,R$4)</f>
        <v>220</v>
      </c>
      <c r="S7" s="20">
        <f>SUMIFS('Harvest Detail'!$J$2:$J$1093,'Harvest Detail'!$I$2:$I$1093,$B7,'Harvest Detail'!$A$2:$A$1093,S$4)</f>
        <v>210</v>
      </c>
      <c r="T7" s="20">
        <f>SUMIFS('Harvest Detail'!$J$2:$J$1093,'Harvest Detail'!$I$2:$I$1093,$B7,'Harvest Detail'!$A$2:$A$1093,T$4)</f>
        <v>151</v>
      </c>
      <c r="U7" s="20">
        <f>SUMIFS('Harvest Detail'!$J$2:$J$1093,'Harvest Detail'!$I$2:$I$1093,$B7,'Harvest Detail'!$A$2:$A$1093,U$4)</f>
        <v>174</v>
      </c>
      <c r="V7" s="20">
        <f>SUMIFS('Harvest Detail'!$J$2:$J$1093,'Harvest Detail'!$I$2:$I$1093,$B7,'Harvest Detail'!$A$2:$A$1093,V$4)</f>
        <v>179</v>
      </c>
      <c r="W7" s="20">
        <f>SUMIFS('Harvest Detail'!$J$2:$J$1093,'Harvest Detail'!$I$2:$I$1093,$B7,'Harvest Detail'!$A$2:$A$1093,W$4)</f>
        <v>182</v>
      </c>
      <c r="X7" s="20">
        <f>SUMIFS('Harvest Detail'!$J$2:$J$1093,'Harvest Detail'!$I$2:$I$1093,$B7,'Harvest Detail'!$A$2:$A$1093,X$4)</f>
        <v>178</v>
      </c>
      <c r="Y7" s="20">
        <f>SUMIFS('Harvest Detail'!$J$2:$J$1093,'Harvest Detail'!$I$2:$I$1093,$B7,'Harvest Detail'!$A$2:$A$1093,Y$4)</f>
        <v>169</v>
      </c>
      <c r="Z7" s="20">
        <f>SUMIFS('Harvest Detail'!$J$2:$J$1093,'Harvest Detail'!$I$2:$I$1093,$B7,'Harvest Detail'!$A$2:$A$1093,Z$4)</f>
        <v>143</v>
      </c>
      <c r="AA7" s="20">
        <f>SUMIFS('Harvest Detail'!$J$2:$J$1093,'Harvest Detail'!$I$2:$I$1093,$B7,'Harvest Detail'!$A$2:$A$1093,AA$4)</f>
        <v>136</v>
      </c>
      <c r="AB7" s="22">
        <f t="shared" si="0"/>
        <v>3952</v>
      </c>
    </row>
    <row r="8" spans="1:28" ht="15" customHeight="1" x14ac:dyDescent="0.75">
      <c r="A8" s="17">
        <v>666505</v>
      </c>
      <c r="B8" s="29" t="s">
        <v>9</v>
      </c>
      <c r="C8" s="20">
        <f>SUMIFS('Harvest Detail'!$J$2:$J$1093,'Harvest Detail'!$I$2:$I$1093,$B8,'Harvest Detail'!$A$2:$A$1093,C$4)</f>
        <v>20</v>
      </c>
      <c r="D8" s="20">
        <f>SUMIFS('Harvest Detail'!$J$2:$J$1093,'Harvest Detail'!$I$2:$I$1093,$B8,'Harvest Detail'!$A$2:$A$1093,D$4)</f>
        <v>0</v>
      </c>
      <c r="E8" s="20">
        <f>SUMIFS('Harvest Detail'!$J$2:$J$1093,'Harvest Detail'!$I$2:$I$1093,$B8,'Harvest Detail'!$A$2:$A$1093,E$4)</f>
        <v>60</v>
      </c>
      <c r="F8" s="20">
        <f>SUMIFS('Harvest Detail'!$J$2:$J$1093,'Harvest Detail'!$I$2:$I$1093,$B8,'Harvest Detail'!$A$2:$A$1093,F$4)</f>
        <v>0</v>
      </c>
      <c r="G8" s="20">
        <f>SUMIFS('Harvest Detail'!$J$2:$J$1093,'Harvest Detail'!$I$2:$I$1093,$B8,'Harvest Detail'!$A$2:$A$1093,G$4)</f>
        <v>60</v>
      </c>
      <c r="H8" s="20">
        <f>SUMIFS('Harvest Detail'!$J$2:$J$1093,'Harvest Detail'!$I$2:$I$1093,$B8,'Harvest Detail'!$A$2:$A$1093,H$4)</f>
        <v>0</v>
      </c>
      <c r="I8" s="20">
        <f>SUMIFS('Harvest Detail'!$J$2:$J$1093,'Harvest Detail'!$I$2:$I$1093,$B8,'Harvest Detail'!$A$2:$A$1093,I$4)</f>
        <v>60</v>
      </c>
      <c r="J8" s="20">
        <f>SUMIFS('Harvest Detail'!$J$2:$J$1093,'Harvest Detail'!$I$2:$I$1093,$B8,'Harvest Detail'!$A$2:$A$1093,J$4)</f>
        <v>0</v>
      </c>
      <c r="K8" s="20">
        <f>SUMIFS('Harvest Detail'!$J$2:$J$1093,'Harvest Detail'!$I$2:$I$1093,$B8,'Harvest Detail'!$A$2:$A$1093,K$4)</f>
        <v>64</v>
      </c>
      <c r="L8" s="20">
        <f>SUMIFS('Harvest Detail'!$J$2:$J$1093,'Harvest Detail'!$I$2:$I$1093,$B8,'Harvest Detail'!$A$2:$A$1093,L$4)</f>
        <v>0</v>
      </c>
      <c r="M8" s="20">
        <f>SUMIFS('Harvest Detail'!$J$2:$J$1093,'Harvest Detail'!$I$2:$I$1093,$B8,'Harvest Detail'!$A$2:$A$1093,M$4)</f>
        <v>59</v>
      </c>
      <c r="N8" s="20">
        <f>SUMIFS('Harvest Detail'!$J$2:$J$1093,'Harvest Detail'!$I$2:$I$1093,$B8,'Harvest Detail'!$A$2:$A$1093,N$4)</f>
        <v>5</v>
      </c>
      <c r="O8" s="20">
        <f>SUMIFS('Harvest Detail'!$J$2:$J$1093,'Harvest Detail'!$I$2:$I$1093,$B8,'Harvest Detail'!$A$2:$A$1093,O$4)</f>
        <v>64</v>
      </c>
      <c r="P8" s="20">
        <f>SUMIFS('Harvest Detail'!$J$2:$J$1093,'Harvest Detail'!$I$2:$I$1093,$B8,'Harvest Detail'!$A$2:$A$1093,P$4)</f>
        <v>0</v>
      </c>
      <c r="Q8" s="20">
        <f>SUMIFS('Harvest Detail'!$J$2:$J$1093,'Harvest Detail'!$I$2:$I$1093,$B8,'Harvest Detail'!$A$2:$A$1093,Q$4)</f>
        <v>58</v>
      </c>
      <c r="R8" s="20">
        <f>SUMIFS('Harvest Detail'!$J$2:$J$1093,'Harvest Detail'!$I$2:$I$1093,$B8,'Harvest Detail'!$A$2:$A$1093,R$4)</f>
        <v>0</v>
      </c>
      <c r="S8" s="20">
        <f>SUMIFS('Harvest Detail'!$J$2:$J$1093,'Harvest Detail'!$I$2:$I$1093,$B8,'Harvest Detail'!$A$2:$A$1093,S$4)</f>
        <v>58</v>
      </c>
      <c r="T8" s="20">
        <f>SUMIFS('Harvest Detail'!$J$2:$J$1093,'Harvest Detail'!$I$2:$I$1093,$B8,'Harvest Detail'!$A$2:$A$1093,T$4)</f>
        <v>0</v>
      </c>
      <c r="U8" s="20">
        <f>SUMIFS('Harvest Detail'!$J$2:$J$1093,'Harvest Detail'!$I$2:$I$1093,$B8,'Harvest Detail'!$A$2:$A$1093,U$4)</f>
        <v>50</v>
      </c>
      <c r="V8" s="20">
        <f>SUMIFS('Harvest Detail'!$J$2:$J$1093,'Harvest Detail'!$I$2:$I$1093,$B8,'Harvest Detail'!$A$2:$A$1093,V$4)</f>
        <v>0</v>
      </c>
      <c r="W8" s="20">
        <f>SUMIFS('Harvest Detail'!$J$2:$J$1093,'Harvest Detail'!$I$2:$I$1093,$B8,'Harvest Detail'!$A$2:$A$1093,W$4)</f>
        <v>50</v>
      </c>
      <c r="X8" s="20">
        <f>SUMIFS('Harvest Detail'!$J$2:$J$1093,'Harvest Detail'!$I$2:$I$1093,$B8,'Harvest Detail'!$A$2:$A$1093,X$4)</f>
        <v>0</v>
      </c>
      <c r="Y8" s="20">
        <f>SUMIFS('Harvest Detail'!$J$2:$J$1093,'Harvest Detail'!$I$2:$I$1093,$B8,'Harvest Detail'!$A$2:$A$1093,Y$4)</f>
        <v>40</v>
      </c>
      <c r="Z8" s="20">
        <f>SUMIFS('Harvest Detail'!$J$2:$J$1093,'Harvest Detail'!$I$2:$I$1093,$B8,'Harvest Detail'!$A$2:$A$1093,Z$4)</f>
        <v>0</v>
      </c>
      <c r="AA8" s="20">
        <f>SUMIFS('Harvest Detail'!$J$2:$J$1093,'Harvest Detail'!$I$2:$I$1093,$B8,'Harvest Detail'!$A$2:$A$1093,AA$4)</f>
        <v>40</v>
      </c>
      <c r="AB8" s="22">
        <f t="shared" si="0"/>
        <v>688</v>
      </c>
    </row>
    <row r="9" spans="1:28" ht="15" customHeight="1" x14ac:dyDescent="0.75">
      <c r="A9" s="17">
        <v>666506</v>
      </c>
      <c r="B9" s="29" t="s">
        <v>11</v>
      </c>
      <c r="C9" s="20">
        <f>SUMIFS('Harvest Detail'!$J$2:$J$1093,'Harvest Detail'!$I$2:$I$1093,$B9,'Harvest Detail'!$A$2:$A$1093,C$4)</f>
        <v>0</v>
      </c>
      <c r="D9" s="20">
        <f>SUMIFS('Harvest Detail'!$J$2:$J$1093,'Harvest Detail'!$I$2:$I$1093,$B9,'Harvest Detail'!$A$2:$A$1093,D$4)</f>
        <v>200</v>
      </c>
      <c r="E9" s="20">
        <f>SUMIFS('Harvest Detail'!$J$2:$J$1093,'Harvest Detail'!$I$2:$I$1093,$B9,'Harvest Detail'!$A$2:$A$1093,E$4)</f>
        <v>8</v>
      </c>
      <c r="F9" s="20">
        <f>SUMIFS('Harvest Detail'!$J$2:$J$1093,'Harvest Detail'!$I$2:$I$1093,$B9,'Harvest Detail'!$A$2:$A$1093,F$4)</f>
        <v>27</v>
      </c>
      <c r="G9" s="20">
        <f>SUMIFS('Harvest Detail'!$J$2:$J$1093,'Harvest Detail'!$I$2:$I$1093,$B9,'Harvest Detail'!$A$2:$A$1093,G$4)</f>
        <v>20</v>
      </c>
      <c r="H9" s="20">
        <f>SUMIFS('Harvest Detail'!$J$2:$J$1093,'Harvest Detail'!$I$2:$I$1093,$B9,'Harvest Detail'!$A$2:$A$1093,H$4)</f>
        <v>140</v>
      </c>
      <c r="I9" s="20">
        <f>SUMIFS('Harvest Detail'!$J$2:$J$1093,'Harvest Detail'!$I$2:$I$1093,$B9,'Harvest Detail'!$A$2:$A$1093,I$4)</f>
        <v>23</v>
      </c>
      <c r="J9" s="20">
        <f>SUMIFS('Harvest Detail'!$J$2:$J$1093,'Harvest Detail'!$I$2:$I$1093,$B9,'Harvest Detail'!$A$2:$A$1093,J$4)</f>
        <v>42</v>
      </c>
      <c r="K9" s="20">
        <f>SUMIFS('Harvest Detail'!$J$2:$J$1093,'Harvest Detail'!$I$2:$I$1093,$B9,'Harvest Detail'!$A$2:$A$1093,K$4)</f>
        <v>47</v>
      </c>
      <c r="L9" s="20">
        <f>SUMIFS('Harvest Detail'!$J$2:$J$1093,'Harvest Detail'!$I$2:$I$1093,$B9,'Harvest Detail'!$A$2:$A$1093,L$4)</f>
        <v>153</v>
      </c>
      <c r="M9" s="20">
        <f>SUMIFS('Harvest Detail'!$J$2:$J$1093,'Harvest Detail'!$I$2:$I$1093,$B9,'Harvest Detail'!$A$2:$A$1093,M$4)</f>
        <v>24</v>
      </c>
      <c r="N9" s="20">
        <f>SUMIFS('Harvest Detail'!$J$2:$J$1093,'Harvest Detail'!$I$2:$I$1093,$B9,'Harvest Detail'!$A$2:$A$1093,N$4)</f>
        <v>53</v>
      </c>
      <c r="O9" s="20">
        <f>SUMIFS('Harvest Detail'!$J$2:$J$1093,'Harvest Detail'!$I$2:$I$1093,$B9,'Harvest Detail'!$A$2:$A$1093,O$4)</f>
        <v>14</v>
      </c>
      <c r="P9" s="20">
        <f>SUMIFS('Harvest Detail'!$J$2:$J$1093,'Harvest Detail'!$I$2:$I$1093,$B9,'Harvest Detail'!$A$2:$A$1093,P$4)</f>
        <v>5</v>
      </c>
      <c r="Q9" s="20">
        <f>SUMIFS('Harvest Detail'!$J$2:$J$1093,'Harvest Detail'!$I$2:$I$1093,$B9,'Harvest Detail'!$A$2:$A$1093,Q$4)</f>
        <v>25</v>
      </c>
      <c r="R9" s="20">
        <f>SUMIFS('Harvest Detail'!$J$2:$J$1093,'Harvest Detail'!$I$2:$I$1093,$B9,'Harvest Detail'!$A$2:$A$1093,R$4)</f>
        <v>60</v>
      </c>
      <c r="S9" s="20">
        <f>SUMIFS('Harvest Detail'!$J$2:$J$1093,'Harvest Detail'!$I$2:$I$1093,$B9,'Harvest Detail'!$A$2:$A$1093,S$4)</f>
        <v>154</v>
      </c>
      <c r="T9" s="20">
        <f>SUMIFS('Harvest Detail'!$J$2:$J$1093,'Harvest Detail'!$I$2:$I$1093,$B9,'Harvest Detail'!$A$2:$A$1093,T$4)</f>
        <v>123</v>
      </c>
      <c r="U9" s="20">
        <f>SUMIFS('Harvest Detail'!$J$2:$J$1093,'Harvest Detail'!$I$2:$I$1093,$B9,'Harvest Detail'!$A$2:$A$1093,U$4)</f>
        <v>119</v>
      </c>
      <c r="V9" s="20">
        <f>SUMIFS('Harvest Detail'!$J$2:$J$1093,'Harvest Detail'!$I$2:$I$1093,$B9,'Harvest Detail'!$A$2:$A$1093,V$4)</f>
        <v>149</v>
      </c>
      <c r="W9" s="20">
        <f>SUMIFS('Harvest Detail'!$J$2:$J$1093,'Harvest Detail'!$I$2:$I$1093,$B9,'Harvest Detail'!$A$2:$A$1093,W$4)</f>
        <v>203</v>
      </c>
      <c r="X9" s="20">
        <f>SUMIFS('Harvest Detail'!$J$2:$J$1093,'Harvest Detail'!$I$2:$I$1093,$B9,'Harvest Detail'!$A$2:$A$1093,X$4)</f>
        <v>0</v>
      </c>
      <c r="Y9" s="20">
        <f>SUMIFS('Harvest Detail'!$J$2:$J$1093,'Harvest Detail'!$I$2:$I$1093,$B9,'Harvest Detail'!$A$2:$A$1093,Y$4)</f>
        <v>127</v>
      </c>
      <c r="Z9" s="20">
        <f>SUMIFS('Harvest Detail'!$J$2:$J$1093,'Harvest Detail'!$I$2:$I$1093,$B9,'Harvest Detail'!$A$2:$A$1093,Z$4)</f>
        <v>17</v>
      </c>
      <c r="AA9" s="20">
        <f>SUMIFS('Harvest Detail'!$J$2:$J$1093,'Harvest Detail'!$I$2:$I$1093,$B9,'Harvest Detail'!$A$2:$A$1093,AA$4)</f>
        <v>132</v>
      </c>
      <c r="AB9" s="22">
        <f t="shared" si="0"/>
        <v>1865</v>
      </c>
    </row>
    <row r="10" spans="1:28" ht="15" customHeight="1" x14ac:dyDescent="0.75">
      <c r="A10" s="17">
        <v>666507</v>
      </c>
      <c r="B10" s="29" t="s">
        <v>13</v>
      </c>
      <c r="C10" s="20">
        <f>SUMIFS('Harvest Detail'!$J$2:$J$1093,'Harvest Detail'!$I$2:$I$1093,$B10,'Harvest Detail'!$A$2:$A$1093,C$4)</f>
        <v>19</v>
      </c>
      <c r="D10" s="20">
        <f>SUMIFS('Harvest Detail'!$J$2:$J$1093,'Harvest Detail'!$I$2:$I$1093,$B10,'Harvest Detail'!$A$2:$A$1093,D$4)</f>
        <v>41</v>
      </c>
      <c r="E10" s="20">
        <f>SUMIFS('Harvest Detail'!$J$2:$J$1093,'Harvest Detail'!$I$2:$I$1093,$B10,'Harvest Detail'!$A$2:$A$1093,E$4)</f>
        <v>31</v>
      </c>
      <c r="F10" s="20">
        <f>SUMIFS('Harvest Detail'!$J$2:$J$1093,'Harvest Detail'!$I$2:$I$1093,$B10,'Harvest Detail'!$A$2:$A$1093,F$4)</f>
        <v>17</v>
      </c>
      <c r="G10" s="20">
        <f>SUMIFS('Harvest Detail'!$J$2:$J$1093,'Harvest Detail'!$I$2:$I$1093,$B10,'Harvest Detail'!$A$2:$A$1093,G$4)</f>
        <v>5</v>
      </c>
      <c r="H10" s="20">
        <f>SUMIFS('Harvest Detail'!$J$2:$J$1093,'Harvest Detail'!$I$2:$I$1093,$B10,'Harvest Detail'!$A$2:$A$1093,H$4)</f>
        <v>44</v>
      </c>
      <c r="I10" s="20">
        <f>SUMIFS('Harvest Detail'!$J$2:$J$1093,'Harvest Detail'!$I$2:$I$1093,$B10,'Harvest Detail'!$A$2:$A$1093,I$4)</f>
        <v>29</v>
      </c>
      <c r="J10" s="20">
        <f>SUMIFS('Harvest Detail'!$J$2:$J$1093,'Harvest Detail'!$I$2:$I$1093,$B10,'Harvest Detail'!$A$2:$A$1093,J$4)</f>
        <v>13</v>
      </c>
      <c r="K10" s="20">
        <f>SUMIFS('Harvest Detail'!$J$2:$J$1093,'Harvest Detail'!$I$2:$I$1093,$B10,'Harvest Detail'!$A$2:$A$1093,K$4)</f>
        <v>16</v>
      </c>
      <c r="L10" s="20">
        <f>SUMIFS('Harvest Detail'!$J$2:$J$1093,'Harvest Detail'!$I$2:$I$1093,$B10,'Harvest Detail'!$A$2:$A$1093,L$4)</f>
        <v>27</v>
      </c>
      <c r="M10" s="20">
        <f>SUMIFS('Harvest Detail'!$J$2:$J$1093,'Harvest Detail'!$I$2:$I$1093,$B10,'Harvest Detail'!$A$2:$A$1093,M$4)</f>
        <v>21</v>
      </c>
      <c r="N10" s="20">
        <f>SUMIFS('Harvest Detail'!$J$2:$J$1093,'Harvest Detail'!$I$2:$I$1093,$B10,'Harvest Detail'!$A$2:$A$1093,N$4)</f>
        <v>15</v>
      </c>
      <c r="O10" s="20">
        <f>SUMIFS('Harvest Detail'!$J$2:$J$1093,'Harvest Detail'!$I$2:$I$1093,$B10,'Harvest Detail'!$A$2:$A$1093,O$4)</f>
        <v>16</v>
      </c>
      <c r="P10" s="20">
        <f>SUMIFS('Harvest Detail'!$J$2:$J$1093,'Harvest Detail'!$I$2:$I$1093,$B10,'Harvest Detail'!$A$2:$A$1093,P$4)</f>
        <v>26</v>
      </c>
      <c r="Q10" s="20">
        <f>SUMIFS('Harvest Detail'!$J$2:$J$1093,'Harvest Detail'!$I$2:$I$1093,$B10,'Harvest Detail'!$A$2:$A$1093,Q$4)</f>
        <v>0</v>
      </c>
      <c r="R10" s="20">
        <f>SUMIFS('Harvest Detail'!$J$2:$J$1093,'Harvest Detail'!$I$2:$I$1093,$B10,'Harvest Detail'!$A$2:$A$1093,R$4)</f>
        <v>16</v>
      </c>
      <c r="S10" s="20">
        <f>SUMIFS('Harvest Detail'!$J$2:$J$1093,'Harvest Detail'!$I$2:$I$1093,$B10,'Harvest Detail'!$A$2:$A$1093,S$4)</f>
        <v>0</v>
      </c>
      <c r="T10" s="20">
        <f>SUMIFS('Harvest Detail'!$J$2:$J$1093,'Harvest Detail'!$I$2:$I$1093,$B10,'Harvest Detail'!$A$2:$A$1093,T$4)</f>
        <v>16</v>
      </c>
      <c r="U10" s="20">
        <f>SUMIFS('Harvest Detail'!$J$2:$J$1093,'Harvest Detail'!$I$2:$I$1093,$B10,'Harvest Detail'!$A$2:$A$1093,U$4)</f>
        <v>0</v>
      </c>
      <c r="V10" s="20">
        <f>SUMIFS('Harvest Detail'!$J$2:$J$1093,'Harvest Detail'!$I$2:$I$1093,$B10,'Harvest Detail'!$A$2:$A$1093,V$4)</f>
        <v>16</v>
      </c>
      <c r="W10" s="20">
        <f>SUMIFS('Harvest Detail'!$J$2:$J$1093,'Harvest Detail'!$I$2:$I$1093,$B10,'Harvest Detail'!$A$2:$A$1093,W$4)</f>
        <v>0</v>
      </c>
      <c r="X10" s="20">
        <f>SUMIFS('Harvest Detail'!$J$2:$J$1093,'Harvest Detail'!$I$2:$I$1093,$B10,'Harvest Detail'!$A$2:$A$1093,X$4)</f>
        <v>16</v>
      </c>
      <c r="Y10" s="20">
        <f>SUMIFS('Harvest Detail'!$J$2:$J$1093,'Harvest Detail'!$I$2:$I$1093,$B10,'Harvest Detail'!$A$2:$A$1093,Y$4)</f>
        <v>8</v>
      </c>
      <c r="Z10" s="20">
        <f>SUMIFS('Harvest Detail'!$J$2:$J$1093,'Harvest Detail'!$I$2:$I$1093,$B10,'Harvest Detail'!$A$2:$A$1093,Z$4)</f>
        <v>0</v>
      </c>
      <c r="AA10" s="20">
        <f>SUMIFS('Harvest Detail'!$J$2:$J$1093,'Harvest Detail'!$I$2:$I$1093,$B10,'Harvest Detail'!$A$2:$A$1093,AA$4)</f>
        <v>0</v>
      </c>
      <c r="AB10" s="22">
        <f t="shared" si="0"/>
        <v>392</v>
      </c>
    </row>
    <row r="11" spans="1:28" ht="15" customHeight="1" x14ac:dyDescent="0.75">
      <c r="A11" s="17">
        <v>666509</v>
      </c>
      <c r="B11" s="29" t="s">
        <v>15</v>
      </c>
      <c r="C11" s="20">
        <f>SUMIFS('Harvest Detail'!$J$2:$J$1093,'Harvest Detail'!$I$2:$I$1093,$B11,'Harvest Detail'!$A$2:$A$1093,C$4)</f>
        <v>23</v>
      </c>
      <c r="D11" s="20">
        <f>SUMIFS('Harvest Detail'!$J$2:$J$1093,'Harvest Detail'!$I$2:$I$1093,$B11,'Harvest Detail'!$A$2:$A$1093,D$4)</f>
        <v>83</v>
      </c>
      <c r="E11" s="20">
        <f>SUMIFS('Harvest Detail'!$J$2:$J$1093,'Harvest Detail'!$I$2:$I$1093,$B11,'Harvest Detail'!$A$2:$A$1093,E$4)</f>
        <v>63</v>
      </c>
      <c r="F11" s="20">
        <f>SUMIFS('Harvest Detail'!$J$2:$J$1093,'Harvest Detail'!$I$2:$I$1093,$B11,'Harvest Detail'!$A$2:$A$1093,F$4)</f>
        <v>22</v>
      </c>
      <c r="G11" s="20">
        <f>SUMIFS('Harvest Detail'!$J$2:$J$1093,'Harvest Detail'!$I$2:$I$1093,$B11,'Harvest Detail'!$A$2:$A$1093,G$4)</f>
        <v>60</v>
      </c>
      <c r="H11" s="20">
        <f>SUMIFS('Harvest Detail'!$J$2:$J$1093,'Harvest Detail'!$I$2:$I$1093,$B11,'Harvest Detail'!$A$2:$A$1093,H$4)</f>
        <v>40</v>
      </c>
      <c r="I11" s="20">
        <f>SUMIFS('Harvest Detail'!$J$2:$J$1093,'Harvest Detail'!$I$2:$I$1093,$B11,'Harvest Detail'!$A$2:$A$1093,I$4)</f>
        <v>0</v>
      </c>
      <c r="J11" s="20">
        <f>SUMIFS('Harvest Detail'!$J$2:$J$1093,'Harvest Detail'!$I$2:$I$1093,$B11,'Harvest Detail'!$A$2:$A$1093,J$4)</f>
        <v>0</v>
      </c>
      <c r="K11" s="20">
        <f>SUMIFS('Harvest Detail'!$J$2:$J$1093,'Harvest Detail'!$I$2:$I$1093,$B11,'Harvest Detail'!$A$2:$A$1093,K$4)</f>
        <v>95</v>
      </c>
      <c r="L11" s="20">
        <f>SUMIFS('Harvest Detail'!$J$2:$J$1093,'Harvest Detail'!$I$2:$I$1093,$B11,'Harvest Detail'!$A$2:$A$1093,L$4)</f>
        <v>9</v>
      </c>
      <c r="M11" s="20">
        <f>SUMIFS('Harvest Detail'!$J$2:$J$1093,'Harvest Detail'!$I$2:$I$1093,$B11,'Harvest Detail'!$A$2:$A$1093,M$4)</f>
        <v>55</v>
      </c>
      <c r="N11" s="20">
        <f>SUMIFS('Harvest Detail'!$J$2:$J$1093,'Harvest Detail'!$I$2:$I$1093,$B11,'Harvest Detail'!$A$2:$A$1093,N$4)</f>
        <v>45</v>
      </c>
      <c r="O11" s="20">
        <f>SUMIFS('Harvest Detail'!$J$2:$J$1093,'Harvest Detail'!$I$2:$I$1093,$B11,'Harvest Detail'!$A$2:$A$1093,O$4)</f>
        <v>66</v>
      </c>
      <c r="P11" s="20">
        <f>SUMIFS('Harvest Detail'!$J$2:$J$1093,'Harvest Detail'!$I$2:$I$1093,$B11,'Harvest Detail'!$A$2:$A$1093,P$4)</f>
        <v>34</v>
      </c>
      <c r="Q11" s="20">
        <f>SUMIFS('Harvest Detail'!$J$2:$J$1093,'Harvest Detail'!$I$2:$I$1093,$B11,'Harvest Detail'!$A$2:$A$1093,Q$4)</f>
        <v>35</v>
      </c>
      <c r="R11" s="20">
        <f>SUMIFS('Harvest Detail'!$J$2:$J$1093,'Harvest Detail'!$I$2:$I$1093,$B11,'Harvest Detail'!$A$2:$A$1093,R$4)</f>
        <v>33</v>
      </c>
      <c r="S11" s="20">
        <f>SUMIFS('Harvest Detail'!$J$2:$J$1093,'Harvest Detail'!$I$2:$I$1093,$B11,'Harvest Detail'!$A$2:$A$1093,S$4)</f>
        <v>42</v>
      </c>
      <c r="T11" s="20">
        <f>SUMIFS('Harvest Detail'!$J$2:$J$1093,'Harvest Detail'!$I$2:$I$1093,$B11,'Harvest Detail'!$A$2:$A$1093,T$4)</f>
        <v>26</v>
      </c>
      <c r="U11" s="20">
        <f>SUMIFS('Harvest Detail'!$J$2:$J$1093,'Harvest Detail'!$I$2:$I$1093,$B11,'Harvest Detail'!$A$2:$A$1093,U$4)</f>
        <v>50</v>
      </c>
      <c r="V11" s="20">
        <f>SUMIFS('Harvest Detail'!$J$2:$J$1093,'Harvest Detail'!$I$2:$I$1093,$B11,'Harvest Detail'!$A$2:$A$1093,V$4)</f>
        <v>0</v>
      </c>
      <c r="W11" s="20">
        <f>SUMIFS('Harvest Detail'!$J$2:$J$1093,'Harvest Detail'!$I$2:$I$1093,$B11,'Harvest Detail'!$A$2:$A$1093,W$4)</f>
        <v>50</v>
      </c>
      <c r="X11" s="20">
        <f>SUMIFS('Harvest Detail'!$J$2:$J$1093,'Harvest Detail'!$I$2:$I$1093,$B11,'Harvest Detail'!$A$2:$A$1093,X$4)</f>
        <v>0</v>
      </c>
      <c r="Y11" s="20">
        <f>SUMIFS('Harvest Detail'!$J$2:$J$1093,'Harvest Detail'!$I$2:$I$1093,$B11,'Harvest Detail'!$A$2:$A$1093,Y$4)</f>
        <v>35</v>
      </c>
      <c r="Z11" s="20">
        <f>SUMIFS('Harvest Detail'!$J$2:$J$1093,'Harvest Detail'!$I$2:$I$1093,$B11,'Harvest Detail'!$A$2:$A$1093,Z$4)</f>
        <v>15</v>
      </c>
      <c r="AA11" s="20">
        <f>SUMIFS('Harvest Detail'!$J$2:$J$1093,'Harvest Detail'!$I$2:$I$1093,$B11,'Harvest Detail'!$A$2:$A$1093,AA$4)</f>
        <v>20</v>
      </c>
      <c r="AB11" s="22">
        <f t="shared" si="0"/>
        <v>901</v>
      </c>
    </row>
    <row r="12" spans="1:28" ht="15" customHeight="1" x14ac:dyDescent="0.75">
      <c r="A12" s="17">
        <v>666510</v>
      </c>
      <c r="B12" s="29" t="s">
        <v>17</v>
      </c>
      <c r="C12" s="20">
        <f>SUMIFS('Harvest Detail'!$J$2:$J$1093,'Harvest Detail'!$I$2:$I$1093,$B12,'Harvest Detail'!$A$2:$A$1093,C$4)</f>
        <v>0</v>
      </c>
      <c r="D12" s="20">
        <f>SUMIFS('Harvest Detail'!$J$2:$J$1093,'Harvest Detail'!$I$2:$I$1093,$B12,'Harvest Detail'!$A$2:$A$1093,D$4)</f>
        <v>0</v>
      </c>
      <c r="E12" s="20">
        <f>SUMIFS('Harvest Detail'!$J$2:$J$1093,'Harvest Detail'!$I$2:$I$1093,$B12,'Harvest Detail'!$A$2:$A$1093,E$4)</f>
        <v>0</v>
      </c>
      <c r="F12" s="20">
        <f>SUMIFS('Harvest Detail'!$J$2:$J$1093,'Harvest Detail'!$I$2:$I$1093,$B12,'Harvest Detail'!$A$2:$A$1093,F$4)</f>
        <v>0</v>
      </c>
      <c r="G12" s="20">
        <f>SUMIFS('Harvest Detail'!$J$2:$J$1093,'Harvest Detail'!$I$2:$I$1093,$B12,'Harvest Detail'!$A$2:$A$1093,G$4)</f>
        <v>0</v>
      </c>
      <c r="H12" s="20">
        <f>SUMIFS('Harvest Detail'!$J$2:$J$1093,'Harvest Detail'!$I$2:$I$1093,$B12,'Harvest Detail'!$A$2:$A$1093,H$4)</f>
        <v>0</v>
      </c>
      <c r="I12" s="20">
        <f>SUMIFS('Harvest Detail'!$J$2:$J$1093,'Harvest Detail'!$I$2:$I$1093,$B12,'Harvest Detail'!$A$2:$A$1093,I$4)</f>
        <v>0</v>
      </c>
      <c r="J12" s="20">
        <f>SUMIFS('Harvest Detail'!$J$2:$J$1093,'Harvest Detail'!$I$2:$I$1093,$B12,'Harvest Detail'!$A$2:$A$1093,J$4)</f>
        <v>0</v>
      </c>
      <c r="K12" s="20">
        <f>SUMIFS('Harvest Detail'!$J$2:$J$1093,'Harvest Detail'!$I$2:$I$1093,$B12,'Harvest Detail'!$A$2:$A$1093,K$4)</f>
        <v>0</v>
      </c>
      <c r="L12" s="20">
        <f>SUMIFS('Harvest Detail'!$J$2:$J$1093,'Harvest Detail'!$I$2:$I$1093,$B12,'Harvest Detail'!$A$2:$A$1093,L$4)</f>
        <v>0</v>
      </c>
      <c r="M12" s="20">
        <f>SUMIFS('Harvest Detail'!$J$2:$J$1093,'Harvest Detail'!$I$2:$I$1093,$B12,'Harvest Detail'!$A$2:$A$1093,M$4)</f>
        <v>0</v>
      </c>
      <c r="N12" s="20">
        <f>SUMIFS('Harvest Detail'!$J$2:$J$1093,'Harvest Detail'!$I$2:$I$1093,$B12,'Harvest Detail'!$A$2:$A$1093,N$4)</f>
        <v>0</v>
      </c>
      <c r="O12" s="20">
        <f>SUMIFS('Harvest Detail'!$J$2:$J$1093,'Harvest Detail'!$I$2:$I$1093,$B12,'Harvest Detail'!$A$2:$A$1093,O$4)</f>
        <v>0</v>
      </c>
      <c r="P12" s="20">
        <f>SUMIFS('Harvest Detail'!$J$2:$J$1093,'Harvest Detail'!$I$2:$I$1093,$B12,'Harvest Detail'!$A$2:$A$1093,P$4)</f>
        <v>0</v>
      </c>
      <c r="Q12" s="20">
        <f>SUMIFS('Harvest Detail'!$J$2:$J$1093,'Harvest Detail'!$I$2:$I$1093,$B12,'Harvest Detail'!$A$2:$A$1093,Q$4)</f>
        <v>0</v>
      </c>
      <c r="R12" s="20">
        <f>SUMIFS('Harvest Detail'!$J$2:$J$1093,'Harvest Detail'!$I$2:$I$1093,$B12,'Harvest Detail'!$A$2:$A$1093,R$4)</f>
        <v>0</v>
      </c>
      <c r="S12" s="20">
        <f>SUMIFS('Harvest Detail'!$J$2:$J$1093,'Harvest Detail'!$I$2:$I$1093,$B12,'Harvest Detail'!$A$2:$A$1093,S$4)</f>
        <v>0</v>
      </c>
      <c r="T12" s="20">
        <f>SUMIFS('Harvest Detail'!$J$2:$J$1093,'Harvest Detail'!$I$2:$I$1093,$B12,'Harvest Detail'!$A$2:$A$1093,T$4)</f>
        <v>0</v>
      </c>
      <c r="U12" s="20">
        <f>SUMIFS('Harvest Detail'!$J$2:$J$1093,'Harvest Detail'!$I$2:$I$1093,$B12,'Harvest Detail'!$A$2:$A$1093,U$4)</f>
        <v>0</v>
      </c>
      <c r="V12" s="20">
        <f>SUMIFS('Harvest Detail'!$J$2:$J$1093,'Harvest Detail'!$I$2:$I$1093,$B12,'Harvest Detail'!$A$2:$A$1093,V$4)</f>
        <v>0</v>
      </c>
      <c r="W12" s="20">
        <f>SUMIFS('Harvest Detail'!$J$2:$J$1093,'Harvest Detail'!$I$2:$I$1093,$B12,'Harvest Detail'!$A$2:$A$1093,W$4)</f>
        <v>0</v>
      </c>
      <c r="X12" s="20">
        <f>SUMIFS('Harvest Detail'!$J$2:$J$1093,'Harvest Detail'!$I$2:$I$1093,$B12,'Harvest Detail'!$A$2:$A$1093,X$4)</f>
        <v>0</v>
      </c>
      <c r="Y12" s="20">
        <f>SUMIFS('Harvest Detail'!$J$2:$J$1093,'Harvest Detail'!$I$2:$I$1093,$B12,'Harvest Detail'!$A$2:$A$1093,Y$4)</f>
        <v>0</v>
      </c>
      <c r="Z12" s="20">
        <f>SUMIFS('Harvest Detail'!$J$2:$J$1093,'Harvest Detail'!$I$2:$I$1093,$B12,'Harvest Detail'!$A$2:$A$1093,Z$4)</f>
        <v>0</v>
      </c>
      <c r="AA12" s="20">
        <f>SUMIFS('Harvest Detail'!$J$2:$J$1093,'Harvest Detail'!$I$2:$I$1093,$B12,'Harvest Detail'!$A$2:$A$1093,AA$4)</f>
        <v>0</v>
      </c>
      <c r="AB12" s="22">
        <f t="shared" si="0"/>
        <v>0</v>
      </c>
    </row>
    <row r="13" spans="1:28" ht="15" customHeight="1" x14ac:dyDescent="0.75">
      <c r="A13" s="17">
        <v>666511</v>
      </c>
      <c r="B13" s="29" t="s">
        <v>19</v>
      </c>
      <c r="C13" s="20">
        <f>SUMIFS('Harvest Detail'!$J$2:$J$1093,'Harvest Detail'!$I$2:$I$1093,$B13,'Harvest Detail'!$A$2:$A$1093,C$4)</f>
        <v>0</v>
      </c>
      <c r="D13" s="20">
        <f>SUMIFS('Harvest Detail'!$J$2:$J$1093,'Harvest Detail'!$I$2:$I$1093,$B13,'Harvest Detail'!$A$2:$A$1093,D$4)</f>
        <v>6</v>
      </c>
      <c r="E13" s="20">
        <f>SUMIFS('Harvest Detail'!$J$2:$J$1093,'Harvest Detail'!$I$2:$I$1093,$B13,'Harvest Detail'!$A$2:$A$1093,E$4)</f>
        <v>8</v>
      </c>
      <c r="F13" s="20">
        <f>SUMIFS('Harvest Detail'!$J$2:$J$1093,'Harvest Detail'!$I$2:$I$1093,$B13,'Harvest Detail'!$A$2:$A$1093,F$4)</f>
        <v>0</v>
      </c>
      <c r="G13" s="20">
        <f>SUMIFS('Harvest Detail'!$J$2:$J$1093,'Harvest Detail'!$I$2:$I$1093,$B13,'Harvest Detail'!$A$2:$A$1093,G$4)</f>
        <v>0</v>
      </c>
      <c r="H13" s="20">
        <f>SUMIFS('Harvest Detail'!$J$2:$J$1093,'Harvest Detail'!$I$2:$I$1093,$B13,'Harvest Detail'!$A$2:$A$1093,H$4)</f>
        <v>8</v>
      </c>
      <c r="I13" s="20">
        <f>SUMIFS('Harvest Detail'!$J$2:$J$1093,'Harvest Detail'!$I$2:$I$1093,$B13,'Harvest Detail'!$A$2:$A$1093,I$4)</f>
        <v>0</v>
      </c>
      <c r="J13" s="20">
        <f>SUMIFS('Harvest Detail'!$J$2:$J$1093,'Harvest Detail'!$I$2:$I$1093,$B13,'Harvest Detail'!$A$2:$A$1093,J$4)</f>
        <v>8</v>
      </c>
      <c r="K13" s="20">
        <f>SUMIFS('Harvest Detail'!$J$2:$J$1093,'Harvest Detail'!$I$2:$I$1093,$B13,'Harvest Detail'!$A$2:$A$1093,K$4)</f>
        <v>4</v>
      </c>
      <c r="L13" s="20">
        <f>SUMIFS('Harvest Detail'!$J$2:$J$1093,'Harvest Detail'!$I$2:$I$1093,$B13,'Harvest Detail'!$A$2:$A$1093,L$4)</f>
        <v>4</v>
      </c>
      <c r="M13" s="20">
        <f>SUMIFS('Harvest Detail'!$J$2:$J$1093,'Harvest Detail'!$I$2:$I$1093,$B13,'Harvest Detail'!$A$2:$A$1093,M$4)</f>
        <v>0</v>
      </c>
      <c r="N13" s="20">
        <f>SUMIFS('Harvest Detail'!$J$2:$J$1093,'Harvest Detail'!$I$2:$I$1093,$B13,'Harvest Detail'!$A$2:$A$1093,N$4)</f>
        <v>8</v>
      </c>
      <c r="O13" s="20">
        <f>SUMIFS('Harvest Detail'!$J$2:$J$1093,'Harvest Detail'!$I$2:$I$1093,$B13,'Harvest Detail'!$A$2:$A$1093,O$4)</f>
        <v>0</v>
      </c>
      <c r="P13" s="20">
        <f>SUMIFS('Harvest Detail'!$J$2:$J$1093,'Harvest Detail'!$I$2:$I$1093,$B13,'Harvest Detail'!$A$2:$A$1093,P$4)</f>
        <v>8</v>
      </c>
      <c r="Q13" s="20">
        <f>SUMIFS('Harvest Detail'!$J$2:$J$1093,'Harvest Detail'!$I$2:$I$1093,$B13,'Harvest Detail'!$A$2:$A$1093,Q$4)</f>
        <v>0</v>
      </c>
      <c r="R13" s="20">
        <f>SUMIFS('Harvest Detail'!$J$2:$J$1093,'Harvest Detail'!$I$2:$I$1093,$B13,'Harvest Detail'!$A$2:$A$1093,R$4)</f>
        <v>6</v>
      </c>
      <c r="S13" s="20">
        <f>SUMIFS('Harvest Detail'!$J$2:$J$1093,'Harvest Detail'!$I$2:$I$1093,$B13,'Harvest Detail'!$A$2:$A$1093,S$4)</f>
        <v>0</v>
      </c>
      <c r="T13" s="20">
        <f>SUMIFS('Harvest Detail'!$J$2:$J$1093,'Harvest Detail'!$I$2:$I$1093,$B13,'Harvest Detail'!$A$2:$A$1093,T$4)</f>
        <v>6</v>
      </c>
      <c r="U13" s="20">
        <f>SUMIFS('Harvest Detail'!$J$2:$J$1093,'Harvest Detail'!$I$2:$I$1093,$B13,'Harvest Detail'!$A$2:$A$1093,U$4)</f>
        <v>0</v>
      </c>
      <c r="V13" s="20">
        <f>SUMIFS('Harvest Detail'!$J$2:$J$1093,'Harvest Detail'!$I$2:$I$1093,$B13,'Harvest Detail'!$A$2:$A$1093,V$4)</f>
        <v>6</v>
      </c>
      <c r="W13" s="20">
        <f>SUMIFS('Harvest Detail'!$J$2:$J$1093,'Harvest Detail'!$I$2:$I$1093,$B13,'Harvest Detail'!$A$2:$A$1093,W$4)</f>
        <v>0</v>
      </c>
      <c r="X13" s="20">
        <f>SUMIFS('Harvest Detail'!$J$2:$J$1093,'Harvest Detail'!$I$2:$I$1093,$B13,'Harvest Detail'!$A$2:$A$1093,X$4)</f>
        <v>4</v>
      </c>
      <c r="Y13" s="20">
        <f>SUMIFS('Harvest Detail'!$J$2:$J$1093,'Harvest Detail'!$I$2:$I$1093,$B13,'Harvest Detail'!$A$2:$A$1093,Y$4)</f>
        <v>0</v>
      </c>
      <c r="Z13" s="20">
        <f>SUMIFS('Harvest Detail'!$J$2:$J$1093,'Harvest Detail'!$I$2:$I$1093,$B13,'Harvest Detail'!$A$2:$A$1093,Z$4)</f>
        <v>4</v>
      </c>
      <c r="AA13" s="20">
        <f>SUMIFS('Harvest Detail'!$J$2:$J$1093,'Harvest Detail'!$I$2:$I$1093,$B13,'Harvest Detail'!$A$2:$A$1093,AA$4)</f>
        <v>0</v>
      </c>
      <c r="AB13" s="22">
        <f t="shared" si="0"/>
        <v>80</v>
      </c>
    </row>
    <row r="14" spans="1:28" ht="15" customHeight="1" x14ac:dyDescent="0.75">
      <c r="A14" s="17">
        <v>666513</v>
      </c>
      <c r="B14" s="29" t="s">
        <v>21</v>
      </c>
      <c r="C14" s="20">
        <f>SUMIFS('Harvest Detail'!$J$2:$J$1093,'Harvest Detail'!$I$2:$I$1093,$B14,'Harvest Detail'!$A$2:$A$1093,C$4)</f>
        <v>20</v>
      </c>
      <c r="D14" s="20">
        <f>SUMIFS('Harvest Detail'!$J$2:$J$1093,'Harvest Detail'!$I$2:$I$1093,$B14,'Harvest Detail'!$A$2:$A$1093,D$4)</f>
        <v>0</v>
      </c>
      <c r="E14" s="20">
        <f>SUMIFS('Harvest Detail'!$J$2:$J$1093,'Harvest Detail'!$I$2:$I$1093,$B14,'Harvest Detail'!$A$2:$A$1093,E$4)</f>
        <v>0</v>
      </c>
      <c r="F14" s="20">
        <f>SUMIFS('Harvest Detail'!$J$2:$J$1093,'Harvest Detail'!$I$2:$I$1093,$B14,'Harvest Detail'!$A$2:$A$1093,F$4)</f>
        <v>0</v>
      </c>
      <c r="G14" s="20">
        <f>SUMIFS('Harvest Detail'!$J$2:$J$1093,'Harvest Detail'!$I$2:$I$1093,$B14,'Harvest Detail'!$A$2:$A$1093,G$4)</f>
        <v>0</v>
      </c>
      <c r="H14" s="20">
        <f>SUMIFS('Harvest Detail'!$J$2:$J$1093,'Harvest Detail'!$I$2:$I$1093,$B14,'Harvest Detail'!$A$2:$A$1093,H$4)</f>
        <v>0</v>
      </c>
      <c r="I14" s="20">
        <f>SUMIFS('Harvest Detail'!$J$2:$J$1093,'Harvest Detail'!$I$2:$I$1093,$B14,'Harvest Detail'!$A$2:$A$1093,I$4)</f>
        <v>0</v>
      </c>
      <c r="J14" s="20">
        <f>SUMIFS('Harvest Detail'!$J$2:$J$1093,'Harvest Detail'!$I$2:$I$1093,$B14,'Harvest Detail'!$A$2:$A$1093,J$4)</f>
        <v>0</v>
      </c>
      <c r="K14" s="20">
        <f>SUMIFS('Harvest Detail'!$J$2:$J$1093,'Harvest Detail'!$I$2:$I$1093,$B14,'Harvest Detail'!$A$2:$A$1093,K$4)</f>
        <v>0</v>
      </c>
      <c r="L14" s="20">
        <f>SUMIFS('Harvest Detail'!$J$2:$J$1093,'Harvest Detail'!$I$2:$I$1093,$B14,'Harvest Detail'!$A$2:$A$1093,L$4)</f>
        <v>0</v>
      </c>
      <c r="M14" s="20">
        <f>SUMIFS('Harvest Detail'!$J$2:$J$1093,'Harvest Detail'!$I$2:$I$1093,$B14,'Harvest Detail'!$A$2:$A$1093,M$4)</f>
        <v>0</v>
      </c>
      <c r="N14" s="20">
        <f>SUMIFS('Harvest Detail'!$J$2:$J$1093,'Harvest Detail'!$I$2:$I$1093,$B14,'Harvest Detail'!$A$2:$A$1093,N$4)</f>
        <v>0</v>
      </c>
      <c r="O14" s="20">
        <f>SUMIFS('Harvest Detail'!$J$2:$J$1093,'Harvest Detail'!$I$2:$I$1093,$B14,'Harvest Detail'!$A$2:$A$1093,O$4)</f>
        <v>0</v>
      </c>
      <c r="P14" s="20">
        <f>SUMIFS('Harvest Detail'!$J$2:$J$1093,'Harvest Detail'!$I$2:$I$1093,$B14,'Harvest Detail'!$A$2:$A$1093,P$4)</f>
        <v>0</v>
      </c>
      <c r="Q14" s="20">
        <f>SUMIFS('Harvest Detail'!$J$2:$J$1093,'Harvest Detail'!$I$2:$I$1093,$B14,'Harvest Detail'!$A$2:$A$1093,Q$4)</f>
        <v>20</v>
      </c>
      <c r="R14" s="20">
        <f>SUMIFS('Harvest Detail'!$J$2:$J$1093,'Harvest Detail'!$I$2:$I$1093,$B14,'Harvest Detail'!$A$2:$A$1093,R$4)</f>
        <v>0</v>
      </c>
      <c r="S14" s="20">
        <f>SUMIFS('Harvest Detail'!$J$2:$J$1093,'Harvest Detail'!$I$2:$I$1093,$B14,'Harvest Detail'!$A$2:$A$1093,S$4)</f>
        <v>20</v>
      </c>
      <c r="T14" s="20">
        <f>SUMIFS('Harvest Detail'!$J$2:$J$1093,'Harvest Detail'!$I$2:$I$1093,$B14,'Harvest Detail'!$A$2:$A$1093,T$4)</f>
        <v>0</v>
      </c>
      <c r="U14" s="20">
        <f>SUMIFS('Harvest Detail'!$J$2:$J$1093,'Harvest Detail'!$I$2:$I$1093,$B14,'Harvest Detail'!$A$2:$A$1093,U$4)</f>
        <v>28</v>
      </c>
      <c r="V14" s="20">
        <f>SUMIFS('Harvest Detail'!$J$2:$J$1093,'Harvest Detail'!$I$2:$I$1093,$B14,'Harvest Detail'!$A$2:$A$1093,V$4)</f>
        <v>0</v>
      </c>
      <c r="W14" s="20">
        <f>SUMIFS('Harvest Detail'!$J$2:$J$1093,'Harvest Detail'!$I$2:$I$1093,$B14,'Harvest Detail'!$A$2:$A$1093,W$4)</f>
        <v>28</v>
      </c>
      <c r="X14" s="20">
        <f>SUMIFS('Harvest Detail'!$J$2:$J$1093,'Harvest Detail'!$I$2:$I$1093,$B14,'Harvest Detail'!$A$2:$A$1093,X$4)</f>
        <v>0</v>
      </c>
      <c r="Y14" s="20">
        <f>SUMIFS('Harvest Detail'!$J$2:$J$1093,'Harvest Detail'!$I$2:$I$1093,$B14,'Harvest Detail'!$A$2:$A$1093,Y$4)</f>
        <v>48</v>
      </c>
      <c r="Z14" s="20">
        <f>SUMIFS('Harvest Detail'!$J$2:$J$1093,'Harvest Detail'!$I$2:$I$1093,$B14,'Harvest Detail'!$A$2:$A$1093,Z$4)</f>
        <v>0</v>
      </c>
      <c r="AA14" s="20">
        <f>SUMIFS('Harvest Detail'!$J$2:$J$1093,'Harvest Detail'!$I$2:$I$1093,$B14,'Harvest Detail'!$A$2:$A$1093,AA$4)</f>
        <v>48</v>
      </c>
      <c r="AB14" s="22">
        <f t="shared" si="0"/>
        <v>212</v>
      </c>
    </row>
    <row r="15" spans="1:28" ht="15" customHeight="1" x14ac:dyDescent="0.75">
      <c r="A15" s="17">
        <v>666516</v>
      </c>
      <c r="B15" s="29" t="s">
        <v>23</v>
      </c>
      <c r="C15" s="20">
        <f>SUMIFS('Harvest Detail'!$J$2:$J$1093,'Harvest Detail'!$I$2:$I$1093,$B15,'Harvest Detail'!$A$2:$A$1093,C$4)</f>
        <v>26</v>
      </c>
      <c r="D15" s="20">
        <f>SUMIFS('Harvest Detail'!$J$2:$J$1093,'Harvest Detail'!$I$2:$I$1093,$B15,'Harvest Detail'!$A$2:$A$1093,D$4)</f>
        <v>6</v>
      </c>
      <c r="E15" s="20">
        <f>SUMIFS('Harvest Detail'!$J$2:$J$1093,'Harvest Detail'!$I$2:$I$1093,$B15,'Harvest Detail'!$A$2:$A$1093,E$4)</f>
        <v>24</v>
      </c>
      <c r="F15" s="20">
        <f>SUMIFS('Harvest Detail'!$J$2:$J$1093,'Harvest Detail'!$I$2:$I$1093,$B15,'Harvest Detail'!$A$2:$A$1093,F$4)</f>
        <v>0</v>
      </c>
      <c r="G15" s="20">
        <f>SUMIFS('Harvest Detail'!$J$2:$J$1093,'Harvest Detail'!$I$2:$I$1093,$B15,'Harvest Detail'!$A$2:$A$1093,G$4)</f>
        <v>40</v>
      </c>
      <c r="H15" s="20">
        <f>SUMIFS('Harvest Detail'!$J$2:$J$1093,'Harvest Detail'!$I$2:$I$1093,$B15,'Harvest Detail'!$A$2:$A$1093,H$4)</f>
        <v>0</v>
      </c>
      <c r="I15" s="20">
        <f>SUMIFS('Harvest Detail'!$J$2:$J$1093,'Harvest Detail'!$I$2:$I$1093,$B15,'Harvest Detail'!$A$2:$A$1093,I$4)</f>
        <v>14</v>
      </c>
      <c r="J15" s="20">
        <f>SUMIFS('Harvest Detail'!$J$2:$J$1093,'Harvest Detail'!$I$2:$I$1093,$B15,'Harvest Detail'!$A$2:$A$1093,J$4)</f>
        <v>6</v>
      </c>
      <c r="K15" s="20">
        <f>SUMIFS('Harvest Detail'!$J$2:$J$1093,'Harvest Detail'!$I$2:$I$1093,$B15,'Harvest Detail'!$A$2:$A$1093,K$4)</f>
        <v>68</v>
      </c>
      <c r="L15" s="20">
        <f>SUMIFS('Harvest Detail'!$J$2:$J$1093,'Harvest Detail'!$I$2:$I$1093,$B15,'Harvest Detail'!$A$2:$A$1093,L$4)</f>
        <v>0</v>
      </c>
      <c r="M15" s="20">
        <f>SUMIFS('Harvest Detail'!$J$2:$J$1093,'Harvest Detail'!$I$2:$I$1093,$B15,'Harvest Detail'!$A$2:$A$1093,M$4)</f>
        <v>55</v>
      </c>
      <c r="N15" s="20">
        <f>SUMIFS('Harvest Detail'!$J$2:$J$1093,'Harvest Detail'!$I$2:$I$1093,$B15,'Harvest Detail'!$A$2:$A$1093,N$4)</f>
        <v>13</v>
      </c>
      <c r="O15" s="20">
        <f>SUMIFS('Harvest Detail'!$J$2:$J$1093,'Harvest Detail'!$I$2:$I$1093,$B15,'Harvest Detail'!$A$2:$A$1093,O$4)</f>
        <v>68</v>
      </c>
      <c r="P15" s="20">
        <f>SUMIFS('Harvest Detail'!$J$2:$J$1093,'Harvest Detail'!$I$2:$I$1093,$B15,'Harvest Detail'!$A$2:$A$1093,P$4)</f>
        <v>0</v>
      </c>
      <c r="Q15" s="20">
        <f>SUMIFS('Harvest Detail'!$J$2:$J$1093,'Harvest Detail'!$I$2:$I$1093,$B15,'Harvest Detail'!$A$2:$A$1093,Q$4)</f>
        <v>62</v>
      </c>
      <c r="R15" s="20">
        <f>SUMIFS('Harvest Detail'!$J$2:$J$1093,'Harvest Detail'!$I$2:$I$1093,$B15,'Harvest Detail'!$A$2:$A$1093,R$4)</f>
        <v>0</v>
      </c>
      <c r="S15" s="20">
        <f>SUMIFS('Harvest Detail'!$J$2:$J$1093,'Harvest Detail'!$I$2:$I$1093,$B15,'Harvest Detail'!$A$2:$A$1093,S$4)</f>
        <v>62</v>
      </c>
      <c r="T15" s="20">
        <f>SUMIFS('Harvest Detail'!$J$2:$J$1093,'Harvest Detail'!$I$2:$I$1093,$B15,'Harvest Detail'!$A$2:$A$1093,T$4)</f>
        <v>0</v>
      </c>
      <c r="U15" s="20">
        <f>SUMIFS('Harvest Detail'!$J$2:$J$1093,'Harvest Detail'!$I$2:$I$1093,$B15,'Harvest Detail'!$A$2:$A$1093,U$4)</f>
        <v>54</v>
      </c>
      <c r="V15" s="20">
        <f>SUMIFS('Harvest Detail'!$J$2:$J$1093,'Harvest Detail'!$I$2:$I$1093,$B15,'Harvest Detail'!$A$2:$A$1093,V$4)</f>
        <v>0</v>
      </c>
      <c r="W15" s="20">
        <f>SUMIFS('Harvest Detail'!$J$2:$J$1093,'Harvest Detail'!$I$2:$I$1093,$B15,'Harvest Detail'!$A$2:$A$1093,W$4)</f>
        <v>40</v>
      </c>
      <c r="X15" s="20">
        <f>SUMIFS('Harvest Detail'!$J$2:$J$1093,'Harvest Detail'!$I$2:$I$1093,$B15,'Harvest Detail'!$A$2:$A$1093,X$4)</f>
        <v>0</v>
      </c>
      <c r="Y15" s="20">
        <f>SUMIFS('Harvest Detail'!$J$2:$J$1093,'Harvest Detail'!$I$2:$I$1093,$B15,'Harvest Detail'!$A$2:$A$1093,Y$4)</f>
        <v>32</v>
      </c>
      <c r="Z15" s="20">
        <f>SUMIFS('Harvest Detail'!$J$2:$J$1093,'Harvest Detail'!$I$2:$I$1093,$B15,'Harvest Detail'!$A$2:$A$1093,Z$4)</f>
        <v>0</v>
      </c>
      <c r="AA15" s="20">
        <f>SUMIFS('Harvest Detail'!$J$2:$J$1093,'Harvest Detail'!$I$2:$I$1093,$B15,'Harvest Detail'!$A$2:$A$1093,AA$4)</f>
        <v>32</v>
      </c>
      <c r="AB15" s="22">
        <f t="shared" si="0"/>
        <v>602</v>
      </c>
    </row>
    <row r="16" spans="1:28" ht="15" customHeight="1" x14ac:dyDescent="0.75">
      <c r="A16" s="17">
        <v>666517</v>
      </c>
      <c r="B16" s="29" t="s">
        <v>25</v>
      </c>
      <c r="C16" s="20">
        <f>SUMIFS('Harvest Detail'!$J$2:$J$1093,'Harvest Detail'!$I$2:$I$1093,$B16,'Harvest Detail'!$A$2:$A$1093,C$4)</f>
        <v>30</v>
      </c>
      <c r="D16" s="20">
        <f>SUMIFS('Harvest Detail'!$J$2:$J$1093,'Harvest Detail'!$I$2:$I$1093,$B16,'Harvest Detail'!$A$2:$A$1093,D$4)</f>
        <v>11</v>
      </c>
      <c r="E16" s="20">
        <f>SUMIFS('Harvest Detail'!$J$2:$J$1093,'Harvest Detail'!$I$2:$I$1093,$B16,'Harvest Detail'!$A$2:$A$1093,E$4)</f>
        <v>38</v>
      </c>
      <c r="F16" s="20">
        <f>SUMIFS('Harvest Detail'!$J$2:$J$1093,'Harvest Detail'!$I$2:$I$1093,$B16,'Harvest Detail'!$A$2:$A$1093,F$4)</f>
        <v>0</v>
      </c>
      <c r="G16" s="20">
        <f>SUMIFS('Harvest Detail'!$J$2:$J$1093,'Harvest Detail'!$I$2:$I$1093,$B16,'Harvest Detail'!$A$2:$A$1093,G$4)</f>
        <v>48</v>
      </c>
      <c r="H16" s="20">
        <f>SUMIFS('Harvest Detail'!$J$2:$J$1093,'Harvest Detail'!$I$2:$I$1093,$B16,'Harvest Detail'!$A$2:$A$1093,H$4)</f>
        <v>0</v>
      </c>
      <c r="I16" s="20">
        <f>SUMIFS('Harvest Detail'!$J$2:$J$1093,'Harvest Detail'!$I$2:$I$1093,$B16,'Harvest Detail'!$A$2:$A$1093,I$4)</f>
        <v>42</v>
      </c>
      <c r="J16" s="20">
        <f>SUMIFS('Harvest Detail'!$J$2:$J$1093,'Harvest Detail'!$I$2:$I$1093,$B16,'Harvest Detail'!$A$2:$A$1093,J$4)</f>
        <v>0</v>
      </c>
      <c r="K16" s="20">
        <f>SUMIFS('Harvest Detail'!$J$2:$J$1093,'Harvest Detail'!$I$2:$I$1093,$B16,'Harvest Detail'!$A$2:$A$1093,K$4)</f>
        <v>66</v>
      </c>
      <c r="L16" s="20">
        <f>SUMIFS('Harvest Detail'!$J$2:$J$1093,'Harvest Detail'!$I$2:$I$1093,$B16,'Harvest Detail'!$A$2:$A$1093,L$4)</f>
        <v>0</v>
      </c>
      <c r="M16" s="20">
        <f>SUMIFS('Harvest Detail'!$J$2:$J$1093,'Harvest Detail'!$I$2:$I$1093,$B16,'Harvest Detail'!$A$2:$A$1093,M$4)</f>
        <v>66</v>
      </c>
      <c r="N16" s="20">
        <f>SUMIFS('Harvest Detail'!$J$2:$J$1093,'Harvest Detail'!$I$2:$I$1093,$B16,'Harvest Detail'!$A$2:$A$1093,N$4)</f>
        <v>0</v>
      </c>
      <c r="O16" s="20">
        <f>SUMIFS('Harvest Detail'!$J$2:$J$1093,'Harvest Detail'!$I$2:$I$1093,$B16,'Harvest Detail'!$A$2:$A$1093,O$4)</f>
        <v>57</v>
      </c>
      <c r="P16" s="20">
        <f>SUMIFS('Harvest Detail'!$J$2:$J$1093,'Harvest Detail'!$I$2:$I$1093,$B16,'Harvest Detail'!$A$2:$A$1093,P$4)</f>
        <v>9</v>
      </c>
      <c r="Q16" s="20">
        <f>SUMIFS('Harvest Detail'!$J$2:$J$1093,'Harvest Detail'!$I$2:$I$1093,$B16,'Harvest Detail'!$A$2:$A$1093,Q$4)</f>
        <v>56</v>
      </c>
      <c r="R16" s="20">
        <f>SUMIFS('Harvest Detail'!$J$2:$J$1093,'Harvest Detail'!$I$2:$I$1093,$B16,'Harvest Detail'!$A$2:$A$1093,R$4)</f>
        <v>0</v>
      </c>
      <c r="S16" s="20">
        <f>SUMIFS('Harvest Detail'!$J$2:$J$1093,'Harvest Detail'!$I$2:$I$1093,$B16,'Harvest Detail'!$A$2:$A$1093,S$4)</f>
        <v>55</v>
      </c>
      <c r="T16" s="20">
        <f>SUMIFS('Harvest Detail'!$J$2:$J$1093,'Harvest Detail'!$I$2:$I$1093,$B16,'Harvest Detail'!$A$2:$A$1093,T$4)</f>
        <v>0</v>
      </c>
      <c r="U16" s="20">
        <f>SUMIFS('Harvest Detail'!$J$2:$J$1093,'Harvest Detail'!$I$2:$I$1093,$B16,'Harvest Detail'!$A$2:$A$1093,U$4)</f>
        <v>48</v>
      </c>
      <c r="V16" s="20">
        <f>SUMIFS('Harvest Detail'!$J$2:$J$1093,'Harvest Detail'!$I$2:$I$1093,$B16,'Harvest Detail'!$A$2:$A$1093,V$4)</f>
        <v>0</v>
      </c>
      <c r="W16" s="20">
        <f>SUMIFS('Harvest Detail'!$J$2:$J$1093,'Harvest Detail'!$I$2:$I$1093,$B16,'Harvest Detail'!$A$2:$A$1093,W$4)</f>
        <v>44</v>
      </c>
      <c r="X16" s="20">
        <f>SUMIFS('Harvest Detail'!$J$2:$J$1093,'Harvest Detail'!$I$2:$I$1093,$B16,'Harvest Detail'!$A$2:$A$1093,X$4)</f>
        <v>0</v>
      </c>
      <c r="Y16" s="20">
        <f>SUMIFS('Harvest Detail'!$J$2:$J$1093,'Harvest Detail'!$I$2:$I$1093,$B16,'Harvest Detail'!$A$2:$A$1093,Y$4)</f>
        <v>32</v>
      </c>
      <c r="Z16" s="20">
        <f>SUMIFS('Harvest Detail'!$J$2:$J$1093,'Harvest Detail'!$I$2:$I$1093,$B16,'Harvest Detail'!$A$2:$A$1093,Z$4)</f>
        <v>0</v>
      </c>
      <c r="AA16" s="20">
        <f>SUMIFS('Harvest Detail'!$J$2:$J$1093,'Harvest Detail'!$I$2:$I$1093,$B16,'Harvest Detail'!$A$2:$A$1093,AA$4)</f>
        <v>32</v>
      </c>
      <c r="AB16" s="22">
        <f t="shared" si="0"/>
        <v>634</v>
      </c>
    </row>
    <row r="17" spans="1:28" ht="15" customHeight="1" x14ac:dyDescent="0.75">
      <c r="A17" s="17">
        <v>666518</v>
      </c>
      <c r="B17" s="29" t="s">
        <v>27</v>
      </c>
      <c r="C17" s="20">
        <f>SUMIFS('Harvest Detail'!$J$2:$J$1093,'Harvest Detail'!$I$2:$I$1093,$B17,'Harvest Detail'!$A$2:$A$1093,C$4)</f>
        <v>0</v>
      </c>
      <c r="D17" s="20">
        <f>SUMIFS('Harvest Detail'!$J$2:$J$1093,'Harvest Detail'!$I$2:$I$1093,$B17,'Harvest Detail'!$A$2:$A$1093,D$4)</f>
        <v>0</v>
      </c>
      <c r="E17" s="20">
        <f>SUMIFS('Harvest Detail'!$J$2:$J$1093,'Harvest Detail'!$I$2:$I$1093,$B17,'Harvest Detail'!$A$2:$A$1093,E$4)</f>
        <v>0</v>
      </c>
      <c r="F17" s="20">
        <f>SUMIFS('Harvest Detail'!$J$2:$J$1093,'Harvest Detail'!$I$2:$I$1093,$B17,'Harvest Detail'!$A$2:$A$1093,F$4)</f>
        <v>0</v>
      </c>
      <c r="G17" s="20">
        <f>SUMIFS('Harvest Detail'!$J$2:$J$1093,'Harvest Detail'!$I$2:$I$1093,$B17,'Harvest Detail'!$A$2:$A$1093,G$4)</f>
        <v>0</v>
      </c>
      <c r="H17" s="20">
        <f>SUMIFS('Harvest Detail'!$J$2:$J$1093,'Harvest Detail'!$I$2:$I$1093,$B17,'Harvest Detail'!$A$2:$A$1093,H$4)</f>
        <v>0</v>
      </c>
      <c r="I17" s="20">
        <f>SUMIFS('Harvest Detail'!$J$2:$J$1093,'Harvest Detail'!$I$2:$I$1093,$B17,'Harvest Detail'!$A$2:$A$1093,I$4)</f>
        <v>0</v>
      </c>
      <c r="J17" s="20">
        <f>SUMIFS('Harvest Detail'!$J$2:$J$1093,'Harvest Detail'!$I$2:$I$1093,$B17,'Harvest Detail'!$A$2:$A$1093,J$4)</f>
        <v>0</v>
      </c>
      <c r="K17" s="20">
        <f>SUMIFS('Harvest Detail'!$J$2:$J$1093,'Harvest Detail'!$I$2:$I$1093,$B17,'Harvest Detail'!$A$2:$A$1093,K$4)</f>
        <v>0</v>
      </c>
      <c r="L17" s="20">
        <f>SUMIFS('Harvest Detail'!$J$2:$J$1093,'Harvest Detail'!$I$2:$I$1093,$B17,'Harvest Detail'!$A$2:$A$1093,L$4)</f>
        <v>0</v>
      </c>
      <c r="M17" s="20">
        <f>SUMIFS('Harvest Detail'!$J$2:$J$1093,'Harvest Detail'!$I$2:$I$1093,$B17,'Harvest Detail'!$A$2:$A$1093,M$4)</f>
        <v>0</v>
      </c>
      <c r="N17" s="20">
        <f>SUMIFS('Harvest Detail'!$J$2:$J$1093,'Harvest Detail'!$I$2:$I$1093,$B17,'Harvest Detail'!$A$2:$A$1093,N$4)</f>
        <v>0</v>
      </c>
      <c r="O17" s="20">
        <f>SUMIFS('Harvest Detail'!$J$2:$J$1093,'Harvest Detail'!$I$2:$I$1093,$B17,'Harvest Detail'!$A$2:$A$1093,O$4)</f>
        <v>0</v>
      </c>
      <c r="P17" s="20">
        <f>SUMIFS('Harvest Detail'!$J$2:$J$1093,'Harvest Detail'!$I$2:$I$1093,$B17,'Harvest Detail'!$A$2:$A$1093,P$4)</f>
        <v>0</v>
      </c>
      <c r="Q17" s="20">
        <f>SUMIFS('Harvest Detail'!$J$2:$J$1093,'Harvest Detail'!$I$2:$I$1093,$B17,'Harvest Detail'!$A$2:$A$1093,Q$4)</f>
        <v>0</v>
      </c>
      <c r="R17" s="20">
        <f>SUMIFS('Harvest Detail'!$J$2:$J$1093,'Harvest Detail'!$I$2:$I$1093,$B17,'Harvest Detail'!$A$2:$A$1093,R$4)</f>
        <v>0</v>
      </c>
      <c r="S17" s="20">
        <f>SUMIFS('Harvest Detail'!$J$2:$J$1093,'Harvest Detail'!$I$2:$I$1093,$B17,'Harvest Detail'!$A$2:$A$1093,S$4)</f>
        <v>0</v>
      </c>
      <c r="T17" s="20">
        <f>SUMIFS('Harvest Detail'!$J$2:$J$1093,'Harvest Detail'!$I$2:$I$1093,$B17,'Harvest Detail'!$A$2:$A$1093,T$4)</f>
        <v>0</v>
      </c>
      <c r="U17" s="20">
        <f>SUMIFS('Harvest Detail'!$J$2:$J$1093,'Harvest Detail'!$I$2:$I$1093,$B17,'Harvest Detail'!$A$2:$A$1093,U$4)</f>
        <v>0</v>
      </c>
      <c r="V17" s="20">
        <f>SUMIFS('Harvest Detail'!$J$2:$J$1093,'Harvest Detail'!$I$2:$I$1093,$B17,'Harvest Detail'!$A$2:$A$1093,V$4)</f>
        <v>0</v>
      </c>
      <c r="W17" s="20">
        <f>SUMIFS('Harvest Detail'!$J$2:$J$1093,'Harvest Detail'!$I$2:$I$1093,$B17,'Harvest Detail'!$A$2:$A$1093,W$4)</f>
        <v>0</v>
      </c>
      <c r="X17" s="20">
        <f>SUMIFS('Harvest Detail'!$J$2:$J$1093,'Harvest Detail'!$I$2:$I$1093,$B17,'Harvest Detail'!$A$2:$A$1093,X$4)</f>
        <v>0</v>
      </c>
      <c r="Y17" s="20">
        <f>SUMIFS('Harvest Detail'!$J$2:$J$1093,'Harvest Detail'!$I$2:$I$1093,$B17,'Harvest Detail'!$A$2:$A$1093,Y$4)</f>
        <v>0</v>
      </c>
      <c r="Z17" s="20">
        <f>SUMIFS('Harvest Detail'!$J$2:$J$1093,'Harvest Detail'!$I$2:$I$1093,$B17,'Harvest Detail'!$A$2:$A$1093,Z$4)</f>
        <v>0</v>
      </c>
      <c r="AA17" s="20">
        <f>SUMIFS('Harvest Detail'!$J$2:$J$1093,'Harvest Detail'!$I$2:$I$1093,$B17,'Harvest Detail'!$A$2:$A$1093,AA$4)</f>
        <v>0</v>
      </c>
      <c r="AB17" s="22">
        <f t="shared" si="0"/>
        <v>0</v>
      </c>
    </row>
    <row r="18" spans="1:28" ht="15" customHeight="1" x14ac:dyDescent="0.75">
      <c r="A18" s="17">
        <v>666519</v>
      </c>
      <c r="B18" s="29" t="s">
        <v>29</v>
      </c>
      <c r="C18" s="20">
        <f>SUMIFS('Harvest Detail'!$J$2:$J$1093,'Harvest Detail'!$I$2:$I$1093,$B18,'Harvest Detail'!$A$2:$A$1093,C$4)</f>
        <v>27</v>
      </c>
      <c r="D18" s="20">
        <f>SUMIFS('Harvest Detail'!$J$2:$J$1093,'Harvest Detail'!$I$2:$I$1093,$B18,'Harvest Detail'!$A$2:$A$1093,D$4)</f>
        <v>5</v>
      </c>
      <c r="E18" s="20">
        <f>SUMIFS('Harvest Detail'!$J$2:$J$1093,'Harvest Detail'!$I$2:$I$1093,$B18,'Harvest Detail'!$A$2:$A$1093,E$4)</f>
        <v>34</v>
      </c>
      <c r="F18" s="20">
        <f>SUMIFS('Harvest Detail'!$J$2:$J$1093,'Harvest Detail'!$I$2:$I$1093,$B18,'Harvest Detail'!$A$2:$A$1093,F$4)</f>
        <v>0</v>
      </c>
      <c r="G18" s="20">
        <f>SUMIFS('Harvest Detail'!$J$2:$J$1093,'Harvest Detail'!$I$2:$I$1093,$B18,'Harvest Detail'!$A$2:$A$1093,G$4)</f>
        <v>60</v>
      </c>
      <c r="H18" s="20">
        <f>SUMIFS('Harvest Detail'!$J$2:$J$1093,'Harvest Detail'!$I$2:$I$1093,$B18,'Harvest Detail'!$A$2:$A$1093,H$4)</f>
        <v>0</v>
      </c>
      <c r="I18" s="20">
        <f>SUMIFS('Harvest Detail'!$J$2:$J$1093,'Harvest Detail'!$I$2:$I$1093,$B18,'Harvest Detail'!$A$2:$A$1093,I$4)</f>
        <v>62</v>
      </c>
      <c r="J18" s="20">
        <f>SUMIFS('Harvest Detail'!$J$2:$J$1093,'Harvest Detail'!$I$2:$I$1093,$B18,'Harvest Detail'!$A$2:$A$1093,J$4)</f>
        <v>0</v>
      </c>
      <c r="K18" s="20">
        <f>SUMIFS('Harvest Detail'!$J$2:$J$1093,'Harvest Detail'!$I$2:$I$1093,$B18,'Harvest Detail'!$A$2:$A$1093,K$4)</f>
        <v>66</v>
      </c>
      <c r="L18" s="20">
        <f>SUMIFS('Harvest Detail'!$J$2:$J$1093,'Harvest Detail'!$I$2:$I$1093,$B18,'Harvest Detail'!$A$2:$A$1093,L$4)</f>
        <v>0</v>
      </c>
      <c r="M18" s="20">
        <f>SUMIFS('Harvest Detail'!$J$2:$J$1093,'Harvest Detail'!$I$2:$I$1093,$B18,'Harvest Detail'!$A$2:$A$1093,M$4)</f>
        <v>60</v>
      </c>
      <c r="N18" s="20">
        <f>SUMIFS('Harvest Detail'!$J$2:$J$1093,'Harvest Detail'!$I$2:$I$1093,$B18,'Harvest Detail'!$A$2:$A$1093,N$4)</f>
        <v>6</v>
      </c>
      <c r="O18" s="20">
        <f>SUMIFS('Harvest Detail'!$J$2:$J$1093,'Harvest Detail'!$I$2:$I$1093,$B18,'Harvest Detail'!$A$2:$A$1093,O$4)</f>
        <v>66</v>
      </c>
      <c r="P18" s="20">
        <f>SUMIFS('Harvest Detail'!$J$2:$J$1093,'Harvest Detail'!$I$2:$I$1093,$B18,'Harvest Detail'!$A$2:$A$1093,P$4)</f>
        <v>0</v>
      </c>
      <c r="Q18" s="20">
        <f>SUMIFS('Harvest Detail'!$J$2:$J$1093,'Harvest Detail'!$I$2:$I$1093,$B18,'Harvest Detail'!$A$2:$A$1093,Q$4)</f>
        <v>52</v>
      </c>
      <c r="R18" s="20">
        <f>SUMIFS('Harvest Detail'!$J$2:$J$1093,'Harvest Detail'!$I$2:$I$1093,$B18,'Harvest Detail'!$A$2:$A$1093,R$4)</f>
        <v>0</v>
      </c>
      <c r="S18" s="20">
        <f>SUMIFS('Harvest Detail'!$J$2:$J$1093,'Harvest Detail'!$I$2:$I$1093,$B18,'Harvest Detail'!$A$2:$A$1093,S$4)</f>
        <v>52</v>
      </c>
      <c r="T18" s="20">
        <f>SUMIFS('Harvest Detail'!$J$2:$J$1093,'Harvest Detail'!$I$2:$I$1093,$B18,'Harvest Detail'!$A$2:$A$1093,T$4)</f>
        <v>0</v>
      </c>
      <c r="U18" s="20">
        <f>SUMIFS('Harvest Detail'!$J$2:$J$1093,'Harvest Detail'!$I$2:$I$1093,$B18,'Harvest Detail'!$A$2:$A$1093,U$4)</f>
        <v>52</v>
      </c>
      <c r="V18" s="20">
        <f>SUMIFS('Harvest Detail'!$J$2:$J$1093,'Harvest Detail'!$I$2:$I$1093,$B18,'Harvest Detail'!$A$2:$A$1093,V$4)</f>
        <v>0</v>
      </c>
      <c r="W18" s="20">
        <f>SUMIFS('Harvest Detail'!$J$2:$J$1093,'Harvest Detail'!$I$2:$I$1093,$B18,'Harvest Detail'!$A$2:$A$1093,W$4)</f>
        <v>52</v>
      </c>
      <c r="X18" s="20">
        <f>SUMIFS('Harvest Detail'!$J$2:$J$1093,'Harvest Detail'!$I$2:$I$1093,$B18,'Harvest Detail'!$A$2:$A$1093,X$4)</f>
        <v>0</v>
      </c>
      <c r="Y18" s="20">
        <f>SUMIFS('Harvest Detail'!$J$2:$J$1093,'Harvest Detail'!$I$2:$I$1093,$B18,'Harvest Detail'!$A$2:$A$1093,Y$4)</f>
        <v>44</v>
      </c>
      <c r="Z18" s="20">
        <f>SUMIFS('Harvest Detail'!$J$2:$J$1093,'Harvest Detail'!$I$2:$I$1093,$B18,'Harvest Detail'!$A$2:$A$1093,Z$4)</f>
        <v>0</v>
      </c>
      <c r="AA18" s="20">
        <f>SUMIFS('Harvest Detail'!$J$2:$J$1093,'Harvest Detail'!$I$2:$I$1093,$B18,'Harvest Detail'!$A$2:$A$1093,AA$4)</f>
        <v>44</v>
      </c>
      <c r="AB18" s="22">
        <f t="shared" si="0"/>
        <v>682</v>
      </c>
    </row>
    <row r="19" spans="1:28" ht="15" customHeight="1" x14ac:dyDescent="0.75">
      <c r="A19" s="17">
        <v>666521</v>
      </c>
      <c r="B19" s="29" t="s">
        <v>31</v>
      </c>
      <c r="C19" s="20">
        <f>SUMIFS('Harvest Detail'!$J$2:$J$1093,'Harvest Detail'!$I$2:$I$1093,$B19,'Harvest Detail'!$A$2:$A$1093,C$4)</f>
        <v>0</v>
      </c>
      <c r="D19" s="20">
        <f>SUMIFS('Harvest Detail'!$J$2:$J$1093,'Harvest Detail'!$I$2:$I$1093,$B19,'Harvest Detail'!$A$2:$A$1093,D$4)</f>
        <v>0</v>
      </c>
      <c r="E19" s="20">
        <f>SUMIFS('Harvest Detail'!$J$2:$J$1093,'Harvest Detail'!$I$2:$I$1093,$B19,'Harvest Detail'!$A$2:$A$1093,E$4)</f>
        <v>0</v>
      </c>
      <c r="F19" s="20">
        <f>SUMIFS('Harvest Detail'!$J$2:$J$1093,'Harvest Detail'!$I$2:$I$1093,$B19,'Harvest Detail'!$A$2:$A$1093,F$4)</f>
        <v>0</v>
      </c>
      <c r="G19" s="20">
        <f>SUMIFS('Harvest Detail'!$J$2:$J$1093,'Harvest Detail'!$I$2:$I$1093,$B19,'Harvest Detail'!$A$2:$A$1093,G$4)</f>
        <v>0</v>
      </c>
      <c r="H19" s="20">
        <f>SUMIFS('Harvest Detail'!$J$2:$J$1093,'Harvest Detail'!$I$2:$I$1093,$B19,'Harvest Detail'!$A$2:$A$1093,H$4)</f>
        <v>0</v>
      </c>
      <c r="I19" s="20">
        <f>SUMIFS('Harvest Detail'!$J$2:$J$1093,'Harvest Detail'!$I$2:$I$1093,$B19,'Harvest Detail'!$A$2:$A$1093,I$4)</f>
        <v>0</v>
      </c>
      <c r="J19" s="20">
        <f>SUMIFS('Harvest Detail'!$J$2:$J$1093,'Harvest Detail'!$I$2:$I$1093,$B19,'Harvest Detail'!$A$2:$A$1093,J$4)</f>
        <v>0</v>
      </c>
      <c r="K19" s="20">
        <f>SUMIFS('Harvest Detail'!$J$2:$J$1093,'Harvest Detail'!$I$2:$I$1093,$B19,'Harvest Detail'!$A$2:$A$1093,K$4)</f>
        <v>9</v>
      </c>
      <c r="L19" s="20">
        <f>SUMIFS('Harvest Detail'!$J$2:$J$1093,'Harvest Detail'!$I$2:$I$1093,$B19,'Harvest Detail'!$A$2:$A$1093,L$4)</f>
        <v>45</v>
      </c>
      <c r="M19" s="20">
        <f>SUMIFS('Harvest Detail'!$J$2:$J$1093,'Harvest Detail'!$I$2:$I$1093,$B19,'Harvest Detail'!$A$2:$A$1093,M$4)</f>
        <v>17</v>
      </c>
      <c r="N19" s="20">
        <f>SUMIFS('Harvest Detail'!$J$2:$J$1093,'Harvest Detail'!$I$2:$I$1093,$B19,'Harvest Detail'!$A$2:$A$1093,N$4)</f>
        <v>16</v>
      </c>
      <c r="O19" s="20">
        <f>SUMIFS('Harvest Detail'!$J$2:$J$1093,'Harvest Detail'!$I$2:$I$1093,$B19,'Harvest Detail'!$A$2:$A$1093,O$4)</f>
        <v>24</v>
      </c>
      <c r="P19" s="20">
        <f>SUMIFS('Harvest Detail'!$J$2:$J$1093,'Harvest Detail'!$I$2:$I$1093,$B19,'Harvest Detail'!$A$2:$A$1093,P$4)</f>
        <v>28</v>
      </c>
      <c r="Q19" s="20">
        <f>SUMIFS('Harvest Detail'!$J$2:$J$1093,'Harvest Detail'!$I$2:$I$1093,$B19,'Harvest Detail'!$A$2:$A$1093,Q$4)</f>
        <v>53</v>
      </c>
      <c r="R19" s="20">
        <f>SUMIFS('Harvest Detail'!$J$2:$J$1093,'Harvest Detail'!$I$2:$I$1093,$B19,'Harvest Detail'!$A$2:$A$1093,R$4)</f>
        <v>21</v>
      </c>
      <c r="S19" s="20">
        <f>SUMIFS('Harvest Detail'!$J$2:$J$1093,'Harvest Detail'!$I$2:$I$1093,$B19,'Harvest Detail'!$A$2:$A$1093,S$4)</f>
        <v>74</v>
      </c>
      <c r="T19" s="20">
        <f>SUMIFS('Harvest Detail'!$J$2:$J$1093,'Harvest Detail'!$I$2:$I$1093,$B19,'Harvest Detail'!$A$2:$A$1093,T$4)</f>
        <v>46</v>
      </c>
      <c r="U19" s="20">
        <f>SUMIFS('Harvest Detail'!$J$2:$J$1093,'Harvest Detail'!$I$2:$I$1093,$B19,'Harvest Detail'!$A$2:$A$1093,U$4)</f>
        <v>41</v>
      </c>
      <c r="V19" s="20">
        <f>SUMIFS('Harvest Detail'!$J$2:$J$1093,'Harvest Detail'!$I$2:$I$1093,$B19,'Harvest Detail'!$A$2:$A$1093,V$4)</f>
        <v>39</v>
      </c>
      <c r="W19" s="20">
        <f>SUMIFS('Harvest Detail'!$J$2:$J$1093,'Harvest Detail'!$I$2:$I$1093,$B19,'Harvest Detail'!$A$2:$A$1093,W$4)</f>
        <v>49</v>
      </c>
      <c r="X19" s="20">
        <f>SUMIFS('Harvest Detail'!$J$2:$J$1093,'Harvest Detail'!$I$2:$I$1093,$B19,'Harvest Detail'!$A$2:$A$1093,X$4)</f>
        <v>15</v>
      </c>
      <c r="Y19" s="20">
        <f>SUMIFS('Harvest Detail'!$J$2:$J$1093,'Harvest Detail'!$I$2:$I$1093,$B19,'Harvest Detail'!$A$2:$A$1093,Y$4)</f>
        <v>48</v>
      </c>
      <c r="Z19" s="20">
        <f>SUMIFS('Harvest Detail'!$J$2:$J$1093,'Harvest Detail'!$I$2:$I$1093,$B19,'Harvest Detail'!$A$2:$A$1093,Z$4)</f>
        <v>0</v>
      </c>
      <c r="AA19" s="20">
        <f>SUMIFS('Harvest Detail'!$J$2:$J$1093,'Harvest Detail'!$I$2:$I$1093,$B19,'Harvest Detail'!$A$2:$A$1093,AA$4)</f>
        <v>24</v>
      </c>
      <c r="AB19" s="22">
        <f t="shared" si="0"/>
        <v>549</v>
      </c>
    </row>
    <row r="20" spans="1:28" ht="15" customHeight="1" x14ac:dyDescent="0.75">
      <c r="A20" s="17">
        <v>666522</v>
      </c>
      <c r="B20" s="29" t="s">
        <v>33</v>
      </c>
      <c r="C20" s="20">
        <f>SUMIFS('Harvest Detail'!$J$2:$J$1093,'Harvest Detail'!$I$2:$I$1093,$B20,'Harvest Detail'!$A$2:$A$1093,C$4)</f>
        <v>275</v>
      </c>
      <c r="D20" s="20">
        <f>SUMIFS('Harvest Detail'!$J$2:$J$1093,'Harvest Detail'!$I$2:$I$1093,$B20,'Harvest Detail'!$A$2:$A$1093,D$4)</f>
        <v>45</v>
      </c>
      <c r="E20" s="20">
        <f>SUMIFS('Harvest Detail'!$J$2:$J$1093,'Harvest Detail'!$I$2:$I$1093,$B20,'Harvest Detail'!$A$2:$A$1093,E$4)</f>
        <v>405</v>
      </c>
      <c r="F20" s="20">
        <f>SUMIFS('Harvest Detail'!$J$2:$J$1093,'Harvest Detail'!$I$2:$I$1093,$B20,'Harvest Detail'!$A$2:$A$1093,F$4)</f>
        <v>35</v>
      </c>
      <c r="G20" s="20">
        <f>SUMIFS('Harvest Detail'!$J$2:$J$1093,'Harvest Detail'!$I$2:$I$1093,$B20,'Harvest Detail'!$A$2:$A$1093,G$4)</f>
        <v>365</v>
      </c>
      <c r="H20" s="20">
        <f>SUMIFS('Harvest Detail'!$J$2:$J$1093,'Harvest Detail'!$I$2:$I$1093,$B20,'Harvest Detail'!$A$2:$A$1093,H$4)</f>
        <v>25</v>
      </c>
      <c r="I20" s="20">
        <f>SUMIFS('Harvest Detail'!$J$2:$J$1093,'Harvest Detail'!$I$2:$I$1093,$B20,'Harvest Detail'!$A$2:$A$1093,I$4)</f>
        <v>335</v>
      </c>
      <c r="J20" s="20">
        <f>SUMIFS('Harvest Detail'!$J$2:$J$1093,'Harvest Detail'!$I$2:$I$1093,$B20,'Harvest Detail'!$A$2:$A$1093,J$4)</f>
        <v>25</v>
      </c>
      <c r="K20" s="20">
        <f>SUMIFS('Harvest Detail'!$J$2:$J$1093,'Harvest Detail'!$I$2:$I$1093,$B20,'Harvest Detail'!$A$2:$A$1093,K$4)</f>
        <v>200</v>
      </c>
      <c r="L20" s="20">
        <f>SUMIFS('Harvest Detail'!$J$2:$J$1093,'Harvest Detail'!$I$2:$I$1093,$B20,'Harvest Detail'!$A$2:$A$1093,L$4)</f>
        <v>0</v>
      </c>
      <c r="M20" s="20">
        <f>SUMIFS('Harvest Detail'!$J$2:$J$1093,'Harvest Detail'!$I$2:$I$1093,$B20,'Harvest Detail'!$A$2:$A$1093,M$4)</f>
        <v>260</v>
      </c>
      <c r="N20" s="20">
        <f>SUMIFS('Harvest Detail'!$J$2:$J$1093,'Harvest Detail'!$I$2:$I$1093,$B20,'Harvest Detail'!$A$2:$A$1093,N$4)</f>
        <v>145</v>
      </c>
      <c r="O20" s="20">
        <f>SUMIFS('Harvest Detail'!$J$2:$J$1093,'Harvest Detail'!$I$2:$I$1093,$B20,'Harvest Detail'!$A$2:$A$1093,O$4)</f>
        <v>350</v>
      </c>
      <c r="P20" s="20">
        <f>SUMIFS('Harvest Detail'!$J$2:$J$1093,'Harvest Detail'!$I$2:$I$1093,$B20,'Harvest Detail'!$A$2:$A$1093,P$4)</f>
        <v>50</v>
      </c>
      <c r="Q20" s="20">
        <f>SUMIFS('Harvest Detail'!$J$2:$J$1093,'Harvest Detail'!$I$2:$I$1093,$B20,'Harvest Detail'!$A$2:$A$1093,Q$4)</f>
        <v>390</v>
      </c>
      <c r="R20" s="20">
        <f>SUMIFS('Harvest Detail'!$J$2:$J$1093,'Harvest Detail'!$I$2:$I$1093,$B20,'Harvest Detail'!$A$2:$A$1093,R$4)</f>
        <v>70</v>
      </c>
      <c r="S20" s="20">
        <f>SUMIFS('Harvest Detail'!$J$2:$J$1093,'Harvest Detail'!$I$2:$I$1093,$B20,'Harvest Detail'!$A$2:$A$1093,S$4)</f>
        <v>385</v>
      </c>
      <c r="T20" s="20">
        <f>SUMIFS('Harvest Detail'!$J$2:$J$1093,'Harvest Detail'!$I$2:$I$1093,$B20,'Harvest Detail'!$A$2:$A$1093,T$4)</f>
        <v>35</v>
      </c>
      <c r="U20" s="20">
        <f>SUMIFS('Harvest Detail'!$J$2:$J$1093,'Harvest Detail'!$I$2:$I$1093,$B20,'Harvest Detail'!$A$2:$A$1093,U$4)</f>
        <v>355</v>
      </c>
      <c r="V20" s="20">
        <f>SUMIFS('Harvest Detail'!$J$2:$J$1093,'Harvest Detail'!$I$2:$I$1093,$B20,'Harvest Detail'!$A$2:$A$1093,V$4)</f>
        <v>0</v>
      </c>
      <c r="W20" s="20">
        <f>SUMIFS('Harvest Detail'!$J$2:$J$1093,'Harvest Detail'!$I$2:$I$1093,$B20,'Harvest Detail'!$A$2:$A$1093,W$4)</f>
        <v>260</v>
      </c>
      <c r="X20" s="20">
        <f>SUMIFS('Harvest Detail'!$J$2:$J$1093,'Harvest Detail'!$I$2:$I$1093,$B20,'Harvest Detail'!$A$2:$A$1093,X$4)</f>
        <v>145</v>
      </c>
      <c r="Y20" s="20">
        <f>SUMIFS('Harvest Detail'!$J$2:$J$1093,'Harvest Detail'!$I$2:$I$1093,$B20,'Harvest Detail'!$A$2:$A$1093,Y$4)</f>
        <v>235</v>
      </c>
      <c r="Z20" s="20">
        <f>SUMIFS('Harvest Detail'!$J$2:$J$1093,'Harvest Detail'!$I$2:$I$1093,$B20,'Harvest Detail'!$A$2:$A$1093,Z$4)</f>
        <v>70</v>
      </c>
      <c r="AA20" s="20">
        <f>SUMIFS('Harvest Detail'!$J$2:$J$1093,'Harvest Detail'!$I$2:$I$1093,$B20,'Harvest Detail'!$A$2:$A$1093,AA$4)</f>
        <v>180</v>
      </c>
      <c r="AB20" s="22">
        <f t="shared" si="0"/>
        <v>4640</v>
      </c>
    </row>
    <row r="21" spans="1:28" ht="15" customHeight="1" x14ac:dyDescent="0.75">
      <c r="A21" s="17">
        <v>666523</v>
      </c>
      <c r="B21" s="29" t="s">
        <v>35</v>
      </c>
      <c r="C21" s="20">
        <f>SUMIFS('Harvest Detail'!$J$2:$J$1093,'Harvest Detail'!$I$2:$I$1093,$B21,'Harvest Detail'!$A$2:$A$1093,C$4)</f>
        <v>0</v>
      </c>
      <c r="D21" s="20">
        <f>SUMIFS('Harvest Detail'!$J$2:$J$1093,'Harvest Detail'!$I$2:$I$1093,$B21,'Harvest Detail'!$A$2:$A$1093,D$4)</f>
        <v>112</v>
      </c>
      <c r="E21" s="20">
        <f>SUMIFS('Harvest Detail'!$J$2:$J$1093,'Harvest Detail'!$I$2:$I$1093,$B21,'Harvest Detail'!$A$2:$A$1093,E$4)</f>
        <v>50</v>
      </c>
      <c r="F21" s="20">
        <f>SUMIFS('Harvest Detail'!$J$2:$J$1093,'Harvest Detail'!$I$2:$I$1093,$B21,'Harvest Detail'!$A$2:$A$1093,F$4)</f>
        <v>0</v>
      </c>
      <c r="G21" s="20">
        <f>SUMIFS('Harvest Detail'!$J$2:$J$1093,'Harvest Detail'!$I$2:$I$1093,$B21,'Harvest Detail'!$A$2:$A$1093,G$4)</f>
        <v>59</v>
      </c>
      <c r="H21" s="20">
        <f>SUMIFS('Harvest Detail'!$J$2:$J$1093,'Harvest Detail'!$I$2:$I$1093,$B21,'Harvest Detail'!$A$2:$A$1093,H$4)</f>
        <v>0</v>
      </c>
      <c r="I21" s="20">
        <f>SUMIFS('Harvest Detail'!$J$2:$J$1093,'Harvest Detail'!$I$2:$I$1093,$B21,'Harvest Detail'!$A$2:$A$1093,I$4)</f>
        <v>60</v>
      </c>
      <c r="J21" s="20">
        <f>SUMIFS('Harvest Detail'!$J$2:$J$1093,'Harvest Detail'!$I$2:$I$1093,$B21,'Harvest Detail'!$A$2:$A$1093,J$4)</f>
        <v>0</v>
      </c>
      <c r="K21" s="20">
        <f>SUMIFS('Harvest Detail'!$J$2:$J$1093,'Harvest Detail'!$I$2:$I$1093,$B21,'Harvest Detail'!$A$2:$A$1093,K$4)</f>
        <v>50</v>
      </c>
      <c r="L21" s="20">
        <f>SUMIFS('Harvest Detail'!$J$2:$J$1093,'Harvest Detail'!$I$2:$I$1093,$B21,'Harvest Detail'!$A$2:$A$1093,L$4)</f>
        <v>0</v>
      </c>
      <c r="M21" s="20">
        <f>SUMIFS('Harvest Detail'!$J$2:$J$1093,'Harvest Detail'!$I$2:$I$1093,$B21,'Harvest Detail'!$A$2:$A$1093,M$4)</f>
        <v>50</v>
      </c>
      <c r="N21" s="20">
        <f>SUMIFS('Harvest Detail'!$J$2:$J$1093,'Harvest Detail'!$I$2:$I$1093,$B21,'Harvest Detail'!$A$2:$A$1093,N$4)</f>
        <v>0</v>
      </c>
      <c r="O21" s="20">
        <f>SUMIFS('Harvest Detail'!$J$2:$J$1093,'Harvest Detail'!$I$2:$I$1093,$B21,'Harvest Detail'!$A$2:$A$1093,O$4)</f>
        <v>50</v>
      </c>
      <c r="P21" s="20">
        <f>SUMIFS('Harvest Detail'!$J$2:$J$1093,'Harvest Detail'!$I$2:$I$1093,$B21,'Harvest Detail'!$A$2:$A$1093,P$4)</f>
        <v>0</v>
      </c>
      <c r="Q21" s="20">
        <f>SUMIFS('Harvest Detail'!$J$2:$J$1093,'Harvest Detail'!$I$2:$I$1093,$B21,'Harvest Detail'!$A$2:$A$1093,Q$4)</f>
        <v>40</v>
      </c>
      <c r="R21" s="20">
        <f>SUMIFS('Harvest Detail'!$J$2:$J$1093,'Harvest Detail'!$I$2:$I$1093,$B21,'Harvest Detail'!$A$2:$A$1093,R$4)</f>
        <v>0</v>
      </c>
      <c r="S21" s="20">
        <f>SUMIFS('Harvest Detail'!$J$2:$J$1093,'Harvest Detail'!$I$2:$I$1093,$B21,'Harvest Detail'!$A$2:$A$1093,S$4)</f>
        <v>40</v>
      </c>
      <c r="T21" s="20">
        <f>SUMIFS('Harvest Detail'!$J$2:$J$1093,'Harvest Detail'!$I$2:$I$1093,$B21,'Harvest Detail'!$A$2:$A$1093,T$4)</f>
        <v>0</v>
      </c>
      <c r="U21" s="20">
        <f>SUMIFS('Harvest Detail'!$J$2:$J$1093,'Harvest Detail'!$I$2:$I$1093,$B21,'Harvest Detail'!$A$2:$A$1093,U$4)</f>
        <v>40</v>
      </c>
      <c r="V21" s="20">
        <f>SUMIFS('Harvest Detail'!$J$2:$J$1093,'Harvest Detail'!$I$2:$I$1093,$B21,'Harvest Detail'!$A$2:$A$1093,V$4)</f>
        <v>0</v>
      </c>
      <c r="W21" s="20">
        <f>SUMIFS('Harvest Detail'!$J$2:$J$1093,'Harvest Detail'!$I$2:$I$1093,$B21,'Harvest Detail'!$A$2:$A$1093,W$4)</f>
        <v>32</v>
      </c>
      <c r="X21" s="20">
        <f>SUMIFS('Harvest Detail'!$J$2:$J$1093,'Harvest Detail'!$I$2:$I$1093,$B21,'Harvest Detail'!$A$2:$A$1093,X$4)</f>
        <v>0</v>
      </c>
      <c r="Y21" s="20">
        <f>SUMIFS('Harvest Detail'!$J$2:$J$1093,'Harvest Detail'!$I$2:$I$1093,$B21,'Harvest Detail'!$A$2:$A$1093,Y$4)</f>
        <v>28</v>
      </c>
      <c r="Z21" s="20">
        <f>SUMIFS('Harvest Detail'!$J$2:$J$1093,'Harvest Detail'!$I$2:$I$1093,$B21,'Harvest Detail'!$A$2:$A$1093,Z$4)</f>
        <v>0</v>
      </c>
      <c r="AA21" s="20">
        <f>SUMIFS('Harvest Detail'!$J$2:$J$1093,'Harvest Detail'!$I$2:$I$1093,$B21,'Harvest Detail'!$A$2:$A$1093,AA$4)</f>
        <v>28</v>
      </c>
      <c r="AB21" s="22">
        <f t="shared" si="0"/>
        <v>639</v>
      </c>
    </row>
    <row r="22" spans="1:28" ht="15" customHeight="1" x14ac:dyDescent="0.75">
      <c r="A22" s="17">
        <v>666530</v>
      </c>
      <c r="B22" s="29" t="s">
        <v>37</v>
      </c>
      <c r="C22" s="20">
        <f>SUMIFS('Harvest Detail'!$J$2:$J$1093,'Harvest Detail'!$I$2:$I$1093,$B22,'Harvest Detail'!$A$2:$A$1093,C$4)</f>
        <v>4</v>
      </c>
      <c r="D22" s="20">
        <f>SUMIFS('Harvest Detail'!$J$2:$J$1093,'Harvest Detail'!$I$2:$I$1093,$B22,'Harvest Detail'!$A$2:$A$1093,D$4)</f>
        <v>0</v>
      </c>
      <c r="E22" s="20">
        <f>SUMIFS('Harvest Detail'!$J$2:$J$1093,'Harvest Detail'!$I$2:$I$1093,$B22,'Harvest Detail'!$A$2:$A$1093,E$4)</f>
        <v>5</v>
      </c>
      <c r="F22" s="20">
        <f>SUMIFS('Harvest Detail'!$J$2:$J$1093,'Harvest Detail'!$I$2:$I$1093,$B22,'Harvest Detail'!$A$2:$A$1093,F$4)</f>
        <v>0</v>
      </c>
      <c r="G22" s="20">
        <f>SUMIFS('Harvest Detail'!$J$2:$J$1093,'Harvest Detail'!$I$2:$I$1093,$B22,'Harvest Detail'!$A$2:$A$1093,G$4)</f>
        <v>17</v>
      </c>
      <c r="H22" s="20">
        <f>SUMIFS('Harvest Detail'!$J$2:$J$1093,'Harvest Detail'!$I$2:$I$1093,$B22,'Harvest Detail'!$A$2:$A$1093,H$4)</f>
        <v>3</v>
      </c>
      <c r="I22" s="20">
        <f>SUMIFS('Harvest Detail'!$J$2:$J$1093,'Harvest Detail'!$I$2:$I$1093,$B22,'Harvest Detail'!$A$2:$A$1093,I$4)</f>
        <v>20</v>
      </c>
      <c r="J22" s="20">
        <f>SUMIFS('Harvest Detail'!$J$2:$J$1093,'Harvest Detail'!$I$2:$I$1093,$B22,'Harvest Detail'!$A$2:$A$1093,J$4)</f>
        <v>0</v>
      </c>
      <c r="K22" s="20">
        <f>SUMIFS('Harvest Detail'!$J$2:$J$1093,'Harvest Detail'!$I$2:$I$1093,$B22,'Harvest Detail'!$A$2:$A$1093,K$4)</f>
        <v>20</v>
      </c>
      <c r="L22" s="20">
        <f>SUMIFS('Harvest Detail'!$J$2:$J$1093,'Harvest Detail'!$I$2:$I$1093,$B22,'Harvest Detail'!$A$2:$A$1093,L$4)</f>
        <v>0</v>
      </c>
      <c r="M22" s="20">
        <f>SUMIFS('Harvest Detail'!$J$2:$J$1093,'Harvest Detail'!$I$2:$I$1093,$B22,'Harvest Detail'!$A$2:$A$1093,M$4)</f>
        <v>0</v>
      </c>
      <c r="N22" s="20">
        <f>SUMIFS('Harvest Detail'!$J$2:$J$1093,'Harvest Detail'!$I$2:$I$1093,$B22,'Harvest Detail'!$A$2:$A$1093,N$4)</f>
        <v>20</v>
      </c>
      <c r="O22" s="20">
        <f>SUMIFS('Harvest Detail'!$J$2:$J$1093,'Harvest Detail'!$I$2:$I$1093,$B22,'Harvest Detail'!$A$2:$A$1093,O$4)</f>
        <v>20</v>
      </c>
      <c r="P22" s="20">
        <f>SUMIFS('Harvest Detail'!$J$2:$J$1093,'Harvest Detail'!$I$2:$I$1093,$B22,'Harvest Detail'!$A$2:$A$1093,P$4)</f>
        <v>0</v>
      </c>
      <c r="Q22" s="20">
        <f>SUMIFS('Harvest Detail'!$J$2:$J$1093,'Harvest Detail'!$I$2:$I$1093,$B22,'Harvest Detail'!$A$2:$A$1093,Q$4)</f>
        <v>24</v>
      </c>
      <c r="R22" s="20">
        <f>SUMIFS('Harvest Detail'!$J$2:$J$1093,'Harvest Detail'!$I$2:$I$1093,$B22,'Harvest Detail'!$A$2:$A$1093,R$4)</f>
        <v>0</v>
      </c>
      <c r="S22" s="20">
        <f>SUMIFS('Harvest Detail'!$J$2:$J$1093,'Harvest Detail'!$I$2:$I$1093,$B22,'Harvest Detail'!$A$2:$A$1093,S$4)</f>
        <v>24</v>
      </c>
      <c r="T22" s="20">
        <f>SUMIFS('Harvest Detail'!$J$2:$J$1093,'Harvest Detail'!$I$2:$I$1093,$B22,'Harvest Detail'!$A$2:$A$1093,T$4)</f>
        <v>0</v>
      </c>
      <c r="U22" s="20">
        <f>SUMIFS('Harvest Detail'!$J$2:$J$1093,'Harvest Detail'!$I$2:$I$1093,$B22,'Harvest Detail'!$A$2:$A$1093,U$4)</f>
        <v>24</v>
      </c>
      <c r="V22" s="20">
        <f>SUMIFS('Harvest Detail'!$J$2:$J$1093,'Harvest Detail'!$I$2:$I$1093,$B22,'Harvest Detail'!$A$2:$A$1093,V$4)</f>
        <v>0</v>
      </c>
      <c r="W22" s="20">
        <f>SUMIFS('Harvest Detail'!$J$2:$J$1093,'Harvest Detail'!$I$2:$I$1093,$B22,'Harvest Detail'!$A$2:$A$1093,W$4)</f>
        <v>24</v>
      </c>
      <c r="X22" s="20">
        <f>SUMIFS('Harvest Detail'!$J$2:$J$1093,'Harvest Detail'!$I$2:$I$1093,$B22,'Harvest Detail'!$A$2:$A$1093,X$4)</f>
        <v>0</v>
      </c>
      <c r="Y22" s="20">
        <f>SUMIFS('Harvest Detail'!$J$2:$J$1093,'Harvest Detail'!$I$2:$I$1093,$B22,'Harvest Detail'!$A$2:$A$1093,Y$4)</f>
        <v>18</v>
      </c>
      <c r="Z22" s="20">
        <f>SUMIFS('Harvest Detail'!$J$2:$J$1093,'Harvest Detail'!$I$2:$I$1093,$B22,'Harvest Detail'!$A$2:$A$1093,Z$4)</f>
        <v>0</v>
      </c>
      <c r="AA22" s="20">
        <f>SUMIFS('Harvest Detail'!$J$2:$J$1093,'Harvest Detail'!$I$2:$I$1093,$B22,'Harvest Detail'!$A$2:$A$1093,AA$4)</f>
        <v>0</v>
      </c>
      <c r="AB22" s="22">
        <f t="shared" si="0"/>
        <v>223</v>
      </c>
    </row>
    <row r="23" spans="1:28" ht="15" customHeight="1" x14ac:dyDescent="0.75">
      <c r="A23" s="17">
        <v>666531</v>
      </c>
      <c r="B23" s="29" t="s">
        <v>39</v>
      </c>
      <c r="C23" s="20">
        <f>SUMIFS('Harvest Detail'!$J$2:$J$1093,'Harvest Detail'!$I$2:$I$1093,$B23,'Harvest Detail'!$A$2:$A$1093,C$4)</f>
        <v>17</v>
      </c>
      <c r="D23" s="20">
        <f>SUMIFS('Harvest Detail'!$J$2:$J$1093,'Harvest Detail'!$I$2:$I$1093,$B23,'Harvest Detail'!$A$2:$A$1093,D$4)</f>
        <v>0</v>
      </c>
      <c r="E23" s="20">
        <f>SUMIFS('Harvest Detail'!$J$2:$J$1093,'Harvest Detail'!$I$2:$I$1093,$B23,'Harvest Detail'!$A$2:$A$1093,E$4)</f>
        <v>18</v>
      </c>
      <c r="F23" s="20">
        <f>SUMIFS('Harvest Detail'!$J$2:$J$1093,'Harvest Detail'!$I$2:$I$1093,$B23,'Harvest Detail'!$A$2:$A$1093,F$4)</f>
        <v>0</v>
      </c>
      <c r="G23" s="20">
        <f>SUMIFS('Harvest Detail'!$J$2:$J$1093,'Harvest Detail'!$I$2:$I$1093,$B23,'Harvest Detail'!$A$2:$A$1093,G$4)</f>
        <v>26</v>
      </c>
      <c r="H23" s="20">
        <f>SUMIFS('Harvest Detail'!$J$2:$J$1093,'Harvest Detail'!$I$2:$I$1093,$B23,'Harvest Detail'!$A$2:$A$1093,H$4)</f>
        <v>0</v>
      </c>
      <c r="I23" s="20">
        <f>SUMIFS('Harvest Detail'!$J$2:$J$1093,'Harvest Detail'!$I$2:$I$1093,$B23,'Harvest Detail'!$A$2:$A$1093,I$4)</f>
        <v>26</v>
      </c>
      <c r="J23" s="20">
        <f>SUMIFS('Harvest Detail'!$J$2:$J$1093,'Harvest Detail'!$I$2:$I$1093,$B23,'Harvest Detail'!$A$2:$A$1093,J$4)</f>
        <v>0</v>
      </c>
      <c r="K23" s="20">
        <f>SUMIFS('Harvest Detail'!$J$2:$J$1093,'Harvest Detail'!$I$2:$I$1093,$B23,'Harvest Detail'!$A$2:$A$1093,K$4)</f>
        <v>26</v>
      </c>
      <c r="L23" s="20">
        <f>SUMIFS('Harvest Detail'!$J$2:$J$1093,'Harvest Detail'!$I$2:$I$1093,$B23,'Harvest Detail'!$A$2:$A$1093,L$4)</f>
        <v>0</v>
      </c>
      <c r="M23" s="20">
        <f>SUMIFS('Harvest Detail'!$J$2:$J$1093,'Harvest Detail'!$I$2:$I$1093,$B23,'Harvest Detail'!$A$2:$A$1093,M$4)</f>
        <v>26</v>
      </c>
      <c r="N23" s="20">
        <f>SUMIFS('Harvest Detail'!$J$2:$J$1093,'Harvest Detail'!$I$2:$I$1093,$B23,'Harvest Detail'!$A$2:$A$1093,N$4)</f>
        <v>0</v>
      </c>
      <c r="O23" s="20">
        <f>SUMIFS('Harvest Detail'!$J$2:$J$1093,'Harvest Detail'!$I$2:$I$1093,$B23,'Harvest Detail'!$A$2:$A$1093,O$4)</f>
        <v>21</v>
      </c>
      <c r="P23" s="20">
        <f>SUMIFS('Harvest Detail'!$J$2:$J$1093,'Harvest Detail'!$I$2:$I$1093,$B23,'Harvest Detail'!$A$2:$A$1093,P$4)</f>
        <v>5</v>
      </c>
      <c r="Q23" s="20">
        <f>SUMIFS('Harvest Detail'!$J$2:$J$1093,'Harvest Detail'!$I$2:$I$1093,$B23,'Harvest Detail'!$A$2:$A$1093,Q$4)</f>
        <v>28</v>
      </c>
      <c r="R23" s="20">
        <f>SUMIFS('Harvest Detail'!$J$2:$J$1093,'Harvest Detail'!$I$2:$I$1093,$B23,'Harvest Detail'!$A$2:$A$1093,R$4)</f>
        <v>0</v>
      </c>
      <c r="S23" s="20">
        <f>SUMIFS('Harvest Detail'!$J$2:$J$1093,'Harvest Detail'!$I$2:$I$1093,$B23,'Harvest Detail'!$A$2:$A$1093,S$4)</f>
        <v>23</v>
      </c>
      <c r="T23" s="20">
        <f>SUMIFS('Harvest Detail'!$J$2:$J$1093,'Harvest Detail'!$I$2:$I$1093,$B23,'Harvest Detail'!$A$2:$A$1093,T$4)</f>
        <v>5</v>
      </c>
      <c r="U23" s="20">
        <f>SUMIFS('Harvest Detail'!$J$2:$J$1093,'Harvest Detail'!$I$2:$I$1093,$B23,'Harvest Detail'!$A$2:$A$1093,U$4)</f>
        <v>14</v>
      </c>
      <c r="V23" s="20">
        <f>SUMIFS('Harvest Detail'!$J$2:$J$1093,'Harvest Detail'!$I$2:$I$1093,$B23,'Harvest Detail'!$A$2:$A$1093,V$4)</f>
        <v>14</v>
      </c>
      <c r="W23" s="20">
        <f>SUMIFS('Harvest Detail'!$J$2:$J$1093,'Harvest Detail'!$I$2:$I$1093,$B23,'Harvest Detail'!$A$2:$A$1093,W$4)</f>
        <v>15</v>
      </c>
      <c r="X23" s="20">
        <f>SUMIFS('Harvest Detail'!$J$2:$J$1093,'Harvest Detail'!$I$2:$I$1093,$B23,'Harvest Detail'!$A$2:$A$1093,X$4)</f>
        <v>13</v>
      </c>
      <c r="Y23" s="20">
        <f>SUMIFS('Harvest Detail'!$J$2:$J$1093,'Harvest Detail'!$I$2:$I$1093,$B23,'Harvest Detail'!$A$2:$A$1093,Y$4)</f>
        <v>28</v>
      </c>
      <c r="Z23" s="20">
        <f>SUMIFS('Harvest Detail'!$J$2:$J$1093,'Harvest Detail'!$I$2:$I$1093,$B23,'Harvest Detail'!$A$2:$A$1093,Z$4)</f>
        <v>0</v>
      </c>
      <c r="AA23" s="20">
        <f>SUMIFS('Harvest Detail'!$J$2:$J$1093,'Harvest Detail'!$I$2:$I$1093,$B23,'Harvest Detail'!$A$2:$A$1093,AA$4)</f>
        <v>14</v>
      </c>
      <c r="AB23" s="22">
        <f t="shared" si="0"/>
        <v>319</v>
      </c>
    </row>
    <row r="24" spans="1:28" ht="15" customHeight="1" x14ac:dyDescent="0.75">
      <c r="A24" s="17">
        <v>666540</v>
      </c>
      <c r="B24" s="29" t="s">
        <v>40</v>
      </c>
      <c r="C24" s="20">
        <f>SUMIFS('Harvest Detail'!$J$2:$J$1093,'Harvest Detail'!$I$2:$I$1093,$B24,'Harvest Detail'!$A$2:$A$1093,C$4)</f>
        <v>41</v>
      </c>
      <c r="D24" s="20">
        <f>SUMIFS('Harvest Detail'!$J$2:$J$1093,'Harvest Detail'!$I$2:$I$1093,$B24,'Harvest Detail'!$A$2:$A$1093,D$4)</f>
        <v>46</v>
      </c>
      <c r="E24" s="20">
        <f>SUMIFS('Harvest Detail'!$J$2:$J$1093,'Harvest Detail'!$I$2:$I$1093,$B24,'Harvest Detail'!$A$2:$A$1093,E$4)</f>
        <v>45</v>
      </c>
      <c r="F24" s="20">
        <f>SUMIFS('Harvest Detail'!$J$2:$J$1093,'Harvest Detail'!$I$2:$I$1093,$B24,'Harvest Detail'!$A$2:$A$1093,F$4)</f>
        <v>20</v>
      </c>
      <c r="G24" s="20">
        <f>SUMIFS('Harvest Detail'!$J$2:$J$1093,'Harvest Detail'!$I$2:$I$1093,$B24,'Harvest Detail'!$A$2:$A$1093,G$4)</f>
        <v>31</v>
      </c>
      <c r="H24" s="20">
        <f>SUMIFS('Harvest Detail'!$J$2:$J$1093,'Harvest Detail'!$I$2:$I$1093,$B24,'Harvest Detail'!$A$2:$A$1093,H$4)</f>
        <v>22</v>
      </c>
      <c r="I24" s="20">
        <f>SUMIFS('Harvest Detail'!$J$2:$J$1093,'Harvest Detail'!$I$2:$I$1093,$B24,'Harvest Detail'!$A$2:$A$1093,I$4)</f>
        <v>34</v>
      </c>
      <c r="J24" s="20">
        <f>SUMIFS('Harvest Detail'!$J$2:$J$1093,'Harvest Detail'!$I$2:$I$1093,$B24,'Harvest Detail'!$A$2:$A$1093,J$4)</f>
        <v>1</v>
      </c>
      <c r="K24" s="20">
        <f>SUMIFS('Harvest Detail'!$J$2:$J$1093,'Harvest Detail'!$I$2:$I$1093,$B24,'Harvest Detail'!$A$2:$A$1093,K$4)</f>
        <v>0</v>
      </c>
      <c r="L24" s="20">
        <f>SUMIFS('Harvest Detail'!$J$2:$J$1093,'Harvest Detail'!$I$2:$I$1093,$B24,'Harvest Detail'!$A$2:$A$1093,L$4)</f>
        <v>0</v>
      </c>
      <c r="M24" s="20">
        <f>SUMIFS('Harvest Detail'!$J$2:$J$1093,'Harvest Detail'!$I$2:$I$1093,$B24,'Harvest Detail'!$A$2:$A$1093,M$4)</f>
        <v>0</v>
      </c>
      <c r="N24" s="20">
        <f>SUMIFS('Harvest Detail'!$J$2:$J$1093,'Harvest Detail'!$I$2:$I$1093,$B24,'Harvest Detail'!$A$2:$A$1093,N$4)</f>
        <v>0</v>
      </c>
      <c r="O24" s="20">
        <f>SUMIFS('Harvest Detail'!$J$2:$J$1093,'Harvest Detail'!$I$2:$I$1093,$B24,'Harvest Detail'!$A$2:$A$1093,O$4)</f>
        <v>0</v>
      </c>
      <c r="P24" s="20">
        <f>SUMIFS('Harvest Detail'!$J$2:$J$1093,'Harvest Detail'!$I$2:$I$1093,$B24,'Harvest Detail'!$A$2:$A$1093,P$4)</f>
        <v>0</v>
      </c>
      <c r="Q24" s="20">
        <f>SUMIFS('Harvest Detail'!$J$2:$J$1093,'Harvest Detail'!$I$2:$I$1093,$B24,'Harvest Detail'!$A$2:$A$1093,Q$4)</f>
        <v>1</v>
      </c>
      <c r="R24" s="20">
        <f>SUMIFS('Harvest Detail'!$J$2:$J$1093,'Harvest Detail'!$I$2:$I$1093,$B24,'Harvest Detail'!$A$2:$A$1093,R$4)</f>
        <v>0</v>
      </c>
      <c r="S24" s="20">
        <f>SUMIFS('Harvest Detail'!$J$2:$J$1093,'Harvest Detail'!$I$2:$I$1093,$B24,'Harvest Detail'!$A$2:$A$1093,S$4)</f>
        <v>0</v>
      </c>
      <c r="T24" s="20">
        <f>SUMIFS('Harvest Detail'!$J$2:$J$1093,'Harvest Detail'!$I$2:$I$1093,$B24,'Harvest Detail'!$A$2:$A$1093,T$4)</f>
        <v>1</v>
      </c>
      <c r="U24" s="20">
        <f>SUMIFS('Harvest Detail'!$J$2:$J$1093,'Harvest Detail'!$I$2:$I$1093,$B24,'Harvest Detail'!$A$2:$A$1093,U$4)</f>
        <v>0</v>
      </c>
      <c r="V24" s="20">
        <f>SUMIFS('Harvest Detail'!$J$2:$J$1093,'Harvest Detail'!$I$2:$I$1093,$B24,'Harvest Detail'!$A$2:$A$1093,V$4)</f>
        <v>0</v>
      </c>
      <c r="W24" s="20">
        <f>SUMIFS('Harvest Detail'!$J$2:$J$1093,'Harvest Detail'!$I$2:$I$1093,$B24,'Harvest Detail'!$A$2:$A$1093,W$4)</f>
        <v>0</v>
      </c>
      <c r="X24" s="20">
        <f>SUMIFS('Harvest Detail'!$J$2:$J$1093,'Harvest Detail'!$I$2:$I$1093,$B24,'Harvest Detail'!$A$2:$A$1093,X$4)</f>
        <v>0</v>
      </c>
      <c r="Y24" s="20">
        <f>SUMIFS('Harvest Detail'!$J$2:$J$1093,'Harvest Detail'!$I$2:$I$1093,$B24,'Harvest Detail'!$A$2:$A$1093,Y$4)</f>
        <v>0</v>
      </c>
      <c r="Z24" s="20">
        <f>SUMIFS('Harvest Detail'!$J$2:$J$1093,'Harvest Detail'!$I$2:$I$1093,$B24,'Harvest Detail'!$A$2:$A$1093,Z$4)</f>
        <v>0</v>
      </c>
      <c r="AA24" s="20">
        <f>SUMIFS('Harvest Detail'!$J$2:$J$1093,'Harvest Detail'!$I$2:$I$1093,$B24,'Harvest Detail'!$A$2:$A$1093,AA$4)</f>
        <v>0</v>
      </c>
      <c r="AB24" s="22">
        <f t="shared" si="0"/>
        <v>242</v>
      </c>
    </row>
    <row r="25" spans="1:28" ht="15" customHeight="1" x14ac:dyDescent="0.75">
      <c r="A25" s="17">
        <v>666541</v>
      </c>
      <c r="B25" s="29" t="s">
        <v>41</v>
      </c>
      <c r="C25" s="20">
        <f>SUMIFS('Harvest Detail'!$J$2:$J$1093,'Harvest Detail'!$I$2:$I$1093,$B25,'Harvest Detail'!$A$2:$A$1093,C$4)</f>
        <v>175</v>
      </c>
      <c r="D25" s="20">
        <f>SUMIFS('Harvest Detail'!$J$2:$J$1093,'Harvest Detail'!$I$2:$I$1093,$B25,'Harvest Detail'!$A$2:$A$1093,D$4)</f>
        <v>65</v>
      </c>
      <c r="E25" s="20">
        <f>SUMIFS('Harvest Detail'!$J$2:$J$1093,'Harvest Detail'!$I$2:$I$1093,$B25,'Harvest Detail'!$A$2:$A$1093,E$4)</f>
        <v>159</v>
      </c>
      <c r="F25" s="20">
        <f>SUMIFS('Harvest Detail'!$J$2:$J$1093,'Harvest Detail'!$I$2:$I$1093,$B25,'Harvest Detail'!$A$2:$A$1093,F$4)</f>
        <v>121</v>
      </c>
      <c r="G25" s="20">
        <f>SUMIFS('Harvest Detail'!$J$2:$J$1093,'Harvest Detail'!$I$2:$I$1093,$B25,'Harvest Detail'!$A$2:$A$1093,G$4)</f>
        <v>156</v>
      </c>
      <c r="H25" s="20">
        <f>SUMIFS('Harvest Detail'!$J$2:$J$1093,'Harvest Detail'!$I$2:$I$1093,$B25,'Harvest Detail'!$A$2:$A$1093,H$4)</f>
        <v>104</v>
      </c>
      <c r="I25" s="20">
        <f>SUMIFS('Harvest Detail'!$J$2:$J$1093,'Harvest Detail'!$I$2:$I$1093,$B25,'Harvest Detail'!$A$2:$A$1093,I$4)</f>
        <v>95</v>
      </c>
      <c r="J25" s="20">
        <f>SUMIFS('Harvest Detail'!$J$2:$J$1093,'Harvest Detail'!$I$2:$I$1093,$B25,'Harvest Detail'!$A$2:$A$1093,J$4)</f>
        <v>173</v>
      </c>
      <c r="K25" s="20">
        <f>SUMIFS('Harvest Detail'!$J$2:$J$1093,'Harvest Detail'!$I$2:$I$1093,$B25,'Harvest Detail'!$A$2:$A$1093,K$4)</f>
        <v>240</v>
      </c>
      <c r="L25" s="20">
        <f>SUMIFS('Harvest Detail'!$J$2:$J$1093,'Harvest Detail'!$I$2:$I$1093,$B25,'Harvest Detail'!$A$2:$A$1093,L$4)</f>
        <v>195</v>
      </c>
      <c r="M25" s="20">
        <f>SUMIFS('Harvest Detail'!$J$2:$J$1093,'Harvest Detail'!$I$2:$I$1093,$B25,'Harvest Detail'!$A$2:$A$1093,M$4)</f>
        <v>251</v>
      </c>
      <c r="N25" s="20">
        <f>SUMIFS('Harvest Detail'!$J$2:$J$1093,'Harvest Detail'!$I$2:$I$1093,$B25,'Harvest Detail'!$A$2:$A$1093,N$4)</f>
        <v>322</v>
      </c>
      <c r="O25" s="20">
        <f>SUMIFS('Harvest Detail'!$J$2:$J$1093,'Harvest Detail'!$I$2:$I$1093,$B25,'Harvest Detail'!$A$2:$A$1093,O$4)</f>
        <v>149</v>
      </c>
      <c r="P25" s="20">
        <f>SUMIFS('Harvest Detail'!$J$2:$J$1093,'Harvest Detail'!$I$2:$I$1093,$B25,'Harvest Detail'!$A$2:$A$1093,P$4)</f>
        <v>159</v>
      </c>
      <c r="Q25" s="20">
        <f>SUMIFS('Harvest Detail'!$J$2:$J$1093,'Harvest Detail'!$I$2:$I$1093,$B25,'Harvest Detail'!$A$2:$A$1093,Q$4)</f>
        <v>219</v>
      </c>
      <c r="R25" s="20">
        <f>SUMIFS('Harvest Detail'!$J$2:$J$1093,'Harvest Detail'!$I$2:$I$1093,$B25,'Harvest Detail'!$A$2:$A$1093,R$4)</f>
        <v>323</v>
      </c>
      <c r="S25" s="20">
        <f>SUMIFS('Harvest Detail'!$J$2:$J$1093,'Harvest Detail'!$I$2:$I$1093,$B25,'Harvest Detail'!$A$2:$A$1093,S$4)</f>
        <v>240</v>
      </c>
      <c r="T25" s="20">
        <f>SUMIFS('Harvest Detail'!$J$2:$J$1093,'Harvest Detail'!$I$2:$I$1093,$B25,'Harvest Detail'!$A$2:$A$1093,T$4)</f>
        <v>188</v>
      </c>
      <c r="U25" s="20">
        <f>SUMIFS('Harvest Detail'!$J$2:$J$1093,'Harvest Detail'!$I$2:$I$1093,$B25,'Harvest Detail'!$A$2:$A$1093,U$4)</f>
        <v>184</v>
      </c>
      <c r="V25" s="20">
        <f>SUMIFS('Harvest Detail'!$J$2:$J$1093,'Harvest Detail'!$I$2:$I$1093,$B25,'Harvest Detail'!$A$2:$A$1093,V$4)</f>
        <v>163</v>
      </c>
      <c r="W25" s="20">
        <f>SUMIFS('Harvest Detail'!$J$2:$J$1093,'Harvest Detail'!$I$2:$I$1093,$B25,'Harvest Detail'!$A$2:$A$1093,W$4)</f>
        <v>202</v>
      </c>
      <c r="X25" s="20">
        <f>SUMIFS('Harvest Detail'!$J$2:$J$1093,'Harvest Detail'!$I$2:$I$1093,$B25,'Harvest Detail'!$A$2:$A$1093,X$4)</f>
        <v>191</v>
      </c>
      <c r="Y25" s="20">
        <f>SUMIFS('Harvest Detail'!$J$2:$J$1093,'Harvest Detail'!$I$2:$I$1093,$B25,'Harvest Detail'!$A$2:$A$1093,Y$4)</f>
        <v>142</v>
      </c>
      <c r="Z25" s="20">
        <f>SUMIFS('Harvest Detail'!$J$2:$J$1093,'Harvest Detail'!$I$2:$I$1093,$B25,'Harvest Detail'!$A$2:$A$1093,Z$4)</f>
        <v>105</v>
      </c>
      <c r="AA25" s="20">
        <f>SUMIFS('Harvest Detail'!$J$2:$J$1093,'Harvest Detail'!$I$2:$I$1093,$B25,'Harvest Detail'!$A$2:$A$1093,AA$4)</f>
        <v>110</v>
      </c>
      <c r="AB25" s="22">
        <f t="shared" si="0"/>
        <v>4431</v>
      </c>
    </row>
    <row r="26" spans="1:28" ht="15" customHeight="1" x14ac:dyDescent="0.75">
      <c r="A26" s="17">
        <v>666536</v>
      </c>
      <c r="B26" s="29" t="s">
        <v>43</v>
      </c>
      <c r="C26" s="20">
        <f>SUMIFS('Harvest Detail'!$J$2:$J$1093,'Harvest Detail'!$I$2:$I$1093,$B26,'Harvest Detail'!$A$2:$A$1093,C$4)</f>
        <v>1</v>
      </c>
      <c r="D26" s="20">
        <f>SUMIFS('Harvest Detail'!$J$2:$J$1093,'Harvest Detail'!$I$2:$I$1093,$B26,'Harvest Detail'!$A$2:$A$1093,D$4)</f>
        <v>14</v>
      </c>
      <c r="E26" s="20">
        <f>SUMIFS('Harvest Detail'!$J$2:$J$1093,'Harvest Detail'!$I$2:$I$1093,$B26,'Harvest Detail'!$A$2:$A$1093,E$4)</f>
        <v>2</v>
      </c>
      <c r="F26" s="20">
        <f>SUMIFS('Harvest Detail'!$J$2:$J$1093,'Harvest Detail'!$I$2:$I$1093,$B26,'Harvest Detail'!$A$2:$A$1093,F$4)</f>
        <v>0</v>
      </c>
      <c r="G26" s="20">
        <f>SUMIFS('Harvest Detail'!$J$2:$J$1093,'Harvest Detail'!$I$2:$I$1093,$B26,'Harvest Detail'!$A$2:$A$1093,G$4)</f>
        <v>0</v>
      </c>
      <c r="H26" s="20">
        <f>SUMIFS('Harvest Detail'!$J$2:$J$1093,'Harvest Detail'!$I$2:$I$1093,$B26,'Harvest Detail'!$A$2:$A$1093,H$4)</f>
        <v>0</v>
      </c>
      <c r="I26" s="20">
        <f>SUMIFS('Harvest Detail'!$J$2:$J$1093,'Harvest Detail'!$I$2:$I$1093,$B26,'Harvest Detail'!$A$2:$A$1093,I$4)</f>
        <v>0</v>
      </c>
      <c r="J26" s="20">
        <f>SUMIFS('Harvest Detail'!$J$2:$J$1093,'Harvest Detail'!$I$2:$I$1093,$B26,'Harvest Detail'!$A$2:$A$1093,J$4)</f>
        <v>2</v>
      </c>
      <c r="K26" s="20">
        <f>SUMIFS('Harvest Detail'!$J$2:$J$1093,'Harvest Detail'!$I$2:$I$1093,$B26,'Harvest Detail'!$A$2:$A$1093,K$4)</f>
        <v>8</v>
      </c>
      <c r="L26" s="20">
        <f>SUMIFS('Harvest Detail'!$J$2:$J$1093,'Harvest Detail'!$I$2:$I$1093,$B26,'Harvest Detail'!$A$2:$A$1093,L$4)</f>
        <v>2</v>
      </c>
      <c r="M26" s="20">
        <f>SUMIFS('Harvest Detail'!$J$2:$J$1093,'Harvest Detail'!$I$2:$I$1093,$B26,'Harvest Detail'!$A$2:$A$1093,M$4)</f>
        <v>4</v>
      </c>
      <c r="N26" s="20">
        <f>SUMIFS('Harvest Detail'!$J$2:$J$1093,'Harvest Detail'!$I$2:$I$1093,$B26,'Harvest Detail'!$A$2:$A$1093,N$4)</f>
        <v>3</v>
      </c>
      <c r="O26" s="20">
        <f>SUMIFS('Harvest Detail'!$J$2:$J$1093,'Harvest Detail'!$I$2:$I$1093,$B26,'Harvest Detail'!$A$2:$A$1093,O$4)</f>
        <v>12</v>
      </c>
      <c r="P26" s="20">
        <f>SUMIFS('Harvest Detail'!$J$2:$J$1093,'Harvest Detail'!$I$2:$I$1093,$B26,'Harvest Detail'!$A$2:$A$1093,P$4)</f>
        <v>11</v>
      </c>
      <c r="Q26" s="20">
        <f>SUMIFS('Harvest Detail'!$J$2:$J$1093,'Harvest Detail'!$I$2:$I$1093,$B26,'Harvest Detail'!$A$2:$A$1093,Q$4)</f>
        <v>11</v>
      </c>
      <c r="R26" s="20">
        <f>SUMIFS('Harvest Detail'!$J$2:$J$1093,'Harvest Detail'!$I$2:$I$1093,$B26,'Harvest Detail'!$A$2:$A$1093,R$4)</f>
        <v>1</v>
      </c>
      <c r="S26" s="20">
        <f>SUMIFS('Harvest Detail'!$J$2:$J$1093,'Harvest Detail'!$I$2:$I$1093,$B26,'Harvest Detail'!$A$2:$A$1093,S$4)</f>
        <v>8</v>
      </c>
      <c r="T26" s="20">
        <f>SUMIFS('Harvest Detail'!$J$2:$J$1093,'Harvest Detail'!$I$2:$I$1093,$B26,'Harvest Detail'!$A$2:$A$1093,T$4)</f>
        <v>9</v>
      </c>
      <c r="U26" s="20">
        <f>SUMIFS('Harvest Detail'!$J$2:$J$1093,'Harvest Detail'!$I$2:$I$1093,$B26,'Harvest Detail'!$A$2:$A$1093,U$4)</f>
        <v>12</v>
      </c>
      <c r="V26" s="20">
        <f>SUMIFS('Harvest Detail'!$J$2:$J$1093,'Harvest Detail'!$I$2:$I$1093,$B26,'Harvest Detail'!$A$2:$A$1093,V$4)</f>
        <v>6</v>
      </c>
      <c r="W26" s="20">
        <f>SUMIFS('Harvest Detail'!$J$2:$J$1093,'Harvest Detail'!$I$2:$I$1093,$B26,'Harvest Detail'!$A$2:$A$1093,W$4)</f>
        <v>17</v>
      </c>
      <c r="X26" s="20">
        <f>SUMIFS('Harvest Detail'!$J$2:$J$1093,'Harvest Detail'!$I$2:$I$1093,$B26,'Harvest Detail'!$A$2:$A$1093,X$4)</f>
        <v>7</v>
      </c>
      <c r="Y26" s="20">
        <f>SUMIFS('Harvest Detail'!$J$2:$J$1093,'Harvest Detail'!$I$2:$I$1093,$B26,'Harvest Detail'!$A$2:$A$1093,Y$4)</f>
        <v>3</v>
      </c>
      <c r="Z26" s="20">
        <f>SUMIFS('Harvest Detail'!$J$2:$J$1093,'Harvest Detail'!$I$2:$I$1093,$B26,'Harvest Detail'!$A$2:$A$1093,Z$4)</f>
        <v>7</v>
      </c>
      <c r="AA26" s="20">
        <f>SUMIFS('Harvest Detail'!$J$2:$J$1093,'Harvest Detail'!$I$2:$I$1093,$B26,'Harvest Detail'!$A$2:$A$1093,AA$4)</f>
        <v>0</v>
      </c>
      <c r="AB26" s="22">
        <f t="shared" si="0"/>
        <v>140</v>
      </c>
    </row>
    <row r="27" spans="1:28" ht="15" customHeight="1" x14ac:dyDescent="0.75">
      <c r="A27" s="30"/>
      <c r="B27" s="23" t="s">
        <v>96</v>
      </c>
      <c r="C27" s="25">
        <f t="shared" ref="C27:AB27" si="1">SUM(C6:C26)</f>
        <v>890</v>
      </c>
      <c r="D27" s="25">
        <f t="shared" si="1"/>
        <v>905</v>
      </c>
      <c r="E27" s="25">
        <f t="shared" si="1"/>
        <v>1092</v>
      </c>
      <c r="F27" s="25">
        <f t="shared" si="1"/>
        <v>391</v>
      </c>
      <c r="G27" s="25">
        <f t="shared" si="1"/>
        <v>1074</v>
      </c>
      <c r="H27" s="25">
        <f t="shared" si="1"/>
        <v>550</v>
      </c>
      <c r="I27" s="25">
        <f t="shared" si="1"/>
        <v>1199</v>
      </c>
      <c r="J27" s="25">
        <f t="shared" si="1"/>
        <v>635</v>
      </c>
      <c r="K27" s="25">
        <f t="shared" si="1"/>
        <v>1459</v>
      </c>
      <c r="L27" s="25">
        <f t="shared" si="1"/>
        <v>825</v>
      </c>
      <c r="M27" s="25">
        <f t="shared" si="1"/>
        <v>1462</v>
      </c>
      <c r="N27" s="25">
        <f t="shared" si="1"/>
        <v>1160</v>
      </c>
      <c r="O27" s="25">
        <f t="shared" si="1"/>
        <v>1488</v>
      </c>
      <c r="P27" s="25">
        <f t="shared" si="1"/>
        <v>977</v>
      </c>
      <c r="Q27" s="25">
        <f t="shared" si="1"/>
        <v>1706</v>
      </c>
      <c r="R27" s="25">
        <f t="shared" si="1"/>
        <v>1032</v>
      </c>
      <c r="S27" s="25">
        <f t="shared" si="1"/>
        <v>2014</v>
      </c>
      <c r="T27" s="25">
        <f t="shared" si="1"/>
        <v>843</v>
      </c>
      <c r="U27" s="25">
        <f t="shared" si="1"/>
        <v>1716</v>
      </c>
      <c r="V27" s="25">
        <f t="shared" si="1"/>
        <v>647</v>
      </c>
      <c r="W27" s="25">
        <f t="shared" si="1"/>
        <v>1614</v>
      </c>
      <c r="X27" s="25">
        <f t="shared" si="1"/>
        <v>710</v>
      </c>
      <c r="Y27" s="25">
        <f t="shared" si="1"/>
        <v>1382</v>
      </c>
      <c r="Z27" s="25">
        <f t="shared" si="1"/>
        <v>490</v>
      </c>
      <c r="AA27" s="25">
        <f t="shared" si="1"/>
        <v>1139</v>
      </c>
      <c r="AB27" s="25">
        <f t="shared" si="1"/>
        <v>27400</v>
      </c>
    </row>
    <row r="29" spans="1:28" ht="15" customHeight="1" x14ac:dyDescent="0.75">
      <c r="A29" s="13" t="s">
        <v>97</v>
      </c>
    </row>
    <row r="30" spans="1:28" ht="15" customHeight="1" x14ac:dyDescent="0.75">
      <c r="A30" s="16" t="s">
        <v>1</v>
      </c>
      <c r="B30" s="16" t="s">
        <v>51</v>
      </c>
      <c r="C30" s="16" t="s">
        <v>53</v>
      </c>
      <c r="D30" s="16" t="s">
        <v>61</v>
      </c>
      <c r="E30" s="16" t="s">
        <v>64</v>
      </c>
      <c r="F30" s="16" t="s">
        <v>67</v>
      </c>
      <c r="G30" s="16" t="s">
        <v>68</v>
      </c>
      <c r="H30" s="16" t="s">
        <v>69</v>
      </c>
      <c r="I30" s="16" t="s">
        <v>70</v>
      </c>
      <c r="J30" s="16" t="s">
        <v>71</v>
      </c>
      <c r="K30" s="16" t="s">
        <v>72</v>
      </c>
      <c r="L30" s="16" t="s">
        <v>73</v>
      </c>
      <c r="M30" s="16" t="s">
        <v>74</v>
      </c>
      <c r="N30" s="16" t="s">
        <v>75</v>
      </c>
      <c r="O30" s="16" t="s">
        <v>76</v>
      </c>
      <c r="P30" s="16" t="s">
        <v>77</v>
      </c>
      <c r="Q30" s="16" t="s">
        <v>78</v>
      </c>
      <c r="R30" s="16" t="s">
        <v>79</v>
      </c>
      <c r="S30" s="16" t="s">
        <v>80</v>
      </c>
      <c r="T30" s="16" t="s">
        <v>81</v>
      </c>
      <c r="U30" s="16" t="s">
        <v>82</v>
      </c>
      <c r="V30" s="16" t="s">
        <v>83</v>
      </c>
      <c r="W30" s="16" t="s">
        <v>84</v>
      </c>
      <c r="X30" s="16" t="s">
        <v>85</v>
      </c>
      <c r="Y30" s="16" t="s">
        <v>86</v>
      </c>
      <c r="Z30" s="16" t="s">
        <v>87</v>
      </c>
      <c r="AA30" s="16" t="s">
        <v>88</v>
      </c>
      <c r="AB30" s="16" t="s">
        <v>94</v>
      </c>
    </row>
    <row r="31" spans="1:28" ht="15" customHeight="1" x14ac:dyDescent="0.75">
      <c r="A31" s="26"/>
      <c r="B31" s="27" t="s">
        <v>95</v>
      </c>
      <c r="C31" s="28">
        <v>46020</v>
      </c>
      <c r="D31" s="28">
        <v>46027</v>
      </c>
      <c r="E31" s="28">
        <v>46034</v>
      </c>
      <c r="F31" s="28">
        <v>46041</v>
      </c>
      <c r="G31" s="28">
        <v>46048</v>
      </c>
      <c r="H31" s="28">
        <v>46055</v>
      </c>
      <c r="I31" s="28">
        <v>46062</v>
      </c>
      <c r="J31" s="28">
        <v>46069</v>
      </c>
      <c r="K31" s="28">
        <v>46076</v>
      </c>
      <c r="L31" s="28">
        <v>46083</v>
      </c>
      <c r="M31" s="28">
        <v>46090</v>
      </c>
      <c r="N31" s="28">
        <v>46097</v>
      </c>
      <c r="O31" s="28">
        <v>46104</v>
      </c>
      <c r="P31" s="28">
        <v>46111</v>
      </c>
      <c r="Q31" s="28">
        <v>46118</v>
      </c>
      <c r="R31" s="28">
        <v>46125</v>
      </c>
      <c r="S31" s="28">
        <v>46132</v>
      </c>
      <c r="T31" s="28">
        <v>46139</v>
      </c>
      <c r="U31" s="28">
        <v>46146</v>
      </c>
      <c r="V31" s="28">
        <v>46153</v>
      </c>
      <c r="W31" s="28">
        <v>46160</v>
      </c>
      <c r="X31" s="28">
        <v>46167</v>
      </c>
      <c r="Y31" s="28">
        <v>46174</v>
      </c>
      <c r="Z31" s="28">
        <v>46181</v>
      </c>
      <c r="AA31" s="28">
        <v>46188</v>
      </c>
      <c r="AB31" s="26"/>
    </row>
    <row r="32" spans="1:28" ht="15" customHeight="1" x14ac:dyDescent="0.75">
      <c r="A32" s="17">
        <f t="shared" ref="A32:C52" si="2">A6</f>
        <v>666501</v>
      </c>
      <c r="B32" s="29" t="str">
        <f t="shared" si="2"/>
        <v>Aorta</v>
      </c>
      <c r="C32" s="20">
        <f t="shared" si="2"/>
        <v>177</v>
      </c>
      <c r="D32" s="20">
        <f t="shared" ref="D32:AA32" si="3">C32+D6</f>
        <v>333</v>
      </c>
      <c r="E32" s="20">
        <f t="shared" si="3"/>
        <v>333</v>
      </c>
      <c r="F32" s="20">
        <f t="shared" si="3"/>
        <v>333</v>
      </c>
      <c r="G32" s="20">
        <f t="shared" si="3"/>
        <v>333</v>
      </c>
      <c r="H32" s="20">
        <f t="shared" si="3"/>
        <v>333</v>
      </c>
      <c r="I32" s="20">
        <f t="shared" si="3"/>
        <v>660</v>
      </c>
      <c r="J32" s="20">
        <f t="shared" si="3"/>
        <v>840</v>
      </c>
      <c r="K32" s="20">
        <f t="shared" si="3"/>
        <v>1149</v>
      </c>
      <c r="L32" s="20">
        <f t="shared" si="3"/>
        <v>1350</v>
      </c>
      <c r="M32" s="20">
        <f t="shared" si="3"/>
        <v>1710</v>
      </c>
      <c r="N32" s="20">
        <f t="shared" si="3"/>
        <v>2022</v>
      </c>
      <c r="O32" s="20">
        <f t="shared" si="3"/>
        <v>2409</v>
      </c>
      <c r="P32" s="20">
        <f t="shared" si="3"/>
        <v>2775</v>
      </c>
      <c r="Q32" s="20">
        <f t="shared" si="3"/>
        <v>3297</v>
      </c>
      <c r="R32" s="20">
        <f t="shared" si="3"/>
        <v>3579</v>
      </c>
      <c r="S32" s="20">
        <f t="shared" si="3"/>
        <v>4146</v>
      </c>
      <c r="T32" s="20">
        <f t="shared" si="3"/>
        <v>4383</v>
      </c>
      <c r="U32" s="20">
        <f t="shared" si="3"/>
        <v>4854</v>
      </c>
      <c r="V32" s="20">
        <f t="shared" si="3"/>
        <v>4929</v>
      </c>
      <c r="W32" s="20">
        <f t="shared" si="3"/>
        <v>5295</v>
      </c>
      <c r="X32" s="20">
        <f t="shared" si="3"/>
        <v>5436</v>
      </c>
      <c r="Y32" s="20">
        <f t="shared" si="3"/>
        <v>5781</v>
      </c>
      <c r="Z32" s="20">
        <f t="shared" si="3"/>
        <v>5910</v>
      </c>
      <c r="AA32" s="20">
        <f t="shared" si="3"/>
        <v>6209</v>
      </c>
      <c r="AB32" s="22">
        <f t="shared" ref="AB32:AB52" si="4">AA32</f>
        <v>6209</v>
      </c>
    </row>
    <row r="33" spans="1:28" ht="15" customHeight="1" x14ac:dyDescent="0.75">
      <c r="A33" s="17">
        <f t="shared" si="2"/>
        <v>666502</v>
      </c>
      <c r="B33" s="29" t="str">
        <f t="shared" si="2"/>
        <v>Bariatric</v>
      </c>
      <c r="C33" s="20">
        <f t="shared" si="2"/>
        <v>35</v>
      </c>
      <c r="D33" s="20">
        <f t="shared" ref="D33:AA33" si="5">C33+D7</f>
        <v>150</v>
      </c>
      <c r="E33" s="20">
        <f t="shared" si="5"/>
        <v>292</v>
      </c>
      <c r="F33" s="20">
        <f t="shared" si="5"/>
        <v>441</v>
      </c>
      <c r="G33" s="20">
        <f t="shared" si="5"/>
        <v>568</v>
      </c>
      <c r="H33" s="20">
        <f t="shared" si="5"/>
        <v>732</v>
      </c>
      <c r="I33" s="20">
        <f t="shared" si="5"/>
        <v>804</v>
      </c>
      <c r="J33" s="20">
        <f t="shared" si="5"/>
        <v>989</v>
      </c>
      <c r="K33" s="20">
        <f t="shared" si="5"/>
        <v>1160</v>
      </c>
      <c r="L33" s="20">
        <f t="shared" si="5"/>
        <v>1349</v>
      </c>
      <c r="M33" s="20">
        <f t="shared" si="5"/>
        <v>1503</v>
      </c>
      <c r="N33" s="20">
        <f t="shared" si="5"/>
        <v>1700</v>
      </c>
      <c r="O33" s="20">
        <f t="shared" si="5"/>
        <v>1824</v>
      </c>
      <c r="P33" s="20">
        <f t="shared" si="5"/>
        <v>2100</v>
      </c>
      <c r="Q33" s="20">
        <f t="shared" si="5"/>
        <v>2210</v>
      </c>
      <c r="R33" s="20">
        <f t="shared" si="5"/>
        <v>2430</v>
      </c>
      <c r="S33" s="20">
        <f t="shared" si="5"/>
        <v>2640</v>
      </c>
      <c r="T33" s="20">
        <f t="shared" si="5"/>
        <v>2791</v>
      </c>
      <c r="U33" s="20">
        <f t="shared" si="5"/>
        <v>2965</v>
      </c>
      <c r="V33" s="20">
        <f t="shared" si="5"/>
        <v>3144</v>
      </c>
      <c r="W33" s="20">
        <f t="shared" si="5"/>
        <v>3326</v>
      </c>
      <c r="X33" s="20">
        <f t="shared" si="5"/>
        <v>3504</v>
      </c>
      <c r="Y33" s="20">
        <f t="shared" si="5"/>
        <v>3673</v>
      </c>
      <c r="Z33" s="20">
        <f t="shared" si="5"/>
        <v>3816</v>
      </c>
      <c r="AA33" s="20">
        <f t="shared" si="5"/>
        <v>3952</v>
      </c>
      <c r="AB33" s="22">
        <f t="shared" si="4"/>
        <v>3952</v>
      </c>
    </row>
    <row r="34" spans="1:28" ht="15" customHeight="1" x14ac:dyDescent="0.75">
      <c r="A34" s="17">
        <f t="shared" si="2"/>
        <v>666505</v>
      </c>
      <c r="B34" s="29" t="str">
        <f t="shared" si="2"/>
        <v>Liver</v>
      </c>
      <c r="C34" s="20">
        <f t="shared" si="2"/>
        <v>20</v>
      </c>
      <c r="D34" s="20">
        <f t="shared" ref="D34:AA34" si="6">C34+D8</f>
        <v>20</v>
      </c>
      <c r="E34" s="20">
        <f t="shared" si="6"/>
        <v>80</v>
      </c>
      <c r="F34" s="20">
        <f t="shared" si="6"/>
        <v>80</v>
      </c>
      <c r="G34" s="20">
        <f t="shared" si="6"/>
        <v>140</v>
      </c>
      <c r="H34" s="20">
        <f t="shared" si="6"/>
        <v>140</v>
      </c>
      <c r="I34" s="20">
        <f t="shared" si="6"/>
        <v>200</v>
      </c>
      <c r="J34" s="20">
        <f t="shared" si="6"/>
        <v>200</v>
      </c>
      <c r="K34" s="20">
        <f t="shared" si="6"/>
        <v>264</v>
      </c>
      <c r="L34" s="20">
        <f t="shared" si="6"/>
        <v>264</v>
      </c>
      <c r="M34" s="20">
        <f t="shared" si="6"/>
        <v>323</v>
      </c>
      <c r="N34" s="20">
        <f t="shared" si="6"/>
        <v>328</v>
      </c>
      <c r="O34" s="20">
        <f t="shared" si="6"/>
        <v>392</v>
      </c>
      <c r="P34" s="20">
        <f t="shared" si="6"/>
        <v>392</v>
      </c>
      <c r="Q34" s="20">
        <f t="shared" si="6"/>
        <v>450</v>
      </c>
      <c r="R34" s="20">
        <f t="shared" si="6"/>
        <v>450</v>
      </c>
      <c r="S34" s="20">
        <f t="shared" si="6"/>
        <v>508</v>
      </c>
      <c r="T34" s="20">
        <f t="shared" si="6"/>
        <v>508</v>
      </c>
      <c r="U34" s="20">
        <f t="shared" si="6"/>
        <v>558</v>
      </c>
      <c r="V34" s="20">
        <f t="shared" si="6"/>
        <v>558</v>
      </c>
      <c r="W34" s="20">
        <f t="shared" si="6"/>
        <v>608</v>
      </c>
      <c r="X34" s="20">
        <f t="shared" si="6"/>
        <v>608</v>
      </c>
      <c r="Y34" s="20">
        <f t="shared" si="6"/>
        <v>648</v>
      </c>
      <c r="Z34" s="20">
        <f t="shared" si="6"/>
        <v>648</v>
      </c>
      <c r="AA34" s="20">
        <f t="shared" si="6"/>
        <v>688</v>
      </c>
      <c r="AB34" s="22">
        <f t="shared" si="4"/>
        <v>688</v>
      </c>
    </row>
    <row r="35" spans="1:28" ht="15" customHeight="1" x14ac:dyDescent="0.75">
      <c r="A35" s="17">
        <f t="shared" si="2"/>
        <v>666506</v>
      </c>
      <c r="B35" s="29" t="str">
        <f t="shared" si="2"/>
        <v>Pelvic Block Non-Intact</v>
      </c>
      <c r="C35" s="20">
        <f t="shared" si="2"/>
        <v>0</v>
      </c>
      <c r="D35" s="20">
        <f t="shared" ref="D35:AA35" si="7">C35+D9</f>
        <v>200</v>
      </c>
      <c r="E35" s="20">
        <f t="shared" si="7"/>
        <v>208</v>
      </c>
      <c r="F35" s="20">
        <f t="shared" si="7"/>
        <v>235</v>
      </c>
      <c r="G35" s="20">
        <f t="shared" si="7"/>
        <v>255</v>
      </c>
      <c r="H35" s="20">
        <f t="shared" si="7"/>
        <v>395</v>
      </c>
      <c r="I35" s="20">
        <f t="shared" si="7"/>
        <v>418</v>
      </c>
      <c r="J35" s="20">
        <f t="shared" si="7"/>
        <v>460</v>
      </c>
      <c r="K35" s="20">
        <f t="shared" si="7"/>
        <v>507</v>
      </c>
      <c r="L35" s="20">
        <f t="shared" si="7"/>
        <v>660</v>
      </c>
      <c r="M35" s="20">
        <f t="shared" si="7"/>
        <v>684</v>
      </c>
      <c r="N35" s="20">
        <f t="shared" si="7"/>
        <v>737</v>
      </c>
      <c r="O35" s="20">
        <f t="shared" si="7"/>
        <v>751</v>
      </c>
      <c r="P35" s="20">
        <f t="shared" si="7"/>
        <v>756</v>
      </c>
      <c r="Q35" s="20">
        <f t="shared" si="7"/>
        <v>781</v>
      </c>
      <c r="R35" s="20">
        <f t="shared" si="7"/>
        <v>841</v>
      </c>
      <c r="S35" s="20">
        <f t="shared" si="7"/>
        <v>995</v>
      </c>
      <c r="T35" s="20">
        <f t="shared" si="7"/>
        <v>1118</v>
      </c>
      <c r="U35" s="20">
        <f t="shared" si="7"/>
        <v>1237</v>
      </c>
      <c r="V35" s="20">
        <f t="shared" si="7"/>
        <v>1386</v>
      </c>
      <c r="W35" s="20">
        <f t="shared" si="7"/>
        <v>1589</v>
      </c>
      <c r="X35" s="20">
        <f t="shared" si="7"/>
        <v>1589</v>
      </c>
      <c r="Y35" s="20">
        <f t="shared" si="7"/>
        <v>1716</v>
      </c>
      <c r="Z35" s="20">
        <f t="shared" si="7"/>
        <v>1733</v>
      </c>
      <c r="AA35" s="20">
        <f t="shared" si="7"/>
        <v>1865</v>
      </c>
      <c r="AB35" s="22">
        <f t="shared" si="4"/>
        <v>1865</v>
      </c>
    </row>
    <row r="36" spans="1:28" ht="15" customHeight="1" x14ac:dyDescent="0.75">
      <c r="A36" s="17">
        <f t="shared" si="2"/>
        <v>666507</v>
      </c>
      <c r="B36" s="29" t="str">
        <f t="shared" si="2"/>
        <v>Full Body</v>
      </c>
      <c r="C36" s="20">
        <f t="shared" si="2"/>
        <v>19</v>
      </c>
      <c r="D36" s="20">
        <f t="shared" ref="D36:AA36" si="8">C36+D10</f>
        <v>60</v>
      </c>
      <c r="E36" s="20">
        <f t="shared" si="8"/>
        <v>91</v>
      </c>
      <c r="F36" s="20">
        <f t="shared" si="8"/>
        <v>108</v>
      </c>
      <c r="G36" s="20">
        <f t="shared" si="8"/>
        <v>113</v>
      </c>
      <c r="H36" s="20">
        <f t="shared" si="8"/>
        <v>157</v>
      </c>
      <c r="I36" s="20">
        <f t="shared" si="8"/>
        <v>186</v>
      </c>
      <c r="J36" s="20">
        <f t="shared" si="8"/>
        <v>199</v>
      </c>
      <c r="K36" s="20">
        <f t="shared" si="8"/>
        <v>215</v>
      </c>
      <c r="L36" s="20">
        <f t="shared" si="8"/>
        <v>242</v>
      </c>
      <c r="M36" s="20">
        <f t="shared" si="8"/>
        <v>263</v>
      </c>
      <c r="N36" s="20">
        <f t="shared" si="8"/>
        <v>278</v>
      </c>
      <c r="O36" s="20">
        <f t="shared" si="8"/>
        <v>294</v>
      </c>
      <c r="P36" s="20">
        <f t="shared" si="8"/>
        <v>320</v>
      </c>
      <c r="Q36" s="20">
        <f t="shared" si="8"/>
        <v>320</v>
      </c>
      <c r="R36" s="20">
        <f t="shared" si="8"/>
        <v>336</v>
      </c>
      <c r="S36" s="20">
        <f t="shared" si="8"/>
        <v>336</v>
      </c>
      <c r="T36" s="20">
        <f t="shared" si="8"/>
        <v>352</v>
      </c>
      <c r="U36" s="20">
        <f t="shared" si="8"/>
        <v>352</v>
      </c>
      <c r="V36" s="20">
        <f t="shared" si="8"/>
        <v>368</v>
      </c>
      <c r="W36" s="20">
        <f t="shared" si="8"/>
        <v>368</v>
      </c>
      <c r="X36" s="20">
        <f t="shared" si="8"/>
        <v>384</v>
      </c>
      <c r="Y36" s="20">
        <f t="shared" si="8"/>
        <v>392</v>
      </c>
      <c r="Z36" s="20">
        <f t="shared" si="8"/>
        <v>392</v>
      </c>
      <c r="AA36" s="20">
        <f t="shared" si="8"/>
        <v>392</v>
      </c>
      <c r="AB36" s="22">
        <f t="shared" si="4"/>
        <v>392</v>
      </c>
    </row>
    <row r="37" spans="1:28" ht="15" customHeight="1" x14ac:dyDescent="0.75">
      <c r="A37" s="17">
        <f t="shared" si="2"/>
        <v>666509</v>
      </c>
      <c r="B37" s="29" t="str">
        <f t="shared" si="2"/>
        <v>Jejunum 6'</v>
      </c>
      <c r="C37" s="20">
        <f t="shared" si="2"/>
        <v>23</v>
      </c>
      <c r="D37" s="20">
        <f t="shared" ref="D37:AA37" si="9">C37+D11</f>
        <v>106</v>
      </c>
      <c r="E37" s="20">
        <f t="shared" si="9"/>
        <v>169</v>
      </c>
      <c r="F37" s="20">
        <f t="shared" si="9"/>
        <v>191</v>
      </c>
      <c r="G37" s="20">
        <f t="shared" si="9"/>
        <v>251</v>
      </c>
      <c r="H37" s="20">
        <f t="shared" si="9"/>
        <v>291</v>
      </c>
      <c r="I37" s="20">
        <f t="shared" si="9"/>
        <v>291</v>
      </c>
      <c r="J37" s="20">
        <f t="shared" si="9"/>
        <v>291</v>
      </c>
      <c r="K37" s="20">
        <f t="shared" si="9"/>
        <v>386</v>
      </c>
      <c r="L37" s="20">
        <f t="shared" si="9"/>
        <v>395</v>
      </c>
      <c r="M37" s="20">
        <f t="shared" si="9"/>
        <v>450</v>
      </c>
      <c r="N37" s="20">
        <f t="shared" si="9"/>
        <v>495</v>
      </c>
      <c r="O37" s="20">
        <f t="shared" si="9"/>
        <v>561</v>
      </c>
      <c r="P37" s="20">
        <f t="shared" si="9"/>
        <v>595</v>
      </c>
      <c r="Q37" s="20">
        <f t="shared" si="9"/>
        <v>630</v>
      </c>
      <c r="R37" s="20">
        <f t="shared" si="9"/>
        <v>663</v>
      </c>
      <c r="S37" s="20">
        <f t="shared" si="9"/>
        <v>705</v>
      </c>
      <c r="T37" s="20">
        <f t="shared" si="9"/>
        <v>731</v>
      </c>
      <c r="U37" s="20">
        <f t="shared" si="9"/>
        <v>781</v>
      </c>
      <c r="V37" s="20">
        <f t="shared" si="9"/>
        <v>781</v>
      </c>
      <c r="W37" s="20">
        <f t="shared" si="9"/>
        <v>831</v>
      </c>
      <c r="X37" s="20">
        <f t="shared" si="9"/>
        <v>831</v>
      </c>
      <c r="Y37" s="20">
        <f t="shared" si="9"/>
        <v>866</v>
      </c>
      <c r="Z37" s="20">
        <f t="shared" si="9"/>
        <v>881</v>
      </c>
      <c r="AA37" s="20">
        <f t="shared" si="9"/>
        <v>901</v>
      </c>
      <c r="AB37" s="22">
        <f t="shared" si="4"/>
        <v>901</v>
      </c>
    </row>
    <row r="38" spans="1:28" ht="15" customHeight="1" x14ac:dyDescent="0.75">
      <c r="A38" s="17">
        <f t="shared" si="2"/>
        <v>666510</v>
      </c>
      <c r="B38" s="29" t="str">
        <f t="shared" si="2"/>
        <v>Jejunum 2'</v>
      </c>
      <c r="C38" s="20">
        <f t="shared" si="2"/>
        <v>0</v>
      </c>
      <c r="D38" s="20">
        <f t="shared" ref="D38:AA38" si="10">C38+D12</f>
        <v>0</v>
      </c>
      <c r="E38" s="20">
        <f t="shared" si="10"/>
        <v>0</v>
      </c>
      <c r="F38" s="20">
        <f t="shared" si="10"/>
        <v>0</v>
      </c>
      <c r="G38" s="20">
        <f t="shared" si="10"/>
        <v>0</v>
      </c>
      <c r="H38" s="20">
        <f t="shared" si="10"/>
        <v>0</v>
      </c>
      <c r="I38" s="20">
        <f t="shared" si="10"/>
        <v>0</v>
      </c>
      <c r="J38" s="20">
        <f t="shared" si="10"/>
        <v>0</v>
      </c>
      <c r="K38" s="20">
        <f t="shared" si="10"/>
        <v>0</v>
      </c>
      <c r="L38" s="20">
        <f t="shared" si="10"/>
        <v>0</v>
      </c>
      <c r="M38" s="20">
        <f t="shared" si="10"/>
        <v>0</v>
      </c>
      <c r="N38" s="20">
        <f t="shared" si="10"/>
        <v>0</v>
      </c>
      <c r="O38" s="20">
        <f t="shared" si="10"/>
        <v>0</v>
      </c>
      <c r="P38" s="20">
        <f t="shared" si="10"/>
        <v>0</v>
      </c>
      <c r="Q38" s="20">
        <f t="shared" si="10"/>
        <v>0</v>
      </c>
      <c r="R38" s="20">
        <f t="shared" si="10"/>
        <v>0</v>
      </c>
      <c r="S38" s="20">
        <f t="shared" si="10"/>
        <v>0</v>
      </c>
      <c r="T38" s="20">
        <f t="shared" si="10"/>
        <v>0</v>
      </c>
      <c r="U38" s="20">
        <f t="shared" si="10"/>
        <v>0</v>
      </c>
      <c r="V38" s="20">
        <f t="shared" si="10"/>
        <v>0</v>
      </c>
      <c r="W38" s="20">
        <f t="shared" si="10"/>
        <v>0</v>
      </c>
      <c r="X38" s="20">
        <f t="shared" si="10"/>
        <v>0</v>
      </c>
      <c r="Y38" s="20">
        <f t="shared" si="10"/>
        <v>0</v>
      </c>
      <c r="Z38" s="20">
        <f t="shared" si="10"/>
        <v>0</v>
      </c>
      <c r="AA38" s="20">
        <f t="shared" si="10"/>
        <v>0</v>
      </c>
      <c r="AB38" s="22">
        <f t="shared" si="4"/>
        <v>0</v>
      </c>
    </row>
    <row r="39" spans="1:28" ht="15" customHeight="1" x14ac:dyDescent="0.75">
      <c r="A39" s="17">
        <f t="shared" si="2"/>
        <v>666511</v>
      </c>
      <c r="B39" s="29" t="str">
        <f t="shared" si="2"/>
        <v>Kidney</v>
      </c>
      <c r="C39" s="20">
        <f t="shared" si="2"/>
        <v>0</v>
      </c>
      <c r="D39" s="20">
        <f t="shared" ref="D39:AA39" si="11">C39+D13</f>
        <v>6</v>
      </c>
      <c r="E39" s="20">
        <f t="shared" si="11"/>
        <v>14</v>
      </c>
      <c r="F39" s="20">
        <f t="shared" si="11"/>
        <v>14</v>
      </c>
      <c r="G39" s="20">
        <f t="shared" si="11"/>
        <v>14</v>
      </c>
      <c r="H39" s="20">
        <f t="shared" si="11"/>
        <v>22</v>
      </c>
      <c r="I39" s="20">
        <f t="shared" si="11"/>
        <v>22</v>
      </c>
      <c r="J39" s="20">
        <f t="shared" si="11"/>
        <v>30</v>
      </c>
      <c r="K39" s="20">
        <f t="shared" si="11"/>
        <v>34</v>
      </c>
      <c r="L39" s="20">
        <f t="shared" si="11"/>
        <v>38</v>
      </c>
      <c r="M39" s="20">
        <f t="shared" si="11"/>
        <v>38</v>
      </c>
      <c r="N39" s="20">
        <f t="shared" si="11"/>
        <v>46</v>
      </c>
      <c r="O39" s="20">
        <f t="shared" si="11"/>
        <v>46</v>
      </c>
      <c r="P39" s="20">
        <f t="shared" si="11"/>
        <v>54</v>
      </c>
      <c r="Q39" s="20">
        <f t="shared" si="11"/>
        <v>54</v>
      </c>
      <c r="R39" s="20">
        <f t="shared" si="11"/>
        <v>60</v>
      </c>
      <c r="S39" s="20">
        <f t="shared" si="11"/>
        <v>60</v>
      </c>
      <c r="T39" s="20">
        <f t="shared" si="11"/>
        <v>66</v>
      </c>
      <c r="U39" s="20">
        <f t="shared" si="11"/>
        <v>66</v>
      </c>
      <c r="V39" s="20">
        <f t="shared" si="11"/>
        <v>72</v>
      </c>
      <c r="W39" s="20">
        <f t="shared" si="11"/>
        <v>72</v>
      </c>
      <c r="X39" s="20">
        <f t="shared" si="11"/>
        <v>76</v>
      </c>
      <c r="Y39" s="20">
        <f t="shared" si="11"/>
        <v>76</v>
      </c>
      <c r="Z39" s="20">
        <f t="shared" si="11"/>
        <v>80</v>
      </c>
      <c r="AA39" s="20">
        <f t="shared" si="11"/>
        <v>80</v>
      </c>
      <c r="AB39" s="22">
        <f t="shared" si="4"/>
        <v>80</v>
      </c>
    </row>
    <row r="40" spans="1:28" ht="15" customHeight="1" x14ac:dyDescent="0.75">
      <c r="A40" s="17">
        <f t="shared" si="2"/>
        <v>666513</v>
      </c>
      <c r="B40" s="29" t="str">
        <f t="shared" si="2"/>
        <v>Liver w/GB</v>
      </c>
      <c r="C40" s="20">
        <f t="shared" si="2"/>
        <v>20</v>
      </c>
      <c r="D40" s="20">
        <f t="shared" ref="D40:AA40" si="12">C40+D14</f>
        <v>20</v>
      </c>
      <c r="E40" s="20">
        <f t="shared" si="12"/>
        <v>20</v>
      </c>
      <c r="F40" s="20">
        <f t="shared" si="12"/>
        <v>20</v>
      </c>
      <c r="G40" s="20">
        <f t="shared" si="12"/>
        <v>20</v>
      </c>
      <c r="H40" s="20">
        <f t="shared" si="12"/>
        <v>20</v>
      </c>
      <c r="I40" s="20">
        <f t="shared" si="12"/>
        <v>20</v>
      </c>
      <c r="J40" s="20">
        <f t="shared" si="12"/>
        <v>20</v>
      </c>
      <c r="K40" s="20">
        <f t="shared" si="12"/>
        <v>20</v>
      </c>
      <c r="L40" s="20">
        <f t="shared" si="12"/>
        <v>20</v>
      </c>
      <c r="M40" s="20">
        <f t="shared" si="12"/>
        <v>20</v>
      </c>
      <c r="N40" s="20">
        <f t="shared" si="12"/>
        <v>20</v>
      </c>
      <c r="O40" s="20">
        <f t="shared" si="12"/>
        <v>20</v>
      </c>
      <c r="P40" s="20">
        <f t="shared" si="12"/>
        <v>20</v>
      </c>
      <c r="Q40" s="20">
        <f t="shared" si="12"/>
        <v>40</v>
      </c>
      <c r="R40" s="20">
        <f t="shared" si="12"/>
        <v>40</v>
      </c>
      <c r="S40" s="20">
        <f t="shared" si="12"/>
        <v>60</v>
      </c>
      <c r="T40" s="20">
        <f t="shared" si="12"/>
        <v>60</v>
      </c>
      <c r="U40" s="20">
        <f t="shared" si="12"/>
        <v>88</v>
      </c>
      <c r="V40" s="20">
        <f t="shared" si="12"/>
        <v>88</v>
      </c>
      <c r="W40" s="20">
        <f t="shared" si="12"/>
        <v>116</v>
      </c>
      <c r="X40" s="20">
        <f t="shared" si="12"/>
        <v>116</v>
      </c>
      <c r="Y40" s="20">
        <f t="shared" si="12"/>
        <v>164</v>
      </c>
      <c r="Z40" s="20">
        <f t="shared" si="12"/>
        <v>164</v>
      </c>
      <c r="AA40" s="20">
        <f t="shared" si="12"/>
        <v>212</v>
      </c>
      <c r="AB40" s="22">
        <f t="shared" si="4"/>
        <v>212</v>
      </c>
    </row>
    <row r="41" spans="1:28" ht="15" customHeight="1" x14ac:dyDescent="0.75">
      <c r="A41" s="17">
        <f t="shared" si="2"/>
        <v>666516</v>
      </c>
      <c r="B41" s="29" t="str">
        <f t="shared" si="2"/>
        <v>Omentum</v>
      </c>
      <c r="C41" s="20">
        <f t="shared" si="2"/>
        <v>26</v>
      </c>
      <c r="D41" s="20">
        <f t="shared" ref="D41:AA41" si="13">C41+D15</f>
        <v>32</v>
      </c>
      <c r="E41" s="20">
        <f t="shared" si="13"/>
        <v>56</v>
      </c>
      <c r="F41" s="20">
        <f t="shared" si="13"/>
        <v>56</v>
      </c>
      <c r="G41" s="20">
        <f t="shared" si="13"/>
        <v>96</v>
      </c>
      <c r="H41" s="20">
        <f t="shared" si="13"/>
        <v>96</v>
      </c>
      <c r="I41" s="20">
        <f t="shared" si="13"/>
        <v>110</v>
      </c>
      <c r="J41" s="20">
        <f t="shared" si="13"/>
        <v>116</v>
      </c>
      <c r="K41" s="20">
        <f t="shared" si="13"/>
        <v>184</v>
      </c>
      <c r="L41" s="20">
        <f t="shared" si="13"/>
        <v>184</v>
      </c>
      <c r="M41" s="20">
        <f t="shared" si="13"/>
        <v>239</v>
      </c>
      <c r="N41" s="20">
        <f t="shared" si="13"/>
        <v>252</v>
      </c>
      <c r="O41" s="20">
        <f t="shared" si="13"/>
        <v>320</v>
      </c>
      <c r="P41" s="20">
        <f t="shared" si="13"/>
        <v>320</v>
      </c>
      <c r="Q41" s="20">
        <f t="shared" si="13"/>
        <v>382</v>
      </c>
      <c r="R41" s="20">
        <f t="shared" si="13"/>
        <v>382</v>
      </c>
      <c r="S41" s="20">
        <f t="shared" si="13"/>
        <v>444</v>
      </c>
      <c r="T41" s="20">
        <f t="shared" si="13"/>
        <v>444</v>
      </c>
      <c r="U41" s="20">
        <f t="shared" si="13"/>
        <v>498</v>
      </c>
      <c r="V41" s="20">
        <f t="shared" si="13"/>
        <v>498</v>
      </c>
      <c r="W41" s="20">
        <f t="shared" si="13"/>
        <v>538</v>
      </c>
      <c r="X41" s="20">
        <f t="shared" si="13"/>
        <v>538</v>
      </c>
      <c r="Y41" s="20">
        <f t="shared" si="13"/>
        <v>570</v>
      </c>
      <c r="Z41" s="20">
        <f t="shared" si="13"/>
        <v>570</v>
      </c>
      <c r="AA41" s="20">
        <f t="shared" si="13"/>
        <v>602</v>
      </c>
      <c r="AB41" s="22">
        <f t="shared" si="4"/>
        <v>602</v>
      </c>
    </row>
    <row r="42" spans="1:28" ht="15" customHeight="1" x14ac:dyDescent="0.75">
      <c r="A42" s="17">
        <f t="shared" si="2"/>
        <v>666517</v>
      </c>
      <c r="B42" s="29" t="str">
        <f t="shared" si="2"/>
        <v>Pancreas</v>
      </c>
      <c r="C42" s="20">
        <f t="shared" si="2"/>
        <v>30</v>
      </c>
      <c r="D42" s="20">
        <f t="shared" ref="D42:AA42" si="14">C42+D16</f>
        <v>41</v>
      </c>
      <c r="E42" s="20">
        <f t="shared" si="14"/>
        <v>79</v>
      </c>
      <c r="F42" s="20">
        <f t="shared" si="14"/>
        <v>79</v>
      </c>
      <c r="G42" s="20">
        <f t="shared" si="14"/>
        <v>127</v>
      </c>
      <c r="H42" s="20">
        <f t="shared" si="14"/>
        <v>127</v>
      </c>
      <c r="I42" s="20">
        <f t="shared" si="14"/>
        <v>169</v>
      </c>
      <c r="J42" s="20">
        <f t="shared" si="14"/>
        <v>169</v>
      </c>
      <c r="K42" s="20">
        <f t="shared" si="14"/>
        <v>235</v>
      </c>
      <c r="L42" s="20">
        <f t="shared" si="14"/>
        <v>235</v>
      </c>
      <c r="M42" s="20">
        <f t="shared" si="14"/>
        <v>301</v>
      </c>
      <c r="N42" s="20">
        <f t="shared" si="14"/>
        <v>301</v>
      </c>
      <c r="O42" s="20">
        <f t="shared" si="14"/>
        <v>358</v>
      </c>
      <c r="P42" s="20">
        <f t="shared" si="14"/>
        <v>367</v>
      </c>
      <c r="Q42" s="20">
        <f t="shared" si="14"/>
        <v>423</v>
      </c>
      <c r="R42" s="20">
        <f t="shared" si="14"/>
        <v>423</v>
      </c>
      <c r="S42" s="20">
        <f t="shared" si="14"/>
        <v>478</v>
      </c>
      <c r="T42" s="20">
        <f t="shared" si="14"/>
        <v>478</v>
      </c>
      <c r="U42" s="20">
        <f t="shared" si="14"/>
        <v>526</v>
      </c>
      <c r="V42" s="20">
        <f t="shared" si="14"/>
        <v>526</v>
      </c>
      <c r="W42" s="20">
        <f t="shared" si="14"/>
        <v>570</v>
      </c>
      <c r="X42" s="20">
        <f t="shared" si="14"/>
        <v>570</v>
      </c>
      <c r="Y42" s="20">
        <f t="shared" si="14"/>
        <v>602</v>
      </c>
      <c r="Z42" s="20">
        <f t="shared" si="14"/>
        <v>602</v>
      </c>
      <c r="AA42" s="20">
        <f t="shared" si="14"/>
        <v>634</v>
      </c>
      <c r="AB42" s="22">
        <f t="shared" si="4"/>
        <v>634</v>
      </c>
    </row>
    <row r="43" spans="1:28" ht="15" customHeight="1" x14ac:dyDescent="0.75">
      <c r="A43" s="17">
        <f t="shared" si="2"/>
        <v>666518</v>
      </c>
      <c r="B43" s="29" t="str">
        <f t="shared" si="2"/>
        <v>Pelvic Block SM Intact</v>
      </c>
      <c r="C43" s="20">
        <f t="shared" si="2"/>
        <v>0</v>
      </c>
      <c r="D43" s="20">
        <f t="shared" ref="D43:AA43" si="15">C43+D17</f>
        <v>0</v>
      </c>
      <c r="E43" s="20">
        <f t="shared" si="15"/>
        <v>0</v>
      </c>
      <c r="F43" s="20">
        <f t="shared" si="15"/>
        <v>0</v>
      </c>
      <c r="G43" s="20">
        <f t="shared" si="15"/>
        <v>0</v>
      </c>
      <c r="H43" s="20">
        <f t="shared" si="15"/>
        <v>0</v>
      </c>
      <c r="I43" s="20">
        <f t="shared" si="15"/>
        <v>0</v>
      </c>
      <c r="J43" s="20">
        <f t="shared" si="15"/>
        <v>0</v>
      </c>
      <c r="K43" s="20">
        <f t="shared" si="15"/>
        <v>0</v>
      </c>
      <c r="L43" s="20">
        <f t="shared" si="15"/>
        <v>0</v>
      </c>
      <c r="M43" s="20">
        <f t="shared" si="15"/>
        <v>0</v>
      </c>
      <c r="N43" s="20">
        <f t="shared" si="15"/>
        <v>0</v>
      </c>
      <c r="O43" s="20">
        <f t="shared" si="15"/>
        <v>0</v>
      </c>
      <c r="P43" s="20">
        <f t="shared" si="15"/>
        <v>0</v>
      </c>
      <c r="Q43" s="20">
        <f t="shared" si="15"/>
        <v>0</v>
      </c>
      <c r="R43" s="20">
        <f t="shared" si="15"/>
        <v>0</v>
      </c>
      <c r="S43" s="20">
        <f t="shared" si="15"/>
        <v>0</v>
      </c>
      <c r="T43" s="20">
        <f t="shared" si="15"/>
        <v>0</v>
      </c>
      <c r="U43" s="20">
        <f t="shared" si="15"/>
        <v>0</v>
      </c>
      <c r="V43" s="20">
        <f t="shared" si="15"/>
        <v>0</v>
      </c>
      <c r="W43" s="20">
        <f t="shared" si="15"/>
        <v>0</v>
      </c>
      <c r="X43" s="20">
        <f t="shared" si="15"/>
        <v>0</v>
      </c>
      <c r="Y43" s="20">
        <f t="shared" si="15"/>
        <v>0</v>
      </c>
      <c r="Z43" s="20">
        <f t="shared" si="15"/>
        <v>0</v>
      </c>
      <c r="AA43" s="20">
        <f t="shared" si="15"/>
        <v>0</v>
      </c>
      <c r="AB43" s="22">
        <f t="shared" si="4"/>
        <v>0</v>
      </c>
    </row>
    <row r="44" spans="1:28" ht="15" customHeight="1" x14ac:dyDescent="0.75">
      <c r="A44" s="17">
        <f t="shared" si="2"/>
        <v>666519</v>
      </c>
      <c r="B44" s="29" t="str">
        <f t="shared" si="2"/>
        <v>Spleen</v>
      </c>
      <c r="C44" s="20">
        <f t="shared" si="2"/>
        <v>27</v>
      </c>
      <c r="D44" s="20">
        <f t="shared" ref="D44:AA44" si="16">C44+D18</f>
        <v>32</v>
      </c>
      <c r="E44" s="20">
        <f t="shared" si="16"/>
        <v>66</v>
      </c>
      <c r="F44" s="20">
        <f t="shared" si="16"/>
        <v>66</v>
      </c>
      <c r="G44" s="20">
        <f t="shared" si="16"/>
        <v>126</v>
      </c>
      <c r="H44" s="20">
        <f t="shared" si="16"/>
        <v>126</v>
      </c>
      <c r="I44" s="20">
        <f t="shared" si="16"/>
        <v>188</v>
      </c>
      <c r="J44" s="20">
        <f t="shared" si="16"/>
        <v>188</v>
      </c>
      <c r="K44" s="20">
        <f t="shared" si="16"/>
        <v>254</v>
      </c>
      <c r="L44" s="20">
        <f t="shared" si="16"/>
        <v>254</v>
      </c>
      <c r="M44" s="20">
        <f t="shared" si="16"/>
        <v>314</v>
      </c>
      <c r="N44" s="20">
        <f t="shared" si="16"/>
        <v>320</v>
      </c>
      <c r="O44" s="20">
        <f t="shared" si="16"/>
        <v>386</v>
      </c>
      <c r="P44" s="20">
        <f t="shared" si="16"/>
        <v>386</v>
      </c>
      <c r="Q44" s="20">
        <f t="shared" si="16"/>
        <v>438</v>
      </c>
      <c r="R44" s="20">
        <f t="shared" si="16"/>
        <v>438</v>
      </c>
      <c r="S44" s="20">
        <f t="shared" si="16"/>
        <v>490</v>
      </c>
      <c r="T44" s="20">
        <f t="shared" si="16"/>
        <v>490</v>
      </c>
      <c r="U44" s="20">
        <f t="shared" si="16"/>
        <v>542</v>
      </c>
      <c r="V44" s="20">
        <f t="shared" si="16"/>
        <v>542</v>
      </c>
      <c r="W44" s="20">
        <f t="shared" si="16"/>
        <v>594</v>
      </c>
      <c r="X44" s="20">
        <f t="shared" si="16"/>
        <v>594</v>
      </c>
      <c r="Y44" s="20">
        <f t="shared" si="16"/>
        <v>638</v>
      </c>
      <c r="Z44" s="20">
        <f t="shared" si="16"/>
        <v>638</v>
      </c>
      <c r="AA44" s="20">
        <f t="shared" si="16"/>
        <v>682</v>
      </c>
      <c r="AB44" s="22">
        <f t="shared" si="4"/>
        <v>682</v>
      </c>
    </row>
    <row r="45" spans="1:28" ht="15" customHeight="1" x14ac:dyDescent="0.75">
      <c r="A45" s="17">
        <f t="shared" si="2"/>
        <v>666521</v>
      </c>
      <c r="B45" s="29" t="str">
        <f t="shared" si="2"/>
        <v>Hearts</v>
      </c>
      <c r="C45" s="20">
        <f t="shared" si="2"/>
        <v>0</v>
      </c>
      <c r="D45" s="20">
        <f t="shared" ref="D45:AA45" si="17">C45+D19</f>
        <v>0</v>
      </c>
      <c r="E45" s="20">
        <f t="shared" si="17"/>
        <v>0</v>
      </c>
      <c r="F45" s="20">
        <f t="shared" si="17"/>
        <v>0</v>
      </c>
      <c r="G45" s="20">
        <f t="shared" si="17"/>
        <v>0</v>
      </c>
      <c r="H45" s="20">
        <f t="shared" si="17"/>
        <v>0</v>
      </c>
      <c r="I45" s="20">
        <f t="shared" si="17"/>
        <v>0</v>
      </c>
      <c r="J45" s="20">
        <f t="shared" si="17"/>
        <v>0</v>
      </c>
      <c r="K45" s="20">
        <f t="shared" si="17"/>
        <v>9</v>
      </c>
      <c r="L45" s="20">
        <f t="shared" si="17"/>
        <v>54</v>
      </c>
      <c r="M45" s="20">
        <f t="shared" si="17"/>
        <v>71</v>
      </c>
      <c r="N45" s="20">
        <f t="shared" si="17"/>
        <v>87</v>
      </c>
      <c r="O45" s="20">
        <f t="shared" si="17"/>
        <v>111</v>
      </c>
      <c r="P45" s="20">
        <f t="shared" si="17"/>
        <v>139</v>
      </c>
      <c r="Q45" s="20">
        <f t="shared" si="17"/>
        <v>192</v>
      </c>
      <c r="R45" s="20">
        <f t="shared" si="17"/>
        <v>213</v>
      </c>
      <c r="S45" s="20">
        <f t="shared" si="17"/>
        <v>287</v>
      </c>
      <c r="T45" s="20">
        <f t="shared" si="17"/>
        <v>333</v>
      </c>
      <c r="U45" s="20">
        <f t="shared" si="17"/>
        <v>374</v>
      </c>
      <c r="V45" s="20">
        <f t="shared" si="17"/>
        <v>413</v>
      </c>
      <c r="W45" s="20">
        <f t="shared" si="17"/>
        <v>462</v>
      </c>
      <c r="X45" s="20">
        <f t="shared" si="17"/>
        <v>477</v>
      </c>
      <c r="Y45" s="20">
        <f t="shared" si="17"/>
        <v>525</v>
      </c>
      <c r="Z45" s="20">
        <f t="shared" si="17"/>
        <v>525</v>
      </c>
      <c r="AA45" s="20">
        <f t="shared" si="17"/>
        <v>549</v>
      </c>
      <c r="AB45" s="22">
        <f t="shared" si="4"/>
        <v>549</v>
      </c>
    </row>
    <row r="46" spans="1:28" ht="15" customHeight="1" x14ac:dyDescent="0.75">
      <c r="A46" s="17">
        <f t="shared" si="2"/>
        <v>666522</v>
      </c>
      <c r="B46" s="29" t="str">
        <f t="shared" si="2"/>
        <v>Ureters</v>
      </c>
      <c r="C46" s="20">
        <f t="shared" si="2"/>
        <v>275</v>
      </c>
      <c r="D46" s="20">
        <f t="shared" ref="D46:AA46" si="18">C46+D20</f>
        <v>320</v>
      </c>
      <c r="E46" s="20">
        <f t="shared" si="18"/>
        <v>725</v>
      </c>
      <c r="F46" s="20">
        <f t="shared" si="18"/>
        <v>760</v>
      </c>
      <c r="G46" s="20">
        <f t="shared" si="18"/>
        <v>1125</v>
      </c>
      <c r="H46" s="20">
        <f t="shared" si="18"/>
        <v>1150</v>
      </c>
      <c r="I46" s="20">
        <f t="shared" si="18"/>
        <v>1485</v>
      </c>
      <c r="J46" s="20">
        <f t="shared" si="18"/>
        <v>1510</v>
      </c>
      <c r="K46" s="20">
        <f t="shared" si="18"/>
        <v>1710</v>
      </c>
      <c r="L46" s="20">
        <f t="shared" si="18"/>
        <v>1710</v>
      </c>
      <c r="M46" s="20">
        <f t="shared" si="18"/>
        <v>1970</v>
      </c>
      <c r="N46" s="20">
        <f t="shared" si="18"/>
        <v>2115</v>
      </c>
      <c r="O46" s="20">
        <f t="shared" si="18"/>
        <v>2465</v>
      </c>
      <c r="P46" s="20">
        <f t="shared" si="18"/>
        <v>2515</v>
      </c>
      <c r="Q46" s="20">
        <f t="shared" si="18"/>
        <v>2905</v>
      </c>
      <c r="R46" s="20">
        <f t="shared" si="18"/>
        <v>2975</v>
      </c>
      <c r="S46" s="20">
        <f t="shared" si="18"/>
        <v>3360</v>
      </c>
      <c r="T46" s="20">
        <f t="shared" si="18"/>
        <v>3395</v>
      </c>
      <c r="U46" s="20">
        <f t="shared" si="18"/>
        <v>3750</v>
      </c>
      <c r="V46" s="20">
        <f t="shared" si="18"/>
        <v>3750</v>
      </c>
      <c r="W46" s="20">
        <f t="shared" si="18"/>
        <v>4010</v>
      </c>
      <c r="X46" s="20">
        <f t="shared" si="18"/>
        <v>4155</v>
      </c>
      <c r="Y46" s="20">
        <f t="shared" si="18"/>
        <v>4390</v>
      </c>
      <c r="Z46" s="20">
        <f t="shared" si="18"/>
        <v>4460</v>
      </c>
      <c r="AA46" s="20">
        <f t="shared" si="18"/>
        <v>4640</v>
      </c>
      <c r="AB46" s="22">
        <f t="shared" si="4"/>
        <v>4640</v>
      </c>
    </row>
    <row r="47" spans="1:28" ht="15" customHeight="1" x14ac:dyDescent="0.75">
      <c r="A47" s="17">
        <f t="shared" si="2"/>
        <v>666523</v>
      </c>
      <c r="B47" s="29" t="str">
        <f t="shared" si="2"/>
        <v>Vena Cava</v>
      </c>
      <c r="C47" s="20">
        <f t="shared" si="2"/>
        <v>0</v>
      </c>
      <c r="D47" s="20">
        <f t="shared" ref="D47:AA47" si="19">C47+D21</f>
        <v>112</v>
      </c>
      <c r="E47" s="20">
        <f t="shared" si="19"/>
        <v>162</v>
      </c>
      <c r="F47" s="20">
        <f t="shared" si="19"/>
        <v>162</v>
      </c>
      <c r="G47" s="20">
        <f t="shared" si="19"/>
        <v>221</v>
      </c>
      <c r="H47" s="20">
        <f t="shared" si="19"/>
        <v>221</v>
      </c>
      <c r="I47" s="20">
        <f t="shared" si="19"/>
        <v>281</v>
      </c>
      <c r="J47" s="20">
        <f t="shared" si="19"/>
        <v>281</v>
      </c>
      <c r="K47" s="20">
        <f t="shared" si="19"/>
        <v>331</v>
      </c>
      <c r="L47" s="20">
        <f t="shared" si="19"/>
        <v>331</v>
      </c>
      <c r="M47" s="20">
        <f t="shared" si="19"/>
        <v>381</v>
      </c>
      <c r="N47" s="20">
        <f t="shared" si="19"/>
        <v>381</v>
      </c>
      <c r="O47" s="20">
        <f t="shared" si="19"/>
        <v>431</v>
      </c>
      <c r="P47" s="20">
        <f t="shared" si="19"/>
        <v>431</v>
      </c>
      <c r="Q47" s="20">
        <f t="shared" si="19"/>
        <v>471</v>
      </c>
      <c r="R47" s="20">
        <f t="shared" si="19"/>
        <v>471</v>
      </c>
      <c r="S47" s="20">
        <f t="shared" si="19"/>
        <v>511</v>
      </c>
      <c r="T47" s="20">
        <f t="shared" si="19"/>
        <v>511</v>
      </c>
      <c r="U47" s="20">
        <f t="shared" si="19"/>
        <v>551</v>
      </c>
      <c r="V47" s="20">
        <f t="shared" si="19"/>
        <v>551</v>
      </c>
      <c r="W47" s="20">
        <f t="shared" si="19"/>
        <v>583</v>
      </c>
      <c r="X47" s="20">
        <f t="shared" si="19"/>
        <v>583</v>
      </c>
      <c r="Y47" s="20">
        <f t="shared" si="19"/>
        <v>611</v>
      </c>
      <c r="Z47" s="20">
        <f t="shared" si="19"/>
        <v>611</v>
      </c>
      <c r="AA47" s="20">
        <f t="shared" si="19"/>
        <v>639</v>
      </c>
      <c r="AB47" s="22">
        <f t="shared" si="4"/>
        <v>639</v>
      </c>
    </row>
    <row r="48" spans="1:28" ht="15" customHeight="1" x14ac:dyDescent="0.75">
      <c r="A48" s="17">
        <f t="shared" si="2"/>
        <v>666530</v>
      </c>
      <c r="B48" s="29" t="str">
        <f t="shared" si="2"/>
        <v>Stomach</v>
      </c>
      <c r="C48" s="20">
        <f t="shared" si="2"/>
        <v>4</v>
      </c>
      <c r="D48" s="20">
        <f t="shared" ref="D48:AA48" si="20">C48+D22</f>
        <v>4</v>
      </c>
      <c r="E48" s="20">
        <f t="shared" si="20"/>
        <v>9</v>
      </c>
      <c r="F48" s="20">
        <f t="shared" si="20"/>
        <v>9</v>
      </c>
      <c r="G48" s="20">
        <f t="shared" si="20"/>
        <v>26</v>
      </c>
      <c r="H48" s="20">
        <f t="shared" si="20"/>
        <v>29</v>
      </c>
      <c r="I48" s="20">
        <f t="shared" si="20"/>
        <v>49</v>
      </c>
      <c r="J48" s="20">
        <f t="shared" si="20"/>
        <v>49</v>
      </c>
      <c r="K48" s="20">
        <f t="shared" si="20"/>
        <v>69</v>
      </c>
      <c r="L48" s="20">
        <f t="shared" si="20"/>
        <v>69</v>
      </c>
      <c r="M48" s="20">
        <f t="shared" si="20"/>
        <v>69</v>
      </c>
      <c r="N48" s="20">
        <f t="shared" si="20"/>
        <v>89</v>
      </c>
      <c r="O48" s="20">
        <f t="shared" si="20"/>
        <v>109</v>
      </c>
      <c r="P48" s="20">
        <f t="shared" si="20"/>
        <v>109</v>
      </c>
      <c r="Q48" s="20">
        <f t="shared" si="20"/>
        <v>133</v>
      </c>
      <c r="R48" s="20">
        <f t="shared" si="20"/>
        <v>133</v>
      </c>
      <c r="S48" s="20">
        <f t="shared" si="20"/>
        <v>157</v>
      </c>
      <c r="T48" s="20">
        <f t="shared" si="20"/>
        <v>157</v>
      </c>
      <c r="U48" s="20">
        <f t="shared" si="20"/>
        <v>181</v>
      </c>
      <c r="V48" s="20">
        <f t="shared" si="20"/>
        <v>181</v>
      </c>
      <c r="W48" s="20">
        <f t="shared" si="20"/>
        <v>205</v>
      </c>
      <c r="X48" s="20">
        <f t="shared" si="20"/>
        <v>205</v>
      </c>
      <c r="Y48" s="20">
        <f t="shared" si="20"/>
        <v>223</v>
      </c>
      <c r="Z48" s="20">
        <f t="shared" si="20"/>
        <v>223</v>
      </c>
      <c r="AA48" s="20">
        <f t="shared" si="20"/>
        <v>223</v>
      </c>
      <c r="AB48" s="22">
        <f t="shared" si="4"/>
        <v>223</v>
      </c>
    </row>
    <row r="49" spans="1:28" ht="15" customHeight="1" x14ac:dyDescent="0.75">
      <c r="A49" s="17">
        <f t="shared" si="2"/>
        <v>666531</v>
      </c>
      <c r="B49" s="29" t="str">
        <f t="shared" si="2"/>
        <v>Diaphragms</v>
      </c>
      <c r="C49" s="20">
        <f t="shared" si="2"/>
        <v>17</v>
      </c>
      <c r="D49" s="20">
        <f t="shared" ref="D49:AA49" si="21">C49+D23</f>
        <v>17</v>
      </c>
      <c r="E49" s="20">
        <f t="shared" si="21"/>
        <v>35</v>
      </c>
      <c r="F49" s="20">
        <f t="shared" si="21"/>
        <v>35</v>
      </c>
      <c r="G49" s="20">
        <f t="shared" si="21"/>
        <v>61</v>
      </c>
      <c r="H49" s="20">
        <f t="shared" si="21"/>
        <v>61</v>
      </c>
      <c r="I49" s="20">
        <f t="shared" si="21"/>
        <v>87</v>
      </c>
      <c r="J49" s="20">
        <f t="shared" si="21"/>
        <v>87</v>
      </c>
      <c r="K49" s="20">
        <f t="shared" si="21"/>
        <v>113</v>
      </c>
      <c r="L49" s="20">
        <f t="shared" si="21"/>
        <v>113</v>
      </c>
      <c r="M49" s="20">
        <f t="shared" si="21"/>
        <v>139</v>
      </c>
      <c r="N49" s="20">
        <f t="shared" si="21"/>
        <v>139</v>
      </c>
      <c r="O49" s="20">
        <f t="shared" si="21"/>
        <v>160</v>
      </c>
      <c r="P49" s="20">
        <f t="shared" si="21"/>
        <v>165</v>
      </c>
      <c r="Q49" s="20">
        <f t="shared" si="21"/>
        <v>193</v>
      </c>
      <c r="R49" s="20">
        <f t="shared" si="21"/>
        <v>193</v>
      </c>
      <c r="S49" s="20">
        <f t="shared" si="21"/>
        <v>216</v>
      </c>
      <c r="T49" s="20">
        <f t="shared" si="21"/>
        <v>221</v>
      </c>
      <c r="U49" s="20">
        <f t="shared" si="21"/>
        <v>235</v>
      </c>
      <c r="V49" s="20">
        <f t="shared" si="21"/>
        <v>249</v>
      </c>
      <c r="W49" s="20">
        <f t="shared" si="21"/>
        <v>264</v>
      </c>
      <c r="X49" s="20">
        <f t="shared" si="21"/>
        <v>277</v>
      </c>
      <c r="Y49" s="20">
        <f t="shared" si="21"/>
        <v>305</v>
      </c>
      <c r="Z49" s="20">
        <f t="shared" si="21"/>
        <v>305</v>
      </c>
      <c r="AA49" s="20">
        <f t="shared" si="21"/>
        <v>319</v>
      </c>
      <c r="AB49" s="22">
        <f t="shared" si="4"/>
        <v>319</v>
      </c>
    </row>
    <row r="50" spans="1:28" ht="15" customHeight="1" x14ac:dyDescent="0.75">
      <c r="A50" s="17">
        <f t="shared" si="2"/>
        <v>666540</v>
      </c>
      <c r="B50" s="29" t="str">
        <f t="shared" si="2"/>
        <v>Male Pelvic</v>
      </c>
      <c r="C50" s="20">
        <f t="shared" si="2"/>
        <v>41</v>
      </c>
      <c r="D50" s="20">
        <f t="shared" ref="D50:AA50" si="22">C50+D24</f>
        <v>87</v>
      </c>
      <c r="E50" s="20">
        <f t="shared" si="22"/>
        <v>132</v>
      </c>
      <c r="F50" s="20">
        <f t="shared" si="22"/>
        <v>152</v>
      </c>
      <c r="G50" s="20">
        <f t="shared" si="22"/>
        <v>183</v>
      </c>
      <c r="H50" s="20">
        <f t="shared" si="22"/>
        <v>205</v>
      </c>
      <c r="I50" s="20">
        <f t="shared" si="22"/>
        <v>239</v>
      </c>
      <c r="J50" s="20">
        <f t="shared" si="22"/>
        <v>240</v>
      </c>
      <c r="K50" s="20">
        <f t="shared" si="22"/>
        <v>240</v>
      </c>
      <c r="L50" s="20">
        <f t="shared" si="22"/>
        <v>240</v>
      </c>
      <c r="M50" s="20">
        <f t="shared" si="22"/>
        <v>240</v>
      </c>
      <c r="N50" s="20">
        <f t="shared" si="22"/>
        <v>240</v>
      </c>
      <c r="O50" s="20">
        <f t="shared" si="22"/>
        <v>240</v>
      </c>
      <c r="P50" s="20">
        <f t="shared" si="22"/>
        <v>240</v>
      </c>
      <c r="Q50" s="20">
        <f t="shared" si="22"/>
        <v>241</v>
      </c>
      <c r="R50" s="20">
        <f t="shared" si="22"/>
        <v>241</v>
      </c>
      <c r="S50" s="20">
        <f t="shared" si="22"/>
        <v>241</v>
      </c>
      <c r="T50" s="20">
        <f t="shared" si="22"/>
        <v>242</v>
      </c>
      <c r="U50" s="20">
        <f t="shared" si="22"/>
        <v>242</v>
      </c>
      <c r="V50" s="20">
        <f t="shared" si="22"/>
        <v>242</v>
      </c>
      <c r="W50" s="20">
        <f t="shared" si="22"/>
        <v>242</v>
      </c>
      <c r="X50" s="20">
        <f t="shared" si="22"/>
        <v>242</v>
      </c>
      <c r="Y50" s="20">
        <f t="shared" si="22"/>
        <v>242</v>
      </c>
      <c r="Z50" s="20">
        <f t="shared" si="22"/>
        <v>242</v>
      </c>
      <c r="AA50" s="20">
        <f t="shared" si="22"/>
        <v>242</v>
      </c>
      <c r="AB50" s="22">
        <f t="shared" si="4"/>
        <v>242</v>
      </c>
    </row>
    <row r="51" spans="1:28" ht="15" customHeight="1" x14ac:dyDescent="0.75">
      <c r="A51" s="17">
        <f t="shared" si="2"/>
        <v>666541</v>
      </c>
      <c r="B51" s="29" t="str">
        <f t="shared" si="2"/>
        <v>Female Pelvic</v>
      </c>
      <c r="C51" s="20">
        <f t="shared" si="2"/>
        <v>175</v>
      </c>
      <c r="D51" s="20">
        <f t="shared" ref="D51:AA51" si="23">C51+D25</f>
        <v>240</v>
      </c>
      <c r="E51" s="20">
        <f t="shared" si="23"/>
        <v>399</v>
      </c>
      <c r="F51" s="20">
        <f t="shared" si="23"/>
        <v>520</v>
      </c>
      <c r="G51" s="20">
        <f t="shared" si="23"/>
        <v>676</v>
      </c>
      <c r="H51" s="20">
        <f t="shared" si="23"/>
        <v>780</v>
      </c>
      <c r="I51" s="20">
        <f t="shared" si="23"/>
        <v>875</v>
      </c>
      <c r="J51" s="20">
        <f t="shared" si="23"/>
        <v>1048</v>
      </c>
      <c r="K51" s="20">
        <f t="shared" si="23"/>
        <v>1288</v>
      </c>
      <c r="L51" s="20">
        <f t="shared" si="23"/>
        <v>1483</v>
      </c>
      <c r="M51" s="20">
        <f t="shared" si="23"/>
        <v>1734</v>
      </c>
      <c r="N51" s="20">
        <f t="shared" si="23"/>
        <v>2056</v>
      </c>
      <c r="O51" s="20">
        <f t="shared" si="23"/>
        <v>2205</v>
      </c>
      <c r="P51" s="20">
        <f t="shared" si="23"/>
        <v>2364</v>
      </c>
      <c r="Q51" s="20">
        <f t="shared" si="23"/>
        <v>2583</v>
      </c>
      <c r="R51" s="20">
        <f t="shared" si="23"/>
        <v>2906</v>
      </c>
      <c r="S51" s="20">
        <f t="shared" si="23"/>
        <v>3146</v>
      </c>
      <c r="T51" s="20">
        <f t="shared" si="23"/>
        <v>3334</v>
      </c>
      <c r="U51" s="20">
        <f t="shared" si="23"/>
        <v>3518</v>
      </c>
      <c r="V51" s="20">
        <f t="shared" si="23"/>
        <v>3681</v>
      </c>
      <c r="W51" s="20">
        <f t="shared" si="23"/>
        <v>3883</v>
      </c>
      <c r="X51" s="20">
        <f t="shared" si="23"/>
        <v>4074</v>
      </c>
      <c r="Y51" s="20">
        <f t="shared" si="23"/>
        <v>4216</v>
      </c>
      <c r="Z51" s="20">
        <f t="shared" si="23"/>
        <v>4321</v>
      </c>
      <c r="AA51" s="20">
        <f t="shared" si="23"/>
        <v>4431</v>
      </c>
      <c r="AB51" s="22">
        <f t="shared" si="4"/>
        <v>4431</v>
      </c>
    </row>
    <row r="52" spans="1:28" ht="15" customHeight="1" x14ac:dyDescent="0.75">
      <c r="A52" s="17">
        <f t="shared" si="2"/>
        <v>666536</v>
      </c>
      <c r="B52" s="29" t="str">
        <f t="shared" si="2"/>
        <v>XL Hearts</v>
      </c>
      <c r="C52" s="20">
        <f t="shared" si="2"/>
        <v>1</v>
      </c>
      <c r="D52" s="20">
        <f t="shared" ref="D52:AA52" si="24">C52+D26</f>
        <v>15</v>
      </c>
      <c r="E52" s="20">
        <f t="shared" si="24"/>
        <v>17</v>
      </c>
      <c r="F52" s="20">
        <f t="shared" si="24"/>
        <v>17</v>
      </c>
      <c r="G52" s="20">
        <f t="shared" si="24"/>
        <v>17</v>
      </c>
      <c r="H52" s="20">
        <f t="shared" si="24"/>
        <v>17</v>
      </c>
      <c r="I52" s="20">
        <f t="shared" si="24"/>
        <v>17</v>
      </c>
      <c r="J52" s="20">
        <f t="shared" si="24"/>
        <v>19</v>
      </c>
      <c r="K52" s="20">
        <f t="shared" si="24"/>
        <v>27</v>
      </c>
      <c r="L52" s="20">
        <f t="shared" si="24"/>
        <v>29</v>
      </c>
      <c r="M52" s="20">
        <f t="shared" si="24"/>
        <v>33</v>
      </c>
      <c r="N52" s="20">
        <f t="shared" si="24"/>
        <v>36</v>
      </c>
      <c r="O52" s="20">
        <f t="shared" si="24"/>
        <v>48</v>
      </c>
      <c r="P52" s="20">
        <f t="shared" si="24"/>
        <v>59</v>
      </c>
      <c r="Q52" s="20">
        <f t="shared" si="24"/>
        <v>70</v>
      </c>
      <c r="R52" s="20">
        <f t="shared" si="24"/>
        <v>71</v>
      </c>
      <c r="S52" s="20">
        <f t="shared" si="24"/>
        <v>79</v>
      </c>
      <c r="T52" s="20">
        <f t="shared" si="24"/>
        <v>88</v>
      </c>
      <c r="U52" s="20">
        <f t="shared" si="24"/>
        <v>100</v>
      </c>
      <c r="V52" s="20">
        <f t="shared" si="24"/>
        <v>106</v>
      </c>
      <c r="W52" s="20">
        <f t="shared" si="24"/>
        <v>123</v>
      </c>
      <c r="X52" s="20">
        <f t="shared" si="24"/>
        <v>130</v>
      </c>
      <c r="Y52" s="20">
        <f t="shared" si="24"/>
        <v>133</v>
      </c>
      <c r="Z52" s="20">
        <f t="shared" si="24"/>
        <v>140</v>
      </c>
      <c r="AA52" s="20">
        <f t="shared" si="24"/>
        <v>140</v>
      </c>
      <c r="AB52" s="22">
        <f t="shared" si="4"/>
        <v>140</v>
      </c>
    </row>
    <row r="53" spans="1:28" ht="15" customHeight="1" x14ac:dyDescent="0.75">
      <c r="A53" s="30"/>
      <c r="B53" s="23" t="s">
        <v>96</v>
      </c>
      <c r="C53" s="25">
        <f t="shared" ref="C53:AB53" si="25">SUM(C32:C52)</f>
        <v>890</v>
      </c>
      <c r="D53" s="25">
        <f t="shared" si="25"/>
        <v>1795</v>
      </c>
      <c r="E53" s="25">
        <f t="shared" si="25"/>
        <v>2887</v>
      </c>
      <c r="F53" s="25">
        <f t="shared" si="25"/>
        <v>3278</v>
      </c>
      <c r="G53" s="25">
        <f t="shared" si="25"/>
        <v>4352</v>
      </c>
      <c r="H53" s="25">
        <f t="shared" si="25"/>
        <v>4902</v>
      </c>
      <c r="I53" s="25">
        <f t="shared" si="25"/>
        <v>6101</v>
      </c>
      <c r="J53" s="25">
        <f t="shared" si="25"/>
        <v>6736</v>
      </c>
      <c r="K53" s="25">
        <f t="shared" si="25"/>
        <v>8195</v>
      </c>
      <c r="L53" s="25">
        <f t="shared" si="25"/>
        <v>9020</v>
      </c>
      <c r="M53" s="25">
        <f t="shared" si="25"/>
        <v>10482</v>
      </c>
      <c r="N53" s="25">
        <f t="shared" si="25"/>
        <v>11642</v>
      </c>
      <c r="O53" s="25">
        <f t="shared" si="25"/>
        <v>13130</v>
      </c>
      <c r="P53" s="25">
        <f t="shared" si="25"/>
        <v>14107</v>
      </c>
      <c r="Q53" s="25">
        <f t="shared" si="25"/>
        <v>15813</v>
      </c>
      <c r="R53" s="25">
        <f t="shared" si="25"/>
        <v>16845</v>
      </c>
      <c r="S53" s="25">
        <f t="shared" si="25"/>
        <v>18859</v>
      </c>
      <c r="T53" s="25">
        <f t="shared" si="25"/>
        <v>19702</v>
      </c>
      <c r="U53" s="25">
        <f t="shared" si="25"/>
        <v>21418</v>
      </c>
      <c r="V53" s="25">
        <f t="shared" si="25"/>
        <v>22065</v>
      </c>
      <c r="W53" s="25">
        <f t="shared" si="25"/>
        <v>23679</v>
      </c>
      <c r="X53" s="25">
        <f t="shared" si="25"/>
        <v>24389</v>
      </c>
      <c r="Y53" s="25">
        <f t="shared" si="25"/>
        <v>25771</v>
      </c>
      <c r="Z53" s="25">
        <f t="shared" si="25"/>
        <v>26261</v>
      </c>
      <c r="AA53" s="25">
        <f t="shared" si="25"/>
        <v>27400</v>
      </c>
      <c r="AB53" s="25">
        <f t="shared" si="25"/>
        <v>27400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576"/>
  <sheetViews>
    <sheetView zoomScaleNormal="100" workbookViewId="0">
      <pane ySplit="1" topLeftCell="A2" activePane="bottomLeft" state="frozen"/>
      <selection pane="bottomLeft"/>
    </sheetView>
  </sheetViews>
  <sheetFormatPr defaultColWidth="8.54296875" defaultRowHeight="14.75" x14ac:dyDescent="0.75"/>
  <cols>
    <col min="1" max="1" width="10" customWidth="1"/>
    <col min="2" max="2" width="12" customWidth="1"/>
    <col min="3" max="3" width="15" customWidth="1"/>
    <col min="4" max="4" width="10" customWidth="1"/>
    <col min="5" max="5" width="22" customWidth="1"/>
    <col min="6" max="6" width="9" customWidth="1"/>
    <col min="7" max="7" width="10" customWidth="1"/>
  </cols>
  <sheetData>
    <row r="1" spans="1:9" ht="15" customHeight="1" x14ac:dyDescent="0.75">
      <c r="A1" s="16" t="s">
        <v>44</v>
      </c>
      <c r="B1" s="16" t="s">
        <v>45</v>
      </c>
      <c r="C1" s="16" t="s">
        <v>50</v>
      </c>
      <c r="D1" s="16" t="s">
        <v>129</v>
      </c>
      <c r="E1" s="16" t="s">
        <v>51</v>
      </c>
      <c r="F1" s="16" t="s">
        <v>130</v>
      </c>
      <c r="G1" s="16" t="s">
        <v>131</v>
      </c>
      <c r="I1" t="s">
        <v>143</v>
      </c>
    </row>
    <row r="2" spans="1:9" ht="15" customHeight="1" x14ac:dyDescent="0.75">
      <c r="A2" s="18" t="s">
        <v>53</v>
      </c>
      <c r="B2" s="19">
        <v>46020</v>
      </c>
      <c r="C2" s="18" t="s">
        <v>56</v>
      </c>
      <c r="D2" s="17">
        <v>666501</v>
      </c>
      <c r="E2" s="18" t="s">
        <v>5</v>
      </c>
      <c r="F2" s="20">
        <v>16.5</v>
      </c>
      <c r="G2" s="20">
        <v>27</v>
      </c>
    </row>
    <row r="3" spans="1:9" ht="15" customHeight="1" x14ac:dyDescent="0.75">
      <c r="A3" s="18" t="s">
        <v>53</v>
      </c>
      <c r="B3" s="19">
        <v>46020</v>
      </c>
      <c r="C3" s="18" t="s">
        <v>56</v>
      </c>
      <c r="D3" s="17">
        <v>666502</v>
      </c>
      <c r="E3" s="18" t="s">
        <v>7</v>
      </c>
      <c r="F3" s="20">
        <v>0</v>
      </c>
      <c r="G3" s="20">
        <v>0</v>
      </c>
    </row>
    <row r="4" spans="1:9" ht="15" customHeight="1" x14ac:dyDescent="0.75">
      <c r="A4" s="18" t="s">
        <v>53</v>
      </c>
      <c r="B4" s="19">
        <v>46020</v>
      </c>
      <c r="C4" s="18" t="s">
        <v>56</v>
      </c>
      <c r="D4" s="17">
        <v>666505</v>
      </c>
      <c r="E4" s="18" t="s">
        <v>9</v>
      </c>
      <c r="F4" s="20">
        <v>10</v>
      </c>
      <c r="G4" s="20">
        <v>20</v>
      </c>
    </row>
    <row r="5" spans="1:9" ht="15" customHeight="1" x14ac:dyDescent="0.75">
      <c r="A5" s="18" t="s">
        <v>53</v>
      </c>
      <c r="B5" s="19">
        <v>46020</v>
      </c>
      <c r="C5" s="18" t="s">
        <v>56</v>
      </c>
      <c r="D5" s="17">
        <v>666506</v>
      </c>
      <c r="E5" s="18" t="s">
        <v>11</v>
      </c>
      <c r="F5" s="20">
        <v>0</v>
      </c>
      <c r="G5" s="20">
        <v>0</v>
      </c>
    </row>
    <row r="6" spans="1:9" ht="15" customHeight="1" x14ac:dyDescent="0.75">
      <c r="A6" s="18" t="s">
        <v>53</v>
      </c>
      <c r="B6" s="19">
        <v>46020</v>
      </c>
      <c r="C6" s="18" t="s">
        <v>56</v>
      </c>
      <c r="D6" s="17">
        <v>666507</v>
      </c>
      <c r="E6" s="18" t="s">
        <v>13</v>
      </c>
      <c r="F6" s="20">
        <v>30</v>
      </c>
      <c r="G6" s="20">
        <v>19</v>
      </c>
    </row>
    <row r="7" spans="1:9" ht="15" customHeight="1" x14ac:dyDescent="0.75">
      <c r="A7" s="18" t="s">
        <v>53</v>
      </c>
      <c r="B7" s="19">
        <v>46020</v>
      </c>
      <c r="C7" s="18" t="s">
        <v>56</v>
      </c>
      <c r="D7" s="17">
        <v>666509</v>
      </c>
      <c r="E7" s="18" t="s">
        <v>15</v>
      </c>
      <c r="F7" s="20">
        <v>80</v>
      </c>
      <c r="G7" s="20">
        <v>23</v>
      </c>
    </row>
    <row r="8" spans="1:9" ht="15" customHeight="1" x14ac:dyDescent="0.75">
      <c r="A8" s="18" t="s">
        <v>53</v>
      </c>
      <c r="B8" s="19">
        <v>46020</v>
      </c>
      <c r="C8" s="18" t="s">
        <v>56</v>
      </c>
      <c r="D8" s="17">
        <v>666510</v>
      </c>
      <c r="E8" s="18" t="s">
        <v>17</v>
      </c>
      <c r="F8" s="20">
        <v>0</v>
      </c>
      <c r="G8" s="20">
        <v>0</v>
      </c>
    </row>
    <row r="9" spans="1:9" ht="15" customHeight="1" x14ac:dyDescent="0.75">
      <c r="A9" s="18" t="s">
        <v>53</v>
      </c>
      <c r="B9" s="19">
        <v>46020</v>
      </c>
      <c r="C9" s="18" t="s">
        <v>56</v>
      </c>
      <c r="D9" s="17">
        <v>666511</v>
      </c>
      <c r="E9" s="18" t="s">
        <v>19</v>
      </c>
      <c r="F9" s="20">
        <v>3</v>
      </c>
      <c r="G9" s="20">
        <v>0</v>
      </c>
    </row>
    <row r="10" spans="1:9" ht="15" customHeight="1" x14ac:dyDescent="0.75">
      <c r="A10" s="18" t="s">
        <v>53</v>
      </c>
      <c r="B10" s="19">
        <v>46020</v>
      </c>
      <c r="C10" s="18" t="s">
        <v>56</v>
      </c>
      <c r="D10" s="17">
        <v>666513</v>
      </c>
      <c r="E10" s="18" t="s">
        <v>21</v>
      </c>
      <c r="F10" s="20">
        <v>10</v>
      </c>
      <c r="G10" s="20">
        <v>20</v>
      </c>
    </row>
    <row r="11" spans="1:9" ht="15" customHeight="1" x14ac:dyDescent="0.75">
      <c r="A11" s="18" t="s">
        <v>53</v>
      </c>
      <c r="B11" s="19">
        <v>46020</v>
      </c>
      <c r="C11" s="18" t="s">
        <v>56</v>
      </c>
      <c r="D11" s="17">
        <v>666516</v>
      </c>
      <c r="E11" s="18" t="s">
        <v>23</v>
      </c>
      <c r="F11" s="20">
        <v>16</v>
      </c>
      <c r="G11" s="20">
        <v>26</v>
      </c>
    </row>
    <row r="12" spans="1:9" ht="15" customHeight="1" x14ac:dyDescent="0.75">
      <c r="A12" s="18" t="s">
        <v>53</v>
      </c>
      <c r="B12" s="19">
        <v>46020</v>
      </c>
      <c r="C12" s="18" t="s">
        <v>56</v>
      </c>
      <c r="D12" s="17">
        <v>666517</v>
      </c>
      <c r="E12" s="18" t="s">
        <v>25</v>
      </c>
      <c r="F12" s="20">
        <v>20.5</v>
      </c>
      <c r="G12" s="20">
        <v>30</v>
      </c>
    </row>
    <row r="13" spans="1:9" ht="15" customHeight="1" x14ac:dyDescent="0.75">
      <c r="A13" s="18" t="s">
        <v>53</v>
      </c>
      <c r="B13" s="19">
        <v>46020</v>
      </c>
      <c r="C13" s="18" t="s">
        <v>56</v>
      </c>
      <c r="D13" s="17">
        <v>666518</v>
      </c>
      <c r="E13" s="18" t="s">
        <v>27</v>
      </c>
      <c r="F13" s="20">
        <v>0</v>
      </c>
      <c r="G13" s="20">
        <v>0</v>
      </c>
    </row>
    <row r="14" spans="1:9" ht="15" customHeight="1" x14ac:dyDescent="0.75">
      <c r="A14" s="18" t="s">
        <v>53</v>
      </c>
      <c r="B14" s="19">
        <v>46020</v>
      </c>
      <c r="C14" s="18" t="s">
        <v>56</v>
      </c>
      <c r="D14" s="17">
        <v>666519</v>
      </c>
      <c r="E14" s="18" t="s">
        <v>29</v>
      </c>
      <c r="F14" s="20">
        <v>16</v>
      </c>
      <c r="G14" s="20">
        <v>27</v>
      </c>
    </row>
    <row r="15" spans="1:9" ht="15" customHeight="1" x14ac:dyDescent="0.75">
      <c r="A15" s="18" t="s">
        <v>53</v>
      </c>
      <c r="B15" s="19">
        <v>46020</v>
      </c>
      <c r="C15" s="18" t="s">
        <v>56</v>
      </c>
      <c r="D15" s="17">
        <v>666521</v>
      </c>
      <c r="E15" s="18" t="s">
        <v>31</v>
      </c>
      <c r="F15" s="20">
        <v>0</v>
      </c>
      <c r="G15" s="20">
        <v>0</v>
      </c>
    </row>
    <row r="16" spans="1:9" ht="15" customHeight="1" x14ac:dyDescent="0.75">
      <c r="A16" s="18" t="s">
        <v>53</v>
      </c>
      <c r="B16" s="19">
        <v>46020</v>
      </c>
      <c r="C16" s="18" t="s">
        <v>56</v>
      </c>
      <c r="D16" s="17">
        <v>666522</v>
      </c>
      <c r="E16" s="18" t="s">
        <v>33</v>
      </c>
      <c r="F16" s="20">
        <v>65</v>
      </c>
      <c r="G16" s="20">
        <v>85</v>
      </c>
    </row>
    <row r="17" spans="1:7" ht="15" customHeight="1" x14ac:dyDescent="0.75">
      <c r="A17" s="18" t="s">
        <v>53</v>
      </c>
      <c r="B17" s="19">
        <v>46020</v>
      </c>
      <c r="C17" s="18" t="s">
        <v>56</v>
      </c>
      <c r="D17" s="17">
        <v>666523</v>
      </c>
      <c r="E17" s="18" t="s">
        <v>35</v>
      </c>
      <c r="F17" s="20">
        <v>0</v>
      </c>
      <c r="G17" s="20">
        <v>0</v>
      </c>
    </row>
    <row r="18" spans="1:7" ht="15" customHeight="1" x14ac:dyDescent="0.75">
      <c r="A18" s="18" t="s">
        <v>53</v>
      </c>
      <c r="B18" s="19">
        <v>46020</v>
      </c>
      <c r="C18" s="18" t="s">
        <v>56</v>
      </c>
      <c r="D18" s="17">
        <v>666530</v>
      </c>
      <c r="E18" s="18" t="s">
        <v>37</v>
      </c>
      <c r="F18" s="20">
        <v>2</v>
      </c>
      <c r="G18" s="20">
        <v>4</v>
      </c>
    </row>
    <row r="19" spans="1:7" ht="15" customHeight="1" x14ac:dyDescent="0.75">
      <c r="A19" s="18" t="s">
        <v>53</v>
      </c>
      <c r="B19" s="19">
        <v>46020</v>
      </c>
      <c r="C19" s="18" t="s">
        <v>56</v>
      </c>
      <c r="D19" s="17">
        <v>666531</v>
      </c>
      <c r="E19" s="18" t="s">
        <v>39</v>
      </c>
      <c r="F19" s="20">
        <v>8.5</v>
      </c>
      <c r="G19" s="20">
        <v>17</v>
      </c>
    </row>
    <row r="20" spans="1:7" ht="15" customHeight="1" x14ac:dyDescent="0.75">
      <c r="A20" s="18" t="s">
        <v>53</v>
      </c>
      <c r="B20" s="19">
        <v>46020</v>
      </c>
      <c r="C20" s="18" t="s">
        <v>56</v>
      </c>
      <c r="D20" s="17">
        <v>666540</v>
      </c>
      <c r="E20" s="18" t="s">
        <v>40</v>
      </c>
      <c r="F20" s="20">
        <v>0</v>
      </c>
      <c r="G20" s="20">
        <v>0</v>
      </c>
    </row>
    <row r="21" spans="1:7" ht="15" customHeight="1" x14ac:dyDescent="0.75">
      <c r="A21" s="18" t="s">
        <v>53</v>
      </c>
      <c r="B21" s="19">
        <v>46020</v>
      </c>
      <c r="C21" s="18" t="s">
        <v>56</v>
      </c>
      <c r="D21" s="17">
        <v>666541</v>
      </c>
      <c r="E21" s="18" t="s">
        <v>41</v>
      </c>
      <c r="F21" s="20">
        <v>0</v>
      </c>
      <c r="G21" s="20">
        <v>0</v>
      </c>
    </row>
    <row r="22" spans="1:7" ht="15" customHeight="1" x14ac:dyDescent="0.75">
      <c r="A22" s="18" t="s">
        <v>53</v>
      </c>
      <c r="B22" s="19">
        <v>46020</v>
      </c>
      <c r="C22" s="18" t="s">
        <v>56</v>
      </c>
      <c r="D22" s="17">
        <v>666536</v>
      </c>
      <c r="E22" s="18" t="s">
        <v>43</v>
      </c>
      <c r="F22" s="20">
        <v>10</v>
      </c>
      <c r="G22" s="20">
        <v>1</v>
      </c>
    </row>
    <row r="23" spans="1:7" ht="15" customHeight="1" x14ac:dyDescent="0.75">
      <c r="A23" s="18" t="s">
        <v>53</v>
      </c>
      <c r="B23" s="19">
        <v>46020</v>
      </c>
      <c r="C23" s="18" t="s">
        <v>58</v>
      </c>
      <c r="D23" s="17">
        <v>666501</v>
      </c>
      <c r="E23" s="18" t="s">
        <v>5</v>
      </c>
      <c r="F23" s="20">
        <v>150</v>
      </c>
      <c r="G23" s="20">
        <v>150</v>
      </c>
    </row>
    <row r="24" spans="1:7" ht="15" customHeight="1" x14ac:dyDescent="0.75">
      <c r="A24" s="18" t="s">
        <v>53</v>
      </c>
      <c r="B24" s="19">
        <v>46020</v>
      </c>
      <c r="C24" s="18" t="s">
        <v>58</v>
      </c>
      <c r="D24" s="17">
        <v>666502</v>
      </c>
      <c r="E24" s="18" t="s">
        <v>7</v>
      </c>
      <c r="F24" s="20">
        <v>75</v>
      </c>
      <c r="G24" s="20">
        <v>35</v>
      </c>
    </row>
    <row r="25" spans="1:7" ht="15" customHeight="1" x14ac:dyDescent="0.75">
      <c r="A25" s="18" t="s">
        <v>53</v>
      </c>
      <c r="B25" s="19">
        <v>46020</v>
      </c>
      <c r="C25" s="18" t="s">
        <v>58</v>
      </c>
      <c r="D25" s="17">
        <v>666505</v>
      </c>
      <c r="E25" s="18" t="s">
        <v>9</v>
      </c>
      <c r="F25" s="20">
        <v>0</v>
      </c>
      <c r="G25" s="20">
        <v>0</v>
      </c>
    </row>
    <row r="26" spans="1:7" ht="15" customHeight="1" x14ac:dyDescent="0.75">
      <c r="A26" s="18" t="s">
        <v>53</v>
      </c>
      <c r="B26" s="19">
        <v>46020</v>
      </c>
      <c r="C26" s="18" t="s">
        <v>58</v>
      </c>
      <c r="D26" s="17">
        <v>666506</v>
      </c>
      <c r="E26" s="18" t="s">
        <v>11</v>
      </c>
      <c r="F26" s="20">
        <v>100</v>
      </c>
      <c r="G26" s="20">
        <v>0</v>
      </c>
    </row>
    <row r="27" spans="1:7" ht="15" customHeight="1" x14ac:dyDescent="0.75">
      <c r="A27" s="18" t="s">
        <v>53</v>
      </c>
      <c r="B27" s="19">
        <v>46020</v>
      </c>
      <c r="C27" s="18" t="s">
        <v>58</v>
      </c>
      <c r="D27" s="17">
        <v>666507</v>
      </c>
      <c r="E27" s="18" t="s">
        <v>13</v>
      </c>
      <c r="F27" s="20">
        <v>0</v>
      </c>
      <c r="G27" s="20">
        <v>0</v>
      </c>
    </row>
    <row r="28" spans="1:7" ht="15" customHeight="1" x14ac:dyDescent="0.75">
      <c r="A28" s="18" t="s">
        <v>53</v>
      </c>
      <c r="B28" s="19">
        <v>46020</v>
      </c>
      <c r="C28" s="18" t="s">
        <v>58</v>
      </c>
      <c r="D28" s="17">
        <v>666509</v>
      </c>
      <c r="E28" s="18" t="s">
        <v>15</v>
      </c>
      <c r="F28" s="20">
        <v>0</v>
      </c>
      <c r="G28" s="20">
        <v>0</v>
      </c>
    </row>
    <row r="29" spans="1:7" ht="15" customHeight="1" x14ac:dyDescent="0.75">
      <c r="A29" s="18" t="s">
        <v>53</v>
      </c>
      <c r="B29" s="19">
        <v>46020</v>
      </c>
      <c r="C29" s="18" t="s">
        <v>58</v>
      </c>
      <c r="D29" s="17">
        <v>666510</v>
      </c>
      <c r="E29" s="18" t="s">
        <v>17</v>
      </c>
      <c r="F29" s="20">
        <v>0</v>
      </c>
      <c r="G29" s="20">
        <v>0</v>
      </c>
    </row>
    <row r="30" spans="1:7" ht="15" customHeight="1" x14ac:dyDescent="0.75">
      <c r="A30" s="18" t="s">
        <v>53</v>
      </c>
      <c r="B30" s="19">
        <v>46020</v>
      </c>
      <c r="C30" s="18" t="s">
        <v>58</v>
      </c>
      <c r="D30" s="17">
        <v>666511</v>
      </c>
      <c r="E30" s="18" t="s">
        <v>19</v>
      </c>
      <c r="F30" s="20">
        <v>0</v>
      </c>
      <c r="G30" s="20">
        <v>0</v>
      </c>
    </row>
    <row r="31" spans="1:7" ht="15" customHeight="1" x14ac:dyDescent="0.75">
      <c r="A31" s="18" t="s">
        <v>53</v>
      </c>
      <c r="B31" s="19">
        <v>46020</v>
      </c>
      <c r="C31" s="18" t="s">
        <v>58</v>
      </c>
      <c r="D31" s="17">
        <v>666513</v>
      </c>
      <c r="E31" s="18" t="s">
        <v>21</v>
      </c>
      <c r="F31" s="20">
        <v>0</v>
      </c>
      <c r="G31" s="20">
        <v>0</v>
      </c>
    </row>
    <row r="32" spans="1:7" ht="15" customHeight="1" x14ac:dyDescent="0.75">
      <c r="A32" s="18" t="s">
        <v>53</v>
      </c>
      <c r="B32" s="19">
        <v>46020</v>
      </c>
      <c r="C32" s="18" t="s">
        <v>58</v>
      </c>
      <c r="D32" s="17">
        <v>666516</v>
      </c>
      <c r="E32" s="18" t="s">
        <v>23</v>
      </c>
      <c r="F32" s="20">
        <v>0</v>
      </c>
      <c r="G32" s="20">
        <v>0</v>
      </c>
    </row>
    <row r="33" spans="1:7" ht="15" customHeight="1" x14ac:dyDescent="0.75">
      <c r="A33" s="18" t="s">
        <v>53</v>
      </c>
      <c r="B33" s="19">
        <v>46020</v>
      </c>
      <c r="C33" s="18" t="s">
        <v>58</v>
      </c>
      <c r="D33" s="17">
        <v>666517</v>
      </c>
      <c r="E33" s="18" t="s">
        <v>25</v>
      </c>
      <c r="F33" s="20">
        <v>0</v>
      </c>
      <c r="G33" s="20">
        <v>0</v>
      </c>
    </row>
    <row r="34" spans="1:7" ht="15" customHeight="1" x14ac:dyDescent="0.75">
      <c r="A34" s="18" t="s">
        <v>53</v>
      </c>
      <c r="B34" s="19">
        <v>46020</v>
      </c>
      <c r="C34" s="18" t="s">
        <v>58</v>
      </c>
      <c r="D34" s="17">
        <v>666518</v>
      </c>
      <c r="E34" s="18" t="s">
        <v>27</v>
      </c>
      <c r="F34" s="20">
        <v>0</v>
      </c>
      <c r="G34" s="20">
        <v>0</v>
      </c>
    </row>
    <row r="35" spans="1:7" ht="15" customHeight="1" x14ac:dyDescent="0.75">
      <c r="A35" s="18" t="s">
        <v>53</v>
      </c>
      <c r="B35" s="19">
        <v>46020</v>
      </c>
      <c r="C35" s="18" t="s">
        <v>58</v>
      </c>
      <c r="D35" s="17">
        <v>666519</v>
      </c>
      <c r="E35" s="18" t="s">
        <v>29</v>
      </c>
      <c r="F35" s="20">
        <v>0</v>
      </c>
      <c r="G35" s="20">
        <v>0</v>
      </c>
    </row>
    <row r="36" spans="1:7" ht="15" customHeight="1" x14ac:dyDescent="0.75">
      <c r="A36" s="18" t="s">
        <v>53</v>
      </c>
      <c r="B36" s="19">
        <v>46020</v>
      </c>
      <c r="C36" s="18" t="s">
        <v>58</v>
      </c>
      <c r="D36" s="17">
        <v>666521</v>
      </c>
      <c r="E36" s="18" t="s">
        <v>31</v>
      </c>
      <c r="F36" s="20">
        <v>0</v>
      </c>
      <c r="G36" s="20">
        <v>0</v>
      </c>
    </row>
    <row r="37" spans="1:7" ht="15" customHeight="1" x14ac:dyDescent="0.75">
      <c r="A37" s="18" t="s">
        <v>53</v>
      </c>
      <c r="B37" s="19">
        <v>46020</v>
      </c>
      <c r="C37" s="18" t="s">
        <v>58</v>
      </c>
      <c r="D37" s="17">
        <v>666522</v>
      </c>
      <c r="E37" s="18" t="s">
        <v>33</v>
      </c>
      <c r="F37" s="20">
        <v>95</v>
      </c>
      <c r="G37" s="20">
        <v>190</v>
      </c>
    </row>
    <row r="38" spans="1:7" ht="15" customHeight="1" x14ac:dyDescent="0.75">
      <c r="A38" s="18" t="s">
        <v>53</v>
      </c>
      <c r="B38" s="19">
        <v>46020</v>
      </c>
      <c r="C38" s="18" t="s">
        <v>58</v>
      </c>
      <c r="D38" s="17">
        <v>666523</v>
      </c>
      <c r="E38" s="18" t="s">
        <v>35</v>
      </c>
      <c r="F38" s="20">
        <v>56</v>
      </c>
      <c r="G38" s="20">
        <v>0</v>
      </c>
    </row>
    <row r="39" spans="1:7" ht="15" customHeight="1" x14ac:dyDescent="0.75">
      <c r="A39" s="18" t="s">
        <v>53</v>
      </c>
      <c r="B39" s="19">
        <v>46020</v>
      </c>
      <c r="C39" s="18" t="s">
        <v>58</v>
      </c>
      <c r="D39" s="17">
        <v>666530</v>
      </c>
      <c r="E39" s="18" t="s">
        <v>37</v>
      </c>
      <c r="F39" s="20">
        <v>0</v>
      </c>
      <c r="G39" s="20">
        <v>0</v>
      </c>
    </row>
    <row r="40" spans="1:7" ht="15" customHeight="1" x14ac:dyDescent="0.75">
      <c r="A40" s="18" t="s">
        <v>53</v>
      </c>
      <c r="B40" s="19">
        <v>46020</v>
      </c>
      <c r="C40" s="18" t="s">
        <v>58</v>
      </c>
      <c r="D40" s="17">
        <v>666531</v>
      </c>
      <c r="E40" s="18" t="s">
        <v>39</v>
      </c>
      <c r="F40" s="20">
        <v>0</v>
      </c>
      <c r="G40" s="20">
        <v>0</v>
      </c>
    </row>
    <row r="41" spans="1:7" ht="15" customHeight="1" x14ac:dyDescent="0.75">
      <c r="A41" s="18" t="s">
        <v>53</v>
      </c>
      <c r="B41" s="19">
        <v>46020</v>
      </c>
      <c r="C41" s="18" t="s">
        <v>58</v>
      </c>
      <c r="D41" s="17">
        <v>666540</v>
      </c>
      <c r="E41" s="18" t="s">
        <v>40</v>
      </c>
      <c r="F41" s="20">
        <v>120</v>
      </c>
      <c r="G41" s="20">
        <v>41</v>
      </c>
    </row>
    <row r="42" spans="1:7" ht="15" customHeight="1" x14ac:dyDescent="0.75">
      <c r="A42" s="18" t="s">
        <v>53</v>
      </c>
      <c r="B42" s="19">
        <v>46020</v>
      </c>
      <c r="C42" s="18" t="s">
        <v>58</v>
      </c>
      <c r="D42" s="17">
        <v>666541</v>
      </c>
      <c r="E42" s="18" t="s">
        <v>41</v>
      </c>
      <c r="F42" s="20">
        <v>120</v>
      </c>
      <c r="G42" s="20">
        <v>175</v>
      </c>
    </row>
    <row r="43" spans="1:7" ht="15" customHeight="1" x14ac:dyDescent="0.75">
      <c r="A43" s="18" t="s">
        <v>53</v>
      </c>
      <c r="B43" s="19">
        <v>46020</v>
      </c>
      <c r="C43" s="18" t="s">
        <v>58</v>
      </c>
      <c r="D43" s="17">
        <v>666536</v>
      </c>
      <c r="E43" s="18" t="s">
        <v>43</v>
      </c>
      <c r="F43" s="20">
        <v>0</v>
      </c>
      <c r="G43" s="20">
        <v>0</v>
      </c>
    </row>
    <row r="44" spans="1:7" ht="15" customHeight="1" x14ac:dyDescent="0.75">
      <c r="A44" s="18" t="s">
        <v>53</v>
      </c>
      <c r="B44" s="19">
        <v>46020</v>
      </c>
      <c r="C44" s="18" t="s">
        <v>66</v>
      </c>
      <c r="D44" s="17">
        <v>666501</v>
      </c>
      <c r="E44" s="18" t="s">
        <v>5</v>
      </c>
      <c r="F44" s="20">
        <v>15</v>
      </c>
      <c r="G44" s="20">
        <v>0</v>
      </c>
    </row>
    <row r="45" spans="1:7" ht="15" customHeight="1" x14ac:dyDescent="0.75">
      <c r="A45" s="18" t="s">
        <v>53</v>
      </c>
      <c r="B45" s="19">
        <v>46020</v>
      </c>
      <c r="C45" s="18" t="s">
        <v>66</v>
      </c>
      <c r="D45" s="17">
        <v>666502</v>
      </c>
      <c r="E45" s="18" t="s">
        <v>7</v>
      </c>
      <c r="F45" s="20">
        <v>20</v>
      </c>
      <c r="G45" s="20">
        <v>0</v>
      </c>
    </row>
    <row r="46" spans="1:7" ht="15" customHeight="1" x14ac:dyDescent="0.75">
      <c r="A46" s="18" t="s">
        <v>53</v>
      </c>
      <c r="B46" s="19">
        <v>46020</v>
      </c>
      <c r="C46" s="18" t="s">
        <v>66</v>
      </c>
      <c r="D46" s="17">
        <v>666505</v>
      </c>
      <c r="E46" s="18" t="s">
        <v>9</v>
      </c>
      <c r="F46" s="20">
        <v>21</v>
      </c>
      <c r="G46" s="20">
        <v>0</v>
      </c>
    </row>
    <row r="47" spans="1:7" ht="15" customHeight="1" x14ac:dyDescent="0.75">
      <c r="A47" s="18" t="s">
        <v>53</v>
      </c>
      <c r="B47" s="19">
        <v>46020</v>
      </c>
      <c r="C47" s="18" t="s">
        <v>66</v>
      </c>
      <c r="D47" s="17">
        <v>666506</v>
      </c>
      <c r="E47" s="18" t="s">
        <v>11</v>
      </c>
      <c r="F47" s="20">
        <v>0</v>
      </c>
      <c r="G47" s="20">
        <v>0</v>
      </c>
    </row>
    <row r="48" spans="1:7" ht="15" customHeight="1" x14ac:dyDescent="0.75">
      <c r="A48" s="18" t="s">
        <v>53</v>
      </c>
      <c r="B48" s="19">
        <v>46020</v>
      </c>
      <c r="C48" s="18" t="s">
        <v>66</v>
      </c>
      <c r="D48" s="17">
        <v>666507</v>
      </c>
      <c r="E48" s="18" t="s">
        <v>13</v>
      </c>
      <c r="F48" s="20">
        <v>0</v>
      </c>
      <c r="G48" s="20">
        <v>0</v>
      </c>
    </row>
    <row r="49" spans="1:7" ht="15" customHeight="1" x14ac:dyDescent="0.75">
      <c r="A49" s="18" t="s">
        <v>53</v>
      </c>
      <c r="B49" s="19">
        <v>46020</v>
      </c>
      <c r="C49" s="18" t="s">
        <v>66</v>
      </c>
      <c r="D49" s="17">
        <v>666509</v>
      </c>
      <c r="E49" s="18" t="s">
        <v>15</v>
      </c>
      <c r="F49" s="20">
        <v>0</v>
      </c>
      <c r="G49" s="20">
        <v>0</v>
      </c>
    </row>
    <row r="50" spans="1:7" ht="15" customHeight="1" x14ac:dyDescent="0.75">
      <c r="A50" s="18" t="s">
        <v>53</v>
      </c>
      <c r="B50" s="19">
        <v>46020</v>
      </c>
      <c r="C50" s="18" t="s">
        <v>66</v>
      </c>
      <c r="D50" s="17">
        <v>666510</v>
      </c>
      <c r="E50" s="18" t="s">
        <v>17</v>
      </c>
      <c r="F50" s="20">
        <v>0</v>
      </c>
      <c r="G50" s="20">
        <v>0</v>
      </c>
    </row>
    <row r="51" spans="1:7" ht="15" customHeight="1" x14ac:dyDescent="0.75">
      <c r="A51" s="18" t="s">
        <v>53</v>
      </c>
      <c r="B51" s="19">
        <v>46020</v>
      </c>
      <c r="C51" s="18" t="s">
        <v>66</v>
      </c>
      <c r="D51" s="17">
        <v>666511</v>
      </c>
      <c r="E51" s="18" t="s">
        <v>19</v>
      </c>
      <c r="F51" s="20">
        <v>0</v>
      </c>
      <c r="G51" s="20">
        <v>0</v>
      </c>
    </row>
    <row r="52" spans="1:7" ht="15" customHeight="1" x14ac:dyDescent="0.75">
      <c r="A52" s="18" t="s">
        <v>53</v>
      </c>
      <c r="B52" s="19">
        <v>46020</v>
      </c>
      <c r="C52" s="18" t="s">
        <v>66</v>
      </c>
      <c r="D52" s="17">
        <v>666513</v>
      </c>
      <c r="E52" s="18" t="s">
        <v>21</v>
      </c>
      <c r="F52" s="20">
        <v>23</v>
      </c>
      <c r="G52" s="20">
        <v>0</v>
      </c>
    </row>
    <row r="53" spans="1:7" ht="15" customHeight="1" x14ac:dyDescent="0.75">
      <c r="A53" s="18" t="s">
        <v>53</v>
      </c>
      <c r="B53" s="19">
        <v>46020</v>
      </c>
      <c r="C53" s="18" t="s">
        <v>66</v>
      </c>
      <c r="D53" s="17">
        <v>666516</v>
      </c>
      <c r="E53" s="18" t="s">
        <v>23</v>
      </c>
      <c r="F53" s="20">
        <v>16</v>
      </c>
      <c r="G53" s="20">
        <v>0</v>
      </c>
    </row>
    <row r="54" spans="1:7" ht="15" customHeight="1" x14ac:dyDescent="0.75">
      <c r="A54" s="18" t="s">
        <v>53</v>
      </c>
      <c r="B54" s="19">
        <v>46020</v>
      </c>
      <c r="C54" s="18" t="s">
        <v>66</v>
      </c>
      <c r="D54" s="17">
        <v>666517</v>
      </c>
      <c r="E54" s="18" t="s">
        <v>25</v>
      </c>
      <c r="F54" s="20">
        <v>9.5</v>
      </c>
      <c r="G54" s="20">
        <v>0</v>
      </c>
    </row>
    <row r="55" spans="1:7" ht="15" customHeight="1" x14ac:dyDescent="0.75">
      <c r="A55" s="18" t="s">
        <v>53</v>
      </c>
      <c r="B55" s="19">
        <v>46020</v>
      </c>
      <c r="C55" s="18" t="s">
        <v>66</v>
      </c>
      <c r="D55" s="17">
        <v>666518</v>
      </c>
      <c r="E55" s="18" t="s">
        <v>27</v>
      </c>
      <c r="F55" s="20">
        <v>0</v>
      </c>
      <c r="G55" s="20">
        <v>0</v>
      </c>
    </row>
    <row r="56" spans="1:7" ht="15" customHeight="1" x14ac:dyDescent="0.75">
      <c r="A56" s="18" t="s">
        <v>53</v>
      </c>
      <c r="B56" s="19">
        <v>46020</v>
      </c>
      <c r="C56" s="18" t="s">
        <v>66</v>
      </c>
      <c r="D56" s="17">
        <v>666519</v>
      </c>
      <c r="E56" s="18" t="s">
        <v>29</v>
      </c>
      <c r="F56" s="20">
        <v>16</v>
      </c>
      <c r="G56" s="20">
        <v>0</v>
      </c>
    </row>
    <row r="57" spans="1:7" ht="15" customHeight="1" x14ac:dyDescent="0.75">
      <c r="A57" s="18" t="s">
        <v>53</v>
      </c>
      <c r="B57" s="19">
        <v>46020</v>
      </c>
      <c r="C57" s="18" t="s">
        <v>66</v>
      </c>
      <c r="D57" s="17">
        <v>666521</v>
      </c>
      <c r="E57" s="18" t="s">
        <v>31</v>
      </c>
      <c r="F57" s="20">
        <v>0</v>
      </c>
      <c r="G57" s="20">
        <v>0</v>
      </c>
    </row>
    <row r="58" spans="1:7" ht="15" customHeight="1" x14ac:dyDescent="0.75">
      <c r="A58" s="18" t="s">
        <v>53</v>
      </c>
      <c r="B58" s="19">
        <v>46020</v>
      </c>
      <c r="C58" s="18" t="s">
        <v>66</v>
      </c>
      <c r="D58" s="17">
        <v>666522</v>
      </c>
      <c r="E58" s="18" t="s">
        <v>33</v>
      </c>
      <c r="F58" s="20">
        <v>40</v>
      </c>
      <c r="G58" s="20">
        <v>0</v>
      </c>
    </row>
    <row r="59" spans="1:7" ht="15" customHeight="1" x14ac:dyDescent="0.75">
      <c r="A59" s="18" t="s">
        <v>53</v>
      </c>
      <c r="B59" s="19">
        <v>46020</v>
      </c>
      <c r="C59" s="18" t="s">
        <v>66</v>
      </c>
      <c r="D59" s="17">
        <v>666523</v>
      </c>
      <c r="E59" s="18" t="s">
        <v>35</v>
      </c>
      <c r="F59" s="20">
        <v>14</v>
      </c>
      <c r="G59" s="20">
        <v>0</v>
      </c>
    </row>
    <row r="60" spans="1:7" ht="15" customHeight="1" x14ac:dyDescent="0.75">
      <c r="A60" s="18" t="s">
        <v>53</v>
      </c>
      <c r="B60" s="19">
        <v>46020</v>
      </c>
      <c r="C60" s="18" t="s">
        <v>66</v>
      </c>
      <c r="D60" s="17">
        <v>666530</v>
      </c>
      <c r="E60" s="18" t="s">
        <v>37</v>
      </c>
      <c r="F60" s="20">
        <v>6</v>
      </c>
      <c r="G60" s="20">
        <v>0</v>
      </c>
    </row>
    <row r="61" spans="1:7" ht="15" customHeight="1" x14ac:dyDescent="0.75">
      <c r="A61" s="18" t="s">
        <v>53</v>
      </c>
      <c r="B61" s="19">
        <v>46020</v>
      </c>
      <c r="C61" s="18" t="s">
        <v>66</v>
      </c>
      <c r="D61" s="17">
        <v>666531</v>
      </c>
      <c r="E61" s="18" t="s">
        <v>39</v>
      </c>
      <c r="F61" s="20">
        <v>3.5</v>
      </c>
      <c r="G61" s="20">
        <v>0</v>
      </c>
    </row>
    <row r="62" spans="1:7" ht="15" customHeight="1" x14ac:dyDescent="0.75">
      <c r="A62" s="18" t="s">
        <v>53</v>
      </c>
      <c r="B62" s="19">
        <v>46020</v>
      </c>
      <c r="C62" s="18" t="s">
        <v>66</v>
      </c>
      <c r="D62" s="17">
        <v>666540</v>
      </c>
      <c r="E62" s="18" t="s">
        <v>40</v>
      </c>
      <c r="F62" s="20">
        <v>0</v>
      </c>
      <c r="G62" s="20">
        <v>0</v>
      </c>
    </row>
    <row r="63" spans="1:7" ht="15" customHeight="1" x14ac:dyDescent="0.75">
      <c r="A63" s="18" t="s">
        <v>53</v>
      </c>
      <c r="B63" s="19">
        <v>46020</v>
      </c>
      <c r="C63" s="18" t="s">
        <v>66</v>
      </c>
      <c r="D63" s="17">
        <v>666541</v>
      </c>
      <c r="E63" s="18" t="s">
        <v>41</v>
      </c>
      <c r="F63" s="20">
        <v>0</v>
      </c>
      <c r="G63" s="20">
        <v>0</v>
      </c>
    </row>
    <row r="64" spans="1:7" ht="15" customHeight="1" x14ac:dyDescent="0.75">
      <c r="A64" s="18" t="s">
        <v>53</v>
      </c>
      <c r="B64" s="19">
        <v>46020</v>
      </c>
      <c r="C64" s="18" t="s">
        <v>66</v>
      </c>
      <c r="D64" s="17">
        <v>666536</v>
      </c>
      <c r="E64" s="18" t="s">
        <v>43</v>
      </c>
      <c r="F64" s="20">
        <v>0</v>
      </c>
      <c r="G64" s="20">
        <v>0</v>
      </c>
    </row>
    <row r="65" spans="1:7" ht="15" customHeight="1" x14ac:dyDescent="0.75">
      <c r="A65" s="18" t="s">
        <v>61</v>
      </c>
      <c r="B65" s="19">
        <v>46027</v>
      </c>
      <c r="C65" s="18" t="s">
        <v>56</v>
      </c>
      <c r="D65" s="17">
        <v>666501</v>
      </c>
      <c r="E65" s="18" t="s">
        <v>5</v>
      </c>
      <c r="F65" s="20">
        <v>16.5</v>
      </c>
      <c r="G65" s="20">
        <v>6</v>
      </c>
    </row>
    <row r="66" spans="1:7" ht="15" customHeight="1" x14ac:dyDescent="0.75">
      <c r="A66" s="18" t="s">
        <v>61</v>
      </c>
      <c r="B66" s="19">
        <v>46027</v>
      </c>
      <c r="C66" s="18" t="s">
        <v>56</v>
      </c>
      <c r="D66" s="17">
        <v>666502</v>
      </c>
      <c r="E66" s="18" t="s">
        <v>7</v>
      </c>
      <c r="F66" s="20">
        <v>0</v>
      </c>
      <c r="G66" s="20">
        <v>0</v>
      </c>
    </row>
    <row r="67" spans="1:7" ht="15" customHeight="1" x14ac:dyDescent="0.75">
      <c r="A67" s="18" t="s">
        <v>61</v>
      </c>
      <c r="B67" s="19">
        <v>46027</v>
      </c>
      <c r="C67" s="18" t="s">
        <v>56</v>
      </c>
      <c r="D67" s="17">
        <v>666505</v>
      </c>
      <c r="E67" s="18" t="s">
        <v>9</v>
      </c>
      <c r="F67" s="20">
        <v>10</v>
      </c>
      <c r="G67" s="20">
        <v>0</v>
      </c>
    </row>
    <row r="68" spans="1:7" ht="15" customHeight="1" x14ac:dyDescent="0.75">
      <c r="A68" s="18" t="s">
        <v>61</v>
      </c>
      <c r="B68" s="19">
        <v>46027</v>
      </c>
      <c r="C68" s="18" t="s">
        <v>56</v>
      </c>
      <c r="D68" s="17">
        <v>666506</v>
      </c>
      <c r="E68" s="18" t="s">
        <v>11</v>
      </c>
      <c r="F68" s="20">
        <v>0</v>
      </c>
      <c r="G68" s="20">
        <v>0</v>
      </c>
    </row>
    <row r="69" spans="1:7" ht="15" customHeight="1" x14ac:dyDescent="0.75">
      <c r="A69" s="18" t="s">
        <v>61</v>
      </c>
      <c r="B69" s="19">
        <v>46027</v>
      </c>
      <c r="C69" s="18" t="s">
        <v>56</v>
      </c>
      <c r="D69" s="17">
        <v>666507</v>
      </c>
      <c r="E69" s="18" t="s">
        <v>13</v>
      </c>
      <c r="F69" s="20">
        <v>30</v>
      </c>
      <c r="G69" s="20">
        <v>41</v>
      </c>
    </row>
    <row r="70" spans="1:7" ht="15" customHeight="1" x14ac:dyDescent="0.75">
      <c r="A70" s="18" t="s">
        <v>61</v>
      </c>
      <c r="B70" s="19">
        <v>46027</v>
      </c>
      <c r="C70" s="18" t="s">
        <v>56</v>
      </c>
      <c r="D70" s="17">
        <v>666509</v>
      </c>
      <c r="E70" s="18" t="s">
        <v>15</v>
      </c>
      <c r="F70" s="20">
        <v>80</v>
      </c>
      <c r="G70" s="20">
        <v>83</v>
      </c>
    </row>
    <row r="71" spans="1:7" ht="15" customHeight="1" x14ac:dyDescent="0.75">
      <c r="A71" s="18" t="s">
        <v>61</v>
      </c>
      <c r="B71" s="19">
        <v>46027</v>
      </c>
      <c r="C71" s="18" t="s">
        <v>56</v>
      </c>
      <c r="D71" s="17">
        <v>666510</v>
      </c>
      <c r="E71" s="18" t="s">
        <v>17</v>
      </c>
      <c r="F71" s="20">
        <v>0</v>
      </c>
      <c r="G71" s="20">
        <v>0</v>
      </c>
    </row>
    <row r="72" spans="1:7" ht="15" customHeight="1" x14ac:dyDescent="0.75">
      <c r="A72" s="18" t="s">
        <v>61</v>
      </c>
      <c r="B72" s="19">
        <v>46027</v>
      </c>
      <c r="C72" s="18" t="s">
        <v>56</v>
      </c>
      <c r="D72" s="17">
        <v>666511</v>
      </c>
      <c r="E72" s="18" t="s">
        <v>19</v>
      </c>
      <c r="F72" s="20">
        <v>3</v>
      </c>
      <c r="G72" s="20">
        <v>6</v>
      </c>
    </row>
    <row r="73" spans="1:7" ht="15" customHeight="1" x14ac:dyDescent="0.75">
      <c r="A73" s="18" t="s">
        <v>61</v>
      </c>
      <c r="B73" s="19">
        <v>46027</v>
      </c>
      <c r="C73" s="18" t="s">
        <v>56</v>
      </c>
      <c r="D73" s="17">
        <v>666513</v>
      </c>
      <c r="E73" s="18" t="s">
        <v>21</v>
      </c>
      <c r="F73" s="20">
        <v>10</v>
      </c>
      <c r="G73" s="20">
        <v>0</v>
      </c>
    </row>
    <row r="74" spans="1:7" ht="15" customHeight="1" x14ac:dyDescent="0.75">
      <c r="A74" s="18" t="s">
        <v>61</v>
      </c>
      <c r="B74" s="19">
        <v>46027</v>
      </c>
      <c r="C74" s="18" t="s">
        <v>56</v>
      </c>
      <c r="D74" s="17">
        <v>666516</v>
      </c>
      <c r="E74" s="18" t="s">
        <v>23</v>
      </c>
      <c r="F74" s="20">
        <v>16</v>
      </c>
      <c r="G74" s="20">
        <v>6</v>
      </c>
    </row>
    <row r="75" spans="1:7" ht="15" customHeight="1" x14ac:dyDescent="0.75">
      <c r="A75" s="18" t="s">
        <v>61</v>
      </c>
      <c r="B75" s="19">
        <v>46027</v>
      </c>
      <c r="C75" s="18" t="s">
        <v>56</v>
      </c>
      <c r="D75" s="17">
        <v>666517</v>
      </c>
      <c r="E75" s="18" t="s">
        <v>25</v>
      </c>
      <c r="F75" s="20">
        <v>20.5</v>
      </c>
      <c r="G75" s="20">
        <v>11</v>
      </c>
    </row>
    <row r="76" spans="1:7" ht="15" customHeight="1" x14ac:dyDescent="0.75">
      <c r="A76" s="18" t="s">
        <v>61</v>
      </c>
      <c r="B76" s="19">
        <v>46027</v>
      </c>
      <c r="C76" s="18" t="s">
        <v>56</v>
      </c>
      <c r="D76" s="17">
        <v>666518</v>
      </c>
      <c r="E76" s="18" t="s">
        <v>27</v>
      </c>
      <c r="F76" s="20">
        <v>0</v>
      </c>
      <c r="G76" s="20">
        <v>0</v>
      </c>
    </row>
    <row r="77" spans="1:7" ht="15" customHeight="1" x14ac:dyDescent="0.75">
      <c r="A77" s="18" t="s">
        <v>61</v>
      </c>
      <c r="B77" s="19">
        <v>46027</v>
      </c>
      <c r="C77" s="18" t="s">
        <v>56</v>
      </c>
      <c r="D77" s="17">
        <v>666519</v>
      </c>
      <c r="E77" s="18" t="s">
        <v>29</v>
      </c>
      <c r="F77" s="20">
        <v>16</v>
      </c>
      <c r="G77" s="20">
        <v>5</v>
      </c>
    </row>
    <row r="78" spans="1:7" ht="15" customHeight="1" x14ac:dyDescent="0.75">
      <c r="A78" s="18" t="s">
        <v>61</v>
      </c>
      <c r="B78" s="19">
        <v>46027</v>
      </c>
      <c r="C78" s="18" t="s">
        <v>56</v>
      </c>
      <c r="D78" s="17">
        <v>666521</v>
      </c>
      <c r="E78" s="18" t="s">
        <v>31</v>
      </c>
      <c r="F78" s="20">
        <v>0</v>
      </c>
      <c r="G78" s="20">
        <v>0</v>
      </c>
    </row>
    <row r="79" spans="1:7" ht="15" customHeight="1" x14ac:dyDescent="0.75">
      <c r="A79" s="18" t="s">
        <v>61</v>
      </c>
      <c r="B79" s="19">
        <v>46027</v>
      </c>
      <c r="C79" s="18" t="s">
        <v>56</v>
      </c>
      <c r="D79" s="17">
        <v>666522</v>
      </c>
      <c r="E79" s="18" t="s">
        <v>33</v>
      </c>
      <c r="F79" s="20">
        <v>65</v>
      </c>
      <c r="G79" s="20">
        <v>45</v>
      </c>
    </row>
    <row r="80" spans="1:7" ht="15" customHeight="1" x14ac:dyDescent="0.75">
      <c r="A80" s="18" t="s">
        <v>61</v>
      </c>
      <c r="B80" s="19">
        <v>46027</v>
      </c>
      <c r="C80" s="18" t="s">
        <v>56</v>
      </c>
      <c r="D80" s="17">
        <v>666523</v>
      </c>
      <c r="E80" s="18" t="s">
        <v>35</v>
      </c>
      <c r="F80" s="20">
        <v>0</v>
      </c>
      <c r="G80" s="20">
        <v>0</v>
      </c>
    </row>
    <row r="81" spans="1:7" ht="15" customHeight="1" x14ac:dyDescent="0.75">
      <c r="A81" s="18" t="s">
        <v>61</v>
      </c>
      <c r="B81" s="19">
        <v>46027</v>
      </c>
      <c r="C81" s="18" t="s">
        <v>56</v>
      </c>
      <c r="D81" s="17">
        <v>666530</v>
      </c>
      <c r="E81" s="18" t="s">
        <v>37</v>
      </c>
      <c r="F81" s="20">
        <v>2</v>
      </c>
      <c r="G81" s="20">
        <v>0</v>
      </c>
    </row>
    <row r="82" spans="1:7" ht="15" customHeight="1" x14ac:dyDescent="0.75">
      <c r="A82" s="18" t="s">
        <v>61</v>
      </c>
      <c r="B82" s="19">
        <v>46027</v>
      </c>
      <c r="C82" s="18" t="s">
        <v>56</v>
      </c>
      <c r="D82" s="17">
        <v>666531</v>
      </c>
      <c r="E82" s="18" t="s">
        <v>39</v>
      </c>
      <c r="F82" s="20">
        <v>8.5</v>
      </c>
      <c r="G82" s="20">
        <v>0</v>
      </c>
    </row>
    <row r="83" spans="1:7" ht="15" customHeight="1" x14ac:dyDescent="0.75">
      <c r="A83" s="18" t="s">
        <v>61</v>
      </c>
      <c r="B83" s="19">
        <v>46027</v>
      </c>
      <c r="C83" s="18" t="s">
        <v>56</v>
      </c>
      <c r="D83" s="17">
        <v>666540</v>
      </c>
      <c r="E83" s="18" t="s">
        <v>40</v>
      </c>
      <c r="F83" s="20">
        <v>0</v>
      </c>
      <c r="G83" s="20">
        <v>0</v>
      </c>
    </row>
    <row r="84" spans="1:7" ht="15" customHeight="1" x14ac:dyDescent="0.75">
      <c r="A84" s="18" t="s">
        <v>61</v>
      </c>
      <c r="B84" s="19">
        <v>46027</v>
      </c>
      <c r="C84" s="18" t="s">
        <v>56</v>
      </c>
      <c r="D84" s="17">
        <v>666541</v>
      </c>
      <c r="E84" s="18" t="s">
        <v>41</v>
      </c>
      <c r="F84" s="20">
        <v>0</v>
      </c>
      <c r="G84" s="20">
        <v>0</v>
      </c>
    </row>
    <row r="85" spans="1:7" ht="15" customHeight="1" x14ac:dyDescent="0.75">
      <c r="A85" s="18" t="s">
        <v>61</v>
      </c>
      <c r="B85" s="19">
        <v>46027</v>
      </c>
      <c r="C85" s="18" t="s">
        <v>56</v>
      </c>
      <c r="D85" s="17">
        <v>666536</v>
      </c>
      <c r="E85" s="18" t="s">
        <v>43</v>
      </c>
      <c r="F85" s="20">
        <v>10</v>
      </c>
      <c r="G85" s="20">
        <v>14</v>
      </c>
    </row>
    <row r="86" spans="1:7" ht="15" customHeight="1" x14ac:dyDescent="0.75">
      <c r="A86" s="18" t="s">
        <v>61</v>
      </c>
      <c r="B86" s="19">
        <v>46027</v>
      </c>
      <c r="C86" s="18" t="s">
        <v>58</v>
      </c>
      <c r="D86" s="17">
        <v>666501</v>
      </c>
      <c r="E86" s="18" t="s">
        <v>5</v>
      </c>
      <c r="F86" s="20">
        <v>150</v>
      </c>
      <c r="G86" s="20">
        <v>150</v>
      </c>
    </row>
    <row r="87" spans="1:7" ht="15" customHeight="1" x14ac:dyDescent="0.75">
      <c r="A87" s="18" t="s">
        <v>61</v>
      </c>
      <c r="B87" s="19">
        <v>46027</v>
      </c>
      <c r="C87" s="18" t="s">
        <v>58</v>
      </c>
      <c r="D87" s="17">
        <v>666502</v>
      </c>
      <c r="E87" s="18" t="s">
        <v>7</v>
      </c>
      <c r="F87" s="20">
        <v>75</v>
      </c>
      <c r="G87" s="20">
        <v>115</v>
      </c>
    </row>
    <row r="88" spans="1:7" ht="15" customHeight="1" x14ac:dyDescent="0.75">
      <c r="A88" s="18" t="s">
        <v>61</v>
      </c>
      <c r="B88" s="19">
        <v>46027</v>
      </c>
      <c r="C88" s="18" t="s">
        <v>58</v>
      </c>
      <c r="D88" s="17">
        <v>666505</v>
      </c>
      <c r="E88" s="18" t="s">
        <v>9</v>
      </c>
      <c r="F88" s="20">
        <v>0</v>
      </c>
      <c r="G88" s="20">
        <v>0</v>
      </c>
    </row>
    <row r="89" spans="1:7" ht="15" customHeight="1" x14ac:dyDescent="0.75">
      <c r="A89" s="18" t="s">
        <v>61</v>
      </c>
      <c r="B89" s="19">
        <v>46027</v>
      </c>
      <c r="C89" s="18" t="s">
        <v>58</v>
      </c>
      <c r="D89" s="17">
        <v>666506</v>
      </c>
      <c r="E89" s="18" t="s">
        <v>11</v>
      </c>
      <c r="F89" s="20">
        <v>100</v>
      </c>
      <c r="G89" s="20">
        <v>200</v>
      </c>
    </row>
    <row r="90" spans="1:7" ht="15" customHeight="1" x14ac:dyDescent="0.75">
      <c r="A90" s="18" t="s">
        <v>61</v>
      </c>
      <c r="B90" s="19">
        <v>46027</v>
      </c>
      <c r="C90" s="18" t="s">
        <v>58</v>
      </c>
      <c r="D90" s="17">
        <v>666507</v>
      </c>
      <c r="E90" s="18" t="s">
        <v>13</v>
      </c>
      <c r="F90" s="20">
        <v>0</v>
      </c>
      <c r="G90" s="20">
        <v>0</v>
      </c>
    </row>
    <row r="91" spans="1:7" ht="15" customHeight="1" x14ac:dyDescent="0.75">
      <c r="A91" s="18" t="s">
        <v>61</v>
      </c>
      <c r="B91" s="19">
        <v>46027</v>
      </c>
      <c r="C91" s="18" t="s">
        <v>58</v>
      </c>
      <c r="D91" s="17">
        <v>666509</v>
      </c>
      <c r="E91" s="18" t="s">
        <v>15</v>
      </c>
      <c r="F91" s="20">
        <v>0</v>
      </c>
      <c r="G91" s="20">
        <v>0</v>
      </c>
    </row>
    <row r="92" spans="1:7" ht="15" customHeight="1" x14ac:dyDescent="0.75">
      <c r="A92" s="18" t="s">
        <v>61</v>
      </c>
      <c r="B92" s="19">
        <v>46027</v>
      </c>
      <c r="C92" s="18" t="s">
        <v>58</v>
      </c>
      <c r="D92" s="17">
        <v>666510</v>
      </c>
      <c r="E92" s="18" t="s">
        <v>17</v>
      </c>
      <c r="F92" s="20">
        <v>0</v>
      </c>
      <c r="G92" s="20">
        <v>0</v>
      </c>
    </row>
    <row r="93" spans="1:7" ht="15" customHeight="1" x14ac:dyDescent="0.75">
      <c r="A93" s="18" t="s">
        <v>61</v>
      </c>
      <c r="B93" s="19">
        <v>46027</v>
      </c>
      <c r="C93" s="18" t="s">
        <v>58</v>
      </c>
      <c r="D93" s="17">
        <v>666511</v>
      </c>
      <c r="E93" s="18" t="s">
        <v>19</v>
      </c>
      <c r="F93" s="20">
        <v>0</v>
      </c>
      <c r="G93" s="20">
        <v>0</v>
      </c>
    </row>
    <row r="94" spans="1:7" ht="15" customHeight="1" x14ac:dyDescent="0.75">
      <c r="A94" s="18" t="s">
        <v>61</v>
      </c>
      <c r="B94" s="19">
        <v>46027</v>
      </c>
      <c r="C94" s="18" t="s">
        <v>58</v>
      </c>
      <c r="D94" s="17">
        <v>666513</v>
      </c>
      <c r="E94" s="18" t="s">
        <v>21</v>
      </c>
      <c r="F94" s="20">
        <v>0</v>
      </c>
      <c r="G94" s="20">
        <v>0</v>
      </c>
    </row>
    <row r="95" spans="1:7" ht="15" customHeight="1" x14ac:dyDescent="0.75">
      <c r="A95" s="18" t="s">
        <v>61</v>
      </c>
      <c r="B95" s="19">
        <v>46027</v>
      </c>
      <c r="C95" s="18" t="s">
        <v>58</v>
      </c>
      <c r="D95" s="17">
        <v>666516</v>
      </c>
      <c r="E95" s="18" t="s">
        <v>23</v>
      </c>
      <c r="F95" s="20">
        <v>0</v>
      </c>
      <c r="G95" s="20">
        <v>0</v>
      </c>
    </row>
    <row r="96" spans="1:7" ht="15" customHeight="1" x14ac:dyDescent="0.75">
      <c r="A96" s="18" t="s">
        <v>61</v>
      </c>
      <c r="B96" s="19">
        <v>46027</v>
      </c>
      <c r="C96" s="18" t="s">
        <v>58</v>
      </c>
      <c r="D96" s="17">
        <v>666517</v>
      </c>
      <c r="E96" s="18" t="s">
        <v>25</v>
      </c>
      <c r="F96" s="20">
        <v>0</v>
      </c>
      <c r="G96" s="20">
        <v>0</v>
      </c>
    </row>
    <row r="97" spans="1:7" ht="15" customHeight="1" x14ac:dyDescent="0.75">
      <c r="A97" s="18" t="s">
        <v>61</v>
      </c>
      <c r="B97" s="19">
        <v>46027</v>
      </c>
      <c r="C97" s="18" t="s">
        <v>58</v>
      </c>
      <c r="D97" s="17">
        <v>666518</v>
      </c>
      <c r="E97" s="18" t="s">
        <v>27</v>
      </c>
      <c r="F97" s="20">
        <v>0</v>
      </c>
      <c r="G97" s="20">
        <v>0</v>
      </c>
    </row>
    <row r="98" spans="1:7" ht="15" customHeight="1" x14ac:dyDescent="0.75">
      <c r="A98" s="18" t="s">
        <v>61</v>
      </c>
      <c r="B98" s="19">
        <v>46027</v>
      </c>
      <c r="C98" s="18" t="s">
        <v>58</v>
      </c>
      <c r="D98" s="17">
        <v>666519</v>
      </c>
      <c r="E98" s="18" t="s">
        <v>29</v>
      </c>
      <c r="F98" s="20">
        <v>0</v>
      </c>
      <c r="G98" s="20">
        <v>0</v>
      </c>
    </row>
    <row r="99" spans="1:7" ht="15" customHeight="1" x14ac:dyDescent="0.75">
      <c r="A99" s="18" t="s">
        <v>61</v>
      </c>
      <c r="B99" s="19">
        <v>46027</v>
      </c>
      <c r="C99" s="18" t="s">
        <v>58</v>
      </c>
      <c r="D99" s="17">
        <v>666521</v>
      </c>
      <c r="E99" s="18" t="s">
        <v>31</v>
      </c>
      <c r="F99" s="20">
        <v>0</v>
      </c>
      <c r="G99" s="20">
        <v>0</v>
      </c>
    </row>
    <row r="100" spans="1:7" ht="15" customHeight="1" x14ac:dyDescent="0.75">
      <c r="A100" s="18" t="s">
        <v>61</v>
      </c>
      <c r="B100" s="19">
        <v>46027</v>
      </c>
      <c r="C100" s="18" t="s">
        <v>58</v>
      </c>
      <c r="D100" s="17">
        <v>666522</v>
      </c>
      <c r="E100" s="18" t="s">
        <v>33</v>
      </c>
      <c r="F100" s="20">
        <v>95</v>
      </c>
      <c r="G100" s="20">
        <v>0</v>
      </c>
    </row>
    <row r="101" spans="1:7" ht="15" customHeight="1" x14ac:dyDescent="0.75">
      <c r="A101" s="18" t="s">
        <v>61</v>
      </c>
      <c r="B101" s="19">
        <v>46027</v>
      </c>
      <c r="C101" s="18" t="s">
        <v>58</v>
      </c>
      <c r="D101" s="17">
        <v>666523</v>
      </c>
      <c r="E101" s="18" t="s">
        <v>35</v>
      </c>
      <c r="F101" s="20">
        <v>56</v>
      </c>
      <c r="G101" s="20">
        <v>112</v>
      </c>
    </row>
    <row r="102" spans="1:7" ht="15" customHeight="1" x14ac:dyDescent="0.75">
      <c r="A102" s="18" t="s">
        <v>61</v>
      </c>
      <c r="B102" s="19">
        <v>46027</v>
      </c>
      <c r="C102" s="18" t="s">
        <v>58</v>
      </c>
      <c r="D102" s="17">
        <v>666530</v>
      </c>
      <c r="E102" s="18" t="s">
        <v>37</v>
      </c>
      <c r="F102" s="20">
        <v>0</v>
      </c>
      <c r="G102" s="20">
        <v>0</v>
      </c>
    </row>
    <row r="103" spans="1:7" ht="15" customHeight="1" x14ac:dyDescent="0.75">
      <c r="A103" s="18" t="s">
        <v>61</v>
      </c>
      <c r="B103" s="19">
        <v>46027</v>
      </c>
      <c r="C103" s="18" t="s">
        <v>58</v>
      </c>
      <c r="D103" s="17">
        <v>666531</v>
      </c>
      <c r="E103" s="18" t="s">
        <v>39</v>
      </c>
      <c r="F103" s="20">
        <v>0</v>
      </c>
      <c r="G103" s="20">
        <v>0</v>
      </c>
    </row>
    <row r="104" spans="1:7" ht="15" customHeight="1" x14ac:dyDescent="0.75">
      <c r="A104" s="18" t="s">
        <v>61</v>
      </c>
      <c r="B104" s="19">
        <v>46027</v>
      </c>
      <c r="C104" s="18" t="s">
        <v>58</v>
      </c>
      <c r="D104" s="17">
        <v>666540</v>
      </c>
      <c r="E104" s="18" t="s">
        <v>40</v>
      </c>
      <c r="F104" s="20">
        <v>120</v>
      </c>
      <c r="G104" s="20">
        <v>46</v>
      </c>
    </row>
    <row r="105" spans="1:7" ht="15" customHeight="1" x14ac:dyDescent="0.75">
      <c r="A105" s="18" t="s">
        <v>61</v>
      </c>
      <c r="B105" s="19">
        <v>46027</v>
      </c>
      <c r="C105" s="18" t="s">
        <v>58</v>
      </c>
      <c r="D105" s="17">
        <v>666541</v>
      </c>
      <c r="E105" s="18" t="s">
        <v>41</v>
      </c>
      <c r="F105" s="20">
        <v>120</v>
      </c>
      <c r="G105" s="20">
        <v>65</v>
      </c>
    </row>
    <row r="106" spans="1:7" ht="15" customHeight="1" x14ac:dyDescent="0.75">
      <c r="A106" s="18" t="s">
        <v>61</v>
      </c>
      <c r="B106" s="19">
        <v>46027</v>
      </c>
      <c r="C106" s="18" t="s">
        <v>58</v>
      </c>
      <c r="D106" s="17">
        <v>666536</v>
      </c>
      <c r="E106" s="18" t="s">
        <v>43</v>
      </c>
      <c r="F106" s="20">
        <v>0</v>
      </c>
      <c r="G106" s="20">
        <v>0</v>
      </c>
    </row>
    <row r="107" spans="1:7" ht="15" customHeight="1" x14ac:dyDescent="0.75">
      <c r="A107" s="18" t="s">
        <v>61</v>
      </c>
      <c r="B107" s="19">
        <v>46027</v>
      </c>
      <c r="C107" s="18" t="s">
        <v>66</v>
      </c>
      <c r="D107" s="17">
        <v>666501</v>
      </c>
      <c r="E107" s="18" t="s">
        <v>5</v>
      </c>
      <c r="F107" s="20">
        <v>15</v>
      </c>
      <c r="G107" s="20">
        <v>0</v>
      </c>
    </row>
    <row r="108" spans="1:7" ht="15" customHeight="1" x14ac:dyDescent="0.75">
      <c r="A108" s="18" t="s">
        <v>61</v>
      </c>
      <c r="B108" s="19">
        <v>46027</v>
      </c>
      <c r="C108" s="18" t="s">
        <v>66</v>
      </c>
      <c r="D108" s="17">
        <v>666502</v>
      </c>
      <c r="E108" s="18" t="s">
        <v>7</v>
      </c>
      <c r="F108" s="20">
        <v>20</v>
      </c>
      <c r="G108" s="20">
        <v>0</v>
      </c>
    </row>
    <row r="109" spans="1:7" ht="15" customHeight="1" x14ac:dyDescent="0.75">
      <c r="A109" s="18" t="s">
        <v>61</v>
      </c>
      <c r="B109" s="19">
        <v>46027</v>
      </c>
      <c r="C109" s="18" t="s">
        <v>66</v>
      </c>
      <c r="D109" s="17">
        <v>666505</v>
      </c>
      <c r="E109" s="18" t="s">
        <v>9</v>
      </c>
      <c r="F109" s="20">
        <v>21</v>
      </c>
      <c r="G109" s="20">
        <v>0</v>
      </c>
    </row>
    <row r="110" spans="1:7" ht="15" customHeight="1" x14ac:dyDescent="0.75">
      <c r="A110" s="18" t="s">
        <v>61</v>
      </c>
      <c r="B110" s="19">
        <v>46027</v>
      </c>
      <c r="C110" s="18" t="s">
        <v>66</v>
      </c>
      <c r="D110" s="17">
        <v>666506</v>
      </c>
      <c r="E110" s="18" t="s">
        <v>11</v>
      </c>
      <c r="F110" s="20">
        <v>0</v>
      </c>
      <c r="G110" s="20">
        <v>0</v>
      </c>
    </row>
    <row r="111" spans="1:7" ht="15" customHeight="1" x14ac:dyDescent="0.75">
      <c r="A111" s="18" t="s">
        <v>61</v>
      </c>
      <c r="B111" s="19">
        <v>46027</v>
      </c>
      <c r="C111" s="18" t="s">
        <v>66</v>
      </c>
      <c r="D111" s="17">
        <v>666507</v>
      </c>
      <c r="E111" s="18" t="s">
        <v>13</v>
      </c>
      <c r="F111" s="20">
        <v>0</v>
      </c>
      <c r="G111" s="20">
        <v>0</v>
      </c>
    </row>
    <row r="112" spans="1:7" ht="15" customHeight="1" x14ac:dyDescent="0.75">
      <c r="A112" s="18" t="s">
        <v>61</v>
      </c>
      <c r="B112" s="19">
        <v>46027</v>
      </c>
      <c r="C112" s="18" t="s">
        <v>66</v>
      </c>
      <c r="D112" s="17">
        <v>666509</v>
      </c>
      <c r="E112" s="18" t="s">
        <v>15</v>
      </c>
      <c r="F112" s="20">
        <v>0</v>
      </c>
      <c r="G112" s="20">
        <v>0</v>
      </c>
    </row>
    <row r="113" spans="1:7" ht="15" customHeight="1" x14ac:dyDescent="0.75">
      <c r="A113" s="18" t="s">
        <v>61</v>
      </c>
      <c r="B113" s="19">
        <v>46027</v>
      </c>
      <c r="C113" s="18" t="s">
        <v>66</v>
      </c>
      <c r="D113" s="17">
        <v>666510</v>
      </c>
      <c r="E113" s="18" t="s">
        <v>17</v>
      </c>
      <c r="F113" s="20">
        <v>0</v>
      </c>
      <c r="G113" s="20">
        <v>0</v>
      </c>
    </row>
    <row r="114" spans="1:7" ht="15" customHeight="1" x14ac:dyDescent="0.75">
      <c r="A114" s="18" t="s">
        <v>61</v>
      </c>
      <c r="B114" s="19">
        <v>46027</v>
      </c>
      <c r="C114" s="18" t="s">
        <v>66</v>
      </c>
      <c r="D114" s="17">
        <v>666511</v>
      </c>
      <c r="E114" s="18" t="s">
        <v>19</v>
      </c>
      <c r="F114" s="20">
        <v>0</v>
      </c>
      <c r="G114" s="20">
        <v>0</v>
      </c>
    </row>
    <row r="115" spans="1:7" ht="15" customHeight="1" x14ac:dyDescent="0.75">
      <c r="A115" s="18" t="s">
        <v>61</v>
      </c>
      <c r="B115" s="19">
        <v>46027</v>
      </c>
      <c r="C115" s="18" t="s">
        <v>66</v>
      </c>
      <c r="D115" s="17">
        <v>666513</v>
      </c>
      <c r="E115" s="18" t="s">
        <v>21</v>
      </c>
      <c r="F115" s="20">
        <v>23</v>
      </c>
      <c r="G115" s="20">
        <v>0</v>
      </c>
    </row>
    <row r="116" spans="1:7" ht="15" customHeight="1" x14ac:dyDescent="0.75">
      <c r="A116" s="18" t="s">
        <v>61</v>
      </c>
      <c r="B116" s="19">
        <v>46027</v>
      </c>
      <c r="C116" s="18" t="s">
        <v>66</v>
      </c>
      <c r="D116" s="17">
        <v>666516</v>
      </c>
      <c r="E116" s="18" t="s">
        <v>23</v>
      </c>
      <c r="F116" s="20">
        <v>16</v>
      </c>
      <c r="G116" s="20">
        <v>0</v>
      </c>
    </row>
    <row r="117" spans="1:7" ht="15" customHeight="1" x14ac:dyDescent="0.75">
      <c r="A117" s="18" t="s">
        <v>61</v>
      </c>
      <c r="B117" s="19">
        <v>46027</v>
      </c>
      <c r="C117" s="18" t="s">
        <v>66</v>
      </c>
      <c r="D117" s="17">
        <v>666517</v>
      </c>
      <c r="E117" s="18" t="s">
        <v>25</v>
      </c>
      <c r="F117" s="20">
        <v>9.5</v>
      </c>
      <c r="G117" s="20">
        <v>0</v>
      </c>
    </row>
    <row r="118" spans="1:7" ht="15" customHeight="1" x14ac:dyDescent="0.75">
      <c r="A118" s="18" t="s">
        <v>61</v>
      </c>
      <c r="B118" s="19">
        <v>46027</v>
      </c>
      <c r="C118" s="18" t="s">
        <v>66</v>
      </c>
      <c r="D118" s="17">
        <v>666518</v>
      </c>
      <c r="E118" s="18" t="s">
        <v>27</v>
      </c>
      <c r="F118" s="20">
        <v>0</v>
      </c>
      <c r="G118" s="20">
        <v>0</v>
      </c>
    </row>
    <row r="119" spans="1:7" ht="15" customHeight="1" x14ac:dyDescent="0.75">
      <c r="A119" s="18" t="s">
        <v>61</v>
      </c>
      <c r="B119" s="19">
        <v>46027</v>
      </c>
      <c r="C119" s="18" t="s">
        <v>66</v>
      </c>
      <c r="D119" s="17">
        <v>666519</v>
      </c>
      <c r="E119" s="18" t="s">
        <v>29</v>
      </c>
      <c r="F119" s="20">
        <v>16</v>
      </c>
      <c r="G119" s="20">
        <v>0</v>
      </c>
    </row>
    <row r="120" spans="1:7" ht="15" customHeight="1" x14ac:dyDescent="0.75">
      <c r="A120" s="18" t="s">
        <v>61</v>
      </c>
      <c r="B120" s="19">
        <v>46027</v>
      </c>
      <c r="C120" s="18" t="s">
        <v>66</v>
      </c>
      <c r="D120" s="17">
        <v>666521</v>
      </c>
      <c r="E120" s="18" t="s">
        <v>31</v>
      </c>
      <c r="F120" s="20">
        <v>0</v>
      </c>
      <c r="G120" s="20">
        <v>0</v>
      </c>
    </row>
    <row r="121" spans="1:7" ht="15" customHeight="1" x14ac:dyDescent="0.75">
      <c r="A121" s="18" t="s">
        <v>61</v>
      </c>
      <c r="B121" s="19">
        <v>46027</v>
      </c>
      <c r="C121" s="18" t="s">
        <v>66</v>
      </c>
      <c r="D121" s="17">
        <v>666522</v>
      </c>
      <c r="E121" s="18" t="s">
        <v>33</v>
      </c>
      <c r="F121" s="20">
        <v>40</v>
      </c>
      <c r="G121" s="20">
        <v>0</v>
      </c>
    </row>
    <row r="122" spans="1:7" ht="15" customHeight="1" x14ac:dyDescent="0.75">
      <c r="A122" s="18" t="s">
        <v>61</v>
      </c>
      <c r="B122" s="19">
        <v>46027</v>
      </c>
      <c r="C122" s="18" t="s">
        <v>66</v>
      </c>
      <c r="D122" s="17">
        <v>666523</v>
      </c>
      <c r="E122" s="18" t="s">
        <v>35</v>
      </c>
      <c r="F122" s="20">
        <v>14</v>
      </c>
      <c r="G122" s="20">
        <v>0</v>
      </c>
    </row>
    <row r="123" spans="1:7" ht="15" customHeight="1" x14ac:dyDescent="0.75">
      <c r="A123" s="18" t="s">
        <v>61</v>
      </c>
      <c r="B123" s="19">
        <v>46027</v>
      </c>
      <c r="C123" s="18" t="s">
        <v>66</v>
      </c>
      <c r="D123" s="17">
        <v>666530</v>
      </c>
      <c r="E123" s="18" t="s">
        <v>37</v>
      </c>
      <c r="F123" s="20">
        <v>6</v>
      </c>
      <c r="G123" s="20">
        <v>0</v>
      </c>
    </row>
    <row r="124" spans="1:7" ht="15" customHeight="1" x14ac:dyDescent="0.75">
      <c r="A124" s="18" t="s">
        <v>61</v>
      </c>
      <c r="B124" s="19">
        <v>46027</v>
      </c>
      <c r="C124" s="18" t="s">
        <v>66</v>
      </c>
      <c r="D124" s="17">
        <v>666531</v>
      </c>
      <c r="E124" s="18" t="s">
        <v>39</v>
      </c>
      <c r="F124" s="20">
        <v>3.5</v>
      </c>
      <c r="G124" s="20">
        <v>0</v>
      </c>
    </row>
    <row r="125" spans="1:7" ht="15" customHeight="1" x14ac:dyDescent="0.75">
      <c r="A125" s="18" t="s">
        <v>61</v>
      </c>
      <c r="B125" s="19">
        <v>46027</v>
      </c>
      <c r="C125" s="18" t="s">
        <v>66</v>
      </c>
      <c r="D125" s="17">
        <v>666540</v>
      </c>
      <c r="E125" s="18" t="s">
        <v>40</v>
      </c>
      <c r="F125" s="20">
        <v>0</v>
      </c>
      <c r="G125" s="20">
        <v>0</v>
      </c>
    </row>
    <row r="126" spans="1:7" ht="15" customHeight="1" x14ac:dyDescent="0.75">
      <c r="A126" s="18" t="s">
        <v>61</v>
      </c>
      <c r="B126" s="19">
        <v>46027</v>
      </c>
      <c r="C126" s="18" t="s">
        <v>66</v>
      </c>
      <c r="D126" s="17">
        <v>666541</v>
      </c>
      <c r="E126" s="18" t="s">
        <v>41</v>
      </c>
      <c r="F126" s="20">
        <v>0</v>
      </c>
      <c r="G126" s="20">
        <v>0</v>
      </c>
    </row>
    <row r="127" spans="1:7" ht="15" customHeight="1" x14ac:dyDescent="0.75">
      <c r="A127" s="18" t="s">
        <v>61</v>
      </c>
      <c r="B127" s="19">
        <v>46027</v>
      </c>
      <c r="C127" s="18" t="s">
        <v>66</v>
      </c>
      <c r="D127" s="17">
        <v>666536</v>
      </c>
      <c r="E127" s="18" t="s">
        <v>43</v>
      </c>
      <c r="F127" s="20">
        <v>0</v>
      </c>
      <c r="G127" s="20">
        <v>0</v>
      </c>
    </row>
    <row r="128" spans="1:7" ht="15" customHeight="1" x14ac:dyDescent="0.75">
      <c r="A128" s="18" t="s">
        <v>64</v>
      </c>
      <c r="B128" s="19">
        <v>46034</v>
      </c>
      <c r="C128" s="18" t="s">
        <v>56</v>
      </c>
      <c r="D128" s="17">
        <v>666501</v>
      </c>
      <c r="E128" s="18" t="s">
        <v>5</v>
      </c>
      <c r="F128" s="20">
        <v>0</v>
      </c>
      <c r="G128" s="20">
        <v>0</v>
      </c>
    </row>
    <row r="129" spans="1:7" ht="15" customHeight="1" x14ac:dyDescent="0.75">
      <c r="A129" s="18" t="s">
        <v>64</v>
      </c>
      <c r="B129" s="19">
        <v>46034</v>
      </c>
      <c r="C129" s="18" t="s">
        <v>56</v>
      </c>
      <c r="D129" s="17">
        <v>666502</v>
      </c>
      <c r="E129" s="18" t="s">
        <v>7</v>
      </c>
      <c r="F129" s="20">
        <v>0</v>
      </c>
      <c r="G129" s="20">
        <v>0</v>
      </c>
    </row>
    <row r="130" spans="1:7" ht="15" customHeight="1" x14ac:dyDescent="0.75">
      <c r="A130" s="18" t="s">
        <v>64</v>
      </c>
      <c r="B130" s="19">
        <v>46034</v>
      </c>
      <c r="C130" s="18" t="s">
        <v>56</v>
      </c>
      <c r="D130" s="17">
        <v>666505</v>
      </c>
      <c r="E130" s="18" t="s">
        <v>9</v>
      </c>
      <c r="F130" s="20">
        <v>9.5</v>
      </c>
      <c r="G130" s="20">
        <v>19</v>
      </c>
    </row>
    <row r="131" spans="1:7" ht="15" customHeight="1" x14ac:dyDescent="0.75">
      <c r="A131" s="18" t="s">
        <v>64</v>
      </c>
      <c r="B131" s="19">
        <v>46034</v>
      </c>
      <c r="C131" s="18" t="s">
        <v>56</v>
      </c>
      <c r="D131" s="17">
        <v>666506</v>
      </c>
      <c r="E131" s="18" t="s">
        <v>11</v>
      </c>
      <c r="F131" s="20">
        <v>0</v>
      </c>
      <c r="G131" s="20">
        <v>0</v>
      </c>
    </row>
    <row r="132" spans="1:7" ht="15" customHeight="1" x14ac:dyDescent="0.75">
      <c r="A132" s="18" t="s">
        <v>64</v>
      </c>
      <c r="B132" s="19">
        <v>46034</v>
      </c>
      <c r="C132" s="18" t="s">
        <v>56</v>
      </c>
      <c r="D132" s="17">
        <v>666507</v>
      </c>
      <c r="E132" s="18" t="s">
        <v>13</v>
      </c>
      <c r="F132" s="20">
        <v>25</v>
      </c>
      <c r="G132" s="20">
        <v>31</v>
      </c>
    </row>
    <row r="133" spans="1:7" ht="15" customHeight="1" x14ac:dyDescent="0.75">
      <c r="A133" s="18" t="s">
        <v>64</v>
      </c>
      <c r="B133" s="19">
        <v>46034</v>
      </c>
      <c r="C133" s="18" t="s">
        <v>56</v>
      </c>
      <c r="D133" s="17">
        <v>666509</v>
      </c>
      <c r="E133" s="18" t="s">
        <v>15</v>
      </c>
      <c r="F133" s="20">
        <v>50</v>
      </c>
      <c r="G133" s="20">
        <v>63</v>
      </c>
    </row>
    <row r="134" spans="1:7" ht="15" customHeight="1" x14ac:dyDescent="0.75">
      <c r="A134" s="18" t="s">
        <v>64</v>
      </c>
      <c r="B134" s="19">
        <v>46034</v>
      </c>
      <c r="C134" s="18" t="s">
        <v>56</v>
      </c>
      <c r="D134" s="17">
        <v>666510</v>
      </c>
      <c r="E134" s="18" t="s">
        <v>17</v>
      </c>
      <c r="F134" s="20">
        <v>0</v>
      </c>
      <c r="G134" s="20">
        <v>0</v>
      </c>
    </row>
    <row r="135" spans="1:7" ht="15" customHeight="1" x14ac:dyDescent="0.75">
      <c r="A135" s="18" t="s">
        <v>64</v>
      </c>
      <c r="B135" s="19">
        <v>46034</v>
      </c>
      <c r="C135" s="18" t="s">
        <v>56</v>
      </c>
      <c r="D135" s="17">
        <v>666511</v>
      </c>
      <c r="E135" s="18" t="s">
        <v>19</v>
      </c>
      <c r="F135" s="20">
        <v>4</v>
      </c>
      <c r="G135" s="20">
        <v>8</v>
      </c>
    </row>
    <row r="136" spans="1:7" ht="15" customHeight="1" x14ac:dyDescent="0.75">
      <c r="A136" s="18" t="s">
        <v>64</v>
      </c>
      <c r="B136" s="19">
        <v>46034</v>
      </c>
      <c r="C136" s="18" t="s">
        <v>56</v>
      </c>
      <c r="D136" s="17">
        <v>666513</v>
      </c>
      <c r="E136" s="18" t="s">
        <v>21</v>
      </c>
      <c r="F136" s="20">
        <v>0</v>
      </c>
      <c r="G136" s="20">
        <v>0</v>
      </c>
    </row>
    <row r="137" spans="1:7" ht="15" customHeight="1" x14ac:dyDescent="0.75">
      <c r="A137" s="18" t="s">
        <v>64</v>
      </c>
      <c r="B137" s="19">
        <v>46034</v>
      </c>
      <c r="C137" s="18" t="s">
        <v>56</v>
      </c>
      <c r="D137" s="17">
        <v>666516</v>
      </c>
      <c r="E137" s="18" t="s">
        <v>23</v>
      </c>
      <c r="F137" s="20">
        <v>10</v>
      </c>
      <c r="G137" s="20">
        <v>20</v>
      </c>
    </row>
    <row r="138" spans="1:7" ht="15" customHeight="1" x14ac:dyDescent="0.75">
      <c r="A138" s="18" t="s">
        <v>64</v>
      </c>
      <c r="B138" s="19">
        <v>46034</v>
      </c>
      <c r="C138" s="18" t="s">
        <v>56</v>
      </c>
      <c r="D138" s="17">
        <v>666517</v>
      </c>
      <c r="E138" s="18" t="s">
        <v>25</v>
      </c>
      <c r="F138" s="20">
        <v>16.5</v>
      </c>
      <c r="G138" s="20">
        <v>33</v>
      </c>
    </row>
    <row r="139" spans="1:7" ht="15" customHeight="1" x14ac:dyDescent="0.75">
      <c r="A139" s="18" t="s">
        <v>64</v>
      </c>
      <c r="B139" s="19">
        <v>46034</v>
      </c>
      <c r="C139" s="18" t="s">
        <v>56</v>
      </c>
      <c r="D139" s="17">
        <v>666518</v>
      </c>
      <c r="E139" s="18" t="s">
        <v>27</v>
      </c>
      <c r="F139" s="20">
        <v>0</v>
      </c>
      <c r="G139" s="20">
        <v>0</v>
      </c>
    </row>
    <row r="140" spans="1:7" ht="15" customHeight="1" x14ac:dyDescent="0.75">
      <c r="A140" s="18" t="s">
        <v>64</v>
      </c>
      <c r="B140" s="19">
        <v>46034</v>
      </c>
      <c r="C140" s="18" t="s">
        <v>56</v>
      </c>
      <c r="D140" s="17">
        <v>666519</v>
      </c>
      <c r="E140" s="18" t="s">
        <v>29</v>
      </c>
      <c r="F140" s="20">
        <v>15</v>
      </c>
      <c r="G140" s="20">
        <v>30</v>
      </c>
    </row>
    <row r="141" spans="1:7" ht="15" customHeight="1" x14ac:dyDescent="0.75">
      <c r="A141" s="18" t="s">
        <v>64</v>
      </c>
      <c r="B141" s="19">
        <v>46034</v>
      </c>
      <c r="C141" s="18" t="s">
        <v>56</v>
      </c>
      <c r="D141" s="17">
        <v>666521</v>
      </c>
      <c r="E141" s="18" t="s">
        <v>31</v>
      </c>
      <c r="F141" s="20">
        <v>0</v>
      </c>
      <c r="G141" s="20">
        <v>0</v>
      </c>
    </row>
    <row r="142" spans="1:7" ht="15" customHeight="1" x14ac:dyDescent="0.75">
      <c r="A142" s="18" t="s">
        <v>64</v>
      </c>
      <c r="B142" s="19">
        <v>46034</v>
      </c>
      <c r="C142" s="18" t="s">
        <v>56</v>
      </c>
      <c r="D142" s="17">
        <v>666522</v>
      </c>
      <c r="E142" s="18" t="s">
        <v>33</v>
      </c>
      <c r="F142" s="20">
        <v>70</v>
      </c>
      <c r="G142" s="20">
        <v>125</v>
      </c>
    </row>
    <row r="143" spans="1:7" ht="15" customHeight="1" x14ac:dyDescent="0.75">
      <c r="A143" s="18" t="s">
        <v>64</v>
      </c>
      <c r="B143" s="19">
        <v>46034</v>
      </c>
      <c r="C143" s="18" t="s">
        <v>56</v>
      </c>
      <c r="D143" s="17">
        <v>666523</v>
      </c>
      <c r="E143" s="18" t="s">
        <v>35</v>
      </c>
      <c r="F143" s="20">
        <v>0</v>
      </c>
      <c r="G143" s="20">
        <v>0</v>
      </c>
    </row>
    <row r="144" spans="1:7" ht="15" customHeight="1" x14ac:dyDescent="0.75">
      <c r="A144" s="18" t="s">
        <v>64</v>
      </c>
      <c r="B144" s="19">
        <v>46034</v>
      </c>
      <c r="C144" s="18" t="s">
        <v>56</v>
      </c>
      <c r="D144" s="17">
        <v>666530</v>
      </c>
      <c r="E144" s="18" t="s">
        <v>37</v>
      </c>
      <c r="F144" s="20">
        <v>2.5</v>
      </c>
      <c r="G144" s="20">
        <v>5</v>
      </c>
    </row>
    <row r="145" spans="1:7" ht="15" customHeight="1" x14ac:dyDescent="0.75">
      <c r="A145" s="18" t="s">
        <v>64</v>
      </c>
      <c r="B145" s="19">
        <v>46034</v>
      </c>
      <c r="C145" s="18" t="s">
        <v>56</v>
      </c>
      <c r="D145" s="17">
        <v>666531</v>
      </c>
      <c r="E145" s="18" t="s">
        <v>39</v>
      </c>
      <c r="F145" s="20">
        <v>9</v>
      </c>
      <c r="G145" s="20">
        <v>18</v>
      </c>
    </row>
    <row r="146" spans="1:7" ht="15" customHeight="1" x14ac:dyDescent="0.75">
      <c r="A146" s="18" t="s">
        <v>64</v>
      </c>
      <c r="B146" s="19">
        <v>46034</v>
      </c>
      <c r="C146" s="18" t="s">
        <v>56</v>
      </c>
      <c r="D146" s="17">
        <v>666540</v>
      </c>
      <c r="E146" s="18" t="s">
        <v>40</v>
      </c>
      <c r="F146" s="20">
        <v>0</v>
      </c>
      <c r="G146" s="20">
        <v>0</v>
      </c>
    </row>
    <row r="147" spans="1:7" ht="15" customHeight="1" x14ac:dyDescent="0.75">
      <c r="A147" s="18" t="s">
        <v>64</v>
      </c>
      <c r="B147" s="19">
        <v>46034</v>
      </c>
      <c r="C147" s="18" t="s">
        <v>56</v>
      </c>
      <c r="D147" s="17">
        <v>666541</v>
      </c>
      <c r="E147" s="18" t="s">
        <v>41</v>
      </c>
      <c r="F147" s="20">
        <v>0</v>
      </c>
      <c r="G147" s="20">
        <v>0</v>
      </c>
    </row>
    <row r="148" spans="1:7" ht="15" customHeight="1" x14ac:dyDescent="0.75">
      <c r="A148" s="18" t="s">
        <v>64</v>
      </c>
      <c r="B148" s="19">
        <v>46034</v>
      </c>
      <c r="C148" s="18" t="s">
        <v>56</v>
      </c>
      <c r="D148" s="17">
        <v>666536</v>
      </c>
      <c r="E148" s="18" t="s">
        <v>43</v>
      </c>
      <c r="F148" s="20">
        <v>1</v>
      </c>
      <c r="G148" s="20">
        <v>2</v>
      </c>
    </row>
    <row r="149" spans="1:7" ht="15" customHeight="1" x14ac:dyDescent="0.75">
      <c r="A149" s="18" t="s">
        <v>64</v>
      </c>
      <c r="B149" s="19">
        <v>46034</v>
      </c>
      <c r="C149" s="18" t="s">
        <v>58</v>
      </c>
      <c r="D149" s="17">
        <v>666501</v>
      </c>
      <c r="E149" s="18" t="s">
        <v>5</v>
      </c>
      <c r="F149" s="20">
        <v>0</v>
      </c>
      <c r="G149" s="20">
        <v>0</v>
      </c>
    </row>
    <row r="150" spans="1:7" ht="15" customHeight="1" x14ac:dyDescent="0.75">
      <c r="A150" s="18" t="s">
        <v>64</v>
      </c>
      <c r="B150" s="19">
        <v>46034</v>
      </c>
      <c r="C150" s="18" t="s">
        <v>58</v>
      </c>
      <c r="D150" s="17">
        <v>666502</v>
      </c>
      <c r="E150" s="18" t="s">
        <v>7</v>
      </c>
      <c r="F150" s="20">
        <v>153.5</v>
      </c>
      <c r="G150" s="20">
        <v>142</v>
      </c>
    </row>
    <row r="151" spans="1:7" ht="15" customHeight="1" x14ac:dyDescent="0.75">
      <c r="A151" s="18" t="s">
        <v>64</v>
      </c>
      <c r="B151" s="19">
        <v>46034</v>
      </c>
      <c r="C151" s="18" t="s">
        <v>58</v>
      </c>
      <c r="D151" s="17">
        <v>666505</v>
      </c>
      <c r="E151" s="18" t="s">
        <v>9</v>
      </c>
      <c r="F151" s="20">
        <v>0</v>
      </c>
      <c r="G151" s="20">
        <v>0</v>
      </c>
    </row>
    <row r="152" spans="1:7" ht="15" customHeight="1" x14ac:dyDescent="0.75">
      <c r="A152" s="18" t="s">
        <v>64</v>
      </c>
      <c r="B152" s="19">
        <v>46034</v>
      </c>
      <c r="C152" s="18" t="s">
        <v>58</v>
      </c>
      <c r="D152" s="17">
        <v>666506</v>
      </c>
      <c r="E152" s="18" t="s">
        <v>11</v>
      </c>
      <c r="F152" s="20">
        <v>100</v>
      </c>
      <c r="G152" s="20">
        <v>8</v>
      </c>
    </row>
    <row r="153" spans="1:7" ht="15" customHeight="1" x14ac:dyDescent="0.75">
      <c r="A153" s="18" t="s">
        <v>64</v>
      </c>
      <c r="B153" s="19">
        <v>46034</v>
      </c>
      <c r="C153" s="18" t="s">
        <v>58</v>
      </c>
      <c r="D153" s="17">
        <v>666507</v>
      </c>
      <c r="E153" s="18" t="s">
        <v>13</v>
      </c>
      <c r="F153" s="20">
        <v>0</v>
      </c>
      <c r="G153" s="20">
        <v>0</v>
      </c>
    </row>
    <row r="154" spans="1:7" ht="15" customHeight="1" x14ac:dyDescent="0.75">
      <c r="A154" s="18" t="s">
        <v>64</v>
      </c>
      <c r="B154" s="19">
        <v>46034</v>
      </c>
      <c r="C154" s="18" t="s">
        <v>58</v>
      </c>
      <c r="D154" s="17">
        <v>666509</v>
      </c>
      <c r="E154" s="18" t="s">
        <v>15</v>
      </c>
      <c r="F154" s="20">
        <v>0</v>
      </c>
      <c r="G154" s="20">
        <v>0</v>
      </c>
    </row>
    <row r="155" spans="1:7" ht="15" customHeight="1" x14ac:dyDescent="0.75">
      <c r="A155" s="18" t="s">
        <v>64</v>
      </c>
      <c r="B155" s="19">
        <v>46034</v>
      </c>
      <c r="C155" s="18" t="s">
        <v>58</v>
      </c>
      <c r="D155" s="17">
        <v>666510</v>
      </c>
      <c r="E155" s="18" t="s">
        <v>17</v>
      </c>
      <c r="F155" s="20">
        <v>0</v>
      </c>
      <c r="G155" s="20">
        <v>0</v>
      </c>
    </row>
    <row r="156" spans="1:7" ht="15" customHeight="1" x14ac:dyDescent="0.75">
      <c r="A156" s="18" t="s">
        <v>64</v>
      </c>
      <c r="B156" s="19">
        <v>46034</v>
      </c>
      <c r="C156" s="18" t="s">
        <v>58</v>
      </c>
      <c r="D156" s="17">
        <v>666511</v>
      </c>
      <c r="E156" s="18" t="s">
        <v>19</v>
      </c>
      <c r="F156" s="20">
        <v>0</v>
      </c>
      <c r="G156" s="20">
        <v>0</v>
      </c>
    </row>
    <row r="157" spans="1:7" ht="15" customHeight="1" x14ac:dyDescent="0.75">
      <c r="A157" s="18" t="s">
        <v>64</v>
      </c>
      <c r="B157" s="19">
        <v>46034</v>
      </c>
      <c r="C157" s="18" t="s">
        <v>58</v>
      </c>
      <c r="D157" s="17">
        <v>666513</v>
      </c>
      <c r="E157" s="18" t="s">
        <v>21</v>
      </c>
      <c r="F157" s="20">
        <v>0</v>
      </c>
      <c r="G157" s="20">
        <v>0</v>
      </c>
    </row>
    <row r="158" spans="1:7" ht="15" customHeight="1" x14ac:dyDescent="0.75">
      <c r="A158" s="18" t="s">
        <v>64</v>
      </c>
      <c r="B158" s="19">
        <v>46034</v>
      </c>
      <c r="C158" s="18" t="s">
        <v>58</v>
      </c>
      <c r="D158" s="17">
        <v>666516</v>
      </c>
      <c r="E158" s="18" t="s">
        <v>23</v>
      </c>
      <c r="F158" s="20">
        <v>0</v>
      </c>
      <c r="G158" s="20">
        <v>0</v>
      </c>
    </row>
    <row r="159" spans="1:7" ht="15" customHeight="1" x14ac:dyDescent="0.75">
      <c r="A159" s="18" t="s">
        <v>64</v>
      </c>
      <c r="B159" s="19">
        <v>46034</v>
      </c>
      <c r="C159" s="18" t="s">
        <v>58</v>
      </c>
      <c r="D159" s="17">
        <v>666517</v>
      </c>
      <c r="E159" s="18" t="s">
        <v>25</v>
      </c>
      <c r="F159" s="20">
        <v>0</v>
      </c>
      <c r="G159" s="20">
        <v>0</v>
      </c>
    </row>
    <row r="160" spans="1:7" ht="15" customHeight="1" x14ac:dyDescent="0.75">
      <c r="A160" s="18" t="s">
        <v>64</v>
      </c>
      <c r="B160" s="19">
        <v>46034</v>
      </c>
      <c r="C160" s="18" t="s">
        <v>58</v>
      </c>
      <c r="D160" s="17">
        <v>666518</v>
      </c>
      <c r="E160" s="18" t="s">
        <v>27</v>
      </c>
      <c r="F160" s="20">
        <v>0</v>
      </c>
      <c r="G160" s="20">
        <v>0</v>
      </c>
    </row>
    <row r="161" spans="1:7" ht="15" customHeight="1" x14ac:dyDescent="0.75">
      <c r="A161" s="18" t="s">
        <v>64</v>
      </c>
      <c r="B161" s="19">
        <v>46034</v>
      </c>
      <c r="C161" s="18" t="s">
        <v>58</v>
      </c>
      <c r="D161" s="17">
        <v>666519</v>
      </c>
      <c r="E161" s="18" t="s">
        <v>29</v>
      </c>
      <c r="F161" s="20">
        <v>0</v>
      </c>
      <c r="G161" s="20">
        <v>0</v>
      </c>
    </row>
    <row r="162" spans="1:7" ht="15" customHeight="1" x14ac:dyDescent="0.75">
      <c r="A162" s="18" t="s">
        <v>64</v>
      </c>
      <c r="B162" s="19">
        <v>46034</v>
      </c>
      <c r="C162" s="18" t="s">
        <v>58</v>
      </c>
      <c r="D162" s="17">
        <v>666521</v>
      </c>
      <c r="E162" s="18" t="s">
        <v>31</v>
      </c>
      <c r="F162" s="20">
        <v>0</v>
      </c>
      <c r="G162" s="20">
        <v>0</v>
      </c>
    </row>
    <row r="163" spans="1:7" ht="15" customHeight="1" x14ac:dyDescent="0.75">
      <c r="A163" s="18" t="s">
        <v>64</v>
      </c>
      <c r="B163" s="19">
        <v>46034</v>
      </c>
      <c r="C163" s="18" t="s">
        <v>58</v>
      </c>
      <c r="D163" s="17">
        <v>666522</v>
      </c>
      <c r="E163" s="18" t="s">
        <v>33</v>
      </c>
      <c r="F163" s="20">
        <v>102.5</v>
      </c>
      <c r="G163" s="20">
        <v>205</v>
      </c>
    </row>
    <row r="164" spans="1:7" ht="15" customHeight="1" x14ac:dyDescent="0.75">
      <c r="A164" s="18" t="s">
        <v>64</v>
      </c>
      <c r="B164" s="19">
        <v>46034</v>
      </c>
      <c r="C164" s="18" t="s">
        <v>58</v>
      </c>
      <c r="D164" s="17">
        <v>666523</v>
      </c>
      <c r="E164" s="18" t="s">
        <v>35</v>
      </c>
      <c r="F164" s="20">
        <v>23.5</v>
      </c>
      <c r="G164" s="20">
        <v>47</v>
      </c>
    </row>
    <row r="165" spans="1:7" ht="15" customHeight="1" x14ac:dyDescent="0.75">
      <c r="A165" s="18" t="s">
        <v>64</v>
      </c>
      <c r="B165" s="19">
        <v>46034</v>
      </c>
      <c r="C165" s="18" t="s">
        <v>58</v>
      </c>
      <c r="D165" s="17">
        <v>666530</v>
      </c>
      <c r="E165" s="18" t="s">
        <v>37</v>
      </c>
      <c r="F165" s="20">
        <v>0</v>
      </c>
      <c r="G165" s="20">
        <v>0</v>
      </c>
    </row>
    <row r="166" spans="1:7" ht="15" customHeight="1" x14ac:dyDescent="0.75">
      <c r="A166" s="18" t="s">
        <v>64</v>
      </c>
      <c r="B166" s="19">
        <v>46034</v>
      </c>
      <c r="C166" s="18" t="s">
        <v>58</v>
      </c>
      <c r="D166" s="17">
        <v>666531</v>
      </c>
      <c r="E166" s="18" t="s">
        <v>39</v>
      </c>
      <c r="F166" s="20">
        <v>0</v>
      </c>
      <c r="G166" s="20">
        <v>0</v>
      </c>
    </row>
    <row r="167" spans="1:7" ht="15" customHeight="1" x14ac:dyDescent="0.75">
      <c r="A167" s="18" t="s">
        <v>64</v>
      </c>
      <c r="B167" s="19">
        <v>46034</v>
      </c>
      <c r="C167" s="18" t="s">
        <v>58</v>
      </c>
      <c r="D167" s="17">
        <v>666540</v>
      </c>
      <c r="E167" s="18" t="s">
        <v>40</v>
      </c>
      <c r="F167" s="20">
        <v>120</v>
      </c>
      <c r="G167" s="20">
        <v>45</v>
      </c>
    </row>
    <row r="168" spans="1:7" ht="15" customHeight="1" x14ac:dyDescent="0.75">
      <c r="A168" s="18" t="s">
        <v>64</v>
      </c>
      <c r="B168" s="19">
        <v>46034</v>
      </c>
      <c r="C168" s="18" t="s">
        <v>58</v>
      </c>
      <c r="D168" s="17">
        <v>666541</v>
      </c>
      <c r="E168" s="18" t="s">
        <v>41</v>
      </c>
      <c r="F168" s="20">
        <v>120</v>
      </c>
      <c r="G168" s="20">
        <v>158</v>
      </c>
    </row>
    <row r="169" spans="1:7" ht="15" customHeight="1" x14ac:dyDescent="0.75">
      <c r="A169" s="18" t="s">
        <v>64</v>
      </c>
      <c r="B169" s="19">
        <v>46034</v>
      </c>
      <c r="C169" s="18" t="s">
        <v>58</v>
      </c>
      <c r="D169" s="17">
        <v>666536</v>
      </c>
      <c r="E169" s="18" t="s">
        <v>43</v>
      </c>
      <c r="F169" s="20">
        <v>0</v>
      </c>
      <c r="G169" s="20">
        <v>0</v>
      </c>
    </row>
    <row r="170" spans="1:7" ht="15" customHeight="1" x14ac:dyDescent="0.75">
      <c r="A170" s="18" t="s">
        <v>64</v>
      </c>
      <c r="B170" s="19">
        <v>46034</v>
      </c>
      <c r="C170" s="18" t="s">
        <v>66</v>
      </c>
      <c r="D170" s="17">
        <v>666501</v>
      </c>
      <c r="E170" s="18" t="s">
        <v>5</v>
      </c>
      <c r="F170" s="20">
        <v>0</v>
      </c>
      <c r="G170" s="20">
        <v>0</v>
      </c>
    </row>
    <row r="171" spans="1:7" ht="15" customHeight="1" x14ac:dyDescent="0.75">
      <c r="A171" s="18" t="s">
        <v>64</v>
      </c>
      <c r="B171" s="19">
        <v>46034</v>
      </c>
      <c r="C171" s="18" t="s">
        <v>66</v>
      </c>
      <c r="D171" s="17">
        <v>666502</v>
      </c>
      <c r="E171" s="18" t="s">
        <v>7</v>
      </c>
      <c r="F171" s="20">
        <v>20</v>
      </c>
      <c r="G171" s="20">
        <v>0</v>
      </c>
    </row>
    <row r="172" spans="1:7" ht="15" customHeight="1" x14ac:dyDescent="0.75">
      <c r="A172" s="18" t="s">
        <v>64</v>
      </c>
      <c r="B172" s="19">
        <v>46034</v>
      </c>
      <c r="C172" s="18" t="s">
        <v>66</v>
      </c>
      <c r="D172" s="17">
        <v>666505</v>
      </c>
      <c r="E172" s="18" t="s">
        <v>9</v>
      </c>
      <c r="F172" s="20">
        <v>20.5</v>
      </c>
      <c r="G172" s="20">
        <v>41</v>
      </c>
    </row>
    <row r="173" spans="1:7" ht="15" customHeight="1" x14ac:dyDescent="0.75">
      <c r="A173" s="18" t="s">
        <v>64</v>
      </c>
      <c r="B173" s="19">
        <v>46034</v>
      </c>
      <c r="C173" s="18" t="s">
        <v>66</v>
      </c>
      <c r="D173" s="17">
        <v>666506</v>
      </c>
      <c r="E173" s="18" t="s">
        <v>11</v>
      </c>
      <c r="F173" s="20">
        <v>0</v>
      </c>
      <c r="G173" s="20">
        <v>0</v>
      </c>
    </row>
    <row r="174" spans="1:7" ht="15" customHeight="1" x14ac:dyDescent="0.75">
      <c r="A174" s="18" t="s">
        <v>64</v>
      </c>
      <c r="B174" s="19">
        <v>46034</v>
      </c>
      <c r="C174" s="18" t="s">
        <v>66</v>
      </c>
      <c r="D174" s="17">
        <v>666507</v>
      </c>
      <c r="E174" s="18" t="s">
        <v>13</v>
      </c>
      <c r="F174" s="20">
        <v>0</v>
      </c>
      <c r="G174" s="20">
        <v>0</v>
      </c>
    </row>
    <row r="175" spans="1:7" ht="15" customHeight="1" x14ac:dyDescent="0.75">
      <c r="A175" s="18" t="s">
        <v>64</v>
      </c>
      <c r="B175" s="19">
        <v>46034</v>
      </c>
      <c r="C175" s="18" t="s">
        <v>66</v>
      </c>
      <c r="D175" s="17">
        <v>666509</v>
      </c>
      <c r="E175" s="18" t="s">
        <v>15</v>
      </c>
      <c r="F175" s="20">
        <v>0</v>
      </c>
      <c r="G175" s="20">
        <v>0</v>
      </c>
    </row>
    <row r="176" spans="1:7" ht="15" customHeight="1" x14ac:dyDescent="0.75">
      <c r="A176" s="18" t="s">
        <v>64</v>
      </c>
      <c r="B176" s="19">
        <v>46034</v>
      </c>
      <c r="C176" s="18" t="s">
        <v>66</v>
      </c>
      <c r="D176" s="17">
        <v>666510</v>
      </c>
      <c r="E176" s="18" t="s">
        <v>17</v>
      </c>
      <c r="F176" s="20">
        <v>0</v>
      </c>
      <c r="G176" s="20">
        <v>0</v>
      </c>
    </row>
    <row r="177" spans="1:7" ht="15" customHeight="1" x14ac:dyDescent="0.75">
      <c r="A177" s="18" t="s">
        <v>64</v>
      </c>
      <c r="B177" s="19">
        <v>46034</v>
      </c>
      <c r="C177" s="18" t="s">
        <v>66</v>
      </c>
      <c r="D177" s="17">
        <v>666511</v>
      </c>
      <c r="E177" s="18" t="s">
        <v>19</v>
      </c>
      <c r="F177" s="20">
        <v>0</v>
      </c>
      <c r="G177" s="20">
        <v>0</v>
      </c>
    </row>
    <row r="178" spans="1:7" ht="15" customHeight="1" x14ac:dyDescent="0.75">
      <c r="A178" s="18" t="s">
        <v>64</v>
      </c>
      <c r="B178" s="19">
        <v>46034</v>
      </c>
      <c r="C178" s="18" t="s">
        <v>66</v>
      </c>
      <c r="D178" s="17">
        <v>666513</v>
      </c>
      <c r="E178" s="18" t="s">
        <v>21</v>
      </c>
      <c r="F178" s="20">
        <v>0</v>
      </c>
      <c r="G178" s="20">
        <v>0</v>
      </c>
    </row>
    <row r="179" spans="1:7" ht="15" customHeight="1" x14ac:dyDescent="0.75">
      <c r="A179" s="18" t="s">
        <v>64</v>
      </c>
      <c r="B179" s="19">
        <v>46034</v>
      </c>
      <c r="C179" s="18" t="s">
        <v>66</v>
      </c>
      <c r="D179" s="17">
        <v>666516</v>
      </c>
      <c r="E179" s="18" t="s">
        <v>23</v>
      </c>
      <c r="F179" s="20">
        <v>10</v>
      </c>
      <c r="G179" s="20">
        <v>4</v>
      </c>
    </row>
    <row r="180" spans="1:7" ht="15" customHeight="1" x14ac:dyDescent="0.75">
      <c r="A180" s="18" t="s">
        <v>64</v>
      </c>
      <c r="B180" s="19">
        <v>46034</v>
      </c>
      <c r="C180" s="18" t="s">
        <v>66</v>
      </c>
      <c r="D180" s="17">
        <v>666517</v>
      </c>
      <c r="E180" s="18" t="s">
        <v>25</v>
      </c>
      <c r="F180" s="20">
        <v>7.5</v>
      </c>
      <c r="G180" s="20">
        <v>5</v>
      </c>
    </row>
    <row r="181" spans="1:7" ht="15" customHeight="1" x14ac:dyDescent="0.75">
      <c r="A181" s="18" t="s">
        <v>64</v>
      </c>
      <c r="B181" s="19">
        <v>46034</v>
      </c>
      <c r="C181" s="18" t="s">
        <v>66</v>
      </c>
      <c r="D181" s="17">
        <v>666518</v>
      </c>
      <c r="E181" s="18" t="s">
        <v>27</v>
      </c>
      <c r="F181" s="20">
        <v>0</v>
      </c>
      <c r="G181" s="20">
        <v>0</v>
      </c>
    </row>
    <row r="182" spans="1:7" ht="15" customHeight="1" x14ac:dyDescent="0.75">
      <c r="A182" s="18" t="s">
        <v>64</v>
      </c>
      <c r="B182" s="19">
        <v>46034</v>
      </c>
      <c r="C182" s="18" t="s">
        <v>66</v>
      </c>
      <c r="D182" s="17">
        <v>666519</v>
      </c>
      <c r="E182" s="18" t="s">
        <v>29</v>
      </c>
      <c r="F182" s="20">
        <v>15</v>
      </c>
      <c r="G182" s="20">
        <v>4</v>
      </c>
    </row>
    <row r="183" spans="1:7" ht="15" customHeight="1" x14ac:dyDescent="0.75">
      <c r="A183" s="18" t="s">
        <v>64</v>
      </c>
      <c r="B183" s="19">
        <v>46034</v>
      </c>
      <c r="C183" s="18" t="s">
        <v>66</v>
      </c>
      <c r="D183" s="17">
        <v>666521</v>
      </c>
      <c r="E183" s="18" t="s">
        <v>31</v>
      </c>
      <c r="F183" s="20">
        <v>0</v>
      </c>
      <c r="G183" s="20">
        <v>0</v>
      </c>
    </row>
    <row r="184" spans="1:7" ht="15" customHeight="1" x14ac:dyDescent="0.75">
      <c r="A184" s="18" t="s">
        <v>64</v>
      </c>
      <c r="B184" s="19">
        <v>46034</v>
      </c>
      <c r="C184" s="18" t="s">
        <v>66</v>
      </c>
      <c r="D184" s="17">
        <v>666522</v>
      </c>
      <c r="E184" s="18" t="s">
        <v>33</v>
      </c>
      <c r="F184" s="20">
        <v>42.5</v>
      </c>
      <c r="G184" s="20">
        <v>65</v>
      </c>
    </row>
    <row r="185" spans="1:7" ht="15" customHeight="1" x14ac:dyDescent="0.75">
      <c r="A185" s="18" t="s">
        <v>64</v>
      </c>
      <c r="B185" s="19">
        <v>46034</v>
      </c>
      <c r="C185" s="18" t="s">
        <v>66</v>
      </c>
      <c r="D185" s="17">
        <v>666523</v>
      </c>
      <c r="E185" s="18" t="s">
        <v>35</v>
      </c>
      <c r="F185" s="20">
        <v>6</v>
      </c>
      <c r="G185" s="20">
        <v>3</v>
      </c>
    </row>
    <row r="186" spans="1:7" ht="15" customHeight="1" x14ac:dyDescent="0.75">
      <c r="A186" s="18" t="s">
        <v>64</v>
      </c>
      <c r="B186" s="19">
        <v>46034</v>
      </c>
      <c r="C186" s="18" t="s">
        <v>66</v>
      </c>
      <c r="D186" s="17">
        <v>666530</v>
      </c>
      <c r="E186" s="18" t="s">
        <v>37</v>
      </c>
      <c r="F186" s="20">
        <v>7.5</v>
      </c>
      <c r="G186" s="20">
        <v>0</v>
      </c>
    </row>
    <row r="187" spans="1:7" ht="15" customHeight="1" x14ac:dyDescent="0.75">
      <c r="A187" s="18" t="s">
        <v>64</v>
      </c>
      <c r="B187" s="19">
        <v>46034</v>
      </c>
      <c r="C187" s="18" t="s">
        <v>66</v>
      </c>
      <c r="D187" s="17">
        <v>666531</v>
      </c>
      <c r="E187" s="18" t="s">
        <v>39</v>
      </c>
      <c r="F187" s="20">
        <v>4</v>
      </c>
      <c r="G187" s="20">
        <v>0</v>
      </c>
    </row>
    <row r="188" spans="1:7" ht="15" customHeight="1" x14ac:dyDescent="0.75">
      <c r="A188" s="18" t="s">
        <v>64</v>
      </c>
      <c r="B188" s="19">
        <v>46034</v>
      </c>
      <c r="C188" s="18" t="s">
        <v>66</v>
      </c>
      <c r="D188" s="17">
        <v>666540</v>
      </c>
      <c r="E188" s="18" t="s">
        <v>40</v>
      </c>
      <c r="F188" s="20">
        <v>0</v>
      </c>
      <c r="G188" s="20">
        <v>0</v>
      </c>
    </row>
    <row r="189" spans="1:7" ht="15" customHeight="1" x14ac:dyDescent="0.75">
      <c r="A189" s="18" t="s">
        <v>64</v>
      </c>
      <c r="B189" s="19">
        <v>46034</v>
      </c>
      <c r="C189" s="18" t="s">
        <v>66</v>
      </c>
      <c r="D189" s="17">
        <v>666541</v>
      </c>
      <c r="E189" s="18" t="s">
        <v>41</v>
      </c>
      <c r="F189" s="20">
        <v>0</v>
      </c>
      <c r="G189" s="20">
        <v>0</v>
      </c>
    </row>
    <row r="190" spans="1:7" ht="15" customHeight="1" x14ac:dyDescent="0.75">
      <c r="A190" s="18" t="s">
        <v>64</v>
      </c>
      <c r="B190" s="19">
        <v>46034</v>
      </c>
      <c r="C190" s="18" t="s">
        <v>66</v>
      </c>
      <c r="D190" s="17">
        <v>666536</v>
      </c>
      <c r="E190" s="18" t="s">
        <v>43</v>
      </c>
      <c r="F190" s="20">
        <v>0</v>
      </c>
      <c r="G190" s="20">
        <v>0</v>
      </c>
    </row>
    <row r="191" spans="1:7" ht="15" customHeight="1" x14ac:dyDescent="0.75">
      <c r="A191" s="18" t="s">
        <v>67</v>
      </c>
      <c r="B191" s="19">
        <v>46041</v>
      </c>
      <c r="C191" s="18" t="s">
        <v>56</v>
      </c>
      <c r="D191" s="17">
        <v>666501</v>
      </c>
      <c r="E191" s="18" t="s">
        <v>5</v>
      </c>
      <c r="F191" s="20">
        <v>0</v>
      </c>
      <c r="G191" s="20">
        <v>0</v>
      </c>
    </row>
    <row r="192" spans="1:7" ht="15" customHeight="1" x14ac:dyDescent="0.75">
      <c r="A192" s="18" t="s">
        <v>67</v>
      </c>
      <c r="B192" s="19">
        <v>46041</v>
      </c>
      <c r="C192" s="18" t="s">
        <v>56</v>
      </c>
      <c r="D192" s="17">
        <v>666502</v>
      </c>
      <c r="E192" s="18" t="s">
        <v>7</v>
      </c>
      <c r="F192" s="20">
        <v>0</v>
      </c>
      <c r="G192" s="20">
        <v>0</v>
      </c>
    </row>
    <row r="193" spans="1:7" ht="15" customHeight="1" x14ac:dyDescent="0.75">
      <c r="A193" s="18" t="s">
        <v>67</v>
      </c>
      <c r="B193" s="19">
        <v>46041</v>
      </c>
      <c r="C193" s="18" t="s">
        <v>56</v>
      </c>
      <c r="D193" s="17">
        <v>666505</v>
      </c>
      <c r="E193" s="18" t="s">
        <v>9</v>
      </c>
      <c r="F193" s="20">
        <v>9.5</v>
      </c>
      <c r="G193" s="20">
        <v>0</v>
      </c>
    </row>
    <row r="194" spans="1:7" ht="15" customHeight="1" x14ac:dyDescent="0.75">
      <c r="A194" s="18" t="s">
        <v>67</v>
      </c>
      <c r="B194" s="19">
        <v>46041</v>
      </c>
      <c r="C194" s="18" t="s">
        <v>56</v>
      </c>
      <c r="D194" s="17">
        <v>666506</v>
      </c>
      <c r="E194" s="18" t="s">
        <v>11</v>
      </c>
      <c r="F194" s="20">
        <v>0</v>
      </c>
      <c r="G194" s="20">
        <v>0</v>
      </c>
    </row>
    <row r="195" spans="1:7" ht="15" customHeight="1" x14ac:dyDescent="0.75">
      <c r="A195" s="18" t="s">
        <v>67</v>
      </c>
      <c r="B195" s="19">
        <v>46041</v>
      </c>
      <c r="C195" s="18" t="s">
        <v>56</v>
      </c>
      <c r="D195" s="17">
        <v>666507</v>
      </c>
      <c r="E195" s="18" t="s">
        <v>13</v>
      </c>
      <c r="F195" s="20">
        <v>25</v>
      </c>
      <c r="G195" s="20">
        <v>17</v>
      </c>
    </row>
    <row r="196" spans="1:7" ht="15" customHeight="1" x14ac:dyDescent="0.75">
      <c r="A196" s="18" t="s">
        <v>67</v>
      </c>
      <c r="B196" s="19">
        <v>46041</v>
      </c>
      <c r="C196" s="18" t="s">
        <v>56</v>
      </c>
      <c r="D196" s="17">
        <v>666509</v>
      </c>
      <c r="E196" s="18" t="s">
        <v>15</v>
      </c>
      <c r="F196" s="20">
        <v>50</v>
      </c>
      <c r="G196" s="20">
        <v>22</v>
      </c>
    </row>
    <row r="197" spans="1:7" ht="15" customHeight="1" x14ac:dyDescent="0.75">
      <c r="A197" s="18" t="s">
        <v>67</v>
      </c>
      <c r="B197" s="19">
        <v>46041</v>
      </c>
      <c r="C197" s="18" t="s">
        <v>56</v>
      </c>
      <c r="D197" s="17">
        <v>666510</v>
      </c>
      <c r="E197" s="18" t="s">
        <v>17</v>
      </c>
      <c r="F197" s="20">
        <v>0</v>
      </c>
      <c r="G197" s="20">
        <v>0</v>
      </c>
    </row>
    <row r="198" spans="1:7" ht="15" customHeight="1" x14ac:dyDescent="0.75">
      <c r="A198" s="18" t="s">
        <v>67</v>
      </c>
      <c r="B198" s="19">
        <v>46041</v>
      </c>
      <c r="C198" s="18" t="s">
        <v>56</v>
      </c>
      <c r="D198" s="17">
        <v>666511</v>
      </c>
      <c r="E198" s="18" t="s">
        <v>19</v>
      </c>
      <c r="F198" s="20">
        <v>4</v>
      </c>
      <c r="G198" s="20">
        <v>0</v>
      </c>
    </row>
    <row r="199" spans="1:7" ht="15" customHeight="1" x14ac:dyDescent="0.75">
      <c r="A199" s="18" t="s">
        <v>67</v>
      </c>
      <c r="B199" s="19">
        <v>46041</v>
      </c>
      <c r="C199" s="18" t="s">
        <v>56</v>
      </c>
      <c r="D199" s="17">
        <v>666513</v>
      </c>
      <c r="E199" s="18" t="s">
        <v>21</v>
      </c>
      <c r="F199" s="20">
        <v>0</v>
      </c>
      <c r="G199" s="20">
        <v>0</v>
      </c>
    </row>
    <row r="200" spans="1:7" ht="15" customHeight="1" x14ac:dyDescent="0.75">
      <c r="A200" s="18" t="s">
        <v>67</v>
      </c>
      <c r="B200" s="19">
        <v>46041</v>
      </c>
      <c r="C200" s="18" t="s">
        <v>56</v>
      </c>
      <c r="D200" s="17">
        <v>666516</v>
      </c>
      <c r="E200" s="18" t="s">
        <v>23</v>
      </c>
      <c r="F200" s="20">
        <v>10</v>
      </c>
      <c r="G200" s="20">
        <v>0</v>
      </c>
    </row>
    <row r="201" spans="1:7" ht="15" customHeight="1" x14ac:dyDescent="0.75">
      <c r="A201" s="18" t="s">
        <v>67</v>
      </c>
      <c r="B201" s="19">
        <v>46041</v>
      </c>
      <c r="C201" s="18" t="s">
        <v>56</v>
      </c>
      <c r="D201" s="17">
        <v>666517</v>
      </c>
      <c r="E201" s="18" t="s">
        <v>25</v>
      </c>
      <c r="F201" s="20">
        <v>16.5</v>
      </c>
      <c r="G201" s="20">
        <v>0</v>
      </c>
    </row>
    <row r="202" spans="1:7" ht="15" customHeight="1" x14ac:dyDescent="0.75">
      <c r="A202" s="18" t="s">
        <v>67</v>
      </c>
      <c r="B202" s="19">
        <v>46041</v>
      </c>
      <c r="C202" s="18" t="s">
        <v>56</v>
      </c>
      <c r="D202" s="17">
        <v>666518</v>
      </c>
      <c r="E202" s="18" t="s">
        <v>27</v>
      </c>
      <c r="F202" s="20">
        <v>0</v>
      </c>
      <c r="G202" s="20">
        <v>0</v>
      </c>
    </row>
    <row r="203" spans="1:7" ht="15" customHeight="1" x14ac:dyDescent="0.75">
      <c r="A203" s="18" t="s">
        <v>67</v>
      </c>
      <c r="B203" s="19">
        <v>46041</v>
      </c>
      <c r="C203" s="18" t="s">
        <v>56</v>
      </c>
      <c r="D203" s="17">
        <v>666519</v>
      </c>
      <c r="E203" s="18" t="s">
        <v>29</v>
      </c>
      <c r="F203" s="20">
        <v>15</v>
      </c>
      <c r="G203" s="20">
        <v>0</v>
      </c>
    </row>
    <row r="204" spans="1:7" ht="15" customHeight="1" x14ac:dyDescent="0.75">
      <c r="A204" s="18" t="s">
        <v>67</v>
      </c>
      <c r="B204" s="19">
        <v>46041</v>
      </c>
      <c r="C204" s="18" t="s">
        <v>56</v>
      </c>
      <c r="D204" s="17">
        <v>666521</v>
      </c>
      <c r="E204" s="18" t="s">
        <v>31</v>
      </c>
      <c r="F204" s="20">
        <v>0</v>
      </c>
      <c r="G204" s="20">
        <v>0</v>
      </c>
    </row>
    <row r="205" spans="1:7" ht="15" customHeight="1" x14ac:dyDescent="0.75">
      <c r="A205" s="18" t="s">
        <v>67</v>
      </c>
      <c r="B205" s="19">
        <v>46041</v>
      </c>
      <c r="C205" s="18" t="s">
        <v>56</v>
      </c>
      <c r="D205" s="17">
        <v>666522</v>
      </c>
      <c r="E205" s="18" t="s">
        <v>33</v>
      </c>
      <c r="F205" s="20">
        <v>70</v>
      </c>
      <c r="G205" s="20">
        <v>15</v>
      </c>
    </row>
    <row r="206" spans="1:7" ht="15" customHeight="1" x14ac:dyDescent="0.75">
      <c r="A206" s="18" t="s">
        <v>67</v>
      </c>
      <c r="B206" s="19">
        <v>46041</v>
      </c>
      <c r="C206" s="18" t="s">
        <v>56</v>
      </c>
      <c r="D206" s="17">
        <v>666523</v>
      </c>
      <c r="E206" s="18" t="s">
        <v>35</v>
      </c>
      <c r="F206" s="20">
        <v>0</v>
      </c>
      <c r="G206" s="20">
        <v>0</v>
      </c>
    </row>
    <row r="207" spans="1:7" ht="15" customHeight="1" x14ac:dyDescent="0.75">
      <c r="A207" s="18" t="s">
        <v>67</v>
      </c>
      <c r="B207" s="19">
        <v>46041</v>
      </c>
      <c r="C207" s="18" t="s">
        <v>56</v>
      </c>
      <c r="D207" s="17">
        <v>666530</v>
      </c>
      <c r="E207" s="18" t="s">
        <v>37</v>
      </c>
      <c r="F207" s="20">
        <v>2.5</v>
      </c>
      <c r="G207" s="20">
        <v>0</v>
      </c>
    </row>
    <row r="208" spans="1:7" ht="15" customHeight="1" x14ac:dyDescent="0.75">
      <c r="A208" s="18" t="s">
        <v>67</v>
      </c>
      <c r="B208" s="19">
        <v>46041</v>
      </c>
      <c r="C208" s="18" t="s">
        <v>56</v>
      </c>
      <c r="D208" s="17">
        <v>666531</v>
      </c>
      <c r="E208" s="18" t="s">
        <v>39</v>
      </c>
      <c r="F208" s="20">
        <v>9</v>
      </c>
      <c r="G208" s="20">
        <v>0</v>
      </c>
    </row>
    <row r="209" spans="1:7" ht="15" customHeight="1" x14ac:dyDescent="0.75">
      <c r="A209" s="18" t="s">
        <v>67</v>
      </c>
      <c r="B209" s="19">
        <v>46041</v>
      </c>
      <c r="C209" s="18" t="s">
        <v>56</v>
      </c>
      <c r="D209" s="17">
        <v>666540</v>
      </c>
      <c r="E209" s="18" t="s">
        <v>40</v>
      </c>
      <c r="F209" s="20">
        <v>0</v>
      </c>
      <c r="G209" s="20">
        <v>0</v>
      </c>
    </row>
    <row r="210" spans="1:7" ht="15" customHeight="1" x14ac:dyDescent="0.75">
      <c r="A210" s="18" t="s">
        <v>67</v>
      </c>
      <c r="B210" s="19">
        <v>46041</v>
      </c>
      <c r="C210" s="18" t="s">
        <v>56</v>
      </c>
      <c r="D210" s="17">
        <v>666541</v>
      </c>
      <c r="E210" s="18" t="s">
        <v>41</v>
      </c>
      <c r="F210" s="20">
        <v>0</v>
      </c>
      <c r="G210" s="20">
        <v>0</v>
      </c>
    </row>
    <row r="211" spans="1:7" ht="15" customHeight="1" x14ac:dyDescent="0.75">
      <c r="A211" s="18" t="s">
        <v>67</v>
      </c>
      <c r="B211" s="19">
        <v>46041</v>
      </c>
      <c r="C211" s="18" t="s">
        <v>56</v>
      </c>
      <c r="D211" s="17">
        <v>666536</v>
      </c>
      <c r="E211" s="18" t="s">
        <v>43</v>
      </c>
      <c r="F211" s="20">
        <v>1</v>
      </c>
      <c r="G211" s="20">
        <v>0</v>
      </c>
    </row>
    <row r="212" spans="1:7" ht="15" customHeight="1" x14ac:dyDescent="0.75">
      <c r="A212" s="18" t="s">
        <v>67</v>
      </c>
      <c r="B212" s="19">
        <v>46041</v>
      </c>
      <c r="C212" s="18" t="s">
        <v>58</v>
      </c>
      <c r="D212" s="17">
        <v>666501</v>
      </c>
      <c r="E212" s="18" t="s">
        <v>5</v>
      </c>
      <c r="F212" s="20">
        <v>0</v>
      </c>
      <c r="G212" s="20">
        <v>0</v>
      </c>
    </row>
    <row r="213" spans="1:7" ht="15" customHeight="1" x14ac:dyDescent="0.75">
      <c r="A213" s="18" t="s">
        <v>67</v>
      </c>
      <c r="B213" s="19">
        <v>46041</v>
      </c>
      <c r="C213" s="18" t="s">
        <v>58</v>
      </c>
      <c r="D213" s="17">
        <v>666502</v>
      </c>
      <c r="E213" s="18" t="s">
        <v>7</v>
      </c>
      <c r="F213" s="20">
        <v>153.5</v>
      </c>
      <c r="G213" s="20">
        <v>121</v>
      </c>
    </row>
    <row r="214" spans="1:7" ht="15" customHeight="1" x14ac:dyDescent="0.75">
      <c r="A214" s="18" t="s">
        <v>67</v>
      </c>
      <c r="B214" s="19">
        <v>46041</v>
      </c>
      <c r="C214" s="18" t="s">
        <v>58</v>
      </c>
      <c r="D214" s="17">
        <v>666505</v>
      </c>
      <c r="E214" s="18" t="s">
        <v>9</v>
      </c>
      <c r="F214" s="20">
        <v>0</v>
      </c>
      <c r="G214" s="20">
        <v>0</v>
      </c>
    </row>
    <row r="215" spans="1:7" ht="15" customHeight="1" x14ac:dyDescent="0.75">
      <c r="A215" s="18" t="s">
        <v>67</v>
      </c>
      <c r="B215" s="19">
        <v>46041</v>
      </c>
      <c r="C215" s="18" t="s">
        <v>58</v>
      </c>
      <c r="D215" s="17">
        <v>666506</v>
      </c>
      <c r="E215" s="18" t="s">
        <v>11</v>
      </c>
      <c r="F215" s="20">
        <v>100</v>
      </c>
      <c r="G215" s="20">
        <v>27</v>
      </c>
    </row>
    <row r="216" spans="1:7" ht="15" customHeight="1" x14ac:dyDescent="0.75">
      <c r="A216" s="18" t="s">
        <v>67</v>
      </c>
      <c r="B216" s="19">
        <v>46041</v>
      </c>
      <c r="C216" s="18" t="s">
        <v>58</v>
      </c>
      <c r="D216" s="17">
        <v>666507</v>
      </c>
      <c r="E216" s="18" t="s">
        <v>13</v>
      </c>
      <c r="F216" s="20">
        <v>0</v>
      </c>
      <c r="G216" s="20">
        <v>0</v>
      </c>
    </row>
    <row r="217" spans="1:7" ht="15" customHeight="1" x14ac:dyDescent="0.75">
      <c r="A217" s="18" t="s">
        <v>67</v>
      </c>
      <c r="B217" s="19">
        <v>46041</v>
      </c>
      <c r="C217" s="18" t="s">
        <v>58</v>
      </c>
      <c r="D217" s="17">
        <v>666509</v>
      </c>
      <c r="E217" s="18" t="s">
        <v>15</v>
      </c>
      <c r="F217" s="20">
        <v>0</v>
      </c>
      <c r="G217" s="20">
        <v>0</v>
      </c>
    </row>
    <row r="218" spans="1:7" ht="15" customHeight="1" x14ac:dyDescent="0.75">
      <c r="A218" s="18" t="s">
        <v>67</v>
      </c>
      <c r="B218" s="19">
        <v>46041</v>
      </c>
      <c r="C218" s="18" t="s">
        <v>58</v>
      </c>
      <c r="D218" s="17">
        <v>666510</v>
      </c>
      <c r="E218" s="18" t="s">
        <v>17</v>
      </c>
      <c r="F218" s="20">
        <v>0</v>
      </c>
      <c r="G218" s="20">
        <v>0</v>
      </c>
    </row>
    <row r="219" spans="1:7" ht="15" customHeight="1" x14ac:dyDescent="0.75">
      <c r="A219" s="18" t="s">
        <v>67</v>
      </c>
      <c r="B219" s="19">
        <v>46041</v>
      </c>
      <c r="C219" s="18" t="s">
        <v>58</v>
      </c>
      <c r="D219" s="17">
        <v>666511</v>
      </c>
      <c r="E219" s="18" t="s">
        <v>19</v>
      </c>
      <c r="F219" s="20">
        <v>0</v>
      </c>
      <c r="G219" s="20">
        <v>0</v>
      </c>
    </row>
    <row r="220" spans="1:7" ht="15" customHeight="1" x14ac:dyDescent="0.75">
      <c r="A220" s="18" t="s">
        <v>67</v>
      </c>
      <c r="B220" s="19">
        <v>46041</v>
      </c>
      <c r="C220" s="18" t="s">
        <v>58</v>
      </c>
      <c r="D220" s="17">
        <v>666513</v>
      </c>
      <c r="E220" s="18" t="s">
        <v>21</v>
      </c>
      <c r="F220" s="20">
        <v>0</v>
      </c>
      <c r="G220" s="20">
        <v>0</v>
      </c>
    </row>
    <row r="221" spans="1:7" ht="15" customHeight="1" x14ac:dyDescent="0.75">
      <c r="A221" s="18" t="s">
        <v>67</v>
      </c>
      <c r="B221" s="19">
        <v>46041</v>
      </c>
      <c r="C221" s="18" t="s">
        <v>58</v>
      </c>
      <c r="D221" s="17">
        <v>666516</v>
      </c>
      <c r="E221" s="18" t="s">
        <v>23</v>
      </c>
      <c r="F221" s="20">
        <v>0</v>
      </c>
      <c r="G221" s="20">
        <v>0</v>
      </c>
    </row>
    <row r="222" spans="1:7" ht="15" customHeight="1" x14ac:dyDescent="0.75">
      <c r="A222" s="18" t="s">
        <v>67</v>
      </c>
      <c r="B222" s="19">
        <v>46041</v>
      </c>
      <c r="C222" s="18" t="s">
        <v>58</v>
      </c>
      <c r="D222" s="17">
        <v>666517</v>
      </c>
      <c r="E222" s="18" t="s">
        <v>25</v>
      </c>
      <c r="F222" s="20">
        <v>0</v>
      </c>
      <c r="G222" s="20">
        <v>0</v>
      </c>
    </row>
    <row r="223" spans="1:7" ht="15" customHeight="1" x14ac:dyDescent="0.75">
      <c r="A223" s="18" t="s">
        <v>67</v>
      </c>
      <c r="B223" s="19">
        <v>46041</v>
      </c>
      <c r="C223" s="18" t="s">
        <v>58</v>
      </c>
      <c r="D223" s="17">
        <v>666518</v>
      </c>
      <c r="E223" s="18" t="s">
        <v>27</v>
      </c>
      <c r="F223" s="20">
        <v>0</v>
      </c>
      <c r="G223" s="20">
        <v>0</v>
      </c>
    </row>
    <row r="224" spans="1:7" ht="15" customHeight="1" x14ac:dyDescent="0.75">
      <c r="A224" s="18" t="s">
        <v>67</v>
      </c>
      <c r="B224" s="19">
        <v>46041</v>
      </c>
      <c r="C224" s="18" t="s">
        <v>58</v>
      </c>
      <c r="D224" s="17">
        <v>666519</v>
      </c>
      <c r="E224" s="18" t="s">
        <v>29</v>
      </c>
      <c r="F224" s="20">
        <v>0</v>
      </c>
      <c r="G224" s="20">
        <v>0</v>
      </c>
    </row>
    <row r="225" spans="1:7" ht="15" customHeight="1" x14ac:dyDescent="0.75">
      <c r="A225" s="18" t="s">
        <v>67</v>
      </c>
      <c r="B225" s="19">
        <v>46041</v>
      </c>
      <c r="C225" s="18" t="s">
        <v>58</v>
      </c>
      <c r="D225" s="17">
        <v>666521</v>
      </c>
      <c r="E225" s="18" t="s">
        <v>31</v>
      </c>
      <c r="F225" s="20">
        <v>0</v>
      </c>
      <c r="G225" s="20">
        <v>0</v>
      </c>
    </row>
    <row r="226" spans="1:7" ht="15" customHeight="1" x14ac:dyDescent="0.75">
      <c r="A226" s="18" t="s">
        <v>67</v>
      </c>
      <c r="B226" s="19">
        <v>46041</v>
      </c>
      <c r="C226" s="18" t="s">
        <v>58</v>
      </c>
      <c r="D226" s="17">
        <v>666522</v>
      </c>
      <c r="E226" s="18" t="s">
        <v>33</v>
      </c>
      <c r="F226" s="20">
        <v>102.5</v>
      </c>
      <c r="G226" s="20">
        <v>0</v>
      </c>
    </row>
    <row r="227" spans="1:7" ht="15" customHeight="1" x14ac:dyDescent="0.75">
      <c r="A227" s="18" t="s">
        <v>67</v>
      </c>
      <c r="B227" s="19">
        <v>46041</v>
      </c>
      <c r="C227" s="18" t="s">
        <v>58</v>
      </c>
      <c r="D227" s="17">
        <v>666523</v>
      </c>
      <c r="E227" s="18" t="s">
        <v>35</v>
      </c>
      <c r="F227" s="20">
        <v>23.5</v>
      </c>
      <c r="G227" s="20">
        <v>0</v>
      </c>
    </row>
    <row r="228" spans="1:7" ht="15" customHeight="1" x14ac:dyDescent="0.75">
      <c r="A228" s="18" t="s">
        <v>67</v>
      </c>
      <c r="B228" s="19">
        <v>46041</v>
      </c>
      <c r="C228" s="18" t="s">
        <v>58</v>
      </c>
      <c r="D228" s="17">
        <v>666530</v>
      </c>
      <c r="E228" s="18" t="s">
        <v>37</v>
      </c>
      <c r="F228" s="20">
        <v>0</v>
      </c>
      <c r="G228" s="20">
        <v>0</v>
      </c>
    </row>
    <row r="229" spans="1:7" ht="15" customHeight="1" x14ac:dyDescent="0.75">
      <c r="A229" s="18" t="s">
        <v>67</v>
      </c>
      <c r="B229" s="19">
        <v>46041</v>
      </c>
      <c r="C229" s="18" t="s">
        <v>58</v>
      </c>
      <c r="D229" s="17">
        <v>666531</v>
      </c>
      <c r="E229" s="18" t="s">
        <v>39</v>
      </c>
      <c r="F229" s="20">
        <v>0</v>
      </c>
      <c r="G229" s="20">
        <v>0</v>
      </c>
    </row>
    <row r="230" spans="1:7" ht="15" customHeight="1" x14ac:dyDescent="0.75">
      <c r="A230" s="18" t="s">
        <v>67</v>
      </c>
      <c r="B230" s="19">
        <v>46041</v>
      </c>
      <c r="C230" s="18" t="s">
        <v>58</v>
      </c>
      <c r="D230" s="17">
        <v>666540</v>
      </c>
      <c r="E230" s="18" t="s">
        <v>40</v>
      </c>
      <c r="F230" s="20">
        <v>120</v>
      </c>
      <c r="G230" s="20">
        <v>20</v>
      </c>
    </row>
    <row r="231" spans="1:7" ht="15" customHeight="1" x14ac:dyDescent="0.75">
      <c r="A231" s="18" t="s">
        <v>67</v>
      </c>
      <c r="B231" s="19">
        <v>46041</v>
      </c>
      <c r="C231" s="18" t="s">
        <v>58</v>
      </c>
      <c r="D231" s="17">
        <v>666541</v>
      </c>
      <c r="E231" s="18" t="s">
        <v>41</v>
      </c>
      <c r="F231" s="20">
        <v>120</v>
      </c>
      <c r="G231" s="20">
        <v>121</v>
      </c>
    </row>
    <row r="232" spans="1:7" ht="15" customHeight="1" x14ac:dyDescent="0.75">
      <c r="A232" s="18" t="s">
        <v>67</v>
      </c>
      <c r="B232" s="19">
        <v>46041</v>
      </c>
      <c r="C232" s="18" t="s">
        <v>58</v>
      </c>
      <c r="D232" s="17">
        <v>666536</v>
      </c>
      <c r="E232" s="18" t="s">
        <v>43</v>
      </c>
      <c r="F232" s="20">
        <v>0</v>
      </c>
      <c r="G232" s="20">
        <v>0</v>
      </c>
    </row>
    <row r="233" spans="1:7" ht="15" customHeight="1" x14ac:dyDescent="0.75">
      <c r="A233" s="18" t="s">
        <v>67</v>
      </c>
      <c r="B233" s="19">
        <v>46041</v>
      </c>
      <c r="C233" s="18" t="s">
        <v>66</v>
      </c>
      <c r="D233" s="17">
        <v>666501</v>
      </c>
      <c r="E233" s="18" t="s">
        <v>5</v>
      </c>
      <c r="F233" s="20">
        <v>0</v>
      </c>
      <c r="G233" s="20">
        <v>0</v>
      </c>
    </row>
    <row r="234" spans="1:7" ht="15" customHeight="1" x14ac:dyDescent="0.75">
      <c r="A234" s="18" t="s">
        <v>67</v>
      </c>
      <c r="B234" s="19">
        <v>46041</v>
      </c>
      <c r="C234" s="18" t="s">
        <v>66</v>
      </c>
      <c r="D234" s="17">
        <v>666502</v>
      </c>
      <c r="E234" s="18" t="s">
        <v>7</v>
      </c>
      <c r="F234" s="20">
        <v>20</v>
      </c>
      <c r="G234" s="20">
        <v>28</v>
      </c>
    </row>
    <row r="235" spans="1:7" ht="15" customHeight="1" x14ac:dyDescent="0.75">
      <c r="A235" s="18" t="s">
        <v>67</v>
      </c>
      <c r="B235" s="19">
        <v>46041</v>
      </c>
      <c r="C235" s="18" t="s">
        <v>66</v>
      </c>
      <c r="D235" s="17">
        <v>666505</v>
      </c>
      <c r="E235" s="18" t="s">
        <v>9</v>
      </c>
      <c r="F235" s="20">
        <v>20.5</v>
      </c>
      <c r="G235" s="20">
        <v>0</v>
      </c>
    </row>
    <row r="236" spans="1:7" ht="15" customHeight="1" x14ac:dyDescent="0.75">
      <c r="A236" s="18" t="s">
        <v>67</v>
      </c>
      <c r="B236" s="19">
        <v>46041</v>
      </c>
      <c r="C236" s="18" t="s">
        <v>66</v>
      </c>
      <c r="D236" s="17">
        <v>666506</v>
      </c>
      <c r="E236" s="18" t="s">
        <v>11</v>
      </c>
      <c r="F236" s="20">
        <v>0</v>
      </c>
      <c r="G236" s="20">
        <v>0</v>
      </c>
    </row>
    <row r="237" spans="1:7" ht="15" customHeight="1" x14ac:dyDescent="0.75">
      <c r="A237" s="18" t="s">
        <v>67</v>
      </c>
      <c r="B237" s="19">
        <v>46041</v>
      </c>
      <c r="C237" s="18" t="s">
        <v>66</v>
      </c>
      <c r="D237" s="17">
        <v>666507</v>
      </c>
      <c r="E237" s="18" t="s">
        <v>13</v>
      </c>
      <c r="F237" s="20">
        <v>0</v>
      </c>
      <c r="G237" s="20">
        <v>0</v>
      </c>
    </row>
    <row r="238" spans="1:7" ht="15" customHeight="1" x14ac:dyDescent="0.75">
      <c r="A238" s="18" t="s">
        <v>67</v>
      </c>
      <c r="B238" s="19">
        <v>46041</v>
      </c>
      <c r="C238" s="18" t="s">
        <v>66</v>
      </c>
      <c r="D238" s="17">
        <v>666509</v>
      </c>
      <c r="E238" s="18" t="s">
        <v>15</v>
      </c>
      <c r="F238" s="20">
        <v>0</v>
      </c>
      <c r="G238" s="20">
        <v>0</v>
      </c>
    </row>
    <row r="239" spans="1:7" ht="15" customHeight="1" x14ac:dyDescent="0.75">
      <c r="A239" s="18" t="s">
        <v>67</v>
      </c>
      <c r="B239" s="19">
        <v>46041</v>
      </c>
      <c r="C239" s="18" t="s">
        <v>66</v>
      </c>
      <c r="D239" s="17">
        <v>666510</v>
      </c>
      <c r="E239" s="18" t="s">
        <v>17</v>
      </c>
      <c r="F239" s="20">
        <v>0</v>
      </c>
      <c r="G239" s="20">
        <v>0</v>
      </c>
    </row>
    <row r="240" spans="1:7" ht="15" customHeight="1" x14ac:dyDescent="0.75">
      <c r="A240" s="18" t="s">
        <v>67</v>
      </c>
      <c r="B240" s="19">
        <v>46041</v>
      </c>
      <c r="C240" s="18" t="s">
        <v>66</v>
      </c>
      <c r="D240" s="17">
        <v>666511</v>
      </c>
      <c r="E240" s="18" t="s">
        <v>19</v>
      </c>
      <c r="F240" s="20">
        <v>0</v>
      </c>
      <c r="G240" s="20">
        <v>0</v>
      </c>
    </row>
    <row r="241" spans="1:7" ht="15" customHeight="1" x14ac:dyDescent="0.75">
      <c r="A241" s="18" t="s">
        <v>67</v>
      </c>
      <c r="B241" s="19">
        <v>46041</v>
      </c>
      <c r="C241" s="18" t="s">
        <v>66</v>
      </c>
      <c r="D241" s="17">
        <v>666513</v>
      </c>
      <c r="E241" s="18" t="s">
        <v>21</v>
      </c>
      <c r="F241" s="20">
        <v>0</v>
      </c>
      <c r="G241" s="20">
        <v>0</v>
      </c>
    </row>
    <row r="242" spans="1:7" ht="15" customHeight="1" x14ac:dyDescent="0.75">
      <c r="A242" s="18" t="s">
        <v>67</v>
      </c>
      <c r="B242" s="19">
        <v>46041</v>
      </c>
      <c r="C242" s="18" t="s">
        <v>66</v>
      </c>
      <c r="D242" s="17">
        <v>666516</v>
      </c>
      <c r="E242" s="18" t="s">
        <v>23</v>
      </c>
      <c r="F242" s="20">
        <v>10</v>
      </c>
      <c r="G242" s="20">
        <v>0</v>
      </c>
    </row>
    <row r="243" spans="1:7" ht="15" customHeight="1" x14ac:dyDescent="0.75">
      <c r="A243" s="18" t="s">
        <v>67</v>
      </c>
      <c r="B243" s="19">
        <v>46041</v>
      </c>
      <c r="C243" s="18" t="s">
        <v>66</v>
      </c>
      <c r="D243" s="17">
        <v>666517</v>
      </c>
      <c r="E243" s="18" t="s">
        <v>25</v>
      </c>
      <c r="F243" s="20">
        <v>7.5</v>
      </c>
      <c r="G243" s="20">
        <v>0</v>
      </c>
    </row>
    <row r="244" spans="1:7" ht="15" customHeight="1" x14ac:dyDescent="0.75">
      <c r="A244" s="18" t="s">
        <v>67</v>
      </c>
      <c r="B244" s="19">
        <v>46041</v>
      </c>
      <c r="C244" s="18" t="s">
        <v>66</v>
      </c>
      <c r="D244" s="17">
        <v>666518</v>
      </c>
      <c r="E244" s="18" t="s">
        <v>27</v>
      </c>
      <c r="F244" s="20">
        <v>0</v>
      </c>
      <c r="G244" s="20">
        <v>0</v>
      </c>
    </row>
    <row r="245" spans="1:7" ht="15" customHeight="1" x14ac:dyDescent="0.75">
      <c r="A245" s="18" t="s">
        <v>67</v>
      </c>
      <c r="B245" s="19">
        <v>46041</v>
      </c>
      <c r="C245" s="18" t="s">
        <v>66</v>
      </c>
      <c r="D245" s="17">
        <v>666519</v>
      </c>
      <c r="E245" s="18" t="s">
        <v>29</v>
      </c>
      <c r="F245" s="20">
        <v>15</v>
      </c>
      <c r="G245" s="20">
        <v>0</v>
      </c>
    </row>
    <row r="246" spans="1:7" ht="15" customHeight="1" x14ac:dyDescent="0.75">
      <c r="A246" s="18" t="s">
        <v>67</v>
      </c>
      <c r="B246" s="19">
        <v>46041</v>
      </c>
      <c r="C246" s="18" t="s">
        <v>66</v>
      </c>
      <c r="D246" s="17">
        <v>666521</v>
      </c>
      <c r="E246" s="18" t="s">
        <v>31</v>
      </c>
      <c r="F246" s="20">
        <v>0</v>
      </c>
      <c r="G246" s="20">
        <v>0</v>
      </c>
    </row>
    <row r="247" spans="1:7" ht="15" customHeight="1" x14ac:dyDescent="0.75">
      <c r="A247" s="18" t="s">
        <v>67</v>
      </c>
      <c r="B247" s="19">
        <v>46041</v>
      </c>
      <c r="C247" s="18" t="s">
        <v>66</v>
      </c>
      <c r="D247" s="17">
        <v>666522</v>
      </c>
      <c r="E247" s="18" t="s">
        <v>33</v>
      </c>
      <c r="F247" s="20">
        <v>42.5</v>
      </c>
      <c r="G247" s="20">
        <v>20</v>
      </c>
    </row>
    <row r="248" spans="1:7" ht="15" customHeight="1" x14ac:dyDescent="0.75">
      <c r="A248" s="18" t="s">
        <v>67</v>
      </c>
      <c r="B248" s="19">
        <v>46041</v>
      </c>
      <c r="C248" s="18" t="s">
        <v>66</v>
      </c>
      <c r="D248" s="17">
        <v>666523</v>
      </c>
      <c r="E248" s="18" t="s">
        <v>35</v>
      </c>
      <c r="F248" s="20">
        <v>6</v>
      </c>
      <c r="G248" s="20">
        <v>0</v>
      </c>
    </row>
    <row r="249" spans="1:7" ht="15" customHeight="1" x14ac:dyDescent="0.75">
      <c r="A249" s="18" t="s">
        <v>67</v>
      </c>
      <c r="B249" s="19">
        <v>46041</v>
      </c>
      <c r="C249" s="18" t="s">
        <v>66</v>
      </c>
      <c r="D249" s="17">
        <v>666530</v>
      </c>
      <c r="E249" s="18" t="s">
        <v>37</v>
      </c>
      <c r="F249" s="20">
        <v>7.5</v>
      </c>
      <c r="G249" s="20">
        <v>0</v>
      </c>
    </row>
    <row r="250" spans="1:7" ht="15" customHeight="1" x14ac:dyDescent="0.75">
      <c r="A250" s="18" t="s">
        <v>67</v>
      </c>
      <c r="B250" s="19">
        <v>46041</v>
      </c>
      <c r="C250" s="18" t="s">
        <v>66</v>
      </c>
      <c r="D250" s="17">
        <v>666531</v>
      </c>
      <c r="E250" s="18" t="s">
        <v>39</v>
      </c>
      <c r="F250" s="20">
        <v>4</v>
      </c>
      <c r="G250" s="20">
        <v>0</v>
      </c>
    </row>
    <row r="251" spans="1:7" ht="15" customHeight="1" x14ac:dyDescent="0.75">
      <c r="A251" s="18" t="s">
        <v>67</v>
      </c>
      <c r="B251" s="19">
        <v>46041</v>
      </c>
      <c r="C251" s="18" t="s">
        <v>66</v>
      </c>
      <c r="D251" s="17">
        <v>666540</v>
      </c>
      <c r="E251" s="18" t="s">
        <v>40</v>
      </c>
      <c r="F251" s="20">
        <v>0</v>
      </c>
      <c r="G251" s="20">
        <v>0</v>
      </c>
    </row>
    <row r="252" spans="1:7" ht="15" customHeight="1" x14ac:dyDescent="0.75">
      <c r="A252" s="18" t="s">
        <v>67</v>
      </c>
      <c r="B252" s="19">
        <v>46041</v>
      </c>
      <c r="C252" s="18" t="s">
        <v>66</v>
      </c>
      <c r="D252" s="17">
        <v>666541</v>
      </c>
      <c r="E252" s="18" t="s">
        <v>41</v>
      </c>
      <c r="F252" s="20">
        <v>0</v>
      </c>
      <c r="G252" s="20">
        <v>0</v>
      </c>
    </row>
    <row r="253" spans="1:7" ht="15" customHeight="1" x14ac:dyDescent="0.75">
      <c r="A253" s="18" t="s">
        <v>67</v>
      </c>
      <c r="B253" s="19">
        <v>46041</v>
      </c>
      <c r="C253" s="18" t="s">
        <v>66</v>
      </c>
      <c r="D253" s="17">
        <v>666536</v>
      </c>
      <c r="E253" s="18" t="s">
        <v>43</v>
      </c>
      <c r="F253" s="20">
        <v>0</v>
      </c>
      <c r="G253" s="20">
        <v>0</v>
      </c>
    </row>
    <row r="254" spans="1:7" ht="15" customHeight="1" x14ac:dyDescent="0.75">
      <c r="A254" s="18" t="s">
        <v>68</v>
      </c>
      <c r="B254" s="19">
        <v>46048</v>
      </c>
      <c r="C254" s="18" t="s">
        <v>56</v>
      </c>
      <c r="D254" s="17">
        <v>666501</v>
      </c>
      <c r="E254" s="18" t="s">
        <v>5</v>
      </c>
      <c r="F254" s="20">
        <v>0</v>
      </c>
      <c r="G254" s="20">
        <v>0</v>
      </c>
    </row>
    <row r="255" spans="1:7" ht="15" customHeight="1" x14ac:dyDescent="0.75">
      <c r="A255" s="18" t="s">
        <v>68</v>
      </c>
      <c r="B255" s="19">
        <v>46048</v>
      </c>
      <c r="C255" s="18" t="s">
        <v>56</v>
      </c>
      <c r="D255" s="17">
        <v>666502</v>
      </c>
      <c r="E255" s="18" t="s">
        <v>7</v>
      </c>
      <c r="F255" s="20">
        <v>0</v>
      </c>
      <c r="G255" s="20">
        <v>0</v>
      </c>
    </row>
    <row r="256" spans="1:7" ht="15" customHeight="1" x14ac:dyDescent="0.75">
      <c r="A256" s="18" t="s">
        <v>68</v>
      </c>
      <c r="B256" s="19">
        <v>46048</v>
      </c>
      <c r="C256" s="18" t="s">
        <v>56</v>
      </c>
      <c r="D256" s="17">
        <v>666505</v>
      </c>
      <c r="E256" s="18" t="s">
        <v>9</v>
      </c>
      <c r="F256" s="20">
        <v>9.5</v>
      </c>
      <c r="G256" s="20">
        <v>19</v>
      </c>
    </row>
    <row r="257" spans="1:7" ht="15" customHeight="1" x14ac:dyDescent="0.75">
      <c r="A257" s="18" t="s">
        <v>68</v>
      </c>
      <c r="B257" s="19">
        <v>46048</v>
      </c>
      <c r="C257" s="18" t="s">
        <v>56</v>
      </c>
      <c r="D257" s="17">
        <v>666506</v>
      </c>
      <c r="E257" s="18" t="s">
        <v>11</v>
      </c>
      <c r="F257" s="20">
        <v>0</v>
      </c>
      <c r="G257" s="20">
        <v>0</v>
      </c>
    </row>
    <row r="258" spans="1:7" ht="15" customHeight="1" x14ac:dyDescent="0.75">
      <c r="A258" s="18" t="s">
        <v>68</v>
      </c>
      <c r="B258" s="19">
        <v>46048</v>
      </c>
      <c r="C258" s="18" t="s">
        <v>56</v>
      </c>
      <c r="D258" s="17">
        <v>666507</v>
      </c>
      <c r="E258" s="18" t="s">
        <v>13</v>
      </c>
      <c r="F258" s="20">
        <v>25</v>
      </c>
      <c r="G258" s="20">
        <v>5</v>
      </c>
    </row>
    <row r="259" spans="1:7" ht="15" customHeight="1" x14ac:dyDescent="0.75">
      <c r="A259" s="18" t="s">
        <v>68</v>
      </c>
      <c r="B259" s="19">
        <v>46048</v>
      </c>
      <c r="C259" s="18" t="s">
        <v>56</v>
      </c>
      <c r="D259" s="17">
        <v>666509</v>
      </c>
      <c r="E259" s="18" t="s">
        <v>15</v>
      </c>
      <c r="F259" s="20">
        <v>50</v>
      </c>
      <c r="G259" s="20">
        <v>60</v>
      </c>
    </row>
    <row r="260" spans="1:7" ht="15" customHeight="1" x14ac:dyDescent="0.75">
      <c r="A260" s="18" t="s">
        <v>68</v>
      </c>
      <c r="B260" s="19">
        <v>46048</v>
      </c>
      <c r="C260" s="18" t="s">
        <v>56</v>
      </c>
      <c r="D260" s="17">
        <v>666510</v>
      </c>
      <c r="E260" s="18" t="s">
        <v>17</v>
      </c>
      <c r="F260" s="20">
        <v>0</v>
      </c>
      <c r="G260" s="20">
        <v>0</v>
      </c>
    </row>
    <row r="261" spans="1:7" ht="15" customHeight="1" x14ac:dyDescent="0.75">
      <c r="A261" s="18" t="s">
        <v>68</v>
      </c>
      <c r="B261" s="19">
        <v>46048</v>
      </c>
      <c r="C261" s="18" t="s">
        <v>56</v>
      </c>
      <c r="D261" s="17">
        <v>666511</v>
      </c>
      <c r="E261" s="18" t="s">
        <v>19</v>
      </c>
      <c r="F261" s="20">
        <v>4</v>
      </c>
      <c r="G261" s="20">
        <v>0</v>
      </c>
    </row>
    <row r="262" spans="1:7" ht="15" customHeight="1" x14ac:dyDescent="0.75">
      <c r="A262" s="18" t="s">
        <v>68</v>
      </c>
      <c r="B262" s="19">
        <v>46048</v>
      </c>
      <c r="C262" s="18" t="s">
        <v>56</v>
      </c>
      <c r="D262" s="17">
        <v>666513</v>
      </c>
      <c r="E262" s="18" t="s">
        <v>21</v>
      </c>
      <c r="F262" s="20">
        <v>0</v>
      </c>
      <c r="G262" s="20">
        <v>0</v>
      </c>
    </row>
    <row r="263" spans="1:7" ht="15" customHeight="1" x14ac:dyDescent="0.75">
      <c r="A263" s="18" t="s">
        <v>68</v>
      </c>
      <c r="B263" s="19">
        <v>46048</v>
      </c>
      <c r="C263" s="18" t="s">
        <v>56</v>
      </c>
      <c r="D263" s="17">
        <v>666516</v>
      </c>
      <c r="E263" s="18" t="s">
        <v>23</v>
      </c>
      <c r="F263" s="20">
        <v>10</v>
      </c>
      <c r="G263" s="20">
        <v>20</v>
      </c>
    </row>
    <row r="264" spans="1:7" ht="15" customHeight="1" x14ac:dyDescent="0.75">
      <c r="A264" s="18" t="s">
        <v>68</v>
      </c>
      <c r="B264" s="19">
        <v>46048</v>
      </c>
      <c r="C264" s="18" t="s">
        <v>56</v>
      </c>
      <c r="D264" s="17">
        <v>666517</v>
      </c>
      <c r="E264" s="18" t="s">
        <v>25</v>
      </c>
      <c r="F264" s="20">
        <v>16.5</v>
      </c>
      <c r="G264" s="20">
        <v>33</v>
      </c>
    </row>
    <row r="265" spans="1:7" ht="15" customHeight="1" x14ac:dyDescent="0.75">
      <c r="A265" s="18" t="s">
        <v>68</v>
      </c>
      <c r="B265" s="19">
        <v>46048</v>
      </c>
      <c r="C265" s="18" t="s">
        <v>56</v>
      </c>
      <c r="D265" s="17">
        <v>666518</v>
      </c>
      <c r="E265" s="18" t="s">
        <v>27</v>
      </c>
      <c r="F265" s="20">
        <v>0</v>
      </c>
      <c r="G265" s="20">
        <v>0</v>
      </c>
    </row>
    <row r="266" spans="1:7" ht="15" customHeight="1" x14ac:dyDescent="0.75">
      <c r="A266" s="18" t="s">
        <v>68</v>
      </c>
      <c r="B266" s="19">
        <v>46048</v>
      </c>
      <c r="C266" s="18" t="s">
        <v>56</v>
      </c>
      <c r="D266" s="17">
        <v>666519</v>
      </c>
      <c r="E266" s="18" t="s">
        <v>29</v>
      </c>
      <c r="F266" s="20">
        <v>15</v>
      </c>
      <c r="G266" s="20">
        <v>30</v>
      </c>
    </row>
    <row r="267" spans="1:7" ht="15" customHeight="1" x14ac:dyDescent="0.75">
      <c r="A267" s="18" t="s">
        <v>68</v>
      </c>
      <c r="B267" s="19">
        <v>46048</v>
      </c>
      <c r="C267" s="18" t="s">
        <v>56</v>
      </c>
      <c r="D267" s="17">
        <v>666521</v>
      </c>
      <c r="E267" s="18" t="s">
        <v>31</v>
      </c>
      <c r="F267" s="20">
        <v>0</v>
      </c>
      <c r="G267" s="20">
        <v>0</v>
      </c>
    </row>
    <row r="268" spans="1:7" ht="15" customHeight="1" x14ac:dyDescent="0.75">
      <c r="A268" s="18" t="s">
        <v>68</v>
      </c>
      <c r="B268" s="19">
        <v>46048</v>
      </c>
      <c r="C268" s="18" t="s">
        <v>56</v>
      </c>
      <c r="D268" s="17">
        <v>666522</v>
      </c>
      <c r="E268" s="18" t="s">
        <v>33</v>
      </c>
      <c r="F268" s="20">
        <v>50</v>
      </c>
      <c r="G268" s="20">
        <v>75</v>
      </c>
    </row>
    <row r="269" spans="1:7" ht="15" customHeight="1" x14ac:dyDescent="0.75">
      <c r="A269" s="18" t="s">
        <v>68</v>
      </c>
      <c r="B269" s="19">
        <v>46048</v>
      </c>
      <c r="C269" s="18" t="s">
        <v>56</v>
      </c>
      <c r="D269" s="17">
        <v>666523</v>
      </c>
      <c r="E269" s="18" t="s">
        <v>35</v>
      </c>
      <c r="F269" s="20">
        <v>0</v>
      </c>
      <c r="G269" s="20">
        <v>0</v>
      </c>
    </row>
    <row r="270" spans="1:7" ht="15" customHeight="1" x14ac:dyDescent="0.75">
      <c r="A270" s="18" t="s">
        <v>68</v>
      </c>
      <c r="B270" s="19">
        <v>46048</v>
      </c>
      <c r="C270" s="18" t="s">
        <v>56</v>
      </c>
      <c r="D270" s="17">
        <v>666530</v>
      </c>
      <c r="E270" s="18" t="s">
        <v>37</v>
      </c>
      <c r="F270" s="20">
        <v>2.5</v>
      </c>
      <c r="G270" s="20">
        <v>2</v>
      </c>
    </row>
    <row r="271" spans="1:7" ht="15" customHeight="1" x14ac:dyDescent="0.75">
      <c r="A271" s="18" t="s">
        <v>68</v>
      </c>
      <c r="B271" s="19">
        <v>46048</v>
      </c>
      <c r="C271" s="18" t="s">
        <v>56</v>
      </c>
      <c r="D271" s="17">
        <v>666531</v>
      </c>
      <c r="E271" s="18" t="s">
        <v>39</v>
      </c>
      <c r="F271" s="20">
        <v>9</v>
      </c>
      <c r="G271" s="20">
        <v>18</v>
      </c>
    </row>
    <row r="272" spans="1:7" ht="15" customHeight="1" x14ac:dyDescent="0.75">
      <c r="A272" s="18" t="s">
        <v>68</v>
      </c>
      <c r="B272" s="19">
        <v>46048</v>
      </c>
      <c r="C272" s="18" t="s">
        <v>56</v>
      </c>
      <c r="D272" s="17">
        <v>666540</v>
      </c>
      <c r="E272" s="18" t="s">
        <v>40</v>
      </c>
      <c r="F272" s="20">
        <v>0</v>
      </c>
      <c r="G272" s="20">
        <v>0</v>
      </c>
    </row>
    <row r="273" spans="1:7" ht="15" customHeight="1" x14ac:dyDescent="0.75">
      <c r="A273" s="18" t="s">
        <v>68</v>
      </c>
      <c r="B273" s="19">
        <v>46048</v>
      </c>
      <c r="C273" s="18" t="s">
        <v>56</v>
      </c>
      <c r="D273" s="17">
        <v>666541</v>
      </c>
      <c r="E273" s="18" t="s">
        <v>41</v>
      </c>
      <c r="F273" s="20">
        <v>0</v>
      </c>
      <c r="G273" s="20">
        <v>0</v>
      </c>
    </row>
    <row r="274" spans="1:7" ht="15" customHeight="1" x14ac:dyDescent="0.75">
      <c r="A274" s="18" t="s">
        <v>68</v>
      </c>
      <c r="B274" s="19">
        <v>46048</v>
      </c>
      <c r="C274" s="18" t="s">
        <v>56</v>
      </c>
      <c r="D274" s="17">
        <v>666536</v>
      </c>
      <c r="E274" s="18" t="s">
        <v>43</v>
      </c>
      <c r="F274" s="20">
        <v>0</v>
      </c>
      <c r="G274" s="20">
        <v>0</v>
      </c>
    </row>
    <row r="275" spans="1:7" ht="15" customHeight="1" x14ac:dyDescent="0.75">
      <c r="A275" s="18" t="s">
        <v>68</v>
      </c>
      <c r="B275" s="19">
        <v>46048</v>
      </c>
      <c r="C275" s="18" t="s">
        <v>58</v>
      </c>
      <c r="D275" s="17">
        <v>666501</v>
      </c>
      <c r="E275" s="18" t="s">
        <v>5</v>
      </c>
      <c r="F275" s="20">
        <v>0</v>
      </c>
      <c r="G275" s="20">
        <v>0</v>
      </c>
    </row>
    <row r="276" spans="1:7" ht="15" customHeight="1" x14ac:dyDescent="0.75">
      <c r="A276" s="18" t="s">
        <v>68</v>
      </c>
      <c r="B276" s="19">
        <v>46048</v>
      </c>
      <c r="C276" s="18" t="s">
        <v>58</v>
      </c>
      <c r="D276" s="17">
        <v>666502</v>
      </c>
      <c r="E276" s="18" t="s">
        <v>7</v>
      </c>
      <c r="F276" s="20">
        <v>153.5</v>
      </c>
      <c r="G276" s="20">
        <v>109</v>
      </c>
    </row>
    <row r="277" spans="1:7" ht="15" customHeight="1" x14ac:dyDescent="0.75">
      <c r="A277" s="18" t="s">
        <v>68</v>
      </c>
      <c r="B277" s="19">
        <v>46048</v>
      </c>
      <c r="C277" s="18" t="s">
        <v>58</v>
      </c>
      <c r="D277" s="17">
        <v>666505</v>
      </c>
      <c r="E277" s="18" t="s">
        <v>9</v>
      </c>
      <c r="F277" s="20">
        <v>0</v>
      </c>
      <c r="G277" s="20">
        <v>0</v>
      </c>
    </row>
    <row r="278" spans="1:7" ht="15" customHeight="1" x14ac:dyDescent="0.75">
      <c r="A278" s="18" t="s">
        <v>68</v>
      </c>
      <c r="B278" s="19">
        <v>46048</v>
      </c>
      <c r="C278" s="18" t="s">
        <v>58</v>
      </c>
      <c r="D278" s="17">
        <v>666506</v>
      </c>
      <c r="E278" s="18" t="s">
        <v>11</v>
      </c>
      <c r="F278" s="20">
        <v>100</v>
      </c>
      <c r="G278" s="20">
        <v>20</v>
      </c>
    </row>
    <row r="279" spans="1:7" ht="15" customHeight="1" x14ac:dyDescent="0.75">
      <c r="A279" s="18" t="s">
        <v>68</v>
      </c>
      <c r="B279" s="19">
        <v>46048</v>
      </c>
      <c r="C279" s="18" t="s">
        <v>58</v>
      </c>
      <c r="D279" s="17">
        <v>666507</v>
      </c>
      <c r="E279" s="18" t="s">
        <v>13</v>
      </c>
      <c r="F279" s="20">
        <v>0</v>
      </c>
      <c r="G279" s="20">
        <v>0</v>
      </c>
    </row>
    <row r="280" spans="1:7" ht="15" customHeight="1" x14ac:dyDescent="0.75">
      <c r="A280" s="18" t="s">
        <v>68</v>
      </c>
      <c r="B280" s="19">
        <v>46048</v>
      </c>
      <c r="C280" s="18" t="s">
        <v>58</v>
      </c>
      <c r="D280" s="17">
        <v>666509</v>
      </c>
      <c r="E280" s="18" t="s">
        <v>15</v>
      </c>
      <c r="F280" s="20">
        <v>0</v>
      </c>
      <c r="G280" s="20">
        <v>0</v>
      </c>
    </row>
    <row r="281" spans="1:7" ht="15" customHeight="1" x14ac:dyDescent="0.75">
      <c r="A281" s="18" t="s">
        <v>68</v>
      </c>
      <c r="B281" s="19">
        <v>46048</v>
      </c>
      <c r="C281" s="18" t="s">
        <v>58</v>
      </c>
      <c r="D281" s="17">
        <v>666510</v>
      </c>
      <c r="E281" s="18" t="s">
        <v>17</v>
      </c>
      <c r="F281" s="20">
        <v>0</v>
      </c>
      <c r="G281" s="20">
        <v>0</v>
      </c>
    </row>
    <row r="282" spans="1:7" ht="15" customHeight="1" x14ac:dyDescent="0.75">
      <c r="A282" s="18" t="s">
        <v>68</v>
      </c>
      <c r="B282" s="19">
        <v>46048</v>
      </c>
      <c r="C282" s="18" t="s">
        <v>58</v>
      </c>
      <c r="D282" s="17">
        <v>666511</v>
      </c>
      <c r="E282" s="18" t="s">
        <v>19</v>
      </c>
      <c r="F282" s="20">
        <v>0</v>
      </c>
      <c r="G282" s="20">
        <v>0</v>
      </c>
    </row>
    <row r="283" spans="1:7" ht="15" customHeight="1" x14ac:dyDescent="0.75">
      <c r="A283" s="18" t="s">
        <v>68</v>
      </c>
      <c r="B283" s="19">
        <v>46048</v>
      </c>
      <c r="C283" s="18" t="s">
        <v>58</v>
      </c>
      <c r="D283" s="17">
        <v>666513</v>
      </c>
      <c r="E283" s="18" t="s">
        <v>21</v>
      </c>
      <c r="F283" s="20">
        <v>0</v>
      </c>
      <c r="G283" s="20">
        <v>0</v>
      </c>
    </row>
    <row r="284" spans="1:7" ht="15" customHeight="1" x14ac:dyDescent="0.75">
      <c r="A284" s="18" t="s">
        <v>68</v>
      </c>
      <c r="B284" s="19">
        <v>46048</v>
      </c>
      <c r="C284" s="18" t="s">
        <v>58</v>
      </c>
      <c r="D284" s="17">
        <v>666516</v>
      </c>
      <c r="E284" s="18" t="s">
        <v>23</v>
      </c>
      <c r="F284" s="20">
        <v>0</v>
      </c>
      <c r="G284" s="20">
        <v>0</v>
      </c>
    </row>
    <row r="285" spans="1:7" ht="15" customHeight="1" x14ac:dyDescent="0.75">
      <c r="A285" s="18" t="s">
        <v>68</v>
      </c>
      <c r="B285" s="19">
        <v>46048</v>
      </c>
      <c r="C285" s="18" t="s">
        <v>58</v>
      </c>
      <c r="D285" s="17">
        <v>666517</v>
      </c>
      <c r="E285" s="18" t="s">
        <v>25</v>
      </c>
      <c r="F285" s="20">
        <v>0</v>
      </c>
      <c r="G285" s="20">
        <v>0</v>
      </c>
    </row>
    <row r="286" spans="1:7" ht="15" customHeight="1" x14ac:dyDescent="0.75">
      <c r="A286" s="18" t="s">
        <v>68</v>
      </c>
      <c r="B286" s="19">
        <v>46048</v>
      </c>
      <c r="C286" s="18" t="s">
        <v>58</v>
      </c>
      <c r="D286" s="17">
        <v>666518</v>
      </c>
      <c r="E286" s="18" t="s">
        <v>27</v>
      </c>
      <c r="F286" s="20">
        <v>0</v>
      </c>
      <c r="G286" s="20">
        <v>0</v>
      </c>
    </row>
    <row r="287" spans="1:7" ht="15" customHeight="1" x14ac:dyDescent="0.75">
      <c r="A287" s="18" t="s">
        <v>68</v>
      </c>
      <c r="B287" s="19">
        <v>46048</v>
      </c>
      <c r="C287" s="18" t="s">
        <v>58</v>
      </c>
      <c r="D287" s="17">
        <v>666519</v>
      </c>
      <c r="E287" s="18" t="s">
        <v>29</v>
      </c>
      <c r="F287" s="20">
        <v>0</v>
      </c>
      <c r="G287" s="20">
        <v>0</v>
      </c>
    </row>
    <row r="288" spans="1:7" ht="15" customHeight="1" x14ac:dyDescent="0.75">
      <c r="A288" s="18" t="s">
        <v>68</v>
      </c>
      <c r="B288" s="19">
        <v>46048</v>
      </c>
      <c r="C288" s="18" t="s">
        <v>58</v>
      </c>
      <c r="D288" s="17">
        <v>666521</v>
      </c>
      <c r="E288" s="18" t="s">
        <v>31</v>
      </c>
      <c r="F288" s="20">
        <v>0</v>
      </c>
      <c r="G288" s="20">
        <v>0</v>
      </c>
    </row>
    <row r="289" spans="1:7" ht="15" customHeight="1" x14ac:dyDescent="0.75">
      <c r="A289" s="18" t="s">
        <v>68</v>
      </c>
      <c r="B289" s="19">
        <v>46048</v>
      </c>
      <c r="C289" s="18" t="s">
        <v>58</v>
      </c>
      <c r="D289" s="17">
        <v>666522</v>
      </c>
      <c r="E289" s="18" t="s">
        <v>33</v>
      </c>
      <c r="F289" s="20">
        <v>102.5</v>
      </c>
      <c r="G289" s="20">
        <v>205</v>
      </c>
    </row>
    <row r="290" spans="1:7" ht="15" customHeight="1" x14ac:dyDescent="0.75">
      <c r="A290" s="18" t="s">
        <v>68</v>
      </c>
      <c r="B290" s="19">
        <v>46048</v>
      </c>
      <c r="C290" s="18" t="s">
        <v>58</v>
      </c>
      <c r="D290" s="17">
        <v>666523</v>
      </c>
      <c r="E290" s="18" t="s">
        <v>35</v>
      </c>
      <c r="F290" s="20">
        <v>23.5</v>
      </c>
      <c r="G290" s="20">
        <v>47</v>
      </c>
    </row>
    <row r="291" spans="1:7" ht="15" customHeight="1" x14ac:dyDescent="0.75">
      <c r="A291" s="18" t="s">
        <v>68</v>
      </c>
      <c r="B291" s="19">
        <v>46048</v>
      </c>
      <c r="C291" s="18" t="s">
        <v>58</v>
      </c>
      <c r="D291" s="17">
        <v>666530</v>
      </c>
      <c r="E291" s="18" t="s">
        <v>37</v>
      </c>
      <c r="F291" s="20">
        <v>0</v>
      </c>
      <c r="G291" s="20">
        <v>0</v>
      </c>
    </row>
    <row r="292" spans="1:7" ht="15" customHeight="1" x14ac:dyDescent="0.75">
      <c r="A292" s="18" t="s">
        <v>68</v>
      </c>
      <c r="B292" s="19">
        <v>46048</v>
      </c>
      <c r="C292" s="18" t="s">
        <v>58</v>
      </c>
      <c r="D292" s="17">
        <v>666531</v>
      </c>
      <c r="E292" s="18" t="s">
        <v>39</v>
      </c>
      <c r="F292" s="20">
        <v>0</v>
      </c>
      <c r="G292" s="20">
        <v>0</v>
      </c>
    </row>
    <row r="293" spans="1:7" ht="15" customHeight="1" x14ac:dyDescent="0.75">
      <c r="A293" s="18" t="s">
        <v>68</v>
      </c>
      <c r="B293" s="19">
        <v>46048</v>
      </c>
      <c r="C293" s="18" t="s">
        <v>58</v>
      </c>
      <c r="D293" s="17">
        <v>666540</v>
      </c>
      <c r="E293" s="18" t="s">
        <v>40</v>
      </c>
      <c r="F293" s="20">
        <v>120</v>
      </c>
      <c r="G293" s="20">
        <v>31</v>
      </c>
    </row>
    <row r="294" spans="1:7" ht="15" customHeight="1" x14ac:dyDescent="0.75">
      <c r="A294" s="18" t="s">
        <v>68</v>
      </c>
      <c r="B294" s="19">
        <v>46048</v>
      </c>
      <c r="C294" s="18" t="s">
        <v>58</v>
      </c>
      <c r="D294" s="17">
        <v>666541</v>
      </c>
      <c r="E294" s="18" t="s">
        <v>41</v>
      </c>
      <c r="F294" s="20">
        <v>120</v>
      </c>
      <c r="G294" s="20">
        <v>156</v>
      </c>
    </row>
    <row r="295" spans="1:7" ht="15" customHeight="1" x14ac:dyDescent="0.75">
      <c r="A295" s="18" t="s">
        <v>68</v>
      </c>
      <c r="B295" s="19">
        <v>46048</v>
      </c>
      <c r="C295" s="18" t="s">
        <v>58</v>
      </c>
      <c r="D295" s="17">
        <v>666536</v>
      </c>
      <c r="E295" s="18" t="s">
        <v>43</v>
      </c>
      <c r="F295" s="20">
        <v>0</v>
      </c>
      <c r="G295" s="20">
        <v>0</v>
      </c>
    </row>
    <row r="296" spans="1:7" ht="15" customHeight="1" x14ac:dyDescent="0.75">
      <c r="A296" s="18" t="s">
        <v>68</v>
      </c>
      <c r="B296" s="19">
        <v>46048</v>
      </c>
      <c r="C296" s="18" t="s">
        <v>66</v>
      </c>
      <c r="D296" s="17">
        <v>666501</v>
      </c>
      <c r="E296" s="18" t="s">
        <v>5</v>
      </c>
      <c r="F296" s="20">
        <v>0</v>
      </c>
      <c r="G296" s="20">
        <v>0</v>
      </c>
    </row>
    <row r="297" spans="1:7" ht="15" customHeight="1" x14ac:dyDescent="0.75">
      <c r="A297" s="18" t="s">
        <v>68</v>
      </c>
      <c r="B297" s="19">
        <v>46048</v>
      </c>
      <c r="C297" s="18" t="s">
        <v>66</v>
      </c>
      <c r="D297" s="17">
        <v>666502</v>
      </c>
      <c r="E297" s="18" t="s">
        <v>7</v>
      </c>
      <c r="F297" s="20">
        <v>20</v>
      </c>
      <c r="G297" s="20">
        <v>18</v>
      </c>
    </row>
    <row r="298" spans="1:7" ht="15" customHeight="1" x14ac:dyDescent="0.75">
      <c r="A298" s="18" t="s">
        <v>68</v>
      </c>
      <c r="B298" s="19">
        <v>46048</v>
      </c>
      <c r="C298" s="18" t="s">
        <v>66</v>
      </c>
      <c r="D298" s="17">
        <v>666505</v>
      </c>
      <c r="E298" s="18" t="s">
        <v>9</v>
      </c>
      <c r="F298" s="20">
        <v>20.5</v>
      </c>
      <c r="G298" s="20">
        <v>41</v>
      </c>
    </row>
    <row r="299" spans="1:7" ht="15" customHeight="1" x14ac:dyDescent="0.75">
      <c r="A299" s="18" t="s">
        <v>68</v>
      </c>
      <c r="B299" s="19">
        <v>46048</v>
      </c>
      <c r="C299" s="18" t="s">
        <v>66</v>
      </c>
      <c r="D299" s="17">
        <v>666506</v>
      </c>
      <c r="E299" s="18" t="s">
        <v>11</v>
      </c>
      <c r="F299" s="20">
        <v>0</v>
      </c>
      <c r="G299" s="20">
        <v>0</v>
      </c>
    </row>
    <row r="300" spans="1:7" ht="15" customHeight="1" x14ac:dyDescent="0.75">
      <c r="A300" s="18" t="s">
        <v>68</v>
      </c>
      <c r="B300" s="19">
        <v>46048</v>
      </c>
      <c r="C300" s="18" t="s">
        <v>66</v>
      </c>
      <c r="D300" s="17">
        <v>666507</v>
      </c>
      <c r="E300" s="18" t="s">
        <v>13</v>
      </c>
      <c r="F300" s="20">
        <v>0</v>
      </c>
      <c r="G300" s="20">
        <v>0</v>
      </c>
    </row>
    <row r="301" spans="1:7" ht="15" customHeight="1" x14ac:dyDescent="0.75">
      <c r="A301" s="18" t="s">
        <v>68</v>
      </c>
      <c r="B301" s="19">
        <v>46048</v>
      </c>
      <c r="C301" s="18" t="s">
        <v>66</v>
      </c>
      <c r="D301" s="17">
        <v>666509</v>
      </c>
      <c r="E301" s="18" t="s">
        <v>15</v>
      </c>
      <c r="F301" s="20">
        <v>0</v>
      </c>
      <c r="G301" s="20">
        <v>0</v>
      </c>
    </row>
    <row r="302" spans="1:7" ht="15" customHeight="1" x14ac:dyDescent="0.75">
      <c r="A302" s="18" t="s">
        <v>68</v>
      </c>
      <c r="B302" s="19">
        <v>46048</v>
      </c>
      <c r="C302" s="18" t="s">
        <v>66</v>
      </c>
      <c r="D302" s="17">
        <v>666510</v>
      </c>
      <c r="E302" s="18" t="s">
        <v>17</v>
      </c>
      <c r="F302" s="20">
        <v>0</v>
      </c>
      <c r="G302" s="20">
        <v>0</v>
      </c>
    </row>
    <row r="303" spans="1:7" ht="15" customHeight="1" x14ac:dyDescent="0.75">
      <c r="A303" s="18" t="s">
        <v>68</v>
      </c>
      <c r="B303" s="19">
        <v>46048</v>
      </c>
      <c r="C303" s="18" t="s">
        <v>66</v>
      </c>
      <c r="D303" s="17">
        <v>666511</v>
      </c>
      <c r="E303" s="18" t="s">
        <v>19</v>
      </c>
      <c r="F303" s="20">
        <v>0</v>
      </c>
      <c r="G303" s="20">
        <v>0</v>
      </c>
    </row>
    <row r="304" spans="1:7" ht="15" customHeight="1" x14ac:dyDescent="0.75">
      <c r="A304" s="18" t="s">
        <v>68</v>
      </c>
      <c r="B304" s="19">
        <v>46048</v>
      </c>
      <c r="C304" s="18" t="s">
        <v>66</v>
      </c>
      <c r="D304" s="17">
        <v>666513</v>
      </c>
      <c r="E304" s="18" t="s">
        <v>21</v>
      </c>
      <c r="F304" s="20">
        <v>0</v>
      </c>
      <c r="G304" s="20">
        <v>0</v>
      </c>
    </row>
    <row r="305" spans="1:7" ht="15" customHeight="1" x14ac:dyDescent="0.75">
      <c r="A305" s="18" t="s">
        <v>68</v>
      </c>
      <c r="B305" s="19">
        <v>46048</v>
      </c>
      <c r="C305" s="18" t="s">
        <v>66</v>
      </c>
      <c r="D305" s="17">
        <v>666516</v>
      </c>
      <c r="E305" s="18" t="s">
        <v>23</v>
      </c>
      <c r="F305" s="20">
        <v>10</v>
      </c>
      <c r="G305" s="20">
        <v>20</v>
      </c>
    </row>
    <row r="306" spans="1:7" ht="15" customHeight="1" x14ac:dyDescent="0.75">
      <c r="A306" s="18" t="s">
        <v>68</v>
      </c>
      <c r="B306" s="19">
        <v>46048</v>
      </c>
      <c r="C306" s="18" t="s">
        <v>66</v>
      </c>
      <c r="D306" s="17">
        <v>666517</v>
      </c>
      <c r="E306" s="18" t="s">
        <v>25</v>
      </c>
      <c r="F306" s="20">
        <v>7.5</v>
      </c>
      <c r="G306" s="20">
        <v>15</v>
      </c>
    </row>
    <row r="307" spans="1:7" ht="15" customHeight="1" x14ac:dyDescent="0.75">
      <c r="A307" s="18" t="s">
        <v>68</v>
      </c>
      <c r="B307" s="19">
        <v>46048</v>
      </c>
      <c r="C307" s="18" t="s">
        <v>66</v>
      </c>
      <c r="D307" s="17">
        <v>666518</v>
      </c>
      <c r="E307" s="18" t="s">
        <v>27</v>
      </c>
      <c r="F307" s="20">
        <v>0</v>
      </c>
      <c r="G307" s="20">
        <v>0</v>
      </c>
    </row>
    <row r="308" spans="1:7" ht="15" customHeight="1" x14ac:dyDescent="0.75">
      <c r="A308" s="18" t="s">
        <v>68</v>
      </c>
      <c r="B308" s="19">
        <v>46048</v>
      </c>
      <c r="C308" s="18" t="s">
        <v>66</v>
      </c>
      <c r="D308" s="17">
        <v>666519</v>
      </c>
      <c r="E308" s="18" t="s">
        <v>29</v>
      </c>
      <c r="F308" s="20">
        <v>15</v>
      </c>
      <c r="G308" s="20">
        <v>30</v>
      </c>
    </row>
    <row r="309" spans="1:7" ht="15" customHeight="1" x14ac:dyDescent="0.75">
      <c r="A309" s="18" t="s">
        <v>68</v>
      </c>
      <c r="B309" s="19">
        <v>46048</v>
      </c>
      <c r="C309" s="18" t="s">
        <v>66</v>
      </c>
      <c r="D309" s="17">
        <v>666521</v>
      </c>
      <c r="E309" s="18" t="s">
        <v>31</v>
      </c>
      <c r="F309" s="20">
        <v>0</v>
      </c>
      <c r="G309" s="20">
        <v>0</v>
      </c>
    </row>
    <row r="310" spans="1:7" ht="15" customHeight="1" x14ac:dyDescent="0.75">
      <c r="A310" s="18" t="s">
        <v>68</v>
      </c>
      <c r="B310" s="19">
        <v>46048</v>
      </c>
      <c r="C310" s="18" t="s">
        <v>66</v>
      </c>
      <c r="D310" s="17">
        <v>666522</v>
      </c>
      <c r="E310" s="18" t="s">
        <v>33</v>
      </c>
      <c r="F310" s="20">
        <v>42.5</v>
      </c>
      <c r="G310" s="20">
        <v>85</v>
      </c>
    </row>
    <row r="311" spans="1:7" ht="15" customHeight="1" x14ac:dyDescent="0.75">
      <c r="A311" s="18" t="s">
        <v>68</v>
      </c>
      <c r="B311" s="19">
        <v>46048</v>
      </c>
      <c r="C311" s="18" t="s">
        <v>66</v>
      </c>
      <c r="D311" s="17">
        <v>666523</v>
      </c>
      <c r="E311" s="18" t="s">
        <v>35</v>
      </c>
      <c r="F311" s="20">
        <v>6</v>
      </c>
      <c r="G311" s="20">
        <v>12</v>
      </c>
    </row>
    <row r="312" spans="1:7" ht="15" customHeight="1" x14ac:dyDescent="0.75">
      <c r="A312" s="18" t="s">
        <v>68</v>
      </c>
      <c r="B312" s="19">
        <v>46048</v>
      </c>
      <c r="C312" s="18" t="s">
        <v>66</v>
      </c>
      <c r="D312" s="17">
        <v>666530</v>
      </c>
      <c r="E312" s="18" t="s">
        <v>37</v>
      </c>
      <c r="F312" s="20">
        <v>7.5</v>
      </c>
      <c r="G312" s="20">
        <v>15</v>
      </c>
    </row>
    <row r="313" spans="1:7" ht="15" customHeight="1" x14ac:dyDescent="0.75">
      <c r="A313" s="18" t="s">
        <v>68</v>
      </c>
      <c r="B313" s="19">
        <v>46048</v>
      </c>
      <c r="C313" s="18" t="s">
        <v>66</v>
      </c>
      <c r="D313" s="17">
        <v>666531</v>
      </c>
      <c r="E313" s="18" t="s">
        <v>39</v>
      </c>
      <c r="F313" s="20">
        <v>4</v>
      </c>
      <c r="G313" s="20">
        <v>8</v>
      </c>
    </row>
    <row r="314" spans="1:7" ht="15" customHeight="1" x14ac:dyDescent="0.75">
      <c r="A314" s="18" t="s">
        <v>68</v>
      </c>
      <c r="B314" s="19">
        <v>46048</v>
      </c>
      <c r="C314" s="18" t="s">
        <v>66</v>
      </c>
      <c r="D314" s="17">
        <v>666540</v>
      </c>
      <c r="E314" s="18" t="s">
        <v>40</v>
      </c>
      <c r="F314" s="20">
        <v>0</v>
      </c>
      <c r="G314" s="20">
        <v>0</v>
      </c>
    </row>
    <row r="315" spans="1:7" ht="15" customHeight="1" x14ac:dyDescent="0.75">
      <c r="A315" s="18" t="s">
        <v>68</v>
      </c>
      <c r="B315" s="19">
        <v>46048</v>
      </c>
      <c r="C315" s="18" t="s">
        <v>66</v>
      </c>
      <c r="D315" s="17">
        <v>666541</v>
      </c>
      <c r="E315" s="18" t="s">
        <v>41</v>
      </c>
      <c r="F315" s="20">
        <v>0</v>
      </c>
      <c r="G315" s="20">
        <v>0</v>
      </c>
    </row>
    <row r="316" spans="1:7" ht="15" customHeight="1" x14ac:dyDescent="0.75">
      <c r="A316" s="18" t="s">
        <v>68</v>
      </c>
      <c r="B316" s="19">
        <v>46048</v>
      </c>
      <c r="C316" s="18" t="s">
        <v>66</v>
      </c>
      <c r="D316" s="17">
        <v>666536</v>
      </c>
      <c r="E316" s="18" t="s">
        <v>43</v>
      </c>
      <c r="F316" s="20">
        <v>0</v>
      </c>
      <c r="G316" s="20">
        <v>0</v>
      </c>
    </row>
    <row r="317" spans="1:7" ht="15" customHeight="1" x14ac:dyDescent="0.75">
      <c r="A317" s="18" t="s">
        <v>69</v>
      </c>
      <c r="B317" s="19">
        <v>46055</v>
      </c>
      <c r="C317" s="18" t="s">
        <v>56</v>
      </c>
      <c r="D317" s="17">
        <v>666501</v>
      </c>
      <c r="E317" s="18" t="s">
        <v>5</v>
      </c>
      <c r="F317" s="20">
        <v>0</v>
      </c>
      <c r="G317" s="20">
        <v>0</v>
      </c>
    </row>
    <row r="318" spans="1:7" ht="15" customHeight="1" x14ac:dyDescent="0.75">
      <c r="A318" s="18" t="s">
        <v>69</v>
      </c>
      <c r="B318" s="19">
        <v>46055</v>
      </c>
      <c r="C318" s="18" t="s">
        <v>56</v>
      </c>
      <c r="D318" s="17">
        <v>666502</v>
      </c>
      <c r="E318" s="18" t="s">
        <v>7</v>
      </c>
      <c r="F318" s="20">
        <v>0</v>
      </c>
      <c r="G318" s="20">
        <v>0</v>
      </c>
    </row>
    <row r="319" spans="1:7" ht="15" customHeight="1" x14ac:dyDescent="0.75">
      <c r="A319" s="18" t="s">
        <v>69</v>
      </c>
      <c r="B319" s="19">
        <v>46055</v>
      </c>
      <c r="C319" s="18" t="s">
        <v>56</v>
      </c>
      <c r="D319" s="17">
        <v>666505</v>
      </c>
      <c r="E319" s="18" t="s">
        <v>9</v>
      </c>
      <c r="F319" s="20">
        <v>9.5</v>
      </c>
      <c r="G319" s="20">
        <v>0</v>
      </c>
    </row>
    <row r="320" spans="1:7" ht="15" customHeight="1" x14ac:dyDescent="0.75">
      <c r="A320" s="18" t="s">
        <v>69</v>
      </c>
      <c r="B320" s="19">
        <v>46055</v>
      </c>
      <c r="C320" s="18" t="s">
        <v>56</v>
      </c>
      <c r="D320" s="17">
        <v>666506</v>
      </c>
      <c r="E320" s="18" t="s">
        <v>11</v>
      </c>
      <c r="F320" s="20">
        <v>0</v>
      </c>
      <c r="G320" s="20">
        <v>0</v>
      </c>
    </row>
    <row r="321" spans="1:7" ht="15" customHeight="1" x14ac:dyDescent="0.75">
      <c r="A321" s="18" t="s">
        <v>69</v>
      </c>
      <c r="B321" s="19">
        <v>46055</v>
      </c>
      <c r="C321" s="18" t="s">
        <v>56</v>
      </c>
      <c r="D321" s="17">
        <v>666507</v>
      </c>
      <c r="E321" s="18" t="s">
        <v>13</v>
      </c>
      <c r="F321" s="20">
        <v>25</v>
      </c>
      <c r="G321" s="20">
        <v>44</v>
      </c>
    </row>
    <row r="322" spans="1:7" ht="15" customHeight="1" x14ac:dyDescent="0.75">
      <c r="A322" s="18" t="s">
        <v>69</v>
      </c>
      <c r="B322" s="19">
        <v>46055</v>
      </c>
      <c r="C322" s="18" t="s">
        <v>56</v>
      </c>
      <c r="D322" s="17">
        <v>666509</v>
      </c>
      <c r="E322" s="18" t="s">
        <v>15</v>
      </c>
      <c r="F322" s="20">
        <v>50</v>
      </c>
      <c r="G322" s="20">
        <v>40</v>
      </c>
    </row>
    <row r="323" spans="1:7" ht="15" customHeight="1" x14ac:dyDescent="0.75">
      <c r="A323" s="18" t="s">
        <v>69</v>
      </c>
      <c r="B323" s="19">
        <v>46055</v>
      </c>
      <c r="C323" s="18" t="s">
        <v>56</v>
      </c>
      <c r="D323" s="17">
        <v>666510</v>
      </c>
      <c r="E323" s="18" t="s">
        <v>17</v>
      </c>
      <c r="F323" s="20">
        <v>0</v>
      </c>
      <c r="G323" s="20">
        <v>0</v>
      </c>
    </row>
    <row r="324" spans="1:7" ht="15" customHeight="1" x14ac:dyDescent="0.75">
      <c r="A324" s="18" t="s">
        <v>69</v>
      </c>
      <c r="B324" s="19">
        <v>46055</v>
      </c>
      <c r="C324" s="18" t="s">
        <v>56</v>
      </c>
      <c r="D324" s="17">
        <v>666511</v>
      </c>
      <c r="E324" s="18" t="s">
        <v>19</v>
      </c>
      <c r="F324" s="20">
        <v>4</v>
      </c>
      <c r="G324" s="20">
        <v>8</v>
      </c>
    </row>
    <row r="325" spans="1:7" ht="15" customHeight="1" x14ac:dyDescent="0.75">
      <c r="A325" s="18" t="s">
        <v>69</v>
      </c>
      <c r="B325" s="19">
        <v>46055</v>
      </c>
      <c r="C325" s="18" t="s">
        <v>56</v>
      </c>
      <c r="D325" s="17">
        <v>666513</v>
      </c>
      <c r="E325" s="18" t="s">
        <v>21</v>
      </c>
      <c r="F325" s="20">
        <v>0</v>
      </c>
      <c r="G325" s="20">
        <v>0</v>
      </c>
    </row>
    <row r="326" spans="1:7" ht="15" customHeight="1" x14ac:dyDescent="0.75">
      <c r="A326" s="18" t="s">
        <v>69</v>
      </c>
      <c r="B326" s="19">
        <v>46055</v>
      </c>
      <c r="C326" s="18" t="s">
        <v>56</v>
      </c>
      <c r="D326" s="17">
        <v>666516</v>
      </c>
      <c r="E326" s="18" t="s">
        <v>23</v>
      </c>
      <c r="F326" s="20">
        <v>10</v>
      </c>
      <c r="G326" s="20">
        <v>0</v>
      </c>
    </row>
    <row r="327" spans="1:7" ht="15" customHeight="1" x14ac:dyDescent="0.75">
      <c r="A327" s="18" t="s">
        <v>69</v>
      </c>
      <c r="B327" s="19">
        <v>46055</v>
      </c>
      <c r="C327" s="18" t="s">
        <v>56</v>
      </c>
      <c r="D327" s="17">
        <v>666517</v>
      </c>
      <c r="E327" s="18" t="s">
        <v>25</v>
      </c>
      <c r="F327" s="20">
        <v>16.5</v>
      </c>
      <c r="G327" s="20">
        <v>0</v>
      </c>
    </row>
    <row r="328" spans="1:7" ht="15" customHeight="1" x14ac:dyDescent="0.75">
      <c r="A328" s="18" t="s">
        <v>69</v>
      </c>
      <c r="B328" s="19">
        <v>46055</v>
      </c>
      <c r="C328" s="18" t="s">
        <v>56</v>
      </c>
      <c r="D328" s="17">
        <v>666518</v>
      </c>
      <c r="E328" s="18" t="s">
        <v>27</v>
      </c>
      <c r="F328" s="20">
        <v>0</v>
      </c>
      <c r="G328" s="20">
        <v>0</v>
      </c>
    </row>
    <row r="329" spans="1:7" ht="15" customHeight="1" x14ac:dyDescent="0.75">
      <c r="A329" s="18" t="s">
        <v>69</v>
      </c>
      <c r="B329" s="19">
        <v>46055</v>
      </c>
      <c r="C329" s="18" t="s">
        <v>56</v>
      </c>
      <c r="D329" s="17">
        <v>666519</v>
      </c>
      <c r="E329" s="18" t="s">
        <v>29</v>
      </c>
      <c r="F329" s="20">
        <v>15</v>
      </c>
      <c r="G329" s="20">
        <v>0</v>
      </c>
    </row>
    <row r="330" spans="1:7" ht="15" customHeight="1" x14ac:dyDescent="0.75">
      <c r="A330" s="18" t="s">
        <v>69</v>
      </c>
      <c r="B330" s="19">
        <v>46055</v>
      </c>
      <c r="C330" s="18" t="s">
        <v>56</v>
      </c>
      <c r="D330" s="17">
        <v>666521</v>
      </c>
      <c r="E330" s="18" t="s">
        <v>31</v>
      </c>
      <c r="F330" s="20">
        <v>0</v>
      </c>
      <c r="G330" s="20">
        <v>0</v>
      </c>
    </row>
    <row r="331" spans="1:7" ht="15" customHeight="1" x14ac:dyDescent="0.75">
      <c r="A331" s="18" t="s">
        <v>69</v>
      </c>
      <c r="B331" s="19">
        <v>46055</v>
      </c>
      <c r="C331" s="18" t="s">
        <v>56</v>
      </c>
      <c r="D331" s="17">
        <v>666522</v>
      </c>
      <c r="E331" s="18" t="s">
        <v>33</v>
      </c>
      <c r="F331" s="20">
        <v>50</v>
      </c>
      <c r="G331" s="20">
        <v>25</v>
      </c>
    </row>
    <row r="332" spans="1:7" ht="15" customHeight="1" x14ac:dyDescent="0.75">
      <c r="A332" s="18" t="s">
        <v>69</v>
      </c>
      <c r="B332" s="19">
        <v>46055</v>
      </c>
      <c r="C332" s="18" t="s">
        <v>56</v>
      </c>
      <c r="D332" s="17">
        <v>666523</v>
      </c>
      <c r="E332" s="18" t="s">
        <v>35</v>
      </c>
      <c r="F332" s="20">
        <v>0</v>
      </c>
      <c r="G332" s="20">
        <v>0</v>
      </c>
    </row>
    <row r="333" spans="1:7" ht="15" customHeight="1" x14ac:dyDescent="0.75">
      <c r="A333" s="18" t="s">
        <v>69</v>
      </c>
      <c r="B333" s="19">
        <v>46055</v>
      </c>
      <c r="C333" s="18" t="s">
        <v>56</v>
      </c>
      <c r="D333" s="17">
        <v>666530</v>
      </c>
      <c r="E333" s="18" t="s">
        <v>37</v>
      </c>
      <c r="F333" s="20">
        <v>2.5</v>
      </c>
      <c r="G333" s="20">
        <v>3</v>
      </c>
    </row>
    <row r="334" spans="1:7" ht="15" customHeight="1" x14ac:dyDescent="0.75">
      <c r="A334" s="18" t="s">
        <v>69</v>
      </c>
      <c r="B334" s="19">
        <v>46055</v>
      </c>
      <c r="C334" s="18" t="s">
        <v>56</v>
      </c>
      <c r="D334" s="17">
        <v>666531</v>
      </c>
      <c r="E334" s="18" t="s">
        <v>39</v>
      </c>
      <c r="F334" s="20">
        <v>9</v>
      </c>
      <c r="G334" s="20">
        <v>0</v>
      </c>
    </row>
    <row r="335" spans="1:7" ht="15" customHeight="1" x14ac:dyDescent="0.75">
      <c r="A335" s="18" t="s">
        <v>69</v>
      </c>
      <c r="B335" s="19">
        <v>46055</v>
      </c>
      <c r="C335" s="18" t="s">
        <v>56</v>
      </c>
      <c r="D335" s="17">
        <v>666540</v>
      </c>
      <c r="E335" s="18" t="s">
        <v>40</v>
      </c>
      <c r="F335" s="20">
        <v>0</v>
      </c>
      <c r="G335" s="20">
        <v>0</v>
      </c>
    </row>
    <row r="336" spans="1:7" ht="15" customHeight="1" x14ac:dyDescent="0.75">
      <c r="A336" s="18" t="s">
        <v>69</v>
      </c>
      <c r="B336" s="19">
        <v>46055</v>
      </c>
      <c r="C336" s="18" t="s">
        <v>56</v>
      </c>
      <c r="D336" s="17">
        <v>666541</v>
      </c>
      <c r="E336" s="18" t="s">
        <v>41</v>
      </c>
      <c r="F336" s="20">
        <v>0</v>
      </c>
      <c r="G336" s="20">
        <v>0</v>
      </c>
    </row>
    <row r="337" spans="1:7" ht="15" customHeight="1" x14ac:dyDescent="0.75">
      <c r="A337" s="18" t="s">
        <v>69</v>
      </c>
      <c r="B337" s="19">
        <v>46055</v>
      </c>
      <c r="C337" s="18" t="s">
        <v>56</v>
      </c>
      <c r="D337" s="17">
        <v>666536</v>
      </c>
      <c r="E337" s="18" t="s">
        <v>43</v>
      </c>
      <c r="F337" s="20">
        <v>0</v>
      </c>
      <c r="G337" s="20">
        <v>0</v>
      </c>
    </row>
    <row r="338" spans="1:7" ht="15" customHeight="1" x14ac:dyDescent="0.75">
      <c r="A338" s="18" t="s">
        <v>69</v>
      </c>
      <c r="B338" s="19">
        <v>46055</v>
      </c>
      <c r="C338" s="18" t="s">
        <v>58</v>
      </c>
      <c r="D338" s="17">
        <v>666501</v>
      </c>
      <c r="E338" s="18" t="s">
        <v>5</v>
      </c>
      <c r="F338" s="20">
        <v>0</v>
      </c>
      <c r="G338" s="20">
        <v>0</v>
      </c>
    </row>
    <row r="339" spans="1:7" ht="15" customHeight="1" x14ac:dyDescent="0.75">
      <c r="A339" s="18" t="s">
        <v>69</v>
      </c>
      <c r="B339" s="19">
        <v>46055</v>
      </c>
      <c r="C339" s="18" t="s">
        <v>58</v>
      </c>
      <c r="D339" s="17">
        <v>666502</v>
      </c>
      <c r="E339" s="18" t="s">
        <v>7</v>
      </c>
      <c r="F339" s="20">
        <v>153.5</v>
      </c>
      <c r="G339" s="20">
        <v>142</v>
      </c>
    </row>
    <row r="340" spans="1:7" ht="15" customHeight="1" x14ac:dyDescent="0.75">
      <c r="A340" s="18" t="s">
        <v>69</v>
      </c>
      <c r="B340" s="19">
        <v>46055</v>
      </c>
      <c r="C340" s="18" t="s">
        <v>58</v>
      </c>
      <c r="D340" s="17">
        <v>666505</v>
      </c>
      <c r="E340" s="18" t="s">
        <v>9</v>
      </c>
      <c r="F340" s="20">
        <v>0</v>
      </c>
      <c r="G340" s="20">
        <v>0</v>
      </c>
    </row>
    <row r="341" spans="1:7" ht="15" customHeight="1" x14ac:dyDescent="0.75">
      <c r="A341" s="18" t="s">
        <v>69</v>
      </c>
      <c r="B341" s="19">
        <v>46055</v>
      </c>
      <c r="C341" s="18" t="s">
        <v>58</v>
      </c>
      <c r="D341" s="17">
        <v>666506</v>
      </c>
      <c r="E341" s="18" t="s">
        <v>11</v>
      </c>
      <c r="F341" s="20">
        <v>100</v>
      </c>
      <c r="G341" s="20">
        <v>140</v>
      </c>
    </row>
    <row r="342" spans="1:7" ht="15" customHeight="1" x14ac:dyDescent="0.75">
      <c r="A342" s="18" t="s">
        <v>69</v>
      </c>
      <c r="B342" s="19">
        <v>46055</v>
      </c>
      <c r="C342" s="18" t="s">
        <v>58</v>
      </c>
      <c r="D342" s="17">
        <v>666507</v>
      </c>
      <c r="E342" s="18" t="s">
        <v>13</v>
      </c>
      <c r="F342" s="20">
        <v>0</v>
      </c>
      <c r="G342" s="20">
        <v>0</v>
      </c>
    </row>
    <row r="343" spans="1:7" ht="15" customHeight="1" x14ac:dyDescent="0.75">
      <c r="A343" s="18" t="s">
        <v>69</v>
      </c>
      <c r="B343" s="19">
        <v>46055</v>
      </c>
      <c r="C343" s="18" t="s">
        <v>58</v>
      </c>
      <c r="D343" s="17">
        <v>666509</v>
      </c>
      <c r="E343" s="18" t="s">
        <v>15</v>
      </c>
      <c r="F343" s="20">
        <v>0</v>
      </c>
      <c r="G343" s="20">
        <v>0</v>
      </c>
    </row>
    <row r="344" spans="1:7" ht="15" customHeight="1" x14ac:dyDescent="0.75">
      <c r="A344" s="18" t="s">
        <v>69</v>
      </c>
      <c r="B344" s="19">
        <v>46055</v>
      </c>
      <c r="C344" s="18" t="s">
        <v>58</v>
      </c>
      <c r="D344" s="17">
        <v>666510</v>
      </c>
      <c r="E344" s="18" t="s">
        <v>17</v>
      </c>
      <c r="F344" s="20">
        <v>0</v>
      </c>
      <c r="G344" s="20">
        <v>0</v>
      </c>
    </row>
    <row r="345" spans="1:7" ht="15" customHeight="1" x14ac:dyDescent="0.75">
      <c r="A345" s="18" t="s">
        <v>69</v>
      </c>
      <c r="B345" s="19">
        <v>46055</v>
      </c>
      <c r="C345" s="18" t="s">
        <v>58</v>
      </c>
      <c r="D345" s="17">
        <v>666511</v>
      </c>
      <c r="E345" s="18" t="s">
        <v>19</v>
      </c>
      <c r="F345" s="20">
        <v>0</v>
      </c>
      <c r="G345" s="20">
        <v>0</v>
      </c>
    </row>
    <row r="346" spans="1:7" ht="15" customHeight="1" x14ac:dyDescent="0.75">
      <c r="A346" s="18" t="s">
        <v>69</v>
      </c>
      <c r="B346" s="19">
        <v>46055</v>
      </c>
      <c r="C346" s="18" t="s">
        <v>58</v>
      </c>
      <c r="D346" s="17">
        <v>666513</v>
      </c>
      <c r="E346" s="18" t="s">
        <v>21</v>
      </c>
      <c r="F346" s="20">
        <v>0</v>
      </c>
      <c r="G346" s="20">
        <v>0</v>
      </c>
    </row>
    <row r="347" spans="1:7" ht="15" customHeight="1" x14ac:dyDescent="0.75">
      <c r="A347" s="18" t="s">
        <v>69</v>
      </c>
      <c r="B347" s="19">
        <v>46055</v>
      </c>
      <c r="C347" s="18" t="s">
        <v>58</v>
      </c>
      <c r="D347" s="17">
        <v>666516</v>
      </c>
      <c r="E347" s="18" t="s">
        <v>23</v>
      </c>
      <c r="F347" s="20">
        <v>0</v>
      </c>
      <c r="G347" s="20">
        <v>0</v>
      </c>
    </row>
    <row r="348" spans="1:7" ht="15" customHeight="1" x14ac:dyDescent="0.75">
      <c r="A348" s="18" t="s">
        <v>69</v>
      </c>
      <c r="B348" s="19">
        <v>46055</v>
      </c>
      <c r="C348" s="18" t="s">
        <v>58</v>
      </c>
      <c r="D348" s="17">
        <v>666517</v>
      </c>
      <c r="E348" s="18" t="s">
        <v>25</v>
      </c>
      <c r="F348" s="20">
        <v>0</v>
      </c>
      <c r="G348" s="20">
        <v>0</v>
      </c>
    </row>
    <row r="349" spans="1:7" ht="15" customHeight="1" x14ac:dyDescent="0.75">
      <c r="A349" s="18" t="s">
        <v>69</v>
      </c>
      <c r="B349" s="19">
        <v>46055</v>
      </c>
      <c r="C349" s="18" t="s">
        <v>58</v>
      </c>
      <c r="D349" s="17">
        <v>666518</v>
      </c>
      <c r="E349" s="18" t="s">
        <v>27</v>
      </c>
      <c r="F349" s="20">
        <v>0</v>
      </c>
      <c r="G349" s="20">
        <v>0</v>
      </c>
    </row>
    <row r="350" spans="1:7" ht="15" customHeight="1" x14ac:dyDescent="0.75">
      <c r="A350" s="18" t="s">
        <v>69</v>
      </c>
      <c r="B350" s="19">
        <v>46055</v>
      </c>
      <c r="C350" s="18" t="s">
        <v>58</v>
      </c>
      <c r="D350" s="17">
        <v>666519</v>
      </c>
      <c r="E350" s="18" t="s">
        <v>29</v>
      </c>
      <c r="F350" s="20">
        <v>0</v>
      </c>
      <c r="G350" s="20">
        <v>0</v>
      </c>
    </row>
    <row r="351" spans="1:7" ht="15" customHeight="1" x14ac:dyDescent="0.75">
      <c r="A351" s="18" t="s">
        <v>69</v>
      </c>
      <c r="B351" s="19">
        <v>46055</v>
      </c>
      <c r="C351" s="18" t="s">
        <v>58</v>
      </c>
      <c r="D351" s="17">
        <v>666521</v>
      </c>
      <c r="E351" s="18" t="s">
        <v>31</v>
      </c>
      <c r="F351" s="20">
        <v>0</v>
      </c>
      <c r="G351" s="20">
        <v>0</v>
      </c>
    </row>
    <row r="352" spans="1:7" ht="15" customHeight="1" x14ac:dyDescent="0.75">
      <c r="A352" s="18" t="s">
        <v>69</v>
      </c>
      <c r="B352" s="19">
        <v>46055</v>
      </c>
      <c r="C352" s="18" t="s">
        <v>58</v>
      </c>
      <c r="D352" s="17">
        <v>666522</v>
      </c>
      <c r="E352" s="18" t="s">
        <v>33</v>
      </c>
      <c r="F352" s="20">
        <v>102.5</v>
      </c>
      <c r="G352" s="20">
        <v>0</v>
      </c>
    </row>
    <row r="353" spans="1:7" ht="15" customHeight="1" x14ac:dyDescent="0.75">
      <c r="A353" s="18" t="s">
        <v>69</v>
      </c>
      <c r="B353" s="19">
        <v>46055</v>
      </c>
      <c r="C353" s="18" t="s">
        <v>58</v>
      </c>
      <c r="D353" s="17">
        <v>666523</v>
      </c>
      <c r="E353" s="18" t="s">
        <v>35</v>
      </c>
      <c r="F353" s="20">
        <v>23.5</v>
      </c>
      <c r="G353" s="20">
        <v>0</v>
      </c>
    </row>
    <row r="354" spans="1:7" ht="15" customHeight="1" x14ac:dyDescent="0.75">
      <c r="A354" s="18" t="s">
        <v>69</v>
      </c>
      <c r="B354" s="19">
        <v>46055</v>
      </c>
      <c r="C354" s="18" t="s">
        <v>58</v>
      </c>
      <c r="D354" s="17">
        <v>666530</v>
      </c>
      <c r="E354" s="18" t="s">
        <v>37</v>
      </c>
      <c r="F354" s="20">
        <v>0</v>
      </c>
      <c r="G354" s="20">
        <v>0</v>
      </c>
    </row>
    <row r="355" spans="1:7" ht="15" customHeight="1" x14ac:dyDescent="0.75">
      <c r="A355" s="18" t="s">
        <v>69</v>
      </c>
      <c r="B355" s="19">
        <v>46055</v>
      </c>
      <c r="C355" s="18" t="s">
        <v>58</v>
      </c>
      <c r="D355" s="17">
        <v>666531</v>
      </c>
      <c r="E355" s="18" t="s">
        <v>39</v>
      </c>
      <c r="F355" s="20">
        <v>0</v>
      </c>
      <c r="G355" s="20">
        <v>0</v>
      </c>
    </row>
    <row r="356" spans="1:7" ht="15" customHeight="1" x14ac:dyDescent="0.75">
      <c r="A356" s="18" t="s">
        <v>69</v>
      </c>
      <c r="B356" s="19">
        <v>46055</v>
      </c>
      <c r="C356" s="18" t="s">
        <v>58</v>
      </c>
      <c r="D356" s="17">
        <v>666540</v>
      </c>
      <c r="E356" s="18" t="s">
        <v>40</v>
      </c>
      <c r="F356" s="20">
        <v>120</v>
      </c>
      <c r="G356" s="20">
        <v>22</v>
      </c>
    </row>
    <row r="357" spans="1:7" ht="15" customHeight="1" x14ac:dyDescent="0.75">
      <c r="A357" s="18" t="s">
        <v>69</v>
      </c>
      <c r="B357" s="19">
        <v>46055</v>
      </c>
      <c r="C357" s="18" t="s">
        <v>58</v>
      </c>
      <c r="D357" s="17">
        <v>666541</v>
      </c>
      <c r="E357" s="18" t="s">
        <v>41</v>
      </c>
      <c r="F357" s="20">
        <v>120</v>
      </c>
      <c r="G357" s="20">
        <v>104</v>
      </c>
    </row>
    <row r="358" spans="1:7" ht="15" customHeight="1" x14ac:dyDescent="0.75">
      <c r="A358" s="18" t="s">
        <v>69</v>
      </c>
      <c r="B358" s="19">
        <v>46055</v>
      </c>
      <c r="C358" s="18" t="s">
        <v>58</v>
      </c>
      <c r="D358" s="17">
        <v>666536</v>
      </c>
      <c r="E358" s="18" t="s">
        <v>43</v>
      </c>
      <c r="F358" s="20">
        <v>0</v>
      </c>
      <c r="G358" s="20">
        <v>0</v>
      </c>
    </row>
    <row r="359" spans="1:7" ht="15" customHeight="1" x14ac:dyDescent="0.75">
      <c r="A359" s="18" t="s">
        <v>69</v>
      </c>
      <c r="B359" s="19">
        <v>46055</v>
      </c>
      <c r="C359" s="18" t="s">
        <v>66</v>
      </c>
      <c r="D359" s="17">
        <v>666501</v>
      </c>
      <c r="E359" s="18" t="s">
        <v>5</v>
      </c>
      <c r="F359" s="20">
        <v>0</v>
      </c>
      <c r="G359" s="20">
        <v>0</v>
      </c>
    </row>
    <row r="360" spans="1:7" ht="15" customHeight="1" x14ac:dyDescent="0.75">
      <c r="A360" s="18" t="s">
        <v>69</v>
      </c>
      <c r="B360" s="19">
        <v>46055</v>
      </c>
      <c r="C360" s="18" t="s">
        <v>66</v>
      </c>
      <c r="D360" s="17">
        <v>666502</v>
      </c>
      <c r="E360" s="18" t="s">
        <v>7</v>
      </c>
      <c r="F360" s="20">
        <v>20</v>
      </c>
      <c r="G360" s="20">
        <v>22</v>
      </c>
    </row>
    <row r="361" spans="1:7" ht="15" customHeight="1" x14ac:dyDescent="0.75">
      <c r="A361" s="18" t="s">
        <v>69</v>
      </c>
      <c r="B361" s="19">
        <v>46055</v>
      </c>
      <c r="C361" s="18" t="s">
        <v>66</v>
      </c>
      <c r="D361" s="17">
        <v>666505</v>
      </c>
      <c r="E361" s="18" t="s">
        <v>9</v>
      </c>
      <c r="F361" s="20">
        <v>20.5</v>
      </c>
      <c r="G361" s="20">
        <v>0</v>
      </c>
    </row>
    <row r="362" spans="1:7" ht="15" customHeight="1" x14ac:dyDescent="0.75">
      <c r="A362" s="18" t="s">
        <v>69</v>
      </c>
      <c r="B362" s="19">
        <v>46055</v>
      </c>
      <c r="C362" s="18" t="s">
        <v>66</v>
      </c>
      <c r="D362" s="17">
        <v>666506</v>
      </c>
      <c r="E362" s="18" t="s">
        <v>11</v>
      </c>
      <c r="F362" s="20">
        <v>0</v>
      </c>
      <c r="G362" s="20">
        <v>0</v>
      </c>
    </row>
    <row r="363" spans="1:7" ht="15" customHeight="1" x14ac:dyDescent="0.75">
      <c r="A363" s="18" t="s">
        <v>69</v>
      </c>
      <c r="B363" s="19">
        <v>46055</v>
      </c>
      <c r="C363" s="18" t="s">
        <v>66</v>
      </c>
      <c r="D363" s="17">
        <v>666507</v>
      </c>
      <c r="E363" s="18" t="s">
        <v>13</v>
      </c>
      <c r="F363" s="20">
        <v>0</v>
      </c>
      <c r="G363" s="20">
        <v>0</v>
      </c>
    </row>
    <row r="364" spans="1:7" ht="15" customHeight="1" x14ac:dyDescent="0.75">
      <c r="A364" s="18" t="s">
        <v>69</v>
      </c>
      <c r="B364" s="19">
        <v>46055</v>
      </c>
      <c r="C364" s="18" t="s">
        <v>66</v>
      </c>
      <c r="D364" s="17">
        <v>666509</v>
      </c>
      <c r="E364" s="18" t="s">
        <v>15</v>
      </c>
      <c r="F364" s="20">
        <v>0</v>
      </c>
      <c r="G364" s="20">
        <v>0</v>
      </c>
    </row>
    <row r="365" spans="1:7" ht="15" customHeight="1" x14ac:dyDescent="0.75">
      <c r="A365" s="18" t="s">
        <v>69</v>
      </c>
      <c r="B365" s="19">
        <v>46055</v>
      </c>
      <c r="C365" s="18" t="s">
        <v>66</v>
      </c>
      <c r="D365" s="17">
        <v>666510</v>
      </c>
      <c r="E365" s="18" t="s">
        <v>17</v>
      </c>
      <c r="F365" s="20">
        <v>0</v>
      </c>
      <c r="G365" s="20">
        <v>0</v>
      </c>
    </row>
    <row r="366" spans="1:7" ht="15" customHeight="1" x14ac:dyDescent="0.75">
      <c r="A366" s="18" t="s">
        <v>69</v>
      </c>
      <c r="B366" s="19">
        <v>46055</v>
      </c>
      <c r="C366" s="18" t="s">
        <v>66</v>
      </c>
      <c r="D366" s="17">
        <v>666511</v>
      </c>
      <c r="E366" s="18" t="s">
        <v>19</v>
      </c>
      <c r="F366" s="20">
        <v>0</v>
      </c>
      <c r="G366" s="20">
        <v>0</v>
      </c>
    </row>
    <row r="367" spans="1:7" ht="15" customHeight="1" x14ac:dyDescent="0.75">
      <c r="A367" s="18" t="s">
        <v>69</v>
      </c>
      <c r="B367" s="19">
        <v>46055</v>
      </c>
      <c r="C367" s="18" t="s">
        <v>66</v>
      </c>
      <c r="D367" s="17">
        <v>666513</v>
      </c>
      <c r="E367" s="18" t="s">
        <v>21</v>
      </c>
      <c r="F367" s="20">
        <v>0</v>
      </c>
      <c r="G367" s="20">
        <v>0</v>
      </c>
    </row>
    <row r="368" spans="1:7" ht="15" customHeight="1" x14ac:dyDescent="0.75">
      <c r="A368" s="18" t="s">
        <v>69</v>
      </c>
      <c r="B368" s="19">
        <v>46055</v>
      </c>
      <c r="C368" s="18" t="s">
        <v>66</v>
      </c>
      <c r="D368" s="17">
        <v>666516</v>
      </c>
      <c r="E368" s="18" t="s">
        <v>23</v>
      </c>
      <c r="F368" s="20">
        <v>10</v>
      </c>
      <c r="G368" s="20">
        <v>0</v>
      </c>
    </row>
    <row r="369" spans="1:7" ht="15" customHeight="1" x14ac:dyDescent="0.75">
      <c r="A369" s="18" t="s">
        <v>69</v>
      </c>
      <c r="B369" s="19">
        <v>46055</v>
      </c>
      <c r="C369" s="18" t="s">
        <v>66</v>
      </c>
      <c r="D369" s="17">
        <v>666517</v>
      </c>
      <c r="E369" s="18" t="s">
        <v>25</v>
      </c>
      <c r="F369" s="20">
        <v>7.5</v>
      </c>
      <c r="G369" s="20">
        <v>0</v>
      </c>
    </row>
    <row r="370" spans="1:7" ht="15" customHeight="1" x14ac:dyDescent="0.75">
      <c r="A370" s="18" t="s">
        <v>69</v>
      </c>
      <c r="B370" s="19">
        <v>46055</v>
      </c>
      <c r="C370" s="18" t="s">
        <v>66</v>
      </c>
      <c r="D370" s="17">
        <v>666518</v>
      </c>
      <c r="E370" s="18" t="s">
        <v>27</v>
      </c>
      <c r="F370" s="20">
        <v>0</v>
      </c>
      <c r="G370" s="20">
        <v>0</v>
      </c>
    </row>
    <row r="371" spans="1:7" ht="15" customHeight="1" x14ac:dyDescent="0.75">
      <c r="A371" s="18" t="s">
        <v>69</v>
      </c>
      <c r="B371" s="19">
        <v>46055</v>
      </c>
      <c r="C371" s="18" t="s">
        <v>66</v>
      </c>
      <c r="D371" s="17">
        <v>666519</v>
      </c>
      <c r="E371" s="18" t="s">
        <v>29</v>
      </c>
      <c r="F371" s="20">
        <v>15</v>
      </c>
      <c r="G371" s="20">
        <v>0</v>
      </c>
    </row>
    <row r="372" spans="1:7" ht="15" customHeight="1" x14ac:dyDescent="0.75">
      <c r="A372" s="18" t="s">
        <v>69</v>
      </c>
      <c r="B372" s="19">
        <v>46055</v>
      </c>
      <c r="C372" s="18" t="s">
        <v>66</v>
      </c>
      <c r="D372" s="17">
        <v>666521</v>
      </c>
      <c r="E372" s="18" t="s">
        <v>31</v>
      </c>
      <c r="F372" s="20">
        <v>0</v>
      </c>
      <c r="G372" s="20">
        <v>0</v>
      </c>
    </row>
    <row r="373" spans="1:7" ht="15" customHeight="1" x14ac:dyDescent="0.75">
      <c r="A373" s="18" t="s">
        <v>69</v>
      </c>
      <c r="B373" s="19">
        <v>46055</v>
      </c>
      <c r="C373" s="18" t="s">
        <v>66</v>
      </c>
      <c r="D373" s="17">
        <v>666522</v>
      </c>
      <c r="E373" s="18" t="s">
        <v>33</v>
      </c>
      <c r="F373" s="20">
        <v>42.5</v>
      </c>
      <c r="G373" s="20">
        <v>0</v>
      </c>
    </row>
    <row r="374" spans="1:7" ht="15" customHeight="1" x14ac:dyDescent="0.75">
      <c r="A374" s="18" t="s">
        <v>69</v>
      </c>
      <c r="B374" s="19">
        <v>46055</v>
      </c>
      <c r="C374" s="18" t="s">
        <v>66</v>
      </c>
      <c r="D374" s="17">
        <v>666523</v>
      </c>
      <c r="E374" s="18" t="s">
        <v>35</v>
      </c>
      <c r="F374" s="20">
        <v>6</v>
      </c>
      <c r="G374" s="20">
        <v>0</v>
      </c>
    </row>
    <row r="375" spans="1:7" ht="15" customHeight="1" x14ac:dyDescent="0.75">
      <c r="A375" s="18" t="s">
        <v>69</v>
      </c>
      <c r="B375" s="19">
        <v>46055</v>
      </c>
      <c r="C375" s="18" t="s">
        <v>66</v>
      </c>
      <c r="D375" s="17">
        <v>666530</v>
      </c>
      <c r="E375" s="18" t="s">
        <v>37</v>
      </c>
      <c r="F375" s="20">
        <v>7.5</v>
      </c>
      <c r="G375" s="20">
        <v>0</v>
      </c>
    </row>
    <row r="376" spans="1:7" ht="15" customHeight="1" x14ac:dyDescent="0.75">
      <c r="A376" s="18" t="s">
        <v>69</v>
      </c>
      <c r="B376" s="19">
        <v>46055</v>
      </c>
      <c r="C376" s="18" t="s">
        <v>66</v>
      </c>
      <c r="D376" s="17">
        <v>666531</v>
      </c>
      <c r="E376" s="18" t="s">
        <v>39</v>
      </c>
      <c r="F376" s="20">
        <v>4</v>
      </c>
      <c r="G376" s="20">
        <v>0</v>
      </c>
    </row>
    <row r="377" spans="1:7" ht="15" customHeight="1" x14ac:dyDescent="0.75">
      <c r="A377" s="18" t="s">
        <v>69</v>
      </c>
      <c r="B377" s="19">
        <v>46055</v>
      </c>
      <c r="C377" s="18" t="s">
        <v>66</v>
      </c>
      <c r="D377" s="17">
        <v>666540</v>
      </c>
      <c r="E377" s="18" t="s">
        <v>40</v>
      </c>
      <c r="F377" s="20">
        <v>0</v>
      </c>
      <c r="G377" s="20">
        <v>0</v>
      </c>
    </row>
    <row r="378" spans="1:7" ht="15" customHeight="1" x14ac:dyDescent="0.75">
      <c r="A378" s="18" t="s">
        <v>69</v>
      </c>
      <c r="B378" s="19">
        <v>46055</v>
      </c>
      <c r="C378" s="18" t="s">
        <v>66</v>
      </c>
      <c r="D378" s="17">
        <v>666541</v>
      </c>
      <c r="E378" s="18" t="s">
        <v>41</v>
      </c>
      <c r="F378" s="20">
        <v>0</v>
      </c>
      <c r="G378" s="20">
        <v>0</v>
      </c>
    </row>
    <row r="379" spans="1:7" ht="15" customHeight="1" x14ac:dyDescent="0.75">
      <c r="A379" s="18" t="s">
        <v>69</v>
      </c>
      <c r="B379" s="19">
        <v>46055</v>
      </c>
      <c r="C379" s="18" t="s">
        <v>66</v>
      </c>
      <c r="D379" s="17">
        <v>666536</v>
      </c>
      <c r="E379" s="18" t="s">
        <v>43</v>
      </c>
      <c r="F379" s="20">
        <v>0</v>
      </c>
      <c r="G379" s="20">
        <v>0</v>
      </c>
    </row>
    <row r="380" spans="1:7" ht="15" customHeight="1" x14ac:dyDescent="0.75">
      <c r="A380" s="18" t="s">
        <v>70</v>
      </c>
      <c r="B380" s="19">
        <v>46062</v>
      </c>
      <c r="C380" s="18" t="s">
        <v>56</v>
      </c>
      <c r="D380" s="17">
        <v>666501</v>
      </c>
      <c r="E380" s="18" t="s">
        <v>5</v>
      </c>
      <c r="F380" s="20">
        <v>22.5</v>
      </c>
      <c r="G380" s="20">
        <v>39</v>
      </c>
    </row>
    <row r="381" spans="1:7" ht="15" customHeight="1" x14ac:dyDescent="0.75">
      <c r="A381" s="18" t="s">
        <v>70</v>
      </c>
      <c r="B381" s="19">
        <v>46062</v>
      </c>
      <c r="C381" s="18" t="s">
        <v>56</v>
      </c>
      <c r="D381" s="17">
        <v>666502</v>
      </c>
      <c r="E381" s="18" t="s">
        <v>7</v>
      </c>
      <c r="F381" s="20">
        <v>0</v>
      </c>
      <c r="G381" s="20">
        <v>0</v>
      </c>
    </row>
    <row r="382" spans="1:7" ht="15" customHeight="1" x14ac:dyDescent="0.75">
      <c r="A382" s="18" t="s">
        <v>70</v>
      </c>
      <c r="B382" s="19">
        <v>46062</v>
      </c>
      <c r="C382" s="18" t="s">
        <v>56</v>
      </c>
      <c r="D382" s="17">
        <v>666505</v>
      </c>
      <c r="E382" s="18" t="s">
        <v>9</v>
      </c>
      <c r="F382" s="20">
        <v>9.5</v>
      </c>
      <c r="G382" s="20">
        <v>19</v>
      </c>
    </row>
    <row r="383" spans="1:7" ht="15" customHeight="1" x14ac:dyDescent="0.75">
      <c r="A383" s="18" t="s">
        <v>70</v>
      </c>
      <c r="B383" s="19">
        <v>46062</v>
      </c>
      <c r="C383" s="18" t="s">
        <v>56</v>
      </c>
      <c r="D383" s="17">
        <v>666506</v>
      </c>
      <c r="E383" s="18" t="s">
        <v>11</v>
      </c>
      <c r="F383" s="20">
        <v>0</v>
      </c>
      <c r="G383" s="20">
        <v>0</v>
      </c>
    </row>
    <row r="384" spans="1:7" ht="15" customHeight="1" x14ac:dyDescent="0.75">
      <c r="A384" s="18" t="s">
        <v>70</v>
      </c>
      <c r="B384" s="19">
        <v>46062</v>
      </c>
      <c r="C384" s="18" t="s">
        <v>56</v>
      </c>
      <c r="D384" s="17">
        <v>666507</v>
      </c>
      <c r="E384" s="18" t="s">
        <v>13</v>
      </c>
      <c r="F384" s="20">
        <v>21</v>
      </c>
      <c r="G384" s="20">
        <v>29</v>
      </c>
    </row>
    <row r="385" spans="1:7" ht="15" customHeight="1" x14ac:dyDescent="0.75">
      <c r="A385" s="18" t="s">
        <v>70</v>
      </c>
      <c r="B385" s="19">
        <v>46062</v>
      </c>
      <c r="C385" s="18" t="s">
        <v>56</v>
      </c>
      <c r="D385" s="17">
        <v>666509</v>
      </c>
      <c r="E385" s="18" t="s">
        <v>15</v>
      </c>
      <c r="F385" s="20">
        <v>0</v>
      </c>
      <c r="G385" s="20">
        <v>0</v>
      </c>
    </row>
    <row r="386" spans="1:7" ht="15" customHeight="1" x14ac:dyDescent="0.75">
      <c r="A386" s="18" t="s">
        <v>70</v>
      </c>
      <c r="B386" s="19">
        <v>46062</v>
      </c>
      <c r="C386" s="18" t="s">
        <v>56</v>
      </c>
      <c r="D386" s="17">
        <v>666510</v>
      </c>
      <c r="E386" s="18" t="s">
        <v>17</v>
      </c>
      <c r="F386" s="20">
        <v>0</v>
      </c>
      <c r="G386" s="20">
        <v>0</v>
      </c>
    </row>
    <row r="387" spans="1:7" ht="15" customHeight="1" x14ac:dyDescent="0.75">
      <c r="A387" s="18" t="s">
        <v>70</v>
      </c>
      <c r="B387" s="19">
        <v>46062</v>
      </c>
      <c r="C387" s="18" t="s">
        <v>56</v>
      </c>
      <c r="D387" s="17">
        <v>666511</v>
      </c>
      <c r="E387" s="18" t="s">
        <v>19</v>
      </c>
      <c r="F387" s="20">
        <v>4</v>
      </c>
      <c r="G387" s="20">
        <v>0</v>
      </c>
    </row>
    <row r="388" spans="1:7" ht="15" customHeight="1" x14ac:dyDescent="0.75">
      <c r="A388" s="18" t="s">
        <v>70</v>
      </c>
      <c r="B388" s="19">
        <v>46062</v>
      </c>
      <c r="C388" s="18" t="s">
        <v>56</v>
      </c>
      <c r="D388" s="17">
        <v>666513</v>
      </c>
      <c r="E388" s="18" t="s">
        <v>21</v>
      </c>
      <c r="F388" s="20">
        <v>0</v>
      </c>
      <c r="G388" s="20">
        <v>0</v>
      </c>
    </row>
    <row r="389" spans="1:7" ht="15" customHeight="1" x14ac:dyDescent="0.75">
      <c r="A389" s="18" t="s">
        <v>70</v>
      </c>
      <c r="B389" s="19">
        <v>46062</v>
      </c>
      <c r="C389" s="18" t="s">
        <v>56</v>
      </c>
      <c r="D389" s="17">
        <v>666516</v>
      </c>
      <c r="E389" s="18" t="s">
        <v>23</v>
      </c>
      <c r="F389" s="20">
        <v>0</v>
      </c>
      <c r="G389" s="20">
        <v>0</v>
      </c>
    </row>
    <row r="390" spans="1:7" ht="15" customHeight="1" x14ac:dyDescent="0.75">
      <c r="A390" s="18" t="s">
        <v>70</v>
      </c>
      <c r="B390" s="19">
        <v>46062</v>
      </c>
      <c r="C390" s="18" t="s">
        <v>56</v>
      </c>
      <c r="D390" s="17">
        <v>666517</v>
      </c>
      <c r="E390" s="18" t="s">
        <v>25</v>
      </c>
      <c r="F390" s="20">
        <v>14.5</v>
      </c>
      <c r="G390" s="20">
        <v>29</v>
      </c>
    </row>
    <row r="391" spans="1:7" ht="15" customHeight="1" x14ac:dyDescent="0.75">
      <c r="A391" s="18" t="s">
        <v>70</v>
      </c>
      <c r="B391" s="19">
        <v>46062</v>
      </c>
      <c r="C391" s="18" t="s">
        <v>56</v>
      </c>
      <c r="D391" s="17">
        <v>666518</v>
      </c>
      <c r="E391" s="18" t="s">
        <v>27</v>
      </c>
      <c r="F391" s="20">
        <v>0</v>
      </c>
      <c r="G391" s="20">
        <v>0</v>
      </c>
    </row>
    <row r="392" spans="1:7" ht="15" customHeight="1" x14ac:dyDescent="0.75">
      <c r="A392" s="18" t="s">
        <v>70</v>
      </c>
      <c r="B392" s="19">
        <v>46062</v>
      </c>
      <c r="C392" s="18" t="s">
        <v>56</v>
      </c>
      <c r="D392" s="17">
        <v>666519</v>
      </c>
      <c r="E392" s="18" t="s">
        <v>29</v>
      </c>
      <c r="F392" s="20">
        <v>15.5</v>
      </c>
      <c r="G392" s="20">
        <v>31</v>
      </c>
    </row>
    <row r="393" spans="1:7" ht="15" customHeight="1" x14ac:dyDescent="0.75">
      <c r="A393" s="18" t="s">
        <v>70</v>
      </c>
      <c r="B393" s="19">
        <v>46062</v>
      </c>
      <c r="C393" s="18" t="s">
        <v>56</v>
      </c>
      <c r="D393" s="17">
        <v>666521</v>
      </c>
      <c r="E393" s="18" t="s">
        <v>31</v>
      </c>
      <c r="F393" s="20">
        <v>0</v>
      </c>
      <c r="G393" s="20">
        <v>0</v>
      </c>
    </row>
    <row r="394" spans="1:7" ht="15" customHeight="1" x14ac:dyDescent="0.75">
      <c r="A394" s="18" t="s">
        <v>70</v>
      </c>
      <c r="B394" s="19">
        <v>46062</v>
      </c>
      <c r="C394" s="18" t="s">
        <v>56</v>
      </c>
      <c r="D394" s="17">
        <v>666522</v>
      </c>
      <c r="E394" s="18" t="s">
        <v>33</v>
      </c>
      <c r="F394" s="20">
        <v>57.5</v>
      </c>
      <c r="G394" s="20">
        <v>115</v>
      </c>
    </row>
    <row r="395" spans="1:7" ht="15" customHeight="1" x14ac:dyDescent="0.75">
      <c r="A395" s="18" t="s">
        <v>70</v>
      </c>
      <c r="B395" s="19">
        <v>46062</v>
      </c>
      <c r="C395" s="18" t="s">
        <v>56</v>
      </c>
      <c r="D395" s="17">
        <v>666523</v>
      </c>
      <c r="E395" s="18" t="s">
        <v>35</v>
      </c>
      <c r="F395" s="20">
        <v>0</v>
      </c>
      <c r="G395" s="20">
        <v>0</v>
      </c>
    </row>
    <row r="396" spans="1:7" ht="15" customHeight="1" x14ac:dyDescent="0.75">
      <c r="A396" s="18" t="s">
        <v>70</v>
      </c>
      <c r="B396" s="19">
        <v>46062</v>
      </c>
      <c r="C396" s="18" t="s">
        <v>56</v>
      </c>
      <c r="D396" s="17">
        <v>666530</v>
      </c>
      <c r="E396" s="18" t="s">
        <v>37</v>
      </c>
      <c r="F396" s="20">
        <v>2.5</v>
      </c>
      <c r="G396" s="20">
        <v>5</v>
      </c>
    </row>
    <row r="397" spans="1:7" ht="15" customHeight="1" x14ac:dyDescent="0.75">
      <c r="A397" s="18" t="s">
        <v>70</v>
      </c>
      <c r="B397" s="19">
        <v>46062</v>
      </c>
      <c r="C397" s="18" t="s">
        <v>56</v>
      </c>
      <c r="D397" s="17">
        <v>666531</v>
      </c>
      <c r="E397" s="18" t="s">
        <v>39</v>
      </c>
      <c r="F397" s="20">
        <v>9</v>
      </c>
      <c r="G397" s="20">
        <v>18</v>
      </c>
    </row>
    <row r="398" spans="1:7" ht="15" customHeight="1" x14ac:dyDescent="0.75">
      <c r="A398" s="18" t="s">
        <v>70</v>
      </c>
      <c r="B398" s="19">
        <v>46062</v>
      </c>
      <c r="C398" s="18" t="s">
        <v>56</v>
      </c>
      <c r="D398" s="17">
        <v>666540</v>
      </c>
      <c r="E398" s="18" t="s">
        <v>40</v>
      </c>
      <c r="F398" s="20">
        <v>0</v>
      </c>
      <c r="G398" s="20">
        <v>0</v>
      </c>
    </row>
    <row r="399" spans="1:7" ht="15" customHeight="1" x14ac:dyDescent="0.75">
      <c r="A399" s="18" t="s">
        <v>70</v>
      </c>
      <c r="B399" s="19">
        <v>46062</v>
      </c>
      <c r="C399" s="18" t="s">
        <v>56</v>
      </c>
      <c r="D399" s="17">
        <v>666541</v>
      </c>
      <c r="E399" s="18" t="s">
        <v>41</v>
      </c>
      <c r="F399" s="20">
        <v>0</v>
      </c>
      <c r="G399" s="20">
        <v>0</v>
      </c>
    </row>
    <row r="400" spans="1:7" ht="15" customHeight="1" x14ac:dyDescent="0.75">
      <c r="A400" s="18" t="s">
        <v>70</v>
      </c>
      <c r="B400" s="19">
        <v>46062</v>
      </c>
      <c r="C400" s="18" t="s">
        <v>56</v>
      </c>
      <c r="D400" s="17">
        <v>666536</v>
      </c>
      <c r="E400" s="18" t="s">
        <v>43</v>
      </c>
      <c r="F400" s="20">
        <v>1</v>
      </c>
      <c r="G400" s="20">
        <v>0</v>
      </c>
    </row>
    <row r="401" spans="1:7" ht="15" customHeight="1" x14ac:dyDescent="0.75">
      <c r="A401" s="18" t="s">
        <v>70</v>
      </c>
      <c r="B401" s="19">
        <v>46062</v>
      </c>
      <c r="C401" s="18" t="s">
        <v>58</v>
      </c>
      <c r="D401" s="17">
        <v>666501</v>
      </c>
      <c r="E401" s="18" t="s">
        <v>5</v>
      </c>
      <c r="F401" s="20">
        <v>210</v>
      </c>
      <c r="G401" s="20">
        <v>246</v>
      </c>
    </row>
    <row r="402" spans="1:7" ht="15" customHeight="1" x14ac:dyDescent="0.75">
      <c r="A402" s="18" t="s">
        <v>70</v>
      </c>
      <c r="B402" s="19">
        <v>46062</v>
      </c>
      <c r="C402" s="18" t="s">
        <v>58</v>
      </c>
      <c r="D402" s="17">
        <v>666502</v>
      </c>
      <c r="E402" s="18" t="s">
        <v>7</v>
      </c>
      <c r="F402" s="20">
        <v>155</v>
      </c>
      <c r="G402" s="20">
        <v>72</v>
      </c>
    </row>
    <row r="403" spans="1:7" ht="15" customHeight="1" x14ac:dyDescent="0.75">
      <c r="A403" s="18" t="s">
        <v>70</v>
      </c>
      <c r="B403" s="19">
        <v>46062</v>
      </c>
      <c r="C403" s="18" t="s">
        <v>58</v>
      </c>
      <c r="D403" s="17">
        <v>666505</v>
      </c>
      <c r="E403" s="18" t="s">
        <v>9</v>
      </c>
      <c r="F403" s="20">
        <v>0</v>
      </c>
      <c r="G403" s="20">
        <v>0</v>
      </c>
    </row>
    <row r="404" spans="1:7" ht="15" customHeight="1" x14ac:dyDescent="0.75">
      <c r="A404" s="18" t="s">
        <v>70</v>
      </c>
      <c r="B404" s="19">
        <v>46062</v>
      </c>
      <c r="C404" s="18" t="s">
        <v>58</v>
      </c>
      <c r="D404" s="17">
        <v>666506</v>
      </c>
      <c r="E404" s="18" t="s">
        <v>11</v>
      </c>
      <c r="F404" s="20">
        <v>100</v>
      </c>
      <c r="G404" s="20">
        <v>23</v>
      </c>
    </row>
    <row r="405" spans="1:7" ht="15" customHeight="1" x14ac:dyDescent="0.75">
      <c r="A405" s="18" t="s">
        <v>70</v>
      </c>
      <c r="B405" s="19">
        <v>46062</v>
      </c>
      <c r="C405" s="18" t="s">
        <v>58</v>
      </c>
      <c r="D405" s="17">
        <v>666507</v>
      </c>
      <c r="E405" s="18" t="s">
        <v>13</v>
      </c>
      <c r="F405" s="20">
        <v>0</v>
      </c>
      <c r="G405" s="20">
        <v>0</v>
      </c>
    </row>
    <row r="406" spans="1:7" ht="15" customHeight="1" x14ac:dyDescent="0.75">
      <c r="A406" s="18" t="s">
        <v>70</v>
      </c>
      <c r="B406" s="19">
        <v>46062</v>
      </c>
      <c r="C406" s="18" t="s">
        <v>58</v>
      </c>
      <c r="D406" s="17">
        <v>666509</v>
      </c>
      <c r="E406" s="18" t="s">
        <v>15</v>
      </c>
      <c r="F406" s="20">
        <v>0</v>
      </c>
      <c r="G406" s="20">
        <v>0</v>
      </c>
    </row>
    <row r="407" spans="1:7" ht="15" customHeight="1" x14ac:dyDescent="0.75">
      <c r="A407" s="18" t="s">
        <v>70</v>
      </c>
      <c r="B407" s="19">
        <v>46062</v>
      </c>
      <c r="C407" s="18" t="s">
        <v>58</v>
      </c>
      <c r="D407" s="17">
        <v>666510</v>
      </c>
      <c r="E407" s="18" t="s">
        <v>17</v>
      </c>
      <c r="F407" s="20">
        <v>0</v>
      </c>
      <c r="G407" s="20">
        <v>0</v>
      </c>
    </row>
    <row r="408" spans="1:7" ht="15" customHeight="1" x14ac:dyDescent="0.75">
      <c r="A408" s="18" t="s">
        <v>70</v>
      </c>
      <c r="B408" s="19">
        <v>46062</v>
      </c>
      <c r="C408" s="18" t="s">
        <v>58</v>
      </c>
      <c r="D408" s="17">
        <v>666511</v>
      </c>
      <c r="E408" s="18" t="s">
        <v>19</v>
      </c>
      <c r="F408" s="20">
        <v>0</v>
      </c>
      <c r="G408" s="20">
        <v>0</v>
      </c>
    </row>
    <row r="409" spans="1:7" ht="15" customHeight="1" x14ac:dyDescent="0.75">
      <c r="A409" s="18" t="s">
        <v>70</v>
      </c>
      <c r="B409" s="19">
        <v>46062</v>
      </c>
      <c r="C409" s="18" t="s">
        <v>58</v>
      </c>
      <c r="D409" s="17">
        <v>666513</v>
      </c>
      <c r="E409" s="18" t="s">
        <v>21</v>
      </c>
      <c r="F409" s="20">
        <v>0</v>
      </c>
      <c r="G409" s="20">
        <v>0</v>
      </c>
    </row>
    <row r="410" spans="1:7" ht="15" customHeight="1" x14ac:dyDescent="0.75">
      <c r="A410" s="18" t="s">
        <v>70</v>
      </c>
      <c r="B410" s="19">
        <v>46062</v>
      </c>
      <c r="C410" s="18" t="s">
        <v>58</v>
      </c>
      <c r="D410" s="17">
        <v>666516</v>
      </c>
      <c r="E410" s="18" t="s">
        <v>23</v>
      </c>
      <c r="F410" s="20">
        <v>0</v>
      </c>
      <c r="G410" s="20">
        <v>0</v>
      </c>
    </row>
    <row r="411" spans="1:7" ht="15" customHeight="1" x14ac:dyDescent="0.75">
      <c r="A411" s="18" t="s">
        <v>70</v>
      </c>
      <c r="B411" s="19">
        <v>46062</v>
      </c>
      <c r="C411" s="18" t="s">
        <v>58</v>
      </c>
      <c r="D411" s="17">
        <v>666517</v>
      </c>
      <c r="E411" s="18" t="s">
        <v>25</v>
      </c>
      <c r="F411" s="20">
        <v>0</v>
      </c>
      <c r="G411" s="20">
        <v>0</v>
      </c>
    </row>
    <row r="412" spans="1:7" ht="15" customHeight="1" x14ac:dyDescent="0.75">
      <c r="A412" s="18" t="s">
        <v>70</v>
      </c>
      <c r="B412" s="19">
        <v>46062</v>
      </c>
      <c r="C412" s="18" t="s">
        <v>58</v>
      </c>
      <c r="D412" s="17">
        <v>666518</v>
      </c>
      <c r="E412" s="18" t="s">
        <v>27</v>
      </c>
      <c r="F412" s="20">
        <v>0</v>
      </c>
      <c r="G412" s="20">
        <v>0</v>
      </c>
    </row>
    <row r="413" spans="1:7" ht="15" customHeight="1" x14ac:dyDescent="0.75">
      <c r="A413" s="18" t="s">
        <v>70</v>
      </c>
      <c r="B413" s="19">
        <v>46062</v>
      </c>
      <c r="C413" s="18" t="s">
        <v>58</v>
      </c>
      <c r="D413" s="17">
        <v>666519</v>
      </c>
      <c r="E413" s="18" t="s">
        <v>29</v>
      </c>
      <c r="F413" s="20">
        <v>0</v>
      </c>
      <c r="G413" s="20">
        <v>0</v>
      </c>
    </row>
    <row r="414" spans="1:7" ht="15" customHeight="1" x14ac:dyDescent="0.75">
      <c r="A414" s="18" t="s">
        <v>70</v>
      </c>
      <c r="B414" s="19">
        <v>46062</v>
      </c>
      <c r="C414" s="18" t="s">
        <v>58</v>
      </c>
      <c r="D414" s="17">
        <v>666521</v>
      </c>
      <c r="E414" s="18" t="s">
        <v>31</v>
      </c>
      <c r="F414" s="20">
        <v>0</v>
      </c>
      <c r="G414" s="20">
        <v>0</v>
      </c>
    </row>
    <row r="415" spans="1:7" ht="15" customHeight="1" x14ac:dyDescent="0.75">
      <c r="A415" s="18" t="s">
        <v>70</v>
      </c>
      <c r="B415" s="19">
        <v>46062</v>
      </c>
      <c r="C415" s="18" t="s">
        <v>58</v>
      </c>
      <c r="D415" s="17">
        <v>666522</v>
      </c>
      <c r="E415" s="18" t="s">
        <v>33</v>
      </c>
      <c r="F415" s="20">
        <v>87.5</v>
      </c>
      <c r="G415" s="20">
        <v>175</v>
      </c>
    </row>
    <row r="416" spans="1:7" ht="15" customHeight="1" x14ac:dyDescent="0.75">
      <c r="A416" s="18" t="s">
        <v>70</v>
      </c>
      <c r="B416" s="19">
        <v>46062</v>
      </c>
      <c r="C416" s="18" t="s">
        <v>58</v>
      </c>
      <c r="D416" s="17">
        <v>666523</v>
      </c>
      <c r="E416" s="18" t="s">
        <v>35</v>
      </c>
      <c r="F416" s="20">
        <v>24</v>
      </c>
      <c r="G416" s="20">
        <v>48</v>
      </c>
    </row>
    <row r="417" spans="1:7" ht="15" customHeight="1" x14ac:dyDescent="0.75">
      <c r="A417" s="18" t="s">
        <v>70</v>
      </c>
      <c r="B417" s="19">
        <v>46062</v>
      </c>
      <c r="C417" s="18" t="s">
        <v>58</v>
      </c>
      <c r="D417" s="17">
        <v>666530</v>
      </c>
      <c r="E417" s="18" t="s">
        <v>37</v>
      </c>
      <c r="F417" s="20">
        <v>0</v>
      </c>
      <c r="G417" s="20">
        <v>0</v>
      </c>
    </row>
    <row r="418" spans="1:7" ht="15" customHeight="1" x14ac:dyDescent="0.75">
      <c r="A418" s="18" t="s">
        <v>70</v>
      </c>
      <c r="B418" s="19">
        <v>46062</v>
      </c>
      <c r="C418" s="18" t="s">
        <v>58</v>
      </c>
      <c r="D418" s="17">
        <v>666531</v>
      </c>
      <c r="E418" s="18" t="s">
        <v>39</v>
      </c>
      <c r="F418" s="20">
        <v>0</v>
      </c>
      <c r="G418" s="20">
        <v>0</v>
      </c>
    </row>
    <row r="419" spans="1:7" ht="15" customHeight="1" x14ac:dyDescent="0.75">
      <c r="A419" s="18" t="s">
        <v>70</v>
      </c>
      <c r="B419" s="19">
        <v>46062</v>
      </c>
      <c r="C419" s="18" t="s">
        <v>58</v>
      </c>
      <c r="D419" s="17">
        <v>666540</v>
      </c>
      <c r="E419" s="18" t="s">
        <v>40</v>
      </c>
      <c r="F419" s="20">
        <v>120</v>
      </c>
      <c r="G419" s="20">
        <v>34</v>
      </c>
    </row>
    <row r="420" spans="1:7" ht="15" customHeight="1" x14ac:dyDescent="0.75">
      <c r="A420" s="18" t="s">
        <v>70</v>
      </c>
      <c r="B420" s="19">
        <v>46062</v>
      </c>
      <c r="C420" s="18" t="s">
        <v>58</v>
      </c>
      <c r="D420" s="17">
        <v>666541</v>
      </c>
      <c r="E420" s="18" t="s">
        <v>41</v>
      </c>
      <c r="F420" s="20">
        <v>120</v>
      </c>
      <c r="G420" s="20">
        <v>95</v>
      </c>
    </row>
    <row r="421" spans="1:7" ht="15" customHeight="1" x14ac:dyDescent="0.75">
      <c r="A421" s="18" t="s">
        <v>70</v>
      </c>
      <c r="B421" s="19">
        <v>46062</v>
      </c>
      <c r="C421" s="18" t="s">
        <v>58</v>
      </c>
      <c r="D421" s="17">
        <v>666536</v>
      </c>
      <c r="E421" s="18" t="s">
        <v>43</v>
      </c>
      <c r="F421" s="20">
        <v>0</v>
      </c>
      <c r="G421" s="20">
        <v>0</v>
      </c>
    </row>
    <row r="422" spans="1:7" ht="15" customHeight="1" x14ac:dyDescent="0.75">
      <c r="A422" s="18" t="s">
        <v>70</v>
      </c>
      <c r="B422" s="19">
        <v>46062</v>
      </c>
      <c r="C422" s="18" t="s">
        <v>66</v>
      </c>
      <c r="D422" s="17">
        <v>666501</v>
      </c>
      <c r="E422" s="18" t="s">
        <v>5</v>
      </c>
      <c r="F422" s="20">
        <v>21</v>
      </c>
      <c r="G422" s="20">
        <v>42</v>
      </c>
    </row>
    <row r="423" spans="1:7" ht="15" customHeight="1" x14ac:dyDescent="0.75">
      <c r="A423" s="18" t="s">
        <v>70</v>
      </c>
      <c r="B423" s="19">
        <v>46062</v>
      </c>
      <c r="C423" s="18" t="s">
        <v>66</v>
      </c>
      <c r="D423" s="17">
        <v>666502</v>
      </c>
      <c r="E423" s="18" t="s">
        <v>7</v>
      </c>
      <c r="F423" s="20">
        <v>25</v>
      </c>
      <c r="G423" s="20">
        <v>0</v>
      </c>
    </row>
    <row r="424" spans="1:7" ht="15" customHeight="1" x14ac:dyDescent="0.75">
      <c r="A424" s="18" t="s">
        <v>70</v>
      </c>
      <c r="B424" s="19">
        <v>46062</v>
      </c>
      <c r="C424" s="18" t="s">
        <v>66</v>
      </c>
      <c r="D424" s="17">
        <v>666505</v>
      </c>
      <c r="E424" s="18" t="s">
        <v>9</v>
      </c>
      <c r="F424" s="20">
        <v>20.5</v>
      </c>
      <c r="G424" s="20">
        <v>41</v>
      </c>
    </row>
    <row r="425" spans="1:7" ht="15" customHeight="1" x14ac:dyDescent="0.75">
      <c r="A425" s="18" t="s">
        <v>70</v>
      </c>
      <c r="B425" s="19">
        <v>46062</v>
      </c>
      <c r="C425" s="18" t="s">
        <v>66</v>
      </c>
      <c r="D425" s="17">
        <v>666506</v>
      </c>
      <c r="E425" s="18" t="s">
        <v>11</v>
      </c>
      <c r="F425" s="20">
        <v>0</v>
      </c>
      <c r="G425" s="20">
        <v>0</v>
      </c>
    </row>
    <row r="426" spans="1:7" ht="15" customHeight="1" x14ac:dyDescent="0.75">
      <c r="A426" s="18" t="s">
        <v>70</v>
      </c>
      <c r="B426" s="19">
        <v>46062</v>
      </c>
      <c r="C426" s="18" t="s">
        <v>66</v>
      </c>
      <c r="D426" s="17">
        <v>666507</v>
      </c>
      <c r="E426" s="18" t="s">
        <v>13</v>
      </c>
      <c r="F426" s="20">
        <v>0</v>
      </c>
      <c r="G426" s="20">
        <v>0</v>
      </c>
    </row>
    <row r="427" spans="1:7" ht="15" customHeight="1" x14ac:dyDescent="0.75">
      <c r="A427" s="18" t="s">
        <v>70</v>
      </c>
      <c r="B427" s="19">
        <v>46062</v>
      </c>
      <c r="C427" s="18" t="s">
        <v>66</v>
      </c>
      <c r="D427" s="17">
        <v>666509</v>
      </c>
      <c r="E427" s="18" t="s">
        <v>15</v>
      </c>
      <c r="F427" s="20">
        <v>0</v>
      </c>
      <c r="G427" s="20">
        <v>0</v>
      </c>
    </row>
    <row r="428" spans="1:7" ht="15" customHeight="1" x14ac:dyDescent="0.75">
      <c r="A428" s="18" t="s">
        <v>70</v>
      </c>
      <c r="B428" s="19">
        <v>46062</v>
      </c>
      <c r="C428" s="18" t="s">
        <v>66</v>
      </c>
      <c r="D428" s="17">
        <v>666510</v>
      </c>
      <c r="E428" s="18" t="s">
        <v>17</v>
      </c>
      <c r="F428" s="20">
        <v>0</v>
      </c>
      <c r="G428" s="20">
        <v>0</v>
      </c>
    </row>
    <row r="429" spans="1:7" ht="15" customHeight="1" x14ac:dyDescent="0.75">
      <c r="A429" s="18" t="s">
        <v>70</v>
      </c>
      <c r="B429" s="19">
        <v>46062</v>
      </c>
      <c r="C429" s="18" t="s">
        <v>66</v>
      </c>
      <c r="D429" s="17">
        <v>666511</v>
      </c>
      <c r="E429" s="18" t="s">
        <v>19</v>
      </c>
      <c r="F429" s="20">
        <v>0</v>
      </c>
      <c r="G429" s="20">
        <v>0</v>
      </c>
    </row>
    <row r="430" spans="1:7" ht="15" customHeight="1" x14ac:dyDescent="0.75">
      <c r="A430" s="18" t="s">
        <v>70</v>
      </c>
      <c r="B430" s="19">
        <v>46062</v>
      </c>
      <c r="C430" s="18" t="s">
        <v>66</v>
      </c>
      <c r="D430" s="17">
        <v>666513</v>
      </c>
      <c r="E430" s="18" t="s">
        <v>21</v>
      </c>
      <c r="F430" s="20">
        <v>0</v>
      </c>
      <c r="G430" s="20">
        <v>0</v>
      </c>
    </row>
    <row r="431" spans="1:7" ht="15" customHeight="1" x14ac:dyDescent="0.75">
      <c r="A431" s="18" t="s">
        <v>70</v>
      </c>
      <c r="B431" s="19">
        <v>46062</v>
      </c>
      <c r="C431" s="18" t="s">
        <v>66</v>
      </c>
      <c r="D431" s="17">
        <v>666516</v>
      </c>
      <c r="E431" s="18" t="s">
        <v>23</v>
      </c>
      <c r="F431" s="20">
        <v>10</v>
      </c>
      <c r="G431" s="20">
        <v>14</v>
      </c>
    </row>
    <row r="432" spans="1:7" ht="15" customHeight="1" x14ac:dyDescent="0.75">
      <c r="A432" s="18" t="s">
        <v>70</v>
      </c>
      <c r="B432" s="19">
        <v>46062</v>
      </c>
      <c r="C432" s="18" t="s">
        <v>66</v>
      </c>
      <c r="D432" s="17">
        <v>666517</v>
      </c>
      <c r="E432" s="18" t="s">
        <v>25</v>
      </c>
      <c r="F432" s="20">
        <v>6.5</v>
      </c>
      <c r="G432" s="20">
        <v>13</v>
      </c>
    </row>
    <row r="433" spans="1:7" ht="15" customHeight="1" x14ac:dyDescent="0.75">
      <c r="A433" s="18" t="s">
        <v>70</v>
      </c>
      <c r="B433" s="19">
        <v>46062</v>
      </c>
      <c r="C433" s="18" t="s">
        <v>66</v>
      </c>
      <c r="D433" s="17">
        <v>666518</v>
      </c>
      <c r="E433" s="18" t="s">
        <v>27</v>
      </c>
      <c r="F433" s="20">
        <v>0</v>
      </c>
      <c r="G433" s="20">
        <v>0</v>
      </c>
    </row>
    <row r="434" spans="1:7" ht="15" customHeight="1" x14ac:dyDescent="0.75">
      <c r="A434" s="18" t="s">
        <v>70</v>
      </c>
      <c r="B434" s="19">
        <v>46062</v>
      </c>
      <c r="C434" s="18" t="s">
        <v>66</v>
      </c>
      <c r="D434" s="17">
        <v>666519</v>
      </c>
      <c r="E434" s="18" t="s">
        <v>29</v>
      </c>
      <c r="F434" s="20">
        <v>15.5</v>
      </c>
      <c r="G434" s="20">
        <v>31</v>
      </c>
    </row>
    <row r="435" spans="1:7" ht="15" customHeight="1" x14ac:dyDescent="0.75">
      <c r="A435" s="18" t="s">
        <v>70</v>
      </c>
      <c r="B435" s="19">
        <v>46062</v>
      </c>
      <c r="C435" s="18" t="s">
        <v>66</v>
      </c>
      <c r="D435" s="17">
        <v>666521</v>
      </c>
      <c r="E435" s="18" t="s">
        <v>31</v>
      </c>
      <c r="F435" s="20">
        <v>0</v>
      </c>
      <c r="G435" s="20">
        <v>0</v>
      </c>
    </row>
    <row r="436" spans="1:7" ht="15" customHeight="1" x14ac:dyDescent="0.75">
      <c r="A436" s="18" t="s">
        <v>70</v>
      </c>
      <c r="B436" s="19">
        <v>46062</v>
      </c>
      <c r="C436" s="18" t="s">
        <v>66</v>
      </c>
      <c r="D436" s="17">
        <v>666522</v>
      </c>
      <c r="E436" s="18" t="s">
        <v>33</v>
      </c>
      <c r="F436" s="20">
        <v>35</v>
      </c>
      <c r="G436" s="20">
        <v>45</v>
      </c>
    </row>
    <row r="437" spans="1:7" ht="15" customHeight="1" x14ac:dyDescent="0.75">
      <c r="A437" s="18" t="s">
        <v>70</v>
      </c>
      <c r="B437" s="19">
        <v>46062</v>
      </c>
      <c r="C437" s="18" t="s">
        <v>66</v>
      </c>
      <c r="D437" s="17">
        <v>666523</v>
      </c>
      <c r="E437" s="18" t="s">
        <v>35</v>
      </c>
      <c r="F437" s="20">
        <v>6</v>
      </c>
      <c r="G437" s="20">
        <v>12</v>
      </c>
    </row>
    <row r="438" spans="1:7" ht="15" customHeight="1" x14ac:dyDescent="0.75">
      <c r="A438" s="18" t="s">
        <v>70</v>
      </c>
      <c r="B438" s="19">
        <v>46062</v>
      </c>
      <c r="C438" s="18" t="s">
        <v>66</v>
      </c>
      <c r="D438" s="17">
        <v>666530</v>
      </c>
      <c r="E438" s="18" t="s">
        <v>37</v>
      </c>
      <c r="F438" s="20">
        <v>7.5</v>
      </c>
      <c r="G438" s="20">
        <v>15</v>
      </c>
    </row>
    <row r="439" spans="1:7" ht="15" customHeight="1" x14ac:dyDescent="0.75">
      <c r="A439" s="18" t="s">
        <v>70</v>
      </c>
      <c r="B439" s="19">
        <v>46062</v>
      </c>
      <c r="C439" s="18" t="s">
        <v>66</v>
      </c>
      <c r="D439" s="17">
        <v>666531</v>
      </c>
      <c r="E439" s="18" t="s">
        <v>39</v>
      </c>
      <c r="F439" s="20">
        <v>4</v>
      </c>
      <c r="G439" s="20">
        <v>8</v>
      </c>
    </row>
    <row r="440" spans="1:7" ht="15" customHeight="1" x14ac:dyDescent="0.75">
      <c r="A440" s="18" t="s">
        <v>70</v>
      </c>
      <c r="B440" s="19">
        <v>46062</v>
      </c>
      <c r="C440" s="18" t="s">
        <v>66</v>
      </c>
      <c r="D440" s="17">
        <v>666540</v>
      </c>
      <c r="E440" s="18" t="s">
        <v>40</v>
      </c>
      <c r="F440" s="20">
        <v>0</v>
      </c>
      <c r="G440" s="20">
        <v>0</v>
      </c>
    </row>
    <row r="441" spans="1:7" ht="15" customHeight="1" x14ac:dyDescent="0.75">
      <c r="A441" s="18" t="s">
        <v>70</v>
      </c>
      <c r="B441" s="19">
        <v>46062</v>
      </c>
      <c r="C441" s="18" t="s">
        <v>66</v>
      </c>
      <c r="D441" s="17">
        <v>666541</v>
      </c>
      <c r="E441" s="18" t="s">
        <v>41</v>
      </c>
      <c r="F441" s="20">
        <v>0</v>
      </c>
      <c r="G441" s="20">
        <v>0</v>
      </c>
    </row>
    <row r="442" spans="1:7" ht="15" customHeight="1" x14ac:dyDescent="0.75">
      <c r="A442" s="18" t="s">
        <v>70</v>
      </c>
      <c r="B442" s="19">
        <v>46062</v>
      </c>
      <c r="C442" s="18" t="s">
        <v>66</v>
      </c>
      <c r="D442" s="17">
        <v>666536</v>
      </c>
      <c r="E442" s="18" t="s">
        <v>43</v>
      </c>
      <c r="F442" s="20">
        <v>0</v>
      </c>
      <c r="G442" s="20">
        <v>0</v>
      </c>
    </row>
    <row r="443" spans="1:7" ht="15" customHeight="1" x14ac:dyDescent="0.75">
      <c r="A443" s="18" t="s">
        <v>71</v>
      </c>
      <c r="B443" s="19">
        <v>46069</v>
      </c>
      <c r="C443" s="18" t="s">
        <v>56</v>
      </c>
      <c r="D443" s="17">
        <v>666501</v>
      </c>
      <c r="E443" s="18" t="s">
        <v>5</v>
      </c>
      <c r="F443" s="20">
        <v>22.5</v>
      </c>
      <c r="G443" s="20">
        <v>6</v>
      </c>
    </row>
    <row r="444" spans="1:7" ht="15" customHeight="1" x14ac:dyDescent="0.75">
      <c r="A444" s="18" t="s">
        <v>71</v>
      </c>
      <c r="B444" s="19">
        <v>46069</v>
      </c>
      <c r="C444" s="18" t="s">
        <v>56</v>
      </c>
      <c r="D444" s="17">
        <v>666502</v>
      </c>
      <c r="E444" s="18" t="s">
        <v>7</v>
      </c>
      <c r="F444" s="20">
        <v>0</v>
      </c>
      <c r="G444" s="20">
        <v>0</v>
      </c>
    </row>
    <row r="445" spans="1:7" ht="15" customHeight="1" x14ac:dyDescent="0.75">
      <c r="A445" s="18" t="s">
        <v>71</v>
      </c>
      <c r="B445" s="19">
        <v>46069</v>
      </c>
      <c r="C445" s="18" t="s">
        <v>56</v>
      </c>
      <c r="D445" s="17">
        <v>666505</v>
      </c>
      <c r="E445" s="18" t="s">
        <v>9</v>
      </c>
      <c r="F445" s="20">
        <v>9.5</v>
      </c>
      <c r="G445" s="20">
        <v>0</v>
      </c>
    </row>
    <row r="446" spans="1:7" ht="15" customHeight="1" x14ac:dyDescent="0.75">
      <c r="A446" s="18" t="s">
        <v>71</v>
      </c>
      <c r="B446" s="19">
        <v>46069</v>
      </c>
      <c r="C446" s="18" t="s">
        <v>56</v>
      </c>
      <c r="D446" s="17">
        <v>666506</v>
      </c>
      <c r="E446" s="18" t="s">
        <v>11</v>
      </c>
      <c r="F446" s="20">
        <v>0</v>
      </c>
      <c r="G446" s="20">
        <v>0</v>
      </c>
    </row>
    <row r="447" spans="1:7" ht="15" customHeight="1" x14ac:dyDescent="0.75">
      <c r="A447" s="18" t="s">
        <v>71</v>
      </c>
      <c r="B447" s="19">
        <v>46069</v>
      </c>
      <c r="C447" s="18" t="s">
        <v>56</v>
      </c>
      <c r="D447" s="17">
        <v>666507</v>
      </c>
      <c r="E447" s="18" t="s">
        <v>13</v>
      </c>
      <c r="F447" s="20">
        <v>21</v>
      </c>
      <c r="G447" s="20">
        <v>13</v>
      </c>
    </row>
    <row r="448" spans="1:7" ht="15" customHeight="1" x14ac:dyDescent="0.75">
      <c r="A448" s="18" t="s">
        <v>71</v>
      </c>
      <c r="B448" s="19">
        <v>46069</v>
      </c>
      <c r="C448" s="18" t="s">
        <v>56</v>
      </c>
      <c r="D448" s="17">
        <v>666509</v>
      </c>
      <c r="E448" s="18" t="s">
        <v>15</v>
      </c>
      <c r="F448" s="20">
        <v>0</v>
      </c>
      <c r="G448" s="20">
        <v>0</v>
      </c>
    </row>
    <row r="449" spans="1:7" ht="15" customHeight="1" x14ac:dyDescent="0.75">
      <c r="A449" s="18" t="s">
        <v>71</v>
      </c>
      <c r="B449" s="19">
        <v>46069</v>
      </c>
      <c r="C449" s="18" t="s">
        <v>56</v>
      </c>
      <c r="D449" s="17">
        <v>666510</v>
      </c>
      <c r="E449" s="18" t="s">
        <v>17</v>
      </c>
      <c r="F449" s="20">
        <v>0</v>
      </c>
      <c r="G449" s="20">
        <v>0</v>
      </c>
    </row>
    <row r="450" spans="1:7" ht="15" customHeight="1" x14ac:dyDescent="0.75">
      <c r="A450" s="18" t="s">
        <v>71</v>
      </c>
      <c r="B450" s="19">
        <v>46069</v>
      </c>
      <c r="C450" s="18" t="s">
        <v>56</v>
      </c>
      <c r="D450" s="17">
        <v>666511</v>
      </c>
      <c r="E450" s="18" t="s">
        <v>19</v>
      </c>
      <c r="F450" s="20">
        <v>4</v>
      </c>
      <c r="G450" s="20">
        <v>8</v>
      </c>
    </row>
    <row r="451" spans="1:7" ht="15" customHeight="1" x14ac:dyDescent="0.75">
      <c r="A451" s="18" t="s">
        <v>71</v>
      </c>
      <c r="B451" s="19">
        <v>46069</v>
      </c>
      <c r="C451" s="18" t="s">
        <v>56</v>
      </c>
      <c r="D451" s="17">
        <v>666513</v>
      </c>
      <c r="E451" s="18" t="s">
        <v>21</v>
      </c>
      <c r="F451" s="20">
        <v>0</v>
      </c>
      <c r="G451" s="20">
        <v>0</v>
      </c>
    </row>
    <row r="452" spans="1:7" ht="15" customHeight="1" x14ac:dyDescent="0.75">
      <c r="A452" s="18" t="s">
        <v>71</v>
      </c>
      <c r="B452" s="19">
        <v>46069</v>
      </c>
      <c r="C452" s="18" t="s">
        <v>56</v>
      </c>
      <c r="D452" s="17">
        <v>666516</v>
      </c>
      <c r="E452" s="18" t="s">
        <v>23</v>
      </c>
      <c r="F452" s="20">
        <v>0</v>
      </c>
      <c r="G452" s="20">
        <v>0</v>
      </c>
    </row>
    <row r="453" spans="1:7" ht="15" customHeight="1" x14ac:dyDescent="0.75">
      <c r="A453" s="18" t="s">
        <v>71</v>
      </c>
      <c r="B453" s="19">
        <v>46069</v>
      </c>
      <c r="C453" s="18" t="s">
        <v>56</v>
      </c>
      <c r="D453" s="17">
        <v>666517</v>
      </c>
      <c r="E453" s="18" t="s">
        <v>25</v>
      </c>
      <c r="F453" s="20">
        <v>14.5</v>
      </c>
      <c r="G453" s="20">
        <v>0</v>
      </c>
    </row>
    <row r="454" spans="1:7" ht="15" customHeight="1" x14ac:dyDescent="0.75">
      <c r="A454" s="18" t="s">
        <v>71</v>
      </c>
      <c r="B454" s="19">
        <v>46069</v>
      </c>
      <c r="C454" s="18" t="s">
        <v>56</v>
      </c>
      <c r="D454" s="17">
        <v>666518</v>
      </c>
      <c r="E454" s="18" t="s">
        <v>27</v>
      </c>
      <c r="F454" s="20">
        <v>0</v>
      </c>
      <c r="G454" s="20">
        <v>0</v>
      </c>
    </row>
    <row r="455" spans="1:7" ht="15" customHeight="1" x14ac:dyDescent="0.75">
      <c r="A455" s="18" t="s">
        <v>71</v>
      </c>
      <c r="B455" s="19">
        <v>46069</v>
      </c>
      <c r="C455" s="18" t="s">
        <v>56</v>
      </c>
      <c r="D455" s="17">
        <v>666519</v>
      </c>
      <c r="E455" s="18" t="s">
        <v>29</v>
      </c>
      <c r="F455" s="20">
        <v>15.5</v>
      </c>
      <c r="G455" s="20">
        <v>0</v>
      </c>
    </row>
    <row r="456" spans="1:7" ht="15" customHeight="1" x14ac:dyDescent="0.75">
      <c r="A456" s="18" t="s">
        <v>71</v>
      </c>
      <c r="B456" s="19">
        <v>46069</v>
      </c>
      <c r="C456" s="18" t="s">
        <v>56</v>
      </c>
      <c r="D456" s="17">
        <v>666521</v>
      </c>
      <c r="E456" s="18" t="s">
        <v>31</v>
      </c>
      <c r="F456" s="20">
        <v>0</v>
      </c>
      <c r="G456" s="20">
        <v>0</v>
      </c>
    </row>
    <row r="457" spans="1:7" ht="15" customHeight="1" x14ac:dyDescent="0.75">
      <c r="A457" s="18" t="s">
        <v>71</v>
      </c>
      <c r="B457" s="19">
        <v>46069</v>
      </c>
      <c r="C457" s="18" t="s">
        <v>56</v>
      </c>
      <c r="D457" s="17">
        <v>666522</v>
      </c>
      <c r="E457" s="18" t="s">
        <v>33</v>
      </c>
      <c r="F457" s="20">
        <v>57.5</v>
      </c>
      <c r="G457" s="20">
        <v>0</v>
      </c>
    </row>
    <row r="458" spans="1:7" ht="15" customHeight="1" x14ac:dyDescent="0.75">
      <c r="A458" s="18" t="s">
        <v>71</v>
      </c>
      <c r="B458" s="19">
        <v>46069</v>
      </c>
      <c r="C458" s="18" t="s">
        <v>56</v>
      </c>
      <c r="D458" s="17">
        <v>666523</v>
      </c>
      <c r="E458" s="18" t="s">
        <v>35</v>
      </c>
      <c r="F458" s="20">
        <v>0</v>
      </c>
      <c r="G458" s="20">
        <v>0</v>
      </c>
    </row>
    <row r="459" spans="1:7" ht="15" customHeight="1" x14ac:dyDescent="0.75">
      <c r="A459" s="18" t="s">
        <v>71</v>
      </c>
      <c r="B459" s="19">
        <v>46069</v>
      </c>
      <c r="C459" s="18" t="s">
        <v>56</v>
      </c>
      <c r="D459" s="17">
        <v>666530</v>
      </c>
      <c r="E459" s="18" t="s">
        <v>37</v>
      </c>
      <c r="F459" s="20">
        <v>2.5</v>
      </c>
      <c r="G459" s="20">
        <v>0</v>
      </c>
    </row>
    <row r="460" spans="1:7" ht="15" customHeight="1" x14ac:dyDescent="0.75">
      <c r="A460" s="18" t="s">
        <v>71</v>
      </c>
      <c r="B460" s="19">
        <v>46069</v>
      </c>
      <c r="C460" s="18" t="s">
        <v>56</v>
      </c>
      <c r="D460" s="17">
        <v>666531</v>
      </c>
      <c r="E460" s="18" t="s">
        <v>39</v>
      </c>
      <c r="F460" s="20">
        <v>9</v>
      </c>
      <c r="G460" s="20">
        <v>0</v>
      </c>
    </row>
    <row r="461" spans="1:7" ht="15" customHeight="1" x14ac:dyDescent="0.75">
      <c r="A461" s="18" t="s">
        <v>71</v>
      </c>
      <c r="B461" s="19">
        <v>46069</v>
      </c>
      <c r="C461" s="18" t="s">
        <v>56</v>
      </c>
      <c r="D461" s="17">
        <v>666540</v>
      </c>
      <c r="E461" s="18" t="s">
        <v>40</v>
      </c>
      <c r="F461" s="20">
        <v>0</v>
      </c>
      <c r="G461" s="20">
        <v>0</v>
      </c>
    </row>
    <row r="462" spans="1:7" ht="15" customHeight="1" x14ac:dyDescent="0.75">
      <c r="A462" s="18" t="s">
        <v>71</v>
      </c>
      <c r="B462" s="19">
        <v>46069</v>
      </c>
      <c r="C462" s="18" t="s">
        <v>56</v>
      </c>
      <c r="D462" s="17">
        <v>666541</v>
      </c>
      <c r="E462" s="18" t="s">
        <v>41</v>
      </c>
      <c r="F462" s="20">
        <v>0</v>
      </c>
      <c r="G462" s="20">
        <v>0</v>
      </c>
    </row>
    <row r="463" spans="1:7" ht="15" customHeight="1" x14ac:dyDescent="0.75">
      <c r="A463" s="18" t="s">
        <v>71</v>
      </c>
      <c r="B463" s="19">
        <v>46069</v>
      </c>
      <c r="C463" s="18" t="s">
        <v>56</v>
      </c>
      <c r="D463" s="17">
        <v>666536</v>
      </c>
      <c r="E463" s="18" t="s">
        <v>43</v>
      </c>
      <c r="F463" s="20">
        <v>1</v>
      </c>
      <c r="G463" s="20">
        <v>2</v>
      </c>
    </row>
    <row r="464" spans="1:7" ht="15" customHeight="1" x14ac:dyDescent="0.75">
      <c r="A464" s="18" t="s">
        <v>71</v>
      </c>
      <c r="B464" s="19">
        <v>46069</v>
      </c>
      <c r="C464" s="18" t="s">
        <v>58</v>
      </c>
      <c r="D464" s="17">
        <v>666501</v>
      </c>
      <c r="E464" s="18" t="s">
        <v>5</v>
      </c>
      <c r="F464" s="20">
        <v>210</v>
      </c>
      <c r="G464" s="20">
        <v>174</v>
      </c>
    </row>
    <row r="465" spans="1:7" ht="15" customHeight="1" x14ac:dyDescent="0.75">
      <c r="A465" s="18" t="s">
        <v>71</v>
      </c>
      <c r="B465" s="19">
        <v>46069</v>
      </c>
      <c r="C465" s="18" t="s">
        <v>58</v>
      </c>
      <c r="D465" s="17">
        <v>666502</v>
      </c>
      <c r="E465" s="18" t="s">
        <v>7</v>
      </c>
      <c r="F465" s="20">
        <v>155</v>
      </c>
      <c r="G465" s="20">
        <v>135</v>
      </c>
    </row>
    <row r="466" spans="1:7" ht="15" customHeight="1" x14ac:dyDescent="0.75">
      <c r="A466" s="18" t="s">
        <v>71</v>
      </c>
      <c r="B466" s="19">
        <v>46069</v>
      </c>
      <c r="C466" s="18" t="s">
        <v>58</v>
      </c>
      <c r="D466" s="17">
        <v>666505</v>
      </c>
      <c r="E466" s="18" t="s">
        <v>9</v>
      </c>
      <c r="F466" s="20">
        <v>0</v>
      </c>
      <c r="G466" s="20">
        <v>0</v>
      </c>
    </row>
    <row r="467" spans="1:7" ht="15" customHeight="1" x14ac:dyDescent="0.75">
      <c r="A467" s="18" t="s">
        <v>71</v>
      </c>
      <c r="B467" s="19">
        <v>46069</v>
      </c>
      <c r="C467" s="18" t="s">
        <v>58</v>
      </c>
      <c r="D467" s="17">
        <v>666506</v>
      </c>
      <c r="E467" s="18" t="s">
        <v>11</v>
      </c>
      <c r="F467" s="20">
        <v>100</v>
      </c>
      <c r="G467" s="20">
        <v>42</v>
      </c>
    </row>
    <row r="468" spans="1:7" ht="15" customHeight="1" x14ac:dyDescent="0.75">
      <c r="A468" s="18" t="s">
        <v>71</v>
      </c>
      <c r="B468" s="19">
        <v>46069</v>
      </c>
      <c r="C468" s="18" t="s">
        <v>58</v>
      </c>
      <c r="D468" s="17">
        <v>666507</v>
      </c>
      <c r="E468" s="18" t="s">
        <v>13</v>
      </c>
      <c r="F468" s="20">
        <v>0</v>
      </c>
      <c r="G468" s="20">
        <v>0</v>
      </c>
    </row>
    <row r="469" spans="1:7" ht="15" customHeight="1" x14ac:dyDescent="0.75">
      <c r="A469" s="18" t="s">
        <v>71</v>
      </c>
      <c r="B469" s="19">
        <v>46069</v>
      </c>
      <c r="C469" s="18" t="s">
        <v>58</v>
      </c>
      <c r="D469" s="17">
        <v>666509</v>
      </c>
      <c r="E469" s="18" t="s">
        <v>15</v>
      </c>
      <c r="F469" s="20">
        <v>0</v>
      </c>
      <c r="G469" s="20">
        <v>0</v>
      </c>
    </row>
    <row r="470" spans="1:7" ht="15" customHeight="1" x14ac:dyDescent="0.75">
      <c r="A470" s="18" t="s">
        <v>71</v>
      </c>
      <c r="B470" s="19">
        <v>46069</v>
      </c>
      <c r="C470" s="18" t="s">
        <v>58</v>
      </c>
      <c r="D470" s="17">
        <v>666510</v>
      </c>
      <c r="E470" s="18" t="s">
        <v>17</v>
      </c>
      <c r="F470" s="20">
        <v>0</v>
      </c>
      <c r="G470" s="20">
        <v>0</v>
      </c>
    </row>
    <row r="471" spans="1:7" ht="15" customHeight="1" x14ac:dyDescent="0.75">
      <c r="A471" s="18" t="s">
        <v>71</v>
      </c>
      <c r="B471" s="19">
        <v>46069</v>
      </c>
      <c r="C471" s="18" t="s">
        <v>58</v>
      </c>
      <c r="D471" s="17">
        <v>666511</v>
      </c>
      <c r="E471" s="18" t="s">
        <v>19</v>
      </c>
      <c r="F471" s="20">
        <v>0</v>
      </c>
      <c r="G471" s="20">
        <v>0</v>
      </c>
    </row>
    <row r="472" spans="1:7" ht="15" customHeight="1" x14ac:dyDescent="0.75">
      <c r="A472" s="18" t="s">
        <v>71</v>
      </c>
      <c r="B472" s="19">
        <v>46069</v>
      </c>
      <c r="C472" s="18" t="s">
        <v>58</v>
      </c>
      <c r="D472" s="17">
        <v>666513</v>
      </c>
      <c r="E472" s="18" t="s">
        <v>21</v>
      </c>
      <c r="F472" s="20">
        <v>0</v>
      </c>
      <c r="G472" s="20">
        <v>0</v>
      </c>
    </row>
    <row r="473" spans="1:7" ht="15" customHeight="1" x14ac:dyDescent="0.75">
      <c r="A473" s="18" t="s">
        <v>71</v>
      </c>
      <c r="B473" s="19">
        <v>46069</v>
      </c>
      <c r="C473" s="18" t="s">
        <v>58</v>
      </c>
      <c r="D473" s="17">
        <v>666516</v>
      </c>
      <c r="E473" s="18" t="s">
        <v>23</v>
      </c>
      <c r="F473" s="20">
        <v>0</v>
      </c>
      <c r="G473" s="20">
        <v>0</v>
      </c>
    </row>
    <row r="474" spans="1:7" ht="15" customHeight="1" x14ac:dyDescent="0.75">
      <c r="A474" s="18" t="s">
        <v>71</v>
      </c>
      <c r="B474" s="19">
        <v>46069</v>
      </c>
      <c r="C474" s="18" t="s">
        <v>58</v>
      </c>
      <c r="D474" s="17">
        <v>666517</v>
      </c>
      <c r="E474" s="18" t="s">
        <v>25</v>
      </c>
      <c r="F474" s="20">
        <v>0</v>
      </c>
      <c r="G474" s="20">
        <v>0</v>
      </c>
    </row>
    <row r="475" spans="1:7" ht="15" customHeight="1" x14ac:dyDescent="0.75">
      <c r="A475" s="18" t="s">
        <v>71</v>
      </c>
      <c r="B475" s="19">
        <v>46069</v>
      </c>
      <c r="C475" s="18" t="s">
        <v>58</v>
      </c>
      <c r="D475" s="17">
        <v>666518</v>
      </c>
      <c r="E475" s="18" t="s">
        <v>27</v>
      </c>
      <c r="F475" s="20">
        <v>0</v>
      </c>
      <c r="G475" s="20">
        <v>0</v>
      </c>
    </row>
    <row r="476" spans="1:7" ht="15" customHeight="1" x14ac:dyDescent="0.75">
      <c r="A476" s="18" t="s">
        <v>71</v>
      </c>
      <c r="B476" s="19">
        <v>46069</v>
      </c>
      <c r="C476" s="18" t="s">
        <v>58</v>
      </c>
      <c r="D476" s="17">
        <v>666519</v>
      </c>
      <c r="E476" s="18" t="s">
        <v>29</v>
      </c>
      <c r="F476" s="20">
        <v>0</v>
      </c>
      <c r="G476" s="20">
        <v>0</v>
      </c>
    </row>
    <row r="477" spans="1:7" ht="15" customHeight="1" x14ac:dyDescent="0.75">
      <c r="A477" s="18" t="s">
        <v>71</v>
      </c>
      <c r="B477" s="19">
        <v>46069</v>
      </c>
      <c r="C477" s="18" t="s">
        <v>58</v>
      </c>
      <c r="D477" s="17">
        <v>666521</v>
      </c>
      <c r="E477" s="18" t="s">
        <v>31</v>
      </c>
      <c r="F477" s="20">
        <v>0</v>
      </c>
      <c r="G477" s="20">
        <v>0</v>
      </c>
    </row>
    <row r="478" spans="1:7" ht="15" customHeight="1" x14ac:dyDescent="0.75">
      <c r="A478" s="18" t="s">
        <v>71</v>
      </c>
      <c r="B478" s="19">
        <v>46069</v>
      </c>
      <c r="C478" s="18" t="s">
        <v>58</v>
      </c>
      <c r="D478" s="17">
        <v>666522</v>
      </c>
      <c r="E478" s="18" t="s">
        <v>33</v>
      </c>
      <c r="F478" s="20">
        <v>87.5</v>
      </c>
      <c r="G478" s="20">
        <v>0</v>
      </c>
    </row>
    <row r="479" spans="1:7" ht="15" customHeight="1" x14ac:dyDescent="0.75">
      <c r="A479" s="18" t="s">
        <v>71</v>
      </c>
      <c r="B479" s="19">
        <v>46069</v>
      </c>
      <c r="C479" s="18" t="s">
        <v>58</v>
      </c>
      <c r="D479" s="17">
        <v>666523</v>
      </c>
      <c r="E479" s="18" t="s">
        <v>35</v>
      </c>
      <c r="F479" s="20">
        <v>24</v>
      </c>
      <c r="G479" s="20">
        <v>0</v>
      </c>
    </row>
    <row r="480" spans="1:7" ht="15" customHeight="1" x14ac:dyDescent="0.75">
      <c r="A480" s="18" t="s">
        <v>71</v>
      </c>
      <c r="B480" s="19">
        <v>46069</v>
      </c>
      <c r="C480" s="18" t="s">
        <v>58</v>
      </c>
      <c r="D480" s="17">
        <v>666530</v>
      </c>
      <c r="E480" s="18" t="s">
        <v>37</v>
      </c>
      <c r="F480" s="20">
        <v>0</v>
      </c>
      <c r="G480" s="20">
        <v>0</v>
      </c>
    </row>
    <row r="481" spans="1:7" ht="15" customHeight="1" x14ac:dyDescent="0.75">
      <c r="A481" s="18" t="s">
        <v>71</v>
      </c>
      <c r="B481" s="19">
        <v>46069</v>
      </c>
      <c r="C481" s="18" t="s">
        <v>58</v>
      </c>
      <c r="D481" s="17">
        <v>666531</v>
      </c>
      <c r="E481" s="18" t="s">
        <v>39</v>
      </c>
      <c r="F481" s="20">
        <v>0</v>
      </c>
      <c r="G481" s="20">
        <v>0</v>
      </c>
    </row>
    <row r="482" spans="1:7" ht="15" customHeight="1" x14ac:dyDescent="0.75">
      <c r="A482" s="18" t="s">
        <v>71</v>
      </c>
      <c r="B482" s="19">
        <v>46069</v>
      </c>
      <c r="C482" s="18" t="s">
        <v>58</v>
      </c>
      <c r="D482" s="17">
        <v>666540</v>
      </c>
      <c r="E482" s="18" t="s">
        <v>40</v>
      </c>
      <c r="F482" s="20">
        <v>120</v>
      </c>
      <c r="G482" s="20">
        <v>1</v>
      </c>
    </row>
    <row r="483" spans="1:7" ht="15" customHeight="1" x14ac:dyDescent="0.75">
      <c r="A483" s="18" t="s">
        <v>71</v>
      </c>
      <c r="B483" s="19">
        <v>46069</v>
      </c>
      <c r="C483" s="18" t="s">
        <v>58</v>
      </c>
      <c r="D483" s="17">
        <v>666541</v>
      </c>
      <c r="E483" s="18" t="s">
        <v>41</v>
      </c>
      <c r="F483" s="20">
        <v>120</v>
      </c>
      <c r="G483" s="20">
        <v>173</v>
      </c>
    </row>
    <row r="484" spans="1:7" ht="15" customHeight="1" x14ac:dyDescent="0.75">
      <c r="A484" s="18" t="s">
        <v>71</v>
      </c>
      <c r="B484" s="19">
        <v>46069</v>
      </c>
      <c r="C484" s="18" t="s">
        <v>58</v>
      </c>
      <c r="D484" s="17">
        <v>666536</v>
      </c>
      <c r="E484" s="18" t="s">
        <v>43</v>
      </c>
      <c r="F484" s="20">
        <v>0</v>
      </c>
      <c r="G484" s="20">
        <v>0</v>
      </c>
    </row>
    <row r="485" spans="1:7" ht="15" customHeight="1" x14ac:dyDescent="0.75">
      <c r="A485" s="18" t="s">
        <v>71</v>
      </c>
      <c r="B485" s="19">
        <v>46069</v>
      </c>
      <c r="C485" s="18" t="s">
        <v>66</v>
      </c>
      <c r="D485" s="17">
        <v>666501</v>
      </c>
      <c r="E485" s="18" t="s">
        <v>5</v>
      </c>
      <c r="F485" s="20">
        <v>21</v>
      </c>
      <c r="G485" s="20">
        <v>0</v>
      </c>
    </row>
    <row r="486" spans="1:7" ht="15" customHeight="1" x14ac:dyDescent="0.75">
      <c r="A486" s="18" t="s">
        <v>71</v>
      </c>
      <c r="B486" s="19">
        <v>46069</v>
      </c>
      <c r="C486" s="18" t="s">
        <v>66</v>
      </c>
      <c r="D486" s="17">
        <v>666502</v>
      </c>
      <c r="E486" s="18" t="s">
        <v>7</v>
      </c>
      <c r="F486" s="20">
        <v>25</v>
      </c>
      <c r="G486" s="20">
        <v>50</v>
      </c>
    </row>
    <row r="487" spans="1:7" ht="15" customHeight="1" x14ac:dyDescent="0.75">
      <c r="A487" s="18" t="s">
        <v>71</v>
      </c>
      <c r="B487" s="19">
        <v>46069</v>
      </c>
      <c r="C487" s="18" t="s">
        <v>66</v>
      </c>
      <c r="D487" s="17">
        <v>666505</v>
      </c>
      <c r="E487" s="18" t="s">
        <v>9</v>
      </c>
      <c r="F487" s="20">
        <v>20.5</v>
      </c>
      <c r="G487" s="20">
        <v>0</v>
      </c>
    </row>
    <row r="488" spans="1:7" ht="15" customHeight="1" x14ac:dyDescent="0.75">
      <c r="A488" s="18" t="s">
        <v>71</v>
      </c>
      <c r="B488" s="19">
        <v>46069</v>
      </c>
      <c r="C488" s="18" t="s">
        <v>66</v>
      </c>
      <c r="D488" s="17">
        <v>666506</v>
      </c>
      <c r="E488" s="18" t="s">
        <v>11</v>
      </c>
      <c r="F488" s="20">
        <v>0</v>
      </c>
      <c r="G488" s="20">
        <v>0</v>
      </c>
    </row>
    <row r="489" spans="1:7" ht="15" customHeight="1" x14ac:dyDescent="0.75">
      <c r="A489" s="18" t="s">
        <v>71</v>
      </c>
      <c r="B489" s="19">
        <v>46069</v>
      </c>
      <c r="C489" s="18" t="s">
        <v>66</v>
      </c>
      <c r="D489" s="17">
        <v>666507</v>
      </c>
      <c r="E489" s="18" t="s">
        <v>13</v>
      </c>
      <c r="F489" s="20">
        <v>0</v>
      </c>
      <c r="G489" s="20">
        <v>0</v>
      </c>
    </row>
    <row r="490" spans="1:7" ht="15" customHeight="1" x14ac:dyDescent="0.75">
      <c r="A490" s="18" t="s">
        <v>71</v>
      </c>
      <c r="B490" s="19">
        <v>46069</v>
      </c>
      <c r="C490" s="18" t="s">
        <v>66</v>
      </c>
      <c r="D490" s="17">
        <v>666509</v>
      </c>
      <c r="E490" s="18" t="s">
        <v>15</v>
      </c>
      <c r="F490" s="20">
        <v>0</v>
      </c>
      <c r="G490" s="20">
        <v>0</v>
      </c>
    </row>
    <row r="491" spans="1:7" ht="15" customHeight="1" x14ac:dyDescent="0.75">
      <c r="A491" s="18" t="s">
        <v>71</v>
      </c>
      <c r="B491" s="19">
        <v>46069</v>
      </c>
      <c r="C491" s="18" t="s">
        <v>66</v>
      </c>
      <c r="D491" s="17">
        <v>666510</v>
      </c>
      <c r="E491" s="18" t="s">
        <v>17</v>
      </c>
      <c r="F491" s="20">
        <v>0</v>
      </c>
      <c r="G491" s="20">
        <v>0</v>
      </c>
    </row>
    <row r="492" spans="1:7" ht="15" customHeight="1" x14ac:dyDescent="0.75">
      <c r="A492" s="18" t="s">
        <v>71</v>
      </c>
      <c r="B492" s="19">
        <v>46069</v>
      </c>
      <c r="C492" s="18" t="s">
        <v>66</v>
      </c>
      <c r="D492" s="17">
        <v>666511</v>
      </c>
      <c r="E492" s="18" t="s">
        <v>19</v>
      </c>
      <c r="F492" s="20">
        <v>0</v>
      </c>
      <c r="G492" s="20">
        <v>0</v>
      </c>
    </row>
    <row r="493" spans="1:7" ht="15" customHeight="1" x14ac:dyDescent="0.75">
      <c r="A493" s="18" t="s">
        <v>71</v>
      </c>
      <c r="B493" s="19">
        <v>46069</v>
      </c>
      <c r="C493" s="18" t="s">
        <v>66</v>
      </c>
      <c r="D493" s="17">
        <v>666513</v>
      </c>
      <c r="E493" s="18" t="s">
        <v>21</v>
      </c>
      <c r="F493" s="20">
        <v>0</v>
      </c>
      <c r="G493" s="20">
        <v>0</v>
      </c>
    </row>
    <row r="494" spans="1:7" ht="15" customHeight="1" x14ac:dyDescent="0.75">
      <c r="A494" s="18" t="s">
        <v>71</v>
      </c>
      <c r="B494" s="19">
        <v>46069</v>
      </c>
      <c r="C494" s="18" t="s">
        <v>66</v>
      </c>
      <c r="D494" s="17">
        <v>666516</v>
      </c>
      <c r="E494" s="18" t="s">
        <v>23</v>
      </c>
      <c r="F494" s="20">
        <v>10</v>
      </c>
      <c r="G494" s="20">
        <v>6</v>
      </c>
    </row>
    <row r="495" spans="1:7" ht="15" customHeight="1" x14ac:dyDescent="0.75">
      <c r="A495" s="18" t="s">
        <v>71</v>
      </c>
      <c r="B495" s="19">
        <v>46069</v>
      </c>
      <c r="C495" s="18" t="s">
        <v>66</v>
      </c>
      <c r="D495" s="17">
        <v>666517</v>
      </c>
      <c r="E495" s="18" t="s">
        <v>25</v>
      </c>
      <c r="F495" s="20">
        <v>6.5</v>
      </c>
      <c r="G495" s="20">
        <v>0</v>
      </c>
    </row>
    <row r="496" spans="1:7" ht="15" customHeight="1" x14ac:dyDescent="0.75">
      <c r="A496" s="18" t="s">
        <v>71</v>
      </c>
      <c r="B496" s="19">
        <v>46069</v>
      </c>
      <c r="C496" s="18" t="s">
        <v>66</v>
      </c>
      <c r="D496" s="17">
        <v>666518</v>
      </c>
      <c r="E496" s="18" t="s">
        <v>27</v>
      </c>
      <c r="F496" s="20">
        <v>0</v>
      </c>
      <c r="G496" s="20">
        <v>0</v>
      </c>
    </row>
    <row r="497" spans="1:7" ht="15" customHeight="1" x14ac:dyDescent="0.75">
      <c r="A497" s="18" t="s">
        <v>71</v>
      </c>
      <c r="B497" s="19">
        <v>46069</v>
      </c>
      <c r="C497" s="18" t="s">
        <v>66</v>
      </c>
      <c r="D497" s="17">
        <v>666519</v>
      </c>
      <c r="E497" s="18" t="s">
        <v>29</v>
      </c>
      <c r="F497" s="20">
        <v>15.5</v>
      </c>
      <c r="G497" s="20">
        <v>0</v>
      </c>
    </row>
    <row r="498" spans="1:7" ht="15" customHeight="1" x14ac:dyDescent="0.75">
      <c r="A498" s="18" t="s">
        <v>71</v>
      </c>
      <c r="B498" s="19">
        <v>46069</v>
      </c>
      <c r="C498" s="18" t="s">
        <v>66</v>
      </c>
      <c r="D498" s="17">
        <v>666521</v>
      </c>
      <c r="E498" s="18" t="s">
        <v>31</v>
      </c>
      <c r="F498" s="20">
        <v>0</v>
      </c>
      <c r="G498" s="20">
        <v>0</v>
      </c>
    </row>
    <row r="499" spans="1:7" ht="15" customHeight="1" x14ac:dyDescent="0.75">
      <c r="A499" s="18" t="s">
        <v>71</v>
      </c>
      <c r="B499" s="19">
        <v>46069</v>
      </c>
      <c r="C499" s="18" t="s">
        <v>66</v>
      </c>
      <c r="D499" s="17">
        <v>666522</v>
      </c>
      <c r="E499" s="18" t="s">
        <v>33</v>
      </c>
      <c r="F499" s="20">
        <v>35</v>
      </c>
      <c r="G499" s="20">
        <v>25</v>
      </c>
    </row>
    <row r="500" spans="1:7" ht="15" customHeight="1" x14ac:dyDescent="0.75">
      <c r="A500" s="18" t="s">
        <v>71</v>
      </c>
      <c r="B500" s="19">
        <v>46069</v>
      </c>
      <c r="C500" s="18" t="s">
        <v>66</v>
      </c>
      <c r="D500" s="17">
        <v>666523</v>
      </c>
      <c r="E500" s="18" t="s">
        <v>35</v>
      </c>
      <c r="F500" s="20">
        <v>6</v>
      </c>
      <c r="G500" s="20">
        <v>0</v>
      </c>
    </row>
    <row r="501" spans="1:7" ht="15" customHeight="1" x14ac:dyDescent="0.75">
      <c r="A501" s="18" t="s">
        <v>71</v>
      </c>
      <c r="B501" s="19">
        <v>46069</v>
      </c>
      <c r="C501" s="18" t="s">
        <v>66</v>
      </c>
      <c r="D501" s="17">
        <v>666530</v>
      </c>
      <c r="E501" s="18" t="s">
        <v>37</v>
      </c>
      <c r="F501" s="20">
        <v>7.5</v>
      </c>
      <c r="G501" s="20">
        <v>0</v>
      </c>
    </row>
    <row r="502" spans="1:7" ht="15" customHeight="1" x14ac:dyDescent="0.75">
      <c r="A502" s="18" t="s">
        <v>71</v>
      </c>
      <c r="B502" s="19">
        <v>46069</v>
      </c>
      <c r="C502" s="18" t="s">
        <v>66</v>
      </c>
      <c r="D502" s="17">
        <v>666531</v>
      </c>
      <c r="E502" s="18" t="s">
        <v>39</v>
      </c>
      <c r="F502" s="20">
        <v>4</v>
      </c>
      <c r="G502" s="20">
        <v>0</v>
      </c>
    </row>
    <row r="503" spans="1:7" ht="15" customHeight="1" x14ac:dyDescent="0.75">
      <c r="A503" s="18" t="s">
        <v>71</v>
      </c>
      <c r="B503" s="19">
        <v>46069</v>
      </c>
      <c r="C503" s="18" t="s">
        <v>66</v>
      </c>
      <c r="D503" s="17">
        <v>666540</v>
      </c>
      <c r="E503" s="18" t="s">
        <v>40</v>
      </c>
      <c r="F503" s="20">
        <v>0</v>
      </c>
      <c r="G503" s="20">
        <v>0</v>
      </c>
    </row>
    <row r="504" spans="1:7" ht="15" customHeight="1" x14ac:dyDescent="0.75">
      <c r="A504" s="18" t="s">
        <v>71</v>
      </c>
      <c r="B504" s="19">
        <v>46069</v>
      </c>
      <c r="C504" s="18" t="s">
        <v>66</v>
      </c>
      <c r="D504" s="17">
        <v>666541</v>
      </c>
      <c r="E504" s="18" t="s">
        <v>41</v>
      </c>
      <c r="F504" s="20">
        <v>0</v>
      </c>
      <c r="G504" s="20">
        <v>0</v>
      </c>
    </row>
    <row r="505" spans="1:7" ht="15" customHeight="1" x14ac:dyDescent="0.75">
      <c r="A505" s="18" t="s">
        <v>71</v>
      </c>
      <c r="B505" s="19">
        <v>46069</v>
      </c>
      <c r="C505" s="18" t="s">
        <v>66</v>
      </c>
      <c r="D505" s="17">
        <v>666536</v>
      </c>
      <c r="E505" s="18" t="s">
        <v>43</v>
      </c>
      <c r="F505" s="20">
        <v>0</v>
      </c>
      <c r="G505" s="20">
        <v>0</v>
      </c>
    </row>
    <row r="506" spans="1:7" ht="15" customHeight="1" x14ac:dyDescent="0.75">
      <c r="A506" s="18" t="s">
        <v>72</v>
      </c>
      <c r="B506" s="19">
        <v>46076</v>
      </c>
      <c r="C506" s="18" t="s">
        <v>56</v>
      </c>
      <c r="D506" s="17">
        <v>666501</v>
      </c>
      <c r="E506" s="18" t="s">
        <v>5</v>
      </c>
      <c r="F506" s="20">
        <v>22.5</v>
      </c>
      <c r="G506" s="20">
        <v>45</v>
      </c>
    </row>
    <row r="507" spans="1:7" ht="15" customHeight="1" x14ac:dyDescent="0.75">
      <c r="A507" s="18" t="s">
        <v>72</v>
      </c>
      <c r="B507" s="19">
        <v>46076</v>
      </c>
      <c r="C507" s="18" t="s">
        <v>56</v>
      </c>
      <c r="D507" s="17">
        <v>666502</v>
      </c>
      <c r="E507" s="18" t="s">
        <v>7</v>
      </c>
      <c r="F507" s="20">
        <v>0</v>
      </c>
      <c r="G507" s="20">
        <v>0</v>
      </c>
    </row>
    <row r="508" spans="1:7" ht="15" customHeight="1" x14ac:dyDescent="0.75">
      <c r="A508" s="18" t="s">
        <v>72</v>
      </c>
      <c r="B508" s="19">
        <v>46076</v>
      </c>
      <c r="C508" s="18" t="s">
        <v>56</v>
      </c>
      <c r="D508" s="17">
        <v>666505</v>
      </c>
      <c r="E508" s="18" t="s">
        <v>9</v>
      </c>
      <c r="F508" s="20">
        <v>10</v>
      </c>
      <c r="G508" s="20">
        <v>20</v>
      </c>
    </row>
    <row r="509" spans="1:7" ht="15" customHeight="1" x14ac:dyDescent="0.75">
      <c r="A509" s="18" t="s">
        <v>72</v>
      </c>
      <c r="B509" s="19">
        <v>46076</v>
      </c>
      <c r="C509" s="18" t="s">
        <v>56</v>
      </c>
      <c r="D509" s="17">
        <v>666506</v>
      </c>
      <c r="E509" s="18" t="s">
        <v>11</v>
      </c>
      <c r="F509" s="20">
        <v>0</v>
      </c>
      <c r="G509" s="20">
        <v>0</v>
      </c>
    </row>
    <row r="510" spans="1:7" ht="15" customHeight="1" x14ac:dyDescent="0.75">
      <c r="A510" s="18" t="s">
        <v>72</v>
      </c>
      <c r="B510" s="19">
        <v>46076</v>
      </c>
      <c r="C510" s="18" t="s">
        <v>56</v>
      </c>
      <c r="D510" s="17">
        <v>666507</v>
      </c>
      <c r="E510" s="18" t="s">
        <v>13</v>
      </c>
      <c r="F510" s="20">
        <v>21</v>
      </c>
      <c r="G510" s="20">
        <v>16</v>
      </c>
    </row>
    <row r="511" spans="1:7" ht="15" customHeight="1" x14ac:dyDescent="0.75">
      <c r="A511" s="18" t="s">
        <v>72</v>
      </c>
      <c r="B511" s="19">
        <v>46076</v>
      </c>
      <c r="C511" s="18" t="s">
        <v>56</v>
      </c>
      <c r="D511" s="17">
        <v>666509</v>
      </c>
      <c r="E511" s="18" t="s">
        <v>15</v>
      </c>
      <c r="F511" s="20">
        <v>52</v>
      </c>
      <c r="G511" s="20">
        <v>95</v>
      </c>
    </row>
    <row r="512" spans="1:7" ht="15" customHeight="1" x14ac:dyDescent="0.75">
      <c r="A512" s="18" t="s">
        <v>72</v>
      </c>
      <c r="B512" s="19">
        <v>46076</v>
      </c>
      <c r="C512" s="18" t="s">
        <v>56</v>
      </c>
      <c r="D512" s="17">
        <v>666510</v>
      </c>
      <c r="E512" s="18" t="s">
        <v>17</v>
      </c>
      <c r="F512" s="20">
        <v>0</v>
      </c>
      <c r="G512" s="20">
        <v>0</v>
      </c>
    </row>
    <row r="513" spans="1:7" ht="15" customHeight="1" x14ac:dyDescent="0.75">
      <c r="A513" s="18" t="s">
        <v>72</v>
      </c>
      <c r="B513" s="19">
        <v>46076</v>
      </c>
      <c r="C513" s="18" t="s">
        <v>56</v>
      </c>
      <c r="D513" s="17">
        <v>666511</v>
      </c>
      <c r="E513" s="18" t="s">
        <v>19</v>
      </c>
      <c r="F513" s="20">
        <v>4</v>
      </c>
      <c r="G513" s="20">
        <v>4</v>
      </c>
    </row>
    <row r="514" spans="1:7" ht="15" customHeight="1" x14ac:dyDescent="0.75">
      <c r="A514" s="18" t="s">
        <v>72</v>
      </c>
      <c r="B514" s="19">
        <v>46076</v>
      </c>
      <c r="C514" s="18" t="s">
        <v>56</v>
      </c>
      <c r="D514" s="17">
        <v>666513</v>
      </c>
      <c r="E514" s="18" t="s">
        <v>21</v>
      </c>
      <c r="F514" s="20">
        <v>0</v>
      </c>
      <c r="G514" s="20">
        <v>0</v>
      </c>
    </row>
    <row r="515" spans="1:7" ht="15" customHeight="1" x14ac:dyDescent="0.75">
      <c r="A515" s="18" t="s">
        <v>72</v>
      </c>
      <c r="B515" s="19">
        <v>46076</v>
      </c>
      <c r="C515" s="18" t="s">
        <v>56</v>
      </c>
      <c r="D515" s="17">
        <v>666516</v>
      </c>
      <c r="E515" s="18" t="s">
        <v>23</v>
      </c>
      <c r="F515" s="20">
        <v>17</v>
      </c>
      <c r="G515" s="20">
        <v>34</v>
      </c>
    </row>
    <row r="516" spans="1:7" ht="15" customHeight="1" x14ac:dyDescent="0.75">
      <c r="A516" s="18" t="s">
        <v>72</v>
      </c>
      <c r="B516" s="19">
        <v>46076</v>
      </c>
      <c r="C516" s="18" t="s">
        <v>56</v>
      </c>
      <c r="D516" s="17">
        <v>666517</v>
      </c>
      <c r="E516" s="18" t="s">
        <v>25</v>
      </c>
      <c r="F516" s="20">
        <v>23</v>
      </c>
      <c r="G516" s="20">
        <v>46</v>
      </c>
    </row>
    <row r="517" spans="1:7" ht="15" customHeight="1" x14ac:dyDescent="0.75">
      <c r="A517" s="18" t="s">
        <v>72</v>
      </c>
      <c r="B517" s="19">
        <v>46076</v>
      </c>
      <c r="C517" s="18" t="s">
        <v>56</v>
      </c>
      <c r="D517" s="17">
        <v>666518</v>
      </c>
      <c r="E517" s="18" t="s">
        <v>27</v>
      </c>
      <c r="F517" s="20">
        <v>0</v>
      </c>
      <c r="G517" s="20">
        <v>0</v>
      </c>
    </row>
    <row r="518" spans="1:7" ht="15" customHeight="1" x14ac:dyDescent="0.75">
      <c r="A518" s="18" t="s">
        <v>72</v>
      </c>
      <c r="B518" s="19">
        <v>46076</v>
      </c>
      <c r="C518" s="18" t="s">
        <v>56</v>
      </c>
      <c r="D518" s="17">
        <v>666519</v>
      </c>
      <c r="E518" s="18" t="s">
        <v>29</v>
      </c>
      <c r="F518" s="20">
        <v>16.5</v>
      </c>
      <c r="G518" s="20">
        <v>33</v>
      </c>
    </row>
    <row r="519" spans="1:7" ht="15" customHeight="1" x14ac:dyDescent="0.75">
      <c r="A519" s="18" t="s">
        <v>72</v>
      </c>
      <c r="B519" s="19">
        <v>46076</v>
      </c>
      <c r="C519" s="18" t="s">
        <v>56</v>
      </c>
      <c r="D519" s="17">
        <v>666521</v>
      </c>
      <c r="E519" s="18" t="s">
        <v>31</v>
      </c>
      <c r="F519" s="20">
        <v>28</v>
      </c>
      <c r="G519" s="20">
        <v>9</v>
      </c>
    </row>
    <row r="520" spans="1:7" ht="15" customHeight="1" x14ac:dyDescent="0.75">
      <c r="A520" s="18" t="s">
        <v>72</v>
      </c>
      <c r="B520" s="19">
        <v>46076</v>
      </c>
      <c r="C520" s="18" t="s">
        <v>56</v>
      </c>
      <c r="D520" s="17">
        <v>666522</v>
      </c>
      <c r="E520" s="18" t="s">
        <v>33</v>
      </c>
      <c r="F520" s="20">
        <v>32.5</v>
      </c>
      <c r="G520" s="20">
        <v>65</v>
      </c>
    </row>
    <row r="521" spans="1:7" ht="15" customHeight="1" x14ac:dyDescent="0.75">
      <c r="A521" s="18" t="s">
        <v>72</v>
      </c>
      <c r="B521" s="19">
        <v>46076</v>
      </c>
      <c r="C521" s="18" t="s">
        <v>56</v>
      </c>
      <c r="D521" s="17">
        <v>666523</v>
      </c>
      <c r="E521" s="18" t="s">
        <v>35</v>
      </c>
      <c r="F521" s="20">
        <v>0</v>
      </c>
      <c r="G521" s="20">
        <v>0</v>
      </c>
    </row>
    <row r="522" spans="1:7" ht="15" customHeight="1" x14ac:dyDescent="0.75">
      <c r="A522" s="18" t="s">
        <v>72</v>
      </c>
      <c r="B522" s="19">
        <v>46076</v>
      </c>
      <c r="C522" s="18" t="s">
        <v>56</v>
      </c>
      <c r="D522" s="17">
        <v>666530</v>
      </c>
      <c r="E522" s="18" t="s">
        <v>37</v>
      </c>
      <c r="F522" s="20">
        <v>2.5</v>
      </c>
      <c r="G522" s="20">
        <v>5</v>
      </c>
    </row>
    <row r="523" spans="1:7" ht="15" customHeight="1" x14ac:dyDescent="0.75">
      <c r="A523" s="18" t="s">
        <v>72</v>
      </c>
      <c r="B523" s="19">
        <v>46076</v>
      </c>
      <c r="C523" s="18" t="s">
        <v>56</v>
      </c>
      <c r="D523" s="17">
        <v>666531</v>
      </c>
      <c r="E523" s="18" t="s">
        <v>39</v>
      </c>
      <c r="F523" s="20">
        <v>9</v>
      </c>
      <c r="G523" s="20">
        <v>18</v>
      </c>
    </row>
    <row r="524" spans="1:7" ht="15" customHeight="1" x14ac:dyDescent="0.75">
      <c r="A524" s="18" t="s">
        <v>72</v>
      </c>
      <c r="B524" s="19">
        <v>46076</v>
      </c>
      <c r="C524" s="18" t="s">
        <v>56</v>
      </c>
      <c r="D524" s="17">
        <v>666540</v>
      </c>
      <c r="E524" s="18" t="s">
        <v>40</v>
      </c>
      <c r="F524" s="20">
        <v>0</v>
      </c>
      <c r="G524" s="20">
        <v>0</v>
      </c>
    </row>
    <row r="525" spans="1:7" ht="15" customHeight="1" x14ac:dyDescent="0.75">
      <c r="A525" s="18" t="s">
        <v>72</v>
      </c>
      <c r="B525" s="19">
        <v>46076</v>
      </c>
      <c r="C525" s="18" t="s">
        <v>56</v>
      </c>
      <c r="D525" s="17">
        <v>666541</v>
      </c>
      <c r="E525" s="18" t="s">
        <v>41</v>
      </c>
      <c r="F525" s="20">
        <v>0</v>
      </c>
      <c r="G525" s="20">
        <v>0</v>
      </c>
    </row>
    <row r="526" spans="1:7" ht="15" customHeight="1" x14ac:dyDescent="0.75">
      <c r="A526" s="18" t="s">
        <v>72</v>
      </c>
      <c r="B526" s="19">
        <v>46076</v>
      </c>
      <c r="C526" s="18" t="s">
        <v>56</v>
      </c>
      <c r="D526" s="17">
        <v>666536</v>
      </c>
      <c r="E526" s="18" t="s">
        <v>43</v>
      </c>
      <c r="F526" s="20">
        <v>5</v>
      </c>
      <c r="G526" s="20">
        <v>8</v>
      </c>
    </row>
    <row r="527" spans="1:7" ht="15" customHeight="1" x14ac:dyDescent="0.75">
      <c r="A527" s="18" t="s">
        <v>72</v>
      </c>
      <c r="B527" s="19">
        <v>46076</v>
      </c>
      <c r="C527" s="18" t="s">
        <v>58</v>
      </c>
      <c r="D527" s="17">
        <v>666501</v>
      </c>
      <c r="E527" s="18" t="s">
        <v>5</v>
      </c>
      <c r="F527" s="20">
        <v>210</v>
      </c>
      <c r="G527" s="20">
        <v>219</v>
      </c>
    </row>
    <row r="528" spans="1:7" ht="15" customHeight="1" x14ac:dyDescent="0.75">
      <c r="A528" s="18" t="s">
        <v>72</v>
      </c>
      <c r="B528" s="19">
        <v>46076</v>
      </c>
      <c r="C528" s="18" t="s">
        <v>58</v>
      </c>
      <c r="D528" s="17">
        <v>666502</v>
      </c>
      <c r="E528" s="18" t="s">
        <v>7</v>
      </c>
      <c r="F528" s="20">
        <v>155</v>
      </c>
      <c r="G528" s="20">
        <v>161</v>
      </c>
    </row>
    <row r="529" spans="1:7" ht="15" customHeight="1" x14ac:dyDescent="0.75">
      <c r="A529" s="18" t="s">
        <v>72</v>
      </c>
      <c r="B529" s="19">
        <v>46076</v>
      </c>
      <c r="C529" s="18" t="s">
        <v>58</v>
      </c>
      <c r="D529" s="17">
        <v>666505</v>
      </c>
      <c r="E529" s="18" t="s">
        <v>9</v>
      </c>
      <c r="F529" s="20">
        <v>0</v>
      </c>
      <c r="G529" s="20">
        <v>0</v>
      </c>
    </row>
    <row r="530" spans="1:7" ht="15" customHeight="1" x14ac:dyDescent="0.75">
      <c r="A530" s="18" t="s">
        <v>72</v>
      </c>
      <c r="B530" s="19">
        <v>46076</v>
      </c>
      <c r="C530" s="18" t="s">
        <v>58</v>
      </c>
      <c r="D530" s="17">
        <v>666506</v>
      </c>
      <c r="E530" s="18" t="s">
        <v>11</v>
      </c>
      <c r="F530" s="20">
        <v>100</v>
      </c>
      <c r="G530" s="20">
        <v>47</v>
      </c>
    </row>
    <row r="531" spans="1:7" ht="15" customHeight="1" x14ac:dyDescent="0.75">
      <c r="A531" s="18" t="s">
        <v>72</v>
      </c>
      <c r="B531" s="19">
        <v>46076</v>
      </c>
      <c r="C531" s="18" t="s">
        <v>58</v>
      </c>
      <c r="D531" s="17">
        <v>666507</v>
      </c>
      <c r="E531" s="18" t="s">
        <v>13</v>
      </c>
      <c r="F531" s="20">
        <v>0</v>
      </c>
      <c r="G531" s="20">
        <v>0</v>
      </c>
    </row>
    <row r="532" spans="1:7" ht="15" customHeight="1" x14ac:dyDescent="0.75">
      <c r="A532" s="18" t="s">
        <v>72</v>
      </c>
      <c r="B532" s="19">
        <v>46076</v>
      </c>
      <c r="C532" s="18" t="s">
        <v>58</v>
      </c>
      <c r="D532" s="17">
        <v>666509</v>
      </c>
      <c r="E532" s="18" t="s">
        <v>15</v>
      </c>
      <c r="F532" s="20">
        <v>0</v>
      </c>
      <c r="G532" s="20">
        <v>0</v>
      </c>
    </row>
    <row r="533" spans="1:7" ht="15" customHeight="1" x14ac:dyDescent="0.75">
      <c r="A533" s="18" t="s">
        <v>72</v>
      </c>
      <c r="B533" s="19">
        <v>46076</v>
      </c>
      <c r="C533" s="18" t="s">
        <v>58</v>
      </c>
      <c r="D533" s="17">
        <v>666510</v>
      </c>
      <c r="E533" s="18" t="s">
        <v>17</v>
      </c>
      <c r="F533" s="20">
        <v>0</v>
      </c>
      <c r="G533" s="20">
        <v>0</v>
      </c>
    </row>
    <row r="534" spans="1:7" ht="15" customHeight="1" x14ac:dyDescent="0.75">
      <c r="A534" s="18" t="s">
        <v>72</v>
      </c>
      <c r="B534" s="19">
        <v>46076</v>
      </c>
      <c r="C534" s="18" t="s">
        <v>58</v>
      </c>
      <c r="D534" s="17">
        <v>666511</v>
      </c>
      <c r="E534" s="18" t="s">
        <v>19</v>
      </c>
      <c r="F534" s="20">
        <v>0</v>
      </c>
      <c r="G534" s="20">
        <v>0</v>
      </c>
    </row>
    <row r="535" spans="1:7" ht="15" customHeight="1" x14ac:dyDescent="0.75">
      <c r="A535" s="18" t="s">
        <v>72</v>
      </c>
      <c r="B535" s="19">
        <v>46076</v>
      </c>
      <c r="C535" s="18" t="s">
        <v>58</v>
      </c>
      <c r="D535" s="17">
        <v>666513</v>
      </c>
      <c r="E535" s="18" t="s">
        <v>21</v>
      </c>
      <c r="F535" s="20">
        <v>0</v>
      </c>
      <c r="G535" s="20">
        <v>0</v>
      </c>
    </row>
    <row r="536" spans="1:7" ht="15" customHeight="1" x14ac:dyDescent="0.75">
      <c r="A536" s="18" t="s">
        <v>72</v>
      </c>
      <c r="B536" s="19">
        <v>46076</v>
      </c>
      <c r="C536" s="18" t="s">
        <v>58</v>
      </c>
      <c r="D536" s="17">
        <v>666516</v>
      </c>
      <c r="E536" s="18" t="s">
        <v>23</v>
      </c>
      <c r="F536" s="20">
        <v>0</v>
      </c>
      <c r="G536" s="20">
        <v>0</v>
      </c>
    </row>
    <row r="537" spans="1:7" ht="15" customHeight="1" x14ac:dyDescent="0.75">
      <c r="A537" s="18" t="s">
        <v>72</v>
      </c>
      <c r="B537" s="19">
        <v>46076</v>
      </c>
      <c r="C537" s="18" t="s">
        <v>58</v>
      </c>
      <c r="D537" s="17">
        <v>666517</v>
      </c>
      <c r="E537" s="18" t="s">
        <v>25</v>
      </c>
      <c r="F537" s="20">
        <v>0</v>
      </c>
      <c r="G537" s="20">
        <v>0</v>
      </c>
    </row>
    <row r="538" spans="1:7" ht="15" customHeight="1" x14ac:dyDescent="0.75">
      <c r="A538" s="18" t="s">
        <v>72</v>
      </c>
      <c r="B538" s="19">
        <v>46076</v>
      </c>
      <c r="C538" s="18" t="s">
        <v>58</v>
      </c>
      <c r="D538" s="17">
        <v>666518</v>
      </c>
      <c r="E538" s="18" t="s">
        <v>27</v>
      </c>
      <c r="F538" s="20">
        <v>0</v>
      </c>
      <c r="G538" s="20">
        <v>0</v>
      </c>
    </row>
    <row r="539" spans="1:7" ht="15" customHeight="1" x14ac:dyDescent="0.75">
      <c r="A539" s="18" t="s">
        <v>72</v>
      </c>
      <c r="B539" s="19">
        <v>46076</v>
      </c>
      <c r="C539" s="18" t="s">
        <v>58</v>
      </c>
      <c r="D539" s="17">
        <v>666519</v>
      </c>
      <c r="E539" s="18" t="s">
        <v>29</v>
      </c>
      <c r="F539" s="20">
        <v>0</v>
      </c>
      <c r="G539" s="20">
        <v>0</v>
      </c>
    </row>
    <row r="540" spans="1:7" ht="15" customHeight="1" x14ac:dyDescent="0.75">
      <c r="A540" s="18" t="s">
        <v>72</v>
      </c>
      <c r="B540" s="19">
        <v>46076</v>
      </c>
      <c r="C540" s="18" t="s">
        <v>58</v>
      </c>
      <c r="D540" s="17">
        <v>666521</v>
      </c>
      <c r="E540" s="18" t="s">
        <v>31</v>
      </c>
      <c r="F540" s="20">
        <v>0</v>
      </c>
      <c r="G540" s="20">
        <v>0</v>
      </c>
    </row>
    <row r="541" spans="1:7" ht="15" customHeight="1" x14ac:dyDescent="0.75">
      <c r="A541" s="18" t="s">
        <v>72</v>
      </c>
      <c r="B541" s="19">
        <v>46076</v>
      </c>
      <c r="C541" s="18" t="s">
        <v>58</v>
      </c>
      <c r="D541" s="17">
        <v>666522</v>
      </c>
      <c r="E541" s="18" t="s">
        <v>33</v>
      </c>
      <c r="F541" s="20">
        <v>47.5</v>
      </c>
      <c r="G541" s="20">
        <v>95</v>
      </c>
    </row>
    <row r="542" spans="1:7" ht="15" customHeight="1" x14ac:dyDescent="0.75">
      <c r="A542" s="18" t="s">
        <v>72</v>
      </c>
      <c r="B542" s="19">
        <v>46076</v>
      </c>
      <c r="C542" s="18" t="s">
        <v>58</v>
      </c>
      <c r="D542" s="17">
        <v>666523</v>
      </c>
      <c r="E542" s="18" t="s">
        <v>35</v>
      </c>
      <c r="F542" s="20">
        <v>20</v>
      </c>
      <c r="G542" s="20">
        <v>40</v>
      </c>
    </row>
    <row r="543" spans="1:7" ht="15" customHeight="1" x14ac:dyDescent="0.75">
      <c r="A543" s="18" t="s">
        <v>72</v>
      </c>
      <c r="B543" s="19">
        <v>46076</v>
      </c>
      <c r="C543" s="18" t="s">
        <v>58</v>
      </c>
      <c r="D543" s="17">
        <v>666530</v>
      </c>
      <c r="E543" s="18" t="s">
        <v>37</v>
      </c>
      <c r="F543" s="20">
        <v>0</v>
      </c>
      <c r="G543" s="20">
        <v>0</v>
      </c>
    </row>
    <row r="544" spans="1:7" ht="15" customHeight="1" x14ac:dyDescent="0.75">
      <c r="A544" s="18" t="s">
        <v>72</v>
      </c>
      <c r="B544" s="19">
        <v>46076</v>
      </c>
      <c r="C544" s="18" t="s">
        <v>58</v>
      </c>
      <c r="D544" s="17">
        <v>666531</v>
      </c>
      <c r="E544" s="18" t="s">
        <v>39</v>
      </c>
      <c r="F544" s="20">
        <v>0</v>
      </c>
      <c r="G544" s="20">
        <v>0</v>
      </c>
    </row>
    <row r="545" spans="1:7" ht="15" customHeight="1" x14ac:dyDescent="0.75">
      <c r="A545" s="18" t="s">
        <v>72</v>
      </c>
      <c r="B545" s="19">
        <v>46076</v>
      </c>
      <c r="C545" s="18" t="s">
        <v>58</v>
      </c>
      <c r="D545" s="17">
        <v>666540</v>
      </c>
      <c r="E545" s="18" t="s">
        <v>40</v>
      </c>
      <c r="F545" s="20">
        <v>0</v>
      </c>
      <c r="G545" s="20">
        <v>0</v>
      </c>
    </row>
    <row r="546" spans="1:7" ht="15" customHeight="1" x14ac:dyDescent="0.75">
      <c r="A546" s="18" t="s">
        <v>72</v>
      </c>
      <c r="B546" s="19">
        <v>46076</v>
      </c>
      <c r="C546" s="18" t="s">
        <v>58</v>
      </c>
      <c r="D546" s="17">
        <v>666541</v>
      </c>
      <c r="E546" s="18" t="s">
        <v>41</v>
      </c>
      <c r="F546" s="20">
        <v>240</v>
      </c>
      <c r="G546" s="20">
        <v>240</v>
      </c>
    </row>
    <row r="547" spans="1:7" ht="15" customHeight="1" x14ac:dyDescent="0.75">
      <c r="A547" s="18" t="s">
        <v>72</v>
      </c>
      <c r="B547" s="19">
        <v>46076</v>
      </c>
      <c r="C547" s="18" t="s">
        <v>58</v>
      </c>
      <c r="D547" s="17">
        <v>666536</v>
      </c>
      <c r="E547" s="18" t="s">
        <v>43</v>
      </c>
      <c r="F547" s="20">
        <v>0</v>
      </c>
      <c r="G547" s="20">
        <v>0</v>
      </c>
    </row>
    <row r="548" spans="1:7" ht="15" customHeight="1" x14ac:dyDescent="0.75">
      <c r="A548" s="18" t="s">
        <v>72</v>
      </c>
      <c r="B548" s="19">
        <v>46076</v>
      </c>
      <c r="C548" s="18" t="s">
        <v>66</v>
      </c>
      <c r="D548" s="17">
        <v>666501</v>
      </c>
      <c r="E548" s="18" t="s">
        <v>5</v>
      </c>
      <c r="F548" s="20">
        <v>22.5</v>
      </c>
      <c r="G548" s="20">
        <v>45</v>
      </c>
    </row>
    <row r="549" spans="1:7" ht="15" customHeight="1" x14ac:dyDescent="0.75">
      <c r="A549" s="18" t="s">
        <v>72</v>
      </c>
      <c r="B549" s="19">
        <v>46076</v>
      </c>
      <c r="C549" s="18" t="s">
        <v>66</v>
      </c>
      <c r="D549" s="17">
        <v>666502</v>
      </c>
      <c r="E549" s="18" t="s">
        <v>7</v>
      </c>
      <c r="F549" s="20">
        <v>25</v>
      </c>
      <c r="G549" s="20">
        <v>10</v>
      </c>
    </row>
    <row r="550" spans="1:7" ht="15" customHeight="1" x14ac:dyDescent="0.75">
      <c r="A550" s="18" t="s">
        <v>72</v>
      </c>
      <c r="B550" s="19">
        <v>46076</v>
      </c>
      <c r="C550" s="18" t="s">
        <v>66</v>
      </c>
      <c r="D550" s="17">
        <v>666505</v>
      </c>
      <c r="E550" s="18" t="s">
        <v>9</v>
      </c>
      <c r="F550" s="20">
        <v>22</v>
      </c>
      <c r="G550" s="20">
        <v>44</v>
      </c>
    </row>
    <row r="551" spans="1:7" ht="15" customHeight="1" x14ac:dyDescent="0.75">
      <c r="A551" s="18" t="s">
        <v>72</v>
      </c>
      <c r="B551" s="19">
        <v>46076</v>
      </c>
      <c r="C551" s="18" t="s">
        <v>66</v>
      </c>
      <c r="D551" s="17">
        <v>666506</v>
      </c>
      <c r="E551" s="18" t="s">
        <v>11</v>
      </c>
      <c r="F551" s="20">
        <v>0</v>
      </c>
      <c r="G551" s="20">
        <v>0</v>
      </c>
    </row>
    <row r="552" spans="1:7" ht="15" customHeight="1" x14ac:dyDescent="0.75">
      <c r="A552" s="18" t="s">
        <v>72</v>
      </c>
      <c r="B552" s="19">
        <v>46076</v>
      </c>
      <c r="C552" s="18" t="s">
        <v>66</v>
      </c>
      <c r="D552" s="17">
        <v>666507</v>
      </c>
      <c r="E552" s="18" t="s">
        <v>13</v>
      </c>
      <c r="F552" s="20">
        <v>0</v>
      </c>
      <c r="G552" s="20">
        <v>0</v>
      </c>
    </row>
    <row r="553" spans="1:7" ht="15" customHeight="1" x14ac:dyDescent="0.75">
      <c r="A553" s="18" t="s">
        <v>72</v>
      </c>
      <c r="B553" s="19">
        <v>46076</v>
      </c>
      <c r="C553" s="18" t="s">
        <v>66</v>
      </c>
      <c r="D553" s="17">
        <v>666509</v>
      </c>
      <c r="E553" s="18" t="s">
        <v>15</v>
      </c>
      <c r="F553" s="20">
        <v>0</v>
      </c>
      <c r="G553" s="20">
        <v>0</v>
      </c>
    </row>
    <row r="554" spans="1:7" ht="15" customHeight="1" x14ac:dyDescent="0.75">
      <c r="A554" s="18" t="s">
        <v>72</v>
      </c>
      <c r="B554" s="19">
        <v>46076</v>
      </c>
      <c r="C554" s="18" t="s">
        <v>66</v>
      </c>
      <c r="D554" s="17">
        <v>666510</v>
      </c>
      <c r="E554" s="18" t="s">
        <v>17</v>
      </c>
      <c r="F554" s="20">
        <v>0</v>
      </c>
      <c r="G554" s="20">
        <v>0</v>
      </c>
    </row>
    <row r="555" spans="1:7" ht="15" customHeight="1" x14ac:dyDescent="0.75">
      <c r="A555" s="18" t="s">
        <v>72</v>
      </c>
      <c r="B555" s="19">
        <v>46076</v>
      </c>
      <c r="C555" s="18" t="s">
        <v>66</v>
      </c>
      <c r="D555" s="17">
        <v>666511</v>
      </c>
      <c r="E555" s="18" t="s">
        <v>19</v>
      </c>
      <c r="F555" s="20">
        <v>0</v>
      </c>
      <c r="G555" s="20">
        <v>0</v>
      </c>
    </row>
    <row r="556" spans="1:7" ht="15" customHeight="1" x14ac:dyDescent="0.75">
      <c r="A556" s="18" t="s">
        <v>72</v>
      </c>
      <c r="B556" s="19">
        <v>46076</v>
      </c>
      <c r="C556" s="18" t="s">
        <v>66</v>
      </c>
      <c r="D556" s="17">
        <v>666513</v>
      </c>
      <c r="E556" s="18" t="s">
        <v>21</v>
      </c>
      <c r="F556" s="20">
        <v>0</v>
      </c>
      <c r="G556" s="20">
        <v>0</v>
      </c>
    </row>
    <row r="557" spans="1:7" ht="15" customHeight="1" x14ac:dyDescent="0.75">
      <c r="A557" s="18" t="s">
        <v>72</v>
      </c>
      <c r="B557" s="19">
        <v>46076</v>
      </c>
      <c r="C557" s="18" t="s">
        <v>66</v>
      </c>
      <c r="D557" s="17">
        <v>666516</v>
      </c>
      <c r="E557" s="18" t="s">
        <v>23</v>
      </c>
      <c r="F557" s="20">
        <v>17</v>
      </c>
      <c r="G557" s="20">
        <v>34</v>
      </c>
    </row>
    <row r="558" spans="1:7" ht="15" customHeight="1" x14ac:dyDescent="0.75">
      <c r="A558" s="18" t="s">
        <v>72</v>
      </c>
      <c r="B558" s="19">
        <v>46076</v>
      </c>
      <c r="C558" s="18" t="s">
        <v>66</v>
      </c>
      <c r="D558" s="17">
        <v>666517</v>
      </c>
      <c r="E558" s="18" t="s">
        <v>25</v>
      </c>
      <c r="F558" s="20">
        <v>10</v>
      </c>
      <c r="G558" s="20">
        <v>20</v>
      </c>
    </row>
    <row r="559" spans="1:7" ht="15" customHeight="1" x14ac:dyDescent="0.75">
      <c r="A559" s="18" t="s">
        <v>72</v>
      </c>
      <c r="B559" s="19">
        <v>46076</v>
      </c>
      <c r="C559" s="18" t="s">
        <v>66</v>
      </c>
      <c r="D559" s="17">
        <v>666518</v>
      </c>
      <c r="E559" s="18" t="s">
        <v>27</v>
      </c>
      <c r="F559" s="20">
        <v>0</v>
      </c>
      <c r="G559" s="20">
        <v>0</v>
      </c>
    </row>
    <row r="560" spans="1:7" ht="15" customHeight="1" x14ac:dyDescent="0.75">
      <c r="A560" s="18" t="s">
        <v>72</v>
      </c>
      <c r="B560" s="19">
        <v>46076</v>
      </c>
      <c r="C560" s="18" t="s">
        <v>66</v>
      </c>
      <c r="D560" s="17">
        <v>666519</v>
      </c>
      <c r="E560" s="18" t="s">
        <v>29</v>
      </c>
      <c r="F560" s="20">
        <v>16.5</v>
      </c>
      <c r="G560" s="20">
        <v>33</v>
      </c>
    </row>
    <row r="561" spans="1:7" ht="15" customHeight="1" x14ac:dyDescent="0.75">
      <c r="A561" s="18" t="s">
        <v>72</v>
      </c>
      <c r="B561" s="19">
        <v>46076</v>
      </c>
      <c r="C561" s="18" t="s">
        <v>66</v>
      </c>
      <c r="D561" s="17">
        <v>666521</v>
      </c>
      <c r="E561" s="18" t="s">
        <v>31</v>
      </c>
      <c r="F561" s="20">
        <v>0</v>
      </c>
      <c r="G561" s="20">
        <v>0</v>
      </c>
    </row>
    <row r="562" spans="1:7" ht="15" customHeight="1" x14ac:dyDescent="0.75">
      <c r="A562" s="18" t="s">
        <v>72</v>
      </c>
      <c r="B562" s="19">
        <v>46076</v>
      </c>
      <c r="C562" s="18" t="s">
        <v>66</v>
      </c>
      <c r="D562" s="17">
        <v>666522</v>
      </c>
      <c r="E562" s="18" t="s">
        <v>33</v>
      </c>
      <c r="F562" s="20">
        <v>20</v>
      </c>
      <c r="G562" s="20">
        <v>40</v>
      </c>
    </row>
    <row r="563" spans="1:7" ht="15" customHeight="1" x14ac:dyDescent="0.75">
      <c r="A563" s="18" t="s">
        <v>72</v>
      </c>
      <c r="B563" s="19">
        <v>46076</v>
      </c>
      <c r="C563" s="18" t="s">
        <v>66</v>
      </c>
      <c r="D563" s="17">
        <v>666523</v>
      </c>
      <c r="E563" s="18" t="s">
        <v>35</v>
      </c>
      <c r="F563" s="20">
        <v>5</v>
      </c>
      <c r="G563" s="20">
        <v>10</v>
      </c>
    </row>
    <row r="564" spans="1:7" ht="15" customHeight="1" x14ac:dyDescent="0.75">
      <c r="A564" s="18" t="s">
        <v>72</v>
      </c>
      <c r="B564" s="19">
        <v>46076</v>
      </c>
      <c r="C564" s="18" t="s">
        <v>66</v>
      </c>
      <c r="D564" s="17">
        <v>666530</v>
      </c>
      <c r="E564" s="18" t="s">
        <v>37</v>
      </c>
      <c r="F564" s="20">
        <v>7.5</v>
      </c>
      <c r="G564" s="20">
        <v>15</v>
      </c>
    </row>
    <row r="565" spans="1:7" ht="15" customHeight="1" x14ac:dyDescent="0.75">
      <c r="A565" s="18" t="s">
        <v>72</v>
      </c>
      <c r="B565" s="19">
        <v>46076</v>
      </c>
      <c r="C565" s="18" t="s">
        <v>66</v>
      </c>
      <c r="D565" s="17">
        <v>666531</v>
      </c>
      <c r="E565" s="18" t="s">
        <v>39</v>
      </c>
      <c r="F565" s="20">
        <v>4</v>
      </c>
      <c r="G565" s="20">
        <v>8</v>
      </c>
    </row>
    <row r="566" spans="1:7" ht="15" customHeight="1" x14ac:dyDescent="0.75">
      <c r="A566" s="18" t="s">
        <v>72</v>
      </c>
      <c r="B566" s="19">
        <v>46076</v>
      </c>
      <c r="C566" s="18" t="s">
        <v>66</v>
      </c>
      <c r="D566" s="17">
        <v>666540</v>
      </c>
      <c r="E566" s="18" t="s">
        <v>40</v>
      </c>
      <c r="F566" s="20">
        <v>0</v>
      </c>
      <c r="G566" s="20">
        <v>0</v>
      </c>
    </row>
    <row r="567" spans="1:7" ht="15" customHeight="1" x14ac:dyDescent="0.75">
      <c r="A567" s="18" t="s">
        <v>72</v>
      </c>
      <c r="B567" s="19">
        <v>46076</v>
      </c>
      <c r="C567" s="18" t="s">
        <v>66</v>
      </c>
      <c r="D567" s="17">
        <v>666541</v>
      </c>
      <c r="E567" s="18" t="s">
        <v>41</v>
      </c>
      <c r="F567" s="20">
        <v>0</v>
      </c>
      <c r="G567" s="20">
        <v>0</v>
      </c>
    </row>
    <row r="568" spans="1:7" ht="15" customHeight="1" x14ac:dyDescent="0.75">
      <c r="A568" s="18" t="s">
        <v>72</v>
      </c>
      <c r="B568" s="19">
        <v>46076</v>
      </c>
      <c r="C568" s="18" t="s">
        <v>66</v>
      </c>
      <c r="D568" s="17">
        <v>666536</v>
      </c>
      <c r="E568" s="18" t="s">
        <v>43</v>
      </c>
      <c r="F568" s="20">
        <v>0</v>
      </c>
      <c r="G568" s="20">
        <v>0</v>
      </c>
    </row>
    <row r="569" spans="1:7" ht="15" customHeight="1" x14ac:dyDescent="0.75">
      <c r="A569" s="18" t="s">
        <v>73</v>
      </c>
      <c r="B569" s="19">
        <v>46083</v>
      </c>
      <c r="C569" s="18" t="s">
        <v>56</v>
      </c>
      <c r="D569" s="17">
        <v>666501</v>
      </c>
      <c r="E569" s="18" t="s">
        <v>5</v>
      </c>
      <c r="F569" s="20">
        <v>22.5</v>
      </c>
      <c r="G569" s="20">
        <v>0</v>
      </c>
    </row>
    <row r="570" spans="1:7" ht="15" customHeight="1" x14ac:dyDescent="0.75">
      <c r="A570" s="18" t="s">
        <v>73</v>
      </c>
      <c r="B570" s="19">
        <v>46083</v>
      </c>
      <c r="C570" s="18" t="s">
        <v>56</v>
      </c>
      <c r="D570" s="17">
        <v>666502</v>
      </c>
      <c r="E570" s="18" t="s">
        <v>7</v>
      </c>
      <c r="F570" s="20">
        <v>0</v>
      </c>
      <c r="G570" s="20">
        <v>0</v>
      </c>
    </row>
    <row r="571" spans="1:7" ht="15" customHeight="1" x14ac:dyDescent="0.75">
      <c r="A571" s="18" t="s">
        <v>73</v>
      </c>
      <c r="B571" s="19">
        <v>46083</v>
      </c>
      <c r="C571" s="18" t="s">
        <v>56</v>
      </c>
      <c r="D571" s="17">
        <v>666505</v>
      </c>
      <c r="E571" s="18" t="s">
        <v>9</v>
      </c>
      <c r="F571" s="20">
        <v>10</v>
      </c>
      <c r="G571" s="20">
        <v>0</v>
      </c>
    </row>
    <row r="572" spans="1:7" ht="15" customHeight="1" x14ac:dyDescent="0.75">
      <c r="A572" s="18" t="s">
        <v>73</v>
      </c>
      <c r="B572" s="19">
        <v>46083</v>
      </c>
      <c r="C572" s="18" t="s">
        <v>56</v>
      </c>
      <c r="D572" s="17">
        <v>666506</v>
      </c>
      <c r="E572" s="18" t="s">
        <v>11</v>
      </c>
      <c r="F572" s="20">
        <v>0</v>
      </c>
      <c r="G572" s="20">
        <v>0</v>
      </c>
    </row>
    <row r="573" spans="1:7" ht="15" customHeight="1" x14ac:dyDescent="0.75">
      <c r="A573" s="18" t="s">
        <v>73</v>
      </c>
      <c r="B573" s="19">
        <v>46083</v>
      </c>
      <c r="C573" s="18" t="s">
        <v>56</v>
      </c>
      <c r="D573" s="17">
        <v>666507</v>
      </c>
      <c r="E573" s="18" t="s">
        <v>13</v>
      </c>
      <c r="F573" s="20">
        <v>21</v>
      </c>
      <c r="G573" s="20">
        <v>27</v>
      </c>
    </row>
    <row r="574" spans="1:7" ht="15" customHeight="1" x14ac:dyDescent="0.75">
      <c r="A574" s="18" t="s">
        <v>73</v>
      </c>
      <c r="B574" s="19">
        <v>46083</v>
      </c>
      <c r="C574" s="18" t="s">
        <v>56</v>
      </c>
      <c r="D574" s="17">
        <v>666509</v>
      </c>
      <c r="E574" s="18" t="s">
        <v>15</v>
      </c>
      <c r="F574" s="20">
        <v>52</v>
      </c>
      <c r="G574" s="20">
        <v>9</v>
      </c>
    </row>
    <row r="575" spans="1:7" ht="15" customHeight="1" x14ac:dyDescent="0.75">
      <c r="A575" s="18" t="s">
        <v>73</v>
      </c>
      <c r="B575" s="19">
        <v>46083</v>
      </c>
      <c r="C575" s="18" t="s">
        <v>56</v>
      </c>
      <c r="D575" s="17">
        <v>666510</v>
      </c>
      <c r="E575" s="18" t="s">
        <v>17</v>
      </c>
      <c r="F575" s="20">
        <v>0</v>
      </c>
      <c r="G575" s="20">
        <v>0</v>
      </c>
    </row>
    <row r="576" spans="1:7" ht="15" customHeight="1" x14ac:dyDescent="0.75">
      <c r="A576" s="18" t="s">
        <v>73</v>
      </c>
      <c r="B576" s="19">
        <v>46083</v>
      </c>
      <c r="C576" s="18" t="s">
        <v>56</v>
      </c>
      <c r="D576" s="17">
        <v>666511</v>
      </c>
      <c r="E576" s="18" t="s">
        <v>19</v>
      </c>
      <c r="F576" s="20">
        <v>4</v>
      </c>
      <c r="G576" s="20">
        <v>4</v>
      </c>
    </row>
    <row r="577" spans="1:7" ht="15" customHeight="1" x14ac:dyDescent="0.75">
      <c r="A577" s="18" t="s">
        <v>73</v>
      </c>
      <c r="B577" s="19">
        <v>46083</v>
      </c>
      <c r="C577" s="18" t="s">
        <v>56</v>
      </c>
      <c r="D577" s="17">
        <v>666513</v>
      </c>
      <c r="E577" s="18" t="s">
        <v>21</v>
      </c>
      <c r="F577" s="20">
        <v>0</v>
      </c>
      <c r="G577" s="20">
        <v>0</v>
      </c>
    </row>
    <row r="578" spans="1:7" ht="15" customHeight="1" x14ac:dyDescent="0.75">
      <c r="A578" s="18" t="s">
        <v>73</v>
      </c>
      <c r="B578" s="19">
        <v>46083</v>
      </c>
      <c r="C578" s="18" t="s">
        <v>56</v>
      </c>
      <c r="D578" s="17">
        <v>666516</v>
      </c>
      <c r="E578" s="18" t="s">
        <v>23</v>
      </c>
      <c r="F578" s="20">
        <v>17</v>
      </c>
      <c r="G578" s="20">
        <v>0</v>
      </c>
    </row>
    <row r="579" spans="1:7" ht="15" customHeight="1" x14ac:dyDescent="0.75">
      <c r="A579" s="18" t="s">
        <v>73</v>
      </c>
      <c r="B579" s="19">
        <v>46083</v>
      </c>
      <c r="C579" s="18" t="s">
        <v>56</v>
      </c>
      <c r="D579" s="17">
        <v>666517</v>
      </c>
      <c r="E579" s="18" t="s">
        <v>25</v>
      </c>
      <c r="F579" s="20">
        <v>23</v>
      </c>
      <c r="G579" s="20">
        <v>0</v>
      </c>
    </row>
    <row r="580" spans="1:7" ht="15" customHeight="1" x14ac:dyDescent="0.75">
      <c r="A580" s="18" t="s">
        <v>73</v>
      </c>
      <c r="B580" s="19">
        <v>46083</v>
      </c>
      <c r="C580" s="18" t="s">
        <v>56</v>
      </c>
      <c r="D580" s="17">
        <v>666518</v>
      </c>
      <c r="E580" s="18" t="s">
        <v>27</v>
      </c>
      <c r="F580" s="20">
        <v>0</v>
      </c>
      <c r="G580" s="20">
        <v>0</v>
      </c>
    </row>
    <row r="581" spans="1:7" ht="15" customHeight="1" x14ac:dyDescent="0.75">
      <c r="A581" s="18" t="s">
        <v>73</v>
      </c>
      <c r="B581" s="19">
        <v>46083</v>
      </c>
      <c r="C581" s="18" t="s">
        <v>56</v>
      </c>
      <c r="D581" s="17">
        <v>666519</v>
      </c>
      <c r="E581" s="18" t="s">
        <v>29</v>
      </c>
      <c r="F581" s="20">
        <v>16.5</v>
      </c>
      <c r="G581" s="20">
        <v>0</v>
      </c>
    </row>
    <row r="582" spans="1:7" ht="15" customHeight="1" x14ac:dyDescent="0.75">
      <c r="A582" s="18" t="s">
        <v>73</v>
      </c>
      <c r="B582" s="19">
        <v>46083</v>
      </c>
      <c r="C582" s="18" t="s">
        <v>56</v>
      </c>
      <c r="D582" s="17">
        <v>666521</v>
      </c>
      <c r="E582" s="18" t="s">
        <v>31</v>
      </c>
      <c r="F582" s="20">
        <v>28</v>
      </c>
      <c r="G582" s="20">
        <v>45</v>
      </c>
    </row>
    <row r="583" spans="1:7" ht="15" customHeight="1" x14ac:dyDescent="0.75">
      <c r="A583" s="18" t="s">
        <v>73</v>
      </c>
      <c r="B583" s="19">
        <v>46083</v>
      </c>
      <c r="C583" s="18" t="s">
        <v>56</v>
      </c>
      <c r="D583" s="17">
        <v>666522</v>
      </c>
      <c r="E583" s="18" t="s">
        <v>33</v>
      </c>
      <c r="F583" s="20">
        <v>32.5</v>
      </c>
      <c r="G583" s="20">
        <v>0</v>
      </c>
    </row>
    <row r="584" spans="1:7" ht="15" customHeight="1" x14ac:dyDescent="0.75">
      <c r="A584" s="18" t="s">
        <v>73</v>
      </c>
      <c r="B584" s="19">
        <v>46083</v>
      </c>
      <c r="C584" s="18" t="s">
        <v>56</v>
      </c>
      <c r="D584" s="17">
        <v>666523</v>
      </c>
      <c r="E584" s="18" t="s">
        <v>35</v>
      </c>
      <c r="F584" s="20">
        <v>0</v>
      </c>
      <c r="G584" s="20">
        <v>0</v>
      </c>
    </row>
    <row r="585" spans="1:7" ht="15" customHeight="1" x14ac:dyDescent="0.75">
      <c r="A585" s="18" t="s">
        <v>73</v>
      </c>
      <c r="B585" s="19">
        <v>46083</v>
      </c>
      <c r="C585" s="18" t="s">
        <v>56</v>
      </c>
      <c r="D585" s="17">
        <v>666530</v>
      </c>
      <c r="E585" s="18" t="s">
        <v>37</v>
      </c>
      <c r="F585" s="20">
        <v>2.5</v>
      </c>
      <c r="G585" s="20">
        <v>0</v>
      </c>
    </row>
    <row r="586" spans="1:7" ht="15" customHeight="1" x14ac:dyDescent="0.75">
      <c r="A586" s="18" t="s">
        <v>73</v>
      </c>
      <c r="B586" s="19">
        <v>46083</v>
      </c>
      <c r="C586" s="18" t="s">
        <v>56</v>
      </c>
      <c r="D586" s="17">
        <v>666531</v>
      </c>
      <c r="E586" s="18" t="s">
        <v>39</v>
      </c>
      <c r="F586" s="20">
        <v>9</v>
      </c>
      <c r="G586" s="20">
        <v>0</v>
      </c>
    </row>
    <row r="587" spans="1:7" ht="15" customHeight="1" x14ac:dyDescent="0.75">
      <c r="A587" s="18" t="s">
        <v>73</v>
      </c>
      <c r="B587" s="19">
        <v>46083</v>
      </c>
      <c r="C587" s="18" t="s">
        <v>56</v>
      </c>
      <c r="D587" s="17">
        <v>666540</v>
      </c>
      <c r="E587" s="18" t="s">
        <v>40</v>
      </c>
      <c r="F587" s="20">
        <v>0</v>
      </c>
      <c r="G587" s="20">
        <v>0</v>
      </c>
    </row>
    <row r="588" spans="1:7" ht="15" customHeight="1" x14ac:dyDescent="0.75">
      <c r="A588" s="18" t="s">
        <v>73</v>
      </c>
      <c r="B588" s="19">
        <v>46083</v>
      </c>
      <c r="C588" s="18" t="s">
        <v>56</v>
      </c>
      <c r="D588" s="17">
        <v>666541</v>
      </c>
      <c r="E588" s="18" t="s">
        <v>41</v>
      </c>
      <c r="F588" s="20">
        <v>0</v>
      </c>
      <c r="G588" s="20">
        <v>0</v>
      </c>
    </row>
    <row r="589" spans="1:7" ht="15" customHeight="1" x14ac:dyDescent="0.75">
      <c r="A589" s="18" t="s">
        <v>73</v>
      </c>
      <c r="B589" s="19">
        <v>46083</v>
      </c>
      <c r="C589" s="18" t="s">
        <v>56</v>
      </c>
      <c r="D589" s="17">
        <v>666536</v>
      </c>
      <c r="E589" s="18" t="s">
        <v>43</v>
      </c>
      <c r="F589" s="20">
        <v>5</v>
      </c>
      <c r="G589" s="20">
        <v>2</v>
      </c>
    </row>
    <row r="590" spans="1:7" ht="15" customHeight="1" x14ac:dyDescent="0.75">
      <c r="A590" s="18" t="s">
        <v>73</v>
      </c>
      <c r="B590" s="19">
        <v>46083</v>
      </c>
      <c r="C590" s="18" t="s">
        <v>58</v>
      </c>
      <c r="D590" s="17">
        <v>666501</v>
      </c>
      <c r="E590" s="18" t="s">
        <v>5</v>
      </c>
      <c r="F590" s="20">
        <v>210</v>
      </c>
      <c r="G590" s="20">
        <v>201</v>
      </c>
    </row>
    <row r="591" spans="1:7" ht="15" customHeight="1" x14ac:dyDescent="0.75">
      <c r="A591" s="18" t="s">
        <v>73</v>
      </c>
      <c r="B591" s="19">
        <v>46083</v>
      </c>
      <c r="C591" s="18" t="s">
        <v>58</v>
      </c>
      <c r="D591" s="17">
        <v>666502</v>
      </c>
      <c r="E591" s="18" t="s">
        <v>7</v>
      </c>
      <c r="F591" s="20">
        <v>155</v>
      </c>
      <c r="G591" s="20">
        <v>149</v>
      </c>
    </row>
    <row r="592" spans="1:7" ht="15" customHeight="1" x14ac:dyDescent="0.75">
      <c r="A592" s="18" t="s">
        <v>73</v>
      </c>
      <c r="B592" s="19">
        <v>46083</v>
      </c>
      <c r="C592" s="18" t="s">
        <v>58</v>
      </c>
      <c r="D592" s="17">
        <v>666505</v>
      </c>
      <c r="E592" s="18" t="s">
        <v>9</v>
      </c>
      <c r="F592" s="20">
        <v>0</v>
      </c>
      <c r="G592" s="20">
        <v>0</v>
      </c>
    </row>
    <row r="593" spans="1:7" ht="15" customHeight="1" x14ac:dyDescent="0.75">
      <c r="A593" s="18" t="s">
        <v>73</v>
      </c>
      <c r="B593" s="19">
        <v>46083</v>
      </c>
      <c r="C593" s="18" t="s">
        <v>58</v>
      </c>
      <c r="D593" s="17">
        <v>666506</v>
      </c>
      <c r="E593" s="18" t="s">
        <v>11</v>
      </c>
      <c r="F593" s="20">
        <v>100</v>
      </c>
      <c r="G593" s="20">
        <v>153</v>
      </c>
    </row>
    <row r="594" spans="1:7" ht="15" customHeight="1" x14ac:dyDescent="0.75">
      <c r="A594" s="18" t="s">
        <v>73</v>
      </c>
      <c r="B594" s="19">
        <v>46083</v>
      </c>
      <c r="C594" s="18" t="s">
        <v>58</v>
      </c>
      <c r="D594" s="17">
        <v>666507</v>
      </c>
      <c r="E594" s="18" t="s">
        <v>13</v>
      </c>
      <c r="F594" s="20">
        <v>0</v>
      </c>
      <c r="G594" s="20">
        <v>0</v>
      </c>
    </row>
    <row r="595" spans="1:7" ht="15" customHeight="1" x14ac:dyDescent="0.75">
      <c r="A595" s="18" t="s">
        <v>73</v>
      </c>
      <c r="B595" s="19">
        <v>46083</v>
      </c>
      <c r="C595" s="18" t="s">
        <v>58</v>
      </c>
      <c r="D595" s="17">
        <v>666509</v>
      </c>
      <c r="E595" s="18" t="s">
        <v>15</v>
      </c>
      <c r="F595" s="20">
        <v>0</v>
      </c>
      <c r="G595" s="20">
        <v>0</v>
      </c>
    </row>
    <row r="596" spans="1:7" ht="15" customHeight="1" x14ac:dyDescent="0.75">
      <c r="A596" s="18" t="s">
        <v>73</v>
      </c>
      <c r="B596" s="19">
        <v>46083</v>
      </c>
      <c r="C596" s="18" t="s">
        <v>58</v>
      </c>
      <c r="D596" s="17">
        <v>666510</v>
      </c>
      <c r="E596" s="18" t="s">
        <v>17</v>
      </c>
      <c r="F596" s="20">
        <v>0</v>
      </c>
      <c r="G596" s="20">
        <v>0</v>
      </c>
    </row>
    <row r="597" spans="1:7" ht="15" customHeight="1" x14ac:dyDescent="0.75">
      <c r="A597" s="18" t="s">
        <v>73</v>
      </c>
      <c r="B597" s="19">
        <v>46083</v>
      </c>
      <c r="C597" s="18" t="s">
        <v>58</v>
      </c>
      <c r="D597" s="17">
        <v>666511</v>
      </c>
      <c r="E597" s="18" t="s">
        <v>19</v>
      </c>
      <c r="F597" s="20">
        <v>0</v>
      </c>
      <c r="G597" s="20">
        <v>0</v>
      </c>
    </row>
    <row r="598" spans="1:7" ht="15" customHeight="1" x14ac:dyDescent="0.75">
      <c r="A598" s="18" t="s">
        <v>73</v>
      </c>
      <c r="B598" s="19">
        <v>46083</v>
      </c>
      <c r="C598" s="18" t="s">
        <v>58</v>
      </c>
      <c r="D598" s="17">
        <v>666513</v>
      </c>
      <c r="E598" s="18" t="s">
        <v>21</v>
      </c>
      <c r="F598" s="20">
        <v>0</v>
      </c>
      <c r="G598" s="20">
        <v>0</v>
      </c>
    </row>
    <row r="599" spans="1:7" ht="15" customHeight="1" x14ac:dyDescent="0.75">
      <c r="A599" s="18" t="s">
        <v>73</v>
      </c>
      <c r="B599" s="19">
        <v>46083</v>
      </c>
      <c r="C599" s="18" t="s">
        <v>58</v>
      </c>
      <c r="D599" s="17">
        <v>666516</v>
      </c>
      <c r="E599" s="18" t="s">
        <v>23</v>
      </c>
      <c r="F599" s="20">
        <v>0</v>
      </c>
      <c r="G599" s="20">
        <v>0</v>
      </c>
    </row>
    <row r="600" spans="1:7" ht="15" customHeight="1" x14ac:dyDescent="0.75">
      <c r="A600" s="18" t="s">
        <v>73</v>
      </c>
      <c r="B600" s="19">
        <v>46083</v>
      </c>
      <c r="C600" s="18" t="s">
        <v>58</v>
      </c>
      <c r="D600" s="17">
        <v>666517</v>
      </c>
      <c r="E600" s="18" t="s">
        <v>25</v>
      </c>
      <c r="F600" s="20">
        <v>0</v>
      </c>
      <c r="G600" s="20">
        <v>0</v>
      </c>
    </row>
    <row r="601" spans="1:7" ht="15" customHeight="1" x14ac:dyDescent="0.75">
      <c r="A601" s="18" t="s">
        <v>73</v>
      </c>
      <c r="B601" s="19">
        <v>46083</v>
      </c>
      <c r="C601" s="18" t="s">
        <v>58</v>
      </c>
      <c r="D601" s="17">
        <v>666518</v>
      </c>
      <c r="E601" s="18" t="s">
        <v>27</v>
      </c>
      <c r="F601" s="20">
        <v>0</v>
      </c>
      <c r="G601" s="20">
        <v>0</v>
      </c>
    </row>
    <row r="602" spans="1:7" ht="15" customHeight="1" x14ac:dyDescent="0.75">
      <c r="A602" s="18" t="s">
        <v>73</v>
      </c>
      <c r="B602" s="19">
        <v>46083</v>
      </c>
      <c r="C602" s="18" t="s">
        <v>58</v>
      </c>
      <c r="D602" s="17">
        <v>666519</v>
      </c>
      <c r="E602" s="18" t="s">
        <v>29</v>
      </c>
      <c r="F602" s="20">
        <v>0</v>
      </c>
      <c r="G602" s="20">
        <v>0</v>
      </c>
    </row>
    <row r="603" spans="1:7" ht="15" customHeight="1" x14ac:dyDescent="0.75">
      <c r="A603" s="18" t="s">
        <v>73</v>
      </c>
      <c r="B603" s="19">
        <v>46083</v>
      </c>
      <c r="C603" s="18" t="s">
        <v>58</v>
      </c>
      <c r="D603" s="17">
        <v>666521</v>
      </c>
      <c r="E603" s="18" t="s">
        <v>31</v>
      </c>
      <c r="F603" s="20">
        <v>0</v>
      </c>
      <c r="G603" s="20">
        <v>0</v>
      </c>
    </row>
    <row r="604" spans="1:7" ht="15" customHeight="1" x14ac:dyDescent="0.75">
      <c r="A604" s="18" t="s">
        <v>73</v>
      </c>
      <c r="B604" s="19">
        <v>46083</v>
      </c>
      <c r="C604" s="18" t="s">
        <v>58</v>
      </c>
      <c r="D604" s="17">
        <v>666522</v>
      </c>
      <c r="E604" s="18" t="s">
        <v>33</v>
      </c>
      <c r="F604" s="20">
        <v>47.5</v>
      </c>
      <c r="G604" s="20">
        <v>0</v>
      </c>
    </row>
    <row r="605" spans="1:7" ht="15" customHeight="1" x14ac:dyDescent="0.75">
      <c r="A605" s="18" t="s">
        <v>73</v>
      </c>
      <c r="B605" s="19">
        <v>46083</v>
      </c>
      <c r="C605" s="18" t="s">
        <v>58</v>
      </c>
      <c r="D605" s="17">
        <v>666523</v>
      </c>
      <c r="E605" s="18" t="s">
        <v>35</v>
      </c>
      <c r="F605" s="20">
        <v>20</v>
      </c>
      <c r="G605" s="20">
        <v>0</v>
      </c>
    </row>
    <row r="606" spans="1:7" ht="15" customHeight="1" x14ac:dyDescent="0.75">
      <c r="A606" s="18" t="s">
        <v>73</v>
      </c>
      <c r="B606" s="19">
        <v>46083</v>
      </c>
      <c r="C606" s="18" t="s">
        <v>58</v>
      </c>
      <c r="D606" s="17">
        <v>666530</v>
      </c>
      <c r="E606" s="18" t="s">
        <v>37</v>
      </c>
      <c r="F606" s="20">
        <v>0</v>
      </c>
      <c r="G606" s="20">
        <v>0</v>
      </c>
    </row>
    <row r="607" spans="1:7" ht="15" customHeight="1" x14ac:dyDescent="0.75">
      <c r="A607" s="18" t="s">
        <v>73</v>
      </c>
      <c r="B607" s="19">
        <v>46083</v>
      </c>
      <c r="C607" s="18" t="s">
        <v>58</v>
      </c>
      <c r="D607" s="17">
        <v>666531</v>
      </c>
      <c r="E607" s="18" t="s">
        <v>39</v>
      </c>
      <c r="F607" s="20">
        <v>0</v>
      </c>
      <c r="G607" s="20">
        <v>0</v>
      </c>
    </row>
    <row r="608" spans="1:7" ht="15" customHeight="1" x14ac:dyDescent="0.75">
      <c r="A608" s="18" t="s">
        <v>73</v>
      </c>
      <c r="B608" s="19">
        <v>46083</v>
      </c>
      <c r="C608" s="18" t="s">
        <v>58</v>
      </c>
      <c r="D608" s="17">
        <v>666540</v>
      </c>
      <c r="E608" s="18" t="s">
        <v>40</v>
      </c>
      <c r="F608" s="20">
        <v>0</v>
      </c>
      <c r="G608" s="20">
        <v>0</v>
      </c>
    </row>
    <row r="609" spans="1:7" ht="15" customHeight="1" x14ac:dyDescent="0.75">
      <c r="A609" s="18" t="s">
        <v>73</v>
      </c>
      <c r="B609" s="19">
        <v>46083</v>
      </c>
      <c r="C609" s="18" t="s">
        <v>58</v>
      </c>
      <c r="D609" s="17">
        <v>666541</v>
      </c>
      <c r="E609" s="18" t="s">
        <v>41</v>
      </c>
      <c r="F609" s="20">
        <v>240</v>
      </c>
      <c r="G609" s="20">
        <v>195</v>
      </c>
    </row>
    <row r="610" spans="1:7" ht="15" customHeight="1" x14ac:dyDescent="0.75">
      <c r="A610" s="18" t="s">
        <v>73</v>
      </c>
      <c r="B610" s="19">
        <v>46083</v>
      </c>
      <c r="C610" s="18" t="s">
        <v>58</v>
      </c>
      <c r="D610" s="17">
        <v>666536</v>
      </c>
      <c r="E610" s="18" t="s">
        <v>43</v>
      </c>
      <c r="F610" s="20">
        <v>0</v>
      </c>
      <c r="G610" s="20">
        <v>0</v>
      </c>
    </row>
    <row r="611" spans="1:7" ht="15" customHeight="1" x14ac:dyDescent="0.75">
      <c r="A611" s="18" t="s">
        <v>73</v>
      </c>
      <c r="B611" s="19">
        <v>46083</v>
      </c>
      <c r="C611" s="18" t="s">
        <v>66</v>
      </c>
      <c r="D611" s="17">
        <v>666501</v>
      </c>
      <c r="E611" s="18" t="s">
        <v>5</v>
      </c>
      <c r="F611" s="20">
        <v>22.5</v>
      </c>
      <c r="G611" s="20">
        <v>0</v>
      </c>
    </row>
    <row r="612" spans="1:7" ht="15" customHeight="1" x14ac:dyDescent="0.75">
      <c r="A612" s="18" t="s">
        <v>73</v>
      </c>
      <c r="B612" s="19">
        <v>46083</v>
      </c>
      <c r="C612" s="18" t="s">
        <v>66</v>
      </c>
      <c r="D612" s="17">
        <v>666502</v>
      </c>
      <c r="E612" s="18" t="s">
        <v>7</v>
      </c>
      <c r="F612" s="20">
        <v>25</v>
      </c>
      <c r="G612" s="20">
        <v>40</v>
      </c>
    </row>
    <row r="613" spans="1:7" ht="15" customHeight="1" x14ac:dyDescent="0.75">
      <c r="A613" s="18" t="s">
        <v>73</v>
      </c>
      <c r="B613" s="19">
        <v>46083</v>
      </c>
      <c r="C613" s="18" t="s">
        <v>66</v>
      </c>
      <c r="D613" s="17">
        <v>666505</v>
      </c>
      <c r="E613" s="18" t="s">
        <v>9</v>
      </c>
      <c r="F613" s="20">
        <v>22</v>
      </c>
      <c r="G613" s="20">
        <v>0</v>
      </c>
    </row>
    <row r="614" spans="1:7" ht="15" customHeight="1" x14ac:dyDescent="0.75">
      <c r="A614" s="18" t="s">
        <v>73</v>
      </c>
      <c r="B614" s="19">
        <v>46083</v>
      </c>
      <c r="C614" s="18" t="s">
        <v>66</v>
      </c>
      <c r="D614" s="17">
        <v>666506</v>
      </c>
      <c r="E614" s="18" t="s">
        <v>11</v>
      </c>
      <c r="F614" s="20">
        <v>0</v>
      </c>
      <c r="G614" s="20">
        <v>0</v>
      </c>
    </row>
    <row r="615" spans="1:7" ht="15" customHeight="1" x14ac:dyDescent="0.75">
      <c r="A615" s="18" t="s">
        <v>73</v>
      </c>
      <c r="B615" s="19">
        <v>46083</v>
      </c>
      <c r="C615" s="18" t="s">
        <v>66</v>
      </c>
      <c r="D615" s="17">
        <v>666507</v>
      </c>
      <c r="E615" s="18" t="s">
        <v>13</v>
      </c>
      <c r="F615" s="20">
        <v>0</v>
      </c>
      <c r="G615" s="20">
        <v>0</v>
      </c>
    </row>
    <row r="616" spans="1:7" ht="15" customHeight="1" x14ac:dyDescent="0.75">
      <c r="A616" s="18" t="s">
        <v>73</v>
      </c>
      <c r="B616" s="19">
        <v>46083</v>
      </c>
      <c r="C616" s="18" t="s">
        <v>66</v>
      </c>
      <c r="D616" s="17">
        <v>666509</v>
      </c>
      <c r="E616" s="18" t="s">
        <v>15</v>
      </c>
      <c r="F616" s="20">
        <v>0</v>
      </c>
      <c r="G616" s="20">
        <v>0</v>
      </c>
    </row>
    <row r="617" spans="1:7" ht="15" customHeight="1" x14ac:dyDescent="0.75">
      <c r="A617" s="18" t="s">
        <v>73</v>
      </c>
      <c r="B617" s="19">
        <v>46083</v>
      </c>
      <c r="C617" s="18" t="s">
        <v>66</v>
      </c>
      <c r="D617" s="17">
        <v>666510</v>
      </c>
      <c r="E617" s="18" t="s">
        <v>17</v>
      </c>
      <c r="F617" s="20">
        <v>0</v>
      </c>
      <c r="G617" s="20">
        <v>0</v>
      </c>
    </row>
    <row r="618" spans="1:7" ht="15" customHeight="1" x14ac:dyDescent="0.75">
      <c r="A618" s="18" t="s">
        <v>73</v>
      </c>
      <c r="B618" s="19">
        <v>46083</v>
      </c>
      <c r="C618" s="18" t="s">
        <v>66</v>
      </c>
      <c r="D618" s="17">
        <v>666511</v>
      </c>
      <c r="E618" s="18" t="s">
        <v>19</v>
      </c>
      <c r="F618" s="20">
        <v>0</v>
      </c>
      <c r="G618" s="20">
        <v>0</v>
      </c>
    </row>
    <row r="619" spans="1:7" ht="15" customHeight="1" x14ac:dyDescent="0.75">
      <c r="A619" s="18" t="s">
        <v>73</v>
      </c>
      <c r="B619" s="19">
        <v>46083</v>
      </c>
      <c r="C619" s="18" t="s">
        <v>66</v>
      </c>
      <c r="D619" s="17">
        <v>666513</v>
      </c>
      <c r="E619" s="18" t="s">
        <v>21</v>
      </c>
      <c r="F619" s="20">
        <v>0</v>
      </c>
      <c r="G619" s="20">
        <v>0</v>
      </c>
    </row>
    <row r="620" spans="1:7" ht="15" customHeight="1" x14ac:dyDescent="0.75">
      <c r="A620" s="18" t="s">
        <v>73</v>
      </c>
      <c r="B620" s="19">
        <v>46083</v>
      </c>
      <c r="C620" s="18" t="s">
        <v>66</v>
      </c>
      <c r="D620" s="17">
        <v>666516</v>
      </c>
      <c r="E620" s="18" t="s">
        <v>23</v>
      </c>
      <c r="F620" s="20">
        <v>17</v>
      </c>
      <c r="G620" s="20">
        <v>0</v>
      </c>
    </row>
    <row r="621" spans="1:7" ht="15" customHeight="1" x14ac:dyDescent="0.75">
      <c r="A621" s="18" t="s">
        <v>73</v>
      </c>
      <c r="B621" s="19">
        <v>46083</v>
      </c>
      <c r="C621" s="18" t="s">
        <v>66</v>
      </c>
      <c r="D621" s="17">
        <v>666517</v>
      </c>
      <c r="E621" s="18" t="s">
        <v>25</v>
      </c>
      <c r="F621" s="20">
        <v>10</v>
      </c>
      <c r="G621" s="20">
        <v>0</v>
      </c>
    </row>
    <row r="622" spans="1:7" ht="15" customHeight="1" x14ac:dyDescent="0.75">
      <c r="A622" s="18" t="s">
        <v>73</v>
      </c>
      <c r="B622" s="19">
        <v>46083</v>
      </c>
      <c r="C622" s="18" t="s">
        <v>66</v>
      </c>
      <c r="D622" s="17">
        <v>666518</v>
      </c>
      <c r="E622" s="18" t="s">
        <v>27</v>
      </c>
      <c r="F622" s="20">
        <v>0</v>
      </c>
      <c r="G622" s="20">
        <v>0</v>
      </c>
    </row>
    <row r="623" spans="1:7" ht="15" customHeight="1" x14ac:dyDescent="0.75">
      <c r="A623" s="18" t="s">
        <v>73</v>
      </c>
      <c r="B623" s="19">
        <v>46083</v>
      </c>
      <c r="C623" s="18" t="s">
        <v>66</v>
      </c>
      <c r="D623" s="17">
        <v>666519</v>
      </c>
      <c r="E623" s="18" t="s">
        <v>29</v>
      </c>
      <c r="F623" s="20">
        <v>16.5</v>
      </c>
      <c r="G623" s="20">
        <v>0</v>
      </c>
    </row>
    <row r="624" spans="1:7" ht="15" customHeight="1" x14ac:dyDescent="0.75">
      <c r="A624" s="18" t="s">
        <v>73</v>
      </c>
      <c r="B624" s="19">
        <v>46083</v>
      </c>
      <c r="C624" s="18" t="s">
        <v>66</v>
      </c>
      <c r="D624" s="17">
        <v>666521</v>
      </c>
      <c r="E624" s="18" t="s">
        <v>31</v>
      </c>
      <c r="F624" s="20">
        <v>0</v>
      </c>
      <c r="G624" s="20">
        <v>0</v>
      </c>
    </row>
    <row r="625" spans="1:7" ht="15" customHeight="1" x14ac:dyDescent="0.75">
      <c r="A625" s="18" t="s">
        <v>73</v>
      </c>
      <c r="B625" s="19">
        <v>46083</v>
      </c>
      <c r="C625" s="18" t="s">
        <v>66</v>
      </c>
      <c r="D625" s="17">
        <v>666522</v>
      </c>
      <c r="E625" s="18" t="s">
        <v>33</v>
      </c>
      <c r="F625" s="20">
        <v>20</v>
      </c>
      <c r="G625" s="20">
        <v>0</v>
      </c>
    </row>
    <row r="626" spans="1:7" ht="15" customHeight="1" x14ac:dyDescent="0.75">
      <c r="A626" s="18" t="s">
        <v>73</v>
      </c>
      <c r="B626" s="19">
        <v>46083</v>
      </c>
      <c r="C626" s="18" t="s">
        <v>66</v>
      </c>
      <c r="D626" s="17">
        <v>666523</v>
      </c>
      <c r="E626" s="18" t="s">
        <v>35</v>
      </c>
      <c r="F626" s="20">
        <v>5</v>
      </c>
      <c r="G626" s="20">
        <v>0</v>
      </c>
    </row>
    <row r="627" spans="1:7" ht="15" customHeight="1" x14ac:dyDescent="0.75">
      <c r="A627" s="18" t="s">
        <v>73</v>
      </c>
      <c r="B627" s="19">
        <v>46083</v>
      </c>
      <c r="C627" s="18" t="s">
        <v>66</v>
      </c>
      <c r="D627" s="17">
        <v>666530</v>
      </c>
      <c r="E627" s="18" t="s">
        <v>37</v>
      </c>
      <c r="F627" s="20">
        <v>7.5</v>
      </c>
      <c r="G627" s="20">
        <v>0</v>
      </c>
    </row>
    <row r="628" spans="1:7" ht="15" customHeight="1" x14ac:dyDescent="0.75">
      <c r="A628" s="18" t="s">
        <v>73</v>
      </c>
      <c r="B628" s="19">
        <v>46083</v>
      </c>
      <c r="C628" s="18" t="s">
        <v>66</v>
      </c>
      <c r="D628" s="17">
        <v>666531</v>
      </c>
      <c r="E628" s="18" t="s">
        <v>39</v>
      </c>
      <c r="F628" s="20">
        <v>4</v>
      </c>
      <c r="G628" s="20">
        <v>0</v>
      </c>
    </row>
    <row r="629" spans="1:7" ht="15" customHeight="1" x14ac:dyDescent="0.75">
      <c r="A629" s="18" t="s">
        <v>73</v>
      </c>
      <c r="B629" s="19">
        <v>46083</v>
      </c>
      <c r="C629" s="18" t="s">
        <v>66</v>
      </c>
      <c r="D629" s="17">
        <v>666540</v>
      </c>
      <c r="E629" s="18" t="s">
        <v>40</v>
      </c>
      <c r="F629" s="20">
        <v>0</v>
      </c>
      <c r="G629" s="20">
        <v>0</v>
      </c>
    </row>
    <row r="630" spans="1:7" ht="15" customHeight="1" x14ac:dyDescent="0.75">
      <c r="A630" s="18" t="s">
        <v>73</v>
      </c>
      <c r="B630" s="19">
        <v>46083</v>
      </c>
      <c r="C630" s="18" t="s">
        <v>66</v>
      </c>
      <c r="D630" s="17">
        <v>666541</v>
      </c>
      <c r="E630" s="18" t="s">
        <v>41</v>
      </c>
      <c r="F630" s="20">
        <v>0</v>
      </c>
      <c r="G630" s="20">
        <v>0</v>
      </c>
    </row>
    <row r="631" spans="1:7" ht="15" customHeight="1" x14ac:dyDescent="0.75">
      <c r="A631" s="18" t="s">
        <v>73</v>
      </c>
      <c r="B631" s="19">
        <v>46083</v>
      </c>
      <c r="C631" s="18" t="s">
        <v>66</v>
      </c>
      <c r="D631" s="17">
        <v>666536</v>
      </c>
      <c r="E631" s="18" t="s">
        <v>43</v>
      </c>
      <c r="F631" s="20">
        <v>0</v>
      </c>
      <c r="G631" s="20">
        <v>0</v>
      </c>
    </row>
    <row r="632" spans="1:7" ht="15" customHeight="1" x14ac:dyDescent="0.75">
      <c r="A632" s="18" t="s">
        <v>74</v>
      </c>
      <c r="B632" s="19">
        <v>46090</v>
      </c>
      <c r="C632" s="18" t="s">
        <v>56</v>
      </c>
      <c r="D632" s="17">
        <v>666501</v>
      </c>
      <c r="E632" s="18" t="s">
        <v>5</v>
      </c>
      <c r="F632" s="20">
        <v>34.5</v>
      </c>
      <c r="G632" s="20">
        <v>33</v>
      </c>
    </row>
    <row r="633" spans="1:7" ht="15" customHeight="1" x14ac:dyDescent="0.75">
      <c r="A633" s="18" t="s">
        <v>74</v>
      </c>
      <c r="B633" s="19">
        <v>46090</v>
      </c>
      <c r="C633" s="18" t="s">
        <v>56</v>
      </c>
      <c r="D633" s="17">
        <v>666502</v>
      </c>
      <c r="E633" s="18" t="s">
        <v>7</v>
      </c>
      <c r="F633" s="20">
        <v>0</v>
      </c>
      <c r="G633" s="20">
        <v>0</v>
      </c>
    </row>
    <row r="634" spans="1:7" ht="15" customHeight="1" x14ac:dyDescent="0.75">
      <c r="A634" s="18" t="s">
        <v>74</v>
      </c>
      <c r="B634" s="19">
        <v>46090</v>
      </c>
      <c r="C634" s="18" t="s">
        <v>56</v>
      </c>
      <c r="D634" s="17">
        <v>666505</v>
      </c>
      <c r="E634" s="18" t="s">
        <v>9</v>
      </c>
      <c r="F634" s="20">
        <v>10</v>
      </c>
      <c r="G634" s="20">
        <v>20</v>
      </c>
    </row>
    <row r="635" spans="1:7" ht="15" customHeight="1" x14ac:dyDescent="0.75">
      <c r="A635" s="18" t="s">
        <v>74</v>
      </c>
      <c r="B635" s="19">
        <v>46090</v>
      </c>
      <c r="C635" s="18" t="s">
        <v>56</v>
      </c>
      <c r="D635" s="17">
        <v>666506</v>
      </c>
      <c r="E635" s="18" t="s">
        <v>11</v>
      </c>
      <c r="F635" s="20">
        <v>0</v>
      </c>
      <c r="G635" s="20">
        <v>0</v>
      </c>
    </row>
    <row r="636" spans="1:7" ht="15" customHeight="1" x14ac:dyDescent="0.75">
      <c r="A636" s="18" t="s">
        <v>74</v>
      </c>
      <c r="B636" s="19">
        <v>46090</v>
      </c>
      <c r="C636" s="18" t="s">
        <v>56</v>
      </c>
      <c r="D636" s="17">
        <v>666507</v>
      </c>
      <c r="E636" s="18" t="s">
        <v>13</v>
      </c>
      <c r="F636" s="20">
        <v>21</v>
      </c>
      <c r="G636" s="20">
        <v>21</v>
      </c>
    </row>
    <row r="637" spans="1:7" ht="15" customHeight="1" x14ac:dyDescent="0.75">
      <c r="A637" s="18" t="s">
        <v>74</v>
      </c>
      <c r="B637" s="19">
        <v>46090</v>
      </c>
      <c r="C637" s="18" t="s">
        <v>56</v>
      </c>
      <c r="D637" s="17">
        <v>666509</v>
      </c>
      <c r="E637" s="18" t="s">
        <v>15</v>
      </c>
      <c r="F637" s="20">
        <v>50</v>
      </c>
      <c r="G637" s="20">
        <v>55</v>
      </c>
    </row>
    <row r="638" spans="1:7" ht="15" customHeight="1" x14ac:dyDescent="0.75">
      <c r="A638" s="18" t="s">
        <v>74</v>
      </c>
      <c r="B638" s="19">
        <v>46090</v>
      </c>
      <c r="C638" s="18" t="s">
        <v>56</v>
      </c>
      <c r="D638" s="17">
        <v>666510</v>
      </c>
      <c r="E638" s="18" t="s">
        <v>17</v>
      </c>
      <c r="F638" s="20">
        <v>0</v>
      </c>
      <c r="G638" s="20">
        <v>0</v>
      </c>
    </row>
    <row r="639" spans="1:7" ht="15" customHeight="1" x14ac:dyDescent="0.75">
      <c r="A639" s="18" t="s">
        <v>74</v>
      </c>
      <c r="B639" s="19">
        <v>46090</v>
      </c>
      <c r="C639" s="18" t="s">
        <v>56</v>
      </c>
      <c r="D639" s="17">
        <v>666511</v>
      </c>
      <c r="E639" s="18" t="s">
        <v>19</v>
      </c>
      <c r="F639" s="20">
        <v>4</v>
      </c>
      <c r="G639" s="20">
        <v>0</v>
      </c>
    </row>
    <row r="640" spans="1:7" ht="15" customHeight="1" x14ac:dyDescent="0.75">
      <c r="A640" s="18" t="s">
        <v>74</v>
      </c>
      <c r="B640" s="19">
        <v>46090</v>
      </c>
      <c r="C640" s="18" t="s">
        <v>56</v>
      </c>
      <c r="D640" s="17">
        <v>666513</v>
      </c>
      <c r="E640" s="18" t="s">
        <v>21</v>
      </c>
      <c r="F640" s="20">
        <v>0</v>
      </c>
      <c r="G640" s="20">
        <v>0</v>
      </c>
    </row>
    <row r="641" spans="1:7" ht="15" customHeight="1" x14ac:dyDescent="0.75">
      <c r="A641" s="18" t="s">
        <v>74</v>
      </c>
      <c r="B641" s="19">
        <v>46090</v>
      </c>
      <c r="C641" s="18" t="s">
        <v>56</v>
      </c>
      <c r="D641" s="17">
        <v>666516</v>
      </c>
      <c r="E641" s="18" t="s">
        <v>23</v>
      </c>
      <c r="F641" s="20">
        <v>17</v>
      </c>
      <c r="G641" s="20">
        <v>34</v>
      </c>
    </row>
    <row r="642" spans="1:7" ht="15" customHeight="1" x14ac:dyDescent="0.75">
      <c r="A642" s="18" t="s">
        <v>74</v>
      </c>
      <c r="B642" s="19">
        <v>46090</v>
      </c>
      <c r="C642" s="18" t="s">
        <v>56</v>
      </c>
      <c r="D642" s="17">
        <v>666517</v>
      </c>
      <c r="E642" s="18" t="s">
        <v>25</v>
      </c>
      <c r="F642" s="20">
        <v>23</v>
      </c>
      <c r="G642" s="20">
        <v>46</v>
      </c>
    </row>
    <row r="643" spans="1:7" ht="15" customHeight="1" x14ac:dyDescent="0.75">
      <c r="A643" s="18" t="s">
        <v>74</v>
      </c>
      <c r="B643" s="19">
        <v>46090</v>
      </c>
      <c r="C643" s="18" t="s">
        <v>56</v>
      </c>
      <c r="D643" s="17">
        <v>666518</v>
      </c>
      <c r="E643" s="18" t="s">
        <v>27</v>
      </c>
      <c r="F643" s="20">
        <v>0</v>
      </c>
      <c r="G643" s="20">
        <v>0</v>
      </c>
    </row>
    <row r="644" spans="1:7" ht="15" customHeight="1" x14ac:dyDescent="0.75">
      <c r="A644" s="18" t="s">
        <v>74</v>
      </c>
      <c r="B644" s="19">
        <v>46090</v>
      </c>
      <c r="C644" s="18" t="s">
        <v>56</v>
      </c>
      <c r="D644" s="17">
        <v>666519</v>
      </c>
      <c r="E644" s="18" t="s">
        <v>29</v>
      </c>
      <c r="F644" s="20">
        <v>16.5</v>
      </c>
      <c r="G644" s="20">
        <v>33</v>
      </c>
    </row>
    <row r="645" spans="1:7" ht="15" customHeight="1" x14ac:dyDescent="0.75">
      <c r="A645" s="18" t="s">
        <v>74</v>
      </c>
      <c r="B645" s="19">
        <v>46090</v>
      </c>
      <c r="C645" s="18" t="s">
        <v>56</v>
      </c>
      <c r="D645" s="17">
        <v>666521</v>
      </c>
      <c r="E645" s="18" t="s">
        <v>31</v>
      </c>
      <c r="F645" s="20">
        <v>26</v>
      </c>
      <c r="G645" s="20">
        <v>17</v>
      </c>
    </row>
    <row r="646" spans="1:7" ht="15" customHeight="1" x14ac:dyDescent="0.75">
      <c r="A646" s="18" t="s">
        <v>74</v>
      </c>
      <c r="B646" s="19">
        <v>46090</v>
      </c>
      <c r="C646" s="18" t="s">
        <v>56</v>
      </c>
      <c r="D646" s="17">
        <v>666522</v>
      </c>
      <c r="E646" s="18" t="s">
        <v>33</v>
      </c>
      <c r="F646" s="20">
        <v>65</v>
      </c>
      <c r="G646" s="20">
        <v>115</v>
      </c>
    </row>
    <row r="647" spans="1:7" ht="15" customHeight="1" x14ac:dyDescent="0.75">
      <c r="A647" s="18" t="s">
        <v>74</v>
      </c>
      <c r="B647" s="19">
        <v>46090</v>
      </c>
      <c r="C647" s="18" t="s">
        <v>56</v>
      </c>
      <c r="D647" s="17">
        <v>666523</v>
      </c>
      <c r="E647" s="18" t="s">
        <v>35</v>
      </c>
      <c r="F647" s="20">
        <v>0</v>
      </c>
      <c r="G647" s="20">
        <v>0</v>
      </c>
    </row>
    <row r="648" spans="1:7" ht="15" customHeight="1" x14ac:dyDescent="0.75">
      <c r="A648" s="18" t="s">
        <v>74</v>
      </c>
      <c r="B648" s="19">
        <v>46090</v>
      </c>
      <c r="C648" s="18" t="s">
        <v>56</v>
      </c>
      <c r="D648" s="17">
        <v>666530</v>
      </c>
      <c r="E648" s="18" t="s">
        <v>37</v>
      </c>
      <c r="F648" s="20">
        <v>2.5</v>
      </c>
      <c r="G648" s="20">
        <v>0</v>
      </c>
    </row>
    <row r="649" spans="1:7" ht="15" customHeight="1" x14ac:dyDescent="0.75">
      <c r="A649" s="18" t="s">
        <v>74</v>
      </c>
      <c r="B649" s="19">
        <v>46090</v>
      </c>
      <c r="C649" s="18" t="s">
        <v>56</v>
      </c>
      <c r="D649" s="17">
        <v>666531</v>
      </c>
      <c r="E649" s="18" t="s">
        <v>39</v>
      </c>
      <c r="F649" s="20">
        <v>9</v>
      </c>
      <c r="G649" s="20">
        <v>18</v>
      </c>
    </row>
    <row r="650" spans="1:7" ht="15" customHeight="1" x14ac:dyDescent="0.75">
      <c r="A650" s="18" t="s">
        <v>74</v>
      </c>
      <c r="B650" s="19">
        <v>46090</v>
      </c>
      <c r="C650" s="18" t="s">
        <v>56</v>
      </c>
      <c r="D650" s="17">
        <v>666540</v>
      </c>
      <c r="E650" s="18" t="s">
        <v>40</v>
      </c>
      <c r="F650" s="20">
        <v>0</v>
      </c>
      <c r="G650" s="20">
        <v>0</v>
      </c>
    </row>
    <row r="651" spans="1:7" ht="15" customHeight="1" x14ac:dyDescent="0.75">
      <c r="A651" s="18" t="s">
        <v>74</v>
      </c>
      <c r="B651" s="19">
        <v>46090</v>
      </c>
      <c r="C651" s="18" t="s">
        <v>56</v>
      </c>
      <c r="D651" s="17">
        <v>666541</v>
      </c>
      <c r="E651" s="18" t="s">
        <v>41</v>
      </c>
      <c r="F651" s="20">
        <v>0</v>
      </c>
      <c r="G651" s="20">
        <v>0</v>
      </c>
    </row>
    <row r="652" spans="1:7" ht="15" customHeight="1" x14ac:dyDescent="0.75">
      <c r="A652" s="18" t="s">
        <v>74</v>
      </c>
      <c r="B652" s="19">
        <v>46090</v>
      </c>
      <c r="C652" s="18" t="s">
        <v>56</v>
      </c>
      <c r="D652" s="17">
        <v>666536</v>
      </c>
      <c r="E652" s="18" t="s">
        <v>43</v>
      </c>
      <c r="F652" s="20">
        <v>15</v>
      </c>
      <c r="G652" s="20">
        <v>4</v>
      </c>
    </row>
    <row r="653" spans="1:7" ht="15" customHeight="1" x14ac:dyDescent="0.75">
      <c r="A653" s="18" t="s">
        <v>74</v>
      </c>
      <c r="B653" s="19">
        <v>46090</v>
      </c>
      <c r="C653" s="18" t="s">
        <v>58</v>
      </c>
      <c r="D653" s="17">
        <v>666501</v>
      </c>
      <c r="E653" s="18" t="s">
        <v>5</v>
      </c>
      <c r="F653" s="20">
        <v>312</v>
      </c>
      <c r="G653" s="20">
        <v>300</v>
      </c>
    </row>
    <row r="654" spans="1:7" ht="15" customHeight="1" x14ac:dyDescent="0.75">
      <c r="A654" s="18" t="s">
        <v>74</v>
      </c>
      <c r="B654" s="19">
        <v>46090</v>
      </c>
      <c r="C654" s="18" t="s">
        <v>58</v>
      </c>
      <c r="D654" s="17">
        <v>666502</v>
      </c>
      <c r="E654" s="18" t="s">
        <v>7</v>
      </c>
      <c r="F654" s="20">
        <v>175</v>
      </c>
      <c r="G654" s="20">
        <v>154</v>
      </c>
    </row>
    <row r="655" spans="1:7" ht="15" customHeight="1" x14ac:dyDescent="0.75">
      <c r="A655" s="18" t="s">
        <v>74</v>
      </c>
      <c r="B655" s="19">
        <v>46090</v>
      </c>
      <c r="C655" s="18" t="s">
        <v>58</v>
      </c>
      <c r="D655" s="17">
        <v>666505</v>
      </c>
      <c r="E655" s="18" t="s">
        <v>9</v>
      </c>
      <c r="F655" s="20">
        <v>0</v>
      </c>
      <c r="G655" s="20">
        <v>0</v>
      </c>
    </row>
    <row r="656" spans="1:7" ht="15" customHeight="1" x14ac:dyDescent="0.75">
      <c r="A656" s="18" t="s">
        <v>74</v>
      </c>
      <c r="B656" s="19">
        <v>46090</v>
      </c>
      <c r="C656" s="18" t="s">
        <v>58</v>
      </c>
      <c r="D656" s="17">
        <v>666506</v>
      </c>
      <c r="E656" s="18" t="s">
        <v>11</v>
      </c>
      <c r="F656" s="20">
        <v>200</v>
      </c>
      <c r="G656" s="20">
        <v>24</v>
      </c>
    </row>
    <row r="657" spans="1:7" ht="15" customHeight="1" x14ac:dyDescent="0.75">
      <c r="A657" s="18" t="s">
        <v>74</v>
      </c>
      <c r="B657" s="19">
        <v>46090</v>
      </c>
      <c r="C657" s="18" t="s">
        <v>58</v>
      </c>
      <c r="D657" s="17">
        <v>666507</v>
      </c>
      <c r="E657" s="18" t="s">
        <v>13</v>
      </c>
      <c r="F657" s="20">
        <v>0</v>
      </c>
      <c r="G657" s="20">
        <v>0</v>
      </c>
    </row>
    <row r="658" spans="1:7" ht="15" customHeight="1" x14ac:dyDescent="0.75">
      <c r="A658" s="18" t="s">
        <v>74</v>
      </c>
      <c r="B658" s="19">
        <v>46090</v>
      </c>
      <c r="C658" s="18" t="s">
        <v>58</v>
      </c>
      <c r="D658" s="17">
        <v>666509</v>
      </c>
      <c r="E658" s="18" t="s">
        <v>15</v>
      </c>
      <c r="F658" s="20">
        <v>0</v>
      </c>
      <c r="G658" s="20">
        <v>0</v>
      </c>
    </row>
    <row r="659" spans="1:7" ht="15" customHeight="1" x14ac:dyDescent="0.75">
      <c r="A659" s="18" t="s">
        <v>74</v>
      </c>
      <c r="B659" s="19">
        <v>46090</v>
      </c>
      <c r="C659" s="18" t="s">
        <v>58</v>
      </c>
      <c r="D659" s="17">
        <v>666510</v>
      </c>
      <c r="E659" s="18" t="s">
        <v>17</v>
      </c>
      <c r="F659" s="20">
        <v>0</v>
      </c>
      <c r="G659" s="20">
        <v>0</v>
      </c>
    </row>
    <row r="660" spans="1:7" ht="15" customHeight="1" x14ac:dyDescent="0.75">
      <c r="A660" s="18" t="s">
        <v>74</v>
      </c>
      <c r="B660" s="19">
        <v>46090</v>
      </c>
      <c r="C660" s="18" t="s">
        <v>58</v>
      </c>
      <c r="D660" s="17">
        <v>666511</v>
      </c>
      <c r="E660" s="18" t="s">
        <v>19</v>
      </c>
      <c r="F660" s="20">
        <v>0</v>
      </c>
      <c r="G660" s="20">
        <v>0</v>
      </c>
    </row>
    <row r="661" spans="1:7" ht="15" customHeight="1" x14ac:dyDescent="0.75">
      <c r="A661" s="18" t="s">
        <v>74</v>
      </c>
      <c r="B661" s="19">
        <v>46090</v>
      </c>
      <c r="C661" s="18" t="s">
        <v>58</v>
      </c>
      <c r="D661" s="17">
        <v>666513</v>
      </c>
      <c r="E661" s="18" t="s">
        <v>21</v>
      </c>
      <c r="F661" s="20">
        <v>0</v>
      </c>
      <c r="G661" s="20">
        <v>0</v>
      </c>
    </row>
    <row r="662" spans="1:7" ht="15" customHeight="1" x14ac:dyDescent="0.75">
      <c r="A662" s="18" t="s">
        <v>74</v>
      </c>
      <c r="B662" s="19">
        <v>46090</v>
      </c>
      <c r="C662" s="18" t="s">
        <v>58</v>
      </c>
      <c r="D662" s="17">
        <v>666516</v>
      </c>
      <c r="E662" s="18" t="s">
        <v>23</v>
      </c>
      <c r="F662" s="20">
        <v>0</v>
      </c>
      <c r="G662" s="20">
        <v>0</v>
      </c>
    </row>
    <row r="663" spans="1:7" ht="15" customHeight="1" x14ac:dyDescent="0.75">
      <c r="A663" s="18" t="s">
        <v>74</v>
      </c>
      <c r="B663" s="19">
        <v>46090</v>
      </c>
      <c r="C663" s="18" t="s">
        <v>58</v>
      </c>
      <c r="D663" s="17">
        <v>666517</v>
      </c>
      <c r="E663" s="18" t="s">
        <v>25</v>
      </c>
      <c r="F663" s="20">
        <v>0</v>
      </c>
      <c r="G663" s="20">
        <v>0</v>
      </c>
    </row>
    <row r="664" spans="1:7" ht="15" customHeight="1" x14ac:dyDescent="0.75">
      <c r="A664" s="18" t="s">
        <v>74</v>
      </c>
      <c r="B664" s="19">
        <v>46090</v>
      </c>
      <c r="C664" s="18" t="s">
        <v>58</v>
      </c>
      <c r="D664" s="17">
        <v>666518</v>
      </c>
      <c r="E664" s="18" t="s">
        <v>27</v>
      </c>
      <c r="F664" s="20">
        <v>0</v>
      </c>
      <c r="G664" s="20">
        <v>0</v>
      </c>
    </row>
    <row r="665" spans="1:7" ht="15" customHeight="1" x14ac:dyDescent="0.75">
      <c r="A665" s="18" t="s">
        <v>74</v>
      </c>
      <c r="B665" s="19">
        <v>46090</v>
      </c>
      <c r="C665" s="18" t="s">
        <v>58</v>
      </c>
      <c r="D665" s="17">
        <v>666519</v>
      </c>
      <c r="E665" s="18" t="s">
        <v>29</v>
      </c>
      <c r="F665" s="20">
        <v>0</v>
      </c>
      <c r="G665" s="20">
        <v>0</v>
      </c>
    </row>
    <row r="666" spans="1:7" ht="15" customHeight="1" x14ac:dyDescent="0.75">
      <c r="A666" s="18" t="s">
        <v>74</v>
      </c>
      <c r="B666" s="19">
        <v>46090</v>
      </c>
      <c r="C666" s="18" t="s">
        <v>58</v>
      </c>
      <c r="D666" s="17">
        <v>666521</v>
      </c>
      <c r="E666" s="18" t="s">
        <v>31</v>
      </c>
      <c r="F666" s="20">
        <v>0</v>
      </c>
      <c r="G666" s="20">
        <v>0</v>
      </c>
    </row>
    <row r="667" spans="1:7" ht="15" customHeight="1" x14ac:dyDescent="0.75">
      <c r="A667" s="18" t="s">
        <v>74</v>
      </c>
      <c r="B667" s="19">
        <v>46090</v>
      </c>
      <c r="C667" s="18" t="s">
        <v>58</v>
      </c>
      <c r="D667" s="17">
        <v>666522</v>
      </c>
      <c r="E667" s="18" t="s">
        <v>33</v>
      </c>
      <c r="F667" s="20">
        <v>95</v>
      </c>
      <c r="G667" s="20">
        <v>110</v>
      </c>
    </row>
    <row r="668" spans="1:7" ht="15" customHeight="1" x14ac:dyDescent="0.75">
      <c r="A668" s="18" t="s">
        <v>74</v>
      </c>
      <c r="B668" s="19">
        <v>46090</v>
      </c>
      <c r="C668" s="18" t="s">
        <v>58</v>
      </c>
      <c r="D668" s="17">
        <v>666523</v>
      </c>
      <c r="E668" s="18" t="s">
        <v>35</v>
      </c>
      <c r="F668" s="20">
        <v>20</v>
      </c>
      <c r="G668" s="20">
        <v>40</v>
      </c>
    </row>
    <row r="669" spans="1:7" ht="15" customHeight="1" x14ac:dyDescent="0.75">
      <c r="A669" s="18" t="s">
        <v>74</v>
      </c>
      <c r="B669" s="19">
        <v>46090</v>
      </c>
      <c r="C669" s="18" t="s">
        <v>58</v>
      </c>
      <c r="D669" s="17">
        <v>666530</v>
      </c>
      <c r="E669" s="18" t="s">
        <v>37</v>
      </c>
      <c r="F669" s="20">
        <v>0</v>
      </c>
      <c r="G669" s="20">
        <v>0</v>
      </c>
    </row>
    <row r="670" spans="1:7" ht="15" customHeight="1" x14ac:dyDescent="0.75">
      <c r="A670" s="18" t="s">
        <v>74</v>
      </c>
      <c r="B670" s="19">
        <v>46090</v>
      </c>
      <c r="C670" s="18" t="s">
        <v>58</v>
      </c>
      <c r="D670" s="17">
        <v>666531</v>
      </c>
      <c r="E670" s="18" t="s">
        <v>39</v>
      </c>
      <c r="F670" s="20">
        <v>0</v>
      </c>
      <c r="G670" s="20">
        <v>0</v>
      </c>
    </row>
    <row r="671" spans="1:7" ht="15" customHeight="1" x14ac:dyDescent="0.75">
      <c r="A671" s="18" t="s">
        <v>74</v>
      </c>
      <c r="B671" s="19">
        <v>46090</v>
      </c>
      <c r="C671" s="18" t="s">
        <v>58</v>
      </c>
      <c r="D671" s="17">
        <v>666540</v>
      </c>
      <c r="E671" s="18" t="s">
        <v>40</v>
      </c>
      <c r="F671" s="20">
        <v>60</v>
      </c>
      <c r="G671" s="20">
        <v>0</v>
      </c>
    </row>
    <row r="672" spans="1:7" ht="15" customHeight="1" x14ac:dyDescent="0.75">
      <c r="A672" s="18" t="s">
        <v>74</v>
      </c>
      <c r="B672" s="19">
        <v>46090</v>
      </c>
      <c r="C672" s="18" t="s">
        <v>58</v>
      </c>
      <c r="D672" s="17">
        <v>666541</v>
      </c>
      <c r="E672" s="18" t="s">
        <v>41</v>
      </c>
      <c r="F672" s="20">
        <v>300</v>
      </c>
      <c r="G672" s="20">
        <v>251</v>
      </c>
    </row>
    <row r="673" spans="1:7" ht="15" customHeight="1" x14ac:dyDescent="0.75">
      <c r="A673" s="18" t="s">
        <v>74</v>
      </c>
      <c r="B673" s="19">
        <v>46090</v>
      </c>
      <c r="C673" s="18" t="s">
        <v>58</v>
      </c>
      <c r="D673" s="17">
        <v>666536</v>
      </c>
      <c r="E673" s="18" t="s">
        <v>43</v>
      </c>
      <c r="F673" s="20">
        <v>0</v>
      </c>
      <c r="G673" s="20">
        <v>0</v>
      </c>
    </row>
    <row r="674" spans="1:7" ht="15" customHeight="1" x14ac:dyDescent="0.75">
      <c r="A674" s="18" t="s">
        <v>74</v>
      </c>
      <c r="B674" s="19">
        <v>46090</v>
      </c>
      <c r="C674" s="18" t="s">
        <v>66</v>
      </c>
      <c r="D674" s="17">
        <v>666501</v>
      </c>
      <c r="E674" s="18" t="s">
        <v>5</v>
      </c>
      <c r="F674" s="20">
        <v>30</v>
      </c>
      <c r="G674" s="20">
        <v>27</v>
      </c>
    </row>
    <row r="675" spans="1:7" ht="15" customHeight="1" x14ac:dyDescent="0.75">
      <c r="A675" s="18" t="s">
        <v>74</v>
      </c>
      <c r="B675" s="19">
        <v>46090</v>
      </c>
      <c r="C675" s="18" t="s">
        <v>66</v>
      </c>
      <c r="D675" s="17">
        <v>666502</v>
      </c>
      <c r="E675" s="18" t="s">
        <v>7</v>
      </c>
      <c r="F675" s="20">
        <v>25</v>
      </c>
      <c r="G675" s="20">
        <v>0</v>
      </c>
    </row>
    <row r="676" spans="1:7" ht="15" customHeight="1" x14ac:dyDescent="0.75">
      <c r="A676" s="18" t="s">
        <v>74</v>
      </c>
      <c r="B676" s="19">
        <v>46090</v>
      </c>
      <c r="C676" s="18" t="s">
        <v>66</v>
      </c>
      <c r="D676" s="17">
        <v>666505</v>
      </c>
      <c r="E676" s="18" t="s">
        <v>9</v>
      </c>
      <c r="F676" s="20">
        <v>22</v>
      </c>
      <c r="G676" s="20">
        <v>39</v>
      </c>
    </row>
    <row r="677" spans="1:7" ht="15" customHeight="1" x14ac:dyDescent="0.75">
      <c r="A677" s="18" t="s">
        <v>74</v>
      </c>
      <c r="B677" s="19">
        <v>46090</v>
      </c>
      <c r="C677" s="18" t="s">
        <v>66</v>
      </c>
      <c r="D677" s="17">
        <v>666506</v>
      </c>
      <c r="E677" s="18" t="s">
        <v>11</v>
      </c>
      <c r="F677" s="20">
        <v>0</v>
      </c>
      <c r="G677" s="20">
        <v>0</v>
      </c>
    </row>
    <row r="678" spans="1:7" ht="15" customHeight="1" x14ac:dyDescent="0.75">
      <c r="A678" s="18" t="s">
        <v>74</v>
      </c>
      <c r="B678" s="19">
        <v>46090</v>
      </c>
      <c r="C678" s="18" t="s">
        <v>66</v>
      </c>
      <c r="D678" s="17">
        <v>666507</v>
      </c>
      <c r="E678" s="18" t="s">
        <v>13</v>
      </c>
      <c r="F678" s="20">
        <v>0</v>
      </c>
      <c r="G678" s="20">
        <v>0</v>
      </c>
    </row>
    <row r="679" spans="1:7" ht="15" customHeight="1" x14ac:dyDescent="0.75">
      <c r="A679" s="18" t="s">
        <v>74</v>
      </c>
      <c r="B679" s="19">
        <v>46090</v>
      </c>
      <c r="C679" s="18" t="s">
        <v>66</v>
      </c>
      <c r="D679" s="17">
        <v>666509</v>
      </c>
      <c r="E679" s="18" t="s">
        <v>15</v>
      </c>
      <c r="F679" s="20">
        <v>0</v>
      </c>
      <c r="G679" s="20">
        <v>0</v>
      </c>
    </row>
    <row r="680" spans="1:7" ht="15" customHeight="1" x14ac:dyDescent="0.75">
      <c r="A680" s="18" t="s">
        <v>74</v>
      </c>
      <c r="B680" s="19">
        <v>46090</v>
      </c>
      <c r="C680" s="18" t="s">
        <v>66</v>
      </c>
      <c r="D680" s="17">
        <v>666510</v>
      </c>
      <c r="E680" s="18" t="s">
        <v>17</v>
      </c>
      <c r="F680" s="20">
        <v>0</v>
      </c>
      <c r="G680" s="20">
        <v>0</v>
      </c>
    </row>
    <row r="681" spans="1:7" ht="15" customHeight="1" x14ac:dyDescent="0.75">
      <c r="A681" s="18" t="s">
        <v>74</v>
      </c>
      <c r="B681" s="19">
        <v>46090</v>
      </c>
      <c r="C681" s="18" t="s">
        <v>66</v>
      </c>
      <c r="D681" s="17">
        <v>666511</v>
      </c>
      <c r="E681" s="18" t="s">
        <v>19</v>
      </c>
      <c r="F681" s="20">
        <v>0</v>
      </c>
      <c r="G681" s="20">
        <v>0</v>
      </c>
    </row>
    <row r="682" spans="1:7" ht="15" customHeight="1" x14ac:dyDescent="0.75">
      <c r="A682" s="18" t="s">
        <v>74</v>
      </c>
      <c r="B682" s="19">
        <v>46090</v>
      </c>
      <c r="C682" s="18" t="s">
        <v>66</v>
      </c>
      <c r="D682" s="17">
        <v>666513</v>
      </c>
      <c r="E682" s="18" t="s">
        <v>21</v>
      </c>
      <c r="F682" s="20">
        <v>0</v>
      </c>
      <c r="G682" s="20">
        <v>0</v>
      </c>
    </row>
    <row r="683" spans="1:7" ht="15" customHeight="1" x14ac:dyDescent="0.75">
      <c r="A683" s="18" t="s">
        <v>74</v>
      </c>
      <c r="B683" s="19">
        <v>46090</v>
      </c>
      <c r="C683" s="18" t="s">
        <v>66</v>
      </c>
      <c r="D683" s="17">
        <v>666516</v>
      </c>
      <c r="E683" s="18" t="s">
        <v>23</v>
      </c>
      <c r="F683" s="20">
        <v>17</v>
      </c>
      <c r="G683" s="20">
        <v>21</v>
      </c>
    </row>
    <row r="684" spans="1:7" ht="15" customHeight="1" x14ac:dyDescent="0.75">
      <c r="A684" s="18" t="s">
        <v>74</v>
      </c>
      <c r="B684" s="19">
        <v>46090</v>
      </c>
      <c r="C684" s="18" t="s">
        <v>66</v>
      </c>
      <c r="D684" s="17">
        <v>666517</v>
      </c>
      <c r="E684" s="18" t="s">
        <v>25</v>
      </c>
      <c r="F684" s="20">
        <v>10</v>
      </c>
      <c r="G684" s="20">
        <v>20</v>
      </c>
    </row>
    <row r="685" spans="1:7" ht="15" customHeight="1" x14ac:dyDescent="0.75">
      <c r="A685" s="18" t="s">
        <v>74</v>
      </c>
      <c r="B685" s="19">
        <v>46090</v>
      </c>
      <c r="C685" s="18" t="s">
        <v>66</v>
      </c>
      <c r="D685" s="17">
        <v>666518</v>
      </c>
      <c r="E685" s="18" t="s">
        <v>27</v>
      </c>
      <c r="F685" s="20">
        <v>0</v>
      </c>
      <c r="G685" s="20">
        <v>0</v>
      </c>
    </row>
    <row r="686" spans="1:7" ht="15" customHeight="1" x14ac:dyDescent="0.75">
      <c r="A686" s="18" t="s">
        <v>74</v>
      </c>
      <c r="B686" s="19">
        <v>46090</v>
      </c>
      <c r="C686" s="18" t="s">
        <v>66</v>
      </c>
      <c r="D686" s="17">
        <v>666519</v>
      </c>
      <c r="E686" s="18" t="s">
        <v>29</v>
      </c>
      <c r="F686" s="20">
        <v>16.5</v>
      </c>
      <c r="G686" s="20">
        <v>27</v>
      </c>
    </row>
    <row r="687" spans="1:7" ht="15" customHeight="1" x14ac:dyDescent="0.75">
      <c r="A687" s="18" t="s">
        <v>74</v>
      </c>
      <c r="B687" s="19">
        <v>46090</v>
      </c>
      <c r="C687" s="18" t="s">
        <v>66</v>
      </c>
      <c r="D687" s="17">
        <v>666521</v>
      </c>
      <c r="E687" s="18" t="s">
        <v>31</v>
      </c>
      <c r="F687" s="20">
        <v>0</v>
      </c>
      <c r="G687" s="20">
        <v>0</v>
      </c>
    </row>
    <row r="688" spans="1:7" ht="15" customHeight="1" x14ac:dyDescent="0.75">
      <c r="A688" s="18" t="s">
        <v>74</v>
      </c>
      <c r="B688" s="19">
        <v>46090</v>
      </c>
      <c r="C688" s="18" t="s">
        <v>66</v>
      </c>
      <c r="D688" s="17">
        <v>666522</v>
      </c>
      <c r="E688" s="18" t="s">
        <v>33</v>
      </c>
      <c r="F688" s="20">
        <v>40</v>
      </c>
      <c r="G688" s="20">
        <v>35</v>
      </c>
    </row>
    <row r="689" spans="1:7" ht="15" customHeight="1" x14ac:dyDescent="0.75">
      <c r="A689" s="18" t="s">
        <v>74</v>
      </c>
      <c r="B689" s="19">
        <v>46090</v>
      </c>
      <c r="C689" s="18" t="s">
        <v>66</v>
      </c>
      <c r="D689" s="17">
        <v>666523</v>
      </c>
      <c r="E689" s="18" t="s">
        <v>35</v>
      </c>
      <c r="F689" s="20">
        <v>5</v>
      </c>
      <c r="G689" s="20">
        <v>10</v>
      </c>
    </row>
    <row r="690" spans="1:7" ht="15" customHeight="1" x14ac:dyDescent="0.75">
      <c r="A690" s="18" t="s">
        <v>74</v>
      </c>
      <c r="B690" s="19">
        <v>46090</v>
      </c>
      <c r="C690" s="18" t="s">
        <v>66</v>
      </c>
      <c r="D690" s="17">
        <v>666530</v>
      </c>
      <c r="E690" s="18" t="s">
        <v>37</v>
      </c>
      <c r="F690" s="20">
        <v>7.5</v>
      </c>
      <c r="G690" s="20">
        <v>0</v>
      </c>
    </row>
    <row r="691" spans="1:7" ht="15" customHeight="1" x14ac:dyDescent="0.75">
      <c r="A691" s="18" t="s">
        <v>74</v>
      </c>
      <c r="B691" s="19">
        <v>46090</v>
      </c>
      <c r="C691" s="18" t="s">
        <v>66</v>
      </c>
      <c r="D691" s="17">
        <v>666531</v>
      </c>
      <c r="E691" s="18" t="s">
        <v>39</v>
      </c>
      <c r="F691" s="20">
        <v>4</v>
      </c>
      <c r="G691" s="20">
        <v>8</v>
      </c>
    </row>
    <row r="692" spans="1:7" ht="15" customHeight="1" x14ac:dyDescent="0.75">
      <c r="A692" s="18" t="s">
        <v>74</v>
      </c>
      <c r="B692" s="19">
        <v>46090</v>
      </c>
      <c r="C692" s="18" t="s">
        <v>66</v>
      </c>
      <c r="D692" s="17">
        <v>666540</v>
      </c>
      <c r="E692" s="18" t="s">
        <v>40</v>
      </c>
      <c r="F692" s="20">
        <v>0</v>
      </c>
      <c r="G692" s="20">
        <v>0</v>
      </c>
    </row>
    <row r="693" spans="1:7" ht="15" customHeight="1" x14ac:dyDescent="0.75">
      <c r="A693" s="18" t="s">
        <v>74</v>
      </c>
      <c r="B693" s="19">
        <v>46090</v>
      </c>
      <c r="C693" s="18" t="s">
        <v>66</v>
      </c>
      <c r="D693" s="17">
        <v>666541</v>
      </c>
      <c r="E693" s="18" t="s">
        <v>41</v>
      </c>
      <c r="F693" s="20">
        <v>0</v>
      </c>
      <c r="G693" s="20">
        <v>0</v>
      </c>
    </row>
    <row r="694" spans="1:7" ht="15" customHeight="1" x14ac:dyDescent="0.75">
      <c r="A694" s="18" t="s">
        <v>74</v>
      </c>
      <c r="B694" s="19">
        <v>46090</v>
      </c>
      <c r="C694" s="18" t="s">
        <v>66</v>
      </c>
      <c r="D694" s="17">
        <v>666536</v>
      </c>
      <c r="E694" s="18" t="s">
        <v>43</v>
      </c>
      <c r="F694" s="20">
        <v>0</v>
      </c>
      <c r="G694" s="20">
        <v>0</v>
      </c>
    </row>
    <row r="695" spans="1:7" ht="15" customHeight="1" x14ac:dyDescent="0.75">
      <c r="A695" s="18" t="s">
        <v>75</v>
      </c>
      <c r="B695" s="19">
        <v>46097</v>
      </c>
      <c r="C695" s="18" t="s">
        <v>56</v>
      </c>
      <c r="D695" s="17">
        <v>666501</v>
      </c>
      <c r="E695" s="18" t="s">
        <v>5</v>
      </c>
      <c r="F695" s="20">
        <v>34.5</v>
      </c>
      <c r="G695" s="20">
        <v>21</v>
      </c>
    </row>
    <row r="696" spans="1:7" ht="15" customHeight="1" x14ac:dyDescent="0.75">
      <c r="A696" s="18" t="s">
        <v>75</v>
      </c>
      <c r="B696" s="19">
        <v>46097</v>
      </c>
      <c r="C696" s="18" t="s">
        <v>56</v>
      </c>
      <c r="D696" s="17">
        <v>666502</v>
      </c>
      <c r="E696" s="18" t="s">
        <v>7</v>
      </c>
      <c r="F696" s="20">
        <v>0</v>
      </c>
      <c r="G696" s="20">
        <v>0</v>
      </c>
    </row>
    <row r="697" spans="1:7" ht="15" customHeight="1" x14ac:dyDescent="0.75">
      <c r="A697" s="18" t="s">
        <v>75</v>
      </c>
      <c r="B697" s="19">
        <v>46097</v>
      </c>
      <c r="C697" s="18" t="s">
        <v>56</v>
      </c>
      <c r="D697" s="17">
        <v>666505</v>
      </c>
      <c r="E697" s="18" t="s">
        <v>9</v>
      </c>
      <c r="F697" s="20">
        <v>10</v>
      </c>
      <c r="G697" s="20">
        <v>0</v>
      </c>
    </row>
    <row r="698" spans="1:7" ht="15" customHeight="1" x14ac:dyDescent="0.75">
      <c r="A698" s="18" t="s">
        <v>75</v>
      </c>
      <c r="B698" s="19">
        <v>46097</v>
      </c>
      <c r="C698" s="18" t="s">
        <v>56</v>
      </c>
      <c r="D698" s="17">
        <v>666506</v>
      </c>
      <c r="E698" s="18" t="s">
        <v>11</v>
      </c>
      <c r="F698" s="20">
        <v>0</v>
      </c>
      <c r="G698" s="20">
        <v>0</v>
      </c>
    </row>
    <row r="699" spans="1:7" ht="15" customHeight="1" x14ac:dyDescent="0.75">
      <c r="A699" s="18" t="s">
        <v>75</v>
      </c>
      <c r="B699" s="19">
        <v>46097</v>
      </c>
      <c r="C699" s="18" t="s">
        <v>56</v>
      </c>
      <c r="D699" s="17">
        <v>666507</v>
      </c>
      <c r="E699" s="18" t="s">
        <v>13</v>
      </c>
      <c r="F699" s="20">
        <v>21</v>
      </c>
      <c r="G699" s="20">
        <v>15</v>
      </c>
    </row>
    <row r="700" spans="1:7" ht="15" customHeight="1" x14ac:dyDescent="0.75">
      <c r="A700" s="18" t="s">
        <v>75</v>
      </c>
      <c r="B700" s="19">
        <v>46097</v>
      </c>
      <c r="C700" s="18" t="s">
        <v>56</v>
      </c>
      <c r="D700" s="17">
        <v>666509</v>
      </c>
      <c r="E700" s="18" t="s">
        <v>15</v>
      </c>
      <c r="F700" s="20">
        <v>50</v>
      </c>
      <c r="G700" s="20">
        <v>45</v>
      </c>
    </row>
    <row r="701" spans="1:7" ht="15" customHeight="1" x14ac:dyDescent="0.75">
      <c r="A701" s="18" t="s">
        <v>75</v>
      </c>
      <c r="B701" s="19">
        <v>46097</v>
      </c>
      <c r="C701" s="18" t="s">
        <v>56</v>
      </c>
      <c r="D701" s="17">
        <v>666510</v>
      </c>
      <c r="E701" s="18" t="s">
        <v>17</v>
      </c>
      <c r="F701" s="20">
        <v>0</v>
      </c>
      <c r="G701" s="20">
        <v>0</v>
      </c>
    </row>
    <row r="702" spans="1:7" ht="15" customHeight="1" x14ac:dyDescent="0.75">
      <c r="A702" s="18" t="s">
        <v>75</v>
      </c>
      <c r="B702" s="19">
        <v>46097</v>
      </c>
      <c r="C702" s="18" t="s">
        <v>56</v>
      </c>
      <c r="D702" s="17">
        <v>666511</v>
      </c>
      <c r="E702" s="18" t="s">
        <v>19</v>
      </c>
      <c r="F702" s="20">
        <v>4</v>
      </c>
      <c r="G702" s="20">
        <v>8</v>
      </c>
    </row>
    <row r="703" spans="1:7" ht="15" customHeight="1" x14ac:dyDescent="0.75">
      <c r="A703" s="18" t="s">
        <v>75</v>
      </c>
      <c r="B703" s="19">
        <v>46097</v>
      </c>
      <c r="C703" s="18" t="s">
        <v>56</v>
      </c>
      <c r="D703" s="17">
        <v>666513</v>
      </c>
      <c r="E703" s="18" t="s">
        <v>21</v>
      </c>
      <c r="F703" s="20">
        <v>0</v>
      </c>
      <c r="G703" s="20">
        <v>0</v>
      </c>
    </row>
    <row r="704" spans="1:7" ht="15" customHeight="1" x14ac:dyDescent="0.75">
      <c r="A704" s="18" t="s">
        <v>75</v>
      </c>
      <c r="B704" s="19">
        <v>46097</v>
      </c>
      <c r="C704" s="18" t="s">
        <v>56</v>
      </c>
      <c r="D704" s="17">
        <v>666516</v>
      </c>
      <c r="E704" s="18" t="s">
        <v>23</v>
      </c>
      <c r="F704" s="20">
        <v>17</v>
      </c>
      <c r="G704" s="20">
        <v>0</v>
      </c>
    </row>
    <row r="705" spans="1:7" ht="15" customHeight="1" x14ac:dyDescent="0.75">
      <c r="A705" s="18" t="s">
        <v>75</v>
      </c>
      <c r="B705" s="19">
        <v>46097</v>
      </c>
      <c r="C705" s="18" t="s">
        <v>56</v>
      </c>
      <c r="D705" s="17">
        <v>666517</v>
      </c>
      <c r="E705" s="18" t="s">
        <v>25</v>
      </c>
      <c r="F705" s="20">
        <v>23</v>
      </c>
      <c r="G705" s="20">
        <v>0</v>
      </c>
    </row>
    <row r="706" spans="1:7" ht="15" customHeight="1" x14ac:dyDescent="0.75">
      <c r="A706" s="18" t="s">
        <v>75</v>
      </c>
      <c r="B706" s="19">
        <v>46097</v>
      </c>
      <c r="C706" s="18" t="s">
        <v>56</v>
      </c>
      <c r="D706" s="17">
        <v>666518</v>
      </c>
      <c r="E706" s="18" t="s">
        <v>27</v>
      </c>
      <c r="F706" s="20">
        <v>0</v>
      </c>
      <c r="G706" s="20">
        <v>0</v>
      </c>
    </row>
    <row r="707" spans="1:7" ht="15" customHeight="1" x14ac:dyDescent="0.75">
      <c r="A707" s="18" t="s">
        <v>75</v>
      </c>
      <c r="B707" s="19">
        <v>46097</v>
      </c>
      <c r="C707" s="18" t="s">
        <v>56</v>
      </c>
      <c r="D707" s="17">
        <v>666519</v>
      </c>
      <c r="E707" s="18" t="s">
        <v>29</v>
      </c>
      <c r="F707" s="20">
        <v>16.5</v>
      </c>
      <c r="G707" s="20">
        <v>0</v>
      </c>
    </row>
    <row r="708" spans="1:7" ht="15" customHeight="1" x14ac:dyDescent="0.75">
      <c r="A708" s="18" t="s">
        <v>75</v>
      </c>
      <c r="B708" s="19">
        <v>46097</v>
      </c>
      <c r="C708" s="18" t="s">
        <v>56</v>
      </c>
      <c r="D708" s="17">
        <v>666521</v>
      </c>
      <c r="E708" s="18" t="s">
        <v>31</v>
      </c>
      <c r="F708" s="20">
        <v>26</v>
      </c>
      <c r="G708" s="20">
        <v>16</v>
      </c>
    </row>
    <row r="709" spans="1:7" ht="15" customHeight="1" x14ac:dyDescent="0.75">
      <c r="A709" s="18" t="s">
        <v>75</v>
      </c>
      <c r="B709" s="19">
        <v>46097</v>
      </c>
      <c r="C709" s="18" t="s">
        <v>56</v>
      </c>
      <c r="D709" s="17">
        <v>666522</v>
      </c>
      <c r="E709" s="18" t="s">
        <v>33</v>
      </c>
      <c r="F709" s="20">
        <v>65</v>
      </c>
      <c r="G709" s="20">
        <v>15</v>
      </c>
    </row>
    <row r="710" spans="1:7" ht="15" customHeight="1" x14ac:dyDescent="0.75">
      <c r="A710" s="18" t="s">
        <v>75</v>
      </c>
      <c r="B710" s="19">
        <v>46097</v>
      </c>
      <c r="C710" s="18" t="s">
        <v>56</v>
      </c>
      <c r="D710" s="17">
        <v>666523</v>
      </c>
      <c r="E710" s="18" t="s">
        <v>35</v>
      </c>
      <c r="F710" s="20">
        <v>0</v>
      </c>
      <c r="G710" s="20">
        <v>0</v>
      </c>
    </row>
    <row r="711" spans="1:7" ht="15" customHeight="1" x14ac:dyDescent="0.75">
      <c r="A711" s="18" t="s">
        <v>75</v>
      </c>
      <c r="B711" s="19">
        <v>46097</v>
      </c>
      <c r="C711" s="18" t="s">
        <v>56</v>
      </c>
      <c r="D711" s="17">
        <v>666530</v>
      </c>
      <c r="E711" s="18" t="s">
        <v>37</v>
      </c>
      <c r="F711" s="20">
        <v>2.5</v>
      </c>
      <c r="G711" s="20">
        <v>5</v>
      </c>
    </row>
    <row r="712" spans="1:7" ht="15" customHeight="1" x14ac:dyDescent="0.75">
      <c r="A712" s="18" t="s">
        <v>75</v>
      </c>
      <c r="B712" s="19">
        <v>46097</v>
      </c>
      <c r="C712" s="18" t="s">
        <v>56</v>
      </c>
      <c r="D712" s="17">
        <v>666531</v>
      </c>
      <c r="E712" s="18" t="s">
        <v>39</v>
      </c>
      <c r="F712" s="20">
        <v>9</v>
      </c>
      <c r="G712" s="20">
        <v>0</v>
      </c>
    </row>
    <row r="713" spans="1:7" ht="15" customHeight="1" x14ac:dyDescent="0.75">
      <c r="A713" s="18" t="s">
        <v>75</v>
      </c>
      <c r="B713" s="19">
        <v>46097</v>
      </c>
      <c r="C713" s="18" t="s">
        <v>56</v>
      </c>
      <c r="D713" s="17">
        <v>666540</v>
      </c>
      <c r="E713" s="18" t="s">
        <v>40</v>
      </c>
      <c r="F713" s="20">
        <v>0</v>
      </c>
      <c r="G713" s="20">
        <v>0</v>
      </c>
    </row>
    <row r="714" spans="1:7" ht="15" customHeight="1" x14ac:dyDescent="0.75">
      <c r="A714" s="18" t="s">
        <v>75</v>
      </c>
      <c r="B714" s="19">
        <v>46097</v>
      </c>
      <c r="C714" s="18" t="s">
        <v>56</v>
      </c>
      <c r="D714" s="17">
        <v>666541</v>
      </c>
      <c r="E714" s="18" t="s">
        <v>41</v>
      </c>
      <c r="F714" s="20">
        <v>0</v>
      </c>
      <c r="G714" s="20">
        <v>0</v>
      </c>
    </row>
    <row r="715" spans="1:7" ht="15" customHeight="1" x14ac:dyDescent="0.75">
      <c r="A715" s="18" t="s">
        <v>75</v>
      </c>
      <c r="B715" s="19">
        <v>46097</v>
      </c>
      <c r="C715" s="18" t="s">
        <v>56</v>
      </c>
      <c r="D715" s="17">
        <v>666536</v>
      </c>
      <c r="E715" s="18" t="s">
        <v>43</v>
      </c>
      <c r="F715" s="20">
        <v>15</v>
      </c>
      <c r="G715" s="20">
        <v>3</v>
      </c>
    </row>
    <row r="716" spans="1:7" ht="15" customHeight="1" x14ac:dyDescent="0.75">
      <c r="A716" s="18" t="s">
        <v>75</v>
      </c>
      <c r="B716" s="19">
        <v>46097</v>
      </c>
      <c r="C716" s="18" t="s">
        <v>58</v>
      </c>
      <c r="D716" s="17">
        <v>666501</v>
      </c>
      <c r="E716" s="18" t="s">
        <v>5</v>
      </c>
      <c r="F716" s="20">
        <v>312</v>
      </c>
      <c r="G716" s="20">
        <v>258</v>
      </c>
    </row>
    <row r="717" spans="1:7" ht="15" customHeight="1" x14ac:dyDescent="0.75">
      <c r="A717" s="18" t="s">
        <v>75</v>
      </c>
      <c r="B717" s="19">
        <v>46097</v>
      </c>
      <c r="C717" s="18" t="s">
        <v>58</v>
      </c>
      <c r="D717" s="17">
        <v>666502</v>
      </c>
      <c r="E717" s="18" t="s">
        <v>7</v>
      </c>
      <c r="F717" s="20">
        <v>175</v>
      </c>
      <c r="G717" s="20">
        <v>147</v>
      </c>
    </row>
    <row r="718" spans="1:7" ht="15" customHeight="1" x14ac:dyDescent="0.75">
      <c r="A718" s="18" t="s">
        <v>75</v>
      </c>
      <c r="B718" s="19">
        <v>46097</v>
      </c>
      <c r="C718" s="18" t="s">
        <v>58</v>
      </c>
      <c r="D718" s="17">
        <v>666505</v>
      </c>
      <c r="E718" s="18" t="s">
        <v>9</v>
      </c>
      <c r="F718" s="20">
        <v>0</v>
      </c>
      <c r="G718" s="20">
        <v>0</v>
      </c>
    </row>
    <row r="719" spans="1:7" ht="15" customHeight="1" x14ac:dyDescent="0.75">
      <c r="A719" s="18" t="s">
        <v>75</v>
      </c>
      <c r="B719" s="19">
        <v>46097</v>
      </c>
      <c r="C719" s="18" t="s">
        <v>58</v>
      </c>
      <c r="D719" s="17">
        <v>666506</v>
      </c>
      <c r="E719" s="18" t="s">
        <v>11</v>
      </c>
      <c r="F719" s="20">
        <v>200</v>
      </c>
      <c r="G719" s="20">
        <v>53</v>
      </c>
    </row>
    <row r="720" spans="1:7" ht="15" customHeight="1" x14ac:dyDescent="0.75">
      <c r="A720" s="18" t="s">
        <v>75</v>
      </c>
      <c r="B720" s="19">
        <v>46097</v>
      </c>
      <c r="C720" s="18" t="s">
        <v>58</v>
      </c>
      <c r="D720" s="17">
        <v>666507</v>
      </c>
      <c r="E720" s="18" t="s">
        <v>13</v>
      </c>
      <c r="F720" s="20">
        <v>0</v>
      </c>
      <c r="G720" s="20">
        <v>0</v>
      </c>
    </row>
    <row r="721" spans="1:7" ht="15" customHeight="1" x14ac:dyDescent="0.75">
      <c r="A721" s="18" t="s">
        <v>75</v>
      </c>
      <c r="B721" s="19">
        <v>46097</v>
      </c>
      <c r="C721" s="18" t="s">
        <v>58</v>
      </c>
      <c r="D721" s="17">
        <v>666509</v>
      </c>
      <c r="E721" s="18" t="s">
        <v>15</v>
      </c>
      <c r="F721" s="20">
        <v>0</v>
      </c>
      <c r="G721" s="20">
        <v>0</v>
      </c>
    </row>
    <row r="722" spans="1:7" ht="15" customHeight="1" x14ac:dyDescent="0.75">
      <c r="A722" s="18" t="s">
        <v>75</v>
      </c>
      <c r="B722" s="19">
        <v>46097</v>
      </c>
      <c r="C722" s="18" t="s">
        <v>58</v>
      </c>
      <c r="D722" s="17">
        <v>666510</v>
      </c>
      <c r="E722" s="18" t="s">
        <v>17</v>
      </c>
      <c r="F722" s="20">
        <v>0</v>
      </c>
      <c r="G722" s="20">
        <v>0</v>
      </c>
    </row>
    <row r="723" spans="1:7" ht="15" customHeight="1" x14ac:dyDescent="0.75">
      <c r="A723" s="18" t="s">
        <v>75</v>
      </c>
      <c r="B723" s="19">
        <v>46097</v>
      </c>
      <c r="C723" s="18" t="s">
        <v>58</v>
      </c>
      <c r="D723" s="17">
        <v>666511</v>
      </c>
      <c r="E723" s="18" t="s">
        <v>19</v>
      </c>
      <c r="F723" s="20">
        <v>0</v>
      </c>
      <c r="G723" s="20">
        <v>0</v>
      </c>
    </row>
    <row r="724" spans="1:7" ht="15" customHeight="1" x14ac:dyDescent="0.75">
      <c r="A724" s="18" t="s">
        <v>75</v>
      </c>
      <c r="B724" s="19">
        <v>46097</v>
      </c>
      <c r="C724" s="18" t="s">
        <v>58</v>
      </c>
      <c r="D724" s="17">
        <v>666513</v>
      </c>
      <c r="E724" s="18" t="s">
        <v>21</v>
      </c>
      <c r="F724" s="20">
        <v>0</v>
      </c>
      <c r="G724" s="20">
        <v>0</v>
      </c>
    </row>
    <row r="725" spans="1:7" ht="15" customHeight="1" x14ac:dyDescent="0.75">
      <c r="A725" s="18" t="s">
        <v>75</v>
      </c>
      <c r="B725" s="19">
        <v>46097</v>
      </c>
      <c r="C725" s="18" t="s">
        <v>58</v>
      </c>
      <c r="D725" s="17">
        <v>666516</v>
      </c>
      <c r="E725" s="18" t="s">
        <v>23</v>
      </c>
      <c r="F725" s="20">
        <v>0</v>
      </c>
      <c r="G725" s="20">
        <v>0</v>
      </c>
    </row>
    <row r="726" spans="1:7" ht="15" customHeight="1" x14ac:dyDescent="0.75">
      <c r="A726" s="18" t="s">
        <v>75</v>
      </c>
      <c r="B726" s="19">
        <v>46097</v>
      </c>
      <c r="C726" s="18" t="s">
        <v>58</v>
      </c>
      <c r="D726" s="17">
        <v>666517</v>
      </c>
      <c r="E726" s="18" t="s">
        <v>25</v>
      </c>
      <c r="F726" s="20">
        <v>0</v>
      </c>
      <c r="G726" s="20">
        <v>0</v>
      </c>
    </row>
    <row r="727" spans="1:7" ht="15" customHeight="1" x14ac:dyDescent="0.75">
      <c r="A727" s="18" t="s">
        <v>75</v>
      </c>
      <c r="B727" s="19">
        <v>46097</v>
      </c>
      <c r="C727" s="18" t="s">
        <v>58</v>
      </c>
      <c r="D727" s="17">
        <v>666518</v>
      </c>
      <c r="E727" s="18" t="s">
        <v>27</v>
      </c>
      <c r="F727" s="20">
        <v>0</v>
      </c>
      <c r="G727" s="20">
        <v>0</v>
      </c>
    </row>
    <row r="728" spans="1:7" ht="15" customHeight="1" x14ac:dyDescent="0.75">
      <c r="A728" s="18" t="s">
        <v>75</v>
      </c>
      <c r="B728" s="19">
        <v>46097</v>
      </c>
      <c r="C728" s="18" t="s">
        <v>58</v>
      </c>
      <c r="D728" s="17">
        <v>666519</v>
      </c>
      <c r="E728" s="18" t="s">
        <v>29</v>
      </c>
      <c r="F728" s="20">
        <v>0</v>
      </c>
      <c r="G728" s="20">
        <v>0</v>
      </c>
    </row>
    <row r="729" spans="1:7" ht="15" customHeight="1" x14ac:dyDescent="0.75">
      <c r="A729" s="18" t="s">
        <v>75</v>
      </c>
      <c r="B729" s="19">
        <v>46097</v>
      </c>
      <c r="C729" s="18" t="s">
        <v>58</v>
      </c>
      <c r="D729" s="17">
        <v>666521</v>
      </c>
      <c r="E729" s="18" t="s">
        <v>31</v>
      </c>
      <c r="F729" s="20">
        <v>0</v>
      </c>
      <c r="G729" s="20">
        <v>0</v>
      </c>
    </row>
    <row r="730" spans="1:7" ht="15" customHeight="1" x14ac:dyDescent="0.75">
      <c r="A730" s="18" t="s">
        <v>75</v>
      </c>
      <c r="B730" s="19">
        <v>46097</v>
      </c>
      <c r="C730" s="18" t="s">
        <v>58</v>
      </c>
      <c r="D730" s="17">
        <v>666522</v>
      </c>
      <c r="E730" s="18" t="s">
        <v>33</v>
      </c>
      <c r="F730" s="20">
        <v>95</v>
      </c>
      <c r="G730" s="20">
        <v>80</v>
      </c>
    </row>
    <row r="731" spans="1:7" ht="15" customHeight="1" x14ac:dyDescent="0.75">
      <c r="A731" s="18" t="s">
        <v>75</v>
      </c>
      <c r="B731" s="19">
        <v>46097</v>
      </c>
      <c r="C731" s="18" t="s">
        <v>58</v>
      </c>
      <c r="D731" s="17">
        <v>666523</v>
      </c>
      <c r="E731" s="18" t="s">
        <v>35</v>
      </c>
      <c r="F731" s="20">
        <v>20</v>
      </c>
      <c r="G731" s="20">
        <v>0</v>
      </c>
    </row>
    <row r="732" spans="1:7" ht="15" customHeight="1" x14ac:dyDescent="0.75">
      <c r="A732" s="18" t="s">
        <v>75</v>
      </c>
      <c r="B732" s="19">
        <v>46097</v>
      </c>
      <c r="C732" s="18" t="s">
        <v>58</v>
      </c>
      <c r="D732" s="17">
        <v>666530</v>
      </c>
      <c r="E732" s="18" t="s">
        <v>37</v>
      </c>
      <c r="F732" s="20">
        <v>0</v>
      </c>
      <c r="G732" s="20">
        <v>0</v>
      </c>
    </row>
    <row r="733" spans="1:7" ht="15" customHeight="1" x14ac:dyDescent="0.75">
      <c r="A733" s="18" t="s">
        <v>75</v>
      </c>
      <c r="B733" s="19">
        <v>46097</v>
      </c>
      <c r="C733" s="18" t="s">
        <v>58</v>
      </c>
      <c r="D733" s="17">
        <v>666531</v>
      </c>
      <c r="E733" s="18" t="s">
        <v>39</v>
      </c>
      <c r="F733" s="20">
        <v>0</v>
      </c>
      <c r="G733" s="20">
        <v>0</v>
      </c>
    </row>
    <row r="734" spans="1:7" ht="15" customHeight="1" x14ac:dyDescent="0.75">
      <c r="A734" s="18" t="s">
        <v>75</v>
      </c>
      <c r="B734" s="19">
        <v>46097</v>
      </c>
      <c r="C734" s="18" t="s">
        <v>58</v>
      </c>
      <c r="D734" s="17">
        <v>666540</v>
      </c>
      <c r="E734" s="18" t="s">
        <v>40</v>
      </c>
      <c r="F734" s="20">
        <v>60</v>
      </c>
      <c r="G734" s="20">
        <v>0</v>
      </c>
    </row>
    <row r="735" spans="1:7" ht="15" customHeight="1" x14ac:dyDescent="0.75">
      <c r="A735" s="18" t="s">
        <v>75</v>
      </c>
      <c r="B735" s="19">
        <v>46097</v>
      </c>
      <c r="C735" s="18" t="s">
        <v>58</v>
      </c>
      <c r="D735" s="17">
        <v>666541</v>
      </c>
      <c r="E735" s="18" t="s">
        <v>41</v>
      </c>
      <c r="F735" s="20">
        <v>300</v>
      </c>
      <c r="G735" s="20">
        <v>322</v>
      </c>
    </row>
    <row r="736" spans="1:7" ht="15" customHeight="1" x14ac:dyDescent="0.75">
      <c r="A736" s="18" t="s">
        <v>75</v>
      </c>
      <c r="B736" s="19">
        <v>46097</v>
      </c>
      <c r="C736" s="18" t="s">
        <v>58</v>
      </c>
      <c r="D736" s="17">
        <v>666536</v>
      </c>
      <c r="E736" s="18" t="s">
        <v>43</v>
      </c>
      <c r="F736" s="20">
        <v>0</v>
      </c>
      <c r="G736" s="20">
        <v>0</v>
      </c>
    </row>
    <row r="737" spans="1:7" ht="15" customHeight="1" x14ac:dyDescent="0.75">
      <c r="A737" s="18" t="s">
        <v>75</v>
      </c>
      <c r="B737" s="19">
        <v>46097</v>
      </c>
      <c r="C737" s="18" t="s">
        <v>66</v>
      </c>
      <c r="D737" s="17">
        <v>666501</v>
      </c>
      <c r="E737" s="18" t="s">
        <v>5</v>
      </c>
      <c r="F737" s="20">
        <v>30</v>
      </c>
      <c r="G737" s="20">
        <v>33</v>
      </c>
    </row>
    <row r="738" spans="1:7" ht="15" customHeight="1" x14ac:dyDescent="0.75">
      <c r="A738" s="18" t="s">
        <v>75</v>
      </c>
      <c r="B738" s="19">
        <v>46097</v>
      </c>
      <c r="C738" s="18" t="s">
        <v>66</v>
      </c>
      <c r="D738" s="17">
        <v>666502</v>
      </c>
      <c r="E738" s="18" t="s">
        <v>7</v>
      </c>
      <c r="F738" s="20">
        <v>25</v>
      </c>
      <c r="G738" s="20">
        <v>50</v>
      </c>
    </row>
    <row r="739" spans="1:7" ht="15" customHeight="1" x14ac:dyDescent="0.75">
      <c r="A739" s="18" t="s">
        <v>75</v>
      </c>
      <c r="B739" s="19">
        <v>46097</v>
      </c>
      <c r="C739" s="18" t="s">
        <v>66</v>
      </c>
      <c r="D739" s="17">
        <v>666505</v>
      </c>
      <c r="E739" s="18" t="s">
        <v>9</v>
      </c>
      <c r="F739" s="20">
        <v>22</v>
      </c>
      <c r="G739" s="20">
        <v>5</v>
      </c>
    </row>
    <row r="740" spans="1:7" ht="15" customHeight="1" x14ac:dyDescent="0.75">
      <c r="A740" s="18" t="s">
        <v>75</v>
      </c>
      <c r="B740" s="19">
        <v>46097</v>
      </c>
      <c r="C740" s="18" t="s">
        <v>66</v>
      </c>
      <c r="D740" s="17">
        <v>666506</v>
      </c>
      <c r="E740" s="18" t="s">
        <v>11</v>
      </c>
      <c r="F740" s="20">
        <v>0</v>
      </c>
      <c r="G740" s="20">
        <v>0</v>
      </c>
    </row>
    <row r="741" spans="1:7" ht="15" customHeight="1" x14ac:dyDescent="0.75">
      <c r="A741" s="18" t="s">
        <v>75</v>
      </c>
      <c r="B741" s="19">
        <v>46097</v>
      </c>
      <c r="C741" s="18" t="s">
        <v>66</v>
      </c>
      <c r="D741" s="17">
        <v>666507</v>
      </c>
      <c r="E741" s="18" t="s">
        <v>13</v>
      </c>
      <c r="F741" s="20">
        <v>0</v>
      </c>
      <c r="G741" s="20">
        <v>0</v>
      </c>
    </row>
    <row r="742" spans="1:7" ht="15" customHeight="1" x14ac:dyDescent="0.75">
      <c r="A742" s="18" t="s">
        <v>75</v>
      </c>
      <c r="B742" s="19">
        <v>46097</v>
      </c>
      <c r="C742" s="18" t="s">
        <v>66</v>
      </c>
      <c r="D742" s="17">
        <v>666509</v>
      </c>
      <c r="E742" s="18" t="s">
        <v>15</v>
      </c>
      <c r="F742" s="20">
        <v>0</v>
      </c>
      <c r="G742" s="20">
        <v>0</v>
      </c>
    </row>
    <row r="743" spans="1:7" ht="15" customHeight="1" x14ac:dyDescent="0.75">
      <c r="A743" s="18" t="s">
        <v>75</v>
      </c>
      <c r="B743" s="19">
        <v>46097</v>
      </c>
      <c r="C743" s="18" t="s">
        <v>66</v>
      </c>
      <c r="D743" s="17">
        <v>666510</v>
      </c>
      <c r="E743" s="18" t="s">
        <v>17</v>
      </c>
      <c r="F743" s="20">
        <v>0</v>
      </c>
      <c r="G743" s="20">
        <v>0</v>
      </c>
    </row>
    <row r="744" spans="1:7" ht="15" customHeight="1" x14ac:dyDescent="0.75">
      <c r="A744" s="18" t="s">
        <v>75</v>
      </c>
      <c r="B744" s="19">
        <v>46097</v>
      </c>
      <c r="C744" s="18" t="s">
        <v>66</v>
      </c>
      <c r="D744" s="17">
        <v>666511</v>
      </c>
      <c r="E744" s="18" t="s">
        <v>19</v>
      </c>
      <c r="F744" s="20">
        <v>0</v>
      </c>
      <c r="G744" s="20">
        <v>0</v>
      </c>
    </row>
    <row r="745" spans="1:7" ht="15" customHeight="1" x14ac:dyDescent="0.75">
      <c r="A745" s="18" t="s">
        <v>75</v>
      </c>
      <c r="B745" s="19">
        <v>46097</v>
      </c>
      <c r="C745" s="18" t="s">
        <v>66</v>
      </c>
      <c r="D745" s="17">
        <v>666513</v>
      </c>
      <c r="E745" s="18" t="s">
        <v>21</v>
      </c>
      <c r="F745" s="20">
        <v>0</v>
      </c>
      <c r="G745" s="20">
        <v>0</v>
      </c>
    </row>
    <row r="746" spans="1:7" ht="15" customHeight="1" x14ac:dyDescent="0.75">
      <c r="A746" s="18" t="s">
        <v>75</v>
      </c>
      <c r="B746" s="19">
        <v>46097</v>
      </c>
      <c r="C746" s="18" t="s">
        <v>66</v>
      </c>
      <c r="D746" s="17">
        <v>666516</v>
      </c>
      <c r="E746" s="18" t="s">
        <v>23</v>
      </c>
      <c r="F746" s="20">
        <v>17</v>
      </c>
      <c r="G746" s="20">
        <v>13</v>
      </c>
    </row>
    <row r="747" spans="1:7" ht="15" customHeight="1" x14ac:dyDescent="0.75">
      <c r="A747" s="18" t="s">
        <v>75</v>
      </c>
      <c r="B747" s="19">
        <v>46097</v>
      </c>
      <c r="C747" s="18" t="s">
        <v>66</v>
      </c>
      <c r="D747" s="17">
        <v>666517</v>
      </c>
      <c r="E747" s="18" t="s">
        <v>25</v>
      </c>
      <c r="F747" s="20">
        <v>10</v>
      </c>
      <c r="G747" s="20">
        <v>0</v>
      </c>
    </row>
    <row r="748" spans="1:7" ht="15" customHeight="1" x14ac:dyDescent="0.75">
      <c r="A748" s="18" t="s">
        <v>75</v>
      </c>
      <c r="B748" s="19">
        <v>46097</v>
      </c>
      <c r="C748" s="18" t="s">
        <v>66</v>
      </c>
      <c r="D748" s="17">
        <v>666518</v>
      </c>
      <c r="E748" s="18" t="s">
        <v>27</v>
      </c>
      <c r="F748" s="20">
        <v>0</v>
      </c>
      <c r="G748" s="20">
        <v>0</v>
      </c>
    </row>
    <row r="749" spans="1:7" ht="15" customHeight="1" x14ac:dyDescent="0.75">
      <c r="A749" s="18" t="s">
        <v>75</v>
      </c>
      <c r="B749" s="19">
        <v>46097</v>
      </c>
      <c r="C749" s="18" t="s">
        <v>66</v>
      </c>
      <c r="D749" s="17">
        <v>666519</v>
      </c>
      <c r="E749" s="18" t="s">
        <v>29</v>
      </c>
      <c r="F749" s="20">
        <v>16.5</v>
      </c>
      <c r="G749" s="20">
        <v>6</v>
      </c>
    </row>
    <row r="750" spans="1:7" ht="15" customHeight="1" x14ac:dyDescent="0.75">
      <c r="A750" s="18" t="s">
        <v>75</v>
      </c>
      <c r="B750" s="19">
        <v>46097</v>
      </c>
      <c r="C750" s="18" t="s">
        <v>66</v>
      </c>
      <c r="D750" s="17">
        <v>666521</v>
      </c>
      <c r="E750" s="18" t="s">
        <v>31</v>
      </c>
      <c r="F750" s="20">
        <v>0</v>
      </c>
      <c r="G750" s="20">
        <v>0</v>
      </c>
    </row>
    <row r="751" spans="1:7" ht="15" customHeight="1" x14ac:dyDescent="0.75">
      <c r="A751" s="18" t="s">
        <v>75</v>
      </c>
      <c r="B751" s="19">
        <v>46097</v>
      </c>
      <c r="C751" s="18" t="s">
        <v>66</v>
      </c>
      <c r="D751" s="17">
        <v>666522</v>
      </c>
      <c r="E751" s="18" t="s">
        <v>33</v>
      </c>
      <c r="F751" s="20">
        <v>40</v>
      </c>
      <c r="G751" s="20">
        <v>45</v>
      </c>
    </row>
    <row r="752" spans="1:7" ht="15" customHeight="1" x14ac:dyDescent="0.75">
      <c r="A752" s="18" t="s">
        <v>75</v>
      </c>
      <c r="B752" s="19">
        <v>46097</v>
      </c>
      <c r="C752" s="18" t="s">
        <v>66</v>
      </c>
      <c r="D752" s="17">
        <v>666523</v>
      </c>
      <c r="E752" s="18" t="s">
        <v>35</v>
      </c>
      <c r="F752" s="20">
        <v>5</v>
      </c>
      <c r="G752" s="20">
        <v>0</v>
      </c>
    </row>
    <row r="753" spans="1:7" ht="15" customHeight="1" x14ac:dyDescent="0.75">
      <c r="A753" s="18" t="s">
        <v>75</v>
      </c>
      <c r="B753" s="19">
        <v>46097</v>
      </c>
      <c r="C753" s="18" t="s">
        <v>66</v>
      </c>
      <c r="D753" s="17">
        <v>666530</v>
      </c>
      <c r="E753" s="18" t="s">
        <v>37</v>
      </c>
      <c r="F753" s="20">
        <v>7.5</v>
      </c>
      <c r="G753" s="20">
        <v>15</v>
      </c>
    </row>
    <row r="754" spans="1:7" ht="15" customHeight="1" x14ac:dyDescent="0.75">
      <c r="A754" s="18" t="s">
        <v>75</v>
      </c>
      <c r="B754" s="19">
        <v>46097</v>
      </c>
      <c r="C754" s="18" t="s">
        <v>66</v>
      </c>
      <c r="D754" s="17">
        <v>666531</v>
      </c>
      <c r="E754" s="18" t="s">
        <v>39</v>
      </c>
      <c r="F754" s="20">
        <v>4</v>
      </c>
      <c r="G754" s="20">
        <v>0</v>
      </c>
    </row>
    <row r="755" spans="1:7" ht="15" customHeight="1" x14ac:dyDescent="0.75">
      <c r="A755" s="18" t="s">
        <v>75</v>
      </c>
      <c r="B755" s="19">
        <v>46097</v>
      </c>
      <c r="C755" s="18" t="s">
        <v>66</v>
      </c>
      <c r="D755" s="17">
        <v>666540</v>
      </c>
      <c r="E755" s="18" t="s">
        <v>40</v>
      </c>
      <c r="F755" s="20">
        <v>0</v>
      </c>
      <c r="G755" s="20">
        <v>0</v>
      </c>
    </row>
    <row r="756" spans="1:7" ht="15" customHeight="1" x14ac:dyDescent="0.75">
      <c r="A756" s="18" t="s">
        <v>75</v>
      </c>
      <c r="B756" s="19">
        <v>46097</v>
      </c>
      <c r="C756" s="18" t="s">
        <v>66</v>
      </c>
      <c r="D756" s="17">
        <v>666541</v>
      </c>
      <c r="E756" s="18" t="s">
        <v>41</v>
      </c>
      <c r="F756" s="20">
        <v>0</v>
      </c>
      <c r="G756" s="20">
        <v>0</v>
      </c>
    </row>
    <row r="757" spans="1:7" ht="15" customHeight="1" x14ac:dyDescent="0.75">
      <c r="A757" s="18" t="s">
        <v>75</v>
      </c>
      <c r="B757" s="19">
        <v>46097</v>
      </c>
      <c r="C757" s="18" t="s">
        <v>66</v>
      </c>
      <c r="D757" s="17">
        <v>666536</v>
      </c>
      <c r="E757" s="18" t="s">
        <v>43</v>
      </c>
      <c r="F757" s="20">
        <v>0</v>
      </c>
      <c r="G757" s="20">
        <v>0</v>
      </c>
    </row>
    <row r="758" spans="1:7" ht="15" customHeight="1" x14ac:dyDescent="0.75">
      <c r="A758" s="18" t="s">
        <v>76</v>
      </c>
      <c r="B758" s="19">
        <v>46104</v>
      </c>
      <c r="C758" s="18" t="s">
        <v>56</v>
      </c>
      <c r="D758" s="17">
        <v>666501</v>
      </c>
      <c r="E758" s="18" t="s">
        <v>5</v>
      </c>
      <c r="F758" s="20">
        <v>34.5</v>
      </c>
      <c r="G758" s="20">
        <v>30</v>
      </c>
    </row>
    <row r="759" spans="1:7" ht="15" customHeight="1" x14ac:dyDescent="0.75">
      <c r="A759" s="18" t="s">
        <v>76</v>
      </c>
      <c r="B759" s="19">
        <v>46104</v>
      </c>
      <c r="C759" s="18" t="s">
        <v>56</v>
      </c>
      <c r="D759" s="17">
        <v>666502</v>
      </c>
      <c r="E759" s="18" t="s">
        <v>7</v>
      </c>
      <c r="F759" s="20">
        <v>0</v>
      </c>
      <c r="G759" s="20">
        <v>0</v>
      </c>
    </row>
    <row r="760" spans="1:7" ht="15" customHeight="1" x14ac:dyDescent="0.75">
      <c r="A760" s="18" t="s">
        <v>76</v>
      </c>
      <c r="B760" s="19">
        <v>46104</v>
      </c>
      <c r="C760" s="18" t="s">
        <v>56</v>
      </c>
      <c r="D760" s="17">
        <v>666505</v>
      </c>
      <c r="E760" s="18" t="s">
        <v>9</v>
      </c>
      <c r="F760" s="20">
        <v>10</v>
      </c>
      <c r="G760" s="20">
        <v>20</v>
      </c>
    </row>
    <row r="761" spans="1:7" ht="15" customHeight="1" x14ac:dyDescent="0.75">
      <c r="A761" s="18" t="s">
        <v>76</v>
      </c>
      <c r="B761" s="19">
        <v>46104</v>
      </c>
      <c r="C761" s="18" t="s">
        <v>56</v>
      </c>
      <c r="D761" s="17">
        <v>666506</v>
      </c>
      <c r="E761" s="18" t="s">
        <v>11</v>
      </c>
      <c r="F761" s="20">
        <v>0</v>
      </c>
      <c r="G761" s="20">
        <v>0</v>
      </c>
    </row>
    <row r="762" spans="1:7" ht="15" customHeight="1" x14ac:dyDescent="0.75">
      <c r="A762" s="18" t="s">
        <v>76</v>
      </c>
      <c r="B762" s="19">
        <v>46104</v>
      </c>
      <c r="C762" s="18" t="s">
        <v>56</v>
      </c>
      <c r="D762" s="17">
        <v>666507</v>
      </c>
      <c r="E762" s="18" t="s">
        <v>13</v>
      </c>
      <c r="F762" s="20">
        <v>21</v>
      </c>
      <c r="G762" s="20">
        <v>16</v>
      </c>
    </row>
    <row r="763" spans="1:7" ht="15" customHeight="1" x14ac:dyDescent="0.75">
      <c r="A763" s="18" t="s">
        <v>76</v>
      </c>
      <c r="B763" s="19">
        <v>46104</v>
      </c>
      <c r="C763" s="18" t="s">
        <v>56</v>
      </c>
      <c r="D763" s="17">
        <v>666509</v>
      </c>
      <c r="E763" s="18" t="s">
        <v>15</v>
      </c>
      <c r="F763" s="20">
        <v>50</v>
      </c>
      <c r="G763" s="20">
        <v>66</v>
      </c>
    </row>
    <row r="764" spans="1:7" ht="15" customHeight="1" x14ac:dyDescent="0.75">
      <c r="A764" s="18" t="s">
        <v>76</v>
      </c>
      <c r="B764" s="19">
        <v>46104</v>
      </c>
      <c r="C764" s="18" t="s">
        <v>56</v>
      </c>
      <c r="D764" s="17">
        <v>666510</v>
      </c>
      <c r="E764" s="18" t="s">
        <v>17</v>
      </c>
      <c r="F764" s="20">
        <v>0</v>
      </c>
      <c r="G764" s="20">
        <v>0</v>
      </c>
    </row>
    <row r="765" spans="1:7" ht="15" customHeight="1" x14ac:dyDescent="0.75">
      <c r="A765" s="18" t="s">
        <v>76</v>
      </c>
      <c r="B765" s="19">
        <v>46104</v>
      </c>
      <c r="C765" s="18" t="s">
        <v>56</v>
      </c>
      <c r="D765" s="17">
        <v>666511</v>
      </c>
      <c r="E765" s="18" t="s">
        <v>19</v>
      </c>
      <c r="F765" s="20">
        <v>4</v>
      </c>
      <c r="G765" s="20">
        <v>0</v>
      </c>
    </row>
    <row r="766" spans="1:7" ht="15" customHeight="1" x14ac:dyDescent="0.75">
      <c r="A766" s="18" t="s">
        <v>76</v>
      </c>
      <c r="B766" s="19">
        <v>46104</v>
      </c>
      <c r="C766" s="18" t="s">
        <v>56</v>
      </c>
      <c r="D766" s="17">
        <v>666513</v>
      </c>
      <c r="E766" s="18" t="s">
        <v>21</v>
      </c>
      <c r="F766" s="20">
        <v>0</v>
      </c>
      <c r="G766" s="20">
        <v>0</v>
      </c>
    </row>
    <row r="767" spans="1:7" ht="15" customHeight="1" x14ac:dyDescent="0.75">
      <c r="A767" s="18" t="s">
        <v>76</v>
      </c>
      <c r="B767" s="19">
        <v>46104</v>
      </c>
      <c r="C767" s="18" t="s">
        <v>56</v>
      </c>
      <c r="D767" s="17">
        <v>666516</v>
      </c>
      <c r="E767" s="18" t="s">
        <v>23</v>
      </c>
      <c r="F767" s="20">
        <v>17</v>
      </c>
      <c r="G767" s="20">
        <v>34</v>
      </c>
    </row>
    <row r="768" spans="1:7" ht="15" customHeight="1" x14ac:dyDescent="0.75">
      <c r="A768" s="18" t="s">
        <v>76</v>
      </c>
      <c r="B768" s="19">
        <v>46104</v>
      </c>
      <c r="C768" s="18" t="s">
        <v>56</v>
      </c>
      <c r="D768" s="17">
        <v>666517</v>
      </c>
      <c r="E768" s="18" t="s">
        <v>25</v>
      </c>
      <c r="F768" s="20">
        <v>23</v>
      </c>
      <c r="G768" s="20">
        <v>37</v>
      </c>
    </row>
    <row r="769" spans="1:7" ht="15" customHeight="1" x14ac:dyDescent="0.75">
      <c r="A769" s="18" t="s">
        <v>76</v>
      </c>
      <c r="B769" s="19">
        <v>46104</v>
      </c>
      <c r="C769" s="18" t="s">
        <v>56</v>
      </c>
      <c r="D769" s="17">
        <v>666518</v>
      </c>
      <c r="E769" s="18" t="s">
        <v>27</v>
      </c>
      <c r="F769" s="20">
        <v>0</v>
      </c>
      <c r="G769" s="20">
        <v>0</v>
      </c>
    </row>
    <row r="770" spans="1:7" ht="15" customHeight="1" x14ac:dyDescent="0.75">
      <c r="A770" s="18" t="s">
        <v>76</v>
      </c>
      <c r="B770" s="19">
        <v>46104</v>
      </c>
      <c r="C770" s="18" t="s">
        <v>56</v>
      </c>
      <c r="D770" s="17">
        <v>666519</v>
      </c>
      <c r="E770" s="18" t="s">
        <v>29</v>
      </c>
      <c r="F770" s="20">
        <v>16.5</v>
      </c>
      <c r="G770" s="20">
        <v>33</v>
      </c>
    </row>
    <row r="771" spans="1:7" ht="15" customHeight="1" x14ac:dyDescent="0.75">
      <c r="A771" s="18" t="s">
        <v>76</v>
      </c>
      <c r="B771" s="19">
        <v>46104</v>
      </c>
      <c r="C771" s="18" t="s">
        <v>56</v>
      </c>
      <c r="D771" s="17">
        <v>666521</v>
      </c>
      <c r="E771" s="18" t="s">
        <v>31</v>
      </c>
      <c r="F771" s="20">
        <v>26</v>
      </c>
      <c r="G771" s="20">
        <v>24</v>
      </c>
    </row>
    <row r="772" spans="1:7" ht="15" customHeight="1" x14ac:dyDescent="0.75">
      <c r="A772" s="18" t="s">
        <v>76</v>
      </c>
      <c r="B772" s="19">
        <v>46104</v>
      </c>
      <c r="C772" s="18" t="s">
        <v>56</v>
      </c>
      <c r="D772" s="17">
        <v>666522</v>
      </c>
      <c r="E772" s="18" t="s">
        <v>33</v>
      </c>
      <c r="F772" s="20">
        <v>65</v>
      </c>
      <c r="G772" s="20">
        <v>85</v>
      </c>
    </row>
    <row r="773" spans="1:7" ht="15" customHeight="1" x14ac:dyDescent="0.75">
      <c r="A773" s="18" t="s">
        <v>76</v>
      </c>
      <c r="B773" s="19">
        <v>46104</v>
      </c>
      <c r="C773" s="18" t="s">
        <v>56</v>
      </c>
      <c r="D773" s="17">
        <v>666523</v>
      </c>
      <c r="E773" s="18" t="s">
        <v>35</v>
      </c>
      <c r="F773" s="20">
        <v>0</v>
      </c>
      <c r="G773" s="20">
        <v>0</v>
      </c>
    </row>
    <row r="774" spans="1:7" ht="15" customHeight="1" x14ac:dyDescent="0.75">
      <c r="A774" s="18" t="s">
        <v>76</v>
      </c>
      <c r="B774" s="19">
        <v>46104</v>
      </c>
      <c r="C774" s="18" t="s">
        <v>56</v>
      </c>
      <c r="D774" s="17">
        <v>666530</v>
      </c>
      <c r="E774" s="18" t="s">
        <v>37</v>
      </c>
      <c r="F774" s="20">
        <v>2.5</v>
      </c>
      <c r="G774" s="20">
        <v>5</v>
      </c>
    </row>
    <row r="775" spans="1:7" ht="15" customHeight="1" x14ac:dyDescent="0.75">
      <c r="A775" s="18" t="s">
        <v>76</v>
      </c>
      <c r="B775" s="19">
        <v>46104</v>
      </c>
      <c r="C775" s="18" t="s">
        <v>56</v>
      </c>
      <c r="D775" s="17">
        <v>666531</v>
      </c>
      <c r="E775" s="18" t="s">
        <v>39</v>
      </c>
      <c r="F775" s="20">
        <v>9</v>
      </c>
      <c r="G775" s="20">
        <v>18</v>
      </c>
    </row>
    <row r="776" spans="1:7" ht="15" customHeight="1" x14ac:dyDescent="0.75">
      <c r="A776" s="18" t="s">
        <v>76</v>
      </c>
      <c r="B776" s="19">
        <v>46104</v>
      </c>
      <c r="C776" s="18" t="s">
        <v>56</v>
      </c>
      <c r="D776" s="17">
        <v>666540</v>
      </c>
      <c r="E776" s="18" t="s">
        <v>40</v>
      </c>
      <c r="F776" s="20">
        <v>0</v>
      </c>
      <c r="G776" s="20">
        <v>0</v>
      </c>
    </row>
    <row r="777" spans="1:7" ht="15" customHeight="1" x14ac:dyDescent="0.75">
      <c r="A777" s="18" t="s">
        <v>76</v>
      </c>
      <c r="B777" s="19">
        <v>46104</v>
      </c>
      <c r="C777" s="18" t="s">
        <v>56</v>
      </c>
      <c r="D777" s="17">
        <v>666541</v>
      </c>
      <c r="E777" s="18" t="s">
        <v>41</v>
      </c>
      <c r="F777" s="20">
        <v>0</v>
      </c>
      <c r="G777" s="20">
        <v>0</v>
      </c>
    </row>
    <row r="778" spans="1:7" ht="15" customHeight="1" x14ac:dyDescent="0.75">
      <c r="A778" s="18" t="s">
        <v>76</v>
      </c>
      <c r="B778" s="19">
        <v>46104</v>
      </c>
      <c r="C778" s="18" t="s">
        <v>56</v>
      </c>
      <c r="D778" s="17">
        <v>666536</v>
      </c>
      <c r="E778" s="18" t="s">
        <v>43</v>
      </c>
      <c r="F778" s="20">
        <v>15</v>
      </c>
      <c r="G778" s="20">
        <v>12</v>
      </c>
    </row>
    <row r="779" spans="1:7" ht="15" customHeight="1" x14ac:dyDescent="0.75">
      <c r="A779" s="18" t="s">
        <v>76</v>
      </c>
      <c r="B779" s="19">
        <v>46104</v>
      </c>
      <c r="C779" s="18" t="s">
        <v>58</v>
      </c>
      <c r="D779" s="17">
        <v>666501</v>
      </c>
      <c r="E779" s="18" t="s">
        <v>5</v>
      </c>
      <c r="F779" s="20">
        <v>312</v>
      </c>
      <c r="G779" s="20">
        <v>309</v>
      </c>
    </row>
    <row r="780" spans="1:7" ht="15" customHeight="1" x14ac:dyDescent="0.75">
      <c r="A780" s="18" t="s">
        <v>76</v>
      </c>
      <c r="B780" s="19">
        <v>46104</v>
      </c>
      <c r="C780" s="18" t="s">
        <v>58</v>
      </c>
      <c r="D780" s="17">
        <v>666502</v>
      </c>
      <c r="E780" s="18" t="s">
        <v>7</v>
      </c>
      <c r="F780" s="20">
        <v>175</v>
      </c>
      <c r="G780" s="20">
        <v>124</v>
      </c>
    </row>
    <row r="781" spans="1:7" ht="15" customHeight="1" x14ac:dyDescent="0.75">
      <c r="A781" s="18" t="s">
        <v>76</v>
      </c>
      <c r="B781" s="19">
        <v>46104</v>
      </c>
      <c r="C781" s="18" t="s">
        <v>58</v>
      </c>
      <c r="D781" s="17">
        <v>666505</v>
      </c>
      <c r="E781" s="18" t="s">
        <v>9</v>
      </c>
      <c r="F781" s="20">
        <v>0</v>
      </c>
      <c r="G781" s="20">
        <v>0</v>
      </c>
    </row>
    <row r="782" spans="1:7" ht="15" customHeight="1" x14ac:dyDescent="0.75">
      <c r="A782" s="18" t="s">
        <v>76</v>
      </c>
      <c r="B782" s="19">
        <v>46104</v>
      </c>
      <c r="C782" s="18" t="s">
        <v>58</v>
      </c>
      <c r="D782" s="17">
        <v>666506</v>
      </c>
      <c r="E782" s="18" t="s">
        <v>11</v>
      </c>
      <c r="F782" s="20">
        <v>200</v>
      </c>
      <c r="G782" s="20">
        <v>14</v>
      </c>
    </row>
    <row r="783" spans="1:7" ht="15" customHeight="1" x14ac:dyDescent="0.75">
      <c r="A783" s="18" t="s">
        <v>76</v>
      </c>
      <c r="B783" s="19">
        <v>46104</v>
      </c>
      <c r="C783" s="18" t="s">
        <v>58</v>
      </c>
      <c r="D783" s="17">
        <v>666507</v>
      </c>
      <c r="E783" s="18" t="s">
        <v>13</v>
      </c>
      <c r="F783" s="20">
        <v>0</v>
      </c>
      <c r="G783" s="20">
        <v>0</v>
      </c>
    </row>
    <row r="784" spans="1:7" ht="15" customHeight="1" x14ac:dyDescent="0.75">
      <c r="A784" s="18" t="s">
        <v>76</v>
      </c>
      <c r="B784" s="19">
        <v>46104</v>
      </c>
      <c r="C784" s="18" t="s">
        <v>58</v>
      </c>
      <c r="D784" s="17">
        <v>666509</v>
      </c>
      <c r="E784" s="18" t="s">
        <v>15</v>
      </c>
      <c r="F784" s="20">
        <v>0</v>
      </c>
      <c r="G784" s="20">
        <v>0</v>
      </c>
    </row>
    <row r="785" spans="1:7" ht="15" customHeight="1" x14ac:dyDescent="0.75">
      <c r="A785" s="18" t="s">
        <v>76</v>
      </c>
      <c r="B785" s="19">
        <v>46104</v>
      </c>
      <c r="C785" s="18" t="s">
        <v>58</v>
      </c>
      <c r="D785" s="17">
        <v>666510</v>
      </c>
      <c r="E785" s="18" t="s">
        <v>17</v>
      </c>
      <c r="F785" s="20">
        <v>0</v>
      </c>
      <c r="G785" s="20">
        <v>0</v>
      </c>
    </row>
    <row r="786" spans="1:7" ht="15" customHeight="1" x14ac:dyDescent="0.75">
      <c r="A786" s="18" t="s">
        <v>76</v>
      </c>
      <c r="B786" s="19">
        <v>46104</v>
      </c>
      <c r="C786" s="18" t="s">
        <v>58</v>
      </c>
      <c r="D786" s="17">
        <v>666511</v>
      </c>
      <c r="E786" s="18" t="s">
        <v>19</v>
      </c>
      <c r="F786" s="20">
        <v>0</v>
      </c>
      <c r="G786" s="20">
        <v>0</v>
      </c>
    </row>
    <row r="787" spans="1:7" ht="15" customHeight="1" x14ac:dyDescent="0.75">
      <c r="A787" s="18" t="s">
        <v>76</v>
      </c>
      <c r="B787" s="19">
        <v>46104</v>
      </c>
      <c r="C787" s="18" t="s">
        <v>58</v>
      </c>
      <c r="D787" s="17">
        <v>666513</v>
      </c>
      <c r="E787" s="18" t="s">
        <v>21</v>
      </c>
      <c r="F787" s="20">
        <v>0</v>
      </c>
      <c r="G787" s="20">
        <v>0</v>
      </c>
    </row>
    <row r="788" spans="1:7" ht="15" customHeight="1" x14ac:dyDescent="0.75">
      <c r="A788" s="18" t="s">
        <v>76</v>
      </c>
      <c r="B788" s="19">
        <v>46104</v>
      </c>
      <c r="C788" s="18" t="s">
        <v>58</v>
      </c>
      <c r="D788" s="17">
        <v>666516</v>
      </c>
      <c r="E788" s="18" t="s">
        <v>23</v>
      </c>
      <c r="F788" s="20">
        <v>0</v>
      </c>
      <c r="G788" s="20">
        <v>0</v>
      </c>
    </row>
    <row r="789" spans="1:7" ht="15" customHeight="1" x14ac:dyDescent="0.75">
      <c r="A789" s="18" t="s">
        <v>76</v>
      </c>
      <c r="B789" s="19">
        <v>46104</v>
      </c>
      <c r="C789" s="18" t="s">
        <v>58</v>
      </c>
      <c r="D789" s="17">
        <v>666517</v>
      </c>
      <c r="E789" s="18" t="s">
        <v>25</v>
      </c>
      <c r="F789" s="20">
        <v>0</v>
      </c>
      <c r="G789" s="20">
        <v>0</v>
      </c>
    </row>
    <row r="790" spans="1:7" ht="15" customHeight="1" x14ac:dyDescent="0.75">
      <c r="A790" s="18" t="s">
        <v>76</v>
      </c>
      <c r="B790" s="19">
        <v>46104</v>
      </c>
      <c r="C790" s="18" t="s">
        <v>58</v>
      </c>
      <c r="D790" s="17">
        <v>666518</v>
      </c>
      <c r="E790" s="18" t="s">
        <v>27</v>
      </c>
      <c r="F790" s="20">
        <v>0</v>
      </c>
      <c r="G790" s="20">
        <v>0</v>
      </c>
    </row>
    <row r="791" spans="1:7" ht="15" customHeight="1" x14ac:dyDescent="0.75">
      <c r="A791" s="18" t="s">
        <v>76</v>
      </c>
      <c r="B791" s="19">
        <v>46104</v>
      </c>
      <c r="C791" s="18" t="s">
        <v>58</v>
      </c>
      <c r="D791" s="17">
        <v>666519</v>
      </c>
      <c r="E791" s="18" t="s">
        <v>29</v>
      </c>
      <c r="F791" s="20">
        <v>0</v>
      </c>
      <c r="G791" s="20">
        <v>0</v>
      </c>
    </row>
    <row r="792" spans="1:7" ht="15" customHeight="1" x14ac:dyDescent="0.75">
      <c r="A792" s="18" t="s">
        <v>76</v>
      </c>
      <c r="B792" s="19">
        <v>46104</v>
      </c>
      <c r="C792" s="18" t="s">
        <v>58</v>
      </c>
      <c r="D792" s="17">
        <v>666521</v>
      </c>
      <c r="E792" s="18" t="s">
        <v>31</v>
      </c>
      <c r="F792" s="20">
        <v>0</v>
      </c>
      <c r="G792" s="20">
        <v>0</v>
      </c>
    </row>
    <row r="793" spans="1:7" ht="15" customHeight="1" x14ac:dyDescent="0.75">
      <c r="A793" s="18" t="s">
        <v>76</v>
      </c>
      <c r="B793" s="19">
        <v>46104</v>
      </c>
      <c r="C793" s="18" t="s">
        <v>58</v>
      </c>
      <c r="D793" s="17">
        <v>666522</v>
      </c>
      <c r="E793" s="18" t="s">
        <v>33</v>
      </c>
      <c r="F793" s="20">
        <v>95</v>
      </c>
      <c r="G793" s="20">
        <v>185</v>
      </c>
    </row>
    <row r="794" spans="1:7" ht="15" customHeight="1" x14ac:dyDescent="0.75">
      <c r="A794" s="18" t="s">
        <v>76</v>
      </c>
      <c r="B794" s="19">
        <v>46104</v>
      </c>
      <c r="C794" s="18" t="s">
        <v>58</v>
      </c>
      <c r="D794" s="17">
        <v>666523</v>
      </c>
      <c r="E794" s="18" t="s">
        <v>35</v>
      </c>
      <c r="F794" s="20">
        <v>20</v>
      </c>
      <c r="G794" s="20">
        <v>40</v>
      </c>
    </row>
    <row r="795" spans="1:7" ht="15" customHeight="1" x14ac:dyDescent="0.75">
      <c r="A795" s="18" t="s">
        <v>76</v>
      </c>
      <c r="B795" s="19">
        <v>46104</v>
      </c>
      <c r="C795" s="18" t="s">
        <v>58</v>
      </c>
      <c r="D795" s="17">
        <v>666530</v>
      </c>
      <c r="E795" s="18" t="s">
        <v>37</v>
      </c>
      <c r="F795" s="20">
        <v>0</v>
      </c>
      <c r="G795" s="20">
        <v>0</v>
      </c>
    </row>
    <row r="796" spans="1:7" ht="15" customHeight="1" x14ac:dyDescent="0.75">
      <c r="A796" s="18" t="s">
        <v>76</v>
      </c>
      <c r="B796" s="19">
        <v>46104</v>
      </c>
      <c r="C796" s="18" t="s">
        <v>58</v>
      </c>
      <c r="D796" s="17">
        <v>666531</v>
      </c>
      <c r="E796" s="18" t="s">
        <v>39</v>
      </c>
      <c r="F796" s="20">
        <v>0</v>
      </c>
      <c r="G796" s="20">
        <v>0</v>
      </c>
    </row>
    <row r="797" spans="1:7" ht="15" customHeight="1" x14ac:dyDescent="0.75">
      <c r="A797" s="18" t="s">
        <v>76</v>
      </c>
      <c r="B797" s="19">
        <v>46104</v>
      </c>
      <c r="C797" s="18" t="s">
        <v>58</v>
      </c>
      <c r="D797" s="17">
        <v>666540</v>
      </c>
      <c r="E797" s="18" t="s">
        <v>40</v>
      </c>
      <c r="F797" s="20">
        <v>60</v>
      </c>
      <c r="G797" s="20">
        <v>0</v>
      </c>
    </row>
    <row r="798" spans="1:7" ht="15" customHeight="1" x14ac:dyDescent="0.75">
      <c r="A798" s="18" t="s">
        <v>76</v>
      </c>
      <c r="B798" s="19">
        <v>46104</v>
      </c>
      <c r="C798" s="18" t="s">
        <v>58</v>
      </c>
      <c r="D798" s="17">
        <v>666541</v>
      </c>
      <c r="E798" s="18" t="s">
        <v>41</v>
      </c>
      <c r="F798" s="20">
        <v>300</v>
      </c>
      <c r="G798" s="20">
        <v>149</v>
      </c>
    </row>
    <row r="799" spans="1:7" ht="15" customHeight="1" x14ac:dyDescent="0.75">
      <c r="A799" s="18" t="s">
        <v>76</v>
      </c>
      <c r="B799" s="19">
        <v>46104</v>
      </c>
      <c r="C799" s="18" t="s">
        <v>58</v>
      </c>
      <c r="D799" s="17">
        <v>666536</v>
      </c>
      <c r="E799" s="18" t="s">
        <v>43</v>
      </c>
      <c r="F799" s="20">
        <v>0</v>
      </c>
      <c r="G799" s="20">
        <v>0</v>
      </c>
    </row>
    <row r="800" spans="1:7" ht="15" customHeight="1" x14ac:dyDescent="0.75">
      <c r="A800" s="18" t="s">
        <v>76</v>
      </c>
      <c r="B800" s="19">
        <v>46104</v>
      </c>
      <c r="C800" s="18" t="s">
        <v>66</v>
      </c>
      <c r="D800" s="17">
        <v>666501</v>
      </c>
      <c r="E800" s="18" t="s">
        <v>5</v>
      </c>
      <c r="F800" s="20">
        <v>30</v>
      </c>
      <c r="G800" s="20">
        <v>48</v>
      </c>
    </row>
    <row r="801" spans="1:7" ht="15" customHeight="1" x14ac:dyDescent="0.75">
      <c r="A801" s="18" t="s">
        <v>76</v>
      </c>
      <c r="B801" s="19">
        <v>46104</v>
      </c>
      <c r="C801" s="18" t="s">
        <v>66</v>
      </c>
      <c r="D801" s="17">
        <v>666502</v>
      </c>
      <c r="E801" s="18" t="s">
        <v>7</v>
      </c>
      <c r="F801" s="20">
        <v>25</v>
      </c>
      <c r="G801" s="20">
        <v>0</v>
      </c>
    </row>
    <row r="802" spans="1:7" ht="15" customHeight="1" x14ac:dyDescent="0.75">
      <c r="A802" s="18" t="s">
        <v>76</v>
      </c>
      <c r="B802" s="19">
        <v>46104</v>
      </c>
      <c r="C802" s="18" t="s">
        <v>66</v>
      </c>
      <c r="D802" s="17">
        <v>666505</v>
      </c>
      <c r="E802" s="18" t="s">
        <v>9</v>
      </c>
      <c r="F802" s="20">
        <v>22</v>
      </c>
      <c r="G802" s="20">
        <v>44</v>
      </c>
    </row>
    <row r="803" spans="1:7" ht="15" customHeight="1" x14ac:dyDescent="0.75">
      <c r="A803" s="18" t="s">
        <v>76</v>
      </c>
      <c r="B803" s="19">
        <v>46104</v>
      </c>
      <c r="C803" s="18" t="s">
        <v>66</v>
      </c>
      <c r="D803" s="17">
        <v>666506</v>
      </c>
      <c r="E803" s="18" t="s">
        <v>11</v>
      </c>
      <c r="F803" s="20">
        <v>0</v>
      </c>
      <c r="G803" s="20">
        <v>0</v>
      </c>
    </row>
    <row r="804" spans="1:7" ht="15" customHeight="1" x14ac:dyDescent="0.75">
      <c r="A804" s="18" t="s">
        <v>76</v>
      </c>
      <c r="B804" s="19">
        <v>46104</v>
      </c>
      <c r="C804" s="18" t="s">
        <v>66</v>
      </c>
      <c r="D804" s="17">
        <v>666507</v>
      </c>
      <c r="E804" s="18" t="s">
        <v>13</v>
      </c>
      <c r="F804" s="20">
        <v>0</v>
      </c>
      <c r="G804" s="20">
        <v>0</v>
      </c>
    </row>
    <row r="805" spans="1:7" ht="15" customHeight="1" x14ac:dyDescent="0.75">
      <c r="A805" s="18" t="s">
        <v>76</v>
      </c>
      <c r="B805" s="19">
        <v>46104</v>
      </c>
      <c r="C805" s="18" t="s">
        <v>66</v>
      </c>
      <c r="D805" s="17">
        <v>666509</v>
      </c>
      <c r="E805" s="18" t="s">
        <v>15</v>
      </c>
      <c r="F805" s="20">
        <v>0</v>
      </c>
      <c r="G805" s="20">
        <v>0</v>
      </c>
    </row>
    <row r="806" spans="1:7" ht="15" customHeight="1" x14ac:dyDescent="0.75">
      <c r="A806" s="18" t="s">
        <v>76</v>
      </c>
      <c r="B806" s="19">
        <v>46104</v>
      </c>
      <c r="C806" s="18" t="s">
        <v>66</v>
      </c>
      <c r="D806" s="17">
        <v>666510</v>
      </c>
      <c r="E806" s="18" t="s">
        <v>17</v>
      </c>
      <c r="F806" s="20">
        <v>0</v>
      </c>
      <c r="G806" s="20">
        <v>0</v>
      </c>
    </row>
    <row r="807" spans="1:7" ht="15" customHeight="1" x14ac:dyDescent="0.75">
      <c r="A807" s="18" t="s">
        <v>76</v>
      </c>
      <c r="B807" s="19">
        <v>46104</v>
      </c>
      <c r="C807" s="18" t="s">
        <v>66</v>
      </c>
      <c r="D807" s="17">
        <v>666511</v>
      </c>
      <c r="E807" s="18" t="s">
        <v>19</v>
      </c>
      <c r="F807" s="20">
        <v>0</v>
      </c>
      <c r="G807" s="20">
        <v>0</v>
      </c>
    </row>
    <row r="808" spans="1:7" ht="15" customHeight="1" x14ac:dyDescent="0.75">
      <c r="A808" s="18" t="s">
        <v>76</v>
      </c>
      <c r="B808" s="19">
        <v>46104</v>
      </c>
      <c r="C808" s="18" t="s">
        <v>66</v>
      </c>
      <c r="D808" s="17">
        <v>666513</v>
      </c>
      <c r="E808" s="18" t="s">
        <v>21</v>
      </c>
      <c r="F808" s="20">
        <v>0</v>
      </c>
      <c r="G808" s="20">
        <v>0</v>
      </c>
    </row>
    <row r="809" spans="1:7" ht="15" customHeight="1" x14ac:dyDescent="0.75">
      <c r="A809" s="18" t="s">
        <v>76</v>
      </c>
      <c r="B809" s="19">
        <v>46104</v>
      </c>
      <c r="C809" s="18" t="s">
        <v>66</v>
      </c>
      <c r="D809" s="17">
        <v>666516</v>
      </c>
      <c r="E809" s="18" t="s">
        <v>23</v>
      </c>
      <c r="F809" s="20">
        <v>17</v>
      </c>
      <c r="G809" s="20">
        <v>34</v>
      </c>
    </row>
    <row r="810" spans="1:7" ht="15" customHeight="1" x14ac:dyDescent="0.75">
      <c r="A810" s="18" t="s">
        <v>76</v>
      </c>
      <c r="B810" s="19">
        <v>46104</v>
      </c>
      <c r="C810" s="18" t="s">
        <v>66</v>
      </c>
      <c r="D810" s="17">
        <v>666517</v>
      </c>
      <c r="E810" s="18" t="s">
        <v>25</v>
      </c>
      <c r="F810" s="20">
        <v>10</v>
      </c>
      <c r="G810" s="20">
        <v>20</v>
      </c>
    </row>
    <row r="811" spans="1:7" ht="15" customHeight="1" x14ac:dyDescent="0.75">
      <c r="A811" s="18" t="s">
        <v>76</v>
      </c>
      <c r="B811" s="19">
        <v>46104</v>
      </c>
      <c r="C811" s="18" t="s">
        <v>66</v>
      </c>
      <c r="D811" s="17">
        <v>666518</v>
      </c>
      <c r="E811" s="18" t="s">
        <v>27</v>
      </c>
      <c r="F811" s="20">
        <v>0</v>
      </c>
      <c r="G811" s="20">
        <v>0</v>
      </c>
    </row>
    <row r="812" spans="1:7" ht="15" customHeight="1" x14ac:dyDescent="0.75">
      <c r="A812" s="18" t="s">
        <v>76</v>
      </c>
      <c r="B812" s="19">
        <v>46104</v>
      </c>
      <c r="C812" s="18" t="s">
        <v>66</v>
      </c>
      <c r="D812" s="17">
        <v>666519</v>
      </c>
      <c r="E812" s="18" t="s">
        <v>29</v>
      </c>
      <c r="F812" s="20">
        <v>16.5</v>
      </c>
      <c r="G812" s="20">
        <v>33</v>
      </c>
    </row>
    <row r="813" spans="1:7" ht="15" customHeight="1" x14ac:dyDescent="0.75">
      <c r="A813" s="18" t="s">
        <v>76</v>
      </c>
      <c r="B813" s="19">
        <v>46104</v>
      </c>
      <c r="C813" s="18" t="s">
        <v>66</v>
      </c>
      <c r="D813" s="17">
        <v>666521</v>
      </c>
      <c r="E813" s="18" t="s">
        <v>31</v>
      </c>
      <c r="F813" s="20">
        <v>0</v>
      </c>
      <c r="G813" s="20">
        <v>0</v>
      </c>
    </row>
    <row r="814" spans="1:7" ht="15" customHeight="1" x14ac:dyDescent="0.75">
      <c r="A814" s="18" t="s">
        <v>76</v>
      </c>
      <c r="B814" s="19">
        <v>46104</v>
      </c>
      <c r="C814" s="18" t="s">
        <v>66</v>
      </c>
      <c r="D814" s="17">
        <v>666522</v>
      </c>
      <c r="E814" s="18" t="s">
        <v>33</v>
      </c>
      <c r="F814" s="20">
        <v>40</v>
      </c>
      <c r="G814" s="20">
        <v>80</v>
      </c>
    </row>
    <row r="815" spans="1:7" ht="15" customHeight="1" x14ac:dyDescent="0.75">
      <c r="A815" s="18" t="s">
        <v>76</v>
      </c>
      <c r="B815" s="19">
        <v>46104</v>
      </c>
      <c r="C815" s="18" t="s">
        <v>66</v>
      </c>
      <c r="D815" s="17">
        <v>666523</v>
      </c>
      <c r="E815" s="18" t="s">
        <v>35</v>
      </c>
      <c r="F815" s="20">
        <v>5</v>
      </c>
      <c r="G815" s="20">
        <v>10</v>
      </c>
    </row>
    <row r="816" spans="1:7" ht="15" customHeight="1" x14ac:dyDescent="0.75">
      <c r="A816" s="18" t="s">
        <v>76</v>
      </c>
      <c r="B816" s="19">
        <v>46104</v>
      </c>
      <c r="C816" s="18" t="s">
        <v>66</v>
      </c>
      <c r="D816" s="17">
        <v>666530</v>
      </c>
      <c r="E816" s="18" t="s">
        <v>37</v>
      </c>
      <c r="F816" s="20">
        <v>7.5</v>
      </c>
      <c r="G816" s="20">
        <v>15</v>
      </c>
    </row>
    <row r="817" spans="1:7" ht="15" customHeight="1" x14ac:dyDescent="0.75">
      <c r="A817" s="18" t="s">
        <v>76</v>
      </c>
      <c r="B817" s="19">
        <v>46104</v>
      </c>
      <c r="C817" s="18" t="s">
        <v>66</v>
      </c>
      <c r="D817" s="17">
        <v>666531</v>
      </c>
      <c r="E817" s="18" t="s">
        <v>39</v>
      </c>
      <c r="F817" s="20">
        <v>4</v>
      </c>
      <c r="G817" s="20">
        <v>3</v>
      </c>
    </row>
    <row r="818" spans="1:7" ht="15" customHeight="1" x14ac:dyDescent="0.75">
      <c r="A818" s="18" t="s">
        <v>76</v>
      </c>
      <c r="B818" s="19">
        <v>46104</v>
      </c>
      <c r="C818" s="18" t="s">
        <v>66</v>
      </c>
      <c r="D818" s="17">
        <v>666540</v>
      </c>
      <c r="E818" s="18" t="s">
        <v>40</v>
      </c>
      <c r="F818" s="20">
        <v>0</v>
      </c>
      <c r="G818" s="20">
        <v>0</v>
      </c>
    </row>
    <row r="819" spans="1:7" ht="15" customHeight="1" x14ac:dyDescent="0.75">
      <c r="A819" s="18" t="s">
        <v>76</v>
      </c>
      <c r="B819" s="19">
        <v>46104</v>
      </c>
      <c r="C819" s="18" t="s">
        <v>66</v>
      </c>
      <c r="D819" s="17">
        <v>666541</v>
      </c>
      <c r="E819" s="18" t="s">
        <v>41</v>
      </c>
      <c r="F819" s="20">
        <v>0</v>
      </c>
      <c r="G819" s="20">
        <v>0</v>
      </c>
    </row>
    <row r="820" spans="1:7" ht="15" customHeight="1" x14ac:dyDescent="0.75">
      <c r="A820" s="18" t="s">
        <v>76</v>
      </c>
      <c r="B820" s="19">
        <v>46104</v>
      </c>
      <c r="C820" s="18" t="s">
        <v>66</v>
      </c>
      <c r="D820" s="17">
        <v>666536</v>
      </c>
      <c r="E820" s="18" t="s">
        <v>43</v>
      </c>
      <c r="F820" s="20">
        <v>0</v>
      </c>
      <c r="G820" s="20">
        <v>0</v>
      </c>
    </row>
    <row r="821" spans="1:7" ht="15" customHeight="1" x14ac:dyDescent="0.75">
      <c r="A821" s="18" t="s">
        <v>77</v>
      </c>
      <c r="B821" s="19">
        <v>46111</v>
      </c>
      <c r="C821" s="18" t="s">
        <v>56</v>
      </c>
      <c r="D821" s="17">
        <v>666501</v>
      </c>
      <c r="E821" s="18" t="s">
        <v>5</v>
      </c>
      <c r="F821" s="20">
        <v>34.5</v>
      </c>
      <c r="G821" s="20">
        <v>39</v>
      </c>
    </row>
    <row r="822" spans="1:7" ht="15" customHeight="1" x14ac:dyDescent="0.75">
      <c r="A822" s="18" t="s">
        <v>77</v>
      </c>
      <c r="B822" s="19">
        <v>46111</v>
      </c>
      <c r="C822" s="18" t="s">
        <v>56</v>
      </c>
      <c r="D822" s="17">
        <v>666502</v>
      </c>
      <c r="E822" s="18" t="s">
        <v>7</v>
      </c>
      <c r="F822" s="20">
        <v>0</v>
      </c>
      <c r="G822" s="20">
        <v>0</v>
      </c>
    </row>
    <row r="823" spans="1:7" ht="15" customHeight="1" x14ac:dyDescent="0.75">
      <c r="A823" s="18" t="s">
        <v>77</v>
      </c>
      <c r="B823" s="19">
        <v>46111</v>
      </c>
      <c r="C823" s="18" t="s">
        <v>56</v>
      </c>
      <c r="D823" s="17">
        <v>666505</v>
      </c>
      <c r="E823" s="18" t="s">
        <v>9</v>
      </c>
      <c r="F823" s="20">
        <v>10</v>
      </c>
      <c r="G823" s="20">
        <v>0</v>
      </c>
    </row>
    <row r="824" spans="1:7" ht="15" customHeight="1" x14ac:dyDescent="0.75">
      <c r="A824" s="18" t="s">
        <v>77</v>
      </c>
      <c r="B824" s="19">
        <v>46111</v>
      </c>
      <c r="C824" s="18" t="s">
        <v>56</v>
      </c>
      <c r="D824" s="17">
        <v>666506</v>
      </c>
      <c r="E824" s="18" t="s">
        <v>11</v>
      </c>
      <c r="F824" s="20">
        <v>0</v>
      </c>
      <c r="G824" s="20">
        <v>0</v>
      </c>
    </row>
    <row r="825" spans="1:7" ht="15" customHeight="1" x14ac:dyDescent="0.75">
      <c r="A825" s="18" t="s">
        <v>77</v>
      </c>
      <c r="B825" s="19">
        <v>46111</v>
      </c>
      <c r="C825" s="18" t="s">
        <v>56</v>
      </c>
      <c r="D825" s="17">
        <v>666507</v>
      </c>
      <c r="E825" s="18" t="s">
        <v>13</v>
      </c>
      <c r="F825" s="20">
        <v>21</v>
      </c>
      <c r="G825" s="20">
        <v>26</v>
      </c>
    </row>
    <row r="826" spans="1:7" ht="15" customHeight="1" x14ac:dyDescent="0.75">
      <c r="A826" s="18" t="s">
        <v>77</v>
      </c>
      <c r="B826" s="19">
        <v>46111</v>
      </c>
      <c r="C826" s="18" t="s">
        <v>56</v>
      </c>
      <c r="D826" s="17">
        <v>666509</v>
      </c>
      <c r="E826" s="18" t="s">
        <v>15</v>
      </c>
      <c r="F826" s="20">
        <v>50</v>
      </c>
      <c r="G826" s="20">
        <v>34</v>
      </c>
    </row>
    <row r="827" spans="1:7" ht="15" customHeight="1" x14ac:dyDescent="0.75">
      <c r="A827" s="18" t="s">
        <v>77</v>
      </c>
      <c r="B827" s="19">
        <v>46111</v>
      </c>
      <c r="C827" s="18" t="s">
        <v>56</v>
      </c>
      <c r="D827" s="17">
        <v>666510</v>
      </c>
      <c r="E827" s="18" t="s">
        <v>17</v>
      </c>
      <c r="F827" s="20">
        <v>0</v>
      </c>
      <c r="G827" s="20">
        <v>0</v>
      </c>
    </row>
    <row r="828" spans="1:7" ht="15" customHeight="1" x14ac:dyDescent="0.75">
      <c r="A828" s="18" t="s">
        <v>77</v>
      </c>
      <c r="B828" s="19">
        <v>46111</v>
      </c>
      <c r="C828" s="18" t="s">
        <v>56</v>
      </c>
      <c r="D828" s="17">
        <v>666511</v>
      </c>
      <c r="E828" s="18" t="s">
        <v>19</v>
      </c>
      <c r="F828" s="20">
        <v>4</v>
      </c>
      <c r="G828" s="20">
        <v>8</v>
      </c>
    </row>
    <row r="829" spans="1:7" ht="15" customHeight="1" x14ac:dyDescent="0.75">
      <c r="A829" s="18" t="s">
        <v>77</v>
      </c>
      <c r="B829" s="19">
        <v>46111</v>
      </c>
      <c r="C829" s="18" t="s">
        <v>56</v>
      </c>
      <c r="D829" s="17">
        <v>666513</v>
      </c>
      <c r="E829" s="18" t="s">
        <v>21</v>
      </c>
      <c r="F829" s="20">
        <v>0</v>
      </c>
      <c r="G829" s="20">
        <v>0</v>
      </c>
    </row>
    <row r="830" spans="1:7" ht="15" customHeight="1" x14ac:dyDescent="0.75">
      <c r="A830" s="18" t="s">
        <v>77</v>
      </c>
      <c r="B830" s="19">
        <v>46111</v>
      </c>
      <c r="C830" s="18" t="s">
        <v>56</v>
      </c>
      <c r="D830" s="17">
        <v>666516</v>
      </c>
      <c r="E830" s="18" t="s">
        <v>23</v>
      </c>
      <c r="F830" s="20">
        <v>17</v>
      </c>
      <c r="G830" s="20">
        <v>0</v>
      </c>
    </row>
    <row r="831" spans="1:7" ht="15" customHeight="1" x14ac:dyDescent="0.75">
      <c r="A831" s="18" t="s">
        <v>77</v>
      </c>
      <c r="B831" s="19">
        <v>46111</v>
      </c>
      <c r="C831" s="18" t="s">
        <v>56</v>
      </c>
      <c r="D831" s="17">
        <v>666517</v>
      </c>
      <c r="E831" s="18" t="s">
        <v>25</v>
      </c>
      <c r="F831" s="20">
        <v>23</v>
      </c>
      <c r="G831" s="20">
        <v>9</v>
      </c>
    </row>
    <row r="832" spans="1:7" ht="15" customHeight="1" x14ac:dyDescent="0.75">
      <c r="A832" s="18" t="s">
        <v>77</v>
      </c>
      <c r="B832" s="19">
        <v>46111</v>
      </c>
      <c r="C832" s="18" t="s">
        <v>56</v>
      </c>
      <c r="D832" s="17">
        <v>666518</v>
      </c>
      <c r="E832" s="18" t="s">
        <v>27</v>
      </c>
      <c r="F832" s="20">
        <v>0</v>
      </c>
      <c r="G832" s="20">
        <v>0</v>
      </c>
    </row>
    <row r="833" spans="1:7" ht="15" customHeight="1" x14ac:dyDescent="0.75">
      <c r="A833" s="18" t="s">
        <v>77</v>
      </c>
      <c r="B833" s="19">
        <v>46111</v>
      </c>
      <c r="C833" s="18" t="s">
        <v>56</v>
      </c>
      <c r="D833" s="17">
        <v>666519</v>
      </c>
      <c r="E833" s="18" t="s">
        <v>29</v>
      </c>
      <c r="F833" s="20">
        <v>16.5</v>
      </c>
      <c r="G833" s="20">
        <v>0</v>
      </c>
    </row>
    <row r="834" spans="1:7" ht="15" customHeight="1" x14ac:dyDescent="0.75">
      <c r="A834" s="18" t="s">
        <v>77</v>
      </c>
      <c r="B834" s="19">
        <v>46111</v>
      </c>
      <c r="C834" s="18" t="s">
        <v>56</v>
      </c>
      <c r="D834" s="17">
        <v>666521</v>
      </c>
      <c r="E834" s="18" t="s">
        <v>31</v>
      </c>
      <c r="F834" s="20">
        <v>26</v>
      </c>
      <c r="G834" s="20">
        <v>28</v>
      </c>
    </row>
    <row r="835" spans="1:7" ht="15" customHeight="1" x14ac:dyDescent="0.75">
      <c r="A835" s="18" t="s">
        <v>77</v>
      </c>
      <c r="B835" s="19">
        <v>46111</v>
      </c>
      <c r="C835" s="18" t="s">
        <v>56</v>
      </c>
      <c r="D835" s="17">
        <v>666522</v>
      </c>
      <c r="E835" s="18" t="s">
        <v>33</v>
      </c>
      <c r="F835" s="20">
        <v>65</v>
      </c>
      <c r="G835" s="20">
        <v>45</v>
      </c>
    </row>
    <row r="836" spans="1:7" ht="15" customHeight="1" x14ac:dyDescent="0.75">
      <c r="A836" s="18" t="s">
        <v>77</v>
      </c>
      <c r="B836" s="19">
        <v>46111</v>
      </c>
      <c r="C836" s="18" t="s">
        <v>56</v>
      </c>
      <c r="D836" s="17">
        <v>666523</v>
      </c>
      <c r="E836" s="18" t="s">
        <v>35</v>
      </c>
      <c r="F836" s="20">
        <v>0</v>
      </c>
      <c r="G836" s="20">
        <v>0</v>
      </c>
    </row>
    <row r="837" spans="1:7" ht="15" customHeight="1" x14ac:dyDescent="0.75">
      <c r="A837" s="18" t="s">
        <v>77</v>
      </c>
      <c r="B837" s="19">
        <v>46111</v>
      </c>
      <c r="C837" s="18" t="s">
        <v>56</v>
      </c>
      <c r="D837" s="17">
        <v>666530</v>
      </c>
      <c r="E837" s="18" t="s">
        <v>37</v>
      </c>
      <c r="F837" s="20">
        <v>2.5</v>
      </c>
      <c r="G837" s="20">
        <v>0</v>
      </c>
    </row>
    <row r="838" spans="1:7" ht="15" customHeight="1" x14ac:dyDescent="0.75">
      <c r="A838" s="18" t="s">
        <v>77</v>
      </c>
      <c r="B838" s="19">
        <v>46111</v>
      </c>
      <c r="C838" s="18" t="s">
        <v>56</v>
      </c>
      <c r="D838" s="17">
        <v>666531</v>
      </c>
      <c r="E838" s="18" t="s">
        <v>39</v>
      </c>
      <c r="F838" s="20">
        <v>9</v>
      </c>
      <c r="G838" s="20">
        <v>0</v>
      </c>
    </row>
    <row r="839" spans="1:7" ht="15" customHeight="1" x14ac:dyDescent="0.75">
      <c r="A839" s="18" t="s">
        <v>77</v>
      </c>
      <c r="B839" s="19">
        <v>46111</v>
      </c>
      <c r="C839" s="18" t="s">
        <v>56</v>
      </c>
      <c r="D839" s="17">
        <v>666540</v>
      </c>
      <c r="E839" s="18" t="s">
        <v>40</v>
      </c>
      <c r="F839" s="20">
        <v>0</v>
      </c>
      <c r="G839" s="20">
        <v>0</v>
      </c>
    </row>
    <row r="840" spans="1:7" ht="15" customHeight="1" x14ac:dyDescent="0.75">
      <c r="A840" s="18" t="s">
        <v>77</v>
      </c>
      <c r="B840" s="19">
        <v>46111</v>
      </c>
      <c r="C840" s="18" t="s">
        <v>56</v>
      </c>
      <c r="D840" s="17">
        <v>666541</v>
      </c>
      <c r="E840" s="18" t="s">
        <v>41</v>
      </c>
      <c r="F840" s="20">
        <v>0</v>
      </c>
      <c r="G840" s="20">
        <v>0</v>
      </c>
    </row>
    <row r="841" spans="1:7" ht="15" customHeight="1" x14ac:dyDescent="0.75">
      <c r="A841" s="18" t="s">
        <v>77</v>
      </c>
      <c r="B841" s="19">
        <v>46111</v>
      </c>
      <c r="C841" s="18" t="s">
        <v>56</v>
      </c>
      <c r="D841" s="17">
        <v>666536</v>
      </c>
      <c r="E841" s="18" t="s">
        <v>43</v>
      </c>
      <c r="F841" s="20">
        <v>15</v>
      </c>
      <c r="G841" s="20">
        <v>11</v>
      </c>
    </row>
    <row r="842" spans="1:7" ht="15" customHeight="1" x14ac:dyDescent="0.75">
      <c r="A842" s="18" t="s">
        <v>77</v>
      </c>
      <c r="B842" s="19">
        <v>46111</v>
      </c>
      <c r="C842" s="18" t="s">
        <v>58</v>
      </c>
      <c r="D842" s="17">
        <v>666501</v>
      </c>
      <c r="E842" s="18" t="s">
        <v>5</v>
      </c>
      <c r="F842" s="20">
        <v>312</v>
      </c>
      <c r="G842" s="20">
        <v>315</v>
      </c>
    </row>
    <row r="843" spans="1:7" ht="15" customHeight="1" x14ac:dyDescent="0.75">
      <c r="A843" s="18" t="s">
        <v>77</v>
      </c>
      <c r="B843" s="19">
        <v>46111</v>
      </c>
      <c r="C843" s="18" t="s">
        <v>58</v>
      </c>
      <c r="D843" s="17">
        <v>666502</v>
      </c>
      <c r="E843" s="18" t="s">
        <v>7</v>
      </c>
      <c r="F843" s="20">
        <v>175</v>
      </c>
      <c r="G843" s="20">
        <v>226</v>
      </c>
    </row>
    <row r="844" spans="1:7" ht="15" customHeight="1" x14ac:dyDescent="0.75">
      <c r="A844" s="18" t="s">
        <v>77</v>
      </c>
      <c r="B844" s="19">
        <v>46111</v>
      </c>
      <c r="C844" s="18" t="s">
        <v>58</v>
      </c>
      <c r="D844" s="17">
        <v>666505</v>
      </c>
      <c r="E844" s="18" t="s">
        <v>9</v>
      </c>
      <c r="F844" s="20">
        <v>0</v>
      </c>
      <c r="G844" s="20">
        <v>0</v>
      </c>
    </row>
    <row r="845" spans="1:7" ht="15" customHeight="1" x14ac:dyDescent="0.75">
      <c r="A845" s="18" t="s">
        <v>77</v>
      </c>
      <c r="B845" s="19">
        <v>46111</v>
      </c>
      <c r="C845" s="18" t="s">
        <v>58</v>
      </c>
      <c r="D845" s="17">
        <v>666506</v>
      </c>
      <c r="E845" s="18" t="s">
        <v>11</v>
      </c>
      <c r="F845" s="20">
        <v>200</v>
      </c>
      <c r="G845" s="20">
        <v>5</v>
      </c>
    </row>
    <row r="846" spans="1:7" ht="15" customHeight="1" x14ac:dyDescent="0.75">
      <c r="A846" s="18" t="s">
        <v>77</v>
      </c>
      <c r="B846" s="19">
        <v>46111</v>
      </c>
      <c r="C846" s="18" t="s">
        <v>58</v>
      </c>
      <c r="D846" s="17">
        <v>666507</v>
      </c>
      <c r="E846" s="18" t="s">
        <v>13</v>
      </c>
      <c r="F846" s="20">
        <v>0</v>
      </c>
      <c r="G846" s="20">
        <v>0</v>
      </c>
    </row>
    <row r="847" spans="1:7" ht="15" customHeight="1" x14ac:dyDescent="0.75">
      <c r="A847" s="18" t="s">
        <v>77</v>
      </c>
      <c r="B847" s="19">
        <v>46111</v>
      </c>
      <c r="C847" s="18" t="s">
        <v>58</v>
      </c>
      <c r="D847" s="17">
        <v>666509</v>
      </c>
      <c r="E847" s="18" t="s">
        <v>15</v>
      </c>
      <c r="F847" s="20">
        <v>0</v>
      </c>
      <c r="G847" s="20">
        <v>0</v>
      </c>
    </row>
    <row r="848" spans="1:7" ht="15" customHeight="1" x14ac:dyDescent="0.75">
      <c r="A848" s="18" t="s">
        <v>77</v>
      </c>
      <c r="B848" s="19">
        <v>46111</v>
      </c>
      <c r="C848" s="18" t="s">
        <v>58</v>
      </c>
      <c r="D848" s="17">
        <v>666510</v>
      </c>
      <c r="E848" s="18" t="s">
        <v>17</v>
      </c>
      <c r="F848" s="20">
        <v>0</v>
      </c>
      <c r="G848" s="20">
        <v>0</v>
      </c>
    </row>
    <row r="849" spans="1:7" ht="15" customHeight="1" x14ac:dyDescent="0.75">
      <c r="A849" s="18" t="s">
        <v>77</v>
      </c>
      <c r="B849" s="19">
        <v>46111</v>
      </c>
      <c r="C849" s="18" t="s">
        <v>58</v>
      </c>
      <c r="D849" s="17">
        <v>666511</v>
      </c>
      <c r="E849" s="18" t="s">
        <v>19</v>
      </c>
      <c r="F849" s="20">
        <v>0</v>
      </c>
      <c r="G849" s="20">
        <v>0</v>
      </c>
    </row>
    <row r="850" spans="1:7" ht="15" customHeight="1" x14ac:dyDescent="0.75">
      <c r="A850" s="18" t="s">
        <v>77</v>
      </c>
      <c r="B850" s="19">
        <v>46111</v>
      </c>
      <c r="C850" s="18" t="s">
        <v>58</v>
      </c>
      <c r="D850" s="17">
        <v>666513</v>
      </c>
      <c r="E850" s="18" t="s">
        <v>21</v>
      </c>
      <c r="F850" s="20">
        <v>0</v>
      </c>
      <c r="G850" s="20">
        <v>0</v>
      </c>
    </row>
    <row r="851" spans="1:7" ht="15" customHeight="1" x14ac:dyDescent="0.75">
      <c r="A851" s="18" t="s">
        <v>77</v>
      </c>
      <c r="B851" s="19">
        <v>46111</v>
      </c>
      <c r="C851" s="18" t="s">
        <v>58</v>
      </c>
      <c r="D851" s="17">
        <v>666516</v>
      </c>
      <c r="E851" s="18" t="s">
        <v>23</v>
      </c>
      <c r="F851" s="20">
        <v>0</v>
      </c>
      <c r="G851" s="20">
        <v>0</v>
      </c>
    </row>
    <row r="852" spans="1:7" ht="15" customHeight="1" x14ac:dyDescent="0.75">
      <c r="A852" s="18" t="s">
        <v>77</v>
      </c>
      <c r="B852" s="19">
        <v>46111</v>
      </c>
      <c r="C852" s="18" t="s">
        <v>58</v>
      </c>
      <c r="D852" s="17">
        <v>666517</v>
      </c>
      <c r="E852" s="18" t="s">
        <v>25</v>
      </c>
      <c r="F852" s="20">
        <v>0</v>
      </c>
      <c r="G852" s="20">
        <v>0</v>
      </c>
    </row>
    <row r="853" spans="1:7" ht="15" customHeight="1" x14ac:dyDescent="0.75">
      <c r="A853" s="18" t="s">
        <v>77</v>
      </c>
      <c r="B853" s="19">
        <v>46111</v>
      </c>
      <c r="C853" s="18" t="s">
        <v>58</v>
      </c>
      <c r="D853" s="17">
        <v>666518</v>
      </c>
      <c r="E853" s="18" t="s">
        <v>27</v>
      </c>
      <c r="F853" s="20">
        <v>0</v>
      </c>
      <c r="G853" s="20">
        <v>0</v>
      </c>
    </row>
    <row r="854" spans="1:7" ht="15" customHeight="1" x14ac:dyDescent="0.75">
      <c r="A854" s="18" t="s">
        <v>77</v>
      </c>
      <c r="B854" s="19">
        <v>46111</v>
      </c>
      <c r="C854" s="18" t="s">
        <v>58</v>
      </c>
      <c r="D854" s="17">
        <v>666519</v>
      </c>
      <c r="E854" s="18" t="s">
        <v>29</v>
      </c>
      <c r="F854" s="20">
        <v>0</v>
      </c>
      <c r="G854" s="20">
        <v>0</v>
      </c>
    </row>
    <row r="855" spans="1:7" ht="15" customHeight="1" x14ac:dyDescent="0.75">
      <c r="A855" s="18" t="s">
        <v>77</v>
      </c>
      <c r="B855" s="19">
        <v>46111</v>
      </c>
      <c r="C855" s="18" t="s">
        <v>58</v>
      </c>
      <c r="D855" s="17">
        <v>666521</v>
      </c>
      <c r="E855" s="18" t="s">
        <v>31</v>
      </c>
      <c r="F855" s="20">
        <v>0</v>
      </c>
      <c r="G855" s="20">
        <v>0</v>
      </c>
    </row>
    <row r="856" spans="1:7" ht="15" customHeight="1" x14ac:dyDescent="0.75">
      <c r="A856" s="18" t="s">
        <v>77</v>
      </c>
      <c r="B856" s="19">
        <v>46111</v>
      </c>
      <c r="C856" s="18" t="s">
        <v>58</v>
      </c>
      <c r="D856" s="17">
        <v>666522</v>
      </c>
      <c r="E856" s="18" t="s">
        <v>33</v>
      </c>
      <c r="F856" s="20">
        <v>95</v>
      </c>
      <c r="G856" s="20">
        <v>5</v>
      </c>
    </row>
    <row r="857" spans="1:7" ht="15" customHeight="1" x14ac:dyDescent="0.75">
      <c r="A857" s="18" t="s">
        <v>77</v>
      </c>
      <c r="B857" s="19">
        <v>46111</v>
      </c>
      <c r="C857" s="18" t="s">
        <v>58</v>
      </c>
      <c r="D857" s="17">
        <v>666523</v>
      </c>
      <c r="E857" s="18" t="s">
        <v>35</v>
      </c>
      <c r="F857" s="20">
        <v>20</v>
      </c>
      <c r="G857" s="20">
        <v>0</v>
      </c>
    </row>
    <row r="858" spans="1:7" ht="15" customHeight="1" x14ac:dyDescent="0.75">
      <c r="A858" s="18" t="s">
        <v>77</v>
      </c>
      <c r="B858" s="19">
        <v>46111</v>
      </c>
      <c r="C858" s="18" t="s">
        <v>58</v>
      </c>
      <c r="D858" s="17">
        <v>666530</v>
      </c>
      <c r="E858" s="18" t="s">
        <v>37</v>
      </c>
      <c r="F858" s="20">
        <v>0</v>
      </c>
      <c r="G858" s="20">
        <v>0</v>
      </c>
    </row>
    <row r="859" spans="1:7" ht="15" customHeight="1" x14ac:dyDescent="0.75">
      <c r="A859" s="18" t="s">
        <v>77</v>
      </c>
      <c r="B859" s="19">
        <v>46111</v>
      </c>
      <c r="C859" s="18" t="s">
        <v>58</v>
      </c>
      <c r="D859" s="17">
        <v>666531</v>
      </c>
      <c r="E859" s="18" t="s">
        <v>39</v>
      </c>
      <c r="F859" s="20">
        <v>0</v>
      </c>
      <c r="G859" s="20">
        <v>0</v>
      </c>
    </row>
    <row r="860" spans="1:7" ht="15" customHeight="1" x14ac:dyDescent="0.75">
      <c r="A860" s="18" t="s">
        <v>77</v>
      </c>
      <c r="B860" s="19">
        <v>46111</v>
      </c>
      <c r="C860" s="18" t="s">
        <v>58</v>
      </c>
      <c r="D860" s="17">
        <v>666540</v>
      </c>
      <c r="E860" s="18" t="s">
        <v>40</v>
      </c>
      <c r="F860" s="20">
        <v>60</v>
      </c>
      <c r="G860" s="20">
        <v>0</v>
      </c>
    </row>
    <row r="861" spans="1:7" ht="15" customHeight="1" x14ac:dyDescent="0.75">
      <c r="A861" s="18" t="s">
        <v>77</v>
      </c>
      <c r="B861" s="19">
        <v>46111</v>
      </c>
      <c r="C861" s="18" t="s">
        <v>58</v>
      </c>
      <c r="D861" s="17">
        <v>666541</v>
      </c>
      <c r="E861" s="18" t="s">
        <v>41</v>
      </c>
      <c r="F861" s="20">
        <v>300</v>
      </c>
      <c r="G861" s="20">
        <v>159</v>
      </c>
    </row>
    <row r="862" spans="1:7" ht="15" customHeight="1" x14ac:dyDescent="0.75">
      <c r="A862" s="18" t="s">
        <v>77</v>
      </c>
      <c r="B862" s="19">
        <v>46111</v>
      </c>
      <c r="C862" s="18" t="s">
        <v>58</v>
      </c>
      <c r="D862" s="17">
        <v>666536</v>
      </c>
      <c r="E862" s="18" t="s">
        <v>43</v>
      </c>
      <c r="F862" s="20">
        <v>0</v>
      </c>
      <c r="G862" s="20">
        <v>0</v>
      </c>
    </row>
    <row r="863" spans="1:7" ht="15" customHeight="1" x14ac:dyDescent="0.75">
      <c r="A863" s="18" t="s">
        <v>77</v>
      </c>
      <c r="B863" s="19">
        <v>46111</v>
      </c>
      <c r="C863" s="18" t="s">
        <v>66</v>
      </c>
      <c r="D863" s="17">
        <v>666501</v>
      </c>
      <c r="E863" s="18" t="s">
        <v>5</v>
      </c>
      <c r="F863" s="20">
        <v>30</v>
      </c>
      <c r="G863" s="20">
        <v>12</v>
      </c>
    </row>
    <row r="864" spans="1:7" ht="15" customHeight="1" x14ac:dyDescent="0.75">
      <c r="A864" s="18" t="s">
        <v>77</v>
      </c>
      <c r="B864" s="19">
        <v>46111</v>
      </c>
      <c r="C864" s="18" t="s">
        <v>66</v>
      </c>
      <c r="D864" s="17">
        <v>666502</v>
      </c>
      <c r="E864" s="18" t="s">
        <v>7</v>
      </c>
      <c r="F864" s="20">
        <v>25</v>
      </c>
      <c r="G864" s="20">
        <v>50</v>
      </c>
    </row>
    <row r="865" spans="1:7" ht="15" customHeight="1" x14ac:dyDescent="0.75">
      <c r="A865" s="18" t="s">
        <v>77</v>
      </c>
      <c r="B865" s="19">
        <v>46111</v>
      </c>
      <c r="C865" s="18" t="s">
        <v>66</v>
      </c>
      <c r="D865" s="17">
        <v>666505</v>
      </c>
      <c r="E865" s="18" t="s">
        <v>9</v>
      </c>
      <c r="F865" s="20">
        <v>22</v>
      </c>
      <c r="G865" s="20">
        <v>0</v>
      </c>
    </row>
    <row r="866" spans="1:7" ht="15" customHeight="1" x14ac:dyDescent="0.75">
      <c r="A866" s="18" t="s">
        <v>77</v>
      </c>
      <c r="B866" s="19">
        <v>46111</v>
      </c>
      <c r="C866" s="18" t="s">
        <v>66</v>
      </c>
      <c r="D866" s="17">
        <v>666506</v>
      </c>
      <c r="E866" s="18" t="s">
        <v>11</v>
      </c>
      <c r="F866" s="20">
        <v>0</v>
      </c>
      <c r="G866" s="20">
        <v>0</v>
      </c>
    </row>
    <row r="867" spans="1:7" ht="15" customHeight="1" x14ac:dyDescent="0.75">
      <c r="A867" s="18" t="s">
        <v>77</v>
      </c>
      <c r="B867" s="19">
        <v>46111</v>
      </c>
      <c r="C867" s="18" t="s">
        <v>66</v>
      </c>
      <c r="D867" s="17">
        <v>666507</v>
      </c>
      <c r="E867" s="18" t="s">
        <v>13</v>
      </c>
      <c r="F867" s="20">
        <v>0</v>
      </c>
      <c r="G867" s="20">
        <v>0</v>
      </c>
    </row>
    <row r="868" spans="1:7" ht="15" customHeight="1" x14ac:dyDescent="0.75">
      <c r="A868" s="18" t="s">
        <v>77</v>
      </c>
      <c r="B868" s="19">
        <v>46111</v>
      </c>
      <c r="C868" s="18" t="s">
        <v>66</v>
      </c>
      <c r="D868" s="17">
        <v>666509</v>
      </c>
      <c r="E868" s="18" t="s">
        <v>15</v>
      </c>
      <c r="F868" s="20">
        <v>0</v>
      </c>
      <c r="G868" s="20">
        <v>0</v>
      </c>
    </row>
    <row r="869" spans="1:7" ht="15" customHeight="1" x14ac:dyDescent="0.75">
      <c r="A869" s="18" t="s">
        <v>77</v>
      </c>
      <c r="B869" s="19">
        <v>46111</v>
      </c>
      <c r="C869" s="18" t="s">
        <v>66</v>
      </c>
      <c r="D869" s="17">
        <v>666510</v>
      </c>
      <c r="E869" s="18" t="s">
        <v>17</v>
      </c>
      <c r="F869" s="20">
        <v>0</v>
      </c>
      <c r="G869" s="20">
        <v>0</v>
      </c>
    </row>
    <row r="870" spans="1:7" ht="15" customHeight="1" x14ac:dyDescent="0.75">
      <c r="A870" s="18" t="s">
        <v>77</v>
      </c>
      <c r="B870" s="19">
        <v>46111</v>
      </c>
      <c r="C870" s="18" t="s">
        <v>66</v>
      </c>
      <c r="D870" s="17">
        <v>666511</v>
      </c>
      <c r="E870" s="18" t="s">
        <v>19</v>
      </c>
      <c r="F870" s="20">
        <v>0</v>
      </c>
      <c r="G870" s="20">
        <v>0</v>
      </c>
    </row>
    <row r="871" spans="1:7" ht="15" customHeight="1" x14ac:dyDescent="0.75">
      <c r="A871" s="18" t="s">
        <v>77</v>
      </c>
      <c r="B871" s="19">
        <v>46111</v>
      </c>
      <c r="C871" s="18" t="s">
        <v>66</v>
      </c>
      <c r="D871" s="17">
        <v>666513</v>
      </c>
      <c r="E871" s="18" t="s">
        <v>21</v>
      </c>
      <c r="F871" s="20">
        <v>0</v>
      </c>
      <c r="G871" s="20">
        <v>0</v>
      </c>
    </row>
    <row r="872" spans="1:7" ht="15" customHeight="1" x14ac:dyDescent="0.75">
      <c r="A872" s="18" t="s">
        <v>77</v>
      </c>
      <c r="B872" s="19">
        <v>46111</v>
      </c>
      <c r="C872" s="18" t="s">
        <v>66</v>
      </c>
      <c r="D872" s="17">
        <v>666516</v>
      </c>
      <c r="E872" s="18" t="s">
        <v>23</v>
      </c>
      <c r="F872" s="20">
        <v>17</v>
      </c>
      <c r="G872" s="20">
        <v>0</v>
      </c>
    </row>
    <row r="873" spans="1:7" ht="15" customHeight="1" x14ac:dyDescent="0.75">
      <c r="A873" s="18" t="s">
        <v>77</v>
      </c>
      <c r="B873" s="19">
        <v>46111</v>
      </c>
      <c r="C873" s="18" t="s">
        <v>66</v>
      </c>
      <c r="D873" s="17">
        <v>666517</v>
      </c>
      <c r="E873" s="18" t="s">
        <v>25</v>
      </c>
      <c r="F873" s="20">
        <v>10</v>
      </c>
      <c r="G873" s="20">
        <v>0</v>
      </c>
    </row>
    <row r="874" spans="1:7" ht="15" customHeight="1" x14ac:dyDescent="0.75">
      <c r="A874" s="18" t="s">
        <v>77</v>
      </c>
      <c r="B874" s="19">
        <v>46111</v>
      </c>
      <c r="C874" s="18" t="s">
        <v>66</v>
      </c>
      <c r="D874" s="17">
        <v>666518</v>
      </c>
      <c r="E874" s="18" t="s">
        <v>27</v>
      </c>
      <c r="F874" s="20">
        <v>0</v>
      </c>
      <c r="G874" s="20">
        <v>0</v>
      </c>
    </row>
    <row r="875" spans="1:7" ht="15" customHeight="1" x14ac:dyDescent="0.75">
      <c r="A875" s="18" t="s">
        <v>77</v>
      </c>
      <c r="B875" s="19">
        <v>46111</v>
      </c>
      <c r="C875" s="18" t="s">
        <v>66</v>
      </c>
      <c r="D875" s="17">
        <v>666519</v>
      </c>
      <c r="E875" s="18" t="s">
        <v>29</v>
      </c>
      <c r="F875" s="20">
        <v>16.5</v>
      </c>
      <c r="G875" s="20">
        <v>0</v>
      </c>
    </row>
    <row r="876" spans="1:7" ht="15" customHeight="1" x14ac:dyDescent="0.75">
      <c r="A876" s="18" t="s">
        <v>77</v>
      </c>
      <c r="B876" s="19">
        <v>46111</v>
      </c>
      <c r="C876" s="18" t="s">
        <v>66</v>
      </c>
      <c r="D876" s="17">
        <v>666521</v>
      </c>
      <c r="E876" s="18" t="s">
        <v>31</v>
      </c>
      <c r="F876" s="20">
        <v>0</v>
      </c>
      <c r="G876" s="20">
        <v>0</v>
      </c>
    </row>
    <row r="877" spans="1:7" ht="15" customHeight="1" x14ac:dyDescent="0.75">
      <c r="A877" s="18" t="s">
        <v>77</v>
      </c>
      <c r="B877" s="19">
        <v>46111</v>
      </c>
      <c r="C877" s="18" t="s">
        <v>66</v>
      </c>
      <c r="D877" s="17">
        <v>666522</v>
      </c>
      <c r="E877" s="18" t="s">
        <v>33</v>
      </c>
      <c r="F877" s="20">
        <v>40</v>
      </c>
      <c r="G877" s="20">
        <v>0</v>
      </c>
    </row>
    <row r="878" spans="1:7" ht="15" customHeight="1" x14ac:dyDescent="0.75">
      <c r="A878" s="18" t="s">
        <v>77</v>
      </c>
      <c r="B878" s="19">
        <v>46111</v>
      </c>
      <c r="C878" s="18" t="s">
        <v>66</v>
      </c>
      <c r="D878" s="17">
        <v>666523</v>
      </c>
      <c r="E878" s="18" t="s">
        <v>35</v>
      </c>
      <c r="F878" s="20">
        <v>5</v>
      </c>
      <c r="G878" s="20">
        <v>0</v>
      </c>
    </row>
    <row r="879" spans="1:7" ht="15" customHeight="1" x14ac:dyDescent="0.75">
      <c r="A879" s="18" t="s">
        <v>77</v>
      </c>
      <c r="B879" s="19">
        <v>46111</v>
      </c>
      <c r="C879" s="18" t="s">
        <v>66</v>
      </c>
      <c r="D879" s="17">
        <v>666530</v>
      </c>
      <c r="E879" s="18" t="s">
        <v>37</v>
      </c>
      <c r="F879" s="20">
        <v>7.5</v>
      </c>
      <c r="G879" s="20">
        <v>0</v>
      </c>
    </row>
    <row r="880" spans="1:7" ht="15" customHeight="1" x14ac:dyDescent="0.75">
      <c r="A880" s="18" t="s">
        <v>77</v>
      </c>
      <c r="B880" s="19">
        <v>46111</v>
      </c>
      <c r="C880" s="18" t="s">
        <v>66</v>
      </c>
      <c r="D880" s="17">
        <v>666531</v>
      </c>
      <c r="E880" s="18" t="s">
        <v>39</v>
      </c>
      <c r="F880" s="20">
        <v>4</v>
      </c>
      <c r="G880" s="20">
        <v>5</v>
      </c>
    </row>
    <row r="881" spans="1:7" ht="15" customHeight="1" x14ac:dyDescent="0.75">
      <c r="A881" s="18" t="s">
        <v>77</v>
      </c>
      <c r="B881" s="19">
        <v>46111</v>
      </c>
      <c r="C881" s="18" t="s">
        <v>66</v>
      </c>
      <c r="D881" s="17">
        <v>666540</v>
      </c>
      <c r="E881" s="18" t="s">
        <v>40</v>
      </c>
      <c r="F881" s="20">
        <v>0</v>
      </c>
      <c r="G881" s="20">
        <v>0</v>
      </c>
    </row>
    <row r="882" spans="1:7" ht="15" customHeight="1" x14ac:dyDescent="0.75">
      <c r="A882" s="18" t="s">
        <v>77</v>
      </c>
      <c r="B882" s="19">
        <v>46111</v>
      </c>
      <c r="C882" s="18" t="s">
        <v>66</v>
      </c>
      <c r="D882" s="17">
        <v>666541</v>
      </c>
      <c r="E882" s="18" t="s">
        <v>41</v>
      </c>
      <c r="F882" s="20">
        <v>0</v>
      </c>
      <c r="G882" s="20">
        <v>0</v>
      </c>
    </row>
    <row r="883" spans="1:7" ht="15" customHeight="1" x14ac:dyDescent="0.75">
      <c r="A883" s="18" t="s">
        <v>77</v>
      </c>
      <c r="B883" s="19">
        <v>46111</v>
      </c>
      <c r="C883" s="18" t="s">
        <v>66</v>
      </c>
      <c r="D883" s="17">
        <v>666536</v>
      </c>
      <c r="E883" s="18" t="s">
        <v>43</v>
      </c>
      <c r="F883" s="20">
        <v>0</v>
      </c>
      <c r="G883" s="20">
        <v>0</v>
      </c>
    </row>
    <row r="884" spans="1:7" ht="15" customHeight="1" x14ac:dyDescent="0.75">
      <c r="A884" s="18" t="s">
        <v>78</v>
      </c>
      <c r="B884" s="19">
        <v>46118</v>
      </c>
      <c r="C884" s="18" t="s">
        <v>56</v>
      </c>
      <c r="D884" s="17">
        <v>666501</v>
      </c>
      <c r="E884" s="18" t="s">
        <v>5</v>
      </c>
      <c r="F884" s="20">
        <v>36</v>
      </c>
      <c r="G884" s="20">
        <v>18</v>
      </c>
    </row>
    <row r="885" spans="1:7" ht="15" customHeight="1" x14ac:dyDescent="0.75">
      <c r="A885" s="18" t="s">
        <v>78</v>
      </c>
      <c r="B885" s="19">
        <v>46118</v>
      </c>
      <c r="C885" s="18" t="s">
        <v>56</v>
      </c>
      <c r="D885" s="17">
        <v>666502</v>
      </c>
      <c r="E885" s="18" t="s">
        <v>7</v>
      </c>
      <c r="F885" s="20">
        <v>0</v>
      </c>
      <c r="G885" s="20">
        <v>0</v>
      </c>
    </row>
    <row r="886" spans="1:7" ht="15" customHeight="1" x14ac:dyDescent="0.75">
      <c r="A886" s="18" t="s">
        <v>78</v>
      </c>
      <c r="B886" s="19">
        <v>46118</v>
      </c>
      <c r="C886" s="18" t="s">
        <v>56</v>
      </c>
      <c r="D886" s="17">
        <v>666505</v>
      </c>
      <c r="E886" s="18" t="s">
        <v>9</v>
      </c>
      <c r="F886" s="20">
        <v>9.5</v>
      </c>
      <c r="G886" s="20">
        <v>19</v>
      </c>
    </row>
    <row r="887" spans="1:7" ht="15" customHeight="1" x14ac:dyDescent="0.75">
      <c r="A887" s="18" t="s">
        <v>78</v>
      </c>
      <c r="B887" s="19">
        <v>46118</v>
      </c>
      <c r="C887" s="18" t="s">
        <v>56</v>
      </c>
      <c r="D887" s="17">
        <v>666506</v>
      </c>
      <c r="E887" s="18" t="s">
        <v>11</v>
      </c>
      <c r="F887" s="20">
        <v>0</v>
      </c>
      <c r="G887" s="20">
        <v>0</v>
      </c>
    </row>
    <row r="888" spans="1:7" ht="15" customHeight="1" x14ac:dyDescent="0.75">
      <c r="A888" s="18" t="s">
        <v>78</v>
      </c>
      <c r="B888" s="19">
        <v>46118</v>
      </c>
      <c r="C888" s="18" t="s">
        <v>56</v>
      </c>
      <c r="D888" s="17">
        <v>666507</v>
      </c>
      <c r="E888" s="18" t="s">
        <v>13</v>
      </c>
      <c r="F888" s="20">
        <v>8</v>
      </c>
      <c r="G888" s="20">
        <v>0</v>
      </c>
    </row>
    <row r="889" spans="1:7" ht="15" customHeight="1" x14ac:dyDescent="0.75">
      <c r="A889" s="18" t="s">
        <v>78</v>
      </c>
      <c r="B889" s="19">
        <v>46118</v>
      </c>
      <c r="C889" s="18" t="s">
        <v>56</v>
      </c>
      <c r="D889" s="17">
        <v>666509</v>
      </c>
      <c r="E889" s="18" t="s">
        <v>15</v>
      </c>
      <c r="F889" s="20">
        <v>34</v>
      </c>
      <c r="G889" s="20">
        <v>35</v>
      </c>
    </row>
    <row r="890" spans="1:7" ht="15" customHeight="1" x14ac:dyDescent="0.75">
      <c r="A890" s="18" t="s">
        <v>78</v>
      </c>
      <c r="B890" s="19">
        <v>46118</v>
      </c>
      <c r="C890" s="18" t="s">
        <v>56</v>
      </c>
      <c r="D890" s="17">
        <v>666510</v>
      </c>
      <c r="E890" s="18" t="s">
        <v>17</v>
      </c>
      <c r="F890" s="20">
        <v>0</v>
      </c>
      <c r="G890" s="20">
        <v>0</v>
      </c>
    </row>
    <row r="891" spans="1:7" ht="15" customHeight="1" x14ac:dyDescent="0.75">
      <c r="A891" s="18" t="s">
        <v>78</v>
      </c>
      <c r="B891" s="19">
        <v>46118</v>
      </c>
      <c r="C891" s="18" t="s">
        <v>56</v>
      </c>
      <c r="D891" s="17">
        <v>666511</v>
      </c>
      <c r="E891" s="18" t="s">
        <v>19</v>
      </c>
      <c r="F891" s="20">
        <v>3</v>
      </c>
      <c r="G891" s="20">
        <v>0</v>
      </c>
    </row>
    <row r="892" spans="1:7" ht="15" customHeight="1" x14ac:dyDescent="0.75">
      <c r="A892" s="18" t="s">
        <v>78</v>
      </c>
      <c r="B892" s="19">
        <v>46118</v>
      </c>
      <c r="C892" s="18" t="s">
        <v>56</v>
      </c>
      <c r="D892" s="17">
        <v>666513</v>
      </c>
      <c r="E892" s="18" t="s">
        <v>21</v>
      </c>
      <c r="F892" s="20">
        <v>3</v>
      </c>
      <c r="G892" s="20">
        <v>6</v>
      </c>
    </row>
    <row r="893" spans="1:7" ht="15" customHeight="1" x14ac:dyDescent="0.75">
      <c r="A893" s="18" t="s">
        <v>78</v>
      </c>
      <c r="B893" s="19">
        <v>46118</v>
      </c>
      <c r="C893" s="18" t="s">
        <v>56</v>
      </c>
      <c r="D893" s="17">
        <v>666516</v>
      </c>
      <c r="E893" s="18" t="s">
        <v>23</v>
      </c>
      <c r="F893" s="20">
        <v>15.5</v>
      </c>
      <c r="G893" s="20">
        <v>31</v>
      </c>
    </row>
    <row r="894" spans="1:7" ht="15" customHeight="1" x14ac:dyDescent="0.75">
      <c r="A894" s="18" t="s">
        <v>78</v>
      </c>
      <c r="B894" s="19">
        <v>46118</v>
      </c>
      <c r="C894" s="18" t="s">
        <v>56</v>
      </c>
      <c r="D894" s="17">
        <v>666517</v>
      </c>
      <c r="E894" s="18" t="s">
        <v>25</v>
      </c>
      <c r="F894" s="20">
        <v>19.5</v>
      </c>
      <c r="G894" s="20">
        <v>39</v>
      </c>
    </row>
    <row r="895" spans="1:7" ht="15" customHeight="1" x14ac:dyDescent="0.75">
      <c r="A895" s="18" t="s">
        <v>78</v>
      </c>
      <c r="B895" s="19">
        <v>46118</v>
      </c>
      <c r="C895" s="18" t="s">
        <v>56</v>
      </c>
      <c r="D895" s="17">
        <v>666518</v>
      </c>
      <c r="E895" s="18" t="s">
        <v>27</v>
      </c>
      <c r="F895" s="20">
        <v>0</v>
      </c>
      <c r="G895" s="20">
        <v>0</v>
      </c>
    </row>
    <row r="896" spans="1:7" ht="15" customHeight="1" x14ac:dyDescent="0.75">
      <c r="A896" s="18" t="s">
        <v>78</v>
      </c>
      <c r="B896" s="19">
        <v>46118</v>
      </c>
      <c r="C896" s="18" t="s">
        <v>56</v>
      </c>
      <c r="D896" s="17">
        <v>666519</v>
      </c>
      <c r="E896" s="18" t="s">
        <v>29</v>
      </c>
      <c r="F896" s="20">
        <v>13</v>
      </c>
      <c r="G896" s="20">
        <v>26</v>
      </c>
    </row>
    <row r="897" spans="1:7" ht="15" customHeight="1" x14ac:dyDescent="0.75">
      <c r="A897" s="18" t="s">
        <v>78</v>
      </c>
      <c r="B897" s="19">
        <v>46118</v>
      </c>
      <c r="C897" s="18" t="s">
        <v>56</v>
      </c>
      <c r="D897" s="17">
        <v>666521</v>
      </c>
      <c r="E897" s="18" t="s">
        <v>31</v>
      </c>
      <c r="F897" s="20">
        <v>60</v>
      </c>
      <c r="G897" s="20">
        <v>53</v>
      </c>
    </row>
    <row r="898" spans="1:7" ht="15" customHeight="1" x14ac:dyDescent="0.75">
      <c r="A898" s="18" t="s">
        <v>78</v>
      </c>
      <c r="B898" s="19">
        <v>46118</v>
      </c>
      <c r="C898" s="18" t="s">
        <v>56</v>
      </c>
      <c r="D898" s="17">
        <v>666522</v>
      </c>
      <c r="E898" s="18" t="s">
        <v>33</v>
      </c>
      <c r="F898" s="20">
        <v>95</v>
      </c>
      <c r="G898" s="20">
        <v>120</v>
      </c>
    </row>
    <row r="899" spans="1:7" ht="15" customHeight="1" x14ac:dyDescent="0.75">
      <c r="A899" s="18" t="s">
        <v>78</v>
      </c>
      <c r="B899" s="19">
        <v>46118</v>
      </c>
      <c r="C899" s="18" t="s">
        <v>56</v>
      </c>
      <c r="D899" s="17">
        <v>666523</v>
      </c>
      <c r="E899" s="18" t="s">
        <v>35</v>
      </c>
      <c r="F899" s="20">
        <v>0</v>
      </c>
      <c r="G899" s="20">
        <v>0</v>
      </c>
    </row>
    <row r="900" spans="1:7" ht="15" customHeight="1" x14ac:dyDescent="0.75">
      <c r="A900" s="18" t="s">
        <v>78</v>
      </c>
      <c r="B900" s="19">
        <v>46118</v>
      </c>
      <c r="C900" s="18" t="s">
        <v>56</v>
      </c>
      <c r="D900" s="17">
        <v>666530</v>
      </c>
      <c r="E900" s="18" t="s">
        <v>37</v>
      </c>
      <c r="F900" s="20">
        <v>0</v>
      </c>
      <c r="G900" s="20">
        <v>0</v>
      </c>
    </row>
    <row r="901" spans="1:7" ht="15" customHeight="1" x14ac:dyDescent="0.75">
      <c r="A901" s="18" t="s">
        <v>78</v>
      </c>
      <c r="B901" s="19">
        <v>46118</v>
      </c>
      <c r="C901" s="18" t="s">
        <v>56</v>
      </c>
      <c r="D901" s="17">
        <v>666531</v>
      </c>
      <c r="E901" s="18" t="s">
        <v>39</v>
      </c>
      <c r="F901" s="20">
        <v>10</v>
      </c>
      <c r="G901" s="20">
        <v>20</v>
      </c>
    </row>
    <row r="902" spans="1:7" ht="15" customHeight="1" x14ac:dyDescent="0.75">
      <c r="A902" s="18" t="s">
        <v>78</v>
      </c>
      <c r="B902" s="19">
        <v>46118</v>
      </c>
      <c r="C902" s="18" t="s">
        <v>56</v>
      </c>
      <c r="D902" s="17">
        <v>666540</v>
      </c>
      <c r="E902" s="18" t="s">
        <v>40</v>
      </c>
      <c r="F902" s="20">
        <v>0</v>
      </c>
      <c r="G902" s="20">
        <v>0</v>
      </c>
    </row>
    <row r="903" spans="1:7" ht="15" customHeight="1" x14ac:dyDescent="0.75">
      <c r="A903" s="18" t="s">
        <v>78</v>
      </c>
      <c r="B903" s="19">
        <v>46118</v>
      </c>
      <c r="C903" s="18" t="s">
        <v>56</v>
      </c>
      <c r="D903" s="17">
        <v>666541</v>
      </c>
      <c r="E903" s="18" t="s">
        <v>41</v>
      </c>
      <c r="F903" s="20">
        <v>0</v>
      </c>
      <c r="G903" s="20">
        <v>0</v>
      </c>
    </row>
    <row r="904" spans="1:7" ht="15" customHeight="1" x14ac:dyDescent="0.75">
      <c r="A904" s="18" t="s">
        <v>78</v>
      </c>
      <c r="B904" s="19">
        <v>46118</v>
      </c>
      <c r="C904" s="18" t="s">
        <v>56</v>
      </c>
      <c r="D904" s="17">
        <v>666536</v>
      </c>
      <c r="E904" s="18" t="s">
        <v>43</v>
      </c>
      <c r="F904" s="20">
        <v>14</v>
      </c>
      <c r="G904" s="20">
        <v>11</v>
      </c>
    </row>
    <row r="905" spans="1:7" ht="15" customHeight="1" x14ac:dyDescent="0.75">
      <c r="A905" s="18" t="s">
        <v>78</v>
      </c>
      <c r="B905" s="19">
        <v>46118</v>
      </c>
      <c r="C905" s="18" t="s">
        <v>58</v>
      </c>
      <c r="D905" s="17">
        <v>666501</v>
      </c>
      <c r="E905" s="18" t="s">
        <v>5</v>
      </c>
      <c r="F905" s="20">
        <v>333</v>
      </c>
      <c r="G905" s="20">
        <v>438</v>
      </c>
    </row>
    <row r="906" spans="1:7" ht="15" customHeight="1" x14ac:dyDescent="0.75">
      <c r="A906" s="18" t="s">
        <v>78</v>
      </c>
      <c r="B906" s="19">
        <v>46118</v>
      </c>
      <c r="C906" s="18" t="s">
        <v>58</v>
      </c>
      <c r="D906" s="17">
        <v>666502</v>
      </c>
      <c r="E906" s="18" t="s">
        <v>7</v>
      </c>
      <c r="F906" s="20">
        <v>138.5</v>
      </c>
      <c r="G906" s="20">
        <v>99</v>
      </c>
    </row>
    <row r="907" spans="1:7" ht="15" customHeight="1" x14ac:dyDescent="0.75">
      <c r="A907" s="18" t="s">
        <v>78</v>
      </c>
      <c r="B907" s="19">
        <v>46118</v>
      </c>
      <c r="C907" s="18" t="s">
        <v>58</v>
      </c>
      <c r="D907" s="17">
        <v>666505</v>
      </c>
      <c r="E907" s="18" t="s">
        <v>9</v>
      </c>
      <c r="F907" s="20">
        <v>0</v>
      </c>
      <c r="G907" s="20">
        <v>0</v>
      </c>
    </row>
    <row r="908" spans="1:7" ht="15" customHeight="1" x14ac:dyDescent="0.75">
      <c r="A908" s="18" t="s">
        <v>78</v>
      </c>
      <c r="B908" s="19">
        <v>46118</v>
      </c>
      <c r="C908" s="18" t="s">
        <v>58</v>
      </c>
      <c r="D908" s="17">
        <v>666506</v>
      </c>
      <c r="E908" s="18" t="s">
        <v>11</v>
      </c>
      <c r="F908" s="20">
        <v>138.5</v>
      </c>
      <c r="G908" s="20">
        <v>25</v>
      </c>
    </row>
    <row r="909" spans="1:7" ht="15" customHeight="1" x14ac:dyDescent="0.75">
      <c r="A909" s="18" t="s">
        <v>78</v>
      </c>
      <c r="B909" s="19">
        <v>46118</v>
      </c>
      <c r="C909" s="18" t="s">
        <v>58</v>
      </c>
      <c r="D909" s="17">
        <v>666507</v>
      </c>
      <c r="E909" s="18" t="s">
        <v>13</v>
      </c>
      <c r="F909" s="20">
        <v>0</v>
      </c>
      <c r="G909" s="20">
        <v>0</v>
      </c>
    </row>
    <row r="910" spans="1:7" ht="15" customHeight="1" x14ac:dyDescent="0.75">
      <c r="A910" s="18" t="s">
        <v>78</v>
      </c>
      <c r="B910" s="19">
        <v>46118</v>
      </c>
      <c r="C910" s="18" t="s">
        <v>58</v>
      </c>
      <c r="D910" s="17">
        <v>666509</v>
      </c>
      <c r="E910" s="18" t="s">
        <v>15</v>
      </c>
      <c r="F910" s="20">
        <v>0</v>
      </c>
      <c r="G910" s="20">
        <v>0</v>
      </c>
    </row>
    <row r="911" spans="1:7" ht="15" customHeight="1" x14ac:dyDescent="0.75">
      <c r="A911" s="18" t="s">
        <v>78</v>
      </c>
      <c r="B911" s="19">
        <v>46118</v>
      </c>
      <c r="C911" s="18" t="s">
        <v>58</v>
      </c>
      <c r="D911" s="17">
        <v>666510</v>
      </c>
      <c r="E911" s="18" t="s">
        <v>17</v>
      </c>
      <c r="F911" s="20">
        <v>0</v>
      </c>
      <c r="G911" s="20">
        <v>0</v>
      </c>
    </row>
    <row r="912" spans="1:7" ht="15" customHeight="1" x14ac:dyDescent="0.75">
      <c r="A912" s="18" t="s">
        <v>78</v>
      </c>
      <c r="B912" s="19">
        <v>46118</v>
      </c>
      <c r="C912" s="18" t="s">
        <v>58</v>
      </c>
      <c r="D912" s="17">
        <v>666511</v>
      </c>
      <c r="E912" s="18" t="s">
        <v>19</v>
      </c>
      <c r="F912" s="20">
        <v>0</v>
      </c>
      <c r="G912" s="20">
        <v>0</v>
      </c>
    </row>
    <row r="913" spans="1:7" ht="15" customHeight="1" x14ac:dyDescent="0.75">
      <c r="A913" s="18" t="s">
        <v>78</v>
      </c>
      <c r="B913" s="19">
        <v>46118</v>
      </c>
      <c r="C913" s="18" t="s">
        <v>58</v>
      </c>
      <c r="D913" s="17">
        <v>666513</v>
      </c>
      <c r="E913" s="18" t="s">
        <v>21</v>
      </c>
      <c r="F913" s="20">
        <v>0</v>
      </c>
      <c r="G913" s="20">
        <v>0</v>
      </c>
    </row>
    <row r="914" spans="1:7" ht="15" customHeight="1" x14ac:dyDescent="0.75">
      <c r="A914" s="18" t="s">
        <v>78</v>
      </c>
      <c r="B914" s="19">
        <v>46118</v>
      </c>
      <c r="C914" s="18" t="s">
        <v>58</v>
      </c>
      <c r="D914" s="17">
        <v>666516</v>
      </c>
      <c r="E914" s="18" t="s">
        <v>23</v>
      </c>
      <c r="F914" s="20">
        <v>0</v>
      </c>
      <c r="G914" s="20">
        <v>0</v>
      </c>
    </row>
    <row r="915" spans="1:7" ht="15" customHeight="1" x14ac:dyDescent="0.75">
      <c r="A915" s="18" t="s">
        <v>78</v>
      </c>
      <c r="B915" s="19">
        <v>46118</v>
      </c>
      <c r="C915" s="18" t="s">
        <v>58</v>
      </c>
      <c r="D915" s="17">
        <v>666517</v>
      </c>
      <c r="E915" s="18" t="s">
        <v>25</v>
      </c>
      <c r="F915" s="20">
        <v>0</v>
      </c>
      <c r="G915" s="20">
        <v>0</v>
      </c>
    </row>
    <row r="916" spans="1:7" ht="15" customHeight="1" x14ac:dyDescent="0.75">
      <c r="A916" s="18" t="s">
        <v>78</v>
      </c>
      <c r="B916" s="19">
        <v>46118</v>
      </c>
      <c r="C916" s="18" t="s">
        <v>58</v>
      </c>
      <c r="D916" s="17">
        <v>666518</v>
      </c>
      <c r="E916" s="18" t="s">
        <v>27</v>
      </c>
      <c r="F916" s="20">
        <v>0</v>
      </c>
      <c r="G916" s="20">
        <v>0</v>
      </c>
    </row>
    <row r="917" spans="1:7" ht="15" customHeight="1" x14ac:dyDescent="0.75">
      <c r="A917" s="18" t="s">
        <v>78</v>
      </c>
      <c r="B917" s="19">
        <v>46118</v>
      </c>
      <c r="C917" s="18" t="s">
        <v>58</v>
      </c>
      <c r="D917" s="17">
        <v>666519</v>
      </c>
      <c r="E917" s="18" t="s">
        <v>29</v>
      </c>
      <c r="F917" s="20">
        <v>0</v>
      </c>
      <c r="G917" s="20">
        <v>0</v>
      </c>
    </row>
    <row r="918" spans="1:7" ht="15" customHeight="1" x14ac:dyDescent="0.75">
      <c r="A918" s="18" t="s">
        <v>78</v>
      </c>
      <c r="B918" s="19">
        <v>46118</v>
      </c>
      <c r="C918" s="18" t="s">
        <v>58</v>
      </c>
      <c r="D918" s="17">
        <v>666521</v>
      </c>
      <c r="E918" s="18" t="s">
        <v>31</v>
      </c>
      <c r="F918" s="20">
        <v>0</v>
      </c>
      <c r="G918" s="20">
        <v>0</v>
      </c>
    </row>
    <row r="919" spans="1:7" ht="15" customHeight="1" x14ac:dyDescent="0.75">
      <c r="A919" s="18" t="s">
        <v>78</v>
      </c>
      <c r="B919" s="19">
        <v>46118</v>
      </c>
      <c r="C919" s="18" t="s">
        <v>58</v>
      </c>
      <c r="D919" s="17">
        <v>666522</v>
      </c>
      <c r="E919" s="18" t="s">
        <v>33</v>
      </c>
      <c r="F919" s="20">
        <v>85</v>
      </c>
      <c r="G919" s="20">
        <v>170</v>
      </c>
    </row>
    <row r="920" spans="1:7" ht="15" customHeight="1" x14ac:dyDescent="0.75">
      <c r="A920" s="18" t="s">
        <v>78</v>
      </c>
      <c r="B920" s="19">
        <v>46118</v>
      </c>
      <c r="C920" s="18" t="s">
        <v>58</v>
      </c>
      <c r="D920" s="17">
        <v>666523</v>
      </c>
      <c r="E920" s="18" t="s">
        <v>35</v>
      </c>
      <c r="F920" s="20">
        <v>0</v>
      </c>
      <c r="G920" s="20">
        <v>0</v>
      </c>
    </row>
    <row r="921" spans="1:7" ht="15" customHeight="1" x14ac:dyDescent="0.75">
      <c r="A921" s="18" t="s">
        <v>78</v>
      </c>
      <c r="B921" s="19">
        <v>46118</v>
      </c>
      <c r="C921" s="18" t="s">
        <v>58</v>
      </c>
      <c r="D921" s="17">
        <v>666530</v>
      </c>
      <c r="E921" s="18" t="s">
        <v>37</v>
      </c>
      <c r="F921" s="20">
        <v>0</v>
      </c>
      <c r="G921" s="20">
        <v>0</v>
      </c>
    </row>
    <row r="922" spans="1:7" ht="15" customHeight="1" x14ac:dyDescent="0.75">
      <c r="A922" s="18" t="s">
        <v>78</v>
      </c>
      <c r="B922" s="19">
        <v>46118</v>
      </c>
      <c r="C922" s="18" t="s">
        <v>58</v>
      </c>
      <c r="D922" s="17">
        <v>666531</v>
      </c>
      <c r="E922" s="18" t="s">
        <v>39</v>
      </c>
      <c r="F922" s="20">
        <v>0</v>
      </c>
      <c r="G922" s="20">
        <v>0</v>
      </c>
    </row>
    <row r="923" spans="1:7" ht="15" customHeight="1" x14ac:dyDescent="0.75">
      <c r="A923" s="18" t="s">
        <v>78</v>
      </c>
      <c r="B923" s="19">
        <v>46118</v>
      </c>
      <c r="C923" s="18" t="s">
        <v>58</v>
      </c>
      <c r="D923" s="17">
        <v>666540</v>
      </c>
      <c r="E923" s="18" t="s">
        <v>40</v>
      </c>
      <c r="F923" s="20">
        <v>20</v>
      </c>
      <c r="G923" s="20">
        <v>1</v>
      </c>
    </row>
    <row r="924" spans="1:7" ht="15" customHeight="1" x14ac:dyDescent="0.75">
      <c r="A924" s="18" t="s">
        <v>78</v>
      </c>
      <c r="B924" s="19">
        <v>46118</v>
      </c>
      <c r="C924" s="18" t="s">
        <v>58</v>
      </c>
      <c r="D924" s="17">
        <v>666541</v>
      </c>
      <c r="E924" s="18" t="s">
        <v>41</v>
      </c>
      <c r="F924" s="20">
        <v>340</v>
      </c>
      <c r="G924" s="20">
        <v>219</v>
      </c>
    </row>
    <row r="925" spans="1:7" ht="15" customHeight="1" x14ac:dyDescent="0.75">
      <c r="A925" s="18" t="s">
        <v>78</v>
      </c>
      <c r="B925" s="19">
        <v>46118</v>
      </c>
      <c r="C925" s="18" t="s">
        <v>58</v>
      </c>
      <c r="D925" s="17">
        <v>666536</v>
      </c>
      <c r="E925" s="18" t="s">
        <v>43</v>
      </c>
      <c r="F925" s="20">
        <v>0</v>
      </c>
      <c r="G925" s="20">
        <v>0</v>
      </c>
    </row>
    <row r="926" spans="1:7" ht="15" customHeight="1" x14ac:dyDescent="0.75">
      <c r="A926" s="18" t="s">
        <v>78</v>
      </c>
      <c r="B926" s="19">
        <v>46118</v>
      </c>
      <c r="C926" s="18" t="s">
        <v>66</v>
      </c>
      <c r="D926" s="17">
        <v>666501</v>
      </c>
      <c r="E926" s="18" t="s">
        <v>5</v>
      </c>
      <c r="F926" s="20">
        <v>33</v>
      </c>
      <c r="G926" s="20">
        <v>66</v>
      </c>
    </row>
    <row r="927" spans="1:7" ht="15" customHeight="1" x14ac:dyDescent="0.75">
      <c r="A927" s="18" t="s">
        <v>78</v>
      </c>
      <c r="B927" s="19">
        <v>46118</v>
      </c>
      <c r="C927" s="18" t="s">
        <v>66</v>
      </c>
      <c r="D927" s="17">
        <v>666502</v>
      </c>
      <c r="E927" s="18" t="s">
        <v>7</v>
      </c>
      <c r="F927" s="20">
        <v>37</v>
      </c>
      <c r="G927" s="20">
        <v>11</v>
      </c>
    </row>
    <row r="928" spans="1:7" ht="15" customHeight="1" x14ac:dyDescent="0.75">
      <c r="A928" s="18" t="s">
        <v>78</v>
      </c>
      <c r="B928" s="19">
        <v>46118</v>
      </c>
      <c r="C928" s="18" t="s">
        <v>66</v>
      </c>
      <c r="D928" s="17">
        <v>666505</v>
      </c>
      <c r="E928" s="18" t="s">
        <v>9</v>
      </c>
      <c r="F928" s="20">
        <v>19.5</v>
      </c>
      <c r="G928" s="20">
        <v>39</v>
      </c>
    </row>
    <row r="929" spans="1:7" ht="15" customHeight="1" x14ac:dyDescent="0.75">
      <c r="A929" s="18" t="s">
        <v>78</v>
      </c>
      <c r="B929" s="19">
        <v>46118</v>
      </c>
      <c r="C929" s="18" t="s">
        <v>66</v>
      </c>
      <c r="D929" s="17">
        <v>666506</v>
      </c>
      <c r="E929" s="18" t="s">
        <v>11</v>
      </c>
      <c r="F929" s="20">
        <v>0</v>
      </c>
      <c r="G929" s="20">
        <v>0</v>
      </c>
    </row>
    <row r="930" spans="1:7" ht="15" customHeight="1" x14ac:dyDescent="0.75">
      <c r="A930" s="18" t="s">
        <v>78</v>
      </c>
      <c r="B930" s="19">
        <v>46118</v>
      </c>
      <c r="C930" s="18" t="s">
        <v>66</v>
      </c>
      <c r="D930" s="17">
        <v>666507</v>
      </c>
      <c r="E930" s="18" t="s">
        <v>13</v>
      </c>
      <c r="F930" s="20">
        <v>0</v>
      </c>
      <c r="G930" s="20">
        <v>0</v>
      </c>
    </row>
    <row r="931" spans="1:7" ht="15" customHeight="1" x14ac:dyDescent="0.75">
      <c r="A931" s="18" t="s">
        <v>78</v>
      </c>
      <c r="B931" s="19">
        <v>46118</v>
      </c>
      <c r="C931" s="18" t="s">
        <v>66</v>
      </c>
      <c r="D931" s="17">
        <v>666509</v>
      </c>
      <c r="E931" s="18" t="s">
        <v>15</v>
      </c>
      <c r="F931" s="20">
        <v>0</v>
      </c>
      <c r="G931" s="20">
        <v>0</v>
      </c>
    </row>
    <row r="932" spans="1:7" ht="15" customHeight="1" x14ac:dyDescent="0.75">
      <c r="A932" s="18" t="s">
        <v>78</v>
      </c>
      <c r="B932" s="19">
        <v>46118</v>
      </c>
      <c r="C932" s="18" t="s">
        <v>66</v>
      </c>
      <c r="D932" s="17">
        <v>666510</v>
      </c>
      <c r="E932" s="18" t="s">
        <v>17</v>
      </c>
      <c r="F932" s="20">
        <v>0</v>
      </c>
      <c r="G932" s="20">
        <v>0</v>
      </c>
    </row>
    <row r="933" spans="1:7" ht="15" customHeight="1" x14ac:dyDescent="0.75">
      <c r="A933" s="18" t="s">
        <v>78</v>
      </c>
      <c r="B933" s="19">
        <v>46118</v>
      </c>
      <c r="C933" s="18" t="s">
        <v>66</v>
      </c>
      <c r="D933" s="17">
        <v>666511</v>
      </c>
      <c r="E933" s="18" t="s">
        <v>19</v>
      </c>
      <c r="F933" s="20">
        <v>0</v>
      </c>
      <c r="G933" s="20">
        <v>0</v>
      </c>
    </row>
    <row r="934" spans="1:7" ht="15" customHeight="1" x14ac:dyDescent="0.75">
      <c r="A934" s="18" t="s">
        <v>78</v>
      </c>
      <c r="B934" s="19">
        <v>46118</v>
      </c>
      <c r="C934" s="18" t="s">
        <v>66</v>
      </c>
      <c r="D934" s="17">
        <v>666513</v>
      </c>
      <c r="E934" s="18" t="s">
        <v>21</v>
      </c>
      <c r="F934" s="20">
        <v>7</v>
      </c>
      <c r="G934" s="20">
        <v>14</v>
      </c>
    </row>
    <row r="935" spans="1:7" ht="15" customHeight="1" x14ac:dyDescent="0.75">
      <c r="A935" s="18" t="s">
        <v>78</v>
      </c>
      <c r="B935" s="19">
        <v>46118</v>
      </c>
      <c r="C935" s="18" t="s">
        <v>66</v>
      </c>
      <c r="D935" s="17">
        <v>666516</v>
      </c>
      <c r="E935" s="18" t="s">
        <v>23</v>
      </c>
      <c r="F935" s="20">
        <v>15.5</v>
      </c>
      <c r="G935" s="20">
        <v>31</v>
      </c>
    </row>
    <row r="936" spans="1:7" ht="15" customHeight="1" x14ac:dyDescent="0.75">
      <c r="A936" s="18" t="s">
        <v>78</v>
      </c>
      <c r="B936" s="19">
        <v>46118</v>
      </c>
      <c r="C936" s="18" t="s">
        <v>66</v>
      </c>
      <c r="D936" s="17">
        <v>666517</v>
      </c>
      <c r="E936" s="18" t="s">
        <v>25</v>
      </c>
      <c r="F936" s="20">
        <v>8.5</v>
      </c>
      <c r="G936" s="20">
        <v>17</v>
      </c>
    </row>
    <row r="937" spans="1:7" ht="15" customHeight="1" x14ac:dyDescent="0.75">
      <c r="A937" s="18" t="s">
        <v>78</v>
      </c>
      <c r="B937" s="19">
        <v>46118</v>
      </c>
      <c r="C937" s="18" t="s">
        <v>66</v>
      </c>
      <c r="D937" s="17">
        <v>666518</v>
      </c>
      <c r="E937" s="18" t="s">
        <v>27</v>
      </c>
      <c r="F937" s="20">
        <v>0</v>
      </c>
      <c r="G937" s="20">
        <v>0</v>
      </c>
    </row>
    <row r="938" spans="1:7" ht="15" customHeight="1" x14ac:dyDescent="0.75">
      <c r="A938" s="18" t="s">
        <v>78</v>
      </c>
      <c r="B938" s="19">
        <v>46118</v>
      </c>
      <c r="C938" s="18" t="s">
        <v>66</v>
      </c>
      <c r="D938" s="17">
        <v>666519</v>
      </c>
      <c r="E938" s="18" t="s">
        <v>29</v>
      </c>
      <c r="F938" s="20">
        <v>13</v>
      </c>
      <c r="G938" s="20">
        <v>26</v>
      </c>
    </row>
    <row r="939" spans="1:7" ht="15" customHeight="1" x14ac:dyDescent="0.75">
      <c r="A939" s="18" t="s">
        <v>78</v>
      </c>
      <c r="B939" s="19">
        <v>46118</v>
      </c>
      <c r="C939" s="18" t="s">
        <v>66</v>
      </c>
      <c r="D939" s="17">
        <v>666521</v>
      </c>
      <c r="E939" s="18" t="s">
        <v>31</v>
      </c>
      <c r="F939" s="20">
        <v>0</v>
      </c>
      <c r="G939" s="20">
        <v>0</v>
      </c>
    </row>
    <row r="940" spans="1:7" ht="15" customHeight="1" x14ac:dyDescent="0.75">
      <c r="A940" s="18" t="s">
        <v>78</v>
      </c>
      <c r="B940" s="19">
        <v>46118</v>
      </c>
      <c r="C940" s="18" t="s">
        <v>66</v>
      </c>
      <c r="D940" s="17">
        <v>666522</v>
      </c>
      <c r="E940" s="18" t="s">
        <v>33</v>
      </c>
      <c r="F940" s="20">
        <v>50</v>
      </c>
      <c r="G940" s="20">
        <v>100</v>
      </c>
    </row>
    <row r="941" spans="1:7" ht="15" customHeight="1" x14ac:dyDescent="0.75">
      <c r="A941" s="18" t="s">
        <v>78</v>
      </c>
      <c r="B941" s="19">
        <v>46118</v>
      </c>
      <c r="C941" s="18" t="s">
        <v>66</v>
      </c>
      <c r="D941" s="17">
        <v>666523</v>
      </c>
      <c r="E941" s="18" t="s">
        <v>35</v>
      </c>
      <c r="F941" s="20">
        <v>20</v>
      </c>
      <c r="G941" s="20">
        <v>40</v>
      </c>
    </row>
    <row r="942" spans="1:7" ht="15" customHeight="1" x14ac:dyDescent="0.75">
      <c r="A942" s="18" t="s">
        <v>78</v>
      </c>
      <c r="B942" s="19">
        <v>46118</v>
      </c>
      <c r="C942" s="18" t="s">
        <v>66</v>
      </c>
      <c r="D942" s="17">
        <v>666530</v>
      </c>
      <c r="E942" s="18" t="s">
        <v>37</v>
      </c>
      <c r="F942" s="20">
        <v>12</v>
      </c>
      <c r="G942" s="20">
        <v>24</v>
      </c>
    </row>
    <row r="943" spans="1:7" ht="15" customHeight="1" x14ac:dyDescent="0.75">
      <c r="A943" s="18" t="s">
        <v>78</v>
      </c>
      <c r="B943" s="19">
        <v>46118</v>
      </c>
      <c r="C943" s="18" t="s">
        <v>66</v>
      </c>
      <c r="D943" s="17">
        <v>666531</v>
      </c>
      <c r="E943" s="18" t="s">
        <v>39</v>
      </c>
      <c r="F943" s="20">
        <v>4</v>
      </c>
      <c r="G943" s="20">
        <v>8</v>
      </c>
    </row>
    <row r="944" spans="1:7" ht="15" customHeight="1" x14ac:dyDescent="0.75">
      <c r="A944" s="18" t="s">
        <v>78</v>
      </c>
      <c r="B944" s="19">
        <v>46118</v>
      </c>
      <c r="C944" s="18" t="s">
        <v>66</v>
      </c>
      <c r="D944" s="17">
        <v>666540</v>
      </c>
      <c r="E944" s="18" t="s">
        <v>40</v>
      </c>
      <c r="F944" s="20">
        <v>0</v>
      </c>
      <c r="G944" s="20">
        <v>0</v>
      </c>
    </row>
    <row r="945" spans="1:7" ht="15" customHeight="1" x14ac:dyDescent="0.75">
      <c r="A945" s="18" t="s">
        <v>78</v>
      </c>
      <c r="B945" s="19">
        <v>46118</v>
      </c>
      <c r="C945" s="18" t="s">
        <v>66</v>
      </c>
      <c r="D945" s="17">
        <v>666541</v>
      </c>
      <c r="E945" s="18" t="s">
        <v>41</v>
      </c>
      <c r="F945" s="20">
        <v>0</v>
      </c>
      <c r="G945" s="20">
        <v>0</v>
      </c>
    </row>
    <row r="946" spans="1:7" ht="15" customHeight="1" x14ac:dyDescent="0.75">
      <c r="A946" s="18" t="s">
        <v>78</v>
      </c>
      <c r="B946" s="19">
        <v>46118</v>
      </c>
      <c r="C946" s="18" t="s">
        <v>66</v>
      </c>
      <c r="D946" s="17">
        <v>666536</v>
      </c>
      <c r="E946" s="18" t="s">
        <v>43</v>
      </c>
      <c r="F946" s="20">
        <v>0</v>
      </c>
      <c r="G946" s="20">
        <v>0</v>
      </c>
    </row>
    <row r="947" spans="1:7" ht="15" customHeight="1" x14ac:dyDescent="0.75">
      <c r="A947" s="18" t="s">
        <v>79</v>
      </c>
      <c r="B947" s="19">
        <v>46125</v>
      </c>
      <c r="C947" s="18" t="s">
        <v>56</v>
      </c>
      <c r="D947" s="17">
        <v>666501</v>
      </c>
      <c r="E947" s="18" t="s">
        <v>5</v>
      </c>
      <c r="F947" s="20">
        <v>36</v>
      </c>
      <c r="G947" s="20">
        <v>54</v>
      </c>
    </row>
    <row r="948" spans="1:7" ht="15" customHeight="1" x14ac:dyDescent="0.75">
      <c r="A948" s="18" t="s">
        <v>79</v>
      </c>
      <c r="B948" s="19">
        <v>46125</v>
      </c>
      <c r="C948" s="18" t="s">
        <v>56</v>
      </c>
      <c r="D948" s="17">
        <v>666502</v>
      </c>
      <c r="E948" s="18" t="s">
        <v>7</v>
      </c>
      <c r="F948" s="20">
        <v>0</v>
      </c>
      <c r="G948" s="20">
        <v>0</v>
      </c>
    </row>
    <row r="949" spans="1:7" ht="15" customHeight="1" x14ac:dyDescent="0.75">
      <c r="A949" s="18" t="s">
        <v>79</v>
      </c>
      <c r="B949" s="19">
        <v>46125</v>
      </c>
      <c r="C949" s="18" t="s">
        <v>56</v>
      </c>
      <c r="D949" s="17">
        <v>666505</v>
      </c>
      <c r="E949" s="18" t="s">
        <v>9</v>
      </c>
      <c r="F949" s="20">
        <v>9.5</v>
      </c>
      <c r="G949" s="20">
        <v>0</v>
      </c>
    </row>
    <row r="950" spans="1:7" ht="15" customHeight="1" x14ac:dyDescent="0.75">
      <c r="A950" s="18" t="s">
        <v>79</v>
      </c>
      <c r="B950" s="19">
        <v>46125</v>
      </c>
      <c r="C950" s="18" t="s">
        <v>56</v>
      </c>
      <c r="D950" s="17">
        <v>666506</v>
      </c>
      <c r="E950" s="18" t="s">
        <v>11</v>
      </c>
      <c r="F950" s="20">
        <v>0</v>
      </c>
      <c r="G950" s="20">
        <v>0</v>
      </c>
    </row>
    <row r="951" spans="1:7" ht="15" customHeight="1" x14ac:dyDescent="0.75">
      <c r="A951" s="18" t="s">
        <v>79</v>
      </c>
      <c r="B951" s="19">
        <v>46125</v>
      </c>
      <c r="C951" s="18" t="s">
        <v>56</v>
      </c>
      <c r="D951" s="17">
        <v>666507</v>
      </c>
      <c r="E951" s="18" t="s">
        <v>13</v>
      </c>
      <c r="F951" s="20">
        <v>8</v>
      </c>
      <c r="G951" s="20">
        <v>16</v>
      </c>
    </row>
    <row r="952" spans="1:7" ht="15" customHeight="1" x14ac:dyDescent="0.75">
      <c r="A952" s="18" t="s">
        <v>79</v>
      </c>
      <c r="B952" s="19">
        <v>46125</v>
      </c>
      <c r="C952" s="18" t="s">
        <v>56</v>
      </c>
      <c r="D952" s="17">
        <v>666509</v>
      </c>
      <c r="E952" s="18" t="s">
        <v>15</v>
      </c>
      <c r="F952" s="20">
        <v>34</v>
      </c>
      <c r="G952" s="20">
        <v>33</v>
      </c>
    </row>
    <row r="953" spans="1:7" ht="15" customHeight="1" x14ac:dyDescent="0.75">
      <c r="A953" s="18" t="s">
        <v>79</v>
      </c>
      <c r="B953" s="19">
        <v>46125</v>
      </c>
      <c r="C953" s="18" t="s">
        <v>56</v>
      </c>
      <c r="D953" s="17">
        <v>666510</v>
      </c>
      <c r="E953" s="18" t="s">
        <v>17</v>
      </c>
      <c r="F953" s="20">
        <v>0</v>
      </c>
      <c r="G953" s="20">
        <v>0</v>
      </c>
    </row>
    <row r="954" spans="1:7" ht="15" customHeight="1" x14ac:dyDescent="0.75">
      <c r="A954" s="18" t="s">
        <v>79</v>
      </c>
      <c r="B954" s="19">
        <v>46125</v>
      </c>
      <c r="C954" s="18" t="s">
        <v>56</v>
      </c>
      <c r="D954" s="17">
        <v>666511</v>
      </c>
      <c r="E954" s="18" t="s">
        <v>19</v>
      </c>
      <c r="F954" s="20">
        <v>3</v>
      </c>
      <c r="G954" s="20">
        <v>6</v>
      </c>
    </row>
    <row r="955" spans="1:7" ht="15" customHeight="1" x14ac:dyDescent="0.75">
      <c r="A955" s="18" t="s">
        <v>79</v>
      </c>
      <c r="B955" s="19">
        <v>46125</v>
      </c>
      <c r="C955" s="18" t="s">
        <v>56</v>
      </c>
      <c r="D955" s="17">
        <v>666513</v>
      </c>
      <c r="E955" s="18" t="s">
        <v>21</v>
      </c>
      <c r="F955" s="20">
        <v>3</v>
      </c>
      <c r="G955" s="20">
        <v>0</v>
      </c>
    </row>
    <row r="956" spans="1:7" ht="15" customHeight="1" x14ac:dyDescent="0.75">
      <c r="A956" s="18" t="s">
        <v>79</v>
      </c>
      <c r="B956" s="19">
        <v>46125</v>
      </c>
      <c r="C956" s="18" t="s">
        <v>56</v>
      </c>
      <c r="D956" s="17">
        <v>666516</v>
      </c>
      <c r="E956" s="18" t="s">
        <v>23</v>
      </c>
      <c r="F956" s="20">
        <v>15.5</v>
      </c>
      <c r="G956" s="20">
        <v>0</v>
      </c>
    </row>
    <row r="957" spans="1:7" ht="15" customHeight="1" x14ac:dyDescent="0.75">
      <c r="A957" s="18" t="s">
        <v>79</v>
      </c>
      <c r="B957" s="19">
        <v>46125</v>
      </c>
      <c r="C957" s="18" t="s">
        <v>56</v>
      </c>
      <c r="D957" s="17">
        <v>666517</v>
      </c>
      <c r="E957" s="18" t="s">
        <v>25</v>
      </c>
      <c r="F957" s="20">
        <v>19.5</v>
      </c>
      <c r="G957" s="20">
        <v>0</v>
      </c>
    </row>
    <row r="958" spans="1:7" ht="15" customHeight="1" x14ac:dyDescent="0.75">
      <c r="A958" s="18" t="s">
        <v>79</v>
      </c>
      <c r="B958" s="19">
        <v>46125</v>
      </c>
      <c r="C958" s="18" t="s">
        <v>56</v>
      </c>
      <c r="D958" s="17">
        <v>666518</v>
      </c>
      <c r="E958" s="18" t="s">
        <v>27</v>
      </c>
      <c r="F958" s="20">
        <v>0</v>
      </c>
      <c r="G958" s="20">
        <v>0</v>
      </c>
    </row>
    <row r="959" spans="1:7" ht="15" customHeight="1" x14ac:dyDescent="0.75">
      <c r="A959" s="18" t="s">
        <v>79</v>
      </c>
      <c r="B959" s="19">
        <v>46125</v>
      </c>
      <c r="C959" s="18" t="s">
        <v>56</v>
      </c>
      <c r="D959" s="17">
        <v>666519</v>
      </c>
      <c r="E959" s="18" t="s">
        <v>29</v>
      </c>
      <c r="F959" s="20">
        <v>13</v>
      </c>
      <c r="G959" s="20">
        <v>0</v>
      </c>
    </row>
    <row r="960" spans="1:7" ht="15" customHeight="1" x14ac:dyDescent="0.75">
      <c r="A960" s="18" t="s">
        <v>79</v>
      </c>
      <c r="B960" s="19">
        <v>46125</v>
      </c>
      <c r="C960" s="18" t="s">
        <v>56</v>
      </c>
      <c r="D960" s="17">
        <v>666521</v>
      </c>
      <c r="E960" s="18" t="s">
        <v>31</v>
      </c>
      <c r="F960" s="20">
        <v>60</v>
      </c>
      <c r="G960" s="20">
        <v>21</v>
      </c>
    </row>
    <row r="961" spans="1:7" ht="15" customHeight="1" x14ac:dyDescent="0.75">
      <c r="A961" s="18" t="s">
        <v>79</v>
      </c>
      <c r="B961" s="19">
        <v>46125</v>
      </c>
      <c r="C961" s="18" t="s">
        <v>56</v>
      </c>
      <c r="D961" s="17">
        <v>666522</v>
      </c>
      <c r="E961" s="18" t="s">
        <v>33</v>
      </c>
      <c r="F961" s="20">
        <v>95</v>
      </c>
      <c r="G961" s="20">
        <v>70</v>
      </c>
    </row>
    <row r="962" spans="1:7" ht="15" customHeight="1" x14ac:dyDescent="0.75">
      <c r="A962" s="18" t="s">
        <v>79</v>
      </c>
      <c r="B962" s="19">
        <v>46125</v>
      </c>
      <c r="C962" s="18" t="s">
        <v>56</v>
      </c>
      <c r="D962" s="17">
        <v>666523</v>
      </c>
      <c r="E962" s="18" t="s">
        <v>35</v>
      </c>
      <c r="F962" s="20">
        <v>0</v>
      </c>
      <c r="G962" s="20">
        <v>0</v>
      </c>
    </row>
    <row r="963" spans="1:7" ht="15" customHeight="1" x14ac:dyDescent="0.75">
      <c r="A963" s="18" t="s">
        <v>79</v>
      </c>
      <c r="B963" s="19">
        <v>46125</v>
      </c>
      <c r="C963" s="18" t="s">
        <v>56</v>
      </c>
      <c r="D963" s="17">
        <v>666530</v>
      </c>
      <c r="E963" s="18" t="s">
        <v>37</v>
      </c>
      <c r="F963" s="20">
        <v>0</v>
      </c>
      <c r="G963" s="20">
        <v>0</v>
      </c>
    </row>
    <row r="964" spans="1:7" ht="15" customHeight="1" x14ac:dyDescent="0.75">
      <c r="A964" s="18" t="s">
        <v>79</v>
      </c>
      <c r="B964" s="19">
        <v>46125</v>
      </c>
      <c r="C964" s="18" t="s">
        <v>56</v>
      </c>
      <c r="D964" s="17">
        <v>666531</v>
      </c>
      <c r="E964" s="18" t="s">
        <v>39</v>
      </c>
      <c r="F964" s="20">
        <v>10</v>
      </c>
      <c r="G964" s="20">
        <v>0</v>
      </c>
    </row>
    <row r="965" spans="1:7" ht="15" customHeight="1" x14ac:dyDescent="0.75">
      <c r="A965" s="18" t="s">
        <v>79</v>
      </c>
      <c r="B965" s="19">
        <v>46125</v>
      </c>
      <c r="C965" s="18" t="s">
        <v>56</v>
      </c>
      <c r="D965" s="17">
        <v>666540</v>
      </c>
      <c r="E965" s="18" t="s">
        <v>40</v>
      </c>
      <c r="F965" s="20">
        <v>0</v>
      </c>
      <c r="G965" s="20">
        <v>0</v>
      </c>
    </row>
    <row r="966" spans="1:7" ht="15" customHeight="1" x14ac:dyDescent="0.75">
      <c r="A966" s="18" t="s">
        <v>79</v>
      </c>
      <c r="B966" s="19">
        <v>46125</v>
      </c>
      <c r="C966" s="18" t="s">
        <v>56</v>
      </c>
      <c r="D966" s="17">
        <v>666541</v>
      </c>
      <c r="E966" s="18" t="s">
        <v>41</v>
      </c>
      <c r="F966" s="20">
        <v>0</v>
      </c>
      <c r="G966" s="20">
        <v>0</v>
      </c>
    </row>
    <row r="967" spans="1:7" ht="15" customHeight="1" x14ac:dyDescent="0.75">
      <c r="A967" s="18" t="s">
        <v>79</v>
      </c>
      <c r="B967" s="19">
        <v>46125</v>
      </c>
      <c r="C967" s="18" t="s">
        <v>56</v>
      </c>
      <c r="D967" s="17">
        <v>666536</v>
      </c>
      <c r="E967" s="18" t="s">
        <v>43</v>
      </c>
      <c r="F967" s="20">
        <v>14</v>
      </c>
      <c r="G967" s="20">
        <v>1</v>
      </c>
    </row>
    <row r="968" spans="1:7" ht="15" customHeight="1" x14ac:dyDescent="0.75">
      <c r="A968" s="18" t="s">
        <v>79</v>
      </c>
      <c r="B968" s="19">
        <v>46125</v>
      </c>
      <c r="C968" s="18" t="s">
        <v>58</v>
      </c>
      <c r="D968" s="17">
        <v>666501</v>
      </c>
      <c r="E968" s="18" t="s">
        <v>5</v>
      </c>
      <c r="F968" s="20">
        <v>333</v>
      </c>
      <c r="G968" s="20">
        <v>228</v>
      </c>
    </row>
    <row r="969" spans="1:7" ht="15" customHeight="1" x14ac:dyDescent="0.75">
      <c r="A969" s="18" t="s">
        <v>79</v>
      </c>
      <c r="B969" s="19">
        <v>46125</v>
      </c>
      <c r="C969" s="18" t="s">
        <v>58</v>
      </c>
      <c r="D969" s="17">
        <v>666502</v>
      </c>
      <c r="E969" s="18" t="s">
        <v>7</v>
      </c>
      <c r="F969" s="20">
        <v>138.5</v>
      </c>
      <c r="G969" s="20">
        <v>157</v>
      </c>
    </row>
    <row r="970" spans="1:7" ht="15" customHeight="1" x14ac:dyDescent="0.75">
      <c r="A970" s="18" t="s">
        <v>79</v>
      </c>
      <c r="B970" s="19">
        <v>46125</v>
      </c>
      <c r="C970" s="18" t="s">
        <v>58</v>
      </c>
      <c r="D970" s="17">
        <v>666505</v>
      </c>
      <c r="E970" s="18" t="s">
        <v>9</v>
      </c>
      <c r="F970" s="20">
        <v>0</v>
      </c>
      <c r="G970" s="20">
        <v>0</v>
      </c>
    </row>
    <row r="971" spans="1:7" ht="15" customHeight="1" x14ac:dyDescent="0.75">
      <c r="A971" s="18" t="s">
        <v>79</v>
      </c>
      <c r="B971" s="19">
        <v>46125</v>
      </c>
      <c r="C971" s="18" t="s">
        <v>58</v>
      </c>
      <c r="D971" s="17">
        <v>666506</v>
      </c>
      <c r="E971" s="18" t="s">
        <v>11</v>
      </c>
      <c r="F971" s="20">
        <v>138.5</v>
      </c>
      <c r="G971" s="20">
        <v>60</v>
      </c>
    </row>
    <row r="972" spans="1:7" ht="15" customHeight="1" x14ac:dyDescent="0.75">
      <c r="A972" s="18" t="s">
        <v>79</v>
      </c>
      <c r="B972" s="19">
        <v>46125</v>
      </c>
      <c r="C972" s="18" t="s">
        <v>58</v>
      </c>
      <c r="D972" s="17">
        <v>666507</v>
      </c>
      <c r="E972" s="18" t="s">
        <v>13</v>
      </c>
      <c r="F972" s="20">
        <v>0</v>
      </c>
      <c r="G972" s="20">
        <v>0</v>
      </c>
    </row>
    <row r="973" spans="1:7" ht="15" customHeight="1" x14ac:dyDescent="0.75">
      <c r="A973" s="18" t="s">
        <v>79</v>
      </c>
      <c r="B973" s="19">
        <v>46125</v>
      </c>
      <c r="C973" s="18" t="s">
        <v>58</v>
      </c>
      <c r="D973" s="17">
        <v>666509</v>
      </c>
      <c r="E973" s="18" t="s">
        <v>15</v>
      </c>
      <c r="F973" s="20">
        <v>0</v>
      </c>
      <c r="G973" s="20">
        <v>0</v>
      </c>
    </row>
    <row r="974" spans="1:7" ht="15" customHeight="1" x14ac:dyDescent="0.75">
      <c r="A974" s="18" t="s">
        <v>79</v>
      </c>
      <c r="B974" s="19">
        <v>46125</v>
      </c>
      <c r="C974" s="18" t="s">
        <v>58</v>
      </c>
      <c r="D974" s="17">
        <v>666510</v>
      </c>
      <c r="E974" s="18" t="s">
        <v>17</v>
      </c>
      <c r="F974" s="20">
        <v>0</v>
      </c>
      <c r="G974" s="20">
        <v>0</v>
      </c>
    </row>
    <row r="975" spans="1:7" ht="15" customHeight="1" x14ac:dyDescent="0.75">
      <c r="A975" s="18" t="s">
        <v>79</v>
      </c>
      <c r="B975" s="19">
        <v>46125</v>
      </c>
      <c r="C975" s="18" t="s">
        <v>58</v>
      </c>
      <c r="D975" s="17">
        <v>666511</v>
      </c>
      <c r="E975" s="18" t="s">
        <v>19</v>
      </c>
      <c r="F975" s="20">
        <v>0</v>
      </c>
      <c r="G975" s="20">
        <v>0</v>
      </c>
    </row>
    <row r="976" spans="1:7" ht="15" customHeight="1" x14ac:dyDescent="0.75">
      <c r="A976" s="18" t="s">
        <v>79</v>
      </c>
      <c r="B976" s="19">
        <v>46125</v>
      </c>
      <c r="C976" s="18" t="s">
        <v>58</v>
      </c>
      <c r="D976" s="17">
        <v>666513</v>
      </c>
      <c r="E976" s="18" t="s">
        <v>21</v>
      </c>
      <c r="F976" s="20">
        <v>0</v>
      </c>
      <c r="G976" s="20">
        <v>0</v>
      </c>
    </row>
    <row r="977" spans="1:7" ht="15" customHeight="1" x14ac:dyDescent="0.75">
      <c r="A977" s="18" t="s">
        <v>79</v>
      </c>
      <c r="B977" s="19">
        <v>46125</v>
      </c>
      <c r="C977" s="18" t="s">
        <v>58</v>
      </c>
      <c r="D977" s="17">
        <v>666516</v>
      </c>
      <c r="E977" s="18" t="s">
        <v>23</v>
      </c>
      <c r="F977" s="20">
        <v>0</v>
      </c>
      <c r="G977" s="20">
        <v>0</v>
      </c>
    </row>
    <row r="978" spans="1:7" ht="15" customHeight="1" x14ac:dyDescent="0.75">
      <c r="A978" s="18" t="s">
        <v>79</v>
      </c>
      <c r="B978" s="19">
        <v>46125</v>
      </c>
      <c r="C978" s="18" t="s">
        <v>58</v>
      </c>
      <c r="D978" s="17">
        <v>666517</v>
      </c>
      <c r="E978" s="18" t="s">
        <v>25</v>
      </c>
      <c r="F978" s="20">
        <v>0</v>
      </c>
      <c r="G978" s="20">
        <v>0</v>
      </c>
    </row>
    <row r="979" spans="1:7" ht="15" customHeight="1" x14ac:dyDescent="0.75">
      <c r="A979" s="18" t="s">
        <v>79</v>
      </c>
      <c r="B979" s="19">
        <v>46125</v>
      </c>
      <c r="C979" s="18" t="s">
        <v>58</v>
      </c>
      <c r="D979" s="17">
        <v>666518</v>
      </c>
      <c r="E979" s="18" t="s">
        <v>27</v>
      </c>
      <c r="F979" s="20">
        <v>0</v>
      </c>
      <c r="G979" s="20">
        <v>0</v>
      </c>
    </row>
    <row r="980" spans="1:7" ht="15" customHeight="1" x14ac:dyDescent="0.75">
      <c r="A980" s="18" t="s">
        <v>79</v>
      </c>
      <c r="B980" s="19">
        <v>46125</v>
      </c>
      <c r="C980" s="18" t="s">
        <v>58</v>
      </c>
      <c r="D980" s="17">
        <v>666519</v>
      </c>
      <c r="E980" s="18" t="s">
        <v>29</v>
      </c>
      <c r="F980" s="20">
        <v>0</v>
      </c>
      <c r="G980" s="20">
        <v>0</v>
      </c>
    </row>
    <row r="981" spans="1:7" ht="15" customHeight="1" x14ac:dyDescent="0.75">
      <c r="A981" s="18" t="s">
        <v>79</v>
      </c>
      <c r="B981" s="19">
        <v>46125</v>
      </c>
      <c r="C981" s="18" t="s">
        <v>58</v>
      </c>
      <c r="D981" s="17">
        <v>666521</v>
      </c>
      <c r="E981" s="18" t="s">
        <v>31</v>
      </c>
      <c r="F981" s="20">
        <v>0</v>
      </c>
      <c r="G981" s="20">
        <v>0</v>
      </c>
    </row>
    <row r="982" spans="1:7" ht="15" customHeight="1" x14ac:dyDescent="0.75">
      <c r="A982" s="18" t="s">
        <v>79</v>
      </c>
      <c r="B982" s="19">
        <v>46125</v>
      </c>
      <c r="C982" s="18" t="s">
        <v>58</v>
      </c>
      <c r="D982" s="17">
        <v>666522</v>
      </c>
      <c r="E982" s="18" t="s">
        <v>33</v>
      </c>
      <c r="F982" s="20">
        <v>85</v>
      </c>
      <c r="G982" s="20">
        <v>0</v>
      </c>
    </row>
    <row r="983" spans="1:7" ht="15" customHeight="1" x14ac:dyDescent="0.75">
      <c r="A983" s="18" t="s">
        <v>79</v>
      </c>
      <c r="B983" s="19">
        <v>46125</v>
      </c>
      <c r="C983" s="18" t="s">
        <v>58</v>
      </c>
      <c r="D983" s="17">
        <v>666523</v>
      </c>
      <c r="E983" s="18" t="s">
        <v>35</v>
      </c>
      <c r="F983" s="20">
        <v>0</v>
      </c>
      <c r="G983" s="20">
        <v>0</v>
      </c>
    </row>
    <row r="984" spans="1:7" ht="15" customHeight="1" x14ac:dyDescent="0.75">
      <c r="A984" s="18" t="s">
        <v>79</v>
      </c>
      <c r="B984" s="19">
        <v>46125</v>
      </c>
      <c r="C984" s="18" t="s">
        <v>58</v>
      </c>
      <c r="D984" s="17">
        <v>666530</v>
      </c>
      <c r="E984" s="18" t="s">
        <v>37</v>
      </c>
      <c r="F984" s="20">
        <v>0</v>
      </c>
      <c r="G984" s="20">
        <v>0</v>
      </c>
    </row>
    <row r="985" spans="1:7" ht="15" customHeight="1" x14ac:dyDescent="0.75">
      <c r="A985" s="18" t="s">
        <v>79</v>
      </c>
      <c r="B985" s="19">
        <v>46125</v>
      </c>
      <c r="C985" s="18" t="s">
        <v>58</v>
      </c>
      <c r="D985" s="17">
        <v>666531</v>
      </c>
      <c r="E985" s="18" t="s">
        <v>39</v>
      </c>
      <c r="F985" s="20">
        <v>0</v>
      </c>
      <c r="G985" s="20">
        <v>0</v>
      </c>
    </row>
    <row r="986" spans="1:7" ht="15" customHeight="1" x14ac:dyDescent="0.75">
      <c r="A986" s="18" t="s">
        <v>79</v>
      </c>
      <c r="B986" s="19">
        <v>46125</v>
      </c>
      <c r="C986" s="18" t="s">
        <v>58</v>
      </c>
      <c r="D986" s="17">
        <v>666540</v>
      </c>
      <c r="E986" s="18" t="s">
        <v>40</v>
      </c>
      <c r="F986" s="20">
        <v>20</v>
      </c>
      <c r="G986" s="20">
        <v>0</v>
      </c>
    </row>
    <row r="987" spans="1:7" ht="15" customHeight="1" x14ac:dyDescent="0.75">
      <c r="A987" s="18" t="s">
        <v>79</v>
      </c>
      <c r="B987" s="19">
        <v>46125</v>
      </c>
      <c r="C987" s="18" t="s">
        <v>58</v>
      </c>
      <c r="D987" s="17">
        <v>666541</v>
      </c>
      <c r="E987" s="18" t="s">
        <v>41</v>
      </c>
      <c r="F987" s="20">
        <v>340</v>
      </c>
      <c r="G987" s="20">
        <v>323</v>
      </c>
    </row>
    <row r="988" spans="1:7" ht="15" customHeight="1" x14ac:dyDescent="0.75">
      <c r="A988" s="18" t="s">
        <v>79</v>
      </c>
      <c r="B988" s="19">
        <v>46125</v>
      </c>
      <c r="C988" s="18" t="s">
        <v>58</v>
      </c>
      <c r="D988" s="17">
        <v>666536</v>
      </c>
      <c r="E988" s="18" t="s">
        <v>43</v>
      </c>
      <c r="F988" s="20">
        <v>0</v>
      </c>
      <c r="G988" s="20">
        <v>0</v>
      </c>
    </row>
    <row r="989" spans="1:7" ht="15" customHeight="1" x14ac:dyDescent="0.75">
      <c r="A989" s="18" t="s">
        <v>79</v>
      </c>
      <c r="B989" s="19">
        <v>46125</v>
      </c>
      <c r="C989" s="18" t="s">
        <v>66</v>
      </c>
      <c r="D989" s="17">
        <v>666501</v>
      </c>
      <c r="E989" s="18" t="s">
        <v>5</v>
      </c>
      <c r="F989" s="20">
        <v>33</v>
      </c>
      <c r="G989" s="20">
        <v>0</v>
      </c>
    </row>
    <row r="990" spans="1:7" ht="15" customHeight="1" x14ac:dyDescent="0.75">
      <c r="A990" s="18" t="s">
        <v>79</v>
      </c>
      <c r="B990" s="19">
        <v>46125</v>
      </c>
      <c r="C990" s="18" t="s">
        <v>66</v>
      </c>
      <c r="D990" s="17">
        <v>666502</v>
      </c>
      <c r="E990" s="18" t="s">
        <v>7</v>
      </c>
      <c r="F990" s="20">
        <v>37</v>
      </c>
      <c r="G990" s="20">
        <v>63</v>
      </c>
    </row>
    <row r="991" spans="1:7" ht="15" customHeight="1" x14ac:dyDescent="0.75">
      <c r="A991" s="18" t="s">
        <v>79</v>
      </c>
      <c r="B991" s="19">
        <v>46125</v>
      </c>
      <c r="C991" s="18" t="s">
        <v>66</v>
      </c>
      <c r="D991" s="17">
        <v>666505</v>
      </c>
      <c r="E991" s="18" t="s">
        <v>9</v>
      </c>
      <c r="F991" s="20">
        <v>19.5</v>
      </c>
      <c r="G991" s="20">
        <v>0</v>
      </c>
    </row>
    <row r="992" spans="1:7" ht="15" customHeight="1" x14ac:dyDescent="0.75">
      <c r="A992" s="18" t="s">
        <v>79</v>
      </c>
      <c r="B992" s="19">
        <v>46125</v>
      </c>
      <c r="C992" s="18" t="s">
        <v>66</v>
      </c>
      <c r="D992" s="17">
        <v>666506</v>
      </c>
      <c r="E992" s="18" t="s">
        <v>11</v>
      </c>
      <c r="F992" s="20">
        <v>0</v>
      </c>
      <c r="G992" s="20">
        <v>0</v>
      </c>
    </row>
    <row r="993" spans="1:7" ht="15" customHeight="1" x14ac:dyDescent="0.75">
      <c r="A993" s="18" t="s">
        <v>79</v>
      </c>
      <c r="B993" s="19">
        <v>46125</v>
      </c>
      <c r="C993" s="18" t="s">
        <v>66</v>
      </c>
      <c r="D993" s="17">
        <v>666507</v>
      </c>
      <c r="E993" s="18" t="s">
        <v>13</v>
      </c>
      <c r="F993" s="20">
        <v>0</v>
      </c>
      <c r="G993" s="20">
        <v>0</v>
      </c>
    </row>
    <row r="994" spans="1:7" ht="15" customHeight="1" x14ac:dyDescent="0.75">
      <c r="A994" s="18" t="s">
        <v>79</v>
      </c>
      <c r="B994" s="19">
        <v>46125</v>
      </c>
      <c r="C994" s="18" t="s">
        <v>66</v>
      </c>
      <c r="D994" s="17">
        <v>666509</v>
      </c>
      <c r="E994" s="18" t="s">
        <v>15</v>
      </c>
      <c r="F994" s="20">
        <v>0</v>
      </c>
      <c r="G994" s="20">
        <v>0</v>
      </c>
    </row>
    <row r="995" spans="1:7" ht="15" customHeight="1" x14ac:dyDescent="0.75">
      <c r="A995" s="18" t="s">
        <v>79</v>
      </c>
      <c r="B995" s="19">
        <v>46125</v>
      </c>
      <c r="C995" s="18" t="s">
        <v>66</v>
      </c>
      <c r="D995" s="17">
        <v>666510</v>
      </c>
      <c r="E995" s="18" t="s">
        <v>17</v>
      </c>
      <c r="F995" s="20">
        <v>0</v>
      </c>
      <c r="G995" s="20">
        <v>0</v>
      </c>
    </row>
    <row r="996" spans="1:7" ht="15" customHeight="1" x14ac:dyDescent="0.75">
      <c r="A996" s="18" t="s">
        <v>79</v>
      </c>
      <c r="B996" s="19">
        <v>46125</v>
      </c>
      <c r="C996" s="18" t="s">
        <v>66</v>
      </c>
      <c r="D996" s="17">
        <v>666511</v>
      </c>
      <c r="E996" s="18" t="s">
        <v>19</v>
      </c>
      <c r="F996" s="20">
        <v>0</v>
      </c>
      <c r="G996" s="20">
        <v>0</v>
      </c>
    </row>
    <row r="997" spans="1:7" ht="15" customHeight="1" x14ac:dyDescent="0.75">
      <c r="A997" s="18" t="s">
        <v>79</v>
      </c>
      <c r="B997" s="19">
        <v>46125</v>
      </c>
      <c r="C997" s="18" t="s">
        <v>66</v>
      </c>
      <c r="D997" s="17">
        <v>666513</v>
      </c>
      <c r="E997" s="18" t="s">
        <v>21</v>
      </c>
      <c r="F997" s="20">
        <v>7</v>
      </c>
      <c r="G997" s="20">
        <v>0</v>
      </c>
    </row>
    <row r="998" spans="1:7" ht="15" customHeight="1" x14ac:dyDescent="0.75">
      <c r="A998" s="18" t="s">
        <v>79</v>
      </c>
      <c r="B998" s="19">
        <v>46125</v>
      </c>
      <c r="C998" s="18" t="s">
        <v>66</v>
      </c>
      <c r="D998" s="17">
        <v>666516</v>
      </c>
      <c r="E998" s="18" t="s">
        <v>23</v>
      </c>
      <c r="F998" s="20">
        <v>15.5</v>
      </c>
      <c r="G998" s="20">
        <v>0</v>
      </c>
    </row>
    <row r="999" spans="1:7" ht="15" customHeight="1" x14ac:dyDescent="0.75">
      <c r="A999" s="18" t="s">
        <v>79</v>
      </c>
      <c r="B999" s="19">
        <v>46125</v>
      </c>
      <c r="C999" s="18" t="s">
        <v>66</v>
      </c>
      <c r="D999" s="17">
        <v>666517</v>
      </c>
      <c r="E999" s="18" t="s">
        <v>25</v>
      </c>
      <c r="F999" s="20">
        <v>8.5</v>
      </c>
      <c r="G999" s="20">
        <v>0</v>
      </c>
    </row>
    <row r="1000" spans="1:7" ht="15" customHeight="1" x14ac:dyDescent="0.75">
      <c r="A1000" s="18" t="s">
        <v>79</v>
      </c>
      <c r="B1000" s="19">
        <v>46125</v>
      </c>
      <c r="C1000" s="18" t="s">
        <v>66</v>
      </c>
      <c r="D1000" s="17">
        <v>666518</v>
      </c>
      <c r="E1000" s="18" t="s">
        <v>27</v>
      </c>
      <c r="F1000" s="20">
        <v>0</v>
      </c>
      <c r="G1000" s="20">
        <v>0</v>
      </c>
    </row>
    <row r="1001" spans="1:7" ht="15" customHeight="1" x14ac:dyDescent="0.75">
      <c r="A1001" s="18" t="s">
        <v>79</v>
      </c>
      <c r="B1001" s="19">
        <v>46125</v>
      </c>
      <c r="C1001" s="18" t="s">
        <v>66</v>
      </c>
      <c r="D1001" s="17">
        <v>666519</v>
      </c>
      <c r="E1001" s="18" t="s">
        <v>29</v>
      </c>
      <c r="F1001" s="20">
        <v>13</v>
      </c>
      <c r="G1001" s="20">
        <v>0</v>
      </c>
    </row>
    <row r="1002" spans="1:7" ht="15" customHeight="1" x14ac:dyDescent="0.75">
      <c r="A1002" s="18" t="s">
        <v>79</v>
      </c>
      <c r="B1002" s="19">
        <v>46125</v>
      </c>
      <c r="C1002" s="18" t="s">
        <v>66</v>
      </c>
      <c r="D1002" s="17">
        <v>666521</v>
      </c>
      <c r="E1002" s="18" t="s">
        <v>31</v>
      </c>
      <c r="F1002" s="20">
        <v>0</v>
      </c>
      <c r="G1002" s="20">
        <v>0</v>
      </c>
    </row>
    <row r="1003" spans="1:7" ht="15" customHeight="1" x14ac:dyDescent="0.75">
      <c r="A1003" s="18" t="s">
        <v>79</v>
      </c>
      <c r="B1003" s="19">
        <v>46125</v>
      </c>
      <c r="C1003" s="18" t="s">
        <v>66</v>
      </c>
      <c r="D1003" s="17">
        <v>666522</v>
      </c>
      <c r="E1003" s="18" t="s">
        <v>33</v>
      </c>
      <c r="F1003" s="20">
        <v>50</v>
      </c>
      <c r="G1003" s="20">
        <v>0</v>
      </c>
    </row>
    <row r="1004" spans="1:7" ht="15" customHeight="1" x14ac:dyDescent="0.75">
      <c r="A1004" s="18" t="s">
        <v>79</v>
      </c>
      <c r="B1004" s="19">
        <v>46125</v>
      </c>
      <c r="C1004" s="18" t="s">
        <v>66</v>
      </c>
      <c r="D1004" s="17">
        <v>666523</v>
      </c>
      <c r="E1004" s="18" t="s">
        <v>35</v>
      </c>
      <c r="F1004" s="20">
        <v>20</v>
      </c>
      <c r="G1004" s="20">
        <v>0</v>
      </c>
    </row>
    <row r="1005" spans="1:7" ht="15" customHeight="1" x14ac:dyDescent="0.75">
      <c r="A1005" s="18" t="s">
        <v>79</v>
      </c>
      <c r="B1005" s="19">
        <v>46125</v>
      </c>
      <c r="C1005" s="18" t="s">
        <v>66</v>
      </c>
      <c r="D1005" s="17">
        <v>666530</v>
      </c>
      <c r="E1005" s="18" t="s">
        <v>37</v>
      </c>
      <c r="F1005" s="20">
        <v>12</v>
      </c>
      <c r="G1005" s="20">
        <v>0</v>
      </c>
    </row>
    <row r="1006" spans="1:7" ht="15" customHeight="1" x14ac:dyDescent="0.75">
      <c r="A1006" s="18" t="s">
        <v>79</v>
      </c>
      <c r="B1006" s="19">
        <v>46125</v>
      </c>
      <c r="C1006" s="18" t="s">
        <v>66</v>
      </c>
      <c r="D1006" s="17">
        <v>666531</v>
      </c>
      <c r="E1006" s="18" t="s">
        <v>39</v>
      </c>
      <c r="F1006" s="20">
        <v>4</v>
      </c>
      <c r="G1006" s="20">
        <v>0</v>
      </c>
    </row>
    <row r="1007" spans="1:7" ht="15" customHeight="1" x14ac:dyDescent="0.75">
      <c r="A1007" s="18" t="s">
        <v>79</v>
      </c>
      <c r="B1007" s="19">
        <v>46125</v>
      </c>
      <c r="C1007" s="18" t="s">
        <v>66</v>
      </c>
      <c r="D1007" s="17">
        <v>666540</v>
      </c>
      <c r="E1007" s="18" t="s">
        <v>40</v>
      </c>
      <c r="F1007" s="20">
        <v>0</v>
      </c>
      <c r="G1007" s="20">
        <v>0</v>
      </c>
    </row>
    <row r="1008" spans="1:7" ht="15" customHeight="1" x14ac:dyDescent="0.75">
      <c r="A1008" s="18" t="s">
        <v>79</v>
      </c>
      <c r="B1008" s="19">
        <v>46125</v>
      </c>
      <c r="C1008" s="18" t="s">
        <v>66</v>
      </c>
      <c r="D1008" s="17">
        <v>666541</v>
      </c>
      <c r="E1008" s="18" t="s">
        <v>41</v>
      </c>
      <c r="F1008" s="20">
        <v>0</v>
      </c>
      <c r="G1008" s="20">
        <v>0</v>
      </c>
    </row>
    <row r="1009" spans="1:7" ht="15" customHeight="1" x14ac:dyDescent="0.75">
      <c r="A1009" s="18" t="s">
        <v>79</v>
      </c>
      <c r="B1009" s="19">
        <v>46125</v>
      </c>
      <c r="C1009" s="18" t="s">
        <v>66</v>
      </c>
      <c r="D1009" s="17">
        <v>666536</v>
      </c>
      <c r="E1009" s="18" t="s">
        <v>43</v>
      </c>
      <c r="F1009" s="20">
        <v>0</v>
      </c>
      <c r="G1009" s="20">
        <v>0</v>
      </c>
    </row>
    <row r="1010" spans="1:7" ht="15" customHeight="1" x14ac:dyDescent="0.75">
      <c r="A1010" s="18" t="s">
        <v>80</v>
      </c>
      <c r="B1010" s="19">
        <v>46132</v>
      </c>
      <c r="C1010" s="18" t="s">
        <v>56</v>
      </c>
      <c r="D1010" s="17">
        <v>666501</v>
      </c>
      <c r="E1010" s="18" t="s">
        <v>5</v>
      </c>
      <c r="F1010" s="20">
        <v>36</v>
      </c>
      <c r="G1010" s="20">
        <v>72</v>
      </c>
    </row>
    <row r="1011" spans="1:7" ht="15" customHeight="1" x14ac:dyDescent="0.75">
      <c r="A1011" s="18" t="s">
        <v>80</v>
      </c>
      <c r="B1011" s="19">
        <v>46132</v>
      </c>
      <c r="C1011" s="18" t="s">
        <v>56</v>
      </c>
      <c r="D1011" s="17">
        <v>666502</v>
      </c>
      <c r="E1011" s="18" t="s">
        <v>7</v>
      </c>
      <c r="F1011" s="20">
        <v>0</v>
      </c>
      <c r="G1011" s="20">
        <v>0</v>
      </c>
    </row>
    <row r="1012" spans="1:7" ht="15" customHeight="1" x14ac:dyDescent="0.75">
      <c r="A1012" s="18" t="s">
        <v>80</v>
      </c>
      <c r="B1012" s="19">
        <v>46132</v>
      </c>
      <c r="C1012" s="18" t="s">
        <v>56</v>
      </c>
      <c r="D1012" s="17">
        <v>666505</v>
      </c>
      <c r="E1012" s="18" t="s">
        <v>9</v>
      </c>
      <c r="F1012" s="20">
        <v>9.5</v>
      </c>
      <c r="G1012" s="20">
        <v>19</v>
      </c>
    </row>
    <row r="1013" spans="1:7" ht="15" customHeight="1" x14ac:dyDescent="0.75">
      <c r="A1013" s="18" t="s">
        <v>80</v>
      </c>
      <c r="B1013" s="19">
        <v>46132</v>
      </c>
      <c r="C1013" s="18" t="s">
        <v>56</v>
      </c>
      <c r="D1013" s="17">
        <v>666506</v>
      </c>
      <c r="E1013" s="18" t="s">
        <v>11</v>
      </c>
      <c r="F1013" s="20">
        <v>0</v>
      </c>
      <c r="G1013" s="20">
        <v>0</v>
      </c>
    </row>
    <row r="1014" spans="1:7" ht="15" customHeight="1" x14ac:dyDescent="0.75">
      <c r="A1014" s="18" t="s">
        <v>80</v>
      </c>
      <c r="B1014" s="19">
        <v>46132</v>
      </c>
      <c r="C1014" s="18" t="s">
        <v>56</v>
      </c>
      <c r="D1014" s="17">
        <v>666507</v>
      </c>
      <c r="E1014" s="18" t="s">
        <v>13</v>
      </c>
      <c r="F1014" s="20">
        <v>8</v>
      </c>
      <c r="G1014" s="20">
        <v>0</v>
      </c>
    </row>
    <row r="1015" spans="1:7" ht="15" customHeight="1" x14ac:dyDescent="0.75">
      <c r="A1015" s="18" t="s">
        <v>80</v>
      </c>
      <c r="B1015" s="19">
        <v>46132</v>
      </c>
      <c r="C1015" s="18" t="s">
        <v>56</v>
      </c>
      <c r="D1015" s="17">
        <v>666509</v>
      </c>
      <c r="E1015" s="18" t="s">
        <v>15</v>
      </c>
      <c r="F1015" s="20">
        <v>34</v>
      </c>
      <c r="G1015" s="20">
        <v>42</v>
      </c>
    </row>
    <row r="1016" spans="1:7" ht="15" customHeight="1" x14ac:dyDescent="0.75">
      <c r="A1016" s="18" t="s">
        <v>80</v>
      </c>
      <c r="B1016" s="19">
        <v>46132</v>
      </c>
      <c r="C1016" s="18" t="s">
        <v>56</v>
      </c>
      <c r="D1016" s="17">
        <v>666510</v>
      </c>
      <c r="E1016" s="18" t="s">
        <v>17</v>
      </c>
      <c r="F1016" s="20">
        <v>0</v>
      </c>
      <c r="G1016" s="20">
        <v>0</v>
      </c>
    </row>
    <row r="1017" spans="1:7" ht="15" customHeight="1" x14ac:dyDescent="0.75">
      <c r="A1017" s="18" t="s">
        <v>80</v>
      </c>
      <c r="B1017" s="19">
        <v>46132</v>
      </c>
      <c r="C1017" s="18" t="s">
        <v>56</v>
      </c>
      <c r="D1017" s="17">
        <v>666511</v>
      </c>
      <c r="E1017" s="18" t="s">
        <v>19</v>
      </c>
      <c r="F1017" s="20">
        <v>3</v>
      </c>
      <c r="G1017" s="20">
        <v>0</v>
      </c>
    </row>
    <row r="1018" spans="1:7" ht="15" customHeight="1" x14ac:dyDescent="0.75">
      <c r="A1018" s="18" t="s">
        <v>80</v>
      </c>
      <c r="B1018" s="19">
        <v>46132</v>
      </c>
      <c r="C1018" s="18" t="s">
        <v>56</v>
      </c>
      <c r="D1018" s="17">
        <v>666513</v>
      </c>
      <c r="E1018" s="18" t="s">
        <v>21</v>
      </c>
      <c r="F1018" s="20">
        <v>3</v>
      </c>
      <c r="G1018" s="20">
        <v>6</v>
      </c>
    </row>
    <row r="1019" spans="1:7" ht="15" customHeight="1" x14ac:dyDescent="0.75">
      <c r="A1019" s="18" t="s">
        <v>80</v>
      </c>
      <c r="B1019" s="19">
        <v>46132</v>
      </c>
      <c r="C1019" s="18" t="s">
        <v>56</v>
      </c>
      <c r="D1019" s="17">
        <v>666516</v>
      </c>
      <c r="E1019" s="18" t="s">
        <v>23</v>
      </c>
      <c r="F1019" s="20">
        <v>15.5</v>
      </c>
      <c r="G1019" s="20">
        <v>31</v>
      </c>
    </row>
    <row r="1020" spans="1:7" ht="15" customHeight="1" x14ac:dyDescent="0.75">
      <c r="A1020" s="18" t="s">
        <v>80</v>
      </c>
      <c r="B1020" s="19">
        <v>46132</v>
      </c>
      <c r="C1020" s="18" t="s">
        <v>56</v>
      </c>
      <c r="D1020" s="17">
        <v>666517</v>
      </c>
      <c r="E1020" s="18" t="s">
        <v>25</v>
      </c>
      <c r="F1020" s="20">
        <v>19.5</v>
      </c>
      <c r="G1020" s="20">
        <v>38</v>
      </c>
    </row>
    <row r="1021" spans="1:7" ht="15" customHeight="1" x14ac:dyDescent="0.75">
      <c r="A1021" s="18" t="s">
        <v>80</v>
      </c>
      <c r="B1021" s="19">
        <v>46132</v>
      </c>
      <c r="C1021" s="18" t="s">
        <v>56</v>
      </c>
      <c r="D1021" s="17">
        <v>666518</v>
      </c>
      <c r="E1021" s="18" t="s">
        <v>27</v>
      </c>
      <c r="F1021" s="20">
        <v>0</v>
      </c>
      <c r="G1021" s="20">
        <v>0</v>
      </c>
    </row>
    <row r="1022" spans="1:7" ht="15" customHeight="1" x14ac:dyDescent="0.75">
      <c r="A1022" s="18" t="s">
        <v>80</v>
      </c>
      <c r="B1022" s="19">
        <v>46132</v>
      </c>
      <c r="C1022" s="18" t="s">
        <v>56</v>
      </c>
      <c r="D1022" s="17">
        <v>666519</v>
      </c>
      <c r="E1022" s="18" t="s">
        <v>29</v>
      </c>
      <c r="F1022" s="20">
        <v>13</v>
      </c>
      <c r="G1022" s="20">
        <v>26</v>
      </c>
    </row>
    <row r="1023" spans="1:7" ht="15" customHeight="1" x14ac:dyDescent="0.75">
      <c r="A1023" s="18" t="s">
        <v>80</v>
      </c>
      <c r="B1023" s="19">
        <v>46132</v>
      </c>
      <c r="C1023" s="18" t="s">
        <v>56</v>
      </c>
      <c r="D1023" s="17">
        <v>666521</v>
      </c>
      <c r="E1023" s="18" t="s">
        <v>31</v>
      </c>
      <c r="F1023" s="20">
        <v>60</v>
      </c>
      <c r="G1023" s="20">
        <v>74</v>
      </c>
    </row>
    <row r="1024" spans="1:7" ht="15" customHeight="1" x14ac:dyDescent="0.75">
      <c r="A1024" s="18" t="s">
        <v>80</v>
      </c>
      <c r="B1024" s="19">
        <v>46132</v>
      </c>
      <c r="C1024" s="18" t="s">
        <v>56</v>
      </c>
      <c r="D1024" s="17">
        <v>666522</v>
      </c>
      <c r="E1024" s="18" t="s">
        <v>33</v>
      </c>
      <c r="F1024" s="20">
        <v>105</v>
      </c>
      <c r="G1024" s="20">
        <v>185</v>
      </c>
    </row>
    <row r="1025" spans="1:7" ht="15" customHeight="1" x14ac:dyDescent="0.75">
      <c r="A1025" s="18" t="s">
        <v>80</v>
      </c>
      <c r="B1025" s="19">
        <v>46132</v>
      </c>
      <c r="C1025" s="18" t="s">
        <v>56</v>
      </c>
      <c r="D1025" s="17">
        <v>666523</v>
      </c>
      <c r="E1025" s="18" t="s">
        <v>35</v>
      </c>
      <c r="F1025" s="20">
        <v>0</v>
      </c>
      <c r="G1025" s="20">
        <v>0</v>
      </c>
    </row>
    <row r="1026" spans="1:7" ht="15" customHeight="1" x14ac:dyDescent="0.75">
      <c r="A1026" s="18" t="s">
        <v>80</v>
      </c>
      <c r="B1026" s="19">
        <v>46132</v>
      </c>
      <c r="C1026" s="18" t="s">
        <v>56</v>
      </c>
      <c r="D1026" s="17">
        <v>666530</v>
      </c>
      <c r="E1026" s="18" t="s">
        <v>37</v>
      </c>
      <c r="F1026" s="20">
        <v>0</v>
      </c>
      <c r="G1026" s="20">
        <v>0</v>
      </c>
    </row>
    <row r="1027" spans="1:7" ht="15" customHeight="1" x14ac:dyDescent="0.75">
      <c r="A1027" s="18" t="s">
        <v>80</v>
      </c>
      <c r="B1027" s="19">
        <v>46132</v>
      </c>
      <c r="C1027" s="18" t="s">
        <v>56</v>
      </c>
      <c r="D1027" s="17">
        <v>666531</v>
      </c>
      <c r="E1027" s="18" t="s">
        <v>39</v>
      </c>
      <c r="F1027" s="20">
        <v>10</v>
      </c>
      <c r="G1027" s="20">
        <v>15</v>
      </c>
    </row>
    <row r="1028" spans="1:7" ht="15" customHeight="1" x14ac:dyDescent="0.75">
      <c r="A1028" s="18" t="s">
        <v>80</v>
      </c>
      <c r="B1028" s="19">
        <v>46132</v>
      </c>
      <c r="C1028" s="18" t="s">
        <v>56</v>
      </c>
      <c r="D1028" s="17">
        <v>666540</v>
      </c>
      <c r="E1028" s="18" t="s">
        <v>40</v>
      </c>
      <c r="F1028" s="20">
        <v>0</v>
      </c>
      <c r="G1028" s="20">
        <v>0</v>
      </c>
    </row>
    <row r="1029" spans="1:7" ht="15" customHeight="1" x14ac:dyDescent="0.75">
      <c r="A1029" s="18" t="s">
        <v>80</v>
      </c>
      <c r="B1029" s="19">
        <v>46132</v>
      </c>
      <c r="C1029" s="18" t="s">
        <v>56</v>
      </c>
      <c r="D1029" s="17">
        <v>666541</v>
      </c>
      <c r="E1029" s="18" t="s">
        <v>41</v>
      </c>
      <c r="F1029" s="20">
        <v>0</v>
      </c>
      <c r="G1029" s="20">
        <v>0</v>
      </c>
    </row>
    <row r="1030" spans="1:7" ht="15" customHeight="1" x14ac:dyDescent="0.75">
      <c r="A1030" s="18" t="s">
        <v>80</v>
      </c>
      <c r="B1030" s="19">
        <v>46132</v>
      </c>
      <c r="C1030" s="18" t="s">
        <v>56</v>
      </c>
      <c r="D1030" s="17">
        <v>666536</v>
      </c>
      <c r="E1030" s="18" t="s">
        <v>43</v>
      </c>
      <c r="F1030" s="20">
        <v>14</v>
      </c>
      <c r="G1030" s="20">
        <v>8</v>
      </c>
    </row>
    <row r="1031" spans="1:7" ht="15" customHeight="1" x14ac:dyDescent="0.75">
      <c r="A1031" s="18" t="s">
        <v>80</v>
      </c>
      <c r="B1031" s="19">
        <v>46132</v>
      </c>
      <c r="C1031" s="18" t="s">
        <v>58</v>
      </c>
      <c r="D1031" s="17">
        <v>666501</v>
      </c>
      <c r="E1031" s="18" t="s">
        <v>5</v>
      </c>
      <c r="F1031" s="20">
        <v>333</v>
      </c>
      <c r="G1031" s="20">
        <v>435</v>
      </c>
    </row>
    <row r="1032" spans="1:7" ht="15" customHeight="1" x14ac:dyDescent="0.75">
      <c r="A1032" s="18" t="s">
        <v>80</v>
      </c>
      <c r="B1032" s="19">
        <v>46132</v>
      </c>
      <c r="C1032" s="18" t="s">
        <v>58</v>
      </c>
      <c r="D1032" s="17">
        <v>666502</v>
      </c>
      <c r="E1032" s="18" t="s">
        <v>7</v>
      </c>
      <c r="F1032" s="20">
        <v>138.5</v>
      </c>
      <c r="G1032" s="20">
        <v>192</v>
      </c>
    </row>
    <row r="1033" spans="1:7" ht="15" customHeight="1" x14ac:dyDescent="0.75">
      <c r="A1033" s="18" t="s">
        <v>80</v>
      </c>
      <c r="B1033" s="19">
        <v>46132</v>
      </c>
      <c r="C1033" s="18" t="s">
        <v>58</v>
      </c>
      <c r="D1033" s="17">
        <v>666505</v>
      </c>
      <c r="E1033" s="18" t="s">
        <v>9</v>
      </c>
      <c r="F1033" s="20">
        <v>0</v>
      </c>
      <c r="G1033" s="20">
        <v>0</v>
      </c>
    </row>
    <row r="1034" spans="1:7" ht="15" customHeight="1" x14ac:dyDescent="0.75">
      <c r="A1034" s="18" t="s">
        <v>80</v>
      </c>
      <c r="B1034" s="19">
        <v>46132</v>
      </c>
      <c r="C1034" s="18" t="s">
        <v>58</v>
      </c>
      <c r="D1034" s="17">
        <v>666506</v>
      </c>
      <c r="E1034" s="18" t="s">
        <v>11</v>
      </c>
      <c r="F1034" s="20">
        <v>138.5</v>
      </c>
      <c r="G1034" s="20">
        <v>154</v>
      </c>
    </row>
    <row r="1035" spans="1:7" ht="15" customHeight="1" x14ac:dyDescent="0.75">
      <c r="A1035" s="18" t="s">
        <v>80</v>
      </c>
      <c r="B1035" s="19">
        <v>46132</v>
      </c>
      <c r="C1035" s="18" t="s">
        <v>58</v>
      </c>
      <c r="D1035" s="17">
        <v>666507</v>
      </c>
      <c r="E1035" s="18" t="s">
        <v>13</v>
      </c>
      <c r="F1035" s="20">
        <v>0</v>
      </c>
      <c r="G1035" s="20">
        <v>0</v>
      </c>
    </row>
    <row r="1036" spans="1:7" ht="15" customHeight="1" x14ac:dyDescent="0.75">
      <c r="A1036" s="18" t="s">
        <v>80</v>
      </c>
      <c r="B1036" s="19">
        <v>46132</v>
      </c>
      <c r="C1036" s="18" t="s">
        <v>58</v>
      </c>
      <c r="D1036" s="17">
        <v>666509</v>
      </c>
      <c r="E1036" s="18" t="s">
        <v>15</v>
      </c>
      <c r="F1036" s="20">
        <v>0</v>
      </c>
      <c r="G1036" s="20">
        <v>0</v>
      </c>
    </row>
    <row r="1037" spans="1:7" ht="15" customHeight="1" x14ac:dyDescent="0.75">
      <c r="A1037" s="18" t="s">
        <v>80</v>
      </c>
      <c r="B1037" s="19">
        <v>46132</v>
      </c>
      <c r="C1037" s="18" t="s">
        <v>58</v>
      </c>
      <c r="D1037" s="17">
        <v>666510</v>
      </c>
      <c r="E1037" s="18" t="s">
        <v>17</v>
      </c>
      <c r="F1037" s="20">
        <v>0</v>
      </c>
      <c r="G1037" s="20">
        <v>0</v>
      </c>
    </row>
    <row r="1038" spans="1:7" ht="15" customHeight="1" x14ac:dyDescent="0.75">
      <c r="A1038" s="18" t="s">
        <v>80</v>
      </c>
      <c r="B1038" s="19">
        <v>46132</v>
      </c>
      <c r="C1038" s="18" t="s">
        <v>58</v>
      </c>
      <c r="D1038" s="17">
        <v>666511</v>
      </c>
      <c r="E1038" s="18" t="s">
        <v>19</v>
      </c>
      <c r="F1038" s="20">
        <v>0</v>
      </c>
      <c r="G1038" s="20">
        <v>0</v>
      </c>
    </row>
    <row r="1039" spans="1:7" ht="15" customHeight="1" x14ac:dyDescent="0.75">
      <c r="A1039" s="18" t="s">
        <v>80</v>
      </c>
      <c r="B1039" s="19">
        <v>46132</v>
      </c>
      <c r="C1039" s="18" t="s">
        <v>58</v>
      </c>
      <c r="D1039" s="17">
        <v>666513</v>
      </c>
      <c r="E1039" s="18" t="s">
        <v>21</v>
      </c>
      <c r="F1039" s="20">
        <v>0</v>
      </c>
      <c r="G1039" s="20">
        <v>0</v>
      </c>
    </row>
    <row r="1040" spans="1:7" ht="15" customHeight="1" x14ac:dyDescent="0.75">
      <c r="A1040" s="18" t="s">
        <v>80</v>
      </c>
      <c r="B1040" s="19">
        <v>46132</v>
      </c>
      <c r="C1040" s="18" t="s">
        <v>58</v>
      </c>
      <c r="D1040" s="17">
        <v>666516</v>
      </c>
      <c r="E1040" s="18" t="s">
        <v>23</v>
      </c>
      <c r="F1040" s="20">
        <v>0</v>
      </c>
      <c r="G1040" s="20">
        <v>0</v>
      </c>
    </row>
    <row r="1041" spans="1:7" ht="15" customHeight="1" x14ac:dyDescent="0.75">
      <c r="A1041" s="18" t="s">
        <v>80</v>
      </c>
      <c r="B1041" s="19">
        <v>46132</v>
      </c>
      <c r="C1041" s="18" t="s">
        <v>58</v>
      </c>
      <c r="D1041" s="17">
        <v>666517</v>
      </c>
      <c r="E1041" s="18" t="s">
        <v>25</v>
      </c>
      <c r="F1041" s="20">
        <v>0</v>
      </c>
      <c r="G1041" s="20">
        <v>0</v>
      </c>
    </row>
    <row r="1042" spans="1:7" ht="15" customHeight="1" x14ac:dyDescent="0.75">
      <c r="A1042" s="18" t="s">
        <v>80</v>
      </c>
      <c r="B1042" s="19">
        <v>46132</v>
      </c>
      <c r="C1042" s="18" t="s">
        <v>58</v>
      </c>
      <c r="D1042" s="17">
        <v>666518</v>
      </c>
      <c r="E1042" s="18" t="s">
        <v>27</v>
      </c>
      <c r="F1042" s="20">
        <v>0</v>
      </c>
      <c r="G1042" s="20">
        <v>0</v>
      </c>
    </row>
    <row r="1043" spans="1:7" ht="15" customHeight="1" x14ac:dyDescent="0.75">
      <c r="A1043" s="18" t="s">
        <v>80</v>
      </c>
      <c r="B1043" s="19">
        <v>46132</v>
      </c>
      <c r="C1043" s="18" t="s">
        <v>58</v>
      </c>
      <c r="D1043" s="17">
        <v>666519</v>
      </c>
      <c r="E1043" s="18" t="s">
        <v>29</v>
      </c>
      <c r="F1043" s="20">
        <v>0</v>
      </c>
      <c r="G1043" s="20">
        <v>0</v>
      </c>
    </row>
    <row r="1044" spans="1:7" ht="15" customHeight="1" x14ac:dyDescent="0.75">
      <c r="A1044" s="18" t="s">
        <v>80</v>
      </c>
      <c r="B1044" s="19">
        <v>46132</v>
      </c>
      <c r="C1044" s="18" t="s">
        <v>58</v>
      </c>
      <c r="D1044" s="17">
        <v>666521</v>
      </c>
      <c r="E1044" s="18" t="s">
        <v>31</v>
      </c>
      <c r="F1044" s="20">
        <v>0</v>
      </c>
      <c r="G1044" s="20">
        <v>0</v>
      </c>
    </row>
    <row r="1045" spans="1:7" ht="15" customHeight="1" x14ac:dyDescent="0.75">
      <c r="A1045" s="18" t="s">
        <v>80</v>
      </c>
      <c r="B1045" s="19">
        <v>46132</v>
      </c>
      <c r="C1045" s="18" t="s">
        <v>58</v>
      </c>
      <c r="D1045" s="17">
        <v>666522</v>
      </c>
      <c r="E1045" s="18" t="s">
        <v>33</v>
      </c>
      <c r="F1045" s="20">
        <v>30</v>
      </c>
      <c r="G1045" s="20">
        <v>50</v>
      </c>
    </row>
    <row r="1046" spans="1:7" ht="15" customHeight="1" x14ac:dyDescent="0.75">
      <c r="A1046" s="18" t="s">
        <v>80</v>
      </c>
      <c r="B1046" s="19">
        <v>46132</v>
      </c>
      <c r="C1046" s="18" t="s">
        <v>58</v>
      </c>
      <c r="D1046" s="17">
        <v>666523</v>
      </c>
      <c r="E1046" s="18" t="s">
        <v>35</v>
      </c>
      <c r="F1046" s="20">
        <v>0</v>
      </c>
      <c r="G1046" s="20">
        <v>0</v>
      </c>
    </row>
    <row r="1047" spans="1:7" ht="15" customHeight="1" x14ac:dyDescent="0.75">
      <c r="A1047" s="18" t="s">
        <v>80</v>
      </c>
      <c r="B1047" s="19">
        <v>46132</v>
      </c>
      <c r="C1047" s="18" t="s">
        <v>58</v>
      </c>
      <c r="D1047" s="17">
        <v>666530</v>
      </c>
      <c r="E1047" s="18" t="s">
        <v>37</v>
      </c>
      <c r="F1047" s="20">
        <v>0</v>
      </c>
      <c r="G1047" s="20">
        <v>0</v>
      </c>
    </row>
    <row r="1048" spans="1:7" ht="15" customHeight="1" x14ac:dyDescent="0.75">
      <c r="A1048" s="18" t="s">
        <v>80</v>
      </c>
      <c r="B1048" s="19">
        <v>46132</v>
      </c>
      <c r="C1048" s="18" t="s">
        <v>58</v>
      </c>
      <c r="D1048" s="17">
        <v>666531</v>
      </c>
      <c r="E1048" s="18" t="s">
        <v>39</v>
      </c>
      <c r="F1048" s="20">
        <v>0</v>
      </c>
      <c r="G1048" s="20">
        <v>0</v>
      </c>
    </row>
    <row r="1049" spans="1:7" ht="15" customHeight="1" x14ac:dyDescent="0.75">
      <c r="A1049" s="18" t="s">
        <v>80</v>
      </c>
      <c r="B1049" s="19">
        <v>46132</v>
      </c>
      <c r="C1049" s="18" t="s">
        <v>58</v>
      </c>
      <c r="D1049" s="17">
        <v>666540</v>
      </c>
      <c r="E1049" s="18" t="s">
        <v>40</v>
      </c>
      <c r="F1049" s="20">
        <v>20</v>
      </c>
      <c r="G1049" s="20">
        <v>0</v>
      </c>
    </row>
    <row r="1050" spans="1:7" ht="15" customHeight="1" x14ac:dyDescent="0.75">
      <c r="A1050" s="18" t="s">
        <v>80</v>
      </c>
      <c r="B1050" s="19">
        <v>46132</v>
      </c>
      <c r="C1050" s="18" t="s">
        <v>58</v>
      </c>
      <c r="D1050" s="17">
        <v>666541</v>
      </c>
      <c r="E1050" s="18" t="s">
        <v>41</v>
      </c>
      <c r="F1050" s="20">
        <v>340</v>
      </c>
      <c r="G1050" s="20">
        <v>240</v>
      </c>
    </row>
    <row r="1051" spans="1:7" ht="15" customHeight="1" x14ac:dyDescent="0.75">
      <c r="A1051" s="18" t="s">
        <v>80</v>
      </c>
      <c r="B1051" s="19">
        <v>46132</v>
      </c>
      <c r="C1051" s="18" t="s">
        <v>58</v>
      </c>
      <c r="D1051" s="17">
        <v>666536</v>
      </c>
      <c r="E1051" s="18" t="s">
        <v>43</v>
      </c>
      <c r="F1051" s="20">
        <v>0</v>
      </c>
      <c r="G1051" s="20">
        <v>0</v>
      </c>
    </row>
    <row r="1052" spans="1:7" ht="15" customHeight="1" x14ac:dyDescent="0.75">
      <c r="A1052" s="18" t="s">
        <v>80</v>
      </c>
      <c r="B1052" s="19">
        <v>46132</v>
      </c>
      <c r="C1052" s="18" t="s">
        <v>66</v>
      </c>
      <c r="D1052" s="17">
        <v>666501</v>
      </c>
      <c r="E1052" s="18" t="s">
        <v>5</v>
      </c>
      <c r="F1052" s="20">
        <v>33</v>
      </c>
      <c r="G1052" s="20">
        <v>60</v>
      </c>
    </row>
    <row r="1053" spans="1:7" ht="15" customHeight="1" x14ac:dyDescent="0.75">
      <c r="A1053" s="18" t="s">
        <v>80</v>
      </c>
      <c r="B1053" s="19">
        <v>46132</v>
      </c>
      <c r="C1053" s="18" t="s">
        <v>66</v>
      </c>
      <c r="D1053" s="17">
        <v>666502</v>
      </c>
      <c r="E1053" s="18" t="s">
        <v>7</v>
      </c>
      <c r="F1053" s="20">
        <v>46</v>
      </c>
      <c r="G1053" s="20">
        <v>18</v>
      </c>
    </row>
    <row r="1054" spans="1:7" ht="15" customHeight="1" x14ac:dyDescent="0.75">
      <c r="A1054" s="18" t="s">
        <v>80</v>
      </c>
      <c r="B1054" s="19">
        <v>46132</v>
      </c>
      <c r="C1054" s="18" t="s">
        <v>66</v>
      </c>
      <c r="D1054" s="17">
        <v>666505</v>
      </c>
      <c r="E1054" s="18" t="s">
        <v>9</v>
      </c>
      <c r="F1054" s="20">
        <v>19.5</v>
      </c>
      <c r="G1054" s="20">
        <v>39</v>
      </c>
    </row>
    <row r="1055" spans="1:7" ht="15" customHeight="1" x14ac:dyDescent="0.75">
      <c r="A1055" s="18" t="s">
        <v>80</v>
      </c>
      <c r="B1055" s="19">
        <v>46132</v>
      </c>
      <c r="C1055" s="18" t="s">
        <v>66</v>
      </c>
      <c r="D1055" s="17">
        <v>666506</v>
      </c>
      <c r="E1055" s="18" t="s">
        <v>11</v>
      </c>
      <c r="F1055" s="20">
        <v>0</v>
      </c>
      <c r="G1055" s="20">
        <v>0</v>
      </c>
    </row>
    <row r="1056" spans="1:7" ht="15" customHeight="1" x14ac:dyDescent="0.75">
      <c r="A1056" s="18" t="s">
        <v>80</v>
      </c>
      <c r="B1056" s="19">
        <v>46132</v>
      </c>
      <c r="C1056" s="18" t="s">
        <v>66</v>
      </c>
      <c r="D1056" s="17">
        <v>666507</v>
      </c>
      <c r="E1056" s="18" t="s">
        <v>13</v>
      </c>
      <c r="F1056" s="20">
        <v>0</v>
      </c>
      <c r="G1056" s="20">
        <v>0</v>
      </c>
    </row>
    <row r="1057" spans="1:7" ht="15" customHeight="1" x14ac:dyDescent="0.75">
      <c r="A1057" s="18" t="s">
        <v>80</v>
      </c>
      <c r="B1057" s="19">
        <v>46132</v>
      </c>
      <c r="C1057" s="18" t="s">
        <v>66</v>
      </c>
      <c r="D1057" s="17">
        <v>666509</v>
      </c>
      <c r="E1057" s="18" t="s">
        <v>15</v>
      </c>
      <c r="F1057" s="20">
        <v>0</v>
      </c>
      <c r="G1057" s="20">
        <v>0</v>
      </c>
    </row>
    <row r="1058" spans="1:7" ht="15" customHeight="1" x14ac:dyDescent="0.75">
      <c r="A1058" s="18" t="s">
        <v>80</v>
      </c>
      <c r="B1058" s="19">
        <v>46132</v>
      </c>
      <c r="C1058" s="18" t="s">
        <v>66</v>
      </c>
      <c r="D1058" s="17">
        <v>666510</v>
      </c>
      <c r="E1058" s="18" t="s">
        <v>17</v>
      </c>
      <c r="F1058" s="20">
        <v>0</v>
      </c>
      <c r="G1058" s="20">
        <v>0</v>
      </c>
    </row>
    <row r="1059" spans="1:7" ht="15" customHeight="1" x14ac:dyDescent="0.75">
      <c r="A1059" s="18" t="s">
        <v>80</v>
      </c>
      <c r="B1059" s="19">
        <v>46132</v>
      </c>
      <c r="C1059" s="18" t="s">
        <v>66</v>
      </c>
      <c r="D1059" s="17">
        <v>666511</v>
      </c>
      <c r="E1059" s="18" t="s">
        <v>19</v>
      </c>
      <c r="F1059" s="20">
        <v>0</v>
      </c>
      <c r="G1059" s="20">
        <v>0</v>
      </c>
    </row>
    <row r="1060" spans="1:7" ht="15" customHeight="1" x14ac:dyDescent="0.75">
      <c r="A1060" s="18" t="s">
        <v>80</v>
      </c>
      <c r="B1060" s="19">
        <v>46132</v>
      </c>
      <c r="C1060" s="18" t="s">
        <v>66</v>
      </c>
      <c r="D1060" s="17">
        <v>666513</v>
      </c>
      <c r="E1060" s="18" t="s">
        <v>21</v>
      </c>
      <c r="F1060" s="20">
        <v>7</v>
      </c>
      <c r="G1060" s="20">
        <v>14</v>
      </c>
    </row>
    <row r="1061" spans="1:7" ht="15" customHeight="1" x14ac:dyDescent="0.75">
      <c r="A1061" s="18" t="s">
        <v>80</v>
      </c>
      <c r="B1061" s="19">
        <v>46132</v>
      </c>
      <c r="C1061" s="18" t="s">
        <v>66</v>
      </c>
      <c r="D1061" s="17">
        <v>666516</v>
      </c>
      <c r="E1061" s="18" t="s">
        <v>23</v>
      </c>
      <c r="F1061" s="20">
        <v>15.5</v>
      </c>
      <c r="G1061" s="20">
        <v>31</v>
      </c>
    </row>
    <row r="1062" spans="1:7" ht="15" customHeight="1" x14ac:dyDescent="0.75">
      <c r="A1062" s="18" t="s">
        <v>80</v>
      </c>
      <c r="B1062" s="19">
        <v>46132</v>
      </c>
      <c r="C1062" s="18" t="s">
        <v>66</v>
      </c>
      <c r="D1062" s="17">
        <v>666517</v>
      </c>
      <c r="E1062" s="18" t="s">
        <v>25</v>
      </c>
      <c r="F1062" s="20">
        <v>8.5</v>
      </c>
      <c r="G1062" s="20">
        <v>17</v>
      </c>
    </row>
    <row r="1063" spans="1:7" ht="15" customHeight="1" x14ac:dyDescent="0.75">
      <c r="A1063" s="18" t="s">
        <v>80</v>
      </c>
      <c r="B1063" s="19">
        <v>46132</v>
      </c>
      <c r="C1063" s="18" t="s">
        <v>66</v>
      </c>
      <c r="D1063" s="17">
        <v>666518</v>
      </c>
      <c r="E1063" s="18" t="s">
        <v>27</v>
      </c>
      <c r="F1063" s="20">
        <v>0</v>
      </c>
      <c r="G1063" s="20">
        <v>0</v>
      </c>
    </row>
    <row r="1064" spans="1:7" ht="15" customHeight="1" x14ac:dyDescent="0.75">
      <c r="A1064" s="18" t="s">
        <v>80</v>
      </c>
      <c r="B1064" s="19">
        <v>46132</v>
      </c>
      <c r="C1064" s="18" t="s">
        <v>66</v>
      </c>
      <c r="D1064" s="17">
        <v>666519</v>
      </c>
      <c r="E1064" s="18" t="s">
        <v>29</v>
      </c>
      <c r="F1064" s="20">
        <v>13</v>
      </c>
      <c r="G1064" s="20">
        <v>26</v>
      </c>
    </row>
    <row r="1065" spans="1:7" ht="15" customHeight="1" x14ac:dyDescent="0.75">
      <c r="A1065" s="18" t="s">
        <v>80</v>
      </c>
      <c r="B1065" s="19">
        <v>46132</v>
      </c>
      <c r="C1065" s="18" t="s">
        <v>66</v>
      </c>
      <c r="D1065" s="17">
        <v>666521</v>
      </c>
      <c r="E1065" s="18" t="s">
        <v>31</v>
      </c>
      <c r="F1065" s="20">
        <v>0</v>
      </c>
      <c r="G1065" s="20">
        <v>0</v>
      </c>
    </row>
    <row r="1066" spans="1:7" ht="15" customHeight="1" x14ac:dyDescent="0.75">
      <c r="A1066" s="18" t="s">
        <v>80</v>
      </c>
      <c r="B1066" s="19">
        <v>46132</v>
      </c>
      <c r="C1066" s="18" t="s">
        <v>66</v>
      </c>
      <c r="D1066" s="17">
        <v>666522</v>
      </c>
      <c r="E1066" s="18" t="s">
        <v>33</v>
      </c>
      <c r="F1066" s="20">
        <v>75</v>
      </c>
      <c r="G1066" s="20">
        <v>150</v>
      </c>
    </row>
    <row r="1067" spans="1:7" ht="15" customHeight="1" x14ac:dyDescent="0.75">
      <c r="A1067" s="18" t="s">
        <v>80</v>
      </c>
      <c r="B1067" s="19">
        <v>46132</v>
      </c>
      <c r="C1067" s="18" t="s">
        <v>66</v>
      </c>
      <c r="D1067" s="17">
        <v>666523</v>
      </c>
      <c r="E1067" s="18" t="s">
        <v>35</v>
      </c>
      <c r="F1067" s="20">
        <v>20</v>
      </c>
      <c r="G1067" s="20">
        <v>40</v>
      </c>
    </row>
    <row r="1068" spans="1:7" ht="15" customHeight="1" x14ac:dyDescent="0.75">
      <c r="A1068" s="18" t="s">
        <v>80</v>
      </c>
      <c r="B1068" s="19">
        <v>46132</v>
      </c>
      <c r="C1068" s="18" t="s">
        <v>66</v>
      </c>
      <c r="D1068" s="17">
        <v>666530</v>
      </c>
      <c r="E1068" s="18" t="s">
        <v>37</v>
      </c>
      <c r="F1068" s="20">
        <v>12</v>
      </c>
      <c r="G1068" s="20">
        <v>24</v>
      </c>
    </row>
    <row r="1069" spans="1:7" ht="15" customHeight="1" x14ac:dyDescent="0.75">
      <c r="A1069" s="18" t="s">
        <v>80</v>
      </c>
      <c r="B1069" s="19">
        <v>46132</v>
      </c>
      <c r="C1069" s="18" t="s">
        <v>66</v>
      </c>
      <c r="D1069" s="17">
        <v>666531</v>
      </c>
      <c r="E1069" s="18" t="s">
        <v>39</v>
      </c>
      <c r="F1069" s="20">
        <v>4</v>
      </c>
      <c r="G1069" s="20">
        <v>8</v>
      </c>
    </row>
    <row r="1070" spans="1:7" ht="15" customHeight="1" x14ac:dyDescent="0.75">
      <c r="A1070" s="18" t="s">
        <v>80</v>
      </c>
      <c r="B1070" s="19">
        <v>46132</v>
      </c>
      <c r="C1070" s="18" t="s">
        <v>66</v>
      </c>
      <c r="D1070" s="17">
        <v>666540</v>
      </c>
      <c r="E1070" s="18" t="s">
        <v>40</v>
      </c>
      <c r="F1070" s="20">
        <v>0</v>
      </c>
      <c r="G1070" s="20">
        <v>0</v>
      </c>
    </row>
    <row r="1071" spans="1:7" ht="15" customHeight="1" x14ac:dyDescent="0.75">
      <c r="A1071" s="18" t="s">
        <v>80</v>
      </c>
      <c r="B1071" s="19">
        <v>46132</v>
      </c>
      <c r="C1071" s="18" t="s">
        <v>66</v>
      </c>
      <c r="D1071" s="17">
        <v>666541</v>
      </c>
      <c r="E1071" s="18" t="s">
        <v>41</v>
      </c>
      <c r="F1071" s="20">
        <v>0</v>
      </c>
      <c r="G1071" s="20">
        <v>0</v>
      </c>
    </row>
    <row r="1072" spans="1:7" ht="15" customHeight="1" x14ac:dyDescent="0.75">
      <c r="A1072" s="18" t="s">
        <v>80</v>
      </c>
      <c r="B1072" s="19">
        <v>46132</v>
      </c>
      <c r="C1072" s="18" t="s">
        <v>66</v>
      </c>
      <c r="D1072" s="17">
        <v>666536</v>
      </c>
      <c r="E1072" s="18" t="s">
        <v>43</v>
      </c>
      <c r="F1072" s="20">
        <v>0</v>
      </c>
      <c r="G1072" s="20">
        <v>0</v>
      </c>
    </row>
    <row r="1073" spans="1:7" ht="15" customHeight="1" x14ac:dyDescent="0.75">
      <c r="A1073" s="18" t="s">
        <v>81</v>
      </c>
      <c r="B1073" s="19">
        <v>46139</v>
      </c>
      <c r="C1073" s="18" t="s">
        <v>56</v>
      </c>
      <c r="D1073" s="17">
        <v>666501</v>
      </c>
      <c r="E1073" s="18" t="s">
        <v>5</v>
      </c>
      <c r="F1073" s="20">
        <v>36</v>
      </c>
      <c r="G1073" s="20">
        <v>0</v>
      </c>
    </row>
    <row r="1074" spans="1:7" ht="15" customHeight="1" x14ac:dyDescent="0.75">
      <c r="A1074" s="18" t="s">
        <v>81</v>
      </c>
      <c r="B1074" s="19">
        <v>46139</v>
      </c>
      <c r="C1074" s="18" t="s">
        <v>56</v>
      </c>
      <c r="D1074" s="17">
        <v>666502</v>
      </c>
      <c r="E1074" s="18" t="s">
        <v>7</v>
      </c>
      <c r="F1074" s="20">
        <v>0</v>
      </c>
      <c r="G1074" s="20">
        <v>0</v>
      </c>
    </row>
    <row r="1075" spans="1:7" ht="15" customHeight="1" x14ac:dyDescent="0.75">
      <c r="A1075" s="18" t="s">
        <v>81</v>
      </c>
      <c r="B1075" s="19">
        <v>46139</v>
      </c>
      <c r="C1075" s="18" t="s">
        <v>56</v>
      </c>
      <c r="D1075" s="17">
        <v>666505</v>
      </c>
      <c r="E1075" s="18" t="s">
        <v>9</v>
      </c>
      <c r="F1075" s="20">
        <v>9.5</v>
      </c>
      <c r="G1075" s="20">
        <v>0</v>
      </c>
    </row>
    <row r="1076" spans="1:7" ht="15" customHeight="1" x14ac:dyDescent="0.75">
      <c r="A1076" s="18" t="s">
        <v>81</v>
      </c>
      <c r="B1076" s="19">
        <v>46139</v>
      </c>
      <c r="C1076" s="18" t="s">
        <v>56</v>
      </c>
      <c r="D1076" s="17">
        <v>666506</v>
      </c>
      <c r="E1076" s="18" t="s">
        <v>11</v>
      </c>
      <c r="F1076" s="20">
        <v>0</v>
      </c>
      <c r="G1076" s="20">
        <v>0</v>
      </c>
    </row>
    <row r="1077" spans="1:7" ht="15" customHeight="1" x14ac:dyDescent="0.75">
      <c r="A1077" s="18" t="s">
        <v>81</v>
      </c>
      <c r="B1077" s="19">
        <v>46139</v>
      </c>
      <c r="C1077" s="18" t="s">
        <v>56</v>
      </c>
      <c r="D1077" s="17">
        <v>666507</v>
      </c>
      <c r="E1077" s="18" t="s">
        <v>13</v>
      </c>
      <c r="F1077" s="20">
        <v>8</v>
      </c>
      <c r="G1077" s="20">
        <v>16</v>
      </c>
    </row>
    <row r="1078" spans="1:7" ht="15" customHeight="1" x14ac:dyDescent="0.75">
      <c r="A1078" s="18" t="s">
        <v>81</v>
      </c>
      <c r="B1078" s="19">
        <v>46139</v>
      </c>
      <c r="C1078" s="18" t="s">
        <v>56</v>
      </c>
      <c r="D1078" s="17">
        <v>666509</v>
      </c>
      <c r="E1078" s="18" t="s">
        <v>15</v>
      </c>
      <c r="F1078" s="20">
        <v>34</v>
      </c>
      <c r="G1078" s="20">
        <v>26</v>
      </c>
    </row>
    <row r="1079" spans="1:7" ht="15" customHeight="1" x14ac:dyDescent="0.75">
      <c r="A1079" s="18" t="s">
        <v>81</v>
      </c>
      <c r="B1079" s="19">
        <v>46139</v>
      </c>
      <c r="C1079" s="18" t="s">
        <v>56</v>
      </c>
      <c r="D1079" s="17">
        <v>666510</v>
      </c>
      <c r="E1079" s="18" t="s">
        <v>17</v>
      </c>
      <c r="F1079" s="20">
        <v>0</v>
      </c>
      <c r="G1079" s="20">
        <v>0</v>
      </c>
    </row>
    <row r="1080" spans="1:7" ht="15" customHeight="1" x14ac:dyDescent="0.75">
      <c r="A1080" s="18" t="s">
        <v>81</v>
      </c>
      <c r="B1080" s="19">
        <v>46139</v>
      </c>
      <c r="C1080" s="18" t="s">
        <v>56</v>
      </c>
      <c r="D1080" s="17">
        <v>666511</v>
      </c>
      <c r="E1080" s="18" t="s">
        <v>19</v>
      </c>
      <c r="F1080" s="20">
        <v>3</v>
      </c>
      <c r="G1080" s="20">
        <v>6</v>
      </c>
    </row>
    <row r="1081" spans="1:7" ht="15" customHeight="1" x14ac:dyDescent="0.75">
      <c r="A1081" s="18" t="s">
        <v>81</v>
      </c>
      <c r="B1081" s="19">
        <v>46139</v>
      </c>
      <c r="C1081" s="18" t="s">
        <v>56</v>
      </c>
      <c r="D1081" s="17">
        <v>666513</v>
      </c>
      <c r="E1081" s="18" t="s">
        <v>21</v>
      </c>
      <c r="F1081" s="20">
        <v>3</v>
      </c>
      <c r="G1081" s="20">
        <v>0</v>
      </c>
    </row>
    <row r="1082" spans="1:7" ht="15" customHeight="1" x14ac:dyDescent="0.75">
      <c r="A1082" s="18" t="s">
        <v>81</v>
      </c>
      <c r="B1082" s="19">
        <v>46139</v>
      </c>
      <c r="C1082" s="18" t="s">
        <v>56</v>
      </c>
      <c r="D1082" s="17">
        <v>666516</v>
      </c>
      <c r="E1082" s="18" t="s">
        <v>23</v>
      </c>
      <c r="F1082" s="20">
        <v>15.5</v>
      </c>
      <c r="G1082" s="20">
        <v>0</v>
      </c>
    </row>
    <row r="1083" spans="1:7" ht="15" customHeight="1" x14ac:dyDescent="0.75">
      <c r="A1083" s="18" t="s">
        <v>81</v>
      </c>
      <c r="B1083" s="19">
        <v>46139</v>
      </c>
      <c r="C1083" s="18" t="s">
        <v>56</v>
      </c>
      <c r="D1083" s="17">
        <v>666517</v>
      </c>
      <c r="E1083" s="18" t="s">
        <v>25</v>
      </c>
      <c r="F1083" s="20">
        <v>19.5</v>
      </c>
      <c r="G1083" s="20">
        <v>0</v>
      </c>
    </row>
    <row r="1084" spans="1:7" ht="15" customHeight="1" x14ac:dyDescent="0.75">
      <c r="A1084" s="18" t="s">
        <v>81</v>
      </c>
      <c r="B1084" s="19">
        <v>46139</v>
      </c>
      <c r="C1084" s="18" t="s">
        <v>56</v>
      </c>
      <c r="D1084" s="17">
        <v>666518</v>
      </c>
      <c r="E1084" s="18" t="s">
        <v>27</v>
      </c>
      <c r="F1084" s="20">
        <v>0</v>
      </c>
      <c r="G1084" s="20">
        <v>0</v>
      </c>
    </row>
    <row r="1085" spans="1:7" ht="15" customHeight="1" x14ac:dyDescent="0.75">
      <c r="A1085" s="18" t="s">
        <v>81</v>
      </c>
      <c r="B1085" s="19">
        <v>46139</v>
      </c>
      <c r="C1085" s="18" t="s">
        <v>56</v>
      </c>
      <c r="D1085" s="17">
        <v>666519</v>
      </c>
      <c r="E1085" s="18" t="s">
        <v>29</v>
      </c>
      <c r="F1085" s="20">
        <v>13</v>
      </c>
      <c r="G1085" s="20">
        <v>0</v>
      </c>
    </row>
    <row r="1086" spans="1:7" ht="15" customHeight="1" x14ac:dyDescent="0.75">
      <c r="A1086" s="18" t="s">
        <v>81</v>
      </c>
      <c r="B1086" s="19">
        <v>46139</v>
      </c>
      <c r="C1086" s="18" t="s">
        <v>56</v>
      </c>
      <c r="D1086" s="17">
        <v>666521</v>
      </c>
      <c r="E1086" s="18" t="s">
        <v>31</v>
      </c>
      <c r="F1086" s="20">
        <v>60</v>
      </c>
      <c r="G1086" s="20">
        <v>46</v>
      </c>
    </row>
    <row r="1087" spans="1:7" ht="15" customHeight="1" x14ac:dyDescent="0.75">
      <c r="A1087" s="18" t="s">
        <v>81</v>
      </c>
      <c r="B1087" s="19">
        <v>46139</v>
      </c>
      <c r="C1087" s="18" t="s">
        <v>56</v>
      </c>
      <c r="D1087" s="17">
        <v>666522</v>
      </c>
      <c r="E1087" s="18" t="s">
        <v>33</v>
      </c>
      <c r="F1087" s="20">
        <v>105</v>
      </c>
      <c r="G1087" s="20">
        <v>25</v>
      </c>
    </row>
    <row r="1088" spans="1:7" ht="15" customHeight="1" x14ac:dyDescent="0.75">
      <c r="A1088" s="18" t="s">
        <v>81</v>
      </c>
      <c r="B1088" s="19">
        <v>46139</v>
      </c>
      <c r="C1088" s="18" t="s">
        <v>56</v>
      </c>
      <c r="D1088" s="17">
        <v>666523</v>
      </c>
      <c r="E1088" s="18" t="s">
        <v>35</v>
      </c>
      <c r="F1088" s="20">
        <v>0</v>
      </c>
      <c r="G1088" s="20">
        <v>0</v>
      </c>
    </row>
    <row r="1089" spans="1:7" ht="15" customHeight="1" x14ac:dyDescent="0.75">
      <c r="A1089" s="18" t="s">
        <v>81</v>
      </c>
      <c r="B1089" s="19">
        <v>46139</v>
      </c>
      <c r="C1089" s="18" t="s">
        <v>56</v>
      </c>
      <c r="D1089" s="17">
        <v>666530</v>
      </c>
      <c r="E1089" s="18" t="s">
        <v>37</v>
      </c>
      <c r="F1089" s="20">
        <v>0</v>
      </c>
      <c r="G1089" s="20">
        <v>0</v>
      </c>
    </row>
    <row r="1090" spans="1:7" ht="15" customHeight="1" x14ac:dyDescent="0.75">
      <c r="A1090" s="18" t="s">
        <v>81</v>
      </c>
      <c r="B1090" s="19">
        <v>46139</v>
      </c>
      <c r="C1090" s="18" t="s">
        <v>56</v>
      </c>
      <c r="D1090" s="17">
        <v>666531</v>
      </c>
      <c r="E1090" s="18" t="s">
        <v>39</v>
      </c>
      <c r="F1090" s="20">
        <v>10</v>
      </c>
      <c r="G1090" s="20">
        <v>5</v>
      </c>
    </row>
    <row r="1091" spans="1:7" ht="15" customHeight="1" x14ac:dyDescent="0.75">
      <c r="A1091" s="18" t="s">
        <v>81</v>
      </c>
      <c r="B1091" s="19">
        <v>46139</v>
      </c>
      <c r="C1091" s="18" t="s">
        <v>56</v>
      </c>
      <c r="D1091" s="17">
        <v>666540</v>
      </c>
      <c r="E1091" s="18" t="s">
        <v>40</v>
      </c>
      <c r="F1091" s="20">
        <v>0</v>
      </c>
      <c r="G1091" s="20">
        <v>0</v>
      </c>
    </row>
    <row r="1092" spans="1:7" ht="15" customHeight="1" x14ac:dyDescent="0.75">
      <c r="A1092" s="18" t="s">
        <v>81</v>
      </c>
      <c r="B1092" s="19">
        <v>46139</v>
      </c>
      <c r="C1092" s="18" t="s">
        <v>56</v>
      </c>
      <c r="D1092" s="17">
        <v>666541</v>
      </c>
      <c r="E1092" s="18" t="s">
        <v>41</v>
      </c>
      <c r="F1092" s="20">
        <v>0</v>
      </c>
      <c r="G1092" s="20">
        <v>0</v>
      </c>
    </row>
    <row r="1093" spans="1:7" ht="15" customHeight="1" x14ac:dyDescent="0.75">
      <c r="A1093" s="18" t="s">
        <v>81</v>
      </c>
      <c r="B1093" s="19">
        <v>46139</v>
      </c>
      <c r="C1093" s="18" t="s">
        <v>56</v>
      </c>
      <c r="D1093" s="17">
        <v>666536</v>
      </c>
      <c r="E1093" s="18" t="s">
        <v>43</v>
      </c>
      <c r="F1093" s="20">
        <v>14</v>
      </c>
      <c r="G1093" s="20">
        <v>9</v>
      </c>
    </row>
    <row r="1094" spans="1:7" ht="15" customHeight="1" x14ac:dyDescent="0.75">
      <c r="A1094" s="18" t="s">
        <v>81</v>
      </c>
      <c r="B1094" s="19">
        <v>46139</v>
      </c>
      <c r="C1094" s="18" t="s">
        <v>58</v>
      </c>
      <c r="D1094" s="17">
        <v>666501</v>
      </c>
      <c r="E1094" s="18" t="s">
        <v>5</v>
      </c>
      <c r="F1094" s="20">
        <v>333</v>
      </c>
      <c r="G1094" s="20">
        <v>231</v>
      </c>
    </row>
    <row r="1095" spans="1:7" ht="15" customHeight="1" x14ac:dyDescent="0.75">
      <c r="A1095" s="18" t="s">
        <v>81</v>
      </c>
      <c r="B1095" s="19">
        <v>46139</v>
      </c>
      <c r="C1095" s="18" t="s">
        <v>58</v>
      </c>
      <c r="D1095" s="17">
        <v>666502</v>
      </c>
      <c r="E1095" s="18" t="s">
        <v>7</v>
      </c>
      <c r="F1095" s="20">
        <v>138.5</v>
      </c>
      <c r="G1095" s="20">
        <v>77</v>
      </c>
    </row>
    <row r="1096" spans="1:7" ht="15" customHeight="1" x14ac:dyDescent="0.75">
      <c r="A1096" s="18" t="s">
        <v>81</v>
      </c>
      <c r="B1096" s="19">
        <v>46139</v>
      </c>
      <c r="C1096" s="18" t="s">
        <v>58</v>
      </c>
      <c r="D1096" s="17">
        <v>666505</v>
      </c>
      <c r="E1096" s="18" t="s">
        <v>9</v>
      </c>
      <c r="F1096" s="20">
        <v>0</v>
      </c>
      <c r="G1096" s="20">
        <v>0</v>
      </c>
    </row>
    <row r="1097" spans="1:7" ht="15" customHeight="1" x14ac:dyDescent="0.75">
      <c r="A1097" s="18" t="s">
        <v>81</v>
      </c>
      <c r="B1097" s="19">
        <v>46139</v>
      </c>
      <c r="C1097" s="18" t="s">
        <v>58</v>
      </c>
      <c r="D1097" s="17">
        <v>666506</v>
      </c>
      <c r="E1097" s="18" t="s">
        <v>11</v>
      </c>
      <c r="F1097" s="20">
        <v>138.5</v>
      </c>
      <c r="G1097" s="20">
        <v>123</v>
      </c>
    </row>
    <row r="1098" spans="1:7" ht="15" customHeight="1" x14ac:dyDescent="0.75">
      <c r="A1098" s="18" t="s">
        <v>81</v>
      </c>
      <c r="B1098" s="19">
        <v>46139</v>
      </c>
      <c r="C1098" s="18" t="s">
        <v>58</v>
      </c>
      <c r="D1098" s="17">
        <v>666507</v>
      </c>
      <c r="E1098" s="18" t="s">
        <v>13</v>
      </c>
      <c r="F1098" s="20">
        <v>0</v>
      </c>
      <c r="G1098" s="20">
        <v>0</v>
      </c>
    </row>
    <row r="1099" spans="1:7" ht="15" customHeight="1" x14ac:dyDescent="0.75">
      <c r="A1099" s="18" t="s">
        <v>81</v>
      </c>
      <c r="B1099" s="19">
        <v>46139</v>
      </c>
      <c r="C1099" s="18" t="s">
        <v>58</v>
      </c>
      <c r="D1099" s="17">
        <v>666509</v>
      </c>
      <c r="E1099" s="18" t="s">
        <v>15</v>
      </c>
      <c r="F1099" s="20">
        <v>0</v>
      </c>
      <c r="G1099" s="20">
        <v>0</v>
      </c>
    </row>
    <row r="1100" spans="1:7" ht="15" customHeight="1" x14ac:dyDescent="0.75">
      <c r="A1100" s="18" t="s">
        <v>81</v>
      </c>
      <c r="B1100" s="19">
        <v>46139</v>
      </c>
      <c r="C1100" s="18" t="s">
        <v>58</v>
      </c>
      <c r="D1100" s="17">
        <v>666510</v>
      </c>
      <c r="E1100" s="18" t="s">
        <v>17</v>
      </c>
      <c r="F1100" s="20">
        <v>0</v>
      </c>
      <c r="G1100" s="20">
        <v>0</v>
      </c>
    </row>
    <row r="1101" spans="1:7" ht="15" customHeight="1" x14ac:dyDescent="0.75">
      <c r="A1101" s="18" t="s">
        <v>81</v>
      </c>
      <c r="B1101" s="19">
        <v>46139</v>
      </c>
      <c r="C1101" s="18" t="s">
        <v>58</v>
      </c>
      <c r="D1101" s="17">
        <v>666511</v>
      </c>
      <c r="E1101" s="18" t="s">
        <v>19</v>
      </c>
      <c r="F1101" s="20">
        <v>0</v>
      </c>
      <c r="G1101" s="20">
        <v>0</v>
      </c>
    </row>
    <row r="1102" spans="1:7" ht="15" customHeight="1" x14ac:dyDescent="0.75">
      <c r="A1102" s="18" t="s">
        <v>81</v>
      </c>
      <c r="B1102" s="19">
        <v>46139</v>
      </c>
      <c r="C1102" s="18" t="s">
        <v>58</v>
      </c>
      <c r="D1102" s="17">
        <v>666513</v>
      </c>
      <c r="E1102" s="18" t="s">
        <v>21</v>
      </c>
      <c r="F1102" s="20">
        <v>0</v>
      </c>
      <c r="G1102" s="20">
        <v>0</v>
      </c>
    </row>
    <row r="1103" spans="1:7" ht="15" customHeight="1" x14ac:dyDescent="0.75">
      <c r="A1103" s="18" t="s">
        <v>81</v>
      </c>
      <c r="B1103" s="19">
        <v>46139</v>
      </c>
      <c r="C1103" s="18" t="s">
        <v>58</v>
      </c>
      <c r="D1103" s="17">
        <v>666516</v>
      </c>
      <c r="E1103" s="18" t="s">
        <v>23</v>
      </c>
      <c r="F1103" s="20">
        <v>0</v>
      </c>
      <c r="G1103" s="20">
        <v>0</v>
      </c>
    </row>
    <row r="1104" spans="1:7" ht="15" customHeight="1" x14ac:dyDescent="0.75">
      <c r="A1104" s="18" t="s">
        <v>81</v>
      </c>
      <c r="B1104" s="19">
        <v>46139</v>
      </c>
      <c r="C1104" s="18" t="s">
        <v>58</v>
      </c>
      <c r="D1104" s="17">
        <v>666517</v>
      </c>
      <c r="E1104" s="18" t="s">
        <v>25</v>
      </c>
      <c r="F1104" s="20">
        <v>0</v>
      </c>
      <c r="G1104" s="20">
        <v>0</v>
      </c>
    </row>
    <row r="1105" spans="1:7" ht="15" customHeight="1" x14ac:dyDescent="0.75">
      <c r="A1105" s="18" t="s">
        <v>81</v>
      </c>
      <c r="B1105" s="19">
        <v>46139</v>
      </c>
      <c r="C1105" s="18" t="s">
        <v>58</v>
      </c>
      <c r="D1105" s="17">
        <v>666518</v>
      </c>
      <c r="E1105" s="18" t="s">
        <v>27</v>
      </c>
      <c r="F1105" s="20">
        <v>0</v>
      </c>
      <c r="G1105" s="20">
        <v>0</v>
      </c>
    </row>
    <row r="1106" spans="1:7" ht="15" customHeight="1" x14ac:dyDescent="0.75">
      <c r="A1106" s="18" t="s">
        <v>81</v>
      </c>
      <c r="B1106" s="19">
        <v>46139</v>
      </c>
      <c r="C1106" s="18" t="s">
        <v>58</v>
      </c>
      <c r="D1106" s="17">
        <v>666519</v>
      </c>
      <c r="E1106" s="18" t="s">
        <v>29</v>
      </c>
      <c r="F1106" s="20">
        <v>0</v>
      </c>
      <c r="G1106" s="20">
        <v>0</v>
      </c>
    </row>
    <row r="1107" spans="1:7" ht="15" customHeight="1" x14ac:dyDescent="0.75">
      <c r="A1107" s="18" t="s">
        <v>81</v>
      </c>
      <c r="B1107" s="19">
        <v>46139</v>
      </c>
      <c r="C1107" s="18" t="s">
        <v>58</v>
      </c>
      <c r="D1107" s="17">
        <v>666521</v>
      </c>
      <c r="E1107" s="18" t="s">
        <v>31</v>
      </c>
      <c r="F1107" s="20">
        <v>0</v>
      </c>
      <c r="G1107" s="20">
        <v>0</v>
      </c>
    </row>
    <row r="1108" spans="1:7" ht="15" customHeight="1" x14ac:dyDescent="0.75">
      <c r="A1108" s="18" t="s">
        <v>81</v>
      </c>
      <c r="B1108" s="19">
        <v>46139</v>
      </c>
      <c r="C1108" s="18" t="s">
        <v>58</v>
      </c>
      <c r="D1108" s="17">
        <v>666522</v>
      </c>
      <c r="E1108" s="18" t="s">
        <v>33</v>
      </c>
      <c r="F1108" s="20">
        <v>30</v>
      </c>
      <c r="G1108" s="20">
        <v>10</v>
      </c>
    </row>
    <row r="1109" spans="1:7" ht="15" customHeight="1" x14ac:dyDescent="0.75">
      <c r="A1109" s="18" t="s">
        <v>81</v>
      </c>
      <c r="B1109" s="19">
        <v>46139</v>
      </c>
      <c r="C1109" s="18" t="s">
        <v>58</v>
      </c>
      <c r="D1109" s="17">
        <v>666523</v>
      </c>
      <c r="E1109" s="18" t="s">
        <v>35</v>
      </c>
      <c r="F1109" s="20">
        <v>0</v>
      </c>
      <c r="G1109" s="20">
        <v>0</v>
      </c>
    </row>
    <row r="1110" spans="1:7" ht="15" customHeight="1" x14ac:dyDescent="0.75">
      <c r="A1110" s="18" t="s">
        <v>81</v>
      </c>
      <c r="B1110" s="19">
        <v>46139</v>
      </c>
      <c r="C1110" s="18" t="s">
        <v>58</v>
      </c>
      <c r="D1110" s="17">
        <v>666530</v>
      </c>
      <c r="E1110" s="18" t="s">
        <v>37</v>
      </c>
      <c r="F1110" s="20">
        <v>0</v>
      </c>
      <c r="G1110" s="20">
        <v>0</v>
      </c>
    </row>
    <row r="1111" spans="1:7" ht="15" customHeight="1" x14ac:dyDescent="0.75">
      <c r="A1111" s="18" t="s">
        <v>81</v>
      </c>
      <c r="B1111" s="19">
        <v>46139</v>
      </c>
      <c r="C1111" s="18" t="s">
        <v>58</v>
      </c>
      <c r="D1111" s="17">
        <v>666531</v>
      </c>
      <c r="E1111" s="18" t="s">
        <v>39</v>
      </c>
      <c r="F1111" s="20">
        <v>0</v>
      </c>
      <c r="G1111" s="20">
        <v>0</v>
      </c>
    </row>
    <row r="1112" spans="1:7" ht="15" customHeight="1" x14ac:dyDescent="0.75">
      <c r="A1112" s="18" t="s">
        <v>81</v>
      </c>
      <c r="B1112" s="19">
        <v>46139</v>
      </c>
      <c r="C1112" s="18" t="s">
        <v>58</v>
      </c>
      <c r="D1112" s="17">
        <v>666540</v>
      </c>
      <c r="E1112" s="18" t="s">
        <v>40</v>
      </c>
      <c r="F1112" s="20">
        <v>20</v>
      </c>
      <c r="G1112" s="20">
        <v>1</v>
      </c>
    </row>
    <row r="1113" spans="1:7" ht="15" customHeight="1" x14ac:dyDescent="0.75">
      <c r="A1113" s="18" t="s">
        <v>81</v>
      </c>
      <c r="B1113" s="19">
        <v>46139</v>
      </c>
      <c r="C1113" s="18" t="s">
        <v>58</v>
      </c>
      <c r="D1113" s="17">
        <v>666541</v>
      </c>
      <c r="E1113" s="18" t="s">
        <v>41</v>
      </c>
      <c r="F1113" s="20">
        <v>340</v>
      </c>
      <c r="G1113" s="20">
        <v>188</v>
      </c>
    </row>
    <row r="1114" spans="1:7" ht="15" customHeight="1" x14ac:dyDescent="0.75">
      <c r="A1114" s="18" t="s">
        <v>81</v>
      </c>
      <c r="B1114" s="19">
        <v>46139</v>
      </c>
      <c r="C1114" s="18" t="s">
        <v>58</v>
      </c>
      <c r="D1114" s="17">
        <v>666536</v>
      </c>
      <c r="E1114" s="18" t="s">
        <v>43</v>
      </c>
      <c r="F1114" s="20">
        <v>0</v>
      </c>
      <c r="G1114" s="20">
        <v>0</v>
      </c>
    </row>
    <row r="1115" spans="1:7" ht="15" customHeight="1" x14ac:dyDescent="0.75">
      <c r="A1115" s="18" t="s">
        <v>81</v>
      </c>
      <c r="B1115" s="19">
        <v>46139</v>
      </c>
      <c r="C1115" s="18" t="s">
        <v>66</v>
      </c>
      <c r="D1115" s="17">
        <v>666501</v>
      </c>
      <c r="E1115" s="18" t="s">
        <v>5</v>
      </c>
      <c r="F1115" s="20">
        <v>33</v>
      </c>
      <c r="G1115" s="20">
        <v>6</v>
      </c>
    </row>
    <row r="1116" spans="1:7" ht="15" customHeight="1" x14ac:dyDescent="0.75">
      <c r="A1116" s="18" t="s">
        <v>81</v>
      </c>
      <c r="B1116" s="19">
        <v>46139</v>
      </c>
      <c r="C1116" s="18" t="s">
        <v>66</v>
      </c>
      <c r="D1116" s="17">
        <v>666502</v>
      </c>
      <c r="E1116" s="18" t="s">
        <v>7</v>
      </c>
      <c r="F1116" s="20">
        <v>46</v>
      </c>
      <c r="G1116" s="20">
        <v>74</v>
      </c>
    </row>
    <row r="1117" spans="1:7" ht="15" customHeight="1" x14ac:dyDescent="0.75">
      <c r="A1117" s="18" t="s">
        <v>81</v>
      </c>
      <c r="B1117" s="19">
        <v>46139</v>
      </c>
      <c r="C1117" s="18" t="s">
        <v>66</v>
      </c>
      <c r="D1117" s="17">
        <v>666505</v>
      </c>
      <c r="E1117" s="18" t="s">
        <v>9</v>
      </c>
      <c r="F1117" s="20">
        <v>19.5</v>
      </c>
      <c r="G1117" s="20">
        <v>0</v>
      </c>
    </row>
    <row r="1118" spans="1:7" ht="15" customHeight="1" x14ac:dyDescent="0.75">
      <c r="A1118" s="18" t="s">
        <v>81</v>
      </c>
      <c r="B1118" s="19">
        <v>46139</v>
      </c>
      <c r="C1118" s="18" t="s">
        <v>66</v>
      </c>
      <c r="D1118" s="17">
        <v>666506</v>
      </c>
      <c r="E1118" s="18" t="s">
        <v>11</v>
      </c>
      <c r="F1118" s="20">
        <v>0</v>
      </c>
      <c r="G1118" s="20">
        <v>0</v>
      </c>
    </row>
    <row r="1119" spans="1:7" ht="15" customHeight="1" x14ac:dyDescent="0.75">
      <c r="A1119" s="18" t="s">
        <v>81</v>
      </c>
      <c r="B1119" s="19">
        <v>46139</v>
      </c>
      <c r="C1119" s="18" t="s">
        <v>66</v>
      </c>
      <c r="D1119" s="17">
        <v>666507</v>
      </c>
      <c r="E1119" s="18" t="s">
        <v>13</v>
      </c>
      <c r="F1119" s="20">
        <v>0</v>
      </c>
      <c r="G1119" s="20">
        <v>0</v>
      </c>
    </row>
    <row r="1120" spans="1:7" ht="15" customHeight="1" x14ac:dyDescent="0.75">
      <c r="A1120" s="18" t="s">
        <v>81</v>
      </c>
      <c r="B1120" s="19">
        <v>46139</v>
      </c>
      <c r="C1120" s="18" t="s">
        <v>66</v>
      </c>
      <c r="D1120" s="17">
        <v>666509</v>
      </c>
      <c r="E1120" s="18" t="s">
        <v>15</v>
      </c>
      <c r="F1120" s="20">
        <v>0</v>
      </c>
      <c r="G1120" s="20">
        <v>0</v>
      </c>
    </row>
    <row r="1121" spans="1:7" ht="15" customHeight="1" x14ac:dyDescent="0.75">
      <c r="A1121" s="18" t="s">
        <v>81</v>
      </c>
      <c r="B1121" s="19">
        <v>46139</v>
      </c>
      <c r="C1121" s="18" t="s">
        <v>66</v>
      </c>
      <c r="D1121" s="17">
        <v>666510</v>
      </c>
      <c r="E1121" s="18" t="s">
        <v>17</v>
      </c>
      <c r="F1121" s="20">
        <v>0</v>
      </c>
      <c r="G1121" s="20">
        <v>0</v>
      </c>
    </row>
    <row r="1122" spans="1:7" ht="15" customHeight="1" x14ac:dyDescent="0.75">
      <c r="A1122" s="18" t="s">
        <v>81</v>
      </c>
      <c r="B1122" s="19">
        <v>46139</v>
      </c>
      <c r="C1122" s="18" t="s">
        <v>66</v>
      </c>
      <c r="D1122" s="17">
        <v>666511</v>
      </c>
      <c r="E1122" s="18" t="s">
        <v>19</v>
      </c>
      <c r="F1122" s="20">
        <v>0</v>
      </c>
      <c r="G1122" s="20">
        <v>0</v>
      </c>
    </row>
    <row r="1123" spans="1:7" ht="15" customHeight="1" x14ac:dyDescent="0.75">
      <c r="A1123" s="18" t="s">
        <v>81</v>
      </c>
      <c r="B1123" s="19">
        <v>46139</v>
      </c>
      <c r="C1123" s="18" t="s">
        <v>66</v>
      </c>
      <c r="D1123" s="17">
        <v>666513</v>
      </c>
      <c r="E1123" s="18" t="s">
        <v>21</v>
      </c>
      <c r="F1123" s="20">
        <v>7</v>
      </c>
      <c r="G1123" s="20">
        <v>0</v>
      </c>
    </row>
    <row r="1124" spans="1:7" ht="15" customHeight="1" x14ac:dyDescent="0.75">
      <c r="A1124" s="18" t="s">
        <v>81</v>
      </c>
      <c r="B1124" s="19">
        <v>46139</v>
      </c>
      <c r="C1124" s="18" t="s">
        <v>66</v>
      </c>
      <c r="D1124" s="17">
        <v>666516</v>
      </c>
      <c r="E1124" s="18" t="s">
        <v>23</v>
      </c>
      <c r="F1124" s="20">
        <v>15.5</v>
      </c>
      <c r="G1124" s="20">
        <v>0</v>
      </c>
    </row>
    <row r="1125" spans="1:7" ht="15" customHeight="1" x14ac:dyDescent="0.75">
      <c r="A1125" s="18" t="s">
        <v>81</v>
      </c>
      <c r="B1125" s="19">
        <v>46139</v>
      </c>
      <c r="C1125" s="18" t="s">
        <v>66</v>
      </c>
      <c r="D1125" s="17">
        <v>666517</v>
      </c>
      <c r="E1125" s="18" t="s">
        <v>25</v>
      </c>
      <c r="F1125" s="20">
        <v>8.5</v>
      </c>
      <c r="G1125" s="20">
        <v>0</v>
      </c>
    </row>
    <row r="1126" spans="1:7" ht="15" customHeight="1" x14ac:dyDescent="0.75">
      <c r="A1126" s="18" t="s">
        <v>81</v>
      </c>
      <c r="B1126" s="19">
        <v>46139</v>
      </c>
      <c r="C1126" s="18" t="s">
        <v>66</v>
      </c>
      <c r="D1126" s="17">
        <v>666518</v>
      </c>
      <c r="E1126" s="18" t="s">
        <v>27</v>
      </c>
      <c r="F1126" s="20">
        <v>0</v>
      </c>
      <c r="G1126" s="20">
        <v>0</v>
      </c>
    </row>
    <row r="1127" spans="1:7" ht="15" customHeight="1" x14ac:dyDescent="0.75">
      <c r="A1127" s="18" t="s">
        <v>81</v>
      </c>
      <c r="B1127" s="19">
        <v>46139</v>
      </c>
      <c r="C1127" s="18" t="s">
        <v>66</v>
      </c>
      <c r="D1127" s="17">
        <v>666519</v>
      </c>
      <c r="E1127" s="18" t="s">
        <v>29</v>
      </c>
      <c r="F1127" s="20">
        <v>13</v>
      </c>
      <c r="G1127" s="20">
        <v>0</v>
      </c>
    </row>
    <row r="1128" spans="1:7" ht="15" customHeight="1" x14ac:dyDescent="0.75">
      <c r="A1128" s="18" t="s">
        <v>81</v>
      </c>
      <c r="B1128" s="19">
        <v>46139</v>
      </c>
      <c r="C1128" s="18" t="s">
        <v>66</v>
      </c>
      <c r="D1128" s="17">
        <v>666521</v>
      </c>
      <c r="E1128" s="18" t="s">
        <v>31</v>
      </c>
      <c r="F1128" s="20">
        <v>0</v>
      </c>
      <c r="G1128" s="20">
        <v>0</v>
      </c>
    </row>
    <row r="1129" spans="1:7" ht="15" customHeight="1" x14ac:dyDescent="0.75">
      <c r="A1129" s="18" t="s">
        <v>81</v>
      </c>
      <c r="B1129" s="19">
        <v>46139</v>
      </c>
      <c r="C1129" s="18" t="s">
        <v>66</v>
      </c>
      <c r="D1129" s="17">
        <v>666522</v>
      </c>
      <c r="E1129" s="18" t="s">
        <v>33</v>
      </c>
      <c r="F1129" s="20">
        <v>75</v>
      </c>
      <c r="G1129" s="20">
        <v>0</v>
      </c>
    </row>
    <row r="1130" spans="1:7" ht="15" customHeight="1" x14ac:dyDescent="0.75">
      <c r="A1130" s="18" t="s">
        <v>81</v>
      </c>
      <c r="B1130" s="19">
        <v>46139</v>
      </c>
      <c r="C1130" s="18" t="s">
        <v>66</v>
      </c>
      <c r="D1130" s="17">
        <v>666523</v>
      </c>
      <c r="E1130" s="18" t="s">
        <v>35</v>
      </c>
      <c r="F1130" s="20">
        <v>20</v>
      </c>
      <c r="G1130" s="20">
        <v>0</v>
      </c>
    </row>
    <row r="1131" spans="1:7" ht="15" customHeight="1" x14ac:dyDescent="0.75">
      <c r="A1131" s="18" t="s">
        <v>81</v>
      </c>
      <c r="B1131" s="19">
        <v>46139</v>
      </c>
      <c r="C1131" s="18" t="s">
        <v>66</v>
      </c>
      <c r="D1131" s="17">
        <v>666530</v>
      </c>
      <c r="E1131" s="18" t="s">
        <v>37</v>
      </c>
      <c r="F1131" s="20">
        <v>12</v>
      </c>
      <c r="G1131" s="20">
        <v>0</v>
      </c>
    </row>
    <row r="1132" spans="1:7" ht="15" customHeight="1" x14ac:dyDescent="0.75">
      <c r="A1132" s="18" t="s">
        <v>81</v>
      </c>
      <c r="B1132" s="19">
        <v>46139</v>
      </c>
      <c r="C1132" s="18" t="s">
        <v>66</v>
      </c>
      <c r="D1132" s="17">
        <v>666531</v>
      </c>
      <c r="E1132" s="18" t="s">
        <v>39</v>
      </c>
      <c r="F1132" s="20">
        <v>4</v>
      </c>
      <c r="G1132" s="20">
        <v>0</v>
      </c>
    </row>
    <row r="1133" spans="1:7" ht="15" customHeight="1" x14ac:dyDescent="0.75">
      <c r="A1133" s="18" t="s">
        <v>81</v>
      </c>
      <c r="B1133" s="19">
        <v>46139</v>
      </c>
      <c r="C1133" s="18" t="s">
        <v>66</v>
      </c>
      <c r="D1133" s="17">
        <v>666540</v>
      </c>
      <c r="E1133" s="18" t="s">
        <v>40</v>
      </c>
      <c r="F1133" s="20">
        <v>0</v>
      </c>
      <c r="G1133" s="20">
        <v>0</v>
      </c>
    </row>
    <row r="1134" spans="1:7" ht="15" customHeight="1" x14ac:dyDescent="0.75">
      <c r="A1134" s="18" t="s">
        <v>81</v>
      </c>
      <c r="B1134" s="19">
        <v>46139</v>
      </c>
      <c r="C1134" s="18" t="s">
        <v>66</v>
      </c>
      <c r="D1134" s="17">
        <v>666541</v>
      </c>
      <c r="E1134" s="18" t="s">
        <v>41</v>
      </c>
      <c r="F1134" s="20">
        <v>0</v>
      </c>
      <c r="G1134" s="20">
        <v>0</v>
      </c>
    </row>
    <row r="1135" spans="1:7" ht="15" customHeight="1" x14ac:dyDescent="0.75">
      <c r="A1135" s="18" t="s">
        <v>81</v>
      </c>
      <c r="B1135" s="19">
        <v>46139</v>
      </c>
      <c r="C1135" s="18" t="s">
        <v>66</v>
      </c>
      <c r="D1135" s="17">
        <v>666536</v>
      </c>
      <c r="E1135" s="18" t="s">
        <v>43</v>
      </c>
      <c r="F1135" s="20">
        <v>0</v>
      </c>
      <c r="G1135" s="20">
        <v>0</v>
      </c>
    </row>
    <row r="1136" spans="1:7" ht="15" customHeight="1" x14ac:dyDescent="0.75">
      <c r="A1136" s="18" t="s">
        <v>82</v>
      </c>
      <c r="B1136" s="19">
        <v>46146</v>
      </c>
      <c r="C1136" s="18" t="s">
        <v>56</v>
      </c>
      <c r="D1136" s="17">
        <v>666501</v>
      </c>
      <c r="E1136" s="18" t="s">
        <v>5</v>
      </c>
      <c r="F1136" s="20">
        <v>21</v>
      </c>
      <c r="G1136" s="20">
        <v>42</v>
      </c>
    </row>
    <row r="1137" spans="1:7" ht="15" customHeight="1" x14ac:dyDescent="0.75">
      <c r="A1137" s="18" t="s">
        <v>82</v>
      </c>
      <c r="B1137" s="19">
        <v>46146</v>
      </c>
      <c r="C1137" s="18" t="s">
        <v>56</v>
      </c>
      <c r="D1137" s="17">
        <v>666502</v>
      </c>
      <c r="E1137" s="18" t="s">
        <v>7</v>
      </c>
      <c r="F1137" s="20">
        <v>0</v>
      </c>
      <c r="G1137" s="20">
        <v>0</v>
      </c>
    </row>
    <row r="1138" spans="1:7" ht="15" customHeight="1" x14ac:dyDescent="0.75">
      <c r="A1138" s="18" t="s">
        <v>82</v>
      </c>
      <c r="B1138" s="19">
        <v>46146</v>
      </c>
      <c r="C1138" s="18" t="s">
        <v>56</v>
      </c>
      <c r="D1138" s="17">
        <v>666505</v>
      </c>
      <c r="E1138" s="18" t="s">
        <v>9</v>
      </c>
      <c r="F1138" s="20">
        <v>8</v>
      </c>
      <c r="G1138" s="20">
        <v>16</v>
      </c>
    </row>
    <row r="1139" spans="1:7" ht="15" customHeight="1" x14ac:dyDescent="0.75">
      <c r="A1139" s="18" t="s">
        <v>82</v>
      </c>
      <c r="B1139" s="19">
        <v>46146</v>
      </c>
      <c r="C1139" s="18" t="s">
        <v>56</v>
      </c>
      <c r="D1139" s="17">
        <v>666506</v>
      </c>
      <c r="E1139" s="18" t="s">
        <v>11</v>
      </c>
      <c r="F1139" s="20">
        <v>0</v>
      </c>
      <c r="G1139" s="20">
        <v>0</v>
      </c>
    </row>
    <row r="1140" spans="1:7" ht="15" customHeight="1" x14ac:dyDescent="0.75">
      <c r="A1140" s="18" t="s">
        <v>82</v>
      </c>
      <c r="B1140" s="19">
        <v>46146</v>
      </c>
      <c r="C1140" s="18" t="s">
        <v>56</v>
      </c>
      <c r="D1140" s="17">
        <v>666507</v>
      </c>
      <c r="E1140" s="18" t="s">
        <v>13</v>
      </c>
      <c r="F1140" s="20">
        <v>8</v>
      </c>
      <c r="G1140" s="20">
        <v>0</v>
      </c>
    </row>
    <row r="1141" spans="1:7" ht="15" customHeight="1" x14ac:dyDescent="0.75">
      <c r="A1141" s="18" t="s">
        <v>82</v>
      </c>
      <c r="B1141" s="19">
        <v>46146</v>
      </c>
      <c r="C1141" s="18" t="s">
        <v>56</v>
      </c>
      <c r="D1141" s="17">
        <v>666509</v>
      </c>
      <c r="E1141" s="18" t="s">
        <v>15</v>
      </c>
      <c r="F1141" s="20">
        <v>25</v>
      </c>
      <c r="G1141" s="20">
        <v>50</v>
      </c>
    </row>
    <row r="1142" spans="1:7" ht="15" customHeight="1" x14ac:dyDescent="0.75">
      <c r="A1142" s="18" t="s">
        <v>82</v>
      </c>
      <c r="B1142" s="19">
        <v>46146</v>
      </c>
      <c r="C1142" s="18" t="s">
        <v>56</v>
      </c>
      <c r="D1142" s="17">
        <v>666510</v>
      </c>
      <c r="E1142" s="18" t="s">
        <v>17</v>
      </c>
      <c r="F1142" s="20">
        <v>0</v>
      </c>
      <c r="G1142" s="20">
        <v>0</v>
      </c>
    </row>
    <row r="1143" spans="1:7" ht="15" customHeight="1" x14ac:dyDescent="0.75">
      <c r="A1143" s="18" t="s">
        <v>82</v>
      </c>
      <c r="B1143" s="19">
        <v>46146</v>
      </c>
      <c r="C1143" s="18" t="s">
        <v>56</v>
      </c>
      <c r="D1143" s="17">
        <v>666511</v>
      </c>
      <c r="E1143" s="18" t="s">
        <v>19</v>
      </c>
      <c r="F1143" s="20">
        <v>3</v>
      </c>
      <c r="G1143" s="20">
        <v>0</v>
      </c>
    </row>
    <row r="1144" spans="1:7" ht="15" customHeight="1" x14ac:dyDescent="0.75">
      <c r="A1144" s="18" t="s">
        <v>82</v>
      </c>
      <c r="B1144" s="19">
        <v>46146</v>
      </c>
      <c r="C1144" s="18" t="s">
        <v>56</v>
      </c>
      <c r="D1144" s="17">
        <v>666513</v>
      </c>
      <c r="E1144" s="18" t="s">
        <v>21</v>
      </c>
      <c r="F1144" s="20">
        <v>4</v>
      </c>
      <c r="G1144" s="20">
        <v>8</v>
      </c>
    </row>
    <row r="1145" spans="1:7" ht="15" customHeight="1" x14ac:dyDescent="0.75">
      <c r="A1145" s="18" t="s">
        <v>82</v>
      </c>
      <c r="B1145" s="19">
        <v>46146</v>
      </c>
      <c r="C1145" s="18" t="s">
        <v>56</v>
      </c>
      <c r="D1145" s="17">
        <v>666516</v>
      </c>
      <c r="E1145" s="18" t="s">
        <v>23</v>
      </c>
      <c r="F1145" s="20">
        <v>13.5</v>
      </c>
      <c r="G1145" s="20">
        <v>27</v>
      </c>
    </row>
    <row r="1146" spans="1:7" ht="15" customHeight="1" x14ac:dyDescent="0.75">
      <c r="A1146" s="18" t="s">
        <v>82</v>
      </c>
      <c r="B1146" s="19">
        <v>46146</v>
      </c>
      <c r="C1146" s="18" t="s">
        <v>56</v>
      </c>
      <c r="D1146" s="17">
        <v>666517</v>
      </c>
      <c r="E1146" s="18" t="s">
        <v>25</v>
      </c>
      <c r="F1146" s="20">
        <v>16.5</v>
      </c>
      <c r="G1146" s="20">
        <v>33</v>
      </c>
    </row>
    <row r="1147" spans="1:7" ht="15" customHeight="1" x14ac:dyDescent="0.75">
      <c r="A1147" s="18" t="s">
        <v>82</v>
      </c>
      <c r="B1147" s="19">
        <v>46146</v>
      </c>
      <c r="C1147" s="18" t="s">
        <v>56</v>
      </c>
      <c r="D1147" s="17">
        <v>666518</v>
      </c>
      <c r="E1147" s="18" t="s">
        <v>27</v>
      </c>
      <c r="F1147" s="20">
        <v>0</v>
      </c>
      <c r="G1147" s="20">
        <v>0</v>
      </c>
    </row>
    <row r="1148" spans="1:7" ht="15" customHeight="1" x14ac:dyDescent="0.75">
      <c r="A1148" s="18" t="s">
        <v>82</v>
      </c>
      <c r="B1148" s="19">
        <v>46146</v>
      </c>
      <c r="C1148" s="18" t="s">
        <v>56</v>
      </c>
      <c r="D1148" s="17">
        <v>666519</v>
      </c>
      <c r="E1148" s="18" t="s">
        <v>29</v>
      </c>
      <c r="F1148" s="20">
        <v>13</v>
      </c>
      <c r="G1148" s="20">
        <v>26</v>
      </c>
    </row>
    <row r="1149" spans="1:7" ht="15" customHeight="1" x14ac:dyDescent="0.75">
      <c r="A1149" s="18" t="s">
        <v>82</v>
      </c>
      <c r="B1149" s="19">
        <v>46146</v>
      </c>
      <c r="C1149" s="18" t="s">
        <v>56</v>
      </c>
      <c r="D1149" s="17">
        <v>666521</v>
      </c>
      <c r="E1149" s="18" t="s">
        <v>31</v>
      </c>
      <c r="F1149" s="20">
        <v>40</v>
      </c>
      <c r="G1149" s="20">
        <v>41</v>
      </c>
    </row>
    <row r="1150" spans="1:7" ht="15" customHeight="1" x14ac:dyDescent="0.75">
      <c r="A1150" s="18" t="s">
        <v>82</v>
      </c>
      <c r="B1150" s="19">
        <v>46146</v>
      </c>
      <c r="C1150" s="18" t="s">
        <v>56</v>
      </c>
      <c r="D1150" s="17">
        <v>666522</v>
      </c>
      <c r="E1150" s="18" t="s">
        <v>33</v>
      </c>
      <c r="F1150" s="20">
        <v>90</v>
      </c>
      <c r="G1150" s="20">
        <v>180</v>
      </c>
    </row>
    <row r="1151" spans="1:7" ht="15" customHeight="1" x14ac:dyDescent="0.75">
      <c r="A1151" s="18" t="s">
        <v>82</v>
      </c>
      <c r="B1151" s="19">
        <v>46146</v>
      </c>
      <c r="C1151" s="18" t="s">
        <v>56</v>
      </c>
      <c r="D1151" s="17">
        <v>666523</v>
      </c>
      <c r="E1151" s="18" t="s">
        <v>35</v>
      </c>
      <c r="F1151" s="20">
        <v>0</v>
      </c>
      <c r="G1151" s="20">
        <v>0</v>
      </c>
    </row>
    <row r="1152" spans="1:7" ht="15" customHeight="1" x14ac:dyDescent="0.75">
      <c r="A1152" s="18" t="s">
        <v>82</v>
      </c>
      <c r="B1152" s="19">
        <v>46146</v>
      </c>
      <c r="C1152" s="18" t="s">
        <v>56</v>
      </c>
      <c r="D1152" s="17">
        <v>666530</v>
      </c>
      <c r="E1152" s="18" t="s">
        <v>37</v>
      </c>
      <c r="F1152" s="20">
        <v>0</v>
      </c>
      <c r="G1152" s="20">
        <v>0</v>
      </c>
    </row>
    <row r="1153" spans="1:7" ht="15" customHeight="1" x14ac:dyDescent="0.75">
      <c r="A1153" s="18" t="s">
        <v>82</v>
      </c>
      <c r="B1153" s="19">
        <v>46146</v>
      </c>
      <c r="C1153" s="18" t="s">
        <v>56</v>
      </c>
      <c r="D1153" s="17">
        <v>666531</v>
      </c>
      <c r="E1153" s="18" t="s">
        <v>39</v>
      </c>
      <c r="F1153" s="20">
        <v>10</v>
      </c>
      <c r="G1153" s="20">
        <v>6</v>
      </c>
    </row>
    <row r="1154" spans="1:7" ht="15" customHeight="1" x14ac:dyDescent="0.75">
      <c r="A1154" s="18" t="s">
        <v>82</v>
      </c>
      <c r="B1154" s="19">
        <v>46146</v>
      </c>
      <c r="C1154" s="18" t="s">
        <v>56</v>
      </c>
      <c r="D1154" s="17">
        <v>666540</v>
      </c>
      <c r="E1154" s="18" t="s">
        <v>40</v>
      </c>
      <c r="F1154" s="20">
        <v>0</v>
      </c>
      <c r="G1154" s="20">
        <v>0</v>
      </c>
    </row>
    <row r="1155" spans="1:7" ht="15" customHeight="1" x14ac:dyDescent="0.75">
      <c r="A1155" s="18" t="s">
        <v>82</v>
      </c>
      <c r="B1155" s="19">
        <v>46146</v>
      </c>
      <c r="C1155" s="18" t="s">
        <v>56</v>
      </c>
      <c r="D1155" s="17">
        <v>666541</v>
      </c>
      <c r="E1155" s="18" t="s">
        <v>41</v>
      </c>
      <c r="F1155" s="20">
        <v>0</v>
      </c>
      <c r="G1155" s="20">
        <v>0</v>
      </c>
    </row>
    <row r="1156" spans="1:7" ht="15" customHeight="1" x14ac:dyDescent="0.75">
      <c r="A1156" s="18" t="s">
        <v>82</v>
      </c>
      <c r="B1156" s="19">
        <v>46146</v>
      </c>
      <c r="C1156" s="18" t="s">
        <v>56</v>
      </c>
      <c r="D1156" s="17">
        <v>666536</v>
      </c>
      <c r="E1156" s="18" t="s">
        <v>43</v>
      </c>
      <c r="F1156" s="20">
        <v>20</v>
      </c>
      <c r="G1156" s="20">
        <v>12</v>
      </c>
    </row>
    <row r="1157" spans="1:7" ht="15" customHeight="1" x14ac:dyDescent="0.75">
      <c r="A1157" s="18" t="s">
        <v>82</v>
      </c>
      <c r="B1157" s="19">
        <v>46146</v>
      </c>
      <c r="C1157" s="18" t="s">
        <v>58</v>
      </c>
      <c r="D1157" s="17">
        <v>666501</v>
      </c>
      <c r="E1157" s="18" t="s">
        <v>5</v>
      </c>
      <c r="F1157" s="20">
        <v>232.5</v>
      </c>
      <c r="G1157" s="20">
        <v>390</v>
      </c>
    </row>
    <row r="1158" spans="1:7" ht="15" customHeight="1" x14ac:dyDescent="0.75">
      <c r="A1158" s="18" t="s">
        <v>82</v>
      </c>
      <c r="B1158" s="19">
        <v>46146</v>
      </c>
      <c r="C1158" s="18" t="s">
        <v>58</v>
      </c>
      <c r="D1158" s="17">
        <v>666502</v>
      </c>
      <c r="E1158" s="18" t="s">
        <v>7</v>
      </c>
      <c r="F1158" s="20">
        <v>130</v>
      </c>
      <c r="G1158" s="20">
        <v>135</v>
      </c>
    </row>
    <row r="1159" spans="1:7" ht="15" customHeight="1" x14ac:dyDescent="0.75">
      <c r="A1159" s="18" t="s">
        <v>82</v>
      </c>
      <c r="B1159" s="19">
        <v>46146</v>
      </c>
      <c r="C1159" s="18" t="s">
        <v>58</v>
      </c>
      <c r="D1159" s="17">
        <v>666505</v>
      </c>
      <c r="E1159" s="18" t="s">
        <v>9</v>
      </c>
      <c r="F1159" s="20">
        <v>0</v>
      </c>
      <c r="G1159" s="20">
        <v>0</v>
      </c>
    </row>
    <row r="1160" spans="1:7" ht="15" customHeight="1" x14ac:dyDescent="0.75">
      <c r="A1160" s="18" t="s">
        <v>82</v>
      </c>
      <c r="B1160" s="19">
        <v>46146</v>
      </c>
      <c r="C1160" s="18" t="s">
        <v>58</v>
      </c>
      <c r="D1160" s="17">
        <v>666506</v>
      </c>
      <c r="E1160" s="18" t="s">
        <v>11</v>
      </c>
      <c r="F1160" s="20">
        <v>150</v>
      </c>
      <c r="G1160" s="20">
        <v>119</v>
      </c>
    </row>
    <row r="1161" spans="1:7" ht="15" customHeight="1" x14ac:dyDescent="0.75">
      <c r="A1161" s="18" t="s">
        <v>82</v>
      </c>
      <c r="B1161" s="19">
        <v>46146</v>
      </c>
      <c r="C1161" s="18" t="s">
        <v>58</v>
      </c>
      <c r="D1161" s="17">
        <v>666507</v>
      </c>
      <c r="E1161" s="18" t="s">
        <v>13</v>
      </c>
      <c r="F1161" s="20">
        <v>0</v>
      </c>
      <c r="G1161" s="20">
        <v>0</v>
      </c>
    </row>
    <row r="1162" spans="1:7" ht="15" customHeight="1" x14ac:dyDescent="0.75">
      <c r="A1162" s="18" t="s">
        <v>82</v>
      </c>
      <c r="B1162" s="19">
        <v>46146</v>
      </c>
      <c r="C1162" s="18" t="s">
        <v>58</v>
      </c>
      <c r="D1162" s="17">
        <v>666509</v>
      </c>
      <c r="E1162" s="18" t="s">
        <v>15</v>
      </c>
      <c r="F1162" s="20">
        <v>0</v>
      </c>
      <c r="G1162" s="20">
        <v>0</v>
      </c>
    </row>
    <row r="1163" spans="1:7" ht="15" customHeight="1" x14ac:dyDescent="0.75">
      <c r="A1163" s="18" t="s">
        <v>82</v>
      </c>
      <c r="B1163" s="19">
        <v>46146</v>
      </c>
      <c r="C1163" s="18" t="s">
        <v>58</v>
      </c>
      <c r="D1163" s="17">
        <v>666510</v>
      </c>
      <c r="E1163" s="18" t="s">
        <v>17</v>
      </c>
      <c r="F1163" s="20">
        <v>0</v>
      </c>
      <c r="G1163" s="20">
        <v>0</v>
      </c>
    </row>
    <row r="1164" spans="1:7" ht="15" customHeight="1" x14ac:dyDescent="0.75">
      <c r="A1164" s="18" t="s">
        <v>82</v>
      </c>
      <c r="B1164" s="19">
        <v>46146</v>
      </c>
      <c r="C1164" s="18" t="s">
        <v>58</v>
      </c>
      <c r="D1164" s="17">
        <v>666511</v>
      </c>
      <c r="E1164" s="18" t="s">
        <v>19</v>
      </c>
      <c r="F1164" s="20">
        <v>0</v>
      </c>
      <c r="G1164" s="20">
        <v>0</v>
      </c>
    </row>
    <row r="1165" spans="1:7" ht="15" customHeight="1" x14ac:dyDescent="0.75">
      <c r="A1165" s="18" t="s">
        <v>82</v>
      </c>
      <c r="B1165" s="19">
        <v>46146</v>
      </c>
      <c r="C1165" s="18" t="s">
        <v>58</v>
      </c>
      <c r="D1165" s="17">
        <v>666513</v>
      </c>
      <c r="E1165" s="18" t="s">
        <v>21</v>
      </c>
      <c r="F1165" s="20">
        <v>0</v>
      </c>
      <c r="G1165" s="20">
        <v>0</v>
      </c>
    </row>
    <row r="1166" spans="1:7" ht="15" customHeight="1" x14ac:dyDescent="0.75">
      <c r="A1166" s="18" t="s">
        <v>82</v>
      </c>
      <c r="B1166" s="19">
        <v>46146</v>
      </c>
      <c r="C1166" s="18" t="s">
        <v>58</v>
      </c>
      <c r="D1166" s="17">
        <v>666516</v>
      </c>
      <c r="E1166" s="18" t="s">
        <v>23</v>
      </c>
      <c r="F1166" s="20">
        <v>0</v>
      </c>
      <c r="G1166" s="20">
        <v>0</v>
      </c>
    </row>
    <row r="1167" spans="1:7" ht="15" customHeight="1" x14ac:dyDescent="0.75">
      <c r="A1167" s="18" t="s">
        <v>82</v>
      </c>
      <c r="B1167" s="19">
        <v>46146</v>
      </c>
      <c r="C1167" s="18" t="s">
        <v>58</v>
      </c>
      <c r="D1167" s="17">
        <v>666517</v>
      </c>
      <c r="E1167" s="18" t="s">
        <v>25</v>
      </c>
      <c r="F1167" s="20">
        <v>0</v>
      </c>
      <c r="G1167" s="20">
        <v>0</v>
      </c>
    </row>
    <row r="1168" spans="1:7" ht="15" customHeight="1" x14ac:dyDescent="0.75">
      <c r="A1168" s="18" t="s">
        <v>82</v>
      </c>
      <c r="B1168" s="19">
        <v>46146</v>
      </c>
      <c r="C1168" s="18" t="s">
        <v>58</v>
      </c>
      <c r="D1168" s="17">
        <v>666518</v>
      </c>
      <c r="E1168" s="18" t="s">
        <v>27</v>
      </c>
      <c r="F1168" s="20">
        <v>0</v>
      </c>
      <c r="G1168" s="20">
        <v>0</v>
      </c>
    </row>
    <row r="1169" spans="1:7" ht="15" customHeight="1" x14ac:dyDescent="0.75">
      <c r="A1169" s="18" t="s">
        <v>82</v>
      </c>
      <c r="B1169" s="19">
        <v>46146</v>
      </c>
      <c r="C1169" s="18" t="s">
        <v>58</v>
      </c>
      <c r="D1169" s="17">
        <v>666519</v>
      </c>
      <c r="E1169" s="18" t="s">
        <v>29</v>
      </c>
      <c r="F1169" s="20">
        <v>0</v>
      </c>
      <c r="G1169" s="20">
        <v>0</v>
      </c>
    </row>
    <row r="1170" spans="1:7" ht="15" customHeight="1" x14ac:dyDescent="0.75">
      <c r="A1170" s="18" t="s">
        <v>82</v>
      </c>
      <c r="B1170" s="19">
        <v>46146</v>
      </c>
      <c r="C1170" s="18" t="s">
        <v>58</v>
      </c>
      <c r="D1170" s="17">
        <v>666521</v>
      </c>
      <c r="E1170" s="18" t="s">
        <v>31</v>
      </c>
      <c r="F1170" s="20">
        <v>0</v>
      </c>
      <c r="G1170" s="20">
        <v>0</v>
      </c>
    </row>
    <row r="1171" spans="1:7" ht="15" customHeight="1" x14ac:dyDescent="0.75">
      <c r="A1171" s="18" t="s">
        <v>82</v>
      </c>
      <c r="B1171" s="19">
        <v>46146</v>
      </c>
      <c r="C1171" s="18" t="s">
        <v>58</v>
      </c>
      <c r="D1171" s="17">
        <v>666522</v>
      </c>
      <c r="E1171" s="18" t="s">
        <v>33</v>
      </c>
      <c r="F1171" s="20">
        <v>25</v>
      </c>
      <c r="G1171" s="20">
        <v>50</v>
      </c>
    </row>
    <row r="1172" spans="1:7" ht="15" customHeight="1" x14ac:dyDescent="0.75">
      <c r="A1172" s="18" t="s">
        <v>82</v>
      </c>
      <c r="B1172" s="19">
        <v>46146</v>
      </c>
      <c r="C1172" s="18" t="s">
        <v>58</v>
      </c>
      <c r="D1172" s="17">
        <v>666523</v>
      </c>
      <c r="E1172" s="18" t="s">
        <v>35</v>
      </c>
      <c r="F1172" s="20">
        <v>0</v>
      </c>
      <c r="G1172" s="20">
        <v>0</v>
      </c>
    </row>
    <row r="1173" spans="1:7" ht="15" customHeight="1" x14ac:dyDescent="0.75">
      <c r="A1173" s="18" t="s">
        <v>82</v>
      </c>
      <c r="B1173" s="19">
        <v>46146</v>
      </c>
      <c r="C1173" s="18" t="s">
        <v>58</v>
      </c>
      <c r="D1173" s="17">
        <v>666530</v>
      </c>
      <c r="E1173" s="18" t="s">
        <v>37</v>
      </c>
      <c r="F1173" s="20">
        <v>0</v>
      </c>
      <c r="G1173" s="20">
        <v>0</v>
      </c>
    </row>
    <row r="1174" spans="1:7" ht="15" customHeight="1" x14ac:dyDescent="0.75">
      <c r="A1174" s="18" t="s">
        <v>82</v>
      </c>
      <c r="B1174" s="19">
        <v>46146</v>
      </c>
      <c r="C1174" s="18" t="s">
        <v>58</v>
      </c>
      <c r="D1174" s="17">
        <v>666531</v>
      </c>
      <c r="E1174" s="18" t="s">
        <v>39</v>
      </c>
      <c r="F1174" s="20">
        <v>0</v>
      </c>
      <c r="G1174" s="20">
        <v>0</v>
      </c>
    </row>
    <row r="1175" spans="1:7" ht="15" customHeight="1" x14ac:dyDescent="0.75">
      <c r="A1175" s="18" t="s">
        <v>82</v>
      </c>
      <c r="B1175" s="19">
        <v>46146</v>
      </c>
      <c r="C1175" s="18" t="s">
        <v>58</v>
      </c>
      <c r="D1175" s="17">
        <v>666540</v>
      </c>
      <c r="E1175" s="18" t="s">
        <v>40</v>
      </c>
      <c r="F1175" s="20">
        <v>20</v>
      </c>
      <c r="G1175" s="20">
        <v>0</v>
      </c>
    </row>
    <row r="1176" spans="1:7" ht="15" customHeight="1" x14ac:dyDescent="0.75">
      <c r="A1176" s="18" t="s">
        <v>82</v>
      </c>
      <c r="B1176" s="19">
        <v>46146</v>
      </c>
      <c r="C1176" s="18" t="s">
        <v>58</v>
      </c>
      <c r="D1176" s="17">
        <v>666541</v>
      </c>
      <c r="E1176" s="18" t="s">
        <v>41</v>
      </c>
      <c r="F1176" s="20">
        <v>340</v>
      </c>
      <c r="G1176" s="20">
        <v>184</v>
      </c>
    </row>
    <row r="1177" spans="1:7" ht="15" customHeight="1" x14ac:dyDescent="0.75">
      <c r="A1177" s="18" t="s">
        <v>82</v>
      </c>
      <c r="B1177" s="19">
        <v>46146</v>
      </c>
      <c r="C1177" s="18" t="s">
        <v>58</v>
      </c>
      <c r="D1177" s="17">
        <v>666536</v>
      </c>
      <c r="E1177" s="18" t="s">
        <v>43</v>
      </c>
      <c r="F1177" s="20">
        <v>0</v>
      </c>
      <c r="G1177" s="20">
        <v>0</v>
      </c>
    </row>
    <row r="1178" spans="1:7" ht="15" customHeight="1" x14ac:dyDescent="0.75">
      <c r="A1178" s="18" t="s">
        <v>82</v>
      </c>
      <c r="B1178" s="19">
        <v>46146</v>
      </c>
      <c r="C1178" s="18" t="s">
        <v>66</v>
      </c>
      <c r="D1178" s="17">
        <v>666501</v>
      </c>
      <c r="E1178" s="18" t="s">
        <v>5</v>
      </c>
      <c r="F1178" s="20">
        <v>19.5</v>
      </c>
      <c r="G1178" s="20">
        <v>39</v>
      </c>
    </row>
    <row r="1179" spans="1:7" ht="15" customHeight="1" x14ac:dyDescent="0.75">
      <c r="A1179" s="18" t="s">
        <v>82</v>
      </c>
      <c r="B1179" s="19">
        <v>46146</v>
      </c>
      <c r="C1179" s="18" t="s">
        <v>66</v>
      </c>
      <c r="D1179" s="17">
        <v>666502</v>
      </c>
      <c r="E1179" s="18" t="s">
        <v>7</v>
      </c>
      <c r="F1179" s="20">
        <v>50</v>
      </c>
      <c r="G1179" s="20">
        <v>39</v>
      </c>
    </row>
    <row r="1180" spans="1:7" ht="15" customHeight="1" x14ac:dyDescent="0.75">
      <c r="A1180" s="18" t="s">
        <v>82</v>
      </c>
      <c r="B1180" s="19">
        <v>46146</v>
      </c>
      <c r="C1180" s="18" t="s">
        <v>66</v>
      </c>
      <c r="D1180" s="17">
        <v>666505</v>
      </c>
      <c r="E1180" s="18" t="s">
        <v>9</v>
      </c>
      <c r="F1180" s="20">
        <v>17</v>
      </c>
      <c r="G1180" s="20">
        <v>34</v>
      </c>
    </row>
    <row r="1181" spans="1:7" ht="15" customHeight="1" x14ac:dyDescent="0.75">
      <c r="A1181" s="18" t="s">
        <v>82</v>
      </c>
      <c r="B1181" s="19">
        <v>46146</v>
      </c>
      <c r="C1181" s="18" t="s">
        <v>66</v>
      </c>
      <c r="D1181" s="17">
        <v>666506</v>
      </c>
      <c r="E1181" s="18" t="s">
        <v>11</v>
      </c>
      <c r="F1181" s="20">
        <v>0</v>
      </c>
      <c r="G1181" s="20">
        <v>0</v>
      </c>
    </row>
    <row r="1182" spans="1:7" ht="15" customHeight="1" x14ac:dyDescent="0.75">
      <c r="A1182" s="18" t="s">
        <v>82</v>
      </c>
      <c r="B1182" s="19">
        <v>46146</v>
      </c>
      <c r="C1182" s="18" t="s">
        <v>66</v>
      </c>
      <c r="D1182" s="17">
        <v>666507</v>
      </c>
      <c r="E1182" s="18" t="s">
        <v>13</v>
      </c>
      <c r="F1182" s="20">
        <v>0</v>
      </c>
      <c r="G1182" s="20">
        <v>0</v>
      </c>
    </row>
    <row r="1183" spans="1:7" ht="15" customHeight="1" x14ac:dyDescent="0.75">
      <c r="A1183" s="18" t="s">
        <v>82</v>
      </c>
      <c r="B1183" s="19">
        <v>46146</v>
      </c>
      <c r="C1183" s="18" t="s">
        <v>66</v>
      </c>
      <c r="D1183" s="17">
        <v>666509</v>
      </c>
      <c r="E1183" s="18" t="s">
        <v>15</v>
      </c>
      <c r="F1183" s="20">
        <v>0</v>
      </c>
      <c r="G1183" s="20">
        <v>0</v>
      </c>
    </row>
    <row r="1184" spans="1:7" ht="15" customHeight="1" x14ac:dyDescent="0.75">
      <c r="A1184" s="18" t="s">
        <v>82</v>
      </c>
      <c r="B1184" s="19">
        <v>46146</v>
      </c>
      <c r="C1184" s="18" t="s">
        <v>66</v>
      </c>
      <c r="D1184" s="17">
        <v>666510</v>
      </c>
      <c r="E1184" s="18" t="s">
        <v>17</v>
      </c>
      <c r="F1184" s="20">
        <v>0</v>
      </c>
      <c r="G1184" s="20">
        <v>0</v>
      </c>
    </row>
    <row r="1185" spans="1:7" ht="15" customHeight="1" x14ac:dyDescent="0.75">
      <c r="A1185" s="18" t="s">
        <v>82</v>
      </c>
      <c r="B1185" s="19">
        <v>46146</v>
      </c>
      <c r="C1185" s="18" t="s">
        <v>66</v>
      </c>
      <c r="D1185" s="17">
        <v>666511</v>
      </c>
      <c r="E1185" s="18" t="s">
        <v>19</v>
      </c>
      <c r="F1185" s="20">
        <v>0</v>
      </c>
      <c r="G1185" s="20">
        <v>0</v>
      </c>
    </row>
    <row r="1186" spans="1:7" ht="15" customHeight="1" x14ac:dyDescent="0.75">
      <c r="A1186" s="18" t="s">
        <v>82</v>
      </c>
      <c r="B1186" s="19">
        <v>46146</v>
      </c>
      <c r="C1186" s="18" t="s">
        <v>66</v>
      </c>
      <c r="D1186" s="17">
        <v>666513</v>
      </c>
      <c r="E1186" s="18" t="s">
        <v>21</v>
      </c>
      <c r="F1186" s="20">
        <v>10</v>
      </c>
      <c r="G1186" s="20">
        <v>20</v>
      </c>
    </row>
    <row r="1187" spans="1:7" ht="15" customHeight="1" x14ac:dyDescent="0.75">
      <c r="A1187" s="18" t="s">
        <v>82</v>
      </c>
      <c r="B1187" s="19">
        <v>46146</v>
      </c>
      <c r="C1187" s="18" t="s">
        <v>66</v>
      </c>
      <c r="D1187" s="17">
        <v>666516</v>
      </c>
      <c r="E1187" s="18" t="s">
        <v>23</v>
      </c>
      <c r="F1187" s="20">
        <v>13.5</v>
      </c>
      <c r="G1187" s="20">
        <v>27</v>
      </c>
    </row>
    <row r="1188" spans="1:7" ht="15" customHeight="1" x14ac:dyDescent="0.75">
      <c r="A1188" s="18" t="s">
        <v>82</v>
      </c>
      <c r="B1188" s="19">
        <v>46146</v>
      </c>
      <c r="C1188" s="18" t="s">
        <v>66</v>
      </c>
      <c r="D1188" s="17">
        <v>666517</v>
      </c>
      <c r="E1188" s="18" t="s">
        <v>25</v>
      </c>
      <c r="F1188" s="20">
        <v>7.5</v>
      </c>
      <c r="G1188" s="20">
        <v>15</v>
      </c>
    </row>
    <row r="1189" spans="1:7" ht="15" customHeight="1" x14ac:dyDescent="0.75">
      <c r="A1189" s="18" t="s">
        <v>82</v>
      </c>
      <c r="B1189" s="19">
        <v>46146</v>
      </c>
      <c r="C1189" s="18" t="s">
        <v>66</v>
      </c>
      <c r="D1189" s="17">
        <v>666518</v>
      </c>
      <c r="E1189" s="18" t="s">
        <v>27</v>
      </c>
      <c r="F1189" s="20">
        <v>0</v>
      </c>
      <c r="G1189" s="20">
        <v>0</v>
      </c>
    </row>
    <row r="1190" spans="1:7" ht="15" customHeight="1" x14ac:dyDescent="0.75">
      <c r="A1190" s="18" t="s">
        <v>82</v>
      </c>
      <c r="B1190" s="19">
        <v>46146</v>
      </c>
      <c r="C1190" s="18" t="s">
        <v>66</v>
      </c>
      <c r="D1190" s="17">
        <v>666519</v>
      </c>
      <c r="E1190" s="18" t="s">
        <v>29</v>
      </c>
      <c r="F1190" s="20">
        <v>13</v>
      </c>
      <c r="G1190" s="20">
        <v>26</v>
      </c>
    </row>
    <row r="1191" spans="1:7" ht="15" customHeight="1" x14ac:dyDescent="0.75">
      <c r="A1191" s="18" t="s">
        <v>82</v>
      </c>
      <c r="B1191" s="19">
        <v>46146</v>
      </c>
      <c r="C1191" s="18" t="s">
        <v>66</v>
      </c>
      <c r="D1191" s="17">
        <v>666521</v>
      </c>
      <c r="E1191" s="18" t="s">
        <v>31</v>
      </c>
      <c r="F1191" s="20">
        <v>0</v>
      </c>
      <c r="G1191" s="20">
        <v>0</v>
      </c>
    </row>
    <row r="1192" spans="1:7" ht="15" customHeight="1" x14ac:dyDescent="0.75">
      <c r="A1192" s="18" t="s">
        <v>82</v>
      </c>
      <c r="B1192" s="19">
        <v>46146</v>
      </c>
      <c r="C1192" s="18" t="s">
        <v>66</v>
      </c>
      <c r="D1192" s="17">
        <v>666522</v>
      </c>
      <c r="E1192" s="18" t="s">
        <v>33</v>
      </c>
      <c r="F1192" s="20">
        <v>62.5</v>
      </c>
      <c r="G1192" s="20">
        <v>125</v>
      </c>
    </row>
    <row r="1193" spans="1:7" ht="15" customHeight="1" x14ac:dyDescent="0.75">
      <c r="A1193" s="18" t="s">
        <v>82</v>
      </c>
      <c r="B1193" s="19">
        <v>46146</v>
      </c>
      <c r="C1193" s="18" t="s">
        <v>66</v>
      </c>
      <c r="D1193" s="17">
        <v>666523</v>
      </c>
      <c r="E1193" s="18" t="s">
        <v>35</v>
      </c>
      <c r="F1193" s="20">
        <v>20</v>
      </c>
      <c r="G1193" s="20">
        <v>40</v>
      </c>
    </row>
    <row r="1194" spans="1:7" ht="15" customHeight="1" x14ac:dyDescent="0.75">
      <c r="A1194" s="18" t="s">
        <v>82</v>
      </c>
      <c r="B1194" s="19">
        <v>46146</v>
      </c>
      <c r="C1194" s="18" t="s">
        <v>66</v>
      </c>
      <c r="D1194" s="17">
        <v>666530</v>
      </c>
      <c r="E1194" s="18" t="s">
        <v>37</v>
      </c>
      <c r="F1194" s="20">
        <v>12</v>
      </c>
      <c r="G1194" s="20">
        <v>24</v>
      </c>
    </row>
    <row r="1195" spans="1:7" ht="15" customHeight="1" x14ac:dyDescent="0.75">
      <c r="A1195" s="18" t="s">
        <v>82</v>
      </c>
      <c r="B1195" s="19">
        <v>46146</v>
      </c>
      <c r="C1195" s="18" t="s">
        <v>66</v>
      </c>
      <c r="D1195" s="17">
        <v>666531</v>
      </c>
      <c r="E1195" s="18" t="s">
        <v>39</v>
      </c>
      <c r="F1195" s="20">
        <v>4</v>
      </c>
      <c r="G1195" s="20">
        <v>8</v>
      </c>
    </row>
    <row r="1196" spans="1:7" ht="15" customHeight="1" x14ac:dyDescent="0.75">
      <c r="A1196" s="18" t="s">
        <v>82</v>
      </c>
      <c r="B1196" s="19">
        <v>46146</v>
      </c>
      <c r="C1196" s="18" t="s">
        <v>66</v>
      </c>
      <c r="D1196" s="17">
        <v>666540</v>
      </c>
      <c r="E1196" s="18" t="s">
        <v>40</v>
      </c>
      <c r="F1196" s="20">
        <v>0</v>
      </c>
      <c r="G1196" s="20">
        <v>0</v>
      </c>
    </row>
    <row r="1197" spans="1:7" ht="15" customHeight="1" x14ac:dyDescent="0.75">
      <c r="A1197" s="18" t="s">
        <v>82</v>
      </c>
      <c r="B1197" s="19">
        <v>46146</v>
      </c>
      <c r="C1197" s="18" t="s">
        <v>66</v>
      </c>
      <c r="D1197" s="17">
        <v>666541</v>
      </c>
      <c r="E1197" s="18" t="s">
        <v>41</v>
      </c>
      <c r="F1197" s="20">
        <v>0</v>
      </c>
      <c r="G1197" s="20">
        <v>0</v>
      </c>
    </row>
    <row r="1198" spans="1:7" ht="15" customHeight="1" x14ac:dyDescent="0.75">
      <c r="A1198" s="18" t="s">
        <v>82</v>
      </c>
      <c r="B1198" s="19">
        <v>46146</v>
      </c>
      <c r="C1198" s="18" t="s">
        <v>66</v>
      </c>
      <c r="D1198" s="17">
        <v>666536</v>
      </c>
      <c r="E1198" s="18" t="s">
        <v>43</v>
      </c>
      <c r="F1198" s="20">
        <v>0</v>
      </c>
      <c r="G1198" s="20">
        <v>0</v>
      </c>
    </row>
    <row r="1199" spans="1:7" ht="15" customHeight="1" x14ac:dyDescent="0.75">
      <c r="A1199" s="18" t="s">
        <v>83</v>
      </c>
      <c r="B1199" s="19">
        <v>46153</v>
      </c>
      <c r="C1199" s="18" t="s">
        <v>56</v>
      </c>
      <c r="D1199" s="17">
        <v>666501</v>
      </c>
      <c r="E1199" s="18" t="s">
        <v>5</v>
      </c>
      <c r="F1199" s="20">
        <v>21</v>
      </c>
      <c r="G1199" s="20">
        <v>0</v>
      </c>
    </row>
    <row r="1200" spans="1:7" ht="15" customHeight="1" x14ac:dyDescent="0.75">
      <c r="A1200" s="18" t="s">
        <v>83</v>
      </c>
      <c r="B1200" s="19">
        <v>46153</v>
      </c>
      <c r="C1200" s="18" t="s">
        <v>56</v>
      </c>
      <c r="D1200" s="17">
        <v>666502</v>
      </c>
      <c r="E1200" s="18" t="s">
        <v>7</v>
      </c>
      <c r="F1200" s="20">
        <v>0</v>
      </c>
      <c r="G1200" s="20">
        <v>0</v>
      </c>
    </row>
    <row r="1201" spans="1:7" ht="15" customHeight="1" x14ac:dyDescent="0.75">
      <c r="A1201" s="18" t="s">
        <v>83</v>
      </c>
      <c r="B1201" s="19">
        <v>46153</v>
      </c>
      <c r="C1201" s="18" t="s">
        <v>56</v>
      </c>
      <c r="D1201" s="17">
        <v>666505</v>
      </c>
      <c r="E1201" s="18" t="s">
        <v>9</v>
      </c>
      <c r="F1201" s="20">
        <v>8</v>
      </c>
      <c r="G1201" s="20">
        <v>0</v>
      </c>
    </row>
    <row r="1202" spans="1:7" ht="15" customHeight="1" x14ac:dyDescent="0.75">
      <c r="A1202" s="18" t="s">
        <v>83</v>
      </c>
      <c r="B1202" s="19">
        <v>46153</v>
      </c>
      <c r="C1202" s="18" t="s">
        <v>56</v>
      </c>
      <c r="D1202" s="17">
        <v>666506</v>
      </c>
      <c r="E1202" s="18" t="s">
        <v>11</v>
      </c>
      <c r="F1202" s="20">
        <v>0</v>
      </c>
      <c r="G1202" s="20">
        <v>0</v>
      </c>
    </row>
    <row r="1203" spans="1:7" ht="15" customHeight="1" x14ac:dyDescent="0.75">
      <c r="A1203" s="18" t="s">
        <v>83</v>
      </c>
      <c r="B1203" s="19">
        <v>46153</v>
      </c>
      <c r="C1203" s="18" t="s">
        <v>56</v>
      </c>
      <c r="D1203" s="17">
        <v>666507</v>
      </c>
      <c r="E1203" s="18" t="s">
        <v>13</v>
      </c>
      <c r="F1203" s="20">
        <v>8</v>
      </c>
      <c r="G1203" s="20">
        <v>16</v>
      </c>
    </row>
    <row r="1204" spans="1:7" ht="15" customHeight="1" x14ac:dyDescent="0.75">
      <c r="A1204" s="18" t="s">
        <v>83</v>
      </c>
      <c r="B1204" s="19">
        <v>46153</v>
      </c>
      <c r="C1204" s="18" t="s">
        <v>56</v>
      </c>
      <c r="D1204" s="17">
        <v>666509</v>
      </c>
      <c r="E1204" s="18" t="s">
        <v>15</v>
      </c>
      <c r="F1204" s="20">
        <v>25</v>
      </c>
      <c r="G1204" s="20">
        <v>0</v>
      </c>
    </row>
    <row r="1205" spans="1:7" ht="15" customHeight="1" x14ac:dyDescent="0.75">
      <c r="A1205" s="18" t="s">
        <v>83</v>
      </c>
      <c r="B1205" s="19">
        <v>46153</v>
      </c>
      <c r="C1205" s="18" t="s">
        <v>56</v>
      </c>
      <c r="D1205" s="17">
        <v>666510</v>
      </c>
      <c r="E1205" s="18" t="s">
        <v>17</v>
      </c>
      <c r="F1205" s="20">
        <v>0</v>
      </c>
      <c r="G1205" s="20">
        <v>0</v>
      </c>
    </row>
    <row r="1206" spans="1:7" ht="15" customHeight="1" x14ac:dyDescent="0.75">
      <c r="A1206" s="18" t="s">
        <v>83</v>
      </c>
      <c r="B1206" s="19">
        <v>46153</v>
      </c>
      <c r="C1206" s="18" t="s">
        <v>56</v>
      </c>
      <c r="D1206" s="17">
        <v>666511</v>
      </c>
      <c r="E1206" s="18" t="s">
        <v>19</v>
      </c>
      <c r="F1206" s="20">
        <v>3</v>
      </c>
      <c r="G1206" s="20">
        <v>6</v>
      </c>
    </row>
    <row r="1207" spans="1:7" ht="15" customHeight="1" x14ac:dyDescent="0.75">
      <c r="A1207" s="18" t="s">
        <v>83</v>
      </c>
      <c r="B1207" s="19">
        <v>46153</v>
      </c>
      <c r="C1207" s="18" t="s">
        <v>56</v>
      </c>
      <c r="D1207" s="17">
        <v>666513</v>
      </c>
      <c r="E1207" s="18" t="s">
        <v>21</v>
      </c>
      <c r="F1207" s="20">
        <v>4</v>
      </c>
      <c r="G1207" s="20">
        <v>0</v>
      </c>
    </row>
    <row r="1208" spans="1:7" ht="15" customHeight="1" x14ac:dyDescent="0.75">
      <c r="A1208" s="18" t="s">
        <v>83</v>
      </c>
      <c r="B1208" s="19">
        <v>46153</v>
      </c>
      <c r="C1208" s="18" t="s">
        <v>56</v>
      </c>
      <c r="D1208" s="17">
        <v>666516</v>
      </c>
      <c r="E1208" s="18" t="s">
        <v>23</v>
      </c>
      <c r="F1208" s="20">
        <v>13.5</v>
      </c>
      <c r="G1208" s="20">
        <v>0</v>
      </c>
    </row>
    <row r="1209" spans="1:7" ht="15" customHeight="1" x14ac:dyDescent="0.75">
      <c r="A1209" s="18" t="s">
        <v>83</v>
      </c>
      <c r="B1209" s="19">
        <v>46153</v>
      </c>
      <c r="C1209" s="18" t="s">
        <v>56</v>
      </c>
      <c r="D1209" s="17">
        <v>666517</v>
      </c>
      <c r="E1209" s="18" t="s">
        <v>25</v>
      </c>
      <c r="F1209" s="20">
        <v>16.5</v>
      </c>
      <c r="G1209" s="20">
        <v>0</v>
      </c>
    </row>
    <row r="1210" spans="1:7" ht="15" customHeight="1" x14ac:dyDescent="0.75">
      <c r="A1210" s="18" t="s">
        <v>83</v>
      </c>
      <c r="B1210" s="19">
        <v>46153</v>
      </c>
      <c r="C1210" s="18" t="s">
        <v>56</v>
      </c>
      <c r="D1210" s="17">
        <v>666518</v>
      </c>
      <c r="E1210" s="18" t="s">
        <v>27</v>
      </c>
      <c r="F1210" s="20">
        <v>0</v>
      </c>
      <c r="G1210" s="20">
        <v>0</v>
      </c>
    </row>
    <row r="1211" spans="1:7" ht="15" customHeight="1" x14ac:dyDescent="0.75">
      <c r="A1211" s="18" t="s">
        <v>83</v>
      </c>
      <c r="B1211" s="19">
        <v>46153</v>
      </c>
      <c r="C1211" s="18" t="s">
        <v>56</v>
      </c>
      <c r="D1211" s="17">
        <v>666519</v>
      </c>
      <c r="E1211" s="18" t="s">
        <v>29</v>
      </c>
      <c r="F1211" s="20">
        <v>13</v>
      </c>
      <c r="G1211" s="20">
        <v>0</v>
      </c>
    </row>
    <row r="1212" spans="1:7" ht="15" customHeight="1" x14ac:dyDescent="0.75">
      <c r="A1212" s="18" t="s">
        <v>83</v>
      </c>
      <c r="B1212" s="19">
        <v>46153</v>
      </c>
      <c r="C1212" s="18" t="s">
        <v>56</v>
      </c>
      <c r="D1212" s="17">
        <v>666521</v>
      </c>
      <c r="E1212" s="18" t="s">
        <v>31</v>
      </c>
      <c r="F1212" s="20">
        <v>40</v>
      </c>
      <c r="G1212" s="20">
        <v>39</v>
      </c>
    </row>
    <row r="1213" spans="1:7" ht="15" customHeight="1" x14ac:dyDescent="0.75">
      <c r="A1213" s="18" t="s">
        <v>83</v>
      </c>
      <c r="B1213" s="19">
        <v>46153</v>
      </c>
      <c r="C1213" s="18" t="s">
        <v>56</v>
      </c>
      <c r="D1213" s="17">
        <v>666522</v>
      </c>
      <c r="E1213" s="18" t="s">
        <v>33</v>
      </c>
      <c r="F1213" s="20">
        <v>90</v>
      </c>
      <c r="G1213" s="20">
        <v>0</v>
      </c>
    </row>
    <row r="1214" spans="1:7" ht="15" customHeight="1" x14ac:dyDescent="0.75">
      <c r="A1214" s="18" t="s">
        <v>83</v>
      </c>
      <c r="B1214" s="19">
        <v>46153</v>
      </c>
      <c r="C1214" s="18" t="s">
        <v>56</v>
      </c>
      <c r="D1214" s="17">
        <v>666523</v>
      </c>
      <c r="E1214" s="18" t="s">
        <v>35</v>
      </c>
      <c r="F1214" s="20">
        <v>0</v>
      </c>
      <c r="G1214" s="20">
        <v>0</v>
      </c>
    </row>
    <row r="1215" spans="1:7" ht="15" customHeight="1" x14ac:dyDescent="0.75">
      <c r="A1215" s="18" t="s">
        <v>83</v>
      </c>
      <c r="B1215" s="19">
        <v>46153</v>
      </c>
      <c r="C1215" s="18" t="s">
        <v>56</v>
      </c>
      <c r="D1215" s="17">
        <v>666530</v>
      </c>
      <c r="E1215" s="18" t="s">
        <v>37</v>
      </c>
      <c r="F1215" s="20">
        <v>0</v>
      </c>
      <c r="G1215" s="20">
        <v>0</v>
      </c>
    </row>
    <row r="1216" spans="1:7" ht="15" customHeight="1" x14ac:dyDescent="0.75">
      <c r="A1216" s="18" t="s">
        <v>83</v>
      </c>
      <c r="B1216" s="19">
        <v>46153</v>
      </c>
      <c r="C1216" s="18" t="s">
        <v>56</v>
      </c>
      <c r="D1216" s="17">
        <v>666531</v>
      </c>
      <c r="E1216" s="18" t="s">
        <v>39</v>
      </c>
      <c r="F1216" s="20">
        <v>10</v>
      </c>
      <c r="G1216" s="20">
        <v>14</v>
      </c>
    </row>
    <row r="1217" spans="1:7" ht="15" customHeight="1" x14ac:dyDescent="0.75">
      <c r="A1217" s="18" t="s">
        <v>83</v>
      </c>
      <c r="B1217" s="19">
        <v>46153</v>
      </c>
      <c r="C1217" s="18" t="s">
        <v>56</v>
      </c>
      <c r="D1217" s="17">
        <v>666540</v>
      </c>
      <c r="E1217" s="18" t="s">
        <v>40</v>
      </c>
      <c r="F1217" s="20">
        <v>0</v>
      </c>
      <c r="G1217" s="20">
        <v>0</v>
      </c>
    </row>
    <row r="1218" spans="1:7" ht="15" customHeight="1" x14ac:dyDescent="0.75">
      <c r="A1218" s="18" t="s">
        <v>83</v>
      </c>
      <c r="B1218" s="19">
        <v>46153</v>
      </c>
      <c r="C1218" s="18" t="s">
        <v>56</v>
      </c>
      <c r="D1218" s="17">
        <v>666541</v>
      </c>
      <c r="E1218" s="18" t="s">
        <v>41</v>
      </c>
      <c r="F1218" s="20">
        <v>0</v>
      </c>
      <c r="G1218" s="20">
        <v>0</v>
      </c>
    </row>
    <row r="1219" spans="1:7" ht="15" customHeight="1" x14ac:dyDescent="0.75">
      <c r="A1219" s="18" t="s">
        <v>83</v>
      </c>
      <c r="B1219" s="19">
        <v>46153</v>
      </c>
      <c r="C1219" s="18" t="s">
        <v>56</v>
      </c>
      <c r="D1219" s="17">
        <v>666536</v>
      </c>
      <c r="E1219" s="18" t="s">
        <v>43</v>
      </c>
      <c r="F1219" s="20">
        <v>20</v>
      </c>
      <c r="G1219" s="20">
        <v>6</v>
      </c>
    </row>
    <row r="1220" spans="1:7" ht="15" customHeight="1" x14ac:dyDescent="0.75">
      <c r="A1220" s="18" t="s">
        <v>83</v>
      </c>
      <c r="B1220" s="19">
        <v>46153</v>
      </c>
      <c r="C1220" s="18" t="s">
        <v>58</v>
      </c>
      <c r="D1220" s="17">
        <v>666501</v>
      </c>
      <c r="E1220" s="18" t="s">
        <v>5</v>
      </c>
      <c r="F1220" s="20">
        <v>232.5</v>
      </c>
      <c r="G1220" s="20">
        <v>75</v>
      </c>
    </row>
    <row r="1221" spans="1:7" ht="15" customHeight="1" x14ac:dyDescent="0.75">
      <c r="A1221" s="18" t="s">
        <v>83</v>
      </c>
      <c r="B1221" s="19">
        <v>46153</v>
      </c>
      <c r="C1221" s="18" t="s">
        <v>58</v>
      </c>
      <c r="D1221" s="17">
        <v>666502</v>
      </c>
      <c r="E1221" s="18" t="s">
        <v>7</v>
      </c>
      <c r="F1221" s="20">
        <v>130</v>
      </c>
      <c r="G1221" s="20">
        <v>118</v>
      </c>
    </row>
    <row r="1222" spans="1:7" ht="15" customHeight="1" x14ac:dyDescent="0.75">
      <c r="A1222" s="18" t="s">
        <v>83</v>
      </c>
      <c r="B1222" s="19">
        <v>46153</v>
      </c>
      <c r="C1222" s="18" t="s">
        <v>58</v>
      </c>
      <c r="D1222" s="17">
        <v>666505</v>
      </c>
      <c r="E1222" s="18" t="s">
        <v>9</v>
      </c>
      <c r="F1222" s="20">
        <v>0</v>
      </c>
      <c r="G1222" s="20">
        <v>0</v>
      </c>
    </row>
    <row r="1223" spans="1:7" ht="15" customHeight="1" x14ac:dyDescent="0.75">
      <c r="A1223" s="18" t="s">
        <v>83</v>
      </c>
      <c r="B1223" s="19">
        <v>46153</v>
      </c>
      <c r="C1223" s="18" t="s">
        <v>58</v>
      </c>
      <c r="D1223" s="17">
        <v>666506</v>
      </c>
      <c r="E1223" s="18" t="s">
        <v>11</v>
      </c>
      <c r="F1223" s="20">
        <v>150</v>
      </c>
      <c r="G1223" s="20">
        <v>149</v>
      </c>
    </row>
    <row r="1224" spans="1:7" ht="15" customHeight="1" x14ac:dyDescent="0.75">
      <c r="A1224" s="18" t="s">
        <v>83</v>
      </c>
      <c r="B1224" s="19">
        <v>46153</v>
      </c>
      <c r="C1224" s="18" t="s">
        <v>58</v>
      </c>
      <c r="D1224" s="17">
        <v>666507</v>
      </c>
      <c r="E1224" s="18" t="s">
        <v>13</v>
      </c>
      <c r="F1224" s="20">
        <v>0</v>
      </c>
      <c r="G1224" s="20">
        <v>0</v>
      </c>
    </row>
    <row r="1225" spans="1:7" ht="15" customHeight="1" x14ac:dyDescent="0.75">
      <c r="A1225" s="18" t="s">
        <v>83</v>
      </c>
      <c r="B1225" s="19">
        <v>46153</v>
      </c>
      <c r="C1225" s="18" t="s">
        <v>58</v>
      </c>
      <c r="D1225" s="17">
        <v>666509</v>
      </c>
      <c r="E1225" s="18" t="s">
        <v>15</v>
      </c>
      <c r="F1225" s="20">
        <v>0</v>
      </c>
      <c r="G1225" s="20">
        <v>0</v>
      </c>
    </row>
    <row r="1226" spans="1:7" ht="15" customHeight="1" x14ac:dyDescent="0.75">
      <c r="A1226" s="18" t="s">
        <v>83</v>
      </c>
      <c r="B1226" s="19">
        <v>46153</v>
      </c>
      <c r="C1226" s="18" t="s">
        <v>58</v>
      </c>
      <c r="D1226" s="17">
        <v>666510</v>
      </c>
      <c r="E1226" s="18" t="s">
        <v>17</v>
      </c>
      <c r="F1226" s="20">
        <v>0</v>
      </c>
      <c r="G1226" s="20">
        <v>0</v>
      </c>
    </row>
    <row r="1227" spans="1:7" ht="15" customHeight="1" x14ac:dyDescent="0.75">
      <c r="A1227" s="18" t="s">
        <v>83</v>
      </c>
      <c r="B1227" s="19">
        <v>46153</v>
      </c>
      <c r="C1227" s="18" t="s">
        <v>58</v>
      </c>
      <c r="D1227" s="17">
        <v>666511</v>
      </c>
      <c r="E1227" s="18" t="s">
        <v>19</v>
      </c>
      <c r="F1227" s="20">
        <v>0</v>
      </c>
      <c r="G1227" s="20">
        <v>0</v>
      </c>
    </row>
    <row r="1228" spans="1:7" ht="15" customHeight="1" x14ac:dyDescent="0.75">
      <c r="A1228" s="18" t="s">
        <v>83</v>
      </c>
      <c r="B1228" s="19">
        <v>46153</v>
      </c>
      <c r="C1228" s="18" t="s">
        <v>58</v>
      </c>
      <c r="D1228" s="17">
        <v>666513</v>
      </c>
      <c r="E1228" s="18" t="s">
        <v>21</v>
      </c>
      <c r="F1228" s="20">
        <v>0</v>
      </c>
      <c r="G1228" s="20">
        <v>0</v>
      </c>
    </row>
    <row r="1229" spans="1:7" ht="15" customHeight="1" x14ac:dyDescent="0.75">
      <c r="A1229" s="18" t="s">
        <v>83</v>
      </c>
      <c r="B1229" s="19">
        <v>46153</v>
      </c>
      <c r="C1229" s="18" t="s">
        <v>58</v>
      </c>
      <c r="D1229" s="17">
        <v>666516</v>
      </c>
      <c r="E1229" s="18" t="s">
        <v>23</v>
      </c>
      <c r="F1229" s="20">
        <v>0</v>
      </c>
      <c r="G1229" s="20">
        <v>0</v>
      </c>
    </row>
    <row r="1230" spans="1:7" ht="15" customHeight="1" x14ac:dyDescent="0.75">
      <c r="A1230" s="18" t="s">
        <v>83</v>
      </c>
      <c r="B1230" s="19">
        <v>46153</v>
      </c>
      <c r="C1230" s="18" t="s">
        <v>58</v>
      </c>
      <c r="D1230" s="17">
        <v>666517</v>
      </c>
      <c r="E1230" s="18" t="s">
        <v>25</v>
      </c>
      <c r="F1230" s="20">
        <v>0</v>
      </c>
      <c r="G1230" s="20">
        <v>0</v>
      </c>
    </row>
    <row r="1231" spans="1:7" ht="15" customHeight="1" x14ac:dyDescent="0.75">
      <c r="A1231" s="18" t="s">
        <v>83</v>
      </c>
      <c r="B1231" s="19">
        <v>46153</v>
      </c>
      <c r="C1231" s="18" t="s">
        <v>58</v>
      </c>
      <c r="D1231" s="17">
        <v>666518</v>
      </c>
      <c r="E1231" s="18" t="s">
        <v>27</v>
      </c>
      <c r="F1231" s="20">
        <v>0</v>
      </c>
      <c r="G1231" s="20">
        <v>0</v>
      </c>
    </row>
    <row r="1232" spans="1:7" ht="15" customHeight="1" x14ac:dyDescent="0.75">
      <c r="A1232" s="18" t="s">
        <v>83</v>
      </c>
      <c r="B1232" s="19">
        <v>46153</v>
      </c>
      <c r="C1232" s="18" t="s">
        <v>58</v>
      </c>
      <c r="D1232" s="17">
        <v>666519</v>
      </c>
      <c r="E1232" s="18" t="s">
        <v>29</v>
      </c>
      <c r="F1232" s="20">
        <v>0</v>
      </c>
      <c r="G1232" s="20">
        <v>0</v>
      </c>
    </row>
    <row r="1233" spans="1:7" ht="15" customHeight="1" x14ac:dyDescent="0.75">
      <c r="A1233" s="18" t="s">
        <v>83</v>
      </c>
      <c r="B1233" s="19">
        <v>46153</v>
      </c>
      <c r="C1233" s="18" t="s">
        <v>58</v>
      </c>
      <c r="D1233" s="17">
        <v>666521</v>
      </c>
      <c r="E1233" s="18" t="s">
        <v>31</v>
      </c>
      <c r="F1233" s="20">
        <v>0</v>
      </c>
      <c r="G1233" s="20">
        <v>0</v>
      </c>
    </row>
    <row r="1234" spans="1:7" ht="15" customHeight="1" x14ac:dyDescent="0.75">
      <c r="A1234" s="18" t="s">
        <v>83</v>
      </c>
      <c r="B1234" s="19">
        <v>46153</v>
      </c>
      <c r="C1234" s="18" t="s">
        <v>58</v>
      </c>
      <c r="D1234" s="17">
        <v>666522</v>
      </c>
      <c r="E1234" s="18" t="s">
        <v>33</v>
      </c>
      <c r="F1234" s="20">
        <v>25</v>
      </c>
      <c r="G1234" s="20">
        <v>0</v>
      </c>
    </row>
    <row r="1235" spans="1:7" ht="15" customHeight="1" x14ac:dyDescent="0.75">
      <c r="A1235" s="18" t="s">
        <v>83</v>
      </c>
      <c r="B1235" s="19">
        <v>46153</v>
      </c>
      <c r="C1235" s="18" t="s">
        <v>58</v>
      </c>
      <c r="D1235" s="17">
        <v>666523</v>
      </c>
      <c r="E1235" s="18" t="s">
        <v>35</v>
      </c>
      <c r="F1235" s="20">
        <v>0</v>
      </c>
      <c r="G1235" s="20">
        <v>0</v>
      </c>
    </row>
    <row r="1236" spans="1:7" ht="15" customHeight="1" x14ac:dyDescent="0.75">
      <c r="A1236" s="18" t="s">
        <v>83</v>
      </c>
      <c r="B1236" s="19">
        <v>46153</v>
      </c>
      <c r="C1236" s="18" t="s">
        <v>58</v>
      </c>
      <c r="D1236" s="17">
        <v>666530</v>
      </c>
      <c r="E1236" s="18" t="s">
        <v>37</v>
      </c>
      <c r="F1236" s="20">
        <v>0</v>
      </c>
      <c r="G1236" s="20">
        <v>0</v>
      </c>
    </row>
    <row r="1237" spans="1:7" ht="15" customHeight="1" x14ac:dyDescent="0.75">
      <c r="A1237" s="18" t="s">
        <v>83</v>
      </c>
      <c r="B1237" s="19">
        <v>46153</v>
      </c>
      <c r="C1237" s="18" t="s">
        <v>58</v>
      </c>
      <c r="D1237" s="17">
        <v>666531</v>
      </c>
      <c r="E1237" s="18" t="s">
        <v>39</v>
      </c>
      <c r="F1237" s="20">
        <v>0</v>
      </c>
      <c r="G1237" s="20">
        <v>0</v>
      </c>
    </row>
    <row r="1238" spans="1:7" ht="15" customHeight="1" x14ac:dyDescent="0.75">
      <c r="A1238" s="18" t="s">
        <v>83</v>
      </c>
      <c r="B1238" s="19">
        <v>46153</v>
      </c>
      <c r="C1238" s="18" t="s">
        <v>58</v>
      </c>
      <c r="D1238" s="17">
        <v>666540</v>
      </c>
      <c r="E1238" s="18" t="s">
        <v>40</v>
      </c>
      <c r="F1238" s="20">
        <v>20</v>
      </c>
      <c r="G1238" s="20">
        <v>0</v>
      </c>
    </row>
    <row r="1239" spans="1:7" ht="15" customHeight="1" x14ac:dyDescent="0.75">
      <c r="A1239" s="18" t="s">
        <v>83</v>
      </c>
      <c r="B1239" s="19">
        <v>46153</v>
      </c>
      <c r="C1239" s="18" t="s">
        <v>58</v>
      </c>
      <c r="D1239" s="17">
        <v>666541</v>
      </c>
      <c r="E1239" s="18" t="s">
        <v>41</v>
      </c>
      <c r="F1239" s="20">
        <v>340</v>
      </c>
      <c r="G1239" s="20">
        <v>163</v>
      </c>
    </row>
    <row r="1240" spans="1:7" ht="15" customHeight="1" x14ac:dyDescent="0.75">
      <c r="A1240" s="18" t="s">
        <v>83</v>
      </c>
      <c r="B1240" s="19">
        <v>46153</v>
      </c>
      <c r="C1240" s="18" t="s">
        <v>58</v>
      </c>
      <c r="D1240" s="17">
        <v>666536</v>
      </c>
      <c r="E1240" s="18" t="s">
        <v>43</v>
      </c>
      <c r="F1240" s="20">
        <v>0</v>
      </c>
      <c r="G1240" s="20">
        <v>0</v>
      </c>
    </row>
    <row r="1241" spans="1:7" ht="15" customHeight="1" x14ac:dyDescent="0.75">
      <c r="A1241" s="18" t="s">
        <v>83</v>
      </c>
      <c r="B1241" s="19">
        <v>46153</v>
      </c>
      <c r="C1241" s="18" t="s">
        <v>66</v>
      </c>
      <c r="D1241" s="17">
        <v>666501</v>
      </c>
      <c r="E1241" s="18" t="s">
        <v>5</v>
      </c>
      <c r="F1241" s="20">
        <v>19.5</v>
      </c>
      <c r="G1241" s="20">
        <v>0</v>
      </c>
    </row>
    <row r="1242" spans="1:7" ht="15" customHeight="1" x14ac:dyDescent="0.75">
      <c r="A1242" s="18" t="s">
        <v>83</v>
      </c>
      <c r="B1242" s="19">
        <v>46153</v>
      </c>
      <c r="C1242" s="18" t="s">
        <v>66</v>
      </c>
      <c r="D1242" s="17">
        <v>666502</v>
      </c>
      <c r="E1242" s="18" t="s">
        <v>7</v>
      </c>
      <c r="F1242" s="20">
        <v>50</v>
      </c>
      <c r="G1242" s="20">
        <v>61</v>
      </c>
    </row>
    <row r="1243" spans="1:7" ht="15" customHeight="1" x14ac:dyDescent="0.75">
      <c r="A1243" s="18" t="s">
        <v>83</v>
      </c>
      <c r="B1243" s="19">
        <v>46153</v>
      </c>
      <c r="C1243" s="18" t="s">
        <v>66</v>
      </c>
      <c r="D1243" s="17">
        <v>666505</v>
      </c>
      <c r="E1243" s="18" t="s">
        <v>9</v>
      </c>
      <c r="F1243" s="20">
        <v>17</v>
      </c>
      <c r="G1243" s="20">
        <v>0</v>
      </c>
    </row>
    <row r="1244" spans="1:7" ht="15" customHeight="1" x14ac:dyDescent="0.75">
      <c r="A1244" s="18" t="s">
        <v>83</v>
      </c>
      <c r="B1244" s="19">
        <v>46153</v>
      </c>
      <c r="C1244" s="18" t="s">
        <v>66</v>
      </c>
      <c r="D1244" s="17">
        <v>666506</v>
      </c>
      <c r="E1244" s="18" t="s">
        <v>11</v>
      </c>
      <c r="F1244" s="20">
        <v>0</v>
      </c>
      <c r="G1244" s="20">
        <v>0</v>
      </c>
    </row>
    <row r="1245" spans="1:7" ht="15" customHeight="1" x14ac:dyDescent="0.75">
      <c r="A1245" s="18" t="s">
        <v>83</v>
      </c>
      <c r="B1245" s="19">
        <v>46153</v>
      </c>
      <c r="C1245" s="18" t="s">
        <v>66</v>
      </c>
      <c r="D1245" s="17">
        <v>666507</v>
      </c>
      <c r="E1245" s="18" t="s">
        <v>13</v>
      </c>
      <c r="F1245" s="20">
        <v>0</v>
      </c>
      <c r="G1245" s="20">
        <v>0</v>
      </c>
    </row>
    <row r="1246" spans="1:7" ht="15" customHeight="1" x14ac:dyDescent="0.75">
      <c r="A1246" s="18" t="s">
        <v>83</v>
      </c>
      <c r="B1246" s="19">
        <v>46153</v>
      </c>
      <c r="C1246" s="18" t="s">
        <v>66</v>
      </c>
      <c r="D1246" s="17">
        <v>666509</v>
      </c>
      <c r="E1246" s="18" t="s">
        <v>15</v>
      </c>
      <c r="F1246" s="20">
        <v>0</v>
      </c>
      <c r="G1246" s="20">
        <v>0</v>
      </c>
    </row>
    <row r="1247" spans="1:7" ht="15" customHeight="1" x14ac:dyDescent="0.75">
      <c r="A1247" s="18" t="s">
        <v>83</v>
      </c>
      <c r="B1247" s="19">
        <v>46153</v>
      </c>
      <c r="C1247" s="18" t="s">
        <v>66</v>
      </c>
      <c r="D1247" s="17">
        <v>666510</v>
      </c>
      <c r="E1247" s="18" t="s">
        <v>17</v>
      </c>
      <c r="F1247" s="20">
        <v>0</v>
      </c>
      <c r="G1247" s="20">
        <v>0</v>
      </c>
    </row>
    <row r="1248" spans="1:7" ht="15" customHeight="1" x14ac:dyDescent="0.75">
      <c r="A1248" s="18" t="s">
        <v>83</v>
      </c>
      <c r="B1248" s="19">
        <v>46153</v>
      </c>
      <c r="C1248" s="18" t="s">
        <v>66</v>
      </c>
      <c r="D1248" s="17">
        <v>666511</v>
      </c>
      <c r="E1248" s="18" t="s">
        <v>19</v>
      </c>
      <c r="F1248" s="20">
        <v>0</v>
      </c>
      <c r="G1248" s="20">
        <v>0</v>
      </c>
    </row>
    <row r="1249" spans="1:7" ht="15" customHeight="1" x14ac:dyDescent="0.75">
      <c r="A1249" s="18" t="s">
        <v>83</v>
      </c>
      <c r="B1249" s="19">
        <v>46153</v>
      </c>
      <c r="C1249" s="18" t="s">
        <v>66</v>
      </c>
      <c r="D1249" s="17">
        <v>666513</v>
      </c>
      <c r="E1249" s="18" t="s">
        <v>21</v>
      </c>
      <c r="F1249" s="20">
        <v>10</v>
      </c>
      <c r="G1249" s="20">
        <v>0</v>
      </c>
    </row>
    <row r="1250" spans="1:7" ht="15" customHeight="1" x14ac:dyDescent="0.75">
      <c r="A1250" s="18" t="s">
        <v>83</v>
      </c>
      <c r="B1250" s="19">
        <v>46153</v>
      </c>
      <c r="C1250" s="18" t="s">
        <v>66</v>
      </c>
      <c r="D1250" s="17">
        <v>666516</v>
      </c>
      <c r="E1250" s="18" t="s">
        <v>23</v>
      </c>
      <c r="F1250" s="20">
        <v>13.5</v>
      </c>
      <c r="G1250" s="20">
        <v>0</v>
      </c>
    </row>
    <row r="1251" spans="1:7" ht="15" customHeight="1" x14ac:dyDescent="0.75">
      <c r="A1251" s="18" t="s">
        <v>83</v>
      </c>
      <c r="B1251" s="19">
        <v>46153</v>
      </c>
      <c r="C1251" s="18" t="s">
        <v>66</v>
      </c>
      <c r="D1251" s="17">
        <v>666517</v>
      </c>
      <c r="E1251" s="18" t="s">
        <v>25</v>
      </c>
      <c r="F1251" s="20">
        <v>7.5</v>
      </c>
      <c r="G1251" s="20">
        <v>0</v>
      </c>
    </row>
    <row r="1252" spans="1:7" ht="15" customHeight="1" x14ac:dyDescent="0.75">
      <c r="A1252" s="18" t="s">
        <v>83</v>
      </c>
      <c r="B1252" s="19">
        <v>46153</v>
      </c>
      <c r="C1252" s="18" t="s">
        <v>66</v>
      </c>
      <c r="D1252" s="17">
        <v>666518</v>
      </c>
      <c r="E1252" s="18" t="s">
        <v>27</v>
      </c>
      <c r="F1252" s="20">
        <v>0</v>
      </c>
      <c r="G1252" s="20">
        <v>0</v>
      </c>
    </row>
    <row r="1253" spans="1:7" ht="15" customHeight="1" x14ac:dyDescent="0.75">
      <c r="A1253" s="18" t="s">
        <v>83</v>
      </c>
      <c r="B1253" s="19">
        <v>46153</v>
      </c>
      <c r="C1253" s="18" t="s">
        <v>66</v>
      </c>
      <c r="D1253" s="17">
        <v>666519</v>
      </c>
      <c r="E1253" s="18" t="s">
        <v>29</v>
      </c>
      <c r="F1253" s="20">
        <v>13</v>
      </c>
      <c r="G1253" s="20">
        <v>0</v>
      </c>
    </row>
    <row r="1254" spans="1:7" ht="15" customHeight="1" x14ac:dyDescent="0.75">
      <c r="A1254" s="18" t="s">
        <v>83</v>
      </c>
      <c r="B1254" s="19">
        <v>46153</v>
      </c>
      <c r="C1254" s="18" t="s">
        <v>66</v>
      </c>
      <c r="D1254" s="17">
        <v>666521</v>
      </c>
      <c r="E1254" s="18" t="s">
        <v>31</v>
      </c>
      <c r="F1254" s="20">
        <v>0</v>
      </c>
      <c r="G1254" s="20">
        <v>0</v>
      </c>
    </row>
    <row r="1255" spans="1:7" ht="15" customHeight="1" x14ac:dyDescent="0.75">
      <c r="A1255" s="18" t="s">
        <v>83</v>
      </c>
      <c r="B1255" s="19">
        <v>46153</v>
      </c>
      <c r="C1255" s="18" t="s">
        <v>66</v>
      </c>
      <c r="D1255" s="17">
        <v>666522</v>
      </c>
      <c r="E1255" s="18" t="s">
        <v>33</v>
      </c>
      <c r="F1255" s="20">
        <v>62.5</v>
      </c>
      <c r="G1255" s="20">
        <v>0</v>
      </c>
    </row>
    <row r="1256" spans="1:7" ht="15" customHeight="1" x14ac:dyDescent="0.75">
      <c r="A1256" s="18" t="s">
        <v>83</v>
      </c>
      <c r="B1256" s="19">
        <v>46153</v>
      </c>
      <c r="C1256" s="18" t="s">
        <v>66</v>
      </c>
      <c r="D1256" s="17">
        <v>666523</v>
      </c>
      <c r="E1256" s="18" t="s">
        <v>35</v>
      </c>
      <c r="F1256" s="20">
        <v>20</v>
      </c>
      <c r="G1256" s="20">
        <v>0</v>
      </c>
    </row>
    <row r="1257" spans="1:7" ht="15" customHeight="1" x14ac:dyDescent="0.75">
      <c r="A1257" s="18" t="s">
        <v>83</v>
      </c>
      <c r="B1257" s="19">
        <v>46153</v>
      </c>
      <c r="C1257" s="18" t="s">
        <v>66</v>
      </c>
      <c r="D1257" s="17">
        <v>666530</v>
      </c>
      <c r="E1257" s="18" t="s">
        <v>37</v>
      </c>
      <c r="F1257" s="20">
        <v>12</v>
      </c>
      <c r="G1257" s="20">
        <v>0</v>
      </c>
    </row>
    <row r="1258" spans="1:7" ht="15" customHeight="1" x14ac:dyDescent="0.75">
      <c r="A1258" s="18" t="s">
        <v>83</v>
      </c>
      <c r="B1258" s="19">
        <v>46153</v>
      </c>
      <c r="C1258" s="18" t="s">
        <v>66</v>
      </c>
      <c r="D1258" s="17">
        <v>666531</v>
      </c>
      <c r="E1258" s="18" t="s">
        <v>39</v>
      </c>
      <c r="F1258" s="20">
        <v>4</v>
      </c>
      <c r="G1258" s="20">
        <v>0</v>
      </c>
    </row>
    <row r="1259" spans="1:7" ht="15" customHeight="1" x14ac:dyDescent="0.75">
      <c r="A1259" s="18" t="s">
        <v>83</v>
      </c>
      <c r="B1259" s="19">
        <v>46153</v>
      </c>
      <c r="C1259" s="18" t="s">
        <v>66</v>
      </c>
      <c r="D1259" s="17">
        <v>666540</v>
      </c>
      <c r="E1259" s="18" t="s">
        <v>40</v>
      </c>
      <c r="F1259" s="20">
        <v>0</v>
      </c>
      <c r="G1259" s="20">
        <v>0</v>
      </c>
    </row>
    <row r="1260" spans="1:7" ht="15" customHeight="1" x14ac:dyDescent="0.75">
      <c r="A1260" s="18" t="s">
        <v>83</v>
      </c>
      <c r="B1260" s="19">
        <v>46153</v>
      </c>
      <c r="C1260" s="18" t="s">
        <v>66</v>
      </c>
      <c r="D1260" s="17">
        <v>666541</v>
      </c>
      <c r="E1260" s="18" t="s">
        <v>41</v>
      </c>
      <c r="F1260" s="20">
        <v>0</v>
      </c>
      <c r="G1260" s="20">
        <v>0</v>
      </c>
    </row>
    <row r="1261" spans="1:7" ht="15" customHeight="1" x14ac:dyDescent="0.75">
      <c r="A1261" s="18" t="s">
        <v>83</v>
      </c>
      <c r="B1261" s="19">
        <v>46153</v>
      </c>
      <c r="C1261" s="18" t="s">
        <v>66</v>
      </c>
      <c r="D1261" s="17">
        <v>666536</v>
      </c>
      <c r="E1261" s="18" t="s">
        <v>43</v>
      </c>
      <c r="F1261" s="20">
        <v>0</v>
      </c>
      <c r="G1261" s="20">
        <v>0</v>
      </c>
    </row>
    <row r="1262" spans="1:7" ht="15" customHeight="1" x14ac:dyDescent="0.75">
      <c r="A1262" s="18" t="s">
        <v>84</v>
      </c>
      <c r="B1262" s="19">
        <v>46160</v>
      </c>
      <c r="C1262" s="18" t="s">
        <v>56</v>
      </c>
      <c r="D1262" s="17">
        <v>666501</v>
      </c>
      <c r="E1262" s="18" t="s">
        <v>5</v>
      </c>
      <c r="F1262" s="20">
        <v>22.5</v>
      </c>
      <c r="G1262" s="20">
        <v>45</v>
      </c>
    </row>
    <row r="1263" spans="1:7" ht="15" customHeight="1" x14ac:dyDescent="0.75">
      <c r="A1263" s="18" t="s">
        <v>84</v>
      </c>
      <c r="B1263" s="19">
        <v>46160</v>
      </c>
      <c r="C1263" s="18" t="s">
        <v>56</v>
      </c>
      <c r="D1263" s="17">
        <v>666502</v>
      </c>
      <c r="E1263" s="18" t="s">
        <v>7</v>
      </c>
      <c r="F1263" s="20">
        <v>0</v>
      </c>
      <c r="G1263" s="20">
        <v>0</v>
      </c>
    </row>
    <row r="1264" spans="1:7" ht="15" customHeight="1" x14ac:dyDescent="0.75">
      <c r="A1264" s="18" t="s">
        <v>84</v>
      </c>
      <c r="B1264" s="19">
        <v>46160</v>
      </c>
      <c r="C1264" s="18" t="s">
        <v>56</v>
      </c>
      <c r="D1264" s="17">
        <v>666505</v>
      </c>
      <c r="E1264" s="18" t="s">
        <v>9</v>
      </c>
      <c r="F1264" s="20">
        <v>8</v>
      </c>
      <c r="G1264" s="20">
        <v>16</v>
      </c>
    </row>
    <row r="1265" spans="1:7" ht="15" customHeight="1" x14ac:dyDescent="0.75">
      <c r="A1265" s="18" t="s">
        <v>84</v>
      </c>
      <c r="B1265" s="19">
        <v>46160</v>
      </c>
      <c r="C1265" s="18" t="s">
        <v>56</v>
      </c>
      <c r="D1265" s="17">
        <v>666506</v>
      </c>
      <c r="E1265" s="18" t="s">
        <v>11</v>
      </c>
      <c r="F1265" s="20">
        <v>0</v>
      </c>
      <c r="G1265" s="20">
        <v>0</v>
      </c>
    </row>
    <row r="1266" spans="1:7" ht="15" customHeight="1" x14ac:dyDescent="0.75">
      <c r="A1266" s="18" t="s">
        <v>84</v>
      </c>
      <c r="B1266" s="19">
        <v>46160</v>
      </c>
      <c r="C1266" s="18" t="s">
        <v>56</v>
      </c>
      <c r="D1266" s="17">
        <v>666507</v>
      </c>
      <c r="E1266" s="18" t="s">
        <v>13</v>
      </c>
      <c r="F1266" s="20">
        <v>8</v>
      </c>
      <c r="G1266" s="20">
        <v>0</v>
      </c>
    </row>
    <row r="1267" spans="1:7" ht="15" customHeight="1" x14ac:dyDescent="0.75">
      <c r="A1267" s="18" t="s">
        <v>84</v>
      </c>
      <c r="B1267" s="19">
        <v>46160</v>
      </c>
      <c r="C1267" s="18" t="s">
        <v>56</v>
      </c>
      <c r="D1267" s="17">
        <v>666509</v>
      </c>
      <c r="E1267" s="18" t="s">
        <v>15</v>
      </c>
      <c r="F1267" s="20">
        <v>25</v>
      </c>
      <c r="G1267" s="20">
        <v>50</v>
      </c>
    </row>
    <row r="1268" spans="1:7" ht="15" customHeight="1" x14ac:dyDescent="0.75">
      <c r="A1268" s="18" t="s">
        <v>84</v>
      </c>
      <c r="B1268" s="19">
        <v>46160</v>
      </c>
      <c r="C1268" s="18" t="s">
        <v>56</v>
      </c>
      <c r="D1268" s="17">
        <v>666510</v>
      </c>
      <c r="E1268" s="18" t="s">
        <v>17</v>
      </c>
      <c r="F1268" s="20">
        <v>0</v>
      </c>
      <c r="G1268" s="20">
        <v>0</v>
      </c>
    </row>
    <row r="1269" spans="1:7" ht="15" customHeight="1" x14ac:dyDescent="0.75">
      <c r="A1269" s="18" t="s">
        <v>84</v>
      </c>
      <c r="B1269" s="19">
        <v>46160</v>
      </c>
      <c r="C1269" s="18" t="s">
        <v>56</v>
      </c>
      <c r="D1269" s="17">
        <v>666511</v>
      </c>
      <c r="E1269" s="18" t="s">
        <v>19</v>
      </c>
      <c r="F1269" s="20">
        <v>2</v>
      </c>
      <c r="G1269" s="20">
        <v>0</v>
      </c>
    </row>
    <row r="1270" spans="1:7" ht="15" customHeight="1" x14ac:dyDescent="0.75">
      <c r="A1270" s="18" t="s">
        <v>84</v>
      </c>
      <c r="B1270" s="19">
        <v>46160</v>
      </c>
      <c r="C1270" s="18" t="s">
        <v>56</v>
      </c>
      <c r="D1270" s="17">
        <v>666513</v>
      </c>
      <c r="E1270" s="18" t="s">
        <v>21</v>
      </c>
      <c r="F1270" s="20">
        <v>4</v>
      </c>
      <c r="G1270" s="20">
        <v>8</v>
      </c>
    </row>
    <row r="1271" spans="1:7" ht="15" customHeight="1" x14ac:dyDescent="0.75">
      <c r="A1271" s="18" t="s">
        <v>84</v>
      </c>
      <c r="B1271" s="19">
        <v>46160</v>
      </c>
      <c r="C1271" s="18" t="s">
        <v>56</v>
      </c>
      <c r="D1271" s="17">
        <v>666516</v>
      </c>
      <c r="E1271" s="18" t="s">
        <v>23</v>
      </c>
      <c r="F1271" s="20">
        <v>10</v>
      </c>
      <c r="G1271" s="20">
        <v>20</v>
      </c>
    </row>
    <row r="1272" spans="1:7" ht="15" customHeight="1" x14ac:dyDescent="0.75">
      <c r="A1272" s="18" t="s">
        <v>84</v>
      </c>
      <c r="B1272" s="19">
        <v>46160</v>
      </c>
      <c r="C1272" s="18" t="s">
        <v>56</v>
      </c>
      <c r="D1272" s="17">
        <v>666517</v>
      </c>
      <c r="E1272" s="18" t="s">
        <v>25</v>
      </c>
      <c r="F1272" s="20">
        <v>15</v>
      </c>
      <c r="G1272" s="20">
        <v>30</v>
      </c>
    </row>
    <row r="1273" spans="1:7" ht="15" customHeight="1" x14ac:dyDescent="0.75">
      <c r="A1273" s="18" t="s">
        <v>84</v>
      </c>
      <c r="B1273" s="19">
        <v>46160</v>
      </c>
      <c r="C1273" s="18" t="s">
        <v>56</v>
      </c>
      <c r="D1273" s="17">
        <v>666518</v>
      </c>
      <c r="E1273" s="18" t="s">
        <v>27</v>
      </c>
      <c r="F1273" s="20">
        <v>0</v>
      </c>
      <c r="G1273" s="20">
        <v>0</v>
      </c>
    </row>
    <row r="1274" spans="1:7" ht="15" customHeight="1" x14ac:dyDescent="0.75">
      <c r="A1274" s="18" t="s">
        <v>84</v>
      </c>
      <c r="B1274" s="19">
        <v>46160</v>
      </c>
      <c r="C1274" s="18" t="s">
        <v>56</v>
      </c>
      <c r="D1274" s="17">
        <v>666519</v>
      </c>
      <c r="E1274" s="18" t="s">
        <v>29</v>
      </c>
      <c r="F1274" s="20">
        <v>13</v>
      </c>
      <c r="G1274" s="20">
        <v>26</v>
      </c>
    </row>
    <row r="1275" spans="1:7" ht="15" customHeight="1" x14ac:dyDescent="0.75">
      <c r="A1275" s="18" t="s">
        <v>84</v>
      </c>
      <c r="B1275" s="19">
        <v>46160</v>
      </c>
      <c r="C1275" s="18" t="s">
        <v>56</v>
      </c>
      <c r="D1275" s="17">
        <v>666521</v>
      </c>
      <c r="E1275" s="18" t="s">
        <v>31</v>
      </c>
      <c r="F1275" s="20">
        <v>32</v>
      </c>
      <c r="G1275" s="20">
        <v>49</v>
      </c>
    </row>
    <row r="1276" spans="1:7" ht="15" customHeight="1" x14ac:dyDescent="0.75">
      <c r="A1276" s="18" t="s">
        <v>84</v>
      </c>
      <c r="B1276" s="19">
        <v>46160</v>
      </c>
      <c r="C1276" s="18" t="s">
        <v>56</v>
      </c>
      <c r="D1276" s="17">
        <v>666522</v>
      </c>
      <c r="E1276" s="18" t="s">
        <v>33</v>
      </c>
      <c r="F1276" s="20">
        <v>90</v>
      </c>
      <c r="G1276" s="20">
        <v>105</v>
      </c>
    </row>
    <row r="1277" spans="1:7" ht="15" customHeight="1" x14ac:dyDescent="0.75">
      <c r="A1277" s="18" t="s">
        <v>84</v>
      </c>
      <c r="B1277" s="19">
        <v>46160</v>
      </c>
      <c r="C1277" s="18" t="s">
        <v>56</v>
      </c>
      <c r="D1277" s="17">
        <v>666523</v>
      </c>
      <c r="E1277" s="18" t="s">
        <v>35</v>
      </c>
      <c r="F1277" s="20">
        <v>0</v>
      </c>
      <c r="G1277" s="20">
        <v>0</v>
      </c>
    </row>
    <row r="1278" spans="1:7" ht="15" customHeight="1" x14ac:dyDescent="0.75">
      <c r="A1278" s="18" t="s">
        <v>84</v>
      </c>
      <c r="B1278" s="19">
        <v>46160</v>
      </c>
      <c r="C1278" s="18" t="s">
        <v>56</v>
      </c>
      <c r="D1278" s="17">
        <v>666530</v>
      </c>
      <c r="E1278" s="18" t="s">
        <v>37</v>
      </c>
      <c r="F1278" s="20">
        <v>0</v>
      </c>
      <c r="G1278" s="20">
        <v>0</v>
      </c>
    </row>
    <row r="1279" spans="1:7" ht="15" customHeight="1" x14ac:dyDescent="0.75">
      <c r="A1279" s="18" t="s">
        <v>84</v>
      </c>
      <c r="B1279" s="19">
        <v>46160</v>
      </c>
      <c r="C1279" s="18" t="s">
        <v>56</v>
      </c>
      <c r="D1279" s="17">
        <v>666531</v>
      </c>
      <c r="E1279" s="18" t="s">
        <v>39</v>
      </c>
      <c r="F1279" s="20">
        <v>10</v>
      </c>
      <c r="G1279" s="20">
        <v>13</v>
      </c>
    </row>
    <row r="1280" spans="1:7" ht="15" customHeight="1" x14ac:dyDescent="0.75">
      <c r="A1280" s="18" t="s">
        <v>84</v>
      </c>
      <c r="B1280" s="19">
        <v>46160</v>
      </c>
      <c r="C1280" s="18" t="s">
        <v>56</v>
      </c>
      <c r="D1280" s="17">
        <v>666540</v>
      </c>
      <c r="E1280" s="18" t="s">
        <v>40</v>
      </c>
      <c r="F1280" s="20">
        <v>0</v>
      </c>
      <c r="G1280" s="20">
        <v>0</v>
      </c>
    </row>
    <row r="1281" spans="1:7" ht="15" customHeight="1" x14ac:dyDescent="0.75">
      <c r="A1281" s="18" t="s">
        <v>84</v>
      </c>
      <c r="B1281" s="19">
        <v>46160</v>
      </c>
      <c r="C1281" s="18" t="s">
        <v>56</v>
      </c>
      <c r="D1281" s="17">
        <v>666541</v>
      </c>
      <c r="E1281" s="18" t="s">
        <v>41</v>
      </c>
      <c r="F1281" s="20">
        <v>0</v>
      </c>
      <c r="G1281" s="20">
        <v>0</v>
      </c>
    </row>
    <row r="1282" spans="1:7" ht="15" customHeight="1" x14ac:dyDescent="0.75">
      <c r="A1282" s="18" t="s">
        <v>84</v>
      </c>
      <c r="B1282" s="19">
        <v>46160</v>
      </c>
      <c r="C1282" s="18" t="s">
        <v>56</v>
      </c>
      <c r="D1282" s="17">
        <v>666536</v>
      </c>
      <c r="E1282" s="18" t="s">
        <v>43</v>
      </c>
      <c r="F1282" s="20">
        <v>20</v>
      </c>
      <c r="G1282" s="20">
        <v>17</v>
      </c>
    </row>
    <row r="1283" spans="1:7" ht="15" customHeight="1" x14ac:dyDescent="0.75">
      <c r="A1283" s="18" t="s">
        <v>84</v>
      </c>
      <c r="B1283" s="19">
        <v>46160</v>
      </c>
      <c r="C1283" s="18" t="s">
        <v>58</v>
      </c>
      <c r="D1283" s="17">
        <v>666501</v>
      </c>
      <c r="E1283" s="18" t="s">
        <v>5</v>
      </c>
      <c r="F1283" s="20">
        <v>211.5</v>
      </c>
      <c r="G1283" s="20">
        <v>282</v>
      </c>
    </row>
    <row r="1284" spans="1:7" ht="15" customHeight="1" x14ac:dyDescent="0.75">
      <c r="A1284" s="18" t="s">
        <v>84</v>
      </c>
      <c r="B1284" s="19">
        <v>46160</v>
      </c>
      <c r="C1284" s="18" t="s">
        <v>58</v>
      </c>
      <c r="D1284" s="17">
        <v>666502</v>
      </c>
      <c r="E1284" s="18" t="s">
        <v>7</v>
      </c>
      <c r="F1284" s="20">
        <v>130</v>
      </c>
      <c r="G1284" s="20">
        <v>145</v>
      </c>
    </row>
    <row r="1285" spans="1:7" ht="15" customHeight="1" x14ac:dyDescent="0.75">
      <c r="A1285" s="18" t="s">
        <v>84</v>
      </c>
      <c r="B1285" s="19">
        <v>46160</v>
      </c>
      <c r="C1285" s="18" t="s">
        <v>58</v>
      </c>
      <c r="D1285" s="17">
        <v>666505</v>
      </c>
      <c r="E1285" s="18" t="s">
        <v>9</v>
      </c>
      <c r="F1285" s="20">
        <v>0</v>
      </c>
      <c r="G1285" s="20">
        <v>0</v>
      </c>
    </row>
    <row r="1286" spans="1:7" ht="15" customHeight="1" x14ac:dyDescent="0.75">
      <c r="A1286" s="18" t="s">
        <v>84</v>
      </c>
      <c r="B1286" s="19">
        <v>46160</v>
      </c>
      <c r="C1286" s="18" t="s">
        <v>58</v>
      </c>
      <c r="D1286" s="17">
        <v>666506</v>
      </c>
      <c r="E1286" s="18" t="s">
        <v>11</v>
      </c>
      <c r="F1286" s="20">
        <v>101.5</v>
      </c>
      <c r="G1286" s="20">
        <v>203</v>
      </c>
    </row>
    <row r="1287" spans="1:7" ht="15" customHeight="1" x14ac:dyDescent="0.75">
      <c r="A1287" s="18" t="s">
        <v>84</v>
      </c>
      <c r="B1287" s="19">
        <v>46160</v>
      </c>
      <c r="C1287" s="18" t="s">
        <v>58</v>
      </c>
      <c r="D1287" s="17">
        <v>666507</v>
      </c>
      <c r="E1287" s="18" t="s">
        <v>13</v>
      </c>
      <c r="F1287" s="20">
        <v>0</v>
      </c>
      <c r="G1287" s="20">
        <v>0</v>
      </c>
    </row>
    <row r="1288" spans="1:7" ht="15" customHeight="1" x14ac:dyDescent="0.75">
      <c r="A1288" s="18" t="s">
        <v>84</v>
      </c>
      <c r="B1288" s="19">
        <v>46160</v>
      </c>
      <c r="C1288" s="18" t="s">
        <v>58</v>
      </c>
      <c r="D1288" s="17">
        <v>666509</v>
      </c>
      <c r="E1288" s="18" t="s">
        <v>15</v>
      </c>
      <c r="F1288" s="20">
        <v>0</v>
      </c>
      <c r="G1288" s="20">
        <v>0</v>
      </c>
    </row>
    <row r="1289" spans="1:7" ht="15" customHeight="1" x14ac:dyDescent="0.75">
      <c r="A1289" s="18" t="s">
        <v>84</v>
      </c>
      <c r="B1289" s="19">
        <v>46160</v>
      </c>
      <c r="C1289" s="18" t="s">
        <v>58</v>
      </c>
      <c r="D1289" s="17">
        <v>666510</v>
      </c>
      <c r="E1289" s="18" t="s">
        <v>17</v>
      </c>
      <c r="F1289" s="20">
        <v>0</v>
      </c>
      <c r="G1289" s="20">
        <v>0</v>
      </c>
    </row>
    <row r="1290" spans="1:7" ht="15" customHeight="1" x14ac:dyDescent="0.75">
      <c r="A1290" s="18" t="s">
        <v>84</v>
      </c>
      <c r="B1290" s="19">
        <v>46160</v>
      </c>
      <c r="C1290" s="18" t="s">
        <v>58</v>
      </c>
      <c r="D1290" s="17">
        <v>666511</v>
      </c>
      <c r="E1290" s="18" t="s">
        <v>19</v>
      </c>
      <c r="F1290" s="20">
        <v>0</v>
      </c>
      <c r="G1290" s="20">
        <v>0</v>
      </c>
    </row>
    <row r="1291" spans="1:7" ht="15" customHeight="1" x14ac:dyDescent="0.75">
      <c r="A1291" s="18" t="s">
        <v>84</v>
      </c>
      <c r="B1291" s="19">
        <v>46160</v>
      </c>
      <c r="C1291" s="18" t="s">
        <v>58</v>
      </c>
      <c r="D1291" s="17">
        <v>666513</v>
      </c>
      <c r="E1291" s="18" t="s">
        <v>21</v>
      </c>
      <c r="F1291" s="20">
        <v>0</v>
      </c>
      <c r="G1291" s="20">
        <v>0</v>
      </c>
    </row>
    <row r="1292" spans="1:7" ht="15" customHeight="1" x14ac:dyDescent="0.75">
      <c r="A1292" s="18" t="s">
        <v>84</v>
      </c>
      <c r="B1292" s="19">
        <v>46160</v>
      </c>
      <c r="C1292" s="18" t="s">
        <v>58</v>
      </c>
      <c r="D1292" s="17">
        <v>666516</v>
      </c>
      <c r="E1292" s="18" t="s">
        <v>23</v>
      </c>
      <c r="F1292" s="20">
        <v>0</v>
      </c>
      <c r="G1292" s="20">
        <v>0</v>
      </c>
    </row>
    <row r="1293" spans="1:7" ht="15" customHeight="1" x14ac:dyDescent="0.75">
      <c r="A1293" s="18" t="s">
        <v>84</v>
      </c>
      <c r="B1293" s="19">
        <v>46160</v>
      </c>
      <c r="C1293" s="18" t="s">
        <v>58</v>
      </c>
      <c r="D1293" s="17">
        <v>666517</v>
      </c>
      <c r="E1293" s="18" t="s">
        <v>25</v>
      </c>
      <c r="F1293" s="20">
        <v>0</v>
      </c>
      <c r="G1293" s="20">
        <v>0</v>
      </c>
    </row>
    <row r="1294" spans="1:7" ht="15" customHeight="1" x14ac:dyDescent="0.75">
      <c r="A1294" s="18" t="s">
        <v>84</v>
      </c>
      <c r="B1294" s="19">
        <v>46160</v>
      </c>
      <c r="C1294" s="18" t="s">
        <v>58</v>
      </c>
      <c r="D1294" s="17">
        <v>666518</v>
      </c>
      <c r="E1294" s="18" t="s">
        <v>27</v>
      </c>
      <c r="F1294" s="20">
        <v>0</v>
      </c>
      <c r="G1294" s="20">
        <v>0</v>
      </c>
    </row>
    <row r="1295" spans="1:7" ht="15" customHeight="1" x14ac:dyDescent="0.75">
      <c r="A1295" s="18" t="s">
        <v>84</v>
      </c>
      <c r="B1295" s="19">
        <v>46160</v>
      </c>
      <c r="C1295" s="18" t="s">
        <v>58</v>
      </c>
      <c r="D1295" s="17">
        <v>666519</v>
      </c>
      <c r="E1295" s="18" t="s">
        <v>29</v>
      </c>
      <c r="F1295" s="20">
        <v>0</v>
      </c>
      <c r="G1295" s="20">
        <v>0</v>
      </c>
    </row>
    <row r="1296" spans="1:7" ht="15" customHeight="1" x14ac:dyDescent="0.75">
      <c r="A1296" s="18" t="s">
        <v>84</v>
      </c>
      <c r="B1296" s="19">
        <v>46160</v>
      </c>
      <c r="C1296" s="18" t="s">
        <v>58</v>
      </c>
      <c r="D1296" s="17">
        <v>666521</v>
      </c>
      <c r="E1296" s="18" t="s">
        <v>31</v>
      </c>
      <c r="F1296" s="20">
        <v>0</v>
      </c>
      <c r="G1296" s="20">
        <v>0</v>
      </c>
    </row>
    <row r="1297" spans="1:7" ht="15" customHeight="1" x14ac:dyDescent="0.75">
      <c r="A1297" s="18" t="s">
        <v>84</v>
      </c>
      <c r="B1297" s="19">
        <v>46160</v>
      </c>
      <c r="C1297" s="18" t="s">
        <v>58</v>
      </c>
      <c r="D1297" s="17">
        <v>666522</v>
      </c>
      <c r="E1297" s="18" t="s">
        <v>33</v>
      </c>
      <c r="F1297" s="20">
        <v>50</v>
      </c>
      <c r="G1297" s="20">
        <v>50</v>
      </c>
    </row>
    <row r="1298" spans="1:7" ht="15" customHeight="1" x14ac:dyDescent="0.75">
      <c r="A1298" s="18" t="s">
        <v>84</v>
      </c>
      <c r="B1298" s="19">
        <v>46160</v>
      </c>
      <c r="C1298" s="18" t="s">
        <v>58</v>
      </c>
      <c r="D1298" s="17">
        <v>666523</v>
      </c>
      <c r="E1298" s="18" t="s">
        <v>35</v>
      </c>
      <c r="F1298" s="20">
        <v>0</v>
      </c>
      <c r="G1298" s="20">
        <v>0</v>
      </c>
    </row>
    <row r="1299" spans="1:7" ht="15" customHeight="1" x14ac:dyDescent="0.75">
      <c r="A1299" s="18" t="s">
        <v>84</v>
      </c>
      <c r="B1299" s="19">
        <v>46160</v>
      </c>
      <c r="C1299" s="18" t="s">
        <v>58</v>
      </c>
      <c r="D1299" s="17">
        <v>666530</v>
      </c>
      <c r="E1299" s="18" t="s">
        <v>37</v>
      </c>
      <c r="F1299" s="20">
        <v>0</v>
      </c>
      <c r="G1299" s="20">
        <v>0</v>
      </c>
    </row>
    <row r="1300" spans="1:7" ht="15" customHeight="1" x14ac:dyDescent="0.75">
      <c r="A1300" s="18" t="s">
        <v>84</v>
      </c>
      <c r="B1300" s="19">
        <v>46160</v>
      </c>
      <c r="C1300" s="18" t="s">
        <v>58</v>
      </c>
      <c r="D1300" s="17">
        <v>666531</v>
      </c>
      <c r="E1300" s="18" t="s">
        <v>39</v>
      </c>
      <c r="F1300" s="20">
        <v>0</v>
      </c>
      <c r="G1300" s="20">
        <v>0</v>
      </c>
    </row>
    <row r="1301" spans="1:7" ht="15" customHeight="1" x14ac:dyDescent="0.75">
      <c r="A1301" s="18" t="s">
        <v>84</v>
      </c>
      <c r="B1301" s="19">
        <v>46160</v>
      </c>
      <c r="C1301" s="18" t="s">
        <v>58</v>
      </c>
      <c r="D1301" s="17">
        <v>666540</v>
      </c>
      <c r="E1301" s="18" t="s">
        <v>40</v>
      </c>
      <c r="F1301" s="20">
        <v>20</v>
      </c>
      <c r="G1301" s="20">
        <v>0</v>
      </c>
    </row>
    <row r="1302" spans="1:7" ht="15" customHeight="1" x14ac:dyDescent="0.75">
      <c r="A1302" s="18" t="s">
        <v>84</v>
      </c>
      <c r="B1302" s="19">
        <v>46160</v>
      </c>
      <c r="C1302" s="18" t="s">
        <v>58</v>
      </c>
      <c r="D1302" s="17">
        <v>666541</v>
      </c>
      <c r="E1302" s="18" t="s">
        <v>41</v>
      </c>
      <c r="F1302" s="20">
        <v>340</v>
      </c>
      <c r="G1302" s="20">
        <v>202</v>
      </c>
    </row>
    <row r="1303" spans="1:7" ht="15" customHeight="1" x14ac:dyDescent="0.75">
      <c r="A1303" s="18" t="s">
        <v>84</v>
      </c>
      <c r="B1303" s="19">
        <v>46160</v>
      </c>
      <c r="C1303" s="18" t="s">
        <v>58</v>
      </c>
      <c r="D1303" s="17">
        <v>666536</v>
      </c>
      <c r="E1303" s="18" t="s">
        <v>43</v>
      </c>
      <c r="F1303" s="20">
        <v>0</v>
      </c>
      <c r="G1303" s="20">
        <v>0</v>
      </c>
    </row>
    <row r="1304" spans="1:7" ht="15" customHeight="1" x14ac:dyDescent="0.75">
      <c r="A1304" s="18" t="s">
        <v>84</v>
      </c>
      <c r="B1304" s="19">
        <v>46160</v>
      </c>
      <c r="C1304" s="18" t="s">
        <v>66</v>
      </c>
      <c r="D1304" s="17">
        <v>666501</v>
      </c>
      <c r="E1304" s="18" t="s">
        <v>5</v>
      </c>
      <c r="F1304" s="20">
        <v>19.5</v>
      </c>
      <c r="G1304" s="20">
        <v>39</v>
      </c>
    </row>
    <row r="1305" spans="1:7" ht="15" customHeight="1" x14ac:dyDescent="0.75">
      <c r="A1305" s="18" t="s">
        <v>84</v>
      </c>
      <c r="B1305" s="19">
        <v>46160</v>
      </c>
      <c r="C1305" s="18" t="s">
        <v>66</v>
      </c>
      <c r="D1305" s="17">
        <v>666502</v>
      </c>
      <c r="E1305" s="18" t="s">
        <v>7</v>
      </c>
      <c r="F1305" s="20">
        <v>50</v>
      </c>
      <c r="G1305" s="20">
        <v>37</v>
      </c>
    </row>
    <row r="1306" spans="1:7" ht="15" customHeight="1" x14ac:dyDescent="0.75">
      <c r="A1306" s="18" t="s">
        <v>84</v>
      </c>
      <c r="B1306" s="19">
        <v>46160</v>
      </c>
      <c r="C1306" s="18" t="s">
        <v>66</v>
      </c>
      <c r="D1306" s="17">
        <v>666505</v>
      </c>
      <c r="E1306" s="18" t="s">
        <v>9</v>
      </c>
      <c r="F1306" s="20">
        <v>17</v>
      </c>
      <c r="G1306" s="20">
        <v>34</v>
      </c>
    </row>
    <row r="1307" spans="1:7" ht="15" customHeight="1" x14ac:dyDescent="0.75">
      <c r="A1307" s="18" t="s">
        <v>84</v>
      </c>
      <c r="B1307" s="19">
        <v>46160</v>
      </c>
      <c r="C1307" s="18" t="s">
        <v>66</v>
      </c>
      <c r="D1307" s="17">
        <v>666506</v>
      </c>
      <c r="E1307" s="18" t="s">
        <v>11</v>
      </c>
      <c r="F1307" s="20">
        <v>0</v>
      </c>
      <c r="G1307" s="20">
        <v>0</v>
      </c>
    </row>
    <row r="1308" spans="1:7" ht="15" customHeight="1" x14ac:dyDescent="0.75">
      <c r="A1308" s="18" t="s">
        <v>84</v>
      </c>
      <c r="B1308" s="19">
        <v>46160</v>
      </c>
      <c r="C1308" s="18" t="s">
        <v>66</v>
      </c>
      <c r="D1308" s="17">
        <v>666507</v>
      </c>
      <c r="E1308" s="18" t="s">
        <v>13</v>
      </c>
      <c r="F1308" s="20">
        <v>0</v>
      </c>
      <c r="G1308" s="20">
        <v>0</v>
      </c>
    </row>
    <row r="1309" spans="1:7" ht="15" customHeight="1" x14ac:dyDescent="0.75">
      <c r="A1309" s="18" t="s">
        <v>84</v>
      </c>
      <c r="B1309" s="19">
        <v>46160</v>
      </c>
      <c r="C1309" s="18" t="s">
        <v>66</v>
      </c>
      <c r="D1309" s="17">
        <v>666509</v>
      </c>
      <c r="E1309" s="18" t="s">
        <v>15</v>
      </c>
      <c r="F1309" s="20">
        <v>0</v>
      </c>
      <c r="G1309" s="20">
        <v>0</v>
      </c>
    </row>
    <row r="1310" spans="1:7" ht="15" customHeight="1" x14ac:dyDescent="0.75">
      <c r="A1310" s="18" t="s">
        <v>84</v>
      </c>
      <c r="B1310" s="19">
        <v>46160</v>
      </c>
      <c r="C1310" s="18" t="s">
        <v>66</v>
      </c>
      <c r="D1310" s="17">
        <v>666510</v>
      </c>
      <c r="E1310" s="18" t="s">
        <v>17</v>
      </c>
      <c r="F1310" s="20">
        <v>0</v>
      </c>
      <c r="G1310" s="20">
        <v>0</v>
      </c>
    </row>
    <row r="1311" spans="1:7" ht="15" customHeight="1" x14ac:dyDescent="0.75">
      <c r="A1311" s="18" t="s">
        <v>84</v>
      </c>
      <c r="B1311" s="19">
        <v>46160</v>
      </c>
      <c r="C1311" s="18" t="s">
        <v>66</v>
      </c>
      <c r="D1311" s="17">
        <v>666511</v>
      </c>
      <c r="E1311" s="18" t="s">
        <v>19</v>
      </c>
      <c r="F1311" s="20">
        <v>0</v>
      </c>
      <c r="G1311" s="20">
        <v>0</v>
      </c>
    </row>
    <row r="1312" spans="1:7" ht="15" customHeight="1" x14ac:dyDescent="0.75">
      <c r="A1312" s="18" t="s">
        <v>84</v>
      </c>
      <c r="B1312" s="19">
        <v>46160</v>
      </c>
      <c r="C1312" s="18" t="s">
        <v>66</v>
      </c>
      <c r="D1312" s="17">
        <v>666513</v>
      </c>
      <c r="E1312" s="18" t="s">
        <v>21</v>
      </c>
      <c r="F1312" s="20">
        <v>10</v>
      </c>
      <c r="G1312" s="20">
        <v>20</v>
      </c>
    </row>
    <row r="1313" spans="1:7" ht="15" customHeight="1" x14ac:dyDescent="0.75">
      <c r="A1313" s="18" t="s">
        <v>84</v>
      </c>
      <c r="B1313" s="19">
        <v>46160</v>
      </c>
      <c r="C1313" s="18" t="s">
        <v>66</v>
      </c>
      <c r="D1313" s="17">
        <v>666516</v>
      </c>
      <c r="E1313" s="18" t="s">
        <v>23</v>
      </c>
      <c r="F1313" s="20">
        <v>10</v>
      </c>
      <c r="G1313" s="20">
        <v>20</v>
      </c>
    </row>
    <row r="1314" spans="1:7" ht="15" customHeight="1" x14ac:dyDescent="0.75">
      <c r="A1314" s="18" t="s">
        <v>84</v>
      </c>
      <c r="B1314" s="19">
        <v>46160</v>
      </c>
      <c r="C1314" s="18" t="s">
        <v>66</v>
      </c>
      <c r="D1314" s="17">
        <v>666517</v>
      </c>
      <c r="E1314" s="18" t="s">
        <v>25</v>
      </c>
      <c r="F1314" s="20">
        <v>7</v>
      </c>
      <c r="G1314" s="20">
        <v>14</v>
      </c>
    </row>
    <row r="1315" spans="1:7" ht="15" customHeight="1" x14ac:dyDescent="0.75">
      <c r="A1315" s="18" t="s">
        <v>84</v>
      </c>
      <c r="B1315" s="19">
        <v>46160</v>
      </c>
      <c r="C1315" s="18" t="s">
        <v>66</v>
      </c>
      <c r="D1315" s="17">
        <v>666518</v>
      </c>
      <c r="E1315" s="18" t="s">
        <v>27</v>
      </c>
      <c r="F1315" s="20">
        <v>0</v>
      </c>
      <c r="G1315" s="20">
        <v>0</v>
      </c>
    </row>
    <row r="1316" spans="1:7" ht="15" customHeight="1" x14ac:dyDescent="0.75">
      <c r="A1316" s="18" t="s">
        <v>84</v>
      </c>
      <c r="B1316" s="19">
        <v>46160</v>
      </c>
      <c r="C1316" s="18" t="s">
        <v>66</v>
      </c>
      <c r="D1316" s="17">
        <v>666519</v>
      </c>
      <c r="E1316" s="18" t="s">
        <v>29</v>
      </c>
      <c r="F1316" s="20">
        <v>13</v>
      </c>
      <c r="G1316" s="20">
        <v>26</v>
      </c>
    </row>
    <row r="1317" spans="1:7" ht="15" customHeight="1" x14ac:dyDescent="0.75">
      <c r="A1317" s="18" t="s">
        <v>84</v>
      </c>
      <c r="B1317" s="19">
        <v>46160</v>
      </c>
      <c r="C1317" s="18" t="s">
        <v>66</v>
      </c>
      <c r="D1317" s="17">
        <v>666521</v>
      </c>
      <c r="E1317" s="18" t="s">
        <v>31</v>
      </c>
      <c r="F1317" s="20">
        <v>0</v>
      </c>
      <c r="G1317" s="20">
        <v>0</v>
      </c>
    </row>
    <row r="1318" spans="1:7" ht="15" customHeight="1" x14ac:dyDescent="0.75">
      <c r="A1318" s="18" t="s">
        <v>84</v>
      </c>
      <c r="B1318" s="19">
        <v>46160</v>
      </c>
      <c r="C1318" s="18" t="s">
        <v>66</v>
      </c>
      <c r="D1318" s="17">
        <v>666522</v>
      </c>
      <c r="E1318" s="18" t="s">
        <v>33</v>
      </c>
      <c r="F1318" s="20">
        <v>62.5</v>
      </c>
      <c r="G1318" s="20">
        <v>105</v>
      </c>
    </row>
    <row r="1319" spans="1:7" ht="15" customHeight="1" x14ac:dyDescent="0.75">
      <c r="A1319" s="18" t="s">
        <v>84</v>
      </c>
      <c r="B1319" s="19">
        <v>46160</v>
      </c>
      <c r="C1319" s="18" t="s">
        <v>66</v>
      </c>
      <c r="D1319" s="17">
        <v>666523</v>
      </c>
      <c r="E1319" s="18" t="s">
        <v>35</v>
      </c>
      <c r="F1319" s="20">
        <v>16</v>
      </c>
      <c r="G1319" s="20">
        <v>32</v>
      </c>
    </row>
    <row r="1320" spans="1:7" ht="15" customHeight="1" x14ac:dyDescent="0.75">
      <c r="A1320" s="18" t="s">
        <v>84</v>
      </c>
      <c r="B1320" s="19">
        <v>46160</v>
      </c>
      <c r="C1320" s="18" t="s">
        <v>66</v>
      </c>
      <c r="D1320" s="17">
        <v>666530</v>
      </c>
      <c r="E1320" s="18" t="s">
        <v>37</v>
      </c>
      <c r="F1320" s="20">
        <v>12</v>
      </c>
      <c r="G1320" s="20">
        <v>24</v>
      </c>
    </row>
    <row r="1321" spans="1:7" ht="15" customHeight="1" x14ac:dyDescent="0.75">
      <c r="A1321" s="18" t="s">
        <v>84</v>
      </c>
      <c r="B1321" s="19">
        <v>46160</v>
      </c>
      <c r="C1321" s="18" t="s">
        <v>66</v>
      </c>
      <c r="D1321" s="17">
        <v>666531</v>
      </c>
      <c r="E1321" s="18" t="s">
        <v>39</v>
      </c>
      <c r="F1321" s="20">
        <v>4</v>
      </c>
      <c r="G1321" s="20">
        <v>2</v>
      </c>
    </row>
    <row r="1322" spans="1:7" ht="15" customHeight="1" x14ac:dyDescent="0.75">
      <c r="A1322" s="18" t="s">
        <v>84</v>
      </c>
      <c r="B1322" s="19">
        <v>46160</v>
      </c>
      <c r="C1322" s="18" t="s">
        <v>66</v>
      </c>
      <c r="D1322" s="17">
        <v>666540</v>
      </c>
      <c r="E1322" s="18" t="s">
        <v>40</v>
      </c>
      <c r="F1322" s="20">
        <v>0</v>
      </c>
      <c r="G1322" s="20">
        <v>0</v>
      </c>
    </row>
    <row r="1323" spans="1:7" ht="15" customHeight="1" x14ac:dyDescent="0.75">
      <c r="A1323" s="18" t="s">
        <v>84</v>
      </c>
      <c r="B1323" s="19">
        <v>46160</v>
      </c>
      <c r="C1323" s="18" t="s">
        <v>66</v>
      </c>
      <c r="D1323" s="17">
        <v>666541</v>
      </c>
      <c r="E1323" s="18" t="s">
        <v>41</v>
      </c>
      <c r="F1323" s="20">
        <v>0</v>
      </c>
      <c r="G1323" s="20">
        <v>0</v>
      </c>
    </row>
    <row r="1324" spans="1:7" ht="15" customHeight="1" x14ac:dyDescent="0.75">
      <c r="A1324" s="18" t="s">
        <v>84</v>
      </c>
      <c r="B1324" s="19">
        <v>46160</v>
      </c>
      <c r="C1324" s="18" t="s">
        <v>66</v>
      </c>
      <c r="D1324" s="17">
        <v>666536</v>
      </c>
      <c r="E1324" s="18" t="s">
        <v>43</v>
      </c>
      <c r="F1324" s="20">
        <v>0</v>
      </c>
      <c r="G1324" s="20">
        <v>0</v>
      </c>
    </row>
    <row r="1325" spans="1:7" ht="15" customHeight="1" x14ac:dyDescent="0.75">
      <c r="A1325" s="18" t="s">
        <v>85</v>
      </c>
      <c r="B1325" s="19">
        <v>46167</v>
      </c>
      <c r="C1325" s="18" t="s">
        <v>56</v>
      </c>
      <c r="D1325" s="17">
        <v>666501</v>
      </c>
      <c r="E1325" s="18" t="s">
        <v>5</v>
      </c>
      <c r="F1325" s="20">
        <v>22.5</v>
      </c>
      <c r="G1325" s="20">
        <v>0</v>
      </c>
    </row>
    <row r="1326" spans="1:7" ht="15" customHeight="1" x14ac:dyDescent="0.75">
      <c r="A1326" s="18" t="s">
        <v>85</v>
      </c>
      <c r="B1326" s="19">
        <v>46167</v>
      </c>
      <c r="C1326" s="18" t="s">
        <v>56</v>
      </c>
      <c r="D1326" s="17">
        <v>666502</v>
      </c>
      <c r="E1326" s="18" t="s">
        <v>7</v>
      </c>
      <c r="F1326" s="20">
        <v>0</v>
      </c>
      <c r="G1326" s="20">
        <v>0</v>
      </c>
    </row>
    <row r="1327" spans="1:7" ht="15" customHeight="1" x14ac:dyDescent="0.75">
      <c r="A1327" s="18" t="s">
        <v>85</v>
      </c>
      <c r="B1327" s="19">
        <v>46167</v>
      </c>
      <c r="C1327" s="18" t="s">
        <v>56</v>
      </c>
      <c r="D1327" s="17">
        <v>666505</v>
      </c>
      <c r="E1327" s="18" t="s">
        <v>9</v>
      </c>
      <c r="F1327" s="20">
        <v>8</v>
      </c>
      <c r="G1327" s="20">
        <v>0</v>
      </c>
    </row>
    <row r="1328" spans="1:7" ht="15" customHeight="1" x14ac:dyDescent="0.75">
      <c r="A1328" s="18" t="s">
        <v>85</v>
      </c>
      <c r="B1328" s="19">
        <v>46167</v>
      </c>
      <c r="C1328" s="18" t="s">
        <v>56</v>
      </c>
      <c r="D1328" s="17">
        <v>666506</v>
      </c>
      <c r="E1328" s="18" t="s">
        <v>11</v>
      </c>
      <c r="F1328" s="20">
        <v>0</v>
      </c>
      <c r="G1328" s="20">
        <v>0</v>
      </c>
    </row>
    <row r="1329" spans="1:7" ht="15" customHeight="1" x14ac:dyDescent="0.75">
      <c r="A1329" s="18" t="s">
        <v>85</v>
      </c>
      <c r="B1329" s="19">
        <v>46167</v>
      </c>
      <c r="C1329" s="18" t="s">
        <v>56</v>
      </c>
      <c r="D1329" s="17">
        <v>666507</v>
      </c>
      <c r="E1329" s="18" t="s">
        <v>13</v>
      </c>
      <c r="F1329" s="20">
        <v>8</v>
      </c>
      <c r="G1329" s="20">
        <v>16</v>
      </c>
    </row>
    <row r="1330" spans="1:7" ht="15" customHeight="1" x14ac:dyDescent="0.75">
      <c r="A1330" s="18" t="s">
        <v>85</v>
      </c>
      <c r="B1330" s="19">
        <v>46167</v>
      </c>
      <c r="C1330" s="18" t="s">
        <v>56</v>
      </c>
      <c r="D1330" s="17">
        <v>666509</v>
      </c>
      <c r="E1330" s="18" t="s">
        <v>15</v>
      </c>
      <c r="F1330" s="20">
        <v>25</v>
      </c>
      <c r="G1330" s="20">
        <v>0</v>
      </c>
    </row>
    <row r="1331" spans="1:7" ht="15" customHeight="1" x14ac:dyDescent="0.75">
      <c r="A1331" s="18" t="s">
        <v>85</v>
      </c>
      <c r="B1331" s="19">
        <v>46167</v>
      </c>
      <c r="C1331" s="18" t="s">
        <v>56</v>
      </c>
      <c r="D1331" s="17">
        <v>666510</v>
      </c>
      <c r="E1331" s="18" t="s">
        <v>17</v>
      </c>
      <c r="F1331" s="20">
        <v>0</v>
      </c>
      <c r="G1331" s="20">
        <v>0</v>
      </c>
    </row>
    <row r="1332" spans="1:7" ht="15" customHeight="1" x14ac:dyDescent="0.75">
      <c r="A1332" s="18" t="s">
        <v>85</v>
      </c>
      <c r="B1332" s="19">
        <v>46167</v>
      </c>
      <c r="C1332" s="18" t="s">
        <v>56</v>
      </c>
      <c r="D1332" s="17">
        <v>666511</v>
      </c>
      <c r="E1332" s="18" t="s">
        <v>19</v>
      </c>
      <c r="F1332" s="20">
        <v>2</v>
      </c>
      <c r="G1332" s="20">
        <v>4</v>
      </c>
    </row>
    <row r="1333" spans="1:7" ht="15" customHeight="1" x14ac:dyDescent="0.75">
      <c r="A1333" s="18" t="s">
        <v>85</v>
      </c>
      <c r="B1333" s="19">
        <v>46167</v>
      </c>
      <c r="C1333" s="18" t="s">
        <v>56</v>
      </c>
      <c r="D1333" s="17">
        <v>666513</v>
      </c>
      <c r="E1333" s="18" t="s">
        <v>21</v>
      </c>
      <c r="F1333" s="20">
        <v>4</v>
      </c>
      <c r="G1333" s="20">
        <v>0</v>
      </c>
    </row>
    <row r="1334" spans="1:7" ht="15" customHeight="1" x14ac:dyDescent="0.75">
      <c r="A1334" s="18" t="s">
        <v>85</v>
      </c>
      <c r="B1334" s="19">
        <v>46167</v>
      </c>
      <c r="C1334" s="18" t="s">
        <v>56</v>
      </c>
      <c r="D1334" s="17">
        <v>666516</v>
      </c>
      <c r="E1334" s="18" t="s">
        <v>23</v>
      </c>
      <c r="F1334" s="20">
        <v>10</v>
      </c>
      <c r="G1334" s="20">
        <v>0</v>
      </c>
    </row>
    <row r="1335" spans="1:7" ht="15" customHeight="1" x14ac:dyDescent="0.75">
      <c r="A1335" s="18" t="s">
        <v>85</v>
      </c>
      <c r="B1335" s="19">
        <v>46167</v>
      </c>
      <c r="C1335" s="18" t="s">
        <v>56</v>
      </c>
      <c r="D1335" s="17">
        <v>666517</v>
      </c>
      <c r="E1335" s="18" t="s">
        <v>25</v>
      </c>
      <c r="F1335" s="20">
        <v>15</v>
      </c>
      <c r="G1335" s="20">
        <v>0</v>
      </c>
    </row>
    <row r="1336" spans="1:7" ht="15" customHeight="1" x14ac:dyDescent="0.75">
      <c r="A1336" s="18" t="s">
        <v>85</v>
      </c>
      <c r="B1336" s="19">
        <v>46167</v>
      </c>
      <c r="C1336" s="18" t="s">
        <v>56</v>
      </c>
      <c r="D1336" s="17">
        <v>666518</v>
      </c>
      <c r="E1336" s="18" t="s">
        <v>27</v>
      </c>
      <c r="F1336" s="20">
        <v>0</v>
      </c>
      <c r="G1336" s="20">
        <v>0</v>
      </c>
    </row>
    <row r="1337" spans="1:7" ht="15" customHeight="1" x14ac:dyDescent="0.75">
      <c r="A1337" s="18" t="s">
        <v>85</v>
      </c>
      <c r="B1337" s="19">
        <v>46167</v>
      </c>
      <c r="C1337" s="18" t="s">
        <v>56</v>
      </c>
      <c r="D1337" s="17">
        <v>666519</v>
      </c>
      <c r="E1337" s="18" t="s">
        <v>29</v>
      </c>
      <c r="F1337" s="20">
        <v>13</v>
      </c>
      <c r="G1337" s="20">
        <v>0</v>
      </c>
    </row>
    <row r="1338" spans="1:7" ht="15" customHeight="1" x14ac:dyDescent="0.75">
      <c r="A1338" s="18" t="s">
        <v>85</v>
      </c>
      <c r="B1338" s="19">
        <v>46167</v>
      </c>
      <c r="C1338" s="18" t="s">
        <v>56</v>
      </c>
      <c r="D1338" s="17">
        <v>666521</v>
      </c>
      <c r="E1338" s="18" t="s">
        <v>31</v>
      </c>
      <c r="F1338" s="20">
        <v>32</v>
      </c>
      <c r="G1338" s="20">
        <v>15</v>
      </c>
    </row>
    <row r="1339" spans="1:7" ht="15" customHeight="1" x14ac:dyDescent="0.75">
      <c r="A1339" s="18" t="s">
        <v>85</v>
      </c>
      <c r="B1339" s="19">
        <v>46167</v>
      </c>
      <c r="C1339" s="18" t="s">
        <v>56</v>
      </c>
      <c r="D1339" s="17">
        <v>666522</v>
      </c>
      <c r="E1339" s="18" t="s">
        <v>33</v>
      </c>
      <c r="F1339" s="20">
        <v>90</v>
      </c>
      <c r="G1339" s="20">
        <v>75</v>
      </c>
    </row>
    <row r="1340" spans="1:7" ht="15" customHeight="1" x14ac:dyDescent="0.75">
      <c r="A1340" s="18" t="s">
        <v>85</v>
      </c>
      <c r="B1340" s="19">
        <v>46167</v>
      </c>
      <c r="C1340" s="18" t="s">
        <v>56</v>
      </c>
      <c r="D1340" s="17">
        <v>666523</v>
      </c>
      <c r="E1340" s="18" t="s">
        <v>35</v>
      </c>
      <c r="F1340" s="20">
        <v>0</v>
      </c>
      <c r="G1340" s="20">
        <v>0</v>
      </c>
    </row>
    <row r="1341" spans="1:7" ht="15" customHeight="1" x14ac:dyDescent="0.75">
      <c r="A1341" s="18" t="s">
        <v>85</v>
      </c>
      <c r="B1341" s="19">
        <v>46167</v>
      </c>
      <c r="C1341" s="18" t="s">
        <v>56</v>
      </c>
      <c r="D1341" s="17">
        <v>666530</v>
      </c>
      <c r="E1341" s="18" t="s">
        <v>37</v>
      </c>
      <c r="F1341" s="20">
        <v>0</v>
      </c>
      <c r="G1341" s="20">
        <v>0</v>
      </c>
    </row>
    <row r="1342" spans="1:7" ht="15" customHeight="1" x14ac:dyDescent="0.75">
      <c r="A1342" s="18" t="s">
        <v>85</v>
      </c>
      <c r="B1342" s="19">
        <v>46167</v>
      </c>
      <c r="C1342" s="18" t="s">
        <v>56</v>
      </c>
      <c r="D1342" s="17">
        <v>666531</v>
      </c>
      <c r="E1342" s="18" t="s">
        <v>39</v>
      </c>
      <c r="F1342" s="20">
        <v>10</v>
      </c>
      <c r="G1342" s="20">
        <v>7</v>
      </c>
    </row>
    <row r="1343" spans="1:7" ht="15" customHeight="1" x14ac:dyDescent="0.75">
      <c r="A1343" s="18" t="s">
        <v>85</v>
      </c>
      <c r="B1343" s="19">
        <v>46167</v>
      </c>
      <c r="C1343" s="18" t="s">
        <v>56</v>
      </c>
      <c r="D1343" s="17">
        <v>666540</v>
      </c>
      <c r="E1343" s="18" t="s">
        <v>40</v>
      </c>
      <c r="F1343" s="20">
        <v>0</v>
      </c>
      <c r="G1343" s="20">
        <v>0</v>
      </c>
    </row>
    <row r="1344" spans="1:7" ht="15" customHeight="1" x14ac:dyDescent="0.75">
      <c r="A1344" s="18" t="s">
        <v>85</v>
      </c>
      <c r="B1344" s="19">
        <v>46167</v>
      </c>
      <c r="C1344" s="18" t="s">
        <v>56</v>
      </c>
      <c r="D1344" s="17">
        <v>666541</v>
      </c>
      <c r="E1344" s="18" t="s">
        <v>41</v>
      </c>
      <c r="F1344" s="20">
        <v>0</v>
      </c>
      <c r="G1344" s="20">
        <v>0</v>
      </c>
    </row>
    <row r="1345" spans="1:7" ht="15" customHeight="1" x14ac:dyDescent="0.75">
      <c r="A1345" s="18" t="s">
        <v>85</v>
      </c>
      <c r="B1345" s="19">
        <v>46167</v>
      </c>
      <c r="C1345" s="18" t="s">
        <v>56</v>
      </c>
      <c r="D1345" s="17">
        <v>666536</v>
      </c>
      <c r="E1345" s="18" t="s">
        <v>43</v>
      </c>
      <c r="F1345" s="20">
        <v>20</v>
      </c>
      <c r="G1345" s="20">
        <v>7</v>
      </c>
    </row>
    <row r="1346" spans="1:7" ht="15" customHeight="1" x14ac:dyDescent="0.75">
      <c r="A1346" s="18" t="s">
        <v>85</v>
      </c>
      <c r="B1346" s="19">
        <v>46167</v>
      </c>
      <c r="C1346" s="18" t="s">
        <v>58</v>
      </c>
      <c r="D1346" s="17">
        <v>666501</v>
      </c>
      <c r="E1346" s="18" t="s">
        <v>5</v>
      </c>
      <c r="F1346" s="20">
        <v>211.5</v>
      </c>
      <c r="G1346" s="20">
        <v>141</v>
      </c>
    </row>
    <row r="1347" spans="1:7" ht="15" customHeight="1" x14ac:dyDescent="0.75">
      <c r="A1347" s="18" t="s">
        <v>85</v>
      </c>
      <c r="B1347" s="19">
        <v>46167</v>
      </c>
      <c r="C1347" s="18" t="s">
        <v>58</v>
      </c>
      <c r="D1347" s="17">
        <v>666502</v>
      </c>
      <c r="E1347" s="18" t="s">
        <v>7</v>
      </c>
      <c r="F1347" s="20">
        <v>130</v>
      </c>
      <c r="G1347" s="20">
        <v>115</v>
      </c>
    </row>
    <row r="1348" spans="1:7" ht="15" customHeight="1" x14ac:dyDescent="0.75">
      <c r="A1348" s="18" t="s">
        <v>85</v>
      </c>
      <c r="B1348" s="19">
        <v>46167</v>
      </c>
      <c r="C1348" s="18" t="s">
        <v>58</v>
      </c>
      <c r="D1348" s="17">
        <v>666505</v>
      </c>
      <c r="E1348" s="18" t="s">
        <v>9</v>
      </c>
      <c r="F1348" s="20">
        <v>0</v>
      </c>
      <c r="G1348" s="20">
        <v>0</v>
      </c>
    </row>
    <row r="1349" spans="1:7" ht="15" customHeight="1" x14ac:dyDescent="0.75">
      <c r="A1349" s="18" t="s">
        <v>85</v>
      </c>
      <c r="B1349" s="19">
        <v>46167</v>
      </c>
      <c r="C1349" s="18" t="s">
        <v>58</v>
      </c>
      <c r="D1349" s="17">
        <v>666506</v>
      </c>
      <c r="E1349" s="18" t="s">
        <v>11</v>
      </c>
      <c r="F1349" s="20">
        <v>101.5</v>
      </c>
      <c r="G1349" s="20">
        <v>0</v>
      </c>
    </row>
    <row r="1350" spans="1:7" ht="15" customHeight="1" x14ac:dyDescent="0.75">
      <c r="A1350" s="18" t="s">
        <v>85</v>
      </c>
      <c r="B1350" s="19">
        <v>46167</v>
      </c>
      <c r="C1350" s="18" t="s">
        <v>58</v>
      </c>
      <c r="D1350" s="17">
        <v>666507</v>
      </c>
      <c r="E1350" s="18" t="s">
        <v>13</v>
      </c>
      <c r="F1350" s="20">
        <v>0</v>
      </c>
      <c r="G1350" s="20">
        <v>0</v>
      </c>
    </row>
    <row r="1351" spans="1:7" ht="15" customHeight="1" x14ac:dyDescent="0.75">
      <c r="A1351" s="18" t="s">
        <v>85</v>
      </c>
      <c r="B1351" s="19">
        <v>46167</v>
      </c>
      <c r="C1351" s="18" t="s">
        <v>58</v>
      </c>
      <c r="D1351" s="17">
        <v>666509</v>
      </c>
      <c r="E1351" s="18" t="s">
        <v>15</v>
      </c>
      <c r="F1351" s="20">
        <v>0</v>
      </c>
      <c r="G1351" s="20">
        <v>0</v>
      </c>
    </row>
    <row r="1352" spans="1:7" ht="15" customHeight="1" x14ac:dyDescent="0.75">
      <c r="A1352" s="18" t="s">
        <v>85</v>
      </c>
      <c r="B1352" s="19">
        <v>46167</v>
      </c>
      <c r="C1352" s="18" t="s">
        <v>58</v>
      </c>
      <c r="D1352" s="17">
        <v>666510</v>
      </c>
      <c r="E1352" s="18" t="s">
        <v>17</v>
      </c>
      <c r="F1352" s="20">
        <v>0</v>
      </c>
      <c r="G1352" s="20">
        <v>0</v>
      </c>
    </row>
    <row r="1353" spans="1:7" ht="15" customHeight="1" x14ac:dyDescent="0.75">
      <c r="A1353" s="18" t="s">
        <v>85</v>
      </c>
      <c r="B1353" s="19">
        <v>46167</v>
      </c>
      <c r="C1353" s="18" t="s">
        <v>58</v>
      </c>
      <c r="D1353" s="17">
        <v>666511</v>
      </c>
      <c r="E1353" s="18" t="s">
        <v>19</v>
      </c>
      <c r="F1353" s="20">
        <v>0</v>
      </c>
      <c r="G1353" s="20">
        <v>0</v>
      </c>
    </row>
    <row r="1354" spans="1:7" ht="15" customHeight="1" x14ac:dyDescent="0.75">
      <c r="A1354" s="18" t="s">
        <v>85</v>
      </c>
      <c r="B1354" s="19">
        <v>46167</v>
      </c>
      <c r="C1354" s="18" t="s">
        <v>58</v>
      </c>
      <c r="D1354" s="17">
        <v>666513</v>
      </c>
      <c r="E1354" s="18" t="s">
        <v>21</v>
      </c>
      <c r="F1354" s="20">
        <v>0</v>
      </c>
      <c r="G1354" s="20">
        <v>0</v>
      </c>
    </row>
    <row r="1355" spans="1:7" ht="15" customHeight="1" x14ac:dyDescent="0.75">
      <c r="A1355" s="18" t="s">
        <v>85</v>
      </c>
      <c r="B1355" s="19">
        <v>46167</v>
      </c>
      <c r="C1355" s="18" t="s">
        <v>58</v>
      </c>
      <c r="D1355" s="17">
        <v>666516</v>
      </c>
      <c r="E1355" s="18" t="s">
        <v>23</v>
      </c>
      <c r="F1355" s="20">
        <v>0</v>
      </c>
      <c r="G1355" s="20">
        <v>0</v>
      </c>
    </row>
    <row r="1356" spans="1:7" ht="15" customHeight="1" x14ac:dyDescent="0.75">
      <c r="A1356" s="18" t="s">
        <v>85</v>
      </c>
      <c r="B1356" s="19">
        <v>46167</v>
      </c>
      <c r="C1356" s="18" t="s">
        <v>58</v>
      </c>
      <c r="D1356" s="17">
        <v>666517</v>
      </c>
      <c r="E1356" s="18" t="s">
        <v>25</v>
      </c>
      <c r="F1356" s="20">
        <v>0</v>
      </c>
      <c r="G1356" s="20">
        <v>0</v>
      </c>
    </row>
    <row r="1357" spans="1:7" ht="15" customHeight="1" x14ac:dyDescent="0.75">
      <c r="A1357" s="18" t="s">
        <v>85</v>
      </c>
      <c r="B1357" s="19">
        <v>46167</v>
      </c>
      <c r="C1357" s="18" t="s">
        <v>58</v>
      </c>
      <c r="D1357" s="17">
        <v>666518</v>
      </c>
      <c r="E1357" s="18" t="s">
        <v>27</v>
      </c>
      <c r="F1357" s="20">
        <v>0</v>
      </c>
      <c r="G1357" s="20">
        <v>0</v>
      </c>
    </row>
    <row r="1358" spans="1:7" ht="15" customHeight="1" x14ac:dyDescent="0.75">
      <c r="A1358" s="18" t="s">
        <v>85</v>
      </c>
      <c r="B1358" s="19">
        <v>46167</v>
      </c>
      <c r="C1358" s="18" t="s">
        <v>58</v>
      </c>
      <c r="D1358" s="17">
        <v>666519</v>
      </c>
      <c r="E1358" s="18" t="s">
        <v>29</v>
      </c>
      <c r="F1358" s="20">
        <v>0</v>
      </c>
      <c r="G1358" s="20">
        <v>0</v>
      </c>
    </row>
    <row r="1359" spans="1:7" ht="15" customHeight="1" x14ac:dyDescent="0.75">
      <c r="A1359" s="18" t="s">
        <v>85</v>
      </c>
      <c r="B1359" s="19">
        <v>46167</v>
      </c>
      <c r="C1359" s="18" t="s">
        <v>58</v>
      </c>
      <c r="D1359" s="17">
        <v>666521</v>
      </c>
      <c r="E1359" s="18" t="s">
        <v>31</v>
      </c>
      <c r="F1359" s="20">
        <v>0</v>
      </c>
      <c r="G1359" s="20">
        <v>0</v>
      </c>
    </row>
    <row r="1360" spans="1:7" ht="15" customHeight="1" x14ac:dyDescent="0.75">
      <c r="A1360" s="18" t="s">
        <v>85</v>
      </c>
      <c r="B1360" s="19">
        <v>46167</v>
      </c>
      <c r="C1360" s="18" t="s">
        <v>58</v>
      </c>
      <c r="D1360" s="17">
        <v>666522</v>
      </c>
      <c r="E1360" s="18" t="s">
        <v>33</v>
      </c>
      <c r="F1360" s="20">
        <v>50</v>
      </c>
      <c r="G1360" s="20">
        <v>50</v>
      </c>
    </row>
    <row r="1361" spans="1:7" ht="15" customHeight="1" x14ac:dyDescent="0.75">
      <c r="A1361" s="18" t="s">
        <v>85</v>
      </c>
      <c r="B1361" s="19">
        <v>46167</v>
      </c>
      <c r="C1361" s="18" t="s">
        <v>58</v>
      </c>
      <c r="D1361" s="17">
        <v>666523</v>
      </c>
      <c r="E1361" s="18" t="s">
        <v>35</v>
      </c>
      <c r="F1361" s="20">
        <v>0</v>
      </c>
      <c r="G1361" s="20">
        <v>0</v>
      </c>
    </row>
    <row r="1362" spans="1:7" ht="15" customHeight="1" x14ac:dyDescent="0.75">
      <c r="A1362" s="18" t="s">
        <v>85</v>
      </c>
      <c r="B1362" s="19">
        <v>46167</v>
      </c>
      <c r="C1362" s="18" t="s">
        <v>58</v>
      </c>
      <c r="D1362" s="17">
        <v>666530</v>
      </c>
      <c r="E1362" s="18" t="s">
        <v>37</v>
      </c>
      <c r="F1362" s="20">
        <v>0</v>
      </c>
      <c r="G1362" s="20">
        <v>0</v>
      </c>
    </row>
    <row r="1363" spans="1:7" ht="15" customHeight="1" x14ac:dyDescent="0.75">
      <c r="A1363" s="18" t="s">
        <v>85</v>
      </c>
      <c r="B1363" s="19">
        <v>46167</v>
      </c>
      <c r="C1363" s="18" t="s">
        <v>58</v>
      </c>
      <c r="D1363" s="17">
        <v>666531</v>
      </c>
      <c r="E1363" s="18" t="s">
        <v>39</v>
      </c>
      <c r="F1363" s="20">
        <v>0</v>
      </c>
      <c r="G1363" s="20">
        <v>0</v>
      </c>
    </row>
    <row r="1364" spans="1:7" ht="15" customHeight="1" x14ac:dyDescent="0.75">
      <c r="A1364" s="18" t="s">
        <v>85</v>
      </c>
      <c r="B1364" s="19">
        <v>46167</v>
      </c>
      <c r="C1364" s="18" t="s">
        <v>58</v>
      </c>
      <c r="D1364" s="17">
        <v>666540</v>
      </c>
      <c r="E1364" s="18" t="s">
        <v>40</v>
      </c>
      <c r="F1364" s="20">
        <v>20</v>
      </c>
      <c r="G1364" s="20">
        <v>0</v>
      </c>
    </row>
    <row r="1365" spans="1:7" ht="15" customHeight="1" x14ac:dyDescent="0.75">
      <c r="A1365" s="18" t="s">
        <v>85</v>
      </c>
      <c r="B1365" s="19">
        <v>46167</v>
      </c>
      <c r="C1365" s="18" t="s">
        <v>58</v>
      </c>
      <c r="D1365" s="17">
        <v>666541</v>
      </c>
      <c r="E1365" s="18" t="s">
        <v>41</v>
      </c>
      <c r="F1365" s="20">
        <v>340</v>
      </c>
      <c r="G1365" s="20">
        <v>191</v>
      </c>
    </row>
    <row r="1366" spans="1:7" ht="15" customHeight="1" x14ac:dyDescent="0.75">
      <c r="A1366" s="18" t="s">
        <v>85</v>
      </c>
      <c r="B1366" s="19">
        <v>46167</v>
      </c>
      <c r="C1366" s="18" t="s">
        <v>58</v>
      </c>
      <c r="D1366" s="17">
        <v>666536</v>
      </c>
      <c r="E1366" s="18" t="s">
        <v>43</v>
      </c>
      <c r="F1366" s="20">
        <v>0</v>
      </c>
      <c r="G1366" s="20">
        <v>0</v>
      </c>
    </row>
    <row r="1367" spans="1:7" ht="15" customHeight="1" x14ac:dyDescent="0.75">
      <c r="A1367" s="18" t="s">
        <v>85</v>
      </c>
      <c r="B1367" s="19">
        <v>46167</v>
      </c>
      <c r="C1367" s="18" t="s">
        <v>66</v>
      </c>
      <c r="D1367" s="17">
        <v>666501</v>
      </c>
      <c r="E1367" s="18" t="s">
        <v>5</v>
      </c>
      <c r="F1367" s="20">
        <v>19.5</v>
      </c>
      <c r="G1367" s="20">
        <v>0</v>
      </c>
    </row>
    <row r="1368" spans="1:7" ht="15" customHeight="1" x14ac:dyDescent="0.75">
      <c r="A1368" s="18" t="s">
        <v>85</v>
      </c>
      <c r="B1368" s="19">
        <v>46167</v>
      </c>
      <c r="C1368" s="18" t="s">
        <v>66</v>
      </c>
      <c r="D1368" s="17">
        <v>666502</v>
      </c>
      <c r="E1368" s="18" t="s">
        <v>7</v>
      </c>
      <c r="F1368" s="20">
        <v>50</v>
      </c>
      <c r="G1368" s="20">
        <v>63</v>
      </c>
    </row>
    <row r="1369" spans="1:7" ht="15" customHeight="1" x14ac:dyDescent="0.75">
      <c r="A1369" s="18" t="s">
        <v>85</v>
      </c>
      <c r="B1369" s="19">
        <v>46167</v>
      </c>
      <c r="C1369" s="18" t="s">
        <v>66</v>
      </c>
      <c r="D1369" s="17">
        <v>666505</v>
      </c>
      <c r="E1369" s="18" t="s">
        <v>9</v>
      </c>
      <c r="F1369" s="20">
        <v>17</v>
      </c>
      <c r="G1369" s="20">
        <v>0</v>
      </c>
    </row>
    <row r="1370" spans="1:7" ht="15" customHeight="1" x14ac:dyDescent="0.75">
      <c r="A1370" s="18" t="s">
        <v>85</v>
      </c>
      <c r="B1370" s="19">
        <v>46167</v>
      </c>
      <c r="C1370" s="18" t="s">
        <v>66</v>
      </c>
      <c r="D1370" s="17">
        <v>666506</v>
      </c>
      <c r="E1370" s="18" t="s">
        <v>11</v>
      </c>
      <c r="F1370" s="20">
        <v>0</v>
      </c>
      <c r="G1370" s="20">
        <v>0</v>
      </c>
    </row>
    <row r="1371" spans="1:7" ht="15" customHeight="1" x14ac:dyDescent="0.75">
      <c r="A1371" s="18" t="s">
        <v>85</v>
      </c>
      <c r="B1371" s="19">
        <v>46167</v>
      </c>
      <c r="C1371" s="18" t="s">
        <v>66</v>
      </c>
      <c r="D1371" s="17">
        <v>666507</v>
      </c>
      <c r="E1371" s="18" t="s">
        <v>13</v>
      </c>
      <c r="F1371" s="20">
        <v>0</v>
      </c>
      <c r="G1371" s="20">
        <v>0</v>
      </c>
    </row>
    <row r="1372" spans="1:7" ht="15" customHeight="1" x14ac:dyDescent="0.75">
      <c r="A1372" s="18" t="s">
        <v>85</v>
      </c>
      <c r="B1372" s="19">
        <v>46167</v>
      </c>
      <c r="C1372" s="18" t="s">
        <v>66</v>
      </c>
      <c r="D1372" s="17">
        <v>666509</v>
      </c>
      <c r="E1372" s="18" t="s">
        <v>15</v>
      </c>
      <c r="F1372" s="20">
        <v>0</v>
      </c>
      <c r="G1372" s="20">
        <v>0</v>
      </c>
    </row>
    <row r="1373" spans="1:7" ht="15" customHeight="1" x14ac:dyDescent="0.75">
      <c r="A1373" s="18" t="s">
        <v>85</v>
      </c>
      <c r="B1373" s="19">
        <v>46167</v>
      </c>
      <c r="C1373" s="18" t="s">
        <v>66</v>
      </c>
      <c r="D1373" s="17">
        <v>666510</v>
      </c>
      <c r="E1373" s="18" t="s">
        <v>17</v>
      </c>
      <c r="F1373" s="20">
        <v>0</v>
      </c>
      <c r="G1373" s="20">
        <v>0</v>
      </c>
    </row>
    <row r="1374" spans="1:7" ht="15" customHeight="1" x14ac:dyDescent="0.75">
      <c r="A1374" s="18" t="s">
        <v>85</v>
      </c>
      <c r="B1374" s="19">
        <v>46167</v>
      </c>
      <c r="C1374" s="18" t="s">
        <v>66</v>
      </c>
      <c r="D1374" s="17">
        <v>666511</v>
      </c>
      <c r="E1374" s="18" t="s">
        <v>19</v>
      </c>
      <c r="F1374" s="20">
        <v>0</v>
      </c>
      <c r="G1374" s="20">
        <v>0</v>
      </c>
    </row>
    <row r="1375" spans="1:7" ht="15" customHeight="1" x14ac:dyDescent="0.75">
      <c r="A1375" s="18" t="s">
        <v>85</v>
      </c>
      <c r="B1375" s="19">
        <v>46167</v>
      </c>
      <c r="C1375" s="18" t="s">
        <v>66</v>
      </c>
      <c r="D1375" s="17">
        <v>666513</v>
      </c>
      <c r="E1375" s="18" t="s">
        <v>21</v>
      </c>
      <c r="F1375" s="20">
        <v>10</v>
      </c>
      <c r="G1375" s="20">
        <v>0</v>
      </c>
    </row>
    <row r="1376" spans="1:7" ht="15" customHeight="1" x14ac:dyDescent="0.75">
      <c r="A1376" s="18" t="s">
        <v>85</v>
      </c>
      <c r="B1376" s="19">
        <v>46167</v>
      </c>
      <c r="C1376" s="18" t="s">
        <v>66</v>
      </c>
      <c r="D1376" s="17">
        <v>666516</v>
      </c>
      <c r="E1376" s="18" t="s">
        <v>23</v>
      </c>
      <c r="F1376" s="20">
        <v>10</v>
      </c>
      <c r="G1376" s="20">
        <v>0</v>
      </c>
    </row>
    <row r="1377" spans="1:7" ht="15" customHeight="1" x14ac:dyDescent="0.75">
      <c r="A1377" s="18" t="s">
        <v>85</v>
      </c>
      <c r="B1377" s="19">
        <v>46167</v>
      </c>
      <c r="C1377" s="18" t="s">
        <v>66</v>
      </c>
      <c r="D1377" s="17">
        <v>666517</v>
      </c>
      <c r="E1377" s="18" t="s">
        <v>25</v>
      </c>
      <c r="F1377" s="20">
        <v>7</v>
      </c>
      <c r="G1377" s="20">
        <v>0</v>
      </c>
    </row>
    <row r="1378" spans="1:7" ht="15" customHeight="1" x14ac:dyDescent="0.75">
      <c r="A1378" s="18" t="s">
        <v>85</v>
      </c>
      <c r="B1378" s="19">
        <v>46167</v>
      </c>
      <c r="C1378" s="18" t="s">
        <v>66</v>
      </c>
      <c r="D1378" s="17">
        <v>666518</v>
      </c>
      <c r="E1378" s="18" t="s">
        <v>27</v>
      </c>
      <c r="F1378" s="20">
        <v>0</v>
      </c>
      <c r="G1378" s="20">
        <v>0</v>
      </c>
    </row>
    <row r="1379" spans="1:7" ht="15" customHeight="1" x14ac:dyDescent="0.75">
      <c r="A1379" s="18" t="s">
        <v>85</v>
      </c>
      <c r="B1379" s="19">
        <v>46167</v>
      </c>
      <c r="C1379" s="18" t="s">
        <v>66</v>
      </c>
      <c r="D1379" s="17">
        <v>666519</v>
      </c>
      <c r="E1379" s="18" t="s">
        <v>29</v>
      </c>
      <c r="F1379" s="20">
        <v>13</v>
      </c>
      <c r="G1379" s="20">
        <v>0</v>
      </c>
    </row>
    <row r="1380" spans="1:7" ht="15" customHeight="1" x14ac:dyDescent="0.75">
      <c r="A1380" s="18" t="s">
        <v>85</v>
      </c>
      <c r="B1380" s="19">
        <v>46167</v>
      </c>
      <c r="C1380" s="18" t="s">
        <v>66</v>
      </c>
      <c r="D1380" s="17">
        <v>666521</v>
      </c>
      <c r="E1380" s="18" t="s">
        <v>31</v>
      </c>
      <c r="F1380" s="20">
        <v>0</v>
      </c>
      <c r="G1380" s="20">
        <v>0</v>
      </c>
    </row>
    <row r="1381" spans="1:7" ht="15" customHeight="1" x14ac:dyDescent="0.75">
      <c r="A1381" s="18" t="s">
        <v>85</v>
      </c>
      <c r="B1381" s="19">
        <v>46167</v>
      </c>
      <c r="C1381" s="18" t="s">
        <v>66</v>
      </c>
      <c r="D1381" s="17">
        <v>666522</v>
      </c>
      <c r="E1381" s="18" t="s">
        <v>33</v>
      </c>
      <c r="F1381" s="20">
        <v>62.5</v>
      </c>
      <c r="G1381" s="20">
        <v>20</v>
      </c>
    </row>
    <row r="1382" spans="1:7" ht="15" customHeight="1" x14ac:dyDescent="0.75">
      <c r="A1382" s="18" t="s">
        <v>85</v>
      </c>
      <c r="B1382" s="19">
        <v>46167</v>
      </c>
      <c r="C1382" s="18" t="s">
        <v>66</v>
      </c>
      <c r="D1382" s="17">
        <v>666523</v>
      </c>
      <c r="E1382" s="18" t="s">
        <v>35</v>
      </c>
      <c r="F1382" s="20">
        <v>16</v>
      </c>
      <c r="G1382" s="20">
        <v>0</v>
      </c>
    </row>
    <row r="1383" spans="1:7" ht="15" customHeight="1" x14ac:dyDescent="0.75">
      <c r="A1383" s="18" t="s">
        <v>85</v>
      </c>
      <c r="B1383" s="19">
        <v>46167</v>
      </c>
      <c r="C1383" s="18" t="s">
        <v>66</v>
      </c>
      <c r="D1383" s="17">
        <v>666530</v>
      </c>
      <c r="E1383" s="18" t="s">
        <v>37</v>
      </c>
      <c r="F1383" s="20">
        <v>12</v>
      </c>
      <c r="G1383" s="20">
        <v>0</v>
      </c>
    </row>
    <row r="1384" spans="1:7" ht="15" customHeight="1" x14ac:dyDescent="0.75">
      <c r="A1384" s="18" t="s">
        <v>85</v>
      </c>
      <c r="B1384" s="19">
        <v>46167</v>
      </c>
      <c r="C1384" s="18" t="s">
        <v>66</v>
      </c>
      <c r="D1384" s="17">
        <v>666531</v>
      </c>
      <c r="E1384" s="18" t="s">
        <v>39</v>
      </c>
      <c r="F1384" s="20">
        <v>4</v>
      </c>
      <c r="G1384" s="20">
        <v>6</v>
      </c>
    </row>
    <row r="1385" spans="1:7" ht="15" customHeight="1" x14ac:dyDescent="0.75">
      <c r="A1385" s="18" t="s">
        <v>85</v>
      </c>
      <c r="B1385" s="19">
        <v>46167</v>
      </c>
      <c r="C1385" s="18" t="s">
        <v>66</v>
      </c>
      <c r="D1385" s="17">
        <v>666540</v>
      </c>
      <c r="E1385" s="18" t="s">
        <v>40</v>
      </c>
      <c r="F1385" s="20">
        <v>0</v>
      </c>
      <c r="G1385" s="20">
        <v>0</v>
      </c>
    </row>
    <row r="1386" spans="1:7" ht="15" customHeight="1" x14ac:dyDescent="0.75">
      <c r="A1386" s="18" t="s">
        <v>85</v>
      </c>
      <c r="B1386" s="19">
        <v>46167</v>
      </c>
      <c r="C1386" s="18" t="s">
        <v>66</v>
      </c>
      <c r="D1386" s="17">
        <v>666541</v>
      </c>
      <c r="E1386" s="18" t="s">
        <v>41</v>
      </c>
      <c r="F1386" s="20">
        <v>0</v>
      </c>
      <c r="G1386" s="20">
        <v>0</v>
      </c>
    </row>
    <row r="1387" spans="1:7" ht="15" customHeight="1" x14ac:dyDescent="0.75">
      <c r="A1387" s="18" t="s">
        <v>85</v>
      </c>
      <c r="B1387" s="19">
        <v>46167</v>
      </c>
      <c r="C1387" s="18" t="s">
        <v>66</v>
      </c>
      <c r="D1387" s="17">
        <v>666536</v>
      </c>
      <c r="E1387" s="18" t="s">
        <v>43</v>
      </c>
      <c r="F1387" s="20">
        <v>0</v>
      </c>
      <c r="G1387" s="20">
        <v>0</v>
      </c>
    </row>
    <row r="1388" spans="1:7" ht="15" customHeight="1" x14ac:dyDescent="0.75">
      <c r="A1388" s="18" t="s">
        <v>86</v>
      </c>
      <c r="B1388" s="19">
        <v>46174</v>
      </c>
      <c r="C1388" s="18" t="s">
        <v>56</v>
      </c>
      <c r="D1388" s="17">
        <v>666501</v>
      </c>
      <c r="E1388" s="18" t="s">
        <v>5</v>
      </c>
      <c r="F1388" s="20">
        <v>21</v>
      </c>
      <c r="G1388" s="20">
        <v>42</v>
      </c>
    </row>
    <row r="1389" spans="1:7" ht="15" customHeight="1" x14ac:dyDescent="0.75">
      <c r="A1389" s="18" t="s">
        <v>86</v>
      </c>
      <c r="B1389" s="19">
        <v>46174</v>
      </c>
      <c r="C1389" s="18" t="s">
        <v>56</v>
      </c>
      <c r="D1389" s="17">
        <v>666502</v>
      </c>
      <c r="E1389" s="18" t="s">
        <v>7</v>
      </c>
      <c r="F1389" s="20">
        <v>0</v>
      </c>
      <c r="G1389" s="20">
        <v>0</v>
      </c>
    </row>
    <row r="1390" spans="1:7" ht="15" customHeight="1" x14ac:dyDescent="0.75">
      <c r="A1390" s="18" t="s">
        <v>86</v>
      </c>
      <c r="B1390" s="19">
        <v>46174</v>
      </c>
      <c r="C1390" s="18" t="s">
        <v>56</v>
      </c>
      <c r="D1390" s="17">
        <v>666505</v>
      </c>
      <c r="E1390" s="18" t="s">
        <v>9</v>
      </c>
      <c r="F1390" s="20">
        <v>6.5</v>
      </c>
      <c r="G1390" s="20">
        <v>13</v>
      </c>
    </row>
    <row r="1391" spans="1:7" ht="15" customHeight="1" x14ac:dyDescent="0.75">
      <c r="A1391" s="18" t="s">
        <v>86</v>
      </c>
      <c r="B1391" s="19">
        <v>46174</v>
      </c>
      <c r="C1391" s="18" t="s">
        <v>56</v>
      </c>
      <c r="D1391" s="17">
        <v>666506</v>
      </c>
      <c r="E1391" s="18" t="s">
        <v>11</v>
      </c>
      <c r="F1391" s="20">
        <v>0</v>
      </c>
      <c r="G1391" s="20">
        <v>0</v>
      </c>
    </row>
    <row r="1392" spans="1:7" ht="15" customHeight="1" x14ac:dyDescent="0.75">
      <c r="A1392" s="18" t="s">
        <v>86</v>
      </c>
      <c r="B1392" s="19">
        <v>46174</v>
      </c>
      <c r="C1392" s="18" t="s">
        <v>56</v>
      </c>
      <c r="D1392" s="17">
        <v>666507</v>
      </c>
      <c r="E1392" s="18" t="s">
        <v>13</v>
      </c>
      <c r="F1392" s="20">
        <v>4</v>
      </c>
      <c r="G1392" s="20">
        <v>8</v>
      </c>
    </row>
    <row r="1393" spans="1:7" ht="15" customHeight="1" x14ac:dyDescent="0.75">
      <c r="A1393" s="18" t="s">
        <v>86</v>
      </c>
      <c r="B1393" s="19">
        <v>46174</v>
      </c>
      <c r="C1393" s="18" t="s">
        <v>56</v>
      </c>
      <c r="D1393" s="17">
        <v>666509</v>
      </c>
      <c r="E1393" s="18" t="s">
        <v>15</v>
      </c>
      <c r="F1393" s="20">
        <v>25</v>
      </c>
      <c r="G1393" s="20">
        <v>35</v>
      </c>
    </row>
    <row r="1394" spans="1:7" ht="15" customHeight="1" x14ac:dyDescent="0.75">
      <c r="A1394" s="18" t="s">
        <v>86</v>
      </c>
      <c r="B1394" s="19">
        <v>46174</v>
      </c>
      <c r="C1394" s="18" t="s">
        <v>56</v>
      </c>
      <c r="D1394" s="17">
        <v>666510</v>
      </c>
      <c r="E1394" s="18" t="s">
        <v>17</v>
      </c>
      <c r="F1394" s="20">
        <v>0</v>
      </c>
      <c r="G1394" s="20">
        <v>0</v>
      </c>
    </row>
    <row r="1395" spans="1:7" ht="15" customHeight="1" x14ac:dyDescent="0.75">
      <c r="A1395" s="18" t="s">
        <v>86</v>
      </c>
      <c r="B1395" s="19">
        <v>46174</v>
      </c>
      <c r="C1395" s="18" t="s">
        <v>56</v>
      </c>
      <c r="D1395" s="17">
        <v>666511</v>
      </c>
      <c r="E1395" s="18" t="s">
        <v>19</v>
      </c>
      <c r="F1395" s="20">
        <v>2</v>
      </c>
      <c r="G1395" s="20">
        <v>0</v>
      </c>
    </row>
    <row r="1396" spans="1:7" ht="15" customHeight="1" x14ac:dyDescent="0.75">
      <c r="A1396" s="18" t="s">
        <v>86</v>
      </c>
      <c r="B1396" s="19">
        <v>46174</v>
      </c>
      <c r="C1396" s="18" t="s">
        <v>56</v>
      </c>
      <c r="D1396" s="17">
        <v>666513</v>
      </c>
      <c r="E1396" s="18" t="s">
        <v>21</v>
      </c>
      <c r="F1396" s="20">
        <v>7</v>
      </c>
      <c r="G1396" s="20">
        <v>14</v>
      </c>
    </row>
    <row r="1397" spans="1:7" ht="15" customHeight="1" x14ac:dyDescent="0.75">
      <c r="A1397" s="18" t="s">
        <v>86</v>
      </c>
      <c r="B1397" s="19">
        <v>46174</v>
      </c>
      <c r="C1397" s="18" t="s">
        <v>56</v>
      </c>
      <c r="D1397" s="17">
        <v>666516</v>
      </c>
      <c r="E1397" s="18" t="s">
        <v>23</v>
      </c>
      <c r="F1397" s="20">
        <v>8</v>
      </c>
      <c r="G1397" s="20">
        <v>16</v>
      </c>
    </row>
    <row r="1398" spans="1:7" ht="15" customHeight="1" x14ac:dyDescent="0.75">
      <c r="A1398" s="18" t="s">
        <v>86</v>
      </c>
      <c r="B1398" s="19">
        <v>46174</v>
      </c>
      <c r="C1398" s="18" t="s">
        <v>56</v>
      </c>
      <c r="D1398" s="17">
        <v>666517</v>
      </c>
      <c r="E1398" s="18" t="s">
        <v>25</v>
      </c>
      <c r="F1398" s="20">
        <v>11</v>
      </c>
      <c r="G1398" s="20">
        <v>22</v>
      </c>
    </row>
    <row r="1399" spans="1:7" ht="15" customHeight="1" x14ac:dyDescent="0.75">
      <c r="A1399" s="18" t="s">
        <v>86</v>
      </c>
      <c r="B1399" s="19">
        <v>46174</v>
      </c>
      <c r="C1399" s="18" t="s">
        <v>56</v>
      </c>
      <c r="D1399" s="17">
        <v>666518</v>
      </c>
      <c r="E1399" s="18" t="s">
        <v>27</v>
      </c>
      <c r="F1399" s="20">
        <v>0</v>
      </c>
      <c r="G1399" s="20">
        <v>0</v>
      </c>
    </row>
    <row r="1400" spans="1:7" ht="15" customHeight="1" x14ac:dyDescent="0.75">
      <c r="A1400" s="18" t="s">
        <v>86</v>
      </c>
      <c r="B1400" s="19">
        <v>46174</v>
      </c>
      <c r="C1400" s="18" t="s">
        <v>56</v>
      </c>
      <c r="D1400" s="17">
        <v>666519</v>
      </c>
      <c r="E1400" s="18" t="s">
        <v>29</v>
      </c>
      <c r="F1400" s="20">
        <v>11</v>
      </c>
      <c r="G1400" s="20">
        <v>22</v>
      </c>
    </row>
    <row r="1401" spans="1:7" ht="15" customHeight="1" x14ac:dyDescent="0.75">
      <c r="A1401" s="18" t="s">
        <v>86</v>
      </c>
      <c r="B1401" s="19">
        <v>46174</v>
      </c>
      <c r="C1401" s="18" t="s">
        <v>56</v>
      </c>
      <c r="D1401" s="17">
        <v>666521</v>
      </c>
      <c r="E1401" s="18" t="s">
        <v>31</v>
      </c>
      <c r="F1401" s="20">
        <v>24</v>
      </c>
      <c r="G1401" s="20">
        <v>48</v>
      </c>
    </row>
    <row r="1402" spans="1:7" ht="15" customHeight="1" x14ac:dyDescent="0.75">
      <c r="A1402" s="18" t="s">
        <v>86</v>
      </c>
      <c r="B1402" s="19">
        <v>46174</v>
      </c>
      <c r="C1402" s="18" t="s">
        <v>56</v>
      </c>
      <c r="D1402" s="17">
        <v>666522</v>
      </c>
      <c r="E1402" s="18" t="s">
        <v>33</v>
      </c>
      <c r="F1402" s="20">
        <v>90</v>
      </c>
      <c r="G1402" s="20">
        <v>110</v>
      </c>
    </row>
    <row r="1403" spans="1:7" ht="15" customHeight="1" x14ac:dyDescent="0.75">
      <c r="A1403" s="18" t="s">
        <v>86</v>
      </c>
      <c r="B1403" s="19">
        <v>46174</v>
      </c>
      <c r="C1403" s="18" t="s">
        <v>56</v>
      </c>
      <c r="D1403" s="17">
        <v>666523</v>
      </c>
      <c r="E1403" s="18" t="s">
        <v>35</v>
      </c>
      <c r="F1403" s="20">
        <v>0</v>
      </c>
      <c r="G1403" s="20">
        <v>0</v>
      </c>
    </row>
    <row r="1404" spans="1:7" ht="15" customHeight="1" x14ac:dyDescent="0.75">
      <c r="A1404" s="18" t="s">
        <v>86</v>
      </c>
      <c r="B1404" s="19">
        <v>46174</v>
      </c>
      <c r="C1404" s="18" t="s">
        <v>56</v>
      </c>
      <c r="D1404" s="17">
        <v>666530</v>
      </c>
      <c r="E1404" s="18" t="s">
        <v>37</v>
      </c>
      <c r="F1404" s="20">
        <v>0</v>
      </c>
      <c r="G1404" s="20">
        <v>0</v>
      </c>
    </row>
    <row r="1405" spans="1:7" ht="15" customHeight="1" x14ac:dyDescent="0.75">
      <c r="A1405" s="18" t="s">
        <v>86</v>
      </c>
      <c r="B1405" s="19">
        <v>46174</v>
      </c>
      <c r="C1405" s="18" t="s">
        <v>56</v>
      </c>
      <c r="D1405" s="17">
        <v>666531</v>
      </c>
      <c r="E1405" s="18" t="s">
        <v>39</v>
      </c>
      <c r="F1405" s="20">
        <v>10</v>
      </c>
      <c r="G1405" s="20">
        <v>20</v>
      </c>
    </row>
    <row r="1406" spans="1:7" ht="15" customHeight="1" x14ac:dyDescent="0.75">
      <c r="A1406" s="18" t="s">
        <v>86</v>
      </c>
      <c r="B1406" s="19">
        <v>46174</v>
      </c>
      <c r="C1406" s="18" t="s">
        <v>56</v>
      </c>
      <c r="D1406" s="17">
        <v>666540</v>
      </c>
      <c r="E1406" s="18" t="s">
        <v>40</v>
      </c>
      <c r="F1406" s="20">
        <v>0</v>
      </c>
      <c r="G1406" s="20">
        <v>0</v>
      </c>
    </row>
    <row r="1407" spans="1:7" ht="15" customHeight="1" x14ac:dyDescent="0.75">
      <c r="A1407" s="18" t="s">
        <v>86</v>
      </c>
      <c r="B1407" s="19">
        <v>46174</v>
      </c>
      <c r="C1407" s="18" t="s">
        <v>56</v>
      </c>
      <c r="D1407" s="17">
        <v>666541</v>
      </c>
      <c r="E1407" s="18" t="s">
        <v>41</v>
      </c>
      <c r="F1407" s="20">
        <v>0</v>
      </c>
      <c r="G1407" s="20">
        <v>0</v>
      </c>
    </row>
    <row r="1408" spans="1:7" ht="15" customHeight="1" x14ac:dyDescent="0.75">
      <c r="A1408" s="18" t="s">
        <v>86</v>
      </c>
      <c r="B1408" s="19">
        <v>46174</v>
      </c>
      <c r="C1408" s="18" t="s">
        <v>56</v>
      </c>
      <c r="D1408" s="17">
        <v>666536</v>
      </c>
      <c r="E1408" s="18" t="s">
        <v>43</v>
      </c>
      <c r="F1408" s="20">
        <v>20</v>
      </c>
      <c r="G1408" s="20">
        <v>3</v>
      </c>
    </row>
    <row r="1409" spans="1:7" ht="15" customHeight="1" x14ac:dyDescent="0.75">
      <c r="A1409" s="18" t="s">
        <v>86</v>
      </c>
      <c r="B1409" s="19">
        <v>46174</v>
      </c>
      <c r="C1409" s="18" t="s">
        <v>58</v>
      </c>
      <c r="D1409" s="17">
        <v>666501</v>
      </c>
      <c r="E1409" s="18" t="s">
        <v>5</v>
      </c>
      <c r="F1409" s="20">
        <v>196.5</v>
      </c>
      <c r="G1409" s="20">
        <v>264</v>
      </c>
    </row>
    <row r="1410" spans="1:7" ht="15" customHeight="1" x14ac:dyDescent="0.75">
      <c r="A1410" s="18" t="s">
        <v>86</v>
      </c>
      <c r="B1410" s="19">
        <v>46174</v>
      </c>
      <c r="C1410" s="18" t="s">
        <v>58</v>
      </c>
      <c r="D1410" s="17">
        <v>666502</v>
      </c>
      <c r="E1410" s="18" t="s">
        <v>7</v>
      </c>
      <c r="F1410" s="20">
        <v>106</v>
      </c>
      <c r="G1410" s="20">
        <v>138</v>
      </c>
    </row>
    <row r="1411" spans="1:7" ht="15" customHeight="1" x14ac:dyDescent="0.75">
      <c r="A1411" s="18" t="s">
        <v>86</v>
      </c>
      <c r="B1411" s="19">
        <v>46174</v>
      </c>
      <c r="C1411" s="18" t="s">
        <v>58</v>
      </c>
      <c r="D1411" s="17">
        <v>666505</v>
      </c>
      <c r="E1411" s="18" t="s">
        <v>9</v>
      </c>
      <c r="F1411" s="20">
        <v>0</v>
      </c>
      <c r="G1411" s="20">
        <v>0</v>
      </c>
    </row>
    <row r="1412" spans="1:7" ht="15" customHeight="1" x14ac:dyDescent="0.75">
      <c r="A1412" s="18" t="s">
        <v>86</v>
      </c>
      <c r="B1412" s="19">
        <v>46174</v>
      </c>
      <c r="C1412" s="18" t="s">
        <v>58</v>
      </c>
      <c r="D1412" s="17">
        <v>666506</v>
      </c>
      <c r="E1412" s="18" t="s">
        <v>11</v>
      </c>
      <c r="F1412" s="20">
        <v>72</v>
      </c>
      <c r="G1412" s="20">
        <v>127</v>
      </c>
    </row>
    <row r="1413" spans="1:7" ht="15" customHeight="1" x14ac:dyDescent="0.75">
      <c r="A1413" s="18" t="s">
        <v>86</v>
      </c>
      <c r="B1413" s="19">
        <v>46174</v>
      </c>
      <c r="C1413" s="18" t="s">
        <v>58</v>
      </c>
      <c r="D1413" s="17">
        <v>666507</v>
      </c>
      <c r="E1413" s="18" t="s">
        <v>13</v>
      </c>
      <c r="F1413" s="20">
        <v>0</v>
      </c>
      <c r="G1413" s="20">
        <v>0</v>
      </c>
    </row>
    <row r="1414" spans="1:7" ht="15" customHeight="1" x14ac:dyDescent="0.75">
      <c r="A1414" s="18" t="s">
        <v>86</v>
      </c>
      <c r="B1414" s="19">
        <v>46174</v>
      </c>
      <c r="C1414" s="18" t="s">
        <v>58</v>
      </c>
      <c r="D1414" s="17">
        <v>666509</v>
      </c>
      <c r="E1414" s="18" t="s">
        <v>15</v>
      </c>
      <c r="F1414" s="20">
        <v>0</v>
      </c>
      <c r="G1414" s="20">
        <v>0</v>
      </c>
    </row>
    <row r="1415" spans="1:7" ht="15" customHeight="1" x14ac:dyDescent="0.75">
      <c r="A1415" s="18" t="s">
        <v>86</v>
      </c>
      <c r="B1415" s="19">
        <v>46174</v>
      </c>
      <c r="C1415" s="18" t="s">
        <v>58</v>
      </c>
      <c r="D1415" s="17">
        <v>666510</v>
      </c>
      <c r="E1415" s="18" t="s">
        <v>17</v>
      </c>
      <c r="F1415" s="20">
        <v>0</v>
      </c>
      <c r="G1415" s="20">
        <v>0</v>
      </c>
    </row>
    <row r="1416" spans="1:7" ht="15" customHeight="1" x14ac:dyDescent="0.75">
      <c r="A1416" s="18" t="s">
        <v>86</v>
      </c>
      <c r="B1416" s="19">
        <v>46174</v>
      </c>
      <c r="C1416" s="18" t="s">
        <v>58</v>
      </c>
      <c r="D1416" s="17">
        <v>666511</v>
      </c>
      <c r="E1416" s="18" t="s">
        <v>19</v>
      </c>
      <c r="F1416" s="20">
        <v>0</v>
      </c>
      <c r="G1416" s="20">
        <v>0</v>
      </c>
    </row>
    <row r="1417" spans="1:7" ht="15" customHeight="1" x14ac:dyDescent="0.75">
      <c r="A1417" s="18" t="s">
        <v>86</v>
      </c>
      <c r="B1417" s="19">
        <v>46174</v>
      </c>
      <c r="C1417" s="18" t="s">
        <v>58</v>
      </c>
      <c r="D1417" s="17">
        <v>666513</v>
      </c>
      <c r="E1417" s="18" t="s">
        <v>21</v>
      </c>
      <c r="F1417" s="20">
        <v>0</v>
      </c>
      <c r="G1417" s="20">
        <v>0</v>
      </c>
    </row>
    <row r="1418" spans="1:7" ht="15" customHeight="1" x14ac:dyDescent="0.75">
      <c r="A1418" s="18" t="s">
        <v>86</v>
      </c>
      <c r="B1418" s="19">
        <v>46174</v>
      </c>
      <c r="C1418" s="18" t="s">
        <v>58</v>
      </c>
      <c r="D1418" s="17">
        <v>666516</v>
      </c>
      <c r="E1418" s="18" t="s">
        <v>23</v>
      </c>
      <c r="F1418" s="20">
        <v>0</v>
      </c>
      <c r="G1418" s="20">
        <v>0</v>
      </c>
    </row>
    <row r="1419" spans="1:7" ht="15" customHeight="1" x14ac:dyDescent="0.75">
      <c r="A1419" s="18" t="s">
        <v>86</v>
      </c>
      <c r="B1419" s="19">
        <v>46174</v>
      </c>
      <c r="C1419" s="18" t="s">
        <v>58</v>
      </c>
      <c r="D1419" s="17">
        <v>666517</v>
      </c>
      <c r="E1419" s="18" t="s">
        <v>25</v>
      </c>
      <c r="F1419" s="20">
        <v>0</v>
      </c>
      <c r="G1419" s="20">
        <v>0</v>
      </c>
    </row>
    <row r="1420" spans="1:7" ht="15" customHeight="1" x14ac:dyDescent="0.75">
      <c r="A1420" s="18" t="s">
        <v>86</v>
      </c>
      <c r="B1420" s="19">
        <v>46174</v>
      </c>
      <c r="C1420" s="18" t="s">
        <v>58</v>
      </c>
      <c r="D1420" s="17">
        <v>666518</v>
      </c>
      <c r="E1420" s="18" t="s">
        <v>27</v>
      </c>
      <c r="F1420" s="20">
        <v>0</v>
      </c>
      <c r="G1420" s="20">
        <v>0</v>
      </c>
    </row>
    <row r="1421" spans="1:7" ht="15" customHeight="1" x14ac:dyDescent="0.75">
      <c r="A1421" s="18" t="s">
        <v>86</v>
      </c>
      <c r="B1421" s="19">
        <v>46174</v>
      </c>
      <c r="C1421" s="18" t="s">
        <v>58</v>
      </c>
      <c r="D1421" s="17">
        <v>666519</v>
      </c>
      <c r="E1421" s="18" t="s">
        <v>29</v>
      </c>
      <c r="F1421" s="20">
        <v>0</v>
      </c>
      <c r="G1421" s="20">
        <v>0</v>
      </c>
    </row>
    <row r="1422" spans="1:7" ht="15" customHeight="1" x14ac:dyDescent="0.75">
      <c r="A1422" s="18" t="s">
        <v>86</v>
      </c>
      <c r="B1422" s="19">
        <v>46174</v>
      </c>
      <c r="C1422" s="18" t="s">
        <v>58</v>
      </c>
      <c r="D1422" s="17">
        <v>666521</v>
      </c>
      <c r="E1422" s="18" t="s">
        <v>31</v>
      </c>
      <c r="F1422" s="20">
        <v>0</v>
      </c>
      <c r="G1422" s="20">
        <v>0</v>
      </c>
    </row>
    <row r="1423" spans="1:7" ht="15" customHeight="1" x14ac:dyDescent="0.75">
      <c r="A1423" s="18" t="s">
        <v>86</v>
      </c>
      <c r="B1423" s="19">
        <v>46174</v>
      </c>
      <c r="C1423" s="18" t="s">
        <v>58</v>
      </c>
      <c r="D1423" s="17">
        <v>666522</v>
      </c>
      <c r="E1423" s="18" t="s">
        <v>33</v>
      </c>
      <c r="F1423" s="20">
        <v>0</v>
      </c>
      <c r="G1423" s="20">
        <v>0</v>
      </c>
    </row>
    <row r="1424" spans="1:7" ht="15" customHeight="1" x14ac:dyDescent="0.75">
      <c r="A1424" s="18" t="s">
        <v>86</v>
      </c>
      <c r="B1424" s="19">
        <v>46174</v>
      </c>
      <c r="C1424" s="18" t="s">
        <v>58</v>
      </c>
      <c r="D1424" s="17">
        <v>666523</v>
      </c>
      <c r="E1424" s="18" t="s">
        <v>35</v>
      </c>
      <c r="F1424" s="20">
        <v>0</v>
      </c>
      <c r="G1424" s="20">
        <v>0</v>
      </c>
    </row>
    <row r="1425" spans="1:7" ht="15" customHeight="1" x14ac:dyDescent="0.75">
      <c r="A1425" s="18" t="s">
        <v>86</v>
      </c>
      <c r="B1425" s="19">
        <v>46174</v>
      </c>
      <c r="C1425" s="18" t="s">
        <v>58</v>
      </c>
      <c r="D1425" s="17">
        <v>666530</v>
      </c>
      <c r="E1425" s="18" t="s">
        <v>37</v>
      </c>
      <c r="F1425" s="20">
        <v>0</v>
      </c>
      <c r="G1425" s="20">
        <v>0</v>
      </c>
    </row>
    <row r="1426" spans="1:7" ht="15" customHeight="1" x14ac:dyDescent="0.75">
      <c r="A1426" s="18" t="s">
        <v>86</v>
      </c>
      <c r="B1426" s="19">
        <v>46174</v>
      </c>
      <c r="C1426" s="18" t="s">
        <v>58</v>
      </c>
      <c r="D1426" s="17">
        <v>666531</v>
      </c>
      <c r="E1426" s="18" t="s">
        <v>39</v>
      </c>
      <c r="F1426" s="20">
        <v>0</v>
      </c>
      <c r="G1426" s="20">
        <v>0</v>
      </c>
    </row>
    <row r="1427" spans="1:7" ht="15" customHeight="1" x14ac:dyDescent="0.75">
      <c r="A1427" s="18" t="s">
        <v>86</v>
      </c>
      <c r="B1427" s="19">
        <v>46174</v>
      </c>
      <c r="C1427" s="18" t="s">
        <v>58</v>
      </c>
      <c r="D1427" s="17">
        <v>666540</v>
      </c>
      <c r="E1427" s="18" t="s">
        <v>40</v>
      </c>
      <c r="F1427" s="20">
        <v>20</v>
      </c>
      <c r="G1427" s="20">
        <v>0</v>
      </c>
    </row>
    <row r="1428" spans="1:7" ht="15" customHeight="1" x14ac:dyDescent="0.75">
      <c r="A1428" s="18" t="s">
        <v>86</v>
      </c>
      <c r="B1428" s="19">
        <v>46174</v>
      </c>
      <c r="C1428" s="18" t="s">
        <v>58</v>
      </c>
      <c r="D1428" s="17">
        <v>666541</v>
      </c>
      <c r="E1428" s="18" t="s">
        <v>41</v>
      </c>
      <c r="F1428" s="20">
        <v>250</v>
      </c>
      <c r="G1428" s="20">
        <v>142</v>
      </c>
    </row>
    <row r="1429" spans="1:7" ht="15" customHeight="1" x14ac:dyDescent="0.75">
      <c r="A1429" s="18" t="s">
        <v>86</v>
      </c>
      <c r="B1429" s="19">
        <v>46174</v>
      </c>
      <c r="C1429" s="18" t="s">
        <v>58</v>
      </c>
      <c r="D1429" s="17">
        <v>666536</v>
      </c>
      <c r="E1429" s="18" t="s">
        <v>43</v>
      </c>
      <c r="F1429" s="20">
        <v>0</v>
      </c>
      <c r="G1429" s="20">
        <v>0</v>
      </c>
    </row>
    <row r="1430" spans="1:7" ht="15" customHeight="1" x14ac:dyDescent="0.75">
      <c r="A1430" s="18" t="s">
        <v>86</v>
      </c>
      <c r="B1430" s="19">
        <v>46174</v>
      </c>
      <c r="C1430" s="18" t="s">
        <v>66</v>
      </c>
      <c r="D1430" s="17">
        <v>666501</v>
      </c>
      <c r="E1430" s="18" t="s">
        <v>5</v>
      </c>
      <c r="F1430" s="20">
        <v>19.5</v>
      </c>
      <c r="G1430" s="20">
        <v>39</v>
      </c>
    </row>
    <row r="1431" spans="1:7" ht="15" customHeight="1" x14ac:dyDescent="0.75">
      <c r="A1431" s="18" t="s">
        <v>86</v>
      </c>
      <c r="B1431" s="19">
        <v>46174</v>
      </c>
      <c r="C1431" s="18" t="s">
        <v>66</v>
      </c>
      <c r="D1431" s="17">
        <v>666502</v>
      </c>
      <c r="E1431" s="18" t="s">
        <v>7</v>
      </c>
      <c r="F1431" s="20">
        <v>50</v>
      </c>
      <c r="G1431" s="20">
        <v>31</v>
      </c>
    </row>
    <row r="1432" spans="1:7" ht="15" customHeight="1" x14ac:dyDescent="0.75">
      <c r="A1432" s="18" t="s">
        <v>86</v>
      </c>
      <c r="B1432" s="19">
        <v>46174</v>
      </c>
      <c r="C1432" s="18" t="s">
        <v>66</v>
      </c>
      <c r="D1432" s="17">
        <v>666505</v>
      </c>
      <c r="E1432" s="18" t="s">
        <v>9</v>
      </c>
      <c r="F1432" s="20">
        <v>13.5</v>
      </c>
      <c r="G1432" s="20">
        <v>27</v>
      </c>
    </row>
    <row r="1433" spans="1:7" ht="15" customHeight="1" x14ac:dyDescent="0.75">
      <c r="A1433" s="18" t="s">
        <v>86</v>
      </c>
      <c r="B1433" s="19">
        <v>46174</v>
      </c>
      <c r="C1433" s="18" t="s">
        <v>66</v>
      </c>
      <c r="D1433" s="17">
        <v>666506</v>
      </c>
      <c r="E1433" s="18" t="s">
        <v>11</v>
      </c>
      <c r="F1433" s="20">
        <v>0</v>
      </c>
      <c r="G1433" s="20">
        <v>0</v>
      </c>
    </row>
    <row r="1434" spans="1:7" ht="15" customHeight="1" x14ac:dyDescent="0.75">
      <c r="A1434" s="18" t="s">
        <v>86</v>
      </c>
      <c r="B1434" s="19">
        <v>46174</v>
      </c>
      <c r="C1434" s="18" t="s">
        <v>66</v>
      </c>
      <c r="D1434" s="17">
        <v>666507</v>
      </c>
      <c r="E1434" s="18" t="s">
        <v>13</v>
      </c>
      <c r="F1434" s="20">
        <v>0</v>
      </c>
      <c r="G1434" s="20">
        <v>0</v>
      </c>
    </row>
    <row r="1435" spans="1:7" ht="15" customHeight="1" x14ac:dyDescent="0.75">
      <c r="A1435" s="18" t="s">
        <v>86</v>
      </c>
      <c r="B1435" s="19">
        <v>46174</v>
      </c>
      <c r="C1435" s="18" t="s">
        <v>66</v>
      </c>
      <c r="D1435" s="17">
        <v>666509</v>
      </c>
      <c r="E1435" s="18" t="s">
        <v>15</v>
      </c>
      <c r="F1435" s="20">
        <v>0</v>
      </c>
      <c r="G1435" s="20">
        <v>0</v>
      </c>
    </row>
    <row r="1436" spans="1:7" ht="15" customHeight="1" x14ac:dyDescent="0.75">
      <c r="A1436" s="18" t="s">
        <v>86</v>
      </c>
      <c r="B1436" s="19">
        <v>46174</v>
      </c>
      <c r="C1436" s="18" t="s">
        <v>66</v>
      </c>
      <c r="D1436" s="17">
        <v>666510</v>
      </c>
      <c r="E1436" s="18" t="s">
        <v>17</v>
      </c>
      <c r="F1436" s="20">
        <v>0</v>
      </c>
      <c r="G1436" s="20">
        <v>0</v>
      </c>
    </row>
    <row r="1437" spans="1:7" ht="15" customHeight="1" x14ac:dyDescent="0.75">
      <c r="A1437" s="18" t="s">
        <v>86</v>
      </c>
      <c r="B1437" s="19">
        <v>46174</v>
      </c>
      <c r="C1437" s="18" t="s">
        <v>66</v>
      </c>
      <c r="D1437" s="17">
        <v>666511</v>
      </c>
      <c r="E1437" s="18" t="s">
        <v>19</v>
      </c>
      <c r="F1437" s="20">
        <v>0</v>
      </c>
      <c r="G1437" s="20">
        <v>0</v>
      </c>
    </row>
    <row r="1438" spans="1:7" ht="15" customHeight="1" x14ac:dyDescent="0.75">
      <c r="A1438" s="18" t="s">
        <v>86</v>
      </c>
      <c r="B1438" s="19">
        <v>46174</v>
      </c>
      <c r="C1438" s="18" t="s">
        <v>66</v>
      </c>
      <c r="D1438" s="17">
        <v>666513</v>
      </c>
      <c r="E1438" s="18" t="s">
        <v>21</v>
      </c>
      <c r="F1438" s="20">
        <v>17</v>
      </c>
      <c r="G1438" s="20">
        <v>34</v>
      </c>
    </row>
    <row r="1439" spans="1:7" ht="15" customHeight="1" x14ac:dyDescent="0.75">
      <c r="A1439" s="18" t="s">
        <v>86</v>
      </c>
      <c r="B1439" s="19">
        <v>46174</v>
      </c>
      <c r="C1439" s="18" t="s">
        <v>66</v>
      </c>
      <c r="D1439" s="17">
        <v>666516</v>
      </c>
      <c r="E1439" s="18" t="s">
        <v>23</v>
      </c>
      <c r="F1439" s="20">
        <v>8</v>
      </c>
      <c r="G1439" s="20">
        <v>16</v>
      </c>
    </row>
    <row r="1440" spans="1:7" ht="15" customHeight="1" x14ac:dyDescent="0.75">
      <c r="A1440" s="18" t="s">
        <v>86</v>
      </c>
      <c r="B1440" s="19">
        <v>46174</v>
      </c>
      <c r="C1440" s="18" t="s">
        <v>66</v>
      </c>
      <c r="D1440" s="17">
        <v>666517</v>
      </c>
      <c r="E1440" s="18" t="s">
        <v>25</v>
      </c>
      <c r="F1440" s="20">
        <v>5</v>
      </c>
      <c r="G1440" s="20">
        <v>10</v>
      </c>
    </row>
    <row r="1441" spans="1:7" ht="15" customHeight="1" x14ac:dyDescent="0.75">
      <c r="A1441" s="18" t="s">
        <v>86</v>
      </c>
      <c r="B1441" s="19">
        <v>46174</v>
      </c>
      <c r="C1441" s="18" t="s">
        <v>66</v>
      </c>
      <c r="D1441" s="17">
        <v>666518</v>
      </c>
      <c r="E1441" s="18" t="s">
        <v>27</v>
      </c>
      <c r="F1441" s="20">
        <v>0</v>
      </c>
      <c r="G1441" s="20">
        <v>0</v>
      </c>
    </row>
    <row r="1442" spans="1:7" ht="15" customHeight="1" x14ac:dyDescent="0.75">
      <c r="A1442" s="18" t="s">
        <v>86</v>
      </c>
      <c r="B1442" s="19">
        <v>46174</v>
      </c>
      <c r="C1442" s="18" t="s">
        <v>66</v>
      </c>
      <c r="D1442" s="17">
        <v>666519</v>
      </c>
      <c r="E1442" s="18" t="s">
        <v>29</v>
      </c>
      <c r="F1442" s="20">
        <v>11</v>
      </c>
      <c r="G1442" s="20">
        <v>22</v>
      </c>
    </row>
    <row r="1443" spans="1:7" ht="15" customHeight="1" x14ac:dyDescent="0.75">
      <c r="A1443" s="18" t="s">
        <v>86</v>
      </c>
      <c r="B1443" s="19">
        <v>46174</v>
      </c>
      <c r="C1443" s="18" t="s">
        <v>66</v>
      </c>
      <c r="D1443" s="17">
        <v>666521</v>
      </c>
      <c r="E1443" s="18" t="s">
        <v>31</v>
      </c>
      <c r="F1443" s="20">
        <v>0</v>
      </c>
      <c r="G1443" s="20">
        <v>0</v>
      </c>
    </row>
    <row r="1444" spans="1:7" ht="15" customHeight="1" x14ac:dyDescent="0.75">
      <c r="A1444" s="18" t="s">
        <v>86</v>
      </c>
      <c r="B1444" s="19">
        <v>46174</v>
      </c>
      <c r="C1444" s="18" t="s">
        <v>66</v>
      </c>
      <c r="D1444" s="17">
        <v>666522</v>
      </c>
      <c r="E1444" s="18" t="s">
        <v>33</v>
      </c>
      <c r="F1444" s="20">
        <v>62.5</v>
      </c>
      <c r="G1444" s="20">
        <v>125</v>
      </c>
    </row>
    <row r="1445" spans="1:7" ht="15" customHeight="1" x14ac:dyDescent="0.75">
      <c r="A1445" s="18" t="s">
        <v>86</v>
      </c>
      <c r="B1445" s="19">
        <v>46174</v>
      </c>
      <c r="C1445" s="18" t="s">
        <v>66</v>
      </c>
      <c r="D1445" s="17">
        <v>666523</v>
      </c>
      <c r="E1445" s="18" t="s">
        <v>35</v>
      </c>
      <c r="F1445" s="20">
        <v>14</v>
      </c>
      <c r="G1445" s="20">
        <v>28</v>
      </c>
    </row>
    <row r="1446" spans="1:7" ht="15" customHeight="1" x14ac:dyDescent="0.75">
      <c r="A1446" s="18" t="s">
        <v>86</v>
      </c>
      <c r="B1446" s="19">
        <v>46174</v>
      </c>
      <c r="C1446" s="18" t="s">
        <v>66</v>
      </c>
      <c r="D1446" s="17">
        <v>666530</v>
      </c>
      <c r="E1446" s="18" t="s">
        <v>37</v>
      </c>
      <c r="F1446" s="20">
        <v>9</v>
      </c>
      <c r="G1446" s="20">
        <v>18</v>
      </c>
    </row>
    <row r="1447" spans="1:7" ht="15" customHeight="1" x14ac:dyDescent="0.75">
      <c r="A1447" s="18" t="s">
        <v>86</v>
      </c>
      <c r="B1447" s="19">
        <v>46174</v>
      </c>
      <c r="C1447" s="18" t="s">
        <v>66</v>
      </c>
      <c r="D1447" s="17">
        <v>666531</v>
      </c>
      <c r="E1447" s="18" t="s">
        <v>39</v>
      </c>
      <c r="F1447" s="20">
        <v>4</v>
      </c>
      <c r="G1447" s="20">
        <v>8</v>
      </c>
    </row>
    <row r="1448" spans="1:7" ht="15" customHeight="1" x14ac:dyDescent="0.75">
      <c r="A1448" s="18" t="s">
        <v>86</v>
      </c>
      <c r="B1448" s="19">
        <v>46174</v>
      </c>
      <c r="C1448" s="18" t="s">
        <v>66</v>
      </c>
      <c r="D1448" s="17">
        <v>666540</v>
      </c>
      <c r="E1448" s="18" t="s">
        <v>40</v>
      </c>
      <c r="F1448" s="20">
        <v>0</v>
      </c>
      <c r="G1448" s="20">
        <v>0</v>
      </c>
    </row>
    <row r="1449" spans="1:7" ht="15" customHeight="1" x14ac:dyDescent="0.75">
      <c r="A1449" s="18" t="s">
        <v>86</v>
      </c>
      <c r="B1449" s="19">
        <v>46174</v>
      </c>
      <c r="C1449" s="18" t="s">
        <v>66</v>
      </c>
      <c r="D1449" s="17">
        <v>666541</v>
      </c>
      <c r="E1449" s="18" t="s">
        <v>41</v>
      </c>
      <c r="F1449" s="20">
        <v>0</v>
      </c>
      <c r="G1449" s="20">
        <v>0</v>
      </c>
    </row>
    <row r="1450" spans="1:7" ht="15" customHeight="1" x14ac:dyDescent="0.75">
      <c r="A1450" s="18" t="s">
        <v>86</v>
      </c>
      <c r="B1450" s="19">
        <v>46174</v>
      </c>
      <c r="C1450" s="18" t="s">
        <v>66</v>
      </c>
      <c r="D1450" s="17">
        <v>666536</v>
      </c>
      <c r="E1450" s="18" t="s">
        <v>43</v>
      </c>
      <c r="F1450" s="20">
        <v>0</v>
      </c>
      <c r="G1450" s="20">
        <v>0</v>
      </c>
    </row>
    <row r="1451" spans="1:7" ht="15" customHeight="1" x14ac:dyDescent="0.75">
      <c r="A1451" s="18" t="s">
        <v>87</v>
      </c>
      <c r="B1451" s="19">
        <v>46181</v>
      </c>
      <c r="C1451" s="18" t="s">
        <v>56</v>
      </c>
      <c r="D1451" s="17">
        <v>666501</v>
      </c>
      <c r="E1451" s="18" t="s">
        <v>5</v>
      </c>
      <c r="F1451" s="20">
        <v>21</v>
      </c>
      <c r="G1451" s="20">
        <v>0</v>
      </c>
    </row>
    <row r="1452" spans="1:7" ht="15" customHeight="1" x14ac:dyDescent="0.75">
      <c r="A1452" s="18" t="s">
        <v>87</v>
      </c>
      <c r="B1452" s="19">
        <v>46181</v>
      </c>
      <c r="C1452" s="18" t="s">
        <v>56</v>
      </c>
      <c r="D1452" s="17">
        <v>666502</v>
      </c>
      <c r="E1452" s="18" t="s">
        <v>7</v>
      </c>
      <c r="F1452" s="20">
        <v>0</v>
      </c>
      <c r="G1452" s="20">
        <v>0</v>
      </c>
    </row>
    <row r="1453" spans="1:7" ht="15" customHeight="1" x14ac:dyDescent="0.75">
      <c r="A1453" s="18" t="s">
        <v>87</v>
      </c>
      <c r="B1453" s="19">
        <v>46181</v>
      </c>
      <c r="C1453" s="18" t="s">
        <v>56</v>
      </c>
      <c r="D1453" s="17">
        <v>666505</v>
      </c>
      <c r="E1453" s="18" t="s">
        <v>9</v>
      </c>
      <c r="F1453" s="20">
        <v>6.5</v>
      </c>
      <c r="G1453" s="20">
        <v>0</v>
      </c>
    </row>
    <row r="1454" spans="1:7" ht="15" customHeight="1" x14ac:dyDescent="0.75">
      <c r="A1454" s="18" t="s">
        <v>87</v>
      </c>
      <c r="B1454" s="19">
        <v>46181</v>
      </c>
      <c r="C1454" s="18" t="s">
        <v>56</v>
      </c>
      <c r="D1454" s="17">
        <v>666506</v>
      </c>
      <c r="E1454" s="18" t="s">
        <v>11</v>
      </c>
      <c r="F1454" s="20">
        <v>0</v>
      </c>
      <c r="G1454" s="20">
        <v>0</v>
      </c>
    </row>
    <row r="1455" spans="1:7" ht="15" customHeight="1" x14ac:dyDescent="0.75">
      <c r="A1455" s="18" t="s">
        <v>87</v>
      </c>
      <c r="B1455" s="19">
        <v>46181</v>
      </c>
      <c r="C1455" s="18" t="s">
        <v>56</v>
      </c>
      <c r="D1455" s="17">
        <v>666507</v>
      </c>
      <c r="E1455" s="18" t="s">
        <v>13</v>
      </c>
      <c r="F1455" s="20">
        <v>4</v>
      </c>
      <c r="G1455" s="20">
        <v>0</v>
      </c>
    </row>
    <row r="1456" spans="1:7" ht="15" customHeight="1" x14ac:dyDescent="0.75">
      <c r="A1456" s="18" t="s">
        <v>87</v>
      </c>
      <c r="B1456" s="19">
        <v>46181</v>
      </c>
      <c r="C1456" s="18" t="s">
        <v>56</v>
      </c>
      <c r="D1456" s="17">
        <v>666509</v>
      </c>
      <c r="E1456" s="18" t="s">
        <v>15</v>
      </c>
      <c r="F1456" s="20">
        <v>25</v>
      </c>
      <c r="G1456" s="20">
        <v>15</v>
      </c>
    </row>
    <row r="1457" spans="1:7" ht="15" customHeight="1" x14ac:dyDescent="0.75">
      <c r="A1457" s="18" t="s">
        <v>87</v>
      </c>
      <c r="B1457" s="19">
        <v>46181</v>
      </c>
      <c r="C1457" s="18" t="s">
        <v>56</v>
      </c>
      <c r="D1457" s="17">
        <v>666510</v>
      </c>
      <c r="E1457" s="18" t="s">
        <v>17</v>
      </c>
      <c r="F1457" s="20">
        <v>0</v>
      </c>
      <c r="G1457" s="20">
        <v>0</v>
      </c>
    </row>
    <row r="1458" spans="1:7" ht="15" customHeight="1" x14ac:dyDescent="0.75">
      <c r="A1458" s="18" t="s">
        <v>87</v>
      </c>
      <c r="B1458" s="19">
        <v>46181</v>
      </c>
      <c r="C1458" s="18" t="s">
        <v>56</v>
      </c>
      <c r="D1458" s="17">
        <v>666511</v>
      </c>
      <c r="E1458" s="18" t="s">
        <v>19</v>
      </c>
      <c r="F1458" s="20">
        <v>2</v>
      </c>
      <c r="G1458" s="20">
        <v>4</v>
      </c>
    </row>
    <row r="1459" spans="1:7" ht="15" customHeight="1" x14ac:dyDescent="0.75">
      <c r="A1459" s="18" t="s">
        <v>87</v>
      </c>
      <c r="B1459" s="19">
        <v>46181</v>
      </c>
      <c r="C1459" s="18" t="s">
        <v>56</v>
      </c>
      <c r="D1459" s="17">
        <v>666513</v>
      </c>
      <c r="E1459" s="18" t="s">
        <v>21</v>
      </c>
      <c r="F1459" s="20">
        <v>7</v>
      </c>
      <c r="G1459" s="20">
        <v>0</v>
      </c>
    </row>
    <row r="1460" spans="1:7" ht="15" customHeight="1" x14ac:dyDescent="0.75">
      <c r="A1460" s="18" t="s">
        <v>87</v>
      </c>
      <c r="B1460" s="19">
        <v>46181</v>
      </c>
      <c r="C1460" s="18" t="s">
        <v>56</v>
      </c>
      <c r="D1460" s="17">
        <v>666516</v>
      </c>
      <c r="E1460" s="18" t="s">
        <v>23</v>
      </c>
      <c r="F1460" s="20">
        <v>8</v>
      </c>
      <c r="G1460" s="20">
        <v>0</v>
      </c>
    </row>
    <row r="1461" spans="1:7" ht="15" customHeight="1" x14ac:dyDescent="0.75">
      <c r="A1461" s="18" t="s">
        <v>87</v>
      </c>
      <c r="B1461" s="19">
        <v>46181</v>
      </c>
      <c r="C1461" s="18" t="s">
        <v>56</v>
      </c>
      <c r="D1461" s="17">
        <v>666517</v>
      </c>
      <c r="E1461" s="18" t="s">
        <v>25</v>
      </c>
      <c r="F1461" s="20">
        <v>11</v>
      </c>
      <c r="G1461" s="20">
        <v>0</v>
      </c>
    </row>
    <row r="1462" spans="1:7" ht="15" customHeight="1" x14ac:dyDescent="0.75">
      <c r="A1462" s="18" t="s">
        <v>87</v>
      </c>
      <c r="B1462" s="19">
        <v>46181</v>
      </c>
      <c r="C1462" s="18" t="s">
        <v>56</v>
      </c>
      <c r="D1462" s="17">
        <v>666518</v>
      </c>
      <c r="E1462" s="18" t="s">
        <v>27</v>
      </c>
      <c r="F1462" s="20">
        <v>0</v>
      </c>
      <c r="G1462" s="20">
        <v>0</v>
      </c>
    </row>
    <row r="1463" spans="1:7" ht="15" customHeight="1" x14ac:dyDescent="0.75">
      <c r="A1463" s="18" t="s">
        <v>87</v>
      </c>
      <c r="B1463" s="19">
        <v>46181</v>
      </c>
      <c r="C1463" s="18" t="s">
        <v>56</v>
      </c>
      <c r="D1463" s="17">
        <v>666519</v>
      </c>
      <c r="E1463" s="18" t="s">
        <v>29</v>
      </c>
      <c r="F1463" s="20">
        <v>11</v>
      </c>
      <c r="G1463" s="20">
        <v>0</v>
      </c>
    </row>
    <row r="1464" spans="1:7" ht="15" customHeight="1" x14ac:dyDescent="0.75">
      <c r="A1464" s="18" t="s">
        <v>87</v>
      </c>
      <c r="B1464" s="19">
        <v>46181</v>
      </c>
      <c r="C1464" s="18" t="s">
        <v>56</v>
      </c>
      <c r="D1464" s="17">
        <v>666521</v>
      </c>
      <c r="E1464" s="18" t="s">
        <v>31</v>
      </c>
      <c r="F1464" s="20">
        <v>24</v>
      </c>
      <c r="G1464" s="20">
        <v>0</v>
      </c>
    </row>
    <row r="1465" spans="1:7" ht="15" customHeight="1" x14ac:dyDescent="0.75">
      <c r="A1465" s="18" t="s">
        <v>87</v>
      </c>
      <c r="B1465" s="19">
        <v>46181</v>
      </c>
      <c r="C1465" s="18" t="s">
        <v>56</v>
      </c>
      <c r="D1465" s="17">
        <v>666522</v>
      </c>
      <c r="E1465" s="18" t="s">
        <v>33</v>
      </c>
      <c r="F1465" s="20">
        <v>90</v>
      </c>
      <c r="G1465" s="20">
        <v>70</v>
      </c>
    </row>
    <row r="1466" spans="1:7" ht="15" customHeight="1" x14ac:dyDescent="0.75">
      <c r="A1466" s="18" t="s">
        <v>87</v>
      </c>
      <c r="B1466" s="19">
        <v>46181</v>
      </c>
      <c r="C1466" s="18" t="s">
        <v>56</v>
      </c>
      <c r="D1466" s="17">
        <v>666523</v>
      </c>
      <c r="E1466" s="18" t="s">
        <v>35</v>
      </c>
      <c r="F1466" s="20">
        <v>0</v>
      </c>
      <c r="G1466" s="20">
        <v>0</v>
      </c>
    </row>
    <row r="1467" spans="1:7" ht="15" customHeight="1" x14ac:dyDescent="0.75">
      <c r="A1467" s="18" t="s">
        <v>87</v>
      </c>
      <c r="B1467" s="19">
        <v>46181</v>
      </c>
      <c r="C1467" s="18" t="s">
        <v>56</v>
      </c>
      <c r="D1467" s="17">
        <v>666530</v>
      </c>
      <c r="E1467" s="18" t="s">
        <v>37</v>
      </c>
      <c r="F1467" s="20">
        <v>0</v>
      </c>
      <c r="G1467" s="20">
        <v>0</v>
      </c>
    </row>
    <row r="1468" spans="1:7" ht="15" customHeight="1" x14ac:dyDescent="0.75">
      <c r="A1468" s="18" t="s">
        <v>87</v>
      </c>
      <c r="B1468" s="19">
        <v>46181</v>
      </c>
      <c r="C1468" s="18" t="s">
        <v>56</v>
      </c>
      <c r="D1468" s="17">
        <v>666531</v>
      </c>
      <c r="E1468" s="18" t="s">
        <v>39</v>
      </c>
      <c r="F1468" s="20">
        <v>10</v>
      </c>
      <c r="G1468" s="20">
        <v>0</v>
      </c>
    </row>
    <row r="1469" spans="1:7" ht="15" customHeight="1" x14ac:dyDescent="0.75">
      <c r="A1469" s="18" t="s">
        <v>87</v>
      </c>
      <c r="B1469" s="19">
        <v>46181</v>
      </c>
      <c r="C1469" s="18" t="s">
        <v>56</v>
      </c>
      <c r="D1469" s="17">
        <v>666540</v>
      </c>
      <c r="E1469" s="18" t="s">
        <v>40</v>
      </c>
      <c r="F1469" s="20">
        <v>0</v>
      </c>
      <c r="G1469" s="20">
        <v>0</v>
      </c>
    </row>
    <row r="1470" spans="1:7" ht="15" customHeight="1" x14ac:dyDescent="0.75">
      <c r="A1470" s="18" t="s">
        <v>87</v>
      </c>
      <c r="B1470" s="19">
        <v>46181</v>
      </c>
      <c r="C1470" s="18" t="s">
        <v>56</v>
      </c>
      <c r="D1470" s="17">
        <v>666541</v>
      </c>
      <c r="E1470" s="18" t="s">
        <v>41</v>
      </c>
      <c r="F1470" s="20">
        <v>0</v>
      </c>
      <c r="G1470" s="20">
        <v>0</v>
      </c>
    </row>
    <row r="1471" spans="1:7" ht="15" customHeight="1" x14ac:dyDescent="0.75">
      <c r="A1471" s="18" t="s">
        <v>87</v>
      </c>
      <c r="B1471" s="19">
        <v>46181</v>
      </c>
      <c r="C1471" s="18" t="s">
        <v>56</v>
      </c>
      <c r="D1471" s="17">
        <v>666536</v>
      </c>
      <c r="E1471" s="18" t="s">
        <v>43</v>
      </c>
      <c r="F1471" s="20">
        <v>20</v>
      </c>
      <c r="G1471" s="20">
        <v>7</v>
      </c>
    </row>
    <row r="1472" spans="1:7" ht="15" customHeight="1" x14ac:dyDescent="0.75">
      <c r="A1472" s="18" t="s">
        <v>87</v>
      </c>
      <c r="B1472" s="19">
        <v>46181</v>
      </c>
      <c r="C1472" s="18" t="s">
        <v>58</v>
      </c>
      <c r="D1472" s="17">
        <v>666501</v>
      </c>
      <c r="E1472" s="18" t="s">
        <v>5</v>
      </c>
      <c r="F1472" s="20">
        <v>196.5</v>
      </c>
      <c r="G1472" s="20">
        <v>129</v>
      </c>
    </row>
    <row r="1473" spans="1:7" ht="15" customHeight="1" x14ac:dyDescent="0.75">
      <c r="A1473" s="18" t="s">
        <v>87</v>
      </c>
      <c r="B1473" s="19">
        <v>46181</v>
      </c>
      <c r="C1473" s="18" t="s">
        <v>58</v>
      </c>
      <c r="D1473" s="17">
        <v>666502</v>
      </c>
      <c r="E1473" s="18" t="s">
        <v>7</v>
      </c>
      <c r="F1473" s="20">
        <v>106</v>
      </c>
      <c r="G1473" s="20">
        <v>74</v>
      </c>
    </row>
    <row r="1474" spans="1:7" ht="15" customHeight="1" x14ac:dyDescent="0.75">
      <c r="A1474" s="18" t="s">
        <v>87</v>
      </c>
      <c r="B1474" s="19">
        <v>46181</v>
      </c>
      <c r="C1474" s="18" t="s">
        <v>58</v>
      </c>
      <c r="D1474" s="17">
        <v>666505</v>
      </c>
      <c r="E1474" s="18" t="s">
        <v>9</v>
      </c>
      <c r="F1474" s="20">
        <v>0</v>
      </c>
      <c r="G1474" s="20">
        <v>0</v>
      </c>
    </row>
    <row r="1475" spans="1:7" ht="15" customHeight="1" x14ac:dyDescent="0.75">
      <c r="A1475" s="18" t="s">
        <v>87</v>
      </c>
      <c r="B1475" s="19">
        <v>46181</v>
      </c>
      <c r="C1475" s="18" t="s">
        <v>58</v>
      </c>
      <c r="D1475" s="17">
        <v>666506</v>
      </c>
      <c r="E1475" s="18" t="s">
        <v>11</v>
      </c>
      <c r="F1475" s="20">
        <v>72</v>
      </c>
      <c r="G1475" s="20">
        <v>17</v>
      </c>
    </row>
    <row r="1476" spans="1:7" ht="15" customHeight="1" x14ac:dyDescent="0.75">
      <c r="A1476" s="18" t="s">
        <v>87</v>
      </c>
      <c r="B1476" s="19">
        <v>46181</v>
      </c>
      <c r="C1476" s="18" t="s">
        <v>58</v>
      </c>
      <c r="D1476" s="17">
        <v>666507</v>
      </c>
      <c r="E1476" s="18" t="s">
        <v>13</v>
      </c>
      <c r="F1476" s="20">
        <v>0</v>
      </c>
      <c r="G1476" s="20">
        <v>0</v>
      </c>
    </row>
    <row r="1477" spans="1:7" ht="15" customHeight="1" x14ac:dyDescent="0.75">
      <c r="A1477" s="18" t="s">
        <v>87</v>
      </c>
      <c r="B1477" s="19">
        <v>46181</v>
      </c>
      <c r="C1477" s="18" t="s">
        <v>58</v>
      </c>
      <c r="D1477" s="17">
        <v>666509</v>
      </c>
      <c r="E1477" s="18" t="s">
        <v>15</v>
      </c>
      <c r="F1477" s="20">
        <v>0</v>
      </c>
      <c r="G1477" s="20">
        <v>0</v>
      </c>
    </row>
    <row r="1478" spans="1:7" ht="15" customHeight="1" x14ac:dyDescent="0.75">
      <c r="A1478" s="18" t="s">
        <v>87</v>
      </c>
      <c r="B1478" s="19">
        <v>46181</v>
      </c>
      <c r="C1478" s="18" t="s">
        <v>58</v>
      </c>
      <c r="D1478" s="17">
        <v>666510</v>
      </c>
      <c r="E1478" s="18" t="s">
        <v>17</v>
      </c>
      <c r="F1478" s="20">
        <v>0</v>
      </c>
      <c r="G1478" s="20">
        <v>0</v>
      </c>
    </row>
    <row r="1479" spans="1:7" ht="15" customHeight="1" x14ac:dyDescent="0.75">
      <c r="A1479" s="18" t="s">
        <v>87</v>
      </c>
      <c r="B1479" s="19">
        <v>46181</v>
      </c>
      <c r="C1479" s="18" t="s">
        <v>58</v>
      </c>
      <c r="D1479" s="17">
        <v>666511</v>
      </c>
      <c r="E1479" s="18" t="s">
        <v>19</v>
      </c>
      <c r="F1479" s="20">
        <v>0</v>
      </c>
      <c r="G1479" s="20">
        <v>0</v>
      </c>
    </row>
    <row r="1480" spans="1:7" ht="15" customHeight="1" x14ac:dyDescent="0.75">
      <c r="A1480" s="18" t="s">
        <v>87</v>
      </c>
      <c r="B1480" s="19">
        <v>46181</v>
      </c>
      <c r="C1480" s="18" t="s">
        <v>58</v>
      </c>
      <c r="D1480" s="17">
        <v>666513</v>
      </c>
      <c r="E1480" s="18" t="s">
        <v>21</v>
      </c>
      <c r="F1480" s="20">
        <v>0</v>
      </c>
      <c r="G1480" s="20">
        <v>0</v>
      </c>
    </row>
    <row r="1481" spans="1:7" ht="15" customHeight="1" x14ac:dyDescent="0.75">
      <c r="A1481" s="18" t="s">
        <v>87</v>
      </c>
      <c r="B1481" s="19">
        <v>46181</v>
      </c>
      <c r="C1481" s="18" t="s">
        <v>58</v>
      </c>
      <c r="D1481" s="17">
        <v>666516</v>
      </c>
      <c r="E1481" s="18" t="s">
        <v>23</v>
      </c>
      <c r="F1481" s="20">
        <v>0</v>
      </c>
      <c r="G1481" s="20">
        <v>0</v>
      </c>
    </row>
    <row r="1482" spans="1:7" ht="15" customHeight="1" x14ac:dyDescent="0.75">
      <c r="A1482" s="18" t="s">
        <v>87</v>
      </c>
      <c r="B1482" s="19">
        <v>46181</v>
      </c>
      <c r="C1482" s="18" t="s">
        <v>58</v>
      </c>
      <c r="D1482" s="17">
        <v>666517</v>
      </c>
      <c r="E1482" s="18" t="s">
        <v>25</v>
      </c>
      <c r="F1482" s="20">
        <v>0</v>
      </c>
      <c r="G1482" s="20">
        <v>0</v>
      </c>
    </row>
    <row r="1483" spans="1:7" ht="15" customHeight="1" x14ac:dyDescent="0.75">
      <c r="A1483" s="18" t="s">
        <v>87</v>
      </c>
      <c r="B1483" s="19">
        <v>46181</v>
      </c>
      <c r="C1483" s="18" t="s">
        <v>58</v>
      </c>
      <c r="D1483" s="17">
        <v>666518</v>
      </c>
      <c r="E1483" s="18" t="s">
        <v>27</v>
      </c>
      <c r="F1483" s="20">
        <v>0</v>
      </c>
      <c r="G1483" s="20">
        <v>0</v>
      </c>
    </row>
    <row r="1484" spans="1:7" ht="15" customHeight="1" x14ac:dyDescent="0.75">
      <c r="A1484" s="18" t="s">
        <v>87</v>
      </c>
      <c r="B1484" s="19">
        <v>46181</v>
      </c>
      <c r="C1484" s="18" t="s">
        <v>58</v>
      </c>
      <c r="D1484" s="17">
        <v>666519</v>
      </c>
      <c r="E1484" s="18" t="s">
        <v>29</v>
      </c>
      <c r="F1484" s="20">
        <v>0</v>
      </c>
      <c r="G1484" s="20">
        <v>0</v>
      </c>
    </row>
    <row r="1485" spans="1:7" ht="15" customHeight="1" x14ac:dyDescent="0.75">
      <c r="A1485" s="18" t="s">
        <v>87</v>
      </c>
      <c r="B1485" s="19">
        <v>46181</v>
      </c>
      <c r="C1485" s="18" t="s">
        <v>58</v>
      </c>
      <c r="D1485" s="17">
        <v>666521</v>
      </c>
      <c r="E1485" s="18" t="s">
        <v>31</v>
      </c>
      <c r="F1485" s="20">
        <v>0</v>
      </c>
      <c r="G1485" s="20">
        <v>0</v>
      </c>
    </row>
    <row r="1486" spans="1:7" ht="15" customHeight="1" x14ac:dyDescent="0.75">
      <c r="A1486" s="18" t="s">
        <v>87</v>
      </c>
      <c r="B1486" s="19">
        <v>46181</v>
      </c>
      <c r="C1486" s="18" t="s">
        <v>58</v>
      </c>
      <c r="D1486" s="17">
        <v>666522</v>
      </c>
      <c r="E1486" s="18" t="s">
        <v>33</v>
      </c>
      <c r="F1486" s="20">
        <v>0</v>
      </c>
      <c r="G1486" s="20">
        <v>0</v>
      </c>
    </row>
    <row r="1487" spans="1:7" ht="15" customHeight="1" x14ac:dyDescent="0.75">
      <c r="A1487" s="18" t="s">
        <v>87</v>
      </c>
      <c r="B1487" s="19">
        <v>46181</v>
      </c>
      <c r="C1487" s="18" t="s">
        <v>58</v>
      </c>
      <c r="D1487" s="17">
        <v>666523</v>
      </c>
      <c r="E1487" s="18" t="s">
        <v>35</v>
      </c>
      <c r="F1487" s="20">
        <v>0</v>
      </c>
      <c r="G1487" s="20">
        <v>0</v>
      </c>
    </row>
    <row r="1488" spans="1:7" ht="15" customHeight="1" x14ac:dyDescent="0.75">
      <c r="A1488" s="18" t="s">
        <v>87</v>
      </c>
      <c r="B1488" s="19">
        <v>46181</v>
      </c>
      <c r="C1488" s="18" t="s">
        <v>58</v>
      </c>
      <c r="D1488" s="17">
        <v>666530</v>
      </c>
      <c r="E1488" s="18" t="s">
        <v>37</v>
      </c>
      <c r="F1488" s="20">
        <v>0</v>
      </c>
      <c r="G1488" s="20">
        <v>0</v>
      </c>
    </row>
    <row r="1489" spans="1:7" ht="15" customHeight="1" x14ac:dyDescent="0.75">
      <c r="A1489" s="18" t="s">
        <v>87</v>
      </c>
      <c r="B1489" s="19">
        <v>46181</v>
      </c>
      <c r="C1489" s="18" t="s">
        <v>58</v>
      </c>
      <c r="D1489" s="17">
        <v>666531</v>
      </c>
      <c r="E1489" s="18" t="s">
        <v>39</v>
      </c>
      <c r="F1489" s="20">
        <v>0</v>
      </c>
      <c r="G1489" s="20">
        <v>0</v>
      </c>
    </row>
    <row r="1490" spans="1:7" ht="15" customHeight="1" x14ac:dyDescent="0.75">
      <c r="A1490" s="18" t="s">
        <v>87</v>
      </c>
      <c r="B1490" s="19">
        <v>46181</v>
      </c>
      <c r="C1490" s="18" t="s">
        <v>58</v>
      </c>
      <c r="D1490" s="17">
        <v>666540</v>
      </c>
      <c r="E1490" s="18" t="s">
        <v>40</v>
      </c>
      <c r="F1490" s="20">
        <v>20</v>
      </c>
      <c r="G1490" s="20">
        <v>0</v>
      </c>
    </row>
    <row r="1491" spans="1:7" ht="15" customHeight="1" x14ac:dyDescent="0.75">
      <c r="A1491" s="18" t="s">
        <v>87</v>
      </c>
      <c r="B1491" s="19">
        <v>46181</v>
      </c>
      <c r="C1491" s="18" t="s">
        <v>58</v>
      </c>
      <c r="D1491" s="17">
        <v>666541</v>
      </c>
      <c r="E1491" s="18" t="s">
        <v>41</v>
      </c>
      <c r="F1491" s="20">
        <v>250</v>
      </c>
      <c r="G1491" s="20">
        <v>105</v>
      </c>
    </row>
    <row r="1492" spans="1:7" ht="15" customHeight="1" x14ac:dyDescent="0.75">
      <c r="A1492" s="18" t="s">
        <v>87</v>
      </c>
      <c r="B1492" s="19">
        <v>46181</v>
      </c>
      <c r="C1492" s="18" t="s">
        <v>58</v>
      </c>
      <c r="D1492" s="17">
        <v>666536</v>
      </c>
      <c r="E1492" s="18" t="s">
        <v>43</v>
      </c>
      <c r="F1492" s="20">
        <v>0</v>
      </c>
      <c r="G1492" s="20">
        <v>0</v>
      </c>
    </row>
    <row r="1493" spans="1:7" ht="15" customHeight="1" x14ac:dyDescent="0.75">
      <c r="A1493" s="18" t="s">
        <v>87</v>
      </c>
      <c r="B1493" s="19">
        <v>46181</v>
      </c>
      <c r="C1493" s="18" t="s">
        <v>66</v>
      </c>
      <c r="D1493" s="17">
        <v>666501</v>
      </c>
      <c r="E1493" s="18" t="s">
        <v>5</v>
      </c>
      <c r="F1493" s="20">
        <v>19.5</v>
      </c>
      <c r="G1493" s="20">
        <v>0</v>
      </c>
    </row>
    <row r="1494" spans="1:7" ht="15" customHeight="1" x14ac:dyDescent="0.75">
      <c r="A1494" s="18" t="s">
        <v>87</v>
      </c>
      <c r="B1494" s="19">
        <v>46181</v>
      </c>
      <c r="C1494" s="18" t="s">
        <v>66</v>
      </c>
      <c r="D1494" s="17">
        <v>666502</v>
      </c>
      <c r="E1494" s="18" t="s">
        <v>7</v>
      </c>
      <c r="F1494" s="20">
        <v>50</v>
      </c>
      <c r="G1494" s="20">
        <v>69</v>
      </c>
    </row>
    <row r="1495" spans="1:7" ht="15" customHeight="1" x14ac:dyDescent="0.75">
      <c r="A1495" s="18" t="s">
        <v>87</v>
      </c>
      <c r="B1495" s="19">
        <v>46181</v>
      </c>
      <c r="C1495" s="18" t="s">
        <v>66</v>
      </c>
      <c r="D1495" s="17">
        <v>666505</v>
      </c>
      <c r="E1495" s="18" t="s">
        <v>9</v>
      </c>
      <c r="F1495" s="20">
        <v>13.5</v>
      </c>
      <c r="G1495" s="20">
        <v>0</v>
      </c>
    </row>
    <row r="1496" spans="1:7" ht="15" customHeight="1" x14ac:dyDescent="0.75">
      <c r="A1496" s="18" t="s">
        <v>87</v>
      </c>
      <c r="B1496" s="19">
        <v>46181</v>
      </c>
      <c r="C1496" s="18" t="s">
        <v>66</v>
      </c>
      <c r="D1496" s="17">
        <v>666506</v>
      </c>
      <c r="E1496" s="18" t="s">
        <v>11</v>
      </c>
      <c r="F1496" s="20">
        <v>0</v>
      </c>
      <c r="G1496" s="20">
        <v>0</v>
      </c>
    </row>
    <row r="1497" spans="1:7" ht="15" customHeight="1" x14ac:dyDescent="0.75">
      <c r="A1497" s="18" t="s">
        <v>87</v>
      </c>
      <c r="B1497" s="19">
        <v>46181</v>
      </c>
      <c r="C1497" s="18" t="s">
        <v>66</v>
      </c>
      <c r="D1497" s="17">
        <v>666507</v>
      </c>
      <c r="E1497" s="18" t="s">
        <v>13</v>
      </c>
      <c r="F1497" s="20">
        <v>0</v>
      </c>
      <c r="G1497" s="20">
        <v>0</v>
      </c>
    </row>
    <row r="1498" spans="1:7" ht="15" customHeight="1" x14ac:dyDescent="0.75">
      <c r="A1498" s="18" t="s">
        <v>87</v>
      </c>
      <c r="B1498" s="19">
        <v>46181</v>
      </c>
      <c r="C1498" s="18" t="s">
        <v>66</v>
      </c>
      <c r="D1498" s="17">
        <v>666509</v>
      </c>
      <c r="E1498" s="18" t="s">
        <v>15</v>
      </c>
      <c r="F1498" s="20">
        <v>0</v>
      </c>
      <c r="G1498" s="20">
        <v>0</v>
      </c>
    </row>
    <row r="1499" spans="1:7" ht="15" customHeight="1" x14ac:dyDescent="0.75">
      <c r="A1499" s="18" t="s">
        <v>87</v>
      </c>
      <c r="B1499" s="19">
        <v>46181</v>
      </c>
      <c r="C1499" s="18" t="s">
        <v>66</v>
      </c>
      <c r="D1499" s="17">
        <v>666510</v>
      </c>
      <c r="E1499" s="18" t="s">
        <v>17</v>
      </c>
      <c r="F1499" s="20">
        <v>0</v>
      </c>
      <c r="G1499" s="20">
        <v>0</v>
      </c>
    </row>
    <row r="1500" spans="1:7" ht="15" customHeight="1" x14ac:dyDescent="0.75">
      <c r="A1500" s="18" t="s">
        <v>87</v>
      </c>
      <c r="B1500" s="19">
        <v>46181</v>
      </c>
      <c r="C1500" s="18" t="s">
        <v>66</v>
      </c>
      <c r="D1500" s="17">
        <v>666511</v>
      </c>
      <c r="E1500" s="18" t="s">
        <v>19</v>
      </c>
      <c r="F1500" s="20">
        <v>0</v>
      </c>
      <c r="G1500" s="20">
        <v>0</v>
      </c>
    </row>
    <row r="1501" spans="1:7" ht="15" customHeight="1" x14ac:dyDescent="0.75">
      <c r="A1501" s="18" t="s">
        <v>87</v>
      </c>
      <c r="B1501" s="19">
        <v>46181</v>
      </c>
      <c r="C1501" s="18" t="s">
        <v>66</v>
      </c>
      <c r="D1501" s="17">
        <v>666513</v>
      </c>
      <c r="E1501" s="18" t="s">
        <v>21</v>
      </c>
      <c r="F1501" s="20">
        <v>17</v>
      </c>
      <c r="G1501" s="20">
        <v>0</v>
      </c>
    </row>
    <row r="1502" spans="1:7" ht="15" customHeight="1" x14ac:dyDescent="0.75">
      <c r="A1502" s="18" t="s">
        <v>87</v>
      </c>
      <c r="B1502" s="19">
        <v>46181</v>
      </c>
      <c r="C1502" s="18" t="s">
        <v>66</v>
      </c>
      <c r="D1502" s="17">
        <v>666516</v>
      </c>
      <c r="E1502" s="18" t="s">
        <v>23</v>
      </c>
      <c r="F1502" s="20">
        <v>8</v>
      </c>
      <c r="G1502" s="20">
        <v>0</v>
      </c>
    </row>
    <row r="1503" spans="1:7" ht="15" customHeight="1" x14ac:dyDescent="0.75">
      <c r="A1503" s="18" t="s">
        <v>87</v>
      </c>
      <c r="B1503" s="19">
        <v>46181</v>
      </c>
      <c r="C1503" s="18" t="s">
        <v>66</v>
      </c>
      <c r="D1503" s="17">
        <v>666517</v>
      </c>
      <c r="E1503" s="18" t="s">
        <v>25</v>
      </c>
      <c r="F1503" s="20">
        <v>5</v>
      </c>
      <c r="G1503" s="20">
        <v>0</v>
      </c>
    </row>
    <row r="1504" spans="1:7" ht="15" customHeight="1" x14ac:dyDescent="0.75">
      <c r="A1504" s="18" t="s">
        <v>87</v>
      </c>
      <c r="B1504" s="19">
        <v>46181</v>
      </c>
      <c r="C1504" s="18" t="s">
        <v>66</v>
      </c>
      <c r="D1504" s="17">
        <v>666518</v>
      </c>
      <c r="E1504" s="18" t="s">
        <v>27</v>
      </c>
      <c r="F1504" s="20">
        <v>0</v>
      </c>
      <c r="G1504" s="20">
        <v>0</v>
      </c>
    </row>
    <row r="1505" spans="1:7" ht="15" customHeight="1" x14ac:dyDescent="0.75">
      <c r="A1505" s="18" t="s">
        <v>87</v>
      </c>
      <c r="B1505" s="19">
        <v>46181</v>
      </c>
      <c r="C1505" s="18" t="s">
        <v>66</v>
      </c>
      <c r="D1505" s="17">
        <v>666519</v>
      </c>
      <c r="E1505" s="18" t="s">
        <v>29</v>
      </c>
      <c r="F1505" s="20">
        <v>11</v>
      </c>
      <c r="G1505" s="20">
        <v>0</v>
      </c>
    </row>
    <row r="1506" spans="1:7" ht="15" customHeight="1" x14ac:dyDescent="0.75">
      <c r="A1506" s="18" t="s">
        <v>87</v>
      </c>
      <c r="B1506" s="19">
        <v>46181</v>
      </c>
      <c r="C1506" s="18" t="s">
        <v>66</v>
      </c>
      <c r="D1506" s="17">
        <v>666521</v>
      </c>
      <c r="E1506" s="18" t="s">
        <v>31</v>
      </c>
      <c r="F1506" s="20">
        <v>0</v>
      </c>
      <c r="G1506" s="20">
        <v>0</v>
      </c>
    </row>
    <row r="1507" spans="1:7" ht="15" customHeight="1" x14ac:dyDescent="0.75">
      <c r="A1507" s="18" t="s">
        <v>87</v>
      </c>
      <c r="B1507" s="19">
        <v>46181</v>
      </c>
      <c r="C1507" s="18" t="s">
        <v>66</v>
      </c>
      <c r="D1507" s="17">
        <v>666522</v>
      </c>
      <c r="E1507" s="18" t="s">
        <v>33</v>
      </c>
      <c r="F1507" s="20">
        <v>62.5</v>
      </c>
      <c r="G1507" s="20">
        <v>0</v>
      </c>
    </row>
    <row r="1508" spans="1:7" ht="15" customHeight="1" x14ac:dyDescent="0.75">
      <c r="A1508" s="18" t="s">
        <v>87</v>
      </c>
      <c r="B1508" s="19">
        <v>46181</v>
      </c>
      <c r="C1508" s="18" t="s">
        <v>66</v>
      </c>
      <c r="D1508" s="17">
        <v>666523</v>
      </c>
      <c r="E1508" s="18" t="s">
        <v>35</v>
      </c>
      <c r="F1508" s="20">
        <v>14</v>
      </c>
      <c r="G1508" s="20">
        <v>0</v>
      </c>
    </row>
    <row r="1509" spans="1:7" ht="15" customHeight="1" x14ac:dyDescent="0.75">
      <c r="A1509" s="18" t="s">
        <v>87</v>
      </c>
      <c r="B1509" s="19">
        <v>46181</v>
      </c>
      <c r="C1509" s="18" t="s">
        <v>66</v>
      </c>
      <c r="D1509" s="17">
        <v>666530</v>
      </c>
      <c r="E1509" s="18" t="s">
        <v>37</v>
      </c>
      <c r="F1509" s="20">
        <v>9</v>
      </c>
      <c r="G1509" s="20">
        <v>0</v>
      </c>
    </row>
    <row r="1510" spans="1:7" ht="15" customHeight="1" x14ac:dyDescent="0.75">
      <c r="A1510" s="18" t="s">
        <v>87</v>
      </c>
      <c r="B1510" s="19">
        <v>46181</v>
      </c>
      <c r="C1510" s="18" t="s">
        <v>66</v>
      </c>
      <c r="D1510" s="17">
        <v>666531</v>
      </c>
      <c r="E1510" s="18" t="s">
        <v>39</v>
      </c>
      <c r="F1510" s="20">
        <v>4</v>
      </c>
      <c r="G1510" s="20">
        <v>0</v>
      </c>
    </row>
    <row r="1511" spans="1:7" ht="15" customHeight="1" x14ac:dyDescent="0.75">
      <c r="A1511" s="18" t="s">
        <v>87</v>
      </c>
      <c r="B1511" s="19">
        <v>46181</v>
      </c>
      <c r="C1511" s="18" t="s">
        <v>66</v>
      </c>
      <c r="D1511" s="17">
        <v>666540</v>
      </c>
      <c r="E1511" s="18" t="s">
        <v>40</v>
      </c>
      <c r="F1511" s="20">
        <v>0</v>
      </c>
      <c r="G1511" s="20">
        <v>0</v>
      </c>
    </row>
    <row r="1512" spans="1:7" ht="15" customHeight="1" x14ac:dyDescent="0.75">
      <c r="A1512" s="18" t="s">
        <v>87</v>
      </c>
      <c r="B1512" s="19">
        <v>46181</v>
      </c>
      <c r="C1512" s="18" t="s">
        <v>66</v>
      </c>
      <c r="D1512" s="17">
        <v>666541</v>
      </c>
      <c r="E1512" s="18" t="s">
        <v>41</v>
      </c>
      <c r="F1512" s="20">
        <v>0</v>
      </c>
      <c r="G1512" s="20">
        <v>0</v>
      </c>
    </row>
    <row r="1513" spans="1:7" ht="15" customHeight="1" x14ac:dyDescent="0.75">
      <c r="A1513" s="18" t="s">
        <v>87</v>
      </c>
      <c r="B1513" s="19">
        <v>46181</v>
      </c>
      <c r="C1513" s="18" t="s">
        <v>66</v>
      </c>
      <c r="D1513" s="17">
        <v>666536</v>
      </c>
      <c r="E1513" s="18" t="s">
        <v>43</v>
      </c>
      <c r="F1513" s="20">
        <v>0</v>
      </c>
      <c r="G1513" s="20">
        <v>0</v>
      </c>
    </row>
    <row r="1514" spans="1:7" ht="15" customHeight="1" x14ac:dyDescent="0.75">
      <c r="A1514" s="18" t="s">
        <v>88</v>
      </c>
      <c r="B1514" s="19">
        <v>46188</v>
      </c>
      <c r="C1514" s="18" t="s">
        <v>56</v>
      </c>
      <c r="D1514" s="17">
        <v>666501</v>
      </c>
      <c r="E1514" s="18" t="s">
        <v>5</v>
      </c>
      <c r="F1514" s="20">
        <v>21</v>
      </c>
      <c r="G1514" s="20">
        <v>42</v>
      </c>
    </row>
    <row r="1515" spans="1:7" ht="15" customHeight="1" x14ac:dyDescent="0.75">
      <c r="A1515" s="18" t="s">
        <v>88</v>
      </c>
      <c r="B1515" s="19">
        <v>46188</v>
      </c>
      <c r="C1515" s="18" t="s">
        <v>56</v>
      </c>
      <c r="D1515" s="17">
        <v>666502</v>
      </c>
      <c r="E1515" s="18" t="s">
        <v>7</v>
      </c>
      <c r="F1515" s="20">
        <v>0</v>
      </c>
      <c r="G1515" s="20">
        <v>0</v>
      </c>
    </row>
    <row r="1516" spans="1:7" ht="15" customHeight="1" x14ac:dyDescent="0.75">
      <c r="A1516" s="18" t="s">
        <v>88</v>
      </c>
      <c r="B1516" s="19">
        <v>46188</v>
      </c>
      <c r="C1516" s="18" t="s">
        <v>56</v>
      </c>
      <c r="D1516" s="17">
        <v>666505</v>
      </c>
      <c r="E1516" s="18" t="s">
        <v>9</v>
      </c>
      <c r="F1516" s="20">
        <v>6.5</v>
      </c>
      <c r="G1516" s="20">
        <v>13</v>
      </c>
    </row>
    <row r="1517" spans="1:7" ht="15" customHeight="1" x14ac:dyDescent="0.75">
      <c r="A1517" s="18" t="s">
        <v>88</v>
      </c>
      <c r="B1517" s="19">
        <v>46188</v>
      </c>
      <c r="C1517" s="18" t="s">
        <v>56</v>
      </c>
      <c r="D1517" s="17">
        <v>666506</v>
      </c>
      <c r="E1517" s="18" t="s">
        <v>11</v>
      </c>
      <c r="F1517" s="20">
        <v>0</v>
      </c>
      <c r="G1517" s="20">
        <v>0</v>
      </c>
    </row>
    <row r="1518" spans="1:7" ht="15" customHeight="1" x14ac:dyDescent="0.75">
      <c r="A1518" s="18" t="s">
        <v>88</v>
      </c>
      <c r="B1518" s="19">
        <v>46188</v>
      </c>
      <c r="C1518" s="18" t="s">
        <v>56</v>
      </c>
      <c r="D1518" s="17">
        <v>666507</v>
      </c>
      <c r="E1518" s="18" t="s">
        <v>13</v>
      </c>
      <c r="F1518" s="20">
        <v>4</v>
      </c>
      <c r="G1518" s="20">
        <v>0</v>
      </c>
    </row>
    <row r="1519" spans="1:7" ht="15" customHeight="1" x14ac:dyDescent="0.75">
      <c r="A1519" s="18" t="s">
        <v>88</v>
      </c>
      <c r="B1519" s="19">
        <v>46188</v>
      </c>
      <c r="C1519" s="18" t="s">
        <v>56</v>
      </c>
      <c r="D1519" s="17">
        <v>666509</v>
      </c>
      <c r="E1519" s="18" t="s">
        <v>15</v>
      </c>
      <c r="F1519" s="20">
        <v>25</v>
      </c>
      <c r="G1519" s="20">
        <v>20</v>
      </c>
    </row>
    <row r="1520" spans="1:7" ht="15" customHeight="1" x14ac:dyDescent="0.75">
      <c r="A1520" s="18" t="s">
        <v>88</v>
      </c>
      <c r="B1520" s="19">
        <v>46188</v>
      </c>
      <c r="C1520" s="18" t="s">
        <v>56</v>
      </c>
      <c r="D1520" s="17">
        <v>666510</v>
      </c>
      <c r="E1520" s="18" t="s">
        <v>17</v>
      </c>
      <c r="F1520" s="20">
        <v>0</v>
      </c>
      <c r="G1520" s="20">
        <v>0</v>
      </c>
    </row>
    <row r="1521" spans="1:7" ht="15" customHeight="1" x14ac:dyDescent="0.75">
      <c r="A1521" s="18" t="s">
        <v>88</v>
      </c>
      <c r="B1521" s="19">
        <v>46188</v>
      </c>
      <c r="C1521" s="18" t="s">
        <v>56</v>
      </c>
      <c r="D1521" s="17">
        <v>666511</v>
      </c>
      <c r="E1521" s="18" t="s">
        <v>19</v>
      </c>
      <c r="F1521" s="20">
        <v>2</v>
      </c>
      <c r="G1521" s="20">
        <v>0</v>
      </c>
    </row>
    <row r="1522" spans="1:7" ht="15" customHeight="1" x14ac:dyDescent="0.75">
      <c r="A1522" s="18" t="s">
        <v>88</v>
      </c>
      <c r="B1522" s="19">
        <v>46188</v>
      </c>
      <c r="C1522" s="18" t="s">
        <v>56</v>
      </c>
      <c r="D1522" s="17">
        <v>666513</v>
      </c>
      <c r="E1522" s="18" t="s">
        <v>21</v>
      </c>
      <c r="F1522" s="20">
        <v>7</v>
      </c>
      <c r="G1522" s="20">
        <v>14</v>
      </c>
    </row>
    <row r="1523" spans="1:7" ht="15" customHeight="1" x14ac:dyDescent="0.75">
      <c r="A1523" s="18" t="s">
        <v>88</v>
      </c>
      <c r="B1523" s="19">
        <v>46188</v>
      </c>
      <c r="C1523" s="18" t="s">
        <v>56</v>
      </c>
      <c r="D1523" s="17">
        <v>666516</v>
      </c>
      <c r="E1523" s="18" t="s">
        <v>23</v>
      </c>
      <c r="F1523" s="20">
        <v>8</v>
      </c>
      <c r="G1523" s="20">
        <v>16</v>
      </c>
    </row>
    <row r="1524" spans="1:7" ht="15" customHeight="1" x14ac:dyDescent="0.75">
      <c r="A1524" s="18" t="s">
        <v>88</v>
      </c>
      <c r="B1524" s="19">
        <v>46188</v>
      </c>
      <c r="C1524" s="18" t="s">
        <v>56</v>
      </c>
      <c r="D1524" s="17">
        <v>666517</v>
      </c>
      <c r="E1524" s="18" t="s">
        <v>25</v>
      </c>
      <c r="F1524" s="20">
        <v>11</v>
      </c>
      <c r="G1524" s="20">
        <v>22</v>
      </c>
    </row>
    <row r="1525" spans="1:7" ht="15" customHeight="1" x14ac:dyDescent="0.75">
      <c r="A1525" s="18" t="s">
        <v>88</v>
      </c>
      <c r="B1525" s="19">
        <v>46188</v>
      </c>
      <c r="C1525" s="18" t="s">
        <v>56</v>
      </c>
      <c r="D1525" s="17">
        <v>666518</v>
      </c>
      <c r="E1525" s="18" t="s">
        <v>27</v>
      </c>
      <c r="F1525" s="20">
        <v>0</v>
      </c>
      <c r="G1525" s="20">
        <v>0</v>
      </c>
    </row>
    <row r="1526" spans="1:7" ht="15" customHeight="1" x14ac:dyDescent="0.75">
      <c r="A1526" s="18" t="s">
        <v>88</v>
      </c>
      <c r="B1526" s="19">
        <v>46188</v>
      </c>
      <c r="C1526" s="18" t="s">
        <v>56</v>
      </c>
      <c r="D1526" s="17">
        <v>666519</v>
      </c>
      <c r="E1526" s="18" t="s">
        <v>29</v>
      </c>
      <c r="F1526" s="20">
        <v>11</v>
      </c>
      <c r="G1526" s="20">
        <v>22</v>
      </c>
    </row>
    <row r="1527" spans="1:7" ht="15" customHeight="1" x14ac:dyDescent="0.75">
      <c r="A1527" s="18" t="s">
        <v>88</v>
      </c>
      <c r="B1527" s="19">
        <v>46188</v>
      </c>
      <c r="C1527" s="18" t="s">
        <v>56</v>
      </c>
      <c r="D1527" s="17">
        <v>666521</v>
      </c>
      <c r="E1527" s="18" t="s">
        <v>31</v>
      </c>
      <c r="F1527" s="20">
        <v>18</v>
      </c>
      <c r="G1527" s="20">
        <v>24</v>
      </c>
    </row>
    <row r="1528" spans="1:7" ht="15" customHeight="1" x14ac:dyDescent="0.75">
      <c r="A1528" s="18" t="s">
        <v>88</v>
      </c>
      <c r="B1528" s="19">
        <v>46188</v>
      </c>
      <c r="C1528" s="18" t="s">
        <v>56</v>
      </c>
      <c r="D1528" s="17">
        <v>666522</v>
      </c>
      <c r="E1528" s="18" t="s">
        <v>33</v>
      </c>
      <c r="F1528" s="20">
        <v>90</v>
      </c>
      <c r="G1528" s="20">
        <v>55</v>
      </c>
    </row>
    <row r="1529" spans="1:7" ht="15" customHeight="1" x14ac:dyDescent="0.75">
      <c r="A1529" s="18" t="s">
        <v>88</v>
      </c>
      <c r="B1529" s="19">
        <v>46188</v>
      </c>
      <c r="C1529" s="18" t="s">
        <v>56</v>
      </c>
      <c r="D1529" s="17">
        <v>666523</v>
      </c>
      <c r="E1529" s="18" t="s">
        <v>35</v>
      </c>
      <c r="F1529" s="20">
        <v>0</v>
      </c>
      <c r="G1529" s="20">
        <v>0</v>
      </c>
    </row>
    <row r="1530" spans="1:7" ht="15" customHeight="1" x14ac:dyDescent="0.75">
      <c r="A1530" s="18" t="s">
        <v>88</v>
      </c>
      <c r="B1530" s="19">
        <v>46188</v>
      </c>
      <c r="C1530" s="18" t="s">
        <v>56</v>
      </c>
      <c r="D1530" s="17">
        <v>666530</v>
      </c>
      <c r="E1530" s="18" t="s">
        <v>37</v>
      </c>
      <c r="F1530" s="20">
        <v>0</v>
      </c>
      <c r="G1530" s="20">
        <v>0</v>
      </c>
    </row>
    <row r="1531" spans="1:7" ht="15" customHeight="1" x14ac:dyDescent="0.75">
      <c r="A1531" s="18" t="s">
        <v>88</v>
      </c>
      <c r="B1531" s="19">
        <v>46188</v>
      </c>
      <c r="C1531" s="18" t="s">
        <v>56</v>
      </c>
      <c r="D1531" s="17">
        <v>666531</v>
      </c>
      <c r="E1531" s="18" t="s">
        <v>39</v>
      </c>
      <c r="F1531" s="20">
        <v>7</v>
      </c>
      <c r="G1531" s="20">
        <v>8</v>
      </c>
    </row>
    <row r="1532" spans="1:7" ht="15" customHeight="1" x14ac:dyDescent="0.75">
      <c r="A1532" s="18" t="s">
        <v>88</v>
      </c>
      <c r="B1532" s="19">
        <v>46188</v>
      </c>
      <c r="C1532" s="18" t="s">
        <v>56</v>
      </c>
      <c r="D1532" s="17">
        <v>666540</v>
      </c>
      <c r="E1532" s="18" t="s">
        <v>40</v>
      </c>
      <c r="F1532" s="20">
        <v>0</v>
      </c>
      <c r="G1532" s="20">
        <v>0</v>
      </c>
    </row>
    <row r="1533" spans="1:7" ht="15" customHeight="1" x14ac:dyDescent="0.75">
      <c r="A1533" s="18" t="s">
        <v>88</v>
      </c>
      <c r="B1533" s="19">
        <v>46188</v>
      </c>
      <c r="C1533" s="18" t="s">
        <v>56</v>
      </c>
      <c r="D1533" s="17">
        <v>666541</v>
      </c>
      <c r="E1533" s="18" t="s">
        <v>41</v>
      </c>
      <c r="F1533" s="20">
        <v>0</v>
      </c>
      <c r="G1533" s="20">
        <v>0</v>
      </c>
    </row>
    <row r="1534" spans="1:7" ht="15" customHeight="1" x14ac:dyDescent="0.75">
      <c r="A1534" s="18" t="s">
        <v>88</v>
      </c>
      <c r="B1534" s="19">
        <v>46188</v>
      </c>
      <c r="C1534" s="18" t="s">
        <v>56</v>
      </c>
      <c r="D1534" s="17">
        <v>666536</v>
      </c>
      <c r="E1534" s="18" t="s">
        <v>43</v>
      </c>
      <c r="F1534" s="20">
        <v>20</v>
      </c>
      <c r="G1534" s="20">
        <v>0</v>
      </c>
    </row>
    <row r="1535" spans="1:7" ht="15" customHeight="1" x14ac:dyDescent="0.75">
      <c r="A1535" s="18" t="s">
        <v>88</v>
      </c>
      <c r="B1535" s="19">
        <v>46188</v>
      </c>
      <c r="C1535" s="18" t="s">
        <v>58</v>
      </c>
      <c r="D1535" s="17">
        <v>666501</v>
      </c>
      <c r="E1535" s="18" t="s">
        <v>5</v>
      </c>
      <c r="F1535" s="20">
        <v>195</v>
      </c>
      <c r="G1535" s="20">
        <v>239</v>
      </c>
    </row>
    <row r="1536" spans="1:7" ht="15" customHeight="1" x14ac:dyDescent="0.75">
      <c r="A1536" s="18" t="s">
        <v>88</v>
      </c>
      <c r="B1536" s="19">
        <v>46188</v>
      </c>
      <c r="C1536" s="18" t="s">
        <v>58</v>
      </c>
      <c r="D1536" s="17">
        <v>666502</v>
      </c>
      <c r="E1536" s="18" t="s">
        <v>7</v>
      </c>
      <c r="F1536" s="20">
        <v>81</v>
      </c>
      <c r="G1536" s="20">
        <v>91</v>
      </c>
    </row>
    <row r="1537" spans="1:7" ht="15" customHeight="1" x14ac:dyDescent="0.75">
      <c r="A1537" s="18" t="s">
        <v>88</v>
      </c>
      <c r="B1537" s="19">
        <v>46188</v>
      </c>
      <c r="C1537" s="18" t="s">
        <v>58</v>
      </c>
      <c r="D1537" s="17">
        <v>666505</v>
      </c>
      <c r="E1537" s="18" t="s">
        <v>9</v>
      </c>
      <c r="F1537" s="20">
        <v>0</v>
      </c>
      <c r="G1537" s="20">
        <v>0</v>
      </c>
    </row>
    <row r="1538" spans="1:7" ht="15" customHeight="1" x14ac:dyDescent="0.75">
      <c r="A1538" s="18" t="s">
        <v>88</v>
      </c>
      <c r="B1538" s="19">
        <v>46188</v>
      </c>
      <c r="C1538" s="18" t="s">
        <v>58</v>
      </c>
      <c r="D1538" s="17">
        <v>666506</v>
      </c>
      <c r="E1538" s="18" t="s">
        <v>11</v>
      </c>
      <c r="F1538" s="20">
        <v>72</v>
      </c>
      <c r="G1538" s="20">
        <v>132</v>
      </c>
    </row>
    <row r="1539" spans="1:7" ht="15" customHeight="1" x14ac:dyDescent="0.75">
      <c r="A1539" s="18" t="s">
        <v>88</v>
      </c>
      <c r="B1539" s="19">
        <v>46188</v>
      </c>
      <c r="C1539" s="18" t="s">
        <v>58</v>
      </c>
      <c r="D1539" s="17">
        <v>666507</v>
      </c>
      <c r="E1539" s="18" t="s">
        <v>13</v>
      </c>
      <c r="F1539" s="20">
        <v>0</v>
      </c>
      <c r="G1539" s="20">
        <v>0</v>
      </c>
    </row>
    <row r="1540" spans="1:7" ht="15" customHeight="1" x14ac:dyDescent="0.75">
      <c r="A1540" s="18" t="s">
        <v>88</v>
      </c>
      <c r="B1540" s="19">
        <v>46188</v>
      </c>
      <c r="C1540" s="18" t="s">
        <v>58</v>
      </c>
      <c r="D1540" s="17">
        <v>666509</v>
      </c>
      <c r="E1540" s="18" t="s">
        <v>15</v>
      </c>
      <c r="F1540" s="20">
        <v>0</v>
      </c>
      <c r="G1540" s="20">
        <v>0</v>
      </c>
    </row>
    <row r="1541" spans="1:7" ht="15" customHeight="1" x14ac:dyDescent="0.75">
      <c r="A1541" s="18" t="s">
        <v>88</v>
      </c>
      <c r="B1541" s="19">
        <v>46188</v>
      </c>
      <c r="C1541" s="18" t="s">
        <v>58</v>
      </c>
      <c r="D1541" s="17">
        <v>666510</v>
      </c>
      <c r="E1541" s="18" t="s">
        <v>17</v>
      </c>
      <c r="F1541" s="20">
        <v>0</v>
      </c>
      <c r="G1541" s="20">
        <v>0</v>
      </c>
    </row>
    <row r="1542" spans="1:7" ht="15" customHeight="1" x14ac:dyDescent="0.75">
      <c r="A1542" s="18" t="s">
        <v>88</v>
      </c>
      <c r="B1542" s="19">
        <v>46188</v>
      </c>
      <c r="C1542" s="18" t="s">
        <v>58</v>
      </c>
      <c r="D1542" s="17">
        <v>666511</v>
      </c>
      <c r="E1542" s="18" t="s">
        <v>19</v>
      </c>
      <c r="F1542" s="20">
        <v>0</v>
      </c>
      <c r="G1542" s="20">
        <v>0</v>
      </c>
    </row>
    <row r="1543" spans="1:7" ht="15" customHeight="1" x14ac:dyDescent="0.75">
      <c r="A1543" s="18" t="s">
        <v>88</v>
      </c>
      <c r="B1543" s="19">
        <v>46188</v>
      </c>
      <c r="C1543" s="18" t="s">
        <v>58</v>
      </c>
      <c r="D1543" s="17">
        <v>666513</v>
      </c>
      <c r="E1543" s="18" t="s">
        <v>21</v>
      </c>
      <c r="F1543" s="20">
        <v>0</v>
      </c>
      <c r="G1543" s="20">
        <v>0</v>
      </c>
    </row>
    <row r="1544" spans="1:7" ht="15" customHeight="1" x14ac:dyDescent="0.75">
      <c r="A1544" s="18" t="s">
        <v>88</v>
      </c>
      <c r="B1544" s="19">
        <v>46188</v>
      </c>
      <c r="C1544" s="18" t="s">
        <v>58</v>
      </c>
      <c r="D1544" s="17">
        <v>666516</v>
      </c>
      <c r="E1544" s="18" t="s">
        <v>23</v>
      </c>
      <c r="F1544" s="20">
        <v>0</v>
      </c>
      <c r="G1544" s="20">
        <v>0</v>
      </c>
    </row>
    <row r="1545" spans="1:7" ht="15" customHeight="1" x14ac:dyDescent="0.75">
      <c r="A1545" s="18" t="s">
        <v>88</v>
      </c>
      <c r="B1545" s="19">
        <v>46188</v>
      </c>
      <c r="C1545" s="18" t="s">
        <v>58</v>
      </c>
      <c r="D1545" s="17">
        <v>666517</v>
      </c>
      <c r="E1545" s="18" t="s">
        <v>25</v>
      </c>
      <c r="F1545" s="20">
        <v>0</v>
      </c>
      <c r="G1545" s="20">
        <v>0</v>
      </c>
    </row>
    <row r="1546" spans="1:7" ht="15" customHeight="1" x14ac:dyDescent="0.75">
      <c r="A1546" s="18" t="s">
        <v>88</v>
      </c>
      <c r="B1546" s="19">
        <v>46188</v>
      </c>
      <c r="C1546" s="18" t="s">
        <v>58</v>
      </c>
      <c r="D1546" s="17">
        <v>666518</v>
      </c>
      <c r="E1546" s="18" t="s">
        <v>27</v>
      </c>
      <c r="F1546" s="20">
        <v>0</v>
      </c>
      <c r="G1546" s="20">
        <v>0</v>
      </c>
    </row>
    <row r="1547" spans="1:7" ht="15" customHeight="1" x14ac:dyDescent="0.75">
      <c r="A1547" s="18" t="s">
        <v>88</v>
      </c>
      <c r="B1547" s="19">
        <v>46188</v>
      </c>
      <c r="C1547" s="18" t="s">
        <v>58</v>
      </c>
      <c r="D1547" s="17">
        <v>666519</v>
      </c>
      <c r="E1547" s="18" t="s">
        <v>29</v>
      </c>
      <c r="F1547" s="20">
        <v>0</v>
      </c>
      <c r="G1547" s="20">
        <v>0</v>
      </c>
    </row>
    <row r="1548" spans="1:7" ht="15" customHeight="1" x14ac:dyDescent="0.75">
      <c r="A1548" s="18" t="s">
        <v>88</v>
      </c>
      <c r="B1548" s="19">
        <v>46188</v>
      </c>
      <c r="C1548" s="18" t="s">
        <v>58</v>
      </c>
      <c r="D1548" s="17">
        <v>666521</v>
      </c>
      <c r="E1548" s="18" t="s">
        <v>31</v>
      </c>
      <c r="F1548" s="20">
        <v>0</v>
      </c>
      <c r="G1548" s="20">
        <v>0</v>
      </c>
    </row>
    <row r="1549" spans="1:7" ht="15" customHeight="1" x14ac:dyDescent="0.75">
      <c r="A1549" s="18" t="s">
        <v>88</v>
      </c>
      <c r="B1549" s="19">
        <v>46188</v>
      </c>
      <c r="C1549" s="18" t="s">
        <v>58</v>
      </c>
      <c r="D1549" s="17">
        <v>666522</v>
      </c>
      <c r="E1549" s="18" t="s">
        <v>33</v>
      </c>
      <c r="F1549" s="20">
        <v>27.5</v>
      </c>
      <c r="G1549" s="20">
        <v>0</v>
      </c>
    </row>
    <row r="1550" spans="1:7" ht="15" customHeight="1" x14ac:dyDescent="0.75">
      <c r="A1550" s="18" t="s">
        <v>88</v>
      </c>
      <c r="B1550" s="19">
        <v>46188</v>
      </c>
      <c r="C1550" s="18" t="s">
        <v>58</v>
      </c>
      <c r="D1550" s="17">
        <v>666523</v>
      </c>
      <c r="E1550" s="18" t="s">
        <v>35</v>
      </c>
      <c r="F1550" s="20">
        <v>0</v>
      </c>
      <c r="G1550" s="20">
        <v>0</v>
      </c>
    </row>
    <row r="1551" spans="1:7" ht="15" customHeight="1" x14ac:dyDescent="0.75">
      <c r="A1551" s="18" t="s">
        <v>88</v>
      </c>
      <c r="B1551" s="19">
        <v>46188</v>
      </c>
      <c r="C1551" s="18" t="s">
        <v>58</v>
      </c>
      <c r="D1551" s="17">
        <v>666530</v>
      </c>
      <c r="E1551" s="18" t="s">
        <v>37</v>
      </c>
      <c r="F1551" s="20">
        <v>0</v>
      </c>
      <c r="G1551" s="20">
        <v>0</v>
      </c>
    </row>
    <row r="1552" spans="1:7" ht="15" customHeight="1" x14ac:dyDescent="0.75">
      <c r="A1552" s="18" t="s">
        <v>88</v>
      </c>
      <c r="B1552" s="19">
        <v>46188</v>
      </c>
      <c r="C1552" s="18" t="s">
        <v>58</v>
      </c>
      <c r="D1552" s="17">
        <v>666531</v>
      </c>
      <c r="E1552" s="18" t="s">
        <v>39</v>
      </c>
      <c r="F1552" s="20">
        <v>0</v>
      </c>
      <c r="G1552" s="20">
        <v>0</v>
      </c>
    </row>
    <row r="1553" spans="1:7" ht="15" customHeight="1" x14ac:dyDescent="0.75">
      <c r="A1553" s="18" t="s">
        <v>88</v>
      </c>
      <c r="B1553" s="19">
        <v>46188</v>
      </c>
      <c r="C1553" s="18" t="s">
        <v>58</v>
      </c>
      <c r="D1553" s="17">
        <v>666540</v>
      </c>
      <c r="E1553" s="18" t="s">
        <v>40</v>
      </c>
      <c r="F1553" s="20">
        <v>0</v>
      </c>
      <c r="G1553" s="20">
        <v>0</v>
      </c>
    </row>
    <row r="1554" spans="1:7" ht="15" customHeight="1" x14ac:dyDescent="0.75">
      <c r="A1554" s="18" t="s">
        <v>88</v>
      </c>
      <c r="B1554" s="19">
        <v>46188</v>
      </c>
      <c r="C1554" s="18" t="s">
        <v>58</v>
      </c>
      <c r="D1554" s="17">
        <v>666541</v>
      </c>
      <c r="E1554" s="18" t="s">
        <v>41</v>
      </c>
      <c r="F1554" s="20">
        <v>250</v>
      </c>
      <c r="G1554" s="20">
        <v>110</v>
      </c>
    </row>
    <row r="1555" spans="1:7" ht="15" customHeight="1" x14ac:dyDescent="0.75">
      <c r="A1555" s="18" t="s">
        <v>88</v>
      </c>
      <c r="B1555" s="19">
        <v>46188</v>
      </c>
      <c r="C1555" s="18" t="s">
        <v>58</v>
      </c>
      <c r="D1555" s="17">
        <v>666536</v>
      </c>
      <c r="E1555" s="18" t="s">
        <v>43</v>
      </c>
      <c r="F1555" s="20">
        <v>0</v>
      </c>
      <c r="G1555" s="20">
        <v>0</v>
      </c>
    </row>
    <row r="1556" spans="1:7" ht="15" customHeight="1" x14ac:dyDescent="0.75">
      <c r="A1556" s="18" t="s">
        <v>88</v>
      </c>
      <c r="B1556" s="19">
        <v>46188</v>
      </c>
      <c r="C1556" s="18" t="s">
        <v>66</v>
      </c>
      <c r="D1556" s="17">
        <v>666501</v>
      </c>
      <c r="E1556" s="18" t="s">
        <v>5</v>
      </c>
      <c r="F1556" s="20">
        <v>19.5</v>
      </c>
      <c r="G1556" s="20">
        <v>18</v>
      </c>
    </row>
    <row r="1557" spans="1:7" ht="15" customHeight="1" x14ac:dyDescent="0.75">
      <c r="A1557" s="18" t="s">
        <v>88</v>
      </c>
      <c r="B1557" s="19">
        <v>46188</v>
      </c>
      <c r="C1557" s="18" t="s">
        <v>66</v>
      </c>
      <c r="D1557" s="17">
        <v>666502</v>
      </c>
      <c r="E1557" s="18" t="s">
        <v>7</v>
      </c>
      <c r="F1557" s="20">
        <v>75</v>
      </c>
      <c r="G1557" s="20">
        <v>45</v>
      </c>
    </row>
    <row r="1558" spans="1:7" ht="15" customHeight="1" x14ac:dyDescent="0.75">
      <c r="A1558" s="18" t="s">
        <v>88</v>
      </c>
      <c r="B1558" s="19">
        <v>46188</v>
      </c>
      <c r="C1558" s="18" t="s">
        <v>66</v>
      </c>
      <c r="D1558" s="17">
        <v>666505</v>
      </c>
      <c r="E1558" s="18" t="s">
        <v>9</v>
      </c>
      <c r="F1558" s="20">
        <v>13.5</v>
      </c>
      <c r="G1558" s="20">
        <v>27</v>
      </c>
    </row>
    <row r="1559" spans="1:7" ht="15" customHeight="1" x14ac:dyDescent="0.75">
      <c r="A1559" s="18" t="s">
        <v>88</v>
      </c>
      <c r="B1559" s="19">
        <v>46188</v>
      </c>
      <c r="C1559" s="18" t="s">
        <v>66</v>
      </c>
      <c r="D1559" s="17">
        <v>666506</v>
      </c>
      <c r="E1559" s="18" t="s">
        <v>11</v>
      </c>
      <c r="F1559" s="20">
        <v>0</v>
      </c>
      <c r="G1559" s="20">
        <v>0</v>
      </c>
    </row>
    <row r="1560" spans="1:7" ht="15" customHeight="1" x14ac:dyDescent="0.75">
      <c r="A1560" s="18" t="s">
        <v>88</v>
      </c>
      <c r="B1560" s="19">
        <v>46188</v>
      </c>
      <c r="C1560" s="18" t="s">
        <v>66</v>
      </c>
      <c r="D1560" s="17">
        <v>666507</v>
      </c>
      <c r="E1560" s="18" t="s">
        <v>13</v>
      </c>
      <c r="F1560" s="20">
        <v>0</v>
      </c>
      <c r="G1560" s="20">
        <v>0</v>
      </c>
    </row>
    <row r="1561" spans="1:7" ht="15" customHeight="1" x14ac:dyDescent="0.75">
      <c r="A1561" s="18" t="s">
        <v>88</v>
      </c>
      <c r="B1561" s="19">
        <v>46188</v>
      </c>
      <c r="C1561" s="18" t="s">
        <v>66</v>
      </c>
      <c r="D1561" s="17">
        <v>666509</v>
      </c>
      <c r="E1561" s="18" t="s">
        <v>15</v>
      </c>
      <c r="F1561" s="20">
        <v>0</v>
      </c>
      <c r="G1561" s="20">
        <v>0</v>
      </c>
    </row>
    <row r="1562" spans="1:7" ht="15" customHeight="1" x14ac:dyDescent="0.75">
      <c r="A1562" s="18" t="s">
        <v>88</v>
      </c>
      <c r="B1562" s="19">
        <v>46188</v>
      </c>
      <c r="C1562" s="18" t="s">
        <v>66</v>
      </c>
      <c r="D1562" s="17">
        <v>666510</v>
      </c>
      <c r="E1562" s="18" t="s">
        <v>17</v>
      </c>
      <c r="F1562" s="20">
        <v>0</v>
      </c>
      <c r="G1562" s="20">
        <v>0</v>
      </c>
    </row>
    <row r="1563" spans="1:7" ht="15" customHeight="1" x14ac:dyDescent="0.75">
      <c r="A1563" s="18" t="s">
        <v>88</v>
      </c>
      <c r="B1563" s="19">
        <v>46188</v>
      </c>
      <c r="C1563" s="18" t="s">
        <v>66</v>
      </c>
      <c r="D1563" s="17">
        <v>666511</v>
      </c>
      <c r="E1563" s="18" t="s">
        <v>19</v>
      </c>
      <c r="F1563" s="20">
        <v>0</v>
      </c>
      <c r="G1563" s="20">
        <v>0</v>
      </c>
    </row>
    <row r="1564" spans="1:7" ht="15" customHeight="1" x14ac:dyDescent="0.75">
      <c r="A1564" s="18" t="s">
        <v>88</v>
      </c>
      <c r="B1564" s="19">
        <v>46188</v>
      </c>
      <c r="C1564" s="18" t="s">
        <v>66</v>
      </c>
      <c r="D1564" s="17">
        <v>666513</v>
      </c>
      <c r="E1564" s="18" t="s">
        <v>21</v>
      </c>
      <c r="F1564" s="20">
        <v>17</v>
      </c>
      <c r="G1564" s="20">
        <v>34</v>
      </c>
    </row>
    <row r="1565" spans="1:7" ht="15" customHeight="1" x14ac:dyDescent="0.75">
      <c r="A1565" s="18" t="s">
        <v>88</v>
      </c>
      <c r="B1565" s="19">
        <v>46188</v>
      </c>
      <c r="C1565" s="18" t="s">
        <v>66</v>
      </c>
      <c r="D1565" s="17">
        <v>666516</v>
      </c>
      <c r="E1565" s="18" t="s">
        <v>23</v>
      </c>
      <c r="F1565" s="20">
        <v>8</v>
      </c>
      <c r="G1565" s="20">
        <v>16</v>
      </c>
    </row>
    <row r="1566" spans="1:7" ht="15" customHeight="1" x14ac:dyDescent="0.75">
      <c r="A1566" s="18" t="s">
        <v>88</v>
      </c>
      <c r="B1566" s="19">
        <v>46188</v>
      </c>
      <c r="C1566" s="18" t="s">
        <v>66</v>
      </c>
      <c r="D1566" s="17">
        <v>666517</v>
      </c>
      <c r="E1566" s="18" t="s">
        <v>25</v>
      </c>
      <c r="F1566" s="20">
        <v>5</v>
      </c>
      <c r="G1566" s="20">
        <v>10</v>
      </c>
    </row>
    <row r="1567" spans="1:7" ht="15" customHeight="1" x14ac:dyDescent="0.75">
      <c r="A1567" s="18" t="s">
        <v>88</v>
      </c>
      <c r="B1567" s="19">
        <v>46188</v>
      </c>
      <c r="C1567" s="18" t="s">
        <v>66</v>
      </c>
      <c r="D1567" s="17">
        <v>666518</v>
      </c>
      <c r="E1567" s="18" t="s">
        <v>27</v>
      </c>
      <c r="F1567" s="20">
        <v>0</v>
      </c>
      <c r="G1567" s="20">
        <v>0</v>
      </c>
    </row>
    <row r="1568" spans="1:7" ht="15" customHeight="1" x14ac:dyDescent="0.75">
      <c r="A1568" s="18" t="s">
        <v>88</v>
      </c>
      <c r="B1568" s="19">
        <v>46188</v>
      </c>
      <c r="C1568" s="18" t="s">
        <v>66</v>
      </c>
      <c r="D1568" s="17">
        <v>666519</v>
      </c>
      <c r="E1568" s="18" t="s">
        <v>29</v>
      </c>
      <c r="F1568" s="20">
        <v>11</v>
      </c>
      <c r="G1568" s="20">
        <v>22</v>
      </c>
    </row>
    <row r="1569" spans="1:7" ht="15" customHeight="1" x14ac:dyDescent="0.75">
      <c r="A1569" s="18" t="s">
        <v>88</v>
      </c>
      <c r="B1569" s="19">
        <v>46188</v>
      </c>
      <c r="C1569" s="18" t="s">
        <v>66</v>
      </c>
      <c r="D1569" s="17">
        <v>666521</v>
      </c>
      <c r="E1569" s="18" t="s">
        <v>31</v>
      </c>
      <c r="F1569" s="20">
        <v>0</v>
      </c>
      <c r="G1569" s="20">
        <v>0</v>
      </c>
    </row>
    <row r="1570" spans="1:7" ht="15" customHeight="1" x14ac:dyDescent="0.75">
      <c r="A1570" s="18" t="s">
        <v>88</v>
      </c>
      <c r="B1570" s="19">
        <v>46188</v>
      </c>
      <c r="C1570" s="18" t="s">
        <v>66</v>
      </c>
      <c r="D1570" s="17">
        <v>666522</v>
      </c>
      <c r="E1570" s="18" t="s">
        <v>33</v>
      </c>
      <c r="F1570" s="20">
        <v>62.5</v>
      </c>
      <c r="G1570" s="20">
        <v>125</v>
      </c>
    </row>
    <row r="1571" spans="1:7" ht="15" customHeight="1" x14ac:dyDescent="0.75">
      <c r="A1571" s="18" t="s">
        <v>88</v>
      </c>
      <c r="B1571" s="19">
        <v>46188</v>
      </c>
      <c r="C1571" s="18" t="s">
        <v>66</v>
      </c>
      <c r="D1571" s="17">
        <v>666523</v>
      </c>
      <c r="E1571" s="18" t="s">
        <v>35</v>
      </c>
      <c r="F1571" s="20">
        <v>14</v>
      </c>
      <c r="G1571" s="20">
        <v>28</v>
      </c>
    </row>
    <row r="1572" spans="1:7" ht="15" customHeight="1" x14ac:dyDescent="0.75">
      <c r="A1572" s="18" t="s">
        <v>88</v>
      </c>
      <c r="B1572" s="19">
        <v>46188</v>
      </c>
      <c r="C1572" s="18" t="s">
        <v>66</v>
      </c>
      <c r="D1572" s="17">
        <v>666530</v>
      </c>
      <c r="E1572" s="18" t="s">
        <v>37</v>
      </c>
      <c r="F1572" s="20">
        <v>0</v>
      </c>
      <c r="G1572" s="20">
        <v>0</v>
      </c>
    </row>
    <row r="1573" spans="1:7" ht="15" customHeight="1" x14ac:dyDescent="0.75">
      <c r="A1573" s="18" t="s">
        <v>88</v>
      </c>
      <c r="B1573" s="19">
        <v>46188</v>
      </c>
      <c r="C1573" s="18" t="s">
        <v>66</v>
      </c>
      <c r="D1573" s="17">
        <v>666531</v>
      </c>
      <c r="E1573" s="18" t="s">
        <v>39</v>
      </c>
      <c r="F1573" s="20">
        <v>3</v>
      </c>
      <c r="G1573" s="20">
        <v>6</v>
      </c>
    </row>
    <row r="1574" spans="1:7" ht="15" customHeight="1" x14ac:dyDescent="0.75">
      <c r="A1574" s="18" t="s">
        <v>88</v>
      </c>
      <c r="B1574" s="19">
        <v>46188</v>
      </c>
      <c r="C1574" s="18" t="s">
        <v>66</v>
      </c>
      <c r="D1574" s="17">
        <v>666540</v>
      </c>
      <c r="E1574" s="18" t="s">
        <v>40</v>
      </c>
      <c r="F1574" s="20">
        <v>0</v>
      </c>
      <c r="G1574" s="20">
        <v>0</v>
      </c>
    </row>
    <row r="1575" spans="1:7" ht="15" customHeight="1" x14ac:dyDescent="0.75">
      <c r="A1575" s="18" t="s">
        <v>88</v>
      </c>
      <c r="B1575" s="19">
        <v>46188</v>
      </c>
      <c r="C1575" s="18" t="s">
        <v>66</v>
      </c>
      <c r="D1575" s="17">
        <v>666541</v>
      </c>
      <c r="E1575" s="18" t="s">
        <v>41</v>
      </c>
      <c r="F1575" s="20">
        <v>0</v>
      </c>
      <c r="G1575" s="20">
        <v>0</v>
      </c>
    </row>
    <row r="1576" spans="1:7" ht="15" customHeight="1" x14ac:dyDescent="0.75">
      <c r="A1576" s="18" t="s">
        <v>88</v>
      </c>
      <c r="B1576" s="19">
        <v>46188</v>
      </c>
      <c r="C1576" s="18" t="s">
        <v>66</v>
      </c>
      <c r="D1576" s="17">
        <v>666536</v>
      </c>
      <c r="E1576" s="18" t="s">
        <v>43</v>
      </c>
      <c r="F1576" s="20">
        <v>0</v>
      </c>
      <c r="G1576" s="20">
        <v>0</v>
      </c>
    </row>
  </sheetData>
  <autoFilter ref="A1:G1576" xr:uid="{00000000-0009-0000-0000-000008000000}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54296875" defaultRowHeight="14.75" x14ac:dyDescent="0.75"/>
  <cols>
    <col min="1" max="1" width="14" customWidth="1"/>
    <col min="2" max="2" width="46" customWidth="1"/>
    <col min="3" max="3" width="24" customWidth="1"/>
  </cols>
  <sheetData>
    <row r="1" spans="1:3" ht="15.75" customHeight="1" x14ac:dyDescent="0.75">
      <c r="A1" s="15" t="s">
        <v>0</v>
      </c>
    </row>
    <row r="3" spans="1:3" ht="15" customHeight="1" x14ac:dyDescent="0.75">
      <c r="A3" s="16" t="s">
        <v>1</v>
      </c>
      <c r="B3" s="16" t="s">
        <v>2</v>
      </c>
      <c r="C3" s="16" t="s">
        <v>3</v>
      </c>
    </row>
    <row r="4" spans="1:3" ht="15" customHeight="1" x14ac:dyDescent="0.75">
      <c r="A4" s="17">
        <v>666501</v>
      </c>
      <c r="B4" s="18" t="s">
        <v>4</v>
      </c>
      <c r="C4" s="18" t="s">
        <v>5</v>
      </c>
    </row>
    <row r="5" spans="1:3" ht="15" customHeight="1" x14ac:dyDescent="0.75">
      <c r="A5" s="17">
        <v>666502</v>
      </c>
      <c r="B5" s="18" t="s">
        <v>6</v>
      </c>
      <c r="C5" s="18" t="s">
        <v>7</v>
      </c>
    </row>
    <row r="6" spans="1:3" ht="15" customHeight="1" x14ac:dyDescent="0.75">
      <c r="A6" s="17">
        <v>666505</v>
      </c>
      <c r="B6" s="18" t="s">
        <v>8</v>
      </c>
      <c r="C6" s="18" t="s">
        <v>9</v>
      </c>
    </row>
    <row r="7" spans="1:3" ht="15" customHeight="1" x14ac:dyDescent="0.75">
      <c r="A7" s="17">
        <v>666506</v>
      </c>
      <c r="B7" s="18" t="s">
        <v>10</v>
      </c>
      <c r="C7" s="18" t="s">
        <v>11</v>
      </c>
    </row>
    <row r="8" spans="1:3" ht="15" customHeight="1" x14ac:dyDescent="0.75">
      <c r="A8" s="17">
        <v>666507</v>
      </c>
      <c r="B8" s="18" t="s">
        <v>12</v>
      </c>
      <c r="C8" s="18" t="s">
        <v>13</v>
      </c>
    </row>
    <row r="9" spans="1:3" ht="15" customHeight="1" x14ac:dyDescent="0.75">
      <c r="A9" s="17">
        <v>666509</v>
      </c>
      <c r="B9" s="18" t="s">
        <v>14</v>
      </c>
      <c r="C9" s="18" t="s">
        <v>15</v>
      </c>
    </row>
    <row r="10" spans="1:3" ht="15" customHeight="1" x14ac:dyDescent="0.75">
      <c r="A10" s="17">
        <v>666510</v>
      </c>
      <c r="B10" s="18" t="s">
        <v>16</v>
      </c>
      <c r="C10" s="18" t="s">
        <v>17</v>
      </c>
    </row>
    <row r="11" spans="1:3" ht="15" customHeight="1" x14ac:dyDescent="0.75">
      <c r="A11" s="17">
        <v>666511</v>
      </c>
      <c r="B11" s="18" t="s">
        <v>18</v>
      </c>
      <c r="C11" s="18" t="s">
        <v>19</v>
      </c>
    </row>
    <row r="12" spans="1:3" ht="15" customHeight="1" x14ac:dyDescent="0.75">
      <c r="A12" s="17">
        <v>666513</v>
      </c>
      <c r="B12" s="18" t="s">
        <v>20</v>
      </c>
      <c r="C12" s="18" t="s">
        <v>21</v>
      </c>
    </row>
    <row r="13" spans="1:3" ht="15" customHeight="1" x14ac:dyDescent="0.75">
      <c r="A13" s="17">
        <v>666516</v>
      </c>
      <c r="B13" s="18" t="s">
        <v>22</v>
      </c>
      <c r="C13" s="18" t="s">
        <v>23</v>
      </c>
    </row>
    <row r="14" spans="1:3" ht="15" customHeight="1" x14ac:dyDescent="0.75">
      <c r="A14" s="17">
        <v>666517</v>
      </c>
      <c r="B14" s="18" t="s">
        <v>24</v>
      </c>
      <c r="C14" s="18" t="s">
        <v>25</v>
      </c>
    </row>
    <row r="15" spans="1:3" ht="15" customHeight="1" x14ac:dyDescent="0.75">
      <c r="A15" s="17">
        <v>666518</v>
      </c>
      <c r="B15" s="18" t="s">
        <v>26</v>
      </c>
      <c r="C15" s="18" t="s">
        <v>27</v>
      </c>
    </row>
    <row r="16" spans="1:3" ht="15" customHeight="1" x14ac:dyDescent="0.75">
      <c r="A16" s="17">
        <v>666519</v>
      </c>
      <c r="B16" s="18" t="s">
        <v>28</v>
      </c>
      <c r="C16" s="18" t="s">
        <v>29</v>
      </c>
    </row>
    <row r="17" spans="1:3" ht="15" customHeight="1" x14ac:dyDescent="0.75">
      <c r="A17" s="17">
        <v>666521</v>
      </c>
      <c r="B17" s="18" t="s">
        <v>30</v>
      </c>
      <c r="C17" s="18" t="s">
        <v>31</v>
      </c>
    </row>
    <row r="18" spans="1:3" ht="15" customHeight="1" x14ac:dyDescent="0.75">
      <c r="A18" s="17">
        <v>666522</v>
      </c>
      <c r="B18" s="18" t="s">
        <v>32</v>
      </c>
      <c r="C18" s="18" t="s">
        <v>33</v>
      </c>
    </row>
    <row r="19" spans="1:3" ht="15" customHeight="1" x14ac:dyDescent="0.75">
      <c r="A19" s="17">
        <v>666523</v>
      </c>
      <c r="B19" s="18" t="s">
        <v>34</v>
      </c>
      <c r="C19" s="18" t="s">
        <v>35</v>
      </c>
    </row>
    <row r="20" spans="1:3" ht="15" customHeight="1" x14ac:dyDescent="0.75">
      <c r="A20" s="17">
        <v>666530</v>
      </c>
      <c r="B20" s="18" t="s">
        <v>36</v>
      </c>
      <c r="C20" s="18" t="s">
        <v>37</v>
      </c>
    </row>
    <row r="21" spans="1:3" ht="15" customHeight="1" x14ac:dyDescent="0.75">
      <c r="A21" s="17">
        <v>666531</v>
      </c>
      <c r="B21" s="18" t="s">
        <v>38</v>
      </c>
      <c r="C21" s="18" t="s">
        <v>39</v>
      </c>
    </row>
    <row r="22" spans="1:3" ht="15" customHeight="1" x14ac:dyDescent="0.75">
      <c r="A22" s="17">
        <v>666540</v>
      </c>
      <c r="B22" s="18" t="s">
        <v>40</v>
      </c>
      <c r="C22" s="18" t="s">
        <v>40</v>
      </c>
    </row>
    <row r="23" spans="1:3" ht="15" customHeight="1" x14ac:dyDescent="0.75">
      <c r="A23" s="17">
        <v>666541</v>
      </c>
      <c r="B23" s="18" t="s">
        <v>41</v>
      </c>
      <c r="C23" s="18" t="s">
        <v>41</v>
      </c>
    </row>
    <row r="24" spans="1:3" ht="15" customHeight="1" x14ac:dyDescent="0.75">
      <c r="A24" s="17">
        <v>666536</v>
      </c>
      <c r="B24" s="18" t="s">
        <v>42</v>
      </c>
      <c r="C24" s="18" t="s">
        <v>43</v>
      </c>
    </row>
  </sheetData>
  <autoFilter ref="A3:C24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51"/>
  <sheetViews>
    <sheetView zoomScaleNormal="100" workbookViewId="0">
      <selection activeCell="H24" sqref="H24"/>
    </sheetView>
  </sheetViews>
  <sheetFormatPr defaultColWidth="8.6796875" defaultRowHeight="14.75" x14ac:dyDescent="0.75"/>
  <cols>
    <col min="1" max="1" width="8.6796875" style="50"/>
    <col min="2" max="2" width="41.54296875" style="50" customWidth="1"/>
    <col min="3" max="3" width="22.6796875" style="50" customWidth="1"/>
    <col min="4" max="4" width="9.54296875" style="50" hidden="1" customWidth="1"/>
    <col min="5" max="5" width="8.6796875" style="50"/>
    <col min="6" max="6" width="9.86328125" style="50" customWidth="1"/>
    <col min="7" max="7" width="7.31640625" style="50" customWidth="1"/>
    <col min="8" max="8" width="8.453125" style="50" customWidth="1"/>
    <col min="9" max="9" width="7.453125" style="50" customWidth="1"/>
    <col min="10" max="10" width="7.6796875" style="50" customWidth="1"/>
    <col min="11" max="11" width="7.31640625" style="50" customWidth="1"/>
    <col min="12" max="16384" width="8.6796875" style="50"/>
  </cols>
  <sheetData>
    <row r="1" spans="1:27" s="51" customFormat="1" ht="41.25" customHeight="1" x14ac:dyDescent="0.75">
      <c r="D1" s="51" t="s">
        <v>144</v>
      </c>
      <c r="E1" s="52" t="s">
        <v>116</v>
      </c>
      <c r="F1" s="53" t="s">
        <v>145</v>
      </c>
      <c r="G1" s="54" t="s">
        <v>119</v>
      </c>
      <c r="H1" s="53" t="s">
        <v>146</v>
      </c>
      <c r="I1" s="55" t="s">
        <v>122</v>
      </c>
      <c r="J1" s="56" t="s">
        <v>147</v>
      </c>
      <c r="K1" s="51" t="s">
        <v>148</v>
      </c>
      <c r="L1" s="53" t="s">
        <v>149</v>
      </c>
      <c r="M1" s="51" t="s">
        <v>56</v>
      </c>
      <c r="N1" s="51" t="s">
        <v>58</v>
      </c>
      <c r="O1" s="51" t="s">
        <v>66</v>
      </c>
      <c r="P1" s="51" t="s">
        <v>56</v>
      </c>
      <c r="Q1" s="51" t="s">
        <v>58</v>
      </c>
      <c r="R1" s="51" t="s">
        <v>66</v>
      </c>
      <c r="S1" s="51" t="s">
        <v>56</v>
      </c>
      <c r="T1" s="51" t="s">
        <v>58</v>
      </c>
      <c r="U1" s="51" t="s">
        <v>66</v>
      </c>
      <c r="V1" s="51" t="s">
        <v>56</v>
      </c>
      <c r="W1" s="51" t="s">
        <v>58</v>
      </c>
      <c r="X1" s="51" t="s">
        <v>66</v>
      </c>
      <c r="Y1" s="51" t="s">
        <v>56</v>
      </c>
      <c r="Z1" s="51" t="s">
        <v>58</v>
      </c>
      <c r="AA1" s="51" t="s">
        <v>66</v>
      </c>
    </row>
    <row r="2" spans="1:27" ht="14.25" customHeight="1" x14ac:dyDescent="0.75">
      <c r="C2" s="57" t="s">
        <v>150</v>
      </c>
      <c r="D2" s="57"/>
      <c r="E2" s="58"/>
      <c r="F2" s="59"/>
      <c r="G2" s="60"/>
      <c r="H2" s="59"/>
      <c r="I2" s="61"/>
      <c r="J2" s="59"/>
      <c r="K2" s="59"/>
      <c r="L2" s="59"/>
      <c r="M2" s="59" t="s">
        <v>55</v>
      </c>
      <c r="N2" s="59" t="s">
        <v>57</v>
      </c>
      <c r="O2" s="59" t="s">
        <v>65</v>
      </c>
      <c r="P2" s="59" t="s">
        <v>55</v>
      </c>
      <c r="Q2" s="59" t="s">
        <v>57</v>
      </c>
      <c r="R2" s="59" t="s">
        <v>65</v>
      </c>
      <c r="S2" s="59" t="s">
        <v>55</v>
      </c>
      <c r="T2" s="59" t="s">
        <v>57</v>
      </c>
      <c r="U2" s="59" t="s">
        <v>65</v>
      </c>
      <c r="V2" s="59" t="s">
        <v>55</v>
      </c>
      <c r="W2" s="59" t="s">
        <v>57</v>
      </c>
      <c r="X2" s="59" t="s">
        <v>65</v>
      </c>
      <c r="Y2" s="59" t="s">
        <v>55</v>
      </c>
      <c r="Z2" s="59" t="s">
        <v>57</v>
      </c>
      <c r="AA2" s="59" t="s">
        <v>65</v>
      </c>
    </row>
    <row r="3" spans="1:27" ht="14.25" customHeight="1" x14ac:dyDescent="0.75">
      <c r="A3" s="62" t="s">
        <v>129</v>
      </c>
      <c r="B3" s="62" t="s">
        <v>2</v>
      </c>
      <c r="C3" s="62" t="s">
        <v>3</v>
      </c>
      <c r="D3" s="62"/>
      <c r="E3" s="58"/>
      <c r="F3" s="62"/>
      <c r="G3" s="63"/>
      <c r="H3" s="62"/>
      <c r="I3" s="64"/>
      <c r="J3" s="62"/>
      <c r="K3" s="62"/>
      <c r="L3" s="62"/>
      <c r="M3" s="62" t="s">
        <v>54</v>
      </c>
      <c r="N3" s="62" t="s">
        <v>54</v>
      </c>
      <c r="O3" s="62" t="s">
        <v>54</v>
      </c>
      <c r="P3" s="62" t="s">
        <v>59</v>
      </c>
      <c r="Q3" s="62" t="s">
        <v>59</v>
      </c>
      <c r="R3" s="62" t="s">
        <v>59</v>
      </c>
      <c r="S3" s="62" t="s">
        <v>60</v>
      </c>
      <c r="T3" s="62" t="s">
        <v>60</v>
      </c>
      <c r="U3" s="62" t="s">
        <v>60</v>
      </c>
      <c r="V3" s="62" t="s">
        <v>62</v>
      </c>
      <c r="W3" s="62" t="s">
        <v>62</v>
      </c>
      <c r="X3" s="62" t="s">
        <v>62</v>
      </c>
      <c r="Y3" s="62" t="s">
        <v>63</v>
      </c>
      <c r="Z3" s="62" t="s">
        <v>63</v>
      </c>
      <c r="AA3" s="62" t="s">
        <v>63</v>
      </c>
    </row>
    <row r="4" spans="1:27" ht="14.25" customHeight="1" x14ac:dyDescent="0.75">
      <c r="A4" s="62"/>
      <c r="B4" s="62"/>
      <c r="C4" s="62" t="s">
        <v>151</v>
      </c>
      <c r="D4" s="62"/>
      <c r="E4" s="58"/>
      <c r="F4" s="62">
        <f>+M4+P4+S4+V4+Y4</f>
        <v>60</v>
      </c>
      <c r="G4" s="63"/>
      <c r="H4" s="62">
        <f>+N4+Q4+T4+W4+Z4</f>
        <v>346</v>
      </c>
      <c r="I4" s="64"/>
      <c r="J4" s="62">
        <f>+O4+R4+U4+X4+AA4</f>
        <v>0</v>
      </c>
      <c r="K4" s="62" t="s">
        <v>152</v>
      </c>
      <c r="L4" s="62"/>
      <c r="M4" s="62">
        <v>31</v>
      </c>
      <c r="N4" s="62">
        <v>88</v>
      </c>
      <c r="O4" s="62"/>
      <c r="P4" s="50">
        <v>29</v>
      </c>
      <c r="Q4" s="62">
        <v>123</v>
      </c>
      <c r="R4" s="62"/>
      <c r="S4" s="65"/>
      <c r="T4" s="62">
        <v>135</v>
      </c>
      <c r="U4" s="65"/>
      <c r="V4" s="66"/>
      <c r="W4" s="66"/>
      <c r="X4" s="66"/>
      <c r="Y4" s="66"/>
      <c r="Z4" s="66"/>
      <c r="AA4" s="62"/>
    </row>
    <row r="5" spans="1:27" ht="14.25" customHeight="1" x14ac:dyDescent="0.75">
      <c r="A5" s="50">
        <v>666501</v>
      </c>
      <c r="B5" s="50" t="s">
        <v>4</v>
      </c>
      <c r="C5" s="50" t="s">
        <v>5</v>
      </c>
      <c r="E5" s="67">
        <v>33</v>
      </c>
      <c r="F5" s="50">
        <f t="shared" ref="F5:F25" si="0">SUM(M5,P5,S5,V5,Y5)</f>
        <v>27</v>
      </c>
      <c r="G5" s="60">
        <v>300</v>
      </c>
      <c r="H5" s="50">
        <f t="shared" ref="H5:H25" si="1">SUM(N5,Q5,T5,W5,Z5)</f>
        <v>150</v>
      </c>
      <c r="I5" s="61">
        <v>30</v>
      </c>
      <c r="J5" s="50">
        <f t="shared" ref="J5:J25" si="2">SUM(O5,R5,U5,X5,AA5)</f>
        <v>0</v>
      </c>
      <c r="K5" s="50">
        <f t="shared" ref="K5:K24" si="3">+E5+G5+I5</f>
        <v>363</v>
      </c>
      <c r="L5" s="50">
        <f t="shared" ref="L5:L25" si="4">SUM(F5,H5,J5)</f>
        <v>177</v>
      </c>
      <c r="M5" s="50">
        <v>15</v>
      </c>
      <c r="N5" s="50">
        <v>51</v>
      </c>
      <c r="P5" s="50">
        <v>12</v>
      </c>
      <c r="Q5" s="50">
        <v>51</v>
      </c>
      <c r="S5" s="68"/>
      <c r="T5" s="50">
        <v>48</v>
      </c>
      <c r="U5" s="68"/>
      <c r="V5" s="69"/>
      <c r="W5" s="69"/>
      <c r="X5" s="69"/>
      <c r="Y5" s="69"/>
      <c r="Z5" s="69"/>
    </row>
    <row r="6" spans="1:27" ht="14.25" customHeight="1" x14ac:dyDescent="0.75">
      <c r="A6" s="50">
        <v>666502</v>
      </c>
      <c r="B6" s="50" t="s">
        <v>6</v>
      </c>
      <c r="C6" s="50" t="s">
        <v>7</v>
      </c>
      <c r="E6" s="67">
        <v>0</v>
      </c>
      <c r="F6" s="50">
        <f t="shared" si="0"/>
        <v>0</v>
      </c>
      <c r="G6" s="60">
        <v>150</v>
      </c>
      <c r="H6" s="50">
        <f t="shared" si="1"/>
        <v>35</v>
      </c>
      <c r="I6" s="61">
        <v>40</v>
      </c>
      <c r="J6" s="50">
        <f t="shared" si="2"/>
        <v>0</v>
      </c>
      <c r="K6" s="50">
        <f t="shared" si="3"/>
        <v>190</v>
      </c>
      <c r="L6" s="50">
        <f t="shared" si="4"/>
        <v>35</v>
      </c>
      <c r="N6" s="50">
        <v>11</v>
      </c>
      <c r="Q6" s="50">
        <v>10</v>
      </c>
      <c r="S6" s="68"/>
      <c r="T6" s="50">
        <v>14</v>
      </c>
      <c r="U6" s="68"/>
      <c r="V6" s="69"/>
      <c r="W6" s="69"/>
      <c r="X6" s="69"/>
      <c r="Y6" s="69"/>
      <c r="Z6" s="69"/>
    </row>
    <row r="7" spans="1:27" ht="14.25" customHeight="1" x14ac:dyDescent="0.75">
      <c r="A7" s="50">
        <v>666505</v>
      </c>
      <c r="B7" s="50" t="s">
        <v>8</v>
      </c>
      <c r="C7" s="50" t="s">
        <v>9</v>
      </c>
      <c r="E7" s="67">
        <v>20</v>
      </c>
      <c r="F7" s="50">
        <f t="shared" si="0"/>
        <v>20</v>
      </c>
      <c r="G7" s="60"/>
      <c r="H7" s="50">
        <f t="shared" si="1"/>
        <v>0</v>
      </c>
      <c r="I7" s="61">
        <v>42</v>
      </c>
      <c r="J7" s="70">
        <f t="shared" si="2"/>
        <v>0</v>
      </c>
      <c r="K7" s="50">
        <f t="shared" si="3"/>
        <v>62</v>
      </c>
      <c r="L7" s="50">
        <f t="shared" si="4"/>
        <v>20</v>
      </c>
      <c r="M7" s="50">
        <v>20</v>
      </c>
      <c r="S7" s="68"/>
      <c r="U7" s="68"/>
      <c r="V7" s="69"/>
      <c r="W7" s="69"/>
      <c r="X7" s="69"/>
      <c r="Y7" s="69"/>
      <c r="Z7" s="69"/>
    </row>
    <row r="8" spans="1:27" ht="14.25" customHeight="1" x14ac:dyDescent="0.75">
      <c r="A8" s="50">
        <v>666506</v>
      </c>
      <c r="B8" s="50" t="s">
        <v>10</v>
      </c>
      <c r="C8" s="50" t="s">
        <v>11</v>
      </c>
      <c r="E8" s="67"/>
      <c r="F8" s="50">
        <f t="shared" si="0"/>
        <v>0</v>
      </c>
      <c r="G8" s="60">
        <v>200</v>
      </c>
      <c r="H8" s="50">
        <f t="shared" si="1"/>
        <v>0</v>
      </c>
      <c r="I8" s="61"/>
      <c r="J8" s="50">
        <f t="shared" si="2"/>
        <v>0</v>
      </c>
      <c r="K8" s="50">
        <f t="shared" si="3"/>
        <v>200</v>
      </c>
      <c r="L8" s="50">
        <f t="shared" si="4"/>
        <v>0</v>
      </c>
      <c r="S8" s="68"/>
      <c r="U8" s="68"/>
      <c r="V8" s="69"/>
      <c r="W8" s="69"/>
      <c r="X8" s="69"/>
      <c r="Y8" s="69"/>
      <c r="Z8" s="69"/>
    </row>
    <row r="9" spans="1:27" ht="14.25" customHeight="1" x14ac:dyDescent="0.75">
      <c r="A9" s="50">
        <v>666507</v>
      </c>
      <c r="B9" s="50" t="s">
        <v>12</v>
      </c>
      <c r="C9" s="50" t="s">
        <v>13</v>
      </c>
      <c r="E9" s="67">
        <v>60</v>
      </c>
      <c r="F9" s="50">
        <f t="shared" si="0"/>
        <v>19</v>
      </c>
      <c r="G9" s="60"/>
      <c r="H9" s="50">
        <f t="shared" si="1"/>
        <v>0</v>
      </c>
      <c r="I9" s="61"/>
      <c r="J9" s="50">
        <f t="shared" si="2"/>
        <v>0</v>
      </c>
      <c r="K9" s="50">
        <f t="shared" si="3"/>
        <v>60</v>
      </c>
      <c r="L9" s="50">
        <f t="shared" si="4"/>
        <v>19</v>
      </c>
      <c r="M9" s="50">
        <v>10</v>
      </c>
      <c r="P9" s="50">
        <v>9</v>
      </c>
      <c r="S9" s="68"/>
      <c r="U9" s="68"/>
      <c r="V9" s="69"/>
      <c r="W9" s="69"/>
      <c r="X9" s="69"/>
      <c r="Y9" s="69"/>
      <c r="Z9" s="69"/>
    </row>
    <row r="10" spans="1:27" ht="14.25" customHeight="1" x14ac:dyDescent="0.75">
      <c r="A10" s="50">
        <v>666509</v>
      </c>
      <c r="B10" s="50" t="s">
        <v>14</v>
      </c>
      <c r="C10" s="50" t="s">
        <v>15</v>
      </c>
      <c r="E10" s="67">
        <v>160</v>
      </c>
      <c r="F10" s="50">
        <f t="shared" si="0"/>
        <v>23</v>
      </c>
      <c r="G10" s="60"/>
      <c r="H10" s="50">
        <f t="shared" si="1"/>
        <v>0</v>
      </c>
      <c r="I10" s="61"/>
      <c r="J10" s="50">
        <f t="shared" si="2"/>
        <v>0</v>
      </c>
      <c r="K10" s="50">
        <f t="shared" si="3"/>
        <v>160</v>
      </c>
      <c r="L10" s="50">
        <f t="shared" si="4"/>
        <v>23</v>
      </c>
      <c r="M10" s="50">
        <v>9</v>
      </c>
      <c r="P10" s="50">
        <v>14</v>
      </c>
      <c r="S10" s="68"/>
      <c r="U10" s="68"/>
      <c r="V10" s="69"/>
      <c r="W10" s="69"/>
      <c r="X10" s="69"/>
      <c r="Y10" s="69"/>
      <c r="Z10" s="69"/>
    </row>
    <row r="11" spans="1:27" ht="14.25" customHeight="1" x14ac:dyDescent="0.75">
      <c r="A11" s="50">
        <v>666510</v>
      </c>
      <c r="B11" s="50" t="s">
        <v>16</v>
      </c>
      <c r="C11" s="50" t="s">
        <v>17</v>
      </c>
      <c r="E11" s="67"/>
      <c r="F11" s="50">
        <f t="shared" si="0"/>
        <v>0</v>
      </c>
      <c r="G11" s="60"/>
      <c r="H11" s="50">
        <f t="shared" si="1"/>
        <v>0</v>
      </c>
      <c r="I11" s="61"/>
      <c r="J11" s="50">
        <f t="shared" si="2"/>
        <v>0</v>
      </c>
      <c r="K11" s="50">
        <f t="shared" si="3"/>
        <v>0</v>
      </c>
      <c r="L11" s="50">
        <f t="shared" si="4"/>
        <v>0</v>
      </c>
      <c r="S11" s="68"/>
      <c r="U11" s="68"/>
      <c r="V11" s="69"/>
      <c r="W11" s="69"/>
      <c r="X11" s="69"/>
      <c r="Y11" s="69"/>
      <c r="Z11" s="69"/>
    </row>
    <row r="12" spans="1:27" ht="14.25" customHeight="1" x14ac:dyDescent="0.75">
      <c r="A12" s="50">
        <v>666511</v>
      </c>
      <c r="B12" s="50" t="s">
        <v>18</v>
      </c>
      <c r="C12" s="50" t="s">
        <v>19</v>
      </c>
      <c r="E12" s="67">
        <v>6</v>
      </c>
      <c r="F12" s="50">
        <f t="shared" si="0"/>
        <v>0</v>
      </c>
      <c r="G12" s="60"/>
      <c r="H12" s="50">
        <f t="shared" si="1"/>
        <v>0</v>
      </c>
      <c r="I12" s="61"/>
      <c r="J12" s="50">
        <f t="shared" si="2"/>
        <v>0</v>
      </c>
      <c r="K12" s="50">
        <f t="shared" si="3"/>
        <v>6</v>
      </c>
      <c r="L12" s="50">
        <f t="shared" si="4"/>
        <v>0</v>
      </c>
      <c r="S12" s="68"/>
      <c r="U12" s="68"/>
      <c r="V12" s="69"/>
      <c r="W12" s="69"/>
      <c r="X12" s="69"/>
      <c r="Y12" s="69"/>
      <c r="Z12" s="69"/>
    </row>
    <row r="13" spans="1:27" ht="14.25" customHeight="1" x14ac:dyDescent="0.75">
      <c r="A13" s="50">
        <v>666513</v>
      </c>
      <c r="B13" s="50" t="s">
        <v>20</v>
      </c>
      <c r="C13" s="50" t="s">
        <v>21</v>
      </c>
      <c r="E13" s="67">
        <v>20</v>
      </c>
      <c r="F13" s="50">
        <f t="shared" si="0"/>
        <v>20</v>
      </c>
      <c r="G13" s="60"/>
      <c r="H13" s="50">
        <f t="shared" si="1"/>
        <v>0</v>
      </c>
      <c r="I13" s="61">
        <v>46</v>
      </c>
      <c r="J13" s="50">
        <f t="shared" si="2"/>
        <v>0</v>
      </c>
      <c r="K13" s="50">
        <f t="shared" si="3"/>
        <v>66</v>
      </c>
      <c r="L13" s="50">
        <f t="shared" si="4"/>
        <v>20</v>
      </c>
      <c r="M13" s="50">
        <v>16</v>
      </c>
      <c r="P13" s="50">
        <v>4</v>
      </c>
      <c r="S13" s="68"/>
      <c r="U13" s="68"/>
      <c r="V13" s="69"/>
      <c r="W13" s="69"/>
      <c r="X13" s="69"/>
      <c r="Y13" s="69"/>
      <c r="Z13" s="69"/>
    </row>
    <row r="14" spans="1:27" ht="14.25" customHeight="1" x14ac:dyDescent="0.75">
      <c r="A14" s="50">
        <v>666516</v>
      </c>
      <c r="B14" s="50" t="s">
        <v>22</v>
      </c>
      <c r="C14" s="50" t="s">
        <v>23</v>
      </c>
      <c r="E14" s="67">
        <v>32</v>
      </c>
      <c r="F14" s="50">
        <f t="shared" si="0"/>
        <v>26</v>
      </c>
      <c r="G14" s="60"/>
      <c r="H14" s="50">
        <f t="shared" si="1"/>
        <v>0</v>
      </c>
      <c r="I14" s="61">
        <v>32</v>
      </c>
      <c r="J14" s="50">
        <f t="shared" si="2"/>
        <v>0</v>
      </c>
      <c r="K14" s="50">
        <f t="shared" si="3"/>
        <v>64</v>
      </c>
      <c r="L14" s="50">
        <f t="shared" si="4"/>
        <v>26</v>
      </c>
      <c r="M14" s="50">
        <v>14</v>
      </c>
      <c r="P14" s="50">
        <v>12</v>
      </c>
      <c r="S14" s="68"/>
      <c r="U14" s="68"/>
      <c r="V14" s="69"/>
      <c r="W14" s="69"/>
      <c r="X14" s="69"/>
      <c r="Y14" s="69"/>
      <c r="Z14" s="69"/>
    </row>
    <row r="15" spans="1:27" ht="14.25" customHeight="1" x14ac:dyDescent="0.75">
      <c r="A15" s="50">
        <v>666517</v>
      </c>
      <c r="B15" s="50" t="s">
        <v>24</v>
      </c>
      <c r="C15" s="50" t="s">
        <v>25</v>
      </c>
      <c r="E15" s="67">
        <v>41</v>
      </c>
      <c r="F15" s="50">
        <f t="shared" si="0"/>
        <v>30</v>
      </c>
      <c r="G15" s="60"/>
      <c r="H15" s="50">
        <f t="shared" si="1"/>
        <v>0</v>
      </c>
      <c r="I15" s="61">
        <v>19</v>
      </c>
      <c r="J15" s="50">
        <f t="shared" si="2"/>
        <v>0</v>
      </c>
      <c r="K15" s="50">
        <f t="shared" si="3"/>
        <v>60</v>
      </c>
      <c r="L15" s="50">
        <f t="shared" si="4"/>
        <v>30</v>
      </c>
      <c r="M15" s="50">
        <v>15</v>
      </c>
      <c r="P15" s="50">
        <v>15</v>
      </c>
      <c r="S15" s="68"/>
      <c r="U15" s="68"/>
      <c r="V15" s="69"/>
      <c r="W15" s="69"/>
      <c r="X15" s="69"/>
      <c r="Y15" s="69"/>
      <c r="Z15" s="69"/>
    </row>
    <row r="16" spans="1:27" ht="14.25" customHeight="1" x14ac:dyDescent="0.75">
      <c r="A16" s="50">
        <v>666518</v>
      </c>
      <c r="B16" s="50" t="s">
        <v>26</v>
      </c>
      <c r="C16" s="50" t="s">
        <v>27</v>
      </c>
      <c r="E16" s="67"/>
      <c r="F16" s="50">
        <f t="shared" si="0"/>
        <v>0</v>
      </c>
      <c r="G16" s="60"/>
      <c r="H16" s="50">
        <f t="shared" si="1"/>
        <v>0</v>
      </c>
      <c r="I16" s="61"/>
      <c r="J16" s="50">
        <f t="shared" si="2"/>
        <v>0</v>
      </c>
      <c r="K16" s="50">
        <f t="shared" si="3"/>
        <v>0</v>
      </c>
      <c r="L16" s="50">
        <f t="shared" si="4"/>
        <v>0</v>
      </c>
      <c r="S16" s="68"/>
      <c r="U16" s="68"/>
      <c r="V16" s="69"/>
      <c r="W16" s="69"/>
      <c r="X16" s="69"/>
      <c r="Y16" s="69"/>
      <c r="Z16" s="69"/>
    </row>
    <row r="17" spans="1:26" ht="14.25" customHeight="1" x14ac:dyDescent="0.75">
      <c r="A17" s="50">
        <v>666519</v>
      </c>
      <c r="B17" s="50" t="s">
        <v>28</v>
      </c>
      <c r="C17" s="50" t="s">
        <v>29</v>
      </c>
      <c r="E17" s="67">
        <v>32</v>
      </c>
      <c r="F17" s="50">
        <f t="shared" si="0"/>
        <v>27</v>
      </c>
      <c r="G17" s="60"/>
      <c r="H17" s="50">
        <f t="shared" si="1"/>
        <v>0</v>
      </c>
      <c r="I17" s="61">
        <v>32</v>
      </c>
      <c r="J17" s="50">
        <f t="shared" si="2"/>
        <v>0</v>
      </c>
      <c r="K17" s="50">
        <f t="shared" si="3"/>
        <v>64</v>
      </c>
      <c r="L17" s="50">
        <f t="shared" si="4"/>
        <v>27</v>
      </c>
      <c r="M17" s="50">
        <v>14</v>
      </c>
      <c r="P17" s="50">
        <v>13</v>
      </c>
      <c r="S17" s="68"/>
      <c r="U17" s="68"/>
      <c r="V17" s="69"/>
      <c r="W17" s="69"/>
      <c r="X17" s="69"/>
      <c r="Y17" s="69"/>
      <c r="Z17" s="69"/>
    </row>
    <row r="18" spans="1:26" ht="14.25" customHeight="1" x14ac:dyDescent="0.75">
      <c r="A18" s="50">
        <v>666521</v>
      </c>
      <c r="B18" s="50" t="s">
        <v>30</v>
      </c>
      <c r="C18" s="50" t="s">
        <v>31</v>
      </c>
      <c r="E18" s="67"/>
      <c r="F18" s="50">
        <f t="shared" si="0"/>
        <v>0</v>
      </c>
      <c r="G18" s="60"/>
      <c r="H18" s="50">
        <f t="shared" si="1"/>
        <v>0</v>
      </c>
      <c r="I18" s="61"/>
      <c r="J18" s="50">
        <f t="shared" si="2"/>
        <v>0</v>
      </c>
      <c r="K18" s="50">
        <f t="shared" si="3"/>
        <v>0</v>
      </c>
      <c r="L18" s="50">
        <f t="shared" si="4"/>
        <v>0</v>
      </c>
      <c r="S18" s="68"/>
      <c r="U18" s="68"/>
      <c r="V18" s="69"/>
      <c r="W18" s="69"/>
      <c r="X18" s="69"/>
      <c r="Y18" s="69"/>
      <c r="Z18" s="69"/>
    </row>
    <row r="19" spans="1:26" ht="14.25" customHeight="1" x14ac:dyDescent="0.75">
      <c r="A19" s="50">
        <v>666522</v>
      </c>
      <c r="B19" s="50" t="s">
        <v>32</v>
      </c>
      <c r="C19" s="50" t="s">
        <v>33</v>
      </c>
      <c r="E19" s="67">
        <v>130</v>
      </c>
      <c r="F19" s="50">
        <f t="shared" si="0"/>
        <v>85</v>
      </c>
      <c r="G19" s="60">
        <v>190</v>
      </c>
      <c r="H19" s="50">
        <f t="shared" si="1"/>
        <v>190</v>
      </c>
      <c r="I19" s="61">
        <v>80</v>
      </c>
      <c r="J19" s="70">
        <f t="shared" si="2"/>
        <v>0</v>
      </c>
      <c r="K19" s="50">
        <f t="shared" si="3"/>
        <v>400</v>
      </c>
      <c r="L19" s="50">
        <f t="shared" si="4"/>
        <v>275</v>
      </c>
      <c r="M19" s="50">
        <v>45</v>
      </c>
      <c r="N19" s="50">
        <v>115</v>
      </c>
      <c r="P19" s="50">
        <v>40</v>
      </c>
      <c r="Q19" s="50">
        <v>45</v>
      </c>
      <c r="S19" s="68"/>
      <c r="T19" s="50">
        <v>30</v>
      </c>
      <c r="U19" s="68"/>
      <c r="V19" s="69"/>
      <c r="W19" s="69"/>
      <c r="X19" s="69"/>
      <c r="Y19" s="69"/>
      <c r="Z19" s="69"/>
    </row>
    <row r="20" spans="1:26" ht="14.25" customHeight="1" x14ac:dyDescent="0.75">
      <c r="A20" s="50">
        <v>666523</v>
      </c>
      <c r="B20" s="50" t="s">
        <v>34</v>
      </c>
      <c r="C20" s="50" t="s">
        <v>35</v>
      </c>
      <c r="E20" s="67"/>
      <c r="F20" s="50">
        <f t="shared" si="0"/>
        <v>0</v>
      </c>
      <c r="G20" s="60">
        <v>112</v>
      </c>
      <c r="H20" s="50">
        <f t="shared" si="1"/>
        <v>0</v>
      </c>
      <c r="I20" s="61">
        <v>28</v>
      </c>
      <c r="J20" s="50">
        <f t="shared" si="2"/>
        <v>0</v>
      </c>
      <c r="K20" s="50">
        <f t="shared" si="3"/>
        <v>140</v>
      </c>
      <c r="L20" s="50">
        <f t="shared" si="4"/>
        <v>0</v>
      </c>
      <c r="S20" s="68"/>
      <c r="U20" s="68"/>
      <c r="V20" s="69"/>
      <c r="W20" s="69"/>
      <c r="X20" s="69"/>
      <c r="Y20" s="69"/>
      <c r="Z20" s="69"/>
    </row>
    <row r="21" spans="1:26" ht="14.25" customHeight="1" x14ac:dyDescent="0.75">
      <c r="A21" s="50">
        <v>666530</v>
      </c>
      <c r="B21" s="50" t="s">
        <v>36</v>
      </c>
      <c r="C21" s="50" t="s">
        <v>37</v>
      </c>
      <c r="E21" s="67">
        <v>4</v>
      </c>
      <c r="F21" s="50">
        <f t="shared" si="0"/>
        <v>4</v>
      </c>
      <c r="G21" s="60"/>
      <c r="H21" s="50">
        <f t="shared" si="1"/>
        <v>0</v>
      </c>
      <c r="I21" s="61">
        <v>12</v>
      </c>
      <c r="J21" s="70">
        <f t="shared" si="2"/>
        <v>0</v>
      </c>
      <c r="K21" s="50">
        <f t="shared" si="3"/>
        <v>16</v>
      </c>
      <c r="L21" s="50">
        <f t="shared" si="4"/>
        <v>4</v>
      </c>
      <c r="M21" s="50">
        <v>4</v>
      </c>
      <c r="S21" s="68"/>
      <c r="U21" s="68"/>
      <c r="V21" s="69"/>
      <c r="W21" s="69"/>
      <c r="X21" s="69"/>
      <c r="Y21" s="69"/>
      <c r="Z21" s="69"/>
    </row>
    <row r="22" spans="1:26" ht="14.25" customHeight="1" x14ac:dyDescent="0.75">
      <c r="A22" s="50">
        <v>666531</v>
      </c>
      <c r="B22" s="50" t="s">
        <v>38</v>
      </c>
      <c r="C22" s="50" t="s">
        <v>39</v>
      </c>
      <c r="E22" s="67">
        <v>17</v>
      </c>
      <c r="F22" s="50">
        <f t="shared" si="0"/>
        <v>17</v>
      </c>
      <c r="G22" s="60"/>
      <c r="H22" s="50">
        <f t="shared" si="1"/>
        <v>0</v>
      </c>
      <c r="I22" s="61">
        <v>7</v>
      </c>
      <c r="J22" s="50">
        <f t="shared" si="2"/>
        <v>0</v>
      </c>
      <c r="K22" s="50">
        <f t="shared" si="3"/>
        <v>24</v>
      </c>
      <c r="L22" s="50">
        <f t="shared" si="4"/>
        <v>17</v>
      </c>
      <c r="M22" s="50">
        <v>14</v>
      </c>
      <c r="P22" s="50">
        <v>3</v>
      </c>
      <c r="S22" s="68"/>
      <c r="U22" s="68"/>
      <c r="V22" s="69"/>
      <c r="W22" s="69"/>
      <c r="X22" s="69"/>
      <c r="Y22" s="69"/>
      <c r="Z22" s="69"/>
    </row>
    <row r="23" spans="1:26" ht="14.25" customHeight="1" x14ac:dyDescent="0.75">
      <c r="A23" s="50">
        <v>666540</v>
      </c>
      <c r="B23" s="50" t="s">
        <v>40</v>
      </c>
      <c r="C23" s="50" t="s">
        <v>40</v>
      </c>
      <c r="E23" s="67"/>
      <c r="F23" s="50">
        <f t="shared" si="0"/>
        <v>0</v>
      </c>
      <c r="G23" s="60">
        <v>240</v>
      </c>
      <c r="H23" s="50">
        <f t="shared" si="1"/>
        <v>41</v>
      </c>
      <c r="I23" s="61"/>
      <c r="J23" s="50">
        <f t="shared" si="2"/>
        <v>0</v>
      </c>
      <c r="K23" s="50">
        <f t="shared" si="3"/>
        <v>240</v>
      </c>
      <c r="L23" s="50">
        <f t="shared" si="4"/>
        <v>41</v>
      </c>
      <c r="N23" s="50">
        <v>20</v>
      </c>
      <c r="Q23" s="50">
        <v>17</v>
      </c>
      <c r="S23" s="68"/>
      <c r="T23" s="50">
        <v>4</v>
      </c>
      <c r="U23" s="68"/>
      <c r="V23" s="69"/>
      <c r="W23" s="69"/>
      <c r="X23" s="69"/>
      <c r="Y23" s="69"/>
      <c r="Z23" s="69"/>
    </row>
    <row r="24" spans="1:26" ht="14.25" customHeight="1" x14ac:dyDescent="0.75">
      <c r="A24" s="50">
        <v>666541</v>
      </c>
      <c r="B24" s="50" t="s">
        <v>41</v>
      </c>
      <c r="C24" s="50" t="s">
        <v>41</v>
      </c>
      <c r="E24" s="67"/>
      <c r="F24" s="50">
        <f t="shared" si="0"/>
        <v>0</v>
      </c>
      <c r="G24" s="60">
        <v>240</v>
      </c>
      <c r="H24" s="50">
        <f t="shared" si="1"/>
        <v>175</v>
      </c>
      <c r="I24" s="61"/>
      <c r="J24" s="50">
        <f t="shared" si="2"/>
        <v>0</v>
      </c>
      <c r="K24" s="50">
        <f t="shared" si="3"/>
        <v>240</v>
      </c>
      <c r="L24" s="50">
        <f t="shared" si="4"/>
        <v>175</v>
      </c>
      <c r="N24" s="50">
        <v>51</v>
      </c>
      <c r="Q24" s="50">
        <v>67</v>
      </c>
      <c r="S24" s="68"/>
      <c r="T24" s="50">
        <v>57</v>
      </c>
      <c r="U24" s="68"/>
      <c r="V24" s="69"/>
      <c r="W24" s="69"/>
      <c r="X24" s="69"/>
      <c r="Y24" s="69"/>
      <c r="Z24" s="69"/>
    </row>
    <row r="25" spans="1:26" ht="14.25" customHeight="1" x14ac:dyDescent="0.75">
      <c r="A25" s="50">
        <v>666536</v>
      </c>
      <c r="B25" s="50" t="s">
        <v>42</v>
      </c>
      <c r="C25" s="50" t="s">
        <v>43</v>
      </c>
      <c r="E25" s="67">
        <v>20</v>
      </c>
      <c r="F25" s="50">
        <f t="shared" si="0"/>
        <v>1</v>
      </c>
      <c r="G25" s="60"/>
      <c r="H25" s="50">
        <f t="shared" si="1"/>
        <v>0</v>
      </c>
      <c r="I25" s="61"/>
      <c r="J25" s="50">
        <f t="shared" si="2"/>
        <v>0</v>
      </c>
      <c r="K25" s="50">
        <f>+E25+G25+H25</f>
        <v>20</v>
      </c>
      <c r="L25" s="50">
        <f t="shared" si="4"/>
        <v>1</v>
      </c>
      <c r="M25" s="50">
        <v>1</v>
      </c>
      <c r="S25" s="68"/>
      <c r="U25" s="68"/>
      <c r="V25" s="69"/>
      <c r="W25" s="69"/>
      <c r="X25" s="69"/>
      <c r="Y25" s="69"/>
      <c r="Z25" s="69"/>
    </row>
    <row r="26" spans="1:26" ht="14.25" customHeight="1" x14ac:dyDescent="0.75">
      <c r="C26" s="71"/>
      <c r="D26" s="71"/>
      <c r="E26" s="71"/>
      <c r="F26" s="71"/>
      <c r="G26" s="71"/>
      <c r="H26" s="71"/>
      <c r="I26" s="71"/>
      <c r="J26" s="71"/>
      <c r="L26" s="71"/>
    </row>
    <row r="27" spans="1:26" ht="14.25" customHeight="1" x14ac:dyDescent="0.75">
      <c r="C27" s="71"/>
      <c r="D27" s="71"/>
      <c r="E27" s="71"/>
      <c r="F27" s="71"/>
      <c r="G27" s="71"/>
      <c r="H27" s="71"/>
      <c r="I27" s="71"/>
      <c r="J27" s="71"/>
      <c r="L27" s="71"/>
    </row>
    <row r="28" spans="1:26" ht="14.25" customHeight="1" x14ac:dyDescent="0.75">
      <c r="C28" s="71"/>
      <c r="D28" s="71"/>
      <c r="E28" s="71"/>
      <c r="F28" s="71"/>
      <c r="G28" s="71"/>
      <c r="H28" s="71"/>
      <c r="I28" s="71"/>
      <c r="J28" s="71"/>
      <c r="L28" s="71"/>
    </row>
    <row r="29" spans="1:26" ht="14.25" customHeight="1" x14ac:dyDescent="0.75">
      <c r="C29" s="71"/>
      <c r="D29" s="71"/>
      <c r="E29" s="71"/>
      <c r="F29" s="71"/>
      <c r="G29" s="71"/>
      <c r="H29" s="71"/>
      <c r="I29" s="71"/>
      <c r="J29" s="71"/>
      <c r="L29" s="71"/>
    </row>
    <row r="30" spans="1:26" ht="14.25" customHeight="1" x14ac:dyDescent="0.75">
      <c r="C30" s="71"/>
      <c r="D30" s="71"/>
      <c r="E30" s="71"/>
      <c r="F30" s="71"/>
      <c r="G30" s="71"/>
      <c r="H30" s="71"/>
      <c r="I30" s="71"/>
      <c r="J30" s="71"/>
      <c r="L30" s="71"/>
    </row>
    <row r="31" spans="1:26" ht="14.25" customHeight="1" x14ac:dyDescent="0.75">
      <c r="C31" s="71"/>
      <c r="D31" s="71"/>
      <c r="E31" s="71"/>
      <c r="F31" s="71"/>
      <c r="G31" s="71"/>
      <c r="H31" s="71"/>
      <c r="I31" s="71"/>
      <c r="J31" s="71"/>
      <c r="L31" s="71"/>
    </row>
    <row r="32" spans="1:26" ht="14.25" customHeight="1" x14ac:dyDescent="0.75">
      <c r="C32" s="72"/>
      <c r="D32" s="71"/>
      <c r="E32" s="71"/>
      <c r="F32" s="71"/>
      <c r="G32" s="71"/>
      <c r="H32" s="71"/>
      <c r="I32" s="71"/>
      <c r="J32" s="71"/>
      <c r="L32" s="71"/>
    </row>
    <row r="33" spans="3:14" ht="14.25" customHeight="1" x14ac:dyDescent="0.75">
      <c r="C33" s="71"/>
      <c r="D33" s="71"/>
      <c r="E33" s="71"/>
      <c r="F33" s="71"/>
      <c r="G33" s="71"/>
      <c r="H33" s="71"/>
      <c r="I33" s="71"/>
      <c r="J33" s="71"/>
      <c r="L33" s="71"/>
    </row>
    <row r="34" spans="3:14" ht="14.25" customHeight="1" x14ac:dyDescent="0.75">
      <c r="C34" s="71"/>
      <c r="D34" s="71"/>
      <c r="E34" s="71"/>
      <c r="F34" s="71"/>
      <c r="G34" s="71"/>
      <c r="H34" s="71"/>
      <c r="I34" s="71"/>
      <c r="J34" s="71"/>
      <c r="L34" s="71"/>
    </row>
    <row r="35" spans="3:14" ht="14.25" customHeight="1" x14ac:dyDescent="0.75">
      <c r="C35" s="71"/>
      <c r="D35" s="71"/>
      <c r="E35" s="71"/>
      <c r="F35" s="71"/>
      <c r="G35" s="71"/>
      <c r="H35" s="71"/>
      <c r="I35" s="71"/>
      <c r="J35" s="71"/>
      <c r="L35" s="71"/>
    </row>
    <row r="36" spans="3:14" ht="14.25" customHeight="1" x14ac:dyDescent="0.75">
      <c r="C36" s="71"/>
      <c r="D36" s="71"/>
      <c r="E36" s="71"/>
      <c r="F36" s="71"/>
      <c r="G36" s="71"/>
      <c r="H36" s="71"/>
      <c r="I36" s="71"/>
      <c r="J36" s="71"/>
      <c r="L36" s="71"/>
    </row>
    <row r="37" spans="3:14" ht="14.25" customHeight="1" x14ac:dyDescent="0.75">
      <c r="C37" s="71"/>
      <c r="D37" s="71"/>
      <c r="E37" s="71"/>
      <c r="F37" s="71"/>
      <c r="G37" s="71"/>
      <c r="H37" s="71"/>
      <c r="I37" s="71"/>
      <c r="J37" s="71"/>
      <c r="L37" s="71"/>
    </row>
    <row r="38" spans="3:14" ht="14.25" customHeight="1" x14ac:dyDescent="0.75">
      <c r="C38" s="71"/>
      <c r="D38" s="71"/>
      <c r="E38" s="71"/>
      <c r="F38" s="71"/>
      <c r="G38" s="71"/>
      <c r="H38" s="71"/>
      <c r="I38" s="71"/>
      <c r="J38" s="71"/>
      <c r="L38" s="71"/>
    </row>
    <row r="39" spans="3:14" ht="14.25" customHeight="1" x14ac:dyDescent="0.75">
      <c r="C39" s="71"/>
      <c r="D39" s="71"/>
      <c r="E39" s="71"/>
      <c r="F39" s="71"/>
      <c r="G39" s="71"/>
      <c r="H39" s="71"/>
      <c r="I39" s="71"/>
      <c r="J39" s="71"/>
      <c r="L39" s="71"/>
    </row>
    <row r="40" spans="3:14" ht="14.25" customHeight="1" x14ac:dyDescent="0.75">
      <c r="C40" s="71"/>
      <c r="D40" s="71"/>
      <c r="E40" s="71"/>
      <c r="F40" s="71"/>
      <c r="G40" s="71"/>
      <c r="H40" s="71"/>
      <c r="I40" s="71"/>
      <c r="J40" s="71"/>
      <c r="L40" s="71"/>
    </row>
    <row r="41" spans="3:14" ht="14.25" customHeight="1" x14ac:dyDescent="0.75">
      <c r="C41" s="71"/>
      <c r="D41" s="71"/>
      <c r="E41" s="71"/>
      <c r="F41" s="71"/>
      <c r="G41" s="71"/>
      <c r="H41" s="71"/>
      <c r="I41" s="71"/>
      <c r="J41" s="71"/>
      <c r="L41" s="71"/>
    </row>
    <row r="42" spans="3:14" ht="14.25" customHeight="1" x14ac:dyDescent="0.75">
      <c r="C42" s="71"/>
      <c r="D42" s="71"/>
      <c r="E42" s="71"/>
      <c r="F42" s="71"/>
      <c r="G42" s="71"/>
      <c r="H42" s="71"/>
      <c r="I42" s="71"/>
      <c r="J42" s="71"/>
      <c r="L42" s="71"/>
    </row>
    <row r="48" spans="3:14" ht="14.25" customHeight="1" x14ac:dyDescent="0.75">
      <c r="C48" s="50" t="s">
        <v>153</v>
      </c>
      <c r="J48" s="50" t="s">
        <v>153</v>
      </c>
      <c r="K48" s="50" t="s">
        <v>154</v>
      </c>
      <c r="L48" s="73" t="s">
        <v>155</v>
      </c>
      <c r="M48" s="50" t="s">
        <v>156</v>
      </c>
      <c r="N48" s="74" t="s">
        <v>157</v>
      </c>
    </row>
    <row r="49" spans="3:14" ht="14.25" customHeight="1" x14ac:dyDescent="0.75">
      <c r="C49" s="50" t="str">
        <f>+N2</f>
        <v>Jesus</v>
      </c>
      <c r="D49" s="75"/>
      <c r="E49" s="75"/>
      <c r="J49" s="50" t="s">
        <v>65</v>
      </c>
      <c r="K49" s="50">
        <f>SUM(E5:E22)</f>
        <v>555</v>
      </c>
      <c r="L49" s="50">
        <f>SUM(F5:F22)</f>
        <v>298</v>
      </c>
      <c r="M49" s="50">
        <f>+L49-K49</f>
        <v>-257</v>
      </c>
      <c r="N49" s="76">
        <f>+L49/K49</f>
        <v>0.53693693693693689</v>
      </c>
    </row>
    <row r="50" spans="3:14" ht="14.25" customHeight="1" x14ac:dyDescent="0.75">
      <c r="C50" s="50" t="str">
        <f>+M2</f>
        <v>Wilfredo</v>
      </c>
      <c r="D50" s="75"/>
      <c r="E50" s="75"/>
      <c r="J50" s="50" t="s">
        <v>55</v>
      </c>
      <c r="K50" s="50">
        <f>SUM(G5:G22)</f>
        <v>952</v>
      </c>
      <c r="L50" s="50">
        <f>SUM(H5:H22)</f>
        <v>375</v>
      </c>
      <c r="M50" s="50">
        <f>+L50-K50</f>
        <v>-577</v>
      </c>
      <c r="N50" s="76">
        <f>+L50/K50</f>
        <v>0.39390756302521007</v>
      </c>
    </row>
    <row r="51" spans="3:14" ht="14.25" customHeight="1" x14ac:dyDescent="0.75">
      <c r="J51" s="50" t="s">
        <v>158</v>
      </c>
      <c r="K51" s="50">
        <f>SUM(I5:I22)</f>
        <v>368</v>
      </c>
      <c r="L51" s="50">
        <f>SUM(J5:J22)</f>
        <v>0</v>
      </c>
      <c r="M51" s="50">
        <f>+L51-K51</f>
        <v>-368</v>
      </c>
      <c r="N51" s="76">
        <f>+L51/K51</f>
        <v>0</v>
      </c>
    </row>
  </sheetData>
  <conditionalFormatting sqref="F5:J24 F25 H25 J25">
    <cfRule type="expression" dxfId="317" priority="6">
      <formula>#REF!=F5</formula>
    </cfRule>
    <cfRule type="expression" dxfId="316" priority="7">
      <formula>#REF!&lt;F5</formula>
    </cfRule>
    <cfRule type="expression" dxfId="315" priority="8">
      <formula>#REF!&gt;F5</formula>
    </cfRule>
  </conditionalFormatting>
  <conditionalFormatting sqref="K5:K25">
    <cfRule type="cellIs" dxfId="314" priority="2" operator="equal">
      <formula>0</formula>
    </cfRule>
  </conditionalFormatting>
  <conditionalFormatting sqref="L5:L25">
    <cfRule type="expression" dxfId="313" priority="3">
      <formula>K5=L5</formula>
    </cfRule>
    <cfRule type="expression" dxfId="312" priority="4">
      <formula>K5&lt;L5</formula>
    </cfRule>
    <cfRule type="expression" dxfId="311" priority="5">
      <formula>K5&gt;L5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51"/>
  <sheetViews>
    <sheetView topLeftCell="C1" zoomScaleNormal="100" workbookViewId="0">
      <selection activeCell="N30" sqref="N30"/>
    </sheetView>
  </sheetViews>
  <sheetFormatPr defaultColWidth="8.6796875" defaultRowHeight="14.75" x14ac:dyDescent="0.75"/>
  <cols>
    <col min="1" max="1" width="8.6796875" style="50"/>
    <col min="2" max="2" width="41.54296875" style="50" customWidth="1"/>
    <col min="3" max="3" width="22.6796875" style="50" customWidth="1"/>
    <col min="4" max="4" width="9.54296875" style="50" hidden="1" customWidth="1"/>
    <col min="5" max="5" width="8.6796875" style="50"/>
    <col min="6" max="6" width="9.86328125" style="50" customWidth="1"/>
    <col min="7" max="7" width="7.31640625" style="50" customWidth="1"/>
    <col min="8" max="8" width="8.453125" style="50" customWidth="1"/>
    <col min="9" max="9" width="7.453125" style="50" customWidth="1"/>
    <col min="10" max="10" width="7.6796875" style="50" customWidth="1"/>
    <col min="11" max="11" width="7.31640625" style="50" customWidth="1"/>
    <col min="12" max="16384" width="8.6796875" style="50"/>
  </cols>
  <sheetData>
    <row r="1" spans="1:27" s="51" customFormat="1" ht="41.25" customHeight="1" x14ac:dyDescent="0.75">
      <c r="D1" s="51" t="s">
        <v>144</v>
      </c>
      <c r="E1" s="52" t="s">
        <v>116</v>
      </c>
      <c r="F1" s="53" t="s">
        <v>145</v>
      </c>
      <c r="G1" s="54" t="s">
        <v>119</v>
      </c>
      <c r="H1" s="53" t="s">
        <v>146</v>
      </c>
      <c r="I1" s="55" t="s">
        <v>122</v>
      </c>
      <c r="J1" s="56" t="s">
        <v>147</v>
      </c>
      <c r="K1" s="51" t="s">
        <v>148</v>
      </c>
      <c r="L1" s="53" t="s">
        <v>149</v>
      </c>
      <c r="M1" s="51" t="s">
        <v>56</v>
      </c>
      <c r="N1" s="51" t="s">
        <v>58</v>
      </c>
      <c r="O1" s="51" t="s">
        <v>66</v>
      </c>
      <c r="P1" s="51" t="s">
        <v>56</v>
      </c>
      <c r="Q1" s="51" t="s">
        <v>58</v>
      </c>
      <c r="R1" s="51" t="s">
        <v>66</v>
      </c>
      <c r="S1" s="51" t="s">
        <v>56</v>
      </c>
      <c r="T1" s="51" t="s">
        <v>58</v>
      </c>
      <c r="U1" s="51" t="s">
        <v>66</v>
      </c>
      <c r="V1" s="51" t="s">
        <v>56</v>
      </c>
      <c r="W1" s="51" t="s">
        <v>58</v>
      </c>
      <c r="X1" s="51" t="s">
        <v>66</v>
      </c>
      <c r="Y1" s="51" t="s">
        <v>56</v>
      </c>
      <c r="Z1" s="51" t="s">
        <v>58</v>
      </c>
      <c r="AA1" s="51" t="s">
        <v>66</v>
      </c>
    </row>
    <row r="2" spans="1:27" ht="14.25" customHeight="1" x14ac:dyDescent="0.75">
      <c r="C2" s="57" t="s">
        <v>150</v>
      </c>
      <c r="D2" s="57"/>
      <c r="E2" s="57"/>
      <c r="F2" s="57"/>
      <c r="G2" s="57"/>
      <c r="H2" s="59"/>
      <c r="I2" s="59"/>
      <c r="J2" s="59"/>
      <c r="K2" s="59"/>
      <c r="L2" s="59"/>
      <c r="M2" s="59" t="s">
        <v>55</v>
      </c>
      <c r="N2" s="59" t="s">
        <v>57</v>
      </c>
      <c r="O2" s="59" t="s">
        <v>65</v>
      </c>
      <c r="P2" s="59" t="s">
        <v>55</v>
      </c>
      <c r="Q2" s="59" t="s">
        <v>57</v>
      </c>
      <c r="R2" s="59" t="s">
        <v>65</v>
      </c>
      <c r="S2" s="59" t="s">
        <v>55</v>
      </c>
      <c r="T2" s="59" t="s">
        <v>57</v>
      </c>
      <c r="U2" s="59" t="s">
        <v>65</v>
      </c>
      <c r="V2" s="59" t="s">
        <v>55</v>
      </c>
      <c r="W2" s="59" t="s">
        <v>57</v>
      </c>
      <c r="X2" s="59" t="s">
        <v>65</v>
      </c>
      <c r="Y2" s="59" t="s">
        <v>55</v>
      </c>
      <c r="Z2" s="59" t="s">
        <v>57</v>
      </c>
      <c r="AA2" s="59" t="s">
        <v>65</v>
      </c>
    </row>
    <row r="3" spans="1:27" ht="14.25" customHeight="1" x14ac:dyDescent="0.75">
      <c r="A3" s="62" t="s">
        <v>129</v>
      </c>
      <c r="B3" s="62" t="s">
        <v>2</v>
      </c>
      <c r="C3" s="62" t="s">
        <v>3</v>
      </c>
      <c r="D3" s="62"/>
      <c r="E3" s="58"/>
      <c r="F3" s="62"/>
      <c r="G3" s="63"/>
      <c r="H3" s="62"/>
      <c r="I3" s="64"/>
      <c r="J3" s="62"/>
      <c r="K3" s="62"/>
      <c r="L3" s="62"/>
      <c r="M3" s="62" t="s">
        <v>54</v>
      </c>
      <c r="N3" s="62" t="s">
        <v>54</v>
      </c>
      <c r="O3" s="62" t="s">
        <v>54</v>
      </c>
      <c r="P3" s="62" t="s">
        <v>59</v>
      </c>
      <c r="Q3" s="62" t="s">
        <v>59</v>
      </c>
      <c r="R3" s="62" t="s">
        <v>59</v>
      </c>
      <c r="S3" s="62" t="s">
        <v>60</v>
      </c>
      <c r="T3" s="62" t="s">
        <v>60</v>
      </c>
      <c r="U3" s="62" t="s">
        <v>60</v>
      </c>
      <c r="V3" s="62" t="s">
        <v>62</v>
      </c>
      <c r="W3" s="62" t="s">
        <v>62</v>
      </c>
      <c r="X3" s="62" t="s">
        <v>62</v>
      </c>
      <c r="Y3" s="62" t="s">
        <v>63</v>
      </c>
      <c r="Z3" s="62" t="s">
        <v>63</v>
      </c>
      <c r="AA3" s="62" t="s">
        <v>63</v>
      </c>
    </row>
    <row r="4" spans="1:27" ht="14.25" customHeight="1" x14ac:dyDescent="0.75">
      <c r="A4" s="62"/>
      <c r="B4" s="62"/>
      <c r="C4" s="62" t="s">
        <v>151</v>
      </c>
      <c r="D4" s="62"/>
      <c r="E4" s="58"/>
      <c r="F4" s="62">
        <f>+M4+P4+S4+V4+Y4</f>
        <v>100</v>
      </c>
      <c r="G4" s="63"/>
      <c r="H4" s="62">
        <f>+N4+Q4+T4+W4+Z4</f>
        <v>534</v>
      </c>
      <c r="I4" s="64"/>
      <c r="J4" s="62">
        <f>+O4+R4+U4+X4+AA4</f>
        <v>0</v>
      </c>
      <c r="K4" s="62" t="s">
        <v>152</v>
      </c>
      <c r="L4" s="62"/>
      <c r="M4" s="62">
        <v>21</v>
      </c>
      <c r="N4" s="62">
        <v>185</v>
      </c>
      <c r="O4" s="62"/>
      <c r="Q4" s="62">
        <v>125</v>
      </c>
      <c r="R4" s="62"/>
      <c r="S4" s="62">
        <v>28</v>
      </c>
      <c r="T4" s="62">
        <v>76</v>
      </c>
      <c r="U4" s="62"/>
      <c r="V4" s="62">
        <v>31</v>
      </c>
      <c r="W4" s="62">
        <v>148</v>
      </c>
      <c r="X4" s="62"/>
      <c r="Y4" s="62">
        <v>20</v>
      </c>
      <c r="Z4" s="62"/>
      <c r="AA4" s="62"/>
    </row>
    <row r="5" spans="1:27" ht="14.25" customHeight="1" x14ac:dyDescent="0.75">
      <c r="A5" s="50">
        <v>666501</v>
      </c>
      <c r="B5" s="50" t="s">
        <v>4</v>
      </c>
      <c r="C5" s="50" t="s">
        <v>5</v>
      </c>
      <c r="E5" s="67">
        <v>6</v>
      </c>
      <c r="F5" s="50">
        <f t="shared" ref="F5:F25" si="0">SUM(M5,P5,S5,V5,Y5)</f>
        <v>6</v>
      </c>
      <c r="G5" s="77">
        <v>150</v>
      </c>
      <c r="H5" s="50">
        <f t="shared" ref="H5:H25" si="1">SUM(N5,Q5,T5,W5,Z5)</f>
        <v>150</v>
      </c>
      <c r="I5" s="78">
        <v>30</v>
      </c>
      <c r="J5" s="50">
        <f t="shared" ref="J5:J25" si="2">SUM(O5,R5,U5,X5,AA5)</f>
        <v>0</v>
      </c>
      <c r="K5" s="50">
        <f t="shared" ref="K5:K24" si="3">+E5+G5+I5</f>
        <v>186</v>
      </c>
      <c r="L5" s="50">
        <f t="shared" ref="L5:L25" si="4">SUM(F5,H5,J5)</f>
        <v>156</v>
      </c>
      <c r="M5" s="50">
        <v>3</v>
      </c>
      <c r="N5" s="50">
        <v>150</v>
      </c>
      <c r="S5" s="50">
        <v>3</v>
      </c>
    </row>
    <row r="6" spans="1:27" ht="14.25" customHeight="1" x14ac:dyDescent="0.75">
      <c r="A6" s="50">
        <v>666502</v>
      </c>
      <c r="B6" s="50" t="s">
        <v>6</v>
      </c>
      <c r="C6" s="50" t="s">
        <v>7</v>
      </c>
      <c r="E6" s="67">
        <v>0</v>
      </c>
      <c r="F6" s="50">
        <f t="shared" si="0"/>
        <v>0</v>
      </c>
      <c r="G6" s="77">
        <v>115</v>
      </c>
      <c r="H6" s="50">
        <f t="shared" si="1"/>
        <v>115</v>
      </c>
      <c r="I6" s="78">
        <v>40</v>
      </c>
      <c r="J6" s="50">
        <f t="shared" si="2"/>
        <v>0</v>
      </c>
      <c r="K6" s="50">
        <f t="shared" si="3"/>
        <v>155</v>
      </c>
      <c r="L6" s="50">
        <f t="shared" si="4"/>
        <v>115</v>
      </c>
      <c r="N6" s="50">
        <v>17</v>
      </c>
      <c r="Q6" s="50">
        <v>33</v>
      </c>
      <c r="T6" s="50">
        <v>18</v>
      </c>
      <c r="W6" s="50">
        <v>47</v>
      </c>
    </row>
    <row r="7" spans="1:27" ht="14.25" customHeight="1" x14ac:dyDescent="0.75">
      <c r="A7" s="50">
        <v>666505</v>
      </c>
      <c r="B7" s="50" t="s">
        <v>8</v>
      </c>
      <c r="C7" s="50" t="s">
        <v>9</v>
      </c>
      <c r="E7" s="67">
        <v>0</v>
      </c>
      <c r="F7" s="50">
        <f t="shared" si="0"/>
        <v>0</v>
      </c>
      <c r="G7" s="77">
        <v>0</v>
      </c>
      <c r="H7" s="50">
        <f t="shared" si="1"/>
        <v>0</v>
      </c>
      <c r="I7" s="78">
        <v>42</v>
      </c>
      <c r="J7" s="50">
        <f t="shared" si="2"/>
        <v>0</v>
      </c>
      <c r="K7" s="50">
        <f t="shared" si="3"/>
        <v>42</v>
      </c>
      <c r="L7" s="50">
        <f t="shared" si="4"/>
        <v>0</v>
      </c>
    </row>
    <row r="8" spans="1:27" ht="14.25" customHeight="1" x14ac:dyDescent="0.75">
      <c r="A8" s="50">
        <v>666506</v>
      </c>
      <c r="B8" s="50" t="s">
        <v>10</v>
      </c>
      <c r="C8" s="50" t="s">
        <v>11</v>
      </c>
      <c r="E8" s="67">
        <v>0</v>
      </c>
      <c r="F8" s="50">
        <f t="shared" si="0"/>
        <v>0</v>
      </c>
      <c r="G8" s="77">
        <v>200</v>
      </c>
      <c r="H8" s="50">
        <f t="shared" si="1"/>
        <v>200</v>
      </c>
      <c r="I8" s="78">
        <v>0</v>
      </c>
      <c r="J8" s="50">
        <f t="shared" si="2"/>
        <v>0</v>
      </c>
      <c r="K8" s="50">
        <f t="shared" si="3"/>
        <v>200</v>
      </c>
      <c r="L8" s="50">
        <f t="shared" si="4"/>
        <v>200</v>
      </c>
      <c r="N8" s="50">
        <v>20</v>
      </c>
      <c r="Q8" s="50">
        <v>74</v>
      </c>
      <c r="T8" s="50">
        <v>46</v>
      </c>
      <c r="W8" s="50">
        <v>60</v>
      </c>
    </row>
    <row r="9" spans="1:27" ht="14.25" customHeight="1" x14ac:dyDescent="0.75">
      <c r="A9" s="50">
        <v>666507</v>
      </c>
      <c r="B9" s="50" t="s">
        <v>12</v>
      </c>
      <c r="C9" s="50" t="s">
        <v>13</v>
      </c>
      <c r="E9" s="67">
        <v>41</v>
      </c>
      <c r="F9" s="50">
        <f t="shared" si="0"/>
        <v>41</v>
      </c>
      <c r="G9" s="77">
        <v>0</v>
      </c>
      <c r="H9" s="50">
        <f t="shared" si="1"/>
        <v>0</v>
      </c>
      <c r="I9" s="78">
        <v>0</v>
      </c>
      <c r="J9" s="50">
        <f t="shared" si="2"/>
        <v>0</v>
      </c>
      <c r="K9" s="50">
        <f t="shared" si="3"/>
        <v>41</v>
      </c>
      <c r="L9" s="50">
        <f t="shared" si="4"/>
        <v>41</v>
      </c>
      <c r="M9" s="50">
        <v>18</v>
      </c>
      <c r="S9" s="50">
        <v>22</v>
      </c>
      <c r="V9" s="50">
        <v>1</v>
      </c>
    </row>
    <row r="10" spans="1:27" ht="14.25" customHeight="1" x14ac:dyDescent="0.75">
      <c r="A10" s="50">
        <v>666509</v>
      </c>
      <c r="B10" s="50" t="s">
        <v>14</v>
      </c>
      <c r="C10" s="50" t="s">
        <v>15</v>
      </c>
      <c r="E10" s="67">
        <v>137</v>
      </c>
      <c r="F10" s="50">
        <f t="shared" si="0"/>
        <v>83</v>
      </c>
      <c r="G10" s="77">
        <v>0</v>
      </c>
      <c r="H10" s="50">
        <f t="shared" si="1"/>
        <v>0</v>
      </c>
      <c r="I10" s="78">
        <v>0</v>
      </c>
      <c r="J10" s="50">
        <f t="shared" si="2"/>
        <v>0</v>
      </c>
      <c r="K10" s="50">
        <f t="shared" si="3"/>
        <v>137</v>
      </c>
      <c r="L10" s="50">
        <f t="shared" si="4"/>
        <v>83</v>
      </c>
      <c r="M10" s="50">
        <v>17</v>
      </c>
      <c r="S10" s="50">
        <v>20</v>
      </c>
      <c r="V10" s="50">
        <v>25</v>
      </c>
      <c r="Y10" s="50">
        <v>21</v>
      </c>
    </row>
    <row r="11" spans="1:27" ht="14.25" customHeight="1" x14ac:dyDescent="0.75">
      <c r="A11" s="50">
        <v>666510</v>
      </c>
      <c r="B11" s="50" t="s">
        <v>16</v>
      </c>
      <c r="C11" s="50" t="s">
        <v>17</v>
      </c>
      <c r="E11" s="67">
        <v>0</v>
      </c>
      <c r="F11" s="50">
        <f t="shared" si="0"/>
        <v>0</v>
      </c>
      <c r="G11" s="77">
        <v>0</v>
      </c>
      <c r="H11" s="50">
        <f t="shared" si="1"/>
        <v>0</v>
      </c>
      <c r="I11" s="78">
        <v>0</v>
      </c>
      <c r="J11" s="50">
        <f t="shared" si="2"/>
        <v>0</v>
      </c>
      <c r="K11" s="50">
        <f t="shared" si="3"/>
        <v>0</v>
      </c>
      <c r="L11" s="50">
        <f t="shared" si="4"/>
        <v>0</v>
      </c>
    </row>
    <row r="12" spans="1:27" ht="14.25" customHeight="1" x14ac:dyDescent="0.75">
      <c r="A12" s="50">
        <v>666511</v>
      </c>
      <c r="B12" s="50" t="s">
        <v>18</v>
      </c>
      <c r="C12" s="50" t="s">
        <v>19</v>
      </c>
      <c r="E12" s="67">
        <v>6</v>
      </c>
      <c r="F12" s="50">
        <f t="shared" si="0"/>
        <v>6</v>
      </c>
      <c r="G12" s="77">
        <v>0</v>
      </c>
      <c r="H12" s="50">
        <f t="shared" si="1"/>
        <v>0</v>
      </c>
      <c r="I12" s="78">
        <v>0</v>
      </c>
      <c r="J12" s="50">
        <f t="shared" si="2"/>
        <v>0</v>
      </c>
      <c r="K12" s="50">
        <f t="shared" si="3"/>
        <v>6</v>
      </c>
      <c r="L12" s="50">
        <f t="shared" si="4"/>
        <v>6</v>
      </c>
      <c r="V12" s="50">
        <v>4</v>
      </c>
      <c r="Y12" s="50">
        <v>2</v>
      </c>
    </row>
    <row r="13" spans="1:27" ht="14.25" customHeight="1" x14ac:dyDescent="0.75">
      <c r="A13" s="50">
        <v>666513</v>
      </c>
      <c r="B13" s="50" t="s">
        <v>20</v>
      </c>
      <c r="C13" s="50" t="s">
        <v>21</v>
      </c>
      <c r="E13" s="67">
        <v>0</v>
      </c>
      <c r="F13" s="50">
        <f t="shared" si="0"/>
        <v>0</v>
      </c>
      <c r="G13" s="77">
        <v>0</v>
      </c>
      <c r="H13" s="50">
        <f t="shared" si="1"/>
        <v>0</v>
      </c>
      <c r="I13" s="78">
        <v>46</v>
      </c>
      <c r="J13" s="50">
        <f t="shared" si="2"/>
        <v>0</v>
      </c>
      <c r="K13" s="50">
        <f t="shared" si="3"/>
        <v>46</v>
      </c>
      <c r="L13" s="50">
        <f t="shared" si="4"/>
        <v>0</v>
      </c>
    </row>
    <row r="14" spans="1:27" ht="14.25" customHeight="1" x14ac:dyDescent="0.75">
      <c r="A14" s="50">
        <v>666516</v>
      </c>
      <c r="B14" s="50" t="s">
        <v>22</v>
      </c>
      <c r="C14" s="50" t="s">
        <v>23</v>
      </c>
      <c r="E14" s="67">
        <v>6</v>
      </c>
      <c r="F14" s="50">
        <f t="shared" si="0"/>
        <v>6</v>
      </c>
      <c r="G14" s="77">
        <v>0</v>
      </c>
      <c r="H14" s="50">
        <f t="shared" si="1"/>
        <v>0</v>
      </c>
      <c r="I14" s="78">
        <v>32</v>
      </c>
      <c r="J14" s="50">
        <f t="shared" si="2"/>
        <v>0</v>
      </c>
      <c r="K14" s="50">
        <f t="shared" si="3"/>
        <v>38</v>
      </c>
      <c r="L14" s="50">
        <f t="shared" si="4"/>
        <v>6</v>
      </c>
      <c r="M14" s="50">
        <v>4</v>
      </c>
      <c r="S14" s="50">
        <v>2</v>
      </c>
    </row>
    <row r="15" spans="1:27" ht="14.25" customHeight="1" x14ac:dyDescent="0.75">
      <c r="A15" s="50">
        <v>666517</v>
      </c>
      <c r="B15" s="50" t="s">
        <v>24</v>
      </c>
      <c r="C15" s="50" t="s">
        <v>25</v>
      </c>
      <c r="E15" s="67">
        <v>11</v>
      </c>
      <c r="F15" s="50">
        <f t="shared" si="0"/>
        <v>11</v>
      </c>
      <c r="G15" s="77">
        <v>0</v>
      </c>
      <c r="H15" s="50">
        <f t="shared" si="1"/>
        <v>0</v>
      </c>
      <c r="I15" s="78">
        <v>19</v>
      </c>
      <c r="J15" s="50">
        <f t="shared" si="2"/>
        <v>0</v>
      </c>
      <c r="K15" s="50">
        <f t="shared" si="3"/>
        <v>30</v>
      </c>
      <c r="L15" s="50">
        <f t="shared" si="4"/>
        <v>11</v>
      </c>
      <c r="M15" s="50">
        <v>4</v>
      </c>
      <c r="S15" s="50">
        <v>7</v>
      </c>
    </row>
    <row r="16" spans="1:27" ht="14.25" customHeight="1" x14ac:dyDescent="0.75">
      <c r="A16" s="50">
        <v>666518</v>
      </c>
      <c r="B16" s="50" t="s">
        <v>26</v>
      </c>
      <c r="C16" s="50" t="s">
        <v>27</v>
      </c>
      <c r="E16" s="67">
        <v>0</v>
      </c>
      <c r="F16" s="50">
        <f t="shared" si="0"/>
        <v>0</v>
      </c>
      <c r="G16" s="77">
        <v>0</v>
      </c>
      <c r="H16" s="50">
        <f t="shared" si="1"/>
        <v>0</v>
      </c>
      <c r="I16" s="78">
        <v>0</v>
      </c>
      <c r="J16" s="50">
        <f t="shared" si="2"/>
        <v>0</v>
      </c>
      <c r="K16" s="50">
        <f t="shared" si="3"/>
        <v>0</v>
      </c>
      <c r="L16" s="50">
        <f t="shared" si="4"/>
        <v>0</v>
      </c>
    </row>
    <row r="17" spans="1:25" ht="14.25" customHeight="1" x14ac:dyDescent="0.75">
      <c r="A17" s="50">
        <v>666519</v>
      </c>
      <c r="B17" s="50" t="s">
        <v>28</v>
      </c>
      <c r="C17" s="50" t="s">
        <v>29</v>
      </c>
      <c r="E17" s="67">
        <v>5</v>
      </c>
      <c r="F17" s="50">
        <f t="shared" si="0"/>
        <v>5</v>
      </c>
      <c r="G17" s="77">
        <v>0</v>
      </c>
      <c r="H17" s="50">
        <f t="shared" si="1"/>
        <v>0</v>
      </c>
      <c r="I17" s="78">
        <v>32</v>
      </c>
      <c r="J17" s="50">
        <f t="shared" si="2"/>
        <v>0</v>
      </c>
      <c r="K17" s="50">
        <f t="shared" si="3"/>
        <v>37</v>
      </c>
      <c r="L17" s="50">
        <f t="shared" si="4"/>
        <v>5</v>
      </c>
      <c r="M17" s="50">
        <v>4</v>
      </c>
      <c r="S17" s="50">
        <v>1</v>
      </c>
    </row>
    <row r="18" spans="1:25" ht="14.25" customHeight="1" x14ac:dyDescent="0.75">
      <c r="A18" s="50">
        <v>666521</v>
      </c>
      <c r="B18" s="50" t="s">
        <v>30</v>
      </c>
      <c r="C18" s="50" t="s">
        <v>31</v>
      </c>
      <c r="E18" s="67">
        <v>0</v>
      </c>
      <c r="F18" s="50">
        <f t="shared" si="0"/>
        <v>0</v>
      </c>
      <c r="G18" s="77">
        <v>0</v>
      </c>
      <c r="H18" s="50">
        <f t="shared" si="1"/>
        <v>0</v>
      </c>
      <c r="I18" s="78">
        <v>0</v>
      </c>
      <c r="J18" s="50">
        <f t="shared" si="2"/>
        <v>0</v>
      </c>
      <c r="K18" s="50">
        <f t="shared" si="3"/>
        <v>0</v>
      </c>
      <c r="L18" s="50">
        <f t="shared" si="4"/>
        <v>0</v>
      </c>
    </row>
    <row r="19" spans="1:25" ht="14.25" customHeight="1" x14ac:dyDescent="0.75">
      <c r="A19" s="50">
        <v>666522</v>
      </c>
      <c r="B19" s="50" t="s">
        <v>32</v>
      </c>
      <c r="C19" s="50" t="s">
        <v>33</v>
      </c>
      <c r="E19" s="67">
        <v>45</v>
      </c>
      <c r="F19" s="50">
        <f t="shared" si="0"/>
        <v>45</v>
      </c>
      <c r="G19" s="77">
        <v>0</v>
      </c>
      <c r="H19" s="50">
        <f t="shared" si="1"/>
        <v>0</v>
      </c>
      <c r="I19" s="78">
        <v>80</v>
      </c>
      <c r="J19" s="50">
        <f t="shared" si="2"/>
        <v>0</v>
      </c>
      <c r="K19" s="50">
        <f t="shared" si="3"/>
        <v>125</v>
      </c>
      <c r="L19" s="50">
        <f t="shared" si="4"/>
        <v>45</v>
      </c>
      <c r="M19" s="50">
        <v>40</v>
      </c>
      <c r="S19" s="50">
        <v>5</v>
      </c>
    </row>
    <row r="20" spans="1:25" ht="14.25" customHeight="1" x14ac:dyDescent="0.75">
      <c r="A20" s="50">
        <v>666523</v>
      </c>
      <c r="B20" s="50" t="s">
        <v>34</v>
      </c>
      <c r="C20" s="50" t="s">
        <v>35</v>
      </c>
      <c r="E20" s="67">
        <v>0</v>
      </c>
      <c r="F20" s="50">
        <f t="shared" si="0"/>
        <v>0</v>
      </c>
      <c r="G20" s="77">
        <v>112</v>
      </c>
      <c r="H20" s="50">
        <f t="shared" si="1"/>
        <v>112</v>
      </c>
      <c r="I20" s="78">
        <v>28</v>
      </c>
      <c r="J20" s="50">
        <f t="shared" si="2"/>
        <v>0</v>
      </c>
      <c r="K20" s="50">
        <f t="shared" si="3"/>
        <v>140</v>
      </c>
      <c r="L20" s="50">
        <f t="shared" si="4"/>
        <v>112</v>
      </c>
      <c r="N20" s="50">
        <v>112</v>
      </c>
    </row>
    <row r="21" spans="1:25" ht="14.25" customHeight="1" x14ac:dyDescent="0.75">
      <c r="A21" s="50">
        <v>666530</v>
      </c>
      <c r="B21" s="50" t="s">
        <v>36</v>
      </c>
      <c r="C21" s="50" t="s">
        <v>37</v>
      </c>
      <c r="E21" s="67">
        <v>0</v>
      </c>
      <c r="F21" s="50">
        <f t="shared" si="0"/>
        <v>0</v>
      </c>
      <c r="G21" s="77">
        <v>0</v>
      </c>
      <c r="H21" s="50">
        <f t="shared" si="1"/>
        <v>0</v>
      </c>
      <c r="I21" s="78">
        <v>12</v>
      </c>
      <c r="J21" s="50">
        <f t="shared" si="2"/>
        <v>0</v>
      </c>
      <c r="K21" s="50">
        <f t="shared" si="3"/>
        <v>12</v>
      </c>
      <c r="L21" s="50">
        <f t="shared" si="4"/>
        <v>0</v>
      </c>
    </row>
    <row r="22" spans="1:25" ht="14.25" customHeight="1" x14ac:dyDescent="0.75">
      <c r="A22" s="50">
        <v>666531</v>
      </c>
      <c r="B22" s="50" t="s">
        <v>38</v>
      </c>
      <c r="C22" s="50" t="s">
        <v>39</v>
      </c>
      <c r="E22" s="67">
        <v>0</v>
      </c>
      <c r="F22" s="50">
        <f t="shared" si="0"/>
        <v>0</v>
      </c>
      <c r="G22" s="77">
        <v>0</v>
      </c>
      <c r="H22" s="50">
        <f t="shared" si="1"/>
        <v>0</v>
      </c>
      <c r="I22" s="78">
        <v>7</v>
      </c>
      <c r="J22" s="50">
        <f t="shared" si="2"/>
        <v>0</v>
      </c>
      <c r="K22" s="50">
        <f t="shared" si="3"/>
        <v>7</v>
      </c>
      <c r="L22" s="50">
        <f t="shared" si="4"/>
        <v>0</v>
      </c>
    </row>
    <row r="23" spans="1:25" ht="14.25" customHeight="1" x14ac:dyDescent="0.75">
      <c r="A23" s="50">
        <v>666540</v>
      </c>
      <c r="B23" s="50" t="s">
        <v>40</v>
      </c>
      <c r="C23" s="50" t="s">
        <v>40</v>
      </c>
      <c r="E23" s="67">
        <v>0</v>
      </c>
      <c r="F23" s="50">
        <f t="shared" si="0"/>
        <v>0</v>
      </c>
      <c r="G23" s="77">
        <v>199</v>
      </c>
      <c r="H23" s="50">
        <f t="shared" si="1"/>
        <v>46</v>
      </c>
      <c r="I23" s="78">
        <v>0</v>
      </c>
      <c r="J23" s="50">
        <f t="shared" si="2"/>
        <v>0</v>
      </c>
      <c r="K23" s="50">
        <f t="shared" si="3"/>
        <v>199</v>
      </c>
      <c r="L23" s="50">
        <f t="shared" si="4"/>
        <v>46</v>
      </c>
      <c r="Q23" s="50">
        <v>11</v>
      </c>
      <c r="T23" s="50">
        <v>10</v>
      </c>
      <c r="W23" s="50">
        <v>25</v>
      </c>
    </row>
    <row r="24" spans="1:25" ht="14.25" customHeight="1" x14ac:dyDescent="0.75">
      <c r="A24" s="50">
        <v>666541</v>
      </c>
      <c r="B24" s="50" t="s">
        <v>41</v>
      </c>
      <c r="C24" s="50" t="s">
        <v>41</v>
      </c>
      <c r="E24" s="67">
        <v>0</v>
      </c>
      <c r="F24" s="50">
        <f t="shared" si="0"/>
        <v>0</v>
      </c>
      <c r="G24" s="77">
        <v>65</v>
      </c>
      <c r="H24" s="50">
        <f t="shared" si="1"/>
        <v>65</v>
      </c>
      <c r="I24" s="78">
        <v>0</v>
      </c>
      <c r="J24" s="50">
        <f t="shared" si="2"/>
        <v>0</v>
      </c>
      <c r="K24" s="50">
        <f t="shared" si="3"/>
        <v>65</v>
      </c>
      <c r="L24" s="50">
        <f t="shared" si="4"/>
        <v>65</v>
      </c>
      <c r="N24" s="50">
        <v>55</v>
      </c>
      <c r="Q24" s="50">
        <v>10</v>
      </c>
    </row>
    <row r="25" spans="1:25" ht="14.25" customHeight="1" x14ac:dyDescent="0.75">
      <c r="A25" s="50">
        <v>666536</v>
      </c>
      <c r="B25" s="50" t="s">
        <v>42</v>
      </c>
      <c r="C25" s="50" t="s">
        <v>43</v>
      </c>
      <c r="E25" s="67">
        <v>19</v>
      </c>
      <c r="F25" s="50">
        <f t="shared" si="0"/>
        <v>14</v>
      </c>
      <c r="G25" s="77">
        <v>0</v>
      </c>
      <c r="H25" s="50">
        <f t="shared" si="1"/>
        <v>0</v>
      </c>
      <c r="I25" s="78">
        <v>0</v>
      </c>
      <c r="J25" s="50">
        <f t="shared" si="2"/>
        <v>0</v>
      </c>
      <c r="K25" s="50">
        <f>+E25+G25+H25</f>
        <v>19</v>
      </c>
      <c r="L25" s="50">
        <f t="shared" si="4"/>
        <v>14</v>
      </c>
      <c r="M25" s="50">
        <v>6</v>
      </c>
      <c r="S25" s="50">
        <v>1</v>
      </c>
      <c r="V25" s="50">
        <v>6</v>
      </c>
      <c r="Y25" s="50">
        <v>1</v>
      </c>
    </row>
    <row r="26" spans="1:25" ht="14.25" customHeight="1" x14ac:dyDescent="0.75">
      <c r="C26" s="71"/>
      <c r="D26" s="71"/>
      <c r="E26" s="71"/>
      <c r="F26" s="71"/>
      <c r="G26" s="71"/>
      <c r="H26" s="71"/>
      <c r="I26" s="71"/>
      <c r="J26" s="71"/>
      <c r="L26" s="71"/>
    </row>
    <row r="27" spans="1:25" ht="14.25" customHeight="1" x14ac:dyDescent="0.75">
      <c r="C27" s="71"/>
      <c r="D27" s="71"/>
      <c r="E27" s="71"/>
      <c r="F27" s="71"/>
      <c r="G27" s="71"/>
      <c r="H27" s="71"/>
      <c r="I27" s="71"/>
      <c r="J27" s="71"/>
      <c r="L27" s="71"/>
    </row>
    <row r="28" spans="1:25" ht="14.25" customHeight="1" x14ac:dyDescent="0.75">
      <c r="C28" s="71"/>
      <c r="D28" s="71"/>
      <c r="E28" s="71"/>
      <c r="F28" s="71"/>
      <c r="G28" s="71"/>
      <c r="H28" s="71"/>
      <c r="I28" s="71"/>
      <c r="J28" s="71"/>
      <c r="L28" s="71"/>
    </row>
    <row r="29" spans="1:25" ht="14.25" customHeight="1" x14ac:dyDescent="0.75">
      <c r="C29" s="71"/>
      <c r="D29" s="71"/>
      <c r="E29" s="71"/>
      <c r="F29" s="71"/>
      <c r="G29" s="71"/>
      <c r="H29" s="71"/>
      <c r="I29" s="71"/>
      <c r="J29" s="71"/>
      <c r="L29" s="71"/>
    </row>
    <row r="30" spans="1:25" ht="14.25" customHeight="1" x14ac:dyDescent="0.75">
      <c r="C30" s="71"/>
      <c r="D30" s="71"/>
      <c r="E30" s="71"/>
      <c r="F30" s="71"/>
      <c r="G30" s="71"/>
      <c r="H30" s="71"/>
      <c r="I30" s="71"/>
      <c r="J30" s="71"/>
      <c r="L30" s="71"/>
    </row>
    <row r="31" spans="1:25" ht="14.25" customHeight="1" x14ac:dyDescent="0.75">
      <c r="C31" s="71"/>
      <c r="D31" s="71"/>
      <c r="E31" s="71"/>
      <c r="F31" s="71"/>
      <c r="G31" s="71"/>
      <c r="H31" s="71"/>
      <c r="I31" s="71"/>
      <c r="J31" s="71"/>
      <c r="L31" s="71"/>
    </row>
    <row r="32" spans="1:25" ht="14.25" customHeight="1" x14ac:dyDescent="0.75">
      <c r="C32" s="72"/>
      <c r="D32" s="71"/>
      <c r="E32" s="71"/>
      <c r="F32" s="71"/>
      <c r="G32" s="71"/>
      <c r="H32" s="71"/>
      <c r="I32" s="71"/>
      <c r="J32" s="71"/>
      <c r="L32" s="71"/>
    </row>
    <row r="33" spans="3:14" ht="14.25" customHeight="1" x14ac:dyDescent="0.75">
      <c r="C33" s="71"/>
      <c r="D33" s="71"/>
      <c r="E33" s="71"/>
      <c r="F33" s="71"/>
      <c r="G33" s="71"/>
      <c r="H33" s="71"/>
      <c r="I33" s="71"/>
      <c r="J33" s="71"/>
      <c r="L33" s="71"/>
    </row>
    <row r="34" spans="3:14" ht="14.25" customHeight="1" x14ac:dyDescent="0.75">
      <c r="C34" s="71"/>
      <c r="D34" s="71"/>
      <c r="E34" s="71"/>
      <c r="F34" s="71"/>
      <c r="G34" s="71"/>
      <c r="H34" s="71"/>
      <c r="I34" s="71"/>
      <c r="J34" s="71"/>
      <c r="L34" s="71"/>
    </row>
    <row r="35" spans="3:14" ht="14.25" customHeight="1" x14ac:dyDescent="0.75">
      <c r="C35" s="71"/>
      <c r="D35" s="71"/>
      <c r="E35" s="71"/>
      <c r="F35" s="71"/>
      <c r="G35" s="71"/>
      <c r="H35" s="71"/>
      <c r="I35" s="71"/>
      <c r="J35" s="71"/>
      <c r="L35" s="71"/>
    </row>
    <row r="36" spans="3:14" ht="14.25" customHeight="1" x14ac:dyDescent="0.75">
      <c r="C36" s="71"/>
      <c r="D36" s="71"/>
      <c r="E36" s="71"/>
      <c r="F36" s="71"/>
      <c r="G36" s="71"/>
      <c r="H36" s="71"/>
      <c r="I36" s="71"/>
      <c r="J36" s="71"/>
      <c r="L36" s="71"/>
    </row>
    <row r="37" spans="3:14" ht="14.25" customHeight="1" x14ac:dyDescent="0.75">
      <c r="C37" s="71"/>
      <c r="D37" s="71"/>
      <c r="E37" s="71"/>
      <c r="F37" s="71"/>
      <c r="G37" s="71"/>
      <c r="H37" s="71"/>
      <c r="I37" s="71"/>
      <c r="J37" s="71"/>
      <c r="L37" s="71"/>
    </row>
    <row r="38" spans="3:14" ht="14.25" customHeight="1" x14ac:dyDescent="0.75">
      <c r="C38" s="71"/>
      <c r="D38" s="71"/>
      <c r="E38" s="71"/>
      <c r="F38" s="71"/>
      <c r="G38" s="71"/>
      <c r="H38" s="71"/>
      <c r="I38" s="71"/>
      <c r="J38" s="71"/>
      <c r="L38" s="71"/>
    </row>
    <row r="39" spans="3:14" ht="14.25" customHeight="1" x14ac:dyDescent="0.75">
      <c r="C39" s="71"/>
      <c r="D39" s="71"/>
      <c r="E39" s="71"/>
      <c r="F39" s="71"/>
      <c r="G39" s="71"/>
      <c r="H39" s="71"/>
      <c r="I39" s="71"/>
      <c r="J39" s="71"/>
      <c r="L39" s="71"/>
    </row>
    <row r="40" spans="3:14" ht="14.25" customHeight="1" x14ac:dyDescent="0.75">
      <c r="C40" s="71"/>
      <c r="D40" s="71"/>
      <c r="E40" s="71"/>
      <c r="F40" s="71"/>
      <c r="G40" s="71"/>
      <c r="H40" s="71"/>
      <c r="I40" s="71"/>
      <c r="J40" s="71"/>
      <c r="L40" s="71"/>
    </row>
    <row r="41" spans="3:14" ht="14.25" customHeight="1" x14ac:dyDescent="0.75">
      <c r="C41" s="71"/>
      <c r="D41" s="71"/>
      <c r="E41" s="71"/>
      <c r="F41" s="71"/>
      <c r="G41" s="71"/>
      <c r="H41" s="71"/>
      <c r="I41" s="71"/>
      <c r="J41" s="71"/>
      <c r="L41" s="71"/>
    </row>
    <row r="42" spans="3:14" ht="14.25" customHeight="1" x14ac:dyDescent="0.75">
      <c r="C42" s="71"/>
      <c r="D42" s="71"/>
      <c r="E42" s="71"/>
      <c r="F42" s="71"/>
      <c r="G42" s="71"/>
      <c r="H42" s="71"/>
      <c r="I42" s="71"/>
      <c r="J42" s="71"/>
      <c r="L42" s="71"/>
    </row>
    <row r="48" spans="3:14" ht="14.25" customHeight="1" x14ac:dyDescent="0.75">
      <c r="C48" s="50" t="s">
        <v>153</v>
      </c>
      <c r="J48" s="50" t="s">
        <v>153</v>
      </c>
      <c r="K48" s="50" t="s">
        <v>154</v>
      </c>
      <c r="L48" s="73" t="s">
        <v>155</v>
      </c>
      <c r="M48" s="50" t="s">
        <v>156</v>
      </c>
      <c r="N48" s="74" t="s">
        <v>157</v>
      </c>
    </row>
    <row r="49" spans="3:14" ht="14.25" customHeight="1" x14ac:dyDescent="0.75">
      <c r="C49" s="50" t="str">
        <f>+N2</f>
        <v>Jesus</v>
      </c>
      <c r="D49" s="75"/>
      <c r="E49" s="75"/>
      <c r="J49" s="50" t="s">
        <v>65</v>
      </c>
      <c r="K49" s="50">
        <f>SUM(E5:E22)</f>
        <v>257</v>
      </c>
      <c r="L49" s="50">
        <f>SUM(F5:F22)</f>
        <v>203</v>
      </c>
      <c r="M49" s="50">
        <f>+L49-K49</f>
        <v>-54</v>
      </c>
      <c r="N49" s="76">
        <f>+L49/K49</f>
        <v>0.78988326848249024</v>
      </c>
    </row>
    <row r="50" spans="3:14" ht="14.25" customHeight="1" x14ac:dyDescent="0.75">
      <c r="C50" s="50" t="str">
        <f>+M2</f>
        <v>Wilfredo</v>
      </c>
      <c r="D50" s="75"/>
      <c r="E50" s="75"/>
      <c r="J50" s="50" t="s">
        <v>55</v>
      </c>
      <c r="K50" s="50">
        <f>SUM(G5:G22)</f>
        <v>577</v>
      </c>
      <c r="L50" s="50">
        <f>SUM(H5:H22)</f>
        <v>577</v>
      </c>
      <c r="M50" s="50">
        <f>+L50-K50</f>
        <v>0</v>
      </c>
      <c r="N50" s="76">
        <f>+L50/K50</f>
        <v>1</v>
      </c>
    </row>
    <row r="51" spans="3:14" ht="14.25" customHeight="1" x14ac:dyDescent="0.75">
      <c r="J51" s="50" t="s">
        <v>158</v>
      </c>
      <c r="K51" s="50">
        <f>SUM(I5:I22)</f>
        <v>368</v>
      </c>
      <c r="L51" s="50">
        <f>SUM(J5:J22)</f>
        <v>0</v>
      </c>
      <c r="M51" s="50">
        <f>+L51-K51</f>
        <v>-368</v>
      </c>
      <c r="N51" s="76">
        <f>+L51/K51</f>
        <v>0</v>
      </c>
    </row>
  </sheetData>
  <conditionalFormatting sqref="F5:F25 H5:H25 J5:J25">
    <cfRule type="expression" dxfId="310" priority="6">
      <formula>#REF!=F5</formula>
    </cfRule>
    <cfRule type="expression" dxfId="309" priority="7">
      <formula>#REF!&lt;F5</formula>
    </cfRule>
    <cfRule type="expression" dxfId="308" priority="8">
      <formula>#REF!&gt;F5</formula>
    </cfRule>
  </conditionalFormatting>
  <conditionalFormatting sqref="K5:K25">
    <cfRule type="cellIs" dxfId="307" priority="2" operator="equal">
      <formula>0</formula>
    </cfRule>
  </conditionalFormatting>
  <conditionalFormatting sqref="L5:L25">
    <cfRule type="expression" dxfId="306" priority="3">
      <formula>K5=L5</formula>
    </cfRule>
    <cfRule type="expression" dxfId="305" priority="4">
      <formula>K5&lt;L5</formula>
    </cfRule>
    <cfRule type="expression" dxfId="304" priority="5">
      <formula>K5&gt;L5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71"/>
  <sheetViews>
    <sheetView topLeftCell="A35" zoomScaleNormal="100" workbookViewId="0">
      <selection activeCell="X24" sqref="X24"/>
    </sheetView>
  </sheetViews>
  <sheetFormatPr defaultColWidth="8.86328125" defaultRowHeight="14.75" x14ac:dyDescent="0.75"/>
  <cols>
    <col min="1" max="1" width="9" style="79" customWidth="1"/>
    <col min="2" max="2" width="33.453125" style="79" customWidth="1"/>
    <col min="3" max="3" width="15.6328125" style="79" hidden="1" customWidth="1"/>
    <col min="4" max="13" width="8.86328125" style="79"/>
    <col min="14" max="14" width="9.453125" style="79" customWidth="1"/>
    <col min="15" max="17" width="8.86328125" style="79"/>
    <col min="18" max="18" width="10.6328125" style="80" customWidth="1"/>
    <col min="19" max="19" width="9.1328125" style="79" hidden="1" customWidth="1"/>
    <col min="20" max="16384" width="8.86328125" style="79"/>
  </cols>
  <sheetData>
    <row r="1" spans="1:19" ht="15" customHeight="1" x14ac:dyDescent="0.75">
      <c r="A1" s="5" t="s">
        <v>159</v>
      </c>
      <c r="B1" s="5"/>
      <c r="C1" s="5"/>
      <c r="D1" s="5"/>
      <c r="E1" s="5"/>
      <c r="F1" s="81"/>
      <c r="G1" s="81"/>
      <c r="H1" s="81"/>
      <c r="I1" s="81"/>
      <c r="J1" s="81"/>
      <c r="K1" s="81"/>
      <c r="L1" s="81"/>
      <c r="M1" s="81"/>
      <c r="N1" s="81"/>
      <c r="O1" s="81"/>
      <c r="P1" s="82"/>
      <c r="Q1" s="80" t="s">
        <v>160</v>
      </c>
    </row>
    <row r="2" spans="1:19" ht="41.25" customHeight="1" x14ac:dyDescent="0.75">
      <c r="A2" s="83"/>
      <c r="B2" s="84" t="s">
        <v>56</v>
      </c>
      <c r="C2" s="85" t="s">
        <v>55</v>
      </c>
      <c r="D2" s="86" t="s">
        <v>116</v>
      </c>
      <c r="E2" s="87" t="s">
        <v>161</v>
      </c>
      <c r="F2" s="88" t="s">
        <v>162</v>
      </c>
      <c r="G2" s="86" t="s">
        <v>163</v>
      </c>
      <c r="H2" s="87" t="s">
        <v>164</v>
      </c>
      <c r="I2" s="86" t="s">
        <v>165</v>
      </c>
      <c r="J2" s="86" t="s">
        <v>166</v>
      </c>
      <c r="K2" s="89" t="s">
        <v>167</v>
      </c>
      <c r="L2" s="88" t="s">
        <v>162</v>
      </c>
      <c r="M2" s="86" t="s">
        <v>163</v>
      </c>
      <c r="N2" s="87" t="s">
        <v>164</v>
      </c>
      <c r="O2" s="86" t="s">
        <v>165</v>
      </c>
      <c r="P2" s="90" t="s">
        <v>166</v>
      </c>
      <c r="Q2" s="91"/>
      <c r="R2" s="92" t="s">
        <v>168</v>
      </c>
    </row>
    <row r="3" spans="1:19" ht="14.25" customHeight="1" x14ac:dyDescent="0.75">
      <c r="A3" s="93">
        <v>666501</v>
      </c>
      <c r="B3" s="94" t="s">
        <v>4</v>
      </c>
      <c r="C3" s="95" t="s">
        <v>5</v>
      </c>
      <c r="D3" s="96">
        <v>33</v>
      </c>
      <c r="E3" s="97">
        <f t="shared" ref="E3:E23" si="0">+D3/6</f>
        <v>5.5</v>
      </c>
      <c r="F3" s="96">
        <v>33</v>
      </c>
      <c r="G3" s="98">
        <v>12</v>
      </c>
      <c r="H3" s="96">
        <v>0</v>
      </c>
      <c r="I3" s="96">
        <v>0</v>
      </c>
      <c r="J3" s="96">
        <v>0</v>
      </c>
      <c r="K3" s="99">
        <f t="shared" ref="K3:K23" si="1">(+D3-SUM(F3:J3))/3.5</f>
        <v>-3.4285714285714284</v>
      </c>
      <c r="L3" s="96">
        <v>3</v>
      </c>
      <c r="M3" s="96">
        <v>0</v>
      </c>
      <c r="N3" s="96">
        <v>3</v>
      </c>
      <c r="O3" s="96">
        <v>0</v>
      </c>
      <c r="P3" s="100">
        <v>0</v>
      </c>
      <c r="Q3" s="101">
        <f t="shared" ref="Q3:Q22" si="2">SUM(F3:J3)+SUM(L3:P3)</f>
        <v>51</v>
      </c>
      <c r="R3" s="101">
        <f t="shared" ref="R3:R22" si="3">+D3-Q3</f>
        <v>-18</v>
      </c>
      <c r="S3" s="102">
        <f>+R3/2.25</f>
        <v>-8</v>
      </c>
    </row>
    <row r="4" spans="1:19" ht="14.25" customHeight="1" x14ac:dyDescent="0.75">
      <c r="A4" s="93">
        <v>666502</v>
      </c>
      <c r="B4" s="94" t="s">
        <v>6</v>
      </c>
      <c r="C4" s="95" t="s">
        <v>7</v>
      </c>
      <c r="D4" s="96">
        <v>0</v>
      </c>
      <c r="E4" s="97">
        <f t="shared" si="0"/>
        <v>0</v>
      </c>
      <c r="F4" s="96">
        <v>0</v>
      </c>
      <c r="G4" s="98">
        <v>0</v>
      </c>
      <c r="H4" s="96">
        <v>0</v>
      </c>
      <c r="I4" s="96">
        <v>0</v>
      </c>
      <c r="J4" s="96">
        <v>0</v>
      </c>
      <c r="K4" s="99">
        <f t="shared" si="1"/>
        <v>0</v>
      </c>
      <c r="L4" s="96">
        <v>0</v>
      </c>
      <c r="M4" s="96">
        <v>0</v>
      </c>
      <c r="N4" s="96">
        <v>0</v>
      </c>
      <c r="O4" s="96">
        <v>0</v>
      </c>
      <c r="P4" s="100">
        <v>0</v>
      </c>
      <c r="Q4" s="101">
        <f t="shared" si="2"/>
        <v>0</v>
      </c>
      <c r="R4" s="101">
        <f t="shared" si="3"/>
        <v>0</v>
      </c>
      <c r="S4" s="102">
        <f>+R4/2.25</f>
        <v>0</v>
      </c>
    </row>
    <row r="5" spans="1:19" ht="14.25" customHeight="1" x14ac:dyDescent="0.75">
      <c r="A5" s="93">
        <v>666505</v>
      </c>
      <c r="B5" s="94" t="s">
        <v>8</v>
      </c>
      <c r="C5" s="95" t="s">
        <v>9</v>
      </c>
      <c r="D5" s="96">
        <v>20</v>
      </c>
      <c r="E5" s="97">
        <f t="shared" si="0"/>
        <v>3.3333333333333335</v>
      </c>
      <c r="F5" s="96">
        <v>20</v>
      </c>
      <c r="G5" s="98">
        <v>0</v>
      </c>
      <c r="H5" s="96">
        <v>0</v>
      </c>
      <c r="I5" s="96">
        <v>0</v>
      </c>
      <c r="J5" s="96">
        <v>0</v>
      </c>
      <c r="K5" s="99">
        <f t="shared" si="1"/>
        <v>0</v>
      </c>
      <c r="L5" s="96">
        <v>0</v>
      </c>
      <c r="M5" s="96">
        <v>0</v>
      </c>
      <c r="N5" s="96">
        <v>0</v>
      </c>
      <c r="O5" s="96">
        <v>0</v>
      </c>
      <c r="P5" s="100">
        <v>0</v>
      </c>
      <c r="Q5" s="101">
        <f t="shared" si="2"/>
        <v>20</v>
      </c>
      <c r="R5" s="101">
        <f t="shared" si="3"/>
        <v>0</v>
      </c>
      <c r="S5" s="102">
        <f>+R5/2.25</f>
        <v>0</v>
      </c>
    </row>
    <row r="6" spans="1:19" ht="14.25" customHeight="1" x14ac:dyDescent="0.75">
      <c r="A6" s="93">
        <v>666506</v>
      </c>
      <c r="B6" s="94" t="s">
        <v>10</v>
      </c>
      <c r="C6" s="95" t="s">
        <v>11</v>
      </c>
      <c r="D6" s="96">
        <v>0</v>
      </c>
      <c r="E6" s="97">
        <f t="shared" si="0"/>
        <v>0</v>
      </c>
      <c r="F6" s="96">
        <v>0</v>
      </c>
      <c r="G6" s="98">
        <v>0</v>
      </c>
      <c r="H6" s="96">
        <v>0</v>
      </c>
      <c r="I6" s="96">
        <v>0</v>
      </c>
      <c r="J6" s="96">
        <v>0</v>
      </c>
      <c r="K6" s="99">
        <f t="shared" si="1"/>
        <v>0</v>
      </c>
      <c r="L6" s="96">
        <v>0</v>
      </c>
      <c r="M6" s="96">
        <v>0</v>
      </c>
      <c r="N6" s="96">
        <v>0</v>
      </c>
      <c r="O6" s="96">
        <v>0</v>
      </c>
      <c r="P6" s="100">
        <v>0</v>
      </c>
      <c r="Q6" s="101">
        <f t="shared" si="2"/>
        <v>0</v>
      </c>
      <c r="R6" s="101">
        <f t="shared" si="3"/>
        <v>0</v>
      </c>
      <c r="S6" s="102">
        <f>+R6/2.25</f>
        <v>0</v>
      </c>
    </row>
    <row r="7" spans="1:19" ht="14.25" customHeight="1" x14ac:dyDescent="0.75">
      <c r="A7" s="93">
        <v>666507</v>
      </c>
      <c r="B7" s="94" t="s">
        <v>12</v>
      </c>
      <c r="C7" s="95" t="s">
        <v>13</v>
      </c>
      <c r="D7" s="96">
        <v>60</v>
      </c>
      <c r="E7" s="97">
        <f t="shared" si="0"/>
        <v>10</v>
      </c>
      <c r="F7" s="96">
        <v>10</v>
      </c>
      <c r="G7" s="98">
        <v>9</v>
      </c>
      <c r="H7" s="96">
        <v>0</v>
      </c>
      <c r="I7" s="96">
        <v>0</v>
      </c>
      <c r="J7" s="96">
        <v>0</v>
      </c>
      <c r="K7" s="99">
        <f t="shared" si="1"/>
        <v>11.714285714285714</v>
      </c>
      <c r="L7" s="96">
        <v>18</v>
      </c>
      <c r="M7" s="96">
        <v>0</v>
      </c>
      <c r="N7" s="96">
        <v>22</v>
      </c>
      <c r="O7" s="96">
        <v>1</v>
      </c>
      <c r="P7" s="100">
        <v>0</v>
      </c>
      <c r="Q7" s="101">
        <f t="shared" si="2"/>
        <v>60</v>
      </c>
      <c r="R7" s="101">
        <f t="shared" si="3"/>
        <v>0</v>
      </c>
      <c r="S7" s="102">
        <f>+R7/2.25</f>
        <v>0</v>
      </c>
    </row>
    <row r="8" spans="1:19" ht="14.25" customHeight="1" x14ac:dyDescent="0.75">
      <c r="A8" s="93">
        <v>666509</v>
      </c>
      <c r="B8" s="94" t="s">
        <v>14</v>
      </c>
      <c r="C8" s="95" t="s">
        <v>15</v>
      </c>
      <c r="D8" s="96">
        <v>160</v>
      </c>
      <c r="E8" s="97">
        <f t="shared" si="0"/>
        <v>26.666666666666668</v>
      </c>
      <c r="F8" s="96">
        <v>9</v>
      </c>
      <c r="G8" s="98">
        <v>14</v>
      </c>
      <c r="H8" s="96">
        <v>0</v>
      </c>
      <c r="I8" s="96">
        <v>0</v>
      </c>
      <c r="J8" s="96">
        <v>0</v>
      </c>
      <c r="K8" s="99">
        <f t="shared" si="1"/>
        <v>39.142857142857146</v>
      </c>
      <c r="L8" s="96">
        <v>0</v>
      </c>
      <c r="M8" s="96">
        <v>0</v>
      </c>
      <c r="N8" s="96">
        <v>0</v>
      </c>
      <c r="O8" s="96">
        <v>0</v>
      </c>
      <c r="P8" s="100">
        <v>0</v>
      </c>
      <c r="Q8" s="101">
        <f t="shared" si="2"/>
        <v>23</v>
      </c>
      <c r="R8" s="101">
        <f t="shared" si="3"/>
        <v>137</v>
      </c>
      <c r="S8" s="102">
        <f>+R8/2</f>
        <v>68.5</v>
      </c>
    </row>
    <row r="9" spans="1:19" ht="14.25" customHeight="1" x14ac:dyDescent="0.75">
      <c r="A9" s="93">
        <v>666510</v>
      </c>
      <c r="B9" s="94" t="s">
        <v>16</v>
      </c>
      <c r="C9" s="95" t="s">
        <v>169</v>
      </c>
      <c r="D9" s="96">
        <v>0</v>
      </c>
      <c r="E9" s="97">
        <f t="shared" si="0"/>
        <v>0</v>
      </c>
      <c r="F9" s="96">
        <v>0</v>
      </c>
      <c r="G9" s="98">
        <v>0</v>
      </c>
      <c r="H9" s="96">
        <v>0</v>
      </c>
      <c r="I9" s="96">
        <v>0</v>
      </c>
      <c r="J9" s="96">
        <v>0</v>
      </c>
      <c r="K9" s="99">
        <f t="shared" si="1"/>
        <v>0</v>
      </c>
      <c r="L9" s="96">
        <v>0</v>
      </c>
      <c r="M9" s="96">
        <v>0</v>
      </c>
      <c r="N9" s="96">
        <v>0</v>
      </c>
      <c r="O9" s="96">
        <v>4</v>
      </c>
      <c r="P9" s="100">
        <v>2</v>
      </c>
      <c r="Q9" s="101">
        <f t="shared" si="2"/>
        <v>6</v>
      </c>
      <c r="R9" s="101">
        <f t="shared" si="3"/>
        <v>-6</v>
      </c>
      <c r="S9" s="102">
        <f t="shared" ref="S9:S19" si="4">+R9/2.25</f>
        <v>-2.6666666666666665</v>
      </c>
    </row>
    <row r="10" spans="1:19" ht="14.25" customHeight="1" x14ac:dyDescent="0.75">
      <c r="A10" s="93">
        <v>666511</v>
      </c>
      <c r="B10" s="94" t="s">
        <v>18</v>
      </c>
      <c r="C10" s="95" t="s">
        <v>19</v>
      </c>
      <c r="D10" s="96">
        <v>6</v>
      </c>
      <c r="E10" s="97">
        <f t="shared" si="0"/>
        <v>1</v>
      </c>
      <c r="F10" s="96">
        <v>0</v>
      </c>
      <c r="G10" s="98">
        <v>0</v>
      </c>
      <c r="H10" s="96">
        <v>0</v>
      </c>
      <c r="I10" s="96">
        <v>0</v>
      </c>
      <c r="J10" s="96">
        <v>0</v>
      </c>
      <c r="K10" s="99">
        <f t="shared" si="1"/>
        <v>1.7142857142857142</v>
      </c>
      <c r="L10" s="96">
        <v>0</v>
      </c>
      <c r="M10" s="96">
        <v>0</v>
      </c>
      <c r="N10" s="96">
        <v>0</v>
      </c>
      <c r="O10" s="96">
        <v>0</v>
      </c>
      <c r="P10" s="100">
        <v>0</v>
      </c>
      <c r="Q10" s="101">
        <f t="shared" si="2"/>
        <v>0</v>
      </c>
      <c r="R10" s="101">
        <f t="shared" si="3"/>
        <v>6</v>
      </c>
      <c r="S10" s="102">
        <f t="shared" si="4"/>
        <v>2.6666666666666665</v>
      </c>
    </row>
    <row r="11" spans="1:19" ht="14.25" customHeight="1" x14ac:dyDescent="0.75">
      <c r="A11" s="93">
        <v>666513</v>
      </c>
      <c r="B11" s="94" t="s">
        <v>20</v>
      </c>
      <c r="C11" s="95" t="s">
        <v>21</v>
      </c>
      <c r="D11" s="96">
        <v>20</v>
      </c>
      <c r="E11" s="97">
        <f t="shared" si="0"/>
        <v>3.3333333333333335</v>
      </c>
      <c r="F11" s="96">
        <v>16</v>
      </c>
      <c r="G11" s="98">
        <v>4</v>
      </c>
      <c r="H11" s="96">
        <v>0</v>
      </c>
      <c r="I11" s="96">
        <v>0</v>
      </c>
      <c r="J11" s="96">
        <v>0</v>
      </c>
      <c r="K11" s="99">
        <f t="shared" si="1"/>
        <v>0</v>
      </c>
      <c r="L11" s="96">
        <v>4</v>
      </c>
      <c r="M11" s="96">
        <v>0</v>
      </c>
      <c r="N11" s="96">
        <v>2</v>
      </c>
      <c r="O11" s="96">
        <v>0</v>
      </c>
      <c r="P11" s="100">
        <v>0</v>
      </c>
      <c r="Q11" s="101">
        <f t="shared" si="2"/>
        <v>26</v>
      </c>
      <c r="R11" s="101">
        <f t="shared" si="3"/>
        <v>-6</v>
      </c>
      <c r="S11" s="102">
        <f t="shared" si="4"/>
        <v>-2.6666666666666665</v>
      </c>
    </row>
    <row r="12" spans="1:19" ht="14.25" customHeight="1" x14ac:dyDescent="0.75">
      <c r="A12" s="93">
        <v>666516</v>
      </c>
      <c r="B12" s="94" t="s">
        <v>22</v>
      </c>
      <c r="C12" s="95" t="s">
        <v>23</v>
      </c>
      <c r="D12" s="96">
        <v>32</v>
      </c>
      <c r="E12" s="97">
        <f t="shared" si="0"/>
        <v>5.333333333333333</v>
      </c>
      <c r="F12" s="96">
        <v>14</v>
      </c>
      <c r="G12" s="98">
        <v>12</v>
      </c>
      <c r="H12" s="96">
        <v>0</v>
      </c>
      <c r="I12" s="96">
        <v>0</v>
      </c>
      <c r="J12" s="96">
        <v>0</v>
      </c>
      <c r="K12" s="99">
        <f t="shared" si="1"/>
        <v>1.7142857142857142</v>
      </c>
      <c r="L12" s="96">
        <v>4</v>
      </c>
      <c r="M12" s="96">
        <v>0</v>
      </c>
      <c r="N12" s="96">
        <v>7</v>
      </c>
      <c r="O12" s="96">
        <v>0</v>
      </c>
      <c r="P12" s="100">
        <v>0</v>
      </c>
      <c r="Q12" s="101">
        <f t="shared" si="2"/>
        <v>37</v>
      </c>
      <c r="R12" s="101">
        <f t="shared" si="3"/>
        <v>-5</v>
      </c>
      <c r="S12" s="102">
        <f t="shared" si="4"/>
        <v>-2.2222222222222223</v>
      </c>
    </row>
    <row r="13" spans="1:19" ht="14.25" customHeight="1" x14ac:dyDescent="0.75">
      <c r="A13" s="93">
        <v>666517</v>
      </c>
      <c r="B13" s="94" t="s">
        <v>24</v>
      </c>
      <c r="C13" s="95" t="s">
        <v>25</v>
      </c>
      <c r="D13" s="96">
        <v>41</v>
      </c>
      <c r="E13" s="97">
        <f t="shared" si="0"/>
        <v>6.833333333333333</v>
      </c>
      <c r="F13" s="96">
        <v>15</v>
      </c>
      <c r="G13" s="98">
        <v>15</v>
      </c>
      <c r="H13" s="96">
        <v>0</v>
      </c>
      <c r="I13" s="96">
        <v>0</v>
      </c>
      <c r="J13" s="96">
        <v>0</v>
      </c>
      <c r="K13" s="99">
        <f t="shared" si="1"/>
        <v>3.1428571428571428</v>
      </c>
      <c r="L13" s="96">
        <v>0</v>
      </c>
      <c r="M13" s="96">
        <v>0</v>
      </c>
      <c r="N13" s="96">
        <v>0</v>
      </c>
      <c r="O13" s="96">
        <v>0</v>
      </c>
      <c r="P13" s="100">
        <v>0</v>
      </c>
      <c r="Q13" s="101">
        <f t="shared" si="2"/>
        <v>30</v>
      </c>
      <c r="R13" s="101">
        <f t="shared" si="3"/>
        <v>11</v>
      </c>
      <c r="S13" s="102">
        <f t="shared" si="4"/>
        <v>4.8888888888888893</v>
      </c>
    </row>
    <row r="14" spans="1:19" ht="14.25" customHeight="1" x14ac:dyDescent="0.75">
      <c r="A14" s="93">
        <v>666518</v>
      </c>
      <c r="B14" s="94" t="s">
        <v>26</v>
      </c>
      <c r="C14" s="95" t="s">
        <v>27</v>
      </c>
      <c r="D14" s="96">
        <v>0</v>
      </c>
      <c r="E14" s="97">
        <f t="shared" si="0"/>
        <v>0</v>
      </c>
      <c r="F14" s="96">
        <v>0</v>
      </c>
      <c r="G14" s="98">
        <v>0</v>
      </c>
      <c r="H14" s="96">
        <v>0</v>
      </c>
      <c r="I14" s="96">
        <v>0</v>
      </c>
      <c r="J14" s="96">
        <v>0</v>
      </c>
      <c r="K14" s="99">
        <f t="shared" si="1"/>
        <v>0</v>
      </c>
      <c r="L14" s="96">
        <v>4</v>
      </c>
      <c r="M14" s="96">
        <v>0</v>
      </c>
      <c r="N14" s="96">
        <v>1</v>
      </c>
      <c r="O14" s="96">
        <v>0</v>
      </c>
      <c r="P14" s="100">
        <v>0</v>
      </c>
      <c r="Q14" s="101">
        <f t="shared" si="2"/>
        <v>5</v>
      </c>
      <c r="R14" s="101">
        <f t="shared" si="3"/>
        <v>-5</v>
      </c>
      <c r="S14" s="102">
        <f t="shared" si="4"/>
        <v>-2.2222222222222223</v>
      </c>
    </row>
    <row r="15" spans="1:19" ht="14.25" customHeight="1" x14ac:dyDescent="0.75">
      <c r="A15" s="93">
        <v>666519</v>
      </c>
      <c r="B15" s="94" t="s">
        <v>28</v>
      </c>
      <c r="C15" s="95" t="s">
        <v>29</v>
      </c>
      <c r="D15" s="96">
        <v>32</v>
      </c>
      <c r="E15" s="97">
        <f t="shared" si="0"/>
        <v>5.333333333333333</v>
      </c>
      <c r="F15" s="96">
        <v>14</v>
      </c>
      <c r="G15" s="98">
        <v>13</v>
      </c>
      <c r="H15" s="96">
        <v>0</v>
      </c>
      <c r="I15" s="96">
        <v>0</v>
      </c>
      <c r="J15" s="96">
        <v>0</v>
      </c>
      <c r="K15" s="99">
        <f t="shared" si="1"/>
        <v>1.4285714285714286</v>
      </c>
      <c r="L15" s="96">
        <v>0</v>
      </c>
      <c r="M15" s="96">
        <v>0</v>
      </c>
      <c r="N15" s="96">
        <v>0</v>
      </c>
      <c r="O15" s="96">
        <v>0</v>
      </c>
      <c r="P15" s="100">
        <v>0</v>
      </c>
      <c r="Q15" s="101">
        <f t="shared" si="2"/>
        <v>27</v>
      </c>
      <c r="R15" s="101">
        <f t="shared" si="3"/>
        <v>5</v>
      </c>
      <c r="S15" s="102">
        <f t="shared" si="4"/>
        <v>2.2222222222222223</v>
      </c>
    </row>
    <row r="16" spans="1:19" ht="14.25" customHeight="1" x14ac:dyDescent="0.75">
      <c r="A16" s="93">
        <v>666521</v>
      </c>
      <c r="B16" s="94" t="s">
        <v>30</v>
      </c>
      <c r="C16" s="95" t="s">
        <v>31</v>
      </c>
      <c r="D16" s="96">
        <v>0</v>
      </c>
      <c r="E16" s="97">
        <f t="shared" si="0"/>
        <v>0</v>
      </c>
      <c r="F16" s="96">
        <v>0</v>
      </c>
      <c r="G16" s="98">
        <v>0</v>
      </c>
      <c r="H16" s="96">
        <v>0</v>
      </c>
      <c r="I16" s="96">
        <v>0</v>
      </c>
      <c r="J16" s="96">
        <v>0</v>
      </c>
      <c r="K16" s="99">
        <f t="shared" si="1"/>
        <v>0</v>
      </c>
      <c r="L16" s="96">
        <v>40</v>
      </c>
      <c r="M16" s="96">
        <v>0</v>
      </c>
      <c r="N16" s="96">
        <v>5</v>
      </c>
      <c r="O16" s="96">
        <v>0</v>
      </c>
      <c r="P16" s="100">
        <v>0</v>
      </c>
      <c r="Q16" s="101">
        <f t="shared" si="2"/>
        <v>45</v>
      </c>
      <c r="R16" s="101">
        <f t="shared" si="3"/>
        <v>-45</v>
      </c>
      <c r="S16" s="102">
        <f t="shared" si="4"/>
        <v>-20</v>
      </c>
    </row>
    <row r="17" spans="1:19" ht="14.25" customHeight="1" x14ac:dyDescent="0.75">
      <c r="A17" s="93">
        <v>666522</v>
      </c>
      <c r="B17" s="94" t="s">
        <v>32</v>
      </c>
      <c r="C17" s="95" t="s">
        <v>33</v>
      </c>
      <c r="D17" s="96">
        <v>130</v>
      </c>
      <c r="E17" s="97">
        <f t="shared" si="0"/>
        <v>21.666666666666668</v>
      </c>
      <c r="F17" s="96">
        <v>45</v>
      </c>
      <c r="G17" s="98">
        <v>40</v>
      </c>
      <c r="H17" s="96">
        <v>0</v>
      </c>
      <c r="I17" s="96">
        <v>0</v>
      </c>
      <c r="J17" s="96">
        <v>0</v>
      </c>
      <c r="K17" s="99">
        <f t="shared" si="1"/>
        <v>12.857142857142858</v>
      </c>
      <c r="L17" s="96">
        <v>0</v>
      </c>
      <c r="M17" s="96">
        <v>0</v>
      </c>
      <c r="N17" s="96">
        <v>0</v>
      </c>
      <c r="O17" s="96">
        <v>0</v>
      </c>
      <c r="P17" s="100">
        <v>0</v>
      </c>
      <c r="Q17" s="101">
        <f t="shared" si="2"/>
        <v>85</v>
      </c>
      <c r="R17" s="101">
        <f t="shared" si="3"/>
        <v>45</v>
      </c>
      <c r="S17" s="102">
        <f t="shared" si="4"/>
        <v>20</v>
      </c>
    </row>
    <row r="18" spans="1:19" ht="14.25" customHeight="1" x14ac:dyDescent="0.75">
      <c r="A18" s="93">
        <v>666523</v>
      </c>
      <c r="B18" s="94" t="s">
        <v>34</v>
      </c>
      <c r="C18" s="95" t="s">
        <v>35</v>
      </c>
      <c r="D18" s="96">
        <v>0</v>
      </c>
      <c r="E18" s="97">
        <f t="shared" si="0"/>
        <v>0</v>
      </c>
      <c r="F18" s="96">
        <v>0</v>
      </c>
      <c r="G18" s="98">
        <v>0</v>
      </c>
      <c r="H18" s="96">
        <v>0</v>
      </c>
      <c r="I18" s="96">
        <v>0</v>
      </c>
      <c r="J18" s="96">
        <v>0</v>
      </c>
      <c r="K18" s="99">
        <f t="shared" si="1"/>
        <v>0</v>
      </c>
      <c r="L18" s="96">
        <v>0</v>
      </c>
      <c r="M18" s="96">
        <v>0</v>
      </c>
      <c r="N18" s="96">
        <v>0</v>
      </c>
      <c r="O18" s="96">
        <v>0</v>
      </c>
      <c r="P18" s="100">
        <v>0</v>
      </c>
      <c r="Q18" s="101">
        <f t="shared" si="2"/>
        <v>0</v>
      </c>
      <c r="R18" s="101">
        <f t="shared" si="3"/>
        <v>0</v>
      </c>
      <c r="S18" s="102">
        <f t="shared" si="4"/>
        <v>0</v>
      </c>
    </row>
    <row r="19" spans="1:19" ht="14.25" customHeight="1" x14ac:dyDescent="0.75">
      <c r="A19" s="93">
        <v>666530</v>
      </c>
      <c r="B19" s="94" t="s">
        <v>36</v>
      </c>
      <c r="C19" s="95" t="s">
        <v>37</v>
      </c>
      <c r="D19" s="96">
        <v>4</v>
      </c>
      <c r="E19" s="97">
        <f t="shared" si="0"/>
        <v>0.66666666666666663</v>
      </c>
      <c r="F19" s="96">
        <v>4</v>
      </c>
      <c r="G19" s="98">
        <v>0</v>
      </c>
      <c r="H19" s="96">
        <v>0</v>
      </c>
      <c r="I19" s="96">
        <v>0</v>
      </c>
      <c r="J19" s="96">
        <v>0</v>
      </c>
      <c r="K19" s="99">
        <f t="shared" si="1"/>
        <v>0</v>
      </c>
      <c r="L19" s="96">
        <v>0</v>
      </c>
      <c r="M19" s="96">
        <v>0</v>
      </c>
      <c r="N19" s="96">
        <v>0</v>
      </c>
      <c r="O19" s="96">
        <v>0</v>
      </c>
      <c r="P19" s="100">
        <v>0</v>
      </c>
      <c r="Q19" s="101">
        <f t="shared" si="2"/>
        <v>4</v>
      </c>
      <c r="R19" s="101">
        <f t="shared" si="3"/>
        <v>0</v>
      </c>
      <c r="S19" s="102">
        <f t="shared" si="4"/>
        <v>0</v>
      </c>
    </row>
    <row r="20" spans="1:19" ht="14.25" customHeight="1" x14ac:dyDescent="0.75">
      <c r="A20" s="93">
        <v>666531</v>
      </c>
      <c r="B20" s="94" t="s">
        <v>38</v>
      </c>
      <c r="C20" s="95" t="s">
        <v>39</v>
      </c>
      <c r="D20" s="96">
        <v>17</v>
      </c>
      <c r="E20" s="97">
        <f t="shared" si="0"/>
        <v>2.8333333333333335</v>
      </c>
      <c r="F20" s="96">
        <v>14</v>
      </c>
      <c r="G20" s="98">
        <v>3</v>
      </c>
      <c r="H20" s="96">
        <v>0</v>
      </c>
      <c r="I20" s="96">
        <v>0</v>
      </c>
      <c r="J20" s="96">
        <v>0</v>
      </c>
      <c r="K20" s="99">
        <f t="shared" si="1"/>
        <v>0</v>
      </c>
      <c r="L20" s="96">
        <v>0</v>
      </c>
      <c r="M20" s="96">
        <v>0</v>
      </c>
      <c r="N20" s="96">
        <v>0</v>
      </c>
      <c r="O20" s="96">
        <v>0</v>
      </c>
      <c r="P20" s="100">
        <v>0</v>
      </c>
      <c r="Q20" s="101">
        <f t="shared" si="2"/>
        <v>17</v>
      </c>
      <c r="R20" s="101">
        <f t="shared" si="3"/>
        <v>0</v>
      </c>
      <c r="S20" s="102"/>
    </row>
    <row r="21" spans="1:19" ht="14.25" customHeight="1" x14ac:dyDescent="0.75">
      <c r="A21" s="93">
        <v>666540</v>
      </c>
      <c r="B21" s="94" t="s">
        <v>40</v>
      </c>
      <c r="C21" s="95" t="s">
        <v>40</v>
      </c>
      <c r="D21" s="96">
        <v>0</v>
      </c>
      <c r="E21" s="97">
        <f t="shared" si="0"/>
        <v>0</v>
      </c>
      <c r="F21" s="96">
        <v>0</v>
      </c>
      <c r="G21" s="98">
        <v>0</v>
      </c>
      <c r="H21" s="96">
        <v>0</v>
      </c>
      <c r="I21" s="96">
        <v>0</v>
      </c>
      <c r="J21" s="96">
        <v>0</v>
      </c>
      <c r="K21" s="99">
        <f t="shared" si="1"/>
        <v>0</v>
      </c>
      <c r="L21" s="96">
        <v>0</v>
      </c>
      <c r="M21" s="96">
        <v>0</v>
      </c>
      <c r="N21" s="96">
        <v>0</v>
      </c>
      <c r="O21" s="96">
        <v>0</v>
      </c>
      <c r="P21" s="100">
        <v>0</v>
      </c>
      <c r="Q21" s="101">
        <f t="shared" si="2"/>
        <v>0</v>
      </c>
      <c r="R21" s="101">
        <f t="shared" si="3"/>
        <v>0</v>
      </c>
      <c r="S21" s="102"/>
    </row>
    <row r="22" spans="1:19" ht="15" customHeight="1" x14ac:dyDescent="0.75">
      <c r="A22" s="93">
        <v>666541</v>
      </c>
      <c r="B22" s="94" t="s">
        <v>41</v>
      </c>
      <c r="C22" s="103" t="s">
        <v>41</v>
      </c>
      <c r="D22" s="96">
        <v>0</v>
      </c>
      <c r="E22" s="97">
        <f t="shared" si="0"/>
        <v>0</v>
      </c>
      <c r="F22" s="104">
        <v>0</v>
      </c>
      <c r="G22" s="105">
        <v>0</v>
      </c>
      <c r="H22" s="104">
        <v>0</v>
      </c>
      <c r="I22" s="104">
        <v>0</v>
      </c>
      <c r="J22" s="104">
        <v>0</v>
      </c>
      <c r="K22" s="106">
        <f t="shared" si="1"/>
        <v>0</v>
      </c>
      <c r="L22" s="104">
        <v>0</v>
      </c>
      <c r="M22" s="104">
        <v>0</v>
      </c>
      <c r="N22" s="104">
        <v>0</v>
      </c>
      <c r="O22" s="104">
        <v>0</v>
      </c>
      <c r="P22" s="107">
        <v>0</v>
      </c>
      <c r="Q22" s="101">
        <f t="shared" si="2"/>
        <v>0</v>
      </c>
      <c r="R22" s="101">
        <f t="shared" si="3"/>
        <v>0</v>
      </c>
      <c r="S22" s="102"/>
    </row>
    <row r="23" spans="1:19" s="50" customFormat="1" ht="15" customHeight="1" x14ac:dyDescent="0.75">
      <c r="A23" s="108">
        <v>666536</v>
      </c>
      <c r="B23" s="109" t="s">
        <v>42</v>
      </c>
      <c r="C23" s="110"/>
      <c r="D23" s="104">
        <v>20</v>
      </c>
      <c r="E23" s="111">
        <f t="shared" si="0"/>
        <v>3.3333333333333335</v>
      </c>
      <c r="F23" s="104">
        <v>1</v>
      </c>
      <c r="G23" s="105">
        <v>0</v>
      </c>
      <c r="H23" s="104">
        <v>0</v>
      </c>
      <c r="I23" s="104">
        <v>0</v>
      </c>
      <c r="J23" s="104">
        <v>0</v>
      </c>
      <c r="K23" s="106">
        <f t="shared" si="1"/>
        <v>5.4285714285714288</v>
      </c>
      <c r="L23" s="104">
        <v>6</v>
      </c>
      <c r="M23" s="104">
        <v>0</v>
      </c>
      <c r="N23" s="104">
        <v>1</v>
      </c>
      <c r="O23" s="104">
        <v>6</v>
      </c>
      <c r="P23" s="107">
        <v>1</v>
      </c>
    </row>
    <row r="24" spans="1:19" s="50" customFormat="1" ht="15" customHeight="1" x14ac:dyDescent="0.75">
      <c r="A24" s="112"/>
      <c r="B24" s="113"/>
      <c r="D24" s="101"/>
      <c r="E24" s="114"/>
    </row>
    <row r="25" spans="1:19" ht="15" customHeight="1" x14ac:dyDescent="0.75">
      <c r="A25" s="4" t="str">
        <f>+A1</f>
        <v>Weeks of 1/5 &amp;1/12</v>
      </c>
      <c r="B25" s="4"/>
      <c r="C25" s="4"/>
      <c r="D25" s="4"/>
      <c r="E25" s="4"/>
      <c r="F25" s="115"/>
      <c r="G25" s="115"/>
      <c r="H25" s="115"/>
      <c r="I25" s="115"/>
      <c r="J25" s="116"/>
      <c r="K25" s="116"/>
      <c r="L25" s="116"/>
      <c r="M25" s="116"/>
      <c r="N25" s="116"/>
      <c r="O25" s="116"/>
      <c r="P25" s="117"/>
      <c r="Q25" s="101"/>
      <c r="R25" s="101"/>
    </row>
    <row r="26" spans="1:19" ht="42" customHeight="1" x14ac:dyDescent="0.75">
      <c r="A26" s="118"/>
      <c r="B26" s="119" t="s">
        <v>170</v>
      </c>
      <c r="C26" s="120" t="s">
        <v>65</v>
      </c>
      <c r="D26" s="121" t="s">
        <v>119</v>
      </c>
      <c r="E26" s="122" t="s">
        <v>171</v>
      </c>
      <c r="F26" s="88" t="s">
        <v>162</v>
      </c>
      <c r="G26" s="86" t="s">
        <v>163</v>
      </c>
      <c r="H26" s="87" t="s">
        <v>172</v>
      </c>
      <c r="I26" s="86" t="s">
        <v>165</v>
      </c>
      <c r="J26" s="123" t="s">
        <v>166</v>
      </c>
      <c r="K26" s="124" t="str">
        <f>+K2</f>
        <v>2nd wk daily goals</v>
      </c>
      <c r="L26" s="125" t="s">
        <v>162</v>
      </c>
      <c r="M26" s="86" t="s">
        <v>163</v>
      </c>
      <c r="N26" s="126" t="s">
        <v>172</v>
      </c>
      <c r="O26" s="86" t="s">
        <v>165</v>
      </c>
      <c r="P26" s="90" t="s">
        <v>166</v>
      </c>
      <c r="Q26" s="101"/>
      <c r="R26" s="92" t="s">
        <v>168</v>
      </c>
    </row>
    <row r="27" spans="1:19" ht="15" customHeight="1" x14ac:dyDescent="0.75">
      <c r="A27" s="93">
        <v>666501</v>
      </c>
      <c r="B27" s="94" t="s">
        <v>4</v>
      </c>
      <c r="C27" s="127" t="s">
        <v>5</v>
      </c>
      <c r="D27" s="128">
        <v>300</v>
      </c>
      <c r="E27" s="129">
        <f t="shared" ref="E27:E47" si="5">+D27/7</f>
        <v>42.857142857142854</v>
      </c>
      <c r="F27" s="96">
        <v>51</v>
      </c>
      <c r="G27" s="96">
        <v>51</v>
      </c>
      <c r="H27" s="96">
        <v>48</v>
      </c>
      <c r="I27" s="96">
        <v>0</v>
      </c>
      <c r="J27" s="130">
        <v>0</v>
      </c>
      <c r="K27" s="131">
        <f t="shared" ref="K27:K47" si="6">(+D27-SUM(F27:J27))/4</f>
        <v>37.5</v>
      </c>
      <c r="L27" s="132">
        <v>150</v>
      </c>
      <c r="M27" s="96">
        <v>0</v>
      </c>
      <c r="N27" s="96">
        <v>0</v>
      </c>
      <c r="O27" s="96">
        <v>0</v>
      </c>
      <c r="P27" s="100">
        <v>0</v>
      </c>
      <c r="Q27" s="133">
        <f t="shared" ref="Q27:Q45" si="7">SUM(F27:J27)+SUM(L27:P27)</f>
        <v>300</v>
      </c>
      <c r="R27" s="101">
        <f t="shared" ref="R27:R45" si="8">+D27-Q27</f>
        <v>0</v>
      </c>
      <c r="S27" s="102">
        <f t="shared" ref="S27:S36" si="9">+R27/3</f>
        <v>0</v>
      </c>
    </row>
    <row r="28" spans="1:19" ht="15" customHeight="1" x14ac:dyDescent="0.75">
      <c r="A28" s="93">
        <v>666502</v>
      </c>
      <c r="B28" s="94" t="s">
        <v>6</v>
      </c>
      <c r="C28" s="127" t="s">
        <v>7</v>
      </c>
      <c r="D28" s="128">
        <v>150</v>
      </c>
      <c r="E28" s="129">
        <f t="shared" si="5"/>
        <v>21.428571428571427</v>
      </c>
      <c r="F28" s="96">
        <v>11</v>
      </c>
      <c r="G28" s="96">
        <v>10</v>
      </c>
      <c r="H28" s="96">
        <v>14</v>
      </c>
      <c r="I28" s="96">
        <v>0</v>
      </c>
      <c r="J28" s="130">
        <v>0</v>
      </c>
      <c r="K28" s="131">
        <f t="shared" si="6"/>
        <v>28.75</v>
      </c>
      <c r="L28" s="132">
        <v>17</v>
      </c>
      <c r="M28" s="96">
        <v>33</v>
      </c>
      <c r="N28" s="96">
        <v>18</v>
      </c>
      <c r="O28" s="96">
        <v>47</v>
      </c>
      <c r="P28" s="100">
        <v>0</v>
      </c>
      <c r="Q28" s="101">
        <f t="shared" si="7"/>
        <v>150</v>
      </c>
      <c r="R28" s="101">
        <f t="shared" si="8"/>
        <v>0</v>
      </c>
      <c r="S28" s="102">
        <f t="shared" si="9"/>
        <v>0</v>
      </c>
    </row>
    <row r="29" spans="1:19" ht="15" customHeight="1" x14ac:dyDescent="0.75">
      <c r="A29" s="93">
        <v>666505</v>
      </c>
      <c r="B29" s="94" t="s">
        <v>8</v>
      </c>
      <c r="C29" s="127" t="s">
        <v>9</v>
      </c>
      <c r="D29" s="128">
        <v>0</v>
      </c>
      <c r="E29" s="129">
        <f t="shared" si="5"/>
        <v>0</v>
      </c>
      <c r="F29" s="96">
        <v>0</v>
      </c>
      <c r="G29" s="96">
        <v>0</v>
      </c>
      <c r="H29" s="96">
        <v>0</v>
      </c>
      <c r="I29" s="96">
        <v>0</v>
      </c>
      <c r="J29" s="130">
        <v>0</v>
      </c>
      <c r="K29" s="131">
        <f t="shared" si="6"/>
        <v>0</v>
      </c>
      <c r="L29" s="132">
        <v>0</v>
      </c>
      <c r="M29" s="96">
        <v>0</v>
      </c>
      <c r="N29" s="96">
        <v>0</v>
      </c>
      <c r="O29" s="96">
        <v>0</v>
      </c>
      <c r="P29" s="100">
        <v>0</v>
      </c>
      <c r="Q29" s="101">
        <f t="shared" si="7"/>
        <v>0</v>
      </c>
      <c r="R29" s="101">
        <f t="shared" si="8"/>
        <v>0</v>
      </c>
      <c r="S29" s="102">
        <f t="shared" si="9"/>
        <v>0</v>
      </c>
    </row>
    <row r="30" spans="1:19" ht="15" customHeight="1" x14ac:dyDescent="0.75">
      <c r="A30" s="93">
        <v>666506</v>
      </c>
      <c r="B30" s="94" t="s">
        <v>10</v>
      </c>
      <c r="C30" s="127" t="s">
        <v>11</v>
      </c>
      <c r="D30" s="128">
        <v>200</v>
      </c>
      <c r="E30" s="129">
        <f t="shared" si="5"/>
        <v>28.571428571428573</v>
      </c>
      <c r="F30" s="96">
        <v>0</v>
      </c>
      <c r="G30" s="96">
        <v>0</v>
      </c>
      <c r="H30" s="96">
        <v>0</v>
      </c>
      <c r="I30" s="96">
        <v>0</v>
      </c>
      <c r="J30" s="130">
        <v>0</v>
      </c>
      <c r="K30" s="131">
        <f t="shared" si="6"/>
        <v>50</v>
      </c>
      <c r="L30" s="132">
        <v>20</v>
      </c>
      <c r="M30" s="96">
        <v>74</v>
      </c>
      <c r="N30" s="96">
        <v>46</v>
      </c>
      <c r="O30" s="96">
        <v>60</v>
      </c>
      <c r="P30" s="100">
        <v>0</v>
      </c>
      <c r="Q30" s="101">
        <f t="shared" si="7"/>
        <v>200</v>
      </c>
      <c r="R30" s="101">
        <f t="shared" si="8"/>
        <v>0</v>
      </c>
      <c r="S30" s="102">
        <f t="shared" si="9"/>
        <v>0</v>
      </c>
    </row>
    <row r="31" spans="1:19" ht="15" customHeight="1" x14ac:dyDescent="0.75">
      <c r="A31" s="93">
        <v>666507</v>
      </c>
      <c r="B31" s="94" t="s">
        <v>12</v>
      </c>
      <c r="C31" s="127" t="s">
        <v>13</v>
      </c>
      <c r="D31" s="128">
        <v>0</v>
      </c>
      <c r="E31" s="129">
        <f t="shared" si="5"/>
        <v>0</v>
      </c>
      <c r="F31" s="96">
        <v>0</v>
      </c>
      <c r="G31" s="96">
        <v>0</v>
      </c>
      <c r="H31" s="96">
        <v>0</v>
      </c>
      <c r="I31" s="96">
        <v>0</v>
      </c>
      <c r="J31" s="130">
        <v>0</v>
      </c>
      <c r="K31" s="131">
        <f t="shared" si="6"/>
        <v>0</v>
      </c>
      <c r="L31" s="132">
        <v>0</v>
      </c>
      <c r="M31" s="96">
        <v>0</v>
      </c>
      <c r="N31" s="96">
        <v>0</v>
      </c>
      <c r="O31" s="96">
        <v>0</v>
      </c>
      <c r="P31" s="100">
        <v>0</v>
      </c>
      <c r="Q31" s="101">
        <f t="shared" si="7"/>
        <v>0</v>
      </c>
      <c r="R31" s="101">
        <f t="shared" si="8"/>
        <v>0</v>
      </c>
      <c r="S31" s="102">
        <f t="shared" si="9"/>
        <v>0</v>
      </c>
    </row>
    <row r="32" spans="1:19" ht="15" customHeight="1" x14ac:dyDescent="0.75">
      <c r="A32" s="93">
        <v>666509</v>
      </c>
      <c r="B32" s="94" t="s">
        <v>14</v>
      </c>
      <c r="C32" s="127" t="s">
        <v>15</v>
      </c>
      <c r="D32" s="128">
        <v>0</v>
      </c>
      <c r="E32" s="129">
        <f t="shared" si="5"/>
        <v>0</v>
      </c>
      <c r="F32" s="96">
        <v>0</v>
      </c>
      <c r="G32" s="96">
        <v>0</v>
      </c>
      <c r="H32" s="96">
        <v>0</v>
      </c>
      <c r="I32" s="96">
        <v>0</v>
      </c>
      <c r="J32" s="130">
        <v>0</v>
      </c>
      <c r="K32" s="131">
        <f t="shared" si="6"/>
        <v>0</v>
      </c>
      <c r="L32" s="132">
        <v>0</v>
      </c>
      <c r="M32" s="96">
        <v>0</v>
      </c>
      <c r="N32" s="96">
        <v>0</v>
      </c>
      <c r="O32" s="96">
        <v>0</v>
      </c>
      <c r="P32" s="100">
        <v>0</v>
      </c>
      <c r="Q32" s="101">
        <f t="shared" si="7"/>
        <v>0</v>
      </c>
      <c r="R32" s="101">
        <f t="shared" si="8"/>
        <v>0</v>
      </c>
      <c r="S32" s="102">
        <f t="shared" si="9"/>
        <v>0</v>
      </c>
    </row>
    <row r="33" spans="1:24" ht="15" customHeight="1" x14ac:dyDescent="0.75">
      <c r="A33" s="93">
        <v>666510</v>
      </c>
      <c r="B33" s="94" t="s">
        <v>16</v>
      </c>
      <c r="C33" s="127" t="s">
        <v>169</v>
      </c>
      <c r="D33" s="128">
        <v>0</v>
      </c>
      <c r="E33" s="129">
        <f t="shared" si="5"/>
        <v>0</v>
      </c>
      <c r="F33" s="96">
        <v>0</v>
      </c>
      <c r="G33" s="96">
        <v>0</v>
      </c>
      <c r="H33" s="96">
        <v>0</v>
      </c>
      <c r="I33" s="96">
        <v>0</v>
      </c>
      <c r="J33" s="130">
        <v>0</v>
      </c>
      <c r="K33" s="131">
        <f t="shared" si="6"/>
        <v>0</v>
      </c>
      <c r="L33" s="132">
        <v>0</v>
      </c>
      <c r="M33" s="96">
        <v>0</v>
      </c>
      <c r="N33" s="96">
        <v>0</v>
      </c>
      <c r="O33" s="96">
        <v>0</v>
      </c>
      <c r="P33" s="100">
        <v>0</v>
      </c>
      <c r="Q33" s="101">
        <f t="shared" si="7"/>
        <v>0</v>
      </c>
      <c r="R33" s="101">
        <f t="shared" si="8"/>
        <v>0</v>
      </c>
      <c r="S33" s="102">
        <f t="shared" si="9"/>
        <v>0</v>
      </c>
    </row>
    <row r="34" spans="1:24" ht="15" customHeight="1" x14ac:dyDescent="0.75">
      <c r="A34" s="93">
        <v>666511</v>
      </c>
      <c r="B34" s="94" t="s">
        <v>18</v>
      </c>
      <c r="C34" s="127" t="s">
        <v>19</v>
      </c>
      <c r="D34" s="128">
        <v>0</v>
      </c>
      <c r="E34" s="129">
        <f t="shared" si="5"/>
        <v>0</v>
      </c>
      <c r="F34" s="96">
        <v>0</v>
      </c>
      <c r="G34" s="96">
        <v>0</v>
      </c>
      <c r="H34" s="96">
        <v>0</v>
      </c>
      <c r="I34" s="96">
        <v>0</v>
      </c>
      <c r="J34" s="130">
        <v>0</v>
      </c>
      <c r="K34" s="131">
        <f t="shared" si="6"/>
        <v>0</v>
      </c>
      <c r="L34" s="132">
        <v>0</v>
      </c>
      <c r="M34" s="96">
        <v>0</v>
      </c>
      <c r="N34" s="96">
        <v>0</v>
      </c>
      <c r="O34" s="96">
        <v>0</v>
      </c>
      <c r="P34" s="100">
        <v>0</v>
      </c>
      <c r="Q34" s="101">
        <f t="shared" si="7"/>
        <v>0</v>
      </c>
      <c r="R34" s="101">
        <f t="shared" si="8"/>
        <v>0</v>
      </c>
      <c r="S34" s="102">
        <f t="shared" si="9"/>
        <v>0</v>
      </c>
    </row>
    <row r="35" spans="1:24" ht="15" customHeight="1" x14ac:dyDescent="0.75">
      <c r="A35" s="93">
        <v>666513</v>
      </c>
      <c r="B35" s="94" t="s">
        <v>20</v>
      </c>
      <c r="C35" s="127" t="s">
        <v>21</v>
      </c>
      <c r="D35" s="128">
        <v>0</v>
      </c>
      <c r="E35" s="129">
        <f t="shared" si="5"/>
        <v>0</v>
      </c>
      <c r="F35" s="96">
        <v>0</v>
      </c>
      <c r="G35" s="96">
        <v>0</v>
      </c>
      <c r="H35" s="96">
        <v>0</v>
      </c>
      <c r="I35" s="96">
        <v>0</v>
      </c>
      <c r="J35" s="130">
        <v>0</v>
      </c>
      <c r="K35" s="131">
        <f t="shared" si="6"/>
        <v>0</v>
      </c>
      <c r="L35" s="132">
        <v>0</v>
      </c>
      <c r="M35" s="96">
        <v>0</v>
      </c>
      <c r="N35" s="96">
        <v>0</v>
      </c>
      <c r="O35" s="96">
        <v>0</v>
      </c>
      <c r="P35" s="100">
        <v>0</v>
      </c>
      <c r="Q35" s="101">
        <f t="shared" si="7"/>
        <v>0</v>
      </c>
      <c r="R35" s="101">
        <f t="shared" si="8"/>
        <v>0</v>
      </c>
      <c r="S35" s="102">
        <f t="shared" si="9"/>
        <v>0</v>
      </c>
    </row>
    <row r="36" spans="1:24" ht="15" customHeight="1" x14ac:dyDescent="0.75">
      <c r="A36" s="93">
        <v>666516</v>
      </c>
      <c r="B36" s="94" t="s">
        <v>22</v>
      </c>
      <c r="C36" s="127" t="s">
        <v>23</v>
      </c>
      <c r="D36" s="128">
        <v>0</v>
      </c>
      <c r="E36" s="129">
        <f t="shared" si="5"/>
        <v>0</v>
      </c>
      <c r="F36" s="96">
        <v>0</v>
      </c>
      <c r="G36" s="96">
        <v>0</v>
      </c>
      <c r="H36" s="96">
        <v>0</v>
      </c>
      <c r="I36" s="96">
        <v>0</v>
      </c>
      <c r="J36" s="130">
        <v>0</v>
      </c>
      <c r="K36" s="131">
        <f t="shared" si="6"/>
        <v>0</v>
      </c>
      <c r="L36" s="132">
        <v>0</v>
      </c>
      <c r="M36" s="96">
        <v>0</v>
      </c>
      <c r="N36" s="96">
        <v>0</v>
      </c>
      <c r="O36" s="96">
        <v>0</v>
      </c>
      <c r="P36" s="100">
        <v>0</v>
      </c>
      <c r="Q36" s="101">
        <f t="shared" si="7"/>
        <v>0</v>
      </c>
      <c r="R36" s="101">
        <f t="shared" si="8"/>
        <v>0</v>
      </c>
      <c r="S36" s="102">
        <f t="shared" si="9"/>
        <v>0</v>
      </c>
    </row>
    <row r="37" spans="1:24" ht="15" customHeight="1" x14ac:dyDescent="0.75">
      <c r="A37" s="93">
        <v>666517</v>
      </c>
      <c r="B37" s="94" t="s">
        <v>24</v>
      </c>
      <c r="C37" s="127" t="s">
        <v>25</v>
      </c>
      <c r="D37" s="128">
        <v>0</v>
      </c>
      <c r="E37" s="129">
        <f t="shared" si="5"/>
        <v>0</v>
      </c>
      <c r="F37" s="96">
        <v>0</v>
      </c>
      <c r="G37" s="96">
        <v>0</v>
      </c>
      <c r="H37" s="96">
        <v>0</v>
      </c>
      <c r="I37" s="96">
        <v>0</v>
      </c>
      <c r="J37" s="130">
        <v>0</v>
      </c>
      <c r="K37" s="131">
        <f t="shared" si="6"/>
        <v>0</v>
      </c>
      <c r="L37" s="132">
        <v>0</v>
      </c>
      <c r="M37" s="96">
        <v>0</v>
      </c>
      <c r="N37" s="96">
        <v>0</v>
      </c>
      <c r="O37" s="96">
        <v>0</v>
      </c>
      <c r="P37" s="100">
        <v>0</v>
      </c>
      <c r="Q37" s="101">
        <f t="shared" si="7"/>
        <v>0</v>
      </c>
      <c r="R37" s="101">
        <f t="shared" si="8"/>
        <v>0</v>
      </c>
      <c r="S37" s="102">
        <f>+R37/2</f>
        <v>0</v>
      </c>
    </row>
    <row r="38" spans="1:24" ht="15" customHeight="1" x14ac:dyDescent="0.75">
      <c r="A38" s="93">
        <v>666518</v>
      </c>
      <c r="B38" s="94" t="s">
        <v>26</v>
      </c>
      <c r="C38" s="127" t="s">
        <v>27</v>
      </c>
      <c r="D38" s="128">
        <v>0</v>
      </c>
      <c r="E38" s="129">
        <f t="shared" si="5"/>
        <v>0</v>
      </c>
      <c r="F38" s="96">
        <v>0</v>
      </c>
      <c r="G38" s="96">
        <v>0</v>
      </c>
      <c r="H38" s="96">
        <v>0</v>
      </c>
      <c r="I38" s="96">
        <v>0</v>
      </c>
      <c r="J38" s="130">
        <v>0</v>
      </c>
      <c r="K38" s="131">
        <f t="shared" si="6"/>
        <v>0</v>
      </c>
      <c r="L38" s="132">
        <v>0</v>
      </c>
      <c r="M38" s="96">
        <v>0</v>
      </c>
      <c r="N38" s="96">
        <v>0</v>
      </c>
      <c r="O38" s="96">
        <v>0</v>
      </c>
      <c r="P38" s="100">
        <v>0</v>
      </c>
      <c r="Q38" s="101">
        <f t="shared" si="7"/>
        <v>0</v>
      </c>
      <c r="R38" s="101">
        <f t="shared" si="8"/>
        <v>0</v>
      </c>
      <c r="S38" s="102">
        <f>+R38/3</f>
        <v>0</v>
      </c>
    </row>
    <row r="39" spans="1:24" ht="15" customHeight="1" x14ac:dyDescent="0.75">
      <c r="A39" s="93">
        <v>666519</v>
      </c>
      <c r="B39" s="94" t="s">
        <v>28</v>
      </c>
      <c r="C39" s="127" t="s">
        <v>29</v>
      </c>
      <c r="D39" s="128">
        <v>0</v>
      </c>
      <c r="E39" s="129">
        <f t="shared" si="5"/>
        <v>0</v>
      </c>
      <c r="F39" s="96">
        <v>0</v>
      </c>
      <c r="G39" s="96">
        <v>0</v>
      </c>
      <c r="H39" s="96">
        <v>0</v>
      </c>
      <c r="I39" s="96">
        <v>0</v>
      </c>
      <c r="J39" s="130">
        <v>0</v>
      </c>
      <c r="K39" s="131">
        <f t="shared" si="6"/>
        <v>0</v>
      </c>
      <c r="L39" s="132">
        <v>0</v>
      </c>
      <c r="M39" s="96">
        <v>0</v>
      </c>
      <c r="N39" s="96">
        <v>0</v>
      </c>
      <c r="O39" s="96">
        <v>0</v>
      </c>
      <c r="P39" s="100">
        <v>0</v>
      </c>
      <c r="Q39" s="101">
        <f t="shared" si="7"/>
        <v>0</v>
      </c>
      <c r="R39" s="101">
        <f t="shared" si="8"/>
        <v>0</v>
      </c>
      <c r="S39" s="102"/>
    </row>
    <row r="40" spans="1:24" ht="15" customHeight="1" x14ac:dyDescent="0.75">
      <c r="A40" s="93">
        <v>666521</v>
      </c>
      <c r="B40" s="94" t="s">
        <v>30</v>
      </c>
      <c r="C40" s="127" t="s">
        <v>31</v>
      </c>
      <c r="D40" s="128">
        <v>0</v>
      </c>
      <c r="E40" s="129">
        <f t="shared" si="5"/>
        <v>0</v>
      </c>
      <c r="F40" s="96">
        <v>0</v>
      </c>
      <c r="G40" s="96">
        <v>0</v>
      </c>
      <c r="H40" s="96">
        <v>0</v>
      </c>
      <c r="I40" s="96">
        <v>0</v>
      </c>
      <c r="J40" s="130">
        <v>0</v>
      </c>
      <c r="K40" s="131">
        <f t="shared" si="6"/>
        <v>0</v>
      </c>
      <c r="L40" s="132">
        <v>0</v>
      </c>
      <c r="M40" s="96">
        <v>0</v>
      </c>
      <c r="N40" s="96">
        <v>0</v>
      </c>
      <c r="O40" s="96">
        <v>0</v>
      </c>
      <c r="P40" s="100">
        <v>0</v>
      </c>
      <c r="Q40" s="101">
        <f t="shared" si="7"/>
        <v>0</v>
      </c>
      <c r="R40" s="101">
        <f t="shared" si="8"/>
        <v>0</v>
      </c>
      <c r="S40" s="102"/>
    </row>
    <row r="41" spans="1:24" ht="15" customHeight="1" x14ac:dyDescent="0.75">
      <c r="A41" s="93">
        <v>666522</v>
      </c>
      <c r="B41" s="94" t="s">
        <v>32</v>
      </c>
      <c r="C41" s="127" t="s">
        <v>33</v>
      </c>
      <c r="D41" s="128">
        <v>190</v>
      </c>
      <c r="E41" s="129">
        <f t="shared" si="5"/>
        <v>27.142857142857142</v>
      </c>
      <c r="F41" s="96">
        <v>115</v>
      </c>
      <c r="G41" s="96">
        <v>45</v>
      </c>
      <c r="H41" s="96">
        <v>30</v>
      </c>
      <c r="I41" s="96">
        <v>0</v>
      </c>
      <c r="J41" s="130">
        <v>0</v>
      </c>
      <c r="K41" s="131">
        <f t="shared" si="6"/>
        <v>0</v>
      </c>
      <c r="L41" s="132">
        <v>112</v>
      </c>
      <c r="M41" s="96">
        <v>0</v>
      </c>
      <c r="N41" s="96">
        <v>0</v>
      </c>
      <c r="O41" s="96">
        <v>0</v>
      </c>
      <c r="P41" s="100">
        <v>0</v>
      </c>
      <c r="Q41" s="101">
        <f t="shared" si="7"/>
        <v>302</v>
      </c>
      <c r="R41" s="101">
        <f t="shared" si="8"/>
        <v>-112</v>
      </c>
      <c r="S41" s="102"/>
    </row>
    <row r="42" spans="1:24" ht="15" customHeight="1" x14ac:dyDescent="0.75">
      <c r="A42" s="93">
        <v>666523</v>
      </c>
      <c r="B42" s="94" t="s">
        <v>34</v>
      </c>
      <c r="C42" s="127" t="s">
        <v>35</v>
      </c>
      <c r="D42" s="128">
        <v>112</v>
      </c>
      <c r="E42" s="129">
        <f t="shared" si="5"/>
        <v>16</v>
      </c>
      <c r="F42" s="96">
        <v>0</v>
      </c>
      <c r="G42" s="96">
        <v>0</v>
      </c>
      <c r="H42" s="96">
        <v>0</v>
      </c>
      <c r="I42" s="96">
        <v>0</v>
      </c>
      <c r="J42" s="130">
        <v>0</v>
      </c>
      <c r="K42" s="131">
        <f t="shared" si="6"/>
        <v>28</v>
      </c>
      <c r="L42" s="132">
        <v>0</v>
      </c>
      <c r="M42" s="96">
        <v>0</v>
      </c>
      <c r="N42" s="96">
        <v>0</v>
      </c>
      <c r="O42" s="96">
        <v>0</v>
      </c>
      <c r="P42" s="100">
        <v>0</v>
      </c>
      <c r="Q42" s="101">
        <f t="shared" si="7"/>
        <v>0</v>
      </c>
      <c r="R42" s="101">
        <f t="shared" si="8"/>
        <v>112</v>
      </c>
      <c r="S42" s="102"/>
    </row>
    <row r="43" spans="1:24" ht="15" customHeight="1" x14ac:dyDescent="0.75">
      <c r="A43" s="93">
        <v>666530</v>
      </c>
      <c r="B43" s="94" t="s">
        <v>36</v>
      </c>
      <c r="C43" s="127" t="s">
        <v>37</v>
      </c>
      <c r="D43" s="128">
        <v>0</v>
      </c>
      <c r="E43" s="129">
        <f t="shared" si="5"/>
        <v>0</v>
      </c>
      <c r="F43" s="96">
        <v>0</v>
      </c>
      <c r="G43" s="96">
        <v>0</v>
      </c>
      <c r="H43" s="96">
        <v>0</v>
      </c>
      <c r="I43" s="96">
        <v>0</v>
      </c>
      <c r="J43" s="130">
        <v>0</v>
      </c>
      <c r="K43" s="131">
        <f t="shared" si="6"/>
        <v>0</v>
      </c>
      <c r="L43" s="132">
        <v>0</v>
      </c>
      <c r="M43" s="96">
        <v>0</v>
      </c>
      <c r="N43" s="96">
        <v>0</v>
      </c>
      <c r="O43" s="96">
        <v>0</v>
      </c>
      <c r="P43" s="100">
        <v>0</v>
      </c>
      <c r="Q43" s="101">
        <f t="shared" si="7"/>
        <v>0</v>
      </c>
      <c r="R43" s="101">
        <f t="shared" si="8"/>
        <v>0</v>
      </c>
      <c r="S43" s="102"/>
    </row>
    <row r="44" spans="1:24" ht="15" customHeight="1" x14ac:dyDescent="0.75">
      <c r="A44" s="93">
        <v>666531</v>
      </c>
      <c r="B44" s="94" t="s">
        <v>38</v>
      </c>
      <c r="C44" s="127" t="s">
        <v>39</v>
      </c>
      <c r="D44" s="128">
        <v>0</v>
      </c>
      <c r="E44" s="129">
        <f t="shared" si="5"/>
        <v>0</v>
      </c>
      <c r="F44" s="96">
        <v>0</v>
      </c>
      <c r="G44" s="96">
        <v>0</v>
      </c>
      <c r="H44" s="96">
        <v>0</v>
      </c>
      <c r="I44" s="96">
        <v>0</v>
      </c>
      <c r="J44" s="130">
        <v>0</v>
      </c>
      <c r="K44" s="131">
        <f t="shared" si="6"/>
        <v>0</v>
      </c>
      <c r="L44" s="132">
        <v>0</v>
      </c>
      <c r="M44" s="96">
        <v>11</v>
      </c>
      <c r="N44" s="96">
        <v>10</v>
      </c>
      <c r="O44" s="96">
        <v>25</v>
      </c>
      <c r="P44" s="100">
        <v>0</v>
      </c>
      <c r="Q44" s="101">
        <f t="shared" si="7"/>
        <v>46</v>
      </c>
      <c r="R44" s="101">
        <f t="shared" si="8"/>
        <v>-46</v>
      </c>
      <c r="S44" s="102">
        <f>+R44/3</f>
        <v>-15.333333333333334</v>
      </c>
    </row>
    <row r="45" spans="1:24" ht="15" customHeight="1" x14ac:dyDescent="0.75">
      <c r="A45" s="93">
        <v>666540</v>
      </c>
      <c r="B45" s="94" t="s">
        <v>40</v>
      </c>
      <c r="C45" s="127" t="s">
        <v>40</v>
      </c>
      <c r="D45" s="128">
        <v>240</v>
      </c>
      <c r="E45" s="129">
        <f t="shared" si="5"/>
        <v>34.285714285714285</v>
      </c>
      <c r="F45" s="96">
        <v>20</v>
      </c>
      <c r="G45" s="96">
        <v>17</v>
      </c>
      <c r="H45" s="96">
        <v>4</v>
      </c>
      <c r="I45" s="96">
        <v>0</v>
      </c>
      <c r="J45" s="130">
        <v>0</v>
      </c>
      <c r="K45" s="131">
        <f t="shared" si="6"/>
        <v>49.75</v>
      </c>
      <c r="L45" s="132">
        <v>0</v>
      </c>
      <c r="M45" s="96">
        <v>11</v>
      </c>
      <c r="N45" s="96">
        <v>10</v>
      </c>
      <c r="O45" s="96">
        <v>25</v>
      </c>
      <c r="P45" s="100">
        <v>0</v>
      </c>
      <c r="Q45" s="101">
        <f t="shared" si="7"/>
        <v>87</v>
      </c>
      <c r="R45" s="101">
        <f t="shared" si="8"/>
        <v>153</v>
      </c>
      <c r="S45" s="102">
        <f>+R45/3</f>
        <v>51</v>
      </c>
    </row>
    <row r="46" spans="1:24" ht="15" customHeight="1" x14ac:dyDescent="0.75">
      <c r="A46" s="93">
        <v>666541</v>
      </c>
      <c r="B46" s="94" t="s">
        <v>41</v>
      </c>
      <c r="C46" s="127"/>
      <c r="D46" s="128">
        <v>240</v>
      </c>
      <c r="E46" s="129">
        <f t="shared" si="5"/>
        <v>34.285714285714285</v>
      </c>
      <c r="F46" s="96">
        <v>51</v>
      </c>
      <c r="G46" s="96">
        <v>67</v>
      </c>
      <c r="H46" s="96">
        <v>57</v>
      </c>
      <c r="I46" s="96">
        <v>0</v>
      </c>
      <c r="J46" s="130">
        <v>0</v>
      </c>
      <c r="K46" s="131">
        <f t="shared" si="6"/>
        <v>16.25</v>
      </c>
      <c r="L46" s="132">
        <v>55</v>
      </c>
      <c r="M46" s="96">
        <v>10</v>
      </c>
      <c r="N46" s="96">
        <v>0</v>
      </c>
      <c r="O46" s="96">
        <v>0</v>
      </c>
      <c r="P46" s="100">
        <v>0</v>
      </c>
      <c r="Q46" s="101"/>
      <c r="R46" s="101"/>
      <c r="S46" s="102"/>
    </row>
    <row r="47" spans="1:24" ht="15" customHeight="1" x14ac:dyDescent="0.75">
      <c r="A47" s="93">
        <v>666536</v>
      </c>
      <c r="B47" s="94" t="s">
        <v>42</v>
      </c>
      <c r="C47" s="134" t="s">
        <v>41</v>
      </c>
      <c r="D47" s="128">
        <v>0</v>
      </c>
      <c r="E47" s="129">
        <f t="shared" si="5"/>
        <v>0</v>
      </c>
      <c r="F47" s="96">
        <v>0</v>
      </c>
      <c r="G47" s="96">
        <v>0</v>
      </c>
      <c r="H47" s="96">
        <v>0</v>
      </c>
      <c r="I47" s="96">
        <v>0</v>
      </c>
      <c r="J47" s="130">
        <v>0</v>
      </c>
      <c r="K47" s="131">
        <f t="shared" si="6"/>
        <v>0</v>
      </c>
      <c r="L47" s="132">
        <v>0</v>
      </c>
      <c r="M47" s="96">
        <v>0</v>
      </c>
      <c r="N47" s="96">
        <v>0</v>
      </c>
      <c r="O47" s="96">
        <v>0</v>
      </c>
      <c r="P47" s="100">
        <v>0</v>
      </c>
      <c r="Q47" s="101">
        <f>SUM(F47:J47)+SUM(L47:P47)</f>
        <v>0</v>
      </c>
      <c r="R47" s="101">
        <f>+D47-Q47</f>
        <v>0</v>
      </c>
      <c r="S47" s="102">
        <f>+R47/3</f>
        <v>0</v>
      </c>
      <c r="X47" s="79" t="s">
        <v>152</v>
      </c>
    </row>
    <row r="48" spans="1:24" ht="15" customHeight="1" x14ac:dyDescent="0.75">
      <c r="A48" s="135"/>
      <c r="B48" s="136"/>
      <c r="C48" s="134"/>
      <c r="D48" s="137"/>
      <c r="E48" s="137"/>
      <c r="F48" s="138"/>
      <c r="G48" s="139"/>
      <c r="H48" s="139"/>
      <c r="I48" s="139"/>
      <c r="J48" s="139"/>
      <c r="K48" s="140"/>
      <c r="L48" s="139"/>
      <c r="M48" s="139"/>
      <c r="N48" s="139"/>
      <c r="O48" s="139"/>
      <c r="P48" s="141"/>
      <c r="Q48" s="101"/>
      <c r="R48" s="101"/>
      <c r="S48" s="102"/>
    </row>
    <row r="49" spans="1:18" ht="15" customHeight="1" x14ac:dyDescent="0.75">
      <c r="A49" s="3" t="str">
        <f>+A1</f>
        <v>Weeks of 1/5 &amp;1/12</v>
      </c>
      <c r="B49" s="3"/>
      <c r="C49" s="3"/>
      <c r="D49" s="3"/>
      <c r="E49" s="3"/>
      <c r="F49" s="142"/>
      <c r="G49" s="81"/>
      <c r="H49" s="81"/>
      <c r="I49" s="81"/>
      <c r="J49" s="81"/>
      <c r="K49" s="81"/>
      <c r="L49" s="81"/>
      <c r="M49" s="81"/>
      <c r="N49" s="81"/>
      <c r="O49" s="81"/>
      <c r="P49" s="82"/>
      <c r="Q49" s="101"/>
    </row>
    <row r="50" spans="1:18" ht="36.75" customHeight="1" x14ac:dyDescent="0.75">
      <c r="A50" s="83"/>
      <c r="B50" s="143" t="s">
        <v>66</v>
      </c>
      <c r="C50" s="144"/>
      <c r="D50" s="86" t="s">
        <v>122</v>
      </c>
      <c r="E50" s="86" t="s">
        <v>173</v>
      </c>
      <c r="F50" s="88" t="s">
        <v>162</v>
      </c>
      <c r="G50" s="86" t="s">
        <v>163</v>
      </c>
      <c r="H50" s="87" t="s">
        <v>164</v>
      </c>
      <c r="I50" s="86" t="s">
        <v>165</v>
      </c>
      <c r="J50" s="86" t="s">
        <v>166</v>
      </c>
      <c r="K50" s="89" t="str">
        <f>+K26</f>
        <v>2nd wk daily goals</v>
      </c>
      <c r="L50" s="88" t="s">
        <v>162</v>
      </c>
      <c r="M50" s="86" t="s">
        <v>163</v>
      </c>
      <c r="N50" s="87" t="s">
        <v>164</v>
      </c>
      <c r="O50" s="86" t="s">
        <v>165</v>
      </c>
      <c r="P50" s="90" t="s">
        <v>166</v>
      </c>
      <c r="Q50" s="101"/>
      <c r="R50" s="92" t="s">
        <v>168</v>
      </c>
    </row>
    <row r="51" spans="1:18" ht="14.25" customHeight="1" x14ac:dyDescent="0.75">
      <c r="A51" s="93">
        <v>666501</v>
      </c>
      <c r="B51" s="94" t="s">
        <v>4</v>
      </c>
      <c r="C51" s="95" t="s">
        <v>5</v>
      </c>
      <c r="D51" s="96">
        <v>30</v>
      </c>
      <c r="E51" s="97">
        <f t="shared" ref="E51:E71" si="10">+D51/2</f>
        <v>15</v>
      </c>
      <c r="F51" s="96">
        <v>0</v>
      </c>
      <c r="G51" s="96">
        <v>0</v>
      </c>
      <c r="H51" s="96">
        <v>0</v>
      </c>
      <c r="I51" s="96">
        <v>0</v>
      </c>
      <c r="J51" s="96">
        <v>0</v>
      </c>
      <c r="K51" s="99">
        <f t="shared" ref="K51:K71" si="11">(+D51-SUM(F51:J51))/4</f>
        <v>7.5</v>
      </c>
      <c r="L51" s="96">
        <v>0</v>
      </c>
      <c r="M51" s="96">
        <v>0</v>
      </c>
      <c r="N51" s="96">
        <v>0</v>
      </c>
      <c r="O51" s="96">
        <v>0</v>
      </c>
      <c r="P51" s="100">
        <v>0</v>
      </c>
      <c r="Q51" s="101">
        <f t="shared" ref="Q51:Q69" si="12">SUM(F51:J51)+SUM(L51:P51)</f>
        <v>0</v>
      </c>
      <c r="R51" s="101">
        <f t="shared" ref="R51:R69" si="13">+D51-Q51</f>
        <v>30</v>
      </c>
    </row>
    <row r="52" spans="1:18" ht="14.25" customHeight="1" x14ac:dyDescent="0.75">
      <c r="A52" s="93">
        <v>666502</v>
      </c>
      <c r="B52" s="94" t="s">
        <v>6</v>
      </c>
      <c r="C52" s="95" t="s">
        <v>7</v>
      </c>
      <c r="D52" s="96">
        <v>40</v>
      </c>
      <c r="E52" s="97">
        <f t="shared" si="10"/>
        <v>20</v>
      </c>
      <c r="F52" s="96">
        <v>0</v>
      </c>
      <c r="G52" s="96">
        <v>0</v>
      </c>
      <c r="H52" s="96">
        <v>0</v>
      </c>
      <c r="I52" s="96">
        <v>0</v>
      </c>
      <c r="J52" s="96">
        <v>0</v>
      </c>
      <c r="K52" s="99">
        <f t="shared" si="11"/>
        <v>10</v>
      </c>
      <c r="L52" s="96">
        <v>0</v>
      </c>
      <c r="M52" s="96">
        <v>0</v>
      </c>
      <c r="N52" s="96">
        <v>0</v>
      </c>
      <c r="O52" s="96">
        <v>0</v>
      </c>
      <c r="P52" s="100">
        <v>0</v>
      </c>
      <c r="Q52" s="101">
        <f t="shared" si="12"/>
        <v>0</v>
      </c>
      <c r="R52" s="101">
        <f t="shared" si="13"/>
        <v>40</v>
      </c>
    </row>
    <row r="53" spans="1:18" ht="14.25" customHeight="1" x14ac:dyDescent="0.75">
      <c r="A53" s="93">
        <v>666505</v>
      </c>
      <c r="B53" s="94" t="s">
        <v>8</v>
      </c>
      <c r="C53" s="95" t="s">
        <v>9</v>
      </c>
      <c r="D53" s="96">
        <v>42</v>
      </c>
      <c r="E53" s="97">
        <f t="shared" si="10"/>
        <v>21</v>
      </c>
      <c r="F53" s="96">
        <v>0</v>
      </c>
      <c r="G53" s="96">
        <v>0</v>
      </c>
      <c r="H53" s="96">
        <v>0</v>
      </c>
      <c r="I53" s="96">
        <v>0</v>
      </c>
      <c r="J53" s="96">
        <v>0</v>
      </c>
      <c r="K53" s="99">
        <f t="shared" si="11"/>
        <v>10.5</v>
      </c>
      <c r="L53" s="96">
        <v>0</v>
      </c>
      <c r="M53" s="96">
        <v>0</v>
      </c>
      <c r="N53" s="96">
        <v>0</v>
      </c>
      <c r="O53" s="96">
        <v>0</v>
      </c>
      <c r="P53" s="100">
        <v>0</v>
      </c>
      <c r="Q53" s="101">
        <f t="shared" si="12"/>
        <v>0</v>
      </c>
      <c r="R53" s="101">
        <f t="shared" si="13"/>
        <v>42</v>
      </c>
    </row>
    <row r="54" spans="1:18" ht="14.25" customHeight="1" x14ac:dyDescent="0.75">
      <c r="A54" s="93">
        <v>666506</v>
      </c>
      <c r="B54" s="94" t="s">
        <v>10</v>
      </c>
      <c r="C54" s="95" t="s">
        <v>11</v>
      </c>
      <c r="D54" s="96">
        <v>0</v>
      </c>
      <c r="E54" s="97">
        <f t="shared" si="10"/>
        <v>0</v>
      </c>
      <c r="F54" s="96">
        <v>0</v>
      </c>
      <c r="G54" s="96">
        <v>0</v>
      </c>
      <c r="H54" s="96">
        <v>0</v>
      </c>
      <c r="I54" s="96">
        <v>0</v>
      </c>
      <c r="J54" s="96">
        <v>0</v>
      </c>
      <c r="K54" s="99">
        <f t="shared" si="11"/>
        <v>0</v>
      </c>
      <c r="L54" s="96">
        <v>0</v>
      </c>
      <c r="M54" s="96">
        <v>0</v>
      </c>
      <c r="N54" s="96">
        <v>0</v>
      </c>
      <c r="O54" s="96">
        <v>0</v>
      </c>
      <c r="P54" s="100">
        <v>0</v>
      </c>
      <c r="Q54" s="101">
        <f t="shared" si="12"/>
        <v>0</v>
      </c>
      <c r="R54" s="101">
        <f t="shared" si="13"/>
        <v>0</v>
      </c>
    </row>
    <row r="55" spans="1:18" ht="14.25" customHeight="1" x14ac:dyDescent="0.75">
      <c r="A55" s="93">
        <v>666507</v>
      </c>
      <c r="B55" s="94" t="s">
        <v>12</v>
      </c>
      <c r="C55" s="95" t="s">
        <v>13</v>
      </c>
      <c r="D55" s="96">
        <v>0</v>
      </c>
      <c r="E55" s="97">
        <f t="shared" si="10"/>
        <v>0</v>
      </c>
      <c r="F55" s="96">
        <v>0</v>
      </c>
      <c r="G55" s="96">
        <v>0</v>
      </c>
      <c r="H55" s="96">
        <v>0</v>
      </c>
      <c r="I55" s="96">
        <v>0</v>
      </c>
      <c r="J55" s="96">
        <v>0</v>
      </c>
      <c r="K55" s="99">
        <f t="shared" si="11"/>
        <v>0</v>
      </c>
      <c r="L55" s="96">
        <v>0</v>
      </c>
      <c r="M55" s="96">
        <v>0</v>
      </c>
      <c r="N55" s="96">
        <v>0</v>
      </c>
      <c r="O55" s="96">
        <v>0</v>
      </c>
      <c r="P55" s="100">
        <v>0</v>
      </c>
      <c r="Q55" s="101">
        <f t="shared" si="12"/>
        <v>0</v>
      </c>
      <c r="R55" s="101">
        <f t="shared" si="13"/>
        <v>0</v>
      </c>
    </row>
    <row r="56" spans="1:18" ht="14.25" customHeight="1" x14ac:dyDescent="0.75">
      <c r="A56" s="93">
        <v>666509</v>
      </c>
      <c r="B56" s="94" t="s">
        <v>14</v>
      </c>
      <c r="C56" s="95" t="s">
        <v>15</v>
      </c>
      <c r="D56" s="96">
        <v>0</v>
      </c>
      <c r="E56" s="97">
        <f t="shared" si="10"/>
        <v>0</v>
      </c>
      <c r="F56" s="96">
        <v>0</v>
      </c>
      <c r="G56" s="96">
        <v>0</v>
      </c>
      <c r="H56" s="96">
        <v>0</v>
      </c>
      <c r="I56" s="96">
        <v>0</v>
      </c>
      <c r="J56" s="96">
        <v>0</v>
      </c>
      <c r="K56" s="99">
        <f t="shared" si="11"/>
        <v>0</v>
      </c>
      <c r="L56" s="96">
        <v>0</v>
      </c>
      <c r="M56" s="96">
        <v>0</v>
      </c>
      <c r="N56" s="96">
        <v>0</v>
      </c>
      <c r="O56" s="96">
        <v>0</v>
      </c>
      <c r="P56" s="100">
        <v>0</v>
      </c>
      <c r="Q56" s="101">
        <f t="shared" si="12"/>
        <v>0</v>
      </c>
      <c r="R56" s="101">
        <f t="shared" si="13"/>
        <v>0</v>
      </c>
    </row>
    <row r="57" spans="1:18" ht="14.25" customHeight="1" x14ac:dyDescent="0.75">
      <c r="A57" s="93">
        <v>666510</v>
      </c>
      <c r="B57" s="94" t="s">
        <v>16</v>
      </c>
      <c r="C57" s="95" t="s">
        <v>169</v>
      </c>
      <c r="D57" s="96">
        <v>0</v>
      </c>
      <c r="E57" s="97">
        <f t="shared" si="10"/>
        <v>0</v>
      </c>
      <c r="F57" s="96">
        <v>0</v>
      </c>
      <c r="G57" s="96">
        <v>0</v>
      </c>
      <c r="H57" s="96">
        <v>0</v>
      </c>
      <c r="I57" s="96">
        <v>0</v>
      </c>
      <c r="J57" s="96">
        <v>0</v>
      </c>
      <c r="K57" s="99">
        <f t="shared" si="11"/>
        <v>0</v>
      </c>
      <c r="L57" s="96">
        <v>0</v>
      </c>
      <c r="M57" s="96">
        <v>0</v>
      </c>
      <c r="N57" s="96">
        <v>0</v>
      </c>
      <c r="O57" s="96">
        <v>0</v>
      </c>
      <c r="P57" s="100">
        <v>0</v>
      </c>
      <c r="Q57" s="101">
        <f t="shared" si="12"/>
        <v>0</v>
      </c>
      <c r="R57" s="101">
        <f t="shared" si="13"/>
        <v>0</v>
      </c>
    </row>
    <row r="58" spans="1:18" ht="14.25" customHeight="1" x14ac:dyDescent="0.75">
      <c r="A58" s="93">
        <v>666511</v>
      </c>
      <c r="B58" s="94" t="s">
        <v>18</v>
      </c>
      <c r="C58" s="95" t="s">
        <v>19</v>
      </c>
      <c r="D58" s="96">
        <v>0</v>
      </c>
      <c r="E58" s="97">
        <f t="shared" si="10"/>
        <v>0</v>
      </c>
      <c r="F58" s="96">
        <v>0</v>
      </c>
      <c r="G58" s="96">
        <v>0</v>
      </c>
      <c r="H58" s="96">
        <v>0</v>
      </c>
      <c r="I58" s="96">
        <v>0</v>
      </c>
      <c r="J58" s="96">
        <v>0</v>
      </c>
      <c r="K58" s="99">
        <f t="shared" si="11"/>
        <v>0</v>
      </c>
      <c r="L58" s="96">
        <v>0</v>
      </c>
      <c r="M58" s="96">
        <v>0</v>
      </c>
      <c r="N58" s="96">
        <v>0</v>
      </c>
      <c r="O58" s="96">
        <v>0</v>
      </c>
      <c r="P58" s="100">
        <v>0</v>
      </c>
      <c r="Q58" s="101">
        <f t="shared" si="12"/>
        <v>0</v>
      </c>
      <c r="R58" s="101">
        <f t="shared" si="13"/>
        <v>0</v>
      </c>
    </row>
    <row r="59" spans="1:18" ht="14.25" customHeight="1" x14ac:dyDescent="0.75">
      <c r="A59" s="93">
        <v>666513</v>
      </c>
      <c r="B59" s="94" t="s">
        <v>20</v>
      </c>
      <c r="C59" s="95" t="s">
        <v>21</v>
      </c>
      <c r="D59" s="96">
        <v>46</v>
      </c>
      <c r="E59" s="97">
        <f t="shared" si="10"/>
        <v>23</v>
      </c>
      <c r="F59" s="96">
        <v>0</v>
      </c>
      <c r="G59" s="96">
        <v>0</v>
      </c>
      <c r="H59" s="96">
        <v>0</v>
      </c>
      <c r="I59" s="96">
        <v>0</v>
      </c>
      <c r="J59" s="96">
        <v>0</v>
      </c>
      <c r="K59" s="99">
        <f t="shared" si="11"/>
        <v>11.5</v>
      </c>
      <c r="L59" s="96">
        <v>0</v>
      </c>
      <c r="M59" s="96">
        <v>0</v>
      </c>
      <c r="N59" s="96">
        <v>0</v>
      </c>
      <c r="O59" s="96">
        <v>0</v>
      </c>
      <c r="P59" s="100">
        <v>0</v>
      </c>
      <c r="Q59" s="101">
        <f t="shared" si="12"/>
        <v>0</v>
      </c>
      <c r="R59" s="101">
        <f t="shared" si="13"/>
        <v>46</v>
      </c>
    </row>
    <row r="60" spans="1:18" ht="14.25" customHeight="1" x14ac:dyDescent="0.75">
      <c r="A60" s="93">
        <v>666516</v>
      </c>
      <c r="B60" s="94" t="s">
        <v>22</v>
      </c>
      <c r="C60" s="95" t="s">
        <v>23</v>
      </c>
      <c r="D60" s="96">
        <v>32</v>
      </c>
      <c r="E60" s="97">
        <f t="shared" si="10"/>
        <v>16</v>
      </c>
      <c r="F60" s="96">
        <v>0</v>
      </c>
      <c r="G60" s="96">
        <v>0</v>
      </c>
      <c r="H60" s="96">
        <v>0</v>
      </c>
      <c r="I60" s="96">
        <v>0</v>
      </c>
      <c r="J60" s="96">
        <v>0</v>
      </c>
      <c r="K60" s="99">
        <f t="shared" si="11"/>
        <v>8</v>
      </c>
      <c r="L60" s="96">
        <v>0</v>
      </c>
      <c r="M60" s="96">
        <v>0</v>
      </c>
      <c r="N60" s="96">
        <v>0</v>
      </c>
      <c r="O60" s="96">
        <v>0</v>
      </c>
      <c r="P60" s="100">
        <v>0</v>
      </c>
      <c r="Q60" s="101">
        <f t="shared" si="12"/>
        <v>0</v>
      </c>
      <c r="R60" s="101">
        <f t="shared" si="13"/>
        <v>32</v>
      </c>
    </row>
    <row r="61" spans="1:18" ht="14.25" customHeight="1" x14ac:dyDescent="0.75">
      <c r="A61" s="93">
        <v>666517</v>
      </c>
      <c r="B61" s="94" t="s">
        <v>24</v>
      </c>
      <c r="C61" s="95" t="s">
        <v>25</v>
      </c>
      <c r="D61" s="96">
        <v>19</v>
      </c>
      <c r="E61" s="97">
        <f t="shared" si="10"/>
        <v>9.5</v>
      </c>
      <c r="F61" s="96">
        <v>0</v>
      </c>
      <c r="G61" s="96">
        <v>0</v>
      </c>
      <c r="H61" s="96">
        <v>0</v>
      </c>
      <c r="I61" s="96">
        <v>0</v>
      </c>
      <c r="J61" s="96">
        <v>0</v>
      </c>
      <c r="K61" s="99">
        <f t="shared" si="11"/>
        <v>4.75</v>
      </c>
      <c r="L61" s="96">
        <v>0</v>
      </c>
      <c r="M61" s="96">
        <v>0</v>
      </c>
      <c r="N61" s="96">
        <v>0</v>
      </c>
      <c r="O61" s="96">
        <v>0</v>
      </c>
      <c r="P61" s="100">
        <v>0</v>
      </c>
      <c r="Q61" s="101">
        <f t="shared" si="12"/>
        <v>0</v>
      </c>
      <c r="R61" s="101">
        <f t="shared" si="13"/>
        <v>19</v>
      </c>
    </row>
    <row r="62" spans="1:18" ht="14.25" customHeight="1" x14ac:dyDescent="0.75">
      <c r="A62" s="93">
        <v>666518</v>
      </c>
      <c r="B62" s="94" t="s">
        <v>26</v>
      </c>
      <c r="C62" s="95" t="s">
        <v>27</v>
      </c>
      <c r="D62" s="96">
        <v>0</v>
      </c>
      <c r="E62" s="97">
        <f t="shared" si="10"/>
        <v>0</v>
      </c>
      <c r="F62" s="96">
        <v>0</v>
      </c>
      <c r="G62" s="96">
        <v>0</v>
      </c>
      <c r="H62" s="96">
        <v>0</v>
      </c>
      <c r="I62" s="96">
        <v>0</v>
      </c>
      <c r="J62" s="96">
        <v>0</v>
      </c>
      <c r="K62" s="99">
        <f t="shared" si="11"/>
        <v>0</v>
      </c>
      <c r="L62" s="96">
        <v>0</v>
      </c>
      <c r="M62" s="96">
        <v>0</v>
      </c>
      <c r="N62" s="96">
        <v>0</v>
      </c>
      <c r="O62" s="96">
        <v>0</v>
      </c>
      <c r="P62" s="100">
        <v>0</v>
      </c>
      <c r="Q62" s="101">
        <f t="shared" si="12"/>
        <v>0</v>
      </c>
      <c r="R62" s="101">
        <f t="shared" si="13"/>
        <v>0</v>
      </c>
    </row>
    <row r="63" spans="1:18" ht="14.25" customHeight="1" x14ac:dyDescent="0.75">
      <c r="A63" s="93">
        <v>666519</v>
      </c>
      <c r="B63" s="94" t="s">
        <v>28</v>
      </c>
      <c r="C63" s="95" t="s">
        <v>29</v>
      </c>
      <c r="D63" s="96">
        <v>32</v>
      </c>
      <c r="E63" s="97">
        <f t="shared" si="10"/>
        <v>16</v>
      </c>
      <c r="F63" s="96">
        <v>0</v>
      </c>
      <c r="G63" s="96">
        <v>0</v>
      </c>
      <c r="H63" s="96">
        <v>0</v>
      </c>
      <c r="I63" s="96">
        <v>0</v>
      </c>
      <c r="J63" s="96">
        <v>0</v>
      </c>
      <c r="K63" s="99">
        <f t="shared" si="11"/>
        <v>8</v>
      </c>
      <c r="L63" s="96">
        <v>0</v>
      </c>
      <c r="M63" s="96">
        <v>0</v>
      </c>
      <c r="N63" s="96">
        <v>0</v>
      </c>
      <c r="O63" s="96">
        <v>0</v>
      </c>
      <c r="P63" s="100">
        <v>0</v>
      </c>
      <c r="Q63" s="101">
        <f t="shared" si="12"/>
        <v>0</v>
      </c>
      <c r="R63" s="101">
        <f t="shared" si="13"/>
        <v>32</v>
      </c>
    </row>
    <row r="64" spans="1:18" ht="14.25" customHeight="1" x14ac:dyDescent="0.75">
      <c r="A64" s="93">
        <v>666521</v>
      </c>
      <c r="B64" s="94" t="s">
        <v>30</v>
      </c>
      <c r="C64" s="95" t="s">
        <v>31</v>
      </c>
      <c r="D64" s="96">
        <v>0</v>
      </c>
      <c r="E64" s="97">
        <f t="shared" si="10"/>
        <v>0</v>
      </c>
      <c r="F64" s="96">
        <v>0</v>
      </c>
      <c r="G64" s="96">
        <v>0</v>
      </c>
      <c r="H64" s="96">
        <v>0</v>
      </c>
      <c r="I64" s="96">
        <v>0</v>
      </c>
      <c r="J64" s="96">
        <v>0</v>
      </c>
      <c r="K64" s="99">
        <f t="shared" si="11"/>
        <v>0</v>
      </c>
      <c r="L64" s="96">
        <v>0</v>
      </c>
      <c r="M64" s="96">
        <v>0</v>
      </c>
      <c r="N64" s="96">
        <v>0</v>
      </c>
      <c r="O64" s="96">
        <v>0</v>
      </c>
      <c r="P64" s="100">
        <v>0</v>
      </c>
      <c r="Q64" s="101">
        <f t="shared" si="12"/>
        <v>0</v>
      </c>
      <c r="R64" s="101">
        <f t="shared" si="13"/>
        <v>0</v>
      </c>
    </row>
    <row r="65" spans="1:18" ht="14.25" customHeight="1" x14ac:dyDescent="0.75">
      <c r="A65" s="93">
        <v>666522</v>
      </c>
      <c r="B65" s="94" t="s">
        <v>32</v>
      </c>
      <c r="C65" s="95" t="s">
        <v>33</v>
      </c>
      <c r="D65" s="96">
        <v>80</v>
      </c>
      <c r="E65" s="97">
        <f t="shared" si="10"/>
        <v>40</v>
      </c>
      <c r="F65" s="96">
        <v>0</v>
      </c>
      <c r="G65" s="96">
        <v>0</v>
      </c>
      <c r="H65" s="96">
        <v>0</v>
      </c>
      <c r="I65" s="96">
        <v>0</v>
      </c>
      <c r="J65" s="96">
        <v>0</v>
      </c>
      <c r="K65" s="99">
        <f t="shared" si="11"/>
        <v>20</v>
      </c>
      <c r="L65" s="96">
        <v>0</v>
      </c>
      <c r="M65" s="96">
        <v>0</v>
      </c>
      <c r="N65" s="96">
        <v>0</v>
      </c>
      <c r="O65" s="96">
        <v>0</v>
      </c>
      <c r="P65" s="100">
        <v>0</v>
      </c>
      <c r="Q65" s="101">
        <f t="shared" si="12"/>
        <v>0</v>
      </c>
      <c r="R65" s="101">
        <f t="shared" si="13"/>
        <v>80</v>
      </c>
    </row>
    <row r="66" spans="1:18" ht="14.25" customHeight="1" x14ac:dyDescent="0.75">
      <c r="A66" s="93">
        <v>666523</v>
      </c>
      <c r="B66" s="94" t="s">
        <v>34</v>
      </c>
      <c r="C66" s="95" t="s">
        <v>35</v>
      </c>
      <c r="D66" s="96">
        <v>28</v>
      </c>
      <c r="E66" s="97">
        <f t="shared" si="10"/>
        <v>14</v>
      </c>
      <c r="F66" s="96">
        <v>0</v>
      </c>
      <c r="G66" s="96">
        <v>0</v>
      </c>
      <c r="H66" s="96">
        <v>0</v>
      </c>
      <c r="I66" s="96">
        <v>0</v>
      </c>
      <c r="J66" s="96">
        <v>0</v>
      </c>
      <c r="K66" s="99">
        <f t="shared" si="11"/>
        <v>7</v>
      </c>
      <c r="L66" s="96">
        <v>0</v>
      </c>
      <c r="M66" s="96">
        <v>0</v>
      </c>
      <c r="N66" s="96">
        <v>0</v>
      </c>
      <c r="O66" s="96">
        <v>0</v>
      </c>
      <c r="P66" s="100">
        <v>0</v>
      </c>
      <c r="Q66" s="101">
        <f t="shared" si="12"/>
        <v>0</v>
      </c>
      <c r="R66" s="101">
        <f t="shared" si="13"/>
        <v>28</v>
      </c>
    </row>
    <row r="67" spans="1:18" ht="14.25" customHeight="1" x14ac:dyDescent="0.75">
      <c r="A67" s="93">
        <v>666530</v>
      </c>
      <c r="B67" s="94" t="s">
        <v>36</v>
      </c>
      <c r="C67" s="95" t="s">
        <v>37</v>
      </c>
      <c r="D67" s="96">
        <v>12</v>
      </c>
      <c r="E67" s="97">
        <f t="shared" si="10"/>
        <v>6</v>
      </c>
      <c r="F67" s="96">
        <v>0</v>
      </c>
      <c r="G67" s="96">
        <v>0</v>
      </c>
      <c r="H67" s="96">
        <v>0</v>
      </c>
      <c r="I67" s="96">
        <v>0</v>
      </c>
      <c r="J67" s="96">
        <v>0</v>
      </c>
      <c r="K67" s="99">
        <f t="shared" si="11"/>
        <v>3</v>
      </c>
      <c r="L67" s="96">
        <v>0</v>
      </c>
      <c r="M67" s="96">
        <v>0</v>
      </c>
      <c r="N67" s="96">
        <v>0</v>
      </c>
      <c r="O67" s="96">
        <v>0</v>
      </c>
      <c r="P67" s="100">
        <v>0</v>
      </c>
      <c r="Q67" s="101">
        <f t="shared" si="12"/>
        <v>0</v>
      </c>
      <c r="R67" s="101">
        <f t="shared" si="13"/>
        <v>12</v>
      </c>
    </row>
    <row r="68" spans="1:18" ht="14.25" customHeight="1" x14ac:dyDescent="0.75">
      <c r="A68" s="93">
        <v>666531</v>
      </c>
      <c r="B68" s="94" t="s">
        <v>38</v>
      </c>
      <c r="C68" s="95" t="s">
        <v>39</v>
      </c>
      <c r="D68" s="96">
        <v>7</v>
      </c>
      <c r="E68" s="97">
        <f t="shared" si="10"/>
        <v>3.5</v>
      </c>
      <c r="F68" s="96">
        <v>0</v>
      </c>
      <c r="G68" s="96">
        <v>0</v>
      </c>
      <c r="H68" s="96">
        <v>0</v>
      </c>
      <c r="I68" s="96">
        <v>0</v>
      </c>
      <c r="J68" s="96">
        <v>0</v>
      </c>
      <c r="K68" s="99">
        <f t="shared" si="11"/>
        <v>1.75</v>
      </c>
      <c r="L68" s="96">
        <v>0</v>
      </c>
      <c r="M68" s="96">
        <v>0</v>
      </c>
      <c r="N68" s="96">
        <v>0</v>
      </c>
      <c r="O68" s="96">
        <v>0</v>
      </c>
      <c r="P68" s="100">
        <v>0</v>
      </c>
      <c r="Q68" s="101">
        <f t="shared" si="12"/>
        <v>0</v>
      </c>
      <c r="R68" s="101">
        <f t="shared" si="13"/>
        <v>7</v>
      </c>
    </row>
    <row r="69" spans="1:18" ht="14.25" customHeight="1" x14ac:dyDescent="0.75">
      <c r="A69" s="93">
        <v>666540</v>
      </c>
      <c r="B69" s="94" t="s">
        <v>40</v>
      </c>
      <c r="C69" s="95" t="s">
        <v>40</v>
      </c>
      <c r="D69" s="96">
        <v>0</v>
      </c>
      <c r="E69" s="97">
        <f t="shared" si="10"/>
        <v>0</v>
      </c>
      <c r="F69" s="96">
        <v>0</v>
      </c>
      <c r="G69" s="96">
        <v>0</v>
      </c>
      <c r="H69" s="96">
        <v>0</v>
      </c>
      <c r="I69" s="96">
        <v>0</v>
      </c>
      <c r="J69" s="96">
        <v>0</v>
      </c>
      <c r="K69" s="99">
        <f t="shared" si="11"/>
        <v>0</v>
      </c>
      <c r="L69" s="96">
        <v>0</v>
      </c>
      <c r="M69" s="96">
        <v>0</v>
      </c>
      <c r="N69" s="96">
        <v>0</v>
      </c>
      <c r="O69" s="96">
        <v>0</v>
      </c>
      <c r="P69" s="100">
        <v>0</v>
      </c>
      <c r="Q69" s="101">
        <f t="shared" si="12"/>
        <v>0</v>
      </c>
      <c r="R69" s="101">
        <f t="shared" si="13"/>
        <v>0</v>
      </c>
    </row>
    <row r="70" spans="1:18" ht="15" customHeight="1" x14ac:dyDescent="0.75">
      <c r="A70" s="93">
        <v>666541</v>
      </c>
      <c r="B70" s="109" t="s">
        <v>41</v>
      </c>
      <c r="C70" s="95" t="s">
        <v>41</v>
      </c>
      <c r="D70" s="96">
        <v>0</v>
      </c>
      <c r="E70" s="97">
        <f t="shared" si="10"/>
        <v>0</v>
      </c>
      <c r="F70" s="96">
        <v>0</v>
      </c>
      <c r="G70" s="96">
        <v>0</v>
      </c>
      <c r="H70" s="96">
        <v>0</v>
      </c>
      <c r="I70" s="96">
        <v>0</v>
      </c>
      <c r="J70" s="96">
        <v>0</v>
      </c>
      <c r="K70" s="99">
        <f t="shared" si="11"/>
        <v>0</v>
      </c>
      <c r="L70" s="96">
        <v>0</v>
      </c>
      <c r="M70" s="96">
        <v>0</v>
      </c>
      <c r="N70" s="96">
        <v>0</v>
      </c>
      <c r="O70" s="96">
        <v>0</v>
      </c>
      <c r="P70" s="100">
        <v>0</v>
      </c>
      <c r="Q70" s="101"/>
      <c r="R70" s="101"/>
    </row>
    <row r="71" spans="1:18" ht="15" customHeight="1" x14ac:dyDescent="0.75">
      <c r="A71" s="108">
        <v>666536</v>
      </c>
      <c r="B71" s="109" t="s">
        <v>42</v>
      </c>
      <c r="C71" s="103" t="s">
        <v>41</v>
      </c>
      <c r="D71" s="104">
        <v>0</v>
      </c>
      <c r="E71" s="111">
        <f t="shared" si="10"/>
        <v>0</v>
      </c>
      <c r="F71" s="104">
        <v>0</v>
      </c>
      <c r="G71" s="104">
        <v>0</v>
      </c>
      <c r="H71" s="104">
        <v>0</v>
      </c>
      <c r="I71" s="104">
        <v>0</v>
      </c>
      <c r="J71" s="104">
        <v>0</v>
      </c>
      <c r="K71" s="106">
        <f t="shared" si="11"/>
        <v>0</v>
      </c>
      <c r="L71" s="104">
        <v>0</v>
      </c>
      <c r="M71" s="104">
        <v>0</v>
      </c>
      <c r="N71" s="104">
        <v>0</v>
      </c>
      <c r="O71" s="104">
        <v>0</v>
      </c>
      <c r="P71" s="107">
        <v>0</v>
      </c>
      <c r="Q71" s="101">
        <f>SUM(F71:J71)+SUM(L71:P71)</f>
        <v>0</v>
      </c>
      <c r="R71" s="101">
        <f>+D71-Q71</f>
        <v>0</v>
      </c>
    </row>
  </sheetData>
  <mergeCells count="3">
    <mergeCell ref="A1:E1"/>
    <mergeCell ref="A25:E25"/>
    <mergeCell ref="A49:E49"/>
  </mergeCells>
  <conditionalFormatting sqref="F24 H24 J24">
    <cfRule type="expression" dxfId="303" priority="2">
      <formula>#REF!=F24</formula>
    </cfRule>
    <cfRule type="expression" dxfId="302" priority="3">
      <formula>#REF!&lt;F24</formula>
    </cfRule>
    <cfRule type="expression" dxfId="301" priority="4">
      <formula>#REF!&gt;F24</formula>
    </cfRule>
  </conditionalFormatting>
  <conditionalFormatting sqref="Q3">
    <cfRule type="cellIs" dxfId="300" priority="8" operator="equal">
      <formula>$D$3</formula>
    </cfRule>
  </conditionalFormatting>
  <conditionalFormatting sqref="Q5:Q22">
    <cfRule type="cellIs" dxfId="299" priority="7" operator="equal">
      <formula>$D$3</formula>
    </cfRule>
  </conditionalFormatting>
  <conditionalFormatting sqref="Q8">
    <cfRule type="cellIs" dxfId="298" priority="5" operator="lessThan">
      <formula>$D$8</formula>
    </cfRule>
    <cfRule type="cellIs" dxfId="297" priority="6" operator="equal">
      <formula>$D$8</formula>
    </cfRule>
  </conditionalFormatting>
  <pageMargins left="0.7" right="0.7" top="0.75" bottom="0.75" header="0.511811023622047" footer="0.511811023622047"/>
  <pageSetup paperSize="9" scale="145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26"/>
  <sheetViews>
    <sheetView zoomScaleNormal="100" workbookViewId="0">
      <selection activeCell="L25" sqref="L25"/>
    </sheetView>
  </sheetViews>
  <sheetFormatPr defaultColWidth="8.54296875" defaultRowHeight="14.75" x14ac:dyDescent="0.75"/>
  <cols>
    <col min="2" max="2" width="35" customWidth="1"/>
    <col min="3" max="3" width="17.31640625" customWidth="1"/>
    <col min="4" max="4" width="17.31640625" hidden="1" customWidth="1"/>
  </cols>
  <sheetData>
    <row r="1" spans="1:12" ht="14.25" customHeight="1" x14ac:dyDescent="0.75">
      <c r="C1" s="145" t="s">
        <v>174</v>
      </c>
    </row>
    <row r="2" spans="1:12" ht="28.5" customHeight="1" x14ac:dyDescent="0.75">
      <c r="A2" s="51"/>
      <c r="B2" s="51"/>
      <c r="C2" s="51"/>
      <c r="D2" s="51" t="s">
        <v>144</v>
      </c>
      <c r="E2" s="53" t="s">
        <v>116</v>
      </c>
      <c r="F2" s="53" t="s">
        <v>145</v>
      </c>
      <c r="G2" s="56" t="s">
        <v>119</v>
      </c>
      <c r="H2" s="53" t="s">
        <v>146</v>
      </c>
      <c r="I2" s="51" t="s">
        <v>122</v>
      </c>
      <c r="J2" s="56" t="s">
        <v>147</v>
      </c>
      <c r="K2" s="51" t="s">
        <v>148</v>
      </c>
      <c r="L2" s="53" t="s">
        <v>149</v>
      </c>
    </row>
    <row r="3" spans="1:12" ht="14.25" customHeight="1" x14ac:dyDescent="0.75">
      <c r="A3" s="50"/>
      <c r="B3" s="50"/>
      <c r="C3" s="57" t="s">
        <v>150</v>
      </c>
      <c r="D3" s="57"/>
      <c r="E3" s="57"/>
      <c r="F3" s="59"/>
      <c r="G3" s="59"/>
      <c r="H3" s="59"/>
      <c r="I3" s="59"/>
      <c r="J3" s="59"/>
      <c r="K3" s="59"/>
      <c r="L3" s="59"/>
    </row>
    <row r="4" spans="1:12" ht="14.25" customHeight="1" x14ac:dyDescent="0.75">
      <c r="A4" s="62" t="s">
        <v>129</v>
      </c>
      <c r="B4" s="62" t="s">
        <v>2</v>
      </c>
      <c r="C4" s="62" t="s">
        <v>3</v>
      </c>
      <c r="D4" s="62"/>
      <c r="E4" s="62"/>
      <c r="F4" s="62"/>
      <c r="G4" s="62"/>
      <c r="H4" s="62"/>
      <c r="I4" s="62"/>
      <c r="J4" s="62"/>
      <c r="K4" s="62"/>
      <c r="L4" s="62"/>
    </row>
    <row r="5" spans="1:12" ht="14.25" customHeight="1" x14ac:dyDescent="0.75">
      <c r="A5" s="62"/>
      <c r="B5" s="62"/>
      <c r="C5" s="62" t="s">
        <v>151</v>
      </c>
      <c r="D5" s="62"/>
      <c r="E5" s="62"/>
      <c r="F5" s="50">
        <v>60</v>
      </c>
      <c r="G5" s="50"/>
      <c r="H5" s="50">
        <v>346</v>
      </c>
      <c r="I5" s="50"/>
      <c r="J5" s="50">
        <v>0</v>
      </c>
      <c r="K5" s="62" t="s">
        <v>152</v>
      </c>
      <c r="L5" s="62">
        <f>SUM(F5:J5)</f>
        <v>406</v>
      </c>
    </row>
    <row r="6" spans="1:12" ht="14.25" customHeight="1" x14ac:dyDescent="0.75">
      <c r="A6" s="50">
        <v>666501</v>
      </c>
      <c r="B6" s="73" t="s">
        <v>4</v>
      </c>
      <c r="C6" s="73" t="s">
        <v>5</v>
      </c>
      <c r="D6" s="50">
        <f t="shared" ref="D6:D25" si="0">+K6</f>
        <v>363</v>
      </c>
      <c r="E6" s="50">
        <v>33</v>
      </c>
      <c r="F6" s="50">
        <v>33</v>
      </c>
      <c r="G6" s="50">
        <v>300</v>
      </c>
      <c r="H6" s="50">
        <v>300</v>
      </c>
      <c r="I6" s="50">
        <v>30</v>
      </c>
      <c r="J6" s="50">
        <v>0</v>
      </c>
      <c r="K6" s="50">
        <v>363</v>
      </c>
      <c r="L6" s="50">
        <f t="shared" ref="L6:L26" si="1">SUM(F6,H6,J6)</f>
        <v>333</v>
      </c>
    </row>
    <row r="7" spans="1:12" ht="14.25" customHeight="1" x14ac:dyDescent="0.75">
      <c r="A7" s="50">
        <v>666502</v>
      </c>
      <c r="B7" s="73" t="s">
        <v>6</v>
      </c>
      <c r="C7" s="73" t="s">
        <v>7</v>
      </c>
      <c r="D7" s="50">
        <f t="shared" si="0"/>
        <v>190</v>
      </c>
      <c r="E7" s="50">
        <v>0</v>
      </c>
      <c r="F7" s="50">
        <v>0</v>
      </c>
      <c r="G7" s="50">
        <v>150</v>
      </c>
      <c r="H7" s="50">
        <v>150</v>
      </c>
      <c r="I7" s="50">
        <v>40</v>
      </c>
      <c r="J7" s="50">
        <v>0</v>
      </c>
      <c r="K7" s="50">
        <v>190</v>
      </c>
      <c r="L7" s="50">
        <f t="shared" si="1"/>
        <v>150</v>
      </c>
    </row>
    <row r="8" spans="1:12" ht="14.25" customHeight="1" x14ac:dyDescent="0.75">
      <c r="A8" s="50">
        <v>666505</v>
      </c>
      <c r="B8" s="73" t="s">
        <v>8</v>
      </c>
      <c r="C8" s="73" t="s">
        <v>9</v>
      </c>
      <c r="D8" s="50">
        <f t="shared" si="0"/>
        <v>62</v>
      </c>
      <c r="E8" s="50">
        <v>20</v>
      </c>
      <c r="F8" s="50">
        <v>20</v>
      </c>
      <c r="G8" s="50">
        <v>0</v>
      </c>
      <c r="H8" s="50">
        <v>0</v>
      </c>
      <c r="I8" s="50">
        <v>42</v>
      </c>
      <c r="J8" s="50">
        <v>0</v>
      </c>
      <c r="K8" s="50">
        <v>62</v>
      </c>
      <c r="L8" s="50">
        <f t="shared" si="1"/>
        <v>20</v>
      </c>
    </row>
    <row r="9" spans="1:12" ht="14.25" customHeight="1" x14ac:dyDescent="0.75">
      <c r="A9" s="50">
        <v>666506</v>
      </c>
      <c r="B9" s="73" t="s">
        <v>10</v>
      </c>
      <c r="C9" s="73" t="s">
        <v>11</v>
      </c>
      <c r="D9" s="50">
        <f t="shared" si="0"/>
        <v>200</v>
      </c>
      <c r="E9" s="50">
        <v>0</v>
      </c>
      <c r="F9" s="50">
        <v>0</v>
      </c>
      <c r="G9" s="50">
        <v>200</v>
      </c>
      <c r="H9" s="50">
        <v>200</v>
      </c>
      <c r="I9" s="50">
        <v>0</v>
      </c>
      <c r="J9" s="50">
        <v>0</v>
      </c>
      <c r="K9" s="50">
        <v>200</v>
      </c>
      <c r="L9" s="50">
        <f t="shared" si="1"/>
        <v>200</v>
      </c>
    </row>
    <row r="10" spans="1:12" ht="14.25" customHeight="1" x14ac:dyDescent="0.75">
      <c r="A10" s="50">
        <v>666507</v>
      </c>
      <c r="B10" s="73" t="s">
        <v>12</v>
      </c>
      <c r="C10" s="73" t="s">
        <v>13</v>
      </c>
      <c r="D10" s="50">
        <f t="shared" si="0"/>
        <v>60</v>
      </c>
      <c r="E10" s="50">
        <v>60</v>
      </c>
      <c r="F10" s="50">
        <v>60</v>
      </c>
      <c r="G10" s="50">
        <v>0</v>
      </c>
      <c r="H10" s="50">
        <v>0</v>
      </c>
      <c r="I10" s="50">
        <v>0</v>
      </c>
      <c r="J10" s="50">
        <v>0</v>
      </c>
      <c r="K10" s="50">
        <v>60</v>
      </c>
      <c r="L10" s="50">
        <f t="shared" si="1"/>
        <v>60</v>
      </c>
    </row>
    <row r="11" spans="1:12" ht="14.25" customHeight="1" x14ac:dyDescent="0.75">
      <c r="A11" s="50">
        <v>666509</v>
      </c>
      <c r="B11" s="73" t="s">
        <v>14</v>
      </c>
      <c r="C11" s="73" t="s">
        <v>15</v>
      </c>
      <c r="D11" s="50">
        <f t="shared" si="0"/>
        <v>160</v>
      </c>
      <c r="E11" s="50">
        <v>160</v>
      </c>
      <c r="F11" s="50">
        <v>106</v>
      </c>
      <c r="G11" s="50">
        <v>0</v>
      </c>
      <c r="H11" s="50">
        <v>0</v>
      </c>
      <c r="I11" s="50">
        <v>0</v>
      </c>
      <c r="J11" s="50">
        <v>0</v>
      </c>
      <c r="K11" s="50">
        <v>160</v>
      </c>
      <c r="L11" s="50">
        <f t="shared" si="1"/>
        <v>106</v>
      </c>
    </row>
    <row r="12" spans="1:12" ht="14.25" customHeight="1" x14ac:dyDescent="0.75">
      <c r="A12" s="50">
        <v>666510</v>
      </c>
      <c r="B12" s="73" t="s">
        <v>16</v>
      </c>
      <c r="C12" s="73" t="s">
        <v>169</v>
      </c>
      <c r="D12" s="50">
        <f t="shared" si="0"/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f t="shared" si="1"/>
        <v>0</v>
      </c>
    </row>
    <row r="13" spans="1:12" ht="14.25" customHeight="1" x14ac:dyDescent="0.75">
      <c r="A13" s="50">
        <v>666511</v>
      </c>
      <c r="B13" s="73" t="s">
        <v>18</v>
      </c>
      <c r="C13" s="73" t="s">
        <v>19</v>
      </c>
      <c r="D13" s="50">
        <f t="shared" si="0"/>
        <v>6</v>
      </c>
      <c r="E13" s="50">
        <v>6</v>
      </c>
      <c r="F13" s="50">
        <v>6</v>
      </c>
      <c r="G13" s="50">
        <v>0</v>
      </c>
      <c r="H13" s="50">
        <v>0</v>
      </c>
      <c r="I13" s="50">
        <v>0</v>
      </c>
      <c r="J13" s="50">
        <v>0</v>
      </c>
      <c r="K13" s="50">
        <v>6</v>
      </c>
      <c r="L13" s="50">
        <f t="shared" si="1"/>
        <v>6</v>
      </c>
    </row>
    <row r="14" spans="1:12" ht="14.25" customHeight="1" x14ac:dyDescent="0.75">
      <c r="A14" s="50">
        <v>666513</v>
      </c>
      <c r="B14" s="73" t="s">
        <v>20</v>
      </c>
      <c r="C14" s="73" t="s">
        <v>21</v>
      </c>
      <c r="D14" s="50">
        <f t="shared" si="0"/>
        <v>66</v>
      </c>
      <c r="E14" s="50">
        <v>20</v>
      </c>
      <c r="F14" s="50">
        <v>20</v>
      </c>
      <c r="G14" s="50">
        <v>0</v>
      </c>
      <c r="H14" s="50">
        <v>0</v>
      </c>
      <c r="I14" s="50">
        <v>46</v>
      </c>
      <c r="J14" s="50">
        <v>0</v>
      </c>
      <c r="K14" s="50">
        <v>66</v>
      </c>
      <c r="L14" s="50">
        <f t="shared" si="1"/>
        <v>20</v>
      </c>
    </row>
    <row r="15" spans="1:12" ht="14.25" customHeight="1" x14ac:dyDescent="0.75">
      <c r="A15" s="50">
        <v>666516</v>
      </c>
      <c r="B15" s="73" t="s">
        <v>22</v>
      </c>
      <c r="C15" s="73" t="s">
        <v>23</v>
      </c>
      <c r="D15" s="50">
        <f t="shared" si="0"/>
        <v>64</v>
      </c>
      <c r="E15" s="50">
        <v>32</v>
      </c>
      <c r="F15" s="50">
        <v>32</v>
      </c>
      <c r="G15" s="50">
        <v>0</v>
      </c>
      <c r="H15" s="50">
        <v>0</v>
      </c>
      <c r="I15" s="50">
        <v>32</v>
      </c>
      <c r="J15" s="50">
        <v>0</v>
      </c>
      <c r="K15" s="50">
        <v>64</v>
      </c>
      <c r="L15" s="50">
        <f t="shared" si="1"/>
        <v>32</v>
      </c>
    </row>
    <row r="16" spans="1:12" ht="14.25" customHeight="1" x14ac:dyDescent="0.75">
      <c r="A16" s="50">
        <v>666517</v>
      </c>
      <c r="B16" s="73" t="s">
        <v>24</v>
      </c>
      <c r="C16" s="73" t="s">
        <v>25</v>
      </c>
      <c r="D16" s="50">
        <f t="shared" si="0"/>
        <v>60</v>
      </c>
      <c r="E16" s="50">
        <v>41</v>
      </c>
      <c r="F16" s="50">
        <v>41</v>
      </c>
      <c r="G16" s="50">
        <v>0</v>
      </c>
      <c r="H16" s="50">
        <v>0</v>
      </c>
      <c r="I16" s="50">
        <v>19</v>
      </c>
      <c r="J16" s="50">
        <v>0</v>
      </c>
      <c r="K16" s="50">
        <v>60</v>
      </c>
      <c r="L16" s="146">
        <f t="shared" si="1"/>
        <v>41</v>
      </c>
    </row>
    <row r="17" spans="1:12" ht="14.25" customHeight="1" x14ac:dyDescent="0.75">
      <c r="A17" s="50">
        <v>666518</v>
      </c>
      <c r="B17" s="73" t="s">
        <v>26</v>
      </c>
      <c r="C17" s="73" t="s">
        <v>27</v>
      </c>
      <c r="D17" s="50">
        <f t="shared" si="0"/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f t="shared" si="1"/>
        <v>0</v>
      </c>
    </row>
    <row r="18" spans="1:12" ht="14.25" customHeight="1" x14ac:dyDescent="0.75">
      <c r="A18" s="50">
        <v>666519</v>
      </c>
      <c r="B18" s="73" t="s">
        <v>28</v>
      </c>
      <c r="C18" s="73" t="s">
        <v>29</v>
      </c>
      <c r="D18" s="50">
        <f t="shared" si="0"/>
        <v>64</v>
      </c>
      <c r="E18" s="50">
        <v>32</v>
      </c>
      <c r="F18" s="50">
        <v>32</v>
      </c>
      <c r="G18" s="50">
        <v>0</v>
      </c>
      <c r="H18" s="50">
        <v>0</v>
      </c>
      <c r="I18" s="50">
        <v>32</v>
      </c>
      <c r="J18" s="50">
        <v>0</v>
      </c>
      <c r="K18" s="50">
        <v>64</v>
      </c>
      <c r="L18" s="50">
        <f t="shared" si="1"/>
        <v>32</v>
      </c>
    </row>
    <row r="19" spans="1:12" ht="14.25" customHeight="1" x14ac:dyDescent="0.75">
      <c r="A19" s="50">
        <v>666521</v>
      </c>
      <c r="B19" s="73" t="s">
        <v>30</v>
      </c>
      <c r="C19" s="73" t="s">
        <v>31</v>
      </c>
      <c r="D19" s="50">
        <f t="shared" si="0"/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f t="shared" si="1"/>
        <v>0</v>
      </c>
    </row>
    <row r="20" spans="1:12" ht="14.25" customHeight="1" x14ac:dyDescent="0.75">
      <c r="A20" s="50">
        <v>666522</v>
      </c>
      <c r="B20" s="73" t="s">
        <v>32</v>
      </c>
      <c r="C20" s="73" t="s">
        <v>33</v>
      </c>
      <c r="D20" s="50">
        <f t="shared" si="0"/>
        <v>400</v>
      </c>
      <c r="E20" s="50">
        <v>130</v>
      </c>
      <c r="F20" s="50">
        <v>130</v>
      </c>
      <c r="G20" s="50">
        <v>190</v>
      </c>
      <c r="H20" s="50">
        <v>190</v>
      </c>
      <c r="I20" s="50">
        <v>80</v>
      </c>
      <c r="J20" s="50">
        <v>0</v>
      </c>
      <c r="K20" s="50">
        <v>400</v>
      </c>
      <c r="L20" s="50">
        <f t="shared" si="1"/>
        <v>320</v>
      </c>
    </row>
    <row r="21" spans="1:12" ht="14.25" customHeight="1" x14ac:dyDescent="0.75">
      <c r="A21" s="50">
        <v>666523</v>
      </c>
      <c r="B21" s="73" t="s">
        <v>34</v>
      </c>
      <c r="C21" s="73" t="s">
        <v>35</v>
      </c>
      <c r="D21" s="50">
        <f t="shared" si="0"/>
        <v>140</v>
      </c>
      <c r="E21" s="50">
        <v>0</v>
      </c>
      <c r="F21" s="50">
        <v>0</v>
      </c>
      <c r="G21" s="50">
        <v>112</v>
      </c>
      <c r="H21" s="50">
        <v>112</v>
      </c>
      <c r="I21" s="50">
        <v>28</v>
      </c>
      <c r="J21" s="50">
        <v>0</v>
      </c>
      <c r="K21" s="50">
        <v>140</v>
      </c>
      <c r="L21" s="50">
        <f t="shared" si="1"/>
        <v>112</v>
      </c>
    </row>
    <row r="22" spans="1:12" ht="14.25" customHeight="1" x14ac:dyDescent="0.75">
      <c r="A22" s="50">
        <v>666530</v>
      </c>
      <c r="B22" s="73" t="s">
        <v>36</v>
      </c>
      <c r="C22" s="73" t="s">
        <v>37</v>
      </c>
      <c r="D22" s="50">
        <f t="shared" si="0"/>
        <v>16</v>
      </c>
      <c r="E22" s="50">
        <v>4</v>
      </c>
      <c r="F22" s="50">
        <v>4</v>
      </c>
      <c r="G22" s="50">
        <v>0</v>
      </c>
      <c r="H22" s="50">
        <v>0</v>
      </c>
      <c r="I22" s="50">
        <v>12</v>
      </c>
      <c r="J22" s="50">
        <v>0</v>
      </c>
      <c r="K22" s="50">
        <v>16</v>
      </c>
      <c r="L22" s="50">
        <f t="shared" si="1"/>
        <v>4</v>
      </c>
    </row>
    <row r="23" spans="1:12" ht="14.25" customHeight="1" x14ac:dyDescent="0.75">
      <c r="A23" s="50">
        <v>666531</v>
      </c>
      <c r="B23" s="73" t="s">
        <v>38</v>
      </c>
      <c r="C23" s="73" t="s">
        <v>39</v>
      </c>
      <c r="D23" s="50">
        <f t="shared" si="0"/>
        <v>24</v>
      </c>
      <c r="E23" s="50">
        <v>17</v>
      </c>
      <c r="F23" s="50">
        <v>17</v>
      </c>
      <c r="G23" s="50">
        <v>0</v>
      </c>
      <c r="H23" s="50">
        <v>0</v>
      </c>
      <c r="I23" s="50">
        <v>7</v>
      </c>
      <c r="J23" s="50">
        <v>0</v>
      </c>
      <c r="K23" s="50">
        <v>24</v>
      </c>
      <c r="L23" s="50">
        <f t="shared" si="1"/>
        <v>17</v>
      </c>
    </row>
    <row r="24" spans="1:12" ht="14.25" customHeight="1" x14ac:dyDescent="0.75">
      <c r="A24" s="50">
        <v>666540</v>
      </c>
      <c r="B24" s="73" t="s">
        <v>40</v>
      </c>
      <c r="C24" s="73" t="s">
        <v>40</v>
      </c>
      <c r="D24" s="50">
        <f t="shared" si="0"/>
        <v>240</v>
      </c>
      <c r="E24" s="50">
        <v>0</v>
      </c>
      <c r="F24" s="50">
        <v>0</v>
      </c>
      <c r="G24" s="50">
        <v>240</v>
      </c>
      <c r="H24" s="50">
        <v>87</v>
      </c>
      <c r="I24" s="50">
        <v>0</v>
      </c>
      <c r="J24" s="50">
        <v>0</v>
      </c>
      <c r="K24" s="50">
        <v>240</v>
      </c>
      <c r="L24" s="50">
        <f t="shared" si="1"/>
        <v>87</v>
      </c>
    </row>
    <row r="25" spans="1:12" ht="14.25" customHeight="1" x14ac:dyDescent="0.75">
      <c r="A25" s="50">
        <v>666541</v>
      </c>
      <c r="B25" s="73" t="s">
        <v>41</v>
      </c>
      <c r="C25" s="73" t="s">
        <v>41</v>
      </c>
      <c r="D25" s="50">
        <f t="shared" si="0"/>
        <v>240</v>
      </c>
      <c r="E25" s="50">
        <v>0</v>
      </c>
      <c r="F25" s="50">
        <v>0</v>
      </c>
      <c r="G25" s="50">
        <v>240</v>
      </c>
      <c r="H25" s="50">
        <v>240</v>
      </c>
      <c r="I25" s="50">
        <v>0</v>
      </c>
      <c r="J25" s="50">
        <v>0</v>
      </c>
      <c r="K25" s="50">
        <v>240</v>
      </c>
      <c r="L25" s="50">
        <f t="shared" si="1"/>
        <v>240</v>
      </c>
    </row>
    <row r="26" spans="1:12" ht="14.25" customHeight="1" x14ac:dyDescent="0.75">
      <c r="A26" s="50">
        <v>666536</v>
      </c>
      <c r="B26" s="50" t="s">
        <v>42</v>
      </c>
      <c r="C26" s="50" t="s">
        <v>43</v>
      </c>
      <c r="D26" s="50"/>
      <c r="E26" s="50">
        <v>20</v>
      </c>
      <c r="F26" s="50">
        <v>15</v>
      </c>
      <c r="G26" s="50">
        <v>0</v>
      </c>
      <c r="H26" s="50">
        <v>0</v>
      </c>
      <c r="I26" s="50">
        <v>0</v>
      </c>
      <c r="J26" s="50">
        <v>0</v>
      </c>
      <c r="K26" s="50">
        <v>20</v>
      </c>
      <c r="L26" s="50">
        <f t="shared" si="1"/>
        <v>15</v>
      </c>
    </row>
  </sheetData>
  <conditionalFormatting sqref="K6:K26">
    <cfRule type="cellIs" dxfId="296" priority="2" operator="equal">
      <formula>0</formula>
    </cfRule>
  </conditionalFormatting>
  <conditionalFormatting sqref="L6:L26">
    <cfRule type="expression" dxfId="295" priority="3">
      <formula>K6=L6</formula>
    </cfRule>
    <cfRule type="expression" dxfId="294" priority="4">
      <formula>K6&lt;L6</formula>
    </cfRule>
    <cfRule type="expression" dxfId="293" priority="5">
      <formula>K6&gt;L6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51"/>
  <sheetViews>
    <sheetView zoomScaleNormal="100" workbookViewId="0">
      <selection activeCell="G21" sqref="G21"/>
    </sheetView>
  </sheetViews>
  <sheetFormatPr defaultColWidth="8.6796875" defaultRowHeight="14.75" x14ac:dyDescent="0.75"/>
  <cols>
    <col min="1" max="1" width="8.6796875" style="50"/>
    <col min="2" max="2" width="41.54296875" style="50" customWidth="1"/>
    <col min="3" max="3" width="22.6796875" style="50" customWidth="1"/>
    <col min="4" max="4" width="9.54296875" style="50" customWidth="1"/>
    <col min="5" max="5" width="8.6796875" style="50"/>
    <col min="6" max="6" width="9.86328125" style="50" customWidth="1"/>
    <col min="7" max="7" width="7.31640625" style="50" customWidth="1"/>
    <col min="8" max="8" width="8.453125" style="50" customWidth="1"/>
    <col min="9" max="9" width="7.453125" style="50" customWidth="1"/>
    <col min="10" max="10" width="7.6796875" style="50" customWidth="1"/>
    <col min="11" max="11" width="7.31640625" style="50" customWidth="1"/>
    <col min="12" max="16384" width="8.6796875" style="50"/>
  </cols>
  <sheetData>
    <row r="1" spans="1:27" s="51" customFormat="1" ht="41.25" customHeight="1" x14ac:dyDescent="0.75">
      <c r="C1" s="51" t="s">
        <v>175</v>
      </c>
      <c r="D1" s="51" t="s">
        <v>144</v>
      </c>
      <c r="E1" s="52" t="s">
        <v>116</v>
      </c>
      <c r="F1" s="53" t="s">
        <v>145</v>
      </c>
      <c r="G1" s="54" t="s">
        <v>119</v>
      </c>
      <c r="H1" s="53" t="s">
        <v>146</v>
      </c>
      <c r="I1" s="55" t="s">
        <v>122</v>
      </c>
      <c r="J1" s="56" t="s">
        <v>147</v>
      </c>
      <c r="K1" s="51" t="s">
        <v>148</v>
      </c>
      <c r="L1" s="53" t="s">
        <v>149</v>
      </c>
      <c r="M1" s="51" t="s">
        <v>56</v>
      </c>
      <c r="N1" s="51" t="s">
        <v>58</v>
      </c>
      <c r="O1" s="51" t="s">
        <v>66</v>
      </c>
      <c r="P1" s="51" t="s">
        <v>56</v>
      </c>
      <c r="Q1" s="51" t="s">
        <v>58</v>
      </c>
      <c r="R1" s="51" t="s">
        <v>66</v>
      </c>
      <c r="S1" s="51" t="s">
        <v>56</v>
      </c>
      <c r="T1" s="51" t="s">
        <v>58</v>
      </c>
      <c r="U1" s="51" t="s">
        <v>66</v>
      </c>
      <c r="V1" s="51" t="s">
        <v>56</v>
      </c>
      <c r="W1" s="51" t="s">
        <v>58</v>
      </c>
      <c r="X1" s="51" t="s">
        <v>66</v>
      </c>
      <c r="Y1" s="51" t="s">
        <v>56</v>
      </c>
      <c r="Z1" s="51" t="s">
        <v>58</v>
      </c>
      <c r="AA1" s="51" t="s">
        <v>66</v>
      </c>
    </row>
    <row r="2" spans="1:27" ht="14.25" customHeight="1" x14ac:dyDescent="0.75">
      <c r="C2" s="57" t="s">
        <v>150</v>
      </c>
      <c r="D2" s="57"/>
      <c r="E2" s="58"/>
      <c r="F2" s="59"/>
      <c r="G2" s="60"/>
      <c r="H2" s="59"/>
      <c r="I2" s="61"/>
      <c r="J2" s="59"/>
      <c r="K2" s="59"/>
      <c r="L2" s="59"/>
      <c r="M2" s="59" t="s">
        <v>55</v>
      </c>
      <c r="N2" s="59" t="s">
        <v>57</v>
      </c>
      <c r="O2" s="59" t="s">
        <v>65</v>
      </c>
      <c r="P2" s="59" t="s">
        <v>55</v>
      </c>
      <c r="Q2" s="59" t="s">
        <v>57</v>
      </c>
      <c r="R2" s="59" t="s">
        <v>65</v>
      </c>
      <c r="S2" s="59" t="s">
        <v>55</v>
      </c>
      <c r="T2" s="59" t="s">
        <v>57</v>
      </c>
      <c r="U2" s="59" t="s">
        <v>65</v>
      </c>
      <c r="V2" s="59" t="s">
        <v>55</v>
      </c>
      <c r="W2" s="59" t="s">
        <v>57</v>
      </c>
      <c r="X2" s="59" t="s">
        <v>65</v>
      </c>
      <c r="Y2" s="59" t="s">
        <v>55</v>
      </c>
      <c r="Z2" s="59" t="s">
        <v>57</v>
      </c>
      <c r="AA2" s="59" t="s">
        <v>65</v>
      </c>
    </row>
    <row r="3" spans="1:27" ht="14.25" customHeight="1" x14ac:dyDescent="0.75">
      <c r="A3" s="62" t="s">
        <v>129</v>
      </c>
      <c r="B3" s="62" t="s">
        <v>2</v>
      </c>
      <c r="C3" s="62" t="s">
        <v>3</v>
      </c>
      <c r="D3" s="62"/>
      <c r="E3" s="58"/>
      <c r="F3" s="62"/>
      <c r="G3" s="63"/>
      <c r="H3" s="62"/>
      <c r="I3" s="64"/>
      <c r="J3" s="62"/>
      <c r="K3" s="62"/>
      <c r="L3" s="62"/>
      <c r="M3" s="62" t="s">
        <v>54</v>
      </c>
      <c r="N3" s="62" t="s">
        <v>54</v>
      </c>
      <c r="O3" s="62" t="s">
        <v>54</v>
      </c>
      <c r="P3" s="62" t="s">
        <v>59</v>
      </c>
      <c r="Q3" s="62" t="s">
        <v>59</v>
      </c>
      <c r="R3" s="62" t="s">
        <v>59</v>
      </c>
      <c r="S3" s="62" t="s">
        <v>60</v>
      </c>
      <c r="T3" s="62" t="s">
        <v>60</v>
      </c>
      <c r="U3" s="62" t="s">
        <v>60</v>
      </c>
      <c r="V3" s="62" t="s">
        <v>62</v>
      </c>
      <c r="W3" s="62" t="s">
        <v>62</v>
      </c>
      <c r="X3" s="62" t="s">
        <v>62</v>
      </c>
      <c r="Y3" s="62" t="s">
        <v>63</v>
      </c>
      <c r="Z3" s="62" t="s">
        <v>63</v>
      </c>
      <c r="AA3" s="62" t="s">
        <v>63</v>
      </c>
    </row>
    <row r="4" spans="1:27" ht="14.25" customHeight="1" x14ac:dyDescent="0.75">
      <c r="A4" s="62"/>
      <c r="B4" s="62"/>
      <c r="C4" s="62" t="s">
        <v>151</v>
      </c>
      <c r="D4" s="62"/>
      <c r="E4" s="58"/>
      <c r="F4" s="62">
        <f>+M4+P4+S4+V4+Y4</f>
        <v>111</v>
      </c>
      <c r="G4" s="63"/>
      <c r="H4" s="62">
        <f>+N4+Q4+T4+W4+Z4</f>
        <v>400</v>
      </c>
      <c r="I4" s="64"/>
      <c r="J4" s="62">
        <f>+O4+R4+U4+X4+AA4</f>
        <v>48</v>
      </c>
      <c r="K4" s="62" t="s">
        <v>152</v>
      </c>
      <c r="L4" s="62">
        <f>SUM(F4:J4)</f>
        <v>559</v>
      </c>
      <c r="M4" s="62">
        <v>30</v>
      </c>
      <c r="N4" s="62">
        <v>135</v>
      </c>
      <c r="O4" s="62">
        <v>48</v>
      </c>
      <c r="Q4" s="62">
        <v>100</v>
      </c>
      <c r="R4" s="62"/>
      <c r="S4" s="62">
        <v>31</v>
      </c>
      <c r="T4" s="62">
        <v>10</v>
      </c>
      <c r="U4" s="62"/>
      <c r="V4" s="62">
        <v>26</v>
      </c>
      <c r="W4" s="62">
        <v>75</v>
      </c>
      <c r="X4" s="62"/>
      <c r="Y4" s="62">
        <v>24</v>
      </c>
      <c r="Z4" s="62">
        <v>80</v>
      </c>
      <c r="AA4" s="62"/>
    </row>
    <row r="5" spans="1:27" ht="14.25" customHeight="1" x14ac:dyDescent="0.75">
      <c r="A5" s="50">
        <v>666501</v>
      </c>
      <c r="B5" s="50" t="s">
        <v>4</v>
      </c>
      <c r="C5" s="50" t="s">
        <v>5</v>
      </c>
      <c r="E5" s="67"/>
      <c r="F5" s="50">
        <f t="shared" ref="F5:F25" si="0">SUM(M5,P5,S5,V5,Y5)</f>
        <v>0</v>
      </c>
      <c r="G5" s="60"/>
      <c r="H5" s="50">
        <f t="shared" ref="H5:H18" si="1">SUM(N5,Q5,T5,W5,Z5)</f>
        <v>0</v>
      </c>
      <c r="I5" s="61"/>
      <c r="J5" s="50">
        <f t="shared" ref="J5:J25" si="2">SUM(O5,R5,U5,X5,AA5)</f>
        <v>0</v>
      </c>
      <c r="K5" s="50">
        <f t="shared" ref="K5:K24" si="3">+E5+G5+I5</f>
        <v>0</v>
      </c>
      <c r="L5" s="50">
        <f t="shared" ref="L5:L25" si="4">SUM(F5,H5,J5)</f>
        <v>0</v>
      </c>
    </row>
    <row r="6" spans="1:27" ht="14.25" customHeight="1" x14ac:dyDescent="0.75">
      <c r="A6" s="50">
        <v>666502</v>
      </c>
      <c r="B6" s="50" t="s">
        <v>6</v>
      </c>
      <c r="C6" s="50" t="s">
        <v>7</v>
      </c>
      <c r="E6" s="67"/>
      <c r="F6" s="50">
        <f t="shared" si="0"/>
        <v>0</v>
      </c>
      <c r="G6" s="60">
        <v>307</v>
      </c>
      <c r="H6" s="50">
        <f t="shared" si="1"/>
        <v>142</v>
      </c>
      <c r="I6" s="61">
        <v>40</v>
      </c>
      <c r="J6" s="50">
        <f t="shared" si="2"/>
        <v>0</v>
      </c>
      <c r="K6" s="50">
        <f t="shared" si="3"/>
        <v>347</v>
      </c>
      <c r="L6" s="50">
        <f t="shared" si="4"/>
        <v>142</v>
      </c>
      <c r="N6" s="50">
        <v>25</v>
      </c>
      <c r="Q6" s="50">
        <v>32</v>
      </c>
      <c r="T6" s="50">
        <v>50</v>
      </c>
      <c r="W6" s="50">
        <v>12</v>
      </c>
      <c r="Z6" s="50">
        <v>23</v>
      </c>
    </row>
    <row r="7" spans="1:27" ht="14.25" customHeight="1" x14ac:dyDescent="0.75">
      <c r="A7" s="50">
        <v>666505</v>
      </c>
      <c r="B7" s="50" t="s">
        <v>8</v>
      </c>
      <c r="C7" s="50" t="s">
        <v>9</v>
      </c>
      <c r="E7" s="67">
        <v>19</v>
      </c>
      <c r="F7" s="70">
        <f t="shared" si="0"/>
        <v>19</v>
      </c>
      <c r="G7" s="60"/>
      <c r="H7" s="50">
        <f t="shared" si="1"/>
        <v>0</v>
      </c>
      <c r="I7" s="61">
        <v>41</v>
      </c>
      <c r="J7" s="70">
        <f t="shared" si="2"/>
        <v>41</v>
      </c>
      <c r="K7" s="50">
        <f t="shared" si="3"/>
        <v>60</v>
      </c>
      <c r="L7" s="50">
        <f t="shared" si="4"/>
        <v>60</v>
      </c>
      <c r="M7" s="50">
        <v>9</v>
      </c>
      <c r="O7" s="50">
        <v>41</v>
      </c>
      <c r="S7" s="50">
        <v>10</v>
      </c>
    </row>
    <row r="8" spans="1:27" ht="14.25" customHeight="1" x14ac:dyDescent="0.75">
      <c r="A8" s="50">
        <v>666506</v>
      </c>
      <c r="B8" s="50" t="s">
        <v>10</v>
      </c>
      <c r="C8" s="50" t="s">
        <v>11</v>
      </c>
      <c r="E8" s="67"/>
      <c r="F8" s="50">
        <f t="shared" si="0"/>
        <v>0</v>
      </c>
      <c r="G8" s="60">
        <v>200</v>
      </c>
      <c r="H8" s="50">
        <f t="shared" si="1"/>
        <v>8</v>
      </c>
      <c r="I8" s="61"/>
      <c r="J8" s="50">
        <f t="shared" si="2"/>
        <v>0</v>
      </c>
      <c r="K8" s="50">
        <f t="shared" si="3"/>
        <v>200</v>
      </c>
      <c r="L8" s="50">
        <f t="shared" si="4"/>
        <v>8</v>
      </c>
      <c r="Z8" s="50">
        <v>8</v>
      </c>
    </row>
    <row r="9" spans="1:27" ht="14.25" customHeight="1" x14ac:dyDescent="0.75">
      <c r="A9" s="50">
        <v>666507</v>
      </c>
      <c r="B9" s="50" t="s">
        <v>12</v>
      </c>
      <c r="C9" s="50" t="s">
        <v>13</v>
      </c>
      <c r="E9" s="67">
        <v>50</v>
      </c>
      <c r="F9" s="50">
        <f t="shared" si="0"/>
        <v>31</v>
      </c>
      <c r="G9" s="60"/>
      <c r="H9" s="50">
        <f t="shared" si="1"/>
        <v>0</v>
      </c>
      <c r="I9" s="61"/>
      <c r="J9" s="50">
        <f t="shared" si="2"/>
        <v>0</v>
      </c>
      <c r="K9" s="50">
        <f t="shared" si="3"/>
        <v>50</v>
      </c>
      <c r="L9" s="50">
        <f t="shared" si="4"/>
        <v>31</v>
      </c>
      <c r="M9" s="50">
        <v>11</v>
      </c>
      <c r="S9" s="50">
        <v>6</v>
      </c>
      <c r="V9" s="50">
        <v>7</v>
      </c>
      <c r="Y9" s="50">
        <v>7</v>
      </c>
    </row>
    <row r="10" spans="1:27" ht="14.25" customHeight="1" x14ac:dyDescent="0.75">
      <c r="A10" s="50">
        <v>666509</v>
      </c>
      <c r="B10" s="50" t="s">
        <v>14</v>
      </c>
      <c r="C10" s="50" t="s">
        <v>15</v>
      </c>
      <c r="E10" s="67">
        <v>100</v>
      </c>
      <c r="F10" s="50">
        <f t="shared" si="0"/>
        <v>63</v>
      </c>
      <c r="G10" s="60"/>
      <c r="H10" s="50">
        <f t="shared" si="1"/>
        <v>0</v>
      </c>
      <c r="I10" s="61"/>
      <c r="J10" s="50">
        <f t="shared" si="2"/>
        <v>0</v>
      </c>
      <c r="K10" s="50">
        <f t="shared" si="3"/>
        <v>100</v>
      </c>
      <c r="L10" s="50">
        <f t="shared" si="4"/>
        <v>63</v>
      </c>
      <c r="M10" s="50">
        <v>13</v>
      </c>
      <c r="S10" s="50">
        <v>19</v>
      </c>
      <c r="V10" s="50">
        <v>21</v>
      </c>
      <c r="Y10" s="50">
        <v>10</v>
      </c>
    </row>
    <row r="11" spans="1:27" ht="14.25" customHeight="1" x14ac:dyDescent="0.75">
      <c r="A11" s="50">
        <v>666510</v>
      </c>
      <c r="B11" s="50" t="s">
        <v>16</v>
      </c>
      <c r="C11" s="50" t="s">
        <v>17</v>
      </c>
      <c r="E11" s="67"/>
      <c r="F11" s="50">
        <f t="shared" si="0"/>
        <v>0</v>
      </c>
      <c r="G11" s="60"/>
      <c r="H11" s="50">
        <f t="shared" si="1"/>
        <v>0</v>
      </c>
      <c r="I11" s="61"/>
      <c r="J11" s="50">
        <f t="shared" si="2"/>
        <v>0</v>
      </c>
      <c r="K11" s="50">
        <f t="shared" si="3"/>
        <v>0</v>
      </c>
      <c r="L11" s="50">
        <f t="shared" si="4"/>
        <v>0</v>
      </c>
    </row>
    <row r="12" spans="1:27" ht="14.25" customHeight="1" x14ac:dyDescent="0.75">
      <c r="A12" s="50">
        <v>666511</v>
      </c>
      <c r="B12" s="50" t="s">
        <v>18</v>
      </c>
      <c r="C12" s="50" t="s">
        <v>19</v>
      </c>
      <c r="E12" s="67">
        <v>8</v>
      </c>
      <c r="F12" s="50">
        <f t="shared" si="0"/>
        <v>8</v>
      </c>
      <c r="G12" s="60"/>
      <c r="H12" s="50">
        <f t="shared" si="1"/>
        <v>0</v>
      </c>
      <c r="I12" s="61"/>
      <c r="J12" s="50">
        <f t="shared" si="2"/>
        <v>0</v>
      </c>
      <c r="K12" s="50">
        <f t="shared" si="3"/>
        <v>8</v>
      </c>
      <c r="L12" s="50">
        <f t="shared" si="4"/>
        <v>8</v>
      </c>
      <c r="Y12" s="50">
        <v>8</v>
      </c>
    </row>
    <row r="13" spans="1:27" ht="14.25" customHeight="1" x14ac:dyDescent="0.75">
      <c r="A13" s="50">
        <v>666513</v>
      </c>
      <c r="B13" s="50" t="s">
        <v>20</v>
      </c>
      <c r="C13" s="50" t="s">
        <v>21</v>
      </c>
      <c r="E13" s="67"/>
      <c r="F13" s="50">
        <f t="shared" si="0"/>
        <v>0</v>
      </c>
      <c r="G13" s="60"/>
      <c r="H13" s="50">
        <f t="shared" si="1"/>
        <v>0</v>
      </c>
      <c r="I13" s="61"/>
      <c r="J13" s="50">
        <f t="shared" si="2"/>
        <v>0</v>
      </c>
      <c r="K13" s="50">
        <f t="shared" si="3"/>
        <v>0</v>
      </c>
      <c r="L13" s="50">
        <f t="shared" si="4"/>
        <v>0</v>
      </c>
    </row>
    <row r="14" spans="1:27" ht="14.25" customHeight="1" x14ac:dyDescent="0.75">
      <c r="A14" s="50">
        <v>666516</v>
      </c>
      <c r="B14" s="50" t="s">
        <v>22</v>
      </c>
      <c r="C14" s="50" t="s">
        <v>23</v>
      </c>
      <c r="E14" s="67">
        <v>20</v>
      </c>
      <c r="F14" s="70">
        <f t="shared" si="0"/>
        <v>20</v>
      </c>
      <c r="G14" s="60"/>
      <c r="H14" s="50">
        <f t="shared" si="1"/>
        <v>0</v>
      </c>
      <c r="I14" s="61">
        <v>20</v>
      </c>
      <c r="J14" s="50">
        <f t="shared" si="2"/>
        <v>4</v>
      </c>
      <c r="K14" s="50">
        <f t="shared" si="3"/>
        <v>40</v>
      </c>
      <c r="L14" s="50">
        <f t="shared" si="4"/>
        <v>24</v>
      </c>
      <c r="O14" s="50">
        <v>4</v>
      </c>
      <c r="S14" s="50">
        <v>20</v>
      </c>
    </row>
    <row r="15" spans="1:27" ht="14.25" customHeight="1" x14ac:dyDescent="0.75">
      <c r="A15" s="50">
        <v>666517</v>
      </c>
      <c r="B15" s="50" t="s">
        <v>24</v>
      </c>
      <c r="C15" s="50" t="s">
        <v>25</v>
      </c>
      <c r="E15" s="67">
        <v>33</v>
      </c>
      <c r="F15" s="70">
        <f t="shared" si="0"/>
        <v>33</v>
      </c>
      <c r="G15" s="60"/>
      <c r="H15" s="50">
        <f t="shared" si="1"/>
        <v>0</v>
      </c>
      <c r="I15" s="61">
        <v>15</v>
      </c>
      <c r="J15" s="50">
        <f t="shared" si="2"/>
        <v>5</v>
      </c>
      <c r="K15" s="50">
        <f t="shared" si="3"/>
        <v>48</v>
      </c>
      <c r="L15" s="50">
        <f t="shared" si="4"/>
        <v>38</v>
      </c>
      <c r="M15" s="50">
        <v>14</v>
      </c>
      <c r="O15" s="50">
        <v>5</v>
      </c>
      <c r="S15" s="50">
        <v>19</v>
      </c>
    </row>
    <row r="16" spans="1:27" ht="14.25" customHeight="1" x14ac:dyDescent="0.75">
      <c r="A16" s="50">
        <v>666518</v>
      </c>
      <c r="B16" s="50" t="s">
        <v>26</v>
      </c>
      <c r="C16" s="50" t="s">
        <v>27</v>
      </c>
      <c r="E16" s="67"/>
      <c r="F16" s="50">
        <f t="shared" si="0"/>
        <v>0</v>
      </c>
      <c r="G16" s="60"/>
      <c r="H16" s="50">
        <f t="shared" si="1"/>
        <v>0</v>
      </c>
      <c r="I16" s="61"/>
      <c r="J16" s="50">
        <f t="shared" si="2"/>
        <v>0</v>
      </c>
      <c r="K16" s="50">
        <f t="shared" si="3"/>
        <v>0</v>
      </c>
      <c r="L16" s="50">
        <f t="shared" si="4"/>
        <v>0</v>
      </c>
    </row>
    <row r="17" spans="1:26" ht="14.25" customHeight="1" x14ac:dyDescent="0.75">
      <c r="A17" s="50">
        <v>666519</v>
      </c>
      <c r="B17" s="50" t="s">
        <v>28</v>
      </c>
      <c r="C17" s="50" t="s">
        <v>29</v>
      </c>
      <c r="E17" s="67">
        <v>30</v>
      </c>
      <c r="F17" s="70">
        <f t="shared" si="0"/>
        <v>30</v>
      </c>
      <c r="G17" s="60"/>
      <c r="H17" s="50">
        <f t="shared" si="1"/>
        <v>0</v>
      </c>
      <c r="I17" s="61">
        <v>30</v>
      </c>
      <c r="J17" s="50">
        <f t="shared" si="2"/>
        <v>4</v>
      </c>
      <c r="K17" s="50">
        <f t="shared" si="3"/>
        <v>60</v>
      </c>
      <c r="L17" s="50">
        <f t="shared" si="4"/>
        <v>34</v>
      </c>
      <c r="M17" s="50">
        <v>6</v>
      </c>
      <c r="O17" s="50">
        <v>4</v>
      </c>
      <c r="S17" s="50">
        <v>24</v>
      </c>
    </row>
    <row r="18" spans="1:26" ht="14.25" customHeight="1" x14ac:dyDescent="0.75">
      <c r="A18" s="50">
        <v>666521</v>
      </c>
      <c r="B18" s="50" t="s">
        <v>30</v>
      </c>
      <c r="C18" s="50" t="s">
        <v>31</v>
      </c>
      <c r="E18" s="67"/>
      <c r="F18" s="50">
        <f t="shared" si="0"/>
        <v>0</v>
      </c>
      <c r="G18" s="60"/>
      <c r="H18" s="50">
        <f t="shared" si="1"/>
        <v>0</v>
      </c>
      <c r="I18" s="61"/>
      <c r="J18" s="50">
        <f t="shared" si="2"/>
        <v>0</v>
      </c>
      <c r="K18" s="50">
        <f t="shared" si="3"/>
        <v>0</v>
      </c>
      <c r="L18" s="50">
        <f t="shared" si="4"/>
        <v>0</v>
      </c>
    </row>
    <row r="19" spans="1:26" ht="14.25" customHeight="1" x14ac:dyDescent="0.75">
      <c r="A19" s="50">
        <v>666522</v>
      </c>
      <c r="B19" s="50" t="s">
        <v>32</v>
      </c>
      <c r="C19" s="50" t="s">
        <v>33</v>
      </c>
      <c r="E19" s="67">
        <v>140</v>
      </c>
      <c r="F19" s="50">
        <f t="shared" si="0"/>
        <v>125</v>
      </c>
      <c r="G19" s="60">
        <v>205</v>
      </c>
      <c r="H19" s="70">
        <v>205</v>
      </c>
      <c r="I19" s="61">
        <v>85</v>
      </c>
      <c r="J19" s="50">
        <f t="shared" si="2"/>
        <v>65</v>
      </c>
      <c r="K19" s="50">
        <f t="shared" si="3"/>
        <v>430</v>
      </c>
      <c r="L19" s="50">
        <f t="shared" si="4"/>
        <v>395</v>
      </c>
      <c r="M19" s="50">
        <v>45</v>
      </c>
      <c r="N19" s="50">
        <v>165</v>
      </c>
      <c r="O19" s="50">
        <v>65</v>
      </c>
      <c r="Q19" s="50">
        <v>50</v>
      </c>
      <c r="S19" s="50">
        <v>20</v>
      </c>
      <c r="V19" s="50">
        <v>40</v>
      </c>
      <c r="Y19" s="50">
        <v>20</v>
      </c>
    </row>
    <row r="20" spans="1:26" ht="14.25" customHeight="1" x14ac:dyDescent="0.75">
      <c r="A20" s="50">
        <v>666523</v>
      </c>
      <c r="B20" s="50" t="s">
        <v>34</v>
      </c>
      <c r="C20" s="50" t="s">
        <v>35</v>
      </c>
      <c r="E20" s="67"/>
      <c r="F20" s="50">
        <f t="shared" si="0"/>
        <v>0</v>
      </c>
      <c r="G20" s="60">
        <v>47</v>
      </c>
      <c r="H20" s="50">
        <f>SUM(N20,Q20,T20,W20,Z20)</f>
        <v>47</v>
      </c>
      <c r="I20" s="61">
        <v>12</v>
      </c>
      <c r="J20" s="50">
        <f t="shared" si="2"/>
        <v>3</v>
      </c>
      <c r="K20" s="50">
        <f t="shared" si="3"/>
        <v>59</v>
      </c>
      <c r="L20" s="50">
        <f t="shared" si="4"/>
        <v>50</v>
      </c>
      <c r="N20" s="50">
        <v>47</v>
      </c>
      <c r="O20" s="50">
        <v>3</v>
      </c>
    </row>
    <row r="21" spans="1:26" ht="14.25" customHeight="1" x14ac:dyDescent="0.75">
      <c r="A21" s="50">
        <v>666530</v>
      </c>
      <c r="B21" s="50" t="s">
        <v>36</v>
      </c>
      <c r="C21" s="50" t="s">
        <v>37</v>
      </c>
      <c r="E21" s="67">
        <v>5</v>
      </c>
      <c r="F21" s="70">
        <f t="shared" si="0"/>
        <v>5</v>
      </c>
      <c r="G21" s="60"/>
      <c r="H21" s="50">
        <f>SUM(N21,Q21,T21,W21,Z21)</f>
        <v>0</v>
      </c>
      <c r="I21" s="61">
        <v>15</v>
      </c>
      <c r="J21" s="50">
        <f t="shared" si="2"/>
        <v>0</v>
      </c>
      <c r="K21" s="50">
        <f t="shared" si="3"/>
        <v>20</v>
      </c>
      <c r="L21" s="50">
        <f t="shared" si="4"/>
        <v>5</v>
      </c>
      <c r="M21" s="50">
        <v>1</v>
      </c>
      <c r="S21" s="50">
        <v>4</v>
      </c>
    </row>
    <row r="22" spans="1:26" ht="14.25" customHeight="1" x14ac:dyDescent="0.75">
      <c r="A22" s="50">
        <v>666531</v>
      </c>
      <c r="B22" s="50" t="s">
        <v>38</v>
      </c>
      <c r="C22" s="50" t="s">
        <v>39</v>
      </c>
      <c r="E22" s="67">
        <v>18</v>
      </c>
      <c r="F22" s="70">
        <f t="shared" si="0"/>
        <v>18</v>
      </c>
      <c r="G22" s="60"/>
      <c r="H22" s="50">
        <f>SUM(N22,Q22,T22,W22,Z22)</f>
        <v>0</v>
      </c>
      <c r="I22" s="61">
        <v>8</v>
      </c>
      <c r="J22" s="50">
        <f t="shared" si="2"/>
        <v>0</v>
      </c>
      <c r="K22" s="50">
        <f t="shared" si="3"/>
        <v>26</v>
      </c>
      <c r="L22" s="50">
        <f t="shared" si="4"/>
        <v>18</v>
      </c>
      <c r="M22" s="50">
        <v>1</v>
      </c>
      <c r="S22" s="50">
        <v>17</v>
      </c>
    </row>
    <row r="23" spans="1:26" ht="14.25" customHeight="1" x14ac:dyDescent="0.75">
      <c r="A23" s="50">
        <v>666540</v>
      </c>
      <c r="B23" s="50" t="s">
        <v>40</v>
      </c>
      <c r="C23" s="50" t="s">
        <v>40</v>
      </c>
      <c r="E23" s="67"/>
      <c r="F23" s="50">
        <f t="shared" si="0"/>
        <v>0</v>
      </c>
      <c r="G23" s="60">
        <v>240</v>
      </c>
      <c r="H23" s="50">
        <f>SUM(N23,Q23,T23,W23,Z23)</f>
        <v>45</v>
      </c>
      <c r="I23" s="61"/>
      <c r="J23" s="50">
        <f t="shared" si="2"/>
        <v>0</v>
      </c>
      <c r="K23" s="50">
        <f t="shared" si="3"/>
        <v>240</v>
      </c>
      <c r="L23" s="50">
        <f t="shared" si="4"/>
        <v>45</v>
      </c>
      <c r="N23" s="50">
        <v>6</v>
      </c>
      <c r="Q23" s="50">
        <v>12</v>
      </c>
      <c r="T23" s="50">
        <v>11</v>
      </c>
      <c r="W23" s="50">
        <v>10</v>
      </c>
      <c r="Z23" s="50">
        <v>6</v>
      </c>
    </row>
    <row r="24" spans="1:26" ht="14.25" customHeight="1" x14ac:dyDescent="0.75">
      <c r="A24" s="50">
        <v>666541</v>
      </c>
      <c r="B24" s="50" t="s">
        <v>41</v>
      </c>
      <c r="C24" s="50" t="s">
        <v>41</v>
      </c>
      <c r="E24" s="67"/>
      <c r="F24" s="50">
        <f t="shared" si="0"/>
        <v>0</v>
      </c>
      <c r="G24" s="60">
        <v>240</v>
      </c>
      <c r="H24" s="50">
        <v>158</v>
      </c>
      <c r="I24" s="61"/>
      <c r="J24" s="50">
        <f t="shared" si="2"/>
        <v>0</v>
      </c>
      <c r="K24" s="50">
        <f t="shared" si="3"/>
        <v>240</v>
      </c>
      <c r="L24" s="50">
        <f t="shared" si="4"/>
        <v>158</v>
      </c>
      <c r="N24" s="50">
        <v>28</v>
      </c>
      <c r="Q24" s="50">
        <v>40</v>
      </c>
      <c r="T24" s="50">
        <v>28</v>
      </c>
      <c r="W24" s="50">
        <v>41</v>
      </c>
      <c r="Z24" s="50">
        <v>22</v>
      </c>
    </row>
    <row r="25" spans="1:26" ht="14.25" customHeight="1" x14ac:dyDescent="0.75">
      <c r="A25" s="50">
        <v>666536</v>
      </c>
      <c r="B25" s="50" t="s">
        <v>42</v>
      </c>
      <c r="C25" s="50" t="s">
        <v>43</v>
      </c>
      <c r="E25" s="67">
        <v>2</v>
      </c>
      <c r="F25" s="50">
        <f t="shared" si="0"/>
        <v>2</v>
      </c>
      <c r="G25" s="60"/>
      <c r="H25" s="50">
        <f>SUM(N25,Q25,T25,W25,Z25)</f>
        <v>0</v>
      </c>
      <c r="I25" s="61"/>
      <c r="J25" s="50">
        <f t="shared" si="2"/>
        <v>0</v>
      </c>
      <c r="K25" s="50">
        <f>+E25+G25+H25</f>
        <v>2</v>
      </c>
      <c r="L25" s="50">
        <f t="shared" si="4"/>
        <v>2</v>
      </c>
      <c r="S25" s="50">
        <v>2</v>
      </c>
    </row>
    <row r="26" spans="1:26" ht="14.25" customHeight="1" x14ac:dyDescent="0.75">
      <c r="C26" s="71"/>
      <c r="D26" s="71"/>
      <c r="E26" s="71"/>
      <c r="F26" s="71"/>
      <c r="G26" s="71"/>
      <c r="H26" s="71"/>
      <c r="I26" s="71"/>
      <c r="J26" s="71"/>
      <c r="L26" s="71"/>
    </row>
    <row r="27" spans="1:26" ht="14.25" customHeight="1" x14ac:dyDescent="0.75">
      <c r="C27" s="71"/>
      <c r="D27" s="71"/>
      <c r="E27" s="71"/>
      <c r="F27" s="71"/>
      <c r="G27" s="71"/>
      <c r="H27" s="71"/>
      <c r="I27" s="71"/>
      <c r="J27" s="71"/>
      <c r="L27" s="71"/>
    </row>
    <row r="28" spans="1:26" ht="14.25" customHeight="1" x14ac:dyDescent="0.75">
      <c r="C28" s="71"/>
      <c r="D28" s="71"/>
      <c r="E28" s="71"/>
      <c r="F28" s="71"/>
      <c r="G28" s="71"/>
      <c r="H28" s="71"/>
      <c r="I28" s="71"/>
      <c r="J28" s="71"/>
      <c r="L28" s="71"/>
    </row>
    <row r="29" spans="1:26" ht="14.25" customHeight="1" x14ac:dyDescent="0.75">
      <c r="C29" s="71"/>
      <c r="D29" s="71"/>
      <c r="E29" s="71"/>
      <c r="F29" s="71"/>
      <c r="G29" s="71"/>
      <c r="H29" s="71"/>
      <c r="I29" s="71"/>
      <c r="J29" s="71"/>
      <c r="L29" s="71"/>
    </row>
    <row r="30" spans="1:26" ht="14.25" customHeight="1" x14ac:dyDescent="0.75">
      <c r="C30" s="71"/>
      <c r="D30" s="71"/>
      <c r="E30" s="71"/>
      <c r="F30" s="71"/>
      <c r="G30" s="71"/>
      <c r="H30" s="71"/>
      <c r="I30" s="71"/>
      <c r="J30" s="71"/>
      <c r="L30" s="71"/>
    </row>
    <row r="31" spans="1:26" ht="14.25" customHeight="1" x14ac:dyDescent="0.75">
      <c r="C31" s="71"/>
      <c r="D31" s="71"/>
      <c r="E31" s="71"/>
      <c r="F31" s="71"/>
      <c r="G31" s="71"/>
      <c r="H31" s="71"/>
      <c r="I31" s="71"/>
      <c r="J31" s="71"/>
      <c r="L31" s="71"/>
    </row>
    <row r="32" spans="1:26" ht="14.25" customHeight="1" x14ac:dyDescent="0.75">
      <c r="C32" s="72"/>
      <c r="D32" s="71"/>
      <c r="E32" s="71"/>
      <c r="F32" s="71"/>
      <c r="G32" s="71"/>
      <c r="H32" s="71"/>
      <c r="I32" s="71"/>
      <c r="J32" s="71"/>
      <c r="L32" s="71"/>
    </row>
    <row r="33" spans="3:14" ht="14.25" customHeight="1" x14ac:dyDescent="0.75">
      <c r="C33" s="71"/>
      <c r="D33" s="71"/>
      <c r="E33" s="71"/>
      <c r="F33" s="71"/>
      <c r="G33" s="71"/>
      <c r="H33" s="71"/>
      <c r="I33" s="71"/>
      <c r="J33" s="71"/>
      <c r="L33" s="71"/>
    </row>
    <row r="34" spans="3:14" ht="14.25" customHeight="1" x14ac:dyDescent="0.75">
      <c r="C34" s="71"/>
      <c r="D34" s="71"/>
      <c r="E34" s="71"/>
      <c r="F34" s="71"/>
      <c r="G34" s="71"/>
      <c r="H34" s="71"/>
      <c r="I34" s="71"/>
      <c r="J34" s="71"/>
      <c r="L34" s="71"/>
    </row>
    <row r="35" spans="3:14" ht="14.25" customHeight="1" x14ac:dyDescent="0.75">
      <c r="C35" s="71"/>
      <c r="D35" s="71"/>
      <c r="E35" s="71"/>
      <c r="F35" s="71"/>
      <c r="G35" s="71"/>
      <c r="H35" s="71"/>
      <c r="I35" s="71"/>
      <c r="J35" s="71"/>
      <c r="L35" s="71"/>
    </row>
    <row r="36" spans="3:14" ht="14.25" customHeight="1" x14ac:dyDescent="0.75">
      <c r="C36" s="71"/>
      <c r="D36" s="71"/>
      <c r="E36" s="71"/>
      <c r="F36" s="71"/>
      <c r="G36" s="71"/>
      <c r="H36" s="71"/>
      <c r="I36" s="71"/>
      <c r="J36" s="71"/>
      <c r="L36" s="71"/>
    </row>
    <row r="37" spans="3:14" ht="14.25" customHeight="1" x14ac:dyDescent="0.75">
      <c r="C37" s="71"/>
      <c r="D37" s="71"/>
      <c r="E37" s="71"/>
      <c r="F37" s="71"/>
      <c r="G37" s="71"/>
      <c r="H37" s="71"/>
      <c r="I37" s="71"/>
      <c r="J37" s="71"/>
      <c r="L37" s="71"/>
    </row>
    <row r="38" spans="3:14" ht="14.25" customHeight="1" x14ac:dyDescent="0.75">
      <c r="C38" s="71"/>
      <c r="D38" s="71"/>
      <c r="E38" s="71"/>
      <c r="F38" s="71"/>
      <c r="G38" s="71"/>
      <c r="H38" s="71"/>
      <c r="I38" s="71"/>
      <c r="J38" s="71"/>
      <c r="L38" s="71"/>
    </row>
    <row r="39" spans="3:14" ht="14.25" customHeight="1" x14ac:dyDescent="0.75">
      <c r="C39" s="71"/>
      <c r="D39" s="71"/>
      <c r="E39" s="71"/>
      <c r="F39" s="71"/>
      <c r="G39" s="71"/>
      <c r="H39" s="71"/>
      <c r="I39" s="71"/>
      <c r="J39" s="71"/>
      <c r="L39" s="71"/>
    </row>
    <row r="40" spans="3:14" ht="14.25" customHeight="1" x14ac:dyDescent="0.75">
      <c r="C40" s="71"/>
      <c r="D40" s="71"/>
      <c r="E40" s="71"/>
      <c r="F40" s="71"/>
      <c r="G40" s="71"/>
      <c r="H40" s="71"/>
      <c r="I40" s="71"/>
      <c r="J40" s="71"/>
      <c r="L40" s="71"/>
    </row>
    <row r="41" spans="3:14" ht="14.25" customHeight="1" x14ac:dyDescent="0.75">
      <c r="C41" s="71"/>
      <c r="D41" s="71"/>
      <c r="E41" s="71"/>
      <c r="F41" s="71"/>
      <c r="G41" s="71"/>
      <c r="H41" s="71"/>
      <c r="I41" s="71"/>
      <c r="J41" s="71"/>
      <c r="L41" s="71"/>
    </row>
    <row r="42" spans="3:14" ht="14.25" customHeight="1" x14ac:dyDescent="0.75">
      <c r="C42" s="71"/>
      <c r="D42" s="71"/>
      <c r="E42" s="71"/>
      <c r="F42" s="71"/>
      <c r="G42" s="71"/>
      <c r="H42" s="71"/>
      <c r="I42" s="71"/>
      <c r="J42" s="71"/>
      <c r="L42" s="71"/>
    </row>
    <row r="48" spans="3:14" ht="14.25" customHeight="1" x14ac:dyDescent="0.75">
      <c r="C48" s="50" t="s">
        <v>153</v>
      </c>
      <c r="J48" s="50" t="s">
        <v>153</v>
      </c>
      <c r="K48" s="50" t="s">
        <v>154</v>
      </c>
      <c r="L48" s="73" t="s">
        <v>155</v>
      </c>
      <c r="M48" s="50" t="s">
        <v>156</v>
      </c>
      <c r="N48" s="74" t="s">
        <v>157</v>
      </c>
    </row>
    <row r="49" spans="3:14" ht="14.25" customHeight="1" x14ac:dyDescent="0.75">
      <c r="C49" s="50" t="str">
        <f>+N2</f>
        <v>Jesus</v>
      </c>
      <c r="D49" s="75"/>
      <c r="E49" s="75"/>
      <c r="J49" s="50" t="s">
        <v>65</v>
      </c>
      <c r="K49" s="50">
        <f>SUM(E5:E22)</f>
        <v>423</v>
      </c>
      <c r="L49" s="50">
        <f>SUM(F5:F22)</f>
        <v>352</v>
      </c>
      <c r="M49" s="50">
        <f>+L49-K49</f>
        <v>-71</v>
      </c>
      <c r="N49" s="76">
        <f>+L49/K49</f>
        <v>0.8321513002364066</v>
      </c>
    </row>
    <row r="50" spans="3:14" ht="14.25" customHeight="1" x14ac:dyDescent="0.75">
      <c r="C50" s="50" t="str">
        <f>+M2</f>
        <v>Wilfredo</v>
      </c>
      <c r="D50" s="75"/>
      <c r="E50" s="75"/>
      <c r="J50" s="50" t="s">
        <v>55</v>
      </c>
      <c r="K50" s="50">
        <f>SUM(G5:G22)</f>
        <v>759</v>
      </c>
      <c r="L50" s="50">
        <f>SUM(H5:H22)</f>
        <v>402</v>
      </c>
      <c r="M50" s="50">
        <f>+L50-K50</f>
        <v>-357</v>
      </c>
      <c r="N50" s="76">
        <f>+L50/K50</f>
        <v>0.52964426877470361</v>
      </c>
    </row>
    <row r="51" spans="3:14" ht="14.25" customHeight="1" x14ac:dyDescent="0.75">
      <c r="J51" s="50" t="s">
        <v>158</v>
      </c>
      <c r="K51" s="50">
        <f>SUM(I5:I22)</f>
        <v>266</v>
      </c>
      <c r="L51" s="50">
        <f>SUM(J5:J22)</f>
        <v>122</v>
      </c>
      <c r="M51" s="50">
        <f>+L51-K51</f>
        <v>-144</v>
      </c>
      <c r="N51" s="76">
        <f>+L51/K51</f>
        <v>0.45864661654135336</v>
      </c>
    </row>
  </sheetData>
  <conditionalFormatting sqref="F5:J24 F25 H25 J25">
    <cfRule type="expression" dxfId="292" priority="6">
      <formula>#REF!=F5</formula>
    </cfRule>
    <cfRule type="expression" dxfId="291" priority="7">
      <formula>#REF!&lt;F5</formula>
    </cfRule>
    <cfRule type="expression" dxfId="290" priority="8">
      <formula>#REF!&gt;F5</formula>
    </cfRule>
  </conditionalFormatting>
  <conditionalFormatting sqref="K5:K25">
    <cfRule type="cellIs" dxfId="289" priority="2" operator="equal">
      <formula>0</formula>
    </cfRule>
  </conditionalFormatting>
  <conditionalFormatting sqref="L5:L25">
    <cfRule type="expression" dxfId="288" priority="3">
      <formula>K5=L5</formula>
    </cfRule>
    <cfRule type="expression" dxfId="287" priority="4">
      <formula>K5&lt;L5</formula>
    </cfRule>
    <cfRule type="expression" dxfId="286" priority="5">
      <formula>K5&gt;L5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51"/>
  <sheetViews>
    <sheetView zoomScaleNormal="100" workbookViewId="0">
      <selection activeCell="G33" sqref="G33"/>
    </sheetView>
  </sheetViews>
  <sheetFormatPr defaultColWidth="8.6796875" defaultRowHeight="14.75" x14ac:dyDescent="0.75"/>
  <cols>
    <col min="1" max="1" width="8.6796875" style="50"/>
    <col min="2" max="2" width="41.54296875" style="50" customWidth="1"/>
    <col min="3" max="3" width="22.6796875" style="50" customWidth="1"/>
    <col min="4" max="4" width="9.54296875" style="50" hidden="1" customWidth="1"/>
    <col min="5" max="5" width="8.6796875" style="50"/>
    <col min="6" max="6" width="9.86328125" style="50" customWidth="1"/>
    <col min="7" max="7" width="7.31640625" style="50" customWidth="1"/>
    <col min="8" max="8" width="8.453125" style="50" customWidth="1"/>
    <col min="9" max="9" width="7.453125" style="50" customWidth="1"/>
    <col min="10" max="10" width="7.6796875" style="50" customWidth="1"/>
    <col min="11" max="11" width="7.31640625" style="50" customWidth="1"/>
    <col min="12" max="16384" width="8.6796875" style="50"/>
  </cols>
  <sheetData>
    <row r="1" spans="1:27" s="51" customFormat="1" ht="41.25" customHeight="1" x14ac:dyDescent="0.75">
      <c r="C1" s="51" t="s">
        <v>176</v>
      </c>
      <c r="D1" s="51" t="s">
        <v>144</v>
      </c>
      <c r="E1" s="52" t="s">
        <v>116</v>
      </c>
      <c r="F1" s="53" t="s">
        <v>145</v>
      </c>
      <c r="G1" s="54" t="s">
        <v>119</v>
      </c>
      <c r="H1" s="53" t="s">
        <v>146</v>
      </c>
      <c r="I1" s="55" t="s">
        <v>122</v>
      </c>
      <c r="J1" s="56" t="s">
        <v>147</v>
      </c>
      <c r="K1" s="51" t="s">
        <v>148</v>
      </c>
      <c r="L1" s="53" t="s">
        <v>149</v>
      </c>
      <c r="M1" s="51" t="s">
        <v>56</v>
      </c>
      <c r="N1" s="51" t="s">
        <v>58</v>
      </c>
      <c r="O1" s="51" t="s">
        <v>66</v>
      </c>
      <c r="P1" s="51" t="s">
        <v>56</v>
      </c>
      <c r="Q1" s="51" t="s">
        <v>58</v>
      </c>
      <c r="R1" s="51" t="s">
        <v>66</v>
      </c>
      <c r="S1" s="51" t="s">
        <v>56</v>
      </c>
      <c r="T1" s="51" t="s">
        <v>58</v>
      </c>
      <c r="U1" s="51" t="s">
        <v>66</v>
      </c>
      <c r="V1" s="51" t="s">
        <v>56</v>
      </c>
      <c r="W1" s="51" t="s">
        <v>58</v>
      </c>
      <c r="X1" s="51" t="s">
        <v>66</v>
      </c>
      <c r="Y1" s="51" t="s">
        <v>56</v>
      </c>
      <c r="Z1" s="51" t="s">
        <v>58</v>
      </c>
      <c r="AA1" s="51" t="s">
        <v>66</v>
      </c>
    </row>
    <row r="2" spans="1:27" ht="14.25" customHeight="1" x14ac:dyDescent="0.75">
      <c r="C2" s="57" t="s">
        <v>150</v>
      </c>
      <c r="D2" s="57"/>
      <c r="E2" s="57"/>
      <c r="F2" s="57"/>
      <c r="G2" s="57"/>
      <c r="H2" s="59"/>
      <c r="I2" s="59"/>
      <c r="J2" s="59"/>
      <c r="K2" s="59"/>
      <c r="L2" s="59"/>
      <c r="M2" s="59" t="s">
        <v>55</v>
      </c>
      <c r="N2" s="59" t="s">
        <v>57</v>
      </c>
      <c r="O2" s="59" t="s">
        <v>65</v>
      </c>
      <c r="P2" s="59" t="s">
        <v>55</v>
      </c>
      <c r="Q2" s="59" t="s">
        <v>57</v>
      </c>
      <c r="R2" s="59" t="s">
        <v>65</v>
      </c>
      <c r="S2" s="59" t="s">
        <v>55</v>
      </c>
      <c r="T2" s="59" t="s">
        <v>57</v>
      </c>
      <c r="U2" s="59" t="s">
        <v>65</v>
      </c>
      <c r="V2" s="59" t="s">
        <v>55</v>
      </c>
      <c r="W2" s="59" t="s">
        <v>57</v>
      </c>
      <c r="X2" s="59" t="s">
        <v>55</v>
      </c>
      <c r="Y2" s="59" t="s">
        <v>55</v>
      </c>
      <c r="Z2" s="59" t="s">
        <v>57</v>
      </c>
      <c r="AA2" s="59" t="s">
        <v>65</v>
      </c>
    </row>
    <row r="3" spans="1:27" ht="14.25" customHeight="1" x14ac:dyDescent="0.75">
      <c r="A3" s="62" t="s">
        <v>129</v>
      </c>
      <c r="B3" s="62" t="s">
        <v>2</v>
      </c>
      <c r="C3" s="62" t="s">
        <v>3</v>
      </c>
      <c r="D3" s="62"/>
      <c r="E3" s="58"/>
      <c r="F3" s="62"/>
      <c r="G3" s="63"/>
      <c r="H3" s="62"/>
      <c r="I3" s="64"/>
      <c r="J3" s="62"/>
      <c r="K3" s="62"/>
      <c r="L3" s="62"/>
      <c r="M3" s="62" t="s">
        <v>54</v>
      </c>
      <c r="N3" s="62" t="s">
        <v>54</v>
      </c>
      <c r="O3" s="62" t="s">
        <v>54</v>
      </c>
      <c r="P3" s="62" t="s">
        <v>59</v>
      </c>
      <c r="Q3" s="62" t="s">
        <v>59</v>
      </c>
      <c r="R3" s="62" t="s">
        <v>59</v>
      </c>
      <c r="S3" s="62" t="s">
        <v>60</v>
      </c>
      <c r="T3" s="62" t="s">
        <v>60</v>
      </c>
      <c r="U3" s="62" t="s">
        <v>60</v>
      </c>
      <c r="V3" s="62" t="s">
        <v>62</v>
      </c>
      <c r="W3" s="62" t="s">
        <v>62</v>
      </c>
      <c r="X3" s="62" t="s">
        <v>62</v>
      </c>
      <c r="Y3" s="62" t="s">
        <v>63</v>
      </c>
      <c r="Z3" s="62" t="s">
        <v>63</v>
      </c>
      <c r="AA3" s="62" t="s">
        <v>63</v>
      </c>
    </row>
    <row r="4" spans="1:27" ht="14.25" customHeight="1" x14ac:dyDescent="0.75">
      <c r="A4" s="62"/>
      <c r="B4" s="62"/>
      <c r="C4" s="62" t="s">
        <v>151</v>
      </c>
      <c r="D4" s="62"/>
      <c r="E4" s="58"/>
      <c r="F4" s="62">
        <f t="shared" ref="F4:F25" si="0">+M4+P4+S4+V4+Y4</f>
        <v>40</v>
      </c>
      <c r="G4" s="147"/>
      <c r="H4" s="62">
        <f>+N4+Q4+T4+W4+Z4</f>
        <v>223</v>
      </c>
      <c r="I4" s="64"/>
      <c r="J4" s="62">
        <f t="shared" ref="J4:J25" si="1">+O4+R4+U4+X4+AA4</f>
        <v>36</v>
      </c>
      <c r="K4" s="62" t="s">
        <v>152</v>
      </c>
      <c r="L4" s="62"/>
      <c r="M4" s="148"/>
      <c r="N4" s="148"/>
      <c r="O4" s="148"/>
      <c r="Q4" s="62">
        <v>120</v>
      </c>
      <c r="R4" s="62"/>
      <c r="S4" s="62">
        <v>28</v>
      </c>
      <c r="T4" s="62"/>
      <c r="U4" s="62"/>
      <c r="V4" s="62"/>
      <c r="W4" s="62">
        <v>28</v>
      </c>
      <c r="X4" s="62">
        <v>36</v>
      </c>
      <c r="Y4" s="62">
        <v>12</v>
      </c>
      <c r="Z4" s="62">
        <v>75</v>
      </c>
      <c r="AA4" s="62"/>
    </row>
    <row r="5" spans="1:27" ht="14.25" customHeight="1" x14ac:dyDescent="0.75">
      <c r="A5" s="50">
        <v>666501</v>
      </c>
      <c r="B5" s="50" t="s">
        <v>4</v>
      </c>
      <c r="C5" s="50" t="s">
        <v>5</v>
      </c>
      <c r="E5" s="67">
        <v>0</v>
      </c>
      <c r="F5" s="50">
        <f t="shared" si="0"/>
        <v>0</v>
      </c>
      <c r="G5" s="149">
        <v>0</v>
      </c>
      <c r="H5" s="50">
        <f t="shared" ref="H5:H25" si="2">+M5+Q5+T5+W5+Z5</f>
        <v>0</v>
      </c>
      <c r="I5" s="61">
        <v>0</v>
      </c>
      <c r="J5" s="50">
        <f t="shared" si="1"/>
        <v>0</v>
      </c>
      <c r="K5" s="50">
        <f t="shared" ref="K5:K24" si="3">+E5+G5+I5</f>
        <v>0</v>
      </c>
      <c r="L5" s="50">
        <f t="shared" ref="L5:L25" si="4">SUM(F5,H5,J5)</f>
        <v>0</v>
      </c>
      <c r="M5" s="150"/>
      <c r="N5" s="150"/>
      <c r="O5" s="150"/>
    </row>
    <row r="6" spans="1:27" ht="14.25" customHeight="1" x14ac:dyDescent="0.75">
      <c r="A6" s="50">
        <v>666502</v>
      </c>
      <c r="B6" s="50" t="s">
        <v>6</v>
      </c>
      <c r="C6" s="50" t="s">
        <v>7</v>
      </c>
      <c r="E6" s="67">
        <v>0</v>
      </c>
      <c r="F6" s="50">
        <f t="shared" si="0"/>
        <v>0</v>
      </c>
      <c r="G6" s="149">
        <v>165</v>
      </c>
      <c r="H6" s="50">
        <f t="shared" si="2"/>
        <v>121</v>
      </c>
      <c r="I6" s="61">
        <v>40</v>
      </c>
      <c r="J6" s="50">
        <f t="shared" si="1"/>
        <v>28</v>
      </c>
      <c r="K6" s="50">
        <f t="shared" si="3"/>
        <v>205</v>
      </c>
      <c r="L6" s="50">
        <f t="shared" si="4"/>
        <v>149</v>
      </c>
      <c r="M6" s="150"/>
      <c r="N6" s="150"/>
      <c r="O6" s="150"/>
      <c r="Q6" s="50">
        <v>36</v>
      </c>
      <c r="T6" s="50">
        <v>40</v>
      </c>
      <c r="W6" s="50">
        <v>25</v>
      </c>
      <c r="X6" s="50">
        <v>28</v>
      </c>
      <c r="Z6" s="50">
        <v>20</v>
      </c>
    </row>
    <row r="7" spans="1:27" ht="14.25" customHeight="1" x14ac:dyDescent="0.75">
      <c r="A7" s="50">
        <v>666505</v>
      </c>
      <c r="B7" s="50" t="s">
        <v>8</v>
      </c>
      <c r="C7" s="50" t="s">
        <v>9</v>
      </c>
      <c r="E7" s="67">
        <v>0</v>
      </c>
      <c r="F7" s="50">
        <f t="shared" si="0"/>
        <v>0</v>
      </c>
      <c r="G7" s="149">
        <v>0</v>
      </c>
      <c r="H7" s="50">
        <f t="shared" si="2"/>
        <v>0</v>
      </c>
      <c r="I7" s="61">
        <v>0</v>
      </c>
      <c r="J7" s="50">
        <f t="shared" si="1"/>
        <v>0</v>
      </c>
      <c r="K7" s="50">
        <f t="shared" si="3"/>
        <v>0</v>
      </c>
      <c r="L7" s="50">
        <f t="shared" si="4"/>
        <v>0</v>
      </c>
      <c r="M7" s="150"/>
      <c r="N7" s="150"/>
      <c r="O7" s="150"/>
    </row>
    <row r="8" spans="1:27" ht="14.25" customHeight="1" x14ac:dyDescent="0.75">
      <c r="A8" s="50">
        <v>666506</v>
      </c>
      <c r="B8" s="50" t="s">
        <v>10</v>
      </c>
      <c r="C8" s="50" t="s">
        <v>11</v>
      </c>
      <c r="E8" s="67">
        <v>0</v>
      </c>
      <c r="F8" s="50">
        <f t="shared" si="0"/>
        <v>0</v>
      </c>
      <c r="G8" s="149">
        <v>192</v>
      </c>
      <c r="H8" s="50">
        <f t="shared" si="2"/>
        <v>27</v>
      </c>
      <c r="I8" s="61">
        <v>0</v>
      </c>
      <c r="J8" s="50">
        <f t="shared" si="1"/>
        <v>0</v>
      </c>
      <c r="K8" s="50">
        <f t="shared" si="3"/>
        <v>192</v>
      </c>
      <c r="L8" s="50">
        <f t="shared" si="4"/>
        <v>27</v>
      </c>
      <c r="M8" s="150"/>
      <c r="N8" s="150"/>
      <c r="O8" s="150"/>
      <c r="Q8" s="50">
        <v>5</v>
      </c>
      <c r="T8" s="50">
        <v>10</v>
      </c>
      <c r="W8" s="50">
        <v>3</v>
      </c>
      <c r="Z8" s="50">
        <v>9</v>
      </c>
    </row>
    <row r="9" spans="1:27" ht="14.25" customHeight="1" x14ac:dyDescent="0.75">
      <c r="A9" s="50">
        <v>666507</v>
      </c>
      <c r="B9" s="50" t="s">
        <v>12</v>
      </c>
      <c r="C9" s="50" t="s">
        <v>13</v>
      </c>
      <c r="E9" s="67">
        <v>19</v>
      </c>
      <c r="F9" s="50">
        <f t="shared" si="0"/>
        <v>17</v>
      </c>
      <c r="G9" s="149">
        <v>0</v>
      </c>
      <c r="H9" s="50">
        <f t="shared" si="2"/>
        <v>0</v>
      </c>
      <c r="I9" s="61">
        <v>0</v>
      </c>
      <c r="J9" s="50">
        <f t="shared" si="1"/>
        <v>0</v>
      </c>
      <c r="K9" s="50">
        <f t="shared" si="3"/>
        <v>19</v>
      </c>
      <c r="L9" s="50">
        <f t="shared" si="4"/>
        <v>17</v>
      </c>
      <c r="M9" s="150"/>
      <c r="N9" s="150"/>
      <c r="O9" s="150"/>
      <c r="S9" s="50">
        <v>12</v>
      </c>
      <c r="Y9" s="50">
        <v>5</v>
      </c>
    </row>
    <row r="10" spans="1:27" ht="14.25" customHeight="1" x14ac:dyDescent="0.75">
      <c r="A10" s="50">
        <v>666509</v>
      </c>
      <c r="B10" s="50" t="s">
        <v>14</v>
      </c>
      <c r="C10" s="50" t="s">
        <v>15</v>
      </c>
      <c r="E10" s="67">
        <v>37</v>
      </c>
      <c r="F10" s="50">
        <f t="shared" si="0"/>
        <v>22</v>
      </c>
      <c r="G10" s="149">
        <v>0</v>
      </c>
      <c r="H10" s="50">
        <f t="shared" si="2"/>
        <v>0</v>
      </c>
      <c r="I10" s="61">
        <v>0</v>
      </c>
      <c r="J10" s="50">
        <f t="shared" si="1"/>
        <v>0</v>
      </c>
      <c r="K10" s="50">
        <f t="shared" si="3"/>
        <v>37</v>
      </c>
      <c r="L10" s="50">
        <f t="shared" si="4"/>
        <v>22</v>
      </c>
      <c r="M10" s="150"/>
      <c r="N10" s="150"/>
      <c r="O10" s="150"/>
      <c r="S10" s="50">
        <v>22</v>
      </c>
    </row>
    <row r="11" spans="1:27" ht="14.25" customHeight="1" x14ac:dyDescent="0.75">
      <c r="A11" s="50">
        <v>666510</v>
      </c>
      <c r="B11" s="50" t="s">
        <v>16</v>
      </c>
      <c r="C11" s="50" t="s">
        <v>17</v>
      </c>
      <c r="E11" s="67">
        <v>0</v>
      </c>
      <c r="F11" s="50">
        <f t="shared" si="0"/>
        <v>0</v>
      </c>
      <c r="G11" s="149">
        <v>0</v>
      </c>
      <c r="H11" s="50">
        <f t="shared" si="2"/>
        <v>0</v>
      </c>
      <c r="I11" s="61">
        <v>0</v>
      </c>
      <c r="J11" s="50">
        <f t="shared" si="1"/>
        <v>0</v>
      </c>
      <c r="K11" s="50">
        <f t="shared" si="3"/>
        <v>0</v>
      </c>
      <c r="L11" s="50">
        <f t="shared" si="4"/>
        <v>0</v>
      </c>
      <c r="M11" s="150"/>
      <c r="N11" s="150"/>
      <c r="O11" s="150"/>
    </row>
    <row r="12" spans="1:27" ht="14.25" customHeight="1" x14ac:dyDescent="0.75">
      <c r="A12" s="50">
        <v>666511</v>
      </c>
      <c r="B12" s="50" t="s">
        <v>18</v>
      </c>
      <c r="C12" s="50" t="s">
        <v>19</v>
      </c>
      <c r="E12" s="67">
        <v>0</v>
      </c>
      <c r="F12" s="50">
        <f t="shared" si="0"/>
        <v>0</v>
      </c>
      <c r="G12" s="149">
        <v>0</v>
      </c>
      <c r="H12" s="50">
        <f t="shared" si="2"/>
        <v>0</v>
      </c>
      <c r="I12" s="61">
        <v>0</v>
      </c>
      <c r="J12" s="50">
        <f t="shared" si="1"/>
        <v>0</v>
      </c>
      <c r="K12" s="50">
        <f t="shared" si="3"/>
        <v>0</v>
      </c>
      <c r="L12" s="50">
        <f t="shared" si="4"/>
        <v>0</v>
      </c>
      <c r="M12" s="150"/>
      <c r="N12" s="150"/>
      <c r="O12" s="150"/>
    </row>
    <row r="13" spans="1:27" ht="14.25" customHeight="1" x14ac:dyDescent="0.75">
      <c r="A13" s="50">
        <v>666513</v>
      </c>
      <c r="B13" s="50" t="s">
        <v>20</v>
      </c>
      <c r="C13" s="50" t="s">
        <v>21</v>
      </c>
      <c r="E13" s="67">
        <v>0</v>
      </c>
      <c r="F13" s="50">
        <f t="shared" si="0"/>
        <v>0</v>
      </c>
      <c r="G13" s="149">
        <v>0</v>
      </c>
      <c r="H13" s="50">
        <f t="shared" si="2"/>
        <v>0</v>
      </c>
      <c r="I13" s="61">
        <v>0</v>
      </c>
      <c r="J13" s="50">
        <f t="shared" si="1"/>
        <v>0</v>
      </c>
      <c r="K13" s="50">
        <f t="shared" si="3"/>
        <v>0</v>
      </c>
      <c r="L13" s="50">
        <f t="shared" si="4"/>
        <v>0</v>
      </c>
      <c r="M13" s="150"/>
      <c r="N13" s="150"/>
      <c r="O13" s="150"/>
    </row>
    <row r="14" spans="1:27" ht="14.25" customHeight="1" x14ac:dyDescent="0.75">
      <c r="A14" s="50">
        <v>666516</v>
      </c>
      <c r="B14" s="50" t="s">
        <v>22</v>
      </c>
      <c r="C14" s="50" t="s">
        <v>23</v>
      </c>
      <c r="E14" s="67">
        <v>0</v>
      </c>
      <c r="F14" s="50">
        <f t="shared" si="0"/>
        <v>0</v>
      </c>
      <c r="G14" s="149">
        <v>0</v>
      </c>
      <c r="H14" s="50">
        <f t="shared" si="2"/>
        <v>0</v>
      </c>
      <c r="I14" s="61">
        <v>16</v>
      </c>
      <c r="J14" s="50">
        <f t="shared" si="1"/>
        <v>0</v>
      </c>
      <c r="K14" s="50">
        <f t="shared" si="3"/>
        <v>16</v>
      </c>
      <c r="L14" s="50">
        <f t="shared" si="4"/>
        <v>0</v>
      </c>
      <c r="M14" s="150"/>
      <c r="N14" s="150"/>
      <c r="O14" s="150"/>
    </row>
    <row r="15" spans="1:27" ht="14.25" customHeight="1" x14ac:dyDescent="0.75">
      <c r="A15" s="50">
        <v>666517</v>
      </c>
      <c r="B15" s="50" t="s">
        <v>24</v>
      </c>
      <c r="C15" s="50" t="s">
        <v>25</v>
      </c>
      <c r="E15" s="67">
        <v>0</v>
      </c>
      <c r="F15" s="50">
        <f t="shared" si="0"/>
        <v>0</v>
      </c>
      <c r="G15" s="149">
        <v>0</v>
      </c>
      <c r="H15" s="50">
        <f t="shared" si="2"/>
        <v>0</v>
      </c>
      <c r="I15" s="61">
        <v>10</v>
      </c>
      <c r="J15" s="50">
        <f t="shared" si="1"/>
        <v>0</v>
      </c>
      <c r="K15" s="50">
        <f t="shared" si="3"/>
        <v>10</v>
      </c>
      <c r="L15" s="50">
        <f t="shared" si="4"/>
        <v>0</v>
      </c>
      <c r="M15" s="150"/>
      <c r="N15" s="150"/>
      <c r="O15" s="150"/>
    </row>
    <row r="16" spans="1:27" ht="14.25" customHeight="1" x14ac:dyDescent="0.75">
      <c r="A16" s="50">
        <v>666518</v>
      </c>
      <c r="B16" s="50" t="s">
        <v>26</v>
      </c>
      <c r="C16" s="50" t="s">
        <v>27</v>
      </c>
      <c r="E16" s="67">
        <v>0</v>
      </c>
      <c r="F16" s="50">
        <f t="shared" si="0"/>
        <v>0</v>
      </c>
      <c r="G16" s="149">
        <v>0</v>
      </c>
      <c r="H16" s="50">
        <f t="shared" si="2"/>
        <v>0</v>
      </c>
      <c r="I16" s="61">
        <v>0</v>
      </c>
      <c r="J16" s="50">
        <f t="shared" si="1"/>
        <v>0</v>
      </c>
      <c r="K16" s="50">
        <f t="shared" si="3"/>
        <v>0</v>
      </c>
      <c r="L16" s="50">
        <f t="shared" si="4"/>
        <v>0</v>
      </c>
      <c r="M16" s="150"/>
      <c r="N16" s="150"/>
      <c r="O16" s="150"/>
    </row>
    <row r="17" spans="1:26" ht="14.25" customHeight="1" x14ac:dyDescent="0.75">
      <c r="A17" s="50">
        <v>666519</v>
      </c>
      <c r="B17" s="50" t="s">
        <v>28</v>
      </c>
      <c r="C17" s="50" t="s">
        <v>29</v>
      </c>
      <c r="E17" s="67">
        <v>0</v>
      </c>
      <c r="F17" s="50">
        <f t="shared" si="0"/>
        <v>0</v>
      </c>
      <c r="G17" s="149">
        <v>0</v>
      </c>
      <c r="H17" s="50">
        <f t="shared" si="2"/>
        <v>0</v>
      </c>
      <c r="I17" s="61">
        <v>26</v>
      </c>
      <c r="J17" s="50">
        <f t="shared" si="1"/>
        <v>0</v>
      </c>
      <c r="K17" s="50">
        <f t="shared" si="3"/>
        <v>26</v>
      </c>
      <c r="L17" s="50">
        <f t="shared" si="4"/>
        <v>0</v>
      </c>
      <c r="M17" s="150"/>
      <c r="N17" s="150"/>
      <c r="O17" s="150"/>
    </row>
    <row r="18" spans="1:26" ht="14.25" customHeight="1" x14ac:dyDescent="0.75">
      <c r="A18" s="50">
        <v>666521</v>
      </c>
      <c r="B18" s="50" t="s">
        <v>30</v>
      </c>
      <c r="C18" s="50" t="s">
        <v>31</v>
      </c>
      <c r="E18" s="67">
        <v>0</v>
      </c>
      <c r="F18" s="50">
        <f t="shared" si="0"/>
        <v>0</v>
      </c>
      <c r="G18" s="149">
        <v>0</v>
      </c>
      <c r="H18" s="50">
        <f t="shared" si="2"/>
        <v>0</v>
      </c>
      <c r="I18" s="61">
        <v>0</v>
      </c>
      <c r="J18" s="50">
        <f t="shared" si="1"/>
        <v>0</v>
      </c>
      <c r="K18" s="50">
        <f t="shared" si="3"/>
        <v>0</v>
      </c>
      <c r="L18" s="50">
        <f t="shared" si="4"/>
        <v>0</v>
      </c>
      <c r="M18" s="150"/>
      <c r="N18" s="150"/>
      <c r="O18" s="150"/>
    </row>
    <row r="19" spans="1:26" ht="14.25" customHeight="1" x14ac:dyDescent="0.75">
      <c r="A19" s="50">
        <v>666522</v>
      </c>
      <c r="B19" s="50" t="s">
        <v>32</v>
      </c>
      <c r="C19" s="50" t="s">
        <v>33</v>
      </c>
      <c r="E19" s="67">
        <v>15</v>
      </c>
      <c r="F19" s="50">
        <f t="shared" si="0"/>
        <v>15</v>
      </c>
      <c r="G19" s="149">
        <v>0</v>
      </c>
      <c r="H19" s="50">
        <f t="shared" si="2"/>
        <v>0</v>
      </c>
      <c r="I19" s="61">
        <v>20</v>
      </c>
      <c r="J19" s="50">
        <f t="shared" si="1"/>
        <v>20</v>
      </c>
      <c r="K19" s="50">
        <f t="shared" si="3"/>
        <v>35</v>
      </c>
      <c r="L19" s="50">
        <f t="shared" si="4"/>
        <v>35</v>
      </c>
      <c r="M19" s="150"/>
      <c r="N19" s="150"/>
      <c r="O19" s="150"/>
      <c r="S19" s="50">
        <v>15</v>
      </c>
      <c r="X19" s="50">
        <v>20</v>
      </c>
    </row>
    <row r="20" spans="1:26" ht="14.25" customHeight="1" x14ac:dyDescent="0.75">
      <c r="A20" s="50">
        <v>666523</v>
      </c>
      <c r="B20" s="50" t="s">
        <v>34</v>
      </c>
      <c r="C20" s="50" t="s">
        <v>35</v>
      </c>
      <c r="E20" s="67">
        <v>0</v>
      </c>
      <c r="F20" s="50">
        <f t="shared" si="0"/>
        <v>0</v>
      </c>
      <c r="G20" s="149">
        <v>0</v>
      </c>
      <c r="H20" s="50">
        <f t="shared" si="2"/>
        <v>0</v>
      </c>
      <c r="I20" s="61">
        <v>9</v>
      </c>
      <c r="J20" s="50">
        <f t="shared" si="1"/>
        <v>0</v>
      </c>
      <c r="K20" s="50">
        <f t="shared" si="3"/>
        <v>9</v>
      </c>
      <c r="L20" s="50">
        <f t="shared" si="4"/>
        <v>0</v>
      </c>
      <c r="M20" s="150"/>
      <c r="N20" s="150"/>
      <c r="O20" s="150"/>
    </row>
    <row r="21" spans="1:26" ht="14.25" customHeight="1" x14ac:dyDescent="0.75">
      <c r="A21" s="50">
        <v>666530</v>
      </c>
      <c r="B21" s="50" t="s">
        <v>36</v>
      </c>
      <c r="C21" s="50" t="s">
        <v>37</v>
      </c>
      <c r="E21" s="67">
        <v>0</v>
      </c>
      <c r="F21" s="50">
        <f t="shared" si="0"/>
        <v>0</v>
      </c>
      <c r="G21" s="149">
        <v>0</v>
      </c>
      <c r="H21" s="50">
        <f t="shared" si="2"/>
        <v>0</v>
      </c>
      <c r="I21" s="61">
        <v>15</v>
      </c>
      <c r="J21" s="50">
        <f t="shared" si="1"/>
        <v>0</v>
      </c>
      <c r="K21" s="50">
        <f t="shared" si="3"/>
        <v>15</v>
      </c>
      <c r="L21" s="50">
        <f t="shared" si="4"/>
        <v>0</v>
      </c>
      <c r="M21" s="150"/>
      <c r="N21" s="150"/>
      <c r="O21" s="150"/>
    </row>
    <row r="22" spans="1:26" ht="14.25" customHeight="1" x14ac:dyDescent="0.75">
      <c r="A22" s="50">
        <v>666531</v>
      </c>
      <c r="B22" s="50" t="s">
        <v>38</v>
      </c>
      <c r="C22" s="50" t="s">
        <v>39</v>
      </c>
      <c r="E22" s="67">
        <v>0</v>
      </c>
      <c r="F22" s="50">
        <f t="shared" si="0"/>
        <v>0</v>
      </c>
      <c r="G22" s="149">
        <v>0</v>
      </c>
      <c r="H22" s="50">
        <f t="shared" si="2"/>
        <v>0</v>
      </c>
      <c r="I22" s="61">
        <v>8</v>
      </c>
      <c r="J22" s="50">
        <f t="shared" si="1"/>
        <v>0</v>
      </c>
      <c r="K22" s="50">
        <f t="shared" si="3"/>
        <v>8</v>
      </c>
      <c r="L22" s="50">
        <f t="shared" si="4"/>
        <v>0</v>
      </c>
      <c r="M22" s="150"/>
      <c r="N22" s="150"/>
      <c r="O22" s="150"/>
    </row>
    <row r="23" spans="1:26" ht="14.25" customHeight="1" x14ac:dyDescent="0.75">
      <c r="A23" s="50">
        <v>666540</v>
      </c>
      <c r="B23" s="50" t="s">
        <v>40</v>
      </c>
      <c r="C23" s="50" t="s">
        <v>40</v>
      </c>
      <c r="E23" s="67">
        <v>0</v>
      </c>
      <c r="F23" s="50">
        <f t="shared" si="0"/>
        <v>0</v>
      </c>
      <c r="G23" s="149">
        <v>195</v>
      </c>
      <c r="H23" s="50">
        <f t="shared" si="2"/>
        <v>20</v>
      </c>
      <c r="I23" s="61">
        <v>0</v>
      </c>
      <c r="J23" s="50">
        <f t="shared" si="1"/>
        <v>0</v>
      </c>
      <c r="K23" s="50">
        <f t="shared" si="3"/>
        <v>195</v>
      </c>
      <c r="L23" s="50">
        <f t="shared" si="4"/>
        <v>20</v>
      </c>
      <c r="M23" s="150"/>
      <c r="N23" s="150"/>
      <c r="O23" s="150"/>
      <c r="Q23" s="50">
        <v>12</v>
      </c>
      <c r="T23" s="50">
        <v>5</v>
      </c>
      <c r="W23" s="50">
        <v>2</v>
      </c>
      <c r="Z23" s="50">
        <v>1</v>
      </c>
    </row>
    <row r="24" spans="1:26" ht="14.25" customHeight="1" x14ac:dyDescent="0.75">
      <c r="A24" s="50">
        <v>666541</v>
      </c>
      <c r="B24" s="50" t="s">
        <v>41</v>
      </c>
      <c r="C24" s="50" t="s">
        <v>41</v>
      </c>
      <c r="E24" s="67">
        <v>0</v>
      </c>
      <c r="F24" s="50">
        <f t="shared" si="0"/>
        <v>0</v>
      </c>
      <c r="G24" s="149">
        <v>82</v>
      </c>
      <c r="H24" s="50">
        <f t="shared" si="2"/>
        <v>121</v>
      </c>
      <c r="I24" s="61">
        <v>0</v>
      </c>
      <c r="J24" s="50">
        <f t="shared" si="1"/>
        <v>0</v>
      </c>
      <c r="K24" s="50">
        <f t="shared" si="3"/>
        <v>82</v>
      </c>
      <c r="L24" s="50">
        <f t="shared" si="4"/>
        <v>121</v>
      </c>
      <c r="M24" s="150"/>
      <c r="N24" s="150"/>
      <c r="O24" s="150"/>
      <c r="Q24" s="50">
        <v>43</v>
      </c>
      <c r="T24" s="50">
        <v>37</v>
      </c>
      <c r="W24" s="50">
        <v>24</v>
      </c>
      <c r="Z24" s="50">
        <v>17</v>
      </c>
    </row>
    <row r="25" spans="1:26" ht="14.25" customHeight="1" x14ac:dyDescent="0.75">
      <c r="A25" s="50">
        <v>666536</v>
      </c>
      <c r="B25" s="50" t="s">
        <v>42</v>
      </c>
      <c r="C25" s="50" t="s">
        <v>43</v>
      </c>
      <c r="E25" s="67">
        <v>0</v>
      </c>
      <c r="F25" s="50">
        <f t="shared" si="0"/>
        <v>0</v>
      </c>
      <c r="G25" s="149">
        <v>0</v>
      </c>
      <c r="H25" s="50">
        <f t="shared" si="2"/>
        <v>0</v>
      </c>
      <c r="I25" s="61">
        <v>0</v>
      </c>
      <c r="J25" s="50">
        <f t="shared" si="1"/>
        <v>0</v>
      </c>
      <c r="K25" s="50">
        <f>+E25+G25+H25</f>
        <v>0</v>
      </c>
      <c r="L25" s="50">
        <f t="shared" si="4"/>
        <v>0</v>
      </c>
      <c r="M25" s="150"/>
      <c r="N25" s="150"/>
      <c r="O25" s="150"/>
    </row>
    <row r="26" spans="1:26" ht="14.25" customHeight="1" x14ac:dyDescent="0.75">
      <c r="C26" s="71"/>
      <c r="D26" s="71"/>
      <c r="E26" s="71"/>
      <c r="F26" s="71"/>
      <c r="G26" s="71"/>
      <c r="H26" s="71"/>
      <c r="I26" s="71"/>
      <c r="J26" s="71"/>
      <c r="L26" s="71"/>
    </row>
    <row r="27" spans="1:26" ht="14.25" customHeight="1" x14ac:dyDescent="0.75">
      <c r="C27" s="71"/>
      <c r="D27" s="71"/>
      <c r="E27" s="71"/>
      <c r="F27" s="71"/>
      <c r="G27" s="71"/>
      <c r="H27" s="71"/>
      <c r="I27" s="71"/>
      <c r="J27" s="71"/>
      <c r="L27" s="71"/>
    </row>
    <row r="28" spans="1:26" ht="14.25" customHeight="1" x14ac:dyDescent="0.75">
      <c r="C28" s="71"/>
      <c r="D28" s="71"/>
      <c r="E28" s="71"/>
      <c r="F28" s="71"/>
      <c r="G28" s="71"/>
      <c r="H28" s="71"/>
      <c r="I28" s="71"/>
      <c r="J28" s="71"/>
      <c r="L28" s="71"/>
    </row>
    <row r="29" spans="1:26" ht="14.25" customHeight="1" x14ac:dyDescent="0.75">
      <c r="C29" s="71"/>
      <c r="D29" s="71"/>
      <c r="E29" s="71"/>
      <c r="F29" s="71"/>
      <c r="G29" s="71"/>
      <c r="H29" s="71"/>
      <c r="I29" s="71"/>
      <c r="J29" s="71"/>
      <c r="L29" s="71"/>
    </row>
    <row r="30" spans="1:26" ht="14.25" customHeight="1" x14ac:dyDescent="0.75">
      <c r="C30" s="71"/>
      <c r="D30" s="71"/>
      <c r="E30" s="71"/>
      <c r="F30" s="71"/>
      <c r="G30" s="71"/>
      <c r="H30" s="71"/>
      <c r="I30" s="71"/>
      <c r="J30" s="71"/>
      <c r="L30" s="71"/>
    </row>
    <row r="31" spans="1:26" ht="14.25" customHeight="1" x14ac:dyDescent="0.75">
      <c r="C31" s="71"/>
      <c r="D31" s="71"/>
      <c r="E31" s="71"/>
      <c r="F31" s="71"/>
      <c r="G31" s="71"/>
      <c r="H31" s="71"/>
      <c r="I31" s="71"/>
      <c r="J31" s="71"/>
      <c r="L31" s="71"/>
    </row>
    <row r="32" spans="1:26" ht="14.25" customHeight="1" x14ac:dyDescent="0.75">
      <c r="C32" s="72"/>
      <c r="D32" s="71"/>
      <c r="E32" s="71"/>
      <c r="F32" s="71"/>
      <c r="G32" s="71"/>
      <c r="H32" s="71"/>
      <c r="I32" s="71"/>
      <c r="J32" s="71"/>
      <c r="L32" s="71"/>
    </row>
    <row r="33" spans="3:14" ht="14.25" customHeight="1" x14ac:dyDescent="0.75">
      <c r="C33" s="71"/>
      <c r="D33" s="71"/>
      <c r="E33" s="71"/>
      <c r="F33" s="71"/>
      <c r="G33" s="71">
        <v>0</v>
      </c>
      <c r="H33" s="71"/>
      <c r="I33" s="71"/>
      <c r="J33" s="71"/>
      <c r="L33" s="71"/>
    </row>
    <row r="34" spans="3:14" ht="14.25" customHeight="1" x14ac:dyDescent="0.75">
      <c r="C34" s="71"/>
      <c r="D34" s="71"/>
      <c r="E34" s="71"/>
      <c r="F34" s="71"/>
      <c r="G34" s="71"/>
      <c r="H34" s="71"/>
      <c r="I34" s="71"/>
      <c r="J34" s="71"/>
      <c r="L34" s="71"/>
    </row>
    <row r="35" spans="3:14" ht="14.25" customHeight="1" x14ac:dyDescent="0.75">
      <c r="C35" s="71"/>
      <c r="D35" s="71"/>
      <c r="E35" s="71"/>
      <c r="F35" s="71"/>
      <c r="G35" s="71"/>
      <c r="H35" s="71"/>
      <c r="I35" s="71"/>
      <c r="J35" s="71"/>
      <c r="L35" s="71"/>
    </row>
    <row r="36" spans="3:14" ht="14.25" customHeight="1" x14ac:dyDescent="0.75">
      <c r="C36" s="71"/>
      <c r="D36" s="71"/>
      <c r="E36" s="71"/>
      <c r="F36" s="71"/>
      <c r="G36" s="71"/>
      <c r="H36" s="71"/>
      <c r="I36" s="71"/>
      <c r="J36" s="71"/>
      <c r="L36" s="71"/>
    </row>
    <row r="37" spans="3:14" ht="14.25" customHeight="1" x14ac:dyDescent="0.75">
      <c r="C37" s="71"/>
      <c r="D37" s="71"/>
      <c r="E37" s="71"/>
      <c r="F37" s="71"/>
      <c r="G37" s="71"/>
      <c r="H37" s="71"/>
      <c r="I37" s="71"/>
      <c r="J37" s="71"/>
      <c r="L37" s="71"/>
    </row>
    <row r="38" spans="3:14" ht="14.25" customHeight="1" x14ac:dyDescent="0.75">
      <c r="C38" s="71"/>
      <c r="D38" s="71"/>
      <c r="E38" s="71"/>
      <c r="F38" s="71"/>
      <c r="G38" s="71"/>
      <c r="H38" s="71"/>
      <c r="I38" s="71"/>
      <c r="J38" s="71"/>
      <c r="L38" s="71"/>
    </row>
    <row r="39" spans="3:14" ht="14.25" customHeight="1" x14ac:dyDescent="0.75">
      <c r="C39" s="71"/>
      <c r="D39" s="71"/>
      <c r="E39" s="71"/>
      <c r="F39" s="71"/>
      <c r="G39" s="71"/>
      <c r="H39" s="71"/>
      <c r="I39" s="71"/>
      <c r="J39" s="71"/>
      <c r="L39" s="71"/>
    </row>
    <row r="40" spans="3:14" ht="14.25" customHeight="1" x14ac:dyDescent="0.75">
      <c r="C40" s="71"/>
      <c r="D40" s="71"/>
      <c r="E40" s="71"/>
      <c r="F40" s="71"/>
      <c r="G40" s="71"/>
      <c r="H40" s="71"/>
      <c r="I40" s="71"/>
      <c r="J40" s="71"/>
      <c r="L40" s="71"/>
    </row>
    <row r="41" spans="3:14" ht="14.25" customHeight="1" x14ac:dyDescent="0.75">
      <c r="C41" s="71"/>
      <c r="D41" s="71"/>
      <c r="E41" s="71"/>
      <c r="F41" s="71"/>
      <c r="G41" s="71"/>
      <c r="H41" s="71"/>
      <c r="I41" s="71"/>
      <c r="J41" s="71"/>
      <c r="L41" s="71"/>
    </row>
    <row r="42" spans="3:14" ht="14.25" customHeight="1" x14ac:dyDescent="0.75">
      <c r="C42" s="71"/>
      <c r="D42" s="71"/>
      <c r="E42" s="71"/>
      <c r="F42" s="71"/>
      <c r="G42" s="71"/>
      <c r="H42" s="71"/>
      <c r="I42" s="71"/>
      <c r="J42" s="71"/>
      <c r="L42" s="71"/>
    </row>
    <row r="48" spans="3:14" ht="14.25" customHeight="1" x14ac:dyDescent="0.75">
      <c r="C48" s="50" t="s">
        <v>153</v>
      </c>
      <c r="J48" s="50" t="s">
        <v>153</v>
      </c>
      <c r="K48" s="50" t="s">
        <v>154</v>
      </c>
      <c r="L48" s="73" t="s">
        <v>155</v>
      </c>
      <c r="M48" s="50" t="s">
        <v>156</v>
      </c>
      <c r="N48" s="74" t="s">
        <v>157</v>
      </c>
    </row>
    <row r="49" spans="3:14" ht="14.25" customHeight="1" x14ac:dyDescent="0.75">
      <c r="C49" s="50" t="str">
        <f>+N2</f>
        <v>Jesus</v>
      </c>
      <c r="D49" s="75"/>
      <c r="E49" s="75"/>
      <c r="J49" s="50" t="s">
        <v>65</v>
      </c>
      <c r="K49" s="50">
        <f>SUM(E5:E22)</f>
        <v>71</v>
      </c>
      <c r="L49" s="50">
        <f>SUM(F5:F22)</f>
        <v>54</v>
      </c>
      <c r="M49" s="50">
        <f>+L49-K49</f>
        <v>-17</v>
      </c>
      <c r="N49" s="76">
        <f>+L49/K49</f>
        <v>0.76056338028169013</v>
      </c>
    </row>
    <row r="50" spans="3:14" ht="14.25" customHeight="1" x14ac:dyDescent="0.75">
      <c r="C50" s="50" t="str">
        <f>+M2</f>
        <v>Wilfredo</v>
      </c>
      <c r="D50" s="75"/>
      <c r="E50" s="75"/>
      <c r="J50" s="50" t="s">
        <v>55</v>
      </c>
      <c r="K50" s="50">
        <f>SUM(G5:G22)</f>
        <v>357</v>
      </c>
      <c r="L50" s="50">
        <f>SUM(H5:H22)</f>
        <v>148</v>
      </c>
      <c r="M50" s="50">
        <f>+L50-K50</f>
        <v>-209</v>
      </c>
      <c r="N50" s="76">
        <f>+L50/K50</f>
        <v>0.41456582633053224</v>
      </c>
    </row>
    <row r="51" spans="3:14" ht="14.25" customHeight="1" x14ac:dyDescent="0.75">
      <c r="J51" s="50" t="s">
        <v>158</v>
      </c>
      <c r="K51" s="50">
        <f>SUM(I5:I22)</f>
        <v>144</v>
      </c>
      <c r="L51" s="50">
        <f>SUM(J5:J22)</f>
        <v>48</v>
      </c>
      <c r="M51" s="50">
        <f>+L51-K51</f>
        <v>-96</v>
      </c>
      <c r="N51" s="76">
        <f>+L51/K51</f>
        <v>0.33333333333333331</v>
      </c>
    </row>
  </sheetData>
  <conditionalFormatting sqref="K5:K25">
    <cfRule type="cellIs" dxfId="285" priority="2" operator="equal">
      <formula>0</formula>
    </cfRule>
  </conditionalFormatting>
  <conditionalFormatting sqref="L5:L25">
    <cfRule type="expression" dxfId="284" priority="3">
      <formula>K5=L5</formula>
    </cfRule>
    <cfRule type="expression" dxfId="283" priority="4">
      <formula>K5&lt;L5</formula>
    </cfRule>
    <cfRule type="expression" dxfId="282" priority="5">
      <formula>K5&gt;L5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71"/>
  <sheetViews>
    <sheetView topLeftCell="A20" zoomScaleNormal="100" workbookViewId="0">
      <selection activeCell="R46" sqref="R46"/>
    </sheetView>
  </sheetViews>
  <sheetFormatPr defaultColWidth="8.86328125" defaultRowHeight="14.75" x14ac:dyDescent="0.75"/>
  <cols>
    <col min="1" max="1" width="9" style="79" customWidth="1"/>
    <col min="2" max="2" width="33.453125" style="79" customWidth="1"/>
    <col min="3" max="3" width="15.6328125" style="79" hidden="1" customWidth="1"/>
    <col min="4" max="13" width="8.86328125" style="79"/>
    <col min="14" max="14" width="9.453125" style="79" customWidth="1"/>
    <col min="15" max="17" width="8.86328125" style="79"/>
    <col min="18" max="18" width="10.6328125" style="80" customWidth="1"/>
    <col min="19" max="19" width="9.1328125" style="79" hidden="1" customWidth="1"/>
    <col min="20" max="16384" width="8.86328125" style="79"/>
  </cols>
  <sheetData>
    <row r="1" spans="1:19" ht="15" customHeight="1" x14ac:dyDescent="0.75">
      <c r="A1" s="5" t="s">
        <v>177</v>
      </c>
      <c r="B1" s="5"/>
      <c r="C1" s="5"/>
      <c r="D1" s="5"/>
      <c r="E1" s="5"/>
      <c r="F1" s="81"/>
      <c r="G1" s="81"/>
      <c r="H1" s="81"/>
      <c r="I1" s="81"/>
      <c r="J1" s="81"/>
      <c r="K1" s="81"/>
      <c r="L1" s="81"/>
      <c r="M1" s="81"/>
      <c r="N1" s="81"/>
      <c r="O1" s="81"/>
      <c r="P1" s="82"/>
      <c r="Q1" s="80" t="s">
        <v>160</v>
      </c>
    </row>
    <row r="2" spans="1:19" ht="41.25" customHeight="1" x14ac:dyDescent="0.75">
      <c r="A2" s="83"/>
      <c r="B2" s="84" t="s">
        <v>56</v>
      </c>
      <c r="C2" s="85" t="s">
        <v>55</v>
      </c>
      <c r="D2" s="86" t="s">
        <v>116</v>
      </c>
      <c r="E2" s="87" t="s">
        <v>161</v>
      </c>
      <c r="F2" s="88" t="s">
        <v>162</v>
      </c>
      <c r="G2" s="86" t="s">
        <v>163</v>
      </c>
      <c r="H2" s="87" t="s">
        <v>164</v>
      </c>
      <c r="I2" s="86" t="s">
        <v>165</v>
      </c>
      <c r="J2" s="86" t="s">
        <v>166</v>
      </c>
      <c r="K2" s="89" t="s">
        <v>167</v>
      </c>
      <c r="L2" s="88" t="s">
        <v>162</v>
      </c>
      <c r="M2" s="86" t="s">
        <v>163</v>
      </c>
      <c r="N2" s="87" t="s">
        <v>164</v>
      </c>
      <c r="O2" s="86" t="s">
        <v>165</v>
      </c>
      <c r="P2" s="90" t="s">
        <v>166</v>
      </c>
      <c r="Q2" s="91"/>
      <c r="R2" s="92" t="s">
        <v>168</v>
      </c>
    </row>
    <row r="3" spans="1:19" ht="14.25" customHeight="1" x14ac:dyDescent="0.75">
      <c r="A3" s="93">
        <v>666501</v>
      </c>
      <c r="B3" s="94" t="s">
        <v>4</v>
      </c>
      <c r="C3" s="95" t="s">
        <v>5</v>
      </c>
      <c r="D3" s="96">
        <v>0</v>
      </c>
      <c r="E3" s="97">
        <f t="shared" ref="E3:E23" si="0">+D3/6</f>
        <v>0</v>
      </c>
      <c r="F3" s="96">
        <v>0</v>
      </c>
      <c r="G3" s="98">
        <v>0</v>
      </c>
      <c r="H3" s="96">
        <v>0</v>
      </c>
      <c r="I3" s="96">
        <v>0</v>
      </c>
      <c r="J3" s="96">
        <v>0</v>
      </c>
      <c r="K3" s="99">
        <f t="shared" ref="K3:K23" si="1">(+D3-SUM(F3:J3))/3.5</f>
        <v>0</v>
      </c>
      <c r="L3" s="96">
        <v>0</v>
      </c>
      <c r="M3" s="96">
        <v>0</v>
      </c>
      <c r="N3" s="96">
        <v>0</v>
      </c>
      <c r="O3" s="96">
        <v>0</v>
      </c>
      <c r="P3" s="100">
        <v>0</v>
      </c>
      <c r="Q3" s="101">
        <f t="shared" ref="Q3:Q22" si="2">SUM(F3:J3)+SUM(L3:P3)</f>
        <v>0</v>
      </c>
      <c r="R3" s="101">
        <f t="shared" ref="R3:R22" si="3">+D3-Q3</f>
        <v>0</v>
      </c>
      <c r="S3" s="102">
        <f>+R3/2.25</f>
        <v>0</v>
      </c>
    </row>
    <row r="4" spans="1:19" ht="14.25" customHeight="1" x14ac:dyDescent="0.75">
      <c r="A4" s="93">
        <v>666502</v>
      </c>
      <c r="B4" s="94" t="s">
        <v>6</v>
      </c>
      <c r="C4" s="95" t="s">
        <v>7</v>
      </c>
      <c r="D4" s="96">
        <v>0</v>
      </c>
      <c r="E4" s="97">
        <f t="shared" si="0"/>
        <v>0</v>
      </c>
      <c r="F4" s="96">
        <v>0</v>
      </c>
      <c r="G4" s="98">
        <v>0</v>
      </c>
      <c r="H4" s="96">
        <v>0</v>
      </c>
      <c r="I4" s="96">
        <v>0</v>
      </c>
      <c r="J4" s="96">
        <v>0</v>
      </c>
      <c r="K4" s="99">
        <f t="shared" si="1"/>
        <v>0</v>
      </c>
      <c r="L4" s="96">
        <v>0</v>
      </c>
      <c r="M4" s="96">
        <v>0</v>
      </c>
      <c r="N4" s="96">
        <v>0</v>
      </c>
      <c r="O4" s="96">
        <v>0</v>
      </c>
      <c r="P4" s="100">
        <v>0</v>
      </c>
      <c r="Q4" s="101">
        <f t="shared" si="2"/>
        <v>0</v>
      </c>
      <c r="R4" s="101">
        <f t="shared" si="3"/>
        <v>0</v>
      </c>
      <c r="S4" s="102">
        <f>+R4/2.25</f>
        <v>0</v>
      </c>
    </row>
    <row r="5" spans="1:19" ht="14.25" customHeight="1" x14ac:dyDescent="0.75">
      <c r="A5" s="93">
        <v>666505</v>
      </c>
      <c r="B5" s="94" t="s">
        <v>8</v>
      </c>
      <c r="C5" s="95" t="s">
        <v>9</v>
      </c>
      <c r="D5" s="96">
        <v>19</v>
      </c>
      <c r="E5" s="97">
        <f t="shared" si="0"/>
        <v>3.1666666666666665</v>
      </c>
      <c r="F5" s="96">
        <v>9</v>
      </c>
      <c r="G5" s="98">
        <v>0</v>
      </c>
      <c r="H5" s="96">
        <v>10</v>
      </c>
      <c r="I5" s="96">
        <v>0</v>
      </c>
      <c r="J5" s="96">
        <v>0</v>
      </c>
      <c r="K5" s="99">
        <f t="shared" si="1"/>
        <v>0</v>
      </c>
      <c r="L5" s="96">
        <v>0</v>
      </c>
      <c r="M5" s="96">
        <v>0</v>
      </c>
      <c r="N5" s="96">
        <v>0</v>
      </c>
      <c r="O5" s="96">
        <v>0</v>
      </c>
      <c r="P5" s="100">
        <v>0</v>
      </c>
      <c r="Q5" s="101">
        <f t="shared" si="2"/>
        <v>19</v>
      </c>
      <c r="R5" s="101">
        <f t="shared" si="3"/>
        <v>0</v>
      </c>
      <c r="S5" s="102">
        <f>+R5/2.25</f>
        <v>0</v>
      </c>
    </row>
    <row r="6" spans="1:19" ht="14.25" customHeight="1" x14ac:dyDescent="0.75">
      <c r="A6" s="93">
        <v>666506</v>
      </c>
      <c r="B6" s="94" t="s">
        <v>10</v>
      </c>
      <c r="C6" s="95" t="s">
        <v>11</v>
      </c>
      <c r="D6" s="96">
        <v>0</v>
      </c>
      <c r="E6" s="97">
        <f t="shared" si="0"/>
        <v>0</v>
      </c>
      <c r="F6" s="96">
        <v>0</v>
      </c>
      <c r="G6" s="98">
        <v>0</v>
      </c>
      <c r="H6" s="96">
        <v>0</v>
      </c>
      <c r="I6" s="96">
        <v>0</v>
      </c>
      <c r="J6" s="96">
        <v>0</v>
      </c>
      <c r="K6" s="99">
        <f t="shared" si="1"/>
        <v>0</v>
      </c>
      <c r="L6" s="96">
        <v>0</v>
      </c>
      <c r="M6" s="96">
        <v>0</v>
      </c>
      <c r="N6" s="96">
        <v>0</v>
      </c>
      <c r="O6" s="96">
        <v>0</v>
      </c>
      <c r="P6" s="100">
        <v>0</v>
      </c>
      <c r="Q6" s="101">
        <f t="shared" si="2"/>
        <v>0</v>
      </c>
      <c r="R6" s="101">
        <f t="shared" si="3"/>
        <v>0</v>
      </c>
      <c r="S6" s="102">
        <f>+R6/2.25</f>
        <v>0</v>
      </c>
    </row>
    <row r="7" spans="1:19" ht="14.25" customHeight="1" x14ac:dyDescent="0.75">
      <c r="A7" s="93">
        <v>666507</v>
      </c>
      <c r="B7" s="94" t="s">
        <v>12</v>
      </c>
      <c r="C7" s="95" t="s">
        <v>13</v>
      </c>
      <c r="D7" s="96">
        <v>50</v>
      </c>
      <c r="E7" s="97">
        <f t="shared" si="0"/>
        <v>8.3333333333333339</v>
      </c>
      <c r="F7" s="96">
        <v>11</v>
      </c>
      <c r="G7" s="98">
        <v>0</v>
      </c>
      <c r="H7" s="96">
        <v>6</v>
      </c>
      <c r="I7" s="96">
        <v>7</v>
      </c>
      <c r="J7" s="96">
        <v>7</v>
      </c>
      <c r="K7" s="99">
        <f t="shared" si="1"/>
        <v>5.4285714285714288</v>
      </c>
      <c r="L7" s="96">
        <v>0</v>
      </c>
      <c r="M7" s="96">
        <v>0</v>
      </c>
      <c r="N7" s="96">
        <v>12</v>
      </c>
      <c r="O7" s="96">
        <v>0</v>
      </c>
      <c r="P7" s="100">
        <v>5</v>
      </c>
      <c r="Q7" s="101">
        <f t="shared" si="2"/>
        <v>48</v>
      </c>
      <c r="R7" s="101">
        <f t="shared" si="3"/>
        <v>2</v>
      </c>
      <c r="S7" s="102">
        <f>+R7/2.25</f>
        <v>0.88888888888888884</v>
      </c>
    </row>
    <row r="8" spans="1:19" ht="14.25" customHeight="1" x14ac:dyDescent="0.75">
      <c r="A8" s="93">
        <v>666509</v>
      </c>
      <c r="B8" s="94" t="s">
        <v>14</v>
      </c>
      <c r="C8" s="95" t="s">
        <v>15</v>
      </c>
      <c r="D8" s="96">
        <v>100</v>
      </c>
      <c r="E8" s="97">
        <f t="shared" si="0"/>
        <v>16.666666666666668</v>
      </c>
      <c r="F8" s="96">
        <v>13</v>
      </c>
      <c r="G8" s="98">
        <v>0</v>
      </c>
      <c r="H8" s="96">
        <v>19</v>
      </c>
      <c r="I8" s="96">
        <v>21</v>
      </c>
      <c r="J8" s="96">
        <v>10</v>
      </c>
      <c r="K8" s="99">
        <f t="shared" si="1"/>
        <v>10.571428571428571</v>
      </c>
      <c r="L8" s="96">
        <v>0</v>
      </c>
      <c r="M8" s="96">
        <v>0</v>
      </c>
      <c r="N8" s="96">
        <v>0</v>
      </c>
      <c r="O8" s="96">
        <v>0</v>
      </c>
      <c r="P8" s="100">
        <v>0</v>
      </c>
      <c r="Q8" s="101">
        <f t="shared" si="2"/>
        <v>63</v>
      </c>
      <c r="R8" s="101">
        <f t="shared" si="3"/>
        <v>37</v>
      </c>
      <c r="S8" s="102">
        <f>+R8/2</f>
        <v>18.5</v>
      </c>
    </row>
    <row r="9" spans="1:19" ht="14.25" customHeight="1" x14ac:dyDescent="0.75">
      <c r="A9" s="93">
        <v>666510</v>
      </c>
      <c r="B9" s="94" t="s">
        <v>16</v>
      </c>
      <c r="C9" s="95" t="s">
        <v>169</v>
      </c>
      <c r="D9" s="96">
        <v>0</v>
      </c>
      <c r="E9" s="97">
        <f t="shared" si="0"/>
        <v>0</v>
      </c>
      <c r="F9" s="96">
        <v>0</v>
      </c>
      <c r="G9" s="98">
        <v>0</v>
      </c>
      <c r="H9" s="96">
        <v>0</v>
      </c>
      <c r="I9" s="96">
        <v>0</v>
      </c>
      <c r="J9" s="96">
        <v>0</v>
      </c>
      <c r="K9" s="99">
        <f t="shared" si="1"/>
        <v>0</v>
      </c>
      <c r="L9" s="96">
        <v>0</v>
      </c>
      <c r="M9" s="96">
        <v>0</v>
      </c>
      <c r="N9" s="96">
        <v>0</v>
      </c>
      <c r="O9" s="96">
        <v>0</v>
      </c>
      <c r="P9" s="100">
        <v>0</v>
      </c>
      <c r="Q9" s="101">
        <f t="shared" si="2"/>
        <v>0</v>
      </c>
      <c r="R9" s="101">
        <f t="shared" si="3"/>
        <v>0</v>
      </c>
      <c r="S9" s="102">
        <f t="shared" ref="S9:S19" si="4">+R9/2.25</f>
        <v>0</v>
      </c>
    </row>
    <row r="10" spans="1:19" ht="14.25" customHeight="1" x14ac:dyDescent="0.75">
      <c r="A10" s="93">
        <v>666511</v>
      </c>
      <c r="B10" s="94" t="s">
        <v>18</v>
      </c>
      <c r="C10" s="95" t="s">
        <v>19</v>
      </c>
      <c r="D10" s="96">
        <v>8</v>
      </c>
      <c r="E10" s="97">
        <f t="shared" si="0"/>
        <v>1.3333333333333333</v>
      </c>
      <c r="F10" s="96">
        <v>0</v>
      </c>
      <c r="G10" s="98">
        <v>0</v>
      </c>
      <c r="H10" s="96">
        <v>0</v>
      </c>
      <c r="I10" s="96">
        <v>0</v>
      </c>
      <c r="J10" s="96">
        <v>8</v>
      </c>
      <c r="K10" s="99">
        <f t="shared" si="1"/>
        <v>0</v>
      </c>
      <c r="L10" s="96">
        <v>0</v>
      </c>
      <c r="M10" s="96">
        <v>0</v>
      </c>
      <c r="N10" s="96">
        <v>0</v>
      </c>
      <c r="O10" s="96">
        <v>0</v>
      </c>
      <c r="P10" s="100">
        <v>0</v>
      </c>
      <c r="Q10" s="101">
        <f t="shared" si="2"/>
        <v>8</v>
      </c>
      <c r="R10" s="101">
        <f t="shared" si="3"/>
        <v>0</v>
      </c>
      <c r="S10" s="102">
        <f t="shared" si="4"/>
        <v>0</v>
      </c>
    </row>
    <row r="11" spans="1:19" ht="14.25" customHeight="1" x14ac:dyDescent="0.75">
      <c r="A11" s="93">
        <v>666513</v>
      </c>
      <c r="B11" s="94" t="s">
        <v>20</v>
      </c>
      <c r="C11" s="95" t="s">
        <v>21</v>
      </c>
      <c r="D11" s="96">
        <v>0</v>
      </c>
      <c r="E11" s="97">
        <f t="shared" si="0"/>
        <v>0</v>
      </c>
      <c r="F11" s="96">
        <v>0</v>
      </c>
      <c r="G11" s="98">
        <v>0</v>
      </c>
      <c r="H11" s="96">
        <v>0</v>
      </c>
      <c r="I11" s="96">
        <v>0</v>
      </c>
      <c r="J11" s="96">
        <v>0</v>
      </c>
      <c r="K11" s="99">
        <f t="shared" si="1"/>
        <v>0</v>
      </c>
      <c r="L11" s="96">
        <v>0</v>
      </c>
      <c r="M11" s="96">
        <v>0</v>
      </c>
      <c r="N11" s="96">
        <v>0</v>
      </c>
      <c r="O11" s="96">
        <v>0</v>
      </c>
      <c r="P11" s="100">
        <v>0</v>
      </c>
      <c r="Q11" s="101">
        <f t="shared" si="2"/>
        <v>0</v>
      </c>
      <c r="R11" s="101">
        <f t="shared" si="3"/>
        <v>0</v>
      </c>
      <c r="S11" s="102">
        <f t="shared" si="4"/>
        <v>0</v>
      </c>
    </row>
    <row r="12" spans="1:19" ht="14.25" customHeight="1" x14ac:dyDescent="0.75">
      <c r="A12" s="93">
        <v>666516</v>
      </c>
      <c r="B12" s="94" t="s">
        <v>22</v>
      </c>
      <c r="C12" s="95" t="s">
        <v>23</v>
      </c>
      <c r="D12" s="96">
        <v>20</v>
      </c>
      <c r="E12" s="97">
        <f t="shared" si="0"/>
        <v>3.3333333333333335</v>
      </c>
      <c r="F12" s="96">
        <v>0</v>
      </c>
      <c r="G12" s="98">
        <v>0</v>
      </c>
      <c r="H12" s="96">
        <v>20</v>
      </c>
      <c r="I12" s="96">
        <v>0</v>
      </c>
      <c r="J12" s="96">
        <v>0</v>
      </c>
      <c r="K12" s="99">
        <f t="shared" si="1"/>
        <v>0</v>
      </c>
      <c r="L12" s="96">
        <v>0</v>
      </c>
      <c r="M12" s="96">
        <v>0</v>
      </c>
      <c r="N12" s="96">
        <v>0</v>
      </c>
      <c r="O12" s="96">
        <v>0</v>
      </c>
      <c r="P12" s="100">
        <v>0</v>
      </c>
      <c r="Q12" s="101">
        <f t="shared" si="2"/>
        <v>20</v>
      </c>
      <c r="R12" s="101">
        <f t="shared" si="3"/>
        <v>0</v>
      </c>
      <c r="S12" s="102">
        <f t="shared" si="4"/>
        <v>0</v>
      </c>
    </row>
    <row r="13" spans="1:19" ht="14.25" customHeight="1" x14ac:dyDescent="0.75">
      <c r="A13" s="93">
        <v>666517</v>
      </c>
      <c r="B13" s="94" t="s">
        <v>24</v>
      </c>
      <c r="C13" s="95" t="s">
        <v>25</v>
      </c>
      <c r="D13" s="96">
        <v>33</v>
      </c>
      <c r="E13" s="97">
        <f t="shared" si="0"/>
        <v>5.5</v>
      </c>
      <c r="F13" s="96">
        <v>14</v>
      </c>
      <c r="G13" s="98">
        <v>0</v>
      </c>
      <c r="H13" s="96">
        <v>19</v>
      </c>
      <c r="I13" s="96">
        <v>0</v>
      </c>
      <c r="J13" s="96">
        <v>0</v>
      </c>
      <c r="K13" s="99">
        <f t="shared" si="1"/>
        <v>0</v>
      </c>
      <c r="L13" s="96">
        <v>0</v>
      </c>
      <c r="M13" s="96">
        <v>0</v>
      </c>
      <c r="N13" s="96">
        <v>0</v>
      </c>
      <c r="O13" s="96">
        <v>0</v>
      </c>
      <c r="P13" s="100">
        <v>0</v>
      </c>
      <c r="Q13" s="101">
        <f t="shared" si="2"/>
        <v>33</v>
      </c>
      <c r="R13" s="101">
        <f t="shared" si="3"/>
        <v>0</v>
      </c>
      <c r="S13" s="102">
        <f t="shared" si="4"/>
        <v>0</v>
      </c>
    </row>
    <row r="14" spans="1:19" ht="14.25" customHeight="1" x14ac:dyDescent="0.75">
      <c r="A14" s="93">
        <v>666518</v>
      </c>
      <c r="B14" s="94" t="s">
        <v>26</v>
      </c>
      <c r="C14" s="95" t="s">
        <v>27</v>
      </c>
      <c r="D14" s="96">
        <v>0</v>
      </c>
      <c r="E14" s="97">
        <f t="shared" si="0"/>
        <v>0</v>
      </c>
      <c r="F14" s="96">
        <v>0</v>
      </c>
      <c r="G14" s="98">
        <v>0</v>
      </c>
      <c r="H14" s="96">
        <v>0</v>
      </c>
      <c r="I14" s="96">
        <v>0</v>
      </c>
      <c r="J14" s="96">
        <v>0</v>
      </c>
      <c r="K14" s="99">
        <f t="shared" si="1"/>
        <v>0</v>
      </c>
      <c r="L14" s="96">
        <v>0</v>
      </c>
      <c r="M14" s="96">
        <v>0</v>
      </c>
      <c r="N14" s="96">
        <v>0</v>
      </c>
      <c r="O14" s="96">
        <v>0</v>
      </c>
      <c r="P14" s="100">
        <v>0</v>
      </c>
      <c r="Q14" s="101">
        <f t="shared" si="2"/>
        <v>0</v>
      </c>
      <c r="R14" s="101">
        <f t="shared" si="3"/>
        <v>0</v>
      </c>
      <c r="S14" s="102">
        <f t="shared" si="4"/>
        <v>0</v>
      </c>
    </row>
    <row r="15" spans="1:19" ht="14.25" customHeight="1" x14ac:dyDescent="0.75">
      <c r="A15" s="93">
        <v>666519</v>
      </c>
      <c r="B15" s="94" t="s">
        <v>28</v>
      </c>
      <c r="C15" s="95" t="s">
        <v>29</v>
      </c>
      <c r="D15" s="96">
        <v>30</v>
      </c>
      <c r="E15" s="97">
        <f t="shared" si="0"/>
        <v>5</v>
      </c>
      <c r="F15" s="96">
        <v>6</v>
      </c>
      <c r="G15" s="98">
        <v>0</v>
      </c>
      <c r="H15" s="96">
        <v>24</v>
      </c>
      <c r="I15" s="96">
        <v>0</v>
      </c>
      <c r="J15" s="96">
        <v>0</v>
      </c>
      <c r="K15" s="99">
        <f t="shared" si="1"/>
        <v>0</v>
      </c>
      <c r="L15" s="96">
        <v>0</v>
      </c>
      <c r="M15" s="96">
        <v>0</v>
      </c>
      <c r="N15" s="96">
        <v>0</v>
      </c>
      <c r="O15" s="96">
        <v>0</v>
      </c>
      <c r="P15" s="100">
        <v>0</v>
      </c>
      <c r="Q15" s="101">
        <f t="shared" si="2"/>
        <v>30</v>
      </c>
      <c r="R15" s="101">
        <f t="shared" si="3"/>
        <v>0</v>
      </c>
      <c r="S15" s="102">
        <f t="shared" si="4"/>
        <v>0</v>
      </c>
    </row>
    <row r="16" spans="1:19" ht="14.25" customHeight="1" x14ac:dyDescent="0.75">
      <c r="A16" s="93">
        <v>666521</v>
      </c>
      <c r="B16" s="94" t="s">
        <v>30</v>
      </c>
      <c r="C16" s="95" t="s">
        <v>31</v>
      </c>
      <c r="D16" s="96">
        <v>0</v>
      </c>
      <c r="E16" s="97">
        <f t="shared" si="0"/>
        <v>0</v>
      </c>
      <c r="F16" s="96">
        <v>0</v>
      </c>
      <c r="G16" s="98">
        <v>0</v>
      </c>
      <c r="H16" s="96">
        <v>0</v>
      </c>
      <c r="I16" s="96">
        <v>0</v>
      </c>
      <c r="J16" s="96">
        <v>0</v>
      </c>
      <c r="K16" s="99">
        <f t="shared" si="1"/>
        <v>0</v>
      </c>
      <c r="L16" s="96">
        <v>0</v>
      </c>
      <c r="M16" s="96">
        <v>0</v>
      </c>
      <c r="N16" s="96">
        <v>15</v>
      </c>
      <c r="O16" s="96">
        <v>0</v>
      </c>
      <c r="P16" s="100">
        <v>0</v>
      </c>
      <c r="Q16" s="101">
        <f t="shared" si="2"/>
        <v>15</v>
      </c>
      <c r="R16" s="101">
        <f t="shared" si="3"/>
        <v>-15</v>
      </c>
      <c r="S16" s="102">
        <f t="shared" si="4"/>
        <v>-6.666666666666667</v>
      </c>
    </row>
    <row r="17" spans="1:19" ht="14.25" customHeight="1" x14ac:dyDescent="0.75">
      <c r="A17" s="93">
        <v>666522</v>
      </c>
      <c r="B17" s="94" t="s">
        <v>32</v>
      </c>
      <c r="C17" s="95" t="s">
        <v>33</v>
      </c>
      <c r="D17" s="96">
        <v>140</v>
      </c>
      <c r="E17" s="97">
        <f t="shared" si="0"/>
        <v>23.333333333333332</v>
      </c>
      <c r="F17" s="96">
        <v>45</v>
      </c>
      <c r="G17" s="98">
        <v>0</v>
      </c>
      <c r="H17" s="96">
        <v>20</v>
      </c>
      <c r="I17" s="96">
        <v>40</v>
      </c>
      <c r="J17" s="96">
        <v>20</v>
      </c>
      <c r="K17" s="99">
        <f t="shared" si="1"/>
        <v>4.2857142857142856</v>
      </c>
      <c r="L17" s="96">
        <v>0</v>
      </c>
      <c r="M17" s="96">
        <v>0</v>
      </c>
      <c r="N17" s="96">
        <v>0</v>
      </c>
      <c r="O17" s="96">
        <v>0</v>
      </c>
      <c r="P17" s="100">
        <v>0</v>
      </c>
      <c r="Q17" s="101">
        <f t="shared" si="2"/>
        <v>125</v>
      </c>
      <c r="R17" s="101">
        <f t="shared" si="3"/>
        <v>15</v>
      </c>
      <c r="S17" s="102">
        <f t="shared" si="4"/>
        <v>6.666666666666667</v>
      </c>
    </row>
    <row r="18" spans="1:19" ht="14.25" customHeight="1" x14ac:dyDescent="0.75">
      <c r="A18" s="93">
        <v>666523</v>
      </c>
      <c r="B18" s="94" t="s">
        <v>34</v>
      </c>
      <c r="C18" s="95" t="s">
        <v>35</v>
      </c>
      <c r="D18" s="96">
        <v>0</v>
      </c>
      <c r="E18" s="97">
        <f t="shared" si="0"/>
        <v>0</v>
      </c>
      <c r="F18" s="96">
        <v>0</v>
      </c>
      <c r="G18" s="98">
        <v>0</v>
      </c>
      <c r="H18" s="96">
        <v>0</v>
      </c>
      <c r="I18" s="96">
        <v>0</v>
      </c>
      <c r="J18" s="96">
        <v>0</v>
      </c>
      <c r="K18" s="99">
        <f t="shared" si="1"/>
        <v>0</v>
      </c>
      <c r="L18" s="96">
        <v>0</v>
      </c>
      <c r="M18" s="96">
        <v>0</v>
      </c>
      <c r="N18" s="96">
        <v>0</v>
      </c>
      <c r="O18" s="96">
        <v>0</v>
      </c>
      <c r="P18" s="100">
        <v>0</v>
      </c>
      <c r="Q18" s="101">
        <f t="shared" si="2"/>
        <v>0</v>
      </c>
      <c r="R18" s="101">
        <f t="shared" si="3"/>
        <v>0</v>
      </c>
      <c r="S18" s="102">
        <f t="shared" si="4"/>
        <v>0</v>
      </c>
    </row>
    <row r="19" spans="1:19" ht="14.25" customHeight="1" x14ac:dyDescent="0.75">
      <c r="A19" s="93">
        <v>666530</v>
      </c>
      <c r="B19" s="94" t="s">
        <v>36</v>
      </c>
      <c r="C19" s="95" t="s">
        <v>37</v>
      </c>
      <c r="D19" s="96">
        <v>5</v>
      </c>
      <c r="E19" s="97">
        <f t="shared" si="0"/>
        <v>0.83333333333333337</v>
      </c>
      <c r="F19" s="96">
        <v>1</v>
      </c>
      <c r="G19" s="98">
        <v>0</v>
      </c>
      <c r="H19" s="96">
        <v>4</v>
      </c>
      <c r="I19" s="96">
        <v>0</v>
      </c>
      <c r="J19" s="96">
        <v>0</v>
      </c>
      <c r="K19" s="99">
        <f t="shared" si="1"/>
        <v>0</v>
      </c>
      <c r="L19" s="96">
        <v>0</v>
      </c>
      <c r="M19" s="96">
        <v>0</v>
      </c>
      <c r="N19" s="96">
        <v>0</v>
      </c>
      <c r="O19" s="96">
        <v>0</v>
      </c>
      <c r="P19" s="100">
        <v>0</v>
      </c>
      <c r="Q19" s="101">
        <f t="shared" si="2"/>
        <v>5</v>
      </c>
      <c r="R19" s="101">
        <f t="shared" si="3"/>
        <v>0</v>
      </c>
      <c r="S19" s="102">
        <f t="shared" si="4"/>
        <v>0</v>
      </c>
    </row>
    <row r="20" spans="1:19" ht="14.25" customHeight="1" x14ac:dyDescent="0.75">
      <c r="A20" s="93">
        <v>666531</v>
      </c>
      <c r="B20" s="94" t="s">
        <v>38</v>
      </c>
      <c r="C20" s="95" t="s">
        <v>39</v>
      </c>
      <c r="D20" s="96">
        <v>18</v>
      </c>
      <c r="E20" s="97">
        <f t="shared" si="0"/>
        <v>3</v>
      </c>
      <c r="F20" s="96">
        <v>1</v>
      </c>
      <c r="G20" s="98">
        <v>0</v>
      </c>
      <c r="H20" s="96">
        <v>17</v>
      </c>
      <c r="I20" s="96">
        <v>0</v>
      </c>
      <c r="J20" s="96">
        <v>0</v>
      </c>
      <c r="K20" s="99">
        <f t="shared" si="1"/>
        <v>0</v>
      </c>
      <c r="L20" s="96">
        <v>0</v>
      </c>
      <c r="M20" s="96">
        <v>0</v>
      </c>
      <c r="N20" s="96">
        <v>0</v>
      </c>
      <c r="O20" s="96">
        <v>0</v>
      </c>
      <c r="P20" s="100">
        <v>0</v>
      </c>
      <c r="Q20" s="101">
        <f t="shared" si="2"/>
        <v>18</v>
      </c>
      <c r="R20" s="101">
        <f t="shared" si="3"/>
        <v>0</v>
      </c>
      <c r="S20" s="102"/>
    </row>
    <row r="21" spans="1:19" ht="14.25" customHeight="1" x14ac:dyDescent="0.75">
      <c r="A21" s="93">
        <v>666540</v>
      </c>
      <c r="B21" s="94" t="s">
        <v>40</v>
      </c>
      <c r="C21" s="95" t="s">
        <v>40</v>
      </c>
      <c r="D21" s="96">
        <v>0</v>
      </c>
      <c r="E21" s="97">
        <f t="shared" si="0"/>
        <v>0</v>
      </c>
      <c r="F21" s="96">
        <v>0</v>
      </c>
      <c r="G21" s="98">
        <v>0</v>
      </c>
      <c r="H21" s="96">
        <v>0</v>
      </c>
      <c r="I21" s="96">
        <v>0</v>
      </c>
      <c r="J21" s="96">
        <v>0</v>
      </c>
      <c r="K21" s="99">
        <f t="shared" si="1"/>
        <v>0</v>
      </c>
      <c r="L21" s="96">
        <v>0</v>
      </c>
      <c r="M21" s="96">
        <v>0</v>
      </c>
      <c r="N21" s="96">
        <v>0</v>
      </c>
      <c r="O21" s="96">
        <v>0</v>
      </c>
      <c r="P21" s="100">
        <v>0</v>
      </c>
      <c r="Q21" s="101">
        <f t="shared" si="2"/>
        <v>0</v>
      </c>
      <c r="R21" s="101">
        <f t="shared" si="3"/>
        <v>0</v>
      </c>
      <c r="S21" s="102"/>
    </row>
    <row r="22" spans="1:19" ht="15" customHeight="1" x14ac:dyDescent="0.75">
      <c r="A22" s="93">
        <v>666541</v>
      </c>
      <c r="B22" s="94" t="s">
        <v>41</v>
      </c>
      <c r="C22" s="103" t="s">
        <v>41</v>
      </c>
      <c r="D22" s="96">
        <v>0</v>
      </c>
      <c r="E22" s="97">
        <f t="shared" si="0"/>
        <v>0</v>
      </c>
      <c r="F22" s="104">
        <v>0</v>
      </c>
      <c r="G22" s="105">
        <v>0</v>
      </c>
      <c r="H22" s="104">
        <v>0</v>
      </c>
      <c r="I22" s="104">
        <v>0</v>
      </c>
      <c r="J22" s="104">
        <v>0</v>
      </c>
      <c r="K22" s="106">
        <f t="shared" si="1"/>
        <v>0</v>
      </c>
      <c r="L22" s="104">
        <v>0</v>
      </c>
      <c r="M22" s="104">
        <v>0</v>
      </c>
      <c r="N22" s="104">
        <v>0</v>
      </c>
      <c r="O22" s="104">
        <v>0</v>
      </c>
      <c r="P22" s="107">
        <v>0</v>
      </c>
      <c r="Q22" s="101">
        <f t="shared" si="2"/>
        <v>0</v>
      </c>
      <c r="R22" s="101">
        <f t="shared" si="3"/>
        <v>0</v>
      </c>
      <c r="S22" s="102"/>
    </row>
    <row r="23" spans="1:19" s="50" customFormat="1" ht="15" customHeight="1" x14ac:dyDescent="0.75">
      <c r="A23" s="108">
        <v>666536</v>
      </c>
      <c r="B23" s="109" t="s">
        <v>42</v>
      </c>
      <c r="C23" s="110"/>
      <c r="D23" s="104">
        <v>2</v>
      </c>
      <c r="E23" s="111">
        <f t="shared" si="0"/>
        <v>0.33333333333333331</v>
      </c>
      <c r="F23" s="104">
        <v>0</v>
      </c>
      <c r="G23" s="105">
        <v>0</v>
      </c>
      <c r="H23" s="104">
        <v>2</v>
      </c>
      <c r="I23" s="104">
        <v>0</v>
      </c>
      <c r="J23" s="104">
        <v>0</v>
      </c>
      <c r="K23" s="106">
        <f t="shared" si="1"/>
        <v>0</v>
      </c>
      <c r="L23" s="104">
        <v>0</v>
      </c>
      <c r="M23" s="104">
        <v>0</v>
      </c>
      <c r="N23" s="104">
        <v>0</v>
      </c>
      <c r="O23" s="104">
        <v>0</v>
      </c>
      <c r="P23" s="107">
        <v>0</v>
      </c>
    </row>
    <row r="24" spans="1:19" s="50" customFormat="1" ht="15" customHeight="1" x14ac:dyDescent="0.75">
      <c r="A24" s="112"/>
      <c r="B24" s="113"/>
      <c r="D24" s="101"/>
      <c r="E24" s="114"/>
    </row>
    <row r="25" spans="1:19" ht="15" customHeight="1" x14ac:dyDescent="0.75">
      <c r="A25" s="4" t="str">
        <f>+A1</f>
        <v>Weeks of 1/12 &amp;1/19</v>
      </c>
      <c r="B25" s="4"/>
      <c r="C25" s="4"/>
      <c r="D25" s="4"/>
      <c r="E25" s="4"/>
      <c r="F25" s="115"/>
      <c r="G25" s="115"/>
      <c r="H25" s="115"/>
      <c r="I25" s="115"/>
      <c r="J25" s="116"/>
      <c r="K25" s="116"/>
      <c r="L25" s="116"/>
      <c r="M25" s="116"/>
      <c r="N25" s="116"/>
      <c r="O25" s="116"/>
      <c r="P25" s="117"/>
      <c r="Q25" s="101"/>
      <c r="R25" s="101"/>
    </row>
    <row r="26" spans="1:19" ht="42" customHeight="1" x14ac:dyDescent="0.75">
      <c r="A26" s="118"/>
      <c r="B26" s="119" t="s">
        <v>170</v>
      </c>
      <c r="C26" s="120" t="s">
        <v>65</v>
      </c>
      <c r="D26" s="121" t="s">
        <v>119</v>
      </c>
      <c r="E26" s="122" t="s">
        <v>171</v>
      </c>
      <c r="F26" s="88" t="s">
        <v>162</v>
      </c>
      <c r="G26" s="86" t="s">
        <v>163</v>
      </c>
      <c r="H26" s="87" t="s">
        <v>172</v>
      </c>
      <c r="I26" s="86" t="s">
        <v>165</v>
      </c>
      <c r="J26" s="123" t="s">
        <v>166</v>
      </c>
      <c r="K26" s="124" t="str">
        <f>+K2</f>
        <v>2nd wk daily goals</v>
      </c>
      <c r="L26" s="125" t="s">
        <v>162</v>
      </c>
      <c r="M26" s="86" t="s">
        <v>163</v>
      </c>
      <c r="N26" s="126" t="s">
        <v>172</v>
      </c>
      <c r="O26" s="86" t="s">
        <v>165</v>
      </c>
      <c r="P26" s="90" t="s">
        <v>166</v>
      </c>
      <c r="Q26" s="101"/>
      <c r="R26" s="92" t="s">
        <v>168</v>
      </c>
    </row>
    <row r="27" spans="1:19" ht="15" customHeight="1" x14ac:dyDescent="0.75">
      <c r="A27" s="93">
        <v>666501</v>
      </c>
      <c r="B27" s="94" t="s">
        <v>4</v>
      </c>
      <c r="C27" s="127" t="s">
        <v>5</v>
      </c>
      <c r="D27" s="128">
        <v>0</v>
      </c>
      <c r="E27" s="129">
        <f t="shared" ref="E27:E47" si="5">+D27/7</f>
        <v>0</v>
      </c>
      <c r="F27" s="96">
        <v>0</v>
      </c>
      <c r="G27" s="96">
        <v>0</v>
      </c>
      <c r="H27" s="96">
        <v>0</v>
      </c>
      <c r="I27" s="96">
        <v>0</v>
      </c>
      <c r="J27" s="130">
        <v>0</v>
      </c>
      <c r="K27" s="131">
        <f t="shared" ref="K27:K47" si="6">(+D27-SUM(F27:J27))/4</f>
        <v>0</v>
      </c>
      <c r="L27" s="132">
        <v>0</v>
      </c>
      <c r="M27" s="96">
        <v>0</v>
      </c>
      <c r="N27" s="96">
        <v>0</v>
      </c>
      <c r="O27" s="96">
        <v>0</v>
      </c>
      <c r="P27" s="100">
        <v>0</v>
      </c>
      <c r="Q27" s="133">
        <f t="shared" ref="Q27:Q47" si="7">SUM(F27:J27)+SUM(L27:P27)</f>
        <v>0</v>
      </c>
      <c r="R27" s="101">
        <f t="shared" ref="R27:R47" si="8">+D27-Q27</f>
        <v>0</v>
      </c>
      <c r="S27" s="102">
        <f t="shared" ref="S27:S36" si="9">+R27/3</f>
        <v>0</v>
      </c>
    </row>
    <row r="28" spans="1:19" ht="15" customHeight="1" x14ac:dyDescent="0.75">
      <c r="A28" s="93">
        <v>666502</v>
      </c>
      <c r="B28" s="94" t="s">
        <v>6</v>
      </c>
      <c r="C28" s="127" t="s">
        <v>7</v>
      </c>
      <c r="D28" s="128">
        <v>307</v>
      </c>
      <c r="E28" s="129">
        <f t="shared" si="5"/>
        <v>43.857142857142854</v>
      </c>
      <c r="F28" s="96">
        <v>25</v>
      </c>
      <c r="G28" s="96">
        <v>32</v>
      </c>
      <c r="H28" s="96">
        <v>50</v>
      </c>
      <c r="I28" s="96">
        <v>12</v>
      </c>
      <c r="J28" s="130">
        <v>23</v>
      </c>
      <c r="K28" s="131">
        <f t="shared" si="6"/>
        <v>41.25</v>
      </c>
      <c r="L28" s="132">
        <v>0</v>
      </c>
      <c r="M28" s="96">
        <v>36</v>
      </c>
      <c r="N28" s="96">
        <v>40</v>
      </c>
      <c r="O28" s="96">
        <v>25</v>
      </c>
      <c r="P28" s="100">
        <v>20</v>
      </c>
      <c r="Q28" s="101">
        <f t="shared" si="7"/>
        <v>263</v>
      </c>
      <c r="R28" s="101">
        <f t="shared" si="8"/>
        <v>44</v>
      </c>
      <c r="S28" s="102">
        <f t="shared" si="9"/>
        <v>14.666666666666666</v>
      </c>
    </row>
    <row r="29" spans="1:19" ht="15" customHeight="1" x14ac:dyDescent="0.75">
      <c r="A29" s="93">
        <v>666505</v>
      </c>
      <c r="B29" s="94" t="s">
        <v>8</v>
      </c>
      <c r="C29" s="127" t="s">
        <v>9</v>
      </c>
      <c r="D29" s="128">
        <v>0</v>
      </c>
      <c r="E29" s="129">
        <f t="shared" si="5"/>
        <v>0</v>
      </c>
      <c r="F29" s="96">
        <v>0</v>
      </c>
      <c r="G29" s="96">
        <v>0</v>
      </c>
      <c r="H29" s="96">
        <v>0</v>
      </c>
      <c r="I29" s="96">
        <v>0</v>
      </c>
      <c r="J29" s="130">
        <v>0</v>
      </c>
      <c r="K29" s="131">
        <f t="shared" si="6"/>
        <v>0</v>
      </c>
      <c r="L29" s="132">
        <v>0</v>
      </c>
      <c r="M29" s="96">
        <v>0</v>
      </c>
      <c r="N29" s="96">
        <v>0</v>
      </c>
      <c r="O29" s="96">
        <v>0</v>
      </c>
      <c r="P29" s="100">
        <v>0</v>
      </c>
      <c r="Q29" s="101">
        <f t="shared" si="7"/>
        <v>0</v>
      </c>
      <c r="R29" s="101">
        <f t="shared" si="8"/>
        <v>0</v>
      </c>
      <c r="S29" s="102">
        <f t="shared" si="9"/>
        <v>0</v>
      </c>
    </row>
    <row r="30" spans="1:19" ht="15" customHeight="1" x14ac:dyDescent="0.75">
      <c r="A30" s="93">
        <v>666506</v>
      </c>
      <c r="B30" s="94" t="s">
        <v>10</v>
      </c>
      <c r="C30" s="127" t="s">
        <v>11</v>
      </c>
      <c r="D30" s="128">
        <v>200</v>
      </c>
      <c r="E30" s="129">
        <f t="shared" si="5"/>
        <v>28.571428571428573</v>
      </c>
      <c r="F30" s="96">
        <v>0</v>
      </c>
      <c r="G30" s="96">
        <v>0</v>
      </c>
      <c r="H30" s="96">
        <v>0</v>
      </c>
      <c r="I30" s="96">
        <v>0</v>
      </c>
      <c r="J30" s="130">
        <v>8</v>
      </c>
      <c r="K30" s="131">
        <f t="shared" si="6"/>
        <v>48</v>
      </c>
      <c r="L30" s="132">
        <v>0</v>
      </c>
      <c r="M30" s="96">
        <v>5</v>
      </c>
      <c r="N30" s="96">
        <v>10</v>
      </c>
      <c r="O30" s="96">
        <v>3</v>
      </c>
      <c r="P30" s="100">
        <v>9</v>
      </c>
      <c r="Q30" s="101">
        <f t="shared" si="7"/>
        <v>35</v>
      </c>
      <c r="R30" s="101">
        <f t="shared" si="8"/>
        <v>165</v>
      </c>
      <c r="S30" s="102">
        <f t="shared" si="9"/>
        <v>55</v>
      </c>
    </row>
    <row r="31" spans="1:19" ht="15" customHeight="1" x14ac:dyDescent="0.75">
      <c r="A31" s="93">
        <v>666507</v>
      </c>
      <c r="B31" s="94" t="s">
        <v>12</v>
      </c>
      <c r="C31" s="127" t="s">
        <v>13</v>
      </c>
      <c r="D31" s="128">
        <v>0</v>
      </c>
      <c r="E31" s="129">
        <f t="shared" si="5"/>
        <v>0</v>
      </c>
      <c r="F31" s="96">
        <v>0</v>
      </c>
      <c r="G31" s="96">
        <v>0</v>
      </c>
      <c r="H31" s="96">
        <v>0</v>
      </c>
      <c r="I31" s="96">
        <v>0</v>
      </c>
      <c r="J31" s="130">
        <v>0</v>
      </c>
      <c r="K31" s="131">
        <f t="shared" si="6"/>
        <v>0</v>
      </c>
      <c r="L31" s="132">
        <v>0</v>
      </c>
      <c r="M31" s="96">
        <v>0</v>
      </c>
      <c r="N31" s="96">
        <v>0</v>
      </c>
      <c r="O31" s="96">
        <v>0</v>
      </c>
      <c r="P31" s="100">
        <v>0</v>
      </c>
      <c r="Q31" s="101">
        <f t="shared" si="7"/>
        <v>0</v>
      </c>
      <c r="R31" s="101">
        <f t="shared" si="8"/>
        <v>0</v>
      </c>
      <c r="S31" s="102">
        <f t="shared" si="9"/>
        <v>0</v>
      </c>
    </row>
    <row r="32" spans="1:19" ht="15" customHeight="1" x14ac:dyDescent="0.75">
      <c r="A32" s="93">
        <v>666509</v>
      </c>
      <c r="B32" s="94" t="s">
        <v>14</v>
      </c>
      <c r="C32" s="127" t="s">
        <v>15</v>
      </c>
      <c r="D32" s="128">
        <v>0</v>
      </c>
      <c r="E32" s="129">
        <f t="shared" si="5"/>
        <v>0</v>
      </c>
      <c r="F32" s="96">
        <v>0</v>
      </c>
      <c r="G32" s="96">
        <v>0</v>
      </c>
      <c r="H32" s="96">
        <v>0</v>
      </c>
      <c r="I32" s="96">
        <v>0</v>
      </c>
      <c r="J32" s="130">
        <v>0</v>
      </c>
      <c r="K32" s="131">
        <f t="shared" si="6"/>
        <v>0</v>
      </c>
      <c r="L32" s="132">
        <v>0</v>
      </c>
      <c r="M32" s="96">
        <v>0</v>
      </c>
      <c r="N32" s="96">
        <v>0</v>
      </c>
      <c r="O32" s="96">
        <v>0</v>
      </c>
      <c r="P32" s="100">
        <v>0</v>
      </c>
      <c r="Q32" s="101">
        <f t="shared" si="7"/>
        <v>0</v>
      </c>
      <c r="R32" s="101">
        <f t="shared" si="8"/>
        <v>0</v>
      </c>
      <c r="S32" s="102">
        <f t="shared" si="9"/>
        <v>0</v>
      </c>
    </row>
    <row r="33" spans="1:24" ht="15" customHeight="1" x14ac:dyDescent="0.75">
      <c r="A33" s="93">
        <v>666510</v>
      </c>
      <c r="B33" s="94" t="s">
        <v>16</v>
      </c>
      <c r="C33" s="127" t="s">
        <v>169</v>
      </c>
      <c r="D33" s="128">
        <v>0</v>
      </c>
      <c r="E33" s="129">
        <f t="shared" si="5"/>
        <v>0</v>
      </c>
      <c r="F33" s="96">
        <v>0</v>
      </c>
      <c r="G33" s="96">
        <v>0</v>
      </c>
      <c r="H33" s="96">
        <v>0</v>
      </c>
      <c r="I33" s="96">
        <v>0</v>
      </c>
      <c r="J33" s="130">
        <v>0</v>
      </c>
      <c r="K33" s="131">
        <f t="shared" si="6"/>
        <v>0</v>
      </c>
      <c r="L33" s="132">
        <v>0</v>
      </c>
      <c r="M33" s="96">
        <v>0</v>
      </c>
      <c r="N33" s="96">
        <v>0</v>
      </c>
      <c r="O33" s="96">
        <v>0</v>
      </c>
      <c r="P33" s="100">
        <v>0</v>
      </c>
      <c r="Q33" s="101">
        <f t="shared" si="7"/>
        <v>0</v>
      </c>
      <c r="R33" s="101">
        <f t="shared" si="8"/>
        <v>0</v>
      </c>
      <c r="S33" s="102">
        <f t="shared" si="9"/>
        <v>0</v>
      </c>
    </row>
    <row r="34" spans="1:24" ht="15" customHeight="1" x14ac:dyDescent="0.75">
      <c r="A34" s="93">
        <v>666511</v>
      </c>
      <c r="B34" s="94" t="s">
        <v>18</v>
      </c>
      <c r="C34" s="127" t="s">
        <v>19</v>
      </c>
      <c r="D34" s="128">
        <v>0</v>
      </c>
      <c r="E34" s="129">
        <f t="shared" si="5"/>
        <v>0</v>
      </c>
      <c r="F34" s="96">
        <v>0</v>
      </c>
      <c r="G34" s="96">
        <v>0</v>
      </c>
      <c r="H34" s="96">
        <v>0</v>
      </c>
      <c r="I34" s="96">
        <v>0</v>
      </c>
      <c r="J34" s="130">
        <v>0</v>
      </c>
      <c r="K34" s="131">
        <f t="shared" si="6"/>
        <v>0</v>
      </c>
      <c r="L34" s="132">
        <v>0</v>
      </c>
      <c r="M34" s="96">
        <v>0</v>
      </c>
      <c r="N34" s="96">
        <v>0</v>
      </c>
      <c r="O34" s="96">
        <v>0</v>
      </c>
      <c r="P34" s="100">
        <v>0</v>
      </c>
      <c r="Q34" s="101">
        <f t="shared" si="7"/>
        <v>0</v>
      </c>
      <c r="R34" s="101">
        <f t="shared" si="8"/>
        <v>0</v>
      </c>
      <c r="S34" s="102">
        <f t="shared" si="9"/>
        <v>0</v>
      </c>
    </row>
    <row r="35" spans="1:24" ht="15" customHeight="1" x14ac:dyDescent="0.75">
      <c r="A35" s="93">
        <v>666513</v>
      </c>
      <c r="B35" s="94" t="s">
        <v>20</v>
      </c>
      <c r="C35" s="127" t="s">
        <v>21</v>
      </c>
      <c r="D35" s="128">
        <v>0</v>
      </c>
      <c r="E35" s="129">
        <f t="shared" si="5"/>
        <v>0</v>
      </c>
      <c r="F35" s="96">
        <v>0</v>
      </c>
      <c r="G35" s="96">
        <v>0</v>
      </c>
      <c r="H35" s="96">
        <v>0</v>
      </c>
      <c r="I35" s="96">
        <v>0</v>
      </c>
      <c r="J35" s="130">
        <v>0</v>
      </c>
      <c r="K35" s="131">
        <f t="shared" si="6"/>
        <v>0</v>
      </c>
      <c r="L35" s="132">
        <v>0</v>
      </c>
      <c r="M35" s="96">
        <v>0</v>
      </c>
      <c r="N35" s="96">
        <v>0</v>
      </c>
      <c r="O35" s="96">
        <v>0</v>
      </c>
      <c r="P35" s="100">
        <v>0</v>
      </c>
      <c r="Q35" s="101">
        <f t="shared" si="7"/>
        <v>0</v>
      </c>
      <c r="R35" s="101">
        <f t="shared" si="8"/>
        <v>0</v>
      </c>
      <c r="S35" s="102">
        <f t="shared" si="9"/>
        <v>0</v>
      </c>
    </row>
    <row r="36" spans="1:24" ht="15" customHeight="1" x14ac:dyDescent="0.75">
      <c r="A36" s="93">
        <v>666516</v>
      </c>
      <c r="B36" s="94" t="s">
        <v>22</v>
      </c>
      <c r="C36" s="127" t="s">
        <v>23</v>
      </c>
      <c r="D36" s="128">
        <v>0</v>
      </c>
      <c r="E36" s="129">
        <f t="shared" si="5"/>
        <v>0</v>
      </c>
      <c r="F36" s="96">
        <v>0</v>
      </c>
      <c r="G36" s="96">
        <v>0</v>
      </c>
      <c r="H36" s="96">
        <v>0</v>
      </c>
      <c r="I36" s="96">
        <v>0</v>
      </c>
      <c r="J36" s="130">
        <v>0</v>
      </c>
      <c r="K36" s="131">
        <f t="shared" si="6"/>
        <v>0</v>
      </c>
      <c r="L36" s="132">
        <v>0</v>
      </c>
      <c r="M36" s="96">
        <v>0</v>
      </c>
      <c r="N36" s="96">
        <v>0</v>
      </c>
      <c r="O36" s="96">
        <v>0</v>
      </c>
      <c r="P36" s="100">
        <v>0</v>
      </c>
      <c r="Q36" s="101">
        <f t="shared" si="7"/>
        <v>0</v>
      </c>
      <c r="R36" s="101">
        <f t="shared" si="8"/>
        <v>0</v>
      </c>
      <c r="S36" s="102">
        <f t="shared" si="9"/>
        <v>0</v>
      </c>
    </row>
    <row r="37" spans="1:24" ht="15" customHeight="1" x14ac:dyDescent="0.75">
      <c r="A37" s="93">
        <v>666517</v>
      </c>
      <c r="B37" s="94" t="s">
        <v>24</v>
      </c>
      <c r="C37" s="127" t="s">
        <v>25</v>
      </c>
      <c r="D37" s="128">
        <v>0</v>
      </c>
      <c r="E37" s="129">
        <f t="shared" si="5"/>
        <v>0</v>
      </c>
      <c r="F37" s="96">
        <v>0</v>
      </c>
      <c r="G37" s="96">
        <v>0</v>
      </c>
      <c r="H37" s="96">
        <v>0</v>
      </c>
      <c r="I37" s="96">
        <v>0</v>
      </c>
      <c r="J37" s="130">
        <v>0</v>
      </c>
      <c r="K37" s="131">
        <f t="shared" si="6"/>
        <v>0</v>
      </c>
      <c r="L37" s="132">
        <v>0</v>
      </c>
      <c r="M37" s="96">
        <v>0</v>
      </c>
      <c r="N37" s="96">
        <v>0</v>
      </c>
      <c r="O37" s="96">
        <v>0</v>
      </c>
      <c r="P37" s="100">
        <v>0</v>
      </c>
      <c r="Q37" s="101">
        <f t="shared" si="7"/>
        <v>0</v>
      </c>
      <c r="R37" s="101">
        <f t="shared" si="8"/>
        <v>0</v>
      </c>
      <c r="S37" s="102">
        <f>+R37/2</f>
        <v>0</v>
      </c>
    </row>
    <row r="38" spans="1:24" ht="15" customHeight="1" x14ac:dyDescent="0.75">
      <c r="A38" s="93">
        <v>666518</v>
      </c>
      <c r="B38" s="94" t="s">
        <v>26</v>
      </c>
      <c r="C38" s="127" t="s">
        <v>27</v>
      </c>
      <c r="D38" s="128">
        <v>0</v>
      </c>
      <c r="E38" s="129">
        <f t="shared" si="5"/>
        <v>0</v>
      </c>
      <c r="F38" s="96">
        <v>0</v>
      </c>
      <c r="G38" s="96">
        <v>0</v>
      </c>
      <c r="H38" s="96">
        <v>0</v>
      </c>
      <c r="I38" s="96">
        <v>0</v>
      </c>
      <c r="J38" s="130">
        <v>0</v>
      </c>
      <c r="K38" s="131">
        <f t="shared" si="6"/>
        <v>0</v>
      </c>
      <c r="L38" s="132">
        <v>0</v>
      </c>
      <c r="M38" s="96">
        <v>0</v>
      </c>
      <c r="N38" s="96">
        <v>0</v>
      </c>
      <c r="O38" s="96">
        <v>0</v>
      </c>
      <c r="P38" s="100">
        <v>0</v>
      </c>
      <c r="Q38" s="101">
        <f t="shared" si="7"/>
        <v>0</v>
      </c>
      <c r="R38" s="101">
        <f t="shared" si="8"/>
        <v>0</v>
      </c>
      <c r="S38" s="102">
        <f>+R38/3</f>
        <v>0</v>
      </c>
    </row>
    <row r="39" spans="1:24" ht="15" customHeight="1" x14ac:dyDescent="0.75">
      <c r="A39" s="93">
        <v>666519</v>
      </c>
      <c r="B39" s="94" t="s">
        <v>28</v>
      </c>
      <c r="C39" s="127" t="s">
        <v>29</v>
      </c>
      <c r="D39" s="128">
        <v>0</v>
      </c>
      <c r="E39" s="129">
        <f t="shared" si="5"/>
        <v>0</v>
      </c>
      <c r="F39" s="96">
        <v>0</v>
      </c>
      <c r="G39" s="96">
        <v>0</v>
      </c>
      <c r="H39" s="96">
        <v>0</v>
      </c>
      <c r="I39" s="96">
        <v>0</v>
      </c>
      <c r="J39" s="130">
        <v>0</v>
      </c>
      <c r="K39" s="131">
        <f t="shared" si="6"/>
        <v>0</v>
      </c>
      <c r="L39" s="132">
        <v>0</v>
      </c>
      <c r="M39" s="96">
        <v>0</v>
      </c>
      <c r="N39" s="96">
        <v>0</v>
      </c>
      <c r="O39" s="96">
        <v>0</v>
      </c>
      <c r="P39" s="100">
        <v>0</v>
      </c>
      <c r="Q39" s="101">
        <f t="shared" si="7"/>
        <v>0</v>
      </c>
      <c r="R39" s="101">
        <f t="shared" si="8"/>
        <v>0</v>
      </c>
      <c r="S39" s="102"/>
    </row>
    <row r="40" spans="1:24" ht="15" customHeight="1" x14ac:dyDescent="0.75">
      <c r="A40" s="93">
        <v>666521</v>
      </c>
      <c r="B40" s="94" t="s">
        <v>30</v>
      </c>
      <c r="C40" s="127" t="s">
        <v>31</v>
      </c>
      <c r="D40" s="128">
        <v>0</v>
      </c>
      <c r="E40" s="129">
        <f t="shared" si="5"/>
        <v>0</v>
      </c>
      <c r="F40" s="96">
        <v>0</v>
      </c>
      <c r="G40" s="96">
        <v>0</v>
      </c>
      <c r="H40" s="96">
        <v>0</v>
      </c>
      <c r="I40" s="96">
        <v>0</v>
      </c>
      <c r="J40" s="130">
        <v>0</v>
      </c>
      <c r="K40" s="131">
        <f t="shared" si="6"/>
        <v>0</v>
      </c>
      <c r="L40" s="132">
        <v>0</v>
      </c>
      <c r="M40" s="96">
        <v>0</v>
      </c>
      <c r="N40" s="96">
        <v>0</v>
      </c>
      <c r="O40" s="96">
        <v>0</v>
      </c>
      <c r="P40" s="100">
        <v>0</v>
      </c>
      <c r="Q40" s="101">
        <f t="shared" si="7"/>
        <v>0</v>
      </c>
      <c r="R40" s="101">
        <f t="shared" si="8"/>
        <v>0</v>
      </c>
      <c r="S40" s="102"/>
    </row>
    <row r="41" spans="1:24" ht="15" customHeight="1" x14ac:dyDescent="0.75">
      <c r="A41" s="93">
        <v>666522</v>
      </c>
      <c r="B41" s="94" t="s">
        <v>32</v>
      </c>
      <c r="C41" s="127" t="s">
        <v>33</v>
      </c>
      <c r="D41" s="128">
        <v>205</v>
      </c>
      <c r="E41" s="129">
        <f t="shared" si="5"/>
        <v>29.285714285714285</v>
      </c>
      <c r="F41" s="96">
        <v>165</v>
      </c>
      <c r="G41" s="96">
        <v>50</v>
      </c>
      <c r="H41" s="96">
        <v>0</v>
      </c>
      <c r="I41" s="96">
        <v>0</v>
      </c>
      <c r="J41" s="130">
        <v>0</v>
      </c>
      <c r="K41" s="131">
        <f t="shared" si="6"/>
        <v>-2.5</v>
      </c>
      <c r="L41" s="132">
        <v>0</v>
      </c>
      <c r="M41" s="96">
        <v>0</v>
      </c>
      <c r="N41" s="96">
        <v>0</v>
      </c>
      <c r="O41" s="96">
        <v>0</v>
      </c>
      <c r="P41" s="100">
        <v>0</v>
      </c>
      <c r="Q41" s="101">
        <f t="shared" si="7"/>
        <v>215</v>
      </c>
      <c r="R41" s="101">
        <f t="shared" si="8"/>
        <v>-10</v>
      </c>
      <c r="S41" s="102"/>
    </row>
    <row r="42" spans="1:24" ht="15" customHeight="1" x14ac:dyDescent="0.75">
      <c r="A42" s="93">
        <v>666523</v>
      </c>
      <c r="B42" s="94" t="s">
        <v>34</v>
      </c>
      <c r="C42" s="127" t="s">
        <v>35</v>
      </c>
      <c r="D42" s="128">
        <v>47</v>
      </c>
      <c r="E42" s="129">
        <f t="shared" si="5"/>
        <v>6.7142857142857144</v>
      </c>
      <c r="F42" s="96">
        <v>47</v>
      </c>
      <c r="G42" s="96">
        <v>0</v>
      </c>
      <c r="H42" s="96">
        <v>0</v>
      </c>
      <c r="I42" s="96">
        <v>0</v>
      </c>
      <c r="J42" s="130">
        <v>0</v>
      </c>
      <c r="K42" s="131">
        <f t="shared" si="6"/>
        <v>0</v>
      </c>
      <c r="L42" s="132">
        <v>0</v>
      </c>
      <c r="M42" s="96">
        <v>0</v>
      </c>
      <c r="N42" s="96">
        <v>0</v>
      </c>
      <c r="O42" s="96">
        <v>0</v>
      </c>
      <c r="P42" s="100">
        <v>0</v>
      </c>
      <c r="Q42" s="101">
        <f t="shared" si="7"/>
        <v>47</v>
      </c>
      <c r="R42" s="101">
        <f t="shared" si="8"/>
        <v>0</v>
      </c>
      <c r="S42" s="102"/>
    </row>
    <row r="43" spans="1:24" ht="15" customHeight="1" x14ac:dyDescent="0.75">
      <c r="A43" s="93">
        <v>666530</v>
      </c>
      <c r="B43" s="94" t="s">
        <v>36</v>
      </c>
      <c r="C43" s="127" t="s">
        <v>37</v>
      </c>
      <c r="D43" s="128">
        <v>0</v>
      </c>
      <c r="E43" s="129">
        <f t="shared" si="5"/>
        <v>0</v>
      </c>
      <c r="F43" s="96">
        <v>0</v>
      </c>
      <c r="G43" s="96">
        <v>0</v>
      </c>
      <c r="H43" s="96">
        <v>0</v>
      </c>
      <c r="I43" s="96">
        <v>0</v>
      </c>
      <c r="J43" s="130">
        <v>0</v>
      </c>
      <c r="K43" s="131">
        <f t="shared" si="6"/>
        <v>0</v>
      </c>
      <c r="L43" s="132">
        <v>0</v>
      </c>
      <c r="M43" s="96">
        <v>0</v>
      </c>
      <c r="N43" s="96">
        <v>0</v>
      </c>
      <c r="O43" s="96">
        <v>0</v>
      </c>
      <c r="P43" s="100">
        <v>0</v>
      </c>
      <c r="Q43" s="101">
        <f t="shared" si="7"/>
        <v>0</v>
      </c>
      <c r="R43" s="101">
        <f t="shared" si="8"/>
        <v>0</v>
      </c>
      <c r="S43" s="102"/>
    </row>
    <row r="44" spans="1:24" ht="15" customHeight="1" x14ac:dyDescent="0.75">
      <c r="A44" s="93">
        <v>666531</v>
      </c>
      <c r="B44" s="94" t="s">
        <v>38</v>
      </c>
      <c r="C44" s="127" t="s">
        <v>39</v>
      </c>
      <c r="D44" s="128">
        <v>0</v>
      </c>
      <c r="E44" s="129">
        <f t="shared" si="5"/>
        <v>0</v>
      </c>
      <c r="F44" s="96">
        <v>0</v>
      </c>
      <c r="G44" s="96">
        <v>0</v>
      </c>
      <c r="H44" s="96">
        <v>0</v>
      </c>
      <c r="I44" s="96">
        <v>0</v>
      </c>
      <c r="J44" s="130">
        <v>0</v>
      </c>
      <c r="K44" s="131">
        <f t="shared" si="6"/>
        <v>0</v>
      </c>
      <c r="L44" s="132">
        <v>0</v>
      </c>
      <c r="M44" s="96">
        <v>12</v>
      </c>
      <c r="N44" s="96">
        <v>5</v>
      </c>
      <c r="O44" s="96">
        <v>2</v>
      </c>
      <c r="P44" s="100">
        <v>1</v>
      </c>
      <c r="Q44" s="101">
        <f t="shared" si="7"/>
        <v>20</v>
      </c>
      <c r="R44" s="101">
        <f t="shared" si="8"/>
        <v>-20</v>
      </c>
      <c r="S44" s="102">
        <f>+R44/3</f>
        <v>-6.666666666666667</v>
      </c>
    </row>
    <row r="45" spans="1:24" ht="15" customHeight="1" x14ac:dyDescent="0.75">
      <c r="A45" s="93">
        <v>666540</v>
      </c>
      <c r="B45" s="94" t="s">
        <v>40</v>
      </c>
      <c r="C45" s="127" t="s">
        <v>40</v>
      </c>
      <c r="D45" s="128">
        <v>240</v>
      </c>
      <c r="E45" s="129">
        <f t="shared" si="5"/>
        <v>34.285714285714285</v>
      </c>
      <c r="F45" s="96">
        <v>6</v>
      </c>
      <c r="G45" s="96">
        <v>12</v>
      </c>
      <c r="H45" s="96">
        <v>11</v>
      </c>
      <c r="I45" s="96">
        <v>10</v>
      </c>
      <c r="J45" s="130">
        <v>6</v>
      </c>
      <c r="K45" s="131">
        <f t="shared" si="6"/>
        <v>48.75</v>
      </c>
      <c r="L45" s="132">
        <v>0</v>
      </c>
      <c r="M45" s="96">
        <v>12</v>
      </c>
      <c r="N45" s="96">
        <v>5</v>
      </c>
      <c r="O45" s="96">
        <v>2</v>
      </c>
      <c r="P45" s="100">
        <v>1</v>
      </c>
      <c r="Q45" s="101">
        <f t="shared" si="7"/>
        <v>65</v>
      </c>
      <c r="R45" s="101">
        <f t="shared" si="8"/>
        <v>175</v>
      </c>
      <c r="S45" s="102">
        <f>+R45/3</f>
        <v>58.333333333333336</v>
      </c>
    </row>
    <row r="46" spans="1:24" ht="15" customHeight="1" x14ac:dyDescent="0.75">
      <c r="A46" s="93">
        <v>666541</v>
      </c>
      <c r="B46" s="94" t="s">
        <v>41</v>
      </c>
      <c r="C46" s="127"/>
      <c r="D46" s="128">
        <v>240</v>
      </c>
      <c r="E46" s="129">
        <f t="shared" si="5"/>
        <v>34.285714285714285</v>
      </c>
      <c r="F46" s="96">
        <v>28</v>
      </c>
      <c r="G46" s="96">
        <v>40</v>
      </c>
      <c r="H46" s="96">
        <v>28</v>
      </c>
      <c r="I46" s="96">
        <v>41</v>
      </c>
      <c r="J46" s="130">
        <v>22</v>
      </c>
      <c r="K46" s="131">
        <f t="shared" si="6"/>
        <v>20.25</v>
      </c>
      <c r="L46" s="132">
        <v>0</v>
      </c>
      <c r="M46" s="96">
        <v>43</v>
      </c>
      <c r="N46" s="96">
        <v>37</v>
      </c>
      <c r="O46" s="96">
        <v>24</v>
      </c>
      <c r="P46" s="100">
        <v>17</v>
      </c>
      <c r="Q46" s="101">
        <f t="shared" si="7"/>
        <v>280</v>
      </c>
      <c r="R46" s="101">
        <f t="shared" si="8"/>
        <v>-40</v>
      </c>
      <c r="S46" s="102"/>
    </row>
    <row r="47" spans="1:24" ht="15" customHeight="1" x14ac:dyDescent="0.75">
      <c r="A47" s="93">
        <v>666536</v>
      </c>
      <c r="B47" s="94" t="s">
        <v>42</v>
      </c>
      <c r="C47" s="134" t="s">
        <v>41</v>
      </c>
      <c r="D47" s="128">
        <v>0</v>
      </c>
      <c r="E47" s="129">
        <f t="shared" si="5"/>
        <v>0</v>
      </c>
      <c r="F47" s="96">
        <v>0</v>
      </c>
      <c r="G47" s="96">
        <v>0</v>
      </c>
      <c r="H47" s="96">
        <v>0</v>
      </c>
      <c r="I47" s="96">
        <v>0</v>
      </c>
      <c r="J47" s="130">
        <v>0</v>
      </c>
      <c r="K47" s="131">
        <f t="shared" si="6"/>
        <v>0</v>
      </c>
      <c r="L47" s="132">
        <v>0</v>
      </c>
      <c r="M47" s="96">
        <v>0</v>
      </c>
      <c r="N47" s="96">
        <v>0</v>
      </c>
      <c r="O47" s="96">
        <v>0</v>
      </c>
      <c r="P47" s="100">
        <v>0</v>
      </c>
      <c r="Q47" s="101">
        <f t="shared" si="7"/>
        <v>0</v>
      </c>
      <c r="R47" s="101">
        <f t="shared" si="8"/>
        <v>0</v>
      </c>
      <c r="S47" s="102">
        <f>+R47/3</f>
        <v>0</v>
      </c>
      <c r="X47" s="79" t="s">
        <v>152</v>
      </c>
    </row>
    <row r="48" spans="1:24" ht="15" customHeight="1" x14ac:dyDescent="0.75">
      <c r="A48" s="135"/>
      <c r="B48" s="136"/>
      <c r="C48" s="134"/>
      <c r="D48" s="137"/>
      <c r="E48" s="137"/>
      <c r="F48" s="138"/>
      <c r="G48" s="139"/>
      <c r="H48" s="139"/>
      <c r="I48" s="139"/>
      <c r="J48" s="139"/>
      <c r="K48" s="140"/>
      <c r="L48" s="139"/>
      <c r="M48" s="139"/>
      <c r="N48" s="139"/>
      <c r="O48" s="139"/>
      <c r="P48" s="141"/>
      <c r="Q48" s="101"/>
      <c r="R48" s="101"/>
      <c r="S48" s="102"/>
    </row>
    <row r="49" spans="1:18" ht="15" customHeight="1" x14ac:dyDescent="0.75">
      <c r="A49" s="3" t="str">
        <f>+A1</f>
        <v>Weeks of 1/12 &amp;1/19</v>
      </c>
      <c r="B49" s="3"/>
      <c r="C49" s="3"/>
      <c r="D49" s="3"/>
      <c r="E49" s="3"/>
      <c r="F49" s="142"/>
      <c r="G49" s="81"/>
      <c r="H49" s="81"/>
      <c r="I49" s="81"/>
      <c r="J49" s="81"/>
      <c r="K49" s="81"/>
      <c r="L49" s="81"/>
      <c r="M49" s="81"/>
      <c r="N49" s="81"/>
      <c r="O49" s="81"/>
      <c r="P49" s="82"/>
      <c r="Q49" s="101"/>
    </row>
    <row r="50" spans="1:18" ht="36.75" customHeight="1" x14ac:dyDescent="0.75">
      <c r="A50" s="83"/>
      <c r="B50" s="143" t="s">
        <v>66</v>
      </c>
      <c r="C50" s="144"/>
      <c r="D50" s="86" t="s">
        <v>122</v>
      </c>
      <c r="E50" s="86" t="s">
        <v>173</v>
      </c>
      <c r="F50" s="88" t="s">
        <v>162</v>
      </c>
      <c r="G50" s="86" t="s">
        <v>163</v>
      </c>
      <c r="H50" s="87" t="s">
        <v>164</v>
      </c>
      <c r="I50" s="86" t="s">
        <v>165</v>
      </c>
      <c r="J50" s="86" t="s">
        <v>166</v>
      </c>
      <c r="K50" s="89" t="str">
        <f>+K26</f>
        <v>2nd wk daily goals</v>
      </c>
      <c r="L50" s="88" t="s">
        <v>162</v>
      </c>
      <c r="M50" s="86" t="s">
        <v>163</v>
      </c>
      <c r="N50" s="87" t="s">
        <v>164</v>
      </c>
      <c r="O50" s="86" t="s">
        <v>165</v>
      </c>
      <c r="P50" s="90" t="s">
        <v>166</v>
      </c>
      <c r="Q50" s="101"/>
      <c r="R50" s="92" t="s">
        <v>168</v>
      </c>
    </row>
    <row r="51" spans="1:18" ht="14.25" customHeight="1" x14ac:dyDescent="0.75">
      <c r="A51" s="93">
        <v>666501</v>
      </c>
      <c r="B51" s="94" t="s">
        <v>4</v>
      </c>
      <c r="C51" s="95" t="s">
        <v>5</v>
      </c>
      <c r="D51" s="96">
        <v>0</v>
      </c>
      <c r="E51" s="97">
        <f t="shared" ref="E51:E71" si="10">+D51/2</f>
        <v>0</v>
      </c>
      <c r="F51" s="96">
        <v>0</v>
      </c>
      <c r="G51" s="96">
        <v>0</v>
      </c>
      <c r="H51" s="96">
        <v>0</v>
      </c>
      <c r="I51" s="96">
        <v>0</v>
      </c>
      <c r="J51" s="96">
        <v>0</v>
      </c>
      <c r="K51" s="99">
        <f t="shared" ref="K51:K71" si="11">(+D51-SUM(F51:J51))/4</f>
        <v>0</v>
      </c>
      <c r="L51" s="96">
        <v>0</v>
      </c>
      <c r="M51" s="96">
        <v>0</v>
      </c>
      <c r="N51" s="96">
        <v>0</v>
      </c>
      <c r="O51" s="96">
        <v>0</v>
      </c>
      <c r="P51" s="100">
        <v>0</v>
      </c>
      <c r="Q51" s="101">
        <f t="shared" ref="Q51:Q69" si="12">SUM(F51:J51)+SUM(L51:P51)</f>
        <v>0</v>
      </c>
      <c r="R51" s="101">
        <f t="shared" ref="R51:R69" si="13">+D51-Q51</f>
        <v>0</v>
      </c>
    </row>
    <row r="52" spans="1:18" ht="14.25" customHeight="1" x14ac:dyDescent="0.75">
      <c r="A52" s="93">
        <v>666502</v>
      </c>
      <c r="B52" s="94" t="s">
        <v>6</v>
      </c>
      <c r="C52" s="95" t="s">
        <v>7</v>
      </c>
      <c r="D52" s="96">
        <v>40</v>
      </c>
      <c r="E52" s="97">
        <f t="shared" si="10"/>
        <v>20</v>
      </c>
      <c r="F52" s="96">
        <v>0</v>
      </c>
      <c r="G52" s="96">
        <v>0</v>
      </c>
      <c r="H52" s="96">
        <v>0</v>
      </c>
      <c r="I52" s="96">
        <v>0</v>
      </c>
      <c r="J52" s="96">
        <v>0</v>
      </c>
      <c r="K52" s="99">
        <f t="shared" si="11"/>
        <v>10</v>
      </c>
      <c r="L52" s="96">
        <v>0</v>
      </c>
      <c r="M52" s="96">
        <v>0</v>
      </c>
      <c r="N52" s="96">
        <v>0</v>
      </c>
      <c r="O52" s="96">
        <v>28</v>
      </c>
      <c r="P52" s="100">
        <v>0</v>
      </c>
      <c r="Q52" s="101">
        <f t="shared" si="12"/>
        <v>28</v>
      </c>
      <c r="R52" s="151">
        <f t="shared" si="13"/>
        <v>12</v>
      </c>
    </row>
    <row r="53" spans="1:18" ht="14.25" customHeight="1" x14ac:dyDescent="0.75">
      <c r="A53" s="93">
        <v>666505</v>
      </c>
      <c r="B53" s="94" t="s">
        <v>8</v>
      </c>
      <c r="C53" s="95" t="s">
        <v>9</v>
      </c>
      <c r="D53" s="96">
        <v>41</v>
      </c>
      <c r="E53" s="97">
        <f t="shared" si="10"/>
        <v>20.5</v>
      </c>
      <c r="F53" s="96">
        <v>41</v>
      </c>
      <c r="G53" s="96">
        <v>0</v>
      </c>
      <c r="H53" s="96">
        <v>0</v>
      </c>
      <c r="I53" s="96">
        <v>0</v>
      </c>
      <c r="J53" s="96">
        <v>0</v>
      </c>
      <c r="K53" s="99">
        <f t="shared" si="11"/>
        <v>0</v>
      </c>
      <c r="L53" s="96">
        <v>0</v>
      </c>
      <c r="M53" s="96">
        <v>0</v>
      </c>
      <c r="N53" s="96">
        <v>0</v>
      </c>
      <c r="O53" s="96">
        <v>0</v>
      </c>
      <c r="P53" s="100">
        <v>0</v>
      </c>
      <c r="Q53" s="101">
        <f t="shared" si="12"/>
        <v>41</v>
      </c>
      <c r="R53" s="101">
        <f t="shared" si="13"/>
        <v>0</v>
      </c>
    </row>
    <row r="54" spans="1:18" ht="14.25" customHeight="1" x14ac:dyDescent="0.75">
      <c r="A54" s="93">
        <v>666506</v>
      </c>
      <c r="B54" s="94" t="s">
        <v>10</v>
      </c>
      <c r="C54" s="95" t="s">
        <v>11</v>
      </c>
      <c r="D54" s="96">
        <v>0</v>
      </c>
      <c r="E54" s="97">
        <f t="shared" si="10"/>
        <v>0</v>
      </c>
      <c r="F54" s="96">
        <v>0</v>
      </c>
      <c r="G54" s="96">
        <v>0</v>
      </c>
      <c r="H54" s="96">
        <v>0</v>
      </c>
      <c r="I54" s="96">
        <v>0</v>
      </c>
      <c r="J54" s="96">
        <v>0</v>
      </c>
      <c r="K54" s="99">
        <f t="shared" si="11"/>
        <v>0</v>
      </c>
      <c r="L54" s="96">
        <v>0</v>
      </c>
      <c r="M54" s="96">
        <v>0</v>
      </c>
      <c r="N54" s="96">
        <v>0</v>
      </c>
      <c r="O54" s="96">
        <v>0</v>
      </c>
      <c r="P54" s="100">
        <v>0</v>
      </c>
      <c r="Q54" s="101">
        <f t="shared" si="12"/>
        <v>0</v>
      </c>
      <c r="R54" s="101">
        <f t="shared" si="13"/>
        <v>0</v>
      </c>
    </row>
    <row r="55" spans="1:18" ht="14.25" customHeight="1" x14ac:dyDescent="0.75">
      <c r="A55" s="93">
        <v>666507</v>
      </c>
      <c r="B55" s="94" t="s">
        <v>12</v>
      </c>
      <c r="C55" s="95" t="s">
        <v>13</v>
      </c>
      <c r="D55" s="96">
        <v>0</v>
      </c>
      <c r="E55" s="97">
        <f t="shared" si="10"/>
        <v>0</v>
      </c>
      <c r="F55" s="96">
        <v>0</v>
      </c>
      <c r="G55" s="96">
        <v>0</v>
      </c>
      <c r="H55" s="96">
        <v>0</v>
      </c>
      <c r="I55" s="96">
        <v>0</v>
      </c>
      <c r="J55" s="96">
        <v>0</v>
      </c>
      <c r="K55" s="99">
        <f t="shared" si="11"/>
        <v>0</v>
      </c>
      <c r="L55" s="96">
        <v>0</v>
      </c>
      <c r="M55" s="96">
        <v>0</v>
      </c>
      <c r="N55" s="96">
        <v>0</v>
      </c>
      <c r="O55" s="96">
        <v>0</v>
      </c>
      <c r="P55" s="100">
        <v>0</v>
      </c>
      <c r="Q55" s="101">
        <f t="shared" si="12"/>
        <v>0</v>
      </c>
      <c r="R55" s="101">
        <f t="shared" si="13"/>
        <v>0</v>
      </c>
    </row>
    <row r="56" spans="1:18" ht="14.25" customHeight="1" x14ac:dyDescent="0.75">
      <c r="A56" s="93">
        <v>666509</v>
      </c>
      <c r="B56" s="94" t="s">
        <v>14</v>
      </c>
      <c r="C56" s="95" t="s">
        <v>15</v>
      </c>
      <c r="D56" s="96">
        <v>0</v>
      </c>
      <c r="E56" s="97">
        <f t="shared" si="10"/>
        <v>0</v>
      </c>
      <c r="F56" s="96">
        <v>0</v>
      </c>
      <c r="G56" s="96">
        <v>0</v>
      </c>
      <c r="H56" s="96">
        <v>0</v>
      </c>
      <c r="I56" s="96">
        <v>0</v>
      </c>
      <c r="J56" s="96">
        <v>0</v>
      </c>
      <c r="K56" s="99">
        <f t="shared" si="11"/>
        <v>0</v>
      </c>
      <c r="L56" s="96">
        <v>0</v>
      </c>
      <c r="M56" s="96">
        <v>0</v>
      </c>
      <c r="N56" s="96">
        <v>0</v>
      </c>
      <c r="O56" s="96">
        <v>0</v>
      </c>
      <c r="P56" s="100">
        <v>0</v>
      </c>
      <c r="Q56" s="101">
        <f t="shared" si="12"/>
        <v>0</v>
      </c>
      <c r="R56" s="101">
        <f t="shared" si="13"/>
        <v>0</v>
      </c>
    </row>
    <row r="57" spans="1:18" ht="14.25" customHeight="1" x14ac:dyDescent="0.75">
      <c r="A57" s="93">
        <v>666510</v>
      </c>
      <c r="B57" s="94" t="s">
        <v>16</v>
      </c>
      <c r="C57" s="95" t="s">
        <v>169</v>
      </c>
      <c r="D57" s="96">
        <v>0</v>
      </c>
      <c r="E57" s="97">
        <f t="shared" si="10"/>
        <v>0</v>
      </c>
      <c r="F57" s="96">
        <v>0</v>
      </c>
      <c r="G57" s="96">
        <v>0</v>
      </c>
      <c r="H57" s="96">
        <v>0</v>
      </c>
      <c r="I57" s="96">
        <v>0</v>
      </c>
      <c r="J57" s="96">
        <v>0</v>
      </c>
      <c r="K57" s="99">
        <f t="shared" si="11"/>
        <v>0</v>
      </c>
      <c r="L57" s="96">
        <v>0</v>
      </c>
      <c r="M57" s="96">
        <v>0</v>
      </c>
      <c r="N57" s="96">
        <v>0</v>
      </c>
      <c r="O57" s="96">
        <v>0</v>
      </c>
      <c r="P57" s="100">
        <v>0</v>
      </c>
      <c r="Q57" s="101">
        <f t="shared" si="12"/>
        <v>0</v>
      </c>
      <c r="R57" s="101">
        <f t="shared" si="13"/>
        <v>0</v>
      </c>
    </row>
    <row r="58" spans="1:18" ht="14.25" customHeight="1" x14ac:dyDescent="0.75">
      <c r="A58" s="93">
        <v>666511</v>
      </c>
      <c r="B58" s="94" t="s">
        <v>18</v>
      </c>
      <c r="C58" s="95" t="s">
        <v>19</v>
      </c>
      <c r="D58" s="96">
        <v>0</v>
      </c>
      <c r="E58" s="97">
        <f t="shared" si="10"/>
        <v>0</v>
      </c>
      <c r="F58" s="96">
        <v>0</v>
      </c>
      <c r="G58" s="96">
        <v>0</v>
      </c>
      <c r="H58" s="96">
        <v>0</v>
      </c>
      <c r="I58" s="96">
        <v>0</v>
      </c>
      <c r="J58" s="96">
        <v>0</v>
      </c>
      <c r="K58" s="99">
        <f t="shared" si="11"/>
        <v>0</v>
      </c>
      <c r="L58" s="96">
        <v>0</v>
      </c>
      <c r="M58" s="96">
        <v>0</v>
      </c>
      <c r="N58" s="96">
        <v>0</v>
      </c>
      <c r="O58" s="96">
        <v>0</v>
      </c>
      <c r="P58" s="100">
        <v>0</v>
      </c>
      <c r="Q58" s="101">
        <f t="shared" si="12"/>
        <v>0</v>
      </c>
      <c r="R58" s="101">
        <f t="shared" si="13"/>
        <v>0</v>
      </c>
    </row>
    <row r="59" spans="1:18" ht="14.25" customHeight="1" x14ac:dyDescent="0.75">
      <c r="A59" s="93">
        <v>666513</v>
      </c>
      <c r="B59" s="94" t="s">
        <v>20</v>
      </c>
      <c r="C59" s="95" t="s">
        <v>21</v>
      </c>
      <c r="D59" s="96">
        <v>0</v>
      </c>
      <c r="E59" s="97">
        <f t="shared" si="10"/>
        <v>0</v>
      </c>
      <c r="F59" s="96">
        <v>0</v>
      </c>
      <c r="G59" s="96">
        <v>0</v>
      </c>
      <c r="H59" s="96">
        <v>0</v>
      </c>
      <c r="I59" s="96">
        <v>0</v>
      </c>
      <c r="J59" s="96">
        <v>0</v>
      </c>
      <c r="K59" s="99">
        <f t="shared" si="11"/>
        <v>0</v>
      </c>
      <c r="L59" s="96">
        <v>0</v>
      </c>
      <c r="M59" s="96">
        <v>0</v>
      </c>
      <c r="N59" s="96">
        <v>0</v>
      </c>
      <c r="O59" s="96">
        <v>0</v>
      </c>
      <c r="P59" s="100">
        <v>0</v>
      </c>
      <c r="Q59" s="101">
        <f t="shared" si="12"/>
        <v>0</v>
      </c>
      <c r="R59" s="101">
        <f t="shared" si="13"/>
        <v>0</v>
      </c>
    </row>
    <row r="60" spans="1:18" ht="14.25" customHeight="1" x14ac:dyDescent="0.75">
      <c r="A60" s="93">
        <v>666516</v>
      </c>
      <c r="B60" s="94" t="s">
        <v>22</v>
      </c>
      <c r="C60" s="95" t="s">
        <v>23</v>
      </c>
      <c r="D60" s="96">
        <v>20</v>
      </c>
      <c r="E60" s="97">
        <f t="shared" si="10"/>
        <v>10</v>
      </c>
      <c r="F60" s="96">
        <v>4</v>
      </c>
      <c r="G60" s="96">
        <v>0</v>
      </c>
      <c r="H60" s="96">
        <v>0</v>
      </c>
      <c r="I60" s="96">
        <v>0</v>
      </c>
      <c r="J60" s="96">
        <v>0</v>
      </c>
      <c r="K60" s="99">
        <f t="shared" si="11"/>
        <v>4</v>
      </c>
      <c r="L60" s="96">
        <v>0</v>
      </c>
      <c r="M60" s="96">
        <v>0</v>
      </c>
      <c r="N60" s="96">
        <v>0</v>
      </c>
      <c r="O60" s="96">
        <v>0</v>
      </c>
      <c r="P60" s="100">
        <v>0</v>
      </c>
      <c r="Q60" s="101">
        <f t="shared" si="12"/>
        <v>4</v>
      </c>
      <c r="R60" s="151">
        <f t="shared" si="13"/>
        <v>16</v>
      </c>
    </row>
    <row r="61" spans="1:18" ht="14.25" customHeight="1" x14ac:dyDescent="0.75">
      <c r="A61" s="93">
        <v>666517</v>
      </c>
      <c r="B61" s="94" t="s">
        <v>24</v>
      </c>
      <c r="C61" s="95" t="s">
        <v>25</v>
      </c>
      <c r="D61" s="96">
        <v>15</v>
      </c>
      <c r="E61" s="97">
        <f t="shared" si="10"/>
        <v>7.5</v>
      </c>
      <c r="F61" s="96">
        <v>5</v>
      </c>
      <c r="G61" s="96">
        <v>0</v>
      </c>
      <c r="H61" s="96">
        <v>0</v>
      </c>
      <c r="I61" s="96">
        <v>0</v>
      </c>
      <c r="J61" s="96">
        <v>0</v>
      </c>
      <c r="K61" s="99">
        <f t="shared" si="11"/>
        <v>2.5</v>
      </c>
      <c r="L61" s="96">
        <v>0</v>
      </c>
      <c r="M61" s="96">
        <v>0</v>
      </c>
      <c r="N61" s="96">
        <v>0</v>
      </c>
      <c r="O61" s="96">
        <v>0</v>
      </c>
      <c r="P61" s="100">
        <v>0</v>
      </c>
      <c r="Q61" s="101">
        <f t="shared" si="12"/>
        <v>5</v>
      </c>
      <c r="R61" s="151">
        <f t="shared" si="13"/>
        <v>10</v>
      </c>
    </row>
    <row r="62" spans="1:18" ht="14.25" customHeight="1" x14ac:dyDescent="0.75">
      <c r="A62" s="93">
        <v>666518</v>
      </c>
      <c r="B62" s="94" t="s">
        <v>26</v>
      </c>
      <c r="C62" s="95" t="s">
        <v>27</v>
      </c>
      <c r="D62" s="96">
        <v>0</v>
      </c>
      <c r="E62" s="97">
        <f t="shared" si="10"/>
        <v>0</v>
      </c>
      <c r="F62" s="96">
        <v>0</v>
      </c>
      <c r="G62" s="96">
        <v>0</v>
      </c>
      <c r="H62" s="96">
        <v>0</v>
      </c>
      <c r="I62" s="96">
        <v>0</v>
      </c>
      <c r="J62" s="96">
        <v>0</v>
      </c>
      <c r="K62" s="99">
        <f t="shared" si="11"/>
        <v>0</v>
      </c>
      <c r="L62" s="96">
        <v>0</v>
      </c>
      <c r="M62" s="96">
        <v>0</v>
      </c>
      <c r="N62" s="96">
        <v>0</v>
      </c>
      <c r="O62" s="96">
        <v>0</v>
      </c>
      <c r="P62" s="100">
        <v>0</v>
      </c>
      <c r="Q62" s="101">
        <f t="shared" si="12"/>
        <v>0</v>
      </c>
      <c r="R62" s="101">
        <f t="shared" si="13"/>
        <v>0</v>
      </c>
    </row>
    <row r="63" spans="1:18" ht="14.25" customHeight="1" x14ac:dyDescent="0.75">
      <c r="A63" s="93">
        <v>666519</v>
      </c>
      <c r="B63" s="94" t="s">
        <v>28</v>
      </c>
      <c r="C63" s="95" t="s">
        <v>29</v>
      </c>
      <c r="D63" s="96">
        <v>30</v>
      </c>
      <c r="E63" s="97">
        <f t="shared" si="10"/>
        <v>15</v>
      </c>
      <c r="F63" s="96">
        <v>4</v>
      </c>
      <c r="G63" s="96">
        <v>0</v>
      </c>
      <c r="H63" s="96">
        <v>0</v>
      </c>
      <c r="I63" s="96">
        <v>0</v>
      </c>
      <c r="J63" s="96">
        <v>0</v>
      </c>
      <c r="K63" s="99">
        <f t="shared" si="11"/>
        <v>6.5</v>
      </c>
      <c r="L63" s="96">
        <v>0</v>
      </c>
      <c r="M63" s="96">
        <v>0</v>
      </c>
      <c r="N63" s="96">
        <v>0</v>
      </c>
      <c r="O63" s="96">
        <v>0</v>
      </c>
      <c r="P63" s="100">
        <v>0</v>
      </c>
      <c r="Q63" s="101">
        <f t="shared" si="12"/>
        <v>4</v>
      </c>
      <c r="R63" s="151">
        <f t="shared" si="13"/>
        <v>26</v>
      </c>
    </row>
    <row r="64" spans="1:18" ht="14.25" customHeight="1" x14ac:dyDescent="0.75">
      <c r="A64" s="93">
        <v>666521</v>
      </c>
      <c r="B64" s="94" t="s">
        <v>30</v>
      </c>
      <c r="C64" s="95" t="s">
        <v>31</v>
      </c>
      <c r="D64" s="96">
        <v>0</v>
      </c>
      <c r="E64" s="97">
        <f t="shared" si="10"/>
        <v>0</v>
      </c>
      <c r="F64" s="96">
        <v>0</v>
      </c>
      <c r="G64" s="96">
        <v>0</v>
      </c>
      <c r="H64" s="96">
        <v>0</v>
      </c>
      <c r="I64" s="96">
        <v>0</v>
      </c>
      <c r="J64" s="96">
        <v>0</v>
      </c>
      <c r="K64" s="99">
        <f t="shared" si="11"/>
        <v>0</v>
      </c>
      <c r="L64" s="96">
        <v>0</v>
      </c>
      <c r="M64" s="96">
        <v>0</v>
      </c>
      <c r="N64" s="96">
        <v>0</v>
      </c>
      <c r="O64" s="96">
        <v>20</v>
      </c>
      <c r="P64" s="100">
        <v>0</v>
      </c>
      <c r="Q64" s="101">
        <f t="shared" si="12"/>
        <v>20</v>
      </c>
      <c r="R64" s="101">
        <f t="shared" si="13"/>
        <v>-20</v>
      </c>
    </row>
    <row r="65" spans="1:18" ht="14.25" customHeight="1" x14ac:dyDescent="0.75">
      <c r="A65" s="93">
        <v>666522</v>
      </c>
      <c r="B65" s="94" t="s">
        <v>32</v>
      </c>
      <c r="C65" s="95" t="s">
        <v>33</v>
      </c>
      <c r="D65" s="96">
        <v>85</v>
      </c>
      <c r="E65" s="97">
        <f t="shared" si="10"/>
        <v>42.5</v>
      </c>
      <c r="F65" s="96">
        <v>65</v>
      </c>
      <c r="G65" s="96">
        <v>0</v>
      </c>
      <c r="H65" s="96">
        <v>0</v>
      </c>
      <c r="I65" s="96">
        <v>0</v>
      </c>
      <c r="J65" s="96">
        <v>0</v>
      </c>
      <c r="K65" s="99">
        <f t="shared" si="11"/>
        <v>5</v>
      </c>
      <c r="L65" s="96">
        <v>0</v>
      </c>
      <c r="M65" s="96">
        <v>0</v>
      </c>
      <c r="N65" s="96">
        <v>0</v>
      </c>
      <c r="O65" s="96">
        <v>0</v>
      </c>
      <c r="P65" s="100">
        <v>0</v>
      </c>
      <c r="Q65" s="101">
        <f t="shared" si="12"/>
        <v>65</v>
      </c>
      <c r="R65" s="151">
        <f t="shared" si="13"/>
        <v>20</v>
      </c>
    </row>
    <row r="66" spans="1:18" ht="14.25" customHeight="1" x14ac:dyDescent="0.75">
      <c r="A66" s="93">
        <v>666523</v>
      </c>
      <c r="B66" s="94" t="s">
        <v>34</v>
      </c>
      <c r="C66" s="95" t="s">
        <v>35</v>
      </c>
      <c r="D66" s="96">
        <v>12</v>
      </c>
      <c r="E66" s="97">
        <f t="shared" si="10"/>
        <v>6</v>
      </c>
      <c r="F66" s="96">
        <v>3</v>
      </c>
      <c r="G66" s="96">
        <v>0</v>
      </c>
      <c r="H66" s="96">
        <v>0</v>
      </c>
      <c r="I66" s="96">
        <v>0</v>
      </c>
      <c r="J66" s="96">
        <v>0</v>
      </c>
      <c r="K66" s="99">
        <f t="shared" si="11"/>
        <v>2.25</v>
      </c>
      <c r="L66" s="96">
        <v>0</v>
      </c>
      <c r="M66" s="96">
        <v>0</v>
      </c>
      <c r="N66" s="96">
        <v>0</v>
      </c>
      <c r="O66" s="96">
        <v>0</v>
      </c>
      <c r="P66" s="100">
        <v>0</v>
      </c>
      <c r="Q66" s="101">
        <f t="shared" si="12"/>
        <v>3</v>
      </c>
      <c r="R66" s="151">
        <f t="shared" si="13"/>
        <v>9</v>
      </c>
    </row>
    <row r="67" spans="1:18" ht="14.25" customHeight="1" x14ac:dyDescent="0.75">
      <c r="A67" s="93">
        <v>666530</v>
      </c>
      <c r="B67" s="94" t="s">
        <v>36</v>
      </c>
      <c r="C67" s="95" t="s">
        <v>37</v>
      </c>
      <c r="D67" s="96">
        <v>15</v>
      </c>
      <c r="E67" s="97">
        <f t="shared" si="10"/>
        <v>7.5</v>
      </c>
      <c r="F67" s="96">
        <v>0</v>
      </c>
      <c r="G67" s="96">
        <v>0</v>
      </c>
      <c r="H67" s="96">
        <v>0</v>
      </c>
      <c r="I67" s="96">
        <v>0</v>
      </c>
      <c r="J67" s="96">
        <v>0</v>
      </c>
      <c r="K67" s="99">
        <f t="shared" si="11"/>
        <v>3.75</v>
      </c>
      <c r="L67" s="96">
        <v>0</v>
      </c>
      <c r="M67" s="96">
        <v>0</v>
      </c>
      <c r="N67" s="96">
        <v>0</v>
      </c>
      <c r="O67" s="96">
        <v>0</v>
      </c>
      <c r="P67" s="100">
        <v>0</v>
      </c>
      <c r="Q67" s="101">
        <f t="shared" si="12"/>
        <v>0</v>
      </c>
      <c r="R67" s="151">
        <f t="shared" si="13"/>
        <v>15</v>
      </c>
    </row>
    <row r="68" spans="1:18" ht="14.25" customHeight="1" x14ac:dyDescent="0.75">
      <c r="A68" s="93">
        <v>666531</v>
      </c>
      <c r="B68" s="94" t="s">
        <v>38</v>
      </c>
      <c r="C68" s="95" t="s">
        <v>39</v>
      </c>
      <c r="D68" s="96">
        <v>8</v>
      </c>
      <c r="E68" s="97">
        <f t="shared" si="10"/>
        <v>4</v>
      </c>
      <c r="F68" s="96">
        <v>0</v>
      </c>
      <c r="G68" s="96">
        <v>0</v>
      </c>
      <c r="H68" s="96">
        <v>0</v>
      </c>
      <c r="I68" s="96">
        <v>0</v>
      </c>
      <c r="J68" s="96">
        <v>0</v>
      </c>
      <c r="K68" s="99">
        <f t="shared" si="11"/>
        <v>2</v>
      </c>
      <c r="L68" s="96">
        <v>0</v>
      </c>
      <c r="M68" s="96">
        <v>0</v>
      </c>
      <c r="N68" s="96">
        <v>0</v>
      </c>
      <c r="O68" s="96">
        <v>0</v>
      </c>
      <c r="P68" s="100">
        <v>0</v>
      </c>
      <c r="Q68" s="101">
        <f t="shared" si="12"/>
        <v>0</v>
      </c>
      <c r="R68" s="151">
        <f t="shared" si="13"/>
        <v>8</v>
      </c>
    </row>
    <row r="69" spans="1:18" ht="14.25" customHeight="1" x14ac:dyDescent="0.75">
      <c r="A69" s="93">
        <v>666540</v>
      </c>
      <c r="B69" s="94" t="s">
        <v>40</v>
      </c>
      <c r="C69" s="95" t="s">
        <v>40</v>
      </c>
      <c r="D69" s="96">
        <v>0</v>
      </c>
      <c r="E69" s="97">
        <f t="shared" si="10"/>
        <v>0</v>
      </c>
      <c r="F69" s="96">
        <v>0</v>
      </c>
      <c r="G69" s="96">
        <v>0</v>
      </c>
      <c r="H69" s="96">
        <v>0</v>
      </c>
      <c r="I69" s="96">
        <v>0</v>
      </c>
      <c r="J69" s="96">
        <v>0</v>
      </c>
      <c r="K69" s="99">
        <f t="shared" si="11"/>
        <v>0</v>
      </c>
      <c r="L69" s="96">
        <v>0</v>
      </c>
      <c r="M69" s="96">
        <v>0</v>
      </c>
      <c r="N69" s="96">
        <v>0</v>
      </c>
      <c r="O69" s="96">
        <v>0</v>
      </c>
      <c r="P69" s="100">
        <v>0</v>
      </c>
      <c r="Q69" s="101">
        <f t="shared" si="12"/>
        <v>0</v>
      </c>
      <c r="R69" s="101">
        <f t="shared" si="13"/>
        <v>0</v>
      </c>
    </row>
    <row r="70" spans="1:18" ht="15" customHeight="1" x14ac:dyDescent="0.75">
      <c r="A70" s="93">
        <v>666541</v>
      </c>
      <c r="B70" s="109" t="s">
        <v>41</v>
      </c>
      <c r="C70" s="95" t="s">
        <v>41</v>
      </c>
      <c r="D70" s="96">
        <v>0</v>
      </c>
      <c r="E70" s="97">
        <f t="shared" si="10"/>
        <v>0</v>
      </c>
      <c r="F70" s="96">
        <v>0</v>
      </c>
      <c r="G70" s="96">
        <v>0</v>
      </c>
      <c r="H70" s="96">
        <v>0</v>
      </c>
      <c r="I70" s="96">
        <v>0</v>
      </c>
      <c r="J70" s="96">
        <v>0</v>
      </c>
      <c r="K70" s="99">
        <f t="shared" si="11"/>
        <v>0</v>
      </c>
      <c r="L70" s="96">
        <v>0</v>
      </c>
      <c r="M70" s="96">
        <v>0</v>
      </c>
      <c r="N70" s="96">
        <v>0</v>
      </c>
      <c r="O70" s="96">
        <v>0</v>
      </c>
      <c r="P70" s="100">
        <v>0</v>
      </c>
      <c r="Q70" s="101"/>
      <c r="R70" s="101"/>
    </row>
    <row r="71" spans="1:18" ht="15" customHeight="1" x14ac:dyDescent="0.75">
      <c r="A71" s="108">
        <v>666536</v>
      </c>
      <c r="B71" s="109" t="s">
        <v>42</v>
      </c>
      <c r="C71" s="103" t="s">
        <v>41</v>
      </c>
      <c r="D71" s="104">
        <v>0</v>
      </c>
      <c r="E71" s="111">
        <f t="shared" si="10"/>
        <v>0</v>
      </c>
      <c r="F71" s="104">
        <v>0</v>
      </c>
      <c r="G71" s="104">
        <v>0</v>
      </c>
      <c r="H71" s="104">
        <v>0</v>
      </c>
      <c r="I71" s="104">
        <v>0</v>
      </c>
      <c r="J71" s="104">
        <v>0</v>
      </c>
      <c r="K71" s="106">
        <f t="shared" si="11"/>
        <v>0</v>
      </c>
      <c r="L71" s="104">
        <v>0</v>
      </c>
      <c r="M71" s="104">
        <v>0</v>
      </c>
      <c r="N71" s="104">
        <v>0</v>
      </c>
      <c r="O71" s="104">
        <v>0</v>
      </c>
      <c r="P71" s="107">
        <v>0</v>
      </c>
      <c r="Q71" s="101">
        <f>SUM(F71:J71)+SUM(L71:P71)</f>
        <v>0</v>
      </c>
      <c r="R71" s="101">
        <f>+D71-Q71</f>
        <v>0</v>
      </c>
    </row>
  </sheetData>
  <mergeCells count="3">
    <mergeCell ref="A1:E1"/>
    <mergeCell ref="A25:E25"/>
    <mergeCell ref="A49:E49"/>
  </mergeCells>
  <conditionalFormatting sqref="F24 H24 J24">
    <cfRule type="expression" dxfId="281" priority="2">
      <formula>#REF!=F24</formula>
    </cfRule>
    <cfRule type="expression" dxfId="280" priority="3">
      <formula>#REF!&lt;F24</formula>
    </cfRule>
    <cfRule type="expression" dxfId="279" priority="4">
      <formula>#REF!&gt;F24</formula>
    </cfRule>
  </conditionalFormatting>
  <conditionalFormatting sqref="Q3">
    <cfRule type="cellIs" dxfId="278" priority="8" operator="equal">
      <formula>$D$3</formula>
    </cfRule>
  </conditionalFormatting>
  <conditionalFormatting sqref="Q5:Q22">
    <cfRule type="cellIs" dxfId="277" priority="7" operator="equal">
      <formula>$D$3</formula>
    </cfRule>
  </conditionalFormatting>
  <conditionalFormatting sqref="Q8">
    <cfRule type="cellIs" dxfId="276" priority="5" operator="lessThan">
      <formula>$D$8</formula>
    </cfRule>
    <cfRule type="cellIs" dxfId="275" priority="6" operator="equal">
      <formula>$D$8</formula>
    </cfRule>
  </conditionalFormatting>
  <pageMargins left="0.7" right="0.7" top="0.75" bottom="0.75" header="0.511811023622047" footer="0.511811023622047"/>
  <pageSetup scale="125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26"/>
  <sheetViews>
    <sheetView zoomScaleNormal="100" workbookViewId="0">
      <selection activeCell="G21" sqref="G21"/>
    </sheetView>
  </sheetViews>
  <sheetFormatPr defaultColWidth="8.54296875" defaultRowHeight="14.75" x14ac:dyDescent="0.75"/>
  <cols>
    <col min="2" max="2" width="35" customWidth="1"/>
    <col min="3" max="3" width="11.6328125" customWidth="1"/>
    <col min="4" max="4" width="17.31640625" customWidth="1"/>
  </cols>
  <sheetData>
    <row r="1" spans="1:12" ht="14.25" customHeight="1" x14ac:dyDescent="0.75">
      <c r="C1" s="145" t="s">
        <v>174</v>
      </c>
    </row>
    <row r="2" spans="1:12" ht="28.5" customHeight="1" x14ac:dyDescent="0.75">
      <c r="A2" s="51"/>
      <c r="B2" s="51" t="s">
        <v>178</v>
      </c>
      <c r="C2" s="51"/>
      <c r="D2" s="51" t="s">
        <v>144</v>
      </c>
      <c r="E2" s="53" t="s">
        <v>116</v>
      </c>
      <c r="F2" s="53" t="s">
        <v>145</v>
      </c>
      <c r="G2" s="56" t="s">
        <v>119</v>
      </c>
      <c r="H2" s="53" t="s">
        <v>146</v>
      </c>
      <c r="I2" s="51" t="s">
        <v>122</v>
      </c>
      <c r="J2" s="56" t="s">
        <v>147</v>
      </c>
      <c r="K2" s="51" t="s">
        <v>148</v>
      </c>
      <c r="L2" s="53" t="s">
        <v>149</v>
      </c>
    </row>
    <row r="3" spans="1:12" ht="14.25" customHeight="1" x14ac:dyDescent="0.75">
      <c r="A3" s="50"/>
      <c r="B3" s="50"/>
      <c r="C3" s="57" t="s">
        <v>150</v>
      </c>
      <c r="D3" s="57"/>
      <c r="E3" s="57"/>
      <c r="F3" s="59"/>
      <c r="G3" s="59"/>
      <c r="H3" s="59"/>
      <c r="I3" s="59"/>
      <c r="J3" s="59"/>
      <c r="K3" s="59"/>
      <c r="L3" s="59"/>
    </row>
    <row r="4" spans="1:12" ht="14.25" customHeight="1" x14ac:dyDescent="0.75">
      <c r="A4" s="62" t="s">
        <v>129</v>
      </c>
      <c r="B4" s="62" t="s">
        <v>2</v>
      </c>
      <c r="C4" s="152" t="s">
        <v>3</v>
      </c>
      <c r="D4" s="62"/>
      <c r="E4" s="62"/>
      <c r="F4" s="62"/>
      <c r="G4" s="62"/>
      <c r="H4" s="62"/>
      <c r="I4" s="62"/>
      <c r="J4" s="62"/>
      <c r="K4" s="62"/>
      <c r="L4" s="62"/>
    </row>
    <row r="5" spans="1:12" ht="14.25" customHeight="1" x14ac:dyDescent="0.75">
      <c r="A5" s="62"/>
      <c r="B5" s="62"/>
      <c r="C5" s="152" t="s">
        <v>151</v>
      </c>
      <c r="D5" s="62"/>
      <c r="E5" s="62"/>
      <c r="F5" s="50">
        <v>151</v>
      </c>
      <c r="G5" s="50"/>
      <c r="H5" s="50">
        <v>623</v>
      </c>
      <c r="I5" s="50"/>
      <c r="J5" s="50">
        <v>84</v>
      </c>
      <c r="K5" s="62" t="s">
        <v>152</v>
      </c>
      <c r="L5" s="62">
        <f>SUM(F5:J5)</f>
        <v>858</v>
      </c>
    </row>
    <row r="6" spans="1:12" ht="14.25" customHeight="1" x14ac:dyDescent="0.75">
      <c r="A6" s="50">
        <v>666501</v>
      </c>
      <c r="B6" s="73" t="s">
        <v>4</v>
      </c>
      <c r="C6" s="73" t="s">
        <v>5</v>
      </c>
      <c r="D6" s="50">
        <f t="shared" ref="D6:D26" si="0">+K6</f>
        <v>0</v>
      </c>
      <c r="E6" s="50">
        <v>0</v>
      </c>
      <c r="F6" s="50">
        <v>0</v>
      </c>
      <c r="G6" s="50">
        <v>0</v>
      </c>
      <c r="H6" s="50">
        <v>0</v>
      </c>
      <c r="I6" s="50">
        <v>0</v>
      </c>
      <c r="J6" s="50">
        <v>0</v>
      </c>
      <c r="K6" s="50">
        <f t="shared" ref="K6:K26" si="1">+I6+G6+E6</f>
        <v>0</v>
      </c>
      <c r="L6" s="50">
        <f t="shared" ref="L6:L26" si="2">+F6+H6+J6</f>
        <v>0</v>
      </c>
    </row>
    <row r="7" spans="1:12" ht="14.25" customHeight="1" x14ac:dyDescent="0.75">
      <c r="A7" s="50">
        <v>666502</v>
      </c>
      <c r="B7" s="73" t="s">
        <v>6</v>
      </c>
      <c r="C7" s="73" t="s">
        <v>7</v>
      </c>
      <c r="D7" s="50">
        <f t="shared" si="0"/>
        <v>347</v>
      </c>
      <c r="E7" s="50">
        <v>0</v>
      </c>
      <c r="F7" s="50">
        <v>0</v>
      </c>
      <c r="G7" s="50">
        <v>307</v>
      </c>
      <c r="H7" s="50">
        <v>263</v>
      </c>
      <c r="I7" s="50">
        <v>40</v>
      </c>
      <c r="J7" s="50">
        <v>28</v>
      </c>
      <c r="K7" s="50">
        <f t="shared" si="1"/>
        <v>347</v>
      </c>
      <c r="L7" s="50">
        <f t="shared" si="2"/>
        <v>291</v>
      </c>
    </row>
    <row r="8" spans="1:12" ht="14.25" customHeight="1" x14ac:dyDescent="0.75">
      <c r="A8" s="50">
        <v>666505</v>
      </c>
      <c r="B8" s="73" t="s">
        <v>8</v>
      </c>
      <c r="C8" s="73" t="s">
        <v>9</v>
      </c>
      <c r="D8" s="50">
        <f t="shared" si="0"/>
        <v>60</v>
      </c>
      <c r="E8" s="50">
        <v>19</v>
      </c>
      <c r="F8" s="50">
        <v>19</v>
      </c>
      <c r="G8" s="50">
        <v>0</v>
      </c>
      <c r="H8" s="50">
        <v>0</v>
      </c>
      <c r="I8" s="50">
        <v>41</v>
      </c>
      <c r="J8" s="50">
        <v>41</v>
      </c>
      <c r="K8" s="50">
        <f t="shared" si="1"/>
        <v>60</v>
      </c>
      <c r="L8" s="50">
        <f t="shared" si="2"/>
        <v>60</v>
      </c>
    </row>
    <row r="9" spans="1:12" ht="14.25" customHeight="1" x14ac:dyDescent="0.75">
      <c r="A9" s="50">
        <v>666506</v>
      </c>
      <c r="B9" s="73" t="s">
        <v>10</v>
      </c>
      <c r="C9" s="73" t="s">
        <v>11</v>
      </c>
      <c r="D9" s="50">
        <f t="shared" si="0"/>
        <v>200</v>
      </c>
      <c r="E9" s="50">
        <v>0</v>
      </c>
      <c r="F9" s="50">
        <v>0</v>
      </c>
      <c r="G9" s="50">
        <v>200</v>
      </c>
      <c r="H9" s="50">
        <v>35</v>
      </c>
      <c r="I9" s="50">
        <v>0</v>
      </c>
      <c r="J9" s="50">
        <v>0</v>
      </c>
      <c r="K9" s="50">
        <f t="shared" si="1"/>
        <v>200</v>
      </c>
      <c r="L9" s="50">
        <f t="shared" si="2"/>
        <v>35</v>
      </c>
    </row>
    <row r="10" spans="1:12" ht="14.25" customHeight="1" x14ac:dyDescent="0.75">
      <c r="A10" s="50">
        <v>666507</v>
      </c>
      <c r="B10" s="73" t="s">
        <v>12</v>
      </c>
      <c r="C10" s="73" t="s">
        <v>13</v>
      </c>
      <c r="D10" s="50">
        <f t="shared" si="0"/>
        <v>50</v>
      </c>
      <c r="E10" s="50">
        <v>50</v>
      </c>
      <c r="F10" s="50">
        <v>48</v>
      </c>
      <c r="G10" s="50">
        <v>0</v>
      </c>
      <c r="H10" s="50">
        <v>0</v>
      </c>
      <c r="I10" s="50">
        <v>0</v>
      </c>
      <c r="J10" s="50">
        <v>0</v>
      </c>
      <c r="K10" s="50">
        <f t="shared" si="1"/>
        <v>50</v>
      </c>
      <c r="L10" s="50">
        <f t="shared" si="2"/>
        <v>48</v>
      </c>
    </row>
    <row r="11" spans="1:12" ht="14.25" customHeight="1" x14ac:dyDescent="0.75">
      <c r="A11" s="50">
        <v>666509</v>
      </c>
      <c r="B11" s="73" t="s">
        <v>14</v>
      </c>
      <c r="C11" s="73" t="s">
        <v>15</v>
      </c>
      <c r="D11" s="50">
        <f t="shared" si="0"/>
        <v>100</v>
      </c>
      <c r="E11" s="50">
        <v>100</v>
      </c>
      <c r="F11" s="50">
        <v>85</v>
      </c>
      <c r="G11" s="50">
        <v>0</v>
      </c>
      <c r="H11" s="50">
        <v>0</v>
      </c>
      <c r="I11" s="50">
        <v>0</v>
      </c>
      <c r="J11" s="50">
        <v>0</v>
      </c>
      <c r="K11" s="50">
        <f t="shared" si="1"/>
        <v>100</v>
      </c>
      <c r="L11" s="50">
        <f t="shared" si="2"/>
        <v>85</v>
      </c>
    </row>
    <row r="12" spans="1:12" ht="14.25" customHeight="1" x14ac:dyDescent="0.75">
      <c r="A12" s="50">
        <v>666510</v>
      </c>
      <c r="B12" s="73" t="s">
        <v>16</v>
      </c>
      <c r="C12" s="73" t="s">
        <v>169</v>
      </c>
      <c r="D12" s="50">
        <f t="shared" si="0"/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f t="shared" si="1"/>
        <v>0</v>
      </c>
      <c r="L12" s="50">
        <f t="shared" si="2"/>
        <v>0</v>
      </c>
    </row>
    <row r="13" spans="1:12" ht="14.25" customHeight="1" x14ac:dyDescent="0.75">
      <c r="A13" s="50">
        <v>666511</v>
      </c>
      <c r="B13" s="73" t="s">
        <v>18</v>
      </c>
      <c r="C13" s="73" t="s">
        <v>19</v>
      </c>
      <c r="D13" s="50">
        <f t="shared" si="0"/>
        <v>8</v>
      </c>
      <c r="E13" s="50">
        <v>8</v>
      </c>
      <c r="F13" s="50">
        <v>8</v>
      </c>
      <c r="G13" s="50">
        <v>0</v>
      </c>
      <c r="H13" s="50">
        <v>0</v>
      </c>
      <c r="I13" s="50">
        <v>0</v>
      </c>
      <c r="J13" s="50">
        <v>0</v>
      </c>
      <c r="K13" s="50">
        <f t="shared" si="1"/>
        <v>8</v>
      </c>
      <c r="L13" s="50">
        <f t="shared" si="2"/>
        <v>8</v>
      </c>
    </row>
    <row r="14" spans="1:12" ht="14.25" customHeight="1" x14ac:dyDescent="0.75">
      <c r="A14" s="50">
        <v>666513</v>
      </c>
      <c r="B14" s="73" t="s">
        <v>20</v>
      </c>
      <c r="C14" s="73" t="s">
        <v>21</v>
      </c>
      <c r="D14" s="50">
        <f t="shared" si="0"/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f t="shared" si="1"/>
        <v>0</v>
      </c>
      <c r="L14" s="50">
        <f t="shared" si="2"/>
        <v>0</v>
      </c>
    </row>
    <row r="15" spans="1:12" ht="14.25" customHeight="1" x14ac:dyDescent="0.75">
      <c r="A15" s="50">
        <v>666516</v>
      </c>
      <c r="B15" s="73" t="s">
        <v>22</v>
      </c>
      <c r="C15" s="73" t="s">
        <v>23</v>
      </c>
      <c r="D15" s="50">
        <f t="shared" si="0"/>
        <v>40</v>
      </c>
      <c r="E15" s="50">
        <v>20</v>
      </c>
      <c r="F15" s="50">
        <v>20</v>
      </c>
      <c r="G15" s="50">
        <v>0</v>
      </c>
      <c r="H15" s="50">
        <v>0</v>
      </c>
      <c r="I15" s="50">
        <v>20</v>
      </c>
      <c r="J15" s="50">
        <v>4</v>
      </c>
      <c r="K15" s="50">
        <f t="shared" si="1"/>
        <v>40</v>
      </c>
      <c r="L15" s="50">
        <f t="shared" si="2"/>
        <v>24</v>
      </c>
    </row>
    <row r="16" spans="1:12" ht="14.25" customHeight="1" x14ac:dyDescent="0.75">
      <c r="A16" s="50">
        <v>666517</v>
      </c>
      <c r="B16" s="73" t="s">
        <v>24</v>
      </c>
      <c r="C16" s="73" t="s">
        <v>25</v>
      </c>
      <c r="D16" s="50">
        <f t="shared" si="0"/>
        <v>48</v>
      </c>
      <c r="E16" s="50">
        <v>33</v>
      </c>
      <c r="F16" s="50">
        <v>33</v>
      </c>
      <c r="G16" s="50">
        <v>0</v>
      </c>
      <c r="H16" s="50">
        <v>0</v>
      </c>
      <c r="I16" s="50">
        <v>15</v>
      </c>
      <c r="J16" s="50">
        <v>5</v>
      </c>
      <c r="K16" s="50">
        <f t="shared" si="1"/>
        <v>48</v>
      </c>
      <c r="L16" s="50">
        <f t="shared" si="2"/>
        <v>38</v>
      </c>
    </row>
    <row r="17" spans="1:19" ht="14.25" customHeight="1" x14ac:dyDescent="0.75">
      <c r="A17" s="50">
        <v>666518</v>
      </c>
      <c r="B17" s="73" t="s">
        <v>26</v>
      </c>
      <c r="C17" s="73" t="s">
        <v>27</v>
      </c>
      <c r="D17" s="50">
        <f t="shared" si="0"/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f t="shared" si="1"/>
        <v>0</v>
      </c>
      <c r="L17" s="50">
        <f t="shared" si="2"/>
        <v>0</v>
      </c>
    </row>
    <row r="18" spans="1:19" ht="14.25" customHeight="1" x14ac:dyDescent="0.75">
      <c r="A18" s="50">
        <v>666519</v>
      </c>
      <c r="B18" s="73" t="s">
        <v>28</v>
      </c>
      <c r="C18" s="73" t="s">
        <v>29</v>
      </c>
      <c r="D18" s="50">
        <f t="shared" si="0"/>
        <v>60</v>
      </c>
      <c r="E18" s="50">
        <v>30</v>
      </c>
      <c r="F18" s="50">
        <v>30</v>
      </c>
      <c r="G18" s="50">
        <v>0</v>
      </c>
      <c r="H18" s="50">
        <v>0</v>
      </c>
      <c r="I18" s="50">
        <v>30</v>
      </c>
      <c r="J18" s="50">
        <v>4</v>
      </c>
      <c r="K18" s="50">
        <f t="shared" si="1"/>
        <v>60</v>
      </c>
      <c r="L18" s="50">
        <f t="shared" si="2"/>
        <v>34</v>
      </c>
    </row>
    <row r="19" spans="1:19" ht="14.25" customHeight="1" x14ac:dyDescent="0.75">
      <c r="A19" s="50">
        <v>666521</v>
      </c>
      <c r="B19" s="73" t="s">
        <v>30</v>
      </c>
      <c r="C19" s="73" t="s">
        <v>31</v>
      </c>
      <c r="D19" s="50">
        <f t="shared" si="0"/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f t="shared" si="1"/>
        <v>0</v>
      </c>
      <c r="L19" s="50">
        <f t="shared" si="2"/>
        <v>0</v>
      </c>
    </row>
    <row r="20" spans="1:19" ht="14.25" customHeight="1" x14ac:dyDescent="0.75">
      <c r="A20" s="50">
        <v>666522</v>
      </c>
      <c r="B20" s="73" t="s">
        <v>32</v>
      </c>
      <c r="C20" s="73" t="s">
        <v>33</v>
      </c>
      <c r="D20" s="50">
        <f t="shared" si="0"/>
        <v>430</v>
      </c>
      <c r="E20" s="50">
        <v>140</v>
      </c>
      <c r="F20" s="50">
        <v>140</v>
      </c>
      <c r="G20" s="50">
        <v>205</v>
      </c>
      <c r="H20" s="50">
        <v>205</v>
      </c>
      <c r="I20" s="50">
        <v>85</v>
      </c>
      <c r="J20" s="50">
        <v>85</v>
      </c>
      <c r="K20" s="50">
        <f t="shared" si="1"/>
        <v>430</v>
      </c>
      <c r="L20" s="50">
        <f t="shared" si="2"/>
        <v>430</v>
      </c>
    </row>
    <row r="21" spans="1:19" ht="14.25" customHeight="1" x14ac:dyDescent="0.75">
      <c r="A21" s="50">
        <v>666523</v>
      </c>
      <c r="B21" s="73" t="s">
        <v>34</v>
      </c>
      <c r="C21" s="73" t="s">
        <v>35</v>
      </c>
      <c r="D21" s="50">
        <f t="shared" si="0"/>
        <v>59</v>
      </c>
      <c r="E21" s="50">
        <v>0</v>
      </c>
      <c r="F21" s="50">
        <v>0</v>
      </c>
      <c r="G21" s="50">
        <v>47</v>
      </c>
      <c r="H21" s="50">
        <v>47</v>
      </c>
      <c r="I21" s="50">
        <v>12</v>
      </c>
      <c r="J21" s="50">
        <v>3</v>
      </c>
      <c r="K21" s="50">
        <f t="shared" si="1"/>
        <v>59</v>
      </c>
      <c r="L21" s="50">
        <f t="shared" si="2"/>
        <v>50</v>
      </c>
    </row>
    <row r="22" spans="1:19" ht="14.25" customHeight="1" x14ac:dyDescent="0.75">
      <c r="A22" s="50">
        <v>666530</v>
      </c>
      <c r="B22" s="73" t="s">
        <v>36</v>
      </c>
      <c r="C22" s="73" t="s">
        <v>37</v>
      </c>
      <c r="D22" s="50">
        <f t="shared" si="0"/>
        <v>20</v>
      </c>
      <c r="E22" s="50">
        <v>5</v>
      </c>
      <c r="F22" s="50">
        <v>5</v>
      </c>
      <c r="G22" s="50">
        <v>0</v>
      </c>
      <c r="H22" s="50">
        <v>0</v>
      </c>
      <c r="I22" s="50">
        <v>15</v>
      </c>
      <c r="J22" s="50">
        <v>0</v>
      </c>
      <c r="K22" s="50">
        <f t="shared" si="1"/>
        <v>20</v>
      </c>
      <c r="L22" s="50">
        <f t="shared" si="2"/>
        <v>5</v>
      </c>
    </row>
    <row r="23" spans="1:19" ht="14.25" customHeight="1" x14ac:dyDescent="0.75">
      <c r="A23" s="50">
        <v>666531</v>
      </c>
      <c r="B23" s="73" t="s">
        <v>38</v>
      </c>
      <c r="C23" s="73" t="s">
        <v>39</v>
      </c>
      <c r="D23" s="50">
        <f t="shared" si="0"/>
        <v>26</v>
      </c>
      <c r="E23" s="50">
        <v>18</v>
      </c>
      <c r="F23" s="50">
        <v>18</v>
      </c>
      <c r="G23" s="50">
        <v>0</v>
      </c>
      <c r="H23" s="50">
        <v>0</v>
      </c>
      <c r="I23" s="50">
        <v>8</v>
      </c>
      <c r="J23" s="50">
        <v>0</v>
      </c>
      <c r="K23" s="50">
        <f t="shared" si="1"/>
        <v>26</v>
      </c>
      <c r="L23" s="50">
        <f t="shared" si="2"/>
        <v>18</v>
      </c>
    </row>
    <row r="24" spans="1:19" ht="14.25" customHeight="1" x14ac:dyDescent="0.75">
      <c r="A24" s="50">
        <v>666540</v>
      </c>
      <c r="B24" s="73" t="s">
        <v>40</v>
      </c>
      <c r="C24" s="73" t="s">
        <v>40</v>
      </c>
      <c r="D24" s="50">
        <f t="shared" si="0"/>
        <v>240</v>
      </c>
      <c r="E24" s="50">
        <v>0</v>
      </c>
      <c r="F24" s="50">
        <v>0</v>
      </c>
      <c r="G24" s="50">
        <v>240</v>
      </c>
      <c r="H24" s="50">
        <v>65</v>
      </c>
      <c r="I24" s="50">
        <v>0</v>
      </c>
      <c r="J24" s="50">
        <v>0</v>
      </c>
      <c r="K24" s="50">
        <f t="shared" si="1"/>
        <v>240</v>
      </c>
      <c r="L24" s="50">
        <f t="shared" si="2"/>
        <v>65</v>
      </c>
    </row>
    <row r="25" spans="1:19" ht="14.25" customHeight="1" x14ac:dyDescent="0.75">
      <c r="A25" s="50">
        <v>666541</v>
      </c>
      <c r="B25" s="73" t="s">
        <v>41</v>
      </c>
      <c r="C25" s="73" t="s">
        <v>41</v>
      </c>
      <c r="D25" s="50">
        <f t="shared" si="0"/>
        <v>240</v>
      </c>
      <c r="E25" s="50">
        <v>0</v>
      </c>
      <c r="F25" s="50">
        <v>0</v>
      </c>
      <c r="G25" s="50">
        <v>240</v>
      </c>
      <c r="H25" s="50">
        <v>279</v>
      </c>
      <c r="I25" s="50">
        <v>0</v>
      </c>
      <c r="J25" s="50">
        <v>0</v>
      </c>
      <c r="K25" s="50">
        <f t="shared" si="1"/>
        <v>240</v>
      </c>
      <c r="L25" s="50">
        <f t="shared" si="2"/>
        <v>279</v>
      </c>
    </row>
    <row r="26" spans="1:19" s="74" customFormat="1" ht="14.25" customHeight="1" x14ac:dyDescent="0.75">
      <c r="A26" s="74">
        <v>666536</v>
      </c>
      <c r="B26" s="74" t="s">
        <v>42</v>
      </c>
      <c r="C26" s="74" t="s">
        <v>43</v>
      </c>
      <c r="D26" s="50">
        <f t="shared" si="0"/>
        <v>2</v>
      </c>
      <c r="E26" s="50">
        <v>2</v>
      </c>
      <c r="F26" s="50">
        <v>2</v>
      </c>
      <c r="G26" s="50">
        <v>0</v>
      </c>
      <c r="H26" s="50">
        <v>0</v>
      </c>
      <c r="I26" s="50">
        <v>0</v>
      </c>
      <c r="J26" s="50">
        <v>0</v>
      </c>
      <c r="K26" s="50">
        <f t="shared" si="1"/>
        <v>2</v>
      </c>
      <c r="L26" s="50">
        <f t="shared" si="2"/>
        <v>2</v>
      </c>
      <c r="S26" s="74">
        <v>2</v>
      </c>
    </row>
  </sheetData>
  <conditionalFormatting sqref="K6:K26">
    <cfRule type="cellIs" dxfId="274" priority="2" operator="equal">
      <formula>0</formula>
    </cfRule>
  </conditionalFormatting>
  <conditionalFormatting sqref="L6:L26">
    <cfRule type="expression" dxfId="273" priority="3">
      <formula>K6=L6</formula>
    </cfRule>
    <cfRule type="expression" dxfId="272" priority="4">
      <formula>K6&lt;L6</formula>
    </cfRule>
    <cfRule type="expression" dxfId="271" priority="5">
      <formula>K6&gt;L6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51"/>
  <sheetViews>
    <sheetView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Q33" sqref="Q33"/>
    </sheetView>
  </sheetViews>
  <sheetFormatPr defaultColWidth="8.6796875" defaultRowHeight="14.75" x14ac:dyDescent="0.75"/>
  <cols>
    <col min="1" max="1" width="8.6796875" style="50"/>
    <col min="2" max="2" width="41.54296875" style="50" customWidth="1"/>
    <col min="3" max="3" width="22.6796875" style="50" customWidth="1"/>
    <col min="4" max="4" width="9.54296875" style="50" hidden="1" customWidth="1"/>
    <col min="5" max="5" width="8.6796875" style="50"/>
    <col min="6" max="6" width="9.86328125" style="50" customWidth="1"/>
    <col min="7" max="7" width="7.31640625" style="50" customWidth="1"/>
    <col min="8" max="8" width="8.453125" style="50" customWidth="1"/>
    <col min="9" max="9" width="7.453125" style="50" customWidth="1"/>
    <col min="10" max="10" width="7.6796875" style="50" customWidth="1"/>
    <col min="11" max="11" width="7.31640625" style="50" customWidth="1"/>
    <col min="12" max="16384" width="8.6796875" style="50"/>
  </cols>
  <sheetData>
    <row r="1" spans="1:27" s="51" customFormat="1" ht="41.25" customHeight="1" x14ac:dyDescent="0.75">
      <c r="C1" s="51" t="s">
        <v>175</v>
      </c>
      <c r="D1" s="51" t="s">
        <v>144</v>
      </c>
      <c r="E1" s="52" t="s">
        <v>116</v>
      </c>
      <c r="F1" s="53" t="s">
        <v>145</v>
      </c>
      <c r="G1" s="54" t="s">
        <v>119</v>
      </c>
      <c r="H1" s="53" t="s">
        <v>146</v>
      </c>
      <c r="I1" s="153" t="s">
        <v>122</v>
      </c>
      <c r="J1" s="56" t="s">
        <v>147</v>
      </c>
      <c r="K1" s="51" t="s">
        <v>148</v>
      </c>
      <c r="L1" s="53" t="s">
        <v>149</v>
      </c>
      <c r="M1" s="51" t="s">
        <v>56</v>
      </c>
      <c r="N1" s="51" t="s">
        <v>58</v>
      </c>
      <c r="O1" s="51" t="s">
        <v>66</v>
      </c>
      <c r="P1" s="51" t="s">
        <v>56</v>
      </c>
      <c r="Q1" s="51" t="s">
        <v>58</v>
      </c>
      <c r="R1" s="51" t="s">
        <v>66</v>
      </c>
      <c r="S1" s="51" t="s">
        <v>56</v>
      </c>
      <c r="T1" s="51" t="s">
        <v>58</v>
      </c>
      <c r="U1" s="51" t="s">
        <v>66</v>
      </c>
      <c r="V1" s="51" t="s">
        <v>56</v>
      </c>
      <c r="W1" s="51" t="s">
        <v>58</v>
      </c>
      <c r="X1" s="51" t="s">
        <v>66</v>
      </c>
      <c r="Y1" s="51" t="s">
        <v>56</v>
      </c>
      <c r="Z1" s="51" t="s">
        <v>58</v>
      </c>
      <c r="AA1" s="51" t="s">
        <v>66</v>
      </c>
    </row>
    <row r="2" spans="1:27" ht="14.25" customHeight="1" x14ac:dyDescent="0.75">
      <c r="C2" s="57" t="s">
        <v>150</v>
      </c>
      <c r="D2" s="57"/>
      <c r="E2" s="58"/>
      <c r="F2" s="59"/>
      <c r="G2" s="60"/>
      <c r="H2" s="59"/>
      <c r="I2" s="78"/>
      <c r="J2" s="59"/>
      <c r="K2" s="59"/>
      <c r="L2" s="59"/>
      <c r="M2" s="59" t="s">
        <v>65</v>
      </c>
      <c r="N2" s="59" t="s">
        <v>57</v>
      </c>
      <c r="O2" s="59" t="s">
        <v>55</v>
      </c>
      <c r="P2" s="59" t="s">
        <v>65</v>
      </c>
      <c r="Q2" s="59" t="s">
        <v>57</v>
      </c>
      <c r="R2" s="59" t="s">
        <v>55</v>
      </c>
      <c r="S2" s="59" t="s">
        <v>65</v>
      </c>
      <c r="T2" s="59" t="s">
        <v>57</v>
      </c>
      <c r="U2" s="59" t="s">
        <v>55</v>
      </c>
      <c r="V2" s="59" t="s">
        <v>65</v>
      </c>
      <c r="W2" s="59" t="s">
        <v>57</v>
      </c>
      <c r="X2" s="59" t="s">
        <v>55</v>
      </c>
      <c r="Y2" s="59" t="s">
        <v>65</v>
      </c>
      <c r="Z2" s="59" t="s">
        <v>57</v>
      </c>
      <c r="AA2" s="59" t="s">
        <v>55</v>
      </c>
    </row>
    <row r="3" spans="1:27" ht="14.25" customHeight="1" x14ac:dyDescent="0.75">
      <c r="A3" s="62" t="s">
        <v>129</v>
      </c>
      <c r="B3" s="62" t="s">
        <v>2</v>
      </c>
      <c r="C3" s="62" t="s">
        <v>3</v>
      </c>
      <c r="D3" s="62"/>
      <c r="E3" s="58"/>
      <c r="F3" s="62"/>
      <c r="G3" s="63"/>
      <c r="H3" s="62"/>
      <c r="I3" s="154"/>
      <c r="J3" s="62"/>
      <c r="K3" s="62"/>
      <c r="L3" s="62"/>
      <c r="M3" s="62" t="s">
        <v>54</v>
      </c>
      <c r="N3" s="62" t="s">
        <v>54</v>
      </c>
      <c r="O3" s="62" t="s">
        <v>54</v>
      </c>
      <c r="P3" s="62" t="s">
        <v>59</v>
      </c>
      <c r="Q3" s="62" t="s">
        <v>59</v>
      </c>
      <c r="R3" s="62" t="s">
        <v>59</v>
      </c>
      <c r="S3" s="62" t="s">
        <v>60</v>
      </c>
      <c r="T3" s="62" t="s">
        <v>60</v>
      </c>
      <c r="U3" s="62" t="s">
        <v>60</v>
      </c>
      <c r="V3" s="62" t="s">
        <v>62</v>
      </c>
      <c r="W3" s="62" t="s">
        <v>62</v>
      </c>
      <c r="X3" s="62" t="s">
        <v>62</v>
      </c>
      <c r="Y3" s="62" t="s">
        <v>63</v>
      </c>
      <c r="Z3" s="62" t="s">
        <v>63</v>
      </c>
      <c r="AA3" s="62" t="s">
        <v>63</v>
      </c>
    </row>
    <row r="4" spans="1:27" ht="14.25" customHeight="1" x14ac:dyDescent="0.75">
      <c r="A4" s="62"/>
      <c r="B4" s="62"/>
      <c r="C4" s="62" t="s">
        <v>151</v>
      </c>
      <c r="D4" s="62"/>
      <c r="E4" s="58"/>
      <c r="F4" s="62">
        <f t="shared" ref="F4:F25" si="0">+M4+P4+S4+V4+Y4</f>
        <v>138</v>
      </c>
      <c r="G4" s="63"/>
      <c r="H4" s="62">
        <f t="shared" ref="H4:H25" si="1">+N4+Q4+T4+W4+Z4</f>
        <v>376</v>
      </c>
      <c r="I4" s="154"/>
      <c r="J4" s="62">
        <f t="shared" ref="J4:J25" si="2">+O4+R4+U4+X4+AA4</f>
        <v>62</v>
      </c>
      <c r="K4" s="62" t="s">
        <v>152</v>
      </c>
      <c r="L4" s="62">
        <f>SUM(F4:J4)</f>
        <v>576</v>
      </c>
      <c r="M4" s="155"/>
      <c r="N4" s="155"/>
      <c r="O4" s="155"/>
      <c r="Q4" s="62">
        <v>60</v>
      </c>
      <c r="R4" s="62">
        <v>32</v>
      </c>
      <c r="S4" s="62">
        <v>34</v>
      </c>
      <c r="T4" s="62">
        <v>108</v>
      </c>
      <c r="U4" s="62"/>
      <c r="V4" s="62">
        <v>20</v>
      </c>
      <c r="W4" s="62">
        <v>99</v>
      </c>
      <c r="X4" s="62">
        <v>30</v>
      </c>
      <c r="Y4" s="62">
        <v>84</v>
      </c>
      <c r="Z4" s="62">
        <v>109</v>
      </c>
      <c r="AA4" s="62"/>
    </row>
    <row r="5" spans="1:27" ht="14.25" customHeight="1" x14ac:dyDescent="0.75">
      <c r="A5" s="50">
        <v>666501</v>
      </c>
      <c r="B5" s="50" t="s">
        <v>4</v>
      </c>
      <c r="C5" s="50" t="s">
        <v>5</v>
      </c>
      <c r="E5" s="67"/>
      <c r="F5" s="50">
        <f t="shared" si="0"/>
        <v>0</v>
      </c>
      <c r="G5" s="60"/>
      <c r="H5" s="50">
        <f t="shared" si="1"/>
        <v>0</v>
      </c>
      <c r="I5" s="78"/>
      <c r="J5" s="50">
        <f t="shared" si="2"/>
        <v>0</v>
      </c>
      <c r="K5" s="50">
        <f t="shared" ref="K5:K24" si="3">+E5+G5+I5</f>
        <v>0</v>
      </c>
      <c r="L5" s="50">
        <f t="shared" ref="L5:L25" si="4">SUM(F5,H5,J5)</f>
        <v>0</v>
      </c>
      <c r="M5" s="156"/>
      <c r="N5" s="156"/>
      <c r="O5" s="156"/>
    </row>
    <row r="6" spans="1:27" ht="14.25" customHeight="1" x14ac:dyDescent="0.75">
      <c r="A6" s="50">
        <v>666502</v>
      </c>
      <c r="B6" s="50" t="s">
        <v>6</v>
      </c>
      <c r="C6" s="50" t="s">
        <v>7</v>
      </c>
      <c r="E6" s="67"/>
      <c r="F6" s="50">
        <f t="shared" si="0"/>
        <v>0</v>
      </c>
      <c r="G6" s="60">
        <v>307</v>
      </c>
      <c r="H6" s="50">
        <f t="shared" si="1"/>
        <v>109</v>
      </c>
      <c r="I6" s="78">
        <v>40</v>
      </c>
      <c r="J6" s="50">
        <f t="shared" si="2"/>
        <v>18</v>
      </c>
      <c r="K6" s="50">
        <f t="shared" si="3"/>
        <v>347</v>
      </c>
      <c r="L6" s="50">
        <f t="shared" si="4"/>
        <v>127</v>
      </c>
      <c r="M6" s="156"/>
      <c r="N6" s="156"/>
      <c r="O6" s="156"/>
      <c r="Q6" s="50">
        <v>17</v>
      </c>
      <c r="T6" s="50">
        <v>29</v>
      </c>
      <c r="W6" s="50">
        <v>31</v>
      </c>
      <c r="X6" s="50">
        <v>18</v>
      </c>
      <c r="Z6" s="50">
        <v>32</v>
      </c>
    </row>
    <row r="7" spans="1:27" ht="14.25" customHeight="1" x14ac:dyDescent="0.75">
      <c r="A7" s="50">
        <v>666505</v>
      </c>
      <c r="B7" s="50" t="s">
        <v>8</v>
      </c>
      <c r="C7" s="50" t="s">
        <v>9</v>
      </c>
      <c r="E7" s="67">
        <v>19</v>
      </c>
      <c r="F7" s="50">
        <f t="shared" si="0"/>
        <v>19</v>
      </c>
      <c r="G7" s="60"/>
      <c r="H7" s="50">
        <f t="shared" si="1"/>
        <v>0</v>
      </c>
      <c r="I7" s="78">
        <v>41</v>
      </c>
      <c r="J7" s="50">
        <f t="shared" si="2"/>
        <v>41</v>
      </c>
      <c r="K7" s="50">
        <f t="shared" si="3"/>
        <v>60</v>
      </c>
      <c r="L7" s="50">
        <f t="shared" si="4"/>
        <v>60</v>
      </c>
      <c r="M7" s="156"/>
      <c r="N7" s="156"/>
      <c r="O7" s="156"/>
      <c r="R7" s="50">
        <v>41</v>
      </c>
      <c r="S7" s="50">
        <v>19</v>
      </c>
    </row>
    <row r="8" spans="1:27" ht="14.25" customHeight="1" x14ac:dyDescent="0.75">
      <c r="A8" s="50">
        <v>666506</v>
      </c>
      <c r="B8" s="50" t="s">
        <v>10</v>
      </c>
      <c r="C8" s="50" t="s">
        <v>11</v>
      </c>
      <c r="E8" s="67"/>
      <c r="F8" s="50">
        <f t="shared" si="0"/>
        <v>0</v>
      </c>
      <c r="G8" s="60">
        <v>200</v>
      </c>
      <c r="H8" s="50">
        <f t="shared" si="1"/>
        <v>20</v>
      </c>
      <c r="I8" s="78"/>
      <c r="J8" s="50">
        <f t="shared" si="2"/>
        <v>0</v>
      </c>
      <c r="K8" s="50">
        <f t="shared" si="3"/>
        <v>200</v>
      </c>
      <c r="L8" s="50">
        <f t="shared" si="4"/>
        <v>20</v>
      </c>
      <c r="M8" s="156"/>
      <c r="N8" s="156"/>
      <c r="O8" s="156"/>
      <c r="W8" s="50">
        <v>9</v>
      </c>
      <c r="Z8" s="50">
        <v>11</v>
      </c>
    </row>
    <row r="9" spans="1:27" ht="14.25" customHeight="1" x14ac:dyDescent="0.75">
      <c r="A9" s="50">
        <v>666507</v>
      </c>
      <c r="B9" s="50" t="s">
        <v>12</v>
      </c>
      <c r="C9" s="50" t="s">
        <v>13</v>
      </c>
      <c r="E9" s="67">
        <v>50</v>
      </c>
      <c r="F9" s="50">
        <f t="shared" si="0"/>
        <v>5</v>
      </c>
      <c r="G9" s="60"/>
      <c r="H9" s="50">
        <f t="shared" si="1"/>
        <v>0</v>
      </c>
      <c r="I9" s="78"/>
      <c r="J9" s="50">
        <f t="shared" si="2"/>
        <v>0</v>
      </c>
      <c r="K9" s="50">
        <f t="shared" si="3"/>
        <v>50</v>
      </c>
      <c r="L9" s="50">
        <f t="shared" si="4"/>
        <v>5</v>
      </c>
      <c r="M9" s="156"/>
      <c r="N9" s="156"/>
      <c r="O9" s="156"/>
      <c r="S9" s="50">
        <v>2</v>
      </c>
      <c r="Y9" s="50">
        <v>3</v>
      </c>
    </row>
    <row r="10" spans="1:27" ht="14.25" customHeight="1" x14ac:dyDescent="0.75">
      <c r="A10" s="50">
        <v>666509</v>
      </c>
      <c r="B10" s="50" t="s">
        <v>14</v>
      </c>
      <c r="C10" s="50" t="s">
        <v>15</v>
      </c>
      <c r="E10" s="67">
        <v>100</v>
      </c>
      <c r="F10" s="50">
        <f t="shared" si="0"/>
        <v>60</v>
      </c>
      <c r="G10" s="60"/>
      <c r="H10" s="50">
        <f t="shared" si="1"/>
        <v>0</v>
      </c>
      <c r="I10" s="78"/>
      <c r="J10" s="50">
        <f t="shared" si="2"/>
        <v>0</v>
      </c>
      <c r="K10" s="50">
        <f t="shared" si="3"/>
        <v>100</v>
      </c>
      <c r="L10" s="50">
        <f t="shared" si="4"/>
        <v>60</v>
      </c>
      <c r="M10" s="156"/>
      <c r="N10" s="156"/>
      <c r="O10" s="156"/>
      <c r="S10" s="50">
        <v>25</v>
      </c>
      <c r="V10" s="50">
        <v>15</v>
      </c>
      <c r="Y10" s="50">
        <v>20</v>
      </c>
    </row>
    <row r="11" spans="1:27" ht="14.25" customHeight="1" x14ac:dyDescent="0.75">
      <c r="A11" s="50">
        <v>666510</v>
      </c>
      <c r="B11" s="50" t="s">
        <v>16</v>
      </c>
      <c r="C11" s="50" t="s">
        <v>17</v>
      </c>
      <c r="E11" s="67"/>
      <c r="F11" s="50">
        <f t="shared" si="0"/>
        <v>0</v>
      </c>
      <c r="G11" s="60"/>
      <c r="H11" s="50">
        <f t="shared" si="1"/>
        <v>0</v>
      </c>
      <c r="I11" s="78"/>
      <c r="J11" s="50">
        <f t="shared" si="2"/>
        <v>0</v>
      </c>
      <c r="K11" s="50">
        <f t="shared" si="3"/>
        <v>0</v>
      </c>
      <c r="L11" s="50">
        <f t="shared" si="4"/>
        <v>0</v>
      </c>
      <c r="M11" s="156"/>
      <c r="N11" s="156"/>
      <c r="O11" s="156"/>
    </row>
    <row r="12" spans="1:27" ht="14.25" customHeight="1" x14ac:dyDescent="0.75">
      <c r="A12" s="50">
        <v>666511</v>
      </c>
      <c r="B12" s="50" t="s">
        <v>18</v>
      </c>
      <c r="C12" s="50" t="s">
        <v>19</v>
      </c>
      <c r="E12" s="67">
        <v>8</v>
      </c>
      <c r="F12" s="50">
        <f t="shared" si="0"/>
        <v>0</v>
      </c>
      <c r="G12" s="60"/>
      <c r="H12" s="50">
        <f t="shared" si="1"/>
        <v>0</v>
      </c>
      <c r="I12" s="78"/>
      <c r="J12" s="50">
        <f t="shared" si="2"/>
        <v>0</v>
      </c>
      <c r="K12" s="50">
        <f t="shared" si="3"/>
        <v>8</v>
      </c>
      <c r="L12" s="50">
        <f t="shared" si="4"/>
        <v>0</v>
      </c>
      <c r="M12" s="156"/>
      <c r="N12" s="156"/>
      <c r="O12" s="156"/>
    </row>
    <row r="13" spans="1:27" ht="14.25" customHeight="1" x14ac:dyDescent="0.75">
      <c r="A13" s="50">
        <v>666513</v>
      </c>
      <c r="B13" s="50" t="s">
        <v>20</v>
      </c>
      <c r="C13" s="50" t="s">
        <v>21</v>
      </c>
      <c r="E13" s="67"/>
      <c r="F13" s="50">
        <f t="shared" si="0"/>
        <v>0</v>
      </c>
      <c r="G13" s="60"/>
      <c r="H13" s="50">
        <f t="shared" si="1"/>
        <v>0</v>
      </c>
      <c r="I13" s="78"/>
      <c r="J13" s="50">
        <f t="shared" si="2"/>
        <v>0</v>
      </c>
      <c r="K13" s="50">
        <f t="shared" si="3"/>
        <v>0</v>
      </c>
      <c r="L13" s="50">
        <f t="shared" si="4"/>
        <v>0</v>
      </c>
      <c r="M13" s="156"/>
      <c r="N13" s="156"/>
      <c r="O13" s="156"/>
    </row>
    <row r="14" spans="1:27" ht="14.25" customHeight="1" x14ac:dyDescent="0.75">
      <c r="A14" s="50">
        <v>666516</v>
      </c>
      <c r="B14" s="50" t="s">
        <v>22</v>
      </c>
      <c r="C14" s="50" t="s">
        <v>23</v>
      </c>
      <c r="E14" s="67">
        <v>20</v>
      </c>
      <c r="F14" s="50">
        <f t="shared" si="0"/>
        <v>20</v>
      </c>
      <c r="G14" s="60"/>
      <c r="H14" s="50">
        <f t="shared" si="1"/>
        <v>0</v>
      </c>
      <c r="I14" s="78">
        <v>20</v>
      </c>
      <c r="J14" s="50">
        <f t="shared" si="2"/>
        <v>20</v>
      </c>
      <c r="K14" s="50">
        <f t="shared" si="3"/>
        <v>40</v>
      </c>
      <c r="L14" s="50">
        <f t="shared" si="4"/>
        <v>40</v>
      </c>
      <c r="M14" s="156"/>
      <c r="N14" s="156"/>
      <c r="O14" s="156"/>
      <c r="R14" s="50">
        <v>20</v>
      </c>
      <c r="S14" s="50">
        <v>20</v>
      </c>
    </row>
    <row r="15" spans="1:27" ht="14.25" customHeight="1" x14ac:dyDescent="0.75">
      <c r="A15" s="50">
        <v>666517</v>
      </c>
      <c r="B15" s="50" t="s">
        <v>24</v>
      </c>
      <c r="C15" s="50" t="s">
        <v>25</v>
      </c>
      <c r="E15" s="67">
        <v>33</v>
      </c>
      <c r="F15" s="50">
        <f t="shared" si="0"/>
        <v>33</v>
      </c>
      <c r="G15" s="60"/>
      <c r="H15" s="50">
        <f t="shared" si="1"/>
        <v>0</v>
      </c>
      <c r="I15" s="78">
        <v>15</v>
      </c>
      <c r="J15" s="50">
        <f t="shared" si="2"/>
        <v>15</v>
      </c>
      <c r="K15" s="50">
        <f t="shared" si="3"/>
        <v>48</v>
      </c>
      <c r="L15" s="50">
        <f t="shared" si="4"/>
        <v>48</v>
      </c>
      <c r="M15" s="156"/>
      <c r="N15" s="156"/>
      <c r="O15" s="156"/>
      <c r="R15" s="50">
        <v>15</v>
      </c>
      <c r="S15" s="50">
        <v>18</v>
      </c>
      <c r="V15" s="50">
        <v>11</v>
      </c>
      <c r="Y15" s="50">
        <v>4</v>
      </c>
    </row>
    <row r="16" spans="1:27" ht="14.25" customHeight="1" x14ac:dyDescent="0.75">
      <c r="A16" s="50">
        <v>666518</v>
      </c>
      <c r="B16" s="50" t="s">
        <v>26</v>
      </c>
      <c r="C16" s="50" t="s">
        <v>27</v>
      </c>
      <c r="E16" s="67"/>
      <c r="F16" s="50">
        <f t="shared" si="0"/>
        <v>0</v>
      </c>
      <c r="G16" s="60"/>
      <c r="H16" s="50">
        <f t="shared" si="1"/>
        <v>0</v>
      </c>
      <c r="I16" s="78"/>
      <c r="J16" s="50">
        <f t="shared" si="2"/>
        <v>0</v>
      </c>
      <c r="K16" s="50">
        <f t="shared" si="3"/>
        <v>0</v>
      </c>
      <c r="L16" s="50">
        <f t="shared" si="4"/>
        <v>0</v>
      </c>
      <c r="M16" s="156"/>
      <c r="N16" s="156"/>
      <c r="O16" s="156"/>
    </row>
    <row r="17" spans="1:26" ht="14.25" customHeight="1" x14ac:dyDescent="0.75">
      <c r="A17" s="50">
        <v>666519</v>
      </c>
      <c r="B17" s="50" t="s">
        <v>28</v>
      </c>
      <c r="C17" s="50" t="s">
        <v>29</v>
      </c>
      <c r="E17" s="67">
        <v>30</v>
      </c>
      <c r="F17" s="50">
        <f t="shared" si="0"/>
        <v>30</v>
      </c>
      <c r="G17" s="60"/>
      <c r="H17" s="50">
        <f t="shared" si="1"/>
        <v>0</v>
      </c>
      <c r="I17" s="78">
        <v>30</v>
      </c>
      <c r="J17" s="50">
        <f t="shared" si="2"/>
        <v>30</v>
      </c>
      <c r="K17" s="50">
        <f t="shared" si="3"/>
        <v>60</v>
      </c>
      <c r="L17" s="50">
        <f t="shared" si="4"/>
        <v>60</v>
      </c>
      <c r="M17" s="156"/>
      <c r="N17" s="156"/>
      <c r="O17" s="156"/>
      <c r="R17" s="50">
        <v>25</v>
      </c>
      <c r="S17" s="50">
        <v>18</v>
      </c>
      <c r="V17" s="50">
        <v>12</v>
      </c>
      <c r="X17" s="50">
        <v>5</v>
      </c>
    </row>
    <row r="18" spans="1:26" ht="14.25" customHeight="1" x14ac:dyDescent="0.75">
      <c r="A18" s="50">
        <v>666521</v>
      </c>
      <c r="B18" s="50" t="s">
        <v>30</v>
      </c>
      <c r="C18" s="50" t="s">
        <v>31</v>
      </c>
      <c r="E18" s="67"/>
      <c r="F18" s="50">
        <f t="shared" si="0"/>
        <v>0</v>
      </c>
      <c r="G18" s="60"/>
      <c r="H18" s="50">
        <f t="shared" si="1"/>
        <v>0</v>
      </c>
      <c r="I18" s="78"/>
      <c r="J18" s="50">
        <f t="shared" si="2"/>
        <v>0</v>
      </c>
      <c r="K18" s="50">
        <f t="shared" si="3"/>
        <v>0</v>
      </c>
      <c r="L18" s="50">
        <f t="shared" si="4"/>
        <v>0</v>
      </c>
      <c r="M18" s="156"/>
      <c r="N18" s="156"/>
      <c r="O18" s="156"/>
    </row>
    <row r="19" spans="1:26" ht="14.25" customHeight="1" x14ac:dyDescent="0.75">
      <c r="A19" s="50">
        <v>666522</v>
      </c>
      <c r="B19" s="50" t="s">
        <v>32</v>
      </c>
      <c r="C19" s="50" t="s">
        <v>33</v>
      </c>
      <c r="E19" s="67">
        <v>100</v>
      </c>
      <c r="F19" s="50">
        <f t="shared" si="0"/>
        <v>75</v>
      </c>
      <c r="G19" s="60">
        <v>205</v>
      </c>
      <c r="H19" s="50">
        <f t="shared" si="1"/>
        <v>205</v>
      </c>
      <c r="I19" s="78">
        <v>85</v>
      </c>
      <c r="J19" s="50">
        <f t="shared" si="2"/>
        <v>85</v>
      </c>
      <c r="K19" s="50">
        <f t="shared" si="3"/>
        <v>390</v>
      </c>
      <c r="L19" s="50">
        <f t="shared" si="4"/>
        <v>365</v>
      </c>
      <c r="M19" s="156"/>
      <c r="N19" s="156"/>
      <c r="O19" s="156"/>
      <c r="Q19" s="50">
        <v>100</v>
      </c>
      <c r="R19" s="50">
        <v>80</v>
      </c>
      <c r="S19" s="50">
        <v>35</v>
      </c>
      <c r="T19" s="50">
        <v>105</v>
      </c>
      <c r="V19" s="50">
        <v>20</v>
      </c>
      <c r="X19" s="50">
        <v>5</v>
      </c>
      <c r="Y19" s="50">
        <v>20</v>
      </c>
    </row>
    <row r="20" spans="1:26" ht="14.25" customHeight="1" x14ac:dyDescent="0.75">
      <c r="A20" s="50">
        <v>666523</v>
      </c>
      <c r="B20" s="50" t="s">
        <v>34</v>
      </c>
      <c r="C20" s="50" t="s">
        <v>35</v>
      </c>
      <c r="E20" s="67"/>
      <c r="F20" s="50">
        <f t="shared" si="0"/>
        <v>0</v>
      </c>
      <c r="G20" s="60">
        <v>47</v>
      </c>
      <c r="H20" s="50">
        <f t="shared" si="1"/>
        <v>47</v>
      </c>
      <c r="I20" s="78">
        <v>12</v>
      </c>
      <c r="J20" s="50">
        <f t="shared" si="2"/>
        <v>12</v>
      </c>
      <c r="K20" s="50">
        <f t="shared" si="3"/>
        <v>59</v>
      </c>
      <c r="L20" s="50">
        <f t="shared" si="4"/>
        <v>59</v>
      </c>
      <c r="M20" s="156"/>
      <c r="N20" s="156"/>
      <c r="O20" s="156"/>
      <c r="Q20" s="50">
        <v>47</v>
      </c>
      <c r="X20" s="50">
        <v>12</v>
      </c>
    </row>
    <row r="21" spans="1:26" ht="14.25" customHeight="1" x14ac:dyDescent="0.75">
      <c r="A21" s="50">
        <v>666530</v>
      </c>
      <c r="B21" s="50" t="s">
        <v>36</v>
      </c>
      <c r="C21" s="50" t="s">
        <v>37</v>
      </c>
      <c r="E21" s="67">
        <v>5</v>
      </c>
      <c r="F21" s="50">
        <f t="shared" si="0"/>
        <v>2</v>
      </c>
      <c r="G21" s="60"/>
      <c r="H21" s="50">
        <f t="shared" si="1"/>
        <v>0</v>
      </c>
      <c r="I21" s="78">
        <v>15</v>
      </c>
      <c r="J21" s="50">
        <f t="shared" si="2"/>
        <v>15</v>
      </c>
      <c r="K21" s="50">
        <f t="shared" si="3"/>
        <v>20</v>
      </c>
      <c r="L21" s="50">
        <f t="shared" si="4"/>
        <v>17</v>
      </c>
      <c r="M21" s="156"/>
      <c r="N21" s="156"/>
      <c r="O21" s="156"/>
      <c r="R21" s="50">
        <v>15</v>
      </c>
      <c r="Y21" s="50">
        <v>2</v>
      </c>
    </row>
    <row r="22" spans="1:26" ht="14.25" customHeight="1" x14ac:dyDescent="0.75">
      <c r="A22" s="50">
        <v>666531</v>
      </c>
      <c r="B22" s="50" t="s">
        <v>38</v>
      </c>
      <c r="C22" s="50" t="s">
        <v>39</v>
      </c>
      <c r="E22" s="67">
        <v>18</v>
      </c>
      <c r="F22" s="50">
        <f t="shared" si="0"/>
        <v>18</v>
      </c>
      <c r="G22" s="60"/>
      <c r="H22" s="50">
        <f t="shared" si="1"/>
        <v>0</v>
      </c>
      <c r="I22" s="78">
        <v>8</v>
      </c>
      <c r="J22" s="50">
        <f t="shared" si="2"/>
        <v>8</v>
      </c>
      <c r="K22" s="50">
        <f t="shared" si="3"/>
        <v>26</v>
      </c>
      <c r="L22" s="50">
        <f t="shared" si="4"/>
        <v>26</v>
      </c>
      <c r="M22" s="156"/>
      <c r="N22" s="156"/>
      <c r="O22" s="156"/>
      <c r="R22" s="50">
        <v>8</v>
      </c>
      <c r="S22" s="50">
        <v>18</v>
      </c>
    </row>
    <row r="23" spans="1:26" ht="14.25" customHeight="1" x14ac:dyDescent="0.75">
      <c r="A23" s="50">
        <v>666540</v>
      </c>
      <c r="B23" s="50" t="s">
        <v>40</v>
      </c>
      <c r="C23" s="50" t="s">
        <v>40</v>
      </c>
      <c r="E23" s="67"/>
      <c r="F23" s="50">
        <f t="shared" si="0"/>
        <v>0</v>
      </c>
      <c r="G23" s="60">
        <v>240</v>
      </c>
      <c r="H23" s="50">
        <f t="shared" si="1"/>
        <v>31</v>
      </c>
      <c r="I23" s="78"/>
      <c r="J23" s="50">
        <f t="shared" si="2"/>
        <v>0</v>
      </c>
      <c r="K23" s="50">
        <f t="shared" si="3"/>
        <v>240</v>
      </c>
      <c r="L23" s="50">
        <f t="shared" si="4"/>
        <v>31</v>
      </c>
      <c r="M23" s="156"/>
      <c r="N23" s="156"/>
      <c r="O23" s="156"/>
      <c r="Q23" s="50">
        <v>8</v>
      </c>
      <c r="T23" s="50">
        <v>11</v>
      </c>
      <c r="W23" s="50">
        <v>4</v>
      </c>
      <c r="Z23" s="50">
        <v>8</v>
      </c>
    </row>
    <row r="24" spans="1:26" ht="14.25" customHeight="1" x14ac:dyDescent="0.75">
      <c r="A24" s="50">
        <v>666541</v>
      </c>
      <c r="B24" s="50" t="s">
        <v>41</v>
      </c>
      <c r="C24" s="50" t="s">
        <v>41</v>
      </c>
      <c r="E24" s="67"/>
      <c r="F24" s="50">
        <f t="shared" si="0"/>
        <v>0</v>
      </c>
      <c r="G24" s="60">
        <v>240</v>
      </c>
      <c r="H24" s="50">
        <f t="shared" si="1"/>
        <v>156</v>
      </c>
      <c r="I24" s="78"/>
      <c r="J24" s="50">
        <f t="shared" si="2"/>
        <v>0</v>
      </c>
      <c r="K24" s="50">
        <f t="shared" si="3"/>
        <v>240</v>
      </c>
      <c r="L24" s="50">
        <f t="shared" si="4"/>
        <v>156</v>
      </c>
      <c r="M24" s="156"/>
      <c r="N24" s="156"/>
      <c r="O24" s="156"/>
      <c r="Q24" s="50">
        <v>37</v>
      </c>
      <c r="T24" s="50">
        <v>53</v>
      </c>
      <c r="W24" s="50">
        <v>34</v>
      </c>
      <c r="Z24" s="50">
        <v>32</v>
      </c>
    </row>
    <row r="25" spans="1:26" ht="14.25" customHeight="1" x14ac:dyDescent="0.75">
      <c r="A25" s="50">
        <v>666536</v>
      </c>
      <c r="B25" s="50" t="s">
        <v>42</v>
      </c>
      <c r="C25" s="50" t="s">
        <v>43</v>
      </c>
      <c r="E25" s="67"/>
      <c r="F25" s="50">
        <f t="shared" si="0"/>
        <v>0</v>
      </c>
      <c r="G25" s="60"/>
      <c r="H25" s="50">
        <f t="shared" si="1"/>
        <v>0</v>
      </c>
      <c r="I25" s="78"/>
      <c r="J25" s="50">
        <f t="shared" si="2"/>
        <v>0</v>
      </c>
      <c r="K25" s="50">
        <f>+E25+G25+H25</f>
        <v>0</v>
      </c>
      <c r="L25" s="50">
        <f t="shared" si="4"/>
        <v>0</v>
      </c>
      <c r="M25" s="156"/>
      <c r="N25" s="156"/>
      <c r="O25" s="156"/>
    </row>
    <row r="26" spans="1:26" ht="14.25" customHeight="1" x14ac:dyDescent="0.75">
      <c r="C26" s="71"/>
      <c r="D26" s="71"/>
      <c r="E26" s="71"/>
      <c r="F26" s="71"/>
      <c r="G26" s="71"/>
      <c r="H26" s="71"/>
      <c r="I26" s="71"/>
      <c r="J26" s="71"/>
      <c r="L26" s="71"/>
    </row>
    <row r="27" spans="1:26" ht="14.25" customHeight="1" x14ac:dyDescent="0.75">
      <c r="C27" s="71"/>
      <c r="D27" s="71"/>
      <c r="E27" s="71"/>
      <c r="F27" s="71"/>
      <c r="G27" s="71"/>
      <c r="H27" s="71"/>
      <c r="I27" s="71"/>
      <c r="J27" s="71"/>
      <c r="L27" s="71"/>
    </row>
    <row r="28" spans="1:26" ht="14.25" customHeight="1" x14ac:dyDescent="0.75">
      <c r="C28" s="71"/>
      <c r="D28" s="71"/>
      <c r="E28" s="71"/>
      <c r="F28" s="71"/>
      <c r="G28" s="71"/>
      <c r="H28" s="71"/>
      <c r="I28" s="71"/>
      <c r="J28" s="71"/>
      <c r="L28" s="71"/>
    </row>
    <row r="29" spans="1:26" ht="14.25" customHeight="1" x14ac:dyDescent="0.75">
      <c r="C29" s="71"/>
      <c r="D29" s="71"/>
      <c r="E29" s="71"/>
      <c r="F29" s="71"/>
      <c r="G29" s="71"/>
      <c r="H29" s="71"/>
      <c r="I29" s="71"/>
      <c r="J29" s="71"/>
      <c r="L29" s="71"/>
    </row>
    <row r="30" spans="1:26" ht="14.25" customHeight="1" x14ac:dyDescent="0.75">
      <c r="C30" s="71"/>
      <c r="D30" s="71"/>
      <c r="E30" s="71"/>
      <c r="F30" s="71"/>
      <c r="G30" s="71"/>
      <c r="H30" s="71"/>
      <c r="I30" s="71"/>
      <c r="J30" s="71"/>
      <c r="L30" s="71"/>
    </row>
    <row r="31" spans="1:26" ht="14.25" customHeight="1" x14ac:dyDescent="0.75">
      <c r="C31" s="71"/>
      <c r="D31" s="71"/>
      <c r="E31" s="71"/>
      <c r="F31" s="71"/>
      <c r="G31" s="71"/>
      <c r="H31" s="71"/>
      <c r="I31" s="71"/>
      <c r="J31" s="71"/>
      <c r="L31" s="71"/>
    </row>
    <row r="32" spans="1:26" ht="14.25" customHeight="1" x14ac:dyDescent="0.75">
      <c r="C32" s="72"/>
      <c r="D32" s="71"/>
      <c r="E32" s="71"/>
      <c r="F32" s="71"/>
      <c r="G32" s="71"/>
      <c r="H32" s="71"/>
      <c r="I32" s="71"/>
      <c r="J32" s="71"/>
      <c r="L32" s="71"/>
    </row>
    <row r="33" spans="3:14" ht="14.25" customHeight="1" x14ac:dyDescent="0.75">
      <c r="C33" s="71"/>
      <c r="D33" s="71"/>
      <c r="E33" s="71"/>
      <c r="F33" s="71"/>
      <c r="G33" s="71"/>
      <c r="H33" s="71"/>
      <c r="I33" s="71"/>
      <c r="J33" s="71"/>
      <c r="L33" s="71"/>
    </row>
    <row r="34" spans="3:14" ht="14.25" customHeight="1" x14ac:dyDescent="0.75">
      <c r="C34" s="71"/>
      <c r="D34" s="71"/>
      <c r="E34" s="71"/>
      <c r="F34" s="71"/>
      <c r="G34" s="71"/>
      <c r="H34" s="71"/>
      <c r="I34" s="71"/>
      <c r="J34" s="71"/>
      <c r="L34" s="71"/>
    </row>
    <row r="35" spans="3:14" ht="14.25" customHeight="1" x14ac:dyDescent="0.75">
      <c r="C35" s="71"/>
      <c r="D35" s="71"/>
      <c r="E35" s="71"/>
      <c r="F35" s="71"/>
      <c r="G35" s="71"/>
      <c r="H35" s="71"/>
      <c r="I35" s="71"/>
      <c r="J35" s="71"/>
      <c r="L35" s="71"/>
    </row>
    <row r="36" spans="3:14" ht="14.25" customHeight="1" x14ac:dyDescent="0.75">
      <c r="C36" s="71"/>
      <c r="D36" s="71"/>
      <c r="E36" s="71"/>
      <c r="F36" s="71"/>
      <c r="G36" s="71"/>
      <c r="H36" s="71"/>
      <c r="I36" s="71"/>
      <c r="J36" s="71"/>
      <c r="L36" s="71"/>
    </row>
    <row r="37" spans="3:14" ht="14.25" customHeight="1" x14ac:dyDescent="0.75">
      <c r="C37" s="71"/>
      <c r="D37" s="71"/>
      <c r="E37" s="71"/>
      <c r="F37" s="71"/>
      <c r="G37" s="71"/>
      <c r="H37" s="71"/>
      <c r="I37" s="71"/>
      <c r="J37" s="71"/>
      <c r="L37" s="71"/>
    </row>
    <row r="38" spans="3:14" ht="14.25" customHeight="1" x14ac:dyDescent="0.75">
      <c r="C38" s="71"/>
      <c r="D38" s="71"/>
      <c r="E38" s="71"/>
      <c r="F38" s="71"/>
      <c r="G38" s="71"/>
      <c r="H38" s="71"/>
      <c r="I38" s="71"/>
      <c r="J38" s="71"/>
      <c r="L38" s="71"/>
    </row>
    <row r="39" spans="3:14" ht="14.25" customHeight="1" x14ac:dyDescent="0.75">
      <c r="C39" s="71"/>
      <c r="D39" s="71"/>
      <c r="E39" s="71"/>
      <c r="F39" s="71"/>
      <c r="G39" s="71"/>
      <c r="H39" s="71"/>
      <c r="I39" s="71"/>
      <c r="J39" s="71"/>
      <c r="L39" s="71"/>
    </row>
    <row r="40" spans="3:14" ht="14.25" customHeight="1" x14ac:dyDescent="0.75">
      <c r="C40" s="71"/>
      <c r="D40" s="71"/>
      <c r="E40" s="71"/>
      <c r="F40" s="71"/>
      <c r="G40" s="71"/>
      <c r="H40" s="71"/>
      <c r="I40" s="71"/>
      <c r="J40" s="71"/>
      <c r="L40" s="71"/>
    </row>
    <row r="41" spans="3:14" ht="14.25" customHeight="1" x14ac:dyDescent="0.75">
      <c r="C41" s="71"/>
      <c r="D41" s="71"/>
      <c r="E41" s="71"/>
      <c r="F41" s="71"/>
      <c r="G41" s="71"/>
      <c r="H41" s="71"/>
      <c r="I41" s="71"/>
      <c r="J41" s="71"/>
      <c r="L41" s="71"/>
    </row>
    <row r="42" spans="3:14" ht="14.25" customHeight="1" x14ac:dyDescent="0.75">
      <c r="C42" s="71"/>
      <c r="D42" s="71"/>
      <c r="E42" s="71"/>
      <c r="F42" s="71"/>
      <c r="G42" s="71"/>
      <c r="H42" s="71"/>
      <c r="I42" s="71"/>
      <c r="J42" s="71"/>
      <c r="L42" s="71"/>
    </row>
    <row r="48" spans="3:14" ht="14.25" customHeight="1" x14ac:dyDescent="0.75">
      <c r="C48" s="50" t="s">
        <v>153</v>
      </c>
      <c r="J48" s="50" t="s">
        <v>153</v>
      </c>
      <c r="K48" s="50" t="s">
        <v>154</v>
      </c>
      <c r="L48" s="73" t="s">
        <v>155</v>
      </c>
      <c r="M48" s="50" t="s">
        <v>156</v>
      </c>
      <c r="N48" s="74" t="s">
        <v>157</v>
      </c>
    </row>
    <row r="49" spans="3:14" ht="14.25" customHeight="1" x14ac:dyDescent="0.75">
      <c r="C49" s="50" t="str">
        <f>+N2</f>
        <v>Jesus</v>
      </c>
      <c r="D49" s="75"/>
      <c r="E49" s="75"/>
      <c r="J49" s="50" t="s">
        <v>65</v>
      </c>
      <c r="K49" s="50">
        <f>SUM(E5:E22)</f>
        <v>383</v>
      </c>
      <c r="L49" s="50">
        <f>SUM(F5:F22)</f>
        <v>262</v>
      </c>
      <c r="M49" s="50">
        <f>+L49-K49</f>
        <v>-121</v>
      </c>
      <c r="N49" s="76">
        <f>+L49/K49</f>
        <v>0.68407310704960833</v>
      </c>
    </row>
    <row r="50" spans="3:14" ht="14.25" customHeight="1" x14ac:dyDescent="0.75">
      <c r="C50" s="50" t="str">
        <f>+M2</f>
        <v>Jordan</v>
      </c>
      <c r="D50" s="75"/>
      <c r="E50" s="75"/>
      <c r="J50" s="50" t="s">
        <v>55</v>
      </c>
      <c r="K50" s="50">
        <f>SUM(G5:G22)</f>
        <v>759</v>
      </c>
      <c r="L50" s="50">
        <f>SUM(H5:H22)</f>
        <v>381</v>
      </c>
      <c r="M50" s="50">
        <f>+L50-K50</f>
        <v>-378</v>
      </c>
      <c r="N50" s="76">
        <f>+L50/K50</f>
        <v>0.50197628458498023</v>
      </c>
    </row>
    <row r="51" spans="3:14" ht="14.25" customHeight="1" x14ac:dyDescent="0.75">
      <c r="J51" s="50" t="s">
        <v>158</v>
      </c>
      <c r="K51" s="50">
        <f>SUM(I5:I22)</f>
        <v>266</v>
      </c>
      <c r="L51" s="50">
        <f>SUM(J5:J22)</f>
        <v>244</v>
      </c>
      <c r="M51" s="50">
        <f>+L51-K51</f>
        <v>-22</v>
      </c>
      <c r="N51" s="76">
        <f>+L51/K51</f>
        <v>0.91729323308270672</v>
      </c>
    </row>
  </sheetData>
  <conditionalFormatting sqref="F5:G5 I5:I24 H5:H25 J5:J25 G6:G24 F6:F25">
    <cfRule type="expression" dxfId="270" priority="6">
      <formula>#REF!=F5</formula>
    </cfRule>
    <cfRule type="expression" dxfId="269" priority="7">
      <formula>#REF!&lt;F5</formula>
    </cfRule>
    <cfRule type="expression" dxfId="268" priority="8">
      <formula>#REF!&gt;F5</formula>
    </cfRule>
  </conditionalFormatting>
  <conditionalFormatting sqref="K5:K25">
    <cfRule type="cellIs" dxfId="267" priority="2" operator="equal">
      <formula>0</formula>
    </cfRule>
  </conditionalFormatting>
  <conditionalFormatting sqref="L5:L25">
    <cfRule type="expression" dxfId="266" priority="3">
      <formula>K5=L5</formula>
    </cfRule>
    <cfRule type="expression" dxfId="265" priority="4">
      <formula>K5&lt;L5</formula>
    </cfRule>
    <cfRule type="expression" dxfId="264" priority="5">
      <formula>K5&gt;L5</formula>
    </cfRule>
  </conditionalFormatting>
  <pageMargins left="0.25" right="0.2" top="0" bottom="0" header="0.511811023622047" footer="0.511811023622047"/>
  <pageSetup paperSize="77" scale="90" orientation="landscape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26"/>
  <sheetViews>
    <sheetView zoomScaleNormal="100" workbookViewId="0">
      <selection activeCell="H6" sqref="H6"/>
    </sheetView>
  </sheetViews>
  <sheetFormatPr defaultColWidth="8.54296875" defaultRowHeight="14.75" x14ac:dyDescent="0.75"/>
  <cols>
    <col min="2" max="2" width="43.31640625" customWidth="1"/>
    <col min="3" max="3" width="21" hidden="1" customWidth="1"/>
  </cols>
  <sheetData>
    <row r="1" spans="1:28" ht="28.5" customHeight="1" x14ac:dyDescent="0.75">
      <c r="A1" s="51"/>
      <c r="B1" s="51"/>
      <c r="C1" s="51" t="s">
        <v>176</v>
      </c>
      <c r="D1" s="51" t="s">
        <v>144</v>
      </c>
      <c r="E1" s="52" t="s">
        <v>116</v>
      </c>
      <c r="F1" s="53" t="s">
        <v>145</v>
      </c>
      <c r="G1" s="54" t="s">
        <v>119</v>
      </c>
      <c r="H1" s="53" t="s">
        <v>146</v>
      </c>
      <c r="I1" s="55" t="s">
        <v>122</v>
      </c>
      <c r="J1" s="56" t="s">
        <v>147</v>
      </c>
      <c r="K1" s="51" t="s">
        <v>148</v>
      </c>
      <c r="L1" s="53" t="s">
        <v>149</v>
      </c>
      <c r="M1" s="51" t="s">
        <v>56</v>
      </c>
      <c r="N1" s="51" t="s">
        <v>58</v>
      </c>
      <c r="O1" s="51" t="s">
        <v>66</v>
      </c>
      <c r="P1" s="51" t="s">
        <v>56</v>
      </c>
      <c r="Q1" s="51" t="s">
        <v>58</v>
      </c>
      <c r="R1" s="51" t="s">
        <v>66</v>
      </c>
      <c r="S1" s="51" t="s">
        <v>56</v>
      </c>
      <c r="T1" s="51" t="s">
        <v>58</v>
      </c>
      <c r="U1" s="51" t="s">
        <v>66</v>
      </c>
      <c r="V1" s="51" t="s">
        <v>56</v>
      </c>
      <c r="W1" s="51" t="s">
        <v>58</v>
      </c>
      <c r="X1" s="51" t="s">
        <v>66</v>
      </c>
      <c r="Y1" s="51" t="s">
        <v>56</v>
      </c>
      <c r="Z1" s="51" t="s">
        <v>58</v>
      </c>
      <c r="AA1" s="51" t="s">
        <v>66</v>
      </c>
      <c r="AB1" s="51"/>
    </row>
    <row r="2" spans="1:28" ht="14.25" customHeight="1" x14ac:dyDescent="0.75">
      <c r="A2" s="50"/>
      <c r="B2" s="50"/>
      <c r="C2" s="57" t="s">
        <v>150</v>
      </c>
      <c r="D2" s="57"/>
      <c r="E2" s="57"/>
      <c r="F2" s="57"/>
      <c r="G2" s="57"/>
      <c r="H2" s="59"/>
      <c r="I2" s="59"/>
      <c r="J2" s="59"/>
      <c r="K2" s="59"/>
      <c r="L2" s="59"/>
      <c r="M2" s="59" t="s">
        <v>65</v>
      </c>
      <c r="N2" s="59" t="s">
        <v>57</v>
      </c>
      <c r="O2" s="59" t="s">
        <v>55</v>
      </c>
      <c r="P2" s="59" t="s">
        <v>65</v>
      </c>
      <c r="Q2" s="59" t="s">
        <v>57</v>
      </c>
      <c r="R2" s="59" t="s">
        <v>55</v>
      </c>
      <c r="S2" s="59" t="s">
        <v>65</v>
      </c>
      <c r="T2" s="59" t="s">
        <v>57</v>
      </c>
      <c r="U2" s="59" t="s">
        <v>55</v>
      </c>
      <c r="V2" s="59" t="s">
        <v>65</v>
      </c>
      <c r="W2" s="59" t="s">
        <v>57</v>
      </c>
      <c r="X2" s="59" t="s">
        <v>55</v>
      </c>
      <c r="Y2" s="59" t="s">
        <v>65</v>
      </c>
      <c r="Z2" s="59" t="s">
        <v>57</v>
      </c>
      <c r="AA2" s="59" t="s">
        <v>55</v>
      </c>
      <c r="AB2" s="50"/>
    </row>
    <row r="3" spans="1:28" ht="14.25" customHeight="1" x14ac:dyDescent="0.75">
      <c r="A3" s="62" t="s">
        <v>129</v>
      </c>
      <c r="B3" s="62" t="s">
        <v>2</v>
      </c>
      <c r="C3" s="62" t="s">
        <v>3</v>
      </c>
      <c r="D3" s="62"/>
      <c r="E3" s="58"/>
      <c r="F3" s="62"/>
      <c r="G3" s="63"/>
      <c r="H3" s="62"/>
      <c r="I3" s="64"/>
      <c r="J3" s="62"/>
      <c r="K3" s="62"/>
      <c r="L3" s="62"/>
      <c r="M3" s="62" t="s">
        <v>54</v>
      </c>
      <c r="N3" s="62" t="s">
        <v>54</v>
      </c>
      <c r="O3" s="62" t="s">
        <v>54</v>
      </c>
      <c r="P3" s="62" t="s">
        <v>59</v>
      </c>
      <c r="Q3" s="62" t="s">
        <v>59</v>
      </c>
      <c r="R3" s="62" t="s">
        <v>59</v>
      </c>
      <c r="S3" s="62" t="s">
        <v>60</v>
      </c>
      <c r="T3" s="62" t="s">
        <v>60</v>
      </c>
      <c r="U3" s="62" t="s">
        <v>60</v>
      </c>
      <c r="V3" s="62" t="s">
        <v>62</v>
      </c>
      <c r="W3" s="62" t="s">
        <v>62</v>
      </c>
      <c r="X3" s="62" t="s">
        <v>62</v>
      </c>
      <c r="Y3" s="62" t="s">
        <v>63</v>
      </c>
      <c r="Z3" s="62" t="s">
        <v>63</v>
      </c>
      <c r="AA3" s="62" t="s">
        <v>63</v>
      </c>
      <c r="AB3" s="50"/>
    </row>
    <row r="4" spans="1:28" ht="14.25" customHeight="1" x14ac:dyDescent="0.75">
      <c r="A4" s="62"/>
      <c r="B4" s="62"/>
      <c r="C4" s="62" t="s">
        <v>151</v>
      </c>
      <c r="D4" s="62"/>
      <c r="E4" s="58"/>
      <c r="F4" s="62">
        <f t="shared" ref="F4:F25" si="0">+M4+P4+S4+V4+Y4</f>
        <v>0</v>
      </c>
      <c r="G4" s="147"/>
      <c r="H4" s="62">
        <f t="shared" ref="H4:H25" si="1">+N4+Q4+T4+W4+Z4</f>
        <v>0</v>
      </c>
      <c r="I4" s="64"/>
      <c r="J4" s="62">
        <f t="shared" ref="J4:J25" si="2">+O4+R4+U4+X4+AA4</f>
        <v>0</v>
      </c>
      <c r="K4" s="62" t="s">
        <v>152</v>
      </c>
      <c r="L4" s="62"/>
      <c r="M4" s="155"/>
      <c r="N4" s="155"/>
      <c r="O4" s="155"/>
      <c r="P4" s="78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50"/>
    </row>
    <row r="5" spans="1:28" ht="14.25" customHeight="1" x14ac:dyDescent="0.75">
      <c r="A5" s="50">
        <v>666501</v>
      </c>
      <c r="B5" s="50" t="s">
        <v>4</v>
      </c>
      <c r="C5" s="50" t="s">
        <v>5</v>
      </c>
      <c r="D5" s="50"/>
      <c r="E5" s="67">
        <v>0</v>
      </c>
      <c r="F5" s="50">
        <f t="shared" si="0"/>
        <v>0</v>
      </c>
      <c r="G5" s="149">
        <v>0</v>
      </c>
      <c r="H5" s="62">
        <f t="shared" si="1"/>
        <v>0</v>
      </c>
      <c r="I5" s="61">
        <v>0</v>
      </c>
      <c r="J5" s="62">
        <f t="shared" si="2"/>
        <v>0</v>
      </c>
      <c r="K5" s="50">
        <f t="shared" ref="K5:K24" si="3">+E5+G5+I5</f>
        <v>0</v>
      </c>
      <c r="L5" s="50">
        <f t="shared" ref="L5:L25" si="4">SUM(F5,H5,J5)</f>
        <v>0</v>
      </c>
      <c r="M5" s="156"/>
      <c r="N5" s="156"/>
      <c r="O5" s="156"/>
      <c r="P5" s="78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</row>
    <row r="6" spans="1:28" ht="14.25" customHeight="1" x14ac:dyDescent="0.75">
      <c r="A6" s="50">
        <v>666502</v>
      </c>
      <c r="B6" s="50" t="s">
        <v>6</v>
      </c>
      <c r="C6" s="50" t="s">
        <v>7</v>
      </c>
      <c r="D6" s="50"/>
      <c r="E6" s="67">
        <v>0</v>
      </c>
      <c r="F6" s="50">
        <f t="shared" si="0"/>
        <v>0</v>
      </c>
      <c r="G6" s="149">
        <v>198</v>
      </c>
      <c r="H6" s="62">
        <f t="shared" si="1"/>
        <v>142</v>
      </c>
      <c r="I6" s="61">
        <v>22</v>
      </c>
      <c r="J6" s="157">
        <f t="shared" si="2"/>
        <v>22</v>
      </c>
      <c r="K6" s="50">
        <f t="shared" si="3"/>
        <v>220</v>
      </c>
      <c r="L6" s="50">
        <f t="shared" si="4"/>
        <v>164</v>
      </c>
      <c r="M6" s="156"/>
      <c r="N6" s="156"/>
      <c r="O6" s="156"/>
      <c r="P6" s="78"/>
      <c r="Q6" s="50">
        <v>27</v>
      </c>
      <c r="R6" s="50">
        <v>22</v>
      </c>
      <c r="S6" s="50"/>
      <c r="T6" s="50">
        <v>41</v>
      </c>
      <c r="U6" s="50"/>
      <c r="V6" s="50"/>
      <c r="W6" s="50">
        <v>34</v>
      </c>
      <c r="X6" s="50"/>
      <c r="Y6" s="50"/>
      <c r="Z6" s="50">
        <v>40</v>
      </c>
      <c r="AA6" s="50"/>
      <c r="AB6" s="50"/>
    </row>
    <row r="7" spans="1:28" ht="14.25" customHeight="1" x14ac:dyDescent="0.75">
      <c r="A7" s="50">
        <v>666505</v>
      </c>
      <c r="B7" s="50" t="s">
        <v>8</v>
      </c>
      <c r="C7" s="50" t="s">
        <v>9</v>
      </c>
      <c r="D7" s="50"/>
      <c r="E7" s="67">
        <v>0</v>
      </c>
      <c r="F7" s="50">
        <f t="shared" si="0"/>
        <v>0</v>
      </c>
      <c r="G7" s="149">
        <v>0</v>
      </c>
      <c r="H7" s="62">
        <f t="shared" si="1"/>
        <v>0</v>
      </c>
      <c r="I7" s="61">
        <v>0</v>
      </c>
      <c r="J7" s="62">
        <f t="shared" si="2"/>
        <v>0</v>
      </c>
      <c r="K7" s="50">
        <f t="shared" si="3"/>
        <v>0</v>
      </c>
      <c r="L7" s="50">
        <f t="shared" si="4"/>
        <v>0</v>
      </c>
      <c r="M7" s="156"/>
      <c r="N7" s="156"/>
      <c r="O7" s="156"/>
      <c r="P7" s="78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</row>
    <row r="8" spans="1:28" ht="14.25" customHeight="1" x14ac:dyDescent="0.75">
      <c r="A8" s="50">
        <v>666506</v>
      </c>
      <c r="B8" s="50" t="s">
        <v>10</v>
      </c>
      <c r="C8" s="50" t="s">
        <v>11</v>
      </c>
      <c r="D8" s="50"/>
      <c r="E8" s="67">
        <v>0</v>
      </c>
      <c r="F8" s="50">
        <f t="shared" si="0"/>
        <v>0</v>
      </c>
      <c r="G8" s="149">
        <v>180</v>
      </c>
      <c r="H8" s="62">
        <f t="shared" si="1"/>
        <v>140</v>
      </c>
      <c r="I8" s="61">
        <v>0</v>
      </c>
      <c r="J8" s="62">
        <f t="shared" si="2"/>
        <v>0</v>
      </c>
      <c r="K8" s="50">
        <f t="shared" si="3"/>
        <v>180</v>
      </c>
      <c r="L8" s="50">
        <f t="shared" si="4"/>
        <v>140</v>
      </c>
      <c r="M8" s="156"/>
      <c r="N8" s="156"/>
      <c r="O8" s="156"/>
      <c r="P8" s="78"/>
      <c r="Q8" s="50">
        <v>7</v>
      </c>
      <c r="R8" s="50"/>
      <c r="S8" s="50"/>
      <c r="T8" s="50">
        <v>19</v>
      </c>
      <c r="U8" s="50"/>
      <c r="V8" s="50"/>
      <c r="W8" s="50">
        <v>57</v>
      </c>
      <c r="X8" s="50"/>
      <c r="Y8" s="50"/>
      <c r="Z8" s="50">
        <v>57</v>
      </c>
      <c r="AA8" s="50"/>
      <c r="AB8" s="50"/>
    </row>
    <row r="9" spans="1:28" ht="14.25" customHeight="1" x14ac:dyDescent="0.75">
      <c r="A9" s="50">
        <v>666507</v>
      </c>
      <c r="B9" s="50" t="s">
        <v>12</v>
      </c>
      <c r="C9" s="50" t="s">
        <v>13</v>
      </c>
      <c r="D9" s="50"/>
      <c r="E9" s="67">
        <v>45</v>
      </c>
      <c r="F9" s="50">
        <f t="shared" si="0"/>
        <v>44</v>
      </c>
      <c r="G9" s="149">
        <v>0</v>
      </c>
      <c r="H9" s="62">
        <f t="shared" si="1"/>
        <v>0</v>
      </c>
      <c r="I9" s="61">
        <v>0</v>
      </c>
      <c r="J9" s="62">
        <f t="shared" si="2"/>
        <v>0</v>
      </c>
      <c r="K9" s="50">
        <f t="shared" si="3"/>
        <v>45</v>
      </c>
      <c r="L9" s="50">
        <f t="shared" si="4"/>
        <v>44</v>
      </c>
      <c r="M9" s="156"/>
      <c r="N9" s="156"/>
      <c r="O9" s="156"/>
      <c r="P9" s="78"/>
      <c r="Q9" s="50"/>
      <c r="R9" s="50"/>
      <c r="S9" s="50">
        <v>8</v>
      </c>
      <c r="T9" s="50"/>
      <c r="U9" s="50"/>
      <c r="V9" s="50">
        <v>23</v>
      </c>
      <c r="W9" s="50"/>
      <c r="X9" s="50"/>
      <c r="Y9" s="50">
        <v>13</v>
      </c>
      <c r="Z9" s="50"/>
      <c r="AA9" s="50"/>
      <c r="AB9" s="50"/>
    </row>
    <row r="10" spans="1:28" ht="14.25" customHeight="1" x14ac:dyDescent="0.75">
      <c r="A10" s="50">
        <v>666509</v>
      </c>
      <c r="B10" s="50" t="s">
        <v>14</v>
      </c>
      <c r="C10" s="50" t="s">
        <v>15</v>
      </c>
      <c r="D10" s="50"/>
      <c r="E10" s="67">
        <v>40</v>
      </c>
      <c r="F10" s="50">
        <f t="shared" si="0"/>
        <v>40</v>
      </c>
      <c r="G10" s="149">
        <v>0</v>
      </c>
      <c r="H10" s="62">
        <f t="shared" si="1"/>
        <v>0</v>
      </c>
      <c r="I10" s="61">
        <v>0</v>
      </c>
      <c r="J10" s="62">
        <f t="shared" si="2"/>
        <v>0</v>
      </c>
      <c r="K10" s="50">
        <f t="shared" si="3"/>
        <v>40</v>
      </c>
      <c r="L10" s="50">
        <f t="shared" si="4"/>
        <v>40</v>
      </c>
      <c r="M10" s="156"/>
      <c r="N10" s="156"/>
      <c r="O10" s="156"/>
      <c r="P10" s="78"/>
      <c r="Q10" s="50"/>
      <c r="R10" s="50"/>
      <c r="S10" s="50">
        <v>40</v>
      </c>
      <c r="T10" s="50"/>
      <c r="U10" s="50"/>
      <c r="V10" s="50"/>
      <c r="W10" s="50"/>
      <c r="X10" s="50"/>
      <c r="Y10" s="50"/>
      <c r="Z10" s="50"/>
      <c r="AA10" s="50"/>
      <c r="AB10" s="50"/>
    </row>
    <row r="11" spans="1:28" ht="14.25" customHeight="1" x14ac:dyDescent="0.75">
      <c r="A11" s="50">
        <v>666510</v>
      </c>
      <c r="B11" s="50" t="s">
        <v>16</v>
      </c>
      <c r="C11" s="50" t="s">
        <v>17</v>
      </c>
      <c r="D11" s="50"/>
      <c r="E11" s="67">
        <v>0</v>
      </c>
      <c r="F11" s="50">
        <f t="shared" si="0"/>
        <v>0</v>
      </c>
      <c r="G11" s="149">
        <v>0</v>
      </c>
      <c r="H11" s="62">
        <f t="shared" si="1"/>
        <v>0</v>
      </c>
      <c r="I11" s="61">
        <v>0</v>
      </c>
      <c r="J11" s="62">
        <f t="shared" si="2"/>
        <v>0</v>
      </c>
      <c r="K11" s="50">
        <f t="shared" si="3"/>
        <v>0</v>
      </c>
      <c r="L11" s="50">
        <f t="shared" si="4"/>
        <v>0</v>
      </c>
      <c r="M11" s="156"/>
      <c r="N11" s="156"/>
      <c r="O11" s="156"/>
      <c r="P11" s="78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</row>
    <row r="12" spans="1:28" ht="14.25" customHeight="1" x14ac:dyDescent="0.75">
      <c r="A12" s="50">
        <v>666511</v>
      </c>
      <c r="B12" s="50" t="s">
        <v>18</v>
      </c>
      <c r="C12" s="50" t="s">
        <v>19</v>
      </c>
      <c r="D12" s="50"/>
      <c r="E12" s="67">
        <v>8</v>
      </c>
      <c r="F12" s="50">
        <f t="shared" si="0"/>
        <v>8</v>
      </c>
      <c r="G12" s="149">
        <v>0</v>
      </c>
      <c r="H12" s="62">
        <f t="shared" si="1"/>
        <v>0</v>
      </c>
      <c r="I12" s="61">
        <v>0</v>
      </c>
      <c r="J12" s="62">
        <f t="shared" si="2"/>
        <v>0</v>
      </c>
      <c r="K12" s="50">
        <f t="shared" si="3"/>
        <v>8</v>
      </c>
      <c r="L12" s="50">
        <f t="shared" si="4"/>
        <v>8</v>
      </c>
      <c r="M12" s="156"/>
      <c r="N12" s="156"/>
      <c r="O12" s="156"/>
      <c r="P12" s="78"/>
      <c r="Q12" s="50"/>
      <c r="R12" s="50"/>
      <c r="S12" s="50">
        <v>3</v>
      </c>
      <c r="T12" s="50"/>
      <c r="U12" s="50"/>
      <c r="V12" s="50">
        <v>5</v>
      </c>
      <c r="W12" s="50"/>
      <c r="X12" s="50"/>
      <c r="Y12" s="50"/>
      <c r="Z12" s="50"/>
      <c r="AA12" s="50"/>
      <c r="AB12" s="50"/>
    </row>
    <row r="13" spans="1:28" ht="14.25" customHeight="1" x14ac:dyDescent="0.75">
      <c r="A13" s="50">
        <v>666513</v>
      </c>
      <c r="B13" s="50" t="s">
        <v>20</v>
      </c>
      <c r="C13" s="50" t="s">
        <v>21</v>
      </c>
      <c r="D13" s="50"/>
      <c r="E13" s="67">
        <v>0</v>
      </c>
      <c r="F13" s="50">
        <f t="shared" si="0"/>
        <v>0</v>
      </c>
      <c r="G13" s="149">
        <v>0</v>
      </c>
      <c r="H13" s="62">
        <f t="shared" si="1"/>
        <v>0</v>
      </c>
      <c r="I13" s="61">
        <v>0</v>
      </c>
      <c r="J13" s="62">
        <f t="shared" si="2"/>
        <v>0</v>
      </c>
      <c r="K13" s="50">
        <f t="shared" si="3"/>
        <v>0</v>
      </c>
      <c r="L13" s="50">
        <f t="shared" si="4"/>
        <v>0</v>
      </c>
      <c r="M13" s="156"/>
      <c r="N13" s="156"/>
      <c r="O13" s="156"/>
      <c r="P13" s="78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</row>
    <row r="14" spans="1:28" ht="14.25" customHeight="1" x14ac:dyDescent="0.75">
      <c r="A14" s="50">
        <v>666516</v>
      </c>
      <c r="B14" s="50" t="s">
        <v>22</v>
      </c>
      <c r="C14" s="50" t="s">
        <v>23</v>
      </c>
      <c r="D14" s="50"/>
      <c r="E14" s="67">
        <v>0</v>
      </c>
      <c r="F14" s="50">
        <f t="shared" si="0"/>
        <v>0</v>
      </c>
      <c r="G14" s="149">
        <v>0</v>
      </c>
      <c r="H14" s="62">
        <f t="shared" si="1"/>
        <v>0</v>
      </c>
      <c r="I14" s="61">
        <v>0</v>
      </c>
      <c r="J14" s="62">
        <f t="shared" si="2"/>
        <v>0</v>
      </c>
      <c r="K14" s="50">
        <f t="shared" si="3"/>
        <v>0</v>
      </c>
      <c r="L14" s="50">
        <f t="shared" si="4"/>
        <v>0</v>
      </c>
      <c r="M14" s="156"/>
      <c r="N14" s="156"/>
      <c r="O14" s="156"/>
      <c r="P14" s="78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</row>
    <row r="15" spans="1:28" ht="14.25" customHeight="1" x14ac:dyDescent="0.75">
      <c r="A15" s="50">
        <v>666517</v>
      </c>
      <c r="B15" s="50" t="s">
        <v>24</v>
      </c>
      <c r="C15" s="50" t="s">
        <v>25</v>
      </c>
      <c r="D15" s="50"/>
      <c r="E15" s="67">
        <v>0</v>
      </c>
      <c r="F15" s="50">
        <f t="shared" si="0"/>
        <v>0</v>
      </c>
      <c r="G15" s="149">
        <v>0</v>
      </c>
      <c r="H15" s="62">
        <f t="shared" si="1"/>
        <v>0</v>
      </c>
      <c r="I15" s="61">
        <v>0</v>
      </c>
      <c r="J15" s="62">
        <f t="shared" si="2"/>
        <v>0</v>
      </c>
      <c r="K15" s="50">
        <f t="shared" si="3"/>
        <v>0</v>
      </c>
      <c r="L15" s="50">
        <f t="shared" si="4"/>
        <v>0</v>
      </c>
      <c r="M15" s="156"/>
      <c r="N15" s="156"/>
      <c r="O15" s="156"/>
      <c r="P15" s="78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</row>
    <row r="16" spans="1:28" ht="14.25" customHeight="1" x14ac:dyDescent="0.75">
      <c r="A16" s="50">
        <v>666518</v>
      </c>
      <c r="B16" s="50" t="s">
        <v>26</v>
      </c>
      <c r="C16" s="50" t="s">
        <v>27</v>
      </c>
      <c r="D16" s="50"/>
      <c r="E16" s="67">
        <v>0</v>
      </c>
      <c r="F16" s="50">
        <f t="shared" si="0"/>
        <v>0</v>
      </c>
      <c r="G16" s="149">
        <v>0</v>
      </c>
      <c r="H16" s="62">
        <f t="shared" si="1"/>
        <v>0</v>
      </c>
      <c r="I16" s="61">
        <v>0</v>
      </c>
      <c r="J16" s="62">
        <f t="shared" si="2"/>
        <v>0</v>
      </c>
      <c r="K16" s="50">
        <f t="shared" si="3"/>
        <v>0</v>
      </c>
      <c r="L16" s="50">
        <f t="shared" si="4"/>
        <v>0</v>
      </c>
      <c r="M16" s="156"/>
      <c r="N16" s="156"/>
      <c r="O16" s="156"/>
      <c r="P16" s="78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</row>
    <row r="17" spans="1:28" ht="14.25" customHeight="1" x14ac:dyDescent="0.75">
      <c r="A17" s="50">
        <v>666519</v>
      </c>
      <c r="B17" s="50" t="s">
        <v>28</v>
      </c>
      <c r="C17" s="50" t="s">
        <v>29</v>
      </c>
      <c r="D17" s="50"/>
      <c r="E17" s="67">
        <v>0</v>
      </c>
      <c r="F17" s="50">
        <f t="shared" si="0"/>
        <v>0</v>
      </c>
      <c r="G17" s="149">
        <v>0</v>
      </c>
      <c r="H17" s="62">
        <f t="shared" si="1"/>
        <v>0</v>
      </c>
      <c r="I17" s="61">
        <v>0</v>
      </c>
      <c r="J17" s="62">
        <f t="shared" si="2"/>
        <v>0</v>
      </c>
      <c r="K17" s="50">
        <f t="shared" si="3"/>
        <v>0</v>
      </c>
      <c r="L17" s="50">
        <f t="shared" si="4"/>
        <v>0</v>
      </c>
      <c r="M17" s="156"/>
      <c r="N17" s="156"/>
      <c r="O17" s="156"/>
      <c r="P17" s="78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</row>
    <row r="18" spans="1:28" ht="14.25" customHeight="1" x14ac:dyDescent="0.75">
      <c r="A18" s="50">
        <v>666521</v>
      </c>
      <c r="B18" s="50" t="s">
        <v>30</v>
      </c>
      <c r="C18" s="50" t="s">
        <v>31</v>
      </c>
      <c r="D18" s="50"/>
      <c r="E18" s="67">
        <v>0</v>
      </c>
      <c r="F18" s="50">
        <f t="shared" si="0"/>
        <v>0</v>
      </c>
      <c r="G18" s="149">
        <v>0</v>
      </c>
      <c r="H18" s="62">
        <f t="shared" si="1"/>
        <v>0</v>
      </c>
      <c r="I18" s="61">
        <v>0</v>
      </c>
      <c r="J18" s="62">
        <f t="shared" si="2"/>
        <v>0</v>
      </c>
      <c r="K18" s="50">
        <f t="shared" si="3"/>
        <v>0</v>
      </c>
      <c r="L18" s="50">
        <f t="shared" si="4"/>
        <v>0</v>
      </c>
      <c r="M18" s="156"/>
      <c r="N18" s="156"/>
      <c r="O18" s="156"/>
      <c r="P18" s="78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</row>
    <row r="19" spans="1:28" ht="14.25" customHeight="1" x14ac:dyDescent="0.75">
      <c r="A19" s="50">
        <v>666522</v>
      </c>
      <c r="B19" s="50" t="s">
        <v>32</v>
      </c>
      <c r="C19" s="50" t="s">
        <v>33</v>
      </c>
      <c r="D19" s="50"/>
      <c r="E19" s="67">
        <v>25</v>
      </c>
      <c r="F19" s="50">
        <f t="shared" si="0"/>
        <v>25</v>
      </c>
      <c r="G19" s="149">
        <v>0</v>
      </c>
      <c r="H19" s="62">
        <f t="shared" si="1"/>
        <v>0</v>
      </c>
      <c r="I19" s="61">
        <v>0</v>
      </c>
      <c r="J19" s="62">
        <f t="shared" si="2"/>
        <v>0</v>
      </c>
      <c r="K19" s="50">
        <f t="shared" si="3"/>
        <v>25</v>
      </c>
      <c r="L19" s="50">
        <f t="shared" si="4"/>
        <v>25</v>
      </c>
      <c r="M19" s="156"/>
      <c r="N19" s="156"/>
      <c r="O19" s="156"/>
      <c r="P19" s="78"/>
      <c r="Q19" s="50"/>
      <c r="R19" s="50"/>
      <c r="S19" s="50">
        <v>25</v>
      </c>
      <c r="T19" s="50"/>
      <c r="U19" s="50"/>
      <c r="V19" s="50"/>
      <c r="W19" s="50"/>
      <c r="X19" s="50"/>
      <c r="Y19" s="50"/>
      <c r="Z19" s="50"/>
      <c r="AA19" s="50"/>
      <c r="AB19" s="50"/>
    </row>
    <row r="20" spans="1:28" ht="14.25" customHeight="1" x14ac:dyDescent="0.75">
      <c r="A20" s="50">
        <v>666523</v>
      </c>
      <c r="B20" s="50" t="s">
        <v>34</v>
      </c>
      <c r="C20" s="50" t="s">
        <v>35</v>
      </c>
      <c r="D20" s="50"/>
      <c r="E20" s="67">
        <v>0</v>
      </c>
      <c r="F20" s="50">
        <f t="shared" si="0"/>
        <v>0</v>
      </c>
      <c r="G20" s="149">
        <v>0</v>
      </c>
      <c r="H20" s="62">
        <f t="shared" si="1"/>
        <v>0</v>
      </c>
      <c r="I20" s="61">
        <v>0</v>
      </c>
      <c r="J20" s="62">
        <f t="shared" si="2"/>
        <v>0</v>
      </c>
      <c r="K20" s="50">
        <f t="shared" si="3"/>
        <v>0</v>
      </c>
      <c r="L20" s="50">
        <f t="shared" si="4"/>
        <v>0</v>
      </c>
      <c r="M20" s="156"/>
      <c r="N20" s="156"/>
      <c r="O20" s="156"/>
      <c r="P20" s="78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</row>
    <row r="21" spans="1:28" ht="14.25" customHeight="1" x14ac:dyDescent="0.75">
      <c r="A21" s="50">
        <v>666530</v>
      </c>
      <c r="B21" s="50" t="s">
        <v>36</v>
      </c>
      <c r="C21" s="50" t="s">
        <v>37</v>
      </c>
      <c r="D21" s="50"/>
      <c r="E21" s="67">
        <v>3</v>
      </c>
      <c r="F21" s="50">
        <f t="shared" si="0"/>
        <v>3</v>
      </c>
      <c r="G21" s="149">
        <v>0</v>
      </c>
      <c r="H21" s="62">
        <f t="shared" si="1"/>
        <v>0</v>
      </c>
      <c r="I21" s="61">
        <v>0</v>
      </c>
      <c r="J21" s="62">
        <f t="shared" si="2"/>
        <v>0</v>
      </c>
      <c r="K21" s="50">
        <f t="shared" si="3"/>
        <v>3</v>
      </c>
      <c r="L21" s="50">
        <f t="shared" si="4"/>
        <v>3</v>
      </c>
      <c r="M21" s="156"/>
      <c r="N21" s="156"/>
      <c r="O21" s="156"/>
      <c r="P21" s="78"/>
      <c r="Q21" s="50"/>
      <c r="R21" s="50"/>
      <c r="S21" s="50">
        <v>3</v>
      </c>
      <c r="T21" s="50"/>
      <c r="U21" s="50"/>
      <c r="V21" s="50"/>
      <c r="W21" s="50"/>
      <c r="X21" s="50"/>
      <c r="Y21" s="50"/>
      <c r="Z21" s="50"/>
      <c r="AA21" s="50"/>
      <c r="AB21" s="50"/>
    </row>
    <row r="22" spans="1:28" ht="14.25" customHeight="1" x14ac:dyDescent="0.75">
      <c r="A22" s="50">
        <v>666531</v>
      </c>
      <c r="B22" s="50" t="s">
        <v>38</v>
      </c>
      <c r="C22" s="50" t="s">
        <v>39</v>
      </c>
      <c r="D22" s="50"/>
      <c r="E22" s="67">
        <v>0</v>
      </c>
      <c r="F22" s="50">
        <f t="shared" si="0"/>
        <v>0</v>
      </c>
      <c r="G22" s="149">
        <v>0</v>
      </c>
      <c r="H22" s="62">
        <f t="shared" si="1"/>
        <v>0</v>
      </c>
      <c r="I22" s="61">
        <v>0</v>
      </c>
      <c r="J22" s="62">
        <f t="shared" si="2"/>
        <v>0</v>
      </c>
      <c r="K22" s="50">
        <f t="shared" si="3"/>
        <v>0</v>
      </c>
      <c r="L22" s="50">
        <f t="shared" si="4"/>
        <v>0</v>
      </c>
      <c r="M22" s="156"/>
      <c r="N22" s="156"/>
      <c r="O22" s="156"/>
      <c r="P22" s="78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</row>
    <row r="23" spans="1:28" ht="14.25" customHeight="1" x14ac:dyDescent="0.75">
      <c r="A23" s="50">
        <v>666540</v>
      </c>
      <c r="B23" s="50" t="s">
        <v>40</v>
      </c>
      <c r="C23" s="50" t="s">
        <v>40</v>
      </c>
      <c r="D23" s="50"/>
      <c r="E23" s="67">
        <v>0</v>
      </c>
      <c r="F23" s="50">
        <f t="shared" si="0"/>
        <v>0</v>
      </c>
      <c r="G23" s="149">
        <v>209</v>
      </c>
      <c r="H23" s="62">
        <f t="shared" si="1"/>
        <v>22</v>
      </c>
      <c r="I23" s="61">
        <v>0</v>
      </c>
      <c r="J23" s="62">
        <f t="shared" si="2"/>
        <v>0</v>
      </c>
      <c r="K23" s="50">
        <f t="shared" si="3"/>
        <v>209</v>
      </c>
      <c r="L23" s="50">
        <f t="shared" si="4"/>
        <v>22</v>
      </c>
      <c r="M23" s="156"/>
      <c r="N23" s="156"/>
      <c r="O23" s="156"/>
      <c r="P23" s="78"/>
      <c r="Q23" s="50">
        <v>6</v>
      </c>
      <c r="R23" s="50"/>
      <c r="S23" s="50"/>
      <c r="T23" s="50">
        <v>6</v>
      </c>
      <c r="U23" s="50"/>
      <c r="V23" s="50"/>
      <c r="W23" s="50">
        <v>6</v>
      </c>
      <c r="X23" s="50"/>
      <c r="Y23" s="50"/>
      <c r="Z23" s="50">
        <v>4</v>
      </c>
      <c r="AA23" s="50"/>
      <c r="AB23" s="50"/>
    </row>
    <row r="24" spans="1:28" ht="14.25" customHeight="1" x14ac:dyDescent="0.75">
      <c r="A24" s="50">
        <v>666541</v>
      </c>
      <c r="B24" s="50" t="s">
        <v>41</v>
      </c>
      <c r="C24" s="50" t="s">
        <v>41</v>
      </c>
      <c r="D24" s="50"/>
      <c r="E24" s="67">
        <v>0</v>
      </c>
      <c r="F24" s="50">
        <f t="shared" si="0"/>
        <v>0</v>
      </c>
      <c r="G24" s="149">
        <v>84</v>
      </c>
      <c r="H24" s="62">
        <f t="shared" si="1"/>
        <v>104</v>
      </c>
      <c r="I24" s="61">
        <v>0</v>
      </c>
      <c r="J24" s="62">
        <f t="shared" si="2"/>
        <v>0</v>
      </c>
      <c r="K24" s="50">
        <f t="shared" si="3"/>
        <v>84</v>
      </c>
      <c r="L24" s="50">
        <f t="shared" si="4"/>
        <v>104</v>
      </c>
      <c r="M24" s="156"/>
      <c r="N24" s="156"/>
      <c r="O24" s="156"/>
      <c r="P24" s="78"/>
      <c r="Q24" s="50">
        <v>46</v>
      </c>
      <c r="R24" s="50"/>
      <c r="S24" s="50"/>
      <c r="T24" s="50">
        <v>52</v>
      </c>
      <c r="U24" s="50"/>
      <c r="V24" s="50"/>
      <c r="W24" s="50">
        <v>6</v>
      </c>
      <c r="X24" s="50"/>
      <c r="Y24" s="50"/>
      <c r="Z24" s="50"/>
      <c r="AA24" s="50"/>
      <c r="AB24" s="50"/>
    </row>
    <row r="25" spans="1:28" ht="14.25" customHeight="1" x14ac:dyDescent="0.75">
      <c r="A25" s="50">
        <v>666536</v>
      </c>
      <c r="B25" s="50" t="s">
        <v>42</v>
      </c>
      <c r="C25" s="50" t="s">
        <v>43</v>
      </c>
      <c r="D25" s="50"/>
      <c r="E25" s="67">
        <v>0</v>
      </c>
      <c r="F25" s="50">
        <f t="shared" si="0"/>
        <v>0</v>
      </c>
      <c r="G25" s="149">
        <v>0</v>
      </c>
      <c r="H25" s="62">
        <f t="shared" si="1"/>
        <v>0</v>
      </c>
      <c r="I25" s="61">
        <v>0</v>
      </c>
      <c r="J25" s="62">
        <f t="shared" si="2"/>
        <v>0</v>
      </c>
      <c r="K25" s="50">
        <f>+E25+G25+H25</f>
        <v>0</v>
      </c>
      <c r="L25" s="50">
        <f t="shared" si="4"/>
        <v>0</v>
      </c>
      <c r="M25" s="156"/>
      <c r="N25" s="156"/>
      <c r="O25" s="156"/>
      <c r="P25" s="78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</row>
    <row r="26" spans="1:28" ht="14.25" customHeight="1" x14ac:dyDescent="0.75">
      <c r="A26" s="50"/>
      <c r="B26" s="50"/>
      <c r="C26" s="71"/>
      <c r="D26" s="71"/>
      <c r="E26" s="71"/>
      <c r="F26" s="71"/>
      <c r="G26" s="71"/>
      <c r="H26" s="71"/>
      <c r="I26" s="71"/>
      <c r="J26" s="71"/>
      <c r="K26" s="50"/>
      <c r="L26" s="71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</row>
  </sheetData>
  <conditionalFormatting sqref="K5:K25">
    <cfRule type="cellIs" dxfId="263" priority="2" operator="equal">
      <formula>0</formula>
    </cfRule>
  </conditionalFormatting>
  <conditionalFormatting sqref="L5:L25">
    <cfRule type="expression" dxfId="262" priority="3">
      <formula>K5=L5</formula>
    </cfRule>
    <cfRule type="expression" dxfId="261" priority="4">
      <formula>K5&lt;L5</formula>
    </cfRule>
    <cfRule type="expression" dxfId="260" priority="5">
      <formula>K5&gt;L5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X71"/>
  <sheetViews>
    <sheetView topLeftCell="A14" zoomScaleNormal="100" workbookViewId="0">
      <selection activeCell="Q46" sqref="Q46"/>
    </sheetView>
  </sheetViews>
  <sheetFormatPr defaultColWidth="8.86328125" defaultRowHeight="14.75" x14ac:dyDescent="0.75"/>
  <cols>
    <col min="1" max="1" width="9" style="79" customWidth="1"/>
    <col min="2" max="2" width="33.453125" style="79" customWidth="1"/>
    <col min="3" max="3" width="15.6328125" style="79" hidden="1" customWidth="1"/>
    <col min="4" max="13" width="8.86328125" style="79"/>
    <col min="14" max="14" width="9.453125" style="79" customWidth="1"/>
    <col min="15" max="17" width="8.86328125" style="79"/>
    <col min="18" max="18" width="10.6328125" style="80" customWidth="1"/>
    <col min="19" max="19" width="9.1328125" style="79" hidden="1" customWidth="1"/>
    <col min="20" max="16384" width="8.86328125" style="79"/>
  </cols>
  <sheetData>
    <row r="1" spans="1:19" ht="15" customHeight="1" x14ac:dyDescent="0.75">
      <c r="A1" s="5" t="s">
        <v>179</v>
      </c>
      <c r="B1" s="5"/>
      <c r="C1" s="5"/>
      <c r="D1" s="5"/>
      <c r="E1" s="5"/>
      <c r="F1" s="81"/>
      <c r="G1" s="81"/>
      <c r="H1" s="81"/>
      <c r="I1" s="81"/>
      <c r="J1" s="81"/>
      <c r="K1" s="81"/>
      <c r="L1" s="81"/>
      <c r="M1" s="81"/>
      <c r="N1" s="81"/>
      <c r="O1" s="81"/>
      <c r="P1" s="82"/>
      <c r="Q1" s="80" t="s">
        <v>160</v>
      </c>
    </row>
    <row r="2" spans="1:19" ht="41.25" customHeight="1" x14ac:dyDescent="0.75">
      <c r="A2" s="83"/>
      <c r="B2" s="84" t="s">
        <v>56</v>
      </c>
      <c r="C2" s="85" t="s">
        <v>55</v>
      </c>
      <c r="D2" s="86" t="s">
        <v>116</v>
      </c>
      <c r="E2" s="87" t="s">
        <v>161</v>
      </c>
      <c r="F2" s="88" t="s">
        <v>162</v>
      </c>
      <c r="G2" s="86" t="s">
        <v>163</v>
      </c>
      <c r="H2" s="87" t="s">
        <v>164</v>
      </c>
      <c r="I2" s="86" t="s">
        <v>165</v>
      </c>
      <c r="J2" s="86" t="s">
        <v>166</v>
      </c>
      <c r="K2" s="89" t="s">
        <v>167</v>
      </c>
      <c r="L2" s="88" t="s">
        <v>162</v>
      </c>
      <c r="M2" s="86" t="s">
        <v>163</v>
      </c>
      <c r="N2" s="87" t="s">
        <v>164</v>
      </c>
      <c r="O2" s="86" t="s">
        <v>165</v>
      </c>
      <c r="P2" s="90" t="s">
        <v>166</v>
      </c>
      <c r="Q2" s="91"/>
      <c r="R2" s="92" t="s">
        <v>168</v>
      </c>
    </row>
    <row r="3" spans="1:19" ht="14.25" customHeight="1" x14ac:dyDescent="0.75">
      <c r="A3" s="93">
        <v>666501</v>
      </c>
      <c r="B3" s="94" t="s">
        <v>4</v>
      </c>
      <c r="C3" s="95" t="s">
        <v>5</v>
      </c>
      <c r="D3" s="96">
        <v>0</v>
      </c>
      <c r="E3" s="97">
        <f t="shared" ref="E3:E23" si="0">+D3/6</f>
        <v>0</v>
      </c>
      <c r="F3" s="96">
        <v>0</v>
      </c>
      <c r="G3" s="98">
        <v>0</v>
      </c>
      <c r="H3" s="96">
        <v>0</v>
      </c>
      <c r="I3" s="96">
        <v>0</v>
      </c>
      <c r="J3" s="96">
        <v>0</v>
      </c>
      <c r="K3" s="99">
        <f t="shared" ref="K3:K23" si="1">(+D3-SUM(F3:J3))/3.5</f>
        <v>0</v>
      </c>
      <c r="L3" s="96">
        <v>0</v>
      </c>
      <c r="M3" s="96">
        <v>0</v>
      </c>
      <c r="N3" s="96">
        <v>0</v>
      </c>
      <c r="O3" s="96">
        <v>0</v>
      </c>
      <c r="P3" s="100">
        <v>0</v>
      </c>
      <c r="Q3" s="101">
        <f t="shared" ref="Q3:Q22" si="2">SUM(F3:J3)+SUM(L3:P3)</f>
        <v>0</v>
      </c>
      <c r="R3" s="101">
        <f t="shared" ref="R3:R22" si="3">+D3-Q3</f>
        <v>0</v>
      </c>
      <c r="S3" s="102">
        <f>+R3/2.25</f>
        <v>0</v>
      </c>
    </row>
    <row r="4" spans="1:19" ht="14.25" customHeight="1" x14ac:dyDescent="0.75">
      <c r="A4" s="93">
        <v>666502</v>
      </c>
      <c r="B4" s="94" t="s">
        <v>6</v>
      </c>
      <c r="C4" s="95" t="s">
        <v>7</v>
      </c>
      <c r="D4" s="96">
        <v>0</v>
      </c>
      <c r="E4" s="97">
        <f t="shared" si="0"/>
        <v>0</v>
      </c>
      <c r="F4" s="96">
        <v>0</v>
      </c>
      <c r="G4" s="98">
        <v>0</v>
      </c>
      <c r="H4" s="96">
        <v>0</v>
      </c>
      <c r="I4" s="96">
        <v>0</v>
      </c>
      <c r="J4" s="96">
        <v>0</v>
      </c>
      <c r="K4" s="99">
        <f t="shared" si="1"/>
        <v>0</v>
      </c>
      <c r="L4" s="96">
        <v>0</v>
      </c>
      <c r="M4" s="96">
        <v>0</v>
      </c>
      <c r="N4" s="96">
        <v>0</v>
      </c>
      <c r="O4" s="96">
        <v>0</v>
      </c>
      <c r="P4" s="100">
        <v>0</v>
      </c>
      <c r="Q4" s="101">
        <f t="shared" si="2"/>
        <v>0</v>
      </c>
      <c r="R4" s="101">
        <f t="shared" si="3"/>
        <v>0</v>
      </c>
      <c r="S4" s="102">
        <f>+R4/2.25</f>
        <v>0</v>
      </c>
    </row>
    <row r="5" spans="1:19" ht="14.25" customHeight="1" x14ac:dyDescent="0.75">
      <c r="A5" s="93">
        <v>666505</v>
      </c>
      <c r="B5" s="94" t="s">
        <v>8</v>
      </c>
      <c r="C5" s="95" t="s">
        <v>9</v>
      </c>
      <c r="D5" s="96">
        <v>19</v>
      </c>
      <c r="E5" s="97">
        <f t="shared" si="0"/>
        <v>3.1666666666666665</v>
      </c>
      <c r="F5" s="96">
        <v>0</v>
      </c>
      <c r="G5" s="98">
        <v>0</v>
      </c>
      <c r="H5" s="96">
        <v>19</v>
      </c>
      <c r="I5" s="96">
        <v>0</v>
      </c>
      <c r="J5" s="96">
        <v>0</v>
      </c>
      <c r="K5" s="99">
        <f t="shared" si="1"/>
        <v>0</v>
      </c>
      <c r="L5" s="96">
        <v>0</v>
      </c>
      <c r="M5" s="96">
        <v>0</v>
      </c>
      <c r="N5" s="96">
        <v>0</v>
      </c>
      <c r="O5" s="96">
        <v>0</v>
      </c>
      <c r="P5" s="100">
        <v>0</v>
      </c>
      <c r="Q5" s="133">
        <f t="shared" si="2"/>
        <v>19</v>
      </c>
      <c r="R5" s="101">
        <f t="shared" si="3"/>
        <v>0</v>
      </c>
      <c r="S5" s="102">
        <f>+R5/2.25</f>
        <v>0</v>
      </c>
    </row>
    <row r="6" spans="1:19" ht="14.25" customHeight="1" x14ac:dyDescent="0.75">
      <c r="A6" s="93">
        <v>666506</v>
      </c>
      <c r="B6" s="94" t="s">
        <v>10</v>
      </c>
      <c r="C6" s="95" t="s">
        <v>11</v>
      </c>
      <c r="D6" s="96">
        <v>0</v>
      </c>
      <c r="E6" s="97">
        <f t="shared" si="0"/>
        <v>0</v>
      </c>
      <c r="F6" s="96">
        <v>0</v>
      </c>
      <c r="G6" s="98">
        <v>0</v>
      </c>
      <c r="H6" s="96">
        <v>0</v>
      </c>
      <c r="I6" s="96">
        <v>0</v>
      </c>
      <c r="J6" s="96">
        <v>0</v>
      </c>
      <c r="K6" s="99">
        <f t="shared" si="1"/>
        <v>0</v>
      </c>
      <c r="L6" s="96">
        <v>0</v>
      </c>
      <c r="M6" s="96">
        <v>0</v>
      </c>
      <c r="N6" s="96">
        <v>0</v>
      </c>
      <c r="O6" s="96">
        <v>0</v>
      </c>
      <c r="P6" s="100">
        <v>0</v>
      </c>
      <c r="Q6" s="101">
        <f t="shared" si="2"/>
        <v>0</v>
      </c>
      <c r="R6" s="101">
        <f t="shared" si="3"/>
        <v>0</v>
      </c>
      <c r="S6" s="102">
        <f>+R6/2.25</f>
        <v>0</v>
      </c>
    </row>
    <row r="7" spans="1:19" ht="14.25" customHeight="1" x14ac:dyDescent="0.75">
      <c r="A7" s="93">
        <v>666507</v>
      </c>
      <c r="B7" s="94" t="s">
        <v>12</v>
      </c>
      <c r="C7" s="95" t="s">
        <v>13</v>
      </c>
      <c r="D7" s="96">
        <v>50</v>
      </c>
      <c r="E7" s="97">
        <f t="shared" si="0"/>
        <v>8.3333333333333339</v>
      </c>
      <c r="F7" s="96">
        <v>0</v>
      </c>
      <c r="G7" s="98">
        <v>0</v>
      </c>
      <c r="H7" s="96">
        <v>2</v>
      </c>
      <c r="I7" s="96">
        <v>0</v>
      </c>
      <c r="J7" s="96">
        <v>3</v>
      </c>
      <c r="K7" s="99">
        <f t="shared" si="1"/>
        <v>12.857142857142858</v>
      </c>
      <c r="L7" s="96">
        <v>0</v>
      </c>
      <c r="M7" s="96">
        <v>0</v>
      </c>
      <c r="N7" s="96">
        <v>8</v>
      </c>
      <c r="O7" s="96">
        <v>23</v>
      </c>
      <c r="P7" s="100">
        <v>13</v>
      </c>
      <c r="Q7" s="101">
        <f t="shared" si="2"/>
        <v>49</v>
      </c>
      <c r="R7" s="101">
        <f t="shared" si="3"/>
        <v>1</v>
      </c>
      <c r="S7" s="102">
        <f>+R7/2.25</f>
        <v>0.44444444444444442</v>
      </c>
    </row>
    <row r="8" spans="1:19" ht="14.25" customHeight="1" x14ac:dyDescent="0.75">
      <c r="A8" s="93">
        <v>666509</v>
      </c>
      <c r="B8" s="94" t="s">
        <v>14</v>
      </c>
      <c r="C8" s="95" t="s">
        <v>15</v>
      </c>
      <c r="D8" s="96">
        <v>100</v>
      </c>
      <c r="E8" s="97">
        <f t="shared" si="0"/>
        <v>16.666666666666668</v>
      </c>
      <c r="F8" s="96">
        <v>0</v>
      </c>
      <c r="G8" s="98">
        <v>0</v>
      </c>
      <c r="H8" s="96">
        <v>25</v>
      </c>
      <c r="I8" s="96">
        <v>15</v>
      </c>
      <c r="J8" s="96">
        <v>20</v>
      </c>
      <c r="K8" s="99">
        <f t="shared" si="1"/>
        <v>11.428571428571429</v>
      </c>
      <c r="L8" s="96">
        <v>0</v>
      </c>
      <c r="M8" s="96">
        <v>0</v>
      </c>
      <c r="N8" s="96">
        <v>40</v>
      </c>
      <c r="O8" s="96">
        <v>0</v>
      </c>
      <c r="P8" s="100">
        <v>0</v>
      </c>
      <c r="Q8" s="101">
        <f t="shared" si="2"/>
        <v>100</v>
      </c>
      <c r="R8" s="101">
        <f t="shared" si="3"/>
        <v>0</v>
      </c>
      <c r="S8" s="102">
        <f>+R8/2</f>
        <v>0</v>
      </c>
    </row>
    <row r="9" spans="1:19" ht="14.25" customHeight="1" x14ac:dyDescent="0.75">
      <c r="A9" s="93">
        <v>666510</v>
      </c>
      <c r="B9" s="94" t="s">
        <v>16</v>
      </c>
      <c r="C9" s="95" t="s">
        <v>169</v>
      </c>
      <c r="D9" s="96">
        <v>0</v>
      </c>
      <c r="E9" s="97">
        <f t="shared" si="0"/>
        <v>0</v>
      </c>
      <c r="F9" s="96">
        <v>0</v>
      </c>
      <c r="G9" s="98">
        <v>0</v>
      </c>
      <c r="H9" s="96">
        <v>0</v>
      </c>
      <c r="I9" s="96">
        <v>0</v>
      </c>
      <c r="J9" s="96">
        <v>0</v>
      </c>
      <c r="K9" s="99">
        <f t="shared" si="1"/>
        <v>0</v>
      </c>
      <c r="L9" s="96">
        <v>0</v>
      </c>
      <c r="M9" s="96">
        <v>0</v>
      </c>
      <c r="N9" s="96">
        <v>0</v>
      </c>
      <c r="O9" s="96">
        <v>0</v>
      </c>
      <c r="P9" s="100">
        <v>0</v>
      </c>
      <c r="Q9" s="101">
        <f t="shared" si="2"/>
        <v>0</v>
      </c>
      <c r="R9" s="101">
        <f t="shared" si="3"/>
        <v>0</v>
      </c>
      <c r="S9" s="102">
        <f t="shared" ref="S9:S19" si="4">+R9/2.25</f>
        <v>0</v>
      </c>
    </row>
    <row r="10" spans="1:19" ht="14.25" customHeight="1" x14ac:dyDescent="0.75">
      <c r="A10" s="93">
        <v>666511</v>
      </c>
      <c r="B10" s="94" t="s">
        <v>18</v>
      </c>
      <c r="C10" s="95" t="s">
        <v>19</v>
      </c>
      <c r="D10" s="96">
        <v>8</v>
      </c>
      <c r="E10" s="97">
        <f t="shared" si="0"/>
        <v>1.3333333333333333</v>
      </c>
      <c r="F10" s="96">
        <v>0</v>
      </c>
      <c r="G10" s="98">
        <v>0</v>
      </c>
      <c r="H10" s="96">
        <v>0</v>
      </c>
      <c r="I10" s="96">
        <v>0</v>
      </c>
      <c r="J10" s="96">
        <v>0</v>
      </c>
      <c r="K10" s="99">
        <f t="shared" si="1"/>
        <v>2.2857142857142856</v>
      </c>
      <c r="L10" s="96">
        <v>0</v>
      </c>
      <c r="M10" s="96">
        <v>0</v>
      </c>
      <c r="N10" s="96">
        <v>3</v>
      </c>
      <c r="O10" s="96">
        <v>5</v>
      </c>
      <c r="P10" s="100">
        <v>0</v>
      </c>
      <c r="Q10" s="133">
        <f t="shared" si="2"/>
        <v>8</v>
      </c>
      <c r="R10" s="101">
        <f t="shared" si="3"/>
        <v>0</v>
      </c>
      <c r="S10" s="102">
        <f t="shared" si="4"/>
        <v>0</v>
      </c>
    </row>
    <row r="11" spans="1:19" ht="14.25" customHeight="1" x14ac:dyDescent="0.75">
      <c r="A11" s="93">
        <v>666513</v>
      </c>
      <c r="B11" s="94" t="s">
        <v>20</v>
      </c>
      <c r="C11" s="95" t="s">
        <v>21</v>
      </c>
      <c r="D11" s="96">
        <v>0</v>
      </c>
      <c r="E11" s="97">
        <f t="shared" si="0"/>
        <v>0</v>
      </c>
      <c r="F11" s="96">
        <v>0</v>
      </c>
      <c r="G11" s="98">
        <v>0</v>
      </c>
      <c r="H11" s="96">
        <v>0</v>
      </c>
      <c r="I11" s="96">
        <v>0</v>
      </c>
      <c r="J11" s="96">
        <v>0</v>
      </c>
      <c r="K11" s="99">
        <f t="shared" si="1"/>
        <v>0</v>
      </c>
      <c r="L11" s="96">
        <v>0</v>
      </c>
      <c r="M11" s="96">
        <v>0</v>
      </c>
      <c r="N11" s="96">
        <v>0</v>
      </c>
      <c r="O11" s="96">
        <v>0</v>
      </c>
      <c r="P11" s="100">
        <v>0</v>
      </c>
      <c r="Q11" s="101">
        <f t="shared" si="2"/>
        <v>0</v>
      </c>
      <c r="R11" s="101">
        <f t="shared" si="3"/>
        <v>0</v>
      </c>
      <c r="S11" s="102">
        <f t="shared" si="4"/>
        <v>0</v>
      </c>
    </row>
    <row r="12" spans="1:19" ht="14.25" customHeight="1" x14ac:dyDescent="0.75">
      <c r="A12" s="93">
        <v>666516</v>
      </c>
      <c r="B12" s="94" t="s">
        <v>22</v>
      </c>
      <c r="C12" s="95" t="s">
        <v>23</v>
      </c>
      <c r="D12" s="96">
        <v>20</v>
      </c>
      <c r="E12" s="97">
        <f t="shared" si="0"/>
        <v>3.3333333333333335</v>
      </c>
      <c r="F12" s="96">
        <v>0</v>
      </c>
      <c r="G12" s="98">
        <v>0</v>
      </c>
      <c r="H12" s="96">
        <v>20</v>
      </c>
      <c r="I12" s="96">
        <v>0</v>
      </c>
      <c r="J12" s="96">
        <v>0</v>
      </c>
      <c r="K12" s="99">
        <f t="shared" si="1"/>
        <v>0</v>
      </c>
      <c r="L12" s="96">
        <v>0</v>
      </c>
      <c r="M12" s="96">
        <v>0</v>
      </c>
      <c r="N12" s="96">
        <v>0</v>
      </c>
      <c r="O12" s="96">
        <v>0</v>
      </c>
      <c r="P12" s="100">
        <v>0</v>
      </c>
      <c r="Q12" s="133">
        <f t="shared" si="2"/>
        <v>20</v>
      </c>
      <c r="R12" s="101">
        <f t="shared" si="3"/>
        <v>0</v>
      </c>
      <c r="S12" s="102">
        <f t="shared" si="4"/>
        <v>0</v>
      </c>
    </row>
    <row r="13" spans="1:19" ht="14.25" customHeight="1" x14ac:dyDescent="0.75">
      <c r="A13" s="93">
        <v>666517</v>
      </c>
      <c r="B13" s="94" t="s">
        <v>24</v>
      </c>
      <c r="C13" s="95" t="s">
        <v>25</v>
      </c>
      <c r="D13" s="96">
        <v>33</v>
      </c>
      <c r="E13" s="97">
        <f t="shared" si="0"/>
        <v>5.5</v>
      </c>
      <c r="F13" s="96">
        <v>0</v>
      </c>
      <c r="G13" s="98">
        <v>0</v>
      </c>
      <c r="H13" s="96">
        <v>18</v>
      </c>
      <c r="I13" s="96">
        <v>11</v>
      </c>
      <c r="J13" s="96">
        <v>4</v>
      </c>
      <c r="K13" s="99">
        <f t="shared" si="1"/>
        <v>0</v>
      </c>
      <c r="L13" s="96">
        <v>0</v>
      </c>
      <c r="M13" s="96">
        <v>0</v>
      </c>
      <c r="N13" s="96">
        <v>0</v>
      </c>
      <c r="O13" s="96">
        <v>0</v>
      </c>
      <c r="P13" s="100">
        <v>0</v>
      </c>
      <c r="Q13" s="133">
        <f t="shared" si="2"/>
        <v>33</v>
      </c>
      <c r="R13" s="101">
        <f t="shared" si="3"/>
        <v>0</v>
      </c>
      <c r="S13" s="102">
        <f t="shared" si="4"/>
        <v>0</v>
      </c>
    </row>
    <row r="14" spans="1:19" ht="14.25" customHeight="1" x14ac:dyDescent="0.75">
      <c r="A14" s="93">
        <v>666518</v>
      </c>
      <c r="B14" s="94" t="s">
        <v>26</v>
      </c>
      <c r="C14" s="95" t="s">
        <v>27</v>
      </c>
      <c r="D14" s="96">
        <v>0</v>
      </c>
      <c r="E14" s="97">
        <f t="shared" si="0"/>
        <v>0</v>
      </c>
      <c r="F14" s="96">
        <v>0</v>
      </c>
      <c r="G14" s="98">
        <v>0</v>
      </c>
      <c r="H14" s="96">
        <v>0</v>
      </c>
      <c r="I14" s="96">
        <v>0</v>
      </c>
      <c r="J14" s="96">
        <v>0</v>
      </c>
      <c r="K14" s="99">
        <f t="shared" si="1"/>
        <v>0</v>
      </c>
      <c r="L14" s="96">
        <v>0</v>
      </c>
      <c r="M14" s="96">
        <v>0</v>
      </c>
      <c r="N14" s="96">
        <v>0</v>
      </c>
      <c r="O14" s="96">
        <v>0</v>
      </c>
      <c r="P14" s="100">
        <v>0</v>
      </c>
      <c r="Q14" s="101">
        <f t="shared" si="2"/>
        <v>0</v>
      </c>
      <c r="R14" s="101">
        <f t="shared" si="3"/>
        <v>0</v>
      </c>
      <c r="S14" s="102">
        <f t="shared" si="4"/>
        <v>0</v>
      </c>
    </row>
    <row r="15" spans="1:19" ht="14.25" customHeight="1" x14ac:dyDescent="0.75">
      <c r="A15" s="93">
        <v>666519</v>
      </c>
      <c r="B15" s="94" t="s">
        <v>28</v>
      </c>
      <c r="C15" s="95" t="s">
        <v>29</v>
      </c>
      <c r="D15" s="96">
        <v>30</v>
      </c>
      <c r="E15" s="97">
        <f t="shared" si="0"/>
        <v>5</v>
      </c>
      <c r="F15" s="96">
        <v>0</v>
      </c>
      <c r="G15" s="98">
        <v>0</v>
      </c>
      <c r="H15" s="96">
        <v>18</v>
      </c>
      <c r="I15" s="96">
        <v>12</v>
      </c>
      <c r="J15" s="96">
        <v>0</v>
      </c>
      <c r="K15" s="99">
        <f t="shared" si="1"/>
        <v>0</v>
      </c>
      <c r="L15" s="96">
        <v>0</v>
      </c>
      <c r="M15" s="96">
        <v>0</v>
      </c>
      <c r="N15" s="96">
        <v>0</v>
      </c>
      <c r="O15" s="96">
        <v>0</v>
      </c>
      <c r="P15" s="100">
        <v>0</v>
      </c>
      <c r="Q15" s="133">
        <f t="shared" si="2"/>
        <v>30</v>
      </c>
      <c r="R15" s="101">
        <f t="shared" si="3"/>
        <v>0</v>
      </c>
      <c r="S15" s="102">
        <f t="shared" si="4"/>
        <v>0</v>
      </c>
    </row>
    <row r="16" spans="1:19" ht="14.25" customHeight="1" x14ac:dyDescent="0.75">
      <c r="A16" s="93">
        <v>666521</v>
      </c>
      <c r="B16" s="94" t="s">
        <v>30</v>
      </c>
      <c r="C16" s="95" t="s">
        <v>31</v>
      </c>
      <c r="D16" s="96">
        <v>0</v>
      </c>
      <c r="E16" s="97">
        <f t="shared" si="0"/>
        <v>0</v>
      </c>
      <c r="F16" s="96">
        <v>0</v>
      </c>
      <c r="G16" s="98">
        <v>0</v>
      </c>
      <c r="H16" s="96">
        <v>0</v>
      </c>
      <c r="I16" s="96">
        <v>0</v>
      </c>
      <c r="J16" s="96">
        <v>0</v>
      </c>
      <c r="K16" s="99">
        <f t="shared" si="1"/>
        <v>0</v>
      </c>
      <c r="L16" s="96">
        <v>0</v>
      </c>
      <c r="M16" s="96">
        <v>0</v>
      </c>
      <c r="N16" s="96">
        <v>0</v>
      </c>
      <c r="O16" s="96">
        <v>0</v>
      </c>
      <c r="P16" s="100">
        <v>0</v>
      </c>
      <c r="Q16" s="101">
        <f t="shared" si="2"/>
        <v>0</v>
      </c>
      <c r="R16" s="101">
        <f t="shared" si="3"/>
        <v>0</v>
      </c>
      <c r="S16" s="102">
        <f t="shared" si="4"/>
        <v>0</v>
      </c>
    </row>
    <row r="17" spans="1:19" ht="14.25" customHeight="1" x14ac:dyDescent="0.75">
      <c r="A17" s="93">
        <v>666522</v>
      </c>
      <c r="B17" s="94" t="s">
        <v>32</v>
      </c>
      <c r="C17" s="95" t="s">
        <v>33</v>
      </c>
      <c r="D17" s="96">
        <v>100</v>
      </c>
      <c r="E17" s="97">
        <f t="shared" si="0"/>
        <v>16.666666666666668</v>
      </c>
      <c r="F17" s="96">
        <v>0</v>
      </c>
      <c r="G17" s="98">
        <v>0</v>
      </c>
      <c r="H17" s="96">
        <v>35</v>
      </c>
      <c r="I17" s="96">
        <v>20</v>
      </c>
      <c r="J17" s="96">
        <v>20</v>
      </c>
      <c r="K17" s="99">
        <f t="shared" si="1"/>
        <v>7.1428571428571432</v>
      </c>
      <c r="L17" s="96">
        <v>0</v>
      </c>
      <c r="M17" s="96">
        <v>0</v>
      </c>
      <c r="N17" s="96">
        <v>25</v>
      </c>
      <c r="O17" s="96">
        <v>0</v>
      </c>
      <c r="P17" s="100">
        <v>0</v>
      </c>
      <c r="Q17" s="133">
        <f t="shared" si="2"/>
        <v>100</v>
      </c>
      <c r="R17" s="101">
        <f t="shared" si="3"/>
        <v>0</v>
      </c>
      <c r="S17" s="102">
        <f t="shared" si="4"/>
        <v>0</v>
      </c>
    </row>
    <row r="18" spans="1:19" ht="14.25" customHeight="1" x14ac:dyDescent="0.75">
      <c r="A18" s="93">
        <v>666523</v>
      </c>
      <c r="B18" s="94" t="s">
        <v>34</v>
      </c>
      <c r="C18" s="95" t="s">
        <v>35</v>
      </c>
      <c r="D18" s="96">
        <v>0</v>
      </c>
      <c r="E18" s="97">
        <f t="shared" si="0"/>
        <v>0</v>
      </c>
      <c r="F18" s="96">
        <v>0</v>
      </c>
      <c r="G18" s="98">
        <v>0</v>
      </c>
      <c r="H18" s="96">
        <v>0</v>
      </c>
      <c r="I18" s="96">
        <v>0</v>
      </c>
      <c r="J18" s="96">
        <v>0</v>
      </c>
      <c r="K18" s="99">
        <f t="shared" si="1"/>
        <v>0</v>
      </c>
      <c r="L18" s="96">
        <v>0</v>
      </c>
      <c r="M18" s="96">
        <v>0</v>
      </c>
      <c r="N18" s="96">
        <v>0</v>
      </c>
      <c r="O18" s="96">
        <v>0</v>
      </c>
      <c r="P18" s="100">
        <v>0</v>
      </c>
      <c r="Q18" s="101">
        <f t="shared" si="2"/>
        <v>0</v>
      </c>
      <c r="R18" s="101">
        <f t="shared" si="3"/>
        <v>0</v>
      </c>
      <c r="S18" s="102">
        <f t="shared" si="4"/>
        <v>0</v>
      </c>
    </row>
    <row r="19" spans="1:19" ht="14.25" customHeight="1" x14ac:dyDescent="0.75">
      <c r="A19" s="93">
        <v>666530</v>
      </c>
      <c r="B19" s="94" t="s">
        <v>36</v>
      </c>
      <c r="C19" s="95" t="s">
        <v>37</v>
      </c>
      <c r="D19" s="96">
        <v>5</v>
      </c>
      <c r="E19" s="97">
        <f t="shared" si="0"/>
        <v>0.83333333333333337</v>
      </c>
      <c r="F19" s="96">
        <v>0</v>
      </c>
      <c r="G19" s="98">
        <v>0</v>
      </c>
      <c r="H19" s="96">
        <v>0</v>
      </c>
      <c r="I19" s="96">
        <v>0</v>
      </c>
      <c r="J19" s="96">
        <v>2</v>
      </c>
      <c r="K19" s="99">
        <f t="shared" si="1"/>
        <v>0.8571428571428571</v>
      </c>
      <c r="L19" s="96">
        <v>0</v>
      </c>
      <c r="M19" s="96">
        <v>0</v>
      </c>
      <c r="N19" s="96">
        <v>3</v>
      </c>
      <c r="O19" s="96">
        <v>0</v>
      </c>
      <c r="P19" s="100">
        <v>0</v>
      </c>
      <c r="Q19" s="133">
        <f t="shared" si="2"/>
        <v>5</v>
      </c>
      <c r="R19" s="101">
        <f t="shared" si="3"/>
        <v>0</v>
      </c>
      <c r="S19" s="102">
        <f t="shared" si="4"/>
        <v>0</v>
      </c>
    </row>
    <row r="20" spans="1:19" ht="14.25" customHeight="1" x14ac:dyDescent="0.75">
      <c r="A20" s="93">
        <v>666531</v>
      </c>
      <c r="B20" s="94" t="s">
        <v>38</v>
      </c>
      <c r="C20" s="95" t="s">
        <v>39</v>
      </c>
      <c r="D20" s="96">
        <v>18</v>
      </c>
      <c r="E20" s="97">
        <f t="shared" si="0"/>
        <v>3</v>
      </c>
      <c r="F20" s="96">
        <v>0</v>
      </c>
      <c r="G20" s="98">
        <v>0</v>
      </c>
      <c r="H20" s="96">
        <v>18</v>
      </c>
      <c r="I20" s="96">
        <v>0</v>
      </c>
      <c r="J20" s="96">
        <v>0</v>
      </c>
      <c r="K20" s="99">
        <f t="shared" si="1"/>
        <v>0</v>
      </c>
      <c r="L20" s="96">
        <v>0</v>
      </c>
      <c r="M20" s="96">
        <v>0</v>
      </c>
      <c r="N20" s="96">
        <v>0</v>
      </c>
      <c r="O20" s="96">
        <v>0</v>
      </c>
      <c r="P20" s="100">
        <v>0</v>
      </c>
      <c r="Q20" s="133">
        <f t="shared" si="2"/>
        <v>18</v>
      </c>
      <c r="R20" s="101">
        <f t="shared" si="3"/>
        <v>0</v>
      </c>
      <c r="S20" s="102"/>
    </row>
    <row r="21" spans="1:19" ht="14.25" customHeight="1" x14ac:dyDescent="0.75">
      <c r="A21" s="93">
        <v>666540</v>
      </c>
      <c r="B21" s="94" t="s">
        <v>40</v>
      </c>
      <c r="C21" s="95" t="s">
        <v>40</v>
      </c>
      <c r="D21" s="96">
        <v>0</v>
      </c>
      <c r="E21" s="97">
        <f t="shared" si="0"/>
        <v>0</v>
      </c>
      <c r="F21" s="96">
        <v>0</v>
      </c>
      <c r="G21" s="98">
        <v>0</v>
      </c>
      <c r="H21" s="96">
        <v>0</v>
      </c>
      <c r="I21" s="96">
        <v>0</v>
      </c>
      <c r="J21" s="96">
        <v>0</v>
      </c>
      <c r="K21" s="99">
        <f t="shared" si="1"/>
        <v>0</v>
      </c>
      <c r="L21" s="96">
        <v>0</v>
      </c>
      <c r="M21" s="96">
        <v>0</v>
      </c>
      <c r="N21" s="96">
        <v>0</v>
      </c>
      <c r="O21" s="96">
        <v>0</v>
      </c>
      <c r="P21" s="100">
        <v>0</v>
      </c>
      <c r="Q21" s="101">
        <f t="shared" si="2"/>
        <v>0</v>
      </c>
      <c r="R21" s="101">
        <f t="shared" si="3"/>
        <v>0</v>
      </c>
      <c r="S21" s="102"/>
    </row>
    <row r="22" spans="1:19" ht="15" customHeight="1" x14ac:dyDescent="0.75">
      <c r="A22" s="93">
        <v>666541</v>
      </c>
      <c r="B22" s="94" t="s">
        <v>41</v>
      </c>
      <c r="C22" s="103" t="s">
        <v>41</v>
      </c>
      <c r="D22" s="96">
        <v>0</v>
      </c>
      <c r="E22" s="97">
        <f t="shared" si="0"/>
        <v>0</v>
      </c>
      <c r="F22" s="104">
        <v>0</v>
      </c>
      <c r="G22" s="105">
        <v>0</v>
      </c>
      <c r="H22" s="104">
        <v>0</v>
      </c>
      <c r="I22" s="104">
        <v>0</v>
      </c>
      <c r="J22" s="104">
        <v>0</v>
      </c>
      <c r="K22" s="106">
        <f t="shared" si="1"/>
        <v>0</v>
      </c>
      <c r="L22" s="96">
        <v>0</v>
      </c>
      <c r="M22" s="96">
        <v>0</v>
      </c>
      <c r="N22" s="96">
        <v>0</v>
      </c>
      <c r="O22" s="96">
        <v>0</v>
      </c>
      <c r="P22" s="100">
        <v>0</v>
      </c>
      <c r="Q22" s="101">
        <f t="shared" si="2"/>
        <v>0</v>
      </c>
      <c r="R22" s="101">
        <f t="shared" si="3"/>
        <v>0</v>
      </c>
      <c r="S22" s="102"/>
    </row>
    <row r="23" spans="1:19" s="50" customFormat="1" ht="15" customHeight="1" x14ac:dyDescent="0.75">
      <c r="A23" s="108">
        <v>666536</v>
      </c>
      <c r="B23" s="109" t="s">
        <v>42</v>
      </c>
      <c r="C23" s="110"/>
      <c r="D23" s="104">
        <v>0</v>
      </c>
      <c r="E23" s="111">
        <f t="shared" si="0"/>
        <v>0</v>
      </c>
      <c r="F23" s="104">
        <v>0</v>
      </c>
      <c r="G23" s="105">
        <v>0</v>
      </c>
      <c r="H23" s="104">
        <v>0</v>
      </c>
      <c r="I23" s="104">
        <v>0</v>
      </c>
      <c r="J23" s="104">
        <v>0</v>
      </c>
      <c r="K23" s="106">
        <f t="shared" si="1"/>
        <v>0</v>
      </c>
      <c r="L23" s="104">
        <v>0</v>
      </c>
      <c r="M23" s="104">
        <v>0</v>
      </c>
      <c r="N23" s="104">
        <v>0</v>
      </c>
      <c r="O23" s="104">
        <v>0</v>
      </c>
      <c r="P23" s="107">
        <v>0</v>
      </c>
    </row>
    <row r="24" spans="1:19" s="50" customFormat="1" ht="15" customHeight="1" x14ac:dyDescent="0.75">
      <c r="A24" s="112"/>
      <c r="B24" s="113"/>
      <c r="D24" s="101"/>
      <c r="E24" s="114"/>
    </row>
    <row r="25" spans="1:19" ht="15" customHeight="1" x14ac:dyDescent="0.75">
      <c r="A25" s="4" t="str">
        <f>+A1</f>
        <v>Weeks of 1/26/26 &amp; 2/2/26</v>
      </c>
      <c r="B25" s="4"/>
      <c r="C25" s="4"/>
      <c r="D25" s="4"/>
      <c r="E25" s="4"/>
      <c r="F25" s="115"/>
      <c r="G25" s="115"/>
      <c r="H25" s="115"/>
      <c r="I25" s="115"/>
      <c r="J25" s="116"/>
      <c r="K25" s="116"/>
      <c r="L25" s="116"/>
      <c r="M25" s="116"/>
      <c r="N25" s="116"/>
      <c r="O25" s="116"/>
      <c r="P25" s="117"/>
      <c r="Q25" s="101"/>
      <c r="R25" s="101"/>
    </row>
    <row r="26" spans="1:19" ht="42" customHeight="1" x14ac:dyDescent="0.75">
      <c r="A26" s="118"/>
      <c r="B26" s="119" t="s">
        <v>170</v>
      </c>
      <c r="C26" s="120" t="s">
        <v>65</v>
      </c>
      <c r="D26" s="121" t="s">
        <v>119</v>
      </c>
      <c r="E26" s="122" t="s">
        <v>171</v>
      </c>
      <c r="F26" s="88" t="s">
        <v>162</v>
      </c>
      <c r="G26" s="86" t="s">
        <v>163</v>
      </c>
      <c r="H26" s="87" t="s">
        <v>172</v>
      </c>
      <c r="I26" s="86" t="s">
        <v>165</v>
      </c>
      <c r="J26" s="123" t="s">
        <v>166</v>
      </c>
      <c r="K26" s="124" t="str">
        <f>+K2</f>
        <v>2nd wk daily goals</v>
      </c>
      <c r="L26" s="125" t="s">
        <v>162</v>
      </c>
      <c r="M26" s="86" t="s">
        <v>163</v>
      </c>
      <c r="N26" s="126" t="s">
        <v>172</v>
      </c>
      <c r="O26" s="86" t="s">
        <v>165</v>
      </c>
      <c r="P26" s="90" t="s">
        <v>166</v>
      </c>
      <c r="Q26" s="101"/>
      <c r="R26" s="92" t="s">
        <v>168</v>
      </c>
    </row>
    <row r="27" spans="1:19" ht="15" customHeight="1" x14ac:dyDescent="0.75">
      <c r="A27" s="93">
        <v>666501</v>
      </c>
      <c r="B27" s="94" t="s">
        <v>4</v>
      </c>
      <c r="C27" s="127" t="s">
        <v>5</v>
      </c>
      <c r="D27" s="128">
        <v>0</v>
      </c>
      <c r="E27" s="129">
        <f t="shared" ref="E27:E47" si="5">+D27/7</f>
        <v>0</v>
      </c>
      <c r="F27" s="96">
        <v>0</v>
      </c>
      <c r="G27" s="96">
        <v>0</v>
      </c>
      <c r="H27" s="96">
        <v>0</v>
      </c>
      <c r="I27" s="96">
        <v>0</v>
      </c>
      <c r="J27" s="130">
        <v>0</v>
      </c>
      <c r="K27" s="131">
        <f t="shared" ref="K27:K47" si="6">(+D27-SUM(F27:J27))/4</f>
        <v>0</v>
      </c>
      <c r="L27" s="132">
        <v>0</v>
      </c>
      <c r="M27" s="96">
        <v>0</v>
      </c>
      <c r="N27" s="96">
        <v>0</v>
      </c>
      <c r="O27" s="96">
        <v>0</v>
      </c>
      <c r="P27" s="100">
        <v>0</v>
      </c>
      <c r="Q27" s="133">
        <f t="shared" ref="Q27:Q47" si="7">SUM(F27:J27)+SUM(L27:P27)</f>
        <v>0</v>
      </c>
      <c r="R27" s="101">
        <f t="shared" ref="R27:R47" si="8">+D27-Q27</f>
        <v>0</v>
      </c>
      <c r="S27" s="102">
        <f t="shared" ref="S27:S36" si="9">+R27/3</f>
        <v>0</v>
      </c>
    </row>
    <row r="28" spans="1:19" ht="15" customHeight="1" x14ac:dyDescent="0.75">
      <c r="A28" s="93">
        <v>666502</v>
      </c>
      <c r="B28" s="94" t="s">
        <v>6</v>
      </c>
      <c r="C28" s="127" t="s">
        <v>7</v>
      </c>
      <c r="D28" s="128">
        <v>307</v>
      </c>
      <c r="E28" s="129">
        <f t="shared" si="5"/>
        <v>43.857142857142854</v>
      </c>
      <c r="F28" s="96">
        <v>0</v>
      </c>
      <c r="G28" s="96">
        <v>17</v>
      </c>
      <c r="H28" s="96">
        <v>29</v>
      </c>
      <c r="I28" s="96">
        <v>31</v>
      </c>
      <c r="J28" s="130">
        <v>32</v>
      </c>
      <c r="K28" s="131">
        <f t="shared" si="6"/>
        <v>49.5</v>
      </c>
      <c r="L28" s="132">
        <v>0</v>
      </c>
      <c r="M28" s="96">
        <v>27</v>
      </c>
      <c r="N28" s="96">
        <v>41</v>
      </c>
      <c r="O28" s="96">
        <v>34</v>
      </c>
      <c r="P28" s="100">
        <v>40</v>
      </c>
      <c r="Q28" s="101">
        <f t="shared" si="7"/>
        <v>251</v>
      </c>
      <c r="R28" s="101">
        <f t="shared" si="8"/>
        <v>56</v>
      </c>
      <c r="S28" s="102">
        <f t="shared" si="9"/>
        <v>18.666666666666668</v>
      </c>
    </row>
    <row r="29" spans="1:19" ht="15" customHeight="1" x14ac:dyDescent="0.75">
      <c r="A29" s="93">
        <v>666505</v>
      </c>
      <c r="B29" s="94" t="s">
        <v>8</v>
      </c>
      <c r="C29" s="127" t="s">
        <v>9</v>
      </c>
      <c r="D29" s="128">
        <v>0</v>
      </c>
      <c r="E29" s="129">
        <f t="shared" si="5"/>
        <v>0</v>
      </c>
      <c r="F29" s="96">
        <v>0</v>
      </c>
      <c r="G29" s="96">
        <v>0</v>
      </c>
      <c r="H29" s="96">
        <v>0</v>
      </c>
      <c r="I29" s="96">
        <v>0</v>
      </c>
      <c r="J29" s="130">
        <v>0</v>
      </c>
      <c r="K29" s="131">
        <f t="shared" si="6"/>
        <v>0</v>
      </c>
      <c r="L29" s="132">
        <v>0</v>
      </c>
      <c r="M29" s="96">
        <v>0</v>
      </c>
      <c r="N29" s="96">
        <v>0</v>
      </c>
      <c r="O29" s="96">
        <v>0</v>
      </c>
      <c r="P29" s="100">
        <v>0</v>
      </c>
      <c r="Q29" s="101">
        <f t="shared" si="7"/>
        <v>0</v>
      </c>
      <c r="R29" s="101">
        <f t="shared" si="8"/>
        <v>0</v>
      </c>
      <c r="S29" s="102">
        <f t="shared" si="9"/>
        <v>0</v>
      </c>
    </row>
    <row r="30" spans="1:19" ht="15" customHeight="1" x14ac:dyDescent="0.75">
      <c r="A30" s="93">
        <v>666506</v>
      </c>
      <c r="B30" s="94" t="s">
        <v>10</v>
      </c>
      <c r="C30" s="127" t="s">
        <v>11</v>
      </c>
      <c r="D30" s="128">
        <v>200</v>
      </c>
      <c r="E30" s="129">
        <f t="shared" si="5"/>
        <v>28.571428571428573</v>
      </c>
      <c r="F30" s="96">
        <v>0</v>
      </c>
      <c r="G30" s="96">
        <v>0</v>
      </c>
      <c r="H30" s="96">
        <v>0</v>
      </c>
      <c r="I30" s="96">
        <v>9</v>
      </c>
      <c r="J30" s="130">
        <v>11</v>
      </c>
      <c r="K30" s="131">
        <f t="shared" si="6"/>
        <v>45</v>
      </c>
      <c r="L30" s="132">
        <v>0</v>
      </c>
      <c r="M30" s="96">
        <v>7</v>
      </c>
      <c r="N30" s="96">
        <v>19</v>
      </c>
      <c r="O30" s="96">
        <v>57</v>
      </c>
      <c r="P30" s="100">
        <v>57</v>
      </c>
      <c r="Q30" s="101">
        <f t="shared" si="7"/>
        <v>160</v>
      </c>
      <c r="R30" s="101">
        <f t="shared" si="8"/>
        <v>40</v>
      </c>
      <c r="S30" s="102">
        <f t="shared" si="9"/>
        <v>13.333333333333334</v>
      </c>
    </row>
    <row r="31" spans="1:19" ht="15" customHeight="1" x14ac:dyDescent="0.75">
      <c r="A31" s="93">
        <v>666507</v>
      </c>
      <c r="B31" s="94" t="s">
        <v>12</v>
      </c>
      <c r="C31" s="127" t="s">
        <v>13</v>
      </c>
      <c r="D31" s="128">
        <v>0</v>
      </c>
      <c r="E31" s="129">
        <f t="shared" si="5"/>
        <v>0</v>
      </c>
      <c r="F31" s="96">
        <v>0</v>
      </c>
      <c r="G31" s="96">
        <v>0</v>
      </c>
      <c r="H31" s="96">
        <v>0</v>
      </c>
      <c r="I31" s="96">
        <v>0</v>
      </c>
      <c r="J31" s="130">
        <v>0</v>
      </c>
      <c r="K31" s="131">
        <f t="shared" si="6"/>
        <v>0</v>
      </c>
      <c r="L31" s="132">
        <v>0</v>
      </c>
      <c r="M31" s="96">
        <v>0</v>
      </c>
      <c r="N31" s="96">
        <v>0</v>
      </c>
      <c r="O31" s="96">
        <v>0</v>
      </c>
      <c r="P31" s="100">
        <v>0</v>
      </c>
      <c r="Q31" s="101">
        <f t="shared" si="7"/>
        <v>0</v>
      </c>
      <c r="R31" s="101">
        <f t="shared" si="8"/>
        <v>0</v>
      </c>
      <c r="S31" s="102">
        <f t="shared" si="9"/>
        <v>0</v>
      </c>
    </row>
    <row r="32" spans="1:19" ht="15" customHeight="1" x14ac:dyDescent="0.75">
      <c r="A32" s="93">
        <v>666509</v>
      </c>
      <c r="B32" s="94" t="s">
        <v>14</v>
      </c>
      <c r="C32" s="127" t="s">
        <v>15</v>
      </c>
      <c r="D32" s="128">
        <v>0</v>
      </c>
      <c r="E32" s="129">
        <f t="shared" si="5"/>
        <v>0</v>
      </c>
      <c r="F32" s="96">
        <v>0</v>
      </c>
      <c r="G32" s="96">
        <v>0</v>
      </c>
      <c r="H32" s="96">
        <v>0</v>
      </c>
      <c r="I32" s="96">
        <v>0</v>
      </c>
      <c r="J32" s="130">
        <v>0</v>
      </c>
      <c r="K32" s="131">
        <f t="shared" si="6"/>
        <v>0</v>
      </c>
      <c r="L32" s="132">
        <v>0</v>
      </c>
      <c r="M32" s="96">
        <v>0</v>
      </c>
      <c r="N32" s="96">
        <v>0</v>
      </c>
      <c r="O32" s="96">
        <v>0</v>
      </c>
      <c r="P32" s="100">
        <v>0</v>
      </c>
      <c r="Q32" s="101">
        <f t="shared" si="7"/>
        <v>0</v>
      </c>
      <c r="R32" s="101">
        <f t="shared" si="8"/>
        <v>0</v>
      </c>
      <c r="S32" s="102">
        <f t="shared" si="9"/>
        <v>0</v>
      </c>
    </row>
    <row r="33" spans="1:24" ht="15" customHeight="1" x14ac:dyDescent="0.75">
      <c r="A33" s="93">
        <v>666510</v>
      </c>
      <c r="B33" s="94" t="s">
        <v>16</v>
      </c>
      <c r="C33" s="127" t="s">
        <v>169</v>
      </c>
      <c r="D33" s="128">
        <v>0</v>
      </c>
      <c r="E33" s="129">
        <f t="shared" si="5"/>
        <v>0</v>
      </c>
      <c r="F33" s="96">
        <v>0</v>
      </c>
      <c r="G33" s="96">
        <v>0</v>
      </c>
      <c r="H33" s="96">
        <v>0</v>
      </c>
      <c r="I33" s="96">
        <v>0</v>
      </c>
      <c r="J33" s="130">
        <v>0</v>
      </c>
      <c r="K33" s="131">
        <f t="shared" si="6"/>
        <v>0</v>
      </c>
      <c r="L33" s="132">
        <v>0</v>
      </c>
      <c r="M33" s="96">
        <v>0</v>
      </c>
      <c r="N33" s="96">
        <v>0</v>
      </c>
      <c r="O33" s="96">
        <v>0</v>
      </c>
      <c r="P33" s="100">
        <v>0</v>
      </c>
      <c r="Q33" s="101">
        <f t="shared" si="7"/>
        <v>0</v>
      </c>
      <c r="R33" s="101">
        <f t="shared" si="8"/>
        <v>0</v>
      </c>
      <c r="S33" s="102">
        <f t="shared" si="9"/>
        <v>0</v>
      </c>
    </row>
    <row r="34" spans="1:24" ht="15" customHeight="1" x14ac:dyDescent="0.75">
      <c r="A34" s="93">
        <v>666511</v>
      </c>
      <c r="B34" s="94" t="s">
        <v>18</v>
      </c>
      <c r="C34" s="127" t="s">
        <v>19</v>
      </c>
      <c r="D34" s="128">
        <v>0</v>
      </c>
      <c r="E34" s="129">
        <f t="shared" si="5"/>
        <v>0</v>
      </c>
      <c r="F34" s="96">
        <v>0</v>
      </c>
      <c r="G34" s="96">
        <v>0</v>
      </c>
      <c r="H34" s="96">
        <v>0</v>
      </c>
      <c r="I34" s="96">
        <v>0</v>
      </c>
      <c r="J34" s="130">
        <v>0</v>
      </c>
      <c r="K34" s="131">
        <f t="shared" si="6"/>
        <v>0</v>
      </c>
      <c r="L34" s="132">
        <v>0</v>
      </c>
      <c r="M34" s="96">
        <v>0</v>
      </c>
      <c r="N34" s="96">
        <v>0</v>
      </c>
      <c r="O34" s="96">
        <v>0</v>
      </c>
      <c r="P34" s="100">
        <v>0</v>
      </c>
      <c r="Q34" s="101">
        <f t="shared" si="7"/>
        <v>0</v>
      </c>
      <c r="R34" s="101">
        <f t="shared" si="8"/>
        <v>0</v>
      </c>
      <c r="S34" s="102">
        <f t="shared" si="9"/>
        <v>0</v>
      </c>
    </row>
    <row r="35" spans="1:24" ht="15" customHeight="1" x14ac:dyDescent="0.75">
      <c r="A35" s="93">
        <v>666513</v>
      </c>
      <c r="B35" s="94" t="s">
        <v>20</v>
      </c>
      <c r="C35" s="127" t="s">
        <v>21</v>
      </c>
      <c r="D35" s="128">
        <v>0</v>
      </c>
      <c r="E35" s="129">
        <f t="shared" si="5"/>
        <v>0</v>
      </c>
      <c r="F35" s="96">
        <v>0</v>
      </c>
      <c r="G35" s="96">
        <v>0</v>
      </c>
      <c r="H35" s="96">
        <v>0</v>
      </c>
      <c r="I35" s="96">
        <v>0</v>
      </c>
      <c r="J35" s="130">
        <v>0</v>
      </c>
      <c r="K35" s="131">
        <f t="shared" si="6"/>
        <v>0</v>
      </c>
      <c r="L35" s="132">
        <v>0</v>
      </c>
      <c r="M35" s="96">
        <v>0</v>
      </c>
      <c r="N35" s="96">
        <v>0</v>
      </c>
      <c r="O35" s="96">
        <v>0</v>
      </c>
      <c r="P35" s="100">
        <v>0</v>
      </c>
      <c r="Q35" s="101">
        <f t="shared" si="7"/>
        <v>0</v>
      </c>
      <c r="R35" s="101">
        <f t="shared" si="8"/>
        <v>0</v>
      </c>
      <c r="S35" s="102">
        <f t="shared" si="9"/>
        <v>0</v>
      </c>
    </row>
    <row r="36" spans="1:24" ht="15" customHeight="1" x14ac:dyDescent="0.75">
      <c r="A36" s="93">
        <v>666516</v>
      </c>
      <c r="B36" s="94" t="s">
        <v>22</v>
      </c>
      <c r="C36" s="127" t="s">
        <v>23</v>
      </c>
      <c r="D36" s="128">
        <v>0</v>
      </c>
      <c r="E36" s="129">
        <f t="shared" si="5"/>
        <v>0</v>
      </c>
      <c r="F36" s="96">
        <v>0</v>
      </c>
      <c r="G36" s="96">
        <v>0</v>
      </c>
      <c r="H36" s="96">
        <v>0</v>
      </c>
      <c r="I36" s="96">
        <v>0</v>
      </c>
      <c r="J36" s="130">
        <v>0</v>
      </c>
      <c r="K36" s="131">
        <f t="shared" si="6"/>
        <v>0</v>
      </c>
      <c r="L36" s="132">
        <v>0</v>
      </c>
      <c r="M36" s="96">
        <v>0</v>
      </c>
      <c r="N36" s="96">
        <v>0</v>
      </c>
      <c r="O36" s="96">
        <v>0</v>
      </c>
      <c r="P36" s="100">
        <v>0</v>
      </c>
      <c r="Q36" s="101">
        <f t="shared" si="7"/>
        <v>0</v>
      </c>
      <c r="R36" s="101">
        <f t="shared" si="8"/>
        <v>0</v>
      </c>
      <c r="S36" s="102">
        <f t="shared" si="9"/>
        <v>0</v>
      </c>
    </row>
    <row r="37" spans="1:24" ht="15" customHeight="1" x14ac:dyDescent="0.75">
      <c r="A37" s="93">
        <v>666517</v>
      </c>
      <c r="B37" s="94" t="s">
        <v>24</v>
      </c>
      <c r="C37" s="127" t="s">
        <v>25</v>
      </c>
      <c r="D37" s="128">
        <v>0</v>
      </c>
      <c r="E37" s="129">
        <f t="shared" si="5"/>
        <v>0</v>
      </c>
      <c r="F37" s="96">
        <v>0</v>
      </c>
      <c r="G37" s="96">
        <v>0</v>
      </c>
      <c r="H37" s="96">
        <v>0</v>
      </c>
      <c r="I37" s="96">
        <v>0</v>
      </c>
      <c r="J37" s="130">
        <v>0</v>
      </c>
      <c r="K37" s="131">
        <f t="shared" si="6"/>
        <v>0</v>
      </c>
      <c r="L37" s="132">
        <v>0</v>
      </c>
      <c r="M37" s="96">
        <v>0</v>
      </c>
      <c r="N37" s="96">
        <v>0</v>
      </c>
      <c r="O37" s="96">
        <v>0</v>
      </c>
      <c r="P37" s="100">
        <v>0</v>
      </c>
      <c r="Q37" s="101">
        <f t="shared" si="7"/>
        <v>0</v>
      </c>
      <c r="R37" s="101">
        <f t="shared" si="8"/>
        <v>0</v>
      </c>
      <c r="S37" s="102">
        <f>+R37/2</f>
        <v>0</v>
      </c>
    </row>
    <row r="38" spans="1:24" ht="15" customHeight="1" x14ac:dyDescent="0.75">
      <c r="A38" s="93">
        <v>666518</v>
      </c>
      <c r="B38" s="94" t="s">
        <v>26</v>
      </c>
      <c r="C38" s="127" t="s">
        <v>27</v>
      </c>
      <c r="D38" s="128">
        <v>0</v>
      </c>
      <c r="E38" s="129">
        <f t="shared" si="5"/>
        <v>0</v>
      </c>
      <c r="F38" s="96">
        <v>0</v>
      </c>
      <c r="G38" s="96">
        <v>0</v>
      </c>
      <c r="H38" s="96">
        <v>0</v>
      </c>
      <c r="I38" s="96">
        <v>0</v>
      </c>
      <c r="J38" s="130">
        <v>0</v>
      </c>
      <c r="K38" s="131">
        <f t="shared" si="6"/>
        <v>0</v>
      </c>
      <c r="L38" s="132">
        <v>0</v>
      </c>
      <c r="M38" s="96">
        <v>0</v>
      </c>
      <c r="N38" s="96">
        <v>0</v>
      </c>
      <c r="O38" s="96">
        <v>0</v>
      </c>
      <c r="P38" s="100">
        <v>0</v>
      </c>
      <c r="Q38" s="101">
        <f t="shared" si="7"/>
        <v>0</v>
      </c>
      <c r="R38" s="101">
        <f t="shared" si="8"/>
        <v>0</v>
      </c>
      <c r="S38" s="102">
        <f>+R38/3</f>
        <v>0</v>
      </c>
    </row>
    <row r="39" spans="1:24" ht="15" customHeight="1" x14ac:dyDescent="0.75">
      <c r="A39" s="93">
        <v>666519</v>
      </c>
      <c r="B39" s="94" t="s">
        <v>28</v>
      </c>
      <c r="C39" s="127" t="s">
        <v>29</v>
      </c>
      <c r="D39" s="128">
        <v>0</v>
      </c>
      <c r="E39" s="129">
        <f t="shared" si="5"/>
        <v>0</v>
      </c>
      <c r="F39" s="96">
        <v>0</v>
      </c>
      <c r="G39" s="96">
        <v>0</v>
      </c>
      <c r="H39" s="96">
        <v>0</v>
      </c>
      <c r="I39" s="96">
        <v>0</v>
      </c>
      <c r="J39" s="130">
        <v>0</v>
      </c>
      <c r="K39" s="131">
        <f t="shared" si="6"/>
        <v>0</v>
      </c>
      <c r="L39" s="132">
        <v>0</v>
      </c>
      <c r="M39" s="96">
        <v>0</v>
      </c>
      <c r="N39" s="96">
        <v>0</v>
      </c>
      <c r="O39" s="96">
        <v>0</v>
      </c>
      <c r="P39" s="100">
        <v>0</v>
      </c>
      <c r="Q39" s="101">
        <f t="shared" si="7"/>
        <v>0</v>
      </c>
      <c r="R39" s="101">
        <f t="shared" si="8"/>
        <v>0</v>
      </c>
      <c r="S39" s="102"/>
    </row>
    <row r="40" spans="1:24" ht="15" customHeight="1" x14ac:dyDescent="0.75">
      <c r="A40" s="93">
        <v>666521</v>
      </c>
      <c r="B40" s="94" t="s">
        <v>30</v>
      </c>
      <c r="C40" s="127" t="s">
        <v>31</v>
      </c>
      <c r="D40" s="128">
        <v>0</v>
      </c>
      <c r="E40" s="129">
        <f t="shared" si="5"/>
        <v>0</v>
      </c>
      <c r="F40" s="96">
        <v>0</v>
      </c>
      <c r="G40" s="96">
        <v>0</v>
      </c>
      <c r="H40" s="96">
        <v>0</v>
      </c>
      <c r="I40" s="96">
        <v>0</v>
      </c>
      <c r="J40" s="130">
        <v>0</v>
      </c>
      <c r="K40" s="131">
        <f t="shared" si="6"/>
        <v>0</v>
      </c>
      <c r="L40" s="132">
        <v>0</v>
      </c>
      <c r="M40" s="96">
        <v>0</v>
      </c>
      <c r="N40" s="96">
        <v>0</v>
      </c>
      <c r="O40" s="96">
        <v>0</v>
      </c>
      <c r="P40" s="100">
        <v>0</v>
      </c>
      <c r="Q40" s="101">
        <f t="shared" si="7"/>
        <v>0</v>
      </c>
      <c r="R40" s="101">
        <f t="shared" si="8"/>
        <v>0</v>
      </c>
      <c r="S40" s="102"/>
    </row>
    <row r="41" spans="1:24" ht="15" customHeight="1" x14ac:dyDescent="0.75">
      <c r="A41" s="93">
        <v>666522</v>
      </c>
      <c r="B41" s="94" t="s">
        <v>32</v>
      </c>
      <c r="C41" s="127" t="s">
        <v>33</v>
      </c>
      <c r="D41" s="128">
        <v>205</v>
      </c>
      <c r="E41" s="129">
        <f t="shared" si="5"/>
        <v>29.285714285714285</v>
      </c>
      <c r="F41" s="96">
        <v>0</v>
      </c>
      <c r="G41" s="96">
        <v>100</v>
      </c>
      <c r="H41" s="96">
        <v>105</v>
      </c>
      <c r="I41" s="96">
        <v>0</v>
      </c>
      <c r="J41" s="130">
        <v>0</v>
      </c>
      <c r="K41" s="131">
        <f t="shared" si="6"/>
        <v>0</v>
      </c>
      <c r="L41" s="132">
        <v>0</v>
      </c>
      <c r="M41" s="96">
        <v>0</v>
      </c>
      <c r="N41" s="96">
        <v>0</v>
      </c>
      <c r="O41" s="96">
        <v>0</v>
      </c>
      <c r="P41" s="100">
        <v>0</v>
      </c>
      <c r="Q41" s="133">
        <f t="shared" si="7"/>
        <v>205</v>
      </c>
      <c r="R41" s="101">
        <f t="shared" si="8"/>
        <v>0</v>
      </c>
      <c r="S41" s="102"/>
    </row>
    <row r="42" spans="1:24" ht="15" customHeight="1" x14ac:dyDescent="0.75">
      <c r="A42" s="93">
        <v>666523</v>
      </c>
      <c r="B42" s="94" t="s">
        <v>34</v>
      </c>
      <c r="C42" s="127" t="s">
        <v>35</v>
      </c>
      <c r="D42" s="128">
        <v>47</v>
      </c>
      <c r="E42" s="129">
        <f t="shared" si="5"/>
        <v>6.7142857142857144</v>
      </c>
      <c r="F42" s="96">
        <v>0</v>
      </c>
      <c r="G42" s="96">
        <v>47</v>
      </c>
      <c r="H42" s="96">
        <v>0</v>
      </c>
      <c r="I42" s="96">
        <v>0</v>
      </c>
      <c r="J42" s="130">
        <v>0</v>
      </c>
      <c r="K42" s="131">
        <f t="shared" si="6"/>
        <v>0</v>
      </c>
      <c r="L42" s="132">
        <v>0</v>
      </c>
      <c r="M42" s="96">
        <v>0</v>
      </c>
      <c r="N42" s="96">
        <v>0</v>
      </c>
      <c r="O42" s="96">
        <v>0</v>
      </c>
      <c r="P42" s="100">
        <v>0</v>
      </c>
      <c r="Q42" s="133">
        <f t="shared" si="7"/>
        <v>47</v>
      </c>
      <c r="R42" s="101">
        <f t="shared" si="8"/>
        <v>0</v>
      </c>
      <c r="S42" s="102"/>
    </row>
    <row r="43" spans="1:24" ht="15" customHeight="1" x14ac:dyDescent="0.75">
      <c r="A43" s="93">
        <v>666530</v>
      </c>
      <c r="B43" s="94" t="s">
        <v>36</v>
      </c>
      <c r="C43" s="127" t="s">
        <v>37</v>
      </c>
      <c r="D43" s="128">
        <v>0</v>
      </c>
      <c r="E43" s="129">
        <f t="shared" si="5"/>
        <v>0</v>
      </c>
      <c r="F43" s="96">
        <v>0</v>
      </c>
      <c r="G43" s="96">
        <v>0</v>
      </c>
      <c r="H43" s="96">
        <v>0</v>
      </c>
      <c r="I43" s="96">
        <v>0</v>
      </c>
      <c r="J43" s="130">
        <v>0</v>
      </c>
      <c r="K43" s="131">
        <f t="shared" si="6"/>
        <v>0</v>
      </c>
      <c r="L43" s="132">
        <v>0</v>
      </c>
      <c r="M43" s="96">
        <v>0</v>
      </c>
      <c r="N43" s="96">
        <v>0</v>
      </c>
      <c r="O43" s="96">
        <v>0</v>
      </c>
      <c r="P43" s="100">
        <v>0</v>
      </c>
      <c r="Q43" s="101">
        <f t="shared" si="7"/>
        <v>0</v>
      </c>
      <c r="R43" s="101">
        <f t="shared" si="8"/>
        <v>0</v>
      </c>
      <c r="S43" s="102"/>
    </row>
    <row r="44" spans="1:24" ht="15" customHeight="1" x14ac:dyDescent="0.75">
      <c r="A44" s="93">
        <v>666531</v>
      </c>
      <c r="B44" s="94" t="s">
        <v>38</v>
      </c>
      <c r="C44" s="127" t="s">
        <v>39</v>
      </c>
      <c r="D44" s="128">
        <v>0</v>
      </c>
      <c r="E44" s="129">
        <f t="shared" si="5"/>
        <v>0</v>
      </c>
      <c r="F44" s="96">
        <v>0</v>
      </c>
      <c r="G44" s="96">
        <v>0</v>
      </c>
      <c r="H44" s="96">
        <v>0</v>
      </c>
      <c r="I44" s="96">
        <v>0</v>
      </c>
      <c r="J44" s="130">
        <v>0</v>
      </c>
      <c r="K44" s="131">
        <f t="shared" si="6"/>
        <v>0</v>
      </c>
      <c r="L44" s="132">
        <v>0</v>
      </c>
      <c r="M44" s="96">
        <v>0</v>
      </c>
      <c r="N44" s="96">
        <v>0</v>
      </c>
      <c r="O44" s="96">
        <v>0</v>
      </c>
      <c r="P44" s="100">
        <v>0</v>
      </c>
      <c r="Q44" s="101">
        <f t="shared" si="7"/>
        <v>0</v>
      </c>
      <c r="R44" s="101">
        <f t="shared" si="8"/>
        <v>0</v>
      </c>
      <c r="S44" s="102">
        <f>+R44/3</f>
        <v>0</v>
      </c>
    </row>
    <row r="45" spans="1:24" ht="15" customHeight="1" x14ac:dyDescent="0.75">
      <c r="A45" s="93">
        <v>666540</v>
      </c>
      <c r="B45" s="94" t="s">
        <v>40</v>
      </c>
      <c r="C45" s="127" t="s">
        <v>40</v>
      </c>
      <c r="D45" s="128">
        <v>240</v>
      </c>
      <c r="E45" s="129">
        <f t="shared" si="5"/>
        <v>34.285714285714285</v>
      </c>
      <c r="F45" s="96">
        <v>0</v>
      </c>
      <c r="G45" s="96">
        <v>8</v>
      </c>
      <c r="H45" s="96">
        <v>11</v>
      </c>
      <c r="I45" s="96">
        <v>4</v>
      </c>
      <c r="J45" s="130">
        <v>8</v>
      </c>
      <c r="K45" s="131">
        <f t="shared" si="6"/>
        <v>52.25</v>
      </c>
      <c r="L45" s="132">
        <v>0</v>
      </c>
      <c r="M45" s="96">
        <v>6</v>
      </c>
      <c r="N45" s="96">
        <v>6</v>
      </c>
      <c r="O45" s="96">
        <v>6</v>
      </c>
      <c r="P45" s="100">
        <v>4</v>
      </c>
      <c r="Q45" s="101">
        <f t="shared" si="7"/>
        <v>53</v>
      </c>
      <c r="R45" s="101">
        <f t="shared" si="8"/>
        <v>187</v>
      </c>
      <c r="S45" s="102">
        <f>+R45/3</f>
        <v>62.333333333333336</v>
      </c>
    </row>
    <row r="46" spans="1:24" ht="15" customHeight="1" x14ac:dyDescent="0.75">
      <c r="A46" s="93">
        <v>666541</v>
      </c>
      <c r="B46" s="94" t="s">
        <v>41</v>
      </c>
      <c r="C46" s="127"/>
      <c r="D46" s="128">
        <v>240</v>
      </c>
      <c r="E46" s="129">
        <f t="shared" si="5"/>
        <v>34.285714285714285</v>
      </c>
      <c r="F46" s="96">
        <v>0</v>
      </c>
      <c r="G46" s="96">
        <v>37</v>
      </c>
      <c r="H46" s="96">
        <v>53</v>
      </c>
      <c r="I46" s="96">
        <v>34</v>
      </c>
      <c r="J46" s="130">
        <v>32</v>
      </c>
      <c r="K46" s="131">
        <f t="shared" si="6"/>
        <v>21</v>
      </c>
      <c r="L46" s="132">
        <v>0</v>
      </c>
      <c r="M46" s="96">
        <v>46</v>
      </c>
      <c r="N46" s="96">
        <v>52</v>
      </c>
      <c r="O46" s="96">
        <v>6</v>
      </c>
      <c r="P46" s="100">
        <v>0</v>
      </c>
      <c r="Q46" s="158">
        <f t="shared" si="7"/>
        <v>260</v>
      </c>
      <c r="R46" s="101">
        <f t="shared" si="8"/>
        <v>-20</v>
      </c>
      <c r="S46" s="102"/>
    </row>
    <row r="47" spans="1:24" ht="15" customHeight="1" x14ac:dyDescent="0.75">
      <c r="A47" s="93">
        <v>666536</v>
      </c>
      <c r="B47" s="94" t="s">
        <v>42</v>
      </c>
      <c r="C47" s="134" t="s">
        <v>41</v>
      </c>
      <c r="D47" s="128">
        <v>0</v>
      </c>
      <c r="E47" s="129">
        <f t="shared" si="5"/>
        <v>0</v>
      </c>
      <c r="F47" s="96">
        <v>0</v>
      </c>
      <c r="G47" s="96">
        <v>0</v>
      </c>
      <c r="H47" s="96">
        <v>0</v>
      </c>
      <c r="I47" s="96">
        <v>0</v>
      </c>
      <c r="J47" s="130">
        <v>0</v>
      </c>
      <c r="K47" s="131">
        <f t="shared" si="6"/>
        <v>0</v>
      </c>
      <c r="L47" s="132">
        <v>0</v>
      </c>
      <c r="M47" s="96">
        <v>0</v>
      </c>
      <c r="N47" s="96">
        <v>0</v>
      </c>
      <c r="O47" s="96">
        <v>0</v>
      </c>
      <c r="P47" s="100">
        <v>0</v>
      </c>
      <c r="Q47" s="101">
        <f t="shared" si="7"/>
        <v>0</v>
      </c>
      <c r="R47" s="101">
        <f t="shared" si="8"/>
        <v>0</v>
      </c>
      <c r="S47" s="102">
        <f>+R47/3</f>
        <v>0</v>
      </c>
      <c r="X47" s="79" t="s">
        <v>152</v>
      </c>
    </row>
    <row r="48" spans="1:24" ht="15" customHeight="1" x14ac:dyDescent="0.75">
      <c r="A48" s="135"/>
      <c r="B48" s="136"/>
      <c r="C48" s="134"/>
      <c r="D48" s="137"/>
      <c r="E48" s="137"/>
      <c r="F48" s="138"/>
      <c r="G48" s="139"/>
      <c r="H48" s="139"/>
      <c r="I48" s="139"/>
      <c r="J48" s="139"/>
      <c r="K48" s="140"/>
      <c r="L48" s="139"/>
      <c r="M48" s="139"/>
      <c r="N48" s="139"/>
      <c r="O48" s="139"/>
      <c r="P48" s="141"/>
      <c r="Q48" s="101"/>
      <c r="R48" s="101"/>
      <c r="S48" s="102"/>
    </row>
    <row r="49" spans="1:18" ht="15" customHeight="1" x14ac:dyDescent="0.75">
      <c r="A49" s="3" t="str">
        <f>+A1</f>
        <v>Weeks of 1/26/26 &amp; 2/2/26</v>
      </c>
      <c r="B49" s="3"/>
      <c r="C49" s="3"/>
      <c r="D49" s="3"/>
      <c r="E49" s="3"/>
      <c r="F49" s="142"/>
      <c r="G49" s="81"/>
      <c r="H49" s="81"/>
      <c r="I49" s="81"/>
      <c r="J49" s="81"/>
      <c r="K49" s="81"/>
      <c r="L49" s="81"/>
      <c r="M49" s="81"/>
      <c r="N49" s="81"/>
      <c r="O49" s="81"/>
      <c r="P49" s="82"/>
      <c r="Q49" s="101"/>
    </row>
    <row r="50" spans="1:18" ht="36.75" customHeight="1" x14ac:dyDescent="0.75">
      <c r="A50" s="83"/>
      <c r="B50" s="143" t="s">
        <v>66</v>
      </c>
      <c r="C50" s="144"/>
      <c r="D50" s="86" t="s">
        <v>122</v>
      </c>
      <c r="E50" s="86" t="s">
        <v>173</v>
      </c>
      <c r="F50" s="88" t="s">
        <v>162</v>
      </c>
      <c r="G50" s="86" t="s">
        <v>163</v>
      </c>
      <c r="H50" s="87" t="s">
        <v>164</v>
      </c>
      <c r="I50" s="86" t="s">
        <v>165</v>
      </c>
      <c r="J50" s="86" t="s">
        <v>166</v>
      </c>
      <c r="K50" s="89" t="str">
        <f>+K26</f>
        <v>2nd wk daily goals</v>
      </c>
      <c r="L50" s="88" t="s">
        <v>162</v>
      </c>
      <c r="M50" s="86" t="s">
        <v>163</v>
      </c>
      <c r="N50" s="87" t="s">
        <v>164</v>
      </c>
      <c r="O50" s="86" t="s">
        <v>165</v>
      </c>
      <c r="P50" s="90" t="s">
        <v>166</v>
      </c>
      <c r="Q50" s="101"/>
      <c r="R50" s="92" t="s">
        <v>168</v>
      </c>
    </row>
    <row r="51" spans="1:18" ht="14.25" customHeight="1" x14ac:dyDescent="0.75">
      <c r="A51" s="93">
        <v>666501</v>
      </c>
      <c r="B51" s="94" t="s">
        <v>4</v>
      </c>
      <c r="C51" s="95" t="s">
        <v>5</v>
      </c>
      <c r="D51" s="96">
        <v>0</v>
      </c>
      <c r="E51" s="97">
        <f t="shared" ref="E51:E71" si="10">+D51/2</f>
        <v>0</v>
      </c>
      <c r="F51" s="96">
        <v>0</v>
      </c>
      <c r="G51" s="96">
        <v>0</v>
      </c>
      <c r="H51" s="96">
        <v>0</v>
      </c>
      <c r="I51" s="96">
        <v>0</v>
      </c>
      <c r="J51" s="96">
        <v>0</v>
      </c>
      <c r="K51" s="99">
        <f t="shared" ref="K51:K71" si="11">(+D51-SUM(F51:J51))/4</f>
        <v>0</v>
      </c>
      <c r="L51" s="96">
        <v>0</v>
      </c>
      <c r="M51" s="96">
        <v>0</v>
      </c>
      <c r="N51" s="96">
        <v>0</v>
      </c>
      <c r="O51" s="96">
        <v>0</v>
      </c>
      <c r="P51" s="100">
        <v>0</v>
      </c>
      <c r="Q51" s="101">
        <f t="shared" ref="Q51:Q71" si="12">SUM(F51:J51)+SUM(L51:P51)</f>
        <v>0</v>
      </c>
      <c r="R51" s="101">
        <f t="shared" ref="R51:R71" si="13">+D51-Q51</f>
        <v>0</v>
      </c>
    </row>
    <row r="52" spans="1:18" ht="14.25" customHeight="1" x14ac:dyDescent="0.75">
      <c r="A52" s="93">
        <v>666502</v>
      </c>
      <c r="B52" s="94" t="s">
        <v>6</v>
      </c>
      <c r="C52" s="95" t="s">
        <v>7</v>
      </c>
      <c r="D52" s="96">
        <v>40</v>
      </c>
      <c r="E52" s="97">
        <f t="shared" si="10"/>
        <v>20</v>
      </c>
      <c r="F52" s="96">
        <v>0</v>
      </c>
      <c r="G52" s="96">
        <v>0</v>
      </c>
      <c r="H52" s="96">
        <v>0</v>
      </c>
      <c r="I52" s="96">
        <v>18</v>
      </c>
      <c r="J52" s="96">
        <v>0</v>
      </c>
      <c r="K52" s="99">
        <f t="shared" si="11"/>
        <v>5.5</v>
      </c>
      <c r="L52" s="96">
        <v>0</v>
      </c>
      <c r="M52" s="96">
        <v>22</v>
      </c>
      <c r="N52" s="96">
        <v>0</v>
      </c>
      <c r="O52" s="96">
        <v>0</v>
      </c>
      <c r="P52" s="100">
        <v>0</v>
      </c>
      <c r="Q52" s="133">
        <f t="shared" si="12"/>
        <v>40</v>
      </c>
      <c r="R52" s="101">
        <f t="shared" si="13"/>
        <v>0</v>
      </c>
    </row>
    <row r="53" spans="1:18" ht="14.25" customHeight="1" x14ac:dyDescent="0.75">
      <c r="A53" s="93">
        <v>666505</v>
      </c>
      <c r="B53" s="94" t="s">
        <v>8</v>
      </c>
      <c r="C53" s="95" t="s">
        <v>9</v>
      </c>
      <c r="D53" s="96">
        <v>41</v>
      </c>
      <c r="E53" s="97">
        <f t="shared" si="10"/>
        <v>20.5</v>
      </c>
      <c r="F53" s="96">
        <v>0</v>
      </c>
      <c r="G53" s="96">
        <v>41</v>
      </c>
      <c r="H53" s="96">
        <v>0</v>
      </c>
      <c r="I53" s="96">
        <v>0</v>
      </c>
      <c r="J53" s="96">
        <v>0</v>
      </c>
      <c r="K53" s="99">
        <f t="shared" si="11"/>
        <v>0</v>
      </c>
      <c r="L53" s="96">
        <v>0</v>
      </c>
      <c r="M53" s="96">
        <v>0</v>
      </c>
      <c r="N53" s="96">
        <v>0</v>
      </c>
      <c r="O53" s="96">
        <v>0</v>
      </c>
      <c r="P53" s="100">
        <v>0</v>
      </c>
      <c r="Q53" s="133">
        <f t="shared" si="12"/>
        <v>41</v>
      </c>
      <c r="R53" s="101">
        <f t="shared" si="13"/>
        <v>0</v>
      </c>
    </row>
    <row r="54" spans="1:18" ht="14.25" customHeight="1" x14ac:dyDescent="0.75">
      <c r="A54" s="93">
        <v>666506</v>
      </c>
      <c r="B54" s="94" t="s">
        <v>10</v>
      </c>
      <c r="C54" s="95" t="s">
        <v>11</v>
      </c>
      <c r="D54" s="96">
        <v>0</v>
      </c>
      <c r="E54" s="97">
        <f t="shared" si="10"/>
        <v>0</v>
      </c>
      <c r="F54" s="96">
        <v>0</v>
      </c>
      <c r="G54" s="96">
        <v>0</v>
      </c>
      <c r="H54" s="96">
        <v>0</v>
      </c>
      <c r="I54" s="96">
        <v>0</v>
      </c>
      <c r="J54" s="96">
        <v>0</v>
      </c>
      <c r="K54" s="99">
        <f t="shared" si="11"/>
        <v>0</v>
      </c>
      <c r="L54" s="96">
        <v>0</v>
      </c>
      <c r="M54" s="96">
        <v>0</v>
      </c>
      <c r="N54" s="96">
        <v>0</v>
      </c>
      <c r="O54" s="96">
        <v>0</v>
      </c>
      <c r="P54" s="100">
        <v>0</v>
      </c>
      <c r="Q54" s="101">
        <f t="shared" si="12"/>
        <v>0</v>
      </c>
      <c r="R54" s="101">
        <f t="shared" si="13"/>
        <v>0</v>
      </c>
    </row>
    <row r="55" spans="1:18" ht="14.25" customHeight="1" x14ac:dyDescent="0.75">
      <c r="A55" s="93">
        <v>666507</v>
      </c>
      <c r="B55" s="94" t="s">
        <v>12</v>
      </c>
      <c r="C55" s="95" t="s">
        <v>13</v>
      </c>
      <c r="D55" s="96">
        <v>0</v>
      </c>
      <c r="E55" s="97">
        <f t="shared" si="10"/>
        <v>0</v>
      </c>
      <c r="F55" s="96">
        <v>0</v>
      </c>
      <c r="G55" s="96">
        <v>0</v>
      </c>
      <c r="H55" s="96">
        <v>0</v>
      </c>
      <c r="I55" s="96">
        <v>0</v>
      </c>
      <c r="J55" s="96">
        <v>0</v>
      </c>
      <c r="K55" s="99">
        <f t="shared" si="11"/>
        <v>0</v>
      </c>
      <c r="L55" s="96">
        <v>0</v>
      </c>
      <c r="M55" s="96">
        <v>0</v>
      </c>
      <c r="N55" s="96">
        <v>0</v>
      </c>
      <c r="O55" s="96">
        <v>0</v>
      </c>
      <c r="P55" s="100">
        <v>0</v>
      </c>
      <c r="Q55" s="101">
        <f t="shared" si="12"/>
        <v>0</v>
      </c>
      <c r="R55" s="101">
        <f t="shared" si="13"/>
        <v>0</v>
      </c>
    </row>
    <row r="56" spans="1:18" ht="14.25" customHeight="1" x14ac:dyDescent="0.75">
      <c r="A56" s="93">
        <v>666509</v>
      </c>
      <c r="B56" s="94" t="s">
        <v>14</v>
      </c>
      <c r="C56" s="95" t="s">
        <v>15</v>
      </c>
      <c r="D56" s="96">
        <v>0</v>
      </c>
      <c r="E56" s="97">
        <f t="shared" si="10"/>
        <v>0</v>
      </c>
      <c r="F56" s="96">
        <v>0</v>
      </c>
      <c r="G56" s="96">
        <v>0</v>
      </c>
      <c r="H56" s="96">
        <v>0</v>
      </c>
      <c r="I56" s="96">
        <v>0</v>
      </c>
      <c r="J56" s="96">
        <v>0</v>
      </c>
      <c r="K56" s="99">
        <f t="shared" si="11"/>
        <v>0</v>
      </c>
      <c r="L56" s="96">
        <v>0</v>
      </c>
      <c r="M56" s="96">
        <v>0</v>
      </c>
      <c r="N56" s="96">
        <v>0</v>
      </c>
      <c r="O56" s="96">
        <v>0</v>
      </c>
      <c r="P56" s="100">
        <v>0</v>
      </c>
      <c r="Q56" s="101">
        <f t="shared" si="12"/>
        <v>0</v>
      </c>
      <c r="R56" s="101">
        <f t="shared" si="13"/>
        <v>0</v>
      </c>
    </row>
    <row r="57" spans="1:18" ht="14.25" customHeight="1" x14ac:dyDescent="0.75">
      <c r="A57" s="93">
        <v>666510</v>
      </c>
      <c r="B57" s="94" t="s">
        <v>16</v>
      </c>
      <c r="C57" s="95" t="s">
        <v>169</v>
      </c>
      <c r="D57" s="96">
        <v>0</v>
      </c>
      <c r="E57" s="97">
        <f t="shared" si="10"/>
        <v>0</v>
      </c>
      <c r="F57" s="96">
        <v>0</v>
      </c>
      <c r="G57" s="96">
        <v>0</v>
      </c>
      <c r="H57" s="96">
        <v>0</v>
      </c>
      <c r="I57" s="96">
        <v>0</v>
      </c>
      <c r="J57" s="96">
        <v>0</v>
      </c>
      <c r="K57" s="99">
        <f t="shared" si="11"/>
        <v>0</v>
      </c>
      <c r="L57" s="96">
        <v>0</v>
      </c>
      <c r="M57" s="96">
        <v>0</v>
      </c>
      <c r="N57" s="96">
        <v>0</v>
      </c>
      <c r="O57" s="96">
        <v>0</v>
      </c>
      <c r="P57" s="100">
        <v>0</v>
      </c>
      <c r="Q57" s="101">
        <f t="shared" si="12"/>
        <v>0</v>
      </c>
      <c r="R57" s="101">
        <f t="shared" si="13"/>
        <v>0</v>
      </c>
    </row>
    <row r="58" spans="1:18" ht="14.25" customHeight="1" x14ac:dyDescent="0.75">
      <c r="A58" s="93">
        <v>666511</v>
      </c>
      <c r="B58" s="94" t="s">
        <v>18</v>
      </c>
      <c r="C58" s="95" t="s">
        <v>19</v>
      </c>
      <c r="D58" s="96">
        <v>0</v>
      </c>
      <c r="E58" s="97">
        <f t="shared" si="10"/>
        <v>0</v>
      </c>
      <c r="F58" s="96">
        <v>0</v>
      </c>
      <c r="G58" s="96">
        <v>0</v>
      </c>
      <c r="H58" s="96">
        <v>0</v>
      </c>
      <c r="I58" s="96">
        <v>0</v>
      </c>
      <c r="J58" s="96">
        <v>0</v>
      </c>
      <c r="K58" s="99">
        <f t="shared" si="11"/>
        <v>0</v>
      </c>
      <c r="L58" s="96">
        <v>0</v>
      </c>
      <c r="M58" s="96">
        <v>0</v>
      </c>
      <c r="N58" s="96">
        <v>0</v>
      </c>
      <c r="O58" s="96">
        <v>0</v>
      </c>
      <c r="P58" s="100">
        <v>0</v>
      </c>
      <c r="Q58" s="101">
        <f t="shared" si="12"/>
        <v>0</v>
      </c>
      <c r="R58" s="101">
        <f t="shared" si="13"/>
        <v>0</v>
      </c>
    </row>
    <row r="59" spans="1:18" ht="14.25" customHeight="1" x14ac:dyDescent="0.75">
      <c r="A59" s="93">
        <v>666513</v>
      </c>
      <c r="B59" s="94" t="s">
        <v>20</v>
      </c>
      <c r="C59" s="95" t="s">
        <v>21</v>
      </c>
      <c r="D59" s="96">
        <v>0</v>
      </c>
      <c r="E59" s="97">
        <f t="shared" si="10"/>
        <v>0</v>
      </c>
      <c r="F59" s="96">
        <v>0</v>
      </c>
      <c r="G59" s="96">
        <v>0</v>
      </c>
      <c r="H59" s="96">
        <v>0</v>
      </c>
      <c r="I59" s="96">
        <v>0</v>
      </c>
      <c r="J59" s="96">
        <v>0</v>
      </c>
      <c r="K59" s="99">
        <f t="shared" si="11"/>
        <v>0</v>
      </c>
      <c r="L59" s="96">
        <v>0</v>
      </c>
      <c r="M59" s="96">
        <v>0</v>
      </c>
      <c r="N59" s="96">
        <v>0</v>
      </c>
      <c r="O59" s="96">
        <v>0</v>
      </c>
      <c r="P59" s="100">
        <v>0</v>
      </c>
      <c r="Q59" s="101">
        <f t="shared" si="12"/>
        <v>0</v>
      </c>
      <c r="R59" s="101">
        <f t="shared" si="13"/>
        <v>0</v>
      </c>
    </row>
    <row r="60" spans="1:18" ht="14.25" customHeight="1" x14ac:dyDescent="0.75">
      <c r="A60" s="93">
        <v>666516</v>
      </c>
      <c r="B60" s="94" t="s">
        <v>22</v>
      </c>
      <c r="C60" s="95" t="s">
        <v>23</v>
      </c>
      <c r="D60" s="96">
        <v>20</v>
      </c>
      <c r="E60" s="97">
        <f t="shared" si="10"/>
        <v>10</v>
      </c>
      <c r="F60" s="96">
        <v>0</v>
      </c>
      <c r="G60" s="96">
        <v>20</v>
      </c>
      <c r="H60" s="96">
        <v>0</v>
      </c>
      <c r="I60" s="96">
        <v>0</v>
      </c>
      <c r="J60" s="96">
        <v>0</v>
      </c>
      <c r="K60" s="99">
        <f t="shared" si="11"/>
        <v>0</v>
      </c>
      <c r="L60" s="96">
        <v>0</v>
      </c>
      <c r="M60" s="96">
        <v>0</v>
      </c>
      <c r="N60" s="96">
        <v>0</v>
      </c>
      <c r="O60" s="96">
        <v>0</v>
      </c>
      <c r="P60" s="100">
        <v>0</v>
      </c>
      <c r="Q60" s="133">
        <f t="shared" si="12"/>
        <v>20</v>
      </c>
      <c r="R60" s="101">
        <f t="shared" si="13"/>
        <v>0</v>
      </c>
    </row>
    <row r="61" spans="1:18" ht="14.25" customHeight="1" x14ac:dyDescent="0.75">
      <c r="A61" s="93">
        <v>666517</v>
      </c>
      <c r="B61" s="94" t="s">
        <v>24</v>
      </c>
      <c r="C61" s="95" t="s">
        <v>25</v>
      </c>
      <c r="D61" s="96">
        <v>15</v>
      </c>
      <c r="E61" s="97">
        <f t="shared" si="10"/>
        <v>7.5</v>
      </c>
      <c r="F61" s="96">
        <v>0</v>
      </c>
      <c r="G61" s="96">
        <v>15</v>
      </c>
      <c r="H61" s="96">
        <v>0</v>
      </c>
      <c r="I61" s="96">
        <v>0</v>
      </c>
      <c r="J61" s="96">
        <v>0</v>
      </c>
      <c r="K61" s="99">
        <f t="shared" si="11"/>
        <v>0</v>
      </c>
      <c r="L61" s="96">
        <v>0</v>
      </c>
      <c r="M61" s="96">
        <v>0</v>
      </c>
      <c r="N61" s="96">
        <v>0</v>
      </c>
      <c r="O61" s="96">
        <v>0</v>
      </c>
      <c r="P61" s="100">
        <v>0</v>
      </c>
      <c r="Q61" s="133">
        <f t="shared" si="12"/>
        <v>15</v>
      </c>
      <c r="R61" s="101">
        <f t="shared" si="13"/>
        <v>0</v>
      </c>
    </row>
    <row r="62" spans="1:18" ht="14.25" customHeight="1" x14ac:dyDescent="0.75">
      <c r="A62" s="93">
        <v>666518</v>
      </c>
      <c r="B62" s="94" t="s">
        <v>26</v>
      </c>
      <c r="C62" s="95" t="s">
        <v>27</v>
      </c>
      <c r="D62" s="96">
        <v>0</v>
      </c>
      <c r="E62" s="97">
        <f t="shared" si="10"/>
        <v>0</v>
      </c>
      <c r="F62" s="96">
        <v>0</v>
      </c>
      <c r="G62" s="96">
        <v>0</v>
      </c>
      <c r="H62" s="96">
        <v>0</v>
      </c>
      <c r="I62" s="96">
        <v>0</v>
      </c>
      <c r="J62" s="96">
        <v>0</v>
      </c>
      <c r="K62" s="99">
        <f t="shared" si="11"/>
        <v>0</v>
      </c>
      <c r="L62" s="96">
        <v>0</v>
      </c>
      <c r="M62" s="96">
        <v>0</v>
      </c>
      <c r="N62" s="96">
        <v>0</v>
      </c>
      <c r="O62" s="96">
        <v>0</v>
      </c>
      <c r="P62" s="100">
        <v>0</v>
      </c>
      <c r="Q62" s="101">
        <f t="shared" si="12"/>
        <v>0</v>
      </c>
      <c r="R62" s="101">
        <f t="shared" si="13"/>
        <v>0</v>
      </c>
    </row>
    <row r="63" spans="1:18" ht="14.25" customHeight="1" x14ac:dyDescent="0.75">
      <c r="A63" s="93">
        <v>666519</v>
      </c>
      <c r="B63" s="94" t="s">
        <v>28</v>
      </c>
      <c r="C63" s="95" t="s">
        <v>29</v>
      </c>
      <c r="D63" s="96">
        <v>30</v>
      </c>
      <c r="E63" s="97">
        <f t="shared" si="10"/>
        <v>15</v>
      </c>
      <c r="F63" s="96">
        <v>0</v>
      </c>
      <c r="G63" s="96">
        <v>25</v>
      </c>
      <c r="H63" s="96">
        <v>0</v>
      </c>
      <c r="I63" s="96">
        <v>5</v>
      </c>
      <c r="J63" s="96">
        <v>0</v>
      </c>
      <c r="K63" s="99">
        <f t="shared" si="11"/>
        <v>0</v>
      </c>
      <c r="L63" s="96">
        <v>0</v>
      </c>
      <c r="M63" s="96">
        <v>0</v>
      </c>
      <c r="N63" s="96">
        <v>0</v>
      </c>
      <c r="O63" s="96">
        <v>0</v>
      </c>
      <c r="P63" s="100">
        <v>0</v>
      </c>
      <c r="Q63" s="133">
        <f t="shared" si="12"/>
        <v>30</v>
      </c>
      <c r="R63" s="101">
        <f t="shared" si="13"/>
        <v>0</v>
      </c>
    </row>
    <row r="64" spans="1:18" ht="14.25" customHeight="1" x14ac:dyDescent="0.75">
      <c r="A64" s="93">
        <v>666521</v>
      </c>
      <c r="B64" s="94" t="s">
        <v>30</v>
      </c>
      <c r="C64" s="95" t="s">
        <v>31</v>
      </c>
      <c r="D64" s="96">
        <v>0</v>
      </c>
      <c r="E64" s="97">
        <f t="shared" si="10"/>
        <v>0</v>
      </c>
      <c r="F64" s="96">
        <v>0</v>
      </c>
      <c r="G64" s="96">
        <v>0</v>
      </c>
      <c r="H64" s="96">
        <v>0</v>
      </c>
      <c r="I64" s="96">
        <v>0</v>
      </c>
      <c r="J64" s="96">
        <v>0</v>
      </c>
      <c r="K64" s="99">
        <f t="shared" si="11"/>
        <v>0</v>
      </c>
      <c r="L64" s="96">
        <v>0</v>
      </c>
      <c r="M64" s="96">
        <v>0</v>
      </c>
      <c r="N64" s="96">
        <v>0</v>
      </c>
      <c r="O64" s="96">
        <v>0</v>
      </c>
      <c r="P64" s="100">
        <v>0</v>
      </c>
      <c r="Q64" s="101">
        <f t="shared" si="12"/>
        <v>0</v>
      </c>
      <c r="R64" s="101">
        <f t="shared" si="13"/>
        <v>0</v>
      </c>
    </row>
    <row r="65" spans="1:18" ht="14.25" customHeight="1" x14ac:dyDescent="0.75">
      <c r="A65" s="93">
        <v>666522</v>
      </c>
      <c r="B65" s="94" t="s">
        <v>32</v>
      </c>
      <c r="C65" s="95" t="s">
        <v>33</v>
      </c>
      <c r="D65" s="96">
        <v>85</v>
      </c>
      <c r="E65" s="97">
        <f t="shared" si="10"/>
        <v>42.5</v>
      </c>
      <c r="F65" s="96">
        <v>0</v>
      </c>
      <c r="G65" s="96">
        <v>80</v>
      </c>
      <c r="H65" s="96">
        <v>0</v>
      </c>
      <c r="I65" s="96">
        <v>5</v>
      </c>
      <c r="J65" s="96">
        <v>0</v>
      </c>
      <c r="K65" s="99">
        <f t="shared" si="11"/>
        <v>0</v>
      </c>
      <c r="L65" s="96">
        <v>0</v>
      </c>
      <c r="M65" s="96">
        <v>0</v>
      </c>
      <c r="N65" s="96">
        <v>0</v>
      </c>
      <c r="O65" s="96">
        <v>0</v>
      </c>
      <c r="P65" s="100">
        <v>0</v>
      </c>
      <c r="Q65" s="133">
        <f t="shared" si="12"/>
        <v>85</v>
      </c>
      <c r="R65" s="101">
        <f t="shared" si="13"/>
        <v>0</v>
      </c>
    </row>
    <row r="66" spans="1:18" ht="14.25" customHeight="1" x14ac:dyDescent="0.75">
      <c r="A66" s="93">
        <v>666523</v>
      </c>
      <c r="B66" s="94" t="s">
        <v>34</v>
      </c>
      <c r="C66" s="95" t="s">
        <v>35</v>
      </c>
      <c r="D66" s="96">
        <v>12</v>
      </c>
      <c r="E66" s="97">
        <f t="shared" si="10"/>
        <v>6</v>
      </c>
      <c r="F66" s="96">
        <v>0</v>
      </c>
      <c r="G66" s="96">
        <v>0</v>
      </c>
      <c r="H66" s="96">
        <v>0</v>
      </c>
      <c r="I66" s="96">
        <v>12</v>
      </c>
      <c r="J66" s="96">
        <v>0</v>
      </c>
      <c r="K66" s="99">
        <f t="shared" si="11"/>
        <v>0</v>
      </c>
      <c r="L66" s="96">
        <v>0</v>
      </c>
      <c r="M66" s="96">
        <v>0</v>
      </c>
      <c r="N66" s="96">
        <v>0</v>
      </c>
      <c r="O66" s="96">
        <v>0</v>
      </c>
      <c r="P66" s="100">
        <v>0</v>
      </c>
      <c r="Q66" s="133">
        <f t="shared" si="12"/>
        <v>12</v>
      </c>
      <c r="R66" s="101">
        <f t="shared" si="13"/>
        <v>0</v>
      </c>
    </row>
    <row r="67" spans="1:18" ht="14.25" customHeight="1" x14ac:dyDescent="0.75">
      <c r="A67" s="93">
        <v>666530</v>
      </c>
      <c r="B67" s="94" t="s">
        <v>36</v>
      </c>
      <c r="C67" s="95" t="s">
        <v>37</v>
      </c>
      <c r="D67" s="96">
        <v>15</v>
      </c>
      <c r="E67" s="97">
        <f t="shared" si="10"/>
        <v>7.5</v>
      </c>
      <c r="F67" s="96">
        <v>0</v>
      </c>
      <c r="G67" s="96">
        <v>15</v>
      </c>
      <c r="H67" s="96">
        <v>0</v>
      </c>
      <c r="I67" s="96">
        <v>0</v>
      </c>
      <c r="J67" s="96">
        <v>0</v>
      </c>
      <c r="K67" s="99">
        <f t="shared" si="11"/>
        <v>0</v>
      </c>
      <c r="L67" s="96">
        <v>0</v>
      </c>
      <c r="M67" s="96">
        <v>0</v>
      </c>
      <c r="N67" s="96">
        <v>0</v>
      </c>
      <c r="O67" s="96">
        <v>0</v>
      </c>
      <c r="P67" s="100">
        <v>0</v>
      </c>
      <c r="Q67" s="133">
        <f t="shared" si="12"/>
        <v>15</v>
      </c>
      <c r="R67" s="101">
        <f t="shared" si="13"/>
        <v>0</v>
      </c>
    </row>
    <row r="68" spans="1:18" ht="14.25" customHeight="1" x14ac:dyDescent="0.75">
      <c r="A68" s="93">
        <v>666531</v>
      </c>
      <c r="B68" s="94" t="s">
        <v>38</v>
      </c>
      <c r="C68" s="95" t="s">
        <v>39</v>
      </c>
      <c r="D68" s="96">
        <v>8</v>
      </c>
      <c r="E68" s="97">
        <f t="shared" si="10"/>
        <v>4</v>
      </c>
      <c r="F68" s="96">
        <v>0</v>
      </c>
      <c r="G68" s="96">
        <v>8</v>
      </c>
      <c r="H68" s="96">
        <v>0</v>
      </c>
      <c r="I68" s="96">
        <v>0</v>
      </c>
      <c r="J68" s="96">
        <v>0</v>
      </c>
      <c r="K68" s="99">
        <f t="shared" si="11"/>
        <v>0</v>
      </c>
      <c r="L68" s="96">
        <v>0</v>
      </c>
      <c r="M68" s="96">
        <v>0</v>
      </c>
      <c r="N68" s="96">
        <v>0</v>
      </c>
      <c r="O68" s="96">
        <v>0</v>
      </c>
      <c r="P68" s="100">
        <v>0</v>
      </c>
      <c r="Q68" s="133">
        <f t="shared" si="12"/>
        <v>8</v>
      </c>
      <c r="R68" s="101">
        <f t="shared" si="13"/>
        <v>0</v>
      </c>
    </row>
    <row r="69" spans="1:18" ht="14.25" customHeight="1" x14ac:dyDescent="0.75">
      <c r="A69" s="93">
        <v>666540</v>
      </c>
      <c r="B69" s="94" t="s">
        <v>40</v>
      </c>
      <c r="C69" s="95" t="s">
        <v>40</v>
      </c>
      <c r="D69" s="96">
        <v>0</v>
      </c>
      <c r="E69" s="97">
        <f t="shared" si="10"/>
        <v>0</v>
      </c>
      <c r="F69" s="96">
        <v>0</v>
      </c>
      <c r="G69" s="96">
        <v>0</v>
      </c>
      <c r="H69" s="96">
        <v>0</v>
      </c>
      <c r="I69" s="96">
        <v>0</v>
      </c>
      <c r="J69" s="96">
        <v>0</v>
      </c>
      <c r="K69" s="99">
        <f t="shared" si="11"/>
        <v>0</v>
      </c>
      <c r="L69" s="96">
        <v>0</v>
      </c>
      <c r="M69" s="96">
        <v>0</v>
      </c>
      <c r="N69" s="96">
        <v>0</v>
      </c>
      <c r="O69" s="96">
        <v>0</v>
      </c>
      <c r="P69" s="100">
        <v>0</v>
      </c>
      <c r="Q69" s="101">
        <f t="shared" si="12"/>
        <v>0</v>
      </c>
      <c r="R69" s="101">
        <f t="shared" si="13"/>
        <v>0</v>
      </c>
    </row>
    <row r="70" spans="1:18" ht="15" customHeight="1" x14ac:dyDescent="0.75">
      <c r="A70" s="93">
        <v>666541</v>
      </c>
      <c r="B70" s="109" t="s">
        <v>41</v>
      </c>
      <c r="C70" s="95" t="s">
        <v>41</v>
      </c>
      <c r="D70" s="96">
        <v>0</v>
      </c>
      <c r="E70" s="97">
        <f t="shared" si="10"/>
        <v>0</v>
      </c>
      <c r="F70" s="96">
        <v>0</v>
      </c>
      <c r="G70" s="96">
        <v>0</v>
      </c>
      <c r="H70" s="96">
        <v>0</v>
      </c>
      <c r="I70" s="96">
        <v>0</v>
      </c>
      <c r="J70" s="96">
        <v>0</v>
      </c>
      <c r="K70" s="99">
        <f t="shared" si="11"/>
        <v>0</v>
      </c>
      <c r="L70" s="96">
        <v>0</v>
      </c>
      <c r="M70" s="96">
        <v>0</v>
      </c>
      <c r="N70" s="96">
        <v>0</v>
      </c>
      <c r="O70" s="96">
        <v>0</v>
      </c>
      <c r="P70" s="100">
        <v>0</v>
      </c>
      <c r="Q70" s="101">
        <f t="shared" si="12"/>
        <v>0</v>
      </c>
      <c r="R70" s="101">
        <f t="shared" si="13"/>
        <v>0</v>
      </c>
    </row>
    <row r="71" spans="1:18" ht="15" customHeight="1" x14ac:dyDescent="0.75">
      <c r="A71" s="108">
        <v>666536</v>
      </c>
      <c r="B71" s="109" t="s">
        <v>42</v>
      </c>
      <c r="C71" s="103" t="s">
        <v>41</v>
      </c>
      <c r="D71" s="104">
        <v>0</v>
      </c>
      <c r="E71" s="111">
        <f t="shared" si="10"/>
        <v>0</v>
      </c>
      <c r="F71" s="104">
        <v>0</v>
      </c>
      <c r="G71" s="104">
        <v>0</v>
      </c>
      <c r="H71" s="104">
        <v>0</v>
      </c>
      <c r="I71" s="104">
        <v>0</v>
      </c>
      <c r="J71" s="104">
        <v>0</v>
      </c>
      <c r="K71" s="106">
        <f t="shared" si="11"/>
        <v>0</v>
      </c>
      <c r="L71" s="96">
        <v>0</v>
      </c>
      <c r="M71" s="96">
        <v>0</v>
      </c>
      <c r="N71" s="96">
        <v>0</v>
      </c>
      <c r="O71" s="96">
        <v>0</v>
      </c>
      <c r="P71" s="100">
        <v>0</v>
      </c>
      <c r="Q71" s="101">
        <f t="shared" si="12"/>
        <v>0</v>
      </c>
      <c r="R71" s="101">
        <f t="shared" si="13"/>
        <v>0</v>
      </c>
    </row>
  </sheetData>
  <mergeCells count="3">
    <mergeCell ref="A1:E1"/>
    <mergeCell ref="A25:E25"/>
    <mergeCell ref="A49:E49"/>
  </mergeCells>
  <conditionalFormatting sqref="F24 H24 J24">
    <cfRule type="expression" dxfId="259" priority="2">
      <formula>#REF!=F24</formula>
    </cfRule>
    <cfRule type="expression" dxfId="258" priority="3">
      <formula>#REF!&lt;F24</formula>
    </cfRule>
    <cfRule type="expression" dxfId="257" priority="4">
      <formula>#REF!&gt;F24</formula>
    </cfRule>
  </conditionalFormatting>
  <conditionalFormatting sqref="Q3">
    <cfRule type="cellIs" dxfId="256" priority="8" operator="equal">
      <formula>$D$3</formula>
    </cfRule>
  </conditionalFormatting>
  <conditionalFormatting sqref="Q5:Q22">
    <cfRule type="cellIs" dxfId="255" priority="7" operator="equal">
      <formula>$D$3</formula>
    </cfRule>
  </conditionalFormatting>
  <conditionalFormatting sqref="Q8">
    <cfRule type="cellIs" dxfId="254" priority="5" operator="lessThan">
      <formula>$D$8</formula>
    </cfRule>
    <cfRule type="cellIs" dxfId="253" priority="6" operator="equal">
      <formula>$D$8</formula>
    </cfRule>
  </conditionalFormatting>
  <pageMargins left="0.7" right="0.7" top="0.75" bottom="0.75" header="0.511811023622047" footer="0.511811023622047"/>
  <pageSetup scale="150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S26"/>
  <sheetViews>
    <sheetView topLeftCell="B1" zoomScaleNormal="100" workbookViewId="0">
      <selection activeCell="L34" sqref="L34"/>
    </sheetView>
  </sheetViews>
  <sheetFormatPr defaultColWidth="8.54296875" defaultRowHeight="14.75" x14ac:dyDescent="0.75"/>
  <cols>
    <col min="2" max="2" width="35" customWidth="1"/>
    <col min="3" max="3" width="14.6328125" hidden="1" customWidth="1"/>
    <col min="4" max="4" width="17.31640625" hidden="1" customWidth="1"/>
  </cols>
  <sheetData>
    <row r="1" spans="1:13" ht="14.25" customHeight="1" x14ac:dyDescent="0.75">
      <c r="C1" s="145" t="s">
        <v>174</v>
      </c>
    </row>
    <row r="2" spans="1:13" ht="28.5" customHeight="1" x14ac:dyDescent="0.75">
      <c r="A2" s="51"/>
      <c r="B2" s="51" t="s">
        <v>180</v>
      </c>
      <c r="C2" s="51"/>
      <c r="D2" s="51" t="s">
        <v>144</v>
      </c>
      <c r="E2" s="53" t="s">
        <v>116</v>
      </c>
      <c r="F2" s="53" t="s">
        <v>145</v>
      </c>
      <c r="G2" s="56" t="s">
        <v>119</v>
      </c>
      <c r="H2" s="53" t="s">
        <v>146</v>
      </c>
      <c r="I2" s="51" t="s">
        <v>122</v>
      </c>
      <c r="J2" s="56" t="s">
        <v>147</v>
      </c>
      <c r="K2" s="51" t="s">
        <v>148</v>
      </c>
      <c r="L2" s="53" t="s">
        <v>149</v>
      </c>
    </row>
    <row r="3" spans="1:13" ht="14.25" customHeight="1" x14ac:dyDescent="0.75">
      <c r="A3" s="50"/>
      <c r="B3" s="50"/>
      <c r="C3" s="57" t="s">
        <v>150</v>
      </c>
      <c r="D3" s="57"/>
      <c r="E3" s="57"/>
      <c r="F3" s="59"/>
      <c r="G3" s="59"/>
      <c r="H3" s="59"/>
      <c r="I3" s="59"/>
      <c r="J3" s="59"/>
      <c r="K3" s="59"/>
      <c r="L3" s="59"/>
    </row>
    <row r="4" spans="1:13" ht="14.25" customHeight="1" x14ac:dyDescent="0.75">
      <c r="A4" s="62" t="s">
        <v>129</v>
      </c>
      <c r="B4" s="62" t="s">
        <v>2</v>
      </c>
      <c r="C4" s="62" t="s">
        <v>3</v>
      </c>
      <c r="D4" s="62"/>
      <c r="E4" s="62"/>
      <c r="F4" s="62"/>
      <c r="G4" s="62"/>
      <c r="H4" s="62"/>
      <c r="I4" s="62"/>
      <c r="J4" s="62"/>
      <c r="K4" s="62"/>
      <c r="L4" s="62"/>
    </row>
    <row r="5" spans="1:13" ht="14.25" customHeight="1" x14ac:dyDescent="0.75">
      <c r="A5" s="62"/>
      <c r="B5" s="62"/>
      <c r="C5" s="62" t="s">
        <v>151</v>
      </c>
      <c r="D5" s="62"/>
      <c r="E5" s="62"/>
      <c r="F5" s="50">
        <v>138</v>
      </c>
      <c r="G5" s="50"/>
      <c r="H5" s="50">
        <v>376</v>
      </c>
      <c r="I5" s="50"/>
      <c r="J5" s="50">
        <v>62</v>
      </c>
      <c r="K5" s="62" t="s">
        <v>152</v>
      </c>
      <c r="L5" s="62">
        <f>SUM(F5:J5)</f>
        <v>576</v>
      </c>
    </row>
    <row r="6" spans="1:13" ht="14.25" customHeight="1" x14ac:dyDescent="0.75">
      <c r="A6" s="50">
        <v>666501</v>
      </c>
      <c r="B6" s="73" t="s">
        <v>4</v>
      </c>
      <c r="C6" s="73" t="s">
        <v>5</v>
      </c>
      <c r="D6" s="50">
        <f t="shared" ref="D6:D25" si="0">+K6</f>
        <v>0</v>
      </c>
      <c r="E6" s="50">
        <v>0</v>
      </c>
      <c r="F6" s="50">
        <v>0</v>
      </c>
      <c r="G6" s="50">
        <v>0</v>
      </c>
      <c r="H6" s="50">
        <v>0</v>
      </c>
      <c r="I6" s="50">
        <v>0</v>
      </c>
      <c r="J6" s="50">
        <v>0</v>
      </c>
      <c r="K6" s="50">
        <f t="shared" ref="K6:K26" si="1">+I6+G6+E6</f>
        <v>0</v>
      </c>
      <c r="L6" s="50">
        <f t="shared" ref="L6:L26" si="2">+F6+H6+J6</f>
        <v>0</v>
      </c>
      <c r="M6">
        <f t="shared" ref="M6:M26" si="3">+L6-K6</f>
        <v>0</v>
      </c>
    </row>
    <row r="7" spans="1:13" ht="14.25" customHeight="1" x14ac:dyDescent="0.75">
      <c r="A7" s="50">
        <v>666502</v>
      </c>
      <c r="B7" s="73" t="s">
        <v>6</v>
      </c>
      <c r="C7" s="73" t="s">
        <v>7</v>
      </c>
      <c r="D7" s="50">
        <f t="shared" si="0"/>
        <v>347</v>
      </c>
      <c r="E7" s="50">
        <v>0</v>
      </c>
      <c r="F7" s="50">
        <v>0</v>
      </c>
      <c r="G7" s="50">
        <v>307</v>
      </c>
      <c r="H7" s="159">
        <v>251</v>
      </c>
      <c r="I7" s="50">
        <v>40</v>
      </c>
      <c r="J7" s="70">
        <v>40</v>
      </c>
      <c r="K7" s="50">
        <f t="shared" si="1"/>
        <v>347</v>
      </c>
      <c r="L7" s="50">
        <f t="shared" si="2"/>
        <v>291</v>
      </c>
      <c r="M7">
        <f t="shared" si="3"/>
        <v>-56</v>
      </c>
    </row>
    <row r="8" spans="1:13" ht="14.25" customHeight="1" x14ac:dyDescent="0.75">
      <c r="A8" s="50">
        <v>666505</v>
      </c>
      <c r="B8" s="73" t="s">
        <v>8</v>
      </c>
      <c r="C8" s="73" t="s">
        <v>9</v>
      </c>
      <c r="D8" s="50">
        <f t="shared" si="0"/>
        <v>60</v>
      </c>
      <c r="E8" s="50">
        <v>19</v>
      </c>
      <c r="F8" s="70">
        <v>19</v>
      </c>
      <c r="G8" s="50">
        <v>0</v>
      </c>
      <c r="H8" s="50">
        <v>0</v>
      </c>
      <c r="I8" s="50">
        <v>41</v>
      </c>
      <c r="J8" s="70">
        <v>41</v>
      </c>
      <c r="K8" s="50">
        <f t="shared" si="1"/>
        <v>60</v>
      </c>
      <c r="L8" s="50">
        <f t="shared" si="2"/>
        <v>60</v>
      </c>
      <c r="M8">
        <f t="shared" si="3"/>
        <v>0</v>
      </c>
    </row>
    <row r="9" spans="1:13" ht="14.25" customHeight="1" x14ac:dyDescent="0.75">
      <c r="A9" s="50">
        <v>666506</v>
      </c>
      <c r="B9" s="73" t="s">
        <v>10</v>
      </c>
      <c r="C9" s="73" t="s">
        <v>11</v>
      </c>
      <c r="D9" s="50">
        <f t="shared" si="0"/>
        <v>200</v>
      </c>
      <c r="E9" s="50">
        <v>0</v>
      </c>
      <c r="F9" s="50">
        <v>0</v>
      </c>
      <c r="G9" s="50">
        <v>200</v>
      </c>
      <c r="H9" s="159">
        <v>160</v>
      </c>
      <c r="I9" s="50">
        <v>0</v>
      </c>
      <c r="J9" s="50">
        <v>0</v>
      </c>
      <c r="K9" s="50">
        <f t="shared" si="1"/>
        <v>200</v>
      </c>
      <c r="L9" s="50">
        <f t="shared" si="2"/>
        <v>160</v>
      </c>
      <c r="M9">
        <f t="shared" si="3"/>
        <v>-40</v>
      </c>
    </row>
    <row r="10" spans="1:13" ht="14.25" customHeight="1" x14ac:dyDescent="0.75">
      <c r="A10" s="50">
        <v>666507</v>
      </c>
      <c r="B10" s="73" t="s">
        <v>12</v>
      </c>
      <c r="C10" s="73" t="s">
        <v>13</v>
      </c>
      <c r="D10" s="50">
        <f t="shared" si="0"/>
        <v>50</v>
      </c>
      <c r="E10" s="50">
        <v>50</v>
      </c>
      <c r="F10" s="159">
        <v>49</v>
      </c>
      <c r="G10" s="50">
        <v>0</v>
      </c>
      <c r="H10" s="50">
        <v>0</v>
      </c>
      <c r="I10" s="50">
        <v>0</v>
      </c>
      <c r="J10" s="50">
        <v>0</v>
      </c>
      <c r="K10" s="50">
        <f t="shared" si="1"/>
        <v>50</v>
      </c>
      <c r="L10" s="50">
        <f t="shared" si="2"/>
        <v>49</v>
      </c>
      <c r="M10">
        <f t="shared" si="3"/>
        <v>-1</v>
      </c>
    </row>
    <row r="11" spans="1:13" ht="14.25" customHeight="1" x14ac:dyDescent="0.75">
      <c r="A11" s="50">
        <v>666509</v>
      </c>
      <c r="B11" s="73" t="s">
        <v>14</v>
      </c>
      <c r="C11" s="73" t="s">
        <v>15</v>
      </c>
      <c r="D11" s="50">
        <f t="shared" si="0"/>
        <v>100</v>
      </c>
      <c r="E11" s="50">
        <v>100</v>
      </c>
      <c r="F11" s="70">
        <v>100</v>
      </c>
      <c r="G11" s="50">
        <v>0</v>
      </c>
      <c r="H11" s="50">
        <v>0</v>
      </c>
      <c r="I11" s="50">
        <v>0</v>
      </c>
      <c r="J11" s="50">
        <v>0</v>
      </c>
      <c r="K11" s="50">
        <f t="shared" si="1"/>
        <v>100</v>
      </c>
      <c r="L11" s="50">
        <f t="shared" si="2"/>
        <v>100</v>
      </c>
      <c r="M11">
        <f t="shared" si="3"/>
        <v>0</v>
      </c>
    </row>
    <row r="12" spans="1:13" ht="14.25" customHeight="1" x14ac:dyDescent="0.75">
      <c r="A12" s="50">
        <v>666510</v>
      </c>
      <c r="B12" s="73" t="s">
        <v>16</v>
      </c>
      <c r="C12" s="73" t="s">
        <v>169</v>
      </c>
      <c r="D12" s="50">
        <f t="shared" si="0"/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f t="shared" si="1"/>
        <v>0</v>
      </c>
      <c r="L12" s="50">
        <f t="shared" si="2"/>
        <v>0</v>
      </c>
      <c r="M12">
        <f t="shared" si="3"/>
        <v>0</v>
      </c>
    </row>
    <row r="13" spans="1:13" ht="14.25" customHeight="1" x14ac:dyDescent="0.75">
      <c r="A13" s="50">
        <v>666511</v>
      </c>
      <c r="B13" s="73" t="s">
        <v>18</v>
      </c>
      <c r="C13" s="73" t="s">
        <v>19</v>
      </c>
      <c r="D13" s="50">
        <f t="shared" si="0"/>
        <v>8</v>
      </c>
      <c r="E13" s="50">
        <v>8</v>
      </c>
      <c r="F13" s="50">
        <v>8</v>
      </c>
      <c r="G13" s="50">
        <v>0</v>
      </c>
      <c r="H13" s="50">
        <v>0</v>
      </c>
      <c r="I13" s="50">
        <v>0</v>
      </c>
      <c r="J13" s="50">
        <v>0</v>
      </c>
      <c r="K13" s="50">
        <f t="shared" si="1"/>
        <v>8</v>
      </c>
      <c r="L13" s="50">
        <f t="shared" si="2"/>
        <v>8</v>
      </c>
      <c r="M13">
        <f t="shared" si="3"/>
        <v>0</v>
      </c>
    </row>
    <row r="14" spans="1:13" ht="14.25" customHeight="1" x14ac:dyDescent="0.75">
      <c r="A14" s="50">
        <v>666513</v>
      </c>
      <c r="B14" s="73" t="s">
        <v>20</v>
      </c>
      <c r="C14" s="73" t="s">
        <v>21</v>
      </c>
      <c r="D14" s="50">
        <f t="shared" si="0"/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f t="shared" si="1"/>
        <v>0</v>
      </c>
      <c r="L14" s="50">
        <f t="shared" si="2"/>
        <v>0</v>
      </c>
      <c r="M14">
        <f t="shared" si="3"/>
        <v>0</v>
      </c>
    </row>
    <row r="15" spans="1:13" ht="14.25" customHeight="1" x14ac:dyDescent="0.75">
      <c r="A15" s="50">
        <v>666516</v>
      </c>
      <c r="B15" s="73" t="s">
        <v>22</v>
      </c>
      <c r="C15" s="73" t="s">
        <v>23</v>
      </c>
      <c r="D15" s="50">
        <f t="shared" si="0"/>
        <v>40</v>
      </c>
      <c r="E15" s="50">
        <v>20</v>
      </c>
      <c r="F15" s="70">
        <v>20</v>
      </c>
      <c r="G15" s="50">
        <v>0</v>
      </c>
      <c r="H15" s="50">
        <v>0</v>
      </c>
      <c r="I15" s="50">
        <v>20</v>
      </c>
      <c r="J15" s="70">
        <v>20</v>
      </c>
      <c r="K15" s="50">
        <f t="shared" si="1"/>
        <v>40</v>
      </c>
      <c r="L15" s="50">
        <f t="shared" si="2"/>
        <v>40</v>
      </c>
      <c r="M15">
        <f t="shared" si="3"/>
        <v>0</v>
      </c>
    </row>
    <row r="16" spans="1:13" ht="14.25" customHeight="1" x14ac:dyDescent="0.75">
      <c r="A16" s="50">
        <v>666517</v>
      </c>
      <c r="B16" s="73" t="s">
        <v>24</v>
      </c>
      <c r="C16" s="73" t="s">
        <v>25</v>
      </c>
      <c r="D16" s="50">
        <f t="shared" si="0"/>
        <v>48</v>
      </c>
      <c r="E16" s="50">
        <v>33</v>
      </c>
      <c r="F16" s="70">
        <v>33</v>
      </c>
      <c r="G16" s="50">
        <v>0</v>
      </c>
      <c r="H16" s="50">
        <v>0</v>
      </c>
      <c r="I16" s="50">
        <v>15</v>
      </c>
      <c r="J16" s="70">
        <v>15</v>
      </c>
      <c r="K16" s="50">
        <f t="shared" si="1"/>
        <v>48</v>
      </c>
      <c r="L16" s="50">
        <f t="shared" si="2"/>
        <v>48</v>
      </c>
      <c r="M16">
        <f t="shared" si="3"/>
        <v>0</v>
      </c>
    </row>
    <row r="17" spans="1:19" ht="14.25" customHeight="1" x14ac:dyDescent="0.75">
      <c r="A17" s="50">
        <v>666518</v>
      </c>
      <c r="B17" s="73" t="s">
        <v>26</v>
      </c>
      <c r="C17" s="73" t="s">
        <v>27</v>
      </c>
      <c r="D17" s="50">
        <f t="shared" si="0"/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f t="shared" si="1"/>
        <v>0</v>
      </c>
      <c r="L17" s="50">
        <f t="shared" si="2"/>
        <v>0</v>
      </c>
      <c r="M17">
        <f t="shared" si="3"/>
        <v>0</v>
      </c>
    </row>
    <row r="18" spans="1:19" ht="14.25" customHeight="1" x14ac:dyDescent="0.75">
      <c r="A18" s="50">
        <v>666519</v>
      </c>
      <c r="B18" s="73" t="s">
        <v>28</v>
      </c>
      <c r="C18" s="73" t="s">
        <v>29</v>
      </c>
      <c r="D18" s="50">
        <f t="shared" si="0"/>
        <v>60</v>
      </c>
      <c r="E18" s="50">
        <v>30</v>
      </c>
      <c r="F18" s="70">
        <v>30</v>
      </c>
      <c r="G18" s="50">
        <v>0</v>
      </c>
      <c r="H18" s="50">
        <v>0</v>
      </c>
      <c r="I18" s="50">
        <v>30</v>
      </c>
      <c r="J18" s="70">
        <v>30</v>
      </c>
      <c r="K18" s="50">
        <f t="shared" si="1"/>
        <v>60</v>
      </c>
      <c r="L18" s="50">
        <f t="shared" si="2"/>
        <v>60</v>
      </c>
      <c r="M18">
        <f t="shared" si="3"/>
        <v>0</v>
      </c>
    </row>
    <row r="19" spans="1:19" ht="14.25" customHeight="1" x14ac:dyDescent="0.75">
      <c r="A19" s="50">
        <v>666521</v>
      </c>
      <c r="B19" s="73" t="s">
        <v>30</v>
      </c>
      <c r="C19" s="73" t="s">
        <v>31</v>
      </c>
      <c r="D19" s="50">
        <f t="shared" si="0"/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f t="shared" si="1"/>
        <v>0</v>
      </c>
      <c r="L19" s="50">
        <f t="shared" si="2"/>
        <v>0</v>
      </c>
      <c r="M19">
        <f t="shared" si="3"/>
        <v>0</v>
      </c>
    </row>
    <row r="20" spans="1:19" ht="14.25" customHeight="1" x14ac:dyDescent="0.75">
      <c r="A20" s="50">
        <v>666522</v>
      </c>
      <c r="B20" s="73" t="s">
        <v>32</v>
      </c>
      <c r="C20" s="73" t="s">
        <v>33</v>
      </c>
      <c r="D20" s="50">
        <f t="shared" si="0"/>
        <v>390</v>
      </c>
      <c r="E20" s="50">
        <v>100</v>
      </c>
      <c r="F20" s="70">
        <v>100</v>
      </c>
      <c r="G20" s="50">
        <v>205</v>
      </c>
      <c r="H20" s="70">
        <v>205</v>
      </c>
      <c r="I20" s="50">
        <v>85</v>
      </c>
      <c r="J20" s="70">
        <v>85</v>
      </c>
      <c r="K20" s="50">
        <f t="shared" si="1"/>
        <v>390</v>
      </c>
      <c r="L20" s="50">
        <f t="shared" si="2"/>
        <v>390</v>
      </c>
      <c r="M20">
        <f t="shared" si="3"/>
        <v>0</v>
      </c>
    </row>
    <row r="21" spans="1:19" ht="14.25" customHeight="1" x14ac:dyDescent="0.75">
      <c r="A21" s="50">
        <v>666523</v>
      </c>
      <c r="B21" s="73" t="s">
        <v>34</v>
      </c>
      <c r="C21" s="73" t="s">
        <v>35</v>
      </c>
      <c r="D21" s="50">
        <f t="shared" si="0"/>
        <v>59</v>
      </c>
      <c r="E21" s="50">
        <v>0</v>
      </c>
      <c r="F21" s="50">
        <v>0</v>
      </c>
      <c r="G21" s="50">
        <v>47</v>
      </c>
      <c r="H21" s="70">
        <v>47</v>
      </c>
      <c r="I21" s="50">
        <v>12</v>
      </c>
      <c r="J21" s="70">
        <v>12</v>
      </c>
      <c r="K21" s="50">
        <f t="shared" si="1"/>
        <v>59</v>
      </c>
      <c r="L21" s="50">
        <f t="shared" si="2"/>
        <v>59</v>
      </c>
      <c r="M21">
        <f t="shared" si="3"/>
        <v>0</v>
      </c>
    </row>
    <row r="22" spans="1:19" ht="14.25" customHeight="1" x14ac:dyDescent="0.75">
      <c r="A22" s="50">
        <v>666530</v>
      </c>
      <c r="B22" s="73" t="s">
        <v>36</v>
      </c>
      <c r="C22" s="73" t="s">
        <v>37</v>
      </c>
      <c r="D22" s="50">
        <f t="shared" si="0"/>
        <v>20</v>
      </c>
      <c r="E22" s="50">
        <v>5</v>
      </c>
      <c r="F22" s="50">
        <v>5</v>
      </c>
      <c r="G22" s="50">
        <v>0</v>
      </c>
      <c r="H22" s="50">
        <v>0</v>
      </c>
      <c r="I22" s="50">
        <v>15</v>
      </c>
      <c r="J22" s="70">
        <v>15</v>
      </c>
      <c r="K22" s="50">
        <f t="shared" si="1"/>
        <v>20</v>
      </c>
      <c r="L22" s="50">
        <f t="shared" si="2"/>
        <v>20</v>
      </c>
      <c r="M22">
        <f t="shared" si="3"/>
        <v>0</v>
      </c>
    </row>
    <row r="23" spans="1:19" ht="14.25" customHeight="1" x14ac:dyDescent="0.75">
      <c r="A23" s="50">
        <v>666531</v>
      </c>
      <c r="B23" s="73" t="s">
        <v>38</v>
      </c>
      <c r="C23" s="73" t="s">
        <v>39</v>
      </c>
      <c r="D23" s="50">
        <f t="shared" si="0"/>
        <v>26</v>
      </c>
      <c r="E23" s="50">
        <v>18</v>
      </c>
      <c r="F23" s="70">
        <v>18</v>
      </c>
      <c r="G23" s="50">
        <v>0</v>
      </c>
      <c r="H23" s="50">
        <v>0</v>
      </c>
      <c r="I23" s="50">
        <v>8</v>
      </c>
      <c r="J23" s="70">
        <v>8</v>
      </c>
      <c r="K23" s="50">
        <f t="shared" si="1"/>
        <v>26</v>
      </c>
      <c r="L23" s="50">
        <f t="shared" si="2"/>
        <v>26</v>
      </c>
      <c r="M23">
        <f t="shared" si="3"/>
        <v>0</v>
      </c>
    </row>
    <row r="24" spans="1:19" ht="14.25" customHeight="1" x14ac:dyDescent="0.75">
      <c r="A24" s="50">
        <v>666540</v>
      </c>
      <c r="B24" s="73" t="s">
        <v>40</v>
      </c>
      <c r="C24" s="73" t="s">
        <v>40</v>
      </c>
      <c r="D24" s="50">
        <f t="shared" si="0"/>
        <v>240</v>
      </c>
      <c r="E24" s="50">
        <v>0</v>
      </c>
      <c r="F24" s="50">
        <v>0</v>
      </c>
      <c r="G24" s="50">
        <v>240</v>
      </c>
      <c r="H24" s="159">
        <v>53</v>
      </c>
      <c r="I24" s="50">
        <v>0</v>
      </c>
      <c r="J24" s="50">
        <v>0</v>
      </c>
      <c r="K24" s="50">
        <f t="shared" si="1"/>
        <v>240</v>
      </c>
      <c r="L24" s="50">
        <f t="shared" si="2"/>
        <v>53</v>
      </c>
      <c r="M24">
        <f t="shared" si="3"/>
        <v>-187</v>
      </c>
    </row>
    <row r="25" spans="1:19" ht="14.25" customHeight="1" x14ac:dyDescent="0.75">
      <c r="A25" s="50">
        <v>666541</v>
      </c>
      <c r="B25" s="73" t="s">
        <v>41</v>
      </c>
      <c r="C25" s="73" t="s">
        <v>41</v>
      </c>
      <c r="D25" s="50">
        <f t="shared" si="0"/>
        <v>240</v>
      </c>
      <c r="E25" s="50">
        <v>0</v>
      </c>
      <c r="F25" s="50">
        <v>0</v>
      </c>
      <c r="G25" s="50">
        <v>240</v>
      </c>
      <c r="H25" s="159">
        <v>260</v>
      </c>
      <c r="I25" s="50">
        <v>0</v>
      </c>
      <c r="J25" s="50">
        <v>0</v>
      </c>
      <c r="K25" s="50">
        <f t="shared" si="1"/>
        <v>240</v>
      </c>
      <c r="L25" s="50">
        <f t="shared" si="2"/>
        <v>260</v>
      </c>
      <c r="M25">
        <f t="shared" si="3"/>
        <v>20</v>
      </c>
    </row>
    <row r="26" spans="1:19" s="74" customFormat="1" ht="14.25" customHeight="1" x14ac:dyDescent="0.75">
      <c r="A26" s="74">
        <v>666536</v>
      </c>
      <c r="B26" s="74" t="s">
        <v>42</v>
      </c>
      <c r="C26" s="74" t="s">
        <v>43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f t="shared" si="1"/>
        <v>0</v>
      </c>
      <c r="L26" s="50">
        <f t="shared" si="2"/>
        <v>0</v>
      </c>
      <c r="M26" s="74">
        <f t="shared" si="3"/>
        <v>0</v>
      </c>
      <c r="S26" s="74">
        <v>2</v>
      </c>
    </row>
  </sheetData>
  <conditionalFormatting sqref="K6:K26">
    <cfRule type="cellIs" dxfId="252" priority="2" operator="equal">
      <formula>0</formula>
    </cfRule>
  </conditionalFormatting>
  <conditionalFormatting sqref="L6:L26">
    <cfRule type="expression" dxfId="251" priority="3">
      <formula>K6=L6</formula>
    </cfRule>
    <cfRule type="expression" dxfId="250" priority="4">
      <formula>K6&lt;L6</formula>
    </cfRule>
    <cfRule type="expression" dxfId="249" priority="5">
      <formula>K6&gt;L6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51"/>
  <sheetViews>
    <sheetView topLeftCell="C1" zoomScaleNormal="100" workbookViewId="0">
      <selection activeCell="G5" sqref="G5"/>
    </sheetView>
  </sheetViews>
  <sheetFormatPr defaultColWidth="8.6796875" defaultRowHeight="14.75" x14ac:dyDescent="0.75"/>
  <cols>
    <col min="1" max="1" width="8.6796875" style="50"/>
    <col min="2" max="2" width="41.54296875" style="50" customWidth="1"/>
    <col min="3" max="3" width="22.6796875" style="50" customWidth="1"/>
    <col min="4" max="4" width="9.54296875" style="50" hidden="1" customWidth="1"/>
    <col min="5" max="5" width="8.6796875" style="50"/>
    <col min="6" max="6" width="9.86328125" style="50" customWidth="1"/>
    <col min="7" max="7" width="7.31640625" style="50" customWidth="1"/>
    <col min="8" max="8" width="8.453125" style="50" customWidth="1"/>
    <col min="9" max="9" width="7.453125" style="50" customWidth="1"/>
    <col min="10" max="10" width="7.6796875" style="50" customWidth="1"/>
    <col min="11" max="11" width="7.31640625" style="50" customWidth="1"/>
    <col min="12" max="16384" width="8.6796875" style="50"/>
  </cols>
  <sheetData>
    <row r="1" spans="1:27" s="51" customFormat="1" ht="41.25" customHeight="1" x14ac:dyDescent="0.75">
      <c r="C1" s="51" t="s">
        <v>175</v>
      </c>
      <c r="D1" s="51" t="s">
        <v>144</v>
      </c>
      <c r="E1" s="52" t="s">
        <v>116</v>
      </c>
      <c r="F1" s="53" t="s">
        <v>145</v>
      </c>
      <c r="G1" s="54" t="s">
        <v>119</v>
      </c>
      <c r="H1" s="53" t="s">
        <v>146</v>
      </c>
      <c r="I1" s="153" t="s">
        <v>122</v>
      </c>
      <c r="J1" s="56" t="s">
        <v>147</v>
      </c>
      <c r="K1" s="51" t="s">
        <v>148</v>
      </c>
      <c r="L1" s="53" t="s">
        <v>149</v>
      </c>
      <c r="M1" s="51" t="s">
        <v>56</v>
      </c>
      <c r="N1" s="51" t="s">
        <v>58</v>
      </c>
      <c r="O1" s="51" t="s">
        <v>66</v>
      </c>
      <c r="P1" s="51" t="s">
        <v>56</v>
      </c>
      <c r="Q1" s="51" t="s">
        <v>58</v>
      </c>
      <c r="R1" s="51" t="s">
        <v>66</v>
      </c>
      <c r="S1" s="51" t="s">
        <v>56</v>
      </c>
      <c r="T1" s="51" t="s">
        <v>58</v>
      </c>
      <c r="U1" s="51" t="s">
        <v>66</v>
      </c>
      <c r="V1" s="51" t="s">
        <v>56</v>
      </c>
      <c r="W1" s="51" t="s">
        <v>58</v>
      </c>
      <c r="X1" s="51" t="s">
        <v>66</v>
      </c>
      <c r="Y1" s="51" t="s">
        <v>56</v>
      </c>
      <c r="Z1" s="51" t="s">
        <v>58</v>
      </c>
      <c r="AA1" s="51" t="s">
        <v>66</v>
      </c>
    </row>
    <row r="2" spans="1:27" ht="14.25" customHeight="1" x14ac:dyDescent="0.75">
      <c r="C2" s="57" t="s">
        <v>150</v>
      </c>
      <c r="D2" s="57"/>
      <c r="E2" s="58"/>
      <c r="F2" s="59"/>
      <c r="G2" s="60"/>
      <c r="H2" s="59"/>
      <c r="I2" s="78"/>
      <c r="J2" s="59"/>
      <c r="K2" s="59"/>
      <c r="L2" s="59"/>
      <c r="M2" s="59" t="s">
        <v>65</v>
      </c>
      <c r="N2" s="59" t="s">
        <v>57</v>
      </c>
      <c r="O2" s="59" t="s">
        <v>55</v>
      </c>
      <c r="P2" s="59" t="s">
        <v>65</v>
      </c>
      <c r="Q2" s="59" t="s">
        <v>57</v>
      </c>
      <c r="R2" s="59" t="s">
        <v>55</v>
      </c>
      <c r="S2" s="59" t="s">
        <v>65</v>
      </c>
      <c r="T2" s="59" t="s">
        <v>57</v>
      </c>
      <c r="U2" s="59" t="s">
        <v>55</v>
      </c>
      <c r="V2" s="59" t="s">
        <v>65</v>
      </c>
      <c r="W2" s="59" t="s">
        <v>57</v>
      </c>
      <c r="X2" s="59" t="s">
        <v>55</v>
      </c>
      <c r="Y2" s="59" t="s">
        <v>65</v>
      </c>
      <c r="Z2" s="59" t="s">
        <v>57</v>
      </c>
      <c r="AA2" s="59" t="s">
        <v>55</v>
      </c>
    </row>
    <row r="3" spans="1:27" ht="14.25" customHeight="1" x14ac:dyDescent="0.75">
      <c r="A3" s="62" t="s">
        <v>129</v>
      </c>
      <c r="B3" s="62" t="s">
        <v>2</v>
      </c>
      <c r="C3" s="62" t="s">
        <v>3</v>
      </c>
      <c r="D3" s="62"/>
      <c r="E3" s="58"/>
      <c r="F3" s="62"/>
      <c r="G3" s="63"/>
      <c r="H3" s="62"/>
      <c r="I3" s="154"/>
      <c r="J3" s="62"/>
      <c r="K3" s="62"/>
      <c r="L3" s="62"/>
      <c r="M3" s="62" t="s">
        <v>54</v>
      </c>
      <c r="N3" s="62" t="s">
        <v>54</v>
      </c>
      <c r="O3" s="62" t="s">
        <v>54</v>
      </c>
      <c r="P3" s="62" t="s">
        <v>59</v>
      </c>
      <c r="Q3" s="62" t="s">
        <v>59</v>
      </c>
      <c r="R3" s="62" t="s">
        <v>59</v>
      </c>
      <c r="S3" s="62" t="s">
        <v>60</v>
      </c>
      <c r="T3" s="62" t="s">
        <v>60</v>
      </c>
      <c r="U3" s="62" t="s">
        <v>60</v>
      </c>
      <c r="V3" s="62" t="s">
        <v>62</v>
      </c>
      <c r="W3" s="62" t="s">
        <v>62</v>
      </c>
      <c r="X3" s="62" t="s">
        <v>62</v>
      </c>
      <c r="Y3" s="62" t="s">
        <v>63</v>
      </c>
      <c r="Z3" s="62" t="s">
        <v>63</v>
      </c>
      <c r="AA3" s="62" t="s">
        <v>63</v>
      </c>
    </row>
    <row r="4" spans="1:27" ht="14.25" customHeight="1" x14ac:dyDescent="0.75">
      <c r="A4" s="62"/>
      <c r="B4" s="62"/>
      <c r="C4" s="62" t="s">
        <v>151</v>
      </c>
      <c r="D4" s="62"/>
      <c r="E4" s="58"/>
      <c r="F4" s="62">
        <f t="shared" ref="F4:F25" si="0">+M4+P4+S4+V4+Y4</f>
        <v>75</v>
      </c>
      <c r="G4" s="63"/>
      <c r="H4" s="62">
        <f t="shared" ref="H4:H25" si="1">+N4+Q4+T4+W4+Z4</f>
        <v>443</v>
      </c>
      <c r="I4" s="154"/>
      <c r="J4" s="62">
        <f t="shared" ref="J4:J25" si="2">+O4+R4+U4+X4+AA4</f>
        <v>45</v>
      </c>
      <c r="K4" s="62" t="s">
        <v>152</v>
      </c>
      <c r="L4" s="62">
        <f>SUM(F4:J4)</f>
        <v>563</v>
      </c>
      <c r="M4" s="62">
        <v>26</v>
      </c>
      <c r="N4" s="62">
        <v>143</v>
      </c>
      <c r="O4" s="62">
        <v>45</v>
      </c>
      <c r="Q4" s="62">
        <v>161</v>
      </c>
      <c r="R4" s="62"/>
      <c r="S4" s="62">
        <v>22</v>
      </c>
      <c r="T4" s="62">
        <v>139</v>
      </c>
      <c r="U4" s="62"/>
      <c r="V4" s="62">
        <v>18</v>
      </c>
      <c r="W4" s="62"/>
      <c r="X4" s="62"/>
      <c r="Y4" s="62">
        <v>9</v>
      </c>
      <c r="Z4" s="62"/>
      <c r="AA4" s="62"/>
    </row>
    <row r="5" spans="1:27" ht="14.25" customHeight="1" x14ac:dyDescent="0.75">
      <c r="A5" s="50">
        <v>666501</v>
      </c>
      <c r="B5" s="50" t="s">
        <v>4</v>
      </c>
      <c r="C5" s="50" t="s">
        <v>5</v>
      </c>
      <c r="E5" s="67">
        <v>45</v>
      </c>
      <c r="F5" s="50">
        <f t="shared" si="0"/>
        <v>39</v>
      </c>
      <c r="G5" s="60">
        <v>420</v>
      </c>
      <c r="H5" s="50">
        <f t="shared" si="1"/>
        <v>246</v>
      </c>
      <c r="I5" s="78">
        <v>42</v>
      </c>
      <c r="J5" s="70">
        <f t="shared" si="2"/>
        <v>42</v>
      </c>
      <c r="K5" s="50">
        <f t="shared" ref="K5:K24" si="3">+E5+G5+I5</f>
        <v>507</v>
      </c>
      <c r="L5" s="50">
        <f t="shared" ref="L5:L25" si="4">SUM(F5,H5,J5)</f>
        <v>327</v>
      </c>
      <c r="M5" s="50">
        <v>12</v>
      </c>
      <c r="N5" s="50">
        <v>51</v>
      </c>
      <c r="O5" s="50">
        <v>42</v>
      </c>
      <c r="Q5" s="50">
        <v>114</v>
      </c>
      <c r="S5" s="50">
        <v>9</v>
      </c>
      <c r="T5" s="50">
        <v>81</v>
      </c>
      <c r="V5" s="50">
        <v>12</v>
      </c>
      <c r="Y5" s="50">
        <v>6</v>
      </c>
    </row>
    <row r="6" spans="1:27" ht="14.25" customHeight="1" x14ac:dyDescent="0.75">
      <c r="A6" s="50">
        <v>666502</v>
      </c>
      <c r="B6" s="50" t="s">
        <v>6</v>
      </c>
      <c r="C6" s="50" t="s">
        <v>7</v>
      </c>
      <c r="E6" s="67"/>
      <c r="F6" s="50">
        <f t="shared" si="0"/>
        <v>0</v>
      </c>
      <c r="G6" s="60">
        <v>310</v>
      </c>
      <c r="H6" s="50">
        <f t="shared" si="1"/>
        <v>72</v>
      </c>
      <c r="I6" s="78">
        <v>50</v>
      </c>
      <c r="J6" s="50">
        <f t="shared" si="2"/>
        <v>0</v>
      </c>
      <c r="K6" s="50">
        <f t="shared" si="3"/>
        <v>360</v>
      </c>
      <c r="L6" s="50">
        <f t="shared" si="4"/>
        <v>72</v>
      </c>
      <c r="N6" s="50">
        <v>17</v>
      </c>
      <c r="Q6" s="50">
        <v>27</v>
      </c>
      <c r="T6" s="50">
        <v>28</v>
      </c>
    </row>
    <row r="7" spans="1:27" ht="14.25" customHeight="1" x14ac:dyDescent="0.75">
      <c r="A7" s="50">
        <v>666505</v>
      </c>
      <c r="B7" s="50" t="s">
        <v>8</v>
      </c>
      <c r="C7" s="50" t="s">
        <v>9</v>
      </c>
      <c r="E7" s="67">
        <v>19</v>
      </c>
      <c r="F7" s="70">
        <f t="shared" si="0"/>
        <v>19</v>
      </c>
      <c r="G7" s="60"/>
      <c r="H7" s="50">
        <f t="shared" si="1"/>
        <v>0</v>
      </c>
      <c r="I7" s="78">
        <v>41</v>
      </c>
      <c r="J7" s="70">
        <f t="shared" si="2"/>
        <v>41</v>
      </c>
      <c r="K7" s="50">
        <f t="shared" si="3"/>
        <v>60</v>
      </c>
      <c r="L7" s="50">
        <f t="shared" si="4"/>
        <v>60</v>
      </c>
      <c r="M7" s="50">
        <v>19</v>
      </c>
      <c r="O7" s="50">
        <v>41</v>
      </c>
    </row>
    <row r="8" spans="1:27" ht="14.25" customHeight="1" x14ac:dyDescent="0.75">
      <c r="A8" s="50">
        <v>666506</v>
      </c>
      <c r="B8" s="50" t="s">
        <v>10</v>
      </c>
      <c r="C8" s="50" t="s">
        <v>11</v>
      </c>
      <c r="E8" s="67"/>
      <c r="F8" s="50">
        <f t="shared" si="0"/>
        <v>0</v>
      </c>
      <c r="G8" s="60">
        <v>200</v>
      </c>
      <c r="H8" s="50">
        <f t="shared" si="1"/>
        <v>23</v>
      </c>
      <c r="I8" s="78"/>
      <c r="J8" s="50">
        <f t="shared" si="2"/>
        <v>0</v>
      </c>
      <c r="K8" s="50">
        <f t="shared" si="3"/>
        <v>200</v>
      </c>
      <c r="L8" s="50">
        <f t="shared" si="4"/>
        <v>23</v>
      </c>
      <c r="N8" s="50">
        <v>7</v>
      </c>
      <c r="Q8" s="50">
        <v>10</v>
      </c>
      <c r="T8" s="50">
        <v>6</v>
      </c>
    </row>
    <row r="9" spans="1:27" ht="14.25" customHeight="1" x14ac:dyDescent="0.75">
      <c r="A9" s="50">
        <v>666507</v>
      </c>
      <c r="B9" s="50" t="s">
        <v>12</v>
      </c>
      <c r="C9" s="50" t="s">
        <v>13</v>
      </c>
      <c r="E9" s="67">
        <v>42</v>
      </c>
      <c r="F9" s="50">
        <f t="shared" si="0"/>
        <v>29</v>
      </c>
      <c r="G9" s="60"/>
      <c r="H9" s="50">
        <f t="shared" si="1"/>
        <v>0</v>
      </c>
      <c r="I9" s="78"/>
      <c r="J9" s="50">
        <f t="shared" si="2"/>
        <v>0</v>
      </c>
      <c r="K9" s="50">
        <f t="shared" si="3"/>
        <v>42</v>
      </c>
      <c r="L9" s="50">
        <f t="shared" si="4"/>
        <v>29</v>
      </c>
      <c r="M9" s="50">
        <v>8</v>
      </c>
      <c r="S9" s="50">
        <v>9</v>
      </c>
      <c r="V9" s="50">
        <v>8</v>
      </c>
      <c r="Y9" s="50">
        <v>4</v>
      </c>
    </row>
    <row r="10" spans="1:27" ht="14.25" customHeight="1" x14ac:dyDescent="0.75">
      <c r="A10" s="50">
        <v>666509</v>
      </c>
      <c r="B10" s="50" t="s">
        <v>14</v>
      </c>
      <c r="C10" s="50" t="s">
        <v>15</v>
      </c>
      <c r="E10" s="67"/>
      <c r="F10" s="50">
        <f t="shared" si="0"/>
        <v>0</v>
      </c>
      <c r="G10" s="60"/>
      <c r="H10" s="50">
        <f t="shared" si="1"/>
        <v>0</v>
      </c>
      <c r="I10" s="78"/>
      <c r="J10" s="50">
        <f t="shared" si="2"/>
        <v>0</v>
      </c>
      <c r="K10" s="50">
        <f t="shared" si="3"/>
        <v>0</v>
      </c>
      <c r="L10" s="50">
        <f t="shared" si="4"/>
        <v>0</v>
      </c>
    </row>
    <row r="11" spans="1:27" ht="14.25" customHeight="1" x14ac:dyDescent="0.75">
      <c r="A11" s="50">
        <v>666510</v>
      </c>
      <c r="B11" s="50" t="s">
        <v>16</v>
      </c>
      <c r="C11" s="50" t="s">
        <v>17</v>
      </c>
      <c r="E11" s="67"/>
      <c r="F11" s="50">
        <f t="shared" si="0"/>
        <v>0</v>
      </c>
      <c r="G11" s="60"/>
      <c r="H11" s="50">
        <f t="shared" si="1"/>
        <v>0</v>
      </c>
      <c r="I11" s="78"/>
      <c r="J11" s="50">
        <f t="shared" si="2"/>
        <v>0</v>
      </c>
      <c r="K11" s="50">
        <f t="shared" si="3"/>
        <v>0</v>
      </c>
      <c r="L11" s="50">
        <f t="shared" si="4"/>
        <v>0</v>
      </c>
    </row>
    <row r="12" spans="1:27" ht="14.25" customHeight="1" x14ac:dyDescent="0.75">
      <c r="A12" s="50">
        <v>666511</v>
      </c>
      <c r="B12" s="50" t="s">
        <v>18</v>
      </c>
      <c r="C12" s="50" t="s">
        <v>19</v>
      </c>
      <c r="E12" s="67">
        <v>8</v>
      </c>
      <c r="F12" s="50">
        <f t="shared" si="0"/>
        <v>0</v>
      </c>
      <c r="G12" s="60"/>
      <c r="H12" s="50">
        <f t="shared" si="1"/>
        <v>0</v>
      </c>
      <c r="I12" s="78"/>
      <c r="J12" s="50">
        <f t="shared" si="2"/>
        <v>0</v>
      </c>
      <c r="K12" s="50">
        <f t="shared" si="3"/>
        <v>8</v>
      </c>
      <c r="L12" s="50">
        <f t="shared" si="4"/>
        <v>0</v>
      </c>
    </row>
    <row r="13" spans="1:27" ht="14.25" customHeight="1" x14ac:dyDescent="0.75">
      <c r="A13" s="50">
        <v>666513</v>
      </c>
      <c r="B13" s="50" t="s">
        <v>20</v>
      </c>
      <c r="C13" s="50" t="s">
        <v>21</v>
      </c>
      <c r="E13" s="67"/>
      <c r="F13" s="50">
        <f t="shared" si="0"/>
        <v>0</v>
      </c>
      <c r="G13" s="60"/>
      <c r="H13" s="50">
        <f t="shared" si="1"/>
        <v>0</v>
      </c>
      <c r="I13" s="78"/>
      <c r="J13" s="50">
        <f t="shared" si="2"/>
        <v>0</v>
      </c>
      <c r="K13" s="50">
        <f t="shared" si="3"/>
        <v>0</v>
      </c>
      <c r="L13" s="50">
        <f t="shared" si="4"/>
        <v>0</v>
      </c>
    </row>
    <row r="14" spans="1:27" ht="14.25" customHeight="1" x14ac:dyDescent="0.75">
      <c r="A14" s="50">
        <v>666516</v>
      </c>
      <c r="B14" s="50" t="s">
        <v>22</v>
      </c>
      <c r="C14" s="50" t="s">
        <v>23</v>
      </c>
      <c r="E14" s="67"/>
      <c r="F14" s="50">
        <f t="shared" si="0"/>
        <v>0</v>
      </c>
      <c r="G14" s="60"/>
      <c r="H14" s="50">
        <f t="shared" si="1"/>
        <v>0</v>
      </c>
      <c r="I14" s="78">
        <v>20</v>
      </c>
      <c r="J14" s="50">
        <f t="shared" si="2"/>
        <v>14</v>
      </c>
      <c r="K14" s="50">
        <f t="shared" si="3"/>
        <v>20</v>
      </c>
      <c r="L14" s="50">
        <f t="shared" si="4"/>
        <v>14</v>
      </c>
      <c r="O14" s="50">
        <v>14</v>
      </c>
    </row>
    <row r="15" spans="1:27" ht="14.25" customHeight="1" x14ac:dyDescent="0.75">
      <c r="A15" s="50">
        <v>666517</v>
      </c>
      <c r="B15" s="50" t="s">
        <v>24</v>
      </c>
      <c r="C15" s="50" t="s">
        <v>25</v>
      </c>
      <c r="E15" s="67">
        <v>29</v>
      </c>
      <c r="F15" s="70">
        <f t="shared" si="0"/>
        <v>29</v>
      </c>
      <c r="G15" s="60"/>
      <c r="H15" s="50">
        <f t="shared" si="1"/>
        <v>0</v>
      </c>
      <c r="I15" s="78">
        <v>13</v>
      </c>
      <c r="J15" s="70">
        <f t="shared" si="2"/>
        <v>13</v>
      </c>
      <c r="K15" s="50">
        <f t="shared" si="3"/>
        <v>42</v>
      </c>
      <c r="L15" s="50">
        <f t="shared" si="4"/>
        <v>42</v>
      </c>
      <c r="M15" s="50">
        <v>12</v>
      </c>
      <c r="O15" s="50">
        <v>13</v>
      </c>
      <c r="S15" s="50">
        <v>8</v>
      </c>
      <c r="V15" s="50">
        <v>9</v>
      </c>
    </row>
    <row r="16" spans="1:27" ht="14.25" customHeight="1" x14ac:dyDescent="0.75">
      <c r="A16" s="50">
        <v>666518</v>
      </c>
      <c r="B16" s="50" t="s">
        <v>26</v>
      </c>
      <c r="C16" s="50" t="s">
        <v>27</v>
      </c>
      <c r="E16" s="67"/>
      <c r="F16" s="50">
        <f t="shared" si="0"/>
        <v>0</v>
      </c>
      <c r="G16" s="60"/>
      <c r="H16" s="50">
        <f t="shared" si="1"/>
        <v>0</v>
      </c>
      <c r="I16" s="78"/>
      <c r="J16" s="50">
        <f t="shared" si="2"/>
        <v>0</v>
      </c>
      <c r="K16" s="50">
        <f t="shared" si="3"/>
        <v>0</v>
      </c>
      <c r="L16" s="50">
        <f t="shared" si="4"/>
        <v>0</v>
      </c>
    </row>
    <row r="17" spans="1:25" ht="14.25" customHeight="1" x14ac:dyDescent="0.75">
      <c r="A17" s="50">
        <v>666519</v>
      </c>
      <c r="B17" s="50" t="s">
        <v>28</v>
      </c>
      <c r="C17" s="50" t="s">
        <v>29</v>
      </c>
      <c r="E17" s="67">
        <v>31</v>
      </c>
      <c r="F17" s="70">
        <f t="shared" si="0"/>
        <v>31</v>
      </c>
      <c r="G17" s="60"/>
      <c r="H17" s="50">
        <f t="shared" si="1"/>
        <v>0</v>
      </c>
      <c r="I17" s="78">
        <v>31</v>
      </c>
      <c r="J17" s="70">
        <f t="shared" si="2"/>
        <v>31</v>
      </c>
      <c r="K17" s="50">
        <f t="shared" si="3"/>
        <v>62</v>
      </c>
      <c r="L17" s="50">
        <f t="shared" si="4"/>
        <v>62</v>
      </c>
      <c r="M17" s="50">
        <v>11</v>
      </c>
      <c r="O17" s="50">
        <v>31</v>
      </c>
      <c r="S17" s="50">
        <v>9</v>
      </c>
      <c r="V17" s="50">
        <v>11</v>
      </c>
    </row>
    <row r="18" spans="1:25" ht="14.25" customHeight="1" x14ac:dyDescent="0.75">
      <c r="A18" s="50">
        <v>666521</v>
      </c>
      <c r="B18" s="50" t="s">
        <v>30</v>
      </c>
      <c r="C18" s="50" t="s">
        <v>31</v>
      </c>
      <c r="E18" s="67"/>
      <c r="F18" s="50">
        <f t="shared" si="0"/>
        <v>0</v>
      </c>
      <c r="G18" s="60"/>
      <c r="H18" s="50">
        <f t="shared" si="1"/>
        <v>0</v>
      </c>
      <c r="I18" s="78"/>
      <c r="J18" s="50">
        <f t="shared" si="2"/>
        <v>0</v>
      </c>
      <c r="K18" s="50">
        <f t="shared" si="3"/>
        <v>0</v>
      </c>
      <c r="L18" s="50">
        <f t="shared" si="4"/>
        <v>0</v>
      </c>
    </row>
    <row r="19" spans="1:25" ht="14.25" customHeight="1" x14ac:dyDescent="0.75">
      <c r="A19" s="50">
        <v>666522</v>
      </c>
      <c r="B19" s="50" t="s">
        <v>32</v>
      </c>
      <c r="C19" s="50" t="s">
        <v>33</v>
      </c>
      <c r="E19" s="67">
        <v>115</v>
      </c>
      <c r="F19" s="70">
        <f t="shared" si="0"/>
        <v>115</v>
      </c>
      <c r="G19" s="60">
        <v>175</v>
      </c>
      <c r="H19" s="70">
        <f t="shared" si="1"/>
        <v>175</v>
      </c>
      <c r="I19" s="78">
        <v>70</v>
      </c>
      <c r="J19" s="50">
        <f t="shared" si="2"/>
        <v>45</v>
      </c>
      <c r="K19" s="50">
        <f t="shared" si="3"/>
        <v>360</v>
      </c>
      <c r="L19" s="50">
        <f t="shared" si="4"/>
        <v>335</v>
      </c>
      <c r="M19" s="50">
        <v>35</v>
      </c>
      <c r="N19" s="50">
        <v>160</v>
      </c>
      <c r="O19" s="50">
        <v>45</v>
      </c>
      <c r="Q19" s="50">
        <v>15</v>
      </c>
      <c r="S19" s="50">
        <v>30</v>
      </c>
      <c r="V19" s="50">
        <v>35</v>
      </c>
      <c r="Y19" s="50">
        <v>15</v>
      </c>
    </row>
    <row r="20" spans="1:25" ht="14.25" customHeight="1" x14ac:dyDescent="0.75">
      <c r="A20" s="50">
        <v>666523</v>
      </c>
      <c r="B20" s="50" t="s">
        <v>34</v>
      </c>
      <c r="C20" s="50" t="s">
        <v>35</v>
      </c>
      <c r="E20" s="67"/>
      <c r="F20" s="50">
        <f t="shared" si="0"/>
        <v>0</v>
      </c>
      <c r="G20" s="60">
        <v>48</v>
      </c>
      <c r="H20" s="70">
        <f t="shared" si="1"/>
        <v>48</v>
      </c>
      <c r="I20" s="78">
        <v>12</v>
      </c>
      <c r="J20" s="70">
        <f t="shared" si="2"/>
        <v>12</v>
      </c>
      <c r="K20" s="50">
        <f t="shared" si="3"/>
        <v>60</v>
      </c>
      <c r="L20" s="50">
        <f t="shared" si="4"/>
        <v>60</v>
      </c>
      <c r="N20" s="50">
        <v>48</v>
      </c>
      <c r="O20" s="50">
        <v>12</v>
      </c>
    </row>
    <row r="21" spans="1:25" ht="14.25" customHeight="1" x14ac:dyDescent="0.75">
      <c r="A21" s="50">
        <v>666530</v>
      </c>
      <c r="B21" s="50" t="s">
        <v>36</v>
      </c>
      <c r="C21" s="50" t="s">
        <v>37</v>
      </c>
      <c r="E21" s="67">
        <v>5</v>
      </c>
      <c r="F21" s="50">
        <f t="shared" si="0"/>
        <v>5</v>
      </c>
      <c r="G21" s="60"/>
      <c r="H21" s="50">
        <f t="shared" si="1"/>
        <v>0</v>
      </c>
      <c r="I21" s="78">
        <v>15</v>
      </c>
      <c r="J21" s="70">
        <f t="shared" si="2"/>
        <v>15</v>
      </c>
      <c r="K21" s="50">
        <f t="shared" si="3"/>
        <v>20</v>
      </c>
      <c r="L21" s="50">
        <f t="shared" si="4"/>
        <v>20</v>
      </c>
      <c r="M21" s="50">
        <v>5</v>
      </c>
      <c r="O21" s="50">
        <v>15</v>
      </c>
    </row>
    <row r="22" spans="1:25" ht="14.25" customHeight="1" x14ac:dyDescent="0.75">
      <c r="A22" s="50">
        <v>666531</v>
      </c>
      <c r="B22" s="50" t="s">
        <v>38</v>
      </c>
      <c r="C22" s="50" t="s">
        <v>39</v>
      </c>
      <c r="E22" s="67">
        <v>18</v>
      </c>
      <c r="F22" s="70">
        <f t="shared" si="0"/>
        <v>18</v>
      </c>
      <c r="G22" s="60"/>
      <c r="H22" s="50">
        <f t="shared" si="1"/>
        <v>0</v>
      </c>
      <c r="I22" s="78">
        <v>8</v>
      </c>
      <c r="J22" s="70">
        <f t="shared" si="2"/>
        <v>8</v>
      </c>
      <c r="K22" s="50">
        <f t="shared" si="3"/>
        <v>26</v>
      </c>
      <c r="L22" s="50">
        <f t="shared" si="4"/>
        <v>26</v>
      </c>
      <c r="M22" s="50">
        <v>13</v>
      </c>
      <c r="O22" s="50">
        <v>8</v>
      </c>
      <c r="S22" s="50">
        <v>5</v>
      </c>
    </row>
    <row r="23" spans="1:25" ht="14.25" customHeight="1" x14ac:dyDescent="0.75">
      <c r="A23" s="50">
        <v>666540</v>
      </c>
      <c r="B23" s="50" t="s">
        <v>40</v>
      </c>
      <c r="C23" s="50" t="s">
        <v>40</v>
      </c>
      <c r="E23" s="67"/>
      <c r="F23" s="50">
        <f t="shared" si="0"/>
        <v>0</v>
      </c>
      <c r="G23" s="60">
        <v>240</v>
      </c>
      <c r="H23" s="50">
        <f t="shared" si="1"/>
        <v>34</v>
      </c>
      <c r="I23" s="78"/>
      <c r="J23" s="50">
        <f t="shared" si="2"/>
        <v>0</v>
      </c>
      <c r="K23" s="50">
        <f t="shared" si="3"/>
        <v>240</v>
      </c>
      <c r="L23" s="50">
        <f t="shared" si="4"/>
        <v>34</v>
      </c>
      <c r="N23" s="50">
        <v>1</v>
      </c>
      <c r="Q23" s="50">
        <v>11</v>
      </c>
      <c r="T23" s="50">
        <v>22</v>
      </c>
    </row>
    <row r="24" spans="1:25" ht="14.25" customHeight="1" x14ac:dyDescent="0.75">
      <c r="A24" s="50">
        <v>666541</v>
      </c>
      <c r="B24" s="50" t="s">
        <v>41</v>
      </c>
      <c r="C24" s="50" t="s">
        <v>41</v>
      </c>
      <c r="E24" s="67"/>
      <c r="F24" s="50">
        <f t="shared" si="0"/>
        <v>0</v>
      </c>
      <c r="G24" s="60">
        <v>240</v>
      </c>
      <c r="H24" s="50">
        <f t="shared" si="1"/>
        <v>95</v>
      </c>
      <c r="I24" s="78"/>
      <c r="J24" s="50">
        <f t="shared" si="2"/>
        <v>0</v>
      </c>
      <c r="K24" s="50">
        <f t="shared" si="3"/>
        <v>240</v>
      </c>
      <c r="L24" s="50">
        <f t="shared" si="4"/>
        <v>95</v>
      </c>
      <c r="N24" s="50">
        <v>23</v>
      </c>
      <c r="Q24" s="50">
        <v>39</v>
      </c>
      <c r="T24" s="50">
        <v>33</v>
      </c>
    </row>
    <row r="25" spans="1:25" ht="14.25" customHeight="1" x14ac:dyDescent="0.75">
      <c r="A25" s="50">
        <v>666536</v>
      </c>
      <c r="B25" s="50" t="s">
        <v>42</v>
      </c>
      <c r="C25" s="50" t="s">
        <v>43</v>
      </c>
      <c r="E25" s="67">
        <v>2</v>
      </c>
      <c r="F25" s="50">
        <f t="shared" si="0"/>
        <v>0</v>
      </c>
      <c r="G25" s="60"/>
      <c r="H25" s="50">
        <f t="shared" si="1"/>
        <v>0</v>
      </c>
      <c r="I25" s="78"/>
      <c r="J25" s="50">
        <f t="shared" si="2"/>
        <v>0</v>
      </c>
      <c r="K25" s="50">
        <f>+E25+G25+H25</f>
        <v>2</v>
      </c>
      <c r="L25" s="50">
        <f t="shared" si="4"/>
        <v>0</v>
      </c>
    </row>
    <row r="26" spans="1:25" ht="14.25" customHeight="1" x14ac:dyDescent="0.75">
      <c r="C26" s="71"/>
      <c r="D26" s="71"/>
      <c r="E26" s="71"/>
      <c r="F26" s="71"/>
      <c r="G26" s="71"/>
      <c r="H26" s="71"/>
      <c r="I26" s="71"/>
      <c r="J26" s="71"/>
      <c r="L26" s="71"/>
    </row>
    <row r="27" spans="1:25" ht="14.25" customHeight="1" x14ac:dyDescent="0.75">
      <c r="C27" s="71"/>
      <c r="D27" s="71"/>
      <c r="E27" s="71"/>
      <c r="F27" s="71"/>
      <c r="G27" s="71"/>
      <c r="H27" s="71"/>
      <c r="I27" s="71"/>
      <c r="J27" s="71"/>
      <c r="L27" s="71"/>
    </row>
    <row r="28" spans="1:25" ht="14.25" customHeight="1" x14ac:dyDescent="0.75">
      <c r="C28" s="71"/>
      <c r="D28" s="71"/>
      <c r="E28" s="71"/>
      <c r="F28" s="71"/>
      <c r="G28" s="71"/>
      <c r="H28" s="71"/>
      <c r="I28" s="71"/>
      <c r="J28" s="71"/>
      <c r="L28" s="71"/>
    </row>
    <row r="29" spans="1:25" ht="14.25" customHeight="1" x14ac:dyDescent="0.75">
      <c r="C29" s="71"/>
      <c r="D29" s="71"/>
      <c r="E29" s="71"/>
      <c r="F29" s="71"/>
      <c r="G29" s="71"/>
      <c r="H29" s="71"/>
      <c r="I29" s="71"/>
      <c r="J29" s="71"/>
      <c r="L29" s="71"/>
    </row>
    <row r="30" spans="1:25" ht="14.25" customHeight="1" x14ac:dyDescent="0.75">
      <c r="C30" s="71"/>
      <c r="D30" s="71"/>
      <c r="E30" s="71"/>
      <c r="F30" s="71"/>
      <c r="G30" s="71"/>
      <c r="H30" s="71"/>
      <c r="I30" s="71"/>
      <c r="J30" s="71"/>
      <c r="L30" s="71"/>
    </row>
    <row r="31" spans="1:25" ht="14.25" customHeight="1" x14ac:dyDescent="0.75">
      <c r="C31" s="71"/>
      <c r="D31" s="71"/>
      <c r="E31" s="71"/>
      <c r="F31" s="71"/>
      <c r="G31" s="71"/>
      <c r="H31" s="71"/>
      <c r="I31" s="71"/>
      <c r="J31" s="71"/>
      <c r="L31" s="71"/>
    </row>
    <row r="32" spans="1:25" ht="14.25" customHeight="1" x14ac:dyDescent="0.75">
      <c r="C32" s="72"/>
      <c r="D32" s="71"/>
      <c r="E32" s="71"/>
      <c r="F32" s="71"/>
      <c r="G32" s="71"/>
      <c r="H32" s="71"/>
      <c r="I32" s="71"/>
      <c r="J32" s="71"/>
      <c r="L32" s="71"/>
    </row>
    <row r="33" spans="3:14" ht="14.25" customHeight="1" x14ac:dyDescent="0.75">
      <c r="C33" s="71"/>
      <c r="D33" s="71"/>
      <c r="E33" s="71"/>
      <c r="F33" s="71"/>
      <c r="G33" s="71"/>
      <c r="H33" s="71"/>
      <c r="I33" s="71"/>
      <c r="J33" s="71"/>
      <c r="L33" s="71"/>
    </row>
    <row r="34" spans="3:14" ht="14.25" customHeight="1" x14ac:dyDescent="0.75">
      <c r="C34" s="71"/>
      <c r="D34" s="71"/>
      <c r="E34" s="71"/>
      <c r="F34" s="71"/>
      <c r="G34" s="71"/>
      <c r="H34" s="71"/>
      <c r="I34" s="71"/>
      <c r="J34" s="71"/>
      <c r="L34" s="71"/>
    </row>
    <row r="35" spans="3:14" ht="14.25" customHeight="1" x14ac:dyDescent="0.75">
      <c r="C35" s="71"/>
      <c r="D35" s="71"/>
      <c r="E35" s="71"/>
      <c r="F35" s="71"/>
      <c r="G35" s="71"/>
      <c r="H35" s="71"/>
      <c r="I35" s="71"/>
      <c r="J35" s="71"/>
      <c r="L35" s="71"/>
    </row>
    <row r="36" spans="3:14" ht="14.25" customHeight="1" x14ac:dyDescent="0.75">
      <c r="C36" s="71"/>
      <c r="D36" s="71"/>
      <c r="E36" s="71"/>
      <c r="F36" s="71"/>
      <c r="G36" s="71"/>
      <c r="H36" s="71"/>
      <c r="I36" s="71"/>
      <c r="J36" s="71"/>
      <c r="L36" s="71"/>
    </row>
    <row r="37" spans="3:14" ht="14.25" customHeight="1" x14ac:dyDescent="0.75">
      <c r="C37" s="71"/>
      <c r="D37" s="71"/>
      <c r="E37" s="71"/>
      <c r="F37" s="71"/>
      <c r="G37" s="71"/>
      <c r="H37" s="71"/>
      <c r="I37" s="71"/>
      <c r="J37" s="71"/>
      <c r="L37" s="71"/>
    </row>
    <row r="38" spans="3:14" ht="14.25" customHeight="1" x14ac:dyDescent="0.75">
      <c r="C38" s="71"/>
      <c r="D38" s="71"/>
      <c r="E38" s="71"/>
      <c r="F38" s="71"/>
      <c r="G38" s="71"/>
      <c r="H38" s="71"/>
      <c r="I38" s="71"/>
      <c r="J38" s="71"/>
      <c r="L38" s="71"/>
    </row>
    <row r="39" spans="3:14" ht="14.25" customHeight="1" x14ac:dyDescent="0.75">
      <c r="C39" s="71"/>
      <c r="D39" s="71"/>
      <c r="E39" s="71"/>
      <c r="F39" s="71"/>
      <c r="G39" s="71"/>
      <c r="H39" s="71"/>
      <c r="I39" s="71"/>
      <c r="J39" s="71"/>
      <c r="L39" s="71"/>
    </row>
    <row r="40" spans="3:14" ht="14.25" customHeight="1" x14ac:dyDescent="0.75">
      <c r="C40" s="71"/>
      <c r="D40" s="71"/>
      <c r="E40" s="71"/>
      <c r="F40" s="71"/>
      <c r="G40" s="71"/>
      <c r="H40" s="71"/>
      <c r="I40" s="71"/>
      <c r="J40" s="71"/>
      <c r="L40" s="71"/>
    </row>
    <row r="41" spans="3:14" ht="14.25" customHeight="1" x14ac:dyDescent="0.75">
      <c r="C41" s="71"/>
      <c r="D41" s="71"/>
      <c r="E41" s="71"/>
      <c r="F41" s="71"/>
      <c r="G41" s="71"/>
      <c r="H41" s="71"/>
      <c r="I41" s="71"/>
      <c r="J41" s="71"/>
      <c r="L41" s="71"/>
    </row>
    <row r="42" spans="3:14" ht="14.25" customHeight="1" x14ac:dyDescent="0.75">
      <c r="C42" s="71"/>
      <c r="D42" s="71"/>
      <c r="E42" s="71"/>
      <c r="F42" s="71"/>
      <c r="G42" s="71"/>
      <c r="H42" s="71"/>
      <c r="I42" s="71"/>
      <c r="J42" s="71"/>
      <c r="L42" s="71"/>
    </row>
    <row r="48" spans="3:14" ht="14.25" customHeight="1" x14ac:dyDescent="0.75">
      <c r="C48" s="50" t="s">
        <v>153</v>
      </c>
      <c r="J48" s="50" t="s">
        <v>153</v>
      </c>
      <c r="K48" s="50" t="s">
        <v>154</v>
      </c>
      <c r="L48" s="73" t="s">
        <v>155</v>
      </c>
      <c r="M48" s="50" t="s">
        <v>156</v>
      </c>
      <c r="N48" s="74" t="s">
        <v>157</v>
      </c>
    </row>
    <row r="49" spans="3:14" ht="14.25" customHeight="1" x14ac:dyDescent="0.75">
      <c r="C49" s="50" t="str">
        <f>+N2</f>
        <v>Jesus</v>
      </c>
      <c r="D49" s="75"/>
      <c r="E49" s="75"/>
      <c r="J49" s="50" t="s">
        <v>65</v>
      </c>
      <c r="K49" s="50">
        <f>SUM(E5:E22)</f>
        <v>312</v>
      </c>
      <c r="L49" s="50">
        <f>SUM(F5:F22)</f>
        <v>285</v>
      </c>
      <c r="M49" s="50">
        <f>+L49-K49</f>
        <v>-27</v>
      </c>
      <c r="N49" s="76">
        <f>+L49/K49</f>
        <v>0.91346153846153844</v>
      </c>
    </row>
    <row r="50" spans="3:14" ht="14.25" customHeight="1" x14ac:dyDescent="0.75">
      <c r="C50" s="50" t="str">
        <f>+M2</f>
        <v>Jordan</v>
      </c>
      <c r="D50" s="75"/>
      <c r="E50" s="75"/>
      <c r="J50" s="50" t="s">
        <v>55</v>
      </c>
      <c r="K50" s="50">
        <f>SUM(G5:G22)</f>
        <v>1153</v>
      </c>
      <c r="L50" s="50">
        <f>SUM(H5:H22)</f>
        <v>564</v>
      </c>
      <c r="M50" s="50">
        <f>+L50-K50</f>
        <v>-589</v>
      </c>
      <c r="N50" s="76">
        <f>+L50/K50</f>
        <v>0.4891587163920208</v>
      </c>
    </row>
    <row r="51" spans="3:14" ht="14.25" customHeight="1" x14ac:dyDescent="0.75">
      <c r="J51" s="50" t="s">
        <v>158</v>
      </c>
      <c r="K51" s="50">
        <f>SUM(I5:I22)</f>
        <v>302</v>
      </c>
      <c r="L51" s="50">
        <f>SUM(J5:J22)</f>
        <v>221</v>
      </c>
      <c r="M51" s="50">
        <f>+L51-K51</f>
        <v>-81</v>
      </c>
      <c r="N51" s="76">
        <f>+L51/K51</f>
        <v>0.73178807947019864</v>
      </c>
    </row>
  </sheetData>
  <conditionalFormatting sqref="F5:G5 I5:I24 H5:H25 J5:J25 G6:G24 F6:F25">
    <cfRule type="expression" dxfId="248" priority="6">
      <formula>#REF!=F5</formula>
    </cfRule>
    <cfRule type="expression" dxfId="247" priority="7">
      <formula>#REF!&lt;F5</formula>
    </cfRule>
    <cfRule type="expression" dxfId="246" priority="8">
      <formula>#REF!&gt;F5</formula>
    </cfRule>
  </conditionalFormatting>
  <conditionalFormatting sqref="K5:K25">
    <cfRule type="cellIs" dxfId="245" priority="2" operator="equal">
      <formula>0</formula>
    </cfRule>
  </conditionalFormatting>
  <conditionalFormatting sqref="L5:L25">
    <cfRule type="expression" dxfId="244" priority="3">
      <formula>K5=L5</formula>
    </cfRule>
    <cfRule type="expression" dxfId="243" priority="4">
      <formula>K5&lt;L5</formula>
    </cfRule>
    <cfRule type="expression" dxfId="242" priority="5">
      <formula>K5&gt;L5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B26"/>
  <sheetViews>
    <sheetView zoomScaleNormal="100" workbookViewId="0">
      <selection activeCell="I13" sqref="I13"/>
    </sheetView>
  </sheetViews>
  <sheetFormatPr defaultColWidth="8.54296875" defaultRowHeight="14.75" x14ac:dyDescent="0.75"/>
  <cols>
    <col min="2" max="2" width="43.31640625" customWidth="1"/>
    <col min="3" max="3" width="21" customWidth="1"/>
  </cols>
  <sheetData>
    <row r="1" spans="1:28" ht="28.5" customHeight="1" x14ac:dyDescent="0.75">
      <c r="A1" s="51"/>
      <c r="B1" s="51"/>
      <c r="C1" s="51" t="s">
        <v>176</v>
      </c>
      <c r="D1" s="51" t="s">
        <v>144</v>
      </c>
      <c r="E1" s="52" t="s">
        <v>116</v>
      </c>
      <c r="F1" s="53" t="s">
        <v>145</v>
      </c>
      <c r="G1" s="54" t="s">
        <v>119</v>
      </c>
      <c r="H1" s="53" t="s">
        <v>146</v>
      </c>
      <c r="I1" s="55" t="s">
        <v>122</v>
      </c>
      <c r="J1" s="56" t="s">
        <v>147</v>
      </c>
      <c r="K1" s="51" t="s">
        <v>148</v>
      </c>
      <c r="L1" s="53" t="s">
        <v>149</v>
      </c>
      <c r="M1" s="51" t="s">
        <v>56</v>
      </c>
      <c r="N1" s="51" t="s">
        <v>58</v>
      </c>
      <c r="O1" s="51" t="s">
        <v>66</v>
      </c>
      <c r="P1" s="51" t="s">
        <v>56</v>
      </c>
      <c r="Q1" s="51" t="s">
        <v>58</v>
      </c>
      <c r="R1" s="51" t="s">
        <v>66</v>
      </c>
      <c r="S1" s="51" t="s">
        <v>56</v>
      </c>
      <c r="T1" s="51" t="s">
        <v>58</v>
      </c>
      <c r="U1" s="51" t="s">
        <v>66</v>
      </c>
      <c r="V1" s="51" t="s">
        <v>56</v>
      </c>
      <c r="W1" s="51" t="s">
        <v>58</v>
      </c>
      <c r="X1" s="51" t="s">
        <v>66</v>
      </c>
      <c r="Y1" s="51" t="s">
        <v>56</v>
      </c>
      <c r="Z1" s="51" t="s">
        <v>58</v>
      </c>
      <c r="AA1" s="51" t="s">
        <v>66</v>
      </c>
      <c r="AB1" s="51"/>
    </row>
    <row r="2" spans="1:28" ht="14.25" customHeight="1" x14ac:dyDescent="0.75">
      <c r="A2" s="50"/>
      <c r="B2" s="50"/>
      <c r="C2" s="57" t="s">
        <v>150</v>
      </c>
      <c r="D2" s="57"/>
      <c r="E2" s="57"/>
      <c r="F2" s="57"/>
      <c r="G2" s="57"/>
      <c r="H2" s="59"/>
      <c r="I2" s="59"/>
      <c r="J2" s="59"/>
      <c r="K2" s="59"/>
      <c r="L2" s="59"/>
      <c r="M2" s="59" t="s">
        <v>55</v>
      </c>
      <c r="N2" s="59" t="s">
        <v>57</v>
      </c>
      <c r="O2" s="59" t="s">
        <v>65</v>
      </c>
      <c r="P2" s="59" t="s">
        <v>55</v>
      </c>
      <c r="Q2" s="59" t="s">
        <v>57</v>
      </c>
      <c r="R2" s="59" t="s">
        <v>65</v>
      </c>
      <c r="S2" s="59" t="s">
        <v>55</v>
      </c>
      <c r="T2" s="59" t="s">
        <v>57</v>
      </c>
      <c r="U2" s="59" t="s">
        <v>65</v>
      </c>
      <c r="V2" s="59" t="s">
        <v>55</v>
      </c>
      <c r="W2" s="59" t="s">
        <v>57</v>
      </c>
      <c r="X2" s="59" t="s">
        <v>65</v>
      </c>
      <c r="Y2" s="59" t="s">
        <v>55</v>
      </c>
      <c r="Z2" s="59" t="s">
        <v>57</v>
      </c>
      <c r="AA2" s="59" t="s">
        <v>65</v>
      </c>
      <c r="AB2" s="50"/>
    </row>
    <row r="3" spans="1:28" ht="14.25" customHeight="1" x14ac:dyDescent="0.75">
      <c r="A3" s="62" t="s">
        <v>129</v>
      </c>
      <c r="B3" s="62" t="s">
        <v>2</v>
      </c>
      <c r="C3" s="62" t="s">
        <v>3</v>
      </c>
      <c r="D3" s="62"/>
      <c r="E3" s="58"/>
      <c r="F3" s="62"/>
      <c r="G3" s="63"/>
      <c r="H3" s="62"/>
      <c r="I3" s="64"/>
      <c r="J3" s="62"/>
      <c r="K3" s="62"/>
      <c r="L3" s="62"/>
      <c r="M3" s="62" t="s">
        <v>54</v>
      </c>
      <c r="N3" s="62" t="s">
        <v>54</v>
      </c>
      <c r="O3" s="62" t="s">
        <v>54</v>
      </c>
      <c r="P3" s="62" t="s">
        <v>59</v>
      </c>
      <c r="Q3" s="62" t="s">
        <v>59</v>
      </c>
      <c r="R3" s="62" t="s">
        <v>59</v>
      </c>
      <c r="S3" s="62" t="s">
        <v>60</v>
      </c>
      <c r="T3" s="62" t="s">
        <v>60</v>
      </c>
      <c r="U3" s="62" t="s">
        <v>60</v>
      </c>
      <c r="V3" s="62" t="s">
        <v>62</v>
      </c>
      <c r="W3" s="62" t="s">
        <v>62</v>
      </c>
      <c r="X3" s="62" t="s">
        <v>62</v>
      </c>
      <c r="Y3" s="62" t="s">
        <v>63</v>
      </c>
      <c r="Z3" s="62" t="s">
        <v>63</v>
      </c>
      <c r="AA3" s="62" t="s">
        <v>63</v>
      </c>
      <c r="AB3" s="50"/>
    </row>
    <row r="4" spans="1:28" ht="14.25" customHeight="1" x14ac:dyDescent="0.75">
      <c r="A4" s="62"/>
      <c r="B4" s="62"/>
      <c r="C4" s="62" t="s">
        <v>151</v>
      </c>
      <c r="D4" s="62"/>
      <c r="E4" s="58"/>
      <c r="F4" s="62">
        <f t="shared" ref="F4:F25" si="0">+M4+P4+S4+V4+Y4</f>
        <v>32</v>
      </c>
      <c r="G4" s="147"/>
      <c r="H4" s="62">
        <f t="shared" ref="H4:H25" si="1">+N4+Q4+T4+W4+Z4</f>
        <v>441</v>
      </c>
      <c r="I4" s="64"/>
      <c r="J4" s="62">
        <f t="shared" ref="J4:J25" si="2">+O4+R4+U4+X4+AA4</f>
        <v>59</v>
      </c>
      <c r="K4" s="62" t="s">
        <v>152</v>
      </c>
      <c r="L4" s="62"/>
      <c r="M4" s="148"/>
      <c r="N4" s="148"/>
      <c r="O4" s="148"/>
      <c r="P4" s="160"/>
      <c r="Q4" s="62">
        <v>135</v>
      </c>
      <c r="R4" s="62">
        <v>40</v>
      </c>
      <c r="S4" s="62">
        <v>22</v>
      </c>
      <c r="T4" s="62">
        <v>143</v>
      </c>
      <c r="U4" s="62"/>
      <c r="V4" s="62">
        <v>10</v>
      </c>
      <c r="W4" s="62">
        <v>130</v>
      </c>
      <c r="X4" s="62">
        <v>19</v>
      </c>
      <c r="Y4" s="62"/>
      <c r="Z4" s="62">
        <v>33</v>
      </c>
      <c r="AA4" s="161"/>
      <c r="AB4" s="50"/>
    </row>
    <row r="5" spans="1:28" ht="14.25" customHeight="1" x14ac:dyDescent="0.75">
      <c r="A5" s="50">
        <v>666501</v>
      </c>
      <c r="B5" s="50" t="s">
        <v>4</v>
      </c>
      <c r="C5" s="50" t="s">
        <v>5</v>
      </c>
      <c r="D5" s="50"/>
      <c r="E5" s="67">
        <v>6</v>
      </c>
      <c r="F5" s="50">
        <f t="shared" si="0"/>
        <v>6</v>
      </c>
      <c r="G5" s="149">
        <v>174</v>
      </c>
      <c r="H5" s="62">
        <f t="shared" si="1"/>
        <v>174</v>
      </c>
      <c r="I5" s="61">
        <v>0</v>
      </c>
      <c r="J5" s="62">
        <f t="shared" si="2"/>
        <v>0</v>
      </c>
      <c r="K5" s="50">
        <f t="shared" ref="K5:K24" si="3">+E5+G5+I5</f>
        <v>180</v>
      </c>
      <c r="L5" s="50">
        <f t="shared" ref="L5:L25" si="4">SUM(F5,H5,J5)</f>
        <v>180</v>
      </c>
      <c r="M5" s="150"/>
      <c r="N5" s="150"/>
      <c r="O5" s="150"/>
      <c r="P5" s="160"/>
      <c r="Q5" s="50">
        <v>90</v>
      </c>
      <c r="R5" s="50"/>
      <c r="S5" s="50">
        <v>6</v>
      </c>
      <c r="T5" s="50">
        <v>75</v>
      </c>
      <c r="U5" s="50"/>
      <c r="V5" s="50"/>
      <c r="W5" s="50">
        <v>9</v>
      </c>
      <c r="X5" s="50"/>
      <c r="Y5" s="50"/>
      <c r="Z5" s="50"/>
      <c r="AA5" s="162"/>
      <c r="AB5" s="50"/>
    </row>
    <row r="6" spans="1:28" ht="14.25" customHeight="1" x14ac:dyDescent="0.75">
      <c r="A6" s="50">
        <v>666502</v>
      </c>
      <c r="B6" s="50" t="s">
        <v>6</v>
      </c>
      <c r="C6" s="50" t="s">
        <v>7</v>
      </c>
      <c r="D6" s="50"/>
      <c r="E6" s="67">
        <v>0</v>
      </c>
      <c r="F6" s="50">
        <f t="shared" si="0"/>
        <v>0</v>
      </c>
      <c r="G6" s="149">
        <v>238</v>
      </c>
      <c r="H6" s="62">
        <f t="shared" si="1"/>
        <v>135</v>
      </c>
      <c r="I6" s="61">
        <v>50</v>
      </c>
      <c r="J6" s="62">
        <f t="shared" si="2"/>
        <v>50</v>
      </c>
      <c r="K6" s="50">
        <f t="shared" si="3"/>
        <v>288</v>
      </c>
      <c r="L6" s="50">
        <f t="shared" si="4"/>
        <v>185</v>
      </c>
      <c r="M6" s="150"/>
      <c r="N6" s="150"/>
      <c r="O6" s="150"/>
      <c r="P6" s="160"/>
      <c r="Q6" s="50">
        <v>27</v>
      </c>
      <c r="R6" s="50">
        <v>34</v>
      </c>
      <c r="S6" s="50"/>
      <c r="T6" s="50">
        <v>41</v>
      </c>
      <c r="U6" s="50"/>
      <c r="V6" s="50"/>
      <c r="W6" s="50">
        <v>44</v>
      </c>
      <c r="X6" s="50">
        <v>16</v>
      </c>
      <c r="Y6" s="50"/>
      <c r="Z6" s="50">
        <v>23</v>
      </c>
      <c r="AA6" s="162"/>
      <c r="AB6" s="50"/>
    </row>
    <row r="7" spans="1:28" ht="14.25" customHeight="1" x14ac:dyDescent="0.75">
      <c r="A7" s="50">
        <v>666505</v>
      </c>
      <c r="B7" s="50" t="s">
        <v>8</v>
      </c>
      <c r="C7" s="50" t="s">
        <v>9</v>
      </c>
      <c r="D7" s="50"/>
      <c r="E7" s="67">
        <v>0</v>
      </c>
      <c r="F7" s="50">
        <f t="shared" si="0"/>
        <v>0</v>
      </c>
      <c r="G7" s="149">
        <v>0</v>
      </c>
      <c r="H7" s="62">
        <f t="shared" si="1"/>
        <v>0</v>
      </c>
      <c r="I7" s="61">
        <v>0</v>
      </c>
      <c r="J7" s="62">
        <f t="shared" si="2"/>
        <v>0</v>
      </c>
      <c r="K7" s="50">
        <f t="shared" si="3"/>
        <v>0</v>
      </c>
      <c r="L7" s="50">
        <f t="shared" si="4"/>
        <v>0</v>
      </c>
      <c r="M7" s="150"/>
      <c r="N7" s="150"/>
      <c r="O7" s="150"/>
      <c r="P7" s="160"/>
      <c r="Q7" s="50"/>
      <c r="R7" s="50"/>
      <c r="S7" s="50"/>
      <c r="T7" s="50"/>
      <c r="U7" s="50"/>
      <c r="V7" s="50"/>
      <c r="W7" s="50"/>
      <c r="X7" s="50"/>
      <c r="Y7" s="50"/>
      <c r="Z7" s="50"/>
      <c r="AA7" s="162"/>
      <c r="AB7" s="50"/>
    </row>
    <row r="8" spans="1:28" ht="14.25" customHeight="1" x14ac:dyDescent="0.75">
      <c r="A8" s="50">
        <v>666506</v>
      </c>
      <c r="B8" s="50" t="s">
        <v>10</v>
      </c>
      <c r="C8" s="50" t="s">
        <v>11</v>
      </c>
      <c r="D8" s="50"/>
      <c r="E8" s="67">
        <v>0</v>
      </c>
      <c r="F8" s="50">
        <f t="shared" si="0"/>
        <v>0</v>
      </c>
      <c r="G8" s="149">
        <v>177</v>
      </c>
      <c r="H8" s="62">
        <f t="shared" si="1"/>
        <v>42</v>
      </c>
      <c r="I8" s="61">
        <v>0</v>
      </c>
      <c r="J8" s="62">
        <f t="shared" si="2"/>
        <v>0</v>
      </c>
      <c r="K8" s="50">
        <f t="shared" si="3"/>
        <v>177</v>
      </c>
      <c r="L8" s="50">
        <f t="shared" si="4"/>
        <v>42</v>
      </c>
      <c r="M8" s="150"/>
      <c r="N8" s="150"/>
      <c r="O8" s="150"/>
      <c r="P8" s="160"/>
      <c r="Q8" s="50">
        <v>9</v>
      </c>
      <c r="R8" s="50"/>
      <c r="S8" s="50"/>
      <c r="T8" s="50">
        <v>11</v>
      </c>
      <c r="U8" s="50"/>
      <c r="V8" s="50"/>
      <c r="W8" s="50">
        <v>17</v>
      </c>
      <c r="X8" s="50"/>
      <c r="Y8" s="50"/>
      <c r="Z8" s="50">
        <v>5</v>
      </c>
      <c r="AA8" s="162"/>
      <c r="AB8" s="50"/>
    </row>
    <row r="9" spans="1:28" ht="14.25" customHeight="1" x14ac:dyDescent="0.75">
      <c r="A9" s="50">
        <v>666507</v>
      </c>
      <c r="B9" s="50" t="s">
        <v>12</v>
      </c>
      <c r="C9" s="50" t="s">
        <v>13</v>
      </c>
      <c r="D9" s="50"/>
      <c r="E9" s="67">
        <v>13</v>
      </c>
      <c r="F9" s="50">
        <f t="shared" si="0"/>
        <v>13</v>
      </c>
      <c r="G9" s="149">
        <v>0</v>
      </c>
      <c r="H9" s="62">
        <f t="shared" si="1"/>
        <v>0</v>
      </c>
      <c r="I9" s="61">
        <v>0</v>
      </c>
      <c r="J9" s="62">
        <f t="shared" si="2"/>
        <v>0</v>
      </c>
      <c r="K9" s="50">
        <f t="shared" si="3"/>
        <v>13</v>
      </c>
      <c r="L9" s="50">
        <f t="shared" si="4"/>
        <v>13</v>
      </c>
      <c r="M9" s="150"/>
      <c r="N9" s="150"/>
      <c r="O9" s="150"/>
      <c r="P9" s="160"/>
      <c r="Q9" s="50"/>
      <c r="R9" s="50"/>
      <c r="S9" s="50">
        <v>13</v>
      </c>
      <c r="T9" s="50"/>
      <c r="U9" s="50"/>
      <c r="V9" s="50"/>
      <c r="W9" s="50"/>
      <c r="X9" s="50"/>
      <c r="Y9" s="50"/>
      <c r="Z9" s="50"/>
      <c r="AA9" s="162"/>
      <c r="AB9" s="50"/>
    </row>
    <row r="10" spans="1:28" ht="14.25" customHeight="1" x14ac:dyDescent="0.75">
      <c r="A10" s="50">
        <v>666509</v>
      </c>
      <c r="B10" s="50" t="s">
        <v>14</v>
      </c>
      <c r="C10" s="50" t="s">
        <v>15</v>
      </c>
      <c r="D10" s="50"/>
      <c r="E10" s="67">
        <v>0</v>
      </c>
      <c r="F10" s="50">
        <f t="shared" si="0"/>
        <v>0</v>
      </c>
      <c r="G10" s="149">
        <v>0</v>
      </c>
      <c r="H10" s="62">
        <f t="shared" si="1"/>
        <v>0</v>
      </c>
      <c r="I10" s="61">
        <v>0</v>
      </c>
      <c r="J10" s="62">
        <f t="shared" si="2"/>
        <v>0</v>
      </c>
      <c r="K10" s="50">
        <f t="shared" si="3"/>
        <v>0</v>
      </c>
      <c r="L10" s="50">
        <f t="shared" si="4"/>
        <v>0</v>
      </c>
      <c r="M10" s="150"/>
      <c r="N10" s="150"/>
      <c r="O10" s="150"/>
      <c r="P10" s="16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162"/>
      <c r="AB10" s="50"/>
    </row>
    <row r="11" spans="1:28" ht="14.25" customHeight="1" x14ac:dyDescent="0.75">
      <c r="A11" s="50">
        <v>666510</v>
      </c>
      <c r="B11" s="50" t="s">
        <v>16</v>
      </c>
      <c r="C11" s="50" t="s">
        <v>17</v>
      </c>
      <c r="D11" s="50"/>
      <c r="E11" s="67">
        <v>0</v>
      </c>
      <c r="F11" s="50">
        <f t="shared" si="0"/>
        <v>0</v>
      </c>
      <c r="G11" s="149">
        <v>0</v>
      </c>
      <c r="H11" s="62">
        <f t="shared" si="1"/>
        <v>0</v>
      </c>
      <c r="I11" s="61">
        <v>0</v>
      </c>
      <c r="J11" s="62">
        <f t="shared" si="2"/>
        <v>0</v>
      </c>
      <c r="K11" s="50">
        <f t="shared" si="3"/>
        <v>0</v>
      </c>
      <c r="L11" s="50">
        <f t="shared" si="4"/>
        <v>0</v>
      </c>
      <c r="M11" s="150"/>
      <c r="N11" s="150"/>
      <c r="O11" s="150"/>
      <c r="P11" s="16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162"/>
      <c r="AB11" s="50"/>
    </row>
    <row r="12" spans="1:28" ht="14.25" customHeight="1" x14ac:dyDescent="0.75">
      <c r="A12" s="50">
        <v>666511</v>
      </c>
      <c r="B12" s="50" t="s">
        <v>18</v>
      </c>
      <c r="C12" s="50" t="s">
        <v>19</v>
      </c>
      <c r="D12" s="50"/>
      <c r="E12" s="67">
        <v>8</v>
      </c>
      <c r="F12" s="50">
        <f t="shared" si="0"/>
        <v>8</v>
      </c>
      <c r="G12" s="149">
        <v>0</v>
      </c>
      <c r="H12" s="62">
        <f t="shared" si="1"/>
        <v>0</v>
      </c>
      <c r="I12" s="61">
        <v>0</v>
      </c>
      <c r="J12" s="62">
        <f t="shared" si="2"/>
        <v>0</v>
      </c>
      <c r="K12" s="50">
        <f t="shared" si="3"/>
        <v>8</v>
      </c>
      <c r="L12" s="50">
        <f t="shared" si="4"/>
        <v>8</v>
      </c>
      <c r="M12" s="150"/>
      <c r="N12" s="150"/>
      <c r="O12" s="150"/>
      <c r="P12" s="160"/>
      <c r="Q12" s="50"/>
      <c r="R12" s="50"/>
      <c r="S12" s="50">
        <v>6</v>
      </c>
      <c r="T12" s="50"/>
      <c r="U12" s="50"/>
      <c r="V12" s="50">
        <v>2</v>
      </c>
      <c r="W12" s="50"/>
      <c r="X12" s="50"/>
      <c r="Y12" s="50"/>
      <c r="Z12" s="50"/>
      <c r="AA12" s="162"/>
      <c r="AB12" s="50"/>
    </row>
    <row r="13" spans="1:28" ht="14.25" customHeight="1" x14ac:dyDescent="0.75">
      <c r="A13" s="50">
        <v>666513</v>
      </c>
      <c r="B13" s="50" t="s">
        <v>20</v>
      </c>
      <c r="C13" s="50" t="s">
        <v>21</v>
      </c>
      <c r="D13" s="50"/>
      <c r="E13" s="67">
        <v>0</v>
      </c>
      <c r="F13" s="50">
        <f t="shared" si="0"/>
        <v>0</v>
      </c>
      <c r="G13" s="149">
        <v>0</v>
      </c>
      <c r="H13" s="62">
        <f t="shared" si="1"/>
        <v>0</v>
      </c>
      <c r="I13" s="61">
        <v>0</v>
      </c>
      <c r="J13" s="62">
        <f t="shared" si="2"/>
        <v>0</v>
      </c>
      <c r="K13" s="50">
        <f t="shared" si="3"/>
        <v>0</v>
      </c>
      <c r="L13" s="50">
        <f t="shared" si="4"/>
        <v>0</v>
      </c>
      <c r="M13" s="150"/>
      <c r="N13" s="150"/>
      <c r="O13" s="150"/>
      <c r="P13" s="16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162"/>
      <c r="AB13" s="50"/>
    </row>
    <row r="14" spans="1:28" ht="14.25" customHeight="1" x14ac:dyDescent="0.75">
      <c r="A14" s="50">
        <v>666516</v>
      </c>
      <c r="B14" s="50" t="s">
        <v>22</v>
      </c>
      <c r="C14" s="50" t="s">
        <v>23</v>
      </c>
      <c r="D14" s="50"/>
      <c r="E14" s="67">
        <v>0</v>
      </c>
      <c r="F14" s="50">
        <f t="shared" si="0"/>
        <v>0</v>
      </c>
      <c r="G14" s="149">
        <v>0</v>
      </c>
      <c r="H14" s="62">
        <f t="shared" si="1"/>
        <v>0</v>
      </c>
      <c r="I14" s="61">
        <v>6</v>
      </c>
      <c r="J14" s="62">
        <f t="shared" si="2"/>
        <v>6</v>
      </c>
      <c r="K14" s="50">
        <f t="shared" si="3"/>
        <v>6</v>
      </c>
      <c r="L14" s="50">
        <f t="shared" si="4"/>
        <v>6</v>
      </c>
      <c r="M14" s="150"/>
      <c r="N14" s="150"/>
      <c r="O14" s="150"/>
      <c r="P14" s="160"/>
      <c r="Q14" s="50"/>
      <c r="R14" s="50">
        <v>6</v>
      </c>
      <c r="S14" s="50"/>
      <c r="T14" s="50"/>
      <c r="U14" s="50"/>
      <c r="V14" s="50"/>
      <c r="W14" s="50"/>
      <c r="X14" s="50"/>
      <c r="Y14" s="50"/>
      <c r="Z14" s="50"/>
      <c r="AA14" s="162"/>
      <c r="AB14" s="50"/>
    </row>
    <row r="15" spans="1:28" ht="14.25" customHeight="1" x14ac:dyDescent="0.75">
      <c r="A15" s="50">
        <v>666517</v>
      </c>
      <c r="B15" s="50" t="s">
        <v>24</v>
      </c>
      <c r="C15" s="50" t="s">
        <v>25</v>
      </c>
      <c r="D15" s="50"/>
      <c r="E15" s="67">
        <v>0</v>
      </c>
      <c r="F15" s="50">
        <f t="shared" si="0"/>
        <v>0</v>
      </c>
      <c r="G15" s="149">
        <v>0</v>
      </c>
      <c r="H15" s="62">
        <f t="shared" si="1"/>
        <v>0</v>
      </c>
      <c r="I15" s="61">
        <v>0</v>
      </c>
      <c r="J15" s="62">
        <f t="shared" si="2"/>
        <v>0</v>
      </c>
      <c r="K15" s="50">
        <f t="shared" si="3"/>
        <v>0</v>
      </c>
      <c r="L15" s="50">
        <f t="shared" si="4"/>
        <v>0</v>
      </c>
      <c r="M15" s="150"/>
      <c r="N15" s="150"/>
      <c r="O15" s="150"/>
      <c r="P15" s="16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162"/>
      <c r="AB15" s="50"/>
    </row>
    <row r="16" spans="1:28" ht="14.25" customHeight="1" x14ac:dyDescent="0.75">
      <c r="A16" s="50">
        <v>666518</v>
      </c>
      <c r="B16" s="50" t="s">
        <v>26</v>
      </c>
      <c r="C16" s="50" t="s">
        <v>27</v>
      </c>
      <c r="D16" s="50"/>
      <c r="E16" s="67">
        <v>0</v>
      </c>
      <c r="F16" s="50">
        <f t="shared" si="0"/>
        <v>0</v>
      </c>
      <c r="G16" s="149">
        <v>0</v>
      </c>
      <c r="H16" s="62">
        <f t="shared" si="1"/>
        <v>0</v>
      </c>
      <c r="I16" s="61">
        <v>0</v>
      </c>
      <c r="J16" s="62">
        <f t="shared" si="2"/>
        <v>0</v>
      </c>
      <c r="K16" s="50">
        <f t="shared" si="3"/>
        <v>0</v>
      </c>
      <c r="L16" s="50">
        <f t="shared" si="4"/>
        <v>0</v>
      </c>
      <c r="M16" s="150"/>
      <c r="N16" s="150"/>
      <c r="O16" s="150"/>
      <c r="P16" s="16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162"/>
      <c r="AB16" s="50"/>
    </row>
    <row r="17" spans="1:28" ht="14.25" customHeight="1" x14ac:dyDescent="0.75">
      <c r="A17" s="50">
        <v>666519</v>
      </c>
      <c r="B17" s="50" t="s">
        <v>28</v>
      </c>
      <c r="C17" s="50" t="s">
        <v>29</v>
      </c>
      <c r="D17" s="50"/>
      <c r="E17" s="67">
        <v>0</v>
      </c>
      <c r="F17" s="50">
        <f t="shared" si="0"/>
        <v>0</v>
      </c>
      <c r="G17" s="149">
        <v>0</v>
      </c>
      <c r="H17" s="62">
        <f t="shared" si="1"/>
        <v>0</v>
      </c>
      <c r="I17" s="61">
        <v>0</v>
      </c>
      <c r="J17" s="62">
        <f t="shared" si="2"/>
        <v>0</v>
      </c>
      <c r="K17" s="50">
        <f t="shared" si="3"/>
        <v>0</v>
      </c>
      <c r="L17" s="50">
        <f t="shared" si="4"/>
        <v>0</v>
      </c>
      <c r="M17" s="150"/>
      <c r="N17" s="150"/>
      <c r="O17" s="150"/>
      <c r="P17" s="16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162"/>
      <c r="AB17" s="50"/>
    </row>
    <row r="18" spans="1:28" ht="14.25" customHeight="1" x14ac:dyDescent="0.75">
      <c r="A18" s="50">
        <v>666521</v>
      </c>
      <c r="B18" s="50" t="s">
        <v>30</v>
      </c>
      <c r="C18" s="50" t="s">
        <v>31</v>
      </c>
      <c r="D18" s="50"/>
      <c r="E18" s="67">
        <v>0</v>
      </c>
      <c r="F18" s="50">
        <f t="shared" si="0"/>
        <v>0</v>
      </c>
      <c r="G18" s="149">
        <v>0</v>
      </c>
      <c r="H18" s="62">
        <f t="shared" si="1"/>
        <v>0</v>
      </c>
      <c r="I18" s="61">
        <v>0</v>
      </c>
      <c r="J18" s="62">
        <f t="shared" si="2"/>
        <v>0</v>
      </c>
      <c r="K18" s="50">
        <f t="shared" si="3"/>
        <v>0</v>
      </c>
      <c r="L18" s="50">
        <f t="shared" si="4"/>
        <v>0</v>
      </c>
      <c r="M18" s="150"/>
      <c r="N18" s="150"/>
      <c r="O18" s="150"/>
      <c r="P18" s="16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162"/>
      <c r="AB18" s="50"/>
    </row>
    <row r="19" spans="1:28" ht="14.25" customHeight="1" x14ac:dyDescent="0.75">
      <c r="A19" s="50">
        <v>666522</v>
      </c>
      <c r="B19" s="50" t="s">
        <v>32</v>
      </c>
      <c r="C19" s="50" t="s">
        <v>33</v>
      </c>
      <c r="D19" s="50"/>
      <c r="E19" s="67">
        <v>0</v>
      </c>
      <c r="F19" s="50">
        <f t="shared" si="0"/>
        <v>0</v>
      </c>
      <c r="G19" s="149">
        <v>0</v>
      </c>
      <c r="H19" s="62">
        <f t="shared" si="1"/>
        <v>0</v>
      </c>
      <c r="I19" s="61">
        <v>25</v>
      </c>
      <c r="J19" s="62">
        <f t="shared" si="2"/>
        <v>25</v>
      </c>
      <c r="K19" s="50">
        <f t="shared" si="3"/>
        <v>25</v>
      </c>
      <c r="L19" s="50">
        <f t="shared" si="4"/>
        <v>25</v>
      </c>
      <c r="M19" s="150"/>
      <c r="N19" s="150"/>
      <c r="O19" s="150"/>
      <c r="P19" s="160"/>
      <c r="Q19" s="50"/>
      <c r="R19" s="50">
        <v>25</v>
      </c>
      <c r="S19" s="50"/>
      <c r="T19" s="50"/>
      <c r="U19" s="50"/>
      <c r="V19" s="50"/>
      <c r="W19" s="50"/>
      <c r="X19" s="50"/>
      <c r="Y19" s="50"/>
      <c r="Z19" s="50"/>
      <c r="AA19" s="162"/>
      <c r="AB19" s="50"/>
    </row>
    <row r="20" spans="1:28" ht="14.25" customHeight="1" x14ac:dyDescent="0.75">
      <c r="A20" s="50">
        <v>666523</v>
      </c>
      <c r="B20" s="50" t="s">
        <v>34</v>
      </c>
      <c r="C20" s="50" t="s">
        <v>35</v>
      </c>
      <c r="D20" s="50"/>
      <c r="E20" s="67">
        <v>0</v>
      </c>
      <c r="F20" s="50">
        <f t="shared" si="0"/>
        <v>0</v>
      </c>
      <c r="G20" s="149">
        <v>0</v>
      </c>
      <c r="H20" s="62">
        <f t="shared" si="1"/>
        <v>0</v>
      </c>
      <c r="I20" s="61">
        <v>0</v>
      </c>
      <c r="J20" s="62">
        <f t="shared" si="2"/>
        <v>0</v>
      </c>
      <c r="K20" s="50">
        <f t="shared" si="3"/>
        <v>0</v>
      </c>
      <c r="L20" s="50">
        <f t="shared" si="4"/>
        <v>0</v>
      </c>
      <c r="M20" s="150"/>
      <c r="N20" s="150"/>
      <c r="O20" s="150"/>
      <c r="P20" s="16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162"/>
      <c r="AB20" s="50"/>
    </row>
    <row r="21" spans="1:28" ht="14.25" customHeight="1" x14ac:dyDescent="0.75">
      <c r="A21" s="50">
        <v>666530</v>
      </c>
      <c r="B21" s="50" t="s">
        <v>36</v>
      </c>
      <c r="C21" s="50" t="s">
        <v>37</v>
      </c>
      <c r="D21" s="50"/>
      <c r="E21" s="67">
        <v>0</v>
      </c>
      <c r="F21" s="50">
        <f t="shared" si="0"/>
        <v>0</v>
      </c>
      <c r="G21" s="149">
        <v>0</v>
      </c>
      <c r="H21" s="62">
        <f t="shared" si="1"/>
        <v>0</v>
      </c>
      <c r="I21" s="61">
        <v>0</v>
      </c>
      <c r="J21" s="62">
        <f t="shared" si="2"/>
        <v>0</v>
      </c>
      <c r="K21" s="50">
        <f t="shared" si="3"/>
        <v>0</v>
      </c>
      <c r="L21" s="50">
        <f t="shared" si="4"/>
        <v>0</v>
      </c>
      <c r="M21" s="150"/>
      <c r="N21" s="150"/>
      <c r="O21" s="150"/>
      <c r="P21" s="16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162"/>
      <c r="AB21" s="50"/>
    </row>
    <row r="22" spans="1:28" ht="14.25" customHeight="1" x14ac:dyDescent="0.75">
      <c r="A22" s="50">
        <v>666531</v>
      </c>
      <c r="B22" s="50" t="s">
        <v>38</v>
      </c>
      <c r="C22" s="50" t="s">
        <v>39</v>
      </c>
      <c r="D22" s="50"/>
      <c r="E22" s="67">
        <v>0</v>
      </c>
      <c r="F22" s="50">
        <f t="shared" si="0"/>
        <v>0</v>
      </c>
      <c r="G22" s="149">
        <v>0</v>
      </c>
      <c r="H22" s="62">
        <f t="shared" si="1"/>
        <v>0</v>
      </c>
      <c r="I22" s="61">
        <v>0</v>
      </c>
      <c r="J22" s="62">
        <f t="shared" si="2"/>
        <v>0</v>
      </c>
      <c r="K22" s="50">
        <f t="shared" si="3"/>
        <v>0</v>
      </c>
      <c r="L22" s="50">
        <f t="shared" si="4"/>
        <v>0</v>
      </c>
      <c r="M22" s="150"/>
      <c r="N22" s="150"/>
      <c r="O22" s="150"/>
      <c r="P22" s="16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162"/>
      <c r="AB22" s="50"/>
    </row>
    <row r="23" spans="1:28" ht="14.25" customHeight="1" x14ac:dyDescent="0.75">
      <c r="A23" s="50">
        <v>666540</v>
      </c>
      <c r="B23" s="50" t="s">
        <v>40</v>
      </c>
      <c r="C23" s="50" t="s">
        <v>40</v>
      </c>
      <c r="D23" s="50"/>
      <c r="E23" s="67">
        <v>0</v>
      </c>
      <c r="F23" s="50">
        <f t="shared" si="0"/>
        <v>0</v>
      </c>
      <c r="G23" s="149">
        <v>206</v>
      </c>
      <c r="H23" s="62">
        <f t="shared" si="1"/>
        <v>1</v>
      </c>
      <c r="I23" s="61">
        <v>0</v>
      </c>
      <c r="J23" s="62">
        <f t="shared" si="2"/>
        <v>0</v>
      </c>
      <c r="K23" s="50">
        <f t="shared" si="3"/>
        <v>206</v>
      </c>
      <c r="L23" s="50">
        <f t="shared" si="4"/>
        <v>1</v>
      </c>
      <c r="M23" s="150"/>
      <c r="N23" s="150"/>
      <c r="O23" s="150"/>
      <c r="P23" s="160"/>
      <c r="Q23" s="50">
        <v>1</v>
      </c>
      <c r="R23" s="50"/>
      <c r="S23" s="50"/>
      <c r="T23" s="50"/>
      <c r="U23" s="50"/>
      <c r="V23" s="50"/>
      <c r="W23" s="50"/>
      <c r="X23" s="50"/>
      <c r="Y23" s="50"/>
      <c r="Z23" s="50"/>
      <c r="AA23" s="162"/>
      <c r="AB23" s="50"/>
    </row>
    <row r="24" spans="1:28" ht="14.25" customHeight="1" x14ac:dyDescent="0.75">
      <c r="A24" s="50">
        <v>666541</v>
      </c>
      <c r="B24" s="50" t="s">
        <v>41</v>
      </c>
      <c r="C24" s="50" t="s">
        <v>41</v>
      </c>
      <c r="D24" s="50"/>
      <c r="E24" s="67">
        <v>0</v>
      </c>
      <c r="F24" s="50">
        <f t="shared" si="0"/>
        <v>0</v>
      </c>
      <c r="G24" s="149">
        <v>145</v>
      </c>
      <c r="H24" s="62">
        <f t="shared" si="1"/>
        <v>173</v>
      </c>
      <c r="I24" s="61">
        <v>0</v>
      </c>
      <c r="J24" s="62">
        <f t="shared" si="2"/>
        <v>0</v>
      </c>
      <c r="K24" s="50">
        <f t="shared" si="3"/>
        <v>145</v>
      </c>
      <c r="L24" s="50">
        <f t="shared" si="4"/>
        <v>173</v>
      </c>
      <c r="M24" s="150"/>
      <c r="N24" s="150"/>
      <c r="O24" s="150"/>
      <c r="P24" s="160"/>
      <c r="Q24" s="50">
        <v>63</v>
      </c>
      <c r="R24" s="50"/>
      <c r="S24" s="50"/>
      <c r="T24" s="50">
        <v>20</v>
      </c>
      <c r="U24" s="50"/>
      <c r="V24" s="50"/>
      <c r="W24" s="50">
        <v>43</v>
      </c>
      <c r="X24" s="50"/>
      <c r="Y24" s="50"/>
      <c r="Z24" s="50">
        <v>47</v>
      </c>
      <c r="AA24" s="162"/>
      <c r="AB24" s="50"/>
    </row>
    <row r="25" spans="1:28" ht="14.25" customHeight="1" x14ac:dyDescent="0.75">
      <c r="A25" s="50">
        <v>666536</v>
      </c>
      <c r="B25" s="50" t="s">
        <v>42</v>
      </c>
      <c r="C25" s="50" t="s">
        <v>43</v>
      </c>
      <c r="D25" s="50"/>
      <c r="E25" s="67">
        <v>2</v>
      </c>
      <c r="F25" s="50">
        <f t="shared" si="0"/>
        <v>2</v>
      </c>
      <c r="G25" s="149">
        <v>0</v>
      </c>
      <c r="H25" s="62">
        <f t="shared" si="1"/>
        <v>0</v>
      </c>
      <c r="I25" s="61">
        <v>0</v>
      </c>
      <c r="J25" s="62">
        <f t="shared" si="2"/>
        <v>0</v>
      </c>
      <c r="K25" s="50">
        <f>+E25+G25+H25</f>
        <v>2</v>
      </c>
      <c r="L25" s="50">
        <f t="shared" si="4"/>
        <v>2</v>
      </c>
      <c r="M25" s="150"/>
      <c r="N25" s="150"/>
      <c r="O25" s="150"/>
      <c r="P25" s="160"/>
      <c r="Q25" s="50"/>
      <c r="R25" s="50"/>
      <c r="S25" s="50"/>
      <c r="T25" s="50"/>
      <c r="U25" s="50"/>
      <c r="V25" s="50">
        <v>2</v>
      </c>
      <c r="W25" s="50"/>
      <c r="X25" s="50"/>
      <c r="Y25" s="50"/>
      <c r="Z25" s="50"/>
      <c r="AA25" s="162"/>
      <c r="AB25" s="50"/>
    </row>
    <row r="26" spans="1:28" ht="14.25" customHeight="1" x14ac:dyDescent="0.75">
      <c r="A26" s="50"/>
      <c r="B26" s="50"/>
      <c r="C26" s="71"/>
      <c r="D26" s="71"/>
      <c r="E26" s="71"/>
      <c r="F26" s="71"/>
      <c r="G26" s="71"/>
      <c r="H26" s="71"/>
      <c r="I26" s="71"/>
      <c r="J26" s="71"/>
      <c r="K26" s="50"/>
      <c r="L26" s="71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</row>
  </sheetData>
  <conditionalFormatting sqref="K5:K25">
    <cfRule type="cellIs" dxfId="241" priority="2" operator="equal">
      <formula>0</formula>
    </cfRule>
  </conditionalFormatting>
  <conditionalFormatting sqref="L5:L25">
    <cfRule type="expression" dxfId="240" priority="3">
      <formula>K5=L5</formula>
    </cfRule>
    <cfRule type="expression" dxfId="239" priority="4">
      <formula>K5&lt;L5</formula>
    </cfRule>
    <cfRule type="expression" dxfId="238" priority="5">
      <formula>K5&gt;L5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X71"/>
  <sheetViews>
    <sheetView topLeftCell="A18" zoomScaleNormal="100" workbookViewId="0">
      <selection activeCell="R28" sqref="R28"/>
    </sheetView>
  </sheetViews>
  <sheetFormatPr defaultColWidth="8.86328125" defaultRowHeight="14.75" x14ac:dyDescent="0.75"/>
  <cols>
    <col min="1" max="1" width="9" style="79" customWidth="1"/>
    <col min="2" max="2" width="33.453125" style="79" customWidth="1"/>
    <col min="3" max="3" width="15.6328125" style="79" hidden="1" customWidth="1"/>
    <col min="4" max="13" width="8.86328125" style="79"/>
    <col min="14" max="14" width="9.453125" style="79" customWidth="1"/>
    <col min="15" max="17" width="8.86328125" style="79"/>
    <col min="18" max="18" width="10.6328125" style="80" customWidth="1"/>
    <col min="19" max="19" width="9.1328125" style="79" hidden="1" customWidth="1"/>
    <col min="20" max="16384" width="8.86328125" style="79"/>
  </cols>
  <sheetData>
    <row r="1" spans="1:19" ht="15" customHeight="1" x14ac:dyDescent="0.75">
      <c r="A1" s="5" t="s">
        <v>181</v>
      </c>
      <c r="B1" s="5"/>
      <c r="C1" s="5"/>
      <c r="D1" s="5"/>
      <c r="E1" s="5"/>
      <c r="F1" s="81"/>
      <c r="G1" s="81"/>
      <c r="H1" s="81"/>
      <c r="I1" s="81"/>
      <c r="J1" s="81"/>
      <c r="K1" s="81"/>
      <c r="L1" s="81"/>
      <c r="M1" s="81"/>
      <c r="N1" s="81"/>
      <c r="O1" s="81"/>
      <c r="P1" s="82"/>
      <c r="Q1" s="80" t="s">
        <v>160</v>
      </c>
    </row>
    <row r="2" spans="1:19" ht="41.25" customHeight="1" x14ac:dyDescent="0.75">
      <c r="A2" s="83"/>
      <c r="B2" s="84" t="s">
        <v>56</v>
      </c>
      <c r="C2" s="85" t="s">
        <v>55</v>
      </c>
      <c r="D2" s="86" t="s">
        <v>116</v>
      </c>
      <c r="E2" s="87" t="s">
        <v>161</v>
      </c>
      <c r="F2" s="88" t="s">
        <v>162</v>
      </c>
      <c r="G2" s="86" t="s">
        <v>163</v>
      </c>
      <c r="H2" s="87" t="s">
        <v>164</v>
      </c>
      <c r="I2" s="86" t="s">
        <v>165</v>
      </c>
      <c r="J2" s="86" t="s">
        <v>166</v>
      </c>
      <c r="K2" s="89" t="s">
        <v>167</v>
      </c>
      <c r="L2" s="88" t="s">
        <v>162</v>
      </c>
      <c r="M2" s="86" t="s">
        <v>163</v>
      </c>
      <c r="N2" s="87" t="s">
        <v>164</v>
      </c>
      <c r="O2" s="86" t="s">
        <v>165</v>
      </c>
      <c r="P2" s="90" t="s">
        <v>166</v>
      </c>
      <c r="Q2" s="91"/>
      <c r="R2" s="92" t="s">
        <v>168</v>
      </c>
    </row>
    <row r="3" spans="1:19" ht="14.25" customHeight="1" x14ac:dyDescent="0.75">
      <c r="A3" s="93">
        <v>666501</v>
      </c>
      <c r="B3" s="94" t="s">
        <v>4</v>
      </c>
      <c r="C3" s="95" t="s">
        <v>5</v>
      </c>
      <c r="D3" s="96">
        <v>45</v>
      </c>
      <c r="E3" s="97">
        <f t="shared" ref="E3:E23" si="0">+D3/6</f>
        <v>7.5</v>
      </c>
      <c r="F3" s="96">
        <v>12</v>
      </c>
      <c r="G3" s="98">
        <v>0</v>
      </c>
      <c r="H3" s="96">
        <v>9</v>
      </c>
      <c r="I3" s="96">
        <v>12</v>
      </c>
      <c r="J3" s="96">
        <v>6</v>
      </c>
      <c r="K3" s="99">
        <f t="shared" ref="K3:K23" si="1">(+D3-SUM(F3:J3))/3.5</f>
        <v>1.7142857142857142</v>
      </c>
      <c r="L3" s="96">
        <v>0</v>
      </c>
      <c r="M3" s="96">
        <v>0</v>
      </c>
      <c r="N3" s="96">
        <v>6</v>
      </c>
      <c r="O3" s="96">
        <v>0</v>
      </c>
      <c r="P3" s="100">
        <v>0</v>
      </c>
      <c r="Q3" s="101">
        <f t="shared" ref="Q3:Q22" si="2">SUM(F3:J3)+SUM(L3:P3)</f>
        <v>45</v>
      </c>
      <c r="R3" s="101">
        <f t="shared" ref="R3:R22" si="3">+D3-Q3</f>
        <v>0</v>
      </c>
      <c r="S3" s="102">
        <f>+R3/2.25</f>
        <v>0</v>
      </c>
    </row>
    <row r="4" spans="1:19" ht="14.25" customHeight="1" x14ac:dyDescent="0.75">
      <c r="A4" s="93">
        <v>666502</v>
      </c>
      <c r="B4" s="94" t="s">
        <v>6</v>
      </c>
      <c r="C4" s="95" t="s">
        <v>7</v>
      </c>
      <c r="D4" s="96">
        <v>0</v>
      </c>
      <c r="E4" s="97">
        <f t="shared" si="0"/>
        <v>0</v>
      </c>
      <c r="F4" s="96">
        <v>0</v>
      </c>
      <c r="G4" s="98">
        <v>0</v>
      </c>
      <c r="H4" s="96">
        <v>0</v>
      </c>
      <c r="I4" s="96">
        <v>0</v>
      </c>
      <c r="J4" s="96">
        <v>0</v>
      </c>
      <c r="K4" s="99">
        <f t="shared" si="1"/>
        <v>0</v>
      </c>
      <c r="L4" s="96">
        <v>0</v>
      </c>
      <c r="M4" s="96">
        <v>0</v>
      </c>
      <c r="N4" s="96">
        <v>0</v>
      </c>
      <c r="O4" s="96">
        <v>0</v>
      </c>
      <c r="P4" s="100">
        <v>0</v>
      </c>
      <c r="Q4" s="101">
        <f t="shared" si="2"/>
        <v>0</v>
      </c>
      <c r="R4" s="101">
        <f t="shared" si="3"/>
        <v>0</v>
      </c>
      <c r="S4" s="102">
        <f>+R4/2.25</f>
        <v>0</v>
      </c>
    </row>
    <row r="5" spans="1:19" ht="14.25" customHeight="1" x14ac:dyDescent="0.75">
      <c r="A5" s="93">
        <v>666505</v>
      </c>
      <c r="B5" s="94" t="s">
        <v>8</v>
      </c>
      <c r="C5" s="95" t="s">
        <v>9</v>
      </c>
      <c r="D5" s="96">
        <v>19</v>
      </c>
      <c r="E5" s="97">
        <f t="shared" si="0"/>
        <v>3.1666666666666665</v>
      </c>
      <c r="F5" s="96">
        <v>19</v>
      </c>
      <c r="G5" s="98">
        <v>0</v>
      </c>
      <c r="H5" s="96">
        <v>0</v>
      </c>
      <c r="I5" s="96">
        <v>0</v>
      </c>
      <c r="J5" s="96">
        <v>0</v>
      </c>
      <c r="K5" s="99">
        <f t="shared" si="1"/>
        <v>0</v>
      </c>
      <c r="L5" s="96">
        <v>0</v>
      </c>
      <c r="M5" s="96">
        <v>0</v>
      </c>
      <c r="N5" s="96">
        <v>0</v>
      </c>
      <c r="O5" s="96">
        <v>0</v>
      </c>
      <c r="P5" s="100">
        <v>0</v>
      </c>
      <c r="Q5" s="133">
        <f t="shared" si="2"/>
        <v>19</v>
      </c>
      <c r="R5" s="101">
        <f t="shared" si="3"/>
        <v>0</v>
      </c>
      <c r="S5" s="102">
        <f>+R5/2.25</f>
        <v>0</v>
      </c>
    </row>
    <row r="6" spans="1:19" ht="14.25" customHeight="1" x14ac:dyDescent="0.75">
      <c r="A6" s="93">
        <v>666506</v>
      </c>
      <c r="B6" s="94" t="s">
        <v>10</v>
      </c>
      <c r="C6" s="95" t="s">
        <v>11</v>
      </c>
      <c r="D6" s="96">
        <v>0</v>
      </c>
      <c r="E6" s="97">
        <f t="shared" si="0"/>
        <v>0</v>
      </c>
      <c r="F6" s="96">
        <v>0</v>
      </c>
      <c r="G6" s="98">
        <v>0</v>
      </c>
      <c r="H6" s="96">
        <v>0</v>
      </c>
      <c r="I6" s="96">
        <v>0</v>
      </c>
      <c r="J6" s="96">
        <v>0</v>
      </c>
      <c r="K6" s="99">
        <f t="shared" si="1"/>
        <v>0</v>
      </c>
      <c r="L6" s="96">
        <v>0</v>
      </c>
      <c r="M6" s="96">
        <v>0</v>
      </c>
      <c r="N6" s="96">
        <v>0</v>
      </c>
      <c r="O6" s="96">
        <v>0</v>
      </c>
      <c r="P6" s="100">
        <v>0</v>
      </c>
      <c r="Q6" s="101">
        <f t="shared" si="2"/>
        <v>0</v>
      </c>
      <c r="R6" s="101">
        <f t="shared" si="3"/>
        <v>0</v>
      </c>
      <c r="S6" s="102">
        <f>+R6/2.25</f>
        <v>0</v>
      </c>
    </row>
    <row r="7" spans="1:19" ht="14.25" customHeight="1" x14ac:dyDescent="0.75">
      <c r="A7" s="93">
        <v>666507</v>
      </c>
      <c r="B7" s="94" t="s">
        <v>12</v>
      </c>
      <c r="C7" s="95" t="s">
        <v>13</v>
      </c>
      <c r="D7" s="96">
        <v>42</v>
      </c>
      <c r="E7" s="97">
        <f t="shared" si="0"/>
        <v>7</v>
      </c>
      <c r="F7" s="96">
        <v>8</v>
      </c>
      <c r="G7" s="98">
        <v>0</v>
      </c>
      <c r="H7" s="96">
        <v>9</v>
      </c>
      <c r="I7" s="96">
        <v>8</v>
      </c>
      <c r="J7" s="96">
        <v>4</v>
      </c>
      <c r="K7" s="99">
        <f t="shared" si="1"/>
        <v>3.7142857142857144</v>
      </c>
      <c r="L7" s="96">
        <v>0</v>
      </c>
      <c r="M7" s="96">
        <v>0</v>
      </c>
      <c r="N7" s="96">
        <v>13</v>
      </c>
      <c r="O7" s="96">
        <v>0</v>
      </c>
      <c r="P7" s="100">
        <v>0</v>
      </c>
      <c r="Q7" s="133">
        <f t="shared" si="2"/>
        <v>42</v>
      </c>
      <c r="R7" s="101">
        <f t="shared" si="3"/>
        <v>0</v>
      </c>
      <c r="S7" s="102">
        <f>+R7/2.25</f>
        <v>0</v>
      </c>
    </row>
    <row r="8" spans="1:19" ht="14.25" customHeight="1" x14ac:dyDescent="0.75">
      <c r="A8" s="93">
        <v>666509</v>
      </c>
      <c r="B8" s="94" t="s">
        <v>14</v>
      </c>
      <c r="C8" s="95" t="s">
        <v>15</v>
      </c>
      <c r="D8" s="96">
        <v>0</v>
      </c>
      <c r="E8" s="97">
        <f t="shared" si="0"/>
        <v>0</v>
      </c>
      <c r="F8" s="96">
        <v>0</v>
      </c>
      <c r="G8" s="98">
        <v>0</v>
      </c>
      <c r="H8" s="96">
        <v>0</v>
      </c>
      <c r="I8" s="96">
        <v>0</v>
      </c>
      <c r="J8" s="96">
        <v>0</v>
      </c>
      <c r="K8" s="99">
        <f t="shared" si="1"/>
        <v>0</v>
      </c>
      <c r="L8" s="96">
        <v>0</v>
      </c>
      <c r="M8" s="96">
        <v>0</v>
      </c>
      <c r="N8" s="96">
        <v>0</v>
      </c>
      <c r="O8" s="96">
        <v>0</v>
      </c>
      <c r="P8" s="100">
        <v>0</v>
      </c>
      <c r="Q8" s="101">
        <f t="shared" si="2"/>
        <v>0</v>
      </c>
      <c r="R8" s="101">
        <f t="shared" si="3"/>
        <v>0</v>
      </c>
      <c r="S8" s="102">
        <f>+R8/2</f>
        <v>0</v>
      </c>
    </row>
    <row r="9" spans="1:19" ht="14.25" customHeight="1" x14ac:dyDescent="0.75">
      <c r="A9" s="93">
        <v>666510</v>
      </c>
      <c r="B9" s="94" t="s">
        <v>16</v>
      </c>
      <c r="C9" s="95" t="s">
        <v>169</v>
      </c>
      <c r="D9" s="96">
        <v>0</v>
      </c>
      <c r="E9" s="97">
        <f t="shared" si="0"/>
        <v>0</v>
      </c>
      <c r="F9" s="96">
        <v>0</v>
      </c>
      <c r="G9" s="98">
        <v>0</v>
      </c>
      <c r="H9" s="96">
        <v>0</v>
      </c>
      <c r="I9" s="96">
        <v>0</v>
      </c>
      <c r="J9" s="96">
        <v>0</v>
      </c>
      <c r="K9" s="99">
        <f t="shared" si="1"/>
        <v>0</v>
      </c>
      <c r="L9" s="96">
        <v>0</v>
      </c>
      <c r="M9" s="96">
        <v>0</v>
      </c>
      <c r="N9" s="96">
        <v>0</v>
      </c>
      <c r="O9" s="96">
        <v>0</v>
      </c>
      <c r="P9" s="100">
        <v>0</v>
      </c>
      <c r="Q9" s="101">
        <f t="shared" si="2"/>
        <v>0</v>
      </c>
      <c r="R9" s="101">
        <f t="shared" si="3"/>
        <v>0</v>
      </c>
      <c r="S9" s="102">
        <f t="shared" ref="S9:S19" si="4">+R9/2.25</f>
        <v>0</v>
      </c>
    </row>
    <row r="10" spans="1:19" ht="14.25" customHeight="1" x14ac:dyDescent="0.75">
      <c r="A10" s="93">
        <v>666511</v>
      </c>
      <c r="B10" s="94" t="s">
        <v>18</v>
      </c>
      <c r="C10" s="95" t="s">
        <v>19</v>
      </c>
      <c r="D10" s="96">
        <v>8</v>
      </c>
      <c r="E10" s="97">
        <f t="shared" si="0"/>
        <v>1.3333333333333333</v>
      </c>
      <c r="F10" s="96">
        <v>0</v>
      </c>
      <c r="G10" s="98">
        <v>0</v>
      </c>
      <c r="H10" s="96">
        <v>0</v>
      </c>
      <c r="I10" s="96">
        <v>0</v>
      </c>
      <c r="J10" s="96">
        <v>0</v>
      </c>
      <c r="K10" s="99">
        <f t="shared" si="1"/>
        <v>2.2857142857142856</v>
      </c>
      <c r="L10" s="96">
        <v>0</v>
      </c>
      <c r="M10" s="96">
        <v>0</v>
      </c>
      <c r="N10" s="96">
        <v>6</v>
      </c>
      <c r="O10" s="96">
        <v>2</v>
      </c>
      <c r="P10" s="100">
        <v>0</v>
      </c>
      <c r="Q10" s="133">
        <f t="shared" si="2"/>
        <v>8</v>
      </c>
      <c r="R10" s="101">
        <f t="shared" si="3"/>
        <v>0</v>
      </c>
      <c r="S10" s="102">
        <f t="shared" si="4"/>
        <v>0</v>
      </c>
    </row>
    <row r="11" spans="1:19" ht="14.25" customHeight="1" x14ac:dyDescent="0.75">
      <c r="A11" s="93">
        <v>666513</v>
      </c>
      <c r="B11" s="94" t="s">
        <v>20</v>
      </c>
      <c r="C11" s="95" t="s">
        <v>21</v>
      </c>
      <c r="D11" s="96">
        <v>0</v>
      </c>
      <c r="E11" s="97">
        <f t="shared" si="0"/>
        <v>0</v>
      </c>
      <c r="F11" s="96">
        <v>0</v>
      </c>
      <c r="G11" s="98">
        <v>0</v>
      </c>
      <c r="H11" s="96">
        <v>0</v>
      </c>
      <c r="I11" s="96">
        <v>0</v>
      </c>
      <c r="J11" s="96">
        <v>0</v>
      </c>
      <c r="K11" s="99">
        <f t="shared" si="1"/>
        <v>0</v>
      </c>
      <c r="L11" s="96">
        <v>0</v>
      </c>
      <c r="M11" s="96">
        <v>0</v>
      </c>
      <c r="N11" s="96">
        <v>0</v>
      </c>
      <c r="O11" s="96">
        <v>0</v>
      </c>
      <c r="P11" s="100">
        <v>0</v>
      </c>
      <c r="Q11" s="101">
        <f t="shared" si="2"/>
        <v>0</v>
      </c>
      <c r="R11" s="101">
        <f t="shared" si="3"/>
        <v>0</v>
      </c>
      <c r="S11" s="102">
        <f t="shared" si="4"/>
        <v>0</v>
      </c>
    </row>
    <row r="12" spans="1:19" ht="14.25" customHeight="1" x14ac:dyDescent="0.75">
      <c r="A12" s="93">
        <v>666516</v>
      </c>
      <c r="B12" s="94" t="s">
        <v>22</v>
      </c>
      <c r="C12" s="95" t="s">
        <v>23</v>
      </c>
      <c r="D12" s="96">
        <v>0</v>
      </c>
      <c r="E12" s="97">
        <f t="shared" si="0"/>
        <v>0</v>
      </c>
      <c r="F12" s="96">
        <v>0</v>
      </c>
      <c r="G12" s="98">
        <v>0</v>
      </c>
      <c r="H12" s="96">
        <v>0</v>
      </c>
      <c r="I12" s="96">
        <v>0</v>
      </c>
      <c r="J12" s="96">
        <v>0</v>
      </c>
      <c r="K12" s="99">
        <f t="shared" si="1"/>
        <v>0</v>
      </c>
      <c r="L12" s="96">
        <v>0</v>
      </c>
      <c r="M12" s="96">
        <v>0</v>
      </c>
      <c r="N12" s="96">
        <v>0</v>
      </c>
      <c r="O12" s="96">
        <v>0</v>
      </c>
      <c r="P12" s="100">
        <v>0</v>
      </c>
      <c r="Q12" s="101">
        <f t="shared" si="2"/>
        <v>0</v>
      </c>
      <c r="R12" s="101">
        <f t="shared" si="3"/>
        <v>0</v>
      </c>
      <c r="S12" s="102">
        <f t="shared" si="4"/>
        <v>0</v>
      </c>
    </row>
    <row r="13" spans="1:19" ht="14.25" customHeight="1" x14ac:dyDescent="0.75">
      <c r="A13" s="93">
        <v>666517</v>
      </c>
      <c r="B13" s="94" t="s">
        <v>24</v>
      </c>
      <c r="C13" s="95" t="s">
        <v>25</v>
      </c>
      <c r="D13" s="96">
        <v>29</v>
      </c>
      <c r="E13" s="97">
        <f t="shared" si="0"/>
        <v>4.833333333333333</v>
      </c>
      <c r="F13" s="96">
        <v>12</v>
      </c>
      <c r="G13" s="98">
        <v>0</v>
      </c>
      <c r="H13" s="96">
        <v>8</v>
      </c>
      <c r="I13" s="96">
        <v>9</v>
      </c>
      <c r="J13" s="96">
        <v>0</v>
      </c>
      <c r="K13" s="99">
        <f t="shared" si="1"/>
        <v>0</v>
      </c>
      <c r="L13" s="96">
        <v>0</v>
      </c>
      <c r="M13" s="96">
        <v>0</v>
      </c>
      <c r="N13" s="96">
        <v>0</v>
      </c>
      <c r="O13" s="96">
        <v>0</v>
      </c>
      <c r="P13" s="100">
        <v>0</v>
      </c>
      <c r="Q13" s="133">
        <f t="shared" si="2"/>
        <v>29</v>
      </c>
      <c r="R13" s="101">
        <f t="shared" si="3"/>
        <v>0</v>
      </c>
      <c r="S13" s="102">
        <f t="shared" si="4"/>
        <v>0</v>
      </c>
    </row>
    <row r="14" spans="1:19" ht="14.25" customHeight="1" x14ac:dyDescent="0.75">
      <c r="A14" s="93">
        <v>666518</v>
      </c>
      <c r="B14" s="94" t="s">
        <v>26</v>
      </c>
      <c r="C14" s="95" t="s">
        <v>27</v>
      </c>
      <c r="D14" s="96">
        <v>0</v>
      </c>
      <c r="E14" s="97">
        <f t="shared" si="0"/>
        <v>0</v>
      </c>
      <c r="F14" s="96">
        <v>0</v>
      </c>
      <c r="G14" s="98">
        <v>0</v>
      </c>
      <c r="H14" s="96">
        <v>0</v>
      </c>
      <c r="I14" s="96">
        <v>0</v>
      </c>
      <c r="J14" s="96">
        <v>0</v>
      </c>
      <c r="K14" s="99">
        <f t="shared" si="1"/>
        <v>0</v>
      </c>
      <c r="L14" s="96">
        <v>0</v>
      </c>
      <c r="M14" s="96">
        <v>0</v>
      </c>
      <c r="N14" s="96">
        <v>0</v>
      </c>
      <c r="O14" s="96">
        <v>0</v>
      </c>
      <c r="P14" s="100">
        <v>0</v>
      </c>
      <c r="Q14" s="101">
        <f t="shared" si="2"/>
        <v>0</v>
      </c>
      <c r="R14" s="101">
        <f t="shared" si="3"/>
        <v>0</v>
      </c>
      <c r="S14" s="102">
        <f t="shared" si="4"/>
        <v>0</v>
      </c>
    </row>
    <row r="15" spans="1:19" ht="14.25" customHeight="1" x14ac:dyDescent="0.75">
      <c r="A15" s="93">
        <v>666519</v>
      </c>
      <c r="B15" s="94" t="s">
        <v>28</v>
      </c>
      <c r="C15" s="95" t="s">
        <v>29</v>
      </c>
      <c r="D15" s="96">
        <v>31</v>
      </c>
      <c r="E15" s="97">
        <f t="shared" si="0"/>
        <v>5.166666666666667</v>
      </c>
      <c r="F15" s="96">
        <v>11</v>
      </c>
      <c r="G15" s="98">
        <v>0</v>
      </c>
      <c r="H15" s="96">
        <v>9</v>
      </c>
      <c r="I15" s="96">
        <v>11</v>
      </c>
      <c r="J15" s="96">
        <v>0</v>
      </c>
      <c r="K15" s="99">
        <f t="shared" si="1"/>
        <v>0</v>
      </c>
      <c r="L15" s="96">
        <v>0</v>
      </c>
      <c r="M15" s="96">
        <v>0</v>
      </c>
      <c r="N15" s="96">
        <v>0</v>
      </c>
      <c r="O15" s="96">
        <v>0</v>
      </c>
      <c r="P15" s="100">
        <v>0</v>
      </c>
      <c r="Q15" s="133">
        <f t="shared" si="2"/>
        <v>31</v>
      </c>
      <c r="R15" s="101">
        <f t="shared" si="3"/>
        <v>0</v>
      </c>
      <c r="S15" s="102">
        <f t="shared" si="4"/>
        <v>0</v>
      </c>
    </row>
    <row r="16" spans="1:19" ht="14.25" customHeight="1" x14ac:dyDescent="0.75">
      <c r="A16" s="93">
        <v>666521</v>
      </c>
      <c r="B16" s="94" t="s">
        <v>30</v>
      </c>
      <c r="C16" s="95" t="s">
        <v>31</v>
      </c>
      <c r="D16" s="96">
        <v>0</v>
      </c>
      <c r="E16" s="97">
        <f t="shared" si="0"/>
        <v>0</v>
      </c>
      <c r="F16" s="96">
        <v>0</v>
      </c>
      <c r="G16" s="98">
        <v>0</v>
      </c>
      <c r="H16" s="96">
        <v>0</v>
      </c>
      <c r="I16" s="96">
        <v>0</v>
      </c>
      <c r="J16" s="96">
        <v>0</v>
      </c>
      <c r="K16" s="99">
        <f t="shared" si="1"/>
        <v>0</v>
      </c>
      <c r="L16" s="96">
        <v>0</v>
      </c>
      <c r="M16" s="96">
        <v>0</v>
      </c>
      <c r="N16" s="96">
        <v>0</v>
      </c>
      <c r="O16" s="96">
        <v>0</v>
      </c>
      <c r="P16" s="100">
        <v>0</v>
      </c>
      <c r="Q16" s="101">
        <f t="shared" si="2"/>
        <v>0</v>
      </c>
      <c r="R16" s="101">
        <f t="shared" si="3"/>
        <v>0</v>
      </c>
      <c r="S16" s="102">
        <f t="shared" si="4"/>
        <v>0</v>
      </c>
    </row>
    <row r="17" spans="1:19" ht="14.25" customHeight="1" x14ac:dyDescent="0.75">
      <c r="A17" s="93">
        <v>666522</v>
      </c>
      <c r="B17" s="94" t="s">
        <v>32</v>
      </c>
      <c r="C17" s="95" t="s">
        <v>33</v>
      </c>
      <c r="D17" s="96">
        <v>115</v>
      </c>
      <c r="E17" s="97">
        <f t="shared" si="0"/>
        <v>19.166666666666668</v>
      </c>
      <c r="F17" s="96">
        <v>35</v>
      </c>
      <c r="G17" s="98">
        <v>0</v>
      </c>
      <c r="H17" s="96">
        <v>30</v>
      </c>
      <c r="I17" s="96">
        <v>35</v>
      </c>
      <c r="J17" s="96">
        <v>15</v>
      </c>
      <c r="K17" s="99">
        <f t="shared" si="1"/>
        <v>0</v>
      </c>
      <c r="L17" s="96">
        <v>0</v>
      </c>
      <c r="M17" s="96">
        <v>0</v>
      </c>
      <c r="N17" s="96">
        <v>0</v>
      </c>
      <c r="O17" s="96">
        <v>0</v>
      </c>
      <c r="P17" s="100">
        <v>0</v>
      </c>
      <c r="Q17" s="133">
        <f t="shared" si="2"/>
        <v>115</v>
      </c>
      <c r="R17" s="101">
        <f t="shared" si="3"/>
        <v>0</v>
      </c>
      <c r="S17" s="102">
        <f t="shared" si="4"/>
        <v>0</v>
      </c>
    </row>
    <row r="18" spans="1:19" ht="14.25" customHeight="1" x14ac:dyDescent="0.75">
      <c r="A18" s="93">
        <v>666523</v>
      </c>
      <c r="B18" s="94" t="s">
        <v>34</v>
      </c>
      <c r="C18" s="95" t="s">
        <v>35</v>
      </c>
      <c r="D18" s="96">
        <v>0</v>
      </c>
      <c r="E18" s="97">
        <f t="shared" si="0"/>
        <v>0</v>
      </c>
      <c r="F18" s="96">
        <v>0</v>
      </c>
      <c r="G18" s="98">
        <v>0</v>
      </c>
      <c r="H18" s="96">
        <v>0</v>
      </c>
      <c r="I18" s="96">
        <v>0</v>
      </c>
      <c r="J18" s="96">
        <v>0</v>
      </c>
      <c r="K18" s="99">
        <f t="shared" si="1"/>
        <v>0</v>
      </c>
      <c r="L18" s="96">
        <v>0</v>
      </c>
      <c r="M18" s="96">
        <v>0</v>
      </c>
      <c r="N18" s="96">
        <v>0</v>
      </c>
      <c r="O18" s="96">
        <v>0</v>
      </c>
      <c r="P18" s="100">
        <v>0</v>
      </c>
      <c r="Q18" s="101">
        <f t="shared" si="2"/>
        <v>0</v>
      </c>
      <c r="R18" s="101">
        <f t="shared" si="3"/>
        <v>0</v>
      </c>
      <c r="S18" s="102">
        <f t="shared" si="4"/>
        <v>0</v>
      </c>
    </row>
    <row r="19" spans="1:19" ht="14.25" customHeight="1" x14ac:dyDescent="0.75">
      <c r="A19" s="93">
        <v>666530</v>
      </c>
      <c r="B19" s="94" t="s">
        <v>36</v>
      </c>
      <c r="C19" s="95" t="s">
        <v>37</v>
      </c>
      <c r="D19" s="96">
        <v>5</v>
      </c>
      <c r="E19" s="97">
        <f t="shared" si="0"/>
        <v>0.83333333333333337</v>
      </c>
      <c r="F19" s="96">
        <v>5</v>
      </c>
      <c r="G19" s="98">
        <v>0</v>
      </c>
      <c r="H19" s="96">
        <v>0</v>
      </c>
      <c r="I19" s="96">
        <v>0</v>
      </c>
      <c r="J19" s="96">
        <v>0</v>
      </c>
      <c r="K19" s="99">
        <f t="shared" si="1"/>
        <v>0</v>
      </c>
      <c r="L19" s="96">
        <v>0</v>
      </c>
      <c r="M19" s="96">
        <v>0</v>
      </c>
      <c r="N19" s="96">
        <v>0</v>
      </c>
      <c r="O19" s="96">
        <v>0</v>
      </c>
      <c r="P19" s="100">
        <v>0</v>
      </c>
      <c r="Q19" s="133">
        <f t="shared" si="2"/>
        <v>5</v>
      </c>
      <c r="R19" s="101">
        <f t="shared" si="3"/>
        <v>0</v>
      </c>
      <c r="S19" s="102">
        <f t="shared" si="4"/>
        <v>0</v>
      </c>
    </row>
    <row r="20" spans="1:19" ht="14.25" customHeight="1" x14ac:dyDescent="0.75">
      <c r="A20" s="93">
        <v>666531</v>
      </c>
      <c r="B20" s="94" t="s">
        <v>38</v>
      </c>
      <c r="C20" s="95" t="s">
        <v>39</v>
      </c>
      <c r="D20" s="96">
        <v>18</v>
      </c>
      <c r="E20" s="97">
        <f t="shared" si="0"/>
        <v>3</v>
      </c>
      <c r="F20" s="96">
        <v>13</v>
      </c>
      <c r="G20" s="98">
        <v>0</v>
      </c>
      <c r="H20" s="96">
        <v>5</v>
      </c>
      <c r="I20" s="96">
        <v>0</v>
      </c>
      <c r="J20" s="96">
        <v>0</v>
      </c>
      <c r="K20" s="99">
        <f t="shared" si="1"/>
        <v>0</v>
      </c>
      <c r="L20" s="96">
        <v>0</v>
      </c>
      <c r="M20" s="96">
        <v>0</v>
      </c>
      <c r="N20" s="96">
        <v>0</v>
      </c>
      <c r="O20" s="96">
        <v>0</v>
      </c>
      <c r="P20" s="100">
        <v>0</v>
      </c>
      <c r="Q20" s="133">
        <f t="shared" si="2"/>
        <v>18</v>
      </c>
      <c r="R20" s="101">
        <f t="shared" si="3"/>
        <v>0</v>
      </c>
      <c r="S20" s="102"/>
    </row>
    <row r="21" spans="1:19" ht="14.25" customHeight="1" x14ac:dyDescent="0.75">
      <c r="A21" s="93">
        <v>666540</v>
      </c>
      <c r="B21" s="94" t="s">
        <v>40</v>
      </c>
      <c r="C21" s="95" t="s">
        <v>40</v>
      </c>
      <c r="D21" s="96">
        <v>0</v>
      </c>
      <c r="E21" s="97">
        <f t="shared" si="0"/>
        <v>0</v>
      </c>
      <c r="F21" s="96">
        <v>0</v>
      </c>
      <c r="G21" s="98">
        <v>0</v>
      </c>
      <c r="H21" s="96">
        <v>0</v>
      </c>
      <c r="I21" s="96">
        <v>0</v>
      </c>
      <c r="J21" s="96">
        <v>0</v>
      </c>
      <c r="K21" s="99">
        <f t="shared" si="1"/>
        <v>0</v>
      </c>
      <c r="L21" s="96">
        <v>0</v>
      </c>
      <c r="M21" s="96">
        <v>0</v>
      </c>
      <c r="N21" s="96">
        <v>0</v>
      </c>
      <c r="O21" s="96">
        <v>0</v>
      </c>
      <c r="P21" s="100">
        <v>0</v>
      </c>
      <c r="Q21" s="101">
        <f t="shared" si="2"/>
        <v>0</v>
      </c>
      <c r="R21" s="101">
        <f t="shared" si="3"/>
        <v>0</v>
      </c>
      <c r="S21" s="102"/>
    </row>
    <row r="22" spans="1:19" ht="15" customHeight="1" x14ac:dyDescent="0.75">
      <c r="A22" s="93">
        <v>666541</v>
      </c>
      <c r="B22" s="94" t="s">
        <v>41</v>
      </c>
      <c r="C22" s="103" t="s">
        <v>41</v>
      </c>
      <c r="D22" s="96">
        <v>0</v>
      </c>
      <c r="E22" s="97">
        <f t="shared" si="0"/>
        <v>0</v>
      </c>
      <c r="F22" s="104">
        <v>0</v>
      </c>
      <c r="G22" s="105">
        <v>0</v>
      </c>
      <c r="H22" s="104">
        <v>0</v>
      </c>
      <c r="I22" s="104">
        <v>0</v>
      </c>
      <c r="J22" s="104">
        <v>0</v>
      </c>
      <c r="K22" s="106">
        <f t="shared" si="1"/>
        <v>0</v>
      </c>
      <c r="L22" s="96">
        <v>0</v>
      </c>
      <c r="M22" s="96">
        <v>0</v>
      </c>
      <c r="N22" s="96">
        <v>0</v>
      </c>
      <c r="O22" s="96">
        <v>0</v>
      </c>
      <c r="P22" s="100">
        <v>0</v>
      </c>
      <c r="Q22" s="101">
        <f t="shared" si="2"/>
        <v>0</v>
      </c>
      <c r="R22" s="101">
        <f t="shared" si="3"/>
        <v>0</v>
      </c>
      <c r="S22" s="102"/>
    </row>
    <row r="23" spans="1:19" s="50" customFormat="1" ht="15" customHeight="1" x14ac:dyDescent="0.75">
      <c r="A23" s="108">
        <v>666536</v>
      </c>
      <c r="B23" s="109" t="s">
        <v>42</v>
      </c>
      <c r="C23" s="110"/>
      <c r="D23" s="104">
        <v>2</v>
      </c>
      <c r="E23" s="111">
        <f t="shared" si="0"/>
        <v>0.33333333333333331</v>
      </c>
      <c r="F23" s="104">
        <v>0</v>
      </c>
      <c r="G23" s="105">
        <v>0</v>
      </c>
      <c r="H23" s="104">
        <v>0</v>
      </c>
      <c r="I23" s="104">
        <v>0</v>
      </c>
      <c r="J23" s="104">
        <v>0</v>
      </c>
      <c r="K23" s="106">
        <f t="shared" si="1"/>
        <v>0.5714285714285714</v>
      </c>
      <c r="L23" s="104">
        <v>0</v>
      </c>
      <c r="M23" s="104">
        <v>0</v>
      </c>
      <c r="N23" s="104">
        <v>0</v>
      </c>
      <c r="O23" s="104">
        <v>2</v>
      </c>
      <c r="P23" s="107">
        <v>0</v>
      </c>
    </row>
    <row r="24" spans="1:19" s="50" customFormat="1" ht="15" customHeight="1" x14ac:dyDescent="0.75">
      <c r="A24" s="112"/>
      <c r="B24" s="113"/>
      <c r="D24" s="101"/>
      <c r="E24" s="114"/>
    </row>
    <row r="25" spans="1:19" ht="15" customHeight="1" x14ac:dyDescent="0.75">
      <c r="A25" s="4" t="str">
        <f>+A1</f>
        <v>Weeks of 02/09/2026 &amp; 2/16/2026</v>
      </c>
      <c r="B25" s="4"/>
      <c r="C25" s="4"/>
      <c r="D25" s="4"/>
      <c r="E25" s="4"/>
      <c r="F25" s="115"/>
      <c r="G25" s="115"/>
      <c r="H25" s="115"/>
      <c r="I25" s="115"/>
      <c r="J25" s="116"/>
      <c r="K25" s="116"/>
      <c r="L25" s="116"/>
      <c r="M25" s="116"/>
      <c r="N25" s="116"/>
      <c r="O25" s="116"/>
      <c r="P25" s="117"/>
      <c r="Q25" s="101"/>
      <c r="R25" s="101"/>
    </row>
    <row r="26" spans="1:19" ht="42" customHeight="1" x14ac:dyDescent="0.75">
      <c r="A26" s="118"/>
      <c r="B26" s="119" t="s">
        <v>170</v>
      </c>
      <c r="C26" s="120" t="s">
        <v>65</v>
      </c>
      <c r="D26" s="121" t="s">
        <v>119</v>
      </c>
      <c r="E26" s="122" t="s">
        <v>171</v>
      </c>
      <c r="F26" s="88" t="s">
        <v>162</v>
      </c>
      <c r="G26" s="86" t="s">
        <v>163</v>
      </c>
      <c r="H26" s="87" t="s">
        <v>172</v>
      </c>
      <c r="I26" s="86" t="s">
        <v>165</v>
      </c>
      <c r="J26" s="123" t="s">
        <v>166</v>
      </c>
      <c r="K26" s="124" t="str">
        <f>+K2</f>
        <v>2nd wk daily goals</v>
      </c>
      <c r="L26" s="125" t="s">
        <v>162</v>
      </c>
      <c r="M26" s="86" t="s">
        <v>163</v>
      </c>
      <c r="N26" s="126" t="s">
        <v>172</v>
      </c>
      <c r="O26" s="86" t="s">
        <v>165</v>
      </c>
      <c r="P26" s="90" t="s">
        <v>166</v>
      </c>
      <c r="Q26" s="101"/>
      <c r="R26" s="92" t="s">
        <v>168</v>
      </c>
    </row>
    <row r="27" spans="1:19" ht="15" customHeight="1" x14ac:dyDescent="0.75">
      <c r="A27" s="93">
        <v>666501</v>
      </c>
      <c r="B27" s="94" t="s">
        <v>4</v>
      </c>
      <c r="C27" s="127" t="s">
        <v>5</v>
      </c>
      <c r="D27" s="128">
        <v>420</v>
      </c>
      <c r="E27" s="129">
        <f t="shared" ref="E27:E47" si="5">+D27/7</f>
        <v>60</v>
      </c>
      <c r="F27" s="96">
        <v>51</v>
      </c>
      <c r="G27" s="96">
        <v>114</v>
      </c>
      <c r="H27" s="96">
        <v>81</v>
      </c>
      <c r="I27" s="96">
        <v>0</v>
      </c>
      <c r="J27" s="130">
        <v>0</v>
      </c>
      <c r="K27" s="131">
        <f t="shared" ref="K27:K47" si="6">(+D27-SUM(F27:J27))/4</f>
        <v>43.5</v>
      </c>
      <c r="L27" s="132">
        <v>0</v>
      </c>
      <c r="M27" s="96">
        <v>90</v>
      </c>
      <c r="N27" s="96">
        <v>75</v>
      </c>
      <c r="O27" s="96">
        <v>9</v>
      </c>
      <c r="P27" s="100">
        <v>0</v>
      </c>
      <c r="Q27" s="133">
        <f t="shared" ref="Q27:Q47" si="7">SUM(F27:J27)+SUM(L27:P27)</f>
        <v>420</v>
      </c>
      <c r="R27" s="101">
        <f t="shared" ref="R27:R47" si="8">+D27-Q27</f>
        <v>0</v>
      </c>
      <c r="S27" s="102">
        <f t="shared" ref="S27:S36" si="9">+R27/3</f>
        <v>0</v>
      </c>
    </row>
    <row r="28" spans="1:19" ht="15" customHeight="1" x14ac:dyDescent="0.75">
      <c r="A28" s="93">
        <v>666502</v>
      </c>
      <c r="B28" s="94" t="s">
        <v>6</v>
      </c>
      <c r="C28" s="127" t="s">
        <v>7</v>
      </c>
      <c r="D28" s="128">
        <v>310</v>
      </c>
      <c r="E28" s="129">
        <f t="shared" si="5"/>
        <v>44.285714285714285</v>
      </c>
      <c r="F28" s="96">
        <v>17</v>
      </c>
      <c r="G28" s="96">
        <v>27</v>
      </c>
      <c r="H28" s="96">
        <v>28</v>
      </c>
      <c r="I28" s="96">
        <v>0</v>
      </c>
      <c r="J28" s="130">
        <v>0</v>
      </c>
      <c r="K28" s="131">
        <f t="shared" si="6"/>
        <v>59.5</v>
      </c>
      <c r="L28" s="132">
        <v>0</v>
      </c>
      <c r="M28" s="96">
        <v>27</v>
      </c>
      <c r="N28" s="96">
        <v>41</v>
      </c>
      <c r="O28" s="96">
        <v>44</v>
      </c>
      <c r="P28" s="100">
        <v>23</v>
      </c>
      <c r="Q28" s="101">
        <f t="shared" si="7"/>
        <v>207</v>
      </c>
      <c r="R28" s="101">
        <f t="shared" si="8"/>
        <v>103</v>
      </c>
      <c r="S28" s="102">
        <f t="shared" si="9"/>
        <v>34.333333333333336</v>
      </c>
    </row>
    <row r="29" spans="1:19" ht="15" customHeight="1" x14ac:dyDescent="0.75">
      <c r="A29" s="93">
        <v>666505</v>
      </c>
      <c r="B29" s="94" t="s">
        <v>8</v>
      </c>
      <c r="C29" s="127" t="s">
        <v>9</v>
      </c>
      <c r="D29" s="128">
        <v>0</v>
      </c>
      <c r="E29" s="129">
        <f t="shared" si="5"/>
        <v>0</v>
      </c>
      <c r="F29" s="96">
        <v>0</v>
      </c>
      <c r="G29" s="96">
        <v>0</v>
      </c>
      <c r="H29" s="96">
        <v>0</v>
      </c>
      <c r="I29" s="96">
        <v>0</v>
      </c>
      <c r="J29" s="130">
        <v>0</v>
      </c>
      <c r="K29" s="131">
        <f t="shared" si="6"/>
        <v>0</v>
      </c>
      <c r="L29" s="132">
        <v>0</v>
      </c>
      <c r="M29" s="96">
        <v>0</v>
      </c>
      <c r="N29" s="96">
        <v>0</v>
      </c>
      <c r="O29" s="96">
        <v>0</v>
      </c>
      <c r="P29" s="100">
        <v>0</v>
      </c>
      <c r="Q29" s="101">
        <f t="shared" si="7"/>
        <v>0</v>
      </c>
      <c r="R29" s="101">
        <f t="shared" si="8"/>
        <v>0</v>
      </c>
      <c r="S29" s="102">
        <f t="shared" si="9"/>
        <v>0</v>
      </c>
    </row>
    <row r="30" spans="1:19" ht="15" customHeight="1" x14ac:dyDescent="0.75">
      <c r="A30" s="93">
        <v>666506</v>
      </c>
      <c r="B30" s="94" t="s">
        <v>10</v>
      </c>
      <c r="C30" s="127" t="s">
        <v>11</v>
      </c>
      <c r="D30" s="128">
        <v>200</v>
      </c>
      <c r="E30" s="129">
        <f t="shared" si="5"/>
        <v>28.571428571428573</v>
      </c>
      <c r="F30" s="96">
        <v>7</v>
      </c>
      <c r="G30" s="96">
        <v>10</v>
      </c>
      <c r="H30" s="96">
        <v>6</v>
      </c>
      <c r="I30" s="96">
        <v>0</v>
      </c>
      <c r="J30" s="130">
        <v>0</v>
      </c>
      <c r="K30" s="131">
        <f t="shared" si="6"/>
        <v>44.25</v>
      </c>
      <c r="L30" s="132">
        <v>0</v>
      </c>
      <c r="M30" s="96">
        <v>9</v>
      </c>
      <c r="N30" s="96">
        <v>11</v>
      </c>
      <c r="O30" s="96">
        <v>17</v>
      </c>
      <c r="P30" s="100">
        <v>5</v>
      </c>
      <c r="Q30" s="101">
        <f t="shared" si="7"/>
        <v>65</v>
      </c>
      <c r="R30" s="101">
        <f t="shared" si="8"/>
        <v>135</v>
      </c>
      <c r="S30" s="102">
        <f t="shared" si="9"/>
        <v>45</v>
      </c>
    </row>
    <row r="31" spans="1:19" ht="15" customHeight="1" x14ac:dyDescent="0.75">
      <c r="A31" s="93">
        <v>666507</v>
      </c>
      <c r="B31" s="94" t="s">
        <v>12</v>
      </c>
      <c r="C31" s="127" t="s">
        <v>13</v>
      </c>
      <c r="D31" s="128">
        <v>0</v>
      </c>
      <c r="E31" s="129">
        <f t="shared" si="5"/>
        <v>0</v>
      </c>
      <c r="F31" s="96">
        <v>0</v>
      </c>
      <c r="G31" s="96">
        <v>0</v>
      </c>
      <c r="H31" s="96">
        <v>0</v>
      </c>
      <c r="I31" s="96">
        <v>0</v>
      </c>
      <c r="J31" s="130">
        <v>0</v>
      </c>
      <c r="K31" s="131">
        <f t="shared" si="6"/>
        <v>0</v>
      </c>
      <c r="L31" s="132">
        <v>0</v>
      </c>
      <c r="M31" s="96">
        <v>0</v>
      </c>
      <c r="N31" s="96">
        <v>0</v>
      </c>
      <c r="O31" s="96">
        <v>0</v>
      </c>
      <c r="P31" s="100">
        <v>0</v>
      </c>
      <c r="Q31" s="101">
        <f t="shared" si="7"/>
        <v>0</v>
      </c>
      <c r="R31" s="101">
        <f t="shared" si="8"/>
        <v>0</v>
      </c>
      <c r="S31" s="102">
        <f t="shared" si="9"/>
        <v>0</v>
      </c>
    </row>
    <row r="32" spans="1:19" ht="15" customHeight="1" x14ac:dyDescent="0.75">
      <c r="A32" s="93">
        <v>666509</v>
      </c>
      <c r="B32" s="94" t="s">
        <v>14</v>
      </c>
      <c r="C32" s="127" t="s">
        <v>15</v>
      </c>
      <c r="D32" s="128">
        <v>0</v>
      </c>
      <c r="E32" s="129">
        <f t="shared" si="5"/>
        <v>0</v>
      </c>
      <c r="F32" s="96">
        <v>0</v>
      </c>
      <c r="G32" s="96">
        <v>0</v>
      </c>
      <c r="H32" s="96">
        <v>0</v>
      </c>
      <c r="I32" s="96">
        <v>0</v>
      </c>
      <c r="J32" s="130">
        <v>0</v>
      </c>
      <c r="K32" s="131">
        <f t="shared" si="6"/>
        <v>0</v>
      </c>
      <c r="L32" s="132">
        <v>0</v>
      </c>
      <c r="M32" s="96">
        <v>0</v>
      </c>
      <c r="N32" s="96">
        <v>0</v>
      </c>
      <c r="O32" s="96">
        <v>0</v>
      </c>
      <c r="P32" s="100">
        <v>0</v>
      </c>
      <c r="Q32" s="101">
        <f t="shared" si="7"/>
        <v>0</v>
      </c>
      <c r="R32" s="101">
        <f t="shared" si="8"/>
        <v>0</v>
      </c>
      <c r="S32" s="102">
        <f t="shared" si="9"/>
        <v>0</v>
      </c>
    </row>
    <row r="33" spans="1:24" ht="15" customHeight="1" x14ac:dyDescent="0.75">
      <c r="A33" s="93">
        <v>666510</v>
      </c>
      <c r="B33" s="94" t="s">
        <v>16</v>
      </c>
      <c r="C33" s="127" t="s">
        <v>169</v>
      </c>
      <c r="D33" s="128">
        <v>0</v>
      </c>
      <c r="E33" s="129">
        <f t="shared" si="5"/>
        <v>0</v>
      </c>
      <c r="F33" s="96">
        <v>0</v>
      </c>
      <c r="G33" s="96">
        <v>0</v>
      </c>
      <c r="H33" s="96">
        <v>0</v>
      </c>
      <c r="I33" s="96">
        <v>0</v>
      </c>
      <c r="J33" s="130">
        <v>0</v>
      </c>
      <c r="K33" s="131">
        <f t="shared" si="6"/>
        <v>0</v>
      </c>
      <c r="L33" s="132">
        <v>0</v>
      </c>
      <c r="M33" s="96">
        <v>0</v>
      </c>
      <c r="N33" s="96">
        <v>0</v>
      </c>
      <c r="O33" s="96">
        <v>0</v>
      </c>
      <c r="P33" s="100">
        <v>0</v>
      </c>
      <c r="Q33" s="101">
        <f t="shared" si="7"/>
        <v>0</v>
      </c>
      <c r="R33" s="101">
        <f t="shared" si="8"/>
        <v>0</v>
      </c>
      <c r="S33" s="102">
        <f t="shared" si="9"/>
        <v>0</v>
      </c>
    </row>
    <row r="34" spans="1:24" ht="15" customHeight="1" x14ac:dyDescent="0.75">
      <c r="A34" s="93">
        <v>666511</v>
      </c>
      <c r="B34" s="94" t="s">
        <v>18</v>
      </c>
      <c r="C34" s="127" t="s">
        <v>19</v>
      </c>
      <c r="D34" s="128">
        <v>0</v>
      </c>
      <c r="E34" s="129">
        <f t="shared" si="5"/>
        <v>0</v>
      </c>
      <c r="F34" s="96">
        <v>0</v>
      </c>
      <c r="G34" s="96">
        <v>0</v>
      </c>
      <c r="H34" s="96">
        <v>0</v>
      </c>
      <c r="I34" s="96">
        <v>0</v>
      </c>
      <c r="J34" s="130">
        <v>0</v>
      </c>
      <c r="K34" s="131">
        <f t="shared" si="6"/>
        <v>0</v>
      </c>
      <c r="L34" s="132">
        <v>0</v>
      </c>
      <c r="M34" s="96">
        <v>0</v>
      </c>
      <c r="N34" s="96">
        <v>0</v>
      </c>
      <c r="O34" s="96">
        <v>0</v>
      </c>
      <c r="P34" s="100">
        <v>0</v>
      </c>
      <c r="Q34" s="101">
        <f t="shared" si="7"/>
        <v>0</v>
      </c>
      <c r="R34" s="101">
        <f t="shared" si="8"/>
        <v>0</v>
      </c>
      <c r="S34" s="102">
        <f t="shared" si="9"/>
        <v>0</v>
      </c>
    </row>
    <row r="35" spans="1:24" ht="15" customHeight="1" x14ac:dyDescent="0.75">
      <c r="A35" s="93">
        <v>666513</v>
      </c>
      <c r="B35" s="94" t="s">
        <v>20</v>
      </c>
      <c r="C35" s="127" t="s">
        <v>21</v>
      </c>
      <c r="D35" s="128">
        <v>0</v>
      </c>
      <c r="E35" s="129">
        <f t="shared" si="5"/>
        <v>0</v>
      </c>
      <c r="F35" s="96">
        <v>0</v>
      </c>
      <c r="G35" s="96">
        <v>0</v>
      </c>
      <c r="H35" s="96">
        <v>0</v>
      </c>
      <c r="I35" s="96">
        <v>0</v>
      </c>
      <c r="J35" s="130">
        <v>0</v>
      </c>
      <c r="K35" s="131">
        <f t="shared" si="6"/>
        <v>0</v>
      </c>
      <c r="L35" s="132">
        <v>0</v>
      </c>
      <c r="M35" s="96">
        <v>0</v>
      </c>
      <c r="N35" s="96">
        <v>0</v>
      </c>
      <c r="O35" s="96">
        <v>0</v>
      </c>
      <c r="P35" s="100">
        <v>0</v>
      </c>
      <c r="Q35" s="101">
        <f t="shared" si="7"/>
        <v>0</v>
      </c>
      <c r="R35" s="101">
        <f t="shared" si="8"/>
        <v>0</v>
      </c>
      <c r="S35" s="102">
        <f t="shared" si="9"/>
        <v>0</v>
      </c>
    </row>
    <row r="36" spans="1:24" ht="15" customHeight="1" x14ac:dyDescent="0.75">
      <c r="A36" s="93">
        <v>666516</v>
      </c>
      <c r="B36" s="94" t="s">
        <v>22</v>
      </c>
      <c r="C36" s="127" t="s">
        <v>23</v>
      </c>
      <c r="D36" s="128">
        <v>0</v>
      </c>
      <c r="E36" s="129">
        <f t="shared" si="5"/>
        <v>0</v>
      </c>
      <c r="F36" s="96">
        <v>0</v>
      </c>
      <c r="G36" s="96">
        <v>0</v>
      </c>
      <c r="H36" s="96">
        <v>0</v>
      </c>
      <c r="I36" s="96">
        <v>0</v>
      </c>
      <c r="J36" s="130">
        <v>0</v>
      </c>
      <c r="K36" s="131">
        <f t="shared" si="6"/>
        <v>0</v>
      </c>
      <c r="L36" s="132">
        <v>0</v>
      </c>
      <c r="M36" s="96">
        <v>0</v>
      </c>
      <c r="N36" s="96">
        <v>0</v>
      </c>
      <c r="O36" s="96">
        <v>0</v>
      </c>
      <c r="P36" s="100">
        <v>0</v>
      </c>
      <c r="Q36" s="101">
        <f t="shared" si="7"/>
        <v>0</v>
      </c>
      <c r="R36" s="101">
        <f t="shared" si="8"/>
        <v>0</v>
      </c>
      <c r="S36" s="102">
        <f t="shared" si="9"/>
        <v>0</v>
      </c>
    </row>
    <row r="37" spans="1:24" ht="15" customHeight="1" x14ac:dyDescent="0.75">
      <c r="A37" s="93">
        <v>666517</v>
      </c>
      <c r="B37" s="94" t="s">
        <v>24</v>
      </c>
      <c r="C37" s="127" t="s">
        <v>25</v>
      </c>
      <c r="D37" s="128">
        <v>0</v>
      </c>
      <c r="E37" s="129">
        <f t="shared" si="5"/>
        <v>0</v>
      </c>
      <c r="F37" s="96">
        <v>0</v>
      </c>
      <c r="G37" s="96">
        <v>0</v>
      </c>
      <c r="H37" s="96">
        <v>0</v>
      </c>
      <c r="I37" s="96">
        <v>0</v>
      </c>
      <c r="J37" s="130">
        <v>0</v>
      </c>
      <c r="K37" s="131">
        <f t="shared" si="6"/>
        <v>0</v>
      </c>
      <c r="L37" s="132">
        <v>0</v>
      </c>
      <c r="M37" s="96">
        <v>0</v>
      </c>
      <c r="N37" s="96">
        <v>0</v>
      </c>
      <c r="O37" s="96">
        <v>0</v>
      </c>
      <c r="P37" s="100">
        <v>0</v>
      </c>
      <c r="Q37" s="101">
        <f t="shared" si="7"/>
        <v>0</v>
      </c>
      <c r="R37" s="101">
        <f t="shared" si="8"/>
        <v>0</v>
      </c>
      <c r="S37" s="102">
        <f>+R37/2</f>
        <v>0</v>
      </c>
    </row>
    <row r="38" spans="1:24" ht="15" customHeight="1" x14ac:dyDescent="0.75">
      <c r="A38" s="93">
        <v>666518</v>
      </c>
      <c r="B38" s="94" t="s">
        <v>26</v>
      </c>
      <c r="C38" s="127" t="s">
        <v>27</v>
      </c>
      <c r="D38" s="128">
        <v>0</v>
      </c>
      <c r="E38" s="129">
        <f t="shared" si="5"/>
        <v>0</v>
      </c>
      <c r="F38" s="96">
        <v>0</v>
      </c>
      <c r="G38" s="96">
        <v>0</v>
      </c>
      <c r="H38" s="96">
        <v>0</v>
      </c>
      <c r="I38" s="96">
        <v>0</v>
      </c>
      <c r="J38" s="130">
        <v>0</v>
      </c>
      <c r="K38" s="131">
        <f t="shared" si="6"/>
        <v>0</v>
      </c>
      <c r="L38" s="132">
        <v>0</v>
      </c>
      <c r="M38" s="96">
        <v>0</v>
      </c>
      <c r="N38" s="96">
        <v>0</v>
      </c>
      <c r="O38" s="96">
        <v>0</v>
      </c>
      <c r="P38" s="100">
        <v>0</v>
      </c>
      <c r="Q38" s="101">
        <f t="shared" si="7"/>
        <v>0</v>
      </c>
      <c r="R38" s="101">
        <f t="shared" si="8"/>
        <v>0</v>
      </c>
      <c r="S38" s="102">
        <f>+R38/3</f>
        <v>0</v>
      </c>
    </row>
    <row r="39" spans="1:24" ht="15" customHeight="1" x14ac:dyDescent="0.75">
      <c r="A39" s="93">
        <v>666519</v>
      </c>
      <c r="B39" s="94" t="s">
        <v>28</v>
      </c>
      <c r="C39" s="127" t="s">
        <v>29</v>
      </c>
      <c r="D39" s="128">
        <v>0</v>
      </c>
      <c r="E39" s="129">
        <f t="shared" si="5"/>
        <v>0</v>
      </c>
      <c r="F39" s="96">
        <v>0</v>
      </c>
      <c r="G39" s="96">
        <v>0</v>
      </c>
      <c r="H39" s="96">
        <v>0</v>
      </c>
      <c r="I39" s="96">
        <v>0</v>
      </c>
      <c r="J39" s="130">
        <v>0</v>
      </c>
      <c r="K39" s="131">
        <f t="shared" si="6"/>
        <v>0</v>
      </c>
      <c r="L39" s="132">
        <v>0</v>
      </c>
      <c r="M39" s="96">
        <v>0</v>
      </c>
      <c r="N39" s="96">
        <v>0</v>
      </c>
      <c r="O39" s="96">
        <v>0</v>
      </c>
      <c r="P39" s="100">
        <v>0</v>
      </c>
      <c r="Q39" s="101">
        <f t="shared" si="7"/>
        <v>0</v>
      </c>
      <c r="R39" s="101">
        <f t="shared" si="8"/>
        <v>0</v>
      </c>
      <c r="S39" s="102"/>
    </row>
    <row r="40" spans="1:24" ht="15" customHeight="1" x14ac:dyDescent="0.75">
      <c r="A40" s="93">
        <v>666521</v>
      </c>
      <c r="B40" s="94" t="s">
        <v>30</v>
      </c>
      <c r="C40" s="127" t="s">
        <v>31</v>
      </c>
      <c r="D40" s="128">
        <v>0</v>
      </c>
      <c r="E40" s="129">
        <f t="shared" si="5"/>
        <v>0</v>
      </c>
      <c r="F40" s="96">
        <v>0</v>
      </c>
      <c r="G40" s="96">
        <v>0</v>
      </c>
      <c r="H40" s="96">
        <v>0</v>
      </c>
      <c r="I40" s="96">
        <v>0</v>
      </c>
      <c r="J40" s="130">
        <v>0</v>
      </c>
      <c r="K40" s="131">
        <f t="shared" si="6"/>
        <v>0</v>
      </c>
      <c r="L40" s="132">
        <v>0</v>
      </c>
      <c r="M40" s="96">
        <v>0</v>
      </c>
      <c r="N40" s="96">
        <v>0</v>
      </c>
      <c r="O40" s="96">
        <v>0</v>
      </c>
      <c r="P40" s="100">
        <v>0</v>
      </c>
      <c r="Q40" s="101">
        <f t="shared" si="7"/>
        <v>0</v>
      </c>
      <c r="R40" s="101">
        <f t="shared" si="8"/>
        <v>0</v>
      </c>
      <c r="S40" s="102"/>
    </row>
    <row r="41" spans="1:24" ht="15" customHeight="1" x14ac:dyDescent="0.75">
      <c r="A41" s="93">
        <v>666522</v>
      </c>
      <c r="B41" s="94" t="s">
        <v>32</v>
      </c>
      <c r="C41" s="127" t="s">
        <v>33</v>
      </c>
      <c r="D41" s="128">
        <v>175</v>
      </c>
      <c r="E41" s="129">
        <f t="shared" si="5"/>
        <v>25</v>
      </c>
      <c r="F41" s="96">
        <v>160</v>
      </c>
      <c r="G41" s="96">
        <v>15</v>
      </c>
      <c r="H41" s="96">
        <v>0</v>
      </c>
      <c r="I41" s="96">
        <v>0</v>
      </c>
      <c r="J41" s="130">
        <v>0</v>
      </c>
      <c r="K41" s="131">
        <f t="shared" si="6"/>
        <v>0</v>
      </c>
      <c r="L41" s="132">
        <v>0</v>
      </c>
      <c r="M41" s="96">
        <v>0</v>
      </c>
      <c r="N41" s="96">
        <v>0</v>
      </c>
      <c r="O41" s="96">
        <v>0</v>
      </c>
      <c r="P41" s="100">
        <v>0</v>
      </c>
      <c r="Q41" s="133">
        <f t="shared" si="7"/>
        <v>175</v>
      </c>
      <c r="R41" s="101">
        <f t="shared" si="8"/>
        <v>0</v>
      </c>
      <c r="S41" s="102"/>
    </row>
    <row r="42" spans="1:24" ht="15" customHeight="1" x14ac:dyDescent="0.75">
      <c r="A42" s="93">
        <v>666523</v>
      </c>
      <c r="B42" s="94" t="s">
        <v>34</v>
      </c>
      <c r="C42" s="127" t="s">
        <v>35</v>
      </c>
      <c r="D42" s="128">
        <v>48</v>
      </c>
      <c r="E42" s="129">
        <f t="shared" si="5"/>
        <v>6.8571428571428568</v>
      </c>
      <c r="F42" s="96">
        <v>48</v>
      </c>
      <c r="G42" s="96">
        <v>0</v>
      </c>
      <c r="H42" s="96">
        <v>0</v>
      </c>
      <c r="I42" s="96">
        <v>0</v>
      </c>
      <c r="J42" s="130">
        <v>0</v>
      </c>
      <c r="K42" s="131">
        <f t="shared" si="6"/>
        <v>0</v>
      </c>
      <c r="L42" s="132">
        <v>0</v>
      </c>
      <c r="M42" s="96">
        <v>0</v>
      </c>
      <c r="N42" s="96">
        <v>0</v>
      </c>
      <c r="O42" s="96">
        <v>0</v>
      </c>
      <c r="P42" s="100">
        <v>0</v>
      </c>
      <c r="Q42" s="133">
        <f t="shared" si="7"/>
        <v>48</v>
      </c>
      <c r="R42" s="101">
        <f t="shared" si="8"/>
        <v>0</v>
      </c>
      <c r="S42" s="102"/>
    </row>
    <row r="43" spans="1:24" ht="15" customHeight="1" x14ac:dyDescent="0.75">
      <c r="A43" s="93">
        <v>666530</v>
      </c>
      <c r="B43" s="94" t="s">
        <v>36</v>
      </c>
      <c r="C43" s="127" t="s">
        <v>37</v>
      </c>
      <c r="D43" s="128">
        <v>0</v>
      </c>
      <c r="E43" s="129">
        <f t="shared" si="5"/>
        <v>0</v>
      </c>
      <c r="F43" s="96">
        <v>0</v>
      </c>
      <c r="G43" s="96">
        <v>0</v>
      </c>
      <c r="H43" s="96">
        <v>0</v>
      </c>
      <c r="I43" s="96">
        <v>0</v>
      </c>
      <c r="J43" s="130">
        <v>0</v>
      </c>
      <c r="K43" s="131">
        <f t="shared" si="6"/>
        <v>0</v>
      </c>
      <c r="L43" s="132">
        <v>0</v>
      </c>
      <c r="M43" s="96">
        <v>0</v>
      </c>
      <c r="N43" s="96">
        <v>0</v>
      </c>
      <c r="O43" s="96">
        <v>0</v>
      </c>
      <c r="P43" s="100">
        <v>0</v>
      </c>
      <c r="Q43" s="101">
        <f t="shared" si="7"/>
        <v>0</v>
      </c>
      <c r="R43" s="101">
        <f t="shared" si="8"/>
        <v>0</v>
      </c>
      <c r="S43" s="102"/>
    </row>
    <row r="44" spans="1:24" ht="15" customHeight="1" x14ac:dyDescent="0.75">
      <c r="A44" s="93">
        <v>666531</v>
      </c>
      <c r="B44" s="94" t="s">
        <v>38</v>
      </c>
      <c r="C44" s="127" t="s">
        <v>39</v>
      </c>
      <c r="D44" s="128">
        <v>0</v>
      </c>
      <c r="E44" s="129">
        <f t="shared" si="5"/>
        <v>0</v>
      </c>
      <c r="F44" s="96">
        <v>0</v>
      </c>
      <c r="G44" s="96">
        <v>0</v>
      </c>
      <c r="H44" s="96">
        <v>0</v>
      </c>
      <c r="I44" s="96">
        <v>0</v>
      </c>
      <c r="J44" s="130">
        <v>0</v>
      </c>
      <c r="K44" s="131">
        <f t="shared" si="6"/>
        <v>0</v>
      </c>
      <c r="L44" s="132">
        <v>0</v>
      </c>
      <c r="M44" s="96">
        <v>0</v>
      </c>
      <c r="N44" s="96">
        <v>0</v>
      </c>
      <c r="O44" s="96">
        <v>0</v>
      </c>
      <c r="P44" s="100">
        <v>0</v>
      </c>
      <c r="Q44" s="101">
        <f t="shared" si="7"/>
        <v>0</v>
      </c>
      <c r="R44" s="101">
        <f t="shared" si="8"/>
        <v>0</v>
      </c>
      <c r="S44" s="102">
        <f>+R44/3</f>
        <v>0</v>
      </c>
    </row>
    <row r="45" spans="1:24" ht="15" customHeight="1" x14ac:dyDescent="0.75">
      <c r="A45" s="93">
        <v>666540</v>
      </c>
      <c r="B45" s="94" t="s">
        <v>40</v>
      </c>
      <c r="C45" s="127" t="s">
        <v>40</v>
      </c>
      <c r="D45" s="128">
        <v>240</v>
      </c>
      <c r="E45" s="129">
        <f t="shared" si="5"/>
        <v>34.285714285714285</v>
      </c>
      <c r="F45" s="96">
        <v>1</v>
      </c>
      <c r="G45" s="96">
        <v>11</v>
      </c>
      <c r="H45" s="96">
        <v>22</v>
      </c>
      <c r="I45" s="96">
        <v>0</v>
      </c>
      <c r="J45" s="130">
        <v>0</v>
      </c>
      <c r="K45" s="131">
        <f t="shared" si="6"/>
        <v>51.5</v>
      </c>
      <c r="L45" s="132">
        <v>0</v>
      </c>
      <c r="M45" s="96">
        <v>1</v>
      </c>
      <c r="N45" s="96">
        <v>0</v>
      </c>
      <c r="O45" s="96">
        <v>0</v>
      </c>
      <c r="P45" s="100">
        <v>0</v>
      </c>
      <c r="Q45" s="101">
        <f t="shared" si="7"/>
        <v>35</v>
      </c>
      <c r="R45" s="101">
        <f t="shared" si="8"/>
        <v>205</v>
      </c>
      <c r="S45" s="102">
        <f>+R45/3</f>
        <v>68.333333333333329</v>
      </c>
    </row>
    <row r="46" spans="1:24" ht="15" customHeight="1" x14ac:dyDescent="0.75">
      <c r="A46" s="93">
        <v>666541</v>
      </c>
      <c r="B46" s="94" t="s">
        <v>41</v>
      </c>
      <c r="C46" s="127"/>
      <c r="D46" s="128">
        <v>240</v>
      </c>
      <c r="E46" s="129">
        <f t="shared" si="5"/>
        <v>34.285714285714285</v>
      </c>
      <c r="F46" s="96">
        <v>23</v>
      </c>
      <c r="G46" s="96">
        <v>39</v>
      </c>
      <c r="H46" s="96">
        <v>33</v>
      </c>
      <c r="I46" s="96">
        <v>0</v>
      </c>
      <c r="J46" s="130">
        <v>0</v>
      </c>
      <c r="K46" s="131">
        <f t="shared" si="6"/>
        <v>36.25</v>
      </c>
      <c r="L46" s="132">
        <v>0</v>
      </c>
      <c r="M46" s="96">
        <v>63</v>
      </c>
      <c r="N46" s="96">
        <v>20</v>
      </c>
      <c r="O46" s="96">
        <v>43</v>
      </c>
      <c r="P46" s="100">
        <v>47</v>
      </c>
      <c r="Q46" s="101">
        <f t="shared" si="7"/>
        <v>268</v>
      </c>
      <c r="R46" s="101">
        <f t="shared" si="8"/>
        <v>-28</v>
      </c>
      <c r="S46" s="102"/>
      <c r="U46" s="79">
        <f>221-95</f>
        <v>126</v>
      </c>
    </row>
    <row r="47" spans="1:24" ht="15" customHeight="1" x14ac:dyDescent="0.75">
      <c r="A47" s="93">
        <v>666536</v>
      </c>
      <c r="B47" s="94" t="s">
        <v>42</v>
      </c>
      <c r="C47" s="134" t="s">
        <v>41</v>
      </c>
      <c r="D47" s="128">
        <v>0</v>
      </c>
      <c r="E47" s="129">
        <f t="shared" si="5"/>
        <v>0</v>
      </c>
      <c r="F47" s="96">
        <v>0</v>
      </c>
      <c r="G47" s="96">
        <v>0</v>
      </c>
      <c r="H47" s="96">
        <v>0</v>
      </c>
      <c r="I47" s="96">
        <v>0</v>
      </c>
      <c r="J47" s="130">
        <v>0</v>
      </c>
      <c r="K47" s="131">
        <f t="shared" si="6"/>
        <v>0</v>
      </c>
      <c r="L47" s="132">
        <v>0</v>
      </c>
      <c r="M47" s="96">
        <v>0</v>
      </c>
      <c r="N47" s="96">
        <v>0</v>
      </c>
      <c r="O47" s="96">
        <v>0</v>
      </c>
      <c r="P47" s="100">
        <v>0</v>
      </c>
      <c r="Q47" s="101">
        <f t="shared" si="7"/>
        <v>0</v>
      </c>
      <c r="R47" s="101">
        <f t="shared" si="8"/>
        <v>0</v>
      </c>
      <c r="S47" s="102">
        <f>+R47/3</f>
        <v>0</v>
      </c>
      <c r="X47" s="79" t="s">
        <v>152</v>
      </c>
    </row>
    <row r="48" spans="1:24" ht="15" customHeight="1" x14ac:dyDescent="0.75">
      <c r="A48" s="135"/>
      <c r="B48" s="136"/>
      <c r="C48" s="134"/>
      <c r="D48" s="137"/>
      <c r="E48" s="137"/>
      <c r="F48" s="138"/>
      <c r="G48" s="139"/>
      <c r="H48" s="139"/>
      <c r="I48" s="139"/>
      <c r="J48" s="139"/>
      <c r="K48" s="140"/>
      <c r="L48" s="139"/>
      <c r="M48" s="139"/>
      <c r="N48" s="139"/>
      <c r="O48" s="139"/>
      <c r="P48" s="141"/>
      <c r="Q48" s="101"/>
      <c r="R48" s="101"/>
      <c r="S48" s="102"/>
    </row>
    <row r="49" spans="1:18" ht="15" customHeight="1" x14ac:dyDescent="0.75">
      <c r="A49" s="3" t="str">
        <f>+A1</f>
        <v>Weeks of 02/09/2026 &amp; 2/16/2026</v>
      </c>
      <c r="B49" s="3"/>
      <c r="C49" s="3"/>
      <c r="D49" s="3"/>
      <c r="E49" s="3"/>
      <c r="F49" s="142"/>
      <c r="G49" s="81"/>
      <c r="H49" s="81"/>
      <c r="I49" s="81"/>
      <c r="J49" s="81"/>
      <c r="K49" s="81"/>
      <c r="L49" s="81"/>
      <c r="M49" s="81"/>
      <c r="N49" s="81"/>
      <c r="O49" s="81"/>
      <c r="P49" s="82"/>
      <c r="Q49" s="101"/>
    </row>
    <row r="50" spans="1:18" ht="36.75" customHeight="1" x14ac:dyDescent="0.75">
      <c r="A50" s="83"/>
      <c r="B50" s="143" t="s">
        <v>66</v>
      </c>
      <c r="C50" s="144"/>
      <c r="D50" s="86" t="s">
        <v>122</v>
      </c>
      <c r="E50" s="86" t="s">
        <v>173</v>
      </c>
      <c r="F50" s="88" t="s">
        <v>162</v>
      </c>
      <c r="G50" s="86" t="s">
        <v>163</v>
      </c>
      <c r="H50" s="87" t="s">
        <v>164</v>
      </c>
      <c r="I50" s="86" t="s">
        <v>165</v>
      </c>
      <c r="J50" s="86" t="s">
        <v>166</v>
      </c>
      <c r="K50" s="89" t="str">
        <f>+K26</f>
        <v>2nd wk daily goals</v>
      </c>
      <c r="L50" s="88" t="s">
        <v>162</v>
      </c>
      <c r="M50" s="86" t="s">
        <v>163</v>
      </c>
      <c r="N50" s="87" t="s">
        <v>164</v>
      </c>
      <c r="O50" s="86" t="s">
        <v>165</v>
      </c>
      <c r="P50" s="90" t="s">
        <v>166</v>
      </c>
      <c r="Q50" s="101"/>
      <c r="R50" s="92" t="s">
        <v>168</v>
      </c>
    </row>
    <row r="51" spans="1:18" ht="14.25" customHeight="1" x14ac:dyDescent="0.75">
      <c r="A51" s="93">
        <v>666501</v>
      </c>
      <c r="B51" s="94" t="s">
        <v>4</v>
      </c>
      <c r="C51" s="95" t="s">
        <v>5</v>
      </c>
      <c r="D51" s="96">
        <v>42</v>
      </c>
      <c r="E51" s="97">
        <f t="shared" ref="E51:E71" si="10">+D51/2</f>
        <v>21</v>
      </c>
      <c r="F51" s="96">
        <v>42</v>
      </c>
      <c r="G51" s="96">
        <v>0</v>
      </c>
      <c r="H51" s="96">
        <v>0</v>
      </c>
      <c r="I51" s="96">
        <v>0</v>
      </c>
      <c r="J51" s="96">
        <v>0</v>
      </c>
      <c r="K51" s="99">
        <f t="shared" ref="K51:K71" si="11">(+D51-SUM(F51:J51))/4</f>
        <v>0</v>
      </c>
      <c r="L51" s="96">
        <v>0</v>
      </c>
      <c r="M51" s="96">
        <v>0</v>
      </c>
      <c r="N51" s="96">
        <v>0</v>
      </c>
      <c r="O51" s="96">
        <v>0</v>
      </c>
      <c r="P51" s="100">
        <v>0</v>
      </c>
      <c r="Q51" s="133">
        <f t="shared" ref="Q51:Q69" si="12">SUM(F51:J51)+SUM(L51:P51)</f>
        <v>42</v>
      </c>
      <c r="R51" s="101">
        <f t="shared" ref="R51:R69" si="13">+D51-Q51</f>
        <v>0</v>
      </c>
    </row>
    <row r="52" spans="1:18" ht="14.25" customHeight="1" x14ac:dyDescent="0.75">
      <c r="A52" s="93">
        <v>666502</v>
      </c>
      <c r="B52" s="94" t="s">
        <v>6</v>
      </c>
      <c r="C52" s="95" t="s">
        <v>7</v>
      </c>
      <c r="D52" s="96">
        <v>50</v>
      </c>
      <c r="E52" s="97">
        <f t="shared" si="10"/>
        <v>25</v>
      </c>
      <c r="F52" s="96">
        <v>0</v>
      </c>
      <c r="G52" s="96">
        <v>0</v>
      </c>
      <c r="H52" s="96">
        <v>0</v>
      </c>
      <c r="I52" s="96">
        <v>0</v>
      </c>
      <c r="J52" s="96">
        <v>0</v>
      </c>
      <c r="K52" s="99">
        <f t="shared" si="11"/>
        <v>12.5</v>
      </c>
      <c r="L52" s="96">
        <v>0</v>
      </c>
      <c r="M52" s="96">
        <v>34</v>
      </c>
      <c r="N52" s="96">
        <v>0</v>
      </c>
      <c r="O52" s="96">
        <v>16</v>
      </c>
      <c r="P52" s="100">
        <v>0</v>
      </c>
      <c r="Q52" s="133">
        <f t="shared" si="12"/>
        <v>50</v>
      </c>
      <c r="R52" s="101">
        <f t="shared" si="13"/>
        <v>0</v>
      </c>
    </row>
    <row r="53" spans="1:18" ht="14.25" customHeight="1" x14ac:dyDescent="0.75">
      <c r="A53" s="93">
        <v>666505</v>
      </c>
      <c r="B53" s="94" t="s">
        <v>8</v>
      </c>
      <c r="C53" s="95" t="s">
        <v>9</v>
      </c>
      <c r="D53" s="96">
        <v>41</v>
      </c>
      <c r="E53" s="97">
        <f t="shared" si="10"/>
        <v>20.5</v>
      </c>
      <c r="F53" s="96">
        <v>41</v>
      </c>
      <c r="G53" s="96">
        <v>0</v>
      </c>
      <c r="H53" s="96">
        <v>0</v>
      </c>
      <c r="I53" s="96">
        <v>0</v>
      </c>
      <c r="J53" s="96">
        <v>0</v>
      </c>
      <c r="K53" s="99">
        <f t="shared" si="11"/>
        <v>0</v>
      </c>
      <c r="L53" s="96">
        <v>0</v>
      </c>
      <c r="M53" s="96">
        <v>0</v>
      </c>
      <c r="N53" s="96">
        <v>0</v>
      </c>
      <c r="O53" s="96">
        <v>0</v>
      </c>
      <c r="P53" s="100">
        <v>0</v>
      </c>
      <c r="Q53" s="133">
        <f t="shared" si="12"/>
        <v>41</v>
      </c>
      <c r="R53" s="101">
        <f t="shared" si="13"/>
        <v>0</v>
      </c>
    </row>
    <row r="54" spans="1:18" ht="14.25" customHeight="1" x14ac:dyDescent="0.75">
      <c r="A54" s="93">
        <v>666506</v>
      </c>
      <c r="B54" s="94" t="s">
        <v>10</v>
      </c>
      <c r="C54" s="95" t="s">
        <v>11</v>
      </c>
      <c r="D54" s="96">
        <v>0</v>
      </c>
      <c r="E54" s="97">
        <f t="shared" si="10"/>
        <v>0</v>
      </c>
      <c r="F54" s="96">
        <v>0</v>
      </c>
      <c r="G54" s="96">
        <v>0</v>
      </c>
      <c r="H54" s="96">
        <v>0</v>
      </c>
      <c r="I54" s="96">
        <v>0</v>
      </c>
      <c r="J54" s="96">
        <v>0</v>
      </c>
      <c r="K54" s="99">
        <f t="shared" si="11"/>
        <v>0</v>
      </c>
      <c r="L54" s="96">
        <v>0</v>
      </c>
      <c r="M54" s="96">
        <v>0</v>
      </c>
      <c r="N54" s="96">
        <v>0</v>
      </c>
      <c r="O54" s="96">
        <v>0</v>
      </c>
      <c r="P54" s="100">
        <v>0</v>
      </c>
      <c r="Q54" s="101">
        <f t="shared" si="12"/>
        <v>0</v>
      </c>
      <c r="R54" s="101">
        <f t="shared" si="13"/>
        <v>0</v>
      </c>
    </row>
    <row r="55" spans="1:18" ht="14.25" customHeight="1" x14ac:dyDescent="0.75">
      <c r="A55" s="93">
        <v>666507</v>
      </c>
      <c r="B55" s="94" t="s">
        <v>12</v>
      </c>
      <c r="C55" s="95" t="s">
        <v>13</v>
      </c>
      <c r="D55" s="96">
        <v>0</v>
      </c>
      <c r="E55" s="97">
        <f t="shared" si="10"/>
        <v>0</v>
      </c>
      <c r="F55" s="96">
        <v>0</v>
      </c>
      <c r="G55" s="96">
        <v>0</v>
      </c>
      <c r="H55" s="96">
        <v>0</v>
      </c>
      <c r="I55" s="96">
        <v>0</v>
      </c>
      <c r="J55" s="96">
        <v>0</v>
      </c>
      <c r="K55" s="99">
        <f t="shared" si="11"/>
        <v>0</v>
      </c>
      <c r="L55" s="96">
        <v>0</v>
      </c>
      <c r="M55" s="96">
        <v>0</v>
      </c>
      <c r="N55" s="96">
        <v>0</v>
      </c>
      <c r="O55" s="96">
        <v>0</v>
      </c>
      <c r="P55" s="100">
        <v>0</v>
      </c>
      <c r="Q55" s="101">
        <f t="shared" si="12"/>
        <v>0</v>
      </c>
      <c r="R55" s="101">
        <f t="shared" si="13"/>
        <v>0</v>
      </c>
    </row>
    <row r="56" spans="1:18" ht="14.25" customHeight="1" x14ac:dyDescent="0.75">
      <c r="A56" s="93">
        <v>666509</v>
      </c>
      <c r="B56" s="94" t="s">
        <v>14</v>
      </c>
      <c r="C56" s="95" t="s">
        <v>15</v>
      </c>
      <c r="D56" s="96">
        <v>0</v>
      </c>
      <c r="E56" s="97">
        <f t="shared" si="10"/>
        <v>0</v>
      </c>
      <c r="F56" s="96">
        <v>0</v>
      </c>
      <c r="G56" s="96">
        <v>0</v>
      </c>
      <c r="H56" s="96">
        <v>0</v>
      </c>
      <c r="I56" s="96">
        <v>0</v>
      </c>
      <c r="J56" s="96">
        <v>0</v>
      </c>
      <c r="K56" s="99">
        <f t="shared" si="11"/>
        <v>0</v>
      </c>
      <c r="L56" s="96">
        <v>0</v>
      </c>
      <c r="M56" s="96">
        <v>0</v>
      </c>
      <c r="N56" s="96">
        <v>0</v>
      </c>
      <c r="O56" s="96">
        <v>0</v>
      </c>
      <c r="P56" s="100">
        <v>0</v>
      </c>
      <c r="Q56" s="101">
        <f t="shared" si="12"/>
        <v>0</v>
      </c>
      <c r="R56" s="101">
        <f t="shared" si="13"/>
        <v>0</v>
      </c>
    </row>
    <row r="57" spans="1:18" ht="14.25" customHeight="1" x14ac:dyDescent="0.75">
      <c r="A57" s="93">
        <v>666510</v>
      </c>
      <c r="B57" s="94" t="s">
        <v>16</v>
      </c>
      <c r="C57" s="95" t="s">
        <v>169</v>
      </c>
      <c r="D57" s="96">
        <v>0</v>
      </c>
      <c r="E57" s="97">
        <f t="shared" si="10"/>
        <v>0</v>
      </c>
      <c r="F57" s="96">
        <v>0</v>
      </c>
      <c r="G57" s="96">
        <v>0</v>
      </c>
      <c r="H57" s="96">
        <v>0</v>
      </c>
      <c r="I57" s="96">
        <v>0</v>
      </c>
      <c r="J57" s="96">
        <v>0</v>
      </c>
      <c r="K57" s="99">
        <f t="shared" si="11"/>
        <v>0</v>
      </c>
      <c r="L57" s="96">
        <v>0</v>
      </c>
      <c r="M57" s="96">
        <v>0</v>
      </c>
      <c r="N57" s="96">
        <v>0</v>
      </c>
      <c r="O57" s="96">
        <v>0</v>
      </c>
      <c r="P57" s="100">
        <v>0</v>
      </c>
      <c r="Q57" s="101">
        <f t="shared" si="12"/>
        <v>0</v>
      </c>
      <c r="R57" s="101">
        <f t="shared" si="13"/>
        <v>0</v>
      </c>
    </row>
    <row r="58" spans="1:18" ht="14.25" customHeight="1" x14ac:dyDescent="0.75">
      <c r="A58" s="93">
        <v>666511</v>
      </c>
      <c r="B58" s="94" t="s">
        <v>18</v>
      </c>
      <c r="C58" s="95" t="s">
        <v>19</v>
      </c>
      <c r="D58" s="96">
        <v>0</v>
      </c>
      <c r="E58" s="97">
        <f t="shared" si="10"/>
        <v>0</v>
      </c>
      <c r="F58" s="96">
        <v>0</v>
      </c>
      <c r="G58" s="96">
        <v>0</v>
      </c>
      <c r="H58" s="96">
        <v>0</v>
      </c>
      <c r="I58" s="96">
        <v>0</v>
      </c>
      <c r="J58" s="96">
        <v>0</v>
      </c>
      <c r="K58" s="99">
        <f t="shared" si="11"/>
        <v>0</v>
      </c>
      <c r="L58" s="96">
        <v>0</v>
      </c>
      <c r="M58" s="96">
        <v>0</v>
      </c>
      <c r="N58" s="96">
        <v>0</v>
      </c>
      <c r="O58" s="96">
        <v>0</v>
      </c>
      <c r="P58" s="100">
        <v>0</v>
      </c>
      <c r="Q58" s="101">
        <f t="shared" si="12"/>
        <v>0</v>
      </c>
      <c r="R58" s="101">
        <f t="shared" si="13"/>
        <v>0</v>
      </c>
    </row>
    <row r="59" spans="1:18" ht="14.25" customHeight="1" x14ac:dyDescent="0.75">
      <c r="A59" s="93">
        <v>666513</v>
      </c>
      <c r="B59" s="94" t="s">
        <v>20</v>
      </c>
      <c r="C59" s="95" t="s">
        <v>21</v>
      </c>
      <c r="D59" s="96">
        <v>0</v>
      </c>
      <c r="E59" s="97">
        <f t="shared" si="10"/>
        <v>0</v>
      </c>
      <c r="F59" s="96">
        <v>0</v>
      </c>
      <c r="G59" s="96">
        <v>0</v>
      </c>
      <c r="H59" s="96">
        <v>0</v>
      </c>
      <c r="I59" s="96">
        <v>0</v>
      </c>
      <c r="J59" s="96">
        <v>0</v>
      </c>
      <c r="K59" s="99">
        <f t="shared" si="11"/>
        <v>0</v>
      </c>
      <c r="L59" s="96">
        <v>0</v>
      </c>
      <c r="M59" s="96">
        <v>0</v>
      </c>
      <c r="N59" s="96">
        <v>0</v>
      </c>
      <c r="O59" s="96">
        <v>0</v>
      </c>
      <c r="P59" s="100">
        <v>0</v>
      </c>
      <c r="Q59" s="101">
        <f t="shared" si="12"/>
        <v>0</v>
      </c>
      <c r="R59" s="101">
        <f t="shared" si="13"/>
        <v>0</v>
      </c>
    </row>
    <row r="60" spans="1:18" ht="14.25" customHeight="1" x14ac:dyDescent="0.75">
      <c r="A60" s="93">
        <v>666516</v>
      </c>
      <c r="B60" s="94" t="s">
        <v>22</v>
      </c>
      <c r="C60" s="95" t="s">
        <v>23</v>
      </c>
      <c r="D60" s="96">
        <v>20</v>
      </c>
      <c r="E60" s="97">
        <f t="shared" si="10"/>
        <v>10</v>
      </c>
      <c r="F60" s="96">
        <v>14</v>
      </c>
      <c r="G60" s="96">
        <v>0</v>
      </c>
      <c r="H60" s="96">
        <v>0</v>
      </c>
      <c r="I60" s="96">
        <v>0</v>
      </c>
      <c r="J60" s="96">
        <v>0</v>
      </c>
      <c r="K60" s="99">
        <f t="shared" si="11"/>
        <v>1.5</v>
      </c>
      <c r="L60" s="96">
        <v>0</v>
      </c>
      <c r="M60" s="96">
        <v>6</v>
      </c>
      <c r="N60" s="96">
        <v>0</v>
      </c>
      <c r="O60" s="96">
        <v>0</v>
      </c>
      <c r="P60" s="100">
        <v>0</v>
      </c>
      <c r="Q60" s="133">
        <f t="shared" si="12"/>
        <v>20</v>
      </c>
      <c r="R60" s="101">
        <f t="shared" si="13"/>
        <v>0</v>
      </c>
    </row>
    <row r="61" spans="1:18" ht="14.25" customHeight="1" x14ac:dyDescent="0.75">
      <c r="A61" s="93">
        <v>666517</v>
      </c>
      <c r="B61" s="94" t="s">
        <v>24</v>
      </c>
      <c r="C61" s="95" t="s">
        <v>25</v>
      </c>
      <c r="D61" s="96">
        <v>13</v>
      </c>
      <c r="E61" s="97">
        <f t="shared" si="10"/>
        <v>6.5</v>
      </c>
      <c r="F61" s="96">
        <v>13</v>
      </c>
      <c r="G61" s="96">
        <v>0</v>
      </c>
      <c r="H61" s="96">
        <v>0</v>
      </c>
      <c r="I61" s="96">
        <v>0</v>
      </c>
      <c r="J61" s="96">
        <v>0</v>
      </c>
      <c r="K61" s="99">
        <f t="shared" si="11"/>
        <v>0</v>
      </c>
      <c r="L61" s="96">
        <v>0</v>
      </c>
      <c r="M61" s="96">
        <v>0</v>
      </c>
      <c r="N61" s="96">
        <v>0</v>
      </c>
      <c r="O61" s="96">
        <v>0</v>
      </c>
      <c r="P61" s="100">
        <v>0</v>
      </c>
      <c r="Q61" s="133">
        <f t="shared" si="12"/>
        <v>13</v>
      </c>
      <c r="R61" s="101">
        <f t="shared" si="13"/>
        <v>0</v>
      </c>
    </row>
    <row r="62" spans="1:18" ht="14.25" customHeight="1" x14ac:dyDescent="0.75">
      <c r="A62" s="93">
        <v>666518</v>
      </c>
      <c r="B62" s="94" t="s">
        <v>26</v>
      </c>
      <c r="C62" s="95" t="s">
        <v>27</v>
      </c>
      <c r="D62" s="96">
        <v>0</v>
      </c>
      <c r="E62" s="97">
        <f t="shared" si="10"/>
        <v>0</v>
      </c>
      <c r="F62" s="96">
        <v>0</v>
      </c>
      <c r="G62" s="96">
        <v>0</v>
      </c>
      <c r="H62" s="96">
        <v>0</v>
      </c>
      <c r="I62" s="96">
        <v>0</v>
      </c>
      <c r="J62" s="96">
        <v>0</v>
      </c>
      <c r="K62" s="99">
        <f t="shared" si="11"/>
        <v>0</v>
      </c>
      <c r="L62" s="96">
        <v>0</v>
      </c>
      <c r="M62" s="96">
        <v>0</v>
      </c>
      <c r="N62" s="96">
        <v>0</v>
      </c>
      <c r="O62" s="96">
        <v>0</v>
      </c>
      <c r="P62" s="100">
        <v>0</v>
      </c>
      <c r="Q62" s="101">
        <f t="shared" si="12"/>
        <v>0</v>
      </c>
      <c r="R62" s="101">
        <f t="shared" si="13"/>
        <v>0</v>
      </c>
    </row>
    <row r="63" spans="1:18" ht="14.25" customHeight="1" x14ac:dyDescent="0.75">
      <c r="A63" s="93">
        <v>666519</v>
      </c>
      <c r="B63" s="94" t="s">
        <v>28</v>
      </c>
      <c r="C63" s="95" t="s">
        <v>29</v>
      </c>
      <c r="D63" s="96">
        <v>31</v>
      </c>
      <c r="E63" s="97">
        <f t="shared" si="10"/>
        <v>15.5</v>
      </c>
      <c r="F63" s="96">
        <v>31</v>
      </c>
      <c r="G63" s="96">
        <v>0</v>
      </c>
      <c r="H63" s="96">
        <v>0</v>
      </c>
      <c r="I63" s="96">
        <v>0</v>
      </c>
      <c r="J63" s="96">
        <v>0</v>
      </c>
      <c r="K63" s="99">
        <f t="shared" si="11"/>
        <v>0</v>
      </c>
      <c r="L63" s="96">
        <v>0</v>
      </c>
      <c r="M63" s="96">
        <v>0</v>
      </c>
      <c r="N63" s="96">
        <v>0</v>
      </c>
      <c r="O63" s="96">
        <v>0</v>
      </c>
      <c r="P63" s="100">
        <v>0</v>
      </c>
      <c r="Q63" s="133">
        <f t="shared" si="12"/>
        <v>31</v>
      </c>
      <c r="R63" s="101">
        <f t="shared" si="13"/>
        <v>0</v>
      </c>
    </row>
    <row r="64" spans="1:18" ht="14.25" customHeight="1" x14ac:dyDescent="0.75">
      <c r="A64" s="93">
        <v>666521</v>
      </c>
      <c r="B64" s="94" t="s">
        <v>30</v>
      </c>
      <c r="C64" s="95" t="s">
        <v>31</v>
      </c>
      <c r="D64" s="96">
        <v>0</v>
      </c>
      <c r="E64" s="97">
        <f t="shared" si="10"/>
        <v>0</v>
      </c>
      <c r="F64" s="96">
        <v>0</v>
      </c>
      <c r="G64" s="96">
        <v>0</v>
      </c>
      <c r="H64" s="96">
        <v>0</v>
      </c>
      <c r="I64" s="96">
        <v>0</v>
      </c>
      <c r="J64" s="96">
        <v>0</v>
      </c>
      <c r="K64" s="99">
        <f t="shared" si="11"/>
        <v>0</v>
      </c>
      <c r="L64" s="96">
        <v>0</v>
      </c>
      <c r="M64" s="96">
        <v>0</v>
      </c>
      <c r="N64" s="96">
        <v>0</v>
      </c>
      <c r="O64" s="96">
        <v>0</v>
      </c>
      <c r="P64" s="100">
        <v>0</v>
      </c>
      <c r="Q64" s="101">
        <f t="shared" si="12"/>
        <v>0</v>
      </c>
      <c r="R64" s="101">
        <f t="shared" si="13"/>
        <v>0</v>
      </c>
    </row>
    <row r="65" spans="1:18" ht="14.25" customHeight="1" x14ac:dyDescent="0.75">
      <c r="A65" s="93">
        <v>666522</v>
      </c>
      <c r="B65" s="94" t="s">
        <v>32</v>
      </c>
      <c r="C65" s="95" t="s">
        <v>33</v>
      </c>
      <c r="D65" s="96">
        <v>70</v>
      </c>
      <c r="E65" s="97">
        <f t="shared" si="10"/>
        <v>35</v>
      </c>
      <c r="F65" s="96">
        <v>45</v>
      </c>
      <c r="G65" s="96">
        <v>0</v>
      </c>
      <c r="H65" s="96">
        <v>0</v>
      </c>
      <c r="I65" s="96">
        <v>0</v>
      </c>
      <c r="J65" s="96">
        <v>0</v>
      </c>
      <c r="K65" s="99">
        <f t="shared" si="11"/>
        <v>6.25</v>
      </c>
      <c r="L65" s="96">
        <v>0</v>
      </c>
      <c r="M65" s="96">
        <v>25</v>
      </c>
      <c r="N65" s="96">
        <v>0</v>
      </c>
      <c r="O65" s="96">
        <v>0</v>
      </c>
      <c r="P65" s="100">
        <v>0</v>
      </c>
      <c r="Q65" s="133">
        <f t="shared" si="12"/>
        <v>70</v>
      </c>
      <c r="R65" s="101">
        <f t="shared" si="13"/>
        <v>0</v>
      </c>
    </row>
    <row r="66" spans="1:18" ht="14.25" customHeight="1" x14ac:dyDescent="0.75">
      <c r="A66" s="93">
        <v>666523</v>
      </c>
      <c r="B66" s="94" t="s">
        <v>34</v>
      </c>
      <c r="C66" s="95" t="s">
        <v>35</v>
      </c>
      <c r="D66" s="96">
        <v>12</v>
      </c>
      <c r="E66" s="97">
        <f t="shared" si="10"/>
        <v>6</v>
      </c>
      <c r="F66" s="96">
        <v>12</v>
      </c>
      <c r="G66" s="96">
        <v>0</v>
      </c>
      <c r="H66" s="96">
        <v>0</v>
      </c>
      <c r="I66" s="96">
        <v>0</v>
      </c>
      <c r="J66" s="96">
        <v>0</v>
      </c>
      <c r="K66" s="99">
        <f t="shared" si="11"/>
        <v>0</v>
      </c>
      <c r="L66" s="96">
        <v>0</v>
      </c>
      <c r="M66" s="96">
        <v>0</v>
      </c>
      <c r="N66" s="96">
        <v>0</v>
      </c>
      <c r="O66" s="96">
        <v>0</v>
      </c>
      <c r="P66" s="100">
        <v>0</v>
      </c>
      <c r="Q66" s="133">
        <f t="shared" si="12"/>
        <v>12</v>
      </c>
      <c r="R66" s="101">
        <f t="shared" si="13"/>
        <v>0</v>
      </c>
    </row>
    <row r="67" spans="1:18" ht="14.25" customHeight="1" x14ac:dyDescent="0.75">
      <c r="A67" s="93">
        <v>666530</v>
      </c>
      <c r="B67" s="94" t="s">
        <v>36</v>
      </c>
      <c r="C67" s="95" t="s">
        <v>37</v>
      </c>
      <c r="D67" s="96">
        <v>15</v>
      </c>
      <c r="E67" s="97">
        <f t="shared" si="10"/>
        <v>7.5</v>
      </c>
      <c r="F67" s="96">
        <v>15</v>
      </c>
      <c r="G67" s="96">
        <v>0</v>
      </c>
      <c r="H67" s="96">
        <v>0</v>
      </c>
      <c r="I67" s="96">
        <v>0</v>
      </c>
      <c r="J67" s="96">
        <v>0</v>
      </c>
      <c r="K67" s="99">
        <f t="shared" si="11"/>
        <v>0</v>
      </c>
      <c r="L67" s="96">
        <v>0</v>
      </c>
      <c r="M67" s="96">
        <v>0</v>
      </c>
      <c r="N67" s="96">
        <v>0</v>
      </c>
      <c r="O67" s="96">
        <v>0</v>
      </c>
      <c r="P67" s="100">
        <v>0</v>
      </c>
      <c r="Q67" s="133">
        <f t="shared" si="12"/>
        <v>15</v>
      </c>
      <c r="R67" s="101">
        <f t="shared" si="13"/>
        <v>0</v>
      </c>
    </row>
    <row r="68" spans="1:18" ht="14.25" customHeight="1" x14ac:dyDescent="0.75">
      <c r="A68" s="93">
        <v>666531</v>
      </c>
      <c r="B68" s="94" t="s">
        <v>38</v>
      </c>
      <c r="C68" s="95" t="s">
        <v>39</v>
      </c>
      <c r="D68" s="96">
        <v>8</v>
      </c>
      <c r="E68" s="97">
        <f t="shared" si="10"/>
        <v>4</v>
      </c>
      <c r="F68" s="96">
        <v>8</v>
      </c>
      <c r="G68" s="96">
        <v>0</v>
      </c>
      <c r="H68" s="96">
        <v>0</v>
      </c>
      <c r="I68" s="96">
        <v>0</v>
      </c>
      <c r="J68" s="96">
        <v>0</v>
      </c>
      <c r="K68" s="99">
        <f t="shared" si="11"/>
        <v>0</v>
      </c>
      <c r="L68" s="96">
        <v>0</v>
      </c>
      <c r="M68" s="96">
        <v>0</v>
      </c>
      <c r="N68" s="96">
        <v>0</v>
      </c>
      <c r="O68" s="96">
        <v>0</v>
      </c>
      <c r="P68" s="100">
        <v>0</v>
      </c>
      <c r="Q68" s="133">
        <f t="shared" si="12"/>
        <v>8</v>
      </c>
      <c r="R68" s="101">
        <f t="shared" si="13"/>
        <v>0</v>
      </c>
    </row>
    <row r="69" spans="1:18" ht="14.25" customHeight="1" x14ac:dyDescent="0.75">
      <c r="A69" s="93">
        <v>666540</v>
      </c>
      <c r="B69" s="94" t="s">
        <v>40</v>
      </c>
      <c r="C69" s="95" t="s">
        <v>40</v>
      </c>
      <c r="D69" s="96">
        <v>0</v>
      </c>
      <c r="E69" s="97">
        <f t="shared" si="10"/>
        <v>0</v>
      </c>
      <c r="F69" s="96">
        <v>0</v>
      </c>
      <c r="G69" s="96">
        <v>0</v>
      </c>
      <c r="H69" s="96">
        <v>0</v>
      </c>
      <c r="I69" s="96">
        <v>0</v>
      </c>
      <c r="J69" s="96">
        <v>0</v>
      </c>
      <c r="K69" s="99">
        <f t="shared" si="11"/>
        <v>0</v>
      </c>
      <c r="L69" s="96">
        <v>0</v>
      </c>
      <c r="M69" s="96">
        <v>0</v>
      </c>
      <c r="N69" s="96">
        <v>0</v>
      </c>
      <c r="O69" s="96">
        <v>0</v>
      </c>
      <c r="P69" s="100">
        <v>0</v>
      </c>
      <c r="Q69" s="101">
        <f t="shared" si="12"/>
        <v>0</v>
      </c>
      <c r="R69" s="101">
        <f t="shared" si="13"/>
        <v>0</v>
      </c>
    </row>
    <row r="70" spans="1:18" ht="15" customHeight="1" x14ac:dyDescent="0.75">
      <c r="A70" s="93">
        <v>666541</v>
      </c>
      <c r="B70" s="109" t="s">
        <v>41</v>
      </c>
      <c r="C70" s="95" t="s">
        <v>41</v>
      </c>
      <c r="D70" s="96">
        <v>0</v>
      </c>
      <c r="E70" s="97">
        <f t="shared" si="10"/>
        <v>0</v>
      </c>
      <c r="F70" s="96">
        <v>0</v>
      </c>
      <c r="G70" s="96">
        <v>0</v>
      </c>
      <c r="H70" s="96">
        <v>0</v>
      </c>
      <c r="I70" s="96">
        <v>0</v>
      </c>
      <c r="J70" s="96">
        <v>0</v>
      </c>
      <c r="K70" s="99">
        <f t="shared" si="11"/>
        <v>0</v>
      </c>
      <c r="L70" s="96">
        <v>0</v>
      </c>
      <c r="M70" s="96">
        <v>0</v>
      </c>
      <c r="N70" s="96">
        <v>0</v>
      </c>
      <c r="O70" s="96">
        <v>0</v>
      </c>
      <c r="P70" s="100">
        <v>0</v>
      </c>
      <c r="Q70" s="101"/>
      <c r="R70" s="101"/>
    </row>
    <row r="71" spans="1:18" ht="15" customHeight="1" x14ac:dyDescent="0.75">
      <c r="A71" s="108">
        <v>666536</v>
      </c>
      <c r="B71" s="109" t="s">
        <v>42</v>
      </c>
      <c r="C71" s="103" t="s">
        <v>41</v>
      </c>
      <c r="D71" s="104">
        <v>0</v>
      </c>
      <c r="E71" s="111">
        <f t="shared" si="10"/>
        <v>0</v>
      </c>
      <c r="F71" s="104">
        <v>0</v>
      </c>
      <c r="G71" s="104">
        <v>0</v>
      </c>
      <c r="H71" s="104">
        <v>0</v>
      </c>
      <c r="I71" s="104">
        <v>0</v>
      </c>
      <c r="J71" s="104">
        <v>0</v>
      </c>
      <c r="K71" s="106">
        <f t="shared" si="11"/>
        <v>0</v>
      </c>
      <c r="L71" s="96">
        <v>0</v>
      </c>
      <c r="M71" s="96">
        <v>0</v>
      </c>
      <c r="N71" s="96">
        <v>0</v>
      </c>
      <c r="O71" s="96">
        <v>0</v>
      </c>
      <c r="P71" s="100">
        <v>0</v>
      </c>
      <c r="Q71" s="101">
        <f>SUM(F71:J71)+SUM(L71:P71)</f>
        <v>0</v>
      </c>
      <c r="R71" s="101">
        <f>+D71-Q71</f>
        <v>0</v>
      </c>
    </row>
  </sheetData>
  <mergeCells count="3">
    <mergeCell ref="A1:E1"/>
    <mergeCell ref="A25:E25"/>
    <mergeCell ref="A49:E49"/>
  </mergeCells>
  <conditionalFormatting sqref="F24 H24 J24">
    <cfRule type="expression" dxfId="237" priority="2">
      <formula>#REF!=F24</formula>
    </cfRule>
    <cfRule type="expression" dxfId="236" priority="3">
      <formula>#REF!&lt;F24</formula>
    </cfRule>
    <cfRule type="expression" dxfId="235" priority="4">
      <formula>#REF!&gt;F24</formula>
    </cfRule>
  </conditionalFormatting>
  <conditionalFormatting sqref="Q3">
    <cfRule type="cellIs" dxfId="234" priority="8" operator="equal">
      <formula>$D$3</formula>
    </cfRule>
  </conditionalFormatting>
  <conditionalFormatting sqref="Q5:Q22">
    <cfRule type="cellIs" dxfId="233" priority="7" operator="equal">
      <formula>$D$3</formula>
    </cfRule>
  </conditionalFormatting>
  <conditionalFormatting sqref="Q8">
    <cfRule type="cellIs" dxfId="232" priority="5" operator="lessThan">
      <formula>$D$8</formula>
    </cfRule>
    <cfRule type="cellIs" dxfId="231" priority="6" operator="equal">
      <formula>$D$8</formula>
    </cfRule>
  </conditionalFormatting>
  <pageMargins left="0.7" right="0.7" top="0.75" bottom="0.75" header="0.511811023622047" footer="0.511811023622047"/>
  <pageSetup scale="140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S26"/>
  <sheetViews>
    <sheetView zoomScaleNormal="100" workbookViewId="0">
      <selection activeCell="A2" sqref="A2"/>
    </sheetView>
  </sheetViews>
  <sheetFormatPr defaultColWidth="8.54296875" defaultRowHeight="14.75" x14ac:dyDescent="0.75"/>
  <cols>
    <col min="2" max="2" width="35" customWidth="1"/>
    <col min="3" max="3" width="14.6328125" hidden="1" customWidth="1"/>
    <col min="4" max="4" width="17.31640625" hidden="1" customWidth="1"/>
  </cols>
  <sheetData>
    <row r="1" spans="1:12" ht="14.25" customHeight="1" x14ac:dyDescent="0.75">
      <c r="C1" s="145" t="s">
        <v>174</v>
      </c>
    </row>
    <row r="2" spans="1:12" ht="28.5" customHeight="1" x14ac:dyDescent="0.75">
      <c r="A2" s="51"/>
      <c r="B2" s="51" t="s">
        <v>178</v>
      </c>
      <c r="C2" s="51"/>
      <c r="D2" s="51" t="s">
        <v>144</v>
      </c>
      <c r="E2" s="53" t="s">
        <v>116</v>
      </c>
      <c r="F2" s="53" t="s">
        <v>145</v>
      </c>
      <c r="G2" s="56" t="s">
        <v>119</v>
      </c>
      <c r="H2" s="53" t="s">
        <v>146</v>
      </c>
      <c r="I2" s="51" t="s">
        <v>122</v>
      </c>
      <c r="J2" s="56" t="s">
        <v>147</v>
      </c>
      <c r="K2" s="51" t="s">
        <v>148</v>
      </c>
      <c r="L2" s="53" t="s">
        <v>149</v>
      </c>
    </row>
    <row r="3" spans="1:12" ht="14.25" customHeight="1" x14ac:dyDescent="0.75">
      <c r="A3" s="50"/>
      <c r="B3" s="50"/>
      <c r="C3" s="57" t="s">
        <v>150</v>
      </c>
      <c r="D3" s="57"/>
      <c r="E3" s="57"/>
      <c r="F3" s="59"/>
      <c r="G3" s="59"/>
      <c r="H3" s="59"/>
      <c r="I3" s="59"/>
      <c r="J3" s="59"/>
      <c r="K3" s="59"/>
      <c r="L3" s="59"/>
    </row>
    <row r="4" spans="1:12" ht="14.25" customHeight="1" x14ac:dyDescent="0.75">
      <c r="A4" s="62" t="s">
        <v>129</v>
      </c>
      <c r="B4" s="62" t="s">
        <v>2</v>
      </c>
      <c r="C4" s="62" t="s">
        <v>3</v>
      </c>
      <c r="D4" s="62"/>
      <c r="E4" s="62"/>
      <c r="F4" s="62"/>
      <c r="G4" s="62"/>
      <c r="H4" s="62"/>
      <c r="I4" s="62"/>
      <c r="J4" s="62"/>
      <c r="K4" s="62"/>
      <c r="L4" s="62"/>
    </row>
    <row r="5" spans="1:12" ht="14.25" customHeight="1" x14ac:dyDescent="0.75">
      <c r="A5" s="62"/>
      <c r="B5" s="62"/>
      <c r="C5" s="62" t="s">
        <v>151</v>
      </c>
      <c r="D5" s="62"/>
      <c r="E5" s="62"/>
      <c r="F5" s="50">
        <v>107</v>
      </c>
      <c r="G5" s="50"/>
      <c r="H5" s="50">
        <v>884</v>
      </c>
      <c r="I5" s="50"/>
      <c r="J5" s="50">
        <v>104</v>
      </c>
      <c r="K5" s="62" t="s">
        <v>152</v>
      </c>
      <c r="L5" s="62">
        <f>SUM(F5:J5)</f>
        <v>1095</v>
      </c>
    </row>
    <row r="6" spans="1:12" ht="14.25" customHeight="1" x14ac:dyDescent="0.75">
      <c r="A6" s="50">
        <v>666501</v>
      </c>
      <c r="B6" s="73" t="s">
        <v>4</v>
      </c>
      <c r="C6" s="73" t="s">
        <v>5</v>
      </c>
      <c r="D6" s="50">
        <f t="shared" ref="D6:D25" si="0">+K6</f>
        <v>507</v>
      </c>
      <c r="E6" s="50">
        <v>45</v>
      </c>
      <c r="F6" s="50">
        <v>45</v>
      </c>
      <c r="G6" s="50">
        <v>420</v>
      </c>
      <c r="H6" s="50">
        <v>420</v>
      </c>
      <c r="I6" s="50">
        <v>42</v>
      </c>
      <c r="J6" s="50">
        <v>42</v>
      </c>
      <c r="K6" s="50">
        <f t="shared" ref="K6:K26" si="1">+I6+G6+E6</f>
        <v>507</v>
      </c>
      <c r="L6" s="50">
        <f t="shared" ref="L6:L26" si="2">+F6+H6+J6</f>
        <v>507</v>
      </c>
    </row>
    <row r="7" spans="1:12" ht="14.25" customHeight="1" x14ac:dyDescent="0.75">
      <c r="A7" s="50">
        <v>666502</v>
      </c>
      <c r="B7" s="73" t="s">
        <v>6</v>
      </c>
      <c r="C7" s="73" t="s">
        <v>7</v>
      </c>
      <c r="D7" s="50">
        <f t="shared" si="0"/>
        <v>360</v>
      </c>
      <c r="E7" s="50">
        <v>0</v>
      </c>
      <c r="F7" s="50">
        <v>0</v>
      </c>
      <c r="G7" s="50">
        <v>310</v>
      </c>
      <c r="H7" s="50">
        <v>207</v>
      </c>
      <c r="I7" s="50">
        <v>50</v>
      </c>
      <c r="J7" s="50">
        <v>50</v>
      </c>
      <c r="K7" s="50">
        <f t="shared" si="1"/>
        <v>360</v>
      </c>
      <c r="L7" s="50">
        <f t="shared" si="2"/>
        <v>257</v>
      </c>
    </row>
    <row r="8" spans="1:12" ht="14.25" customHeight="1" x14ac:dyDescent="0.75">
      <c r="A8" s="50">
        <v>666505</v>
      </c>
      <c r="B8" s="73" t="s">
        <v>8</v>
      </c>
      <c r="C8" s="73" t="s">
        <v>9</v>
      </c>
      <c r="D8" s="50">
        <f t="shared" si="0"/>
        <v>60</v>
      </c>
      <c r="E8" s="50">
        <v>19</v>
      </c>
      <c r="F8" s="50">
        <v>19</v>
      </c>
      <c r="G8" s="50">
        <v>0</v>
      </c>
      <c r="H8" s="50">
        <v>0</v>
      </c>
      <c r="I8" s="50">
        <v>41</v>
      </c>
      <c r="J8" s="50">
        <v>41</v>
      </c>
      <c r="K8" s="50">
        <f t="shared" si="1"/>
        <v>60</v>
      </c>
      <c r="L8" s="50">
        <f t="shared" si="2"/>
        <v>60</v>
      </c>
    </row>
    <row r="9" spans="1:12" ht="14.25" customHeight="1" x14ac:dyDescent="0.75">
      <c r="A9" s="50">
        <v>666506</v>
      </c>
      <c r="B9" s="73" t="s">
        <v>10</v>
      </c>
      <c r="C9" s="73" t="s">
        <v>11</v>
      </c>
      <c r="D9" s="50">
        <f t="shared" si="0"/>
        <v>200</v>
      </c>
      <c r="E9" s="50">
        <v>0</v>
      </c>
      <c r="F9" s="50">
        <v>0</v>
      </c>
      <c r="G9" s="50">
        <v>200</v>
      </c>
      <c r="H9" s="50">
        <v>65</v>
      </c>
      <c r="I9" s="50">
        <v>0</v>
      </c>
      <c r="J9" s="50">
        <v>0</v>
      </c>
      <c r="K9" s="50">
        <f t="shared" si="1"/>
        <v>200</v>
      </c>
      <c r="L9" s="50">
        <f t="shared" si="2"/>
        <v>65</v>
      </c>
    </row>
    <row r="10" spans="1:12" ht="14.25" customHeight="1" x14ac:dyDescent="0.75">
      <c r="A10" s="50">
        <v>666507</v>
      </c>
      <c r="B10" s="73" t="s">
        <v>12</v>
      </c>
      <c r="C10" s="73" t="s">
        <v>13</v>
      </c>
      <c r="D10" s="50">
        <f t="shared" si="0"/>
        <v>42</v>
      </c>
      <c r="E10" s="50">
        <v>42</v>
      </c>
      <c r="F10" s="50">
        <v>42</v>
      </c>
      <c r="G10" s="50">
        <v>0</v>
      </c>
      <c r="H10" s="50">
        <v>0</v>
      </c>
      <c r="I10" s="50">
        <v>0</v>
      </c>
      <c r="J10" s="50">
        <v>0</v>
      </c>
      <c r="K10" s="50">
        <f t="shared" si="1"/>
        <v>42</v>
      </c>
      <c r="L10" s="50">
        <f t="shared" si="2"/>
        <v>42</v>
      </c>
    </row>
    <row r="11" spans="1:12" ht="14.25" customHeight="1" x14ac:dyDescent="0.75">
      <c r="A11" s="50">
        <v>666509</v>
      </c>
      <c r="B11" s="73" t="s">
        <v>14</v>
      </c>
      <c r="C11" s="73" t="s">
        <v>15</v>
      </c>
      <c r="D11" s="50">
        <f t="shared" si="0"/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f t="shared" si="1"/>
        <v>0</v>
      </c>
      <c r="L11" s="50">
        <f t="shared" si="2"/>
        <v>0</v>
      </c>
    </row>
    <row r="12" spans="1:12" ht="14.25" customHeight="1" x14ac:dyDescent="0.75">
      <c r="A12" s="50">
        <v>666510</v>
      </c>
      <c r="B12" s="73" t="s">
        <v>16</v>
      </c>
      <c r="C12" s="73" t="s">
        <v>169</v>
      </c>
      <c r="D12" s="50">
        <f t="shared" si="0"/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f t="shared" si="1"/>
        <v>0</v>
      </c>
      <c r="L12" s="50">
        <f t="shared" si="2"/>
        <v>0</v>
      </c>
    </row>
    <row r="13" spans="1:12" ht="14.25" customHeight="1" x14ac:dyDescent="0.75">
      <c r="A13" s="50">
        <v>666511</v>
      </c>
      <c r="B13" s="73" t="s">
        <v>18</v>
      </c>
      <c r="C13" s="73" t="s">
        <v>19</v>
      </c>
      <c r="D13" s="50">
        <f t="shared" si="0"/>
        <v>8</v>
      </c>
      <c r="E13" s="50">
        <v>8</v>
      </c>
      <c r="F13" s="50">
        <v>8</v>
      </c>
      <c r="G13" s="50">
        <v>0</v>
      </c>
      <c r="H13" s="50">
        <v>0</v>
      </c>
      <c r="I13" s="50">
        <v>0</v>
      </c>
      <c r="J13" s="50">
        <v>0</v>
      </c>
      <c r="K13" s="50">
        <f t="shared" si="1"/>
        <v>8</v>
      </c>
      <c r="L13" s="50">
        <f t="shared" si="2"/>
        <v>8</v>
      </c>
    </row>
    <row r="14" spans="1:12" ht="14.25" customHeight="1" x14ac:dyDescent="0.75">
      <c r="A14" s="50">
        <v>666513</v>
      </c>
      <c r="B14" s="73" t="s">
        <v>20</v>
      </c>
      <c r="C14" s="73" t="s">
        <v>21</v>
      </c>
      <c r="D14" s="50">
        <f t="shared" si="0"/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f t="shared" si="1"/>
        <v>0</v>
      </c>
      <c r="L14" s="50">
        <f t="shared" si="2"/>
        <v>0</v>
      </c>
    </row>
    <row r="15" spans="1:12" ht="14.25" customHeight="1" x14ac:dyDescent="0.75">
      <c r="A15" s="50">
        <v>666516</v>
      </c>
      <c r="B15" s="73" t="s">
        <v>22</v>
      </c>
      <c r="C15" s="73" t="s">
        <v>23</v>
      </c>
      <c r="D15" s="50">
        <f t="shared" si="0"/>
        <v>20</v>
      </c>
      <c r="E15" s="50">
        <v>0</v>
      </c>
      <c r="F15" s="50">
        <v>0</v>
      </c>
      <c r="G15" s="50">
        <v>0</v>
      </c>
      <c r="H15" s="50">
        <v>0</v>
      </c>
      <c r="I15" s="50">
        <v>20</v>
      </c>
      <c r="J15" s="50">
        <v>20</v>
      </c>
      <c r="K15" s="50">
        <f t="shared" si="1"/>
        <v>20</v>
      </c>
      <c r="L15" s="50">
        <f t="shared" si="2"/>
        <v>20</v>
      </c>
    </row>
    <row r="16" spans="1:12" ht="14.25" customHeight="1" x14ac:dyDescent="0.75">
      <c r="A16" s="50">
        <v>666517</v>
      </c>
      <c r="B16" s="73" t="s">
        <v>24</v>
      </c>
      <c r="C16" s="73" t="s">
        <v>25</v>
      </c>
      <c r="D16" s="50">
        <f t="shared" si="0"/>
        <v>42</v>
      </c>
      <c r="E16" s="50">
        <v>29</v>
      </c>
      <c r="F16" s="50">
        <v>29</v>
      </c>
      <c r="G16" s="50">
        <v>0</v>
      </c>
      <c r="H16" s="50">
        <v>0</v>
      </c>
      <c r="I16" s="50">
        <v>13</v>
      </c>
      <c r="J16" s="50">
        <v>13</v>
      </c>
      <c r="K16" s="50">
        <f t="shared" si="1"/>
        <v>42</v>
      </c>
      <c r="L16" s="50">
        <f t="shared" si="2"/>
        <v>42</v>
      </c>
    </row>
    <row r="17" spans="1:19" ht="14.25" customHeight="1" x14ac:dyDescent="0.75">
      <c r="A17" s="50">
        <v>666518</v>
      </c>
      <c r="B17" s="73" t="s">
        <v>26</v>
      </c>
      <c r="C17" s="73" t="s">
        <v>27</v>
      </c>
      <c r="D17" s="50">
        <f t="shared" si="0"/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f t="shared" si="1"/>
        <v>0</v>
      </c>
      <c r="L17" s="50">
        <f t="shared" si="2"/>
        <v>0</v>
      </c>
    </row>
    <row r="18" spans="1:19" ht="14.25" customHeight="1" x14ac:dyDescent="0.75">
      <c r="A18" s="50">
        <v>666519</v>
      </c>
      <c r="B18" s="73" t="s">
        <v>28</v>
      </c>
      <c r="C18" s="73" t="s">
        <v>29</v>
      </c>
      <c r="D18" s="50">
        <f t="shared" si="0"/>
        <v>62</v>
      </c>
      <c r="E18" s="50">
        <v>31</v>
      </c>
      <c r="F18" s="50">
        <v>31</v>
      </c>
      <c r="G18" s="50">
        <v>0</v>
      </c>
      <c r="H18" s="50">
        <v>0</v>
      </c>
      <c r="I18" s="50">
        <v>31</v>
      </c>
      <c r="J18" s="50">
        <v>31</v>
      </c>
      <c r="K18" s="50">
        <f t="shared" si="1"/>
        <v>62</v>
      </c>
      <c r="L18" s="50">
        <f t="shared" si="2"/>
        <v>62</v>
      </c>
    </row>
    <row r="19" spans="1:19" ht="14.25" customHeight="1" x14ac:dyDescent="0.75">
      <c r="A19" s="50">
        <v>666521</v>
      </c>
      <c r="B19" s="73" t="s">
        <v>30</v>
      </c>
      <c r="C19" s="73" t="s">
        <v>31</v>
      </c>
      <c r="D19" s="50">
        <f t="shared" si="0"/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f t="shared" si="1"/>
        <v>0</v>
      </c>
      <c r="L19" s="50">
        <f t="shared" si="2"/>
        <v>0</v>
      </c>
    </row>
    <row r="20" spans="1:19" ht="14.25" customHeight="1" x14ac:dyDescent="0.75">
      <c r="A20" s="50">
        <v>666522</v>
      </c>
      <c r="B20" s="73" t="s">
        <v>32</v>
      </c>
      <c r="C20" s="73" t="s">
        <v>33</v>
      </c>
      <c r="D20" s="50">
        <f t="shared" si="0"/>
        <v>360</v>
      </c>
      <c r="E20" s="50">
        <v>115</v>
      </c>
      <c r="F20" s="50">
        <v>115</v>
      </c>
      <c r="G20" s="50">
        <v>175</v>
      </c>
      <c r="H20" s="50">
        <v>175</v>
      </c>
      <c r="I20" s="50">
        <v>70</v>
      </c>
      <c r="J20" s="50">
        <v>70</v>
      </c>
      <c r="K20" s="50">
        <f t="shared" si="1"/>
        <v>360</v>
      </c>
      <c r="L20" s="50">
        <f t="shared" si="2"/>
        <v>360</v>
      </c>
    </row>
    <row r="21" spans="1:19" ht="14.25" customHeight="1" x14ac:dyDescent="0.75">
      <c r="A21" s="50">
        <v>666523</v>
      </c>
      <c r="B21" s="73" t="s">
        <v>34</v>
      </c>
      <c r="C21" s="73" t="s">
        <v>35</v>
      </c>
      <c r="D21" s="50">
        <f t="shared" si="0"/>
        <v>60</v>
      </c>
      <c r="E21" s="50">
        <v>0</v>
      </c>
      <c r="F21" s="50">
        <v>0</v>
      </c>
      <c r="G21" s="50">
        <v>48</v>
      </c>
      <c r="H21" s="50">
        <v>48</v>
      </c>
      <c r="I21" s="50">
        <v>12</v>
      </c>
      <c r="J21" s="50">
        <v>12</v>
      </c>
      <c r="K21" s="50">
        <f t="shared" si="1"/>
        <v>60</v>
      </c>
      <c r="L21" s="50">
        <f t="shared" si="2"/>
        <v>60</v>
      </c>
    </row>
    <row r="22" spans="1:19" ht="14.25" customHeight="1" x14ac:dyDescent="0.75">
      <c r="A22" s="50">
        <v>666530</v>
      </c>
      <c r="B22" s="73" t="s">
        <v>36</v>
      </c>
      <c r="C22" s="73" t="s">
        <v>37</v>
      </c>
      <c r="D22" s="50">
        <f t="shared" si="0"/>
        <v>20</v>
      </c>
      <c r="E22" s="50">
        <v>5</v>
      </c>
      <c r="F22" s="50">
        <v>5</v>
      </c>
      <c r="G22" s="50">
        <v>0</v>
      </c>
      <c r="H22" s="50">
        <v>0</v>
      </c>
      <c r="I22" s="50">
        <v>15</v>
      </c>
      <c r="J22" s="50">
        <v>15</v>
      </c>
      <c r="K22" s="50">
        <f t="shared" si="1"/>
        <v>20</v>
      </c>
      <c r="L22" s="50">
        <f t="shared" si="2"/>
        <v>20</v>
      </c>
    </row>
    <row r="23" spans="1:19" ht="14.25" customHeight="1" x14ac:dyDescent="0.75">
      <c r="A23" s="50">
        <v>666531</v>
      </c>
      <c r="B23" s="73" t="s">
        <v>38</v>
      </c>
      <c r="C23" s="73" t="s">
        <v>39</v>
      </c>
      <c r="D23" s="50">
        <f t="shared" si="0"/>
        <v>26</v>
      </c>
      <c r="E23" s="50">
        <v>18</v>
      </c>
      <c r="F23" s="50">
        <v>18</v>
      </c>
      <c r="G23" s="50">
        <v>0</v>
      </c>
      <c r="H23" s="50">
        <v>0</v>
      </c>
      <c r="I23" s="50">
        <v>8</v>
      </c>
      <c r="J23" s="50">
        <v>8</v>
      </c>
      <c r="K23" s="50">
        <f t="shared" si="1"/>
        <v>26</v>
      </c>
      <c r="L23" s="50">
        <f t="shared" si="2"/>
        <v>26</v>
      </c>
    </row>
    <row r="24" spans="1:19" ht="14.25" customHeight="1" x14ac:dyDescent="0.75">
      <c r="A24" s="50">
        <v>666540</v>
      </c>
      <c r="B24" s="73" t="s">
        <v>40</v>
      </c>
      <c r="C24" s="73" t="s">
        <v>40</v>
      </c>
      <c r="D24" s="50">
        <f t="shared" si="0"/>
        <v>240</v>
      </c>
      <c r="E24" s="50">
        <v>0</v>
      </c>
      <c r="F24" s="50">
        <v>0</v>
      </c>
      <c r="G24" s="50">
        <v>240</v>
      </c>
      <c r="H24" s="50">
        <v>35</v>
      </c>
      <c r="I24" s="50">
        <v>0</v>
      </c>
      <c r="J24" s="50">
        <v>0</v>
      </c>
      <c r="K24" s="50">
        <f t="shared" si="1"/>
        <v>240</v>
      </c>
      <c r="L24" s="50">
        <f t="shared" si="2"/>
        <v>35</v>
      </c>
    </row>
    <row r="25" spans="1:19" ht="14.25" customHeight="1" x14ac:dyDescent="0.75">
      <c r="A25" s="50">
        <v>666541</v>
      </c>
      <c r="B25" s="73" t="s">
        <v>41</v>
      </c>
      <c r="C25" s="73" t="s">
        <v>41</v>
      </c>
      <c r="D25" s="50">
        <f t="shared" si="0"/>
        <v>240</v>
      </c>
      <c r="E25" s="50">
        <v>0</v>
      </c>
      <c r="F25" s="50">
        <v>0</v>
      </c>
      <c r="G25" s="50">
        <v>240</v>
      </c>
      <c r="H25" s="50">
        <v>268</v>
      </c>
      <c r="I25" s="50">
        <v>0</v>
      </c>
      <c r="J25" s="50">
        <v>0</v>
      </c>
      <c r="K25" s="50">
        <f t="shared" si="1"/>
        <v>240</v>
      </c>
      <c r="L25" s="50">
        <f t="shared" si="2"/>
        <v>268</v>
      </c>
    </row>
    <row r="26" spans="1:19" s="74" customFormat="1" ht="14.25" customHeight="1" x14ac:dyDescent="0.75">
      <c r="A26" s="74">
        <v>666536</v>
      </c>
      <c r="B26" s="74" t="s">
        <v>42</v>
      </c>
      <c r="C26" s="74" t="s">
        <v>43</v>
      </c>
      <c r="E26" s="50">
        <v>2</v>
      </c>
      <c r="F26" s="50">
        <v>2</v>
      </c>
      <c r="G26" s="50">
        <v>0</v>
      </c>
      <c r="H26" s="50">
        <v>0</v>
      </c>
      <c r="I26" s="50">
        <v>0</v>
      </c>
      <c r="J26" s="50">
        <v>0</v>
      </c>
      <c r="K26" s="50">
        <f t="shared" si="1"/>
        <v>2</v>
      </c>
      <c r="L26" s="50">
        <f t="shared" si="2"/>
        <v>2</v>
      </c>
      <c r="S26" s="74">
        <v>2</v>
      </c>
    </row>
  </sheetData>
  <conditionalFormatting sqref="K6:K26">
    <cfRule type="cellIs" dxfId="230" priority="2" operator="equal">
      <formula>0</formula>
    </cfRule>
  </conditionalFormatting>
  <conditionalFormatting sqref="L6:L26">
    <cfRule type="expression" dxfId="229" priority="3">
      <formula>K6=L6</formula>
    </cfRule>
    <cfRule type="expression" dxfId="228" priority="4">
      <formula>K6&lt;L6</formula>
    </cfRule>
    <cfRule type="expression" dxfId="227" priority="5">
      <formula>K6&gt;L6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A51"/>
  <sheetViews>
    <sheetView topLeftCell="B1" zoomScaleNormal="100" workbookViewId="0">
      <selection activeCell="Q19" sqref="Q19"/>
    </sheetView>
  </sheetViews>
  <sheetFormatPr defaultColWidth="8.6796875" defaultRowHeight="14.75" x14ac:dyDescent="0.75"/>
  <cols>
    <col min="1" max="1" width="8.6796875" style="50"/>
    <col min="2" max="2" width="41.54296875" style="50" customWidth="1"/>
    <col min="3" max="3" width="22.6796875" style="50" customWidth="1"/>
    <col min="4" max="4" width="9.54296875" style="50" hidden="1" customWidth="1"/>
    <col min="5" max="6" width="8.6796875" style="50"/>
    <col min="7" max="7" width="7.31640625" style="50" customWidth="1"/>
    <col min="8" max="8" width="8.453125" style="50" customWidth="1"/>
    <col min="9" max="9" width="7.453125" style="50" customWidth="1"/>
    <col min="10" max="10" width="8.08984375" style="50" customWidth="1"/>
    <col min="11" max="11" width="7.31640625" style="50" customWidth="1"/>
    <col min="12" max="16384" width="8.6796875" style="50"/>
  </cols>
  <sheetData>
    <row r="1" spans="1:27" s="51" customFormat="1" ht="28.5" customHeight="1" x14ac:dyDescent="0.75">
      <c r="C1" s="51" t="s">
        <v>175</v>
      </c>
      <c r="D1" s="51" t="s">
        <v>144</v>
      </c>
      <c r="E1" s="52" t="s">
        <v>116</v>
      </c>
      <c r="F1" s="53" t="s">
        <v>145</v>
      </c>
      <c r="G1" s="54" t="s">
        <v>119</v>
      </c>
      <c r="H1" s="53" t="s">
        <v>146</v>
      </c>
      <c r="I1" s="153" t="s">
        <v>122</v>
      </c>
      <c r="J1" s="56" t="s">
        <v>147</v>
      </c>
      <c r="K1" s="51" t="s">
        <v>148</v>
      </c>
      <c r="L1" s="53" t="s">
        <v>149</v>
      </c>
      <c r="M1" s="51" t="s">
        <v>56</v>
      </c>
      <c r="N1" s="51" t="s">
        <v>58</v>
      </c>
      <c r="O1" s="51" t="s">
        <v>66</v>
      </c>
      <c r="P1" s="51" t="s">
        <v>56</v>
      </c>
      <c r="Q1" s="51" t="s">
        <v>58</v>
      </c>
      <c r="R1" s="51" t="s">
        <v>66</v>
      </c>
      <c r="S1" s="51" t="s">
        <v>56</v>
      </c>
      <c r="T1" s="51" t="s">
        <v>58</v>
      </c>
      <c r="U1" s="51" t="s">
        <v>66</v>
      </c>
      <c r="V1" s="51" t="s">
        <v>56</v>
      </c>
      <c r="W1" s="51" t="s">
        <v>58</v>
      </c>
      <c r="X1" s="51" t="s">
        <v>66</v>
      </c>
      <c r="Y1" s="51" t="s">
        <v>56</v>
      </c>
      <c r="Z1" s="51" t="s">
        <v>58</v>
      </c>
      <c r="AA1" s="51" t="s">
        <v>66</v>
      </c>
    </row>
    <row r="2" spans="1:27" ht="14.25" customHeight="1" x14ac:dyDescent="0.75">
      <c r="C2" s="57" t="s">
        <v>150</v>
      </c>
      <c r="D2" s="57"/>
      <c r="E2" s="58"/>
      <c r="F2" s="59"/>
      <c r="G2" s="60"/>
      <c r="H2" s="59"/>
      <c r="I2" s="78"/>
      <c r="J2" s="59"/>
      <c r="K2" s="59"/>
      <c r="L2" s="59"/>
      <c r="M2" s="59" t="s">
        <v>65</v>
      </c>
      <c r="N2" s="59" t="s">
        <v>57</v>
      </c>
      <c r="O2" s="59" t="s">
        <v>55</v>
      </c>
      <c r="P2" s="59" t="s">
        <v>65</v>
      </c>
      <c r="Q2" s="59" t="s">
        <v>57</v>
      </c>
      <c r="R2" s="59" t="s">
        <v>55</v>
      </c>
      <c r="S2" s="59" t="s">
        <v>65</v>
      </c>
      <c r="T2" s="59" t="s">
        <v>57</v>
      </c>
      <c r="U2" s="59" t="s">
        <v>55</v>
      </c>
      <c r="V2" s="59" t="s">
        <v>65</v>
      </c>
      <c r="W2" s="59" t="s">
        <v>57</v>
      </c>
      <c r="X2" s="59" t="s">
        <v>55</v>
      </c>
      <c r="Y2" s="59" t="s">
        <v>65</v>
      </c>
      <c r="Z2" s="59" t="s">
        <v>57</v>
      </c>
      <c r="AA2" s="59" t="s">
        <v>55</v>
      </c>
    </row>
    <row r="3" spans="1:27" ht="14.25" customHeight="1" x14ac:dyDescent="0.75">
      <c r="A3" s="62" t="s">
        <v>129</v>
      </c>
      <c r="B3" s="62" t="s">
        <v>2</v>
      </c>
      <c r="C3" s="62" t="s">
        <v>3</v>
      </c>
      <c r="D3" s="62"/>
      <c r="E3" s="58"/>
      <c r="F3" s="62"/>
      <c r="G3" s="63"/>
      <c r="H3" s="62"/>
      <c r="I3" s="154"/>
      <c r="J3" s="62"/>
      <c r="K3" s="62"/>
      <c r="L3" s="62"/>
      <c r="M3" s="62" t="s">
        <v>54</v>
      </c>
      <c r="N3" s="62" t="s">
        <v>54</v>
      </c>
      <c r="O3" s="62" t="s">
        <v>54</v>
      </c>
      <c r="P3" s="62" t="s">
        <v>59</v>
      </c>
      <c r="Q3" s="62" t="s">
        <v>59</v>
      </c>
      <c r="R3" s="62" t="s">
        <v>59</v>
      </c>
      <c r="S3" s="62" t="s">
        <v>60</v>
      </c>
      <c r="T3" s="62" t="s">
        <v>60</v>
      </c>
      <c r="U3" s="62" t="s">
        <v>60</v>
      </c>
      <c r="V3" s="62" t="s">
        <v>62</v>
      </c>
      <c r="W3" s="62" t="s">
        <v>62</v>
      </c>
      <c r="X3" s="62" t="s">
        <v>62</v>
      </c>
      <c r="Y3" s="62" t="s">
        <v>63</v>
      </c>
      <c r="Z3" s="62" t="s">
        <v>63</v>
      </c>
      <c r="AA3" s="62" t="s">
        <v>63</v>
      </c>
    </row>
    <row r="4" spans="1:27" ht="14.25" customHeight="1" x14ac:dyDescent="0.75">
      <c r="A4" s="62"/>
      <c r="B4" s="62"/>
      <c r="C4" s="62" t="s">
        <v>151</v>
      </c>
      <c r="D4" s="62"/>
      <c r="E4" s="58"/>
      <c r="F4" s="50">
        <f t="shared" ref="F4:F25" si="0">+M4+P4+S4+V4+Y4</f>
        <v>84</v>
      </c>
      <c r="G4" s="63"/>
      <c r="H4" s="50">
        <f t="shared" ref="H4:H25" si="1">+N4+Q4+T4+W4+Z4</f>
        <v>644</v>
      </c>
      <c r="I4" s="154"/>
      <c r="J4" s="50">
        <f t="shared" ref="J4:J25" si="2">+O4+R4+U4+X4+AA4</f>
        <v>102</v>
      </c>
      <c r="K4" s="62"/>
      <c r="L4" s="62"/>
      <c r="M4" s="62">
        <v>39</v>
      </c>
      <c r="N4" s="62">
        <v>113</v>
      </c>
      <c r="O4" s="62">
        <v>31</v>
      </c>
      <c r="Q4" s="62">
        <v>137</v>
      </c>
      <c r="R4" s="62"/>
      <c r="S4" s="62">
        <v>22</v>
      </c>
      <c r="T4" s="62">
        <v>128</v>
      </c>
      <c r="U4" s="62"/>
      <c r="V4" s="62"/>
      <c r="W4" s="62">
        <v>136</v>
      </c>
      <c r="X4" s="62">
        <v>36</v>
      </c>
      <c r="Y4" s="62">
        <v>23</v>
      </c>
      <c r="Z4" s="62">
        <v>130</v>
      </c>
      <c r="AA4" s="62">
        <v>35</v>
      </c>
    </row>
    <row r="5" spans="1:27" ht="14.25" customHeight="1" x14ac:dyDescent="0.75">
      <c r="A5" s="50">
        <v>666501</v>
      </c>
      <c r="B5" s="50" t="s">
        <v>4</v>
      </c>
      <c r="C5" s="50" t="s">
        <v>5</v>
      </c>
      <c r="E5" s="67">
        <v>45</v>
      </c>
      <c r="F5" s="70">
        <f t="shared" si="0"/>
        <v>45</v>
      </c>
      <c r="G5" s="60">
        <v>420</v>
      </c>
      <c r="H5" s="50">
        <f t="shared" si="1"/>
        <v>219</v>
      </c>
      <c r="I5" s="78">
        <v>45</v>
      </c>
      <c r="J5" s="50">
        <f t="shared" si="2"/>
        <v>45</v>
      </c>
      <c r="K5" s="50">
        <f t="shared" ref="K5:K25" si="3">+E5+G5+I5</f>
        <v>510</v>
      </c>
      <c r="L5" s="50">
        <f t="shared" ref="L5:L25" si="4">+F5+H5+J5</f>
        <v>309</v>
      </c>
      <c r="M5" s="50">
        <v>33</v>
      </c>
      <c r="N5" s="50">
        <v>27</v>
      </c>
      <c r="O5" s="50">
        <v>27</v>
      </c>
      <c r="Q5" s="50">
        <v>60</v>
      </c>
      <c r="S5" s="50">
        <v>12</v>
      </c>
      <c r="T5" s="50">
        <v>33</v>
      </c>
      <c r="W5" s="50">
        <v>33</v>
      </c>
      <c r="X5" s="50">
        <v>18</v>
      </c>
      <c r="Z5" s="50">
        <v>66</v>
      </c>
    </row>
    <row r="6" spans="1:27" ht="14.25" customHeight="1" x14ac:dyDescent="0.75">
      <c r="A6" s="50">
        <v>666502</v>
      </c>
      <c r="B6" s="50" t="s">
        <v>6</v>
      </c>
      <c r="C6" s="50" t="s">
        <v>7</v>
      </c>
      <c r="E6" s="67"/>
      <c r="F6" s="50">
        <f t="shared" si="0"/>
        <v>0</v>
      </c>
      <c r="G6" s="60">
        <v>310</v>
      </c>
      <c r="H6" s="50">
        <f t="shared" si="1"/>
        <v>161</v>
      </c>
      <c r="I6" s="78">
        <v>50</v>
      </c>
      <c r="J6" s="50">
        <f t="shared" si="2"/>
        <v>10</v>
      </c>
      <c r="K6" s="50">
        <f t="shared" si="3"/>
        <v>360</v>
      </c>
      <c r="L6" s="50">
        <f t="shared" si="4"/>
        <v>171</v>
      </c>
      <c r="N6" s="50">
        <v>19</v>
      </c>
      <c r="Q6" s="50">
        <v>43</v>
      </c>
      <c r="T6" s="50">
        <v>49</v>
      </c>
      <c r="W6" s="50">
        <v>11</v>
      </c>
      <c r="X6" s="50">
        <v>10</v>
      </c>
      <c r="Z6" s="50">
        <v>39</v>
      </c>
    </row>
    <row r="7" spans="1:27" ht="14.25" customHeight="1" x14ac:dyDescent="0.75">
      <c r="A7" s="50">
        <v>666505</v>
      </c>
      <c r="B7" s="50" t="s">
        <v>8</v>
      </c>
      <c r="C7" s="50" t="s">
        <v>9</v>
      </c>
      <c r="E7" s="67">
        <v>20</v>
      </c>
      <c r="F7" s="70">
        <f t="shared" si="0"/>
        <v>20</v>
      </c>
      <c r="G7" s="60"/>
      <c r="H7" s="50">
        <f t="shared" si="1"/>
        <v>0</v>
      </c>
      <c r="I7" s="78">
        <v>44</v>
      </c>
      <c r="J7" s="50">
        <f t="shared" si="2"/>
        <v>44</v>
      </c>
      <c r="K7" s="50">
        <f t="shared" si="3"/>
        <v>64</v>
      </c>
      <c r="L7" s="50">
        <f t="shared" si="4"/>
        <v>64</v>
      </c>
      <c r="M7" s="50">
        <v>20</v>
      </c>
      <c r="O7" s="50">
        <v>30</v>
      </c>
      <c r="X7" s="50">
        <v>14</v>
      </c>
    </row>
    <row r="8" spans="1:27" ht="14.25" customHeight="1" x14ac:dyDescent="0.75">
      <c r="A8" s="50">
        <v>666506</v>
      </c>
      <c r="B8" s="50" t="s">
        <v>10</v>
      </c>
      <c r="C8" s="50" t="s">
        <v>11</v>
      </c>
      <c r="E8" s="67"/>
      <c r="F8" s="50">
        <f t="shared" si="0"/>
        <v>0</v>
      </c>
      <c r="G8" s="60">
        <v>200</v>
      </c>
      <c r="H8" s="50">
        <f t="shared" si="1"/>
        <v>47</v>
      </c>
      <c r="I8" s="78"/>
      <c r="J8" s="50">
        <f t="shared" si="2"/>
        <v>0</v>
      </c>
      <c r="K8" s="50">
        <f t="shared" si="3"/>
        <v>200</v>
      </c>
      <c r="L8" s="50">
        <f t="shared" si="4"/>
        <v>47</v>
      </c>
      <c r="Q8" s="50">
        <v>7</v>
      </c>
      <c r="T8" s="50">
        <v>4</v>
      </c>
      <c r="W8" s="50">
        <v>4</v>
      </c>
      <c r="Z8" s="50">
        <v>32</v>
      </c>
    </row>
    <row r="9" spans="1:27" ht="14.25" customHeight="1" x14ac:dyDescent="0.75">
      <c r="A9" s="50">
        <v>666507</v>
      </c>
      <c r="B9" s="50" t="s">
        <v>12</v>
      </c>
      <c r="C9" s="50" t="s">
        <v>13</v>
      </c>
      <c r="E9" s="67">
        <v>42</v>
      </c>
      <c r="F9" s="50">
        <f t="shared" si="0"/>
        <v>16</v>
      </c>
      <c r="G9" s="60"/>
      <c r="H9" s="50">
        <f t="shared" si="1"/>
        <v>0</v>
      </c>
      <c r="I9" s="78"/>
      <c r="J9" s="50">
        <f t="shared" si="2"/>
        <v>0</v>
      </c>
      <c r="K9" s="50">
        <f t="shared" si="3"/>
        <v>42</v>
      </c>
      <c r="L9" s="50">
        <f t="shared" si="4"/>
        <v>16</v>
      </c>
      <c r="M9" s="50">
        <v>6</v>
      </c>
      <c r="V9" s="50">
        <v>6</v>
      </c>
      <c r="Y9" s="50">
        <v>4</v>
      </c>
    </row>
    <row r="10" spans="1:27" ht="14.25" customHeight="1" x14ac:dyDescent="0.75">
      <c r="A10" s="50">
        <v>666509</v>
      </c>
      <c r="B10" s="50" t="s">
        <v>14</v>
      </c>
      <c r="C10" s="50" t="s">
        <v>15</v>
      </c>
      <c r="E10" s="67">
        <v>104</v>
      </c>
      <c r="F10" s="50">
        <f t="shared" si="0"/>
        <v>95</v>
      </c>
      <c r="G10" s="60"/>
      <c r="H10" s="50">
        <f t="shared" si="1"/>
        <v>0</v>
      </c>
      <c r="I10" s="78"/>
      <c r="J10" s="50">
        <f t="shared" si="2"/>
        <v>0</v>
      </c>
      <c r="K10" s="50">
        <f t="shared" si="3"/>
        <v>104</v>
      </c>
      <c r="L10" s="50">
        <f t="shared" si="4"/>
        <v>95</v>
      </c>
      <c r="M10" s="50">
        <v>30</v>
      </c>
      <c r="S10" s="50">
        <v>28</v>
      </c>
      <c r="V10" s="50">
        <v>29</v>
      </c>
      <c r="Y10" s="50">
        <v>8</v>
      </c>
    </row>
    <row r="11" spans="1:27" ht="14.25" customHeight="1" x14ac:dyDescent="0.75">
      <c r="A11" s="50">
        <v>666510</v>
      </c>
      <c r="B11" s="50" t="s">
        <v>16</v>
      </c>
      <c r="C11" s="50" t="s">
        <v>17</v>
      </c>
      <c r="E11" s="67"/>
      <c r="F11" s="50">
        <f t="shared" si="0"/>
        <v>0</v>
      </c>
      <c r="G11" s="60"/>
      <c r="H11" s="50">
        <f t="shared" si="1"/>
        <v>0</v>
      </c>
      <c r="I11" s="78"/>
      <c r="J11" s="50">
        <f t="shared" si="2"/>
        <v>0</v>
      </c>
      <c r="K11" s="50">
        <f t="shared" si="3"/>
        <v>0</v>
      </c>
      <c r="L11" s="50">
        <f t="shared" si="4"/>
        <v>0</v>
      </c>
    </row>
    <row r="12" spans="1:27" ht="14.25" customHeight="1" x14ac:dyDescent="0.75">
      <c r="A12" s="50">
        <v>666511</v>
      </c>
      <c r="B12" s="50" t="s">
        <v>18</v>
      </c>
      <c r="C12" s="50" t="s">
        <v>19</v>
      </c>
      <c r="E12" s="67">
        <v>8</v>
      </c>
      <c r="F12" s="50">
        <f t="shared" si="0"/>
        <v>4</v>
      </c>
      <c r="G12" s="60"/>
      <c r="H12" s="50">
        <f t="shared" si="1"/>
        <v>0</v>
      </c>
      <c r="I12" s="78"/>
      <c r="J12" s="50">
        <f t="shared" si="2"/>
        <v>0</v>
      </c>
      <c r="K12" s="50">
        <f t="shared" si="3"/>
        <v>8</v>
      </c>
      <c r="L12" s="50">
        <f t="shared" si="4"/>
        <v>4</v>
      </c>
      <c r="M12" s="50">
        <v>1</v>
      </c>
      <c r="S12" s="50">
        <v>3</v>
      </c>
    </row>
    <row r="13" spans="1:27" ht="14.25" customHeight="1" x14ac:dyDescent="0.75">
      <c r="A13" s="50">
        <v>666513</v>
      </c>
      <c r="B13" s="50" t="s">
        <v>20</v>
      </c>
      <c r="C13" s="50" t="s">
        <v>21</v>
      </c>
      <c r="E13" s="67"/>
      <c r="F13" s="50">
        <f t="shared" si="0"/>
        <v>0</v>
      </c>
      <c r="G13" s="60"/>
      <c r="H13" s="50">
        <f t="shared" si="1"/>
        <v>0</v>
      </c>
      <c r="I13" s="78"/>
      <c r="J13" s="50">
        <f t="shared" si="2"/>
        <v>0</v>
      </c>
      <c r="K13" s="50">
        <f t="shared" si="3"/>
        <v>0</v>
      </c>
      <c r="L13" s="50">
        <f t="shared" si="4"/>
        <v>0</v>
      </c>
    </row>
    <row r="14" spans="1:27" ht="14.25" customHeight="1" x14ac:dyDescent="0.75">
      <c r="A14" s="50">
        <v>666516</v>
      </c>
      <c r="B14" s="50" t="s">
        <v>22</v>
      </c>
      <c r="C14" s="50" t="s">
        <v>23</v>
      </c>
      <c r="E14" s="67">
        <v>34</v>
      </c>
      <c r="F14" s="70">
        <f t="shared" si="0"/>
        <v>34</v>
      </c>
      <c r="G14" s="60"/>
      <c r="H14" s="50">
        <f t="shared" si="1"/>
        <v>0</v>
      </c>
      <c r="I14" s="78">
        <v>34</v>
      </c>
      <c r="J14" s="50">
        <f t="shared" si="2"/>
        <v>34</v>
      </c>
      <c r="K14" s="50">
        <f t="shared" si="3"/>
        <v>68</v>
      </c>
      <c r="L14" s="50">
        <f t="shared" si="4"/>
        <v>68</v>
      </c>
      <c r="M14" s="50">
        <v>34</v>
      </c>
      <c r="O14" s="50">
        <v>21</v>
      </c>
      <c r="X14" s="50">
        <v>13</v>
      </c>
    </row>
    <row r="15" spans="1:27" ht="14.25" customHeight="1" x14ac:dyDescent="0.75">
      <c r="A15" s="50">
        <v>666517</v>
      </c>
      <c r="B15" s="50" t="s">
        <v>24</v>
      </c>
      <c r="C15" s="50" t="s">
        <v>25</v>
      </c>
      <c r="E15" s="67">
        <v>46</v>
      </c>
      <c r="F15" s="70">
        <f t="shared" si="0"/>
        <v>46</v>
      </c>
      <c r="G15" s="60"/>
      <c r="H15" s="50">
        <f t="shared" si="1"/>
        <v>0</v>
      </c>
      <c r="I15" s="78">
        <v>20</v>
      </c>
      <c r="J15" s="70">
        <f t="shared" si="2"/>
        <v>20</v>
      </c>
      <c r="K15" s="50">
        <f t="shared" si="3"/>
        <v>66</v>
      </c>
      <c r="L15" s="50">
        <f t="shared" si="4"/>
        <v>66</v>
      </c>
      <c r="M15" s="50">
        <v>29</v>
      </c>
      <c r="O15" s="50">
        <v>20</v>
      </c>
      <c r="S15" s="50">
        <v>17</v>
      </c>
    </row>
    <row r="16" spans="1:27" ht="14.25" customHeight="1" x14ac:dyDescent="0.75">
      <c r="A16" s="50">
        <v>666518</v>
      </c>
      <c r="B16" s="50" t="s">
        <v>26</v>
      </c>
      <c r="C16" s="50" t="s">
        <v>27</v>
      </c>
      <c r="E16" s="67"/>
      <c r="F16" s="50">
        <f t="shared" si="0"/>
        <v>0</v>
      </c>
      <c r="G16" s="60"/>
      <c r="H16" s="50">
        <f t="shared" si="1"/>
        <v>0</v>
      </c>
      <c r="I16" s="78"/>
      <c r="J16" s="50">
        <f t="shared" si="2"/>
        <v>0</v>
      </c>
      <c r="K16" s="50">
        <f t="shared" si="3"/>
        <v>0</v>
      </c>
      <c r="L16" s="50">
        <f t="shared" si="4"/>
        <v>0</v>
      </c>
    </row>
    <row r="17" spans="1:26" ht="14.25" customHeight="1" x14ac:dyDescent="0.75">
      <c r="A17" s="50">
        <v>666519</v>
      </c>
      <c r="B17" s="50" t="s">
        <v>28</v>
      </c>
      <c r="C17" s="50" t="s">
        <v>29</v>
      </c>
      <c r="E17" s="67">
        <v>33</v>
      </c>
      <c r="F17" s="70">
        <f t="shared" si="0"/>
        <v>33</v>
      </c>
      <c r="G17" s="60"/>
      <c r="H17" s="50">
        <f t="shared" si="1"/>
        <v>0</v>
      </c>
      <c r="I17" s="78">
        <v>33</v>
      </c>
      <c r="J17" s="50">
        <f t="shared" si="2"/>
        <v>33</v>
      </c>
      <c r="K17" s="50">
        <f t="shared" si="3"/>
        <v>66</v>
      </c>
      <c r="L17" s="50">
        <f t="shared" si="4"/>
        <v>66</v>
      </c>
      <c r="M17" s="50">
        <v>33</v>
      </c>
      <c r="O17" s="50">
        <v>31</v>
      </c>
      <c r="X17" s="50">
        <v>2</v>
      </c>
    </row>
    <row r="18" spans="1:26" ht="14.25" customHeight="1" x14ac:dyDescent="0.75">
      <c r="A18" s="50">
        <v>666521</v>
      </c>
      <c r="B18" s="50" t="s">
        <v>30</v>
      </c>
      <c r="C18" s="50" t="s">
        <v>31</v>
      </c>
      <c r="E18" s="67">
        <v>56</v>
      </c>
      <c r="F18" s="50">
        <f t="shared" si="0"/>
        <v>9</v>
      </c>
      <c r="G18" s="60"/>
      <c r="H18" s="50">
        <f t="shared" si="1"/>
        <v>0</v>
      </c>
      <c r="I18" s="78"/>
      <c r="J18" s="50">
        <f t="shared" si="2"/>
        <v>0</v>
      </c>
      <c r="K18" s="50">
        <f t="shared" si="3"/>
        <v>56</v>
      </c>
      <c r="L18" s="50">
        <f t="shared" si="4"/>
        <v>9</v>
      </c>
      <c r="V18" s="50">
        <v>4</v>
      </c>
      <c r="Y18" s="50">
        <v>5</v>
      </c>
    </row>
    <row r="19" spans="1:26" ht="14.25" customHeight="1" x14ac:dyDescent="0.75">
      <c r="A19" s="50">
        <v>666522</v>
      </c>
      <c r="B19" s="50" t="s">
        <v>32</v>
      </c>
      <c r="C19" s="50" t="s">
        <v>33</v>
      </c>
      <c r="E19" s="67">
        <v>65</v>
      </c>
      <c r="F19" s="70">
        <f t="shared" si="0"/>
        <v>65</v>
      </c>
      <c r="G19" s="60">
        <v>95</v>
      </c>
      <c r="H19" s="70">
        <f t="shared" si="1"/>
        <v>95</v>
      </c>
      <c r="I19" s="78">
        <v>40</v>
      </c>
      <c r="J19" s="70">
        <f t="shared" si="2"/>
        <v>40</v>
      </c>
      <c r="K19" s="50">
        <f t="shared" si="3"/>
        <v>200</v>
      </c>
      <c r="L19" s="50">
        <f t="shared" si="4"/>
        <v>200</v>
      </c>
      <c r="M19" s="50">
        <v>65</v>
      </c>
      <c r="O19" s="50">
        <v>40</v>
      </c>
      <c r="Q19" s="50">
        <v>95</v>
      </c>
    </row>
    <row r="20" spans="1:26" ht="14.25" customHeight="1" x14ac:dyDescent="0.75">
      <c r="A20" s="50">
        <v>666523</v>
      </c>
      <c r="B20" s="50" t="s">
        <v>34</v>
      </c>
      <c r="C20" s="50" t="s">
        <v>35</v>
      </c>
      <c r="E20" s="67"/>
      <c r="F20" s="50">
        <f t="shared" si="0"/>
        <v>0</v>
      </c>
      <c r="G20" s="60">
        <v>40</v>
      </c>
      <c r="H20" s="70">
        <f t="shared" si="1"/>
        <v>40</v>
      </c>
      <c r="I20" s="78">
        <v>10</v>
      </c>
      <c r="J20" s="70">
        <f t="shared" si="2"/>
        <v>10</v>
      </c>
      <c r="K20" s="50">
        <f t="shared" si="3"/>
        <v>50</v>
      </c>
      <c r="L20" s="50">
        <f t="shared" si="4"/>
        <v>50</v>
      </c>
      <c r="O20" s="50">
        <v>10</v>
      </c>
      <c r="Q20" s="50">
        <v>40</v>
      </c>
    </row>
    <row r="21" spans="1:26" ht="14.25" customHeight="1" x14ac:dyDescent="0.75">
      <c r="A21" s="50">
        <v>666530</v>
      </c>
      <c r="B21" s="50" t="s">
        <v>36</v>
      </c>
      <c r="C21" s="50" t="s">
        <v>37</v>
      </c>
      <c r="E21" s="67">
        <v>5</v>
      </c>
      <c r="F21" s="70">
        <f t="shared" si="0"/>
        <v>5</v>
      </c>
      <c r="G21" s="60"/>
      <c r="H21" s="50">
        <f t="shared" si="1"/>
        <v>0</v>
      </c>
      <c r="I21" s="78">
        <v>15</v>
      </c>
      <c r="J21" s="50">
        <f t="shared" si="2"/>
        <v>15</v>
      </c>
      <c r="K21" s="50">
        <f t="shared" si="3"/>
        <v>20</v>
      </c>
      <c r="L21" s="50">
        <f t="shared" si="4"/>
        <v>20</v>
      </c>
      <c r="M21" s="50">
        <v>5</v>
      </c>
      <c r="O21" s="50">
        <v>12</v>
      </c>
      <c r="X21" s="50">
        <v>3</v>
      </c>
    </row>
    <row r="22" spans="1:26" ht="14.25" customHeight="1" x14ac:dyDescent="0.75">
      <c r="A22" s="50">
        <v>666531</v>
      </c>
      <c r="B22" s="50" t="s">
        <v>38</v>
      </c>
      <c r="C22" s="50" t="s">
        <v>39</v>
      </c>
      <c r="E22" s="67">
        <v>18</v>
      </c>
      <c r="F22" s="70">
        <f t="shared" si="0"/>
        <v>18</v>
      </c>
      <c r="G22" s="60"/>
      <c r="H22" s="50">
        <f t="shared" si="1"/>
        <v>0</v>
      </c>
      <c r="I22" s="78">
        <v>8</v>
      </c>
      <c r="J22" s="70">
        <f t="shared" si="2"/>
        <v>8</v>
      </c>
      <c r="K22" s="50">
        <f t="shared" si="3"/>
        <v>26</v>
      </c>
      <c r="L22" s="50">
        <f t="shared" si="4"/>
        <v>26</v>
      </c>
      <c r="M22" s="50">
        <v>18</v>
      </c>
      <c r="O22" s="50">
        <v>8</v>
      </c>
    </row>
    <row r="23" spans="1:26" ht="14.25" customHeight="1" x14ac:dyDescent="0.75">
      <c r="A23" s="50">
        <v>666540</v>
      </c>
      <c r="B23" s="50" t="s">
        <v>40</v>
      </c>
      <c r="C23" s="50" t="s">
        <v>40</v>
      </c>
      <c r="E23" s="67"/>
      <c r="F23" s="50">
        <f t="shared" si="0"/>
        <v>0</v>
      </c>
      <c r="G23" s="60">
        <v>0</v>
      </c>
      <c r="H23" s="50">
        <f t="shared" si="1"/>
        <v>0</v>
      </c>
      <c r="I23" s="78"/>
      <c r="J23" s="50">
        <f t="shared" si="2"/>
        <v>0</v>
      </c>
      <c r="K23" s="50">
        <f t="shared" si="3"/>
        <v>0</v>
      </c>
      <c r="L23" s="50">
        <f t="shared" si="4"/>
        <v>0</v>
      </c>
    </row>
    <row r="24" spans="1:26" ht="14.25" customHeight="1" x14ac:dyDescent="0.75">
      <c r="A24" s="50">
        <v>666541</v>
      </c>
      <c r="B24" s="50" t="s">
        <v>41</v>
      </c>
      <c r="C24" s="50" t="s">
        <v>41</v>
      </c>
      <c r="E24" s="67"/>
      <c r="F24" s="50">
        <f t="shared" si="0"/>
        <v>0</v>
      </c>
      <c r="G24" s="60">
        <v>480</v>
      </c>
      <c r="H24" s="50">
        <f t="shared" si="1"/>
        <v>240</v>
      </c>
      <c r="I24" s="78"/>
      <c r="J24" s="50">
        <f t="shared" si="2"/>
        <v>0</v>
      </c>
      <c r="K24" s="50">
        <f t="shared" si="3"/>
        <v>480</v>
      </c>
      <c r="L24" s="50">
        <f t="shared" si="4"/>
        <v>240</v>
      </c>
      <c r="N24" s="50">
        <v>21</v>
      </c>
      <c r="Q24" s="50">
        <v>67</v>
      </c>
      <c r="T24" s="50">
        <v>40</v>
      </c>
      <c r="W24" s="50">
        <v>93</v>
      </c>
      <c r="Z24" s="50">
        <v>19</v>
      </c>
    </row>
    <row r="25" spans="1:26" ht="14.25" customHeight="1" x14ac:dyDescent="0.75">
      <c r="A25" s="50">
        <v>666536</v>
      </c>
      <c r="B25" s="50" t="s">
        <v>42</v>
      </c>
      <c r="C25" s="50" t="s">
        <v>43</v>
      </c>
      <c r="E25" s="67">
        <v>10</v>
      </c>
      <c r="F25" s="50">
        <f t="shared" si="0"/>
        <v>8</v>
      </c>
      <c r="G25" s="60"/>
      <c r="H25" s="50">
        <f t="shared" si="1"/>
        <v>0</v>
      </c>
      <c r="I25" s="78"/>
      <c r="J25" s="50">
        <f t="shared" si="2"/>
        <v>0</v>
      </c>
      <c r="K25" s="50">
        <f t="shared" si="3"/>
        <v>10</v>
      </c>
      <c r="L25" s="50">
        <f t="shared" si="4"/>
        <v>8</v>
      </c>
      <c r="M25" s="50">
        <v>2</v>
      </c>
      <c r="Y25" s="50">
        <v>6</v>
      </c>
    </row>
    <row r="26" spans="1:26" ht="14.25" customHeight="1" x14ac:dyDescent="0.75">
      <c r="C26" s="71"/>
      <c r="D26" s="71"/>
      <c r="E26" s="71"/>
      <c r="F26" s="71"/>
      <c r="G26" s="71"/>
      <c r="H26" s="71"/>
      <c r="I26" s="71"/>
      <c r="J26" s="71"/>
      <c r="L26" s="71"/>
    </row>
    <row r="27" spans="1:26" ht="14.25" customHeight="1" x14ac:dyDescent="0.75">
      <c r="C27" s="71"/>
      <c r="D27" s="71"/>
      <c r="E27" s="71"/>
      <c r="F27" s="71"/>
      <c r="G27" s="71"/>
      <c r="H27" s="71"/>
      <c r="I27" s="71"/>
      <c r="J27" s="71"/>
      <c r="L27" s="71"/>
    </row>
    <row r="28" spans="1:26" ht="14.25" customHeight="1" x14ac:dyDescent="0.75">
      <c r="C28" s="71"/>
      <c r="D28" s="71"/>
      <c r="E28" s="163"/>
      <c r="F28" s="71"/>
      <c r="G28" s="71"/>
      <c r="H28" s="71"/>
      <c r="I28" s="71"/>
      <c r="J28" s="71"/>
      <c r="L28" s="71"/>
    </row>
    <row r="29" spans="1:26" ht="14.25" customHeight="1" x14ac:dyDescent="0.75">
      <c r="C29" s="71"/>
      <c r="D29" s="71"/>
      <c r="E29" s="71"/>
      <c r="F29" s="71"/>
      <c r="G29" s="71"/>
      <c r="H29" s="71"/>
      <c r="I29" s="71"/>
      <c r="J29" s="71"/>
      <c r="L29" s="71"/>
    </row>
    <row r="30" spans="1:26" ht="14.25" customHeight="1" x14ac:dyDescent="0.75">
      <c r="C30" s="71"/>
      <c r="D30" s="71"/>
      <c r="E30" s="71"/>
      <c r="F30" s="71"/>
      <c r="G30" s="71"/>
      <c r="H30" s="71"/>
      <c r="I30" s="71"/>
      <c r="J30" s="71"/>
      <c r="L30" s="71"/>
    </row>
    <row r="31" spans="1:26" ht="14.25" customHeight="1" x14ac:dyDescent="0.75">
      <c r="C31" s="71"/>
      <c r="D31" s="71"/>
      <c r="E31" s="71"/>
      <c r="F31" s="71"/>
      <c r="G31" s="71"/>
      <c r="H31" s="71"/>
      <c r="I31" s="71"/>
      <c r="J31" s="71"/>
      <c r="L31" s="71"/>
    </row>
    <row r="32" spans="1:26" ht="14.25" customHeight="1" x14ac:dyDescent="0.75">
      <c r="C32" s="72"/>
      <c r="D32" s="71"/>
      <c r="E32" s="71"/>
      <c r="F32" s="71"/>
      <c r="G32" s="71"/>
      <c r="H32" s="71"/>
      <c r="I32" s="71"/>
      <c r="J32" s="71">
        <f>219-162</f>
        <v>57</v>
      </c>
      <c r="L32" s="71"/>
    </row>
    <row r="33" spans="3:20" ht="14.25" customHeight="1" x14ac:dyDescent="0.75">
      <c r="C33" s="71"/>
      <c r="D33" s="71"/>
      <c r="E33" s="71"/>
      <c r="F33" s="71"/>
      <c r="G33" s="71"/>
      <c r="H33" s="71"/>
      <c r="I33" s="71"/>
      <c r="J33" s="71"/>
      <c r="L33" s="71"/>
      <c r="T33" s="50">
        <f>95-58</f>
        <v>37</v>
      </c>
    </row>
    <row r="34" spans="3:20" ht="14.25" customHeight="1" x14ac:dyDescent="0.75">
      <c r="C34" s="71"/>
      <c r="D34" s="71"/>
      <c r="E34" s="71"/>
      <c r="F34" s="71"/>
      <c r="G34" s="71"/>
      <c r="H34" s="71"/>
      <c r="I34" s="71"/>
      <c r="J34" s="71"/>
      <c r="L34" s="71">
        <f>219-183</f>
        <v>36</v>
      </c>
    </row>
    <row r="35" spans="3:20" ht="14.25" customHeight="1" x14ac:dyDescent="0.75">
      <c r="C35" s="71"/>
      <c r="D35" s="71"/>
      <c r="E35" s="71"/>
      <c r="F35" s="71"/>
      <c r="G35" s="71"/>
      <c r="H35" s="71"/>
      <c r="I35" s="71"/>
      <c r="J35" s="71"/>
      <c r="L35" s="71"/>
    </row>
    <row r="36" spans="3:20" ht="14.25" customHeight="1" x14ac:dyDescent="0.75">
      <c r="C36" s="71"/>
      <c r="D36" s="71"/>
      <c r="E36" s="71"/>
      <c r="F36" s="71"/>
      <c r="G36" s="71"/>
      <c r="H36" s="71"/>
      <c r="I36" s="71"/>
      <c r="J36" s="71"/>
      <c r="L36" s="71"/>
    </row>
    <row r="37" spans="3:20" ht="14.25" customHeight="1" x14ac:dyDescent="0.75">
      <c r="C37" s="71"/>
      <c r="D37" s="71"/>
      <c r="E37" s="71"/>
      <c r="F37" s="71"/>
      <c r="G37" s="71"/>
      <c r="H37" s="71"/>
      <c r="I37" s="71"/>
      <c r="J37" s="71"/>
      <c r="L37" s="71"/>
    </row>
    <row r="38" spans="3:20" ht="14.25" customHeight="1" x14ac:dyDescent="0.75">
      <c r="C38" s="71"/>
      <c r="D38" s="71"/>
      <c r="E38" s="71"/>
      <c r="F38" s="71"/>
      <c r="G38" s="71"/>
      <c r="H38" s="71"/>
      <c r="I38" s="71"/>
      <c r="J38" s="71"/>
      <c r="L38" s="71"/>
    </row>
    <row r="39" spans="3:20" ht="14.25" customHeight="1" x14ac:dyDescent="0.75">
      <c r="C39" s="71"/>
      <c r="D39" s="71"/>
      <c r="E39" s="71"/>
      <c r="F39" s="71"/>
      <c r="G39" s="71"/>
      <c r="H39" s="71"/>
      <c r="I39" s="71"/>
      <c r="J39" s="71"/>
      <c r="L39" s="71"/>
    </row>
    <row r="40" spans="3:20" ht="14.25" customHeight="1" x14ac:dyDescent="0.75">
      <c r="C40" s="71"/>
      <c r="D40" s="71"/>
      <c r="E40" s="71"/>
      <c r="F40" s="71"/>
      <c r="G40" s="71"/>
      <c r="H40" s="71"/>
      <c r="I40" s="71"/>
      <c r="J40" s="71"/>
      <c r="L40" s="71"/>
    </row>
    <row r="41" spans="3:20" ht="14.25" customHeight="1" x14ac:dyDescent="0.75">
      <c r="C41" s="71"/>
      <c r="D41" s="71"/>
      <c r="E41" s="71"/>
      <c r="F41" s="71"/>
      <c r="G41" s="71"/>
      <c r="H41" s="71"/>
      <c r="I41" s="71"/>
      <c r="J41" s="71"/>
      <c r="L41" s="71"/>
    </row>
    <row r="42" spans="3:20" ht="14.25" customHeight="1" x14ac:dyDescent="0.75">
      <c r="C42" s="71"/>
      <c r="D42" s="71"/>
      <c r="E42" s="71"/>
      <c r="F42" s="71"/>
      <c r="G42" s="71"/>
      <c r="H42" s="71"/>
      <c r="I42" s="71"/>
      <c r="J42" s="71"/>
      <c r="L42" s="71"/>
    </row>
    <row r="48" spans="3:20" ht="14.25" customHeight="1" x14ac:dyDescent="0.75">
      <c r="C48" s="50" t="s">
        <v>153</v>
      </c>
      <c r="J48" s="50" t="s">
        <v>153</v>
      </c>
      <c r="K48" s="50" t="s">
        <v>154</v>
      </c>
      <c r="L48" s="73" t="s">
        <v>155</v>
      </c>
      <c r="M48" s="50" t="s">
        <v>156</v>
      </c>
      <c r="N48" s="74" t="s">
        <v>157</v>
      </c>
    </row>
    <row r="49" spans="3:14" ht="14.25" customHeight="1" x14ac:dyDescent="0.75">
      <c r="C49" s="50" t="str">
        <f>+N2</f>
        <v>Jesus</v>
      </c>
      <c r="D49" s="75"/>
      <c r="E49" s="75"/>
      <c r="J49" s="50" t="s">
        <v>65</v>
      </c>
      <c r="K49" s="50">
        <f>SUM(E5:E22)</f>
        <v>476</v>
      </c>
      <c r="L49" s="50">
        <f>SUM(F5:F22)</f>
        <v>390</v>
      </c>
      <c r="M49" s="50">
        <f>+L49-K49</f>
        <v>-86</v>
      </c>
      <c r="N49" s="76">
        <f>+L49/K49</f>
        <v>0.81932773109243695</v>
      </c>
    </row>
    <row r="50" spans="3:14" ht="14.25" customHeight="1" x14ac:dyDescent="0.75">
      <c r="C50" s="50" t="str">
        <f>+M2</f>
        <v>Jordan</v>
      </c>
      <c r="D50" s="75"/>
      <c r="E50" s="75"/>
      <c r="J50" s="50" t="s">
        <v>55</v>
      </c>
      <c r="K50" s="50">
        <f>SUM(G5:G22)</f>
        <v>1065</v>
      </c>
      <c r="L50" s="50">
        <f>SUM(H5:H22)</f>
        <v>562</v>
      </c>
      <c r="M50" s="50">
        <f>+L50-K50</f>
        <v>-503</v>
      </c>
      <c r="N50" s="76">
        <f>+L50/K50</f>
        <v>0.52769953051643192</v>
      </c>
    </row>
    <row r="51" spans="3:14" ht="14.25" customHeight="1" x14ac:dyDescent="0.75">
      <c r="J51" s="50" t="s">
        <v>158</v>
      </c>
      <c r="K51" s="50">
        <f>SUM(I5:I22)</f>
        <v>299</v>
      </c>
      <c r="L51" s="50">
        <f>SUM(J5:J22)</f>
        <v>259</v>
      </c>
      <c r="M51" s="50">
        <f>+L51-K51</f>
        <v>-40</v>
      </c>
      <c r="N51" s="76">
        <f>+L51/K51</f>
        <v>0.86622073578595316</v>
      </c>
    </row>
  </sheetData>
  <conditionalFormatting sqref="F4 H4:H25 J4:J25 F5:G5 I5:I24 G6:G24 F6:F25">
    <cfRule type="expression" dxfId="226" priority="6">
      <formula>#REF!=F4</formula>
    </cfRule>
    <cfRule type="expression" dxfId="225" priority="7">
      <formula>#REF!&lt;F4</formula>
    </cfRule>
    <cfRule type="expression" dxfId="224" priority="8">
      <formula>#REF!&gt;F4</formula>
    </cfRule>
  </conditionalFormatting>
  <conditionalFormatting sqref="K5:K25">
    <cfRule type="cellIs" dxfId="223" priority="2" operator="equal">
      <formula>0</formula>
    </cfRule>
  </conditionalFormatting>
  <conditionalFormatting sqref="L5:L25">
    <cfRule type="expression" dxfId="222" priority="3">
      <formula>K5=L5</formula>
    </cfRule>
    <cfRule type="expression" dxfId="221" priority="4">
      <formula>K5&lt;L5</formula>
    </cfRule>
    <cfRule type="expression" dxfId="220" priority="5">
      <formula>K5&gt;L5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B26"/>
  <sheetViews>
    <sheetView zoomScaleNormal="100" workbookViewId="0">
      <selection activeCell="Z34" sqref="Z34"/>
    </sheetView>
  </sheetViews>
  <sheetFormatPr defaultColWidth="8.54296875" defaultRowHeight="14.75" x14ac:dyDescent="0.75"/>
  <cols>
    <col min="2" max="2" width="43.31640625" customWidth="1"/>
    <col min="3" max="3" width="21" customWidth="1"/>
  </cols>
  <sheetData>
    <row r="1" spans="1:28" ht="28.5" customHeight="1" x14ac:dyDescent="0.75">
      <c r="A1" s="51"/>
      <c r="B1" s="51"/>
      <c r="C1" s="51" t="s">
        <v>176</v>
      </c>
      <c r="D1" s="51" t="s">
        <v>144</v>
      </c>
      <c r="E1" s="52" t="s">
        <v>116</v>
      </c>
      <c r="F1" s="53" t="s">
        <v>145</v>
      </c>
      <c r="G1" s="54" t="s">
        <v>119</v>
      </c>
      <c r="H1" s="53" t="s">
        <v>146</v>
      </c>
      <c r="I1" s="55" t="s">
        <v>122</v>
      </c>
      <c r="J1" s="56" t="s">
        <v>147</v>
      </c>
      <c r="K1" s="51" t="s">
        <v>148</v>
      </c>
      <c r="L1" s="53" t="s">
        <v>149</v>
      </c>
      <c r="M1" s="51" t="s">
        <v>56</v>
      </c>
      <c r="N1" s="51" t="s">
        <v>58</v>
      </c>
      <c r="O1" s="51" t="s">
        <v>66</v>
      </c>
      <c r="P1" s="51" t="s">
        <v>56</v>
      </c>
      <c r="Q1" s="51" t="s">
        <v>58</v>
      </c>
      <c r="R1" s="51" t="s">
        <v>66</v>
      </c>
      <c r="S1" s="51" t="s">
        <v>56</v>
      </c>
      <c r="T1" s="51" t="s">
        <v>58</v>
      </c>
      <c r="U1" s="51" t="s">
        <v>66</v>
      </c>
      <c r="V1" s="51" t="s">
        <v>56</v>
      </c>
      <c r="W1" s="51" t="s">
        <v>58</v>
      </c>
      <c r="X1" s="51" t="s">
        <v>66</v>
      </c>
      <c r="Y1" s="51" t="s">
        <v>56</v>
      </c>
      <c r="Z1" s="51" t="s">
        <v>58</v>
      </c>
      <c r="AA1" s="51" t="s">
        <v>66</v>
      </c>
      <c r="AB1" s="51"/>
    </row>
    <row r="2" spans="1:28" ht="14.25" customHeight="1" x14ac:dyDescent="0.75">
      <c r="A2" s="50"/>
      <c r="B2" s="50"/>
      <c r="C2" s="57" t="s">
        <v>150</v>
      </c>
      <c r="D2" s="57"/>
      <c r="E2" s="57"/>
      <c r="F2" s="57"/>
      <c r="G2" s="57"/>
      <c r="H2" s="59"/>
      <c r="I2" s="59"/>
      <c r="J2" s="59"/>
      <c r="K2" s="59"/>
      <c r="L2" s="59"/>
      <c r="M2" s="59" t="s">
        <v>65</v>
      </c>
      <c r="N2" s="59" t="s">
        <v>57</v>
      </c>
      <c r="O2" s="59" t="s">
        <v>55</v>
      </c>
      <c r="P2" s="59" t="s">
        <v>65</v>
      </c>
      <c r="Q2" s="59" t="s">
        <v>57</v>
      </c>
      <c r="R2" s="59" t="s">
        <v>55</v>
      </c>
      <c r="S2" s="59" t="s">
        <v>65</v>
      </c>
      <c r="T2" s="59" t="s">
        <v>57</v>
      </c>
      <c r="U2" s="59" t="s">
        <v>55</v>
      </c>
      <c r="V2" s="59" t="s">
        <v>65</v>
      </c>
      <c r="W2" s="59" t="s">
        <v>57</v>
      </c>
      <c r="X2" s="59" t="s">
        <v>55</v>
      </c>
      <c r="Y2" s="59" t="s">
        <v>65</v>
      </c>
      <c r="Z2" s="59" t="s">
        <v>57</v>
      </c>
      <c r="AA2" s="59" t="s">
        <v>55</v>
      </c>
      <c r="AB2" s="50"/>
    </row>
    <row r="3" spans="1:28" ht="14.25" customHeight="1" x14ac:dyDescent="0.75">
      <c r="A3" s="62" t="s">
        <v>129</v>
      </c>
      <c r="B3" s="62" t="s">
        <v>2</v>
      </c>
      <c r="C3" s="62" t="s">
        <v>3</v>
      </c>
      <c r="D3" s="62"/>
      <c r="E3" s="58"/>
      <c r="F3" s="62"/>
      <c r="G3" s="63"/>
      <c r="H3" s="62"/>
      <c r="I3" s="64"/>
      <c r="J3" s="62"/>
      <c r="K3" s="62"/>
      <c r="L3" s="62"/>
      <c r="M3" s="62" t="s">
        <v>54</v>
      </c>
      <c r="N3" s="62" t="s">
        <v>54</v>
      </c>
      <c r="O3" s="62" t="s">
        <v>54</v>
      </c>
      <c r="P3" s="62" t="s">
        <v>59</v>
      </c>
      <c r="Q3" s="62" t="s">
        <v>59</v>
      </c>
      <c r="R3" s="62" t="s">
        <v>59</v>
      </c>
      <c r="S3" s="62" t="s">
        <v>60</v>
      </c>
      <c r="T3" s="62" t="s">
        <v>60</v>
      </c>
      <c r="U3" s="62" t="s">
        <v>60</v>
      </c>
      <c r="V3" s="62" t="s">
        <v>62</v>
      </c>
      <c r="W3" s="62" t="s">
        <v>62</v>
      </c>
      <c r="X3" s="62" t="s">
        <v>62</v>
      </c>
      <c r="Y3" s="62" t="s">
        <v>63</v>
      </c>
      <c r="Z3" s="62" t="s">
        <v>63</v>
      </c>
      <c r="AA3" s="62" t="s">
        <v>63</v>
      </c>
      <c r="AB3" s="50"/>
    </row>
    <row r="4" spans="1:28" ht="14.25" customHeight="1" x14ac:dyDescent="0.75">
      <c r="A4" s="62"/>
      <c r="B4" s="62"/>
      <c r="C4" s="62" t="s">
        <v>151</v>
      </c>
      <c r="D4" s="62"/>
      <c r="E4" s="58"/>
      <c r="F4" s="62">
        <f t="shared" ref="F4:F25" si="0">+M4+P4+S4+V4+Y4</f>
        <v>65</v>
      </c>
      <c r="G4" s="147"/>
      <c r="H4" s="62">
        <f t="shared" ref="H4:H25" si="1">+N4+Q4+T4+W4+Z4</f>
        <v>497</v>
      </c>
      <c r="I4" s="64"/>
      <c r="J4" s="62">
        <f t="shared" ref="J4:J25" si="2">+O4+R4+U4+X4+AA4</f>
        <v>50</v>
      </c>
      <c r="K4" s="62" t="s">
        <v>152</v>
      </c>
      <c r="L4" s="62"/>
      <c r="M4" s="62">
        <v>20</v>
      </c>
      <c r="N4" s="62">
        <v>141</v>
      </c>
      <c r="O4" s="62">
        <v>40</v>
      </c>
      <c r="P4" s="50"/>
      <c r="Q4" s="62">
        <v>135</v>
      </c>
      <c r="R4" s="62"/>
      <c r="S4" s="62">
        <v>25</v>
      </c>
      <c r="T4" s="62">
        <v>106</v>
      </c>
      <c r="U4" s="62"/>
      <c r="V4" s="62">
        <v>20</v>
      </c>
      <c r="W4" s="62">
        <v>115</v>
      </c>
      <c r="X4" s="62">
        <v>10</v>
      </c>
      <c r="Y4" s="62"/>
      <c r="Z4" s="62"/>
      <c r="AA4" s="62"/>
      <c r="AB4" s="50"/>
    </row>
    <row r="5" spans="1:28" ht="14.25" customHeight="1" x14ac:dyDescent="0.75">
      <c r="A5" s="50">
        <v>666501</v>
      </c>
      <c r="B5" s="50" t="s">
        <v>4</v>
      </c>
      <c r="C5" s="50" t="s">
        <v>5</v>
      </c>
      <c r="D5" s="50"/>
      <c r="E5" s="67">
        <v>0</v>
      </c>
      <c r="F5" s="50">
        <f t="shared" si="0"/>
        <v>0</v>
      </c>
      <c r="G5" s="149">
        <v>201</v>
      </c>
      <c r="H5" s="62">
        <f t="shared" si="1"/>
        <v>201</v>
      </c>
      <c r="I5" s="61">
        <v>0</v>
      </c>
      <c r="J5" s="62">
        <f t="shared" si="2"/>
        <v>0</v>
      </c>
      <c r="K5" s="50">
        <f t="shared" ref="K5:K24" si="3">+E5+G5+I5</f>
        <v>201</v>
      </c>
      <c r="L5" s="50">
        <f t="shared" ref="L5:L25" si="4">SUM(F5,H5,J5)</f>
        <v>201</v>
      </c>
      <c r="M5" s="50"/>
      <c r="N5" s="50">
        <v>81</v>
      </c>
      <c r="O5" s="50"/>
      <c r="P5" s="50"/>
      <c r="Q5" s="50">
        <v>120</v>
      </c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</row>
    <row r="6" spans="1:28" ht="14.25" customHeight="1" x14ac:dyDescent="0.75">
      <c r="A6" s="50">
        <v>666502</v>
      </c>
      <c r="B6" s="50" t="s">
        <v>6</v>
      </c>
      <c r="C6" s="50" t="s">
        <v>7</v>
      </c>
      <c r="D6" s="50"/>
      <c r="E6" s="67">
        <v>0</v>
      </c>
      <c r="F6" s="50">
        <f t="shared" si="0"/>
        <v>0</v>
      </c>
      <c r="G6" s="149">
        <v>149</v>
      </c>
      <c r="H6" s="62">
        <f t="shared" si="1"/>
        <v>149</v>
      </c>
      <c r="I6" s="61">
        <v>40</v>
      </c>
      <c r="J6" s="164">
        <f t="shared" si="2"/>
        <v>40</v>
      </c>
      <c r="K6" s="50">
        <f t="shared" si="3"/>
        <v>189</v>
      </c>
      <c r="L6" s="50">
        <f t="shared" si="4"/>
        <v>189</v>
      </c>
      <c r="M6" s="50"/>
      <c r="N6" s="50">
        <v>8</v>
      </c>
      <c r="O6" s="50">
        <v>37</v>
      </c>
      <c r="P6" s="50"/>
      <c r="Q6" s="50">
        <v>43</v>
      </c>
      <c r="R6" s="50"/>
      <c r="S6" s="50"/>
      <c r="T6" s="50">
        <v>47</v>
      </c>
      <c r="U6" s="50"/>
      <c r="V6" s="50"/>
      <c r="W6" s="50">
        <v>25</v>
      </c>
      <c r="X6" s="50">
        <v>3</v>
      </c>
      <c r="Y6" s="50"/>
      <c r="Z6" s="50">
        <v>26</v>
      </c>
      <c r="AA6" s="50"/>
      <c r="AB6" s="50"/>
    </row>
    <row r="7" spans="1:28" ht="14.25" customHeight="1" x14ac:dyDescent="0.75">
      <c r="A7" s="50">
        <v>666505</v>
      </c>
      <c r="B7" s="50" t="s">
        <v>8</v>
      </c>
      <c r="C7" s="50" t="s">
        <v>9</v>
      </c>
      <c r="D7" s="50"/>
      <c r="E7" s="67">
        <v>0</v>
      </c>
      <c r="F7" s="50">
        <f t="shared" si="0"/>
        <v>0</v>
      </c>
      <c r="G7" s="149">
        <v>0</v>
      </c>
      <c r="H7" s="62">
        <f t="shared" si="1"/>
        <v>0</v>
      </c>
      <c r="I7" s="61">
        <v>0</v>
      </c>
      <c r="J7" s="62">
        <f t="shared" si="2"/>
        <v>0</v>
      </c>
      <c r="K7" s="50">
        <f t="shared" si="3"/>
        <v>0</v>
      </c>
      <c r="L7" s="50">
        <f t="shared" si="4"/>
        <v>0</v>
      </c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</row>
    <row r="8" spans="1:28" ht="14.25" customHeight="1" x14ac:dyDescent="0.75">
      <c r="A8" s="50">
        <v>666506</v>
      </c>
      <c r="B8" s="50" t="s">
        <v>10</v>
      </c>
      <c r="C8" s="50" t="s">
        <v>11</v>
      </c>
      <c r="D8" s="50"/>
      <c r="E8" s="67">
        <v>0</v>
      </c>
      <c r="F8" s="50">
        <f t="shared" si="0"/>
        <v>0</v>
      </c>
      <c r="G8" s="149">
        <v>153</v>
      </c>
      <c r="H8" s="62">
        <f t="shared" si="1"/>
        <v>153</v>
      </c>
      <c r="I8" s="61">
        <v>0</v>
      </c>
      <c r="J8" s="62">
        <f t="shared" si="2"/>
        <v>0</v>
      </c>
      <c r="K8" s="50">
        <f t="shared" si="3"/>
        <v>153</v>
      </c>
      <c r="L8" s="50">
        <f t="shared" si="4"/>
        <v>153</v>
      </c>
      <c r="M8" s="50"/>
      <c r="N8" s="50">
        <v>66</v>
      </c>
      <c r="O8" s="50"/>
      <c r="P8" s="50"/>
      <c r="Q8" s="50">
        <v>73</v>
      </c>
      <c r="R8" s="50"/>
      <c r="S8" s="50"/>
      <c r="T8" s="50">
        <v>14</v>
      </c>
      <c r="U8" s="50"/>
      <c r="V8" s="50"/>
      <c r="W8" s="50"/>
      <c r="X8" s="50"/>
      <c r="Y8" s="50"/>
      <c r="Z8" s="50"/>
      <c r="AA8" s="50"/>
      <c r="AB8" s="50"/>
    </row>
    <row r="9" spans="1:28" ht="14.25" customHeight="1" x14ac:dyDescent="0.75">
      <c r="A9" s="50">
        <v>666507</v>
      </c>
      <c r="B9" s="50" t="s">
        <v>12</v>
      </c>
      <c r="C9" s="50" t="s">
        <v>13</v>
      </c>
      <c r="D9" s="50"/>
      <c r="E9" s="67">
        <v>26</v>
      </c>
      <c r="F9" s="50">
        <f t="shared" si="0"/>
        <v>27</v>
      </c>
      <c r="G9" s="149">
        <v>0</v>
      </c>
      <c r="H9" s="62">
        <f t="shared" si="1"/>
        <v>0</v>
      </c>
      <c r="I9" s="61">
        <v>0</v>
      </c>
      <c r="J9" s="62">
        <f t="shared" si="2"/>
        <v>0</v>
      </c>
      <c r="K9" s="50">
        <f t="shared" si="3"/>
        <v>26</v>
      </c>
      <c r="L9" s="50">
        <f t="shared" si="4"/>
        <v>27</v>
      </c>
      <c r="M9" s="50">
        <v>6</v>
      </c>
      <c r="N9" s="50"/>
      <c r="O9" s="50"/>
      <c r="P9" s="50"/>
      <c r="Q9" s="50"/>
      <c r="R9" s="50"/>
      <c r="S9" s="50"/>
      <c r="T9" s="50"/>
      <c r="U9" s="50"/>
      <c r="V9" s="50">
        <v>10</v>
      </c>
      <c r="W9" s="50"/>
      <c r="X9" s="50"/>
      <c r="Y9" s="50">
        <v>11</v>
      </c>
      <c r="Z9" s="50"/>
      <c r="AA9" s="50"/>
      <c r="AB9" s="50"/>
    </row>
    <row r="10" spans="1:28" ht="14.25" customHeight="1" x14ac:dyDescent="0.75">
      <c r="A10" s="50">
        <v>666509</v>
      </c>
      <c r="B10" s="50" t="s">
        <v>14</v>
      </c>
      <c r="C10" s="50" t="s">
        <v>15</v>
      </c>
      <c r="D10" s="50"/>
      <c r="E10" s="67">
        <v>9</v>
      </c>
      <c r="F10" s="50">
        <f t="shared" si="0"/>
        <v>9</v>
      </c>
      <c r="G10" s="149">
        <v>0</v>
      </c>
      <c r="H10" s="62">
        <f t="shared" si="1"/>
        <v>0</v>
      </c>
      <c r="I10" s="61">
        <v>0</v>
      </c>
      <c r="J10" s="62">
        <f t="shared" si="2"/>
        <v>0</v>
      </c>
      <c r="K10" s="50">
        <f t="shared" si="3"/>
        <v>9</v>
      </c>
      <c r="L10" s="50">
        <f t="shared" si="4"/>
        <v>9</v>
      </c>
      <c r="M10" s="50">
        <v>9</v>
      </c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</row>
    <row r="11" spans="1:28" ht="14.25" customHeight="1" x14ac:dyDescent="0.75">
      <c r="A11" s="50">
        <v>666510</v>
      </c>
      <c r="B11" s="50" t="s">
        <v>16</v>
      </c>
      <c r="C11" s="50" t="s">
        <v>17</v>
      </c>
      <c r="D11" s="50"/>
      <c r="E11" s="67">
        <v>0</v>
      </c>
      <c r="F11" s="50">
        <f t="shared" si="0"/>
        <v>0</v>
      </c>
      <c r="G11" s="149">
        <v>0</v>
      </c>
      <c r="H11" s="62">
        <f t="shared" si="1"/>
        <v>0</v>
      </c>
      <c r="I11" s="61">
        <v>0</v>
      </c>
      <c r="J11" s="62">
        <f t="shared" si="2"/>
        <v>0</v>
      </c>
      <c r="K11" s="50">
        <f t="shared" si="3"/>
        <v>0</v>
      </c>
      <c r="L11" s="50">
        <f t="shared" si="4"/>
        <v>0</v>
      </c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</row>
    <row r="12" spans="1:28" ht="14.25" customHeight="1" x14ac:dyDescent="0.75">
      <c r="A12" s="50">
        <v>666511</v>
      </c>
      <c r="B12" s="50" t="s">
        <v>18</v>
      </c>
      <c r="C12" s="50" t="s">
        <v>19</v>
      </c>
      <c r="D12" s="50"/>
      <c r="E12" s="67">
        <v>4</v>
      </c>
      <c r="F12" s="50">
        <f t="shared" si="0"/>
        <v>4</v>
      </c>
      <c r="G12" s="149">
        <v>0</v>
      </c>
      <c r="H12" s="62">
        <f t="shared" si="1"/>
        <v>0</v>
      </c>
      <c r="I12" s="61">
        <v>0</v>
      </c>
      <c r="J12" s="62">
        <f t="shared" si="2"/>
        <v>0</v>
      </c>
      <c r="K12" s="50">
        <f t="shared" si="3"/>
        <v>4</v>
      </c>
      <c r="L12" s="50">
        <f t="shared" si="4"/>
        <v>4</v>
      </c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>
        <v>4</v>
      </c>
      <c r="Z12" s="50"/>
      <c r="AA12" s="50"/>
      <c r="AB12" s="50"/>
    </row>
    <row r="13" spans="1:28" ht="14.25" customHeight="1" x14ac:dyDescent="0.75">
      <c r="A13" s="50">
        <v>666513</v>
      </c>
      <c r="B13" s="50" t="s">
        <v>20</v>
      </c>
      <c r="C13" s="50" t="s">
        <v>21</v>
      </c>
      <c r="D13" s="50"/>
      <c r="E13" s="67">
        <v>0</v>
      </c>
      <c r="F13" s="50">
        <f t="shared" si="0"/>
        <v>0</v>
      </c>
      <c r="G13" s="149">
        <v>0</v>
      </c>
      <c r="H13" s="62">
        <f t="shared" si="1"/>
        <v>0</v>
      </c>
      <c r="I13" s="61">
        <v>0</v>
      </c>
      <c r="J13" s="62">
        <f t="shared" si="2"/>
        <v>0</v>
      </c>
      <c r="K13" s="50">
        <f t="shared" si="3"/>
        <v>0</v>
      </c>
      <c r="L13" s="50">
        <f t="shared" si="4"/>
        <v>0</v>
      </c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</row>
    <row r="14" spans="1:28" ht="14.25" customHeight="1" x14ac:dyDescent="0.75">
      <c r="A14" s="50">
        <v>666516</v>
      </c>
      <c r="B14" s="50" t="s">
        <v>22</v>
      </c>
      <c r="C14" s="50" t="s">
        <v>23</v>
      </c>
      <c r="D14" s="50"/>
      <c r="E14" s="67">
        <v>0</v>
      </c>
      <c r="F14" s="50">
        <f t="shared" si="0"/>
        <v>0</v>
      </c>
      <c r="G14" s="149">
        <v>0</v>
      </c>
      <c r="H14" s="62">
        <f t="shared" si="1"/>
        <v>0</v>
      </c>
      <c r="I14" s="61">
        <v>0</v>
      </c>
      <c r="J14" s="62">
        <f t="shared" si="2"/>
        <v>0</v>
      </c>
      <c r="K14" s="50">
        <f t="shared" si="3"/>
        <v>0</v>
      </c>
      <c r="L14" s="50">
        <f t="shared" si="4"/>
        <v>0</v>
      </c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</row>
    <row r="15" spans="1:28" ht="14.25" customHeight="1" x14ac:dyDescent="0.75">
      <c r="A15" s="50">
        <v>666517</v>
      </c>
      <c r="B15" s="50" t="s">
        <v>24</v>
      </c>
      <c r="C15" s="50" t="s">
        <v>25</v>
      </c>
      <c r="D15" s="50"/>
      <c r="E15" s="67">
        <v>0</v>
      </c>
      <c r="F15" s="50">
        <f t="shared" si="0"/>
        <v>0</v>
      </c>
      <c r="G15" s="149">
        <v>0</v>
      </c>
      <c r="H15" s="62">
        <f t="shared" si="1"/>
        <v>0</v>
      </c>
      <c r="I15" s="61">
        <v>0</v>
      </c>
      <c r="J15" s="62">
        <f t="shared" si="2"/>
        <v>0</v>
      </c>
      <c r="K15" s="50">
        <f t="shared" si="3"/>
        <v>0</v>
      </c>
      <c r="L15" s="50">
        <f t="shared" si="4"/>
        <v>0</v>
      </c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</row>
    <row r="16" spans="1:28" ht="14.25" customHeight="1" x14ac:dyDescent="0.75">
      <c r="A16" s="50">
        <v>666518</v>
      </c>
      <c r="B16" s="50" t="s">
        <v>26</v>
      </c>
      <c r="C16" s="50" t="s">
        <v>27</v>
      </c>
      <c r="D16" s="50"/>
      <c r="E16" s="67">
        <v>0</v>
      </c>
      <c r="F16" s="50">
        <f t="shared" si="0"/>
        <v>0</v>
      </c>
      <c r="G16" s="149">
        <v>0</v>
      </c>
      <c r="H16" s="62">
        <f t="shared" si="1"/>
        <v>0</v>
      </c>
      <c r="I16" s="61">
        <v>0</v>
      </c>
      <c r="J16" s="62">
        <f t="shared" si="2"/>
        <v>0</v>
      </c>
      <c r="K16" s="50">
        <f t="shared" si="3"/>
        <v>0</v>
      </c>
      <c r="L16" s="50">
        <f t="shared" si="4"/>
        <v>0</v>
      </c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</row>
    <row r="17" spans="1:28" ht="14.25" customHeight="1" x14ac:dyDescent="0.75">
      <c r="A17" s="50">
        <v>666519</v>
      </c>
      <c r="B17" s="50" t="s">
        <v>28</v>
      </c>
      <c r="C17" s="50" t="s">
        <v>29</v>
      </c>
      <c r="D17" s="50"/>
      <c r="E17" s="67">
        <v>0</v>
      </c>
      <c r="F17" s="50">
        <f t="shared" si="0"/>
        <v>0</v>
      </c>
      <c r="G17" s="149">
        <v>0</v>
      </c>
      <c r="H17" s="62">
        <f t="shared" si="1"/>
        <v>0</v>
      </c>
      <c r="I17" s="61">
        <v>0</v>
      </c>
      <c r="J17" s="62">
        <f t="shared" si="2"/>
        <v>0</v>
      </c>
      <c r="K17" s="50">
        <f t="shared" si="3"/>
        <v>0</v>
      </c>
      <c r="L17" s="50">
        <f t="shared" si="4"/>
        <v>0</v>
      </c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</row>
    <row r="18" spans="1:28" ht="14.25" customHeight="1" x14ac:dyDescent="0.75">
      <c r="A18" s="50">
        <v>666521</v>
      </c>
      <c r="B18" s="50" t="s">
        <v>30</v>
      </c>
      <c r="C18" s="50" t="s">
        <v>31</v>
      </c>
      <c r="D18" s="50"/>
      <c r="E18" s="67">
        <v>47</v>
      </c>
      <c r="F18" s="50">
        <f t="shared" si="0"/>
        <v>45</v>
      </c>
      <c r="G18" s="149">
        <v>0</v>
      </c>
      <c r="H18" s="62">
        <f t="shared" si="1"/>
        <v>0</v>
      </c>
      <c r="I18" s="61">
        <v>0</v>
      </c>
      <c r="J18" s="62">
        <f t="shared" si="2"/>
        <v>0</v>
      </c>
      <c r="K18" s="50">
        <f t="shared" si="3"/>
        <v>47</v>
      </c>
      <c r="L18" s="50">
        <f t="shared" si="4"/>
        <v>45</v>
      </c>
      <c r="M18" s="50">
        <v>6</v>
      </c>
      <c r="N18" s="50"/>
      <c r="O18" s="50"/>
      <c r="P18" s="50"/>
      <c r="Q18" s="50"/>
      <c r="R18" s="50"/>
      <c r="S18" s="50">
        <v>20</v>
      </c>
      <c r="T18" s="50"/>
      <c r="U18" s="50"/>
      <c r="V18" s="50">
        <v>10</v>
      </c>
      <c r="W18" s="50"/>
      <c r="X18" s="50"/>
      <c r="Y18" s="50">
        <v>9</v>
      </c>
      <c r="Z18" s="50"/>
      <c r="AA18" s="50"/>
      <c r="AB18" s="50"/>
    </row>
    <row r="19" spans="1:28" ht="14.25" customHeight="1" x14ac:dyDescent="0.75">
      <c r="A19" s="50">
        <v>666522</v>
      </c>
      <c r="B19" s="50" t="s">
        <v>32</v>
      </c>
      <c r="C19" s="50" t="s">
        <v>33</v>
      </c>
      <c r="D19" s="50"/>
      <c r="E19" s="67">
        <v>0</v>
      </c>
      <c r="F19" s="50">
        <f t="shared" si="0"/>
        <v>0</v>
      </c>
      <c r="G19" s="149">
        <v>0</v>
      </c>
      <c r="H19" s="62">
        <f t="shared" si="1"/>
        <v>0</v>
      </c>
      <c r="I19" s="61">
        <v>0</v>
      </c>
      <c r="J19" s="62">
        <f t="shared" si="2"/>
        <v>0</v>
      </c>
      <c r="K19" s="50">
        <f t="shared" si="3"/>
        <v>0</v>
      </c>
      <c r="L19" s="50">
        <f t="shared" si="4"/>
        <v>0</v>
      </c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</row>
    <row r="20" spans="1:28" ht="14.25" customHeight="1" x14ac:dyDescent="0.75">
      <c r="A20" s="50">
        <v>666523</v>
      </c>
      <c r="B20" s="50" t="s">
        <v>34</v>
      </c>
      <c r="C20" s="50" t="s">
        <v>35</v>
      </c>
      <c r="D20" s="50"/>
      <c r="E20" s="67">
        <v>0</v>
      </c>
      <c r="F20" s="50">
        <f t="shared" si="0"/>
        <v>0</v>
      </c>
      <c r="G20" s="149">
        <v>0</v>
      </c>
      <c r="H20" s="62">
        <f t="shared" si="1"/>
        <v>0</v>
      </c>
      <c r="I20" s="61">
        <v>0</v>
      </c>
      <c r="J20" s="62">
        <f t="shared" si="2"/>
        <v>0</v>
      </c>
      <c r="K20" s="50">
        <f t="shared" si="3"/>
        <v>0</v>
      </c>
      <c r="L20" s="50">
        <f t="shared" si="4"/>
        <v>0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</row>
    <row r="21" spans="1:28" ht="14.25" customHeight="1" x14ac:dyDescent="0.75">
      <c r="A21" s="50">
        <v>666530</v>
      </c>
      <c r="B21" s="50" t="s">
        <v>36</v>
      </c>
      <c r="C21" s="50" t="s">
        <v>37</v>
      </c>
      <c r="D21" s="50"/>
      <c r="E21" s="67">
        <v>0</v>
      </c>
      <c r="F21" s="50">
        <f t="shared" si="0"/>
        <v>0</v>
      </c>
      <c r="G21" s="149">
        <v>0</v>
      </c>
      <c r="H21" s="62">
        <f t="shared" si="1"/>
        <v>0</v>
      </c>
      <c r="I21" s="61">
        <v>0</v>
      </c>
      <c r="J21" s="62">
        <f t="shared" si="2"/>
        <v>0</v>
      </c>
      <c r="K21" s="50">
        <f t="shared" si="3"/>
        <v>0</v>
      </c>
      <c r="L21" s="50">
        <f t="shared" si="4"/>
        <v>0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</row>
    <row r="22" spans="1:28" ht="14.25" customHeight="1" x14ac:dyDescent="0.75">
      <c r="A22" s="50">
        <v>666531</v>
      </c>
      <c r="B22" s="50" t="s">
        <v>38</v>
      </c>
      <c r="C22" s="50" t="s">
        <v>39</v>
      </c>
      <c r="D22" s="50"/>
      <c r="E22" s="67">
        <v>0</v>
      </c>
      <c r="F22" s="50">
        <f t="shared" si="0"/>
        <v>0</v>
      </c>
      <c r="G22" s="149">
        <v>0</v>
      </c>
      <c r="H22" s="62">
        <f t="shared" si="1"/>
        <v>0</v>
      </c>
      <c r="I22" s="61">
        <v>0</v>
      </c>
      <c r="J22" s="62">
        <f t="shared" si="2"/>
        <v>0</v>
      </c>
      <c r="K22" s="50">
        <f t="shared" si="3"/>
        <v>0</v>
      </c>
      <c r="L22" s="50">
        <f t="shared" si="4"/>
        <v>0</v>
      </c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</row>
    <row r="23" spans="1:28" ht="14.25" customHeight="1" x14ac:dyDescent="0.75">
      <c r="A23" s="50">
        <v>666540</v>
      </c>
      <c r="B23" s="50" t="s">
        <v>40</v>
      </c>
      <c r="C23" s="50" t="s">
        <v>40</v>
      </c>
      <c r="D23" s="50"/>
      <c r="E23" s="67">
        <v>0</v>
      </c>
      <c r="F23" s="50">
        <f t="shared" si="0"/>
        <v>0</v>
      </c>
      <c r="G23" s="149">
        <v>0</v>
      </c>
      <c r="H23" s="62">
        <f t="shared" si="1"/>
        <v>0</v>
      </c>
      <c r="I23" s="61">
        <v>0</v>
      </c>
      <c r="J23" s="62">
        <f t="shared" si="2"/>
        <v>0</v>
      </c>
      <c r="K23" s="50">
        <f t="shared" si="3"/>
        <v>0</v>
      </c>
      <c r="L23" s="50">
        <f t="shared" si="4"/>
        <v>0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</row>
    <row r="24" spans="1:28" ht="14.25" customHeight="1" x14ac:dyDescent="0.75">
      <c r="A24" s="50">
        <v>666541</v>
      </c>
      <c r="B24" s="50" t="s">
        <v>41</v>
      </c>
      <c r="C24" s="50" t="s">
        <v>41</v>
      </c>
      <c r="D24" s="50"/>
      <c r="E24" s="67">
        <v>0</v>
      </c>
      <c r="F24" s="50">
        <f t="shared" si="0"/>
        <v>0</v>
      </c>
      <c r="G24" s="149">
        <v>240</v>
      </c>
      <c r="H24" s="62">
        <f t="shared" si="1"/>
        <v>195</v>
      </c>
      <c r="I24" s="61">
        <v>0</v>
      </c>
      <c r="J24" s="62">
        <f t="shared" si="2"/>
        <v>0</v>
      </c>
      <c r="K24" s="50">
        <f t="shared" si="3"/>
        <v>240</v>
      </c>
      <c r="L24" s="50">
        <f t="shared" si="4"/>
        <v>195</v>
      </c>
      <c r="M24" s="50"/>
      <c r="N24" s="50"/>
      <c r="O24" s="50"/>
      <c r="P24" s="50"/>
      <c r="Q24" s="50"/>
      <c r="R24" s="50"/>
      <c r="S24" s="50"/>
      <c r="T24" s="50">
        <v>56</v>
      </c>
      <c r="U24" s="50"/>
      <c r="V24" s="50"/>
      <c r="W24" s="50">
        <v>82</v>
      </c>
      <c r="X24" s="50"/>
      <c r="Y24" s="50"/>
      <c r="Z24" s="50">
        <v>57</v>
      </c>
      <c r="AA24" s="50"/>
      <c r="AB24" s="50"/>
    </row>
    <row r="25" spans="1:28" ht="14.25" customHeight="1" x14ac:dyDescent="0.75">
      <c r="A25" s="50">
        <v>666536</v>
      </c>
      <c r="B25" s="50" t="s">
        <v>42</v>
      </c>
      <c r="C25" s="50" t="s">
        <v>43</v>
      </c>
      <c r="D25" s="50"/>
      <c r="E25" s="67">
        <v>2</v>
      </c>
      <c r="F25" s="50">
        <f t="shared" si="0"/>
        <v>2</v>
      </c>
      <c r="G25" s="149">
        <v>0</v>
      </c>
      <c r="H25" s="62">
        <f t="shared" si="1"/>
        <v>0</v>
      </c>
      <c r="I25" s="61">
        <v>0</v>
      </c>
      <c r="J25" s="62">
        <f t="shared" si="2"/>
        <v>0</v>
      </c>
      <c r="K25" s="50">
        <f>+E25+G25+H25</f>
        <v>2</v>
      </c>
      <c r="L25" s="50">
        <f t="shared" si="4"/>
        <v>2</v>
      </c>
      <c r="M25" s="50"/>
      <c r="N25" s="50"/>
      <c r="O25" s="50"/>
      <c r="P25" s="50"/>
      <c r="Q25" s="50"/>
      <c r="R25" s="50"/>
      <c r="S25" s="50">
        <v>2</v>
      </c>
      <c r="T25" s="50"/>
      <c r="U25" s="50"/>
      <c r="V25" s="50"/>
      <c r="W25" s="50"/>
      <c r="X25" s="50"/>
      <c r="Y25" s="50"/>
      <c r="Z25" s="50"/>
      <c r="AA25" s="50"/>
      <c r="AB25" s="50"/>
    </row>
    <row r="26" spans="1:28" ht="14.25" customHeight="1" x14ac:dyDescent="0.75">
      <c r="A26" s="50"/>
      <c r="B26" s="50"/>
      <c r="C26" s="71"/>
      <c r="D26" s="71"/>
      <c r="E26" s="71"/>
      <c r="F26" s="71"/>
      <c r="G26" s="71"/>
      <c r="H26" s="71"/>
      <c r="I26" s="71"/>
      <c r="J26" s="71"/>
      <c r="K26" s="50"/>
      <c r="L26" s="71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</row>
  </sheetData>
  <conditionalFormatting sqref="K5:K25">
    <cfRule type="cellIs" dxfId="219" priority="2" operator="equal">
      <formula>0</formula>
    </cfRule>
  </conditionalFormatting>
  <conditionalFormatting sqref="L5:L25">
    <cfRule type="expression" dxfId="218" priority="3">
      <formula>K5=L5</formula>
    </cfRule>
    <cfRule type="expression" dxfId="217" priority="4">
      <formula>K5&lt;L5</formula>
    </cfRule>
    <cfRule type="expression" dxfId="216" priority="5">
      <formula>K5&gt;L5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X71"/>
  <sheetViews>
    <sheetView topLeftCell="A2" zoomScaleNormal="100" workbookViewId="0">
      <selection activeCell="Q46" sqref="Q46"/>
    </sheetView>
  </sheetViews>
  <sheetFormatPr defaultColWidth="8.86328125" defaultRowHeight="14.75" x14ac:dyDescent="0.75"/>
  <cols>
    <col min="1" max="1" width="9" style="79" customWidth="1"/>
    <col min="2" max="2" width="33.453125" style="79" customWidth="1"/>
    <col min="3" max="3" width="15.6328125" style="79" hidden="1" customWidth="1"/>
    <col min="4" max="13" width="8.86328125" style="79"/>
    <col min="14" max="14" width="9.453125" style="79" customWidth="1"/>
    <col min="15" max="17" width="8.86328125" style="79"/>
    <col min="18" max="18" width="10.6328125" style="80" customWidth="1"/>
    <col min="19" max="19" width="9.1328125" style="79" hidden="1" customWidth="1"/>
    <col min="20" max="16384" width="8.86328125" style="79"/>
  </cols>
  <sheetData>
    <row r="1" spans="1:19" ht="15" customHeight="1" x14ac:dyDescent="0.75">
      <c r="A1" s="5" t="s">
        <v>182</v>
      </c>
      <c r="B1" s="5"/>
      <c r="C1" s="5"/>
      <c r="D1" s="5"/>
      <c r="E1" s="5"/>
      <c r="F1" s="81"/>
      <c r="G1" s="81"/>
      <c r="H1" s="81"/>
      <c r="I1" s="81"/>
      <c r="J1" s="81"/>
      <c r="K1" s="81"/>
      <c r="L1" s="81"/>
      <c r="M1" s="81"/>
      <c r="N1" s="81"/>
      <c r="O1" s="81"/>
      <c r="P1" s="82"/>
      <c r="Q1" s="80" t="s">
        <v>160</v>
      </c>
    </row>
    <row r="2" spans="1:19" ht="41.25" customHeight="1" x14ac:dyDescent="0.75">
      <c r="A2" s="83"/>
      <c r="B2" s="84" t="s">
        <v>56</v>
      </c>
      <c r="C2" s="85" t="s">
        <v>55</v>
      </c>
      <c r="D2" s="86" t="s">
        <v>116</v>
      </c>
      <c r="E2" s="87" t="s">
        <v>161</v>
      </c>
      <c r="F2" s="88" t="s">
        <v>162</v>
      </c>
      <c r="G2" s="86" t="s">
        <v>163</v>
      </c>
      <c r="H2" s="87" t="s">
        <v>164</v>
      </c>
      <c r="I2" s="86" t="s">
        <v>165</v>
      </c>
      <c r="J2" s="86" t="s">
        <v>166</v>
      </c>
      <c r="K2" s="89" t="s">
        <v>167</v>
      </c>
      <c r="L2" s="88" t="s">
        <v>162</v>
      </c>
      <c r="M2" s="86" t="s">
        <v>163</v>
      </c>
      <c r="N2" s="87" t="s">
        <v>164</v>
      </c>
      <c r="O2" s="86" t="s">
        <v>165</v>
      </c>
      <c r="P2" s="90" t="s">
        <v>166</v>
      </c>
      <c r="Q2" s="91"/>
      <c r="R2" s="92" t="s">
        <v>168</v>
      </c>
    </row>
    <row r="3" spans="1:19" ht="14.25" customHeight="1" x14ac:dyDescent="0.75">
      <c r="A3" s="93">
        <v>666501</v>
      </c>
      <c r="B3" s="94" t="s">
        <v>4</v>
      </c>
      <c r="C3" s="95" t="s">
        <v>5</v>
      </c>
      <c r="D3" s="96">
        <v>45</v>
      </c>
      <c r="E3" s="97">
        <f t="shared" ref="E3:E23" si="0">+D3/6</f>
        <v>7.5</v>
      </c>
      <c r="F3" s="96">
        <v>33</v>
      </c>
      <c r="G3" s="98">
        <v>0</v>
      </c>
      <c r="H3" s="96">
        <v>12</v>
      </c>
      <c r="I3" s="96">
        <v>0</v>
      </c>
      <c r="J3" s="96">
        <v>0</v>
      </c>
      <c r="K3" s="99">
        <f t="shared" ref="K3:K23" si="1">(+D3-SUM(F3:J3))/3.5</f>
        <v>0</v>
      </c>
      <c r="L3" s="96">
        <v>0</v>
      </c>
      <c r="M3" s="96">
        <v>0</v>
      </c>
      <c r="N3" s="96">
        <v>0</v>
      </c>
      <c r="O3" s="96">
        <v>0</v>
      </c>
      <c r="P3" s="100">
        <v>0</v>
      </c>
      <c r="Q3" s="101">
        <f t="shared" ref="Q3:Q23" si="2">SUM(F3:J3)+SUM(L3:P3)</f>
        <v>45</v>
      </c>
      <c r="R3" s="101">
        <f t="shared" ref="R3:R23" si="3">+D3-Q3</f>
        <v>0</v>
      </c>
      <c r="S3" s="102">
        <f>+R3/2.25</f>
        <v>0</v>
      </c>
    </row>
    <row r="4" spans="1:19" ht="14.25" customHeight="1" x14ac:dyDescent="0.75">
      <c r="A4" s="93">
        <v>666502</v>
      </c>
      <c r="B4" s="94" t="s">
        <v>6</v>
      </c>
      <c r="C4" s="95" t="s">
        <v>7</v>
      </c>
      <c r="D4" s="96">
        <v>0</v>
      </c>
      <c r="E4" s="97">
        <f t="shared" si="0"/>
        <v>0</v>
      </c>
      <c r="F4" s="96">
        <v>0</v>
      </c>
      <c r="G4" s="98">
        <v>0</v>
      </c>
      <c r="H4" s="96">
        <v>0</v>
      </c>
      <c r="I4" s="96">
        <v>0</v>
      </c>
      <c r="J4" s="96">
        <v>0</v>
      </c>
      <c r="K4" s="99">
        <f t="shared" si="1"/>
        <v>0</v>
      </c>
      <c r="L4" s="96">
        <v>0</v>
      </c>
      <c r="M4" s="96">
        <v>0</v>
      </c>
      <c r="N4" s="96">
        <v>0</v>
      </c>
      <c r="O4" s="96">
        <v>0</v>
      </c>
      <c r="P4" s="100">
        <v>0</v>
      </c>
      <c r="Q4" s="101">
        <f t="shared" si="2"/>
        <v>0</v>
      </c>
      <c r="R4" s="101">
        <f t="shared" si="3"/>
        <v>0</v>
      </c>
      <c r="S4" s="102">
        <f>+R4/2.25</f>
        <v>0</v>
      </c>
    </row>
    <row r="5" spans="1:19" ht="14.25" customHeight="1" x14ac:dyDescent="0.75">
      <c r="A5" s="93">
        <v>666505</v>
      </c>
      <c r="B5" s="94" t="s">
        <v>8</v>
      </c>
      <c r="C5" s="95" t="s">
        <v>9</v>
      </c>
      <c r="D5" s="96">
        <v>20</v>
      </c>
      <c r="E5" s="97">
        <f t="shared" si="0"/>
        <v>3.3333333333333335</v>
      </c>
      <c r="F5" s="96">
        <v>20</v>
      </c>
      <c r="G5" s="98">
        <v>0</v>
      </c>
      <c r="H5" s="96">
        <v>0</v>
      </c>
      <c r="I5" s="96">
        <v>0</v>
      </c>
      <c r="J5" s="96">
        <v>0</v>
      </c>
      <c r="K5" s="99">
        <f t="shared" si="1"/>
        <v>0</v>
      </c>
      <c r="L5" s="96">
        <v>0</v>
      </c>
      <c r="M5" s="96">
        <v>0</v>
      </c>
      <c r="N5" s="96">
        <v>0</v>
      </c>
      <c r="O5" s="96">
        <v>0</v>
      </c>
      <c r="P5" s="100">
        <v>0</v>
      </c>
      <c r="Q5" s="101">
        <f t="shared" si="2"/>
        <v>20</v>
      </c>
      <c r="R5" s="101">
        <f t="shared" si="3"/>
        <v>0</v>
      </c>
      <c r="S5" s="102">
        <f>+R5/2.25</f>
        <v>0</v>
      </c>
    </row>
    <row r="6" spans="1:19" ht="14.25" customHeight="1" x14ac:dyDescent="0.75">
      <c r="A6" s="93">
        <v>666506</v>
      </c>
      <c r="B6" s="94" t="s">
        <v>10</v>
      </c>
      <c r="C6" s="95" t="s">
        <v>11</v>
      </c>
      <c r="D6" s="96">
        <v>0</v>
      </c>
      <c r="E6" s="97">
        <f t="shared" si="0"/>
        <v>0</v>
      </c>
      <c r="F6" s="96">
        <v>0</v>
      </c>
      <c r="G6" s="98">
        <v>0</v>
      </c>
      <c r="H6" s="96">
        <v>0</v>
      </c>
      <c r="I6" s="96">
        <v>0</v>
      </c>
      <c r="J6" s="96">
        <v>0</v>
      </c>
      <c r="K6" s="99">
        <f t="shared" si="1"/>
        <v>0</v>
      </c>
      <c r="L6" s="96">
        <v>0</v>
      </c>
      <c r="M6" s="96">
        <v>0</v>
      </c>
      <c r="N6" s="96">
        <v>0</v>
      </c>
      <c r="O6" s="96">
        <v>0</v>
      </c>
      <c r="P6" s="100">
        <v>0</v>
      </c>
      <c r="Q6" s="101">
        <f t="shared" si="2"/>
        <v>0</v>
      </c>
      <c r="R6" s="101">
        <f t="shared" si="3"/>
        <v>0</v>
      </c>
      <c r="S6" s="102">
        <f>+R6/2.25</f>
        <v>0</v>
      </c>
    </row>
    <row r="7" spans="1:19" ht="14.25" customHeight="1" x14ac:dyDescent="0.75">
      <c r="A7" s="93">
        <v>666507</v>
      </c>
      <c r="B7" s="94" t="s">
        <v>12</v>
      </c>
      <c r="C7" s="95" t="s">
        <v>13</v>
      </c>
      <c r="D7" s="96">
        <v>42</v>
      </c>
      <c r="E7" s="97">
        <f t="shared" si="0"/>
        <v>7</v>
      </c>
      <c r="F7" s="96">
        <v>6</v>
      </c>
      <c r="G7" s="98">
        <v>0</v>
      </c>
      <c r="H7" s="96">
        <v>0</v>
      </c>
      <c r="I7" s="96">
        <v>6</v>
      </c>
      <c r="J7" s="96">
        <v>4</v>
      </c>
      <c r="K7" s="99">
        <f t="shared" si="1"/>
        <v>7.4285714285714288</v>
      </c>
      <c r="L7" s="96">
        <v>6</v>
      </c>
      <c r="M7" s="96">
        <v>0</v>
      </c>
      <c r="N7" s="96">
        <v>0</v>
      </c>
      <c r="O7" s="96">
        <v>10</v>
      </c>
      <c r="P7" s="100">
        <v>11</v>
      </c>
      <c r="Q7" s="101">
        <f t="shared" si="2"/>
        <v>43</v>
      </c>
      <c r="R7" s="101">
        <f t="shared" si="3"/>
        <v>-1</v>
      </c>
      <c r="S7" s="102">
        <f>+R7/2.25</f>
        <v>-0.44444444444444442</v>
      </c>
    </row>
    <row r="8" spans="1:19" ht="14.25" customHeight="1" x14ac:dyDescent="0.75">
      <c r="A8" s="93">
        <v>666509</v>
      </c>
      <c r="B8" s="94" t="s">
        <v>14</v>
      </c>
      <c r="C8" s="95" t="s">
        <v>15</v>
      </c>
      <c r="D8" s="96">
        <v>104</v>
      </c>
      <c r="E8" s="97">
        <f t="shared" si="0"/>
        <v>17.333333333333332</v>
      </c>
      <c r="F8" s="96">
        <v>30</v>
      </c>
      <c r="G8" s="98">
        <v>0</v>
      </c>
      <c r="H8" s="96">
        <v>28</v>
      </c>
      <c r="I8" s="96">
        <v>29</v>
      </c>
      <c r="J8" s="96">
        <v>8</v>
      </c>
      <c r="K8" s="99">
        <f t="shared" si="1"/>
        <v>2.5714285714285716</v>
      </c>
      <c r="L8" s="96">
        <v>9</v>
      </c>
      <c r="M8" s="96">
        <v>0</v>
      </c>
      <c r="N8" s="96">
        <v>0</v>
      </c>
      <c r="O8" s="96">
        <v>0</v>
      </c>
      <c r="P8" s="100">
        <v>0</v>
      </c>
      <c r="Q8" s="101">
        <f t="shared" si="2"/>
        <v>104</v>
      </c>
      <c r="R8" s="101">
        <f t="shared" si="3"/>
        <v>0</v>
      </c>
      <c r="S8" s="102">
        <f>+R8/2</f>
        <v>0</v>
      </c>
    </row>
    <row r="9" spans="1:19" ht="14.25" customHeight="1" x14ac:dyDescent="0.75">
      <c r="A9" s="93">
        <v>666510</v>
      </c>
      <c r="B9" s="94" t="s">
        <v>16</v>
      </c>
      <c r="C9" s="95" t="s">
        <v>169</v>
      </c>
      <c r="D9" s="96">
        <v>0</v>
      </c>
      <c r="E9" s="97">
        <f t="shared" si="0"/>
        <v>0</v>
      </c>
      <c r="F9" s="96">
        <v>0</v>
      </c>
      <c r="G9" s="98">
        <v>0</v>
      </c>
      <c r="H9" s="96">
        <v>0</v>
      </c>
      <c r="I9" s="96">
        <v>0</v>
      </c>
      <c r="J9" s="96">
        <v>0</v>
      </c>
      <c r="K9" s="99">
        <f t="shared" si="1"/>
        <v>0</v>
      </c>
      <c r="L9" s="96">
        <v>0</v>
      </c>
      <c r="M9" s="96">
        <v>0</v>
      </c>
      <c r="N9" s="96">
        <v>0</v>
      </c>
      <c r="O9" s="96">
        <v>0</v>
      </c>
      <c r="P9" s="100">
        <v>0</v>
      </c>
      <c r="Q9" s="101">
        <f t="shared" si="2"/>
        <v>0</v>
      </c>
      <c r="R9" s="101">
        <f t="shared" si="3"/>
        <v>0</v>
      </c>
      <c r="S9" s="102">
        <f t="shared" ref="S9:S19" si="4">+R9/2.25</f>
        <v>0</v>
      </c>
    </row>
    <row r="10" spans="1:19" ht="14.25" customHeight="1" x14ac:dyDescent="0.75">
      <c r="A10" s="93">
        <v>666511</v>
      </c>
      <c r="B10" s="94" t="s">
        <v>18</v>
      </c>
      <c r="C10" s="95" t="s">
        <v>19</v>
      </c>
      <c r="D10" s="96">
        <v>8</v>
      </c>
      <c r="E10" s="97">
        <f t="shared" si="0"/>
        <v>1.3333333333333333</v>
      </c>
      <c r="F10" s="96">
        <v>1</v>
      </c>
      <c r="G10" s="98">
        <v>0</v>
      </c>
      <c r="H10" s="96">
        <v>3</v>
      </c>
      <c r="I10" s="96">
        <v>0</v>
      </c>
      <c r="J10" s="96">
        <v>0</v>
      </c>
      <c r="K10" s="99">
        <f t="shared" si="1"/>
        <v>1.1428571428571428</v>
      </c>
      <c r="L10" s="96">
        <v>0</v>
      </c>
      <c r="M10" s="96">
        <v>0</v>
      </c>
      <c r="N10" s="96">
        <v>0</v>
      </c>
      <c r="O10" s="96">
        <v>0</v>
      </c>
      <c r="P10" s="100">
        <v>4</v>
      </c>
      <c r="Q10" s="101">
        <f t="shared" si="2"/>
        <v>8</v>
      </c>
      <c r="R10" s="101">
        <f t="shared" si="3"/>
        <v>0</v>
      </c>
      <c r="S10" s="102">
        <f t="shared" si="4"/>
        <v>0</v>
      </c>
    </row>
    <row r="11" spans="1:19" ht="14.25" customHeight="1" x14ac:dyDescent="0.75">
      <c r="A11" s="93">
        <v>666513</v>
      </c>
      <c r="B11" s="94" t="s">
        <v>20</v>
      </c>
      <c r="C11" s="95" t="s">
        <v>21</v>
      </c>
      <c r="D11" s="96">
        <v>0</v>
      </c>
      <c r="E11" s="97">
        <f t="shared" si="0"/>
        <v>0</v>
      </c>
      <c r="F11" s="96">
        <v>0</v>
      </c>
      <c r="G11" s="98">
        <v>0</v>
      </c>
      <c r="H11" s="96">
        <v>0</v>
      </c>
      <c r="I11" s="96">
        <v>0</v>
      </c>
      <c r="J11" s="96">
        <v>0</v>
      </c>
      <c r="K11" s="99">
        <f t="shared" si="1"/>
        <v>0</v>
      </c>
      <c r="L11" s="96">
        <v>0</v>
      </c>
      <c r="M11" s="96">
        <v>0</v>
      </c>
      <c r="N11" s="96">
        <v>0</v>
      </c>
      <c r="O11" s="96">
        <v>0</v>
      </c>
      <c r="P11" s="100">
        <v>0</v>
      </c>
      <c r="Q11" s="101">
        <f t="shared" si="2"/>
        <v>0</v>
      </c>
      <c r="R11" s="101">
        <f t="shared" si="3"/>
        <v>0</v>
      </c>
      <c r="S11" s="102">
        <f t="shared" si="4"/>
        <v>0</v>
      </c>
    </row>
    <row r="12" spans="1:19" ht="14.25" customHeight="1" x14ac:dyDescent="0.75">
      <c r="A12" s="93">
        <v>666516</v>
      </c>
      <c r="B12" s="94" t="s">
        <v>22</v>
      </c>
      <c r="C12" s="95" t="s">
        <v>23</v>
      </c>
      <c r="D12" s="96">
        <v>34</v>
      </c>
      <c r="E12" s="97">
        <f t="shared" si="0"/>
        <v>5.666666666666667</v>
      </c>
      <c r="F12" s="96">
        <v>34</v>
      </c>
      <c r="G12" s="98">
        <v>0</v>
      </c>
      <c r="H12" s="96">
        <v>0</v>
      </c>
      <c r="I12" s="96">
        <v>0</v>
      </c>
      <c r="J12" s="96">
        <v>0</v>
      </c>
      <c r="K12" s="99">
        <f t="shared" si="1"/>
        <v>0</v>
      </c>
      <c r="L12" s="96">
        <v>0</v>
      </c>
      <c r="M12" s="96">
        <v>0</v>
      </c>
      <c r="N12" s="96">
        <v>0</v>
      </c>
      <c r="O12" s="96">
        <v>0</v>
      </c>
      <c r="P12" s="100">
        <v>0</v>
      </c>
      <c r="Q12" s="101">
        <f t="shared" si="2"/>
        <v>34</v>
      </c>
      <c r="R12" s="101">
        <f t="shared" si="3"/>
        <v>0</v>
      </c>
      <c r="S12" s="102">
        <f t="shared" si="4"/>
        <v>0</v>
      </c>
    </row>
    <row r="13" spans="1:19" ht="14.25" customHeight="1" x14ac:dyDescent="0.75">
      <c r="A13" s="93">
        <v>666517</v>
      </c>
      <c r="B13" s="94" t="s">
        <v>24</v>
      </c>
      <c r="C13" s="95" t="s">
        <v>25</v>
      </c>
      <c r="D13" s="96">
        <v>46</v>
      </c>
      <c r="E13" s="97">
        <f t="shared" si="0"/>
        <v>7.666666666666667</v>
      </c>
      <c r="F13" s="96">
        <v>29</v>
      </c>
      <c r="G13" s="98">
        <v>0</v>
      </c>
      <c r="H13" s="96">
        <v>17</v>
      </c>
      <c r="I13" s="96">
        <v>0</v>
      </c>
      <c r="J13" s="96">
        <v>0</v>
      </c>
      <c r="K13" s="99">
        <f t="shared" si="1"/>
        <v>0</v>
      </c>
      <c r="L13" s="96">
        <v>0</v>
      </c>
      <c r="M13" s="96">
        <v>0</v>
      </c>
      <c r="N13" s="96">
        <v>0</v>
      </c>
      <c r="O13" s="96">
        <v>0</v>
      </c>
      <c r="P13" s="100">
        <v>0</v>
      </c>
      <c r="Q13" s="101">
        <f t="shared" si="2"/>
        <v>46</v>
      </c>
      <c r="R13" s="101">
        <f t="shared" si="3"/>
        <v>0</v>
      </c>
      <c r="S13" s="102">
        <f t="shared" si="4"/>
        <v>0</v>
      </c>
    </row>
    <row r="14" spans="1:19" ht="14.25" customHeight="1" x14ac:dyDescent="0.75">
      <c r="A14" s="93">
        <v>666518</v>
      </c>
      <c r="B14" s="94" t="s">
        <v>26</v>
      </c>
      <c r="C14" s="95" t="s">
        <v>27</v>
      </c>
      <c r="D14" s="96">
        <v>0</v>
      </c>
      <c r="E14" s="97">
        <f t="shared" si="0"/>
        <v>0</v>
      </c>
      <c r="F14" s="96">
        <v>0</v>
      </c>
      <c r="G14" s="98">
        <v>0</v>
      </c>
      <c r="H14" s="96">
        <v>0</v>
      </c>
      <c r="I14" s="96">
        <v>0</v>
      </c>
      <c r="J14" s="96">
        <v>0</v>
      </c>
      <c r="K14" s="99">
        <f t="shared" si="1"/>
        <v>0</v>
      </c>
      <c r="L14" s="96">
        <v>0</v>
      </c>
      <c r="M14" s="96">
        <v>0</v>
      </c>
      <c r="N14" s="96">
        <v>0</v>
      </c>
      <c r="O14" s="96">
        <v>0</v>
      </c>
      <c r="P14" s="100">
        <v>0</v>
      </c>
      <c r="Q14" s="101">
        <f t="shared" si="2"/>
        <v>0</v>
      </c>
      <c r="R14" s="101">
        <f t="shared" si="3"/>
        <v>0</v>
      </c>
      <c r="S14" s="102">
        <f t="shared" si="4"/>
        <v>0</v>
      </c>
    </row>
    <row r="15" spans="1:19" ht="14.25" customHeight="1" x14ac:dyDescent="0.75">
      <c r="A15" s="93">
        <v>666519</v>
      </c>
      <c r="B15" s="94" t="s">
        <v>28</v>
      </c>
      <c r="C15" s="95" t="s">
        <v>29</v>
      </c>
      <c r="D15" s="96">
        <v>33</v>
      </c>
      <c r="E15" s="97">
        <f t="shared" si="0"/>
        <v>5.5</v>
      </c>
      <c r="F15" s="96">
        <v>33</v>
      </c>
      <c r="G15" s="98">
        <v>0</v>
      </c>
      <c r="H15" s="96">
        <v>0</v>
      </c>
      <c r="I15" s="96">
        <v>0</v>
      </c>
      <c r="J15" s="96">
        <v>0</v>
      </c>
      <c r="K15" s="99">
        <f t="shared" si="1"/>
        <v>0</v>
      </c>
      <c r="L15" s="96">
        <v>0</v>
      </c>
      <c r="M15" s="96">
        <v>0</v>
      </c>
      <c r="N15" s="96">
        <v>0</v>
      </c>
      <c r="O15" s="96">
        <v>0</v>
      </c>
      <c r="P15" s="100">
        <v>0</v>
      </c>
      <c r="Q15" s="101">
        <f t="shared" si="2"/>
        <v>33</v>
      </c>
      <c r="R15" s="101">
        <f t="shared" si="3"/>
        <v>0</v>
      </c>
      <c r="S15" s="102">
        <f t="shared" si="4"/>
        <v>0</v>
      </c>
    </row>
    <row r="16" spans="1:19" ht="14.25" customHeight="1" x14ac:dyDescent="0.75">
      <c r="A16" s="93">
        <v>666521</v>
      </c>
      <c r="B16" s="94" t="s">
        <v>30</v>
      </c>
      <c r="C16" s="95" t="s">
        <v>31</v>
      </c>
      <c r="D16" s="96">
        <v>56</v>
      </c>
      <c r="E16" s="97">
        <f t="shared" si="0"/>
        <v>9.3333333333333339</v>
      </c>
      <c r="F16" s="96">
        <v>0</v>
      </c>
      <c r="G16" s="98">
        <v>0</v>
      </c>
      <c r="H16" s="96">
        <v>0</v>
      </c>
      <c r="I16" s="96">
        <v>4</v>
      </c>
      <c r="J16" s="96">
        <v>5</v>
      </c>
      <c r="K16" s="99">
        <f t="shared" si="1"/>
        <v>13.428571428571429</v>
      </c>
      <c r="L16" s="96">
        <v>6</v>
      </c>
      <c r="M16" s="96">
        <v>0</v>
      </c>
      <c r="N16" s="96">
        <v>20</v>
      </c>
      <c r="O16" s="96">
        <v>10</v>
      </c>
      <c r="P16" s="100">
        <v>9</v>
      </c>
      <c r="Q16" s="101">
        <f t="shared" si="2"/>
        <v>54</v>
      </c>
      <c r="R16" s="101">
        <f t="shared" si="3"/>
        <v>2</v>
      </c>
      <c r="S16" s="102">
        <f t="shared" si="4"/>
        <v>0.88888888888888884</v>
      </c>
    </row>
    <row r="17" spans="1:19" ht="14.25" customHeight="1" x14ac:dyDescent="0.75">
      <c r="A17" s="93">
        <v>666522</v>
      </c>
      <c r="B17" s="94" t="s">
        <v>32</v>
      </c>
      <c r="C17" s="95" t="s">
        <v>33</v>
      </c>
      <c r="D17" s="96">
        <v>65</v>
      </c>
      <c r="E17" s="97">
        <f t="shared" si="0"/>
        <v>10.833333333333334</v>
      </c>
      <c r="F17" s="96">
        <v>65</v>
      </c>
      <c r="G17" s="98">
        <v>0</v>
      </c>
      <c r="H17" s="96">
        <v>0</v>
      </c>
      <c r="I17" s="96">
        <v>0</v>
      </c>
      <c r="J17" s="96">
        <v>0</v>
      </c>
      <c r="K17" s="99">
        <f t="shared" si="1"/>
        <v>0</v>
      </c>
      <c r="L17" s="96">
        <v>0</v>
      </c>
      <c r="M17" s="96">
        <v>0</v>
      </c>
      <c r="N17" s="96">
        <v>0</v>
      </c>
      <c r="O17" s="96">
        <v>0</v>
      </c>
      <c r="P17" s="100">
        <v>0</v>
      </c>
      <c r="Q17" s="101">
        <f t="shared" si="2"/>
        <v>65</v>
      </c>
      <c r="R17" s="101">
        <f t="shared" si="3"/>
        <v>0</v>
      </c>
      <c r="S17" s="102">
        <f t="shared" si="4"/>
        <v>0</v>
      </c>
    </row>
    <row r="18" spans="1:19" ht="14.25" customHeight="1" x14ac:dyDescent="0.75">
      <c r="A18" s="93">
        <v>666523</v>
      </c>
      <c r="B18" s="94" t="s">
        <v>34</v>
      </c>
      <c r="C18" s="95" t="s">
        <v>35</v>
      </c>
      <c r="D18" s="96">
        <v>0</v>
      </c>
      <c r="E18" s="97">
        <f t="shared" si="0"/>
        <v>0</v>
      </c>
      <c r="F18" s="96">
        <v>0</v>
      </c>
      <c r="G18" s="98">
        <v>0</v>
      </c>
      <c r="H18" s="96">
        <v>0</v>
      </c>
      <c r="I18" s="96">
        <v>0</v>
      </c>
      <c r="J18" s="96">
        <v>0</v>
      </c>
      <c r="K18" s="99">
        <f t="shared" si="1"/>
        <v>0</v>
      </c>
      <c r="L18" s="96">
        <v>0</v>
      </c>
      <c r="M18" s="96">
        <v>0</v>
      </c>
      <c r="N18" s="96">
        <v>0</v>
      </c>
      <c r="O18" s="96">
        <v>0</v>
      </c>
      <c r="P18" s="100">
        <v>0</v>
      </c>
      <c r="Q18" s="101">
        <f t="shared" si="2"/>
        <v>0</v>
      </c>
      <c r="R18" s="101">
        <f t="shared" si="3"/>
        <v>0</v>
      </c>
      <c r="S18" s="102">
        <f t="shared" si="4"/>
        <v>0</v>
      </c>
    </row>
    <row r="19" spans="1:19" ht="14.25" customHeight="1" x14ac:dyDescent="0.75">
      <c r="A19" s="93">
        <v>666530</v>
      </c>
      <c r="B19" s="94" t="s">
        <v>36</v>
      </c>
      <c r="C19" s="95" t="s">
        <v>37</v>
      </c>
      <c r="D19" s="96">
        <v>5</v>
      </c>
      <c r="E19" s="97">
        <f t="shared" si="0"/>
        <v>0.83333333333333337</v>
      </c>
      <c r="F19" s="96">
        <v>5</v>
      </c>
      <c r="G19" s="98">
        <v>0</v>
      </c>
      <c r="H19" s="96">
        <v>0</v>
      </c>
      <c r="I19" s="96">
        <v>0</v>
      </c>
      <c r="J19" s="96">
        <v>0</v>
      </c>
      <c r="K19" s="99">
        <f t="shared" si="1"/>
        <v>0</v>
      </c>
      <c r="L19" s="96">
        <v>0</v>
      </c>
      <c r="M19" s="96">
        <v>0</v>
      </c>
      <c r="N19" s="96">
        <v>0</v>
      </c>
      <c r="O19" s="96">
        <v>0</v>
      </c>
      <c r="P19" s="100">
        <v>0</v>
      </c>
      <c r="Q19" s="101">
        <f t="shared" si="2"/>
        <v>5</v>
      </c>
      <c r="R19" s="101">
        <f t="shared" si="3"/>
        <v>0</v>
      </c>
      <c r="S19" s="102">
        <f t="shared" si="4"/>
        <v>0</v>
      </c>
    </row>
    <row r="20" spans="1:19" ht="14.25" customHeight="1" x14ac:dyDescent="0.75">
      <c r="A20" s="93">
        <v>666531</v>
      </c>
      <c r="B20" s="94" t="s">
        <v>38</v>
      </c>
      <c r="C20" s="95" t="s">
        <v>39</v>
      </c>
      <c r="D20" s="96">
        <v>18</v>
      </c>
      <c r="E20" s="97">
        <f t="shared" si="0"/>
        <v>3</v>
      </c>
      <c r="F20" s="96">
        <v>18</v>
      </c>
      <c r="G20" s="98">
        <v>0</v>
      </c>
      <c r="H20" s="96">
        <v>0</v>
      </c>
      <c r="I20" s="96">
        <v>0</v>
      </c>
      <c r="J20" s="96">
        <v>0</v>
      </c>
      <c r="K20" s="99">
        <f t="shared" si="1"/>
        <v>0</v>
      </c>
      <c r="L20" s="96">
        <v>0</v>
      </c>
      <c r="M20" s="96">
        <v>0</v>
      </c>
      <c r="N20" s="96">
        <v>0</v>
      </c>
      <c r="O20" s="96">
        <v>0</v>
      </c>
      <c r="P20" s="100">
        <v>0</v>
      </c>
      <c r="Q20" s="101">
        <f t="shared" si="2"/>
        <v>18</v>
      </c>
      <c r="R20" s="101">
        <f t="shared" si="3"/>
        <v>0</v>
      </c>
      <c r="S20" s="102"/>
    </row>
    <row r="21" spans="1:19" ht="14.25" customHeight="1" x14ac:dyDescent="0.75">
      <c r="A21" s="93">
        <v>666540</v>
      </c>
      <c r="B21" s="94" t="s">
        <v>40</v>
      </c>
      <c r="C21" s="95" t="s">
        <v>40</v>
      </c>
      <c r="D21" s="96">
        <v>0</v>
      </c>
      <c r="E21" s="97">
        <f t="shared" si="0"/>
        <v>0</v>
      </c>
      <c r="F21" s="96">
        <v>0</v>
      </c>
      <c r="G21" s="98">
        <v>0</v>
      </c>
      <c r="H21" s="96">
        <v>0</v>
      </c>
      <c r="I21" s="96">
        <v>0</v>
      </c>
      <c r="J21" s="96">
        <v>0</v>
      </c>
      <c r="K21" s="99">
        <f t="shared" si="1"/>
        <v>0</v>
      </c>
      <c r="L21" s="96">
        <v>0</v>
      </c>
      <c r="M21" s="96">
        <v>0</v>
      </c>
      <c r="N21" s="96">
        <v>0</v>
      </c>
      <c r="O21" s="96">
        <v>0</v>
      </c>
      <c r="P21" s="100">
        <v>0</v>
      </c>
      <c r="Q21" s="101">
        <f t="shared" si="2"/>
        <v>0</v>
      </c>
      <c r="R21" s="101">
        <f t="shared" si="3"/>
        <v>0</v>
      </c>
      <c r="S21" s="102"/>
    </row>
    <row r="22" spans="1:19" ht="15" customHeight="1" x14ac:dyDescent="0.75">
      <c r="A22" s="93">
        <v>666541</v>
      </c>
      <c r="B22" s="94" t="s">
        <v>41</v>
      </c>
      <c r="C22" s="103" t="s">
        <v>41</v>
      </c>
      <c r="D22" s="96">
        <v>0</v>
      </c>
      <c r="E22" s="97">
        <f t="shared" si="0"/>
        <v>0</v>
      </c>
      <c r="F22" s="104">
        <v>0</v>
      </c>
      <c r="G22" s="105">
        <v>0</v>
      </c>
      <c r="H22" s="104">
        <v>0</v>
      </c>
      <c r="I22" s="104">
        <v>0</v>
      </c>
      <c r="J22" s="104">
        <v>0</v>
      </c>
      <c r="K22" s="106">
        <f t="shared" si="1"/>
        <v>0</v>
      </c>
      <c r="L22" s="96">
        <v>0</v>
      </c>
      <c r="M22" s="96">
        <v>0</v>
      </c>
      <c r="N22" s="96">
        <v>0</v>
      </c>
      <c r="O22" s="96">
        <v>0</v>
      </c>
      <c r="P22" s="100">
        <v>0</v>
      </c>
      <c r="Q22" s="101">
        <f t="shared" si="2"/>
        <v>0</v>
      </c>
      <c r="R22" s="101">
        <f t="shared" si="3"/>
        <v>0</v>
      </c>
      <c r="S22" s="102"/>
    </row>
    <row r="23" spans="1:19" s="50" customFormat="1" ht="15" customHeight="1" x14ac:dyDescent="0.75">
      <c r="A23" s="108">
        <v>666536</v>
      </c>
      <c r="B23" s="109" t="s">
        <v>42</v>
      </c>
      <c r="C23" s="110"/>
      <c r="D23" s="104">
        <v>10</v>
      </c>
      <c r="E23" s="111">
        <f t="shared" si="0"/>
        <v>1.6666666666666667</v>
      </c>
      <c r="F23" s="104">
        <v>2</v>
      </c>
      <c r="G23" s="105">
        <v>0</v>
      </c>
      <c r="H23" s="104">
        <v>0</v>
      </c>
      <c r="I23" s="104">
        <v>0</v>
      </c>
      <c r="J23" s="104">
        <v>6</v>
      </c>
      <c r="K23" s="106">
        <f t="shared" si="1"/>
        <v>0.5714285714285714</v>
      </c>
      <c r="L23" s="104">
        <v>0</v>
      </c>
      <c r="M23" s="104">
        <v>0</v>
      </c>
      <c r="N23" s="104">
        <v>2</v>
      </c>
      <c r="O23" s="104">
        <v>0</v>
      </c>
      <c r="P23" s="107">
        <v>0</v>
      </c>
      <c r="Q23" s="101">
        <f t="shared" si="2"/>
        <v>10</v>
      </c>
      <c r="R23" s="101">
        <f t="shared" si="3"/>
        <v>0</v>
      </c>
    </row>
    <row r="24" spans="1:19" s="50" customFormat="1" ht="15" customHeight="1" x14ac:dyDescent="0.75">
      <c r="A24" s="112"/>
      <c r="B24" s="113"/>
      <c r="D24" s="101"/>
      <c r="E24" s="114"/>
    </row>
    <row r="25" spans="1:19" ht="15" customHeight="1" x14ac:dyDescent="0.75">
      <c r="A25" s="4" t="str">
        <f>+A1</f>
        <v>Weeks of 02/23/2026 &amp; 3/02/2026</v>
      </c>
      <c r="B25" s="4"/>
      <c r="C25" s="4"/>
      <c r="D25" s="4"/>
      <c r="E25" s="4"/>
      <c r="F25" s="115"/>
      <c r="G25" s="115"/>
      <c r="H25" s="115"/>
      <c r="I25" s="115"/>
      <c r="J25" s="116"/>
      <c r="K25" s="116"/>
      <c r="L25" s="116"/>
      <c r="M25" s="116"/>
      <c r="N25" s="116"/>
      <c r="O25" s="116"/>
      <c r="P25" s="117"/>
      <c r="Q25" s="101"/>
      <c r="R25" s="101"/>
    </row>
    <row r="26" spans="1:19" ht="42" customHeight="1" x14ac:dyDescent="0.75">
      <c r="A26" s="118"/>
      <c r="B26" s="119" t="s">
        <v>170</v>
      </c>
      <c r="C26" s="120" t="s">
        <v>65</v>
      </c>
      <c r="D26" s="121" t="s">
        <v>119</v>
      </c>
      <c r="E26" s="122" t="s">
        <v>171</v>
      </c>
      <c r="F26" s="88" t="s">
        <v>162</v>
      </c>
      <c r="G26" s="86" t="s">
        <v>163</v>
      </c>
      <c r="H26" s="87" t="s">
        <v>172</v>
      </c>
      <c r="I26" s="86" t="s">
        <v>165</v>
      </c>
      <c r="J26" s="123" t="s">
        <v>166</v>
      </c>
      <c r="K26" s="124" t="str">
        <f>+K2</f>
        <v>2nd wk daily goals</v>
      </c>
      <c r="L26" s="125" t="s">
        <v>162</v>
      </c>
      <c r="M26" s="86" t="s">
        <v>163</v>
      </c>
      <c r="N26" s="126" t="s">
        <v>172</v>
      </c>
      <c r="O26" s="86" t="s">
        <v>165</v>
      </c>
      <c r="P26" s="90" t="s">
        <v>166</v>
      </c>
      <c r="Q26" s="101"/>
      <c r="R26" s="92" t="s">
        <v>168</v>
      </c>
    </row>
    <row r="27" spans="1:19" ht="15" customHeight="1" x14ac:dyDescent="0.75">
      <c r="A27" s="93">
        <v>666501</v>
      </c>
      <c r="B27" s="94" t="s">
        <v>4</v>
      </c>
      <c r="C27" s="127" t="s">
        <v>5</v>
      </c>
      <c r="D27" s="128">
        <v>420</v>
      </c>
      <c r="E27" s="129">
        <f t="shared" ref="E27:E47" si="5">+D27/7</f>
        <v>60</v>
      </c>
      <c r="F27" s="96">
        <v>27</v>
      </c>
      <c r="G27" s="96">
        <v>60</v>
      </c>
      <c r="H27" s="96">
        <v>33</v>
      </c>
      <c r="I27" s="96">
        <v>33</v>
      </c>
      <c r="J27" s="130">
        <v>66</v>
      </c>
      <c r="K27" s="131">
        <f t="shared" ref="K27:K47" si="6">(+D27-SUM(F27:J27))/4</f>
        <v>50.25</v>
      </c>
      <c r="L27" s="132">
        <v>81</v>
      </c>
      <c r="M27" s="96">
        <v>120</v>
      </c>
      <c r="N27" s="96">
        <v>0</v>
      </c>
      <c r="O27" s="96">
        <v>0</v>
      </c>
      <c r="P27" s="100">
        <v>0</v>
      </c>
      <c r="Q27" s="133">
        <f t="shared" ref="Q27:Q47" si="7">SUM(F27:J27)+SUM(L27:P27)</f>
        <v>420</v>
      </c>
      <c r="R27" s="101">
        <f t="shared" ref="R27:R47" si="8">+D27-Q27</f>
        <v>0</v>
      </c>
      <c r="S27" s="102">
        <f t="shared" ref="S27:S36" si="9">+R27/3</f>
        <v>0</v>
      </c>
    </row>
    <row r="28" spans="1:19" ht="15" customHeight="1" x14ac:dyDescent="0.75">
      <c r="A28" s="93">
        <v>666502</v>
      </c>
      <c r="B28" s="94" t="s">
        <v>6</v>
      </c>
      <c r="C28" s="127" t="s">
        <v>7</v>
      </c>
      <c r="D28" s="128">
        <v>310</v>
      </c>
      <c r="E28" s="129">
        <f t="shared" si="5"/>
        <v>44.285714285714285</v>
      </c>
      <c r="F28" s="96">
        <v>19</v>
      </c>
      <c r="G28" s="96">
        <v>43</v>
      </c>
      <c r="H28" s="96">
        <v>49</v>
      </c>
      <c r="I28" s="96">
        <v>11</v>
      </c>
      <c r="J28" s="130">
        <v>39</v>
      </c>
      <c r="K28" s="131">
        <f t="shared" si="6"/>
        <v>37.25</v>
      </c>
      <c r="L28" s="132">
        <v>8</v>
      </c>
      <c r="M28" s="96">
        <v>43</v>
      </c>
      <c r="N28" s="96">
        <v>47</v>
      </c>
      <c r="O28" s="96">
        <v>25</v>
      </c>
      <c r="P28" s="100">
        <v>26</v>
      </c>
      <c r="Q28" s="101">
        <f t="shared" si="7"/>
        <v>310</v>
      </c>
      <c r="R28" s="101">
        <f t="shared" si="8"/>
        <v>0</v>
      </c>
      <c r="S28" s="102">
        <f t="shared" si="9"/>
        <v>0</v>
      </c>
    </row>
    <row r="29" spans="1:19" ht="15" customHeight="1" x14ac:dyDescent="0.75">
      <c r="A29" s="93">
        <v>666505</v>
      </c>
      <c r="B29" s="94" t="s">
        <v>8</v>
      </c>
      <c r="C29" s="127" t="s">
        <v>9</v>
      </c>
      <c r="D29" s="128">
        <v>0</v>
      </c>
      <c r="E29" s="129">
        <f t="shared" si="5"/>
        <v>0</v>
      </c>
      <c r="F29" s="96">
        <v>0</v>
      </c>
      <c r="G29" s="96">
        <v>0</v>
      </c>
      <c r="H29" s="96">
        <v>0</v>
      </c>
      <c r="I29" s="96">
        <v>0</v>
      </c>
      <c r="J29" s="130">
        <v>0</v>
      </c>
      <c r="K29" s="131">
        <f t="shared" si="6"/>
        <v>0</v>
      </c>
      <c r="L29" s="132">
        <v>0</v>
      </c>
      <c r="M29" s="96">
        <v>0</v>
      </c>
      <c r="N29" s="96">
        <v>0</v>
      </c>
      <c r="O29" s="96">
        <v>0</v>
      </c>
      <c r="P29" s="100">
        <v>0</v>
      </c>
      <c r="Q29" s="101">
        <f t="shared" si="7"/>
        <v>0</v>
      </c>
      <c r="R29" s="101">
        <f t="shared" si="8"/>
        <v>0</v>
      </c>
      <c r="S29" s="102">
        <f t="shared" si="9"/>
        <v>0</v>
      </c>
    </row>
    <row r="30" spans="1:19" ht="15" customHeight="1" x14ac:dyDescent="0.75">
      <c r="A30" s="93">
        <v>666506</v>
      </c>
      <c r="B30" s="94" t="s">
        <v>10</v>
      </c>
      <c r="C30" s="127" t="s">
        <v>11</v>
      </c>
      <c r="D30" s="128">
        <v>200</v>
      </c>
      <c r="E30" s="129">
        <f t="shared" si="5"/>
        <v>28.571428571428573</v>
      </c>
      <c r="F30" s="96">
        <v>0</v>
      </c>
      <c r="G30" s="96">
        <v>7</v>
      </c>
      <c r="H30" s="96">
        <v>4</v>
      </c>
      <c r="I30" s="96">
        <v>4</v>
      </c>
      <c r="J30" s="130">
        <v>32</v>
      </c>
      <c r="K30" s="131">
        <f t="shared" si="6"/>
        <v>38.25</v>
      </c>
      <c r="L30" s="132">
        <v>66</v>
      </c>
      <c r="M30" s="96">
        <v>73</v>
      </c>
      <c r="N30" s="96">
        <v>14</v>
      </c>
      <c r="O30" s="96">
        <v>0</v>
      </c>
      <c r="P30" s="100">
        <v>0</v>
      </c>
      <c r="Q30" s="101">
        <f t="shared" si="7"/>
        <v>200</v>
      </c>
      <c r="R30" s="101">
        <f t="shared" si="8"/>
        <v>0</v>
      </c>
      <c r="S30" s="102">
        <f t="shared" si="9"/>
        <v>0</v>
      </c>
    </row>
    <row r="31" spans="1:19" ht="15" customHeight="1" x14ac:dyDescent="0.75">
      <c r="A31" s="93">
        <v>666507</v>
      </c>
      <c r="B31" s="94" t="s">
        <v>12</v>
      </c>
      <c r="C31" s="127" t="s">
        <v>13</v>
      </c>
      <c r="D31" s="128">
        <v>0</v>
      </c>
      <c r="E31" s="129">
        <f t="shared" si="5"/>
        <v>0</v>
      </c>
      <c r="F31" s="96">
        <v>0</v>
      </c>
      <c r="G31" s="96">
        <v>0</v>
      </c>
      <c r="H31" s="96">
        <v>0</v>
      </c>
      <c r="I31" s="96">
        <v>0</v>
      </c>
      <c r="J31" s="130">
        <v>0</v>
      </c>
      <c r="K31" s="131">
        <f t="shared" si="6"/>
        <v>0</v>
      </c>
      <c r="L31" s="132">
        <v>0</v>
      </c>
      <c r="M31" s="96">
        <v>0</v>
      </c>
      <c r="N31" s="96">
        <v>0</v>
      </c>
      <c r="O31" s="96">
        <v>0</v>
      </c>
      <c r="P31" s="100">
        <v>0</v>
      </c>
      <c r="Q31" s="101">
        <f t="shared" si="7"/>
        <v>0</v>
      </c>
      <c r="R31" s="101">
        <f t="shared" si="8"/>
        <v>0</v>
      </c>
      <c r="S31" s="102">
        <f t="shared" si="9"/>
        <v>0</v>
      </c>
    </row>
    <row r="32" spans="1:19" ht="15" customHeight="1" x14ac:dyDescent="0.75">
      <c r="A32" s="93">
        <v>666509</v>
      </c>
      <c r="B32" s="94" t="s">
        <v>14</v>
      </c>
      <c r="C32" s="127" t="s">
        <v>15</v>
      </c>
      <c r="D32" s="128">
        <v>0</v>
      </c>
      <c r="E32" s="129">
        <f t="shared" si="5"/>
        <v>0</v>
      </c>
      <c r="F32" s="96">
        <v>0</v>
      </c>
      <c r="G32" s="96">
        <v>0</v>
      </c>
      <c r="H32" s="96">
        <v>0</v>
      </c>
      <c r="I32" s="96">
        <v>0</v>
      </c>
      <c r="J32" s="130">
        <v>0</v>
      </c>
      <c r="K32" s="131">
        <f t="shared" si="6"/>
        <v>0</v>
      </c>
      <c r="L32" s="132">
        <v>0</v>
      </c>
      <c r="M32" s="96">
        <v>0</v>
      </c>
      <c r="N32" s="96">
        <v>0</v>
      </c>
      <c r="O32" s="96">
        <v>0</v>
      </c>
      <c r="P32" s="100">
        <v>0</v>
      </c>
      <c r="Q32" s="101">
        <f t="shared" si="7"/>
        <v>0</v>
      </c>
      <c r="R32" s="101">
        <f t="shared" si="8"/>
        <v>0</v>
      </c>
      <c r="S32" s="102">
        <f t="shared" si="9"/>
        <v>0</v>
      </c>
    </row>
    <row r="33" spans="1:24" ht="15" customHeight="1" x14ac:dyDescent="0.75">
      <c r="A33" s="93">
        <v>666510</v>
      </c>
      <c r="B33" s="94" t="s">
        <v>16</v>
      </c>
      <c r="C33" s="127" t="s">
        <v>169</v>
      </c>
      <c r="D33" s="128">
        <v>0</v>
      </c>
      <c r="E33" s="129">
        <f t="shared" si="5"/>
        <v>0</v>
      </c>
      <c r="F33" s="96">
        <v>0</v>
      </c>
      <c r="G33" s="96">
        <v>0</v>
      </c>
      <c r="H33" s="96">
        <v>0</v>
      </c>
      <c r="I33" s="96">
        <v>0</v>
      </c>
      <c r="J33" s="130">
        <v>0</v>
      </c>
      <c r="K33" s="131">
        <f t="shared" si="6"/>
        <v>0</v>
      </c>
      <c r="L33" s="132">
        <v>0</v>
      </c>
      <c r="M33" s="96">
        <v>0</v>
      </c>
      <c r="N33" s="96">
        <v>0</v>
      </c>
      <c r="O33" s="96">
        <v>0</v>
      </c>
      <c r="P33" s="100">
        <v>0</v>
      </c>
      <c r="Q33" s="101">
        <f t="shared" si="7"/>
        <v>0</v>
      </c>
      <c r="R33" s="101">
        <f t="shared" si="8"/>
        <v>0</v>
      </c>
      <c r="S33" s="102">
        <f t="shared" si="9"/>
        <v>0</v>
      </c>
    </row>
    <row r="34" spans="1:24" ht="15" customHeight="1" x14ac:dyDescent="0.75">
      <c r="A34" s="93">
        <v>666511</v>
      </c>
      <c r="B34" s="94" t="s">
        <v>18</v>
      </c>
      <c r="C34" s="127" t="s">
        <v>19</v>
      </c>
      <c r="D34" s="128">
        <v>0</v>
      </c>
      <c r="E34" s="129">
        <f t="shared" si="5"/>
        <v>0</v>
      </c>
      <c r="F34" s="96">
        <v>0</v>
      </c>
      <c r="G34" s="96">
        <v>0</v>
      </c>
      <c r="H34" s="96">
        <v>0</v>
      </c>
      <c r="I34" s="96">
        <v>0</v>
      </c>
      <c r="J34" s="130">
        <v>0</v>
      </c>
      <c r="K34" s="131">
        <f t="shared" si="6"/>
        <v>0</v>
      </c>
      <c r="L34" s="132">
        <v>0</v>
      </c>
      <c r="M34" s="96">
        <v>0</v>
      </c>
      <c r="N34" s="96">
        <v>0</v>
      </c>
      <c r="O34" s="96">
        <v>0</v>
      </c>
      <c r="P34" s="100">
        <v>0</v>
      </c>
      <c r="Q34" s="101">
        <f t="shared" si="7"/>
        <v>0</v>
      </c>
      <c r="R34" s="101">
        <f t="shared" si="8"/>
        <v>0</v>
      </c>
      <c r="S34" s="102">
        <f t="shared" si="9"/>
        <v>0</v>
      </c>
    </row>
    <row r="35" spans="1:24" ht="15" customHeight="1" x14ac:dyDescent="0.75">
      <c r="A35" s="93">
        <v>666513</v>
      </c>
      <c r="B35" s="94" t="s">
        <v>20</v>
      </c>
      <c r="C35" s="127" t="s">
        <v>21</v>
      </c>
      <c r="D35" s="128">
        <v>0</v>
      </c>
      <c r="E35" s="129">
        <f t="shared" si="5"/>
        <v>0</v>
      </c>
      <c r="F35" s="96">
        <v>0</v>
      </c>
      <c r="G35" s="96">
        <v>0</v>
      </c>
      <c r="H35" s="96">
        <v>0</v>
      </c>
      <c r="I35" s="96">
        <v>0</v>
      </c>
      <c r="J35" s="130">
        <v>0</v>
      </c>
      <c r="K35" s="131">
        <f t="shared" si="6"/>
        <v>0</v>
      </c>
      <c r="L35" s="132">
        <v>0</v>
      </c>
      <c r="M35" s="96">
        <v>0</v>
      </c>
      <c r="N35" s="96">
        <v>0</v>
      </c>
      <c r="O35" s="96">
        <v>0</v>
      </c>
      <c r="P35" s="100">
        <v>0</v>
      </c>
      <c r="Q35" s="101">
        <f t="shared" si="7"/>
        <v>0</v>
      </c>
      <c r="R35" s="101">
        <f t="shared" si="8"/>
        <v>0</v>
      </c>
      <c r="S35" s="102">
        <f t="shared" si="9"/>
        <v>0</v>
      </c>
    </row>
    <row r="36" spans="1:24" ht="15" customHeight="1" x14ac:dyDescent="0.75">
      <c r="A36" s="93">
        <v>666516</v>
      </c>
      <c r="B36" s="94" t="s">
        <v>22</v>
      </c>
      <c r="C36" s="127" t="s">
        <v>23</v>
      </c>
      <c r="D36" s="128">
        <v>0</v>
      </c>
      <c r="E36" s="129">
        <f t="shared" si="5"/>
        <v>0</v>
      </c>
      <c r="F36" s="96">
        <v>0</v>
      </c>
      <c r="G36" s="96">
        <v>0</v>
      </c>
      <c r="H36" s="96">
        <v>0</v>
      </c>
      <c r="I36" s="96">
        <v>0</v>
      </c>
      <c r="J36" s="130">
        <v>0</v>
      </c>
      <c r="K36" s="131">
        <f t="shared" si="6"/>
        <v>0</v>
      </c>
      <c r="L36" s="132">
        <v>0</v>
      </c>
      <c r="M36" s="96">
        <v>0</v>
      </c>
      <c r="N36" s="96">
        <v>0</v>
      </c>
      <c r="O36" s="96">
        <v>0</v>
      </c>
      <c r="P36" s="100">
        <v>0</v>
      </c>
      <c r="Q36" s="101">
        <f t="shared" si="7"/>
        <v>0</v>
      </c>
      <c r="R36" s="101">
        <f t="shared" si="8"/>
        <v>0</v>
      </c>
      <c r="S36" s="102">
        <f t="shared" si="9"/>
        <v>0</v>
      </c>
    </row>
    <row r="37" spans="1:24" ht="15" customHeight="1" x14ac:dyDescent="0.75">
      <c r="A37" s="93">
        <v>666517</v>
      </c>
      <c r="B37" s="94" t="s">
        <v>24</v>
      </c>
      <c r="C37" s="127" t="s">
        <v>25</v>
      </c>
      <c r="D37" s="128">
        <v>0</v>
      </c>
      <c r="E37" s="129">
        <f t="shared" si="5"/>
        <v>0</v>
      </c>
      <c r="F37" s="96">
        <v>0</v>
      </c>
      <c r="G37" s="96">
        <v>0</v>
      </c>
      <c r="H37" s="96">
        <v>0</v>
      </c>
      <c r="I37" s="96">
        <v>0</v>
      </c>
      <c r="J37" s="130">
        <v>0</v>
      </c>
      <c r="K37" s="131">
        <f t="shared" si="6"/>
        <v>0</v>
      </c>
      <c r="L37" s="132">
        <v>0</v>
      </c>
      <c r="M37" s="96">
        <v>0</v>
      </c>
      <c r="N37" s="96">
        <v>0</v>
      </c>
      <c r="O37" s="96">
        <v>0</v>
      </c>
      <c r="P37" s="100">
        <v>0</v>
      </c>
      <c r="Q37" s="101">
        <f t="shared" si="7"/>
        <v>0</v>
      </c>
      <c r="R37" s="101">
        <f t="shared" si="8"/>
        <v>0</v>
      </c>
      <c r="S37" s="102">
        <f>+R37/2</f>
        <v>0</v>
      </c>
    </row>
    <row r="38" spans="1:24" ht="15" customHeight="1" x14ac:dyDescent="0.75">
      <c r="A38" s="93">
        <v>666518</v>
      </c>
      <c r="B38" s="94" t="s">
        <v>26</v>
      </c>
      <c r="C38" s="127" t="s">
        <v>27</v>
      </c>
      <c r="D38" s="128">
        <v>0</v>
      </c>
      <c r="E38" s="129">
        <f t="shared" si="5"/>
        <v>0</v>
      </c>
      <c r="F38" s="96">
        <v>0</v>
      </c>
      <c r="G38" s="96">
        <v>0</v>
      </c>
      <c r="H38" s="96">
        <v>0</v>
      </c>
      <c r="I38" s="96">
        <v>0</v>
      </c>
      <c r="J38" s="130">
        <v>0</v>
      </c>
      <c r="K38" s="131">
        <f t="shared" si="6"/>
        <v>0</v>
      </c>
      <c r="L38" s="132">
        <v>0</v>
      </c>
      <c r="M38" s="96">
        <v>0</v>
      </c>
      <c r="N38" s="96">
        <v>0</v>
      </c>
      <c r="O38" s="96">
        <v>0</v>
      </c>
      <c r="P38" s="100">
        <v>0</v>
      </c>
      <c r="Q38" s="101">
        <f t="shared" si="7"/>
        <v>0</v>
      </c>
      <c r="R38" s="101">
        <f t="shared" si="8"/>
        <v>0</v>
      </c>
      <c r="S38" s="102">
        <f>+R38/3</f>
        <v>0</v>
      </c>
    </row>
    <row r="39" spans="1:24" ht="15" customHeight="1" x14ac:dyDescent="0.75">
      <c r="A39" s="93">
        <v>666519</v>
      </c>
      <c r="B39" s="94" t="s">
        <v>28</v>
      </c>
      <c r="C39" s="127" t="s">
        <v>29</v>
      </c>
      <c r="D39" s="128">
        <v>0</v>
      </c>
      <c r="E39" s="129">
        <f t="shared" si="5"/>
        <v>0</v>
      </c>
      <c r="F39" s="96">
        <v>0</v>
      </c>
      <c r="G39" s="96">
        <v>0</v>
      </c>
      <c r="H39" s="96">
        <v>0</v>
      </c>
      <c r="I39" s="96">
        <v>0</v>
      </c>
      <c r="J39" s="130">
        <v>0</v>
      </c>
      <c r="K39" s="131">
        <f t="shared" si="6"/>
        <v>0</v>
      </c>
      <c r="L39" s="132">
        <v>0</v>
      </c>
      <c r="M39" s="96">
        <v>0</v>
      </c>
      <c r="N39" s="96">
        <v>0</v>
      </c>
      <c r="O39" s="96">
        <v>0</v>
      </c>
      <c r="P39" s="100">
        <v>0</v>
      </c>
      <c r="Q39" s="101">
        <f t="shared" si="7"/>
        <v>0</v>
      </c>
      <c r="R39" s="101">
        <f t="shared" si="8"/>
        <v>0</v>
      </c>
      <c r="S39" s="102"/>
    </row>
    <row r="40" spans="1:24" ht="15" customHeight="1" x14ac:dyDescent="0.75">
      <c r="A40" s="93">
        <v>666521</v>
      </c>
      <c r="B40" s="94" t="s">
        <v>30</v>
      </c>
      <c r="C40" s="127" t="s">
        <v>31</v>
      </c>
      <c r="D40" s="128">
        <v>0</v>
      </c>
      <c r="E40" s="129">
        <f t="shared" si="5"/>
        <v>0</v>
      </c>
      <c r="F40" s="96">
        <v>0</v>
      </c>
      <c r="G40" s="96">
        <v>0</v>
      </c>
      <c r="H40" s="96">
        <v>0</v>
      </c>
      <c r="I40" s="96">
        <v>0</v>
      </c>
      <c r="J40" s="130">
        <v>0</v>
      </c>
      <c r="K40" s="131">
        <f t="shared" si="6"/>
        <v>0</v>
      </c>
      <c r="L40" s="132">
        <v>0</v>
      </c>
      <c r="M40" s="96">
        <v>0</v>
      </c>
      <c r="N40" s="96">
        <v>0</v>
      </c>
      <c r="O40" s="96">
        <v>0</v>
      </c>
      <c r="P40" s="100">
        <v>0</v>
      </c>
      <c r="Q40" s="101">
        <f t="shared" si="7"/>
        <v>0</v>
      </c>
      <c r="R40" s="101">
        <f t="shared" si="8"/>
        <v>0</v>
      </c>
      <c r="S40" s="102"/>
    </row>
    <row r="41" spans="1:24" ht="15" customHeight="1" x14ac:dyDescent="0.75">
      <c r="A41" s="93">
        <v>666522</v>
      </c>
      <c r="B41" s="94" t="s">
        <v>32</v>
      </c>
      <c r="C41" s="127" t="s">
        <v>33</v>
      </c>
      <c r="D41" s="128">
        <v>95</v>
      </c>
      <c r="E41" s="129">
        <f t="shared" si="5"/>
        <v>13.571428571428571</v>
      </c>
      <c r="F41" s="96">
        <v>0</v>
      </c>
      <c r="G41" s="96">
        <v>95</v>
      </c>
      <c r="H41" s="96">
        <v>0</v>
      </c>
      <c r="I41" s="96">
        <v>0</v>
      </c>
      <c r="J41" s="130">
        <v>0</v>
      </c>
      <c r="K41" s="131">
        <f t="shared" si="6"/>
        <v>0</v>
      </c>
      <c r="L41" s="132">
        <v>0</v>
      </c>
      <c r="M41" s="96">
        <v>0</v>
      </c>
      <c r="N41" s="96">
        <v>0</v>
      </c>
      <c r="O41" s="96">
        <v>0</v>
      </c>
      <c r="P41" s="100">
        <v>0</v>
      </c>
      <c r="Q41" s="101">
        <f t="shared" si="7"/>
        <v>95</v>
      </c>
      <c r="R41" s="101">
        <f t="shared" si="8"/>
        <v>0</v>
      </c>
      <c r="S41" s="102"/>
    </row>
    <row r="42" spans="1:24" ht="15" customHeight="1" x14ac:dyDescent="0.75">
      <c r="A42" s="93">
        <v>666523</v>
      </c>
      <c r="B42" s="94" t="s">
        <v>34</v>
      </c>
      <c r="C42" s="127" t="s">
        <v>35</v>
      </c>
      <c r="D42" s="128">
        <v>40</v>
      </c>
      <c r="E42" s="129">
        <f t="shared" si="5"/>
        <v>5.7142857142857144</v>
      </c>
      <c r="F42" s="96">
        <v>0</v>
      </c>
      <c r="G42" s="96">
        <v>40</v>
      </c>
      <c r="H42" s="96">
        <v>0</v>
      </c>
      <c r="I42" s="96">
        <v>0</v>
      </c>
      <c r="J42" s="130">
        <v>0</v>
      </c>
      <c r="K42" s="131">
        <f t="shared" si="6"/>
        <v>0</v>
      </c>
      <c r="L42" s="132">
        <v>0</v>
      </c>
      <c r="M42" s="96">
        <v>0</v>
      </c>
      <c r="N42" s="96">
        <v>0</v>
      </c>
      <c r="O42" s="96">
        <v>0</v>
      </c>
      <c r="P42" s="100">
        <v>0</v>
      </c>
      <c r="Q42" s="133">
        <f t="shared" si="7"/>
        <v>40</v>
      </c>
      <c r="R42" s="101">
        <f t="shared" si="8"/>
        <v>0</v>
      </c>
      <c r="S42" s="102"/>
    </row>
    <row r="43" spans="1:24" ht="15" customHeight="1" x14ac:dyDescent="0.75">
      <c r="A43" s="93">
        <v>666530</v>
      </c>
      <c r="B43" s="94" t="s">
        <v>36</v>
      </c>
      <c r="C43" s="127" t="s">
        <v>37</v>
      </c>
      <c r="D43" s="128">
        <v>0</v>
      </c>
      <c r="E43" s="129">
        <f t="shared" si="5"/>
        <v>0</v>
      </c>
      <c r="F43" s="96">
        <v>0</v>
      </c>
      <c r="G43" s="96">
        <v>0</v>
      </c>
      <c r="H43" s="96">
        <v>0</v>
      </c>
      <c r="I43" s="96">
        <v>0</v>
      </c>
      <c r="J43" s="130">
        <v>0</v>
      </c>
      <c r="K43" s="131">
        <f t="shared" si="6"/>
        <v>0</v>
      </c>
      <c r="L43" s="132">
        <v>0</v>
      </c>
      <c r="M43" s="96">
        <v>0</v>
      </c>
      <c r="N43" s="96">
        <v>0</v>
      </c>
      <c r="O43" s="96">
        <v>0</v>
      </c>
      <c r="P43" s="100">
        <v>0</v>
      </c>
      <c r="Q43" s="101">
        <f t="shared" si="7"/>
        <v>0</v>
      </c>
      <c r="R43" s="101">
        <f t="shared" si="8"/>
        <v>0</v>
      </c>
      <c r="S43" s="102"/>
    </row>
    <row r="44" spans="1:24" ht="15" customHeight="1" x14ac:dyDescent="0.75">
      <c r="A44" s="93">
        <v>666531</v>
      </c>
      <c r="B44" s="94" t="s">
        <v>38</v>
      </c>
      <c r="C44" s="127" t="s">
        <v>39</v>
      </c>
      <c r="D44" s="128">
        <v>0</v>
      </c>
      <c r="E44" s="129">
        <f t="shared" si="5"/>
        <v>0</v>
      </c>
      <c r="F44" s="96">
        <v>0</v>
      </c>
      <c r="G44" s="96">
        <v>0</v>
      </c>
      <c r="H44" s="96">
        <v>0</v>
      </c>
      <c r="I44" s="96">
        <v>0</v>
      </c>
      <c r="J44" s="130">
        <v>0</v>
      </c>
      <c r="K44" s="131">
        <f t="shared" si="6"/>
        <v>0</v>
      </c>
      <c r="L44" s="132">
        <v>0</v>
      </c>
      <c r="M44" s="96">
        <v>0</v>
      </c>
      <c r="N44" s="96">
        <v>0</v>
      </c>
      <c r="O44" s="96">
        <v>0</v>
      </c>
      <c r="P44" s="100">
        <v>0</v>
      </c>
      <c r="Q44" s="101">
        <f t="shared" si="7"/>
        <v>0</v>
      </c>
      <c r="R44" s="101">
        <f t="shared" si="8"/>
        <v>0</v>
      </c>
      <c r="S44" s="102">
        <f>+R44/3</f>
        <v>0</v>
      </c>
    </row>
    <row r="45" spans="1:24" ht="15" customHeight="1" x14ac:dyDescent="0.75">
      <c r="A45" s="93">
        <v>666540</v>
      </c>
      <c r="B45" s="94" t="s">
        <v>40</v>
      </c>
      <c r="C45" s="127" t="s">
        <v>40</v>
      </c>
      <c r="D45" s="128">
        <v>0</v>
      </c>
      <c r="E45" s="129">
        <f t="shared" si="5"/>
        <v>0</v>
      </c>
      <c r="F45" s="96">
        <v>0</v>
      </c>
      <c r="G45" s="96">
        <v>0</v>
      </c>
      <c r="H45" s="96">
        <v>0</v>
      </c>
      <c r="I45" s="96">
        <v>0</v>
      </c>
      <c r="J45" s="130">
        <v>0</v>
      </c>
      <c r="K45" s="131">
        <f t="shared" si="6"/>
        <v>0</v>
      </c>
      <c r="L45" s="132">
        <v>0</v>
      </c>
      <c r="M45" s="96">
        <v>0</v>
      </c>
      <c r="N45" s="96">
        <v>0</v>
      </c>
      <c r="O45" s="96">
        <v>0</v>
      </c>
      <c r="P45" s="100">
        <v>0</v>
      </c>
      <c r="Q45" s="101">
        <f t="shared" si="7"/>
        <v>0</v>
      </c>
      <c r="R45" s="101">
        <f t="shared" si="8"/>
        <v>0</v>
      </c>
      <c r="S45" s="102">
        <f>+R45/3</f>
        <v>0</v>
      </c>
    </row>
    <row r="46" spans="1:24" ht="15" customHeight="1" x14ac:dyDescent="0.75">
      <c r="A46" s="93">
        <v>666541</v>
      </c>
      <c r="B46" s="94" t="s">
        <v>41</v>
      </c>
      <c r="C46" s="127"/>
      <c r="D46" s="128">
        <v>480</v>
      </c>
      <c r="E46" s="129">
        <f t="shared" si="5"/>
        <v>68.571428571428569</v>
      </c>
      <c r="F46" s="96">
        <v>21</v>
      </c>
      <c r="G46" s="96">
        <v>67</v>
      </c>
      <c r="H46" s="96">
        <v>40</v>
      </c>
      <c r="I46" s="96">
        <v>93</v>
      </c>
      <c r="J46" s="130">
        <v>19</v>
      </c>
      <c r="K46" s="131">
        <f t="shared" si="6"/>
        <v>60</v>
      </c>
      <c r="L46" s="132">
        <v>0</v>
      </c>
      <c r="M46" s="96">
        <v>0</v>
      </c>
      <c r="N46" s="96">
        <v>56</v>
      </c>
      <c r="O46" s="96">
        <v>82</v>
      </c>
      <c r="P46" s="100">
        <v>57</v>
      </c>
      <c r="Q46" s="101">
        <f t="shared" si="7"/>
        <v>435</v>
      </c>
      <c r="R46" s="101">
        <f t="shared" si="8"/>
        <v>45</v>
      </c>
      <c r="S46" s="102"/>
    </row>
    <row r="47" spans="1:24" ht="15" customHeight="1" x14ac:dyDescent="0.75">
      <c r="A47" s="93">
        <v>666536</v>
      </c>
      <c r="B47" s="94" t="s">
        <v>42</v>
      </c>
      <c r="C47" s="134" t="s">
        <v>41</v>
      </c>
      <c r="D47" s="128">
        <v>0</v>
      </c>
      <c r="E47" s="129">
        <f t="shared" si="5"/>
        <v>0</v>
      </c>
      <c r="F47" s="96">
        <v>0</v>
      </c>
      <c r="G47" s="96">
        <v>0</v>
      </c>
      <c r="H47" s="96">
        <v>0</v>
      </c>
      <c r="I47" s="96">
        <v>0</v>
      </c>
      <c r="J47" s="130">
        <v>0</v>
      </c>
      <c r="K47" s="131">
        <f t="shared" si="6"/>
        <v>0</v>
      </c>
      <c r="L47" s="132">
        <v>0</v>
      </c>
      <c r="M47" s="96">
        <v>0</v>
      </c>
      <c r="N47" s="96">
        <v>0</v>
      </c>
      <c r="O47" s="96">
        <v>0</v>
      </c>
      <c r="P47" s="100">
        <v>0</v>
      </c>
      <c r="Q47" s="101">
        <f t="shared" si="7"/>
        <v>0</v>
      </c>
      <c r="R47" s="101">
        <f t="shared" si="8"/>
        <v>0</v>
      </c>
      <c r="S47" s="102">
        <f>+R47/3</f>
        <v>0</v>
      </c>
      <c r="X47" s="79" t="s">
        <v>152</v>
      </c>
    </row>
    <row r="48" spans="1:24" ht="15" customHeight="1" x14ac:dyDescent="0.75">
      <c r="A48" s="135"/>
      <c r="B48" s="136"/>
      <c r="C48" s="134"/>
      <c r="D48" s="137"/>
      <c r="E48" s="137"/>
      <c r="F48" s="138"/>
      <c r="G48" s="139"/>
      <c r="H48" s="139"/>
      <c r="I48" s="139"/>
      <c r="J48" s="139"/>
      <c r="K48" s="140"/>
      <c r="L48" s="139"/>
      <c r="M48" s="139"/>
      <c r="N48" s="139"/>
      <c r="O48" s="139"/>
      <c r="P48" s="141"/>
      <c r="Q48" s="101"/>
      <c r="R48" s="101"/>
      <c r="S48" s="102"/>
    </row>
    <row r="49" spans="1:18" ht="15" customHeight="1" x14ac:dyDescent="0.75">
      <c r="A49" s="3" t="str">
        <f>+A1</f>
        <v>Weeks of 02/23/2026 &amp; 3/02/2026</v>
      </c>
      <c r="B49" s="3"/>
      <c r="C49" s="3"/>
      <c r="D49" s="3"/>
      <c r="E49" s="3"/>
      <c r="F49" s="142"/>
      <c r="G49" s="81"/>
      <c r="H49" s="81"/>
      <c r="I49" s="81"/>
      <c r="J49" s="81"/>
      <c r="K49" s="81"/>
      <c r="L49" s="81"/>
      <c r="M49" s="81"/>
      <c r="N49" s="81"/>
      <c r="O49" s="81"/>
      <c r="P49" s="82"/>
      <c r="Q49" s="101"/>
    </row>
    <row r="50" spans="1:18" ht="36.75" customHeight="1" x14ac:dyDescent="0.75">
      <c r="A50" s="83"/>
      <c r="B50" s="143" t="s">
        <v>66</v>
      </c>
      <c r="C50" s="144"/>
      <c r="D50" s="86" t="s">
        <v>122</v>
      </c>
      <c r="E50" s="86" t="s">
        <v>173</v>
      </c>
      <c r="F50" s="88" t="s">
        <v>162</v>
      </c>
      <c r="G50" s="86" t="s">
        <v>163</v>
      </c>
      <c r="H50" s="87" t="s">
        <v>164</v>
      </c>
      <c r="I50" s="86" t="s">
        <v>165</v>
      </c>
      <c r="J50" s="86" t="s">
        <v>166</v>
      </c>
      <c r="K50" s="89" t="str">
        <f>+K26</f>
        <v>2nd wk daily goals</v>
      </c>
      <c r="L50" s="88" t="s">
        <v>162</v>
      </c>
      <c r="M50" s="86" t="s">
        <v>163</v>
      </c>
      <c r="N50" s="87" t="s">
        <v>164</v>
      </c>
      <c r="O50" s="86" t="s">
        <v>165</v>
      </c>
      <c r="P50" s="90" t="s">
        <v>166</v>
      </c>
      <c r="Q50" s="101"/>
      <c r="R50" s="92" t="s">
        <v>168</v>
      </c>
    </row>
    <row r="51" spans="1:18" ht="14.25" customHeight="1" x14ac:dyDescent="0.75">
      <c r="A51" s="93">
        <v>666501</v>
      </c>
      <c r="B51" s="94" t="s">
        <v>4</v>
      </c>
      <c r="C51" s="95" t="s">
        <v>5</v>
      </c>
      <c r="D51" s="96">
        <v>45</v>
      </c>
      <c r="E51" s="97">
        <f t="shared" ref="E51:E71" si="10">+D51/2</f>
        <v>22.5</v>
      </c>
      <c r="F51" s="96">
        <v>27</v>
      </c>
      <c r="G51" s="96">
        <v>0</v>
      </c>
      <c r="H51" s="96">
        <v>0</v>
      </c>
      <c r="I51" s="96">
        <v>18</v>
      </c>
      <c r="J51" s="96">
        <v>0</v>
      </c>
      <c r="K51" s="99">
        <f t="shared" ref="K51:K71" si="11">(+D51-SUM(F51:J51))/4</f>
        <v>0</v>
      </c>
      <c r="L51" s="96">
        <v>0</v>
      </c>
      <c r="M51" s="96">
        <v>0</v>
      </c>
      <c r="N51" s="96">
        <v>0</v>
      </c>
      <c r="O51" s="96">
        <v>0</v>
      </c>
      <c r="P51" s="100">
        <v>0</v>
      </c>
      <c r="Q51" s="101">
        <f t="shared" ref="Q51:Q71" si="12">SUM(F51:J51)+SUM(L51:P51)</f>
        <v>45</v>
      </c>
      <c r="R51" s="101">
        <f t="shared" ref="R51:R71" si="13">+D51-Q51</f>
        <v>0</v>
      </c>
    </row>
    <row r="52" spans="1:18" ht="14.25" customHeight="1" x14ac:dyDescent="0.75">
      <c r="A52" s="93">
        <v>666502</v>
      </c>
      <c r="B52" s="94" t="s">
        <v>6</v>
      </c>
      <c r="C52" s="95" t="s">
        <v>7</v>
      </c>
      <c r="D52" s="96">
        <v>50</v>
      </c>
      <c r="E52" s="97">
        <f t="shared" si="10"/>
        <v>25</v>
      </c>
      <c r="F52" s="96">
        <v>0</v>
      </c>
      <c r="G52" s="96">
        <v>0</v>
      </c>
      <c r="H52" s="96">
        <v>0</v>
      </c>
      <c r="I52" s="96">
        <v>10</v>
      </c>
      <c r="J52" s="96">
        <v>0</v>
      </c>
      <c r="K52" s="99">
        <f t="shared" si="11"/>
        <v>10</v>
      </c>
      <c r="L52" s="96">
        <v>37</v>
      </c>
      <c r="M52" s="96">
        <v>0</v>
      </c>
      <c r="N52" s="96">
        <v>0</v>
      </c>
      <c r="O52" s="96">
        <v>3</v>
      </c>
      <c r="P52" s="100">
        <v>0</v>
      </c>
      <c r="Q52" s="101">
        <f t="shared" si="12"/>
        <v>50</v>
      </c>
      <c r="R52" s="101">
        <f t="shared" si="13"/>
        <v>0</v>
      </c>
    </row>
    <row r="53" spans="1:18" ht="14.25" customHeight="1" x14ac:dyDescent="0.75">
      <c r="A53" s="93">
        <v>666505</v>
      </c>
      <c r="B53" s="94" t="s">
        <v>8</v>
      </c>
      <c r="C53" s="95" t="s">
        <v>9</v>
      </c>
      <c r="D53" s="96">
        <v>44</v>
      </c>
      <c r="E53" s="97">
        <f t="shared" si="10"/>
        <v>22</v>
      </c>
      <c r="F53" s="96">
        <v>30</v>
      </c>
      <c r="G53" s="96">
        <v>0</v>
      </c>
      <c r="H53" s="96">
        <v>0</v>
      </c>
      <c r="I53" s="96">
        <v>14</v>
      </c>
      <c r="J53" s="96">
        <v>0</v>
      </c>
      <c r="K53" s="99">
        <f t="shared" si="11"/>
        <v>0</v>
      </c>
      <c r="L53" s="96">
        <v>0</v>
      </c>
      <c r="M53" s="96">
        <v>0</v>
      </c>
      <c r="N53" s="96">
        <v>0</v>
      </c>
      <c r="O53" s="96">
        <v>0</v>
      </c>
      <c r="P53" s="100">
        <v>0</v>
      </c>
      <c r="Q53" s="101">
        <f t="shared" si="12"/>
        <v>44</v>
      </c>
      <c r="R53" s="101">
        <f t="shared" si="13"/>
        <v>0</v>
      </c>
    </row>
    <row r="54" spans="1:18" ht="14.25" customHeight="1" x14ac:dyDescent="0.75">
      <c r="A54" s="93">
        <v>666506</v>
      </c>
      <c r="B54" s="94" t="s">
        <v>10</v>
      </c>
      <c r="C54" s="95" t="s">
        <v>11</v>
      </c>
      <c r="D54" s="96">
        <v>0</v>
      </c>
      <c r="E54" s="97">
        <f t="shared" si="10"/>
        <v>0</v>
      </c>
      <c r="F54" s="96">
        <v>0</v>
      </c>
      <c r="G54" s="96">
        <v>0</v>
      </c>
      <c r="H54" s="96">
        <v>0</v>
      </c>
      <c r="I54" s="96">
        <v>0</v>
      </c>
      <c r="J54" s="96">
        <v>0</v>
      </c>
      <c r="K54" s="99">
        <f t="shared" si="11"/>
        <v>0</v>
      </c>
      <c r="L54" s="96">
        <v>0</v>
      </c>
      <c r="M54" s="96">
        <v>0</v>
      </c>
      <c r="N54" s="96">
        <v>0</v>
      </c>
      <c r="O54" s="96">
        <v>0</v>
      </c>
      <c r="P54" s="100">
        <v>0</v>
      </c>
      <c r="Q54" s="101">
        <f t="shared" si="12"/>
        <v>0</v>
      </c>
      <c r="R54" s="101">
        <f t="shared" si="13"/>
        <v>0</v>
      </c>
    </row>
    <row r="55" spans="1:18" ht="14.25" customHeight="1" x14ac:dyDescent="0.75">
      <c r="A55" s="93">
        <v>666507</v>
      </c>
      <c r="B55" s="94" t="s">
        <v>12</v>
      </c>
      <c r="C55" s="95" t="s">
        <v>13</v>
      </c>
      <c r="D55" s="96">
        <v>0</v>
      </c>
      <c r="E55" s="97">
        <f t="shared" si="10"/>
        <v>0</v>
      </c>
      <c r="F55" s="96">
        <v>0</v>
      </c>
      <c r="G55" s="96">
        <v>0</v>
      </c>
      <c r="H55" s="96">
        <v>0</v>
      </c>
      <c r="I55" s="96">
        <v>0</v>
      </c>
      <c r="J55" s="96">
        <v>0</v>
      </c>
      <c r="K55" s="99">
        <f t="shared" si="11"/>
        <v>0</v>
      </c>
      <c r="L55" s="96">
        <v>0</v>
      </c>
      <c r="M55" s="96">
        <v>0</v>
      </c>
      <c r="N55" s="96">
        <v>0</v>
      </c>
      <c r="O55" s="96">
        <v>0</v>
      </c>
      <c r="P55" s="100">
        <v>0</v>
      </c>
      <c r="Q55" s="101">
        <f t="shared" si="12"/>
        <v>0</v>
      </c>
      <c r="R55" s="101">
        <f t="shared" si="13"/>
        <v>0</v>
      </c>
    </row>
    <row r="56" spans="1:18" ht="14.25" customHeight="1" x14ac:dyDescent="0.75">
      <c r="A56" s="93">
        <v>666509</v>
      </c>
      <c r="B56" s="94" t="s">
        <v>14</v>
      </c>
      <c r="C56" s="95" t="s">
        <v>15</v>
      </c>
      <c r="D56" s="96">
        <v>0</v>
      </c>
      <c r="E56" s="97">
        <f t="shared" si="10"/>
        <v>0</v>
      </c>
      <c r="F56" s="96">
        <v>0</v>
      </c>
      <c r="G56" s="96">
        <v>0</v>
      </c>
      <c r="H56" s="96">
        <v>0</v>
      </c>
      <c r="I56" s="96">
        <v>0</v>
      </c>
      <c r="J56" s="96">
        <v>0</v>
      </c>
      <c r="K56" s="99">
        <f t="shared" si="11"/>
        <v>0</v>
      </c>
      <c r="L56" s="96">
        <v>0</v>
      </c>
      <c r="M56" s="96">
        <v>0</v>
      </c>
      <c r="N56" s="96">
        <v>0</v>
      </c>
      <c r="O56" s="96">
        <v>0</v>
      </c>
      <c r="P56" s="100">
        <v>0</v>
      </c>
      <c r="Q56" s="101">
        <f t="shared" si="12"/>
        <v>0</v>
      </c>
      <c r="R56" s="101">
        <f t="shared" si="13"/>
        <v>0</v>
      </c>
    </row>
    <row r="57" spans="1:18" ht="14.25" customHeight="1" x14ac:dyDescent="0.75">
      <c r="A57" s="93">
        <v>666510</v>
      </c>
      <c r="B57" s="94" t="s">
        <v>16</v>
      </c>
      <c r="C57" s="95" t="s">
        <v>169</v>
      </c>
      <c r="D57" s="96">
        <v>0</v>
      </c>
      <c r="E57" s="97">
        <f t="shared" si="10"/>
        <v>0</v>
      </c>
      <c r="F57" s="96">
        <v>0</v>
      </c>
      <c r="G57" s="96">
        <v>0</v>
      </c>
      <c r="H57" s="96">
        <v>0</v>
      </c>
      <c r="I57" s="96">
        <v>0</v>
      </c>
      <c r="J57" s="96">
        <v>0</v>
      </c>
      <c r="K57" s="99">
        <f t="shared" si="11"/>
        <v>0</v>
      </c>
      <c r="L57" s="96">
        <v>0</v>
      </c>
      <c r="M57" s="96">
        <v>0</v>
      </c>
      <c r="N57" s="96">
        <v>0</v>
      </c>
      <c r="O57" s="96">
        <v>0</v>
      </c>
      <c r="P57" s="100">
        <v>0</v>
      </c>
      <c r="Q57" s="101">
        <f t="shared" si="12"/>
        <v>0</v>
      </c>
      <c r="R57" s="101">
        <f t="shared" si="13"/>
        <v>0</v>
      </c>
    </row>
    <row r="58" spans="1:18" ht="14.25" customHeight="1" x14ac:dyDescent="0.75">
      <c r="A58" s="93">
        <v>666511</v>
      </c>
      <c r="B58" s="94" t="s">
        <v>18</v>
      </c>
      <c r="C58" s="95" t="s">
        <v>19</v>
      </c>
      <c r="D58" s="96">
        <v>0</v>
      </c>
      <c r="E58" s="97">
        <f t="shared" si="10"/>
        <v>0</v>
      </c>
      <c r="F58" s="96">
        <v>0</v>
      </c>
      <c r="G58" s="96">
        <v>0</v>
      </c>
      <c r="H58" s="96">
        <v>0</v>
      </c>
      <c r="I58" s="96">
        <v>0</v>
      </c>
      <c r="J58" s="96">
        <v>0</v>
      </c>
      <c r="K58" s="99">
        <f t="shared" si="11"/>
        <v>0</v>
      </c>
      <c r="L58" s="96">
        <v>0</v>
      </c>
      <c r="M58" s="96">
        <v>0</v>
      </c>
      <c r="N58" s="96">
        <v>0</v>
      </c>
      <c r="O58" s="96">
        <v>0</v>
      </c>
      <c r="P58" s="100">
        <v>0</v>
      </c>
      <c r="Q58" s="101">
        <f t="shared" si="12"/>
        <v>0</v>
      </c>
      <c r="R58" s="101">
        <f t="shared" si="13"/>
        <v>0</v>
      </c>
    </row>
    <row r="59" spans="1:18" ht="14.25" customHeight="1" x14ac:dyDescent="0.75">
      <c r="A59" s="93">
        <v>666513</v>
      </c>
      <c r="B59" s="94" t="s">
        <v>20</v>
      </c>
      <c r="C59" s="95" t="s">
        <v>21</v>
      </c>
      <c r="D59" s="96">
        <v>0</v>
      </c>
      <c r="E59" s="97">
        <f t="shared" si="10"/>
        <v>0</v>
      </c>
      <c r="F59" s="96">
        <v>0</v>
      </c>
      <c r="G59" s="96">
        <v>0</v>
      </c>
      <c r="H59" s="96">
        <v>0</v>
      </c>
      <c r="I59" s="96">
        <v>0</v>
      </c>
      <c r="J59" s="96">
        <v>0</v>
      </c>
      <c r="K59" s="99">
        <f t="shared" si="11"/>
        <v>0</v>
      </c>
      <c r="L59" s="96">
        <v>0</v>
      </c>
      <c r="M59" s="96">
        <v>0</v>
      </c>
      <c r="N59" s="96">
        <v>0</v>
      </c>
      <c r="O59" s="96">
        <v>0</v>
      </c>
      <c r="P59" s="100">
        <v>0</v>
      </c>
      <c r="Q59" s="101">
        <f t="shared" si="12"/>
        <v>0</v>
      </c>
      <c r="R59" s="101">
        <f t="shared" si="13"/>
        <v>0</v>
      </c>
    </row>
    <row r="60" spans="1:18" ht="14.25" customHeight="1" x14ac:dyDescent="0.75">
      <c r="A60" s="93">
        <v>666516</v>
      </c>
      <c r="B60" s="94" t="s">
        <v>22</v>
      </c>
      <c r="C60" s="95" t="s">
        <v>23</v>
      </c>
      <c r="D60" s="96">
        <v>34</v>
      </c>
      <c r="E60" s="97">
        <f t="shared" si="10"/>
        <v>17</v>
      </c>
      <c r="F60" s="96">
        <v>21</v>
      </c>
      <c r="G60" s="96">
        <v>0</v>
      </c>
      <c r="H60" s="96">
        <v>0</v>
      </c>
      <c r="I60" s="96">
        <v>13</v>
      </c>
      <c r="J60" s="96">
        <v>0</v>
      </c>
      <c r="K60" s="99">
        <f t="shared" si="11"/>
        <v>0</v>
      </c>
      <c r="L60" s="96">
        <v>0</v>
      </c>
      <c r="M60" s="96">
        <v>0</v>
      </c>
      <c r="N60" s="96">
        <v>0</v>
      </c>
      <c r="O60" s="96">
        <v>0</v>
      </c>
      <c r="P60" s="100">
        <v>0</v>
      </c>
      <c r="Q60" s="101">
        <f t="shared" si="12"/>
        <v>34</v>
      </c>
      <c r="R60" s="101">
        <f t="shared" si="13"/>
        <v>0</v>
      </c>
    </row>
    <row r="61" spans="1:18" ht="14.25" customHeight="1" x14ac:dyDescent="0.75">
      <c r="A61" s="93">
        <v>666517</v>
      </c>
      <c r="B61" s="94" t="s">
        <v>24</v>
      </c>
      <c r="C61" s="95" t="s">
        <v>25</v>
      </c>
      <c r="D61" s="96">
        <v>20</v>
      </c>
      <c r="E61" s="97">
        <f t="shared" si="10"/>
        <v>10</v>
      </c>
      <c r="F61" s="96">
        <v>20</v>
      </c>
      <c r="G61" s="96">
        <v>0</v>
      </c>
      <c r="H61" s="96">
        <v>0</v>
      </c>
      <c r="I61" s="96">
        <v>0</v>
      </c>
      <c r="J61" s="96">
        <v>0</v>
      </c>
      <c r="K61" s="99">
        <f t="shared" si="11"/>
        <v>0</v>
      </c>
      <c r="L61" s="96">
        <v>0</v>
      </c>
      <c r="M61" s="96">
        <v>0</v>
      </c>
      <c r="N61" s="96">
        <v>0</v>
      </c>
      <c r="O61" s="96">
        <v>0</v>
      </c>
      <c r="P61" s="100">
        <v>0</v>
      </c>
      <c r="Q61" s="101">
        <f t="shared" si="12"/>
        <v>20</v>
      </c>
      <c r="R61" s="101">
        <f t="shared" si="13"/>
        <v>0</v>
      </c>
    </row>
    <row r="62" spans="1:18" ht="14.25" customHeight="1" x14ac:dyDescent="0.75">
      <c r="A62" s="93">
        <v>666518</v>
      </c>
      <c r="B62" s="94" t="s">
        <v>26</v>
      </c>
      <c r="C62" s="95" t="s">
        <v>27</v>
      </c>
      <c r="D62" s="96">
        <v>0</v>
      </c>
      <c r="E62" s="97">
        <f t="shared" si="10"/>
        <v>0</v>
      </c>
      <c r="F62" s="96">
        <v>0</v>
      </c>
      <c r="G62" s="96">
        <v>0</v>
      </c>
      <c r="H62" s="96">
        <v>0</v>
      </c>
      <c r="I62" s="96">
        <v>0</v>
      </c>
      <c r="J62" s="96">
        <v>0</v>
      </c>
      <c r="K62" s="99">
        <f t="shared" si="11"/>
        <v>0</v>
      </c>
      <c r="L62" s="96">
        <v>0</v>
      </c>
      <c r="M62" s="96">
        <v>0</v>
      </c>
      <c r="N62" s="96">
        <v>0</v>
      </c>
      <c r="O62" s="96">
        <v>0</v>
      </c>
      <c r="P62" s="100">
        <v>0</v>
      </c>
      <c r="Q62" s="101">
        <f t="shared" si="12"/>
        <v>0</v>
      </c>
      <c r="R62" s="101">
        <f t="shared" si="13"/>
        <v>0</v>
      </c>
    </row>
    <row r="63" spans="1:18" ht="14.25" customHeight="1" x14ac:dyDescent="0.75">
      <c r="A63" s="93">
        <v>666519</v>
      </c>
      <c r="B63" s="94" t="s">
        <v>28</v>
      </c>
      <c r="C63" s="95" t="s">
        <v>29</v>
      </c>
      <c r="D63" s="96">
        <v>33</v>
      </c>
      <c r="E63" s="97">
        <f t="shared" si="10"/>
        <v>16.5</v>
      </c>
      <c r="F63" s="96">
        <v>31</v>
      </c>
      <c r="G63" s="96">
        <v>0</v>
      </c>
      <c r="H63" s="96">
        <v>0</v>
      </c>
      <c r="I63" s="96">
        <v>2</v>
      </c>
      <c r="J63" s="96">
        <v>0</v>
      </c>
      <c r="K63" s="99">
        <f t="shared" si="11"/>
        <v>0</v>
      </c>
      <c r="L63" s="96">
        <v>0</v>
      </c>
      <c r="M63" s="96">
        <v>0</v>
      </c>
      <c r="N63" s="96">
        <v>0</v>
      </c>
      <c r="O63" s="96">
        <v>0</v>
      </c>
      <c r="P63" s="100">
        <v>0</v>
      </c>
      <c r="Q63" s="101">
        <f t="shared" si="12"/>
        <v>33</v>
      </c>
      <c r="R63" s="101">
        <f t="shared" si="13"/>
        <v>0</v>
      </c>
    </row>
    <row r="64" spans="1:18" ht="14.25" customHeight="1" x14ac:dyDescent="0.75">
      <c r="A64" s="93">
        <v>666521</v>
      </c>
      <c r="B64" s="94" t="s">
        <v>30</v>
      </c>
      <c r="C64" s="95" t="s">
        <v>31</v>
      </c>
      <c r="D64" s="96">
        <v>0</v>
      </c>
      <c r="E64" s="97">
        <f t="shared" si="10"/>
        <v>0</v>
      </c>
      <c r="F64" s="96">
        <v>0</v>
      </c>
      <c r="G64" s="96">
        <v>0</v>
      </c>
      <c r="H64" s="96">
        <v>0</v>
      </c>
      <c r="I64" s="96">
        <v>0</v>
      </c>
      <c r="J64" s="96">
        <v>0</v>
      </c>
      <c r="K64" s="99">
        <f t="shared" si="11"/>
        <v>0</v>
      </c>
      <c r="L64" s="96">
        <v>0</v>
      </c>
      <c r="M64" s="96">
        <v>0</v>
      </c>
      <c r="N64" s="96">
        <v>0</v>
      </c>
      <c r="O64" s="96">
        <v>0</v>
      </c>
      <c r="P64" s="100">
        <v>0</v>
      </c>
      <c r="Q64" s="101">
        <f t="shared" si="12"/>
        <v>0</v>
      </c>
      <c r="R64" s="101">
        <f t="shared" si="13"/>
        <v>0</v>
      </c>
    </row>
    <row r="65" spans="1:18" ht="14.25" customHeight="1" x14ac:dyDescent="0.75">
      <c r="A65" s="93">
        <v>666522</v>
      </c>
      <c r="B65" s="94" t="s">
        <v>32</v>
      </c>
      <c r="C65" s="95" t="s">
        <v>33</v>
      </c>
      <c r="D65" s="96">
        <v>40</v>
      </c>
      <c r="E65" s="97">
        <f t="shared" si="10"/>
        <v>20</v>
      </c>
      <c r="F65" s="96">
        <v>40</v>
      </c>
      <c r="G65" s="96">
        <v>0</v>
      </c>
      <c r="H65" s="96">
        <v>0</v>
      </c>
      <c r="I65" s="96">
        <v>0</v>
      </c>
      <c r="J65" s="96">
        <v>0</v>
      </c>
      <c r="K65" s="99">
        <f t="shared" si="11"/>
        <v>0</v>
      </c>
      <c r="L65" s="96">
        <v>0</v>
      </c>
      <c r="M65" s="96">
        <v>0</v>
      </c>
      <c r="N65" s="96">
        <v>0</v>
      </c>
      <c r="O65" s="96">
        <v>0</v>
      </c>
      <c r="P65" s="100">
        <v>0</v>
      </c>
      <c r="Q65" s="101">
        <f t="shared" si="12"/>
        <v>40</v>
      </c>
      <c r="R65" s="101">
        <f t="shared" si="13"/>
        <v>0</v>
      </c>
    </row>
    <row r="66" spans="1:18" ht="14.25" customHeight="1" x14ac:dyDescent="0.75">
      <c r="A66" s="93">
        <v>666523</v>
      </c>
      <c r="B66" s="94" t="s">
        <v>34</v>
      </c>
      <c r="C66" s="95" t="s">
        <v>35</v>
      </c>
      <c r="D66" s="96">
        <v>10</v>
      </c>
      <c r="E66" s="97">
        <f t="shared" si="10"/>
        <v>5</v>
      </c>
      <c r="F66" s="96">
        <v>10</v>
      </c>
      <c r="G66" s="96">
        <v>0</v>
      </c>
      <c r="H66" s="96">
        <v>0</v>
      </c>
      <c r="I66" s="96">
        <v>0</v>
      </c>
      <c r="J66" s="96">
        <v>0</v>
      </c>
      <c r="K66" s="99">
        <f t="shared" si="11"/>
        <v>0</v>
      </c>
      <c r="L66" s="96">
        <v>0</v>
      </c>
      <c r="M66" s="96">
        <v>0</v>
      </c>
      <c r="N66" s="96">
        <v>0</v>
      </c>
      <c r="O66" s="96">
        <v>0</v>
      </c>
      <c r="P66" s="100">
        <v>0</v>
      </c>
      <c r="Q66" s="101">
        <f t="shared" si="12"/>
        <v>10</v>
      </c>
      <c r="R66" s="101">
        <f t="shared" si="13"/>
        <v>0</v>
      </c>
    </row>
    <row r="67" spans="1:18" ht="14.25" customHeight="1" x14ac:dyDescent="0.75">
      <c r="A67" s="93">
        <v>666530</v>
      </c>
      <c r="B67" s="94" t="s">
        <v>36</v>
      </c>
      <c r="C67" s="95" t="s">
        <v>37</v>
      </c>
      <c r="D67" s="96">
        <v>15</v>
      </c>
      <c r="E67" s="97">
        <f t="shared" si="10"/>
        <v>7.5</v>
      </c>
      <c r="F67" s="96">
        <v>12</v>
      </c>
      <c r="G67" s="96">
        <v>0</v>
      </c>
      <c r="H67" s="96">
        <v>0</v>
      </c>
      <c r="I67" s="96">
        <v>3</v>
      </c>
      <c r="J67" s="96">
        <v>0</v>
      </c>
      <c r="K67" s="99">
        <f t="shared" si="11"/>
        <v>0</v>
      </c>
      <c r="L67" s="96">
        <v>0</v>
      </c>
      <c r="M67" s="96">
        <v>0</v>
      </c>
      <c r="N67" s="96">
        <v>0</v>
      </c>
      <c r="O67" s="96">
        <v>0</v>
      </c>
      <c r="P67" s="100">
        <v>0</v>
      </c>
      <c r="Q67" s="101">
        <f t="shared" si="12"/>
        <v>15</v>
      </c>
      <c r="R67" s="101">
        <f t="shared" si="13"/>
        <v>0</v>
      </c>
    </row>
    <row r="68" spans="1:18" ht="14.25" customHeight="1" x14ac:dyDescent="0.75">
      <c r="A68" s="93">
        <v>666531</v>
      </c>
      <c r="B68" s="94" t="s">
        <v>38</v>
      </c>
      <c r="C68" s="95" t="s">
        <v>39</v>
      </c>
      <c r="D68" s="96">
        <v>8</v>
      </c>
      <c r="E68" s="97">
        <f t="shared" si="10"/>
        <v>4</v>
      </c>
      <c r="F68" s="96">
        <v>8</v>
      </c>
      <c r="G68" s="96">
        <v>0</v>
      </c>
      <c r="H68" s="96">
        <v>0</v>
      </c>
      <c r="I68" s="96">
        <v>0</v>
      </c>
      <c r="J68" s="96">
        <v>0</v>
      </c>
      <c r="K68" s="99">
        <f t="shared" si="11"/>
        <v>0</v>
      </c>
      <c r="L68" s="96">
        <v>0</v>
      </c>
      <c r="M68" s="96">
        <v>0</v>
      </c>
      <c r="N68" s="96">
        <v>0</v>
      </c>
      <c r="O68" s="96">
        <v>0</v>
      </c>
      <c r="P68" s="100">
        <v>0</v>
      </c>
      <c r="Q68" s="101">
        <f t="shared" si="12"/>
        <v>8</v>
      </c>
      <c r="R68" s="101">
        <f t="shared" si="13"/>
        <v>0</v>
      </c>
    </row>
    <row r="69" spans="1:18" ht="14.25" customHeight="1" x14ac:dyDescent="0.75">
      <c r="A69" s="93">
        <v>666540</v>
      </c>
      <c r="B69" s="94" t="s">
        <v>40</v>
      </c>
      <c r="C69" s="95" t="s">
        <v>40</v>
      </c>
      <c r="D69" s="96">
        <v>0</v>
      </c>
      <c r="E69" s="97">
        <f t="shared" si="10"/>
        <v>0</v>
      </c>
      <c r="F69" s="96">
        <v>0</v>
      </c>
      <c r="G69" s="96">
        <v>0</v>
      </c>
      <c r="H69" s="96">
        <v>0</v>
      </c>
      <c r="I69" s="96">
        <v>0</v>
      </c>
      <c r="J69" s="96">
        <v>0</v>
      </c>
      <c r="K69" s="99">
        <f t="shared" si="11"/>
        <v>0</v>
      </c>
      <c r="L69" s="96">
        <v>0</v>
      </c>
      <c r="M69" s="96">
        <v>0</v>
      </c>
      <c r="N69" s="96">
        <v>0</v>
      </c>
      <c r="O69" s="96">
        <v>0</v>
      </c>
      <c r="P69" s="100">
        <v>0</v>
      </c>
      <c r="Q69" s="101">
        <f t="shared" si="12"/>
        <v>0</v>
      </c>
      <c r="R69" s="101">
        <f t="shared" si="13"/>
        <v>0</v>
      </c>
    </row>
    <row r="70" spans="1:18" ht="15" customHeight="1" x14ac:dyDescent="0.75">
      <c r="A70" s="93">
        <v>666541</v>
      </c>
      <c r="B70" s="109" t="s">
        <v>41</v>
      </c>
      <c r="C70" s="95" t="s">
        <v>41</v>
      </c>
      <c r="D70" s="96">
        <v>0</v>
      </c>
      <c r="E70" s="97">
        <f t="shared" si="10"/>
        <v>0</v>
      </c>
      <c r="F70" s="96">
        <v>0</v>
      </c>
      <c r="G70" s="96">
        <v>0</v>
      </c>
      <c r="H70" s="96">
        <v>0</v>
      </c>
      <c r="I70" s="96">
        <v>0</v>
      </c>
      <c r="J70" s="96">
        <v>0</v>
      </c>
      <c r="K70" s="99">
        <f t="shared" si="11"/>
        <v>0</v>
      </c>
      <c r="L70" s="96">
        <v>0</v>
      </c>
      <c r="M70" s="96">
        <v>0</v>
      </c>
      <c r="N70" s="96">
        <v>0</v>
      </c>
      <c r="O70" s="96">
        <v>0</v>
      </c>
      <c r="P70" s="100">
        <v>0</v>
      </c>
      <c r="Q70" s="101">
        <f t="shared" si="12"/>
        <v>0</v>
      </c>
      <c r="R70" s="101">
        <f t="shared" si="13"/>
        <v>0</v>
      </c>
    </row>
    <row r="71" spans="1:18" ht="15" customHeight="1" x14ac:dyDescent="0.75">
      <c r="A71" s="108">
        <v>666536</v>
      </c>
      <c r="B71" s="109" t="s">
        <v>42</v>
      </c>
      <c r="C71" s="103" t="s">
        <v>41</v>
      </c>
      <c r="D71" s="104">
        <v>0</v>
      </c>
      <c r="E71" s="111">
        <f t="shared" si="10"/>
        <v>0</v>
      </c>
      <c r="F71" s="104">
        <v>0</v>
      </c>
      <c r="G71" s="104">
        <v>0</v>
      </c>
      <c r="H71" s="104">
        <v>0</v>
      </c>
      <c r="I71" s="104">
        <v>0</v>
      </c>
      <c r="J71" s="104">
        <v>0</v>
      </c>
      <c r="K71" s="106">
        <f t="shared" si="11"/>
        <v>0</v>
      </c>
      <c r="L71" s="96">
        <v>0</v>
      </c>
      <c r="M71" s="96">
        <v>0</v>
      </c>
      <c r="N71" s="96">
        <v>0</v>
      </c>
      <c r="O71" s="96">
        <v>0</v>
      </c>
      <c r="P71" s="100">
        <v>0</v>
      </c>
      <c r="Q71" s="101">
        <f t="shared" si="12"/>
        <v>0</v>
      </c>
      <c r="R71" s="101">
        <f t="shared" si="13"/>
        <v>0</v>
      </c>
    </row>
  </sheetData>
  <mergeCells count="3">
    <mergeCell ref="A1:E1"/>
    <mergeCell ref="A25:E25"/>
    <mergeCell ref="A49:E49"/>
  </mergeCells>
  <conditionalFormatting sqref="F24 H24 J24">
    <cfRule type="expression" dxfId="215" priority="2">
      <formula>#REF!=F24</formula>
    </cfRule>
    <cfRule type="expression" dxfId="214" priority="3">
      <formula>#REF!&lt;F24</formula>
    </cfRule>
    <cfRule type="expression" dxfId="213" priority="4">
      <formula>#REF!&gt;F24</formula>
    </cfRule>
  </conditionalFormatting>
  <conditionalFormatting sqref="Q3">
    <cfRule type="cellIs" dxfId="212" priority="8" operator="equal">
      <formula>$D$3</formula>
    </cfRule>
  </conditionalFormatting>
  <conditionalFormatting sqref="Q5:Q23">
    <cfRule type="cellIs" dxfId="211" priority="7" operator="equal">
      <formula>$D$3</formula>
    </cfRule>
  </conditionalFormatting>
  <conditionalFormatting sqref="Q8">
    <cfRule type="cellIs" dxfId="210" priority="5" operator="lessThan">
      <formula>$D$8</formula>
    </cfRule>
    <cfRule type="cellIs" dxfId="209" priority="6" operator="equal">
      <formula>$D$8</formula>
    </cfRule>
  </conditionalFormatting>
  <pageMargins left="0.7" right="0.7" top="0.75" bottom="0.75" header="0.511811023622047" footer="0.511811023622047"/>
  <pageSetup scale="150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S26"/>
  <sheetViews>
    <sheetView topLeftCell="A2" zoomScaleNormal="100" workbookViewId="0">
      <selection activeCell="A2" sqref="A2"/>
    </sheetView>
  </sheetViews>
  <sheetFormatPr defaultColWidth="8.54296875" defaultRowHeight="14.75" x14ac:dyDescent="0.75"/>
  <cols>
    <col min="2" max="2" width="35" customWidth="1"/>
    <col min="3" max="3" width="14.6328125" hidden="1" customWidth="1"/>
    <col min="4" max="4" width="7.86328125" hidden="1" customWidth="1"/>
  </cols>
  <sheetData>
    <row r="1" spans="1:12" ht="14.25" customHeight="1" x14ac:dyDescent="0.75">
      <c r="C1" s="145" t="s">
        <v>174</v>
      </c>
    </row>
    <row r="2" spans="1:12" ht="28.5" customHeight="1" x14ac:dyDescent="0.75">
      <c r="A2" s="51"/>
      <c r="B2" s="51" t="s">
        <v>178</v>
      </c>
      <c r="C2" s="51"/>
      <c r="D2" s="51" t="s">
        <v>144</v>
      </c>
      <c r="E2" s="53" t="s">
        <v>116</v>
      </c>
      <c r="F2" s="53" t="s">
        <v>145</v>
      </c>
      <c r="G2" s="56" t="s">
        <v>119</v>
      </c>
      <c r="H2" s="53" t="s">
        <v>146</v>
      </c>
      <c r="I2" s="51" t="s">
        <v>122</v>
      </c>
      <c r="J2" s="56" t="s">
        <v>147</v>
      </c>
      <c r="K2" s="51" t="s">
        <v>148</v>
      </c>
      <c r="L2" s="53" t="s">
        <v>149</v>
      </c>
    </row>
    <row r="3" spans="1:12" ht="14.25" customHeight="1" x14ac:dyDescent="0.75">
      <c r="A3" s="50"/>
      <c r="B3" s="50"/>
      <c r="C3" s="57" t="s">
        <v>150</v>
      </c>
      <c r="D3" s="57"/>
      <c r="E3" s="57"/>
      <c r="F3" s="59"/>
      <c r="G3" s="59"/>
      <c r="H3" s="59"/>
      <c r="I3" s="59"/>
      <c r="J3" s="59"/>
      <c r="K3" s="59"/>
      <c r="L3" s="59"/>
    </row>
    <row r="4" spans="1:12" ht="14.25" customHeight="1" x14ac:dyDescent="0.75">
      <c r="A4" s="62" t="s">
        <v>129</v>
      </c>
      <c r="B4" s="62" t="s">
        <v>2</v>
      </c>
      <c r="C4" s="62" t="s">
        <v>3</v>
      </c>
      <c r="D4" s="62"/>
      <c r="E4" s="62"/>
      <c r="F4" s="62"/>
      <c r="G4" s="62"/>
      <c r="H4" s="62"/>
      <c r="I4" s="62"/>
      <c r="J4" s="62"/>
      <c r="K4" s="62"/>
      <c r="L4" s="62"/>
    </row>
    <row r="5" spans="1:12" ht="14.25" customHeight="1" x14ac:dyDescent="0.75">
      <c r="A5" s="62"/>
      <c r="B5" s="62"/>
      <c r="C5" s="62" t="s">
        <v>151</v>
      </c>
      <c r="D5" s="62"/>
      <c r="E5" s="62"/>
      <c r="F5" s="50">
        <v>149</v>
      </c>
      <c r="G5" s="50"/>
      <c r="H5" s="50">
        <v>1141</v>
      </c>
      <c r="I5" s="50"/>
      <c r="J5" s="50">
        <v>152</v>
      </c>
      <c r="K5" s="62" t="s">
        <v>152</v>
      </c>
      <c r="L5" s="62">
        <f>SUM(F5:J5)</f>
        <v>1442</v>
      </c>
    </row>
    <row r="6" spans="1:12" ht="14.25" customHeight="1" x14ac:dyDescent="0.75">
      <c r="A6" s="50">
        <v>666501</v>
      </c>
      <c r="B6" s="73" t="s">
        <v>4</v>
      </c>
      <c r="C6" s="73" t="s">
        <v>5</v>
      </c>
      <c r="D6" s="50">
        <f t="shared" ref="D6:D25" si="0">+K6</f>
        <v>510</v>
      </c>
      <c r="E6" s="50">
        <v>45</v>
      </c>
      <c r="F6" s="50">
        <v>45</v>
      </c>
      <c r="G6" s="50">
        <v>420</v>
      </c>
      <c r="H6" s="50">
        <v>420</v>
      </c>
      <c r="I6" s="50">
        <v>45</v>
      </c>
      <c r="J6" s="50">
        <v>45</v>
      </c>
      <c r="K6" s="50">
        <f t="shared" ref="K6:K26" si="1">+I6+G6+E6</f>
        <v>510</v>
      </c>
      <c r="L6" s="50">
        <f t="shared" ref="L6:L26" si="2">+F6+H6+J6</f>
        <v>510</v>
      </c>
    </row>
    <row r="7" spans="1:12" ht="14.25" customHeight="1" x14ac:dyDescent="0.75">
      <c r="A7" s="50">
        <v>666502</v>
      </c>
      <c r="B7" s="73" t="s">
        <v>6</v>
      </c>
      <c r="C7" s="73" t="s">
        <v>7</v>
      </c>
      <c r="D7" s="50">
        <f t="shared" si="0"/>
        <v>360</v>
      </c>
      <c r="E7" s="50">
        <v>0</v>
      </c>
      <c r="F7" s="50">
        <v>0</v>
      </c>
      <c r="G7" s="50">
        <v>310</v>
      </c>
      <c r="H7" s="50">
        <v>310</v>
      </c>
      <c r="I7" s="50">
        <v>50</v>
      </c>
      <c r="J7" s="50">
        <v>50</v>
      </c>
      <c r="K7" s="50">
        <f t="shared" si="1"/>
        <v>360</v>
      </c>
      <c r="L7" s="50">
        <f t="shared" si="2"/>
        <v>360</v>
      </c>
    </row>
    <row r="8" spans="1:12" ht="14.25" customHeight="1" x14ac:dyDescent="0.75">
      <c r="A8" s="50">
        <v>666505</v>
      </c>
      <c r="B8" s="73" t="s">
        <v>8</v>
      </c>
      <c r="C8" s="73" t="s">
        <v>9</v>
      </c>
      <c r="D8" s="50">
        <f t="shared" si="0"/>
        <v>64</v>
      </c>
      <c r="E8" s="50">
        <v>20</v>
      </c>
      <c r="F8" s="50">
        <v>20</v>
      </c>
      <c r="G8" s="50">
        <v>0</v>
      </c>
      <c r="H8" s="50">
        <v>0</v>
      </c>
      <c r="I8" s="50">
        <v>44</v>
      </c>
      <c r="J8" s="50">
        <v>44</v>
      </c>
      <c r="K8" s="50">
        <f t="shared" si="1"/>
        <v>64</v>
      </c>
      <c r="L8" s="50">
        <f t="shared" si="2"/>
        <v>64</v>
      </c>
    </row>
    <row r="9" spans="1:12" ht="14.25" customHeight="1" x14ac:dyDescent="0.75">
      <c r="A9" s="50">
        <v>666506</v>
      </c>
      <c r="B9" s="73" t="s">
        <v>10</v>
      </c>
      <c r="C9" s="73" t="s">
        <v>11</v>
      </c>
      <c r="D9" s="50">
        <f t="shared" si="0"/>
        <v>200</v>
      </c>
      <c r="E9" s="50">
        <v>0</v>
      </c>
      <c r="F9" s="50">
        <v>0</v>
      </c>
      <c r="G9" s="50">
        <v>200</v>
      </c>
      <c r="H9" s="50">
        <v>200</v>
      </c>
      <c r="I9" s="50">
        <v>0</v>
      </c>
      <c r="J9" s="50">
        <v>0</v>
      </c>
      <c r="K9" s="50">
        <f t="shared" si="1"/>
        <v>200</v>
      </c>
      <c r="L9" s="50">
        <f t="shared" si="2"/>
        <v>200</v>
      </c>
    </row>
    <row r="10" spans="1:12" ht="14.25" customHeight="1" x14ac:dyDescent="0.75">
      <c r="A10" s="50">
        <v>666507</v>
      </c>
      <c r="B10" s="73" t="s">
        <v>12</v>
      </c>
      <c r="C10" s="73" t="s">
        <v>13</v>
      </c>
      <c r="D10" s="50">
        <f t="shared" si="0"/>
        <v>42</v>
      </c>
      <c r="E10" s="50">
        <v>42</v>
      </c>
      <c r="F10" s="50">
        <v>43</v>
      </c>
      <c r="G10" s="50">
        <v>0</v>
      </c>
      <c r="H10" s="50">
        <v>0</v>
      </c>
      <c r="I10" s="50">
        <v>0</v>
      </c>
      <c r="J10" s="50">
        <v>0</v>
      </c>
      <c r="K10" s="50">
        <f t="shared" si="1"/>
        <v>42</v>
      </c>
      <c r="L10" s="50">
        <f t="shared" si="2"/>
        <v>43</v>
      </c>
    </row>
    <row r="11" spans="1:12" ht="14.25" customHeight="1" x14ac:dyDescent="0.75">
      <c r="A11" s="50">
        <v>666509</v>
      </c>
      <c r="B11" s="73" t="s">
        <v>14</v>
      </c>
      <c r="C11" s="73" t="s">
        <v>15</v>
      </c>
      <c r="D11" s="50">
        <f t="shared" si="0"/>
        <v>104</v>
      </c>
      <c r="E11" s="50">
        <v>104</v>
      </c>
      <c r="F11" s="50">
        <v>104</v>
      </c>
      <c r="G11" s="50">
        <v>0</v>
      </c>
      <c r="H11" s="50">
        <v>0</v>
      </c>
      <c r="I11" s="50">
        <v>0</v>
      </c>
      <c r="J11" s="50">
        <v>0</v>
      </c>
      <c r="K11" s="50">
        <f t="shared" si="1"/>
        <v>104</v>
      </c>
      <c r="L11" s="50">
        <f t="shared" si="2"/>
        <v>104</v>
      </c>
    </row>
    <row r="12" spans="1:12" ht="14.25" customHeight="1" x14ac:dyDescent="0.75">
      <c r="A12" s="50">
        <v>666510</v>
      </c>
      <c r="B12" s="73" t="s">
        <v>16</v>
      </c>
      <c r="C12" s="73" t="s">
        <v>169</v>
      </c>
      <c r="D12" s="50">
        <f t="shared" si="0"/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f t="shared" si="1"/>
        <v>0</v>
      </c>
      <c r="L12" s="50">
        <f t="shared" si="2"/>
        <v>0</v>
      </c>
    </row>
    <row r="13" spans="1:12" ht="14.25" customHeight="1" x14ac:dyDescent="0.75">
      <c r="A13" s="50">
        <v>666511</v>
      </c>
      <c r="B13" s="73" t="s">
        <v>18</v>
      </c>
      <c r="C13" s="73" t="s">
        <v>19</v>
      </c>
      <c r="D13" s="50">
        <f t="shared" si="0"/>
        <v>8</v>
      </c>
      <c r="E13" s="50">
        <v>8</v>
      </c>
      <c r="F13" s="50">
        <v>8</v>
      </c>
      <c r="G13" s="50">
        <v>0</v>
      </c>
      <c r="H13" s="50">
        <v>0</v>
      </c>
      <c r="I13" s="50">
        <v>0</v>
      </c>
      <c r="J13" s="50">
        <v>0</v>
      </c>
      <c r="K13" s="50">
        <f t="shared" si="1"/>
        <v>8</v>
      </c>
      <c r="L13" s="50">
        <f t="shared" si="2"/>
        <v>8</v>
      </c>
    </row>
    <row r="14" spans="1:12" ht="14.25" customHeight="1" x14ac:dyDescent="0.75">
      <c r="A14" s="50">
        <v>666513</v>
      </c>
      <c r="B14" s="73" t="s">
        <v>20</v>
      </c>
      <c r="C14" s="73" t="s">
        <v>21</v>
      </c>
      <c r="D14" s="50">
        <f t="shared" si="0"/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f t="shared" si="1"/>
        <v>0</v>
      </c>
      <c r="L14" s="50">
        <f t="shared" si="2"/>
        <v>0</v>
      </c>
    </row>
    <row r="15" spans="1:12" ht="14.25" customHeight="1" x14ac:dyDescent="0.75">
      <c r="A15" s="50">
        <v>666516</v>
      </c>
      <c r="B15" s="73" t="s">
        <v>22</v>
      </c>
      <c r="C15" s="73" t="s">
        <v>23</v>
      </c>
      <c r="D15" s="50">
        <f t="shared" si="0"/>
        <v>68</v>
      </c>
      <c r="E15" s="50">
        <v>34</v>
      </c>
      <c r="F15" s="50">
        <v>34</v>
      </c>
      <c r="G15" s="50">
        <v>0</v>
      </c>
      <c r="H15" s="50">
        <v>0</v>
      </c>
      <c r="I15" s="50">
        <v>34</v>
      </c>
      <c r="J15" s="50">
        <v>34</v>
      </c>
      <c r="K15" s="50">
        <f t="shared" si="1"/>
        <v>68</v>
      </c>
      <c r="L15" s="50">
        <f t="shared" si="2"/>
        <v>68</v>
      </c>
    </row>
    <row r="16" spans="1:12" ht="14.25" customHeight="1" x14ac:dyDescent="0.75">
      <c r="A16" s="50">
        <v>666517</v>
      </c>
      <c r="B16" s="73" t="s">
        <v>24</v>
      </c>
      <c r="C16" s="73" t="s">
        <v>25</v>
      </c>
      <c r="D16" s="50">
        <f t="shared" si="0"/>
        <v>66</v>
      </c>
      <c r="E16" s="50">
        <v>46</v>
      </c>
      <c r="F16" s="50">
        <v>46</v>
      </c>
      <c r="G16" s="50">
        <v>0</v>
      </c>
      <c r="H16" s="50">
        <v>0</v>
      </c>
      <c r="I16" s="50">
        <v>20</v>
      </c>
      <c r="J16" s="50">
        <v>20</v>
      </c>
      <c r="K16" s="50">
        <f t="shared" si="1"/>
        <v>66</v>
      </c>
      <c r="L16" s="50">
        <f t="shared" si="2"/>
        <v>66</v>
      </c>
    </row>
    <row r="17" spans="1:19" ht="14.25" customHeight="1" x14ac:dyDescent="0.75">
      <c r="A17" s="50">
        <v>666518</v>
      </c>
      <c r="B17" s="73" t="s">
        <v>26</v>
      </c>
      <c r="C17" s="73" t="s">
        <v>27</v>
      </c>
      <c r="D17" s="50">
        <f t="shared" si="0"/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f t="shared" si="1"/>
        <v>0</v>
      </c>
      <c r="L17" s="50">
        <f t="shared" si="2"/>
        <v>0</v>
      </c>
    </row>
    <row r="18" spans="1:19" ht="14.25" customHeight="1" x14ac:dyDescent="0.75">
      <c r="A18" s="50">
        <v>666519</v>
      </c>
      <c r="B18" s="73" t="s">
        <v>28</v>
      </c>
      <c r="C18" s="73" t="s">
        <v>29</v>
      </c>
      <c r="D18" s="50">
        <f t="shared" si="0"/>
        <v>66</v>
      </c>
      <c r="E18" s="50">
        <v>33</v>
      </c>
      <c r="F18" s="50">
        <v>33</v>
      </c>
      <c r="G18" s="50">
        <v>0</v>
      </c>
      <c r="H18" s="50">
        <v>0</v>
      </c>
      <c r="I18" s="50">
        <v>33</v>
      </c>
      <c r="J18" s="50">
        <v>33</v>
      </c>
      <c r="K18" s="50">
        <f t="shared" si="1"/>
        <v>66</v>
      </c>
      <c r="L18" s="50">
        <f t="shared" si="2"/>
        <v>66</v>
      </c>
    </row>
    <row r="19" spans="1:19" ht="14.25" customHeight="1" x14ac:dyDescent="0.75">
      <c r="A19" s="50">
        <v>666521</v>
      </c>
      <c r="B19" s="73" t="s">
        <v>30</v>
      </c>
      <c r="C19" s="73" t="s">
        <v>31</v>
      </c>
      <c r="D19" s="50">
        <f t="shared" si="0"/>
        <v>56</v>
      </c>
      <c r="E19" s="50">
        <v>56</v>
      </c>
      <c r="F19" s="50">
        <v>54</v>
      </c>
      <c r="G19" s="50">
        <v>0</v>
      </c>
      <c r="H19" s="50">
        <v>0</v>
      </c>
      <c r="I19" s="50">
        <v>0</v>
      </c>
      <c r="J19" s="50">
        <v>0</v>
      </c>
      <c r="K19" s="50">
        <f t="shared" si="1"/>
        <v>56</v>
      </c>
      <c r="L19" s="50">
        <f t="shared" si="2"/>
        <v>54</v>
      </c>
    </row>
    <row r="20" spans="1:19" ht="14.25" customHeight="1" x14ac:dyDescent="0.75">
      <c r="A20" s="50">
        <v>666522</v>
      </c>
      <c r="B20" s="73" t="s">
        <v>32</v>
      </c>
      <c r="C20" s="73" t="s">
        <v>33</v>
      </c>
      <c r="D20" s="50">
        <f t="shared" si="0"/>
        <v>200</v>
      </c>
      <c r="E20" s="50">
        <v>65</v>
      </c>
      <c r="F20" s="50">
        <v>65</v>
      </c>
      <c r="G20" s="50">
        <v>95</v>
      </c>
      <c r="H20" s="50">
        <v>95</v>
      </c>
      <c r="I20" s="50">
        <v>40</v>
      </c>
      <c r="J20" s="50">
        <v>40</v>
      </c>
      <c r="K20" s="50">
        <f t="shared" si="1"/>
        <v>200</v>
      </c>
      <c r="L20" s="50">
        <f t="shared" si="2"/>
        <v>200</v>
      </c>
    </row>
    <row r="21" spans="1:19" ht="14.25" customHeight="1" x14ac:dyDescent="0.75">
      <c r="A21" s="50">
        <v>666523</v>
      </c>
      <c r="B21" s="73" t="s">
        <v>34</v>
      </c>
      <c r="C21" s="73" t="s">
        <v>35</v>
      </c>
      <c r="D21" s="50">
        <f t="shared" si="0"/>
        <v>50</v>
      </c>
      <c r="E21" s="50">
        <v>0</v>
      </c>
      <c r="F21" s="50">
        <v>0</v>
      </c>
      <c r="G21" s="50">
        <v>40</v>
      </c>
      <c r="H21" s="50">
        <v>40</v>
      </c>
      <c r="I21" s="50">
        <v>10</v>
      </c>
      <c r="J21" s="50">
        <v>10</v>
      </c>
      <c r="K21" s="50">
        <f t="shared" si="1"/>
        <v>50</v>
      </c>
      <c r="L21" s="50">
        <f t="shared" si="2"/>
        <v>50</v>
      </c>
    </row>
    <row r="22" spans="1:19" ht="14.25" customHeight="1" x14ac:dyDescent="0.75">
      <c r="A22" s="50">
        <v>666530</v>
      </c>
      <c r="B22" s="73" t="s">
        <v>36</v>
      </c>
      <c r="C22" s="73" t="s">
        <v>37</v>
      </c>
      <c r="D22" s="50">
        <f t="shared" si="0"/>
        <v>20</v>
      </c>
      <c r="E22" s="50">
        <v>5</v>
      </c>
      <c r="F22" s="50">
        <v>5</v>
      </c>
      <c r="G22" s="50">
        <v>0</v>
      </c>
      <c r="H22" s="50">
        <v>0</v>
      </c>
      <c r="I22" s="50">
        <v>15</v>
      </c>
      <c r="J22" s="50">
        <v>15</v>
      </c>
      <c r="K22" s="50">
        <f t="shared" si="1"/>
        <v>20</v>
      </c>
      <c r="L22" s="50">
        <f t="shared" si="2"/>
        <v>20</v>
      </c>
    </row>
    <row r="23" spans="1:19" ht="14.25" customHeight="1" x14ac:dyDescent="0.75">
      <c r="A23" s="50">
        <v>666531</v>
      </c>
      <c r="B23" s="73" t="s">
        <v>38</v>
      </c>
      <c r="C23" s="73" t="s">
        <v>39</v>
      </c>
      <c r="D23" s="50">
        <f t="shared" si="0"/>
        <v>26</v>
      </c>
      <c r="E23" s="50">
        <v>18</v>
      </c>
      <c r="F23" s="50">
        <v>18</v>
      </c>
      <c r="G23" s="50">
        <v>0</v>
      </c>
      <c r="H23" s="50">
        <v>0</v>
      </c>
      <c r="I23" s="50">
        <v>8</v>
      </c>
      <c r="J23" s="50">
        <v>8</v>
      </c>
      <c r="K23" s="50">
        <f t="shared" si="1"/>
        <v>26</v>
      </c>
      <c r="L23" s="50">
        <f t="shared" si="2"/>
        <v>26</v>
      </c>
    </row>
    <row r="24" spans="1:19" ht="14.25" customHeight="1" x14ac:dyDescent="0.75">
      <c r="A24" s="50">
        <v>666540</v>
      </c>
      <c r="B24" s="73" t="s">
        <v>40</v>
      </c>
      <c r="C24" s="73" t="s">
        <v>40</v>
      </c>
      <c r="D24" s="50">
        <f t="shared" si="0"/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f t="shared" si="1"/>
        <v>0</v>
      </c>
      <c r="L24" s="50">
        <f t="shared" si="2"/>
        <v>0</v>
      </c>
    </row>
    <row r="25" spans="1:19" ht="14.25" customHeight="1" x14ac:dyDescent="0.75">
      <c r="A25" s="50">
        <v>666541</v>
      </c>
      <c r="B25" s="73" t="s">
        <v>41</v>
      </c>
      <c r="C25" s="73" t="s">
        <v>41</v>
      </c>
      <c r="D25" s="50">
        <f t="shared" si="0"/>
        <v>480</v>
      </c>
      <c r="E25" s="50">
        <v>0</v>
      </c>
      <c r="F25" s="50">
        <v>0</v>
      </c>
      <c r="G25" s="50">
        <v>480</v>
      </c>
      <c r="H25" s="50">
        <v>435</v>
      </c>
      <c r="I25" s="50">
        <v>0</v>
      </c>
      <c r="J25" s="50">
        <v>0</v>
      </c>
      <c r="K25" s="50">
        <f t="shared" si="1"/>
        <v>480</v>
      </c>
      <c r="L25" s="50">
        <f t="shared" si="2"/>
        <v>435</v>
      </c>
    </row>
    <row r="26" spans="1:19" s="74" customFormat="1" ht="14.25" customHeight="1" x14ac:dyDescent="0.75">
      <c r="A26" s="74">
        <v>666536</v>
      </c>
      <c r="B26" s="74" t="s">
        <v>42</v>
      </c>
      <c r="C26" s="74" t="s">
        <v>43</v>
      </c>
      <c r="E26" s="50">
        <v>10</v>
      </c>
      <c r="F26" s="50">
        <v>10</v>
      </c>
      <c r="G26" s="50">
        <v>0</v>
      </c>
      <c r="H26" s="50">
        <v>0</v>
      </c>
      <c r="I26" s="50">
        <v>0</v>
      </c>
      <c r="J26" s="50">
        <v>0</v>
      </c>
      <c r="K26" s="50">
        <f t="shared" si="1"/>
        <v>10</v>
      </c>
      <c r="L26" s="50">
        <f t="shared" si="2"/>
        <v>10</v>
      </c>
      <c r="S26" s="74">
        <v>2</v>
      </c>
    </row>
  </sheetData>
  <conditionalFormatting sqref="K6:K26">
    <cfRule type="cellIs" dxfId="208" priority="2" operator="equal">
      <formula>0</formula>
    </cfRule>
  </conditionalFormatting>
  <conditionalFormatting sqref="L6:L26">
    <cfRule type="expression" dxfId="207" priority="3">
      <formula>K6=L6</formula>
    </cfRule>
    <cfRule type="expression" dxfId="206" priority="4">
      <formula>K6&lt;L6</formula>
    </cfRule>
    <cfRule type="expression" dxfId="205" priority="5">
      <formula>K6&gt;L6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A51"/>
  <sheetViews>
    <sheetView topLeftCell="B1" zoomScaleNormal="100" workbookViewId="0">
      <selection activeCell="L35" sqref="L35"/>
    </sheetView>
  </sheetViews>
  <sheetFormatPr defaultColWidth="8.6796875" defaultRowHeight="14.75" x14ac:dyDescent="0.75"/>
  <cols>
    <col min="1" max="1" width="8.6796875" style="50"/>
    <col min="2" max="2" width="41.54296875" style="50" customWidth="1"/>
    <col min="3" max="3" width="22.6796875" style="50" customWidth="1"/>
    <col min="4" max="4" width="9.54296875" style="50" hidden="1" customWidth="1"/>
    <col min="5" max="6" width="8.6796875" style="50"/>
    <col min="7" max="7" width="7.31640625" style="50" customWidth="1"/>
    <col min="8" max="8" width="8.453125" style="50" customWidth="1"/>
    <col min="9" max="9" width="7.453125" style="50" customWidth="1"/>
    <col min="10" max="10" width="8.08984375" style="50" customWidth="1"/>
    <col min="11" max="11" width="7.31640625" style="50" customWidth="1"/>
    <col min="12" max="16384" width="8.6796875" style="50"/>
  </cols>
  <sheetData>
    <row r="1" spans="1:27" s="51" customFormat="1" ht="28.5" customHeight="1" x14ac:dyDescent="0.75">
      <c r="C1" s="51" t="s">
        <v>175</v>
      </c>
      <c r="D1" s="51" t="s">
        <v>144</v>
      </c>
      <c r="E1" s="52" t="s">
        <v>116</v>
      </c>
      <c r="F1" s="53" t="s">
        <v>145</v>
      </c>
      <c r="G1" s="54" t="s">
        <v>119</v>
      </c>
      <c r="H1" s="53" t="s">
        <v>146</v>
      </c>
      <c r="I1" s="153" t="s">
        <v>122</v>
      </c>
      <c r="J1" s="56" t="s">
        <v>147</v>
      </c>
      <c r="K1" s="51" t="s">
        <v>148</v>
      </c>
      <c r="L1" s="53" t="s">
        <v>149</v>
      </c>
      <c r="M1" s="51" t="s">
        <v>56</v>
      </c>
      <c r="N1" s="51" t="s">
        <v>58</v>
      </c>
      <c r="O1" s="51" t="s">
        <v>66</v>
      </c>
      <c r="P1" s="51" t="s">
        <v>56</v>
      </c>
      <c r="Q1" s="51" t="s">
        <v>58</v>
      </c>
      <c r="R1" s="51" t="s">
        <v>66</v>
      </c>
      <c r="S1" s="51" t="s">
        <v>56</v>
      </c>
      <c r="T1" s="51" t="s">
        <v>58</v>
      </c>
      <c r="U1" s="51" t="s">
        <v>66</v>
      </c>
      <c r="V1" s="51" t="s">
        <v>56</v>
      </c>
      <c r="W1" s="51" t="s">
        <v>58</v>
      </c>
      <c r="X1" s="51" t="s">
        <v>66</v>
      </c>
      <c r="Y1" s="51" t="s">
        <v>56</v>
      </c>
      <c r="Z1" s="51" t="s">
        <v>58</v>
      </c>
      <c r="AA1" s="51" t="s">
        <v>66</v>
      </c>
    </row>
    <row r="2" spans="1:27" ht="14.25" customHeight="1" x14ac:dyDescent="0.75">
      <c r="C2" s="57" t="s">
        <v>150</v>
      </c>
      <c r="D2" s="57"/>
      <c r="E2" s="58"/>
      <c r="F2" s="59"/>
      <c r="G2" s="60"/>
      <c r="H2" s="59"/>
      <c r="I2" s="78"/>
      <c r="J2" s="59"/>
      <c r="K2" s="59"/>
      <c r="L2" s="59"/>
      <c r="M2" s="59" t="s">
        <v>65</v>
      </c>
      <c r="N2" s="59" t="s">
        <v>57</v>
      </c>
      <c r="O2" s="59" t="s">
        <v>55</v>
      </c>
      <c r="P2" s="59" t="s">
        <v>65</v>
      </c>
      <c r="Q2" s="59" t="s">
        <v>57</v>
      </c>
      <c r="R2" s="59" t="s">
        <v>55</v>
      </c>
      <c r="S2" s="59" t="s">
        <v>65</v>
      </c>
      <c r="T2" s="59" t="s">
        <v>57</v>
      </c>
      <c r="U2" s="59" t="s">
        <v>55</v>
      </c>
      <c r="V2" s="59" t="s">
        <v>65</v>
      </c>
      <c r="W2" s="59" t="s">
        <v>57</v>
      </c>
      <c r="X2" s="59" t="s">
        <v>55</v>
      </c>
      <c r="Y2" s="59" t="s">
        <v>65</v>
      </c>
      <c r="Z2" s="59" t="s">
        <v>57</v>
      </c>
      <c r="AA2" s="59" t="s">
        <v>55</v>
      </c>
    </row>
    <row r="3" spans="1:27" ht="14.25" customHeight="1" x14ac:dyDescent="0.75">
      <c r="A3" s="62" t="s">
        <v>129</v>
      </c>
      <c r="B3" s="62" t="s">
        <v>2</v>
      </c>
      <c r="C3" s="62" t="s">
        <v>3</v>
      </c>
      <c r="D3" s="62"/>
      <c r="E3" s="58"/>
      <c r="F3" s="62"/>
      <c r="G3" s="63"/>
      <c r="H3" s="62"/>
      <c r="I3" s="154"/>
      <c r="J3" s="62"/>
      <c r="K3" s="62"/>
      <c r="L3" s="62"/>
      <c r="M3" s="62" t="s">
        <v>54</v>
      </c>
      <c r="N3" s="62" t="s">
        <v>54</v>
      </c>
      <c r="O3" s="62" t="s">
        <v>54</v>
      </c>
      <c r="P3" s="62" t="s">
        <v>59</v>
      </c>
      <c r="Q3" s="62" t="s">
        <v>59</v>
      </c>
      <c r="R3" s="62" t="s">
        <v>59</v>
      </c>
      <c r="S3" s="62" t="s">
        <v>60</v>
      </c>
      <c r="T3" s="62" t="s">
        <v>60</v>
      </c>
      <c r="U3" s="62" t="s">
        <v>60</v>
      </c>
      <c r="V3" s="62" t="s">
        <v>62</v>
      </c>
      <c r="W3" s="62" t="s">
        <v>62</v>
      </c>
      <c r="X3" s="62" t="s">
        <v>62</v>
      </c>
      <c r="Y3" s="62" t="s">
        <v>63</v>
      </c>
      <c r="Z3" s="62" t="s">
        <v>63</v>
      </c>
      <c r="AA3" s="62" t="s">
        <v>63</v>
      </c>
    </row>
    <row r="4" spans="1:27" ht="14.25" customHeight="1" x14ac:dyDescent="0.75">
      <c r="A4" s="62"/>
      <c r="B4" s="62"/>
      <c r="C4" s="62" t="s">
        <v>151</v>
      </c>
      <c r="D4" s="62"/>
      <c r="E4" s="58"/>
      <c r="F4" s="50">
        <f t="shared" ref="F4:F25" si="0">+M4+P4+S4+V4+Y4</f>
        <v>107</v>
      </c>
      <c r="G4" s="63"/>
      <c r="H4" s="50">
        <f t="shared" ref="H4:H25" si="1">+N4+Q4+T4+W4+Z4</f>
        <v>684</v>
      </c>
      <c r="I4" s="154"/>
      <c r="J4" s="50">
        <f t="shared" ref="J4:J25" si="2">+O4+R4+U4+X4+AA4</f>
        <v>39</v>
      </c>
      <c r="K4" s="62"/>
      <c r="L4" s="62"/>
      <c r="M4" s="62">
        <v>26</v>
      </c>
      <c r="N4" s="62">
        <v>130</v>
      </c>
      <c r="O4" s="62"/>
      <c r="Q4" s="62">
        <v>119</v>
      </c>
      <c r="R4" s="62"/>
      <c r="S4" s="62">
        <v>32</v>
      </c>
      <c r="T4" s="62">
        <v>158</v>
      </c>
      <c r="U4" s="62"/>
      <c r="V4" s="62">
        <v>28</v>
      </c>
      <c r="W4" s="62">
        <v>136</v>
      </c>
      <c r="X4" s="62">
        <v>39</v>
      </c>
      <c r="Y4" s="62">
        <v>21</v>
      </c>
      <c r="Z4" s="62">
        <v>141</v>
      </c>
      <c r="AA4" s="62"/>
    </row>
    <row r="5" spans="1:27" ht="14.25" customHeight="1" x14ac:dyDescent="0.75">
      <c r="A5" s="50">
        <v>666501</v>
      </c>
      <c r="B5" s="50" t="s">
        <v>4</v>
      </c>
      <c r="C5" s="50" t="s">
        <v>5</v>
      </c>
      <c r="E5" s="67">
        <v>69</v>
      </c>
      <c r="F5" s="165">
        <f t="shared" si="0"/>
        <v>33</v>
      </c>
      <c r="G5" s="60">
        <v>624</v>
      </c>
      <c r="H5" s="50">
        <f t="shared" si="1"/>
        <v>300</v>
      </c>
      <c r="I5" s="78">
        <v>60</v>
      </c>
      <c r="J5" s="50">
        <f t="shared" si="2"/>
        <v>27</v>
      </c>
      <c r="K5" s="50">
        <f t="shared" ref="K5:K25" si="3">+E5+G5+I5</f>
        <v>753</v>
      </c>
      <c r="L5" s="50">
        <f t="shared" ref="L5:L25" si="4">+F5+H5+J5</f>
        <v>360</v>
      </c>
      <c r="M5" s="50">
        <v>6</v>
      </c>
      <c r="S5" s="50">
        <v>12</v>
      </c>
      <c r="T5" s="50">
        <v>102</v>
      </c>
      <c r="V5" s="50">
        <v>9</v>
      </c>
      <c r="W5" s="50">
        <v>90</v>
      </c>
      <c r="X5" s="50">
        <v>27</v>
      </c>
      <c r="Y5" s="50">
        <v>6</v>
      </c>
      <c r="Z5" s="50">
        <v>108</v>
      </c>
    </row>
    <row r="6" spans="1:27" ht="14.25" customHeight="1" x14ac:dyDescent="0.75">
      <c r="A6" s="50">
        <v>666502</v>
      </c>
      <c r="B6" s="50" t="s">
        <v>6</v>
      </c>
      <c r="C6" s="50" t="s">
        <v>7</v>
      </c>
      <c r="E6" s="67"/>
      <c r="F6" s="50">
        <f t="shared" si="0"/>
        <v>0</v>
      </c>
      <c r="G6" s="60">
        <v>350</v>
      </c>
      <c r="H6" s="50">
        <f t="shared" si="1"/>
        <v>154</v>
      </c>
      <c r="I6" s="78">
        <v>50</v>
      </c>
      <c r="J6" s="50">
        <f t="shared" si="2"/>
        <v>0</v>
      </c>
      <c r="K6" s="50">
        <f t="shared" si="3"/>
        <v>400</v>
      </c>
      <c r="L6" s="50">
        <f t="shared" si="4"/>
        <v>154</v>
      </c>
      <c r="N6" s="50">
        <v>28</v>
      </c>
      <c r="Q6" s="50">
        <v>32</v>
      </c>
      <c r="T6" s="50">
        <v>39</v>
      </c>
      <c r="W6" s="50">
        <v>30</v>
      </c>
      <c r="Z6" s="50">
        <v>25</v>
      </c>
    </row>
    <row r="7" spans="1:27" ht="14.25" customHeight="1" x14ac:dyDescent="0.75">
      <c r="A7" s="50">
        <v>666505</v>
      </c>
      <c r="B7" s="50" t="s">
        <v>8</v>
      </c>
      <c r="C7" s="50" t="s">
        <v>9</v>
      </c>
      <c r="E7" s="67">
        <v>20</v>
      </c>
      <c r="F7" s="70">
        <f t="shared" si="0"/>
        <v>20</v>
      </c>
      <c r="G7" s="60"/>
      <c r="H7" s="50">
        <f t="shared" si="1"/>
        <v>0</v>
      </c>
      <c r="I7" s="78">
        <v>44</v>
      </c>
      <c r="J7" s="50">
        <f t="shared" si="2"/>
        <v>39</v>
      </c>
      <c r="K7" s="50">
        <f t="shared" si="3"/>
        <v>64</v>
      </c>
      <c r="L7" s="50">
        <f t="shared" si="4"/>
        <v>59</v>
      </c>
      <c r="M7" s="50">
        <v>20</v>
      </c>
      <c r="X7" s="50">
        <v>39</v>
      </c>
    </row>
    <row r="8" spans="1:27" ht="14.25" customHeight="1" x14ac:dyDescent="0.75">
      <c r="A8" s="50">
        <v>666506</v>
      </c>
      <c r="B8" s="50" t="s">
        <v>10</v>
      </c>
      <c r="C8" s="50" t="s">
        <v>11</v>
      </c>
      <c r="E8" s="67"/>
      <c r="F8" s="50">
        <f t="shared" si="0"/>
        <v>0</v>
      </c>
      <c r="G8" s="60">
        <v>400</v>
      </c>
      <c r="H8" s="50">
        <f t="shared" si="1"/>
        <v>24</v>
      </c>
      <c r="I8" s="78"/>
      <c r="J8" s="50">
        <f t="shared" si="2"/>
        <v>0</v>
      </c>
      <c r="K8" s="50">
        <f t="shared" si="3"/>
        <v>400</v>
      </c>
      <c r="L8" s="50">
        <f t="shared" si="4"/>
        <v>24</v>
      </c>
      <c r="N8" s="50">
        <v>9</v>
      </c>
      <c r="Q8" s="50">
        <v>12</v>
      </c>
      <c r="W8" s="50">
        <v>2</v>
      </c>
      <c r="Z8" s="50">
        <v>1</v>
      </c>
    </row>
    <row r="9" spans="1:27" ht="14.25" customHeight="1" x14ac:dyDescent="0.75">
      <c r="A9" s="50">
        <v>666507</v>
      </c>
      <c r="B9" s="50" t="s">
        <v>12</v>
      </c>
      <c r="C9" s="50" t="s">
        <v>13</v>
      </c>
      <c r="E9" s="67">
        <v>42</v>
      </c>
      <c r="F9" s="50">
        <f t="shared" si="0"/>
        <v>21</v>
      </c>
      <c r="G9" s="60"/>
      <c r="H9" s="50">
        <f t="shared" si="1"/>
        <v>0</v>
      </c>
      <c r="I9" s="78"/>
      <c r="J9" s="50">
        <f t="shared" si="2"/>
        <v>0</v>
      </c>
      <c r="K9" s="50">
        <f t="shared" si="3"/>
        <v>42</v>
      </c>
      <c r="L9" s="50">
        <f t="shared" si="4"/>
        <v>21</v>
      </c>
      <c r="S9" s="50">
        <v>12</v>
      </c>
      <c r="V9" s="50">
        <v>9</v>
      </c>
    </row>
    <row r="10" spans="1:27" ht="14.25" customHeight="1" x14ac:dyDescent="0.75">
      <c r="A10" s="50">
        <v>666509</v>
      </c>
      <c r="B10" s="50" t="s">
        <v>14</v>
      </c>
      <c r="C10" s="50" t="s">
        <v>15</v>
      </c>
      <c r="E10" s="67">
        <v>100</v>
      </c>
      <c r="F10" s="50">
        <f t="shared" si="0"/>
        <v>55</v>
      </c>
      <c r="G10" s="60"/>
      <c r="H10" s="50">
        <f t="shared" si="1"/>
        <v>0</v>
      </c>
      <c r="I10" s="78"/>
      <c r="J10" s="50">
        <f t="shared" si="2"/>
        <v>0</v>
      </c>
      <c r="K10" s="50">
        <f t="shared" si="3"/>
        <v>100</v>
      </c>
      <c r="L10" s="50">
        <f t="shared" si="4"/>
        <v>55</v>
      </c>
      <c r="M10" s="50">
        <v>10</v>
      </c>
      <c r="S10" s="50">
        <v>20</v>
      </c>
      <c r="V10" s="50">
        <v>15</v>
      </c>
      <c r="Y10" s="50">
        <v>10</v>
      </c>
    </row>
    <row r="11" spans="1:27" ht="14.25" customHeight="1" x14ac:dyDescent="0.75">
      <c r="A11" s="50">
        <v>666510</v>
      </c>
      <c r="B11" s="50" t="s">
        <v>16</v>
      </c>
      <c r="C11" s="50" t="s">
        <v>17</v>
      </c>
      <c r="E11" s="67"/>
      <c r="F11" s="50">
        <f t="shared" si="0"/>
        <v>0</v>
      </c>
      <c r="G11" s="60"/>
      <c r="H11" s="50">
        <f t="shared" si="1"/>
        <v>0</v>
      </c>
      <c r="I11" s="78"/>
      <c r="J11" s="50">
        <f t="shared" si="2"/>
        <v>0</v>
      </c>
      <c r="K11" s="50">
        <f t="shared" si="3"/>
        <v>0</v>
      </c>
      <c r="L11" s="50">
        <f t="shared" si="4"/>
        <v>0</v>
      </c>
    </row>
    <row r="12" spans="1:27" ht="14.25" customHeight="1" x14ac:dyDescent="0.75">
      <c r="A12" s="50">
        <v>666511</v>
      </c>
      <c r="B12" s="50" t="s">
        <v>18</v>
      </c>
      <c r="C12" s="50" t="s">
        <v>19</v>
      </c>
      <c r="E12" s="67">
        <v>8</v>
      </c>
      <c r="F12" s="50">
        <f t="shared" si="0"/>
        <v>0</v>
      </c>
      <c r="G12" s="60"/>
      <c r="H12" s="50">
        <f t="shared" si="1"/>
        <v>0</v>
      </c>
      <c r="I12" s="78"/>
      <c r="J12" s="50">
        <f t="shared" si="2"/>
        <v>0</v>
      </c>
      <c r="K12" s="50">
        <f t="shared" si="3"/>
        <v>8</v>
      </c>
      <c r="L12" s="50">
        <f t="shared" si="4"/>
        <v>0</v>
      </c>
    </row>
    <row r="13" spans="1:27" ht="14.25" customHeight="1" x14ac:dyDescent="0.75">
      <c r="A13" s="50">
        <v>666513</v>
      </c>
      <c r="B13" s="50" t="s">
        <v>20</v>
      </c>
      <c r="C13" s="50" t="s">
        <v>21</v>
      </c>
      <c r="E13" s="67"/>
      <c r="F13" s="50">
        <f t="shared" si="0"/>
        <v>0</v>
      </c>
      <c r="G13" s="60"/>
      <c r="H13" s="50">
        <f t="shared" si="1"/>
        <v>0</v>
      </c>
      <c r="I13" s="78"/>
      <c r="J13" s="50">
        <f t="shared" si="2"/>
        <v>0</v>
      </c>
      <c r="K13" s="50">
        <f t="shared" si="3"/>
        <v>0</v>
      </c>
      <c r="L13" s="50">
        <f t="shared" si="4"/>
        <v>0</v>
      </c>
    </row>
    <row r="14" spans="1:27" ht="14.25" customHeight="1" x14ac:dyDescent="0.75">
      <c r="A14" s="50">
        <v>666516</v>
      </c>
      <c r="B14" s="50" t="s">
        <v>22</v>
      </c>
      <c r="C14" s="50" t="s">
        <v>23</v>
      </c>
      <c r="E14" s="67">
        <v>34</v>
      </c>
      <c r="F14" s="70">
        <f t="shared" si="0"/>
        <v>34</v>
      </c>
      <c r="G14" s="60"/>
      <c r="H14" s="50">
        <f t="shared" si="1"/>
        <v>0</v>
      </c>
      <c r="I14" s="78">
        <v>34</v>
      </c>
      <c r="J14" s="50">
        <f t="shared" si="2"/>
        <v>21</v>
      </c>
      <c r="K14" s="50">
        <f t="shared" si="3"/>
        <v>68</v>
      </c>
      <c r="L14" s="50">
        <f t="shared" si="4"/>
        <v>55</v>
      </c>
      <c r="M14" s="50">
        <v>18</v>
      </c>
      <c r="S14" s="50">
        <v>16</v>
      </c>
      <c r="X14" s="50">
        <v>21</v>
      </c>
    </row>
    <row r="15" spans="1:27" ht="14.25" customHeight="1" x14ac:dyDescent="0.75">
      <c r="A15" s="50">
        <v>666517</v>
      </c>
      <c r="B15" s="50" t="s">
        <v>24</v>
      </c>
      <c r="C15" s="50" t="s">
        <v>25</v>
      </c>
      <c r="E15" s="67">
        <v>46</v>
      </c>
      <c r="F15" s="165">
        <f t="shared" si="0"/>
        <v>46</v>
      </c>
      <c r="G15" s="60"/>
      <c r="H15" s="50">
        <f t="shared" si="1"/>
        <v>0</v>
      </c>
      <c r="I15" s="78">
        <v>20</v>
      </c>
      <c r="J15" s="165">
        <f t="shared" si="2"/>
        <v>20</v>
      </c>
      <c r="K15" s="50">
        <f t="shared" si="3"/>
        <v>66</v>
      </c>
      <c r="L15" s="50">
        <f t="shared" si="4"/>
        <v>66</v>
      </c>
      <c r="M15" s="50">
        <v>18</v>
      </c>
      <c r="S15" s="50">
        <v>16</v>
      </c>
      <c r="V15" s="50">
        <v>12</v>
      </c>
      <c r="X15" s="50">
        <v>20</v>
      </c>
    </row>
    <row r="16" spans="1:27" ht="14.25" customHeight="1" x14ac:dyDescent="0.75">
      <c r="A16" s="50">
        <v>666518</v>
      </c>
      <c r="B16" s="50" t="s">
        <v>26</v>
      </c>
      <c r="C16" s="50" t="s">
        <v>27</v>
      </c>
      <c r="E16" s="67"/>
      <c r="F16" s="50">
        <f t="shared" si="0"/>
        <v>0</v>
      </c>
      <c r="G16" s="60"/>
      <c r="H16" s="50">
        <f t="shared" si="1"/>
        <v>0</v>
      </c>
      <c r="I16" s="78"/>
      <c r="J16" s="165">
        <f t="shared" si="2"/>
        <v>0</v>
      </c>
      <c r="K16" s="50">
        <f t="shared" si="3"/>
        <v>0</v>
      </c>
      <c r="L16" s="50">
        <f t="shared" si="4"/>
        <v>0</v>
      </c>
    </row>
    <row r="17" spans="1:26" ht="14.25" customHeight="1" x14ac:dyDescent="0.75">
      <c r="A17" s="50">
        <v>666519</v>
      </c>
      <c r="B17" s="50" t="s">
        <v>28</v>
      </c>
      <c r="C17" s="50" t="s">
        <v>29</v>
      </c>
      <c r="E17" s="67">
        <v>33</v>
      </c>
      <c r="F17" s="70">
        <f t="shared" si="0"/>
        <v>33</v>
      </c>
      <c r="G17" s="60"/>
      <c r="H17" s="50">
        <f t="shared" si="1"/>
        <v>0</v>
      </c>
      <c r="I17" s="78">
        <v>33</v>
      </c>
      <c r="J17" s="165">
        <f t="shared" si="2"/>
        <v>27</v>
      </c>
      <c r="K17" s="50">
        <f t="shared" si="3"/>
        <v>66</v>
      </c>
      <c r="L17" s="50">
        <f t="shared" si="4"/>
        <v>60</v>
      </c>
      <c r="M17" s="50">
        <v>18</v>
      </c>
      <c r="S17" s="50">
        <v>15</v>
      </c>
      <c r="X17" s="50">
        <v>27</v>
      </c>
    </row>
    <row r="18" spans="1:26" ht="14.25" customHeight="1" x14ac:dyDescent="0.75">
      <c r="A18" s="50">
        <v>666521</v>
      </c>
      <c r="B18" s="50" t="s">
        <v>30</v>
      </c>
      <c r="C18" s="50" t="s">
        <v>31</v>
      </c>
      <c r="E18" s="67">
        <v>52</v>
      </c>
      <c r="F18" s="50">
        <f t="shared" si="0"/>
        <v>17</v>
      </c>
      <c r="G18" s="60"/>
      <c r="H18" s="50">
        <f t="shared" si="1"/>
        <v>0</v>
      </c>
      <c r="I18" s="78"/>
      <c r="J18" s="165">
        <f t="shared" si="2"/>
        <v>0</v>
      </c>
      <c r="K18" s="50">
        <f t="shared" si="3"/>
        <v>52</v>
      </c>
      <c r="L18" s="50">
        <f t="shared" si="4"/>
        <v>17</v>
      </c>
      <c r="S18" s="50">
        <v>4</v>
      </c>
      <c r="V18" s="50">
        <v>7</v>
      </c>
      <c r="Y18" s="50">
        <v>6</v>
      </c>
    </row>
    <row r="19" spans="1:26" ht="14.25" customHeight="1" x14ac:dyDescent="0.75">
      <c r="A19" s="50">
        <v>666522</v>
      </c>
      <c r="B19" s="50" t="s">
        <v>32</v>
      </c>
      <c r="C19" s="50" t="s">
        <v>33</v>
      </c>
      <c r="E19" s="67">
        <v>130</v>
      </c>
      <c r="F19" s="165">
        <f t="shared" si="0"/>
        <v>115</v>
      </c>
      <c r="G19" s="60">
        <v>190</v>
      </c>
      <c r="H19" s="165">
        <f t="shared" si="1"/>
        <v>110</v>
      </c>
      <c r="I19" s="78">
        <v>80</v>
      </c>
      <c r="J19" s="165">
        <f t="shared" si="2"/>
        <v>35</v>
      </c>
      <c r="K19" s="50">
        <f t="shared" si="3"/>
        <v>400</v>
      </c>
      <c r="L19" s="50">
        <f t="shared" si="4"/>
        <v>260</v>
      </c>
      <c r="M19" s="50">
        <v>15</v>
      </c>
      <c r="N19" s="50">
        <v>20</v>
      </c>
      <c r="S19" s="50">
        <v>45</v>
      </c>
      <c r="T19" s="50">
        <v>90</v>
      </c>
      <c r="V19" s="50">
        <v>40</v>
      </c>
      <c r="X19" s="50">
        <v>35</v>
      </c>
      <c r="Y19" s="50">
        <v>15</v>
      </c>
    </row>
    <row r="20" spans="1:26" ht="14.25" customHeight="1" x14ac:dyDescent="0.75">
      <c r="A20" s="50">
        <v>666523</v>
      </c>
      <c r="B20" s="50" t="s">
        <v>34</v>
      </c>
      <c r="C20" s="50" t="s">
        <v>35</v>
      </c>
      <c r="E20" s="67"/>
      <c r="F20" s="50">
        <f t="shared" si="0"/>
        <v>0</v>
      </c>
      <c r="G20" s="60">
        <v>40</v>
      </c>
      <c r="H20" s="165">
        <f t="shared" si="1"/>
        <v>40</v>
      </c>
      <c r="I20" s="78">
        <v>10</v>
      </c>
      <c r="J20" s="165">
        <f t="shared" si="2"/>
        <v>10</v>
      </c>
      <c r="K20" s="50">
        <f t="shared" si="3"/>
        <v>50</v>
      </c>
      <c r="L20" s="50">
        <f t="shared" si="4"/>
        <v>50</v>
      </c>
      <c r="N20" s="50">
        <v>8</v>
      </c>
      <c r="T20" s="50">
        <v>15</v>
      </c>
      <c r="W20" s="50">
        <v>8</v>
      </c>
      <c r="X20" s="50">
        <v>10</v>
      </c>
      <c r="Z20" s="50">
        <v>9</v>
      </c>
    </row>
    <row r="21" spans="1:26" ht="14.25" customHeight="1" x14ac:dyDescent="0.75">
      <c r="A21" s="50">
        <v>666530</v>
      </c>
      <c r="B21" s="50" t="s">
        <v>36</v>
      </c>
      <c r="C21" s="50" t="s">
        <v>37</v>
      </c>
      <c r="E21" s="67">
        <v>5</v>
      </c>
      <c r="F21" s="165">
        <f t="shared" si="0"/>
        <v>0</v>
      </c>
      <c r="G21" s="60"/>
      <c r="H21" s="50">
        <f t="shared" si="1"/>
        <v>0</v>
      </c>
      <c r="I21" s="78">
        <v>15</v>
      </c>
      <c r="J21" s="165">
        <f t="shared" si="2"/>
        <v>0</v>
      </c>
      <c r="K21" s="50">
        <f t="shared" si="3"/>
        <v>20</v>
      </c>
      <c r="L21" s="50">
        <f t="shared" si="4"/>
        <v>0</v>
      </c>
    </row>
    <row r="22" spans="1:26" ht="14.25" customHeight="1" x14ac:dyDescent="0.75">
      <c r="A22" s="50">
        <v>666531</v>
      </c>
      <c r="B22" s="50" t="s">
        <v>38</v>
      </c>
      <c r="C22" s="50" t="s">
        <v>39</v>
      </c>
      <c r="E22" s="67">
        <v>18</v>
      </c>
      <c r="F22" s="165">
        <f t="shared" si="0"/>
        <v>18</v>
      </c>
      <c r="G22" s="60"/>
      <c r="H22" s="50">
        <f t="shared" si="1"/>
        <v>0</v>
      </c>
      <c r="I22" s="78">
        <v>8</v>
      </c>
      <c r="J22" s="165">
        <f t="shared" si="2"/>
        <v>8</v>
      </c>
      <c r="K22" s="50">
        <f t="shared" si="3"/>
        <v>26</v>
      </c>
      <c r="L22" s="50">
        <f t="shared" si="4"/>
        <v>26</v>
      </c>
      <c r="M22" s="50">
        <v>2</v>
      </c>
      <c r="S22" s="50">
        <v>9</v>
      </c>
      <c r="V22" s="50">
        <v>7</v>
      </c>
      <c r="X22" s="50">
        <v>8</v>
      </c>
    </row>
    <row r="23" spans="1:26" ht="14.25" customHeight="1" x14ac:dyDescent="0.75">
      <c r="A23" s="50">
        <v>666540</v>
      </c>
      <c r="B23" s="50" t="s">
        <v>40</v>
      </c>
      <c r="C23" s="50" t="s">
        <v>40</v>
      </c>
      <c r="E23" s="67"/>
      <c r="F23" s="50">
        <f t="shared" si="0"/>
        <v>0</v>
      </c>
      <c r="G23" s="60">
        <v>120</v>
      </c>
      <c r="H23" s="50">
        <f t="shared" si="1"/>
        <v>0</v>
      </c>
      <c r="I23" s="78"/>
      <c r="J23" s="50">
        <f t="shared" si="2"/>
        <v>0</v>
      </c>
      <c r="K23" s="50">
        <f t="shared" si="3"/>
        <v>120</v>
      </c>
      <c r="L23" s="50">
        <f t="shared" si="4"/>
        <v>0</v>
      </c>
    </row>
    <row r="24" spans="1:26" ht="14.25" customHeight="1" x14ac:dyDescent="0.75">
      <c r="A24" s="50">
        <v>666541</v>
      </c>
      <c r="B24" s="50" t="s">
        <v>41</v>
      </c>
      <c r="C24" s="50" t="s">
        <v>41</v>
      </c>
      <c r="E24" s="67"/>
      <c r="F24" s="50">
        <f t="shared" si="0"/>
        <v>0</v>
      </c>
      <c r="G24" s="60">
        <v>600</v>
      </c>
      <c r="H24" s="50">
        <f t="shared" si="1"/>
        <v>251</v>
      </c>
      <c r="I24" s="78"/>
      <c r="J24" s="50">
        <f t="shared" si="2"/>
        <v>0</v>
      </c>
      <c r="K24" s="50">
        <f t="shared" si="3"/>
        <v>600</v>
      </c>
      <c r="L24" s="50">
        <f t="shared" si="4"/>
        <v>251</v>
      </c>
      <c r="N24" s="50">
        <v>61</v>
      </c>
      <c r="Q24" s="50">
        <v>78</v>
      </c>
      <c r="T24" s="50">
        <v>46</v>
      </c>
      <c r="W24" s="50">
        <v>52</v>
      </c>
      <c r="Z24" s="50">
        <v>14</v>
      </c>
    </row>
    <row r="25" spans="1:26" ht="14.25" customHeight="1" x14ac:dyDescent="0.75">
      <c r="A25" s="50">
        <v>666536</v>
      </c>
      <c r="B25" s="50" t="s">
        <v>42</v>
      </c>
      <c r="C25" s="50" t="s">
        <v>43</v>
      </c>
      <c r="E25" s="67">
        <v>30</v>
      </c>
      <c r="F25" s="50">
        <f t="shared" si="0"/>
        <v>4</v>
      </c>
      <c r="G25" s="60"/>
      <c r="H25" s="50">
        <f t="shared" si="1"/>
        <v>0</v>
      </c>
      <c r="I25" s="78"/>
      <c r="J25" s="50">
        <f t="shared" si="2"/>
        <v>0</v>
      </c>
      <c r="K25" s="50">
        <f t="shared" si="3"/>
        <v>30</v>
      </c>
      <c r="L25" s="50">
        <f t="shared" si="4"/>
        <v>4</v>
      </c>
      <c r="S25" s="50">
        <v>4</v>
      </c>
    </row>
    <row r="26" spans="1:26" ht="14.25" customHeight="1" x14ac:dyDescent="0.75">
      <c r="C26" s="71"/>
      <c r="D26" s="71"/>
      <c r="E26" s="71"/>
      <c r="F26" s="71"/>
      <c r="G26" s="71"/>
      <c r="H26" s="71"/>
      <c r="I26" s="71"/>
      <c r="J26" s="71"/>
      <c r="L26" s="71"/>
    </row>
    <row r="27" spans="1:26" ht="14.25" customHeight="1" x14ac:dyDescent="0.75">
      <c r="C27" s="71"/>
      <c r="D27" s="71"/>
      <c r="E27" s="71"/>
      <c r="F27" s="71"/>
      <c r="G27" s="71"/>
      <c r="H27" s="71"/>
      <c r="I27" s="71"/>
      <c r="J27" s="71"/>
      <c r="L27" s="71"/>
    </row>
    <row r="28" spans="1:26" ht="14.25" customHeight="1" x14ac:dyDescent="0.75">
      <c r="C28" s="71"/>
      <c r="D28" s="71"/>
      <c r="E28" s="71"/>
      <c r="F28" s="71"/>
      <c r="G28" s="71"/>
      <c r="H28" s="71"/>
      <c r="I28" s="71"/>
      <c r="J28" s="71"/>
      <c r="L28" s="71"/>
    </row>
    <row r="29" spans="1:26" ht="14.25" customHeight="1" x14ac:dyDescent="0.75">
      <c r="C29" s="71"/>
      <c r="D29" s="71"/>
      <c r="E29" s="71"/>
      <c r="F29" s="71"/>
      <c r="G29" s="71"/>
      <c r="H29" s="71"/>
      <c r="I29" s="71"/>
      <c r="J29" s="71"/>
      <c r="L29" s="71"/>
    </row>
    <row r="30" spans="1:26" ht="14.25" customHeight="1" x14ac:dyDescent="0.75">
      <c r="C30" s="71"/>
      <c r="D30" s="71"/>
      <c r="E30" s="71"/>
      <c r="F30" s="71"/>
      <c r="G30" s="71"/>
      <c r="H30" s="71"/>
      <c r="I30" s="71"/>
      <c r="J30" s="71"/>
      <c r="L30" s="71"/>
    </row>
    <row r="31" spans="1:26" ht="14.25" customHeight="1" x14ac:dyDescent="0.75">
      <c r="C31" s="71"/>
      <c r="D31" s="71"/>
      <c r="E31" s="71"/>
      <c r="F31" s="71"/>
      <c r="G31" s="71"/>
      <c r="H31" s="71"/>
      <c r="I31" s="71"/>
      <c r="J31" s="71"/>
      <c r="L31" s="71"/>
    </row>
    <row r="32" spans="1:26" ht="14.25" customHeight="1" x14ac:dyDescent="0.75">
      <c r="C32" s="72"/>
      <c r="D32" s="71"/>
      <c r="E32" s="71"/>
      <c r="F32" s="71"/>
      <c r="G32" s="71"/>
      <c r="H32" s="71"/>
      <c r="I32" s="71"/>
      <c r="J32" s="71"/>
      <c r="L32" s="71"/>
    </row>
    <row r="33" spans="3:14" ht="14.25" customHeight="1" x14ac:dyDescent="0.75">
      <c r="C33" s="71"/>
      <c r="D33" s="71"/>
      <c r="E33" s="71"/>
      <c r="F33" s="71"/>
      <c r="G33" s="71"/>
      <c r="H33" s="71"/>
      <c r="I33" s="71"/>
      <c r="J33" s="71"/>
      <c r="L33" s="71"/>
    </row>
    <row r="34" spans="3:14" ht="14.25" customHeight="1" x14ac:dyDescent="0.75">
      <c r="C34" s="71"/>
      <c r="D34" s="71"/>
      <c r="E34" s="71"/>
      <c r="F34" s="71"/>
      <c r="G34" s="71"/>
      <c r="H34" s="71"/>
      <c r="I34" s="71"/>
      <c r="J34" s="71"/>
      <c r="L34" s="71"/>
    </row>
    <row r="35" spans="3:14" ht="14.25" customHeight="1" x14ac:dyDescent="0.75">
      <c r="C35" s="71"/>
      <c r="D35" s="71"/>
      <c r="E35" s="71"/>
      <c r="F35" s="71"/>
      <c r="G35" s="71"/>
      <c r="H35" s="71"/>
      <c r="I35" s="71"/>
      <c r="J35" s="71"/>
      <c r="L35" s="71"/>
    </row>
    <row r="36" spans="3:14" ht="14.25" customHeight="1" x14ac:dyDescent="0.75">
      <c r="C36" s="71"/>
      <c r="D36" s="71"/>
      <c r="E36" s="71"/>
      <c r="F36" s="71"/>
      <c r="G36" s="71"/>
      <c r="H36" s="71"/>
      <c r="I36" s="71"/>
      <c r="J36" s="71"/>
      <c r="L36" s="71"/>
    </row>
    <row r="37" spans="3:14" ht="14.25" customHeight="1" x14ac:dyDescent="0.75">
      <c r="C37" s="71"/>
      <c r="D37" s="71"/>
      <c r="E37" s="71"/>
      <c r="F37" s="71"/>
      <c r="G37" s="71"/>
      <c r="H37" s="71"/>
      <c r="I37" s="71"/>
      <c r="J37" s="71"/>
      <c r="L37" s="71"/>
    </row>
    <row r="38" spans="3:14" ht="14.25" customHeight="1" x14ac:dyDescent="0.75">
      <c r="C38" s="71"/>
      <c r="D38" s="71"/>
      <c r="E38" s="71"/>
      <c r="F38" s="71"/>
      <c r="G38" s="71"/>
      <c r="H38" s="71"/>
      <c r="I38" s="71"/>
      <c r="J38" s="71"/>
      <c r="L38" s="71"/>
    </row>
    <row r="39" spans="3:14" ht="14.25" customHeight="1" x14ac:dyDescent="0.75">
      <c r="C39" s="71"/>
      <c r="D39" s="71"/>
      <c r="E39" s="71"/>
      <c r="F39" s="71"/>
      <c r="G39" s="71"/>
      <c r="H39" s="71"/>
      <c r="I39" s="71"/>
      <c r="J39" s="71"/>
      <c r="L39" s="71"/>
    </row>
    <row r="40" spans="3:14" ht="14.25" customHeight="1" x14ac:dyDescent="0.75">
      <c r="C40" s="71"/>
      <c r="D40" s="71"/>
      <c r="E40" s="71"/>
      <c r="F40" s="71"/>
      <c r="G40" s="71"/>
      <c r="H40" s="71"/>
      <c r="I40" s="71"/>
      <c r="J40" s="71"/>
      <c r="L40" s="71"/>
    </row>
    <row r="41" spans="3:14" ht="14.25" customHeight="1" x14ac:dyDescent="0.75">
      <c r="C41" s="71"/>
      <c r="D41" s="71"/>
      <c r="E41" s="71"/>
      <c r="F41" s="71"/>
      <c r="G41" s="71"/>
      <c r="H41" s="71"/>
      <c r="I41" s="71"/>
      <c r="J41" s="71"/>
      <c r="L41" s="71"/>
    </row>
    <row r="42" spans="3:14" ht="14.25" customHeight="1" x14ac:dyDescent="0.75">
      <c r="C42" s="71"/>
      <c r="D42" s="71"/>
      <c r="E42" s="71"/>
      <c r="F42" s="71"/>
      <c r="G42" s="71"/>
      <c r="H42" s="71"/>
      <c r="I42" s="71"/>
      <c r="J42" s="71"/>
      <c r="L42" s="71"/>
    </row>
    <row r="48" spans="3:14" ht="14.25" customHeight="1" x14ac:dyDescent="0.75">
      <c r="C48" s="50" t="s">
        <v>153</v>
      </c>
      <c r="J48" s="50" t="s">
        <v>153</v>
      </c>
      <c r="K48" s="50" t="s">
        <v>154</v>
      </c>
      <c r="L48" s="73" t="s">
        <v>155</v>
      </c>
      <c r="M48" s="50" t="s">
        <v>156</v>
      </c>
      <c r="N48" s="74" t="s">
        <v>157</v>
      </c>
    </row>
    <row r="49" spans="3:14" ht="14.25" customHeight="1" x14ac:dyDescent="0.75">
      <c r="C49" s="50" t="str">
        <f>+N2</f>
        <v>Jesus</v>
      </c>
      <c r="D49" s="75"/>
      <c r="E49" s="75"/>
      <c r="J49" s="50" t="s">
        <v>65</v>
      </c>
      <c r="K49" s="50">
        <f>SUM(E5:E22)</f>
        <v>557</v>
      </c>
      <c r="L49" s="50">
        <f>SUM(F5:F22)</f>
        <v>392</v>
      </c>
      <c r="M49" s="50">
        <f>+L49-K49</f>
        <v>-165</v>
      </c>
      <c r="N49" s="76">
        <f>+L49/K49</f>
        <v>0.70377019748653502</v>
      </c>
    </row>
    <row r="50" spans="3:14" ht="14.25" customHeight="1" x14ac:dyDescent="0.75">
      <c r="C50" s="50" t="str">
        <f>+M2</f>
        <v>Jordan</v>
      </c>
      <c r="D50" s="75"/>
      <c r="E50" s="75"/>
      <c r="J50" s="50" t="s">
        <v>55</v>
      </c>
      <c r="K50" s="50">
        <f>SUM(G5:G22)</f>
        <v>1604</v>
      </c>
      <c r="L50" s="50">
        <f>SUM(H5:H22)</f>
        <v>628</v>
      </c>
      <c r="M50" s="50">
        <f>+L50-K50</f>
        <v>-976</v>
      </c>
      <c r="N50" s="76">
        <f>+L50/K50</f>
        <v>0.39152119700748128</v>
      </c>
    </row>
    <row r="51" spans="3:14" ht="14.25" customHeight="1" x14ac:dyDescent="0.75">
      <c r="J51" s="50" t="s">
        <v>158</v>
      </c>
      <c r="K51" s="50">
        <f>SUM(I5:I22)</f>
        <v>354</v>
      </c>
      <c r="L51" s="50">
        <f>SUM(J5:J22)</f>
        <v>187</v>
      </c>
      <c r="M51" s="50">
        <f>+L51-K51</f>
        <v>-167</v>
      </c>
      <c r="N51" s="76">
        <f>+L51/K51</f>
        <v>0.52824858757062143</v>
      </c>
    </row>
  </sheetData>
  <conditionalFormatting sqref="F4 H4:H25 J4:J25 F5:G5 I5:I24 G6:G24 F6:F25">
    <cfRule type="expression" dxfId="204" priority="6">
      <formula>#REF!=F4</formula>
    </cfRule>
    <cfRule type="expression" dxfId="203" priority="7">
      <formula>#REF!&lt;F4</formula>
    </cfRule>
    <cfRule type="expression" dxfId="202" priority="8">
      <formula>#REF!&gt;F4</formula>
    </cfRule>
  </conditionalFormatting>
  <conditionalFormatting sqref="K5:K25">
    <cfRule type="cellIs" dxfId="201" priority="2" operator="equal">
      <formula>0</formula>
    </cfRule>
  </conditionalFormatting>
  <conditionalFormatting sqref="L5:L25">
    <cfRule type="expression" dxfId="200" priority="3">
      <formula>K5=L5</formula>
    </cfRule>
    <cfRule type="expression" dxfId="199" priority="4">
      <formula>K5&lt;L5</formula>
    </cfRule>
    <cfRule type="expression" dxfId="198" priority="5">
      <formula>K5&gt;L5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B26"/>
  <sheetViews>
    <sheetView topLeftCell="F1" zoomScaleNormal="100" workbookViewId="0">
      <selection activeCell="Z24" sqref="Z24"/>
    </sheetView>
  </sheetViews>
  <sheetFormatPr defaultColWidth="8.54296875" defaultRowHeight="14.75" x14ac:dyDescent="0.75"/>
  <cols>
    <col min="2" max="2" width="43.31640625" customWidth="1"/>
    <col min="3" max="3" width="21" customWidth="1"/>
    <col min="4" max="4" width="9.1328125" hidden="1" customWidth="1"/>
  </cols>
  <sheetData>
    <row r="1" spans="1:28" ht="28.5" customHeight="1" x14ac:dyDescent="0.75">
      <c r="A1" s="51"/>
      <c r="B1" s="51"/>
      <c r="C1" s="51" t="s">
        <v>176</v>
      </c>
      <c r="D1" s="51" t="s">
        <v>144</v>
      </c>
      <c r="E1" s="52" t="s">
        <v>116</v>
      </c>
      <c r="F1" s="53" t="s">
        <v>145</v>
      </c>
      <c r="G1" s="54" t="s">
        <v>119</v>
      </c>
      <c r="H1" s="53" t="s">
        <v>146</v>
      </c>
      <c r="I1" s="55" t="s">
        <v>122</v>
      </c>
      <c r="J1" s="56" t="s">
        <v>147</v>
      </c>
      <c r="K1" s="51" t="s">
        <v>148</v>
      </c>
      <c r="L1" s="53" t="s">
        <v>149</v>
      </c>
      <c r="M1" s="51" t="s">
        <v>56</v>
      </c>
      <c r="N1" s="51" t="s">
        <v>58</v>
      </c>
      <c r="O1" s="51" t="s">
        <v>66</v>
      </c>
      <c r="P1" s="51" t="s">
        <v>56</v>
      </c>
      <c r="Q1" s="51" t="s">
        <v>58</v>
      </c>
      <c r="R1" s="51" t="s">
        <v>66</v>
      </c>
      <c r="S1" s="51" t="s">
        <v>56</v>
      </c>
      <c r="T1" s="51" t="s">
        <v>58</v>
      </c>
      <c r="U1" s="51" t="s">
        <v>66</v>
      </c>
      <c r="V1" s="51" t="s">
        <v>56</v>
      </c>
      <c r="W1" s="51" t="s">
        <v>58</v>
      </c>
      <c r="X1" s="51" t="s">
        <v>66</v>
      </c>
      <c r="Y1" s="51" t="s">
        <v>56</v>
      </c>
      <c r="Z1" s="51" t="s">
        <v>58</v>
      </c>
      <c r="AA1" s="51" t="s">
        <v>66</v>
      </c>
      <c r="AB1" s="51"/>
    </row>
    <row r="2" spans="1:28" ht="14.25" customHeight="1" x14ac:dyDescent="0.75">
      <c r="A2" s="50"/>
      <c r="B2" s="50"/>
      <c r="C2" s="57" t="s">
        <v>150</v>
      </c>
      <c r="D2" s="57"/>
      <c r="E2" s="57"/>
      <c r="F2" s="57"/>
      <c r="G2" s="57"/>
      <c r="H2" s="59"/>
      <c r="I2" s="59"/>
      <c r="J2" s="59"/>
      <c r="K2" s="59"/>
      <c r="L2" s="59"/>
      <c r="M2" s="59" t="s">
        <v>65</v>
      </c>
      <c r="N2" s="59" t="s">
        <v>57</v>
      </c>
      <c r="O2" s="59" t="s">
        <v>55</v>
      </c>
      <c r="P2" s="59" t="s">
        <v>65</v>
      </c>
      <c r="Q2" s="59" t="s">
        <v>57</v>
      </c>
      <c r="R2" s="59" t="s">
        <v>55</v>
      </c>
      <c r="S2" s="59" t="s">
        <v>65</v>
      </c>
      <c r="T2" s="59" t="s">
        <v>57</v>
      </c>
      <c r="U2" s="59" t="s">
        <v>55</v>
      </c>
      <c r="V2" s="59" t="s">
        <v>65</v>
      </c>
      <c r="W2" s="59" t="s">
        <v>57</v>
      </c>
      <c r="X2" s="59" t="s">
        <v>55</v>
      </c>
      <c r="Y2" s="59" t="s">
        <v>65</v>
      </c>
      <c r="Z2" s="59" t="s">
        <v>57</v>
      </c>
      <c r="AA2" s="59" t="s">
        <v>55</v>
      </c>
      <c r="AB2" s="50"/>
    </row>
    <row r="3" spans="1:28" ht="14.25" customHeight="1" x14ac:dyDescent="0.75">
      <c r="A3" s="62" t="s">
        <v>129</v>
      </c>
      <c r="B3" s="62" t="s">
        <v>2</v>
      </c>
      <c r="C3" s="62" t="s">
        <v>3</v>
      </c>
      <c r="D3" s="62"/>
      <c r="E3" s="58"/>
      <c r="F3" s="62"/>
      <c r="G3" s="63"/>
      <c r="H3" s="62"/>
      <c r="I3" s="64"/>
      <c r="J3" s="62"/>
      <c r="K3" s="62"/>
      <c r="L3" s="62"/>
      <c r="M3" s="62" t="s">
        <v>54</v>
      </c>
      <c r="N3" s="62" t="s">
        <v>54</v>
      </c>
      <c r="O3" s="62" t="s">
        <v>54</v>
      </c>
      <c r="P3" s="62" t="s">
        <v>59</v>
      </c>
      <c r="Q3" s="62" t="s">
        <v>59</v>
      </c>
      <c r="R3" s="62" t="s">
        <v>59</v>
      </c>
      <c r="S3" s="62" t="s">
        <v>60</v>
      </c>
      <c r="T3" s="62" t="s">
        <v>60</v>
      </c>
      <c r="U3" s="62" t="s">
        <v>60</v>
      </c>
      <c r="V3" s="62" t="s">
        <v>62</v>
      </c>
      <c r="W3" s="62" t="s">
        <v>62</v>
      </c>
      <c r="X3" s="62" t="s">
        <v>62</v>
      </c>
      <c r="Y3" s="62" t="s">
        <v>63</v>
      </c>
      <c r="Z3" s="62" t="s">
        <v>63</v>
      </c>
      <c r="AA3" s="62" t="s">
        <v>63</v>
      </c>
      <c r="AB3" s="50"/>
    </row>
    <row r="4" spans="1:28" ht="14.25" customHeight="1" x14ac:dyDescent="0.75">
      <c r="A4" s="62"/>
      <c r="B4" s="62"/>
      <c r="C4" s="62" t="s">
        <v>151</v>
      </c>
      <c r="D4" s="62"/>
      <c r="E4" s="58"/>
      <c r="F4" s="62">
        <f t="shared" ref="F4:F25" si="0">+M4+P4+S4+V4+Y4</f>
        <v>69</v>
      </c>
      <c r="G4" s="147"/>
      <c r="H4" s="62">
        <f t="shared" ref="H4:H18" si="1">+N4+Q4+T4+W4+Z4</f>
        <v>554</v>
      </c>
      <c r="I4" s="64"/>
      <c r="J4" s="62">
        <f t="shared" ref="J4:J25" si="2">+O4+R4+U4+X4+AA4</f>
        <v>95</v>
      </c>
      <c r="K4" s="62" t="s">
        <v>152</v>
      </c>
      <c r="L4" s="62"/>
      <c r="M4" s="161"/>
      <c r="N4" s="62">
        <v>102</v>
      </c>
      <c r="O4" s="62">
        <v>31</v>
      </c>
      <c r="P4" s="50"/>
      <c r="Q4" s="62">
        <v>103</v>
      </c>
      <c r="R4" s="62">
        <v>36</v>
      </c>
      <c r="S4" s="62">
        <v>24</v>
      </c>
      <c r="T4" s="62">
        <v>118</v>
      </c>
      <c r="U4" s="62"/>
      <c r="V4" s="62">
        <v>26</v>
      </c>
      <c r="W4" s="62">
        <v>102</v>
      </c>
      <c r="X4" s="62">
        <v>28</v>
      </c>
      <c r="Y4" s="62">
        <v>19</v>
      </c>
      <c r="Z4" s="62">
        <v>129</v>
      </c>
      <c r="AA4" s="62"/>
      <c r="AB4" s="50"/>
    </row>
    <row r="5" spans="1:28" ht="14.25" customHeight="1" x14ac:dyDescent="0.75">
      <c r="A5" s="50">
        <v>666501</v>
      </c>
      <c r="B5" s="50" t="s">
        <v>4</v>
      </c>
      <c r="C5" s="50" t="s">
        <v>5</v>
      </c>
      <c r="D5" s="50"/>
      <c r="E5" s="67">
        <v>36</v>
      </c>
      <c r="F5" s="50">
        <f t="shared" si="0"/>
        <v>21</v>
      </c>
      <c r="G5" s="149">
        <v>324</v>
      </c>
      <c r="H5" s="62">
        <f t="shared" si="1"/>
        <v>258</v>
      </c>
      <c r="I5" s="61">
        <v>33</v>
      </c>
      <c r="J5" s="157">
        <f t="shared" si="2"/>
        <v>33</v>
      </c>
      <c r="K5" s="50">
        <f t="shared" ref="K5:K24" si="3">+E5+G5+I5</f>
        <v>393</v>
      </c>
      <c r="L5" s="50">
        <f t="shared" ref="L5:L25" si="4">SUM(F5,H5,J5)</f>
        <v>312</v>
      </c>
      <c r="M5" s="162"/>
      <c r="N5" s="50"/>
      <c r="O5" s="50">
        <v>27</v>
      </c>
      <c r="P5" s="50"/>
      <c r="Q5" s="50"/>
      <c r="R5" s="50">
        <v>6</v>
      </c>
      <c r="S5" s="50">
        <v>3</v>
      </c>
      <c r="T5" s="50">
        <v>108</v>
      </c>
      <c r="U5" s="50"/>
      <c r="V5" s="50">
        <v>9</v>
      </c>
      <c r="W5" s="50"/>
      <c r="X5" s="50"/>
      <c r="Y5" s="50">
        <v>9</v>
      </c>
      <c r="Z5" s="50">
        <v>150</v>
      </c>
      <c r="AA5" s="50"/>
      <c r="AB5" s="50"/>
    </row>
    <row r="6" spans="1:28" ht="14.25" customHeight="1" x14ac:dyDescent="0.75">
      <c r="A6" s="50">
        <v>666502</v>
      </c>
      <c r="B6" s="50" t="s">
        <v>6</v>
      </c>
      <c r="C6" s="50" t="s">
        <v>7</v>
      </c>
      <c r="D6" s="50"/>
      <c r="E6" s="67">
        <v>0</v>
      </c>
      <c r="F6" s="50">
        <f t="shared" si="0"/>
        <v>0</v>
      </c>
      <c r="G6" s="149">
        <v>196</v>
      </c>
      <c r="H6" s="62">
        <f t="shared" si="1"/>
        <v>147</v>
      </c>
      <c r="I6" s="61">
        <v>50</v>
      </c>
      <c r="J6" s="157">
        <f t="shared" si="2"/>
        <v>50</v>
      </c>
      <c r="K6" s="50">
        <f t="shared" si="3"/>
        <v>246</v>
      </c>
      <c r="L6" s="50">
        <f t="shared" si="4"/>
        <v>197</v>
      </c>
      <c r="M6" s="162"/>
      <c r="N6" s="50">
        <v>33</v>
      </c>
      <c r="O6" s="50"/>
      <c r="P6" s="50"/>
      <c r="Q6" s="50">
        <v>25</v>
      </c>
      <c r="R6" s="50">
        <v>26</v>
      </c>
      <c r="S6" s="50"/>
      <c r="T6" s="50">
        <v>40</v>
      </c>
      <c r="U6" s="50"/>
      <c r="V6" s="50"/>
      <c r="W6" s="50">
        <v>7</v>
      </c>
      <c r="X6" s="50">
        <v>24</v>
      </c>
      <c r="Y6" s="50"/>
      <c r="Z6" s="50">
        <v>42</v>
      </c>
      <c r="AA6" s="50"/>
      <c r="AB6" s="50"/>
    </row>
    <row r="7" spans="1:28" ht="14.25" customHeight="1" x14ac:dyDescent="0.75">
      <c r="A7" s="50">
        <v>666505</v>
      </c>
      <c r="B7" s="50" t="s">
        <v>8</v>
      </c>
      <c r="C7" s="50" t="s">
        <v>9</v>
      </c>
      <c r="D7" s="50"/>
      <c r="E7" s="67">
        <v>0</v>
      </c>
      <c r="F7" s="50">
        <f t="shared" si="0"/>
        <v>0</v>
      </c>
      <c r="G7" s="149">
        <v>0</v>
      </c>
      <c r="H7" s="62">
        <f t="shared" si="1"/>
        <v>0</v>
      </c>
      <c r="I7" s="61">
        <v>5</v>
      </c>
      <c r="J7" s="157">
        <f t="shared" si="2"/>
        <v>5</v>
      </c>
      <c r="K7" s="50">
        <f t="shared" si="3"/>
        <v>5</v>
      </c>
      <c r="L7" s="50">
        <f t="shared" si="4"/>
        <v>5</v>
      </c>
      <c r="M7" s="162"/>
      <c r="N7" s="50"/>
      <c r="O7" s="50">
        <v>5</v>
      </c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</row>
    <row r="8" spans="1:28" ht="14.25" customHeight="1" x14ac:dyDescent="0.75">
      <c r="A8" s="50">
        <v>666506</v>
      </c>
      <c r="B8" s="50" t="s">
        <v>10</v>
      </c>
      <c r="C8" s="50" t="s">
        <v>11</v>
      </c>
      <c r="D8" s="50"/>
      <c r="E8" s="67">
        <v>0</v>
      </c>
      <c r="F8" s="50">
        <f t="shared" si="0"/>
        <v>0</v>
      </c>
      <c r="G8" s="149">
        <v>376</v>
      </c>
      <c r="H8" s="62">
        <f t="shared" si="1"/>
        <v>53</v>
      </c>
      <c r="I8" s="61">
        <v>0</v>
      </c>
      <c r="J8" s="62">
        <f t="shared" si="2"/>
        <v>0</v>
      </c>
      <c r="K8" s="50">
        <f t="shared" si="3"/>
        <v>376</v>
      </c>
      <c r="L8" s="50">
        <f t="shared" si="4"/>
        <v>53</v>
      </c>
      <c r="M8" s="162"/>
      <c r="N8" s="50">
        <v>3</v>
      </c>
      <c r="O8" s="50"/>
      <c r="P8" s="50"/>
      <c r="Q8" s="50">
        <v>3</v>
      </c>
      <c r="R8" s="50"/>
      <c r="S8" s="50"/>
      <c r="T8" s="50">
        <v>16</v>
      </c>
      <c r="U8" s="50"/>
      <c r="V8" s="50"/>
      <c r="W8" s="50">
        <v>19</v>
      </c>
      <c r="X8" s="50"/>
      <c r="Y8" s="50"/>
      <c r="Z8" s="50">
        <v>12</v>
      </c>
      <c r="AA8" s="50"/>
      <c r="AB8" s="50"/>
    </row>
    <row r="9" spans="1:28" ht="14.25" customHeight="1" x14ac:dyDescent="0.75">
      <c r="A9" s="50">
        <v>666507</v>
      </c>
      <c r="B9" s="50" t="s">
        <v>12</v>
      </c>
      <c r="C9" s="50" t="s">
        <v>13</v>
      </c>
      <c r="D9" s="50"/>
      <c r="E9" s="67">
        <v>21</v>
      </c>
      <c r="F9" s="50">
        <f t="shared" si="0"/>
        <v>15</v>
      </c>
      <c r="G9" s="149">
        <v>0</v>
      </c>
      <c r="H9" s="62">
        <f t="shared" si="1"/>
        <v>0</v>
      </c>
      <c r="I9" s="61">
        <v>0</v>
      </c>
      <c r="J9" s="62">
        <f t="shared" si="2"/>
        <v>0</v>
      </c>
      <c r="K9" s="50">
        <f t="shared" si="3"/>
        <v>21</v>
      </c>
      <c r="L9" s="50">
        <f t="shared" si="4"/>
        <v>15</v>
      </c>
      <c r="M9" s="162"/>
      <c r="N9" s="50"/>
      <c r="O9" s="50"/>
      <c r="P9" s="50"/>
      <c r="Q9" s="50"/>
      <c r="R9" s="50"/>
      <c r="S9" s="50">
        <v>11</v>
      </c>
      <c r="T9" s="50"/>
      <c r="U9" s="50"/>
      <c r="V9" s="50">
        <v>3</v>
      </c>
      <c r="W9" s="50"/>
      <c r="X9" s="50"/>
      <c r="Y9" s="50">
        <v>1</v>
      </c>
      <c r="Z9" s="50"/>
      <c r="AA9" s="50"/>
      <c r="AB9" s="50"/>
    </row>
    <row r="10" spans="1:28" ht="14.25" customHeight="1" x14ac:dyDescent="0.75">
      <c r="A10" s="50">
        <v>666509</v>
      </c>
      <c r="B10" s="50" t="s">
        <v>14</v>
      </c>
      <c r="C10" s="50" t="s">
        <v>15</v>
      </c>
      <c r="D10" s="50"/>
      <c r="E10" s="67">
        <v>45</v>
      </c>
      <c r="F10" s="50">
        <f t="shared" si="0"/>
        <v>45</v>
      </c>
      <c r="G10" s="149">
        <v>0</v>
      </c>
      <c r="H10" s="62">
        <f t="shared" si="1"/>
        <v>0</v>
      </c>
      <c r="I10" s="61">
        <v>0</v>
      </c>
      <c r="J10" s="62">
        <f t="shared" si="2"/>
        <v>0</v>
      </c>
      <c r="K10" s="50">
        <f t="shared" si="3"/>
        <v>45</v>
      </c>
      <c r="L10" s="50">
        <f t="shared" si="4"/>
        <v>45</v>
      </c>
      <c r="M10" s="162"/>
      <c r="N10" s="50"/>
      <c r="O10" s="50"/>
      <c r="P10" s="50"/>
      <c r="Q10" s="50"/>
      <c r="R10" s="50"/>
      <c r="S10" s="50">
        <v>25</v>
      </c>
      <c r="T10" s="50"/>
      <c r="U10" s="50"/>
      <c r="V10" s="50">
        <v>12</v>
      </c>
      <c r="W10" s="50"/>
      <c r="X10" s="50"/>
      <c r="Y10" s="50">
        <v>8</v>
      </c>
      <c r="Z10" s="50"/>
      <c r="AA10" s="50"/>
      <c r="AB10" s="50"/>
    </row>
    <row r="11" spans="1:28" ht="14.25" customHeight="1" x14ac:dyDescent="0.75">
      <c r="A11" s="50">
        <v>666510</v>
      </c>
      <c r="B11" s="50" t="s">
        <v>16</v>
      </c>
      <c r="C11" s="50" t="s">
        <v>17</v>
      </c>
      <c r="D11" s="50"/>
      <c r="E11" s="67">
        <v>0</v>
      </c>
      <c r="F11" s="50">
        <f t="shared" si="0"/>
        <v>0</v>
      </c>
      <c r="G11" s="149">
        <v>0</v>
      </c>
      <c r="H11" s="62">
        <f t="shared" si="1"/>
        <v>0</v>
      </c>
      <c r="I11" s="61">
        <v>0</v>
      </c>
      <c r="J11" s="62">
        <f t="shared" si="2"/>
        <v>0</v>
      </c>
      <c r="K11" s="50">
        <f t="shared" si="3"/>
        <v>0</v>
      </c>
      <c r="L11" s="50">
        <f t="shared" si="4"/>
        <v>0</v>
      </c>
      <c r="M11" s="162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</row>
    <row r="12" spans="1:28" ht="14.25" customHeight="1" x14ac:dyDescent="0.75">
      <c r="A12" s="50">
        <v>666511</v>
      </c>
      <c r="B12" s="50" t="s">
        <v>18</v>
      </c>
      <c r="C12" s="50" t="s">
        <v>19</v>
      </c>
      <c r="D12" s="50"/>
      <c r="E12" s="67">
        <v>8</v>
      </c>
      <c r="F12" s="50">
        <f t="shared" si="0"/>
        <v>8</v>
      </c>
      <c r="G12" s="149">
        <v>0</v>
      </c>
      <c r="H12" s="62">
        <f t="shared" si="1"/>
        <v>0</v>
      </c>
      <c r="I12" s="61">
        <v>0</v>
      </c>
      <c r="J12" s="62">
        <f t="shared" si="2"/>
        <v>0</v>
      </c>
      <c r="K12" s="50">
        <f t="shared" si="3"/>
        <v>8</v>
      </c>
      <c r="L12" s="50">
        <f t="shared" si="4"/>
        <v>8</v>
      </c>
      <c r="M12" s="162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>
        <v>8</v>
      </c>
      <c r="Z12" s="50"/>
      <c r="AA12" s="50"/>
      <c r="AB12" s="50"/>
    </row>
    <row r="13" spans="1:28" ht="14.25" customHeight="1" x14ac:dyDescent="0.75">
      <c r="A13" s="50">
        <v>666513</v>
      </c>
      <c r="B13" s="50" t="s">
        <v>20</v>
      </c>
      <c r="C13" s="50" t="s">
        <v>21</v>
      </c>
      <c r="D13" s="50"/>
      <c r="E13" s="67">
        <v>0</v>
      </c>
      <c r="F13" s="50">
        <f t="shared" si="0"/>
        <v>0</v>
      </c>
      <c r="G13" s="149">
        <v>0</v>
      </c>
      <c r="H13" s="62">
        <f t="shared" si="1"/>
        <v>0</v>
      </c>
      <c r="I13" s="61">
        <v>0</v>
      </c>
      <c r="J13" s="62">
        <f t="shared" si="2"/>
        <v>0</v>
      </c>
      <c r="K13" s="50">
        <f t="shared" si="3"/>
        <v>0</v>
      </c>
      <c r="L13" s="50">
        <f t="shared" si="4"/>
        <v>0</v>
      </c>
      <c r="M13" s="162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</row>
    <row r="14" spans="1:28" ht="14.25" customHeight="1" x14ac:dyDescent="0.75">
      <c r="A14" s="50">
        <v>666516</v>
      </c>
      <c r="B14" s="50" t="s">
        <v>22</v>
      </c>
      <c r="C14" s="50" t="s">
        <v>23</v>
      </c>
      <c r="D14" s="50"/>
      <c r="E14" s="67">
        <v>0</v>
      </c>
      <c r="F14" s="50">
        <f t="shared" si="0"/>
        <v>0</v>
      </c>
      <c r="G14" s="149">
        <v>0</v>
      </c>
      <c r="H14" s="62">
        <f t="shared" si="1"/>
        <v>0</v>
      </c>
      <c r="I14" s="61">
        <v>13</v>
      </c>
      <c r="J14" s="157">
        <f t="shared" si="2"/>
        <v>13</v>
      </c>
      <c r="K14" s="50">
        <f t="shared" si="3"/>
        <v>13</v>
      </c>
      <c r="L14" s="50">
        <f t="shared" si="4"/>
        <v>13</v>
      </c>
      <c r="M14" s="162"/>
      <c r="N14" s="50"/>
      <c r="O14" s="50">
        <v>13</v>
      </c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</row>
    <row r="15" spans="1:28" ht="14.25" customHeight="1" x14ac:dyDescent="0.75">
      <c r="A15" s="50">
        <v>666517</v>
      </c>
      <c r="B15" s="50" t="s">
        <v>24</v>
      </c>
      <c r="C15" s="50" t="s">
        <v>25</v>
      </c>
      <c r="D15" s="50"/>
      <c r="E15" s="67">
        <v>0</v>
      </c>
      <c r="F15" s="50">
        <f t="shared" si="0"/>
        <v>0</v>
      </c>
      <c r="G15" s="149">
        <v>0</v>
      </c>
      <c r="H15" s="62">
        <f t="shared" si="1"/>
        <v>0</v>
      </c>
      <c r="I15" s="61">
        <v>0</v>
      </c>
      <c r="J15" s="62">
        <f t="shared" si="2"/>
        <v>0</v>
      </c>
      <c r="K15" s="50">
        <f t="shared" si="3"/>
        <v>0</v>
      </c>
      <c r="L15" s="50">
        <f t="shared" si="4"/>
        <v>0</v>
      </c>
      <c r="M15" s="162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</row>
    <row r="16" spans="1:28" ht="14.25" customHeight="1" x14ac:dyDescent="0.75">
      <c r="A16" s="50">
        <v>666518</v>
      </c>
      <c r="B16" s="50" t="s">
        <v>26</v>
      </c>
      <c r="C16" s="50" t="s">
        <v>27</v>
      </c>
      <c r="D16" s="50"/>
      <c r="E16" s="67">
        <v>0</v>
      </c>
      <c r="F16" s="50">
        <f t="shared" si="0"/>
        <v>0</v>
      </c>
      <c r="G16" s="149">
        <v>0</v>
      </c>
      <c r="H16" s="62">
        <f t="shared" si="1"/>
        <v>0</v>
      </c>
      <c r="I16" s="61">
        <v>0</v>
      </c>
      <c r="J16" s="62">
        <f t="shared" si="2"/>
        <v>0</v>
      </c>
      <c r="K16" s="50">
        <f t="shared" si="3"/>
        <v>0</v>
      </c>
      <c r="L16" s="50">
        <f t="shared" si="4"/>
        <v>0</v>
      </c>
      <c r="M16" s="162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</row>
    <row r="17" spans="1:28" ht="14.25" customHeight="1" x14ac:dyDescent="0.75">
      <c r="A17" s="50">
        <v>666519</v>
      </c>
      <c r="B17" s="50" t="s">
        <v>28</v>
      </c>
      <c r="C17" s="50" t="s">
        <v>29</v>
      </c>
      <c r="D17" s="50"/>
      <c r="E17" s="67">
        <v>0</v>
      </c>
      <c r="F17" s="50">
        <f t="shared" si="0"/>
        <v>0</v>
      </c>
      <c r="G17" s="149">
        <v>0</v>
      </c>
      <c r="H17" s="62">
        <f t="shared" si="1"/>
        <v>0</v>
      </c>
      <c r="I17" s="61">
        <v>6</v>
      </c>
      <c r="J17" s="157">
        <f t="shared" si="2"/>
        <v>6</v>
      </c>
      <c r="K17" s="50">
        <f t="shared" si="3"/>
        <v>6</v>
      </c>
      <c r="L17" s="50">
        <f t="shared" si="4"/>
        <v>6</v>
      </c>
      <c r="M17" s="162"/>
      <c r="N17" s="50"/>
      <c r="O17" s="50">
        <v>6</v>
      </c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</row>
    <row r="18" spans="1:28" ht="14.25" customHeight="1" x14ac:dyDescent="0.75">
      <c r="A18" s="50">
        <v>666521</v>
      </c>
      <c r="B18" s="50" t="s">
        <v>30</v>
      </c>
      <c r="C18" s="50" t="s">
        <v>31</v>
      </c>
      <c r="D18" s="50"/>
      <c r="E18" s="67">
        <v>35</v>
      </c>
      <c r="F18" s="50">
        <f t="shared" si="0"/>
        <v>16</v>
      </c>
      <c r="G18" s="149">
        <v>0</v>
      </c>
      <c r="H18" s="62">
        <f t="shared" si="1"/>
        <v>0</v>
      </c>
      <c r="I18" s="61">
        <v>0</v>
      </c>
      <c r="J18" s="62">
        <f t="shared" si="2"/>
        <v>0</v>
      </c>
      <c r="K18" s="50">
        <f t="shared" si="3"/>
        <v>35</v>
      </c>
      <c r="L18" s="50">
        <f t="shared" si="4"/>
        <v>16</v>
      </c>
      <c r="M18" s="162"/>
      <c r="N18" s="50"/>
      <c r="O18" s="50"/>
      <c r="P18" s="50"/>
      <c r="Q18" s="50"/>
      <c r="R18" s="50"/>
      <c r="S18" s="50">
        <v>6</v>
      </c>
      <c r="T18" s="50"/>
      <c r="U18" s="50"/>
      <c r="V18" s="50">
        <v>7</v>
      </c>
      <c r="W18" s="50"/>
      <c r="X18" s="50"/>
      <c r="Y18" s="50">
        <v>3</v>
      </c>
      <c r="Z18" s="50"/>
      <c r="AA18" s="50"/>
      <c r="AB18" s="50"/>
    </row>
    <row r="19" spans="1:28" ht="14.25" customHeight="1" x14ac:dyDescent="0.75">
      <c r="A19" s="50">
        <v>666522</v>
      </c>
      <c r="B19" s="50" t="s">
        <v>32</v>
      </c>
      <c r="C19" s="50" t="s">
        <v>33</v>
      </c>
      <c r="D19" s="50"/>
      <c r="E19" s="67">
        <v>15</v>
      </c>
      <c r="F19" s="70">
        <f t="shared" si="0"/>
        <v>15</v>
      </c>
      <c r="G19" s="149">
        <v>80</v>
      </c>
      <c r="H19" s="62">
        <v>80</v>
      </c>
      <c r="I19" s="61">
        <v>45</v>
      </c>
      <c r="J19" s="157">
        <f t="shared" si="2"/>
        <v>45</v>
      </c>
      <c r="K19" s="50">
        <f t="shared" si="3"/>
        <v>140</v>
      </c>
      <c r="L19" s="50">
        <f t="shared" si="4"/>
        <v>140</v>
      </c>
      <c r="M19" s="162"/>
      <c r="N19" s="50"/>
      <c r="O19" s="50">
        <v>40</v>
      </c>
      <c r="P19" s="50"/>
      <c r="Q19" s="50"/>
      <c r="R19" s="50">
        <v>5</v>
      </c>
      <c r="S19" s="50">
        <v>15</v>
      </c>
      <c r="T19" s="50"/>
      <c r="U19" s="50"/>
      <c r="V19" s="50"/>
      <c r="W19" s="50">
        <v>60</v>
      </c>
      <c r="X19" s="50"/>
      <c r="Y19" s="50"/>
      <c r="Z19" s="50">
        <v>25</v>
      </c>
      <c r="AA19" s="50"/>
      <c r="AB19" s="50"/>
    </row>
    <row r="20" spans="1:28" ht="14.25" customHeight="1" x14ac:dyDescent="0.75">
      <c r="A20" s="50">
        <v>666523</v>
      </c>
      <c r="B20" s="50" t="s">
        <v>34</v>
      </c>
      <c r="C20" s="50" t="s">
        <v>35</v>
      </c>
      <c r="D20" s="50"/>
      <c r="E20" s="67">
        <v>0</v>
      </c>
      <c r="F20" s="50">
        <f t="shared" si="0"/>
        <v>0</v>
      </c>
      <c r="G20" s="149">
        <v>0</v>
      </c>
      <c r="H20" s="62">
        <f t="shared" ref="H20:H25" si="5">+N20+Q20+T20+W20+Z20</f>
        <v>0</v>
      </c>
      <c r="I20" s="61">
        <v>0</v>
      </c>
      <c r="J20" s="62">
        <f t="shared" si="2"/>
        <v>0</v>
      </c>
      <c r="K20" s="50">
        <f t="shared" si="3"/>
        <v>0</v>
      </c>
      <c r="L20" s="50">
        <f t="shared" si="4"/>
        <v>0</v>
      </c>
      <c r="M20" s="162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</row>
    <row r="21" spans="1:28" ht="14.25" customHeight="1" x14ac:dyDescent="0.75">
      <c r="A21" s="50">
        <v>666530</v>
      </c>
      <c r="B21" s="50" t="s">
        <v>36</v>
      </c>
      <c r="C21" s="50" t="s">
        <v>37</v>
      </c>
      <c r="D21" s="50"/>
      <c r="E21" s="67">
        <v>5</v>
      </c>
      <c r="F21" s="50">
        <f t="shared" si="0"/>
        <v>5</v>
      </c>
      <c r="G21" s="149">
        <v>0</v>
      </c>
      <c r="H21" s="62">
        <f t="shared" si="5"/>
        <v>0</v>
      </c>
      <c r="I21" s="61">
        <v>15</v>
      </c>
      <c r="J21" s="157">
        <f t="shared" si="2"/>
        <v>15</v>
      </c>
      <c r="K21" s="50">
        <f t="shared" si="3"/>
        <v>20</v>
      </c>
      <c r="L21" s="50">
        <f t="shared" si="4"/>
        <v>20</v>
      </c>
      <c r="M21" s="162"/>
      <c r="N21" s="50"/>
      <c r="O21" s="50">
        <v>15</v>
      </c>
      <c r="P21" s="50"/>
      <c r="Q21" s="50"/>
      <c r="R21" s="50"/>
      <c r="S21" s="50">
        <v>1</v>
      </c>
      <c r="T21" s="50"/>
      <c r="U21" s="50"/>
      <c r="V21" s="50"/>
      <c r="W21" s="50"/>
      <c r="X21" s="50"/>
      <c r="Y21" s="50">
        <v>4</v>
      </c>
      <c r="Z21" s="50"/>
      <c r="AA21" s="50"/>
      <c r="AB21" s="50"/>
    </row>
    <row r="22" spans="1:28" ht="14.25" customHeight="1" x14ac:dyDescent="0.75">
      <c r="A22" s="50">
        <v>666531</v>
      </c>
      <c r="B22" s="50" t="s">
        <v>38</v>
      </c>
      <c r="C22" s="50" t="s">
        <v>39</v>
      </c>
      <c r="D22" s="50"/>
      <c r="E22" s="67">
        <v>0</v>
      </c>
      <c r="F22" s="50">
        <f t="shared" si="0"/>
        <v>0</v>
      </c>
      <c r="G22" s="149">
        <v>0</v>
      </c>
      <c r="H22" s="62">
        <f t="shared" si="5"/>
        <v>0</v>
      </c>
      <c r="I22" s="61">
        <v>0</v>
      </c>
      <c r="J22" s="62">
        <f t="shared" si="2"/>
        <v>0</v>
      </c>
      <c r="K22" s="50">
        <f t="shared" si="3"/>
        <v>0</v>
      </c>
      <c r="L22" s="50">
        <f t="shared" si="4"/>
        <v>0</v>
      </c>
      <c r="M22" s="162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</row>
    <row r="23" spans="1:28" ht="14.25" customHeight="1" x14ac:dyDescent="0.75">
      <c r="A23" s="50">
        <v>666540</v>
      </c>
      <c r="B23" s="50" t="s">
        <v>40</v>
      </c>
      <c r="C23" s="50" t="s">
        <v>40</v>
      </c>
      <c r="D23" s="50"/>
      <c r="E23" s="67">
        <v>0</v>
      </c>
      <c r="F23" s="50">
        <f t="shared" si="0"/>
        <v>0</v>
      </c>
      <c r="G23" s="149">
        <v>120</v>
      </c>
      <c r="H23" s="62">
        <f t="shared" si="5"/>
        <v>0</v>
      </c>
      <c r="I23" s="61">
        <v>0</v>
      </c>
      <c r="J23" s="62">
        <f t="shared" si="2"/>
        <v>0</v>
      </c>
      <c r="K23" s="50">
        <f t="shared" si="3"/>
        <v>120</v>
      </c>
      <c r="L23" s="50">
        <f t="shared" si="4"/>
        <v>0</v>
      </c>
      <c r="M23" s="162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</row>
    <row r="24" spans="1:28" ht="14.25" customHeight="1" x14ac:dyDescent="0.75">
      <c r="A24" s="50">
        <v>666541</v>
      </c>
      <c r="B24" s="50" t="s">
        <v>41</v>
      </c>
      <c r="C24" s="50" t="s">
        <v>41</v>
      </c>
      <c r="D24" s="50"/>
      <c r="E24" s="67">
        <v>0</v>
      </c>
      <c r="F24" s="50">
        <f t="shared" si="0"/>
        <v>0</v>
      </c>
      <c r="G24" s="149">
        <v>349</v>
      </c>
      <c r="H24" s="62">
        <f t="shared" si="5"/>
        <v>322</v>
      </c>
      <c r="I24" s="61">
        <v>0</v>
      </c>
      <c r="J24" s="62">
        <f t="shared" si="2"/>
        <v>0</v>
      </c>
      <c r="K24" s="50">
        <f t="shared" si="3"/>
        <v>349</v>
      </c>
      <c r="L24" s="50">
        <f t="shared" si="4"/>
        <v>322</v>
      </c>
      <c r="M24" s="162"/>
      <c r="N24" s="50">
        <v>26</v>
      </c>
      <c r="O24" s="50"/>
      <c r="P24" s="50"/>
      <c r="Q24" s="50">
        <v>70</v>
      </c>
      <c r="R24" s="50"/>
      <c r="S24" s="50"/>
      <c r="T24" s="50">
        <v>70</v>
      </c>
      <c r="U24" s="50"/>
      <c r="V24" s="50"/>
      <c r="W24" s="50">
        <v>114</v>
      </c>
      <c r="X24" s="50"/>
      <c r="Y24" s="50"/>
      <c r="Z24" s="50">
        <v>42</v>
      </c>
      <c r="AA24" s="50"/>
      <c r="AB24" s="50"/>
    </row>
    <row r="25" spans="1:28" ht="14.25" customHeight="1" x14ac:dyDescent="0.75">
      <c r="A25" s="50">
        <v>666536</v>
      </c>
      <c r="B25" s="50" t="s">
        <v>42</v>
      </c>
      <c r="C25" s="50" t="s">
        <v>43</v>
      </c>
      <c r="D25" s="50"/>
      <c r="E25" s="67">
        <v>26</v>
      </c>
      <c r="F25" s="50">
        <f t="shared" si="0"/>
        <v>3</v>
      </c>
      <c r="G25" s="149">
        <v>0</v>
      </c>
      <c r="H25" s="62">
        <f t="shared" si="5"/>
        <v>0</v>
      </c>
      <c r="I25" s="61">
        <v>0</v>
      </c>
      <c r="J25" s="62">
        <f t="shared" si="2"/>
        <v>0</v>
      </c>
      <c r="K25" s="50">
        <f>+E25+G25+H25</f>
        <v>26</v>
      </c>
      <c r="L25" s="50">
        <f t="shared" si="4"/>
        <v>3</v>
      </c>
      <c r="M25" s="162"/>
      <c r="N25" s="50"/>
      <c r="O25" s="50"/>
      <c r="P25" s="50"/>
      <c r="Q25" s="50"/>
      <c r="R25" s="50"/>
      <c r="S25" s="50"/>
      <c r="T25" s="50"/>
      <c r="U25" s="50"/>
      <c r="V25" s="50">
        <v>3</v>
      </c>
      <c r="W25" s="50"/>
      <c r="X25" s="50"/>
      <c r="Y25" s="50"/>
      <c r="Z25" s="50"/>
      <c r="AA25" s="50"/>
      <c r="AB25" s="50"/>
    </row>
    <row r="26" spans="1:28" ht="14.25" customHeight="1" x14ac:dyDescent="0.75">
      <c r="A26" s="50"/>
      <c r="B26" s="50"/>
      <c r="C26" s="71"/>
      <c r="D26" s="71"/>
      <c r="E26" s="71"/>
      <c r="F26" s="71"/>
      <c r="G26" s="71"/>
      <c r="H26" s="71"/>
      <c r="I26" s="71"/>
      <c r="J26" s="71"/>
      <c r="K26" s="50"/>
      <c r="L26" s="71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</row>
  </sheetData>
  <conditionalFormatting sqref="K5:K25">
    <cfRule type="cellIs" dxfId="197" priority="2" operator="equal">
      <formula>0</formula>
    </cfRule>
  </conditionalFormatting>
  <conditionalFormatting sqref="L5:L25">
    <cfRule type="expression" dxfId="196" priority="3">
      <formula>K5=L5</formula>
    </cfRule>
    <cfRule type="expression" dxfId="195" priority="4">
      <formula>K5&lt;L5</formula>
    </cfRule>
    <cfRule type="expression" dxfId="194" priority="5">
      <formula>K5&gt;L5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X71"/>
  <sheetViews>
    <sheetView topLeftCell="A8" zoomScaleNormal="100" workbookViewId="0">
      <selection activeCell="R46" sqref="R46"/>
    </sheetView>
  </sheetViews>
  <sheetFormatPr defaultColWidth="8.86328125" defaultRowHeight="14.75" x14ac:dyDescent="0.75"/>
  <cols>
    <col min="1" max="1" width="9" style="79" customWidth="1"/>
    <col min="2" max="2" width="33.453125" style="79" customWidth="1"/>
    <col min="3" max="3" width="15.6328125" style="79" customWidth="1"/>
    <col min="4" max="13" width="8.86328125" style="79"/>
    <col min="14" max="14" width="9.453125" style="79" customWidth="1"/>
    <col min="15" max="17" width="8.86328125" style="79"/>
    <col min="18" max="18" width="10.6328125" style="80" customWidth="1"/>
    <col min="19" max="19" width="9.1328125" style="79" hidden="1" customWidth="1"/>
    <col min="20" max="16384" width="8.86328125" style="79"/>
  </cols>
  <sheetData>
    <row r="1" spans="1:19" ht="15" customHeight="1" x14ac:dyDescent="0.75">
      <c r="A1" s="5" t="s">
        <v>183</v>
      </c>
      <c r="B1" s="5"/>
      <c r="C1" s="5"/>
      <c r="D1" s="5"/>
      <c r="E1" s="5"/>
      <c r="F1" s="81"/>
      <c r="G1" s="81"/>
      <c r="H1" s="81"/>
      <c r="I1" s="81"/>
      <c r="J1" s="81"/>
      <c r="K1" s="81"/>
      <c r="L1" s="81"/>
      <c r="M1" s="81"/>
      <c r="N1" s="81"/>
      <c r="O1" s="81"/>
      <c r="P1" s="82"/>
      <c r="Q1" s="80" t="s">
        <v>160</v>
      </c>
    </row>
    <row r="2" spans="1:19" ht="41.25" customHeight="1" x14ac:dyDescent="0.75">
      <c r="A2" s="83"/>
      <c r="B2" s="84" t="s">
        <v>56</v>
      </c>
      <c r="C2" s="85" t="s">
        <v>55</v>
      </c>
      <c r="D2" s="86" t="s">
        <v>116</v>
      </c>
      <c r="E2" s="87" t="s">
        <v>161</v>
      </c>
      <c r="F2" s="88" t="s">
        <v>162</v>
      </c>
      <c r="G2" s="86" t="s">
        <v>163</v>
      </c>
      <c r="H2" s="87" t="s">
        <v>164</v>
      </c>
      <c r="I2" s="86" t="s">
        <v>165</v>
      </c>
      <c r="J2" s="86" t="s">
        <v>166</v>
      </c>
      <c r="K2" s="89" t="s">
        <v>167</v>
      </c>
      <c r="L2" s="88" t="s">
        <v>162</v>
      </c>
      <c r="M2" s="86" t="s">
        <v>163</v>
      </c>
      <c r="N2" s="87" t="s">
        <v>164</v>
      </c>
      <c r="O2" s="86" t="s">
        <v>165</v>
      </c>
      <c r="P2" s="90" t="s">
        <v>166</v>
      </c>
      <c r="Q2" s="91"/>
      <c r="R2" s="92" t="s">
        <v>168</v>
      </c>
    </row>
    <row r="3" spans="1:19" ht="14.25" customHeight="1" x14ac:dyDescent="0.75">
      <c r="A3" s="93">
        <v>666501</v>
      </c>
      <c r="B3" s="94" t="s">
        <v>4</v>
      </c>
      <c r="C3" s="95" t="s">
        <v>5</v>
      </c>
      <c r="D3" s="96">
        <v>69</v>
      </c>
      <c r="E3" s="97">
        <f t="shared" ref="E3:E23" si="0">+D3/6</f>
        <v>11.5</v>
      </c>
      <c r="F3" s="96">
        <v>6</v>
      </c>
      <c r="G3" s="98">
        <v>0</v>
      </c>
      <c r="H3" s="96">
        <v>12</v>
      </c>
      <c r="I3" s="96">
        <v>9</v>
      </c>
      <c r="J3" s="96">
        <v>6</v>
      </c>
      <c r="K3" s="99">
        <f t="shared" ref="K3:K23" si="1">(+D3-SUM(F3:J3))/3.5</f>
        <v>10.285714285714286</v>
      </c>
      <c r="L3" s="96">
        <v>0</v>
      </c>
      <c r="M3" s="96">
        <v>0</v>
      </c>
      <c r="N3" s="96">
        <v>3</v>
      </c>
      <c r="O3" s="96">
        <v>9</v>
      </c>
      <c r="P3" s="100">
        <v>9</v>
      </c>
      <c r="Q3" s="101">
        <f t="shared" ref="Q3:Q23" si="2">SUM(F3:J3)+SUM(L3:P3)</f>
        <v>54</v>
      </c>
      <c r="R3" s="166">
        <f t="shared" ref="R3:R23" si="3">+D3-Q3</f>
        <v>15</v>
      </c>
      <c r="S3" s="102">
        <f>+R3/2.25</f>
        <v>6.666666666666667</v>
      </c>
    </row>
    <row r="4" spans="1:19" ht="14.25" customHeight="1" x14ac:dyDescent="0.75">
      <c r="A4" s="93">
        <v>666502</v>
      </c>
      <c r="B4" s="94" t="s">
        <v>6</v>
      </c>
      <c r="C4" s="95" t="s">
        <v>7</v>
      </c>
      <c r="D4" s="96">
        <v>0</v>
      </c>
      <c r="E4" s="97">
        <f t="shared" si="0"/>
        <v>0</v>
      </c>
      <c r="F4" s="96">
        <v>0</v>
      </c>
      <c r="G4" s="98">
        <v>0</v>
      </c>
      <c r="H4" s="96">
        <v>0</v>
      </c>
      <c r="I4" s="96">
        <v>0</v>
      </c>
      <c r="J4" s="96">
        <v>0</v>
      </c>
      <c r="K4" s="99">
        <f t="shared" si="1"/>
        <v>0</v>
      </c>
      <c r="L4" s="96">
        <v>0</v>
      </c>
      <c r="M4" s="96">
        <v>0</v>
      </c>
      <c r="N4" s="96">
        <v>0</v>
      </c>
      <c r="O4" s="96">
        <v>0</v>
      </c>
      <c r="P4" s="100">
        <v>0</v>
      </c>
      <c r="Q4" s="101">
        <f t="shared" si="2"/>
        <v>0</v>
      </c>
      <c r="R4" s="101">
        <f t="shared" si="3"/>
        <v>0</v>
      </c>
      <c r="S4" s="102">
        <f>+R4/2.25</f>
        <v>0</v>
      </c>
    </row>
    <row r="5" spans="1:19" ht="14.25" customHeight="1" x14ac:dyDescent="0.75">
      <c r="A5" s="93">
        <v>666505</v>
      </c>
      <c r="B5" s="94" t="s">
        <v>8</v>
      </c>
      <c r="C5" s="95" t="s">
        <v>9</v>
      </c>
      <c r="D5" s="96">
        <v>20</v>
      </c>
      <c r="E5" s="97">
        <f t="shared" si="0"/>
        <v>3.3333333333333335</v>
      </c>
      <c r="F5" s="96">
        <v>20</v>
      </c>
      <c r="G5" s="98">
        <v>0</v>
      </c>
      <c r="H5" s="96">
        <v>0</v>
      </c>
      <c r="I5" s="96">
        <v>0</v>
      </c>
      <c r="J5" s="96">
        <v>0</v>
      </c>
      <c r="K5" s="99">
        <f t="shared" si="1"/>
        <v>0</v>
      </c>
      <c r="L5" s="96">
        <v>0</v>
      </c>
      <c r="M5" s="96">
        <v>0</v>
      </c>
      <c r="N5" s="96">
        <v>0</v>
      </c>
      <c r="O5" s="96">
        <v>0</v>
      </c>
      <c r="P5" s="100">
        <v>0</v>
      </c>
      <c r="Q5" s="133">
        <f t="shared" si="2"/>
        <v>20</v>
      </c>
      <c r="R5" s="101">
        <f t="shared" si="3"/>
        <v>0</v>
      </c>
      <c r="S5" s="102">
        <f>+R5/2.25</f>
        <v>0</v>
      </c>
    </row>
    <row r="6" spans="1:19" ht="14.25" customHeight="1" x14ac:dyDescent="0.75">
      <c r="A6" s="93">
        <v>666506</v>
      </c>
      <c r="B6" s="94" t="s">
        <v>10</v>
      </c>
      <c r="C6" s="94" t="s">
        <v>11</v>
      </c>
      <c r="D6" s="96">
        <v>0</v>
      </c>
      <c r="E6" s="97">
        <f t="shared" si="0"/>
        <v>0</v>
      </c>
      <c r="F6" s="96">
        <v>0</v>
      </c>
      <c r="G6" s="98">
        <v>0</v>
      </c>
      <c r="H6" s="96">
        <v>0</v>
      </c>
      <c r="I6" s="96">
        <v>0</v>
      </c>
      <c r="J6" s="96">
        <v>0</v>
      </c>
      <c r="K6" s="99">
        <f t="shared" si="1"/>
        <v>0</v>
      </c>
      <c r="L6" s="96">
        <v>0</v>
      </c>
      <c r="M6" s="96">
        <v>0</v>
      </c>
      <c r="N6" s="96">
        <v>0</v>
      </c>
      <c r="O6" s="96">
        <v>0</v>
      </c>
      <c r="P6" s="100">
        <v>0</v>
      </c>
      <c r="Q6" s="101">
        <f t="shared" si="2"/>
        <v>0</v>
      </c>
      <c r="R6" s="101">
        <f t="shared" si="3"/>
        <v>0</v>
      </c>
      <c r="S6" s="102">
        <f>+R6/2.25</f>
        <v>0</v>
      </c>
    </row>
    <row r="7" spans="1:19" ht="14.25" customHeight="1" x14ac:dyDescent="0.75">
      <c r="A7" s="93">
        <v>666507</v>
      </c>
      <c r="B7" s="94" t="s">
        <v>12</v>
      </c>
      <c r="C7" s="95" t="s">
        <v>13</v>
      </c>
      <c r="D7" s="96">
        <v>42</v>
      </c>
      <c r="E7" s="97">
        <f t="shared" si="0"/>
        <v>7</v>
      </c>
      <c r="F7" s="96">
        <v>0</v>
      </c>
      <c r="G7" s="98">
        <v>0</v>
      </c>
      <c r="H7" s="96">
        <v>12</v>
      </c>
      <c r="I7" s="96">
        <v>9</v>
      </c>
      <c r="J7" s="96">
        <v>0</v>
      </c>
      <c r="K7" s="99">
        <f t="shared" si="1"/>
        <v>6</v>
      </c>
      <c r="L7" s="96">
        <v>0</v>
      </c>
      <c r="M7" s="96">
        <v>0</v>
      </c>
      <c r="N7" s="96">
        <v>11</v>
      </c>
      <c r="O7" s="96">
        <v>3</v>
      </c>
      <c r="P7" s="100">
        <v>1</v>
      </c>
      <c r="Q7" s="167">
        <f t="shared" si="2"/>
        <v>36</v>
      </c>
      <c r="R7" s="166">
        <f t="shared" si="3"/>
        <v>6</v>
      </c>
      <c r="S7" s="102">
        <f>+R7/2.25</f>
        <v>2.6666666666666665</v>
      </c>
    </row>
    <row r="8" spans="1:19" ht="14.25" customHeight="1" x14ac:dyDescent="0.75">
      <c r="A8" s="93">
        <v>666509</v>
      </c>
      <c r="B8" s="94" t="s">
        <v>14</v>
      </c>
      <c r="C8" s="95" t="s">
        <v>15</v>
      </c>
      <c r="D8" s="96">
        <v>100</v>
      </c>
      <c r="E8" s="97">
        <f t="shared" si="0"/>
        <v>16.666666666666668</v>
      </c>
      <c r="F8" s="96">
        <v>10</v>
      </c>
      <c r="G8" s="98">
        <v>0</v>
      </c>
      <c r="H8" s="96">
        <v>20</v>
      </c>
      <c r="I8" s="96">
        <v>15</v>
      </c>
      <c r="J8" s="96">
        <v>10</v>
      </c>
      <c r="K8" s="99">
        <f t="shared" si="1"/>
        <v>12.857142857142858</v>
      </c>
      <c r="L8" s="96">
        <v>0</v>
      </c>
      <c r="M8" s="96">
        <v>0</v>
      </c>
      <c r="N8" s="96">
        <v>25</v>
      </c>
      <c r="O8" s="96">
        <v>12</v>
      </c>
      <c r="P8" s="100">
        <v>8</v>
      </c>
      <c r="Q8" s="101">
        <f t="shared" si="2"/>
        <v>100</v>
      </c>
      <c r="R8" s="166">
        <f t="shared" si="3"/>
        <v>0</v>
      </c>
      <c r="S8" s="102">
        <f>+R8/2</f>
        <v>0</v>
      </c>
    </row>
    <row r="9" spans="1:19" ht="14.25" customHeight="1" x14ac:dyDescent="0.75">
      <c r="A9" s="93">
        <v>666510</v>
      </c>
      <c r="B9" s="94" t="s">
        <v>16</v>
      </c>
      <c r="C9" s="95" t="s">
        <v>169</v>
      </c>
      <c r="D9" s="96">
        <v>0</v>
      </c>
      <c r="E9" s="97">
        <f t="shared" si="0"/>
        <v>0</v>
      </c>
      <c r="F9" s="96">
        <v>0</v>
      </c>
      <c r="G9" s="98">
        <v>0</v>
      </c>
      <c r="H9" s="96">
        <v>0</v>
      </c>
      <c r="I9" s="96">
        <v>0</v>
      </c>
      <c r="J9" s="96">
        <v>0</v>
      </c>
      <c r="K9" s="99">
        <f t="shared" si="1"/>
        <v>0</v>
      </c>
      <c r="L9" s="96">
        <v>0</v>
      </c>
      <c r="M9" s="96">
        <v>0</v>
      </c>
      <c r="N9" s="96">
        <v>0</v>
      </c>
      <c r="O9" s="96">
        <v>0</v>
      </c>
      <c r="P9" s="100">
        <v>0</v>
      </c>
      <c r="Q9" s="101">
        <f t="shared" si="2"/>
        <v>0</v>
      </c>
      <c r="R9" s="101">
        <f t="shared" si="3"/>
        <v>0</v>
      </c>
      <c r="S9" s="102">
        <f t="shared" ref="S9:S19" si="4">+R9/2.25</f>
        <v>0</v>
      </c>
    </row>
    <row r="10" spans="1:19" ht="14.25" customHeight="1" x14ac:dyDescent="0.75">
      <c r="A10" s="93">
        <v>666511</v>
      </c>
      <c r="B10" s="94" t="s">
        <v>18</v>
      </c>
      <c r="C10" s="95" t="s">
        <v>19</v>
      </c>
      <c r="D10" s="96">
        <v>8</v>
      </c>
      <c r="E10" s="97">
        <f t="shared" si="0"/>
        <v>1.3333333333333333</v>
      </c>
      <c r="F10" s="96">
        <v>0</v>
      </c>
      <c r="G10" s="98">
        <v>0</v>
      </c>
      <c r="H10" s="96">
        <v>0</v>
      </c>
      <c r="I10" s="96">
        <v>0</v>
      </c>
      <c r="J10" s="96">
        <v>0</v>
      </c>
      <c r="K10" s="99">
        <f t="shared" si="1"/>
        <v>2.2857142857142856</v>
      </c>
      <c r="L10" s="96">
        <v>0</v>
      </c>
      <c r="M10" s="96">
        <v>0</v>
      </c>
      <c r="N10" s="96">
        <v>0</v>
      </c>
      <c r="O10" s="96">
        <v>0</v>
      </c>
      <c r="P10" s="100">
        <v>8</v>
      </c>
      <c r="Q10" s="133">
        <f t="shared" si="2"/>
        <v>8</v>
      </c>
      <c r="R10" s="101">
        <f t="shared" si="3"/>
        <v>0</v>
      </c>
      <c r="S10" s="102">
        <f t="shared" si="4"/>
        <v>0</v>
      </c>
    </row>
    <row r="11" spans="1:19" ht="14.25" customHeight="1" x14ac:dyDescent="0.75">
      <c r="A11" s="93">
        <v>666513</v>
      </c>
      <c r="B11" s="94" t="s">
        <v>20</v>
      </c>
      <c r="C11" s="95" t="s">
        <v>21</v>
      </c>
      <c r="D11" s="96">
        <v>0</v>
      </c>
      <c r="E11" s="97">
        <f t="shared" si="0"/>
        <v>0</v>
      </c>
      <c r="F11" s="96">
        <v>0</v>
      </c>
      <c r="G11" s="98">
        <v>0</v>
      </c>
      <c r="H11" s="96">
        <v>0</v>
      </c>
      <c r="I11" s="96">
        <v>0</v>
      </c>
      <c r="J11" s="96">
        <v>0</v>
      </c>
      <c r="K11" s="99">
        <f t="shared" si="1"/>
        <v>0</v>
      </c>
      <c r="L11" s="96">
        <v>0</v>
      </c>
      <c r="M11" s="96">
        <v>0</v>
      </c>
      <c r="N11" s="96">
        <v>0</v>
      </c>
      <c r="O11" s="96">
        <v>0</v>
      </c>
      <c r="P11" s="100">
        <v>0</v>
      </c>
      <c r="Q11" s="101">
        <f t="shared" si="2"/>
        <v>0</v>
      </c>
      <c r="R11" s="101">
        <f t="shared" si="3"/>
        <v>0</v>
      </c>
      <c r="S11" s="102">
        <f t="shared" si="4"/>
        <v>0</v>
      </c>
    </row>
    <row r="12" spans="1:19" ht="14.25" customHeight="1" x14ac:dyDescent="0.75">
      <c r="A12" s="93">
        <v>666516</v>
      </c>
      <c r="B12" s="94" t="s">
        <v>22</v>
      </c>
      <c r="C12" s="95" t="s">
        <v>23</v>
      </c>
      <c r="D12" s="96">
        <v>34</v>
      </c>
      <c r="E12" s="97">
        <f t="shared" si="0"/>
        <v>5.666666666666667</v>
      </c>
      <c r="F12" s="96">
        <v>18</v>
      </c>
      <c r="G12" s="98">
        <v>0</v>
      </c>
      <c r="H12" s="96">
        <v>16</v>
      </c>
      <c r="I12" s="96">
        <v>0</v>
      </c>
      <c r="J12" s="96">
        <v>0</v>
      </c>
      <c r="K12" s="99">
        <f t="shared" si="1"/>
        <v>0</v>
      </c>
      <c r="L12" s="96">
        <v>0</v>
      </c>
      <c r="M12" s="96">
        <v>0</v>
      </c>
      <c r="N12" s="96">
        <v>0</v>
      </c>
      <c r="O12" s="96">
        <v>0</v>
      </c>
      <c r="P12" s="100">
        <v>0</v>
      </c>
      <c r="Q12" s="133">
        <f t="shared" si="2"/>
        <v>34</v>
      </c>
      <c r="R12" s="101">
        <f t="shared" si="3"/>
        <v>0</v>
      </c>
      <c r="S12" s="102">
        <f t="shared" si="4"/>
        <v>0</v>
      </c>
    </row>
    <row r="13" spans="1:19" ht="14.25" customHeight="1" x14ac:dyDescent="0.75">
      <c r="A13" s="93">
        <v>666517</v>
      </c>
      <c r="B13" s="94" t="s">
        <v>24</v>
      </c>
      <c r="C13" s="95" t="s">
        <v>25</v>
      </c>
      <c r="D13" s="96">
        <v>46</v>
      </c>
      <c r="E13" s="97">
        <f t="shared" si="0"/>
        <v>7.666666666666667</v>
      </c>
      <c r="F13" s="96">
        <v>18</v>
      </c>
      <c r="G13" s="98">
        <v>0</v>
      </c>
      <c r="H13" s="96">
        <v>16</v>
      </c>
      <c r="I13" s="96">
        <v>12</v>
      </c>
      <c r="J13" s="96">
        <v>0</v>
      </c>
      <c r="K13" s="99">
        <f t="shared" si="1"/>
        <v>0</v>
      </c>
      <c r="L13" s="96">
        <v>0</v>
      </c>
      <c r="M13" s="96">
        <v>0</v>
      </c>
      <c r="N13" s="96">
        <v>0</v>
      </c>
      <c r="O13" s="96">
        <v>0</v>
      </c>
      <c r="P13" s="100">
        <v>0</v>
      </c>
      <c r="Q13" s="133">
        <f t="shared" si="2"/>
        <v>46</v>
      </c>
      <c r="R13" s="101">
        <f t="shared" si="3"/>
        <v>0</v>
      </c>
      <c r="S13" s="102">
        <f t="shared" si="4"/>
        <v>0</v>
      </c>
    </row>
    <row r="14" spans="1:19" ht="14.25" customHeight="1" x14ac:dyDescent="0.75">
      <c r="A14" s="93">
        <v>666518</v>
      </c>
      <c r="B14" s="94" t="s">
        <v>26</v>
      </c>
      <c r="C14" s="95" t="s">
        <v>27</v>
      </c>
      <c r="D14" s="96">
        <v>0</v>
      </c>
      <c r="E14" s="97">
        <f t="shared" si="0"/>
        <v>0</v>
      </c>
      <c r="F14" s="96">
        <v>0</v>
      </c>
      <c r="G14" s="98">
        <v>0</v>
      </c>
      <c r="H14" s="96">
        <v>0</v>
      </c>
      <c r="I14" s="96">
        <v>0</v>
      </c>
      <c r="J14" s="96">
        <v>0</v>
      </c>
      <c r="K14" s="99">
        <f t="shared" si="1"/>
        <v>0</v>
      </c>
      <c r="L14" s="96">
        <v>0</v>
      </c>
      <c r="M14" s="96">
        <v>0</v>
      </c>
      <c r="N14" s="96">
        <v>0</v>
      </c>
      <c r="O14" s="96">
        <v>0</v>
      </c>
      <c r="P14" s="100">
        <v>0</v>
      </c>
      <c r="Q14" s="101">
        <f t="shared" si="2"/>
        <v>0</v>
      </c>
      <c r="R14" s="101">
        <f t="shared" si="3"/>
        <v>0</v>
      </c>
      <c r="S14" s="102">
        <f t="shared" si="4"/>
        <v>0</v>
      </c>
    </row>
    <row r="15" spans="1:19" ht="14.25" customHeight="1" x14ac:dyDescent="0.75">
      <c r="A15" s="93">
        <v>666519</v>
      </c>
      <c r="B15" s="94" t="s">
        <v>28</v>
      </c>
      <c r="C15" s="95" t="s">
        <v>29</v>
      </c>
      <c r="D15" s="96">
        <v>33</v>
      </c>
      <c r="E15" s="97">
        <f t="shared" si="0"/>
        <v>5.5</v>
      </c>
      <c r="F15" s="96">
        <v>18</v>
      </c>
      <c r="G15" s="98">
        <v>0</v>
      </c>
      <c r="H15" s="96">
        <v>15</v>
      </c>
      <c r="I15" s="96">
        <v>0</v>
      </c>
      <c r="J15" s="96">
        <v>0</v>
      </c>
      <c r="K15" s="99">
        <f t="shared" si="1"/>
        <v>0</v>
      </c>
      <c r="L15" s="96">
        <v>0</v>
      </c>
      <c r="M15" s="96">
        <v>0</v>
      </c>
      <c r="N15" s="96">
        <v>0</v>
      </c>
      <c r="O15" s="96">
        <v>0</v>
      </c>
      <c r="P15" s="100">
        <v>0</v>
      </c>
      <c r="Q15" s="133">
        <f t="shared" si="2"/>
        <v>33</v>
      </c>
      <c r="R15" s="101">
        <f t="shared" si="3"/>
        <v>0</v>
      </c>
      <c r="S15" s="102">
        <f t="shared" si="4"/>
        <v>0</v>
      </c>
    </row>
    <row r="16" spans="1:19" ht="14.25" customHeight="1" x14ac:dyDescent="0.75">
      <c r="A16" s="93">
        <v>666521</v>
      </c>
      <c r="B16" s="94" t="s">
        <v>30</v>
      </c>
      <c r="C16" s="95" t="s">
        <v>31</v>
      </c>
      <c r="D16" s="96">
        <v>52</v>
      </c>
      <c r="E16" s="97">
        <f t="shared" si="0"/>
        <v>8.6666666666666661</v>
      </c>
      <c r="F16" s="96">
        <v>0</v>
      </c>
      <c r="G16" s="98">
        <v>0</v>
      </c>
      <c r="H16" s="96">
        <v>4</v>
      </c>
      <c r="I16" s="96">
        <v>7</v>
      </c>
      <c r="J16" s="96">
        <v>6</v>
      </c>
      <c r="K16" s="99">
        <f t="shared" si="1"/>
        <v>10</v>
      </c>
      <c r="L16" s="96">
        <v>0</v>
      </c>
      <c r="M16" s="96">
        <v>0</v>
      </c>
      <c r="N16" s="96">
        <v>6</v>
      </c>
      <c r="O16" s="96">
        <v>7</v>
      </c>
      <c r="P16" s="100">
        <v>3</v>
      </c>
      <c r="Q16" s="101">
        <f t="shared" si="2"/>
        <v>33</v>
      </c>
      <c r="R16" s="166">
        <f t="shared" si="3"/>
        <v>19</v>
      </c>
      <c r="S16" s="102">
        <f t="shared" si="4"/>
        <v>8.4444444444444446</v>
      </c>
    </row>
    <row r="17" spans="1:19" ht="14.25" customHeight="1" x14ac:dyDescent="0.75">
      <c r="A17" s="93">
        <v>666522</v>
      </c>
      <c r="B17" s="94" t="s">
        <v>32</v>
      </c>
      <c r="C17" s="95" t="s">
        <v>33</v>
      </c>
      <c r="D17" s="96">
        <v>130</v>
      </c>
      <c r="E17" s="97">
        <f t="shared" si="0"/>
        <v>21.666666666666668</v>
      </c>
      <c r="F17" s="96">
        <v>15</v>
      </c>
      <c r="G17" s="98">
        <v>0</v>
      </c>
      <c r="H17" s="96">
        <v>45</v>
      </c>
      <c r="I17" s="96">
        <v>40</v>
      </c>
      <c r="J17" s="96">
        <v>15</v>
      </c>
      <c r="K17" s="99">
        <f t="shared" si="1"/>
        <v>4.2857142857142856</v>
      </c>
      <c r="L17" s="96">
        <v>0</v>
      </c>
      <c r="M17" s="96">
        <v>0</v>
      </c>
      <c r="N17" s="96">
        <v>15</v>
      </c>
      <c r="O17" s="96">
        <v>0</v>
      </c>
      <c r="P17" s="100">
        <v>0</v>
      </c>
      <c r="Q17" s="133">
        <f t="shared" si="2"/>
        <v>130</v>
      </c>
      <c r="R17" s="101">
        <f t="shared" si="3"/>
        <v>0</v>
      </c>
      <c r="S17" s="102">
        <f t="shared" si="4"/>
        <v>0</v>
      </c>
    </row>
    <row r="18" spans="1:19" ht="14.25" customHeight="1" x14ac:dyDescent="0.75">
      <c r="A18" s="93">
        <v>666523</v>
      </c>
      <c r="B18" s="94" t="s">
        <v>34</v>
      </c>
      <c r="C18" s="95" t="s">
        <v>35</v>
      </c>
      <c r="D18" s="96">
        <v>0</v>
      </c>
      <c r="E18" s="97">
        <f t="shared" si="0"/>
        <v>0</v>
      </c>
      <c r="F18" s="96">
        <v>0</v>
      </c>
      <c r="G18" s="98">
        <v>0</v>
      </c>
      <c r="H18" s="96">
        <v>0</v>
      </c>
      <c r="I18" s="96">
        <v>0</v>
      </c>
      <c r="J18" s="96">
        <v>0</v>
      </c>
      <c r="K18" s="99">
        <f t="shared" si="1"/>
        <v>0</v>
      </c>
      <c r="L18" s="96">
        <v>0</v>
      </c>
      <c r="M18" s="96">
        <v>0</v>
      </c>
      <c r="N18" s="96">
        <v>0</v>
      </c>
      <c r="O18" s="96">
        <v>0</v>
      </c>
      <c r="P18" s="100">
        <v>0</v>
      </c>
      <c r="Q18" s="101">
        <f t="shared" si="2"/>
        <v>0</v>
      </c>
      <c r="R18" s="101">
        <f t="shared" si="3"/>
        <v>0</v>
      </c>
      <c r="S18" s="102">
        <f t="shared" si="4"/>
        <v>0</v>
      </c>
    </row>
    <row r="19" spans="1:19" ht="14.25" customHeight="1" x14ac:dyDescent="0.75">
      <c r="A19" s="93">
        <v>666530</v>
      </c>
      <c r="B19" s="94" t="s">
        <v>36</v>
      </c>
      <c r="C19" s="95" t="s">
        <v>37</v>
      </c>
      <c r="D19" s="96">
        <v>5</v>
      </c>
      <c r="E19" s="97">
        <f t="shared" si="0"/>
        <v>0.83333333333333337</v>
      </c>
      <c r="F19" s="96">
        <v>0</v>
      </c>
      <c r="G19" s="98">
        <v>0</v>
      </c>
      <c r="H19" s="96">
        <v>0</v>
      </c>
      <c r="I19" s="96">
        <v>0</v>
      </c>
      <c r="J19" s="96">
        <v>0</v>
      </c>
      <c r="K19" s="99">
        <f t="shared" si="1"/>
        <v>1.4285714285714286</v>
      </c>
      <c r="L19" s="96">
        <v>0</v>
      </c>
      <c r="M19" s="96">
        <v>0</v>
      </c>
      <c r="N19" s="96">
        <v>1</v>
      </c>
      <c r="O19" s="96">
        <v>0</v>
      </c>
      <c r="P19" s="100">
        <v>4</v>
      </c>
      <c r="Q19" s="133">
        <f t="shared" si="2"/>
        <v>5</v>
      </c>
      <c r="R19" s="166">
        <f t="shared" si="3"/>
        <v>0</v>
      </c>
      <c r="S19" s="102">
        <f t="shared" si="4"/>
        <v>0</v>
      </c>
    </row>
    <row r="20" spans="1:19" ht="14.25" customHeight="1" x14ac:dyDescent="0.75">
      <c r="A20" s="93">
        <v>666531</v>
      </c>
      <c r="B20" s="94" t="s">
        <v>38</v>
      </c>
      <c r="C20" s="95" t="s">
        <v>39</v>
      </c>
      <c r="D20" s="96">
        <v>18</v>
      </c>
      <c r="E20" s="97">
        <f t="shared" si="0"/>
        <v>3</v>
      </c>
      <c r="F20" s="96">
        <v>2</v>
      </c>
      <c r="G20" s="98">
        <v>0</v>
      </c>
      <c r="H20" s="96">
        <v>9</v>
      </c>
      <c r="I20" s="96">
        <v>7</v>
      </c>
      <c r="J20" s="96">
        <v>0</v>
      </c>
      <c r="K20" s="99">
        <f t="shared" si="1"/>
        <v>0</v>
      </c>
      <c r="L20" s="96">
        <v>0</v>
      </c>
      <c r="M20" s="96">
        <v>0</v>
      </c>
      <c r="N20" s="96">
        <v>0</v>
      </c>
      <c r="O20" s="96">
        <v>0</v>
      </c>
      <c r="P20" s="100">
        <v>0</v>
      </c>
      <c r="Q20" s="133">
        <f t="shared" si="2"/>
        <v>18</v>
      </c>
      <c r="R20" s="101">
        <f t="shared" si="3"/>
        <v>0</v>
      </c>
      <c r="S20" s="102"/>
    </row>
    <row r="21" spans="1:19" ht="14.25" customHeight="1" x14ac:dyDescent="0.75">
      <c r="A21" s="93">
        <v>666540</v>
      </c>
      <c r="B21" s="94" t="s">
        <v>40</v>
      </c>
      <c r="C21" s="95" t="s">
        <v>40</v>
      </c>
      <c r="D21" s="96">
        <v>0</v>
      </c>
      <c r="E21" s="97">
        <f t="shared" si="0"/>
        <v>0</v>
      </c>
      <c r="F21" s="96">
        <v>0</v>
      </c>
      <c r="G21" s="98">
        <v>0</v>
      </c>
      <c r="H21" s="96">
        <v>0</v>
      </c>
      <c r="I21" s="96">
        <v>0</v>
      </c>
      <c r="J21" s="96">
        <v>0</v>
      </c>
      <c r="K21" s="99">
        <f t="shared" si="1"/>
        <v>0</v>
      </c>
      <c r="L21" s="96">
        <v>0</v>
      </c>
      <c r="M21" s="96">
        <v>0</v>
      </c>
      <c r="N21" s="96">
        <v>0</v>
      </c>
      <c r="O21" s="96">
        <v>0</v>
      </c>
      <c r="P21" s="100">
        <v>0</v>
      </c>
      <c r="Q21" s="101">
        <f t="shared" si="2"/>
        <v>0</v>
      </c>
      <c r="R21" s="101">
        <f t="shared" si="3"/>
        <v>0</v>
      </c>
      <c r="S21" s="102"/>
    </row>
    <row r="22" spans="1:19" ht="15" customHeight="1" x14ac:dyDescent="0.75">
      <c r="A22" s="93">
        <v>666541</v>
      </c>
      <c r="B22" s="94" t="s">
        <v>41</v>
      </c>
      <c r="C22" s="103" t="s">
        <v>41</v>
      </c>
      <c r="D22" s="96">
        <v>0</v>
      </c>
      <c r="E22" s="97">
        <f t="shared" si="0"/>
        <v>0</v>
      </c>
      <c r="F22" s="104">
        <v>0</v>
      </c>
      <c r="G22" s="105">
        <v>0</v>
      </c>
      <c r="H22" s="104">
        <v>0</v>
      </c>
      <c r="I22" s="104">
        <v>0</v>
      </c>
      <c r="J22" s="104">
        <v>0</v>
      </c>
      <c r="K22" s="106">
        <f t="shared" si="1"/>
        <v>0</v>
      </c>
      <c r="L22" s="96">
        <v>0</v>
      </c>
      <c r="M22" s="96">
        <v>0</v>
      </c>
      <c r="N22" s="96">
        <v>0</v>
      </c>
      <c r="O22" s="96">
        <v>0</v>
      </c>
      <c r="P22" s="100">
        <v>0</v>
      </c>
      <c r="Q22" s="101">
        <f t="shared" si="2"/>
        <v>0</v>
      </c>
      <c r="R22" s="101">
        <f t="shared" si="3"/>
        <v>0</v>
      </c>
      <c r="S22" s="102"/>
    </row>
    <row r="23" spans="1:19" s="50" customFormat="1" ht="15" customHeight="1" x14ac:dyDescent="0.75">
      <c r="A23" s="108">
        <v>666536</v>
      </c>
      <c r="B23" s="109" t="s">
        <v>42</v>
      </c>
      <c r="C23" s="103" t="s">
        <v>184</v>
      </c>
      <c r="D23" s="104">
        <v>30</v>
      </c>
      <c r="E23" s="111">
        <f t="shared" si="0"/>
        <v>5</v>
      </c>
      <c r="F23" s="104">
        <v>0</v>
      </c>
      <c r="G23" s="105">
        <v>0</v>
      </c>
      <c r="H23" s="104">
        <v>4</v>
      </c>
      <c r="I23" s="104">
        <v>0</v>
      </c>
      <c r="J23" s="104">
        <v>0</v>
      </c>
      <c r="K23" s="106">
        <f t="shared" si="1"/>
        <v>7.4285714285714288</v>
      </c>
      <c r="L23" s="104">
        <v>0</v>
      </c>
      <c r="M23" s="104">
        <v>0</v>
      </c>
      <c r="N23" s="104">
        <v>0</v>
      </c>
      <c r="O23" s="104">
        <v>3</v>
      </c>
      <c r="P23" s="107">
        <v>0</v>
      </c>
      <c r="Q23" s="101">
        <f t="shared" si="2"/>
        <v>7</v>
      </c>
      <c r="R23" s="166">
        <f t="shared" si="3"/>
        <v>23</v>
      </c>
    </row>
    <row r="24" spans="1:19" s="50" customFormat="1" ht="15" customHeight="1" x14ac:dyDescent="0.75">
      <c r="A24" s="112"/>
      <c r="B24" s="113"/>
      <c r="D24" s="101"/>
      <c r="E24" s="114"/>
    </row>
    <row r="25" spans="1:19" ht="15" customHeight="1" x14ac:dyDescent="0.75">
      <c r="A25" s="4" t="str">
        <f>+A1</f>
        <v>Weeks of 03/09/26 &amp;03/16/6</v>
      </c>
      <c r="B25" s="4"/>
      <c r="C25" s="4"/>
      <c r="D25" s="4"/>
      <c r="E25" s="4"/>
      <c r="F25" s="115"/>
      <c r="G25" s="115"/>
      <c r="H25" s="115"/>
      <c r="I25" s="115"/>
      <c r="J25" s="116"/>
      <c r="K25" s="116"/>
      <c r="L25" s="116"/>
      <c r="M25" s="116"/>
      <c r="N25" s="116"/>
      <c r="O25" s="116"/>
      <c r="P25" s="117"/>
      <c r="Q25" s="101"/>
      <c r="R25" s="101"/>
    </row>
    <row r="26" spans="1:19" ht="42" customHeight="1" x14ac:dyDescent="0.75">
      <c r="A26" s="118"/>
      <c r="B26" s="119" t="s">
        <v>170</v>
      </c>
      <c r="C26" s="120" t="s">
        <v>65</v>
      </c>
      <c r="D26" s="121" t="s">
        <v>119</v>
      </c>
      <c r="E26" s="122" t="s">
        <v>171</v>
      </c>
      <c r="F26" s="88" t="s">
        <v>162</v>
      </c>
      <c r="G26" s="86" t="s">
        <v>163</v>
      </c>
      <c r="H26" s="87" t="s">
        <v>172</v>
      </c>
      <c r="I26" s="86" t="s">
        <v>165</v>
      </c>
      <c r="J26" s="123" t="s">
        <v>166</v>
      </c>
      <c r="K26" s="124" t="str">
        <f>+K2</f>
        <v>2nd wk daily goals</v>
      </c>
      <c r="L26" s="125" t="s">
        <v>162</v>
      </c>
      <c r="M26" s="86" t="s">
        <v>163</v>
      </c>
      <c r="N26" s="126" t="s">
        <v>172</v>
      </c>
      <c r="O26" s="86" t="s">
        <v>165</v>
      </c>
      <c r="P26" s="90" t="s">
        <v>166</v>
      </c>
      <c r="Q26" s="101"/>
      <c r="R26" s="92" t="s">
        <v>168</v>
      </c>
    </row>
    <row r="27" spans="1:19" ht="15" customHeight="1" x14ac:dyDescent="0.75">
      <c r="A27" s="93">
        <v>666501</v>
      </c>
      <c r="B27" s="94" t="s">
        <v>4</v>
      </c>
      <c r="C27" s="127" t="s">
        <v>5</v>
      </c>
      <c r="D27" s="128">
        <v>624</v>
      </c>
      <c r="E27" s="129">
        <f t="shared" ref="E27:E47" si="5">+D27/7</f>
        <v>89.142857142857139</v>
      </c>
      <c r="F27" s="96">
        <v>0</v>
      </c>
      <c r="G27" s="96">
        <v>0</v>
      </c>
      <c r="H27" s="96">
        <v>102</v>
      </c>
      <c r="I27" s="96">
        <v>90</v>
      </c>
      <c r="J27" s="130">
        <v>108</v>
      </c>
      <c r="K27" s="131">
        <f t="shared" ref="K27:K47" si="6">(+D27-SUM(F27:J27))/4</f>
        <v>81</v>
      </c>
      <c r="L27" s="132">
        <v>0</v>
      </c>
      <c r="M27" s="96">
        <v>0</v>
      </c>
      <c r="N27" s="96">
        <v>108</v>
      </c>
      <c r="O27" s="96">
        <v>0</v>
      </c>
      <c r="P27" s="100">
        <v>150</v>
      </c>
      <c r="Q27" s="101">
        <f t="shared" ref="Q27:Q47" si="7">SUM(F27:J27)+SUM(L27:P27)</f>
        <v>558</v>
      </c>
      <c r="R27" s="166">
        <f t="shared" ref="R27:R47" si="8">+D27-Q27</f>
        <v>66</v>
      </c>
      <c r="S27" s="102">
        <f t="shared" ref="S27:S36" si="9">+R27/3</f>
        <v>22</v>
      </c>
    </row>
    <row r="28" spans="1:19" ht="15" customHeight="1" x14ac:dyDescent="0.75">
      <c r="A28" s="93">
        <v>666502</v>
      </c>
      <c r="B28" s="94" t="s">
        <v>6</v>
      </c>
      <c r="C28" s="127" t="s">
        <v>7</v>
      </c>
      <c r="D28" s="128">
        <v>350</v>
      </c>
      <c r="E28" s="129">
        <f t="shared" si="5"/>
        <v>50</v>
      </c>
      <c r="F28" s="96">
        <v>28</v>
      </c>
      <c r="G28" s="96">
        <v>32</v>
      </c>
      <c r="H28" s="96">
        <v>39</v>
      </c>
      <c r="I28" s="96">
        <v>30</v>
      </c>
      <c r="J28" s="130">
        <v>25</v>
      </c>
      <c r="K28" s="131">
        <f t="shared" si="6"/>
        <v>49</v>
      </c>
      <c r="L28" s="132">
        <v>33</v>
      </c>
      <c r="M28" s="96">
        <v>25</v>
      </c>
      <c r="N28" s="96">
        <v>40</v>
      </c>
      <c r="O28" s="96">
        <v>7</v>
      </c>
      <c r="P28" s="100">
        <v>42</v>
      </c>
      <c r="Q28" s="101">
        <f t="shared" si="7"/>
        <v>301</v>
      </c>
      <c r="R28" s="166">
        <f t="shared" si="8"/>
        <v>49</v>
      </c>
      <c r="S28" s="102">
        <f t="shared" si="9"/>
        <v>16.333333333333332</v>
      </c>
    </row>
    <row r="29" spans="1:19" ht="15" customHeight="1" x14ac:dyDescent="0.75">
      <c r="A29" s="93">
        <v>666505</v>
      </c>
      <c r="B29" s="94" t="s">
        <v>8</v>
      </c>
      <c r="C29" s="127" t="s">
        <v>9</v>
      </c>
      <c r="D29" s="128">
        <v>0</v>
      </c>
      <c r="E29" s="129">
        <f t="shared" si="5"/>
        <v>0</v>
      </c>
      <c r="F29" s="96">
        <v>0</v>
      </c>
      <c r="G29" s="96">
        <v>0</v>
      </c>
      <c r="H29" s="96">
        <v>0</v>
      </c>
      <c r="I29" s="96">
        <v>0</v>
      </c>
      <c r="J29" s="130">
        <v>0</v>
      </c>
      <c r="K29" s="131">
        <f t="shared" si="6"/>
        <v>0</v>
      </c>
      <c r="L29" s="132">
        <v>0</v>
      </c>
      <c r="M29" s="96">
        <v>0</v>
      </c>
      <c r="N29" s="96">
        <v>0</v>
      </c>
      <c r="O29" s="96">
        <v>0</v>
      </c>
      <c r="P29" s="100">
        <v>0</v>
      </c>
      <c r="Q29" s="101">
        <f t="shared" si="7"/>
        <v>0</v>
      </c>
      <c r="R29" s="101">
        <f t="shared" si="8"/>
        <v>0</v>
      </c>
      <c r="S29" s="102">
        <f t="shared" si="9"/>
        <v>0</v>
      </c>
    </row>
    <row r="30" spans="1:19" ht="15" customHeight="1" x14ac:dyDescent="0.75">
      <c r="A30" s="93">
        <v>666506</v>
      </c>
      <c r="B30" s="94" t="s">
        <v>10</v>
      </c>
      <c r="C30" s="113" t="s">
        <v>11</v>
      </c>
      <c r="D30" s="128">
        <v>400</v>
      </c>
      <c r="E30" s="129">
        <f t="shared" si="5"/>
        <v>57.142857142857146</v>
      </c>
      <c r="F30" s="96">
        <v>9</v>
      </c>
      <c r="G30" s="96">
        <v>12</v>
      </c>
      <c r="H30" s="96">
        <v>0</v>
      </c>
      <c r="I30" s="96">
        <v>2</v>
      </c>
      <c r="J30" s="130">
        <v>1</v>
      </c>
      <c r="K30" s="131">
        <f t="shared" si="6"/>
        <v>94</v>
      </c>
      <c r="L30" s="132">
        <v>3</v>
      </c>
      <c r="M30" s="96">
        <v>3</v>
      </c>
      <c r="N30" s="96">
        <v>16</v>
      </c>
      <c r="O30" s="96">
        <v>19</v>
      </c>
      <c r="P30" s="100">
        <v>12</v>
      </c>
      <c r="Q30" s="168">
        <f t="shared" si="7"/>
        <v>77</v>
      </c>
      <c r="R30" s="169">
        <f t="shared" si="8"/>
        <v>323</v>
      </c>
      <c r="S30" s="102">
        <f t="shared" si="9"/>
        <v>107.66666666666667</v>
      </c>
    </row>
    <row r="31" spans="1:19" ht="15" customHeight="1" x14ac:dyDescent="0.75">
      <c r="A31" s="93">
        <v>666507</v>
      </c>
      <c r="B31" s="94" t="s">
        <v>12</v>
      </c>
      <c r="C31" s="127" t="s">
        <v>13</v>
      </c>
      <c r="D31" s="128">
        <v>0</v>
      </c>
      <c r="E31" s="129">
        <f t="shared" si="5"/>
        <v>0</v>
      </c>
      <c r="F31" s="96">
        <v>0</v>
      </c>
      <c r="G31" s="96">
        <v>0</v>
      </c>
      <c r="H31" s="96">
        <v>0</v>
      </c>
      <c r="I31" s="96">
        <v>0</v>
      </c>
      <c r="J31" s="130">
        <v>0</v>
      </c>
      <c r="K31" s="131">
        <f t="shared" si="6"/>
        <v>0</v>
      </c>
      <c r="L31" s="132">
        <v>0</v>
      </c>
      <c r="M31" s="96">
        <v>0</v>
      </c>
      <c r="N31" s="96">
        <v>0</v>
      </c>
      <c r="O31" s="96">
        <v>0</v>
      </c>
      <c r="P31" s="100">
        <v>0</v>
      </c>
      <c r="Q31" s="101">
        <f t="shared" si="7"/>
        <v>0</v>
      </c>
      <c r="R31" s="101">
        <f t="shared" si="8"/>
        <v>0</v>
      </c>
      <c r="S31" s="102">
        <f t="shared" si="9"/>
        <v>0</v>
      </c>
    </row>
    <row r="32" spans="1:19" ht="15" customHeight="1" x14ac:dyDescent="0.75">
      <c r="A32" s="93">
        <v>666509</v>
      </c>
      <c r="B32" s="94" t="s">
        <v>14</v>
      </c>
      <c r="C32" s="127" t="s">
        <v>15</v>
      </c>
      <c r="D32" s="128">
        <v>0</v>
      </c>
      <c r="E32" s="129">
        <f t="shared" si="5"/>
        <v>0</v>
      </c>
      <c r="F32" s="96">
        <v>0</v>
      </c>
      <c r="G32" s="96">
        <v>0</v>
      </c>
      <c r="H32" s="96">
        <v>0</v>
      </c>
      <c r="I32" s="96">
        <v>0</v>
      </c>
      <c r="J32" s="130">
        <v>0</v>
      </c>
      <c r="K32" s="131">
        <f t="shared" si="6"/>
        <v>0</v>
      </c>
      <c r="L32" s="132">
        <v>0</v>
      </c>
      <c r="M32" s="96">
        <v>0</v>
      </c>
      <c r="N32" s="96">
        <v>0</v>
      </c>
      <c r="O32" s="96">
        <v>0</v>
      </c>
      <c r="P32" s="100">
        <v>0</v>
      </c>
      <c r="Q32" s="101">
        <f t="shared" si="7"/>
        <v>0</v>
      </c>
      <c r="R32" s="101">
        <f t="shared" si="8"/>
        <v>0</v>
      </c>
      <c r="S32" s="102">
        <f t="shared" si="9"/>
        <v>0</v>
      </c>
    </row>
    <row r="33" spans="1:24" ht="15" customHeight="1" x14ac:dyDescent="0.75">
      <c r="A33" s="93">
        <v>666510</v>
      </c>
      <c r="B33" s="94" t="s">
        <v>16</v>
      </c>
      <c r="C33" s="127" t="s">
        <v>169</v>
      </c>
      <c r="D33" s="128">
        <v>0</v>
      </c>
      <c r="E33" s="129">
        <f t="shared" si="5"/>
        <v>0</v>
      </c>
      <c r="F33" s="96">
        <v>0</v>
      </c>
      <c r="G33" s="96">
        <v>0</v>
      </c>
      <c r="H33" s="96">
        <v>0</v>
      </c>
      <c r="I33" s="96">
        <v>0</v>
      </c>
      <c r="J33" s="130">
        <v>0</v>
      </c>
      <c r="K33" s="131">
        <f t="shared" si="6"/>
        <v>0</v>
      </c>
      <c r="L33" s="132">
        <v>0</v>
      </c>
      <c r="M33" s="96">
        <v>0</v>
      </c>
      <c r="N33" s="96">
        <v>0</v>
      </c>
      <c r="O33" s="96">
        <v>0</v>
      </c>
      <c r="P33" s="100">
        <v>0</v>
      </c>
      <c r="Q33" s="101">
        <f t="shared" si="7"/>
        <v>0</v>
      </c>
      <c r="R33" s="101">
        <f t="shared" si="8"/>
        <v>0</v>
      </c>
      <c r="S33" s="102">
        <f t="shared" si="9"/>
        <v>0</v>
      </c>
    </row>
    <row r="34" spans="1:24" ht="15" customHeight="1" x14ac:dyDescent="0.75">
      <c r="A34" s="93">
        <v>666511</v>
      </c>
      <c r="B34" s="94" t="s">
        <v>18</v>
      </c>
      <c r="C34" s="127" t="s">
        <v>19</v>
      </c>
      <c r="D34" s="128">
        <v>0</v>
      </c>
      <c r="E34" s="129">
        <f t="shared" si="5"/>
        <v>0</v>
      </c>
      <c r="F34" s="96">
        <v>0</v>
      </c>
      <c r="G34" s="96">
        <v>0</v>
      </c>
      <c r="H34" s="96">
        <v>0</v>
      </c>
      <c r="I34" s="96">
        <v>0</v>
      </c>
      <c r="J34" s="130">
        <v>0</v>
      </c>
      <c r="K34" s="131">
        <f t="shared" si="6"/>
        <v>0</v>
      </c>
      <c r="L34" s="132">
        <v>0</v>
      </c>
      <c r="M34" s="96">
        <v>0</v>
      </c>
      <c r="N34" s="96">
        <v>0</v>
      </c>
      <c r="O34" s="96">
        <v>0</v>
      </c>
      <c r="P34" s="100">
        <v>0</v>
      </c>
      <c r="Q34" s="101">
        <f t="shared" si="7"/>
        <v>0</v>
      </c>
      <c r="R34" s="101">
        <f t="shared" si="8"/>
        <v>0</v>
      </c>
      <c r="S34" s="102">
        <f t="shared" si="9"/>
        <v>0</v>
      </c>
    </row>
    <row r="35" spans="1:24" ht="15" customHeight="1" x14ac:dyDescent="0.75">
      <c r="A35" s="93">
        <v>666513</v>
      </c>
      <c r="B35" s="94" t="s">
        <v>20</v>
      </c>
      <c r="C35" s="127" t="s">
        <v>21</v>
      </c>
      <c r="D35" s="128">
        <v>0</v>
      </c>
      <c r="E35" s="129">
        <f t="shared" si="5"/>
        <v>0</v>
      </c>
      <c r="F35" s="96">
        <v>0</v>
      </c>
      <c r="G35" s="96">
        <v>0</v>
      </c>
      <c r="H35" s="96">
        <v>0</v>
      </c>
      <c r="I35" s="96">
        <v>0</v>
      </c>
      <c r="J35" s="130">
        <v>0</v>
      </c>
      <c r="K35" s="131">
        <f t="shared" si="6"/>
        <v>0</v>
      </c>
      <c r="L35" s="132">
        <v>0</v>
      </c>
      <c r="M35" s="96">
        <v>0</v>
      </c>
      <c r="N35" s="96">
        <v>0</v>
      </c>
      <c r="O35" s="96">
        <v>0</v>
      </c>
      <c r="P35" s="100">
        <v>0</v>
      </c>
      <c r="Q35" s="101">
        <f t="shared" si="7"/>
        <v>0</v>
      </c>
      <c r="R35" s="101">
        <f t="shared" si="8"/>
        <v>0</v>
      </c>
      <c r="S35" s="102">
        <f t="shared" si="9"/>
        <v>0</v>
      </c>
    </row>
    <row r="36" spans="1:24" ht="15" customHeight="1" x14ac:dyDescent="0.75">
      <c r="A36" s="93">
        <v>666516</v>
      </c>
      <c r="B36" s="94" t="s">
        <v>22</v>
      </c>
      <c r="C36" s="127" t="s">
        <v>23</v>
      </c>
      <c r="D36" s="128">
        <v>0</v>
      </c>
      <c r="E36" s="129">
        <f t="shared" si="5"/>
        <v>0</v>
      </c>
      <c r="F36" s="96">
        <v>0</v>
      </c>
      <c r="G36" s="96">
        <v>0</v>
      </c>
      <c r="H36" s="96">
        <v>0</v>
      </c>
      <c r="I36" s="96">
        <v>0</v>
      </c>
      <c r="J36" s="130">
        <v>0</v>
      </c>
      <c r="K36" s="131">
        <f t="shared" si="6"/>
        <v>0</v>
      </c>
      <c r="L36" s="132">
        <v>0</v>
      </c>
      <c r="M36" s="96">
        <v>0</v>
      </c>
      <c r="N36" s="96">
        <v>0</v>
      </c>
      <c r="O36" s="96">
        <v>0</v>
      </c>
      <c r="P36" s="100">
        <v>0</v>
      </c>
      <c r="Q36" s="101">
        <f t="shared" si="7"/>
        <v>0</v>
      </c>
      <c r="R36" s="101">
        <f t="shared" si="8"/>
        <v>0</v>
      </c>
      <c r="S36" s="102">
        <f t="shared" si="9"/>
        <v>0</v>
      </c>
    </row>
    <row r="37" spans="1:24" ht="15" customHeight="1" x14ac:dyDescent="0.75">
      <c r="A37" s="93">
        <v>666517</v>
      </c>
      <c r="B37" s="94" t="s">
        <v>24</v>
      </c>
      <c r="C37" s="127" t="s">
        <v>25</v>
      </c>
      <c r="D37" s="128">
        <v>0</v>
      </c>
      <c r="E37" s="129">
        <f t="shared" si="5"/>
        <v>0</v>
      </c>
      <c r="F37" s="96">
        <v>0</v>
      </c>
      <c r="G37" s="96">
        <v>0</v>
      </c>
      <c r="H37" s="96">
        <v>0</v>
      </c>
      <c r="I37" s="96">
        <v>0</v>
      </c>
      <c r="J37" s="130">
        <v>0</v>
      </c>
      <c r="K37" s="131">
        <f t="shared" si="6"/>
        <v>0</v>
      </c>
      <c r="L37" s="132">
        <v>0</v>
      </c>
      <c r="M37" s="96">
        <v>0</v>
      </c>
      <c r="N37" s="96">
        <v>0</v>
      </c>
      <c r="O37" s="96">
        <v>0</v>
      </c>
      <c r="P37" s="100">
        <v>0</v>
      </c>
      <c r="Q37" s="101">
        <f t="shared" si="7"/>
        <v>0</v>
      </c>
      <c r="R37" s="101">
        <f t="shared" si="8"/>
        <v>0</v>
      </c>
      <c r="S37" s="102">
        <f>+R37/2</f>
        <v>0</v>
      </c>
    </row>
    <row r="38" spans="1:24" ht="15" customHeight="1" x14ac:dyDescent="0.75">
      <c r="A38" s="93">
        <v>666518</v>
      </c>
      <c r="B38" s="94" t="s">
        <v>26</v>
      </c>
      <c r="C38" s="127" t="s">
        <v>27</v>
      </c>
      <c r="D38" s="128">
        <v>0</v>
      </c>
      <c r="E38" s="129">
        <f t="shared" si="5"/>
        <v>0</v>
      </c>
      <c r="F38" s="96">
        <v>0</v>
      </c>
      <c r="G38" s="96">
        <v>0</v>
      </c>
      <c r="H38" s="96">
        <v>0</v>
      </c>
      <c r="I38" s="96">
        <v>0</v>
      </c>
      <c r="J38" s="130">
        <v>0</v>
      </c>
      <c r="K38" s="131">
        <f t="shared" si="6"/>
        <v>0</v>
      </c>
      <c r="L38" s="132">
        <v>0</v>
      </c>
      <c r="M38" s="96">
        <v>0</v>
      </c>
      <c r="N38" s="96">
        <v>0</v>
      </c>
      <c r="O38" s="96">
        <v>0</v>
      </c>
      <c r="P38" s="100">
        <v>0</v>
      </c>
      <c r="Q38" s="101">
        <f t="shared" si="7"/>
        <v>0</v>
      </c>
      <c r="R38" s="101">
        <f t="shared" si="8"/>
        <v>0</v>
      </c>
      <c r="S38" s="102">
        <f>+R38/3</f>
        <v>0</v>
      </c>
    </row>
    <row r="39" spans="1:24" ht="15" customHeight="1" x14ac:dyDescent="0.75">
      <c r="A39" s="93">
        <v>666519</v>
      </c>
      <c r="B39" s="94" t="s">
        <v>28</v>
      </c>
      <c r="C39" s="127" t="s">
        <v>29</v>
      </c>
      <c r="D39" s="128">
        <v>0</v>
      </c>
      <c r="E39" s="129">
        <f t="shared" si="5"/>
        <v>0</v>
      </c>
      <c r="F39" s="96">
        <v>0</v>
      </c>
      <c r="G39" s="96">
        <v>0</v>
      </c>
      <c r="H39" s="96">
        <v>0</v>
      </c>
      <c r="I39" s="96">
        <v>0</v>
      </c>
      <c r="J39" s="130">
        <v>0</v>
      </c>
      <c r="K39" s="131">
        <f t="shared" si="6"/>
        <v>0</v>
      </c>
      <c r="L39" s="132">
        <v>0</v>
      </c>
      <c r="M39" s="96">
        <v>0</v>
      </c>
      <c r="N39" s="96">
        <v>0</v>
      </c>
      <c r="O39" s="96">
        <v>0</v>
      </c>
      <c r="P39" s="100">
        <v>0</v>
      </c>
      <c r="Q39" s="101">
        <f t="shared" si="7"/>
        <v>0</v>
      </c>
      <c r="R39" s="101">
        <f t="shared" si="8"/>
        <v>0</v>
      </c>
      <c r="S39" s="102"/>
    </row>
    <row r="40" spans="1:24" ht="15" customHeight="1" x14ac:dyDescent="0.75">
      <c r="A40" s="93">
        <v>666521</v>
      </c>
      <c r="B40" s="94" t="s">
        <v>30</v>
      </c>
      <c r="C40" s="127" t="s">
        <v>31</v>
      </c>
      <c r="D40" s="128">
        <v>0</v>
      </c>
      <c r="E40" s="129">
        <f t="shared" si="5"/>
        <v>0</v>
      </c>
      <c r="F40" s="96">
        <v>0</v>
      </c>
      <c r="G40" s="96">
        <v>0</v>
      </c>
      <c r="H40" s="96">
        <v>0</v>
      </c>
      <c r="I40" s="96">
        <v>0</v>
      </c>
      <c r="J40" s="130">
        <v>0</v>
      </c>
      <c r="K40" s="131">
        <f t="shared" si="6"/>
        <v>0</v>
      </c>
      <c r="L40" s="132">
        <v>0</v>
      </c>
      <c r="M40" s="96">
        <v>0</v>
      </c>
      <c r="N40" s="96">
        <v>0</v>
      </c>
      <c r="O40" s="96">
        <v>0</v>
      </c>
      <c r="P40" s="100">
        <v>0</v>
      </c>
      <c r="Q40" s="101">
        <f t="shared" si="7"/>
        <v>0</v>
      </c>
      <c r="R40" s="101">
        <f t="shared" si="8"/>
        <v>0</v>
      </c>
      <c r="S40" s="102"/>
    </row>
    <row r="41" spans="1:24" ht="15" customHeight="1" x14ac:dyDescent="0.75">
      <c r="A41" s="93">
        <v>666522</v>
      </c>
      <c r="B41" s="94" t="s">
        <v>32</v>
      </c>
      <c r="C41" s="127" t="s">
        <v>33</v>
      </c>
      <c r="D41" s="128">
        <v>190</v>
      </c>
      <c r="E41" s="129">
        <f t="shared" si="5"/>
        <v>27.142857142857142</v>
      </c>
      <c r="F41" s="96">
        <v>20</v>
      </c>
      <c r="G41" s="96">
        <v>0</v>
      </c>
      <c r="H41" s="96">
        <v>90</v>
      </c>
      <c r="I41" s="96">
        <v>0</v>
      </c>
      <c r="J41" s="130">
        <v>0</v>
      </c>
      <c r="K41" s="131">
        <f t="shared" si="6"/>
        <v>20</v>
      </c>
      <c r="L41" s="132">
        <v>0</v>
      </c>
      <c r="M41" s="96">
        <v>0</v>
      </c>
      <c r="N41" s="96">
        <v>0</v>
      </c>
      <c r="O41" s="96">
        <v>60</v>
      </c>
      <c r="P41" s="100">
        <v>25</v>
      </c>
      <c r="Q41" s="101">
        <f t="shared" si="7"/>
        <v>195</v>
      </c>
      <c r="R41" s="166">
        <f t="shared" si="8"/>
        <v>-5</v>
      </c>
      <c r="S41" s="102"/>
    </row>
    <row r="42" spans="1:24" ht="15" customHeight="1" x14ac:dyDescent="0.75">
      <c r="A42" s="93">
        <v>666523</v>
      </c>
      <c r="B42" s="94" t="s">
        <v>34</v>
      </c>
      <c r="C42" s="127" t="s">
        <v>35</v>
      </c>
      <c r="D42" s="128">
        <v>40</v>
      </c>
      <c r="E42" s="129">
        <f t="shared" si="5"/>
        <v>5.7142857142857144</v>
      </c>
      <c r="F42" s="96">
        <v>8</v>
      </c>
      <c r="G42" s="96">
        <v>0</v>
      </c>
      <c r="H42" s="96">
        <v>15</v>
      </c>
      <c r="I42" s="96">
        <v>8</v>
      </c>
      <c r="J42" s="130">
        <v>9</v>
      </c>
      <c r="K42" s="131">
        <f t="shared" si="6"/>
        <v>0</v>
      </c>
      <c r="L42" s="132">
        <v>0</v>
      </c>
      <c r="M42" s="96">
        <v>0</v>
      </c>
      <c r="N42" s="96">
        <v>0</v>
      </c>
      <c r="O42" s="96">
        <v>0</v>
      </c>
      <c r="P42" s="100">
        <v>0</v>
      </c>
      <c r="Q42" s="133">
        <f t="shared" si="7"/>
        <v>40</v>
      </c>
      <c r="R42" s="101">
        <f t="shared" si="8"/>
        <v>0</v>
      </c>
      <c r="S42" s="102"/>
    </row>
    <row r="43" spans="1:24" ht="15" customHeight="1" x14ac:dyDescent="0.75">
      <c r="A43" s="93">
        <v>666530</v>
      </c>
      <c r="B43" s="94" t="s">
        <v>36</v>
      </c>
      <c r="C43" s="127" t="s">
        <v>37</v>
      </c>
      <c r="D43" s="128">
        <v>0</v>
      </c>
      <c r="E43" s="129">
        <f t="shared" si="5"/>
        <v>0</v>
      </c>
      <c r="F43" s="96">
        <v>0</v>
      </c>
      <c r="G43" s="96">
        <v>0</v>
      </c>
      <c r="H43" s="96">
        <v>0</v>
      </c>
      <c r="I43" s="96">
        <v>0</v>
      </c>
      <c r="J43" s="130">
        <v>0</v>
      </c>
      <c r="K43" s="131">
        <f t="shared" si="6"/>
        <v>0</v>
      </c>
      <c r="L43" s="132">
        <v>0</v>
      </c>
      <c r="M43" s="96">
        <v>0</v>
      </c>
      <c r="N43" s="96">
        <v>0</v>
      </c>
      <c r="O43" s="96">
        <v>0</v>
      </c>
      <c r="P43" s="100">
        <v>0</v>
      </c>
      <c r="Q43" s="101">
        <f t="shared" si="7"/>
        <v>0</v>
      </c>
      <c r="R43" s="101">
        <f t="shared" si="8"/>
        <v>0</v>
      </c>
      <c r="S43" s="102"/>
    </row>
    <row r="44" spans="1:24" ht="15" customHeight="1" x14ac:dyDescent="0.75">
      <c r="A44" s="93">
        <v>666531</v>
      </c>
      <c r="B44" s="94" t="s">
        <v>38</v>
      </c>
      <c r="C44" s="127" t="s">
        <v>39</v>
      </c>
      <c r="D44" s="128">
        <v>0</v>
      </c>
      <c r="E44" s="129">
        <f t="shared" si="5"/>
        <v>0</v>
      </c>
      <c r="F44" s="96">
        <v>0</v>
      </c>
      <c r="G44" s="96">
        <v>0</v>
      </c>
      <c r="H44" s="96">
        <v>0</v>
      </c>
      <c r="I44" s="96">
        <v>0</v>
      </c>
      <c r="J44" s="130">
        <v>0</v>
      </c>
      <c r="K44" s="131">
        <f t="shared" si="6"/>
        <v>0</v>
      </c>
      <c r="L44" s="132">
        <v>0</v>
      </c>
      <c r="M44" s="96">
        <v>0</v>
      </c>
      <c r="N44" s="96">
        <v>0</v>
      </c>
      <c r="O44" s="96">
        <v>0</v>
      </c>
      <c r="P44" s="100">
        <v>0</v>
      </c>
      <c r="Q44" s="101">
        <f t="shared" si="7"/>
        <v>0</v>
      </c>
      <c r="R44" s="101">
        <f t="shared" si="8"/>
        <v>0</v>
      </c>
      <c r="S44" s="102">
        <f>+R44/3</f>
        <v>0</v>
      </c>
    </row>
    <row r="45" spans="1:24" ht="15" customHeight="1" x14ac:dyDescent="0.75">
      <c r="A45" s="93">
        <v>666540</v>
      </c>
      <c r="B45" s="94" t="s">
        <v>40</v>
      </c>
      <c r="C45" s="127" t="s">
        <v>40</v>
      </c>
      <c r="D45" s="128">
        <v>120</v>
      </c>
      <c r="E45" s="129">
        <f t="shared" si="5"/>
        <v>17.142857142857142</v>
      </c>
      <c r="F45" s="96">
        <v>0</v>
      </c>
      <c r="G45" s="96">
        <v>0</v>
      </c>
      <c r="H45" s="96">
        <v>0</v>
      </c>
      <c r="I45" s="96">
        <v>0</v>
      </c>
      <c r="J45" s="130">
        <v>0</v>
      </c>
      <c r="K45" s="131">
        <f t="shared" si="6"/>
        <v>30</v>
      </c>
      <c r="L45" s="132">
        <v>0</v>
      </c>
      <c r="M45" s="96">
        <v>0</v>
      </c>
      <c r="N45" s="96">
        <v>0</v>
      </c>
      <c r="O45" s="96">
        <v>0</v>
      </c>
      <c r="P45" s="100">
        <v>0</v>
      </c>
      <c r="Q45" s="101">
        <f t="shared" si="7"/>
        <v>0</v>
      </c>
      <c r="R45" s="166">
        <f t="shared" si="8"/>
        <v>120</v>
      </c>
      <c r="S45" s="102">
        <f>+R45/3</f>
        <v>40</v>
      </c>
    </row>
    <row r="46" spans="1:24" ht="15" customHeight="1" x14ac:dyDescent="0.75">
      <c r="A46" s="93">
        <v>666541</v>
      </c>
      <c r="B46" s="94" t="s">
        <v>41</v>
      </c>
      <c r="C46" s="134" t="s">
        <v>41</v>
      </c>
      <c r="D46" s="128">
        <v>600</v>
      </c>
      <c r="E46" s="129">
        <f t="shared" si="5"/>
        <v>85.714285714285708</v>
      </c>
      <c r="F46" s="96">
        <v>61</v>
      </c>
      <c r="G46" s="96">
        <v>78</v>
      </c>
      <c r="H46" s="96">
        <v>46</v>
      </c>
      <c r="I46" s="96">
        <v>52</v>
      </c>
      <c r="J46" s="130">
        <v>14</v>
      </c>
      <c r="K46" s="131">
        <f t="shared" si="6"/>
        <v>87.25</v>
      </c>
      <c r="L46" s="132">
        <v>26</v>
      </c>
      <c r="M46" s="96">
        <v>70</v>
      </c>
      <c r="N46" s="96">
        <v>70</v>
      </c>
      <c r="O46" s="96">
        <v>114</v>
      </c>
      <c r="P46" s="100">
        <v>42</v>
      </c>
      <c r="Q46" s="101">
        <f t="shared" si="7"/>
        <v>573</v>
      </c>
      <c r="R46" s="169">
        <f t="shared" si="8"/>
        <v>27</v>
      </c>
      <c r="S46" s="102"/>
    </row>
    <row r="47" spans="1:24" ht="15" customHeight="1" x14ac:dyDescent="0.75">
      <c r="A47" s="93">
        <v>666536</v>
      </c>
      <c r="B47" s="94" t="s">
        <v>42</v>
      </c>
      <c r="C47" s="103" t="s">
        <v>184</v>
      </c>
      <c r="D47" s="128">
        <v>0</v>
      </c>
      <c r="E47" s="129">
        <f t="shared" si="5"/>
        <v>0</v>
      </c>
      <c r="F47" s="96">
        <v>0</v>
      </c>
      <c r="G47" s="96">
        <v>0</v>
      </c>
      <c r="H47" s="96">
        <v>0</v>
      </c>
      <c r="I47" s="96">
        <v>0</v>
      </c>
      <c r="J47" s="130">
        <v>0</v>
      </c>
      <c r="K47" s="131">
        <f t="shared" si="6"/>
        <v>0</v>
      </c>
      <c r="L47" s="132">
        <v>0</v>
      </c>
      <c r="M47" s="96">
        <v>0</v>
      </c>
      <c r="N47" s="96">
        <v>0</v>
      </c>
      <c r="O47" s="96">
        <v>0</v>
      </c>
      <c r="P47" s="100">
        <v>0</v>
      </c>
      <c r="Q47" s="101">
        <f t="shared" si="7"/>
        <v>0</v>
      </c>
      <c r="R47" s="101">
        <f t="shared" si="8"/>
        <v>0</v>
      </c>
      <c r="S47" s="102">
        <f>+R47/3</f>
        <v>0</v>
      </c>
      <c r="X47" s="79" t="s">
        <v>152</v>
      </c>
    </row>
    <row r="48" spans="1:24" ht="15" customHeight="1" x14ac:dyDescent="0.75">
      <c r="A48" s="135"/>
      <c r="B48" s="136"/>
      <c r="C48" s="134"/>
      <c r="D48" s="137"/>
      <c r="E48" s="137"/>
      <c r="F48" s="138"/>
      <c r="G48" s="139"/>
      <c r="H48" s="139"/>
      <c r="I48" s="139"/>
      <c r="J48" s="139"/>
      <c r="K48" s="140"/>
      <c r="L48" s="139"/>
      <c r="M48" s="139"/>
      <c r="N48" s="139"/>
      <c r="O48" s="139"/>
      <c r="P48" s="141"/>
      <c r="Q48" s="101"/>
      <c r="R48" s="101"/>
      <c r="S48" s="102"/>
    </row>
    <row r="49" spans="1:18" ht="15" customHeight="1" x14ac:dyDescent="0.75">
      <c r="A49" s="3" t="str">
        <f>+A1</f>
        <v>Weeks of 03/09/26 &amp;03/16/6</v>
      </c>
      <c r="B49" s="3"/>
      <c r="C49" s="3"/>
      <c r="D49" s="3"/>
      <c r="E49" s="3"/>
      <c r="F49" s="142"/>
      <c r="G49" s="81"/>
      <c r="H49" s="81"/>
      <c r="I49" s="81"/>
      <c r="J49" s="81"/>
      <c r="K49" s="81"/>
      <c r="L49" s="81"/>
      <c r="M49" s="81"/>
      <c r="N49" s="81"/>
      <c r="O49" s="81"/>
      <c r="P49" s="82"/>
      <c r="Q49" s="101"/>
    </row>
    <row r="50" spans="1:18" ht="36.75" customHeight="1" x14ac:dyDescent="0.75">
      <c r="A50" s="83"/>
      <c r="B50" s="143" t="s">
        <v>66</v>
      </c>
      <c r="C50" s="144"/>
      <c r="D50" s="86" t="s">
        <v>122</v>
      </c>
      <c r="E50" s="86" t="s">
        <v>173</v>
      </c>
      <c r="F50" s="88" t="s">
        <v>162</v>
      </c>
      <c r="G50" s="86" t="s">
        <v>163</v>
      </c>
      <c r="H50" s="87" t="s">
        <v>164</v>
      </c>
      <c r="I50" s="86" t="s">
        <v>165</v>
      </c>
      <c r="J50" s="86" t="s">
        <v>166</v>
      </c>
      <c r="K50" s="89" t="str">
        <f>+K26</f>
        <v>2nd wk daily goals</v>
      </c>
      <c r="L50" s="88" t="s">
        <v>162</v>
      </c>
      <c r="M50" s="86" t="s">
        <v>163</v>
      </c>
      <c r="N50" s="87" t="s">
        <v>164</v>
      </c>
      <c r="O50" s="86" t="s">
        <v>165</v>
      </c>
      <c r="P50" s="90" t="s">
        <v>166</v>
      </c>
      <c r="Q50" s="101"/>
      <c r="R50" s="92" t="s">
        <v>168</v>
      </c>
    </row>
    <row r="51" spans="1:18" ht="14.25" customHeight="1" x14ac:dyDescent="0.75">
      <c r="A51" s="93">
        <v>666501</v>
      </c>
      <c r="B51" s="94" t="s">
        <v>4</v>
      </c>
      <c r="C51" s="95" t="s">
        <v>5</v>
      </c>
      <c r="D51" s="96">
        <v>60</v>
      </c>
      <c r="E51" s="97">
        <f t="shared" ref="E51:E71" si="10">+D51/2</f>
        <v>30</v>
      </c>
      <c r="F51" s="96">
        <v>0</v>
      </c>
      <c r="G51" s="96">
        <v>0</v>
      </c>
      <c r="H51" s="96">
        <v>0</v>
      </c>
      <c r="I51" s="96">
        <v>27</v>
      </c>
      <c r="J51" s="96">
        <v>0</v>
      </c>
      <c r="K51" s="99">
        <f t="shared" ref="K51:K71" si="11">(+D51-SUM(F51:J51))/4</f>
        <v>8.25</v>
      </c>
      <c r="L51" s="96">
        <v>27</v>
      </c>
      <c r="M51" s="96">
        <v>6</v>
      </c>
      <c r="N51" s="96">
        <v>0</v>
      </c>
      <c r="O51" s="96">
        <v>0</v>
      </c>
      <c r="P51" s="100">
        <v>0</v>
      </c>
      <c r="Q51" s="133">
        <f t="shared" ref="Q51:Q71" si="12">SUM(F51:J51)+SUM(L51:P51)</f>
        <v>60</v>
      </c>
      <c r="R51" s="101">
        <f t="shared" ref="R51:R71" si="13">+D51-Q51</f>
        <v>0</v>
      </c>
    </row>
    <row r="52" spans="1:18" ht="14.25" customHeight="1" x14ac:dyDescent="0.75">
      <c r="A52" s="93">
        <v>666502</v>
      </c>
      <c r="B52" s="94" t="s">
        <v>6</v>
      </c>
      <c r="C52" s="95" t="s">
        <v>7</v>
      </c>
      <c r="D52" s="96">
        <v>50</v>
      </c>
      <c r="E52" s="97">
        <f t="shared" si="10"/>
        <v>25</v>
      </c>
      <c r="F52" s="96">
        <v>0</v>
      </c>
      <c r="G52" s="96">
        <v>0</v>
      </c>
      <c r="H52" s="96">
        <v>0</v>
      </c>
      <c r="I52" s="96">
        <v>0</v>
      </c>
      <c r="J52" s="96">
        <v>0</v>
      </c>
      <c r="K52" s="99">
        <f t="shared" si="11"/>
        <v>12.5</v>
      </c>
      <c r="L52" s="96">
        <v>0</v>
      </c>
      <c r="M52" s="96">
        <v>26</v>
      </c>
      <c r="N52" s="96">
        <v>0</v>
      </c>
      <c r="O52" s="96">
        <v>24</v>
      </c>
      <c r="P52" s="100">
        <v>0</v>
      </c>
      <c r="Q52" s="133">
        <f t="shared" si="12"/>
        <v>50</v>
      </c>
      <c r="R52" s="101">
        <f t="shared" si="13"/>
        <v>0</v>
      </c>
    </row>
    <row r="53" spans="1:18" ht="14.25" customHeight="1" x14ac:dyDescent="0.75">
      <c r="A53" s="93">
        <v>666505</v>
      </c>
      <c r="B53" s="94" t="s">
        <v>8</v>
      </c>
      <c r="C53" s="95" t="s">
        <v>9</v>
      </c>
      <c r="D53" s="96">
        <v>44</v>
      </c>
      <c r="E53" s="97">
        <f t="shared" si="10"/>
        <v>22</v>
      </c>
      <c r="F53" s="96">
        <v>0</v>
      </c>
      <c r="G53" s="96">
        <v>0</v>
      </c>
      <c r="H53" s="96">
        <v>0</v>
      </c>
      <c r="I53" s="96">
        <v>39</v>
      </c>
      <c r="J53" s="96">
        <v>0</v>
      </c>
      <c r="K53" s="99">
        <f t="shared" si="11"/>
        <v>1.25</v>
      </c>
      <c r="L53" s="96">
        <v>5</v>
      </c>
      <c r="M53" s="96">
        <v>0</v>
      </c>
      <c r="N53" s="96">
        <v>0</v>
      </c>
      <c r="O53" s="96">
        <v>0</v>
      </c>
      <c r="P53" s="100">
        <v>0</v>
      </c>
      <c r="Q53" s="133">
        <f t="shared" si="12"/>
        <v>44</v>
      </c>
      <c r="R53" s="101">
        <f t="shared" si="13"/>
        <v>0</v>
      </c>
    </row>
    <row r="54" spans="1:18" ht="14.25" customHeight="1" x14ac:dyDescent="0.75">
      <c r="A54" s="93">
        <v>666506</v>
      </c>
      <c r="B54" s="94" t="s">
        <v>10</v>
      </c>
      <c r="C54" s="95" t="s">
        <v>11</v>
      </c>
      <c r="D54" s="96">
        <v>0</v>
      </c>
      <c r="E54" s="97">
        <f t="shared" si="10"/>
        <v>0</v>
      </c>
      <c r="F54" s="96">
        <v>0</v>
      </c>
      <c r="G54" s="96">
        <v>0</v>
      </c>
      <c r="H54" s="96">
        <v>0</v>
      </c>
      <c r="I54" s="96">
        <v>0</v>
      </c>
      <c r="J54" s="96">
        <v>0</v>
      </c>
      <c r="K54" s="99">
        <f t="shared" si="11"/>
        <v>0</v>
      </c>
      <c r="L54" s="96">
        <v>0</v>
      </c>
      <c r="M54" s="96">
        <v>0</v>
      </c>
      <c r="N54" s="96">
        <v>0</v>
      </c>
      <c r="O54" s="96">
        <v>0</v>
      </c>
      <c r="P54" s="100">
        <v>0</v>
      </c>
      <c r="Q54" s="101">
        <f t="shared" si="12"/>
        <v>0</v>
      </c>
      <c r="R54" s="101">
        <f t="shared" si="13"/>
        <v>0</v>
      </c>
    </row>
    <row r="55" spans="1:18" ht="14.25" customHeight="1" x14ac:dyDescent="0.75">
      <c r="A55" s="93">
        <v>666507</v>
      </c>
      <c r="B55" s="94" t="s">
        <v>12</v>
      </c>
      <c r="C55" s="95" t="s">
        <v>13</v>
      </c>
      <c r="D55" s="96">
        <v>0</v>
      </c>
      <c r="E55" s="97">
        <f t="shared" si="10"/>
        <v>0</v>
      </c>
      <c r="F55" s="96">
        <v>0</v>
      </c>
      <c r="G55" s="96">
        <v>0</v>
      </c>
      <c r="H55" s="96">
        <v>0</v>
      </c>
      <c r="I55" s="96">
        <v>0</v>
      </c>
      <c r="J55" s="96">
        <v>0</v>
      </c>
      <c r="K55" s="99">
        <f t="shared" si="11"/>
        <v>0</v>
      </c>
      <c r="L55" s="96">
        <v>0</v>
      </c>
      <c r="M55" s="96">
        <v>0</v>
      </c>
      <c r="N55" s="96">
        <v>0</v>
      </c>
      <c r="O55" s="96">
        <v>0</v>
      </c>
      <c r="P55" s="100">
        <v>0</v>
      </c>
      <c r="Q55" s="101">
        <f t="shared" si="12"/>
        <v>0</v>
      </c>
      <c r="R55" s="101">
        <f t="shared" si="13"/>
        <v>0</v>
      </c>
    </row>
    <row r="56" spans="1:18" ht="14.25" customHeight="1" x14ac:dyDescent="0.75">
      <c r="A56" s="93">
        <v>666509</v>
      </c>
      <c r="B56" s="94" t="s">
        <v>14</v>
      </c>
      <c r="C56" s="95" t="s">
        <v>15</v>
      </c>
      <c r="D56" s="96">
        <v>0</v>
      </c>
      <c r="E56" s="97">
        <f t="shared" si="10"/>
        <v>0</v>
      </c>
      <c r="F56" s="96">
        <v>0</v>
      </c>
      <c r="G56" s="96">
        <v>0</v>
      </c>
      <c r="H56" s="96">
        <v>0</v>
      </c>
      <c r="I56" s="96">
        <v>0</v>
      </c>
      <c r="J56" s="96">
        <v>0</v>
      </c>
      <c r="K56" s="99">
        <f t="shared" si="11"/>
        <v>0</v>
      </c>
      <c r="L56" s="96">
        <v>0</v>
      </c>
      <c r="M56" s="96">
        <v>0</v>
      </c>
      <c r="N56" s="96">
        <v>0</v>
      </c>
      <c r="O56" s="96">
        <v>0</v>
      </c>
      <c r="P56" s="100">
        <v>0</v>
      </c>
      <c r="Q56" s="101">
        <f t="shared" si="12"/>
        <v>0</v>
      </c>
      <c r="R56" s="101">
        <f t="shared" si="13"/>
        <v>0</v>
      </c>
    </row>
    <row r="57" spans="1:18" ht="14.25" customHeight="1" x14ac:dyDescent="0.75">
      <c r="A57" s="93">
        <v>666510</v>
      </c>
      <c r="B57" s="94" t="s">
        <v>16</v>
      </c>
      <c r="C57" s="95" t="s">
        <v>169</v>
      </c>
      <c r="D57" s="96">
        <v>0</v>
      </c>
      <c r="E57" s="97">
        <f t="shared" si="10"/>
        <v>0</v>
      </c>
      <c r="F57" s="96">
        <v>0</v>
      </c>
      <c r="G57" s="96">
        <v>0</v>
      </c>
      <c r="H57" s="96">
        <v>0</v>
      </c>
      <c r="I57" s="96">
        <v>0</v>
      </c>
      <c r="J57" s="96">
        <v>0</v>
      </c>
      <c r="K57" s="99">
        <f t="shared" si="11"/>
        <v>0</v>
      </c>
      <c r="L57" s="96">
        <v>0</v>
      </c>
      <c r="M57" s="96">
        <v>0</v>
      </c>
      <c r="N57" s="96">
        <v>0</v>
      </c>
      <c r="O57" s="96">
        <v>0</v>
      </c>
      <c r="P57" s="100">
        <v>0</v>
      </c>
      <c r="Q57" s="101">
        <f t="shared" si="12"/>
        <v>0</v>
      </c>
      <c r="R57" s="101">
        <f t="shared" si="13"/>
        <v>0</v>
      </c>
    </row>
    <row r="58" spans="1:18" ht="14.25" customHeight="1" x14ac:dyDescent="0.75">
      <c r="A58" s="93">
        <v>666511</v>
      </c>
      <c r="B58" s="94" t="s">
        <v>18</v>
      </c>
      <c r="C58" s="95" t="s">
        <v>19</v>
      </c>
      <c r="D58" s="96">
        <v>0</v>
      </c>
      <c r="E58" s="97">
        <f t="shared" si="10"/>
        <v>0</v>
      </c>
      <c r="F58" s="96">
        <v>0</v>
      </c>
      <c r="G58" s="96">
        <v>0</v>
      </c>
      <c r="H58" s="96">
        <v>0</v>
      </c>
      <c r="I58" s="96">
        <v>0</v>
      </c>
      <c r="J58" s="96">
        <v>0</v>
      </c>
      <c r="K58" s="99">
        <f t="shared" si="11"/>
        <v>0</v>
      </c>
      <c r="L58" s="96">
        <v>0</v>
      </c>
      <c r="M58" s="96">
        <v>0</v>
      </c>
      <c r="N58" s="96">
        <v>0</v>
      </c>
      <c r="O58" s="96">
        <v>0</v>
      </c>
      <c r="P58" s="100">
        <v>0</v>
      </c>
      <c r="Q58" s="101">
        <f t="shared" si="12"/>
        <v>0</v>
      </c>
      <c r="R58" s="101">
        <f t="shared" si="13"/>
        <v>0</v>
      </c>
    </row>
    <row r="59" spans="1:18" ht="14.25" customHeight="1" x14ac:dyDescent="0.75">
      <c r="A59" s="93">
        <v>666513</v>
      </c>
      <c r="B59" s="94" t="s">
        <v>20</v>
      </c>
      <c r="C59" s="95" t="s">
        <v>21</v>
      </c>
      <c r="D59" s="96">
        <v>0</v>
      </c>
      <c r="E59" s="97">
        <f t="shared" si="10"/>
        <v>0</v>
      </c>
      <c r="F59" s="96">
        <v>0</v>
      </c>
      <c r="G59" s="96">
        <v>0</v>
      </c>
      <c r="H59" s="96">
        <v>0</v>
      </c>
      <c r="I59" s="96">
        <v>0</v>
      </c>
      <c r="J59" s="96">
        <v>0</v>
      </c>
      <c r="K59" s="99">
        <f t="shared" si="11"/>
        <v>0</v>
      </c>
      <c r="L59" s="96">
        <v>0</v>
      </c>
      <c r="M59" s="96">
        <v>0</v>
      </c>
      <c r="N59" s="96">
        <v>0</v>
      </c>
      <c r="O59" s="96">
        <v>0</v>
      </c>
      <c r="P59" s="100">
        <v>0</v>
      </c>
      <c r="Q59" s="101">
        <f t="shared" si="12"/>
        <v>0</v>
      </c>
      <c r="R59" s="101">
        <f t="shared" si="13"/>
        <v>0</v>
      </c>
    </row>
    <row r="60" spans="1:18" ht="14.25" customHeight="1" x14ac:dyDescent="0.75">
      <c r="A60" s="93">
        <v>666516</v>
      </c>
      <c r="B60" s="94" t="s">
        <v>22</v>
      </c>
      <c r="C60" s="95" t="s">
        <v>23</v>
      </c>
      <c r="D60" s="96">
        <v>34</v>
      </c>
      <c r="E60" s="97">
        <f t="shared" si="10"/>
        <v>17</v>
      </c>
      <c r="F60" s="96">
        <v>0</v>
      </c>
      <c r="G60" s="96">
        <v>0</v>
      </c>
      <c r="H60" s="96">
        <v>0</v>
      </c>
      <c r="I60" s="96">
        <v>21</v>
      </c>
      <c r="J60" s="96">
        <v>0</v>
      </c>
      <c r="K60" s="99">
        <f t="shared" si="11"/>
        <v>3.25</v>
      </c>
      <c r="L60" s="96">
        <v>13</v>
      </c>
      <c r="M60" s="96">
        <v>0</v>
      </c>
      <c r="N60" s="96">
        <v>0</v>
      </c>
      <c r="O60" s="96">
        <v>0</v>
      </c>
      <c r="P60" s="100">
        <v>0</v>
      </c>
      <c r="Q60" s="133">
        <f t="shared" si="12"/>
        <v>34</v>
      </c>
      <c r="R60" s="101">
        <f t="shared" si="13"/>
        <v>0</v>
      </c>
    </row>
    <row r="61" spans="1:18" ht="14.25" customHeight="1" x14ac:dyDescent="0.75">
      <c r="A61" s="93">
        <v>666517</v>
      </c>
      <c r="B61" s="94" t="s">
        <v>24</v>
      </c>
      <c r="C61" s="95" t="s">
        <v>25</v>
      </c>
      <c r="D61" s="96">
        <v>20</v>
      </c>
      <c r="E61" s="97">
        <f t="shared" si="10"/>
        <v>10</v>
      </c>
      <c r="F61" s="96">
        <v>0</v>
      </c>
      <c r="G61" s="96">
        <v>0</v>
      </c>
      <c r="H61" s="96">
        <v>0</v>
      </c>
      <c r="I61" s="96">
        <v>20</v>
      </c>
      <c r="J61" s="96">
        <v>0</v>
      </c>
      <c r="K61" s="99">
        <f t="shared" si="11"/>
        <v>0</v>
      </c>
      <c r="L61" s="96">
        <v>0</v>
      </c>
      <c r="M61" s="96">
        <v>0</v>
      </c>
      <c r="N61" s="96">
        <v>0</v>
      </c>
      <c r="O61" s="96">
        <v>0</v>
      </c>
      <c r="P61" s="100">
        <v>0</v>
      </c>
      <c r="Q61" s="133">
        <f t="shared" si="12"/>
        <v>20</v>
      </c>
      <c r="R61" s="101">
        <f t="shared" si="13"/>
        <v>0</v>
      </c>
    </row>
    <row r="62" spans="1:18" ht="14.25" customHeight="1" x14ac:dyDescent="0.75">
      <c r="A62" s="93">
        <v>666518</v>
      </c>
      <c r="B62" s="94" t="s">
        <v>26</v>
      </c>
      <c r="C62" s="95" t="s">
        <v>27</v>
      </c>
      <c r="D62" s="96">
        <v>0</v>
      </c>
      <c r="E62" s="97">
        <f t="shared" si="10"/>
        <v>0</v>
      </c>
      <c r="F62" s="96">
        <v>0</v>
      </c>
      <c r="G62" s="96">
        <v>0</v>
      </c>
      <c r="H62" s="96">
        <v>0</v>
      </c>
      <c r="I62" s="96">
        <v>0</v>
      </c>
      <c r="J62" s="96">
        <v>0</v>
      </c>
      <c r="K62" s="99">
        <f t="shared" si="11"/>
        <v>0</v>
      </c>
      <c r="L62" s="96">
        <v>0</v>
      </c>
      <c r="M62" s="96">
        <v>0</v>
      </c>
      <c r="N62" s="96">
        <v>0</v>
      </c>
      <c r="O62" s="96">
        <v>0</v>
      </c>
      <c r="P62" s="100">
        <v>0</v>
      </c>
      <c r="Q62" s="101">
        <f t="shared" si="12"/>
        <v>0</v>
      </c>
      <c r="R62" s="101">
        <f t="shared" si="13"/>
        <v>0</v>
      </c>
    </row>
    <row r="63" spans="1:18" ht="14.25" customHeight="1" x14ac:dyDescent="0.75">
      <c r="A63" s="93">
        <v>666519</v>
      </c>
      <c r="B63" s="94" t="s">
        <v>28</v>
      </c>
      <c r="C63" s="95" t="s">
        <v>29</v>
      </c>
      <c r="D63" s="96">
        <v>33</v>
      </c>
      <c r="E63" s="97">
        <f t="shared" si="10"/>
        <v>16.5</v>
      </c>
      <c r="F63" s="96">
        <v>0</v>
      </c>
      <c r="G63" s="96">
        <v>0</v>
      </c>
      <c r="H63" s="96">
        <v>0</v>
      </c>
      <c r="I63" s="96">
        <v>27</v>
      </c>
      <c r="J63" s="96">
        <v>0</v>
      </c>
      <c r="K63" s="99">
        <f t="shared" si="11"/>
        <v>1.5</v>
      </c>
      <c r="L63" s="96">
        <v>6</v>
      </c>
      <c r="M63" s="96">
        <v>0</v>
      </c>
      <c r="N63" s="96">
        <v>0</v>
      </c>
      <c r="O63" s="96">
        <v>0</v>
      </c>
      <c r="P63" s="100">
        <v>0</v>
      </c>
      <c r="Q63" s="133">
        <f t="shared" si="12"/>
        <v>33</v>
      </c>
      <c r="R63" s="101">
        <f t="shared" si="13"/>
        <v>0</v>
      </c>
    </row>
    <row r="64" spans="1:18" ht="14.25" customHeight="1" x14ac:dyDescent="0.75">
      <c r="A64" s="93">
        <v>666521</v>
      </c>
      <c r="B64" s="94" t="s">
        <v>30</v>
      </c>
      <c r="C64" s="95" t="s">
        <v>31</v>
      </c>
      <c r="D64" s="96">
        <v>0</v>
      </c>
      <c r="E64" s="97">
        <f t="shared" si="10"/>
        <v>0</v>
      </c>
      <c r="F64" s="96">
        <v>0</v>
      </c>
      <c r="G64" s="96">
        <v>0</v>
      </c>
      <c r="H64" s="96">
        <v>0</v>
      </c>
      <c r="I64" s="96">
        <v>0</v>
      </c>
      <c r="J64" s="96">
        <v>0</v>
      </c>
      <c r="K64" s="99">
        <f t="shared" si="11"/>
        <v>0</v>
      </c>
      <c r="L64" s="96">
        <v>0</v>
      </c>
      <c r="M64" s="96">
        <v>0</v>
      </c>
      <c r="N64" s="96">
        <v>0</v>
      </c>
      <c r="O64" s="96">
        <v>0</v>
      </c>
      <c r="P64" s="100">
        <v>0</v>
      </c>
      <c r="Q64" s="101">
        <f t="shared" si="12"/>
        <v>0</v>
      </c>
      <c r="R64" s="101">
        <f t="shared" si="13"/>
        <v>0</v>
      </c>
    </row>
    <row r="65" spans="1:18" ht="14.25" customHeight="1" x14ac:dyDescent="0.75">
      <c r="A65" s="93">
        <v>666522</v>
      </c>
      <c r="B65" s="94" t="s">
        <v>32</v>
      </c>
      <c r="C65" s="95" t="s">
        <v>33</v>
      </c>
      <c r="D65" s="96">
        <v>80</v>
      </c>
      <c r="E65" s="97">
        <f t="shared" si="10"/>
        <v>40</v>
      </c>
      <c r="F65" s="96">
        <v>0</v>
      </c>
      <c r="G65" s="96">
        <v>0</v>
      </c>
      <c r="H65" s="96">
        <v>0</v>
      </c>
      <c r="I65" s="96">
        <v>35</v>
      </c>
      <c r="J65" s="96">
        <v>0</v>
      </c>
      <c r="K65" s="99">
        <f t="shared" si="11"/>
        <v>11.25</v>
      </c>
      <c r="L65" s="96">
        <v>40</v>
      </c>
      <c r="M65" s="96">
        <v>5</v>
      </c>
      <c r="N65" s="96">
        <v>0</v>
      </c>
      <c r="O65" s="96">
        <v>0</v>
      </c>
      <c r="P65" s="100">
        <v>0</v>
      </c>
      <c r="Q65" s="133">
        <f t="shared" si="12"/>
        <v>80</v>
      </c>
      <c r="R65" s="101">
        <f t="shared" si="13"/>
        <v>0</v>
      </c>
    </row>
    <row r="66" spans="1:18" ht="14.25" customHeight="1" x14ac:dyDescent="0.75">
      <c r="A66" s="93">
        <v>666523</v>
      </c>
      <c r="B66" s="94" t="s">
        <v>34</v>
      </c>
      <c r="C66" s="95" t="s">
        <v>35</v>
      </c>
      <c r="D66" s="96">
        <v>10</v>
      </c>
      <c r="E66" s="97">
        <f t="shared" si="10"/>
        <v>5</v>
      </c>
      <c r="F66" s="96">
        <v>0</v>
      </c>
      <c r="G66" s="96">
        <v>0</v>
      </c>
      <c r="H66" s="96">
        <v>0</v>
      </c>
      <c r="I66" s="96">
        <v>10</v>
      </c>
      <c r="J66" s="96">
        <v>0</v>
      </c>
      <c r="K66" s="99">
        <f t="shared" si="11"/>
        <v>0</v>
      </c>
      <c r="L66" s="96">
        <v>0</v>
      </c>
      <c r="M66" s="96">
        <v>0</v>
      </c>
      <c r="N66" s="96">
        <v>0</v>
      </c>
      <c r="O66" s="96">
        <v>0</v>
      </c>
      <c r="P66" s="100">
        <v>0</v>
      </c>
      <c r="Q66" s="133">
        <f t="shared" si="12"/>
        <v>10</v>
      </c>
      <c r="R66" s="101">
        <f t="shared" si="13"/>
        <v>0</v>
      </c>
    </row>
    <row r="67" spans="1:18" ht="14.25" customHeight="1" x14ac:dyDescent="0.75">
      <c r="A67" s="93">
        <v>666530</v>
      </c>
      <c r="B67" s="94" t="s">
        <v>36</v>
      </c>
      <c r="C67" s="95" t="s">
        <v>37</v>
      </c>
      <c r="D67" s="96">
        <v>15</v>
      </c>
      <c r="E67" s="97">
        <f t="shared" si="10"/>
        <v>7.5</v>
      </c>
      <c r="F67" s="96">
        <v>0</v>
      </c>
      <c r="G67" s="96">
        <v>0</v>
      </c>
      <c r="H67" s="96">
        <v>0</v>
      </c>
      <c r="I67" s="96">
        <v>0</v>
      </c>
      <c r="J67" s="96">
        <v>0</v>
      </c>
      <c r="K67" s="99">
        <f t="shared" si="11"/>
        <v>3.75</v>
      </c>
      <c r="L67" s="96">
        <v>15</v>
      </c>
      <c r="M67" s="96">
        <v>0</v>
      </c>
      <c r="N67" s="96">
        <v>0</v>
      </c>
      <c r="O67" s="96">
        <v>0</v>
      </c>
      <c r="P67" s="100">
        <v>0</v>
      </c>
      <c r="Q67" s="133">
        <f t="shared" si="12"/>
        <v>15</v>
      </c>
      <c r="R67" s="101">
        <f t="shared" si="13"/>
        <v>0</v>
      </c>
    </row>
    <row r="68" spans="1:18" ht="14.25" customHeight="1" x14ac:dyDescent="0.75">
      <c r="A68" s="93">
        <v>666531</v>
      </c>
      <c r="B68" s="94" t="s">
        <v>38</v>
      </c>
      <c r="C68" s="95" t="s">
        <v>39</v>
      </c>
      <c r="D68" s="96">
        <v>8</v>
      </c>
      <c r="E68" s="97">
        <f t="shared" si="10"/>
        <v>4</v>
      </c>
      <c r="F68" s="96">
        <v>0</v>
      </c>
      <c r="G68" s="96">
        <v>0</v>
      </c>
      <c r="H68" s="96">
        <v>0</v>
      </c>
      <c r="I68" s="96">
        <v>8</v>
      </c>
      <c r="J68" s="96">
        <v>0</v>
      </c>
      <c r="K68" s="99">
        <f t="shared" si="11"/>
        <v>0</v>
      </c>
      <c r="L68" s="96">
        <v>0</v>
      </c>
      <c r="M68" s="96">
        <v>0</v>
      </c>
      <c r="N68" s="96">
        <v>0</v>
      </c>
      <c r="O68" s="96">
        <v>0</v>
      </c>
      <c r="P68" s="100">
        <v>0</v>
      </c>
      <c r="Q68" s="133">
        <f t="shared" si="12"/>
        <v>8</v>
      </c>
      <c r="R68" s="101">
        <f t="shared" si="13"/>
        <v>0</v>
      </c>
    </row>
    <row r="69" spans="1:18" ht="14.25" customHeight="1" x14ac:dyDescent="0.75">
      <c r="A69" s="93">
        <v>666540</v>
      </c>
      <c r="B69" s="94" t="s">
        <v>40</v>
      </c>
      <c r="C69" s="95" t="s">
        <v>40</v>
      </c>
      <c r="D69" s="96">
        <v>0</v>
      </c>
      <c r="E69" s="97">
        <f t="shared" si="10"/>
        <v>0</v>
      </c>
      <c r="F69" s="96">
        <v>0</v>
      </c>
      <c r="G69" s="96">
        <v>0</v>
      </c>
      <c r="H69" s="96">
        <v>0</v>
      </c>
      <c r="I69" s="96">
        <v>0</v>
      </c>
      <c r="J69" s="96">
        <v>0</v>
      </c>
      <c r="K69" s="99">
        <f t="shared" si="11"/>
        <v>0</v>
      </c>
      <c r="L69" s="96">
        <v>0</v>
      </c>
      <c r="M69" s="96">
        <v>0</v>
      </c>
      <c r="N69" s="96">
        <v>0</v>
      </c>
      <c r="O69" s="96">
        <v>0</v>
      </c>
      <c r="P69" s="100">
        <v>0</v>
      </c>
      <c r="Q69" s="101">
        <f t="shared" si="12"/>
        <v>0</v>
      </c>
      <c r="R69" s="101">
        <f t="shared" si="13"/>
        <v>0</v>
      </c>
    </row>
    <row r="70" spans="1:18" ht="15" customHeight="1" x14ac:dyDescent="0.75">
      <c r="A70" s="93">
        <v>666541</v>
      </c>
      <c r="B70" s="109" t="s">
        <v>41</v>
      </c>
      <c r="C70" s="95" t="s">
        <v>41</v>
      </c>
      <c r="D70" s="96">
        <v>0</v>
      </c>
      <c r="E70" s="97">
        <f t="shared" si="10"/>
        <v>0</v>
      </c>
      <c r="F70" s="96">
        <v>0</v>
      </c>
      <c r="G70" s="96">
        <v>0</v>
      </c>
      <c r="H70" s="96">
        <v>0</v>
      </c>
      <c r="I70" s="96">
        <v>0</v>
      </c>
      <c r="J70" s="96">
        <v>0</v>
      </c>
      <c r="K70" s="99">
        <f t="shared" si="11"/>
        <v>0</v>
      </c>
      <c r="L70" s="96">
        <v>0</v>
      </c>
      <c r="M70" s="96">
        <v>0</v>
      </c>
      <c r="N70" s="96">
        <v>0</v>
      </c>
      <c r="O70" s="96">
        <v>0</v>
      </c>
      <c r="P70" s="100">
        <v>0</v>
      </c>
      <c r="Q70" s="101">
        <f t="shared" si="12"/>
        <v>0</v>
      </c>
      <c r="R70" s="101">
        <f t="shared" si="13"/>
        <v>0</v>
      </c>
    </row>
    <row r="71" spans="1:18" ht="15" customHeight="1" x14ac:dyDescent="0.75">
      <c r="A71" s="108">
        <v>666536</v>
      </c>
      <c r="B71" s="109" t="s">
        <v>42</v>
      </c>
      <c r="C71" s="103" t="s">
        <v>184</v>
      </c>
      <c r="D71" s="104">
        <v>0</v>
      </c>
      <c r="E71" s="111">
        <f t="shared" si="10"/>
        <v>0</v>
      </c>
      <c r="F71" s="104">
        <v>0</v>
      </c>
      <c r="G71" s="104">
        <v>0</v>
      </c>
      <c r="H71" s="104">
        <v>0</v>
      </c>
      <c r="I71" s="104">
        <v>0</v>
      </c>
      <c r="J71" s="104">
        <v>0</v>
      </c>
      <c r="K71" s="106">
        <f t="shared" si="11"/>
        <v>0</v>
      </c>
      <c r="L71" s="96">
        <v>0</v>
      </c>
      <c r="M71" s="96">
        <v>0</v>
      </c>
      <c r="N71" s="96">
        <v>0</v>
      </c>
      <c r="O71" s="96">
        <v>0</v>
      </c>
      <c r="P71" s="100">
        <v>0</v>
      </c>
      <c r="Q71" s="101">
        <f t="shared" si="12"/>
        <v>0</v>
      </c>
      <c r="R71" s="101">
        <f t="shared" si="13"/>
        <v>0</v>
      </c>
    </row>
  </sheetData>
  <mergeCells count="3">
    <mergeCell ref="A1:E1"/>
    <mergeCell ref="A25:E25"/>
    <mergeCell ref="A49:E49"/>
  </mergeCells>
  <conditionalFormatting sqref="F24 H24 J24">
    <cfRule type="expression" dxfId="193" priority="2">
      <formula>#REF!=F24</formula>
    </cfRule>
    <cfRule type="expression" dxfId="192" priority="3">
      <formula>#REF!&lt;F24</formula>
    </cfRule>
    <cfRule type="expression" dxfId="191" priority="4">
      <formula>#REF!&gt;F24</formula>
    </cfRule>
  </conditionalFormatting>
  <conditionalFormatting sqref="Q3">
    <cfRule type="cellIs" dxfId="190" priority="8" operator="equal">
      <formula>$D$3</formula>
    </cfRule>
  </conditionalFormatting>
  <conditionalFormatting sqref="Q5:Q23">
    <cfRule type="cellIs" dxfId="189" priority="7" operator="equal">
      <formula>$D$3</formula>
    </cfRule>
  </conditionalFormatting>
  <conditionalFormatting sqref="Q8">
    <cfRule type="cellIs" dxfId="188" priority="5" operator="lessThan">
      <formula>$D$8</formula>
    </cfRule>
    <cfRule type="cellIs" dxfId="187" priority="6" operator="equal">
      <formula>$D$8</formula>
    </cfRule>
  </conditionalFormatting>
  <pageMargins left="0.7" right="0.7" top="0.75" bottom="0.75" header="0.511811023622047" footer="0.511811023622047"/>
  <pageSetup paperSize="9" scale="145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S26"/>
  <sheetViews>
    <sheetView zoomScaleNormal="100" workbookViewId="0">
      <selection activeCell="M7" sqref="M7"/>
    </sheetView>
  </sheetViews>
  <sheetFormatPr defaultColWidth="8.54296875" defaultRowHeight="14.75" x14ac:dyDescent="0.75"/>
  <cols>
    <col min="2" max="2" width="34.453125" customWidth="1"/>
    <col min="3" max="3" width="6.08984375" customWidth="1"/>
    <col min="4" max="4" width="9.453125" customWidth="1"/>
    <col min="13" max="13" width="8.86328125" style="145" customWidth="1"/>
  </cols>
  <sheetData>
    <row r="1" spans="1:13" ht="14.25" customHeight="1" x14ac:dyDescent="0.75">
      <c r="A1" s="170"/>
      <c r="B1" s="171"/>
      <c r="C1" s="172" t="s">
        <v>174</v>
      </c>
      <c r="D1" s="171"/>
      <c r="E1" s="171"/>
      <c r="F1" s="171"/>
      <c r="G1" s="171"/>
      <c r="H1" s="171"/>
      <c r="I1" s="171"/>
      <c r="J1" s="171"/>
      <c r="K1" s="171"/>
      <c r="L1" s="171"/>
      <c r="M1" s="173"/>
    </row>
    <row r="2" spans="1:13" ht="28.5" customHeight="1" x14ac:dyDescent="0.75">
      <c r="A2" s="174"/>
      <c r="B2" s="175" t="s">
        <v>178</v>
      </c>
      <c r="C2" s="175"/>
      <c r="D2" s="175" t="s">
        <v>144</v>
      </c>
      <c r="E2" s="176" t="s">
        <v>116</v>
      </c>
      <c r="F2" s="176" t="s">
        <v>145</v>
      </c>
      <c r="G2" s="177" t="s">
        <v>119</v>
      </c>
      <c r="H2" s="176" t="s">
        <v>146</v>
      </c>
      <c r="I2" s="175" t="s">
        <v>122</v>
      </c>
      <c r="J2" s="177" t="s">
        <v>147</v>
      </c>
      <c r="K2" s="175" t="s">
        <v>148</v>
      </c>
      <c r="L2" s="176" t="s">
        <v>149</v>
      </c>
      <c r="M2" s="178" t="s">
        <v>185</v>
      </c>
    </row>
    <row r="3" spans="1:13" ht="14.25" customHeight="1" x14ac:dyDescent="0.75">
      <c r="A3" s="179"/>
      <c r="B3" s="180"/>
      <c r="C3" s="181" t="s">
        <v>150</v>
      </c>
      <c r="D3" s="181"/>
      <c r="E3" s="181"/>
      <c r="F3" s="182"/>
      <c r="G3" s="182"/>
      <c r="H3" s="182"/>
      <c r="I3" s="182"/>
      <c r="J3" s="182"/>
      <c r="K3" s="182"/>
      <c r="L3" s="182"/>
      <c r="M3" s="178"/>
    </row>
    <row r="4" spans="1:13" ht="14.25" customHeight="1" x14ac:dyDescent="0.75">
      <c r="A4" s="183" t="s">
        <v>129</v>
      </c>
      <c r="B4" s="184" t="s">
        <v>2</v>
      </c>
      <c r="C4" s="184" t="s">
        <v>3</v>
      </c>
      <c r="D4" s="184"/>
      <c r="E4" s="184"/>
      <c r="F4" s="184"/>
      <c r="G4" s="184"/>
      <c r="H4" s="184"/>
      <c r="I4" s="184"/>
      <c r="J4" s="184"/>
      <c r="K4" s="184"/>
      <c r="L4" s="184"/>
      <c r="M4" s="178"/>
    </row>
    <row r="5" spans="1:13" ht="14.25" customHeight="1" x14ac:dyDescent="0.75">
      <c r="A5" s="183"/>
      <c r="B5" s="184"/>
      <c r="C5" s="184" t="s">
        <v>151</v>
      </c>
      <c r="D5" s="184"/>
      <c r="E5" s="184"/>
      <c r="F5" s="180">
        <v>176</v>
      </c>
      <c r="G5" s="180"/>
      <c r="H5" s="180">
        <v>1238</v>
      </c>
      <c r="I5" s="180"/>
      <c r="J5" s="180">
        <v>134</v>
      </c>
      <c r="K5" s="184" t="s">
        <v>152</v>
      </c>
      <c r="L5" s="184">
        <f>SUM(F5:J5)</f>
        <v>1548</v>
      </c>
      <c r="M5" s="178"/>
    </row>
    <row r="6" spans="1:13" ht="14.25" customHeight="1" x14ac:dyDescent="0.75">
      <c r="A6" s="179">
        <v>666501</v>
      </c>
      <c r="B6" s="185" t="s">
        <v>4</v>
      </c>
      <c r="C6" s="185" t="s">
        <v>5</v>
      </c>
      <c r="D6" s="180">
        <f t="shared" ref="D6:D25" si="0">+K6</f>
        <v>753</v>
      </c>
      <c r="E6" s="180">
        <v>69</v>
      </c>
      <c r="F6" s="180">
        <v>54</v>
      </c>
      <c r="G6" s="180">
        <v>624</v>
      </c>
      <c r="H6" s="180">
        <v>558</v>
      </c>
      <c r="I6" s="180">
        <v>60</v>
      </c>
      <c r="J6" s="180">
        <v>60</v>
      </c>
      <c r="K6" s="180">
        <f t="shared" ref="K6:K26" si="1">+I6+G6+E6</f>
        <v>753</v>
      </c>
      <c r="L6" s="180">
        <f t="shared" ref="L6:L26" si="2">+F6+H6+J6</f>
        <v>672</v>
      </c>
      <c r="M6" s="178">
        <f t="shared" ref="M6:M26" si="3">+K6-L6</f>
        <v>81</v>
      </c>
    </row>
    <row r="7" spans="1:13" ht="14.25" customHeight="1" x14ac:dyDescent="0.75">
      <c r="A7" s="179">
        <v>666502</v>
      </c>
      <c r="B7" s="185" t="s">
        <v>6</v>
      </c>
      <c r="C7" s="185" t="s">
        <v>7</v>
      </c>
      <c r="D7" s="180">
        <f t="shared" si="0"/>
        <v>400</v>
      </c>
      <c r="E7" s="180">
        <v>0</v>
      </c>
      <c r="F7" s="180">
        <v>0</v>
      </c>
      <c r="G7" s="180">
        <v>350</v>
      </c>
      <c r="H7" s="180">
        <v>301</v>
      </c>
      <c r="I7" s="180">
        <v>50</v>
      </c>
      <c r="J7" s="180">
        <v>50</v>
      </c>
      <c r="K7" s="180">
        <f t="shared" si="1"/>
        <v>400</v>
      </c>
      <c r="L7" s="180">
        <f t="shared" si="2"/>
        <v>351</v>
      </c>
      <c r="M7" s="178">
        <f t="shared" si="3"/>
        <v>49</v>
      </c>
    </row>
    <row r="8" spans="1:13" ht="14.25" customHeight="1" x14ac:dyDescent="0.75">
      <c r="A8" s="179">
        <v>666505</v>
      </c>
      <c r="B8" s="185" t="s">
        <v>8</v>
      </c>
      <c r="C8" s="185" t="s">
        <v>9</v>
      </c>
      <c r="D8" s="180">
        <f t="shared" si="0"/>
        <v>64</v>
      </c>
      <c r="E8" s="180">
        <v>20</v>
      </c>
      <c r="F8" s="180">
        <v>20</v>
      </c>
      <c r="G8" s="180">
        <v>0</v>
      </c>
      <c r="H8" s="180">
        <v>0</v>
      </c>
      <c r="I8" s="180">
        <v>44</v>
      </c>
      <c r="J8" s="180">
        <v>44</v>
      </c>
      <c r="K8" s="180">
        <f t="shared" si="1"/>
        <v>64</v>
      </c>
      <c r="L8" s="180">
        <f t="shared" si="2"/>
        <v>64</v>
      </c>
      <c r="M8" s="178">
        <f t="shared" si="3"/>
        <v>0</v>
      </c>
    </row>
    <row r="9" spans="1:13" ht="14.25" customHeight="1" x14ac:dyDescent="0.75">
      <c r="A9" s="179">
        <v>666506</v>
      </c>
      <c r="B9" s="185" t="s">
        <v>10</v>
      </c>
      <c r="C9" s="185" t="s">
        <v>11</v>
      </c>
      <c r="D9" s="180">
        <f t="shared" si="0"/>
        <v>400</v>
      </c>
      <c r="E9" s="180">
        <v>0</v>
      </c>
      <c r="F9" s="180">
        <v>0</v>
      </c>
      <c r="G9" s="180">
        <v>400</v>
      </c>
      <c r="H9" s="180">
        <v>77</v>
      </c>
      <c r="I9" s="180">
        <v>0</v>
      </c>
      <c r="J9" s="180">
        <v>0</v>
      </c>
      <c r="K9" s="180">
        <f t="shared" si="1"/>
        <v>400</v>
      </c>
      <c r="L9" s="180">
        <f t="shared" si="2"/>
        <v>77</v>
      </c>
      <c r="M9" s="178">
        <f t="shared" si="3"/>
        <v>323</v>
      </c>
    </row>
    <row r="10" spans="1:13" ht="14.25" customHeight="1" x14ac:dyDescent="0.75">
      <c r="A10" s="179">
        <v>666507</v>
      </c>
      <c r="B10" s="185" t="s">
        <v>12</v>
      </c>
      <c r="C10" s="185" t="s">
        <v>13</v>
      </c>
      <c r="D10" s="180">
        <f t="shared" si="0"/>
        <v>42</v>
      </c>
      <c r="E10" s="180">
        <v>42</v>
      </c>
      <c r="F10" s="180">
        <v>36</v>
      </c>
      <c r="G10" s="180">
        <v>0</v>
      </c>
      <c r="H10" s="180">
        <v>0</v>
      </c>
      <c r="I10" s="180">
        <v>0</v>
      </c>
      <c r="J10" s="180">
        <v>0</v>
      </c>
      <c r="K10" s="180">
        <f t="shared" si="1"/>
        <v>42</v>
      </c>
      <c r="L10" s="180">
        <f t="shared" si="2"/>
        <v>36</v>
      </c>
      <c r="M10" s="178">
        <f t="shared" si="3"/>
        <v>6</v>
      </c>
    </row>
    <row r="11" spans="1:13" ht="14.25" customHeight="1" x14ac:dyDescent="0.75">
      <c r="A11" s="179">
        <v>666509</v>
      </c>
      <c r="B11" s="185" t="s">
        <v>14</v>
      </c>
      <c r="C11" s="185" t="s">
        <v>15</v>
      </c>
      <c r="D11" s="180">
        <f t="shared" si="0"/>
        <v>100</v>
      </c>
      <c r="E11" s="180">
        <v>100</v>
      </c>
      <c r="F11" s="180">
        <v>100</v>
      </c>
      <c r="G11" s="180">
        <v>0</v>
      </c>
      <c r="H11" s="180">
        <v>0</v>
      </c>
      <c r="I11" s="180">
        <v>0</v>
      </c>
      <c r="J11" s="180">
        <v>0</v>
      </c>
      <c r="K11" s="180">
        <f t="shared" si="1"/>
        <v>100</v>
      </c>
      <c r="L11" s="180">
        <f t="shared" si="2"/>
        <v>100</v>
      </c>
      <c r="M11" s="178">
        <f t="shared" si="3"/>
        <v>0</v>
      </c>
    </row>
    <row r="12" spans="1:13" ht="14.25" customHeight="1" x14ac:dyDescent="0.75">
      <c r="A12" s="179">
        <v>666510</v>
      </c>
      <c r="B12" s="185" t="s">
        <v>16</v>
      </c>
      <c r="C12" s="185" t="s">
        <v>169</v>
      </c>
      <c r="D12" s="180">
        <f t="shared" si="0"/>
        <v>0</v>
      </c>
      <c r="E12" s="180">
        <v>0</v>
      </c>
      <c r="F12" s="180">
        <v>0</v>
      </c>
      <c r="G12" s="180">
        <v>0</v>
      </c>
      <c r="H12" s="180">
        <v>0</v>
      </c>
      <c r="I12" s="180">
        <v>0</v>
      </c>
      <c r="J12" s="180">
        <v>0</v>
      </c>
      <c r="K12" s="180">
        <f t="shared" si="1"/>
        <v>0</v>
      </c>
      <c r="L12" s="180">
        <f t="shared" si="2"/>
        <v>0</v>
      </c>
      <c r="M12" s="178">
        <f t="shared" si="3"/>
        <v>0</v>
      </c>
    </row>
    <row r="13" spans="1:13" ht="14.25" customHeight="1" x14ac:dyDescent="0.75">
      <c r="A13" s="179">
        <v>666511</v>
      </c>
      <c r="B13" s="185" t="s">
        <v>18</v>
      </c>
      <c r="C13" s="185" t="s">
        <v>19</v>
      </c>
      <c r="D13" s="180">
        <f t="shared" si="0"/>
        <v>8</v>
      </c>
      <c r="E13" s="180">
        <v>8</v>
      </c>
      <c r="F13" s="180">
        <v>8</v>
      </c>
      <c r="G13" s="180">
        <v>0</v>
      </c>
      <c r="H13" s="180">
        <v>0</v>
      </c>
      <c r="I13" s="180">
        <v>0</v>
      </c>
      <c r="J13" s="180">
        <v>0</v>
      </c>
      <c r="K13" s="180">
        <f t="shared" si="1"/>
        <v>8</v>
      </c>
      <c r="L13" s="180">
        <f t="shared" si="2"/>
        <v>8</v>
      </c>
      <c r="M13" s="178">
        <f t="shared" si="3"/>
        <v>0</v>
      </c>
    </row>
    <row r="14" spans="1:13" ht="14.25" customHeight="1" x14ac:dyDescent="0.75">
      <c r="A14" s="179">
        <v>666513</v>
      </c>
      <c r="B14" s="185" t="s">
        <v>20</v>
      </c>
      <c r="C14" s="185" t="s">
        <v>21</v>
      </c>
      <c r="D14" s="180">
        <f t="shared" si="0"/>
        <v>0</v>
      </c>
      <c r="E14" s="180">
        <v>0</v>
      </c>
      <c r="F14" s="180">
        <v>0</v>
      </c>
      <c r="G14" s="180">
        <v>0</v>
      </c>
      <c r="H14" s="180">
        <v>0</v>
      </c>
      <c r="I14" s="180">
        <v>0</v>
      </c>
      <c r="J14" s="180">
        <v>0</v>
      </c>
      <c r="K14" s="180">
        <f t="shared" si="1"/>
        <v>0</v>
      </c>
      <c r="L14" s="180">
        <f t="shared" si="2"/>
        <v>0</v>
      </c>
      <c r="M14" s="178">
        <f t="shared" si="3"/>
        <v>0</v>
      </c>
    </row>
    <row r="15" spans="1:13" ht="14.25" customHeight="1" x14ac:dyDescent="0.75">
      <c r="A15" s="179">
        <v>666516</v>
      </c>
      <c r="B15" s="185" t="s">
        <v>22</v>
      </c>
      <c r="C15" s="185" t="s">
        <v>23</v>
      </c>
      <c r="D15" s="180">
        <f t="shared" si="0"/>
        <v>68</v>
      </c>
      <c r="E15" s="180">
        <v>34</v>
      </c>
      <c r="F15" s="180">
        <v>34</v>
      </c>
      <c r="G15" s="180">
        <v>0</v>
      </c>
      <c r="H15" s="180">
        <v>0</v>
      </c>
      <c r="I15" s="180">
        <v>34</v>
      </c>
      <c r="J15" s="180">
        <v>34</v>
      </c>
      <c r="K15" s="180">
        <f t="shared" si="1"/>
        <v>68</v>
      </c>
      <c r="L15" s="180">
        <f t="shared" si="2"/>
        <v>68</v>
      </c>
      <c r="M15" s="178">
        <f t="shared" si="3"/>
        <v>0</v>
      </c>
    </row>
    <row r="16" spans="1:13" ht="14.25" customHeight="1" x14ac:dyDescent="0.75">
      <c r="A16" s="179">
        <v>666517</v>
      </c>
      <c r="B16" s="185" t="s">
        <v>24</v>
      </c>
      <c r="C16" s="185" t="s">
        <v>25</v>
      </c>
      <c r="D16" s="180">
        <f t="shared" si="0"/>
        <v>66</v>
      </c>
      <c r="E16" s="180">
        <v>46</v>
      </c>
      <c r="F16" s="180">
        <v>46</v>
      </c>
      <c r="G16" s="180">
        <v>0</v>
      </c>
      <c r="H16" s="180">
        <v>0</v>
      </c>
      <c r="I16" s="180">
        <v>20</v>
      </c>
      <c r="J16" s="180">
        <v>20</v>
      </c>
      <c r="K16" s="180">
        <f t="shared" si="1"/>
        <v>66</v>
      </c>
      <c r="L16" s="180">
        <f t="shared" si="2"/>
        <v>66</v>
      </c>
      <c r="M16" s="178">
        <f t="shared" si="3"/>
        <v>0</v>
      </c>
    </row>
    <row r="17" spans="1:19" ht="14.25" customHeight="1" x14ac:dyDescent="0.75">
      <c r="A17" s="179">
        <v>666518</v>
      </c>
      <c r="B17" s="185" t="s">
        <v>26</v>
      </c>
      <c r="C17" s="185" t="s">
        <v>27</v>
      </c>
      <c r="D17" s="180">
        <f t="shared" si="0"/>
        <v>0</v>
      </c>
      <c r="E17" s="180">
        <v>0</v>
      </c>
      <c r="F17" s="180">
        <v>0</v>
      </c>
      <c r="G17" s="180">
        <v>0</v>
      </c>
      <c r="H17" s="180">
        <v>0</v>
      </c>
      <c r="I17" s="180">
        <v>0</v>
      </c>
      <c r="J17" s="180">
        <v>0</v>
      </c>
      <c r="K17" s="180">
        <f t="shared" si="1"/>
        <v>0</v>
      </c>
      <c r="L17" s="180">
        <f t="shared" si="2"/>
        <v>0</v>
      </c>
      <c r="M17" s="178">
        <f t="shared" si="3"/>
        <v>0</v>
      </c>
    </row>
    <row r="18" spans="1:19" ht="14.25" customHeight="1" x14ac:dyDescent="0.75">
      <c r="A18" s="179">
        <v>666519</v>
      </c>
      <c r="B18" s="185" t="s">
        <v>28</v>
      </c>
      <c r="C18" s="185" t="s">
        <v>29</v>
      </c>
      <c r="D18" s="180">
        <f t="shared" si="0"/>
        <v>66</v>
      </c>
      <c r="E18" s="180">
        <v>33</v>
      </c>
      <c r="F18" s="180">
        <v>33</v>
      </c>
      <c r="G18" s="180">
        <v>0</v>
      </c>
      <c r="H18" s="180">
        <v>0</v>
      </c>
      <c r="I18" s="180">
        <v>33</v>
      </c>
      <c r="J18" s="180">
        <v>33</v>
      </c>
      <c r="K18" s="180">
        <f t="shared" si="1"/>
        <v>66</v>
      </c>
      <c r="L18" s="180">
        <f t="shared" si="2"/>
        <v>66</v>
      </c>
      <c r="M18" s="178">
        <f t="shared" si="3"/>
        <v>0</v>
      </c>
    </row>
    <row r="19" spans="1:19" ht="14.25" customHeight="1" x14ac:dyDescent="0.75">
      <c r="A19" s="179">
        <v>666521</v>
      </c>
      <c r="B19" s="185" t="s">
        <v>30</v>
      </c>
      <c r="C19" s="185" t="s">
        <v>31</v>
      </c>
      <c r="D19" s="180">
        <f t="shared" si="0"/>
        <v>52</v>
      </c>
      <c r="E19" s="180">
        <v>52</v>
      </c>
      <c r="F19" s="180">
        <v>33</v>
      </c>
      <c r="G19" s="180">
        <v>0</v>
      </c>
      <c r="H19" s="180">
        <v>0</v>
      </c>
      <c r="I19" s="180">
        <v>0</v>
      </c>
      <c r="J19" s="180">
        <v>0</v>
      </c>
      <c r="K19" s="180">
        <f t="shared" si="1"/>
        <v>52</v>
      </c>
      <c r="L19" s="180">
        <f t="shared" si="2"/>
        <v>33</v>
      </c>
      <c r="M19" s="178">
        <f t="shared" si="3"/>
        <v>19</v>
      </c>
    </row>
    <row r="20" spans="1:19" ht="14.25" customHeight="1" x14ac:dyDescent="0.75">
      <c r="A20" s="179">
        <v>666522</v>
      </c>
      <c r="B20" s="185" t="s">
        <v>32</v>
      </c>
      <c r="C20" s="185" t="s">
        <v>33</v>
      </c>
      <c r="D20" s="180">
        <f t="shared" si="0"/>
        <v>400</v>
      </c>
      <c r="E20" s="180">
        <v>130</v>
      </c>
      <c r="F20" s="180">
        <v>130</v>
      </c>
      <c r="G20" s="180">
        <v>190</v>
      </c>
      <c r="H20" s="180">
        <v>190</v>
      </c>
      <c r="I20" s="180">
        <v>80</v>
      </c>
      <c r="J20" s="180">
        <v>80</v>
      </c>
      <c r="K20" s="180">
        <f t="shared" si="1"/>
        <v>400</v>
      </c>
      <c r="L20" s="180">
        <f t="shared" si="2"/>
        <v>400</v>
      </c>
      <c r="M20" s="178">
        <f t="shared" si="3"/>
        <v>0</v>
      </c>
    </row>
    <row r="21" spans="1:19" ht="14.25" customHeight="1" x14ac:dyDescent="0.75">
      <c r="A21" s="179">
        <v>666523</v>
      </c>
      <c r="B21" s="185" t="s">
        <v>34</v>
      </c>
      <c r="C21" s="185" t="s">
        <v>35</v>
      </c>
      <c r="D21" s="180">
        <f t="shared" si="0"/>
        <v>50</v>
      </c>
      <c r="E21" s="180">
        <v>0</v>
      </c>
      <c r="F21" s="180">
        <v>0</v>
      </c>
      <c r="G21" s="180">
        <v>40</v>
      </c>
      <c r="H21" s="180">
        <v>40</v>
      </c>
      <c r="I21" s="180">
        <v>10</v>
      </c>
      <c r="J21" s="180">
        <v>10</v>
      </c>
      <c r="K21" s="180">
        <f t="shared" si="1"/>
        <v>50</v>
      </c>
      <c r="L21" s="180">
        <f t="shared" si="2"/>
        <v>50</v>
      </c>
      <c r="M21" s="178">
        <f t="shared" si="3"/>
        <v>0</v>
      </c>
    </row>
    <row r="22" spans="1:19" ht="14.25" customHeight="1" x14ac:dyDescent="0.75">
      <c r="A22" s="179">
        <v>666530</v>
      </c>
      <c r="B22" s="185" t="s">
        <v>36</v>
      </c>
      <c r="C22" s="185" t="s">
        <v>37</v>
      </c>
      <c r="D22" s="180">
        <f t="shared" si="0"/>
        <v>20</v>
      </c>
      <c r="E22" s="180">
        <v>5</v>
      </c>
      <c r="F22" s="180">
        <v>5</v>
      </c>
      <c r="G22" s="180">
        <v>0</v>
      </c>
      <c r="H22" s="180">
        <v>0</v>
      </c>
      <c r="I22" s="180">
        <v>15</v>
      </c>
      <c r="J22" s="180">
        <v>15</v>
      </c>
      <c r="K22" s="180">
        <f t="shared" si="1"/>
        <v>20</v>
      </c>
      <c r="L22" s="180">
        <f t="shared" si="2"/>
        <v>20</v>
      </c>
      <c r="M22" s="178">
        <f t="shared" si="3"/>
        <v>0</v>
      </c>
    </row>
    <row r="23" spans="1:19" ht="14.25" customHeight="1" x14ac:dyDescent="0.75">
      <c r="A23" s="179">
        <v>666531</v>
      </c>
      <c r="B23" s="185" t="s">
        <v>38</v>
      </c>
      <c r="C23" s="185" t="s">
        <v>39</v>
      </c>
      <c r="D23" s="180">
        <f t="shared" si="0"/>
        <v>26</v>
      </c>
      <c r="E23" s="180">
        <v>18</v>
      </c>
      <c r="F23" s="180">
        <v>18</v>
      </c>
      <c r="G23" s="180">
        <v>0</v>
      </c>
      <c r="H23" s="180">
        <v>0</v>
      </c>
      <c r="I23" s="180">
        <v>8</v>
      </c>
      <c r="J23" s="180">
        <v>8</v>
      </c>
      <c r="K23" s="180">
        <f t="shared" si="1"/>
        <v>26</v>
      </c>
      <c r="L23" s="180">
        <f t="shared" si="2"/>
        <v>26</v>
      </c>
      <c r="M23" s="178">
        <f t="shared" si="3"/>
        <v>0</v>
      </c>
    </row>
    <row r="24" spans="1:19" ht="14.25" customHeight="1" x14ac:dyDescent="0.75">
      <c r="A24" s="179">
        <v>666540</v>
      </c>
      <c r="B24" s="185" t="s">
        <v>40</v>
      </c>
      <c r="C24" s="185" t="s">
        <v>40</v>
      </c>
      <c r="D24" s="180">
        <f t="shared" si="0"/>
        <v>120</v>
      </c>
      <c r="E24" s="180">
        <v>0</v>
      </c>
      <c r="F24" s="180">
        <v>0</v>
      </c>
      <c r="G24" s="180">
        <v>120</v>
      </c>
      <c r="H24" s="180">
        <v>0</v>
      </c>
      <c r="I24" s="180">
        <v>0</v>
      </c>
      <c r="J24" s="180">
        <v>0</v>
      </c>
      <c r="K24" s="180">
        <f t="shared" si="1"/>
        <v>120</v>
      </c>
      <c r="L24" s="180">
        <f t="shared" si="2"/>
        <v>0</v>
      </c>
      <c r="M24" s="178">
        <f t="shared" si="3"/>
        <v>120</v>
      </c>
    </row>
    <row r="25" spans="1:19" ht="14.25" customHeight="1" x14ac:dyDescent="0.75">
      <c r="A25" s="179">
        <v>666541</v>
      </c>
      <c r="B25" s="185" t="s">
        <v>41</v>
      </c>
      <c r="C25" s="185" t="s">
        <v>41</v>
      </c>
      <c r="D25" s="180">
        <f t="shared" si="0"/>
        <v>600</v>
      </c>
      <c r="E25" s="180">
        <v>0</v>
      </c>
      <c r="F25" s="180">
        <v>0</v>
      </c>
      <c r="G25" s="180">
        <v>600</v>
      </c>
      <c r="H25" s="180">
        <v>573</v>
      </c>
      <c r="I25" s="180">
        <v>0</v>
      </c>
      <c r="J25" s="180">
        <v>0</v>
      </c>
      <c r="K25" s="180">
        <f t="shared" si="1"/>
        <v>600</v>
      </c>
      <c r="L25" s="180">
        <f t="shared" si="2"/>
        <v>573</v>
      </c>
      <c r="M25" s="178">
        <f t="shared" si="3"/>
        <v>27</v>
      </c>
    </row>
    <row r="26" spans="1:19" s="74" customFormat="1" ht="15" customHeight="1" x14ac:dyDescent="0.75">
      <c r="A26" s="186">
        <v>666536</v>
      </c>
      <c r="B26" s="187" t="s">
        <v>42</v>
      </c>
      <c r="C26" s="187" t="s">
        <v>43</v>
      </c>
      <c r="D26" s="187"/>
      <c r="E26" s="188">
        <v>30</v>
      </c>
      <c r="F26" s="188">
        <v>7</v>
      </c>
      <c r="G26" s="188">
        <v>0</v>
      </c>
      <c r="H26" s="188">
        <v>0</v>
      </c>
      <c r="I26" s="188">
        <v>0</v>
      </c>
      <c r="J26" s="188">
        <v>0</v>
      </c>
      <c r="K26" s="188">
        <f t="shared" si="1"/>
        <v>30</v>
      </c>
      <c r="L26" s="188">
        <f t="shared" si="2"/>
        <v>7</v>
      </c>
      <c r="M26" s="189">
        <f t="shared" si="3"/>
        <v>23</v>
      </c>
      <c r="S26" s="74">
        <v>2</v>
      </c>
    </row>
  </sheetData>
  <conditionalFormatting sqref="K6:K26">
    <cfRule type="cellIs" dxfId="186" priority="2" operator="equal">
      <formula>0</formula>
    </cfRule>
  </conditionalFormatting>
  <conditionalFormatting sqref="L6:L26">
    <cfRule type="expression" dxfId="185" priority="3">
      <formula>K6=L6</formula>
    </cfRule>
    <cfRule type="expression" dxfId="184" priority="4">
      <formula>K6&lt;L6</formula>
    </cfRule>
    <cfRule type="expression" dxfId="183" priority="5">
      <formula>K6&gt;L6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A51"/>
  <sheetViews>
    <sheetView topLeftCell="B1" zoomScaleNormal="100" workbookViewId="0">
      <selection activeCell="K31" sqref="K31"/>
    </sheetView>
  </sheetViews>
  <sheetFormatPr defaultColWidth="8.6796875" defaultRowHeight="14.75" x14ac:dyDescent="0.75"/>
  <cols>
    <col min="1" max="1" width="8.6796875" style="50"/>
    <col min="2" max="2" width="41.54296875" style="50" customWidth="1"/>
    <col min="3" max="3" width="22.6796875" style="50" customWidth="1"/>
    <col min="4" max="4" width="9.54296875" style="50" hidden="1" customWidth="1"/>
    <col min="5" max="6" width="8.6796875" style="50"/>
    <col min="7" max="7" width="7.31640625" style="50" customWidth="1"/>
    <col min="8" max="8" width="8.453125" style="50" customWidth="1"/>
    <col min="9" max="9" width="7.453125" style="50" customWidth="1"/>
    <col min="10" max="10" width="8.08984375" style="50" customWidth="1"/>
    <col min="11" max="11" width="7.31640625" style="50" customWidth="1"/>
    <col min="12" max="16384" width="8.6796875" style="50"/>
  </cols>
  <sheetData>
    <row r="1" spans="1:27" s="51" customFormat="1" ht="28.5" customHeight="1" x14ac:dyDescent="0.75">
      <c r="C1" s="51" t="s">
        <v>175</v>
      </c>
      <c r="D1" s="51" t="s">
        <v>144</v>
      </c>
      <c r="E1" s="52" t="s">
        <v>116</v>
      </c>
      <c r="F1" s="53" t="s">
        <v>145</v>
      </c>
      <c r="G1" s="54" t="s">
        <v>119</v>
      </c>
      <c r="H1" s="53" t="s">
        <v>146</v>
      </c>
      <c r="I1" s="153" t="s">
        <v>122</v>
      </c>
      <c r="J1" s="56" t="s">
        <v>147</v>
      </c>
      <c r="K1" s="51" t="s">
        <v>148</v>
      </c>
      <c r="L1" s="53" t="s">
        <v>149</v>
      </c>
      <c r="M1" s="51" t="s">
        <v>56</v>
      </c>
      <c r="N1" s="51" t="s">
        <v>58</v>
      </c>
      <c r="O1" s="51" t="s">
        <v>66</v>
      </c>
      <c r="P1" s="51" t="s">
        <v>56</v>
      </c>
      <c r="Q1" s="51" t="s">
        <v>58</v>
      </c>
      <c r="R1" s="51" t="s">
        <v>66</v>
      </c>
      <c r="S1" s="51" t="s">
        <v>56</v>
      </c>
      <c r="T1" s="51" t="s">
        <v>58</v>
      </c>
      <c r="U1" s="51" t="s">
        <v>66</v>
      </c>
      <c r="V1" s="51" t="s">
        <v>56</v>
      </c>
      <c r="W1" s="51" t="s">
        <v>58</v>
      </c>
      <c r="X1" s="51" t="s">
        <v>66</v>
      </c>
      <c r="Y1" s="51" t="s">
        <v>56</v>
      </c>
      <c r="Z1" s="51" t="s">
        <v>58</v>
      </c>
      <c r="AA1" s="51" t="s">
        <v>66</v>
      </c>
    </row>
    <row r="2" spans="1:27" ht="14.25" customHeight="1" x14ac:dyDescent="0.75">
      <c r="C2" s="57" t="s">
        <v>150</v>
      </c>
      <c r="D2" s="57"/>
      <c r="E2" s="58"/>
      <c r="F2" s="59"/>
      <c r="G2" s="60"/>
      <c r="H2" s="59"/>
      <c r="I2" s="78"/>
      <c r="J2" s="59"/>
      <c r="K2" s="59"/>
      <c r="L2" s="59"/>
      <c r="M2" s="59" t="s">
        <v>57</v>
      </c>
      <c r="N2" s="59" t="s">
        <v>65</v>
      </c>
      <c r="O2" s="59" t="s">
        <v>55</v>
      </c>
      <c r="P2" s="59" t="s">
        <v>57</v>
      </c>
      <c r="Q2" s="59" t="s">
        <v>65</v>
      </c>
      <c r="R2" s="59" t="s">
        <v>55</v>
      </c>
      <c r="S2" s="59" t="s">
        <v>57</v>
      </c>
      <c r="T2" s="59" t="s">
        <v>65</v>
      </c>
      <c r="U2" s="59" t="s">
        <v>55</v>
      </c>
      <c r="V2" s="59" t="s">
        <v>57</v>
      </c>
      <c r="W2" s="59" t="s">
        <v>65</v>
      </c>
      <c r="X2" s="59" t="s">
        <v>55</v>
      </c>
      <c r="Y2" s="59" t="s">
        <v>57</v>
      </c>
      <c r="Z2" s="59" t="s">
        <v>65</v>
      </c>
      <c r="AA2" s="59" t="s">
        <v>55</v>
      </c>
    </row>
    <row r="3" spans="1:27" ht="14.25" customHeight="1" x14ac:dyDescent="0.75">
      <c r="A3" s="62" t="s">
        <v>129</v>
      </c>
      <c r="B3" s="62" t="s">
        <v>2</v>
      </c>
      <c r="C3" s="62" t="s">
        <v>3</v>
      </c>
      <c r="D3" s="62"/>
      <c r="E3" s="58"/>
      <c r="F3" s="62"/>
      <c r="G3" s="63"/>
      <c r="H3" s="62"/>
      <c r="I3" s="154"/>
      <c r="J3" s="62"/>
      <c r="K3" s="62"/>
      <c r="L3" s="62"/>
      <c r="M3" s="62" t="s">
        <v>54</v>
      </c>
      <c r="N3" s="62" t="s">
        <v>54</v>
      </c>
      <c r="O3" s="62" t="s">
        <v>54</v>
      </c>
      <c r="P3" s="62" t="s">
        <v>59</v>
      </c>
      <c r="Q3" s="62" t="s">
        <v>59</v>
      </c>
      <c r="R3" s="62" t="s">
        <v>59</v>
      </c>
      <c r="S3" s="62" t="s">
        <v>60</v>
      </c>
      <c r="T3" s="62" t="s">
        <v>60</v>
      </c>
      <c r="U3" s="62" t="s">
        <v>60</v>
      </c>
      <c r="V3" s="62" t="s">
        <v>62</v>
      </c>
      <c r="W3" s="62" t="s">
        <v>62</v>
      </c>
      <c r="X3" s="62" t="s">
        <v>62</v>
      </c>
      <c r="Y3" s="62" t="s">
        <v>63</v>
      </c>
      <c r="Z3" s="62" t="s">
        <v>63</v>
      </c>
      <c r="AA3" s="62" t="s">
        <v>63</v>
      </c>
    </row>
    <row r="4" spans="1:27" ht="14.25" customHeight="1" x14ac:dyDescent="0.75">
      <c r="A4" s="62"/>
      <c r="B4" s="62"/>
      <c r="C4" s="62" t="s">
        <v>151</v>
      </c>
      <c r="D4" s="62"/>
      <c r="E4" s="58"/>
      <c r="F4" s="50">
        <f t="shared" ref="F4:F25" si="0">+M4+P4+S4+V4+Y4</f>
        <v>69</v>
      </c>
      <c r="G4" s="63"/>
      <c r="H4" s="50">
        <f t="shared" ref="H4:H25" si="1">+N4+Q4+T4+W4+Z4</f>
        <v>380</v>
      </c>
      <c r="I4" s="154"/>
      <c r="J4" s="50">
        <f t="shared" ref="J4:J25" si="2">+O4+R4+U4+X4+AA4</f>
        <v>32</v>
      </c>
      <c r="K4" s="62"/>
      <c r="L4" s="62"/>
      <c r="M4" s="62">
        <v>36</v>
      </c>
      <c r="N4" s="62">
        <v>135</v>
      </c>
      <c r="O4" s="62"/>
      <c r="Q4" s="62">
        <v>165</v>
      </c>
      <c r="R4" s="62">
        <v>32</v>
      </c>
      <c r="S4" s="62">
        <v>33</v>
      </c>
      <c r="T4" s="62">
        <v>80</v>
      </c>
      <c r="U4" s="62"/>
      <c r="V4" s="62"/>
      <c r="W4" s="62"/>
      <c r="X4" s="62"/>
      <c r="Y4" s="62"/>
      <c r="Z4" s="62"/>
      <c r="AA4" s="62"/>
    </row>
    <row r="5" spans="1:27" ht="14.25" customHeight="1" x14ac:dyDescent="0.75">
      <c r="A5" s="50">
        <v>666501</v>
      </c>
      <c r="B5" s="50" t="s">
        <v>4</v>
      </c>
      <c r="C5" s="50" t="s">
        <v>5</v>
      </c>
      <c r="E5" s="67">
        <v>69</v>
      </c>
      <c r="F5" s="165">
        <f t="shared" si="0"/>
        <v>30</v>
      </c>
      <c r="G5" s="60">
        <v>624</v>
      </c>
      <c r="H5" s="50">
        <f t="shared" si="1"/>
        <v>309</v>
      </c>
      <c r="I5" s="78">
        <v>60</v>
      </c>
      <c r="J5" s="50">
        <f t="shared" si="2"/>
        <v>48</v>
      </c>
      <c r="K5" s="50">
        <f t="shared" ref="K5:K25" si="3">+E5+G5+I5</f>
        <v>753</v>
      </c>
      <c r="L5" s="50">
        <f t="shared" ref="L5:L25" si="4">+F5+H5+J5</f>
        <v>387</v>
      </c>
      <c r="M5" s="50">
        <v>6</v>
      </c>
      <c r="Q5" s="50">
        <v>135</v>
      </c>
      <c r="R5" s="50">
        <v>24</v>
      </c>
      <c r="S5" s="50">
        <v>6</v>
      </c>
      <c r="T5" s="50">
        <v>57</v>
      </c>
      <c r="V5" s="50">
        <v>9</v>
      </c>
      <c r="W5" s="50">
        <v>51</v>
      </c>
      <c r="X5" s="50">
        <v>24</v>
      </c>
      <c r="Y5" s="50">
        <v>9</v>
      </c>
      <c r="Z5" s="50">
        <v>66</v>
      </c>
    </row>
    <row r="6" spans="1:27" ht="14.25" customHeight="1" x14ac:dyDescent="0.75">
      <c r="A6" s="50">
        <v>666502</v>
      </c>
      <c r="B6" s="50" t="s">
        <v>6</v>
      </c>
      <c r="C6" s="50" t="s">
        <v>7</v>
      </c>
      <c r="E6" s="67"/>
      <c r="F6" s="50">
        <f t="shared" si="0"/>
        <v>0</v>
      </c>
      <c r="G6" s="60">
        <v>350</v>
      </c>
      <c r="H6" s="50">
        <f t="shared" si="1"/>
        <v>124</v>
      </c>
      <c r="I6" s="78">
        <v>50</v>
      </c>
      <c r="J6" s="50">
        <f t="shared" si="2"/>
        <v>0</v>
      </c>
      <c r="K6" s="50">
        <f t="shared" si="3"/>
        <v>400</v>
      </c>
      <c r="L6" s="50">
        <f t="shared" si="4"/>
        <v>124</v>
      </c>
      <c r="N6" s="50">
        <v>50</v>
      </c>
      <c r="Q6" s="50">
        <v>34</v>
      </c>
      <c r="T6" s="50">
        <v>20</v>
      </c>
      <c r="Z6" s="50">
        <v>20</v>
      </c>
    </row>
    <row r="7" spans="1:27" ht="14.25" customHeight="1" x14ac:dyDescent="0.75">
      <c r="A7" s="50">
        <v>666505</v>
      </c>
      <c r="B7" s="50" t="s">
        <v>8</v>
      </c>
      <c r="C7" s="50" t="s">
        <v>9</v>
      </c>
      <c r="E7" s="67">
        <v>20</v>
      </c>
      <c r="F7" s="70">
        <f t="shared" si="0"/>
        <v>20</v>
      </c>
      <c r="G7" s="60"/>
      <c r="H7" s="50">
        <f t="shared" si="1"/>
        <v>0</v>
      </c>
      <c r="I7" s="78">
        <v>44</v>
      </c>
      <c r="J7" s="70">
        <f t="shared" si="2"/>
        <v>44</v>
      </c>
      <c r="K7" s="50">
        <f t="shared" si="3"/>
        <v>64</v>
      </c>
      <c r="L7" s="50">
        <f t="shared" si="4"/>
        <v>64</v>
      </c>
      <c r="M7" s="50">
        <v>18</v>
      </c>
      <c r="R7" s="50">
        <v>44</v>
      </c>
      <c r="S7" s="50">
        <v>2</v>
      </c>
    </row>
    <row r="8" spans="1:27" ht="14.25" customHeight="1" x14ac:dyDescent="0.75">
      <c r="A8" s="50">
        <v>666506</v>
      </c>
      <c r="B8" s="50" t="s">
        <v>10</v>
      </c>
      <c r="C8" s="50" t="s">
        <v>11</v>
      </c>
      <c r="E8" s="67"/>
      <c r="F8" s="165">
        <f t="shared" si="0"/>
        <v>0</v>
      </c>
      <c r="G8" s="60">
        <v>400</v>
      </c>
      <c r="H8" s="50">
        <f t="shared" si="1"/>
        <v>14</v>
      </c>
      <c r="I8" s="78"/>
      <c r="J8" s="50">
        <f t="shared" si="2"/>
        <v>0</v>
      </c>
      <c r="K8" s="50">
        <f t="shared" si="3"/>
        <v>400</v>
      </c>
      <c r="L8" s="50">
        <f t="shared" si="4"/>
        <v>14</v>
      </c>
      <c r="Q8" s="50">
        <v>14</v>
      </c>
    </row>
    <row r="9" spans="1:27" ht="14.25" customHeight="1" x14ac:dyDescent="0.75">
      <c r="A9" s="50">
        <v>666507</v>
      </c>
      <c r="B9" s="50" t="s">
        <v>12</v>
      </c>
      <c r="C9" s="50" t="s">
        <v>13</v>
      </c>
      <c r="E9" s="67">
        <v>42</v>
      </c>
      <c r="F9" s="165">
        <f t="shared" si="0"/>
        <v>16</v>
      </c>
      <c r="G9" s="60"/>
      <c r="H9" s="50">
        <f t="shared" si="1"/>
        <v>0</v>
      </c>
      <c r="I9" s="78"/>
      <c r="J9" s="50">
        <f t="shared" si="2"/>
        <v>0</v>
      </c>
      <c r="K9" s="50">
        <f t="shared" si="3"/>
        <v>42</v>
      </c>
      <c r="L9" s="50">
        <f t="shared" si="4"/>
        <v>16</v>
      </c>
      <c r="M9" s="50">
        <v>4</v>
      </c>
      <c r="S9" s="50">
        <v>4</v>
      </c>
      <c r="V9" s="50">
        <v>4</v>
      </c>
      <c r="Y9" s="50">
        <v>4</v>
      </c>
    </row>
    <row r="10" spans="1:27" ht="14.25" customHeight="1" x14ac:dyDescent="0.75">
      <c r="A10" s="50">
        <v>666509</v>
      </c>
      <c r="B10" s="50" t="s">
        <v>14</v>
      </c>
      <c r="C10" s="50" t="s">
        <v>15</v>
      </c>
      <c r="E10" s="67">
        <v>100</v>
      </c>
      <c r="F10" s="165">
        <f t="shared" si="0"/>
        <v>66</v>
      </c>
      <c r="G10" s="60"/>
      <c r="H10" s="50">
        <f t="shared" si="1"/>
        <v>0</v>
      </c>
      <c r="I10" s="78"/>
      <c r="J10" s="50">
        <f t="shared" si="2"/>
        <v>0</v>
      </c>
      <c r="K10" s="50">
        <f t="shared" si="3"/>
        <v>100</v>
      </c>
      <c r="L10" s="50">
        <f t="shared" si="4"/>
        <v>66</v>
      </c>
      <c r="M10" s="50">
        <v>14</v>
      </c>
      <c r="S10" s="50">
        <v>18</v>
      </c>
      <c r="V10" s="50">
        <v>11</v>
      </c>
      <c r="Y10" s="50">
        <v>23</v>
      </c>
    </row>
    <row r="11" spans="1:27" ht="14.25" customHeight="1" x14ac:dyDescent="0.75">
      <c r="A11" s="50">
        <v>666510</v>
      </c>
      <c r="B11" s="50" t="s">
        <v>16</v>
      </c>
      <c r="C11" s="50" t="s">
        <v>17</v>
      </c>
      <c r="E11" s="67"/>
      <c r="F11" s="165">
        <f t="shared" si="0"/>
        <v>0</v>
      </c>
      <c r="G11" s="60"/>
      <c r="H11" s="50">
        <f t="shared" si="1"/>
        <v>0</v>
      </c>
      <c r="I11" s="78"/>
      <c r="J11" s="50">
        <f t="shared" si="2"/>
        <v>0</v>
      </c>
      <c r="K11" s="50">
        <f t="shared" si="3"/>
        <v>0</v>
      </c>
      <c r="L11" s="50">
        <f t="shared" si="4"/>
        <v>0</v>
      </c>
    </row>
    <row r="12" spans="1:27" ht="14.25" customHeight="1" x14ac:dyDescent="0.75">
      <c r="A12" s="50">
        <v>666511</v>
      </c>
      <c r="B12" s="50" t="s">
        <v>18</v>
      </c>
      <c r="C12" s="50" t="s">
        <v>19</v>
      </c>
      <c r="E12" s="67">
        <v>8</v>
      </c>
      <c r="F12" s="165">
        <f t="shared" si="0"/>
        <v>0</v>
      </c>
      <c r="G12" s="60"/>
      <c r="H12" s="50">
        <f t="shared" si="1"/>
        <v>0</v>
      </c>
      <c r="I12" s="78"/>
      <c r="J12" s="50">
        <f t="shared" si="2"/>
        <v>0</v>
      </c>
      <c r="K12" s="50">
        <f t="shared" si="3"/>
        <v>8</v>
      </c>
      <c r="L12" s="50">
        <f t="shared" si="4"/>
        <v>0</v>
      </c>
    </row>
    <row r="13" spans="1:27" ht="14.25" customHeight="1" x14ac:dyDescent="0.75">
      <c r="A13" s="50">
        <v>666513</v>
      </c>
      <c r="B13" s="50" t="s">
        <v>20</v>
      </c>
      <c r="C13" s="50" t="s">
        <v>21</v>
      </c>
      <c r="E13" s="67"/>
      <c r="F13" s="165">
        <f t="shared" si="0"/>
        <v>0</v>
      </c>
      <c r="G13" s="60"/>
      <c r="H13" s="50">
        <f t="shared" si="1"/>
        <v>0</v>
      </c>
      <c r="I13" s="78"/>
      <c r="J13" s="50">
        <f t="shared" si="2"/>
        <v>0</v>
      </c>
      <c r="K13" s="50">
        <f t="shared" si="3"/>
        <v>0</v>
      </c>
      <c r="L13" s="50">
        <f t="shared" si="4"/>
        <v>0</v>
      </c>
    </row>
    <row r="14" spans="1:27" ht="14.25" customHeight="1" x14ac:dyDescent="0.75">
      <c r="A14" s="50">
        <v>666516</v>
      </c>
      <c r="B14" s="50" t="s">
        <v>22</v>
      </c>
      <c r="C14" s="50" t="s">
        <v>23</v>
      </c>
      <c r="E14" s="67">
        <v>34</v>
      </c>
      <c r="F14" s="165">
        <f t="shared" si="0"/>
        <v>34</v>
      </c>
      <c r="G14" s="60"/>
      <c r="H14" s="50">
        <f t="shared" si="1"/>
        <v>0</v>
      </c>
      <c r="I14" s="78">
        <v>34</v>
      </c>
      <c r="J14" s="70">
        <f t="shared" si="2"/>
        <v>34</v>
      </c>
      <c r="K14" s="50">
        <f t="shared" si="3"/>
        <v>68</v>
      </c>
      <c r="L14" s="50">
        <f t="shared" si="4"/>
        <v>68</v>
      </c>
      <c r="M14" s="50">
        <v>6</v>
      </c>
      <c r="R14" s="50">
        <v>32</v>
      </c>
      <c r="S14" s="50">
        <v>11</v>
      </c>
      <c r="V14" s="50">
        <v>9</v>
      </c>
      <c r="X14" s="50">
        <v>2</v>
      </c>
      <c r="Y14" s="50">
        <v>8</v>
      </c>
    </row>
    <row r="15" spans="1:27" ht="14.25" customHeight="1" x14ac:dyDescent="0.75">
      <c r="A15" s="50">
        <v>666517</v>
      </c>
      <c r="B15" s="50" t="s">
        <v>24</v>
      </c>
      <c r="C15" s="50" t="s">
        <v>25</v>
      </c>
      <c r="E15" s="67">
        <v>46</v>
      </c>
      <c r="F15" s="165">
        <f t="shared" si="0"/>
        <v>37</v>
      </c>
      <c r="G15" s="60"/>
      <c r="H15" s="50">
        <f t="shared" si="1"/>
        <v>0</v>
      </c>
      <c r="I15" s="78">
        <v>20</v>
      </c>
      <c r="J15" s="70">
        <f t="shared" si="2"/>
        <v>20</v>
      </c>
      <c r="K15" s="50">
        <f t="shared" si="3"/>
        <v>66</v>
      </c>
      <c r="L15" s="50">
        <f t="shared" si="4"/>
        <v>57</v>
      </c>
      <c r="M15" s="50">
        <v>7</v>
      </c>
      <c r="R15" s="50">
        <v>20</v>
      </c>
      <c r="S15" s="50">
        <v>11</v>
      </c>
      <c r="V15" s="50">
        <v>9</v>
      </c>
      <c r="Y15" s="50">
        <v>10</v>
      </c>
    </row>
    <row r="16" spans="1:27" ht="14.25" customHeight="1" x14ac:dyDescent="0.75">
      <c r="A16" s="50">
        <v>666518</v>
      </c>
      <c r="B16" s="50" t="s">
        <v>26</v>
      </c>
      <c r="C16" s="50" t="s">
        <v>27</v>
      </c>
      <c r="E16" s="67"/>
      <c r="F16" s="165">
        <f t="shared" si="0"/>
        <v>0</v>
      </c>
      <c r="G16" s="60"/>
      <c r="H16" s="50">
        <f t="shared" si="1"/>
        <v>0</v>
      </c>
      <c r="I16" s="78"/>
      <c r="J16" s="165">
        <f t="shared" si="2"/>
        <v>0</v>
      </c>
      <c r="K16" s="50">
        <f t="shared" si="3"/>
        <v>0</v>
      </c>
      <c r="L16" s="50">
        <f t="shared" si="4"/>
        <v>0</v>
      </c>
    </row>
    <row r="17" spans="1:26" ht="14.25" customHeight="1" x14ac:dyDescent="0.75">
      <c r="A17" s="50">
        <v>666519</v>
      </c>
      <c r="B17" s="50" t="s">
        <v>28</v>
      </c>
      <c r="C17" s="50" t="s">
        <v>29</v>
      </c>
      <c r="E17" s="67">
        <v>33</v>
      </c>
      <c r="F17" s="165">
        <f t="shared" si="0"/>
        <v>33</v>
      </c>
      <c r="G17" s="60"/>
      <c r="H17" s="50">
        <f t="shared" si="1"/>
        <v>0</v>
      </c>
      <c r="I17" s="78">
        <v>33</v>
      </c>
      <c r="J17" s="70">
        <f t="shared" si="2"/>
        <v>33</v>
      </c>
      <c r="K17" s="50">
        <f t="shared" si="3"/>
        <v>66</v>
      </c>
      <c r="L17" s="50">
        <f t="shared" si="4"/>
        <v>66</v>
      </c>
      <c r="M17" s="50">
        <v>8</v>
      </c>
      <c r="R17" s="50">
        <v>33</v>
      </c>
      <c r="S17" s="50">
        <v>13</v>
      </c>
      <c r="V17" s="50">
        <v>12</v>
      </c>
    </row>
    <row r="18" spans="1:26" ht="14.25" customHeight="1" x14ac:dyDescent="0.75">
      <c r="A18" s="50">
        <v>666521</v>
      </c>
      <c r="B18" s="50" t="s">
        <v>30</v>
      </c>
      <c r="C18" s="50" t="s">
        <v>31</v>
      </c>
      <c r="E18" s="67">
        <v>52</v>
      </c>
      <c r="F18" s="50">
        <f t="shared" si="0"/>
        <v>24</v>
      </c>
      <c r="G18" s="60"/>
      <c r="H18" s="50">
        <f t="shared" si="1"/>
        <v>0</v>
      </c>
      <c r="I18" s="78"/>
      <c r="J18" s="165">
        <f t="shared" si="2"/>
        <v>0</v>
      </c>
      <c r="K18" s="50">
        <f t="shared" si="3"/>
        <v>52</v>
      </c>
      <c r="L18" s="50">
        <f t="shared" si="4"/>
        <v>24</v>
      </c>
      <c r="M18" s="50">
        <v>3</v>
      </c>
      <c r="S18" s="50">
        <v>7</v>
      </c>
      <c r="V18" s="50">
        <v>8</v>
      </c>
      <c r="Y18" s="50">
        <v>6</v>
      </c>
    </row>
    <row r="19" spans="1:26" ht="14.25" customHeight="1" x14ac:dyDescent="0.75">
      <c r="A19" s="50">
        <v>666522</v>
      </c>
      <c r="B19" s="50" t="s">
        <v>32</v>
      </c>
      <c r="C19" s="50" t="s">
        <v>33</v>
      </c>
      <c r="E19" s="67">
        <v>130</v>
      </c>
      <c r="F19" s="165">
        <f t="shared" si="0"/>
        <v>85</v>
      </c>
      <c r="G19" s="60">
        <v>190</v>
      </c>
      <c r="H19" s="165">
        <f t="shared" si="1"/>
        <v>185</v>
      </c>
      <c r="I19" s="78">
        <v>80</v>
      </c>
      <c r="J19" s="70">
        <f t="shared" si="2"/>
        <v>80</v>
      </c>
      <c r="K19" s="50">
        <f t="shared" si="3"/>
        <v>400</v>
      </c>
      <c r="L19" s="50">
        <f t="shared" si="4"/>
        <v>350</v>
      </c>
      <c r="M19" s="50">
        <v>10</v>
      </c>
      <c r="N19" s="50">
        <v>60</v>
      </c>
      <c r="Q19" s="50">
        <v>25</v>
      </c>
      <c r="R19" s="50">
        <v>45</v>
      </c>
      <c r="S19" s="50">
        <v>20</v>
      </c>
      <c r="T19" s="50">
        <v>15</v>
      </c>
      <c r="V19" s="50">
        <v>35</v>
      </c>
      <c r="X19" s="50">
        <v>35</v>
      </c>
      <c r="Y19" s="50">
        <v>20</v>
      </c>
      <c r="Z19" s="50">
        <v>85</v>
      </c>
    </row>
    <row r="20" spans="1:26" ht="14.25" customHeight="1" x14ac:dyDescent="0.75">
      <c r="A20" s="50">
        <v>666523</v>
      </c>
      <c r="B20" s="50" t="s">
        <v>34</v>
      </c>
      <c r="C20" s="50" t="s">
        <v>35</v>
      </c>
      <c r="E20" s="67"/>
      <c r="F20" s="50">
        <f t="shared" si="0"/>
        <v>0</v>
      </c>
      <c r="G20" s="60">
        <v>40</v>
      </c>
      <c r="H20" s="70">
        <f t="shared" si="1"/>
        <v>40</v>
      </c>
      <c r="I20" s="78">
        <v>10</v>
      </c>
      <c r="J20" s="70">
        <f t="shared" si="2"/>
        <v>10</v>
      </c>
      <c r="K20" s="50">
        <f t="shared" si="3"/>
        <v>50</v>
      </c>
      <c r="L20" s="50">
        <f t="shared" si="4"/>
        <v>50</v>
      </c>
      <c r="Q20" s="50">
        <v>35</v>
      </c>
      <c r="R20" s="50">
        <v>10</v>
      </c>
      <c r="T20" s="50">
        <v>5</v>
      </c>
    </row>
    <row r="21" spans="1:26" ht="14.25" customHeight="1" x14ac:dyDescent="0.75">
      <c r="A21" s="50">
        <v>666530</v>
      </c>
      <c r="B21" s="50" t="s">
        <v>36</v>
      </c>
      <c r="C21" s="50" t="s">
        <v>37</v>
      </c>
      <c r="E21" s="67">
        <v>5</v>
      </c>
      <c r="F21" s="165">
        <f t="shared" si="0"/>
        <v>5</v>
      </c>
      <c r="G21" s="60"/>
      <c r="H21" s="50">
        <f t="shared" si="1"/>
        <v>0</v>
      </c>
      <c r="I21" s="78">
        <v>15</v>
      </c>
      <c r="J21" s="70">
        <f t="shared" si="2"/>
        <v>15</v>
      </c>
      <c r="K21" s="50">
        <f t="shared" si="3"/>
        <v>20</v>
      </c>
      <c r="L21" s="50">
        <f t="shared" si="4"/>
        <v>20</v>
      </c>
      <c r="M21" s="50">
        <v>5</v>
      </c>
      <c r="R21" s="50">
        <v>15</v>
      </c>
    </row>
    <row r="22" spans="1:26" ht="14.25" customHeight="1" x14ac:dyDescent="0.75">
      <c r="A22" s="50">
        <v>666531</v>
      </c>
      <c r="B22" s="50" t="s">
        <v>38</v>
      </c>
      <c r="C22" s="50" t="s">
        <v>39</v>
      </c>
      <c r="E22" s="67">
        <v>18</v>
      </c>
      <c r="F22" s="165">
        <f t="shared" si="0"/>
        <v>18</v>
      </c>
      <c r="G22" s="60"/>
      <c r="H22" s="50">
        <f t="shared" si="1"/>
        <v>0</v>
      </c>
      <c r="I22" s="78">
        <v>8</v>
      </c>
      <c r="J22" s="165">
        <f t="shared" si="2"/>
        <v>3</v>
      </c>
      <c r="K22" s="50">
        <f t="shared" si="3"/>
        <v>26</v>
      </c>
      <c r="L22" s="50">
        <f t="shared" si="4"/>
        <v>21</v>
      </c>
      <c r="M22" s="50">
        <v>6</v>
      </c>
      <c r="S22" s="50">
        <v>5</v>
      </c>
      <c r="V22" s="50">
        <v>6</v>
      </c>
      <c r="X22" s="50">
        <v>3</v>
      </c>
      <c r="Y22" s="50">
        <v>1</v>
      </c>
    </row>
    <row r="23" spans="1:26" ht="14.25" customHeight="1" x14ac:dyDescent="0.75">
      <c r="A23" s="50">
        <v>666540</v>
      </c>
      <c r="B23" s="50" t="s">
        <v>40</v>
      </c>
      <c r="C23" s="50" t="s">
        <v>40</v>
      </c>
      <c r="E23" s="67"/>
      <c r="F23" s="50">
        <f t="shared" si="0"/>
        <v>0</v>
      </c>
      <c r="G23" s="60">
        <v>120</v>
      </c>
      <c r="H23" s="50">
        <f t="shared" si="1"/>
        <v>0</v>
      </c>
      <c r="I23" s="78"/>
      <c r="J23" s="50">
        <f t="shared" si="2"/>
        <v>0</v>
      </c>
      <c r="K23" s="50">
        <f t="shared" si="3"/>
        <v>120</v>
      </c>
      <c r="L23" s="50">
        <f t="shared" si="4"/>
        <v>0</v>
      </c>
    </row>
    <row r="24" spans="1:26" ht="14.25" customHeight="1" x14ac:dyDescent="0.75">
      <c r="A24" s="50">
        <v>666541</v>
      </c>
      <c r="B24" s="50" t="s">
        <v>41</v>
      </c>
      <c r="C24" s="50" t="s">
        <v>41</v>
      </c>
      <c r="E24" s="67"/>
      <c r="F24" s="50">
        <f t="shared" si="0"/>
        <v>0</v>
      </c>
      <c r="G24" s="60">
        <v>600</v>
      </c>
      <c r="H24" s="50">
        <f t="shared" si="1"/>
        <v>149</v>
      </c>
      <c r="I24" s="78"/>
      <c r="J24" s="50">
        <f t="shared" si="2"/>
        <v>0</v>
      </c>
      <c r="K24" s="50">
        <f t="shared" si="3"/>
        <v>600</v>
      </c>
      <c r="L24" s="50">
        <f t="shared" si="4"/>
        <v>149</v>
      </c>
      <c r="N24" s="50">
        <v>25</v>
      </c>
      <c r="Q24" s="50">
        <v>47</v>
      </c>
      <c r="T24" s="50">
        <v>17</v>
      </c>
      <c r="W24" s="50">
        <v>32</v>
      </c>
      <c r="Z24" s="50">
        <v>28</v>
      </c>
    </row>
    <row r="25" spans="1:26" ht="14.25" customHeight="1" x14ac:dyDescent="0.75">
      <c r="A25" s="50">
        <v>666536</v>
      </c>
      <c r="B25" s="50" t="s">
        <v>42</v>
      </c>
      <c r="C25" s="50" t="s">
        <v>43</v>
      </c>
      <c r="E25" s="67">
        <v>30</v>
      </c>
      <c r="F25" s="50">
        <f t="shared" si="0"/>
        <v>12</v>
      </c>
      <c r="G25" s="60"/>
      <c r="H25" s="50">
        <f t="shared" si="1"/>
        <v>0</v>
      </c>
      <c r="I25" s="78"/>
      <c r="J25" s="50">
        <f t="shared" si="2"/>
        <v>0</v>
      </c>
      <c r="K25" s="50">
        <f t="shared" si="3"/>
        <v>30</v>
      </c>
      <c r="L25" s="50">
        <f t="shared" si="4"/>
        <v>12</v>
      </c>
      <c r="M25" s="50">
        <v>4</v>
      </c>
      <c r="S25" s="50">
        <v>3</v>
      </c>
      <c r="V25" s="50">
        <v>2</v>
      </c>
      <c r="Y25" s="50">
        <v>3</v>
      </c>
    </row>
    <row r="26" spans="1:26" ht="14.25" customHeight="1" x14ac:dyDescent="0.75">
      <c r="C26" s="71"/>
      <c r="D26" s="71"/>
      <c r="E26" s="71"/>
      <c r="F26" s="71"/>
      <c r="G26" s="71"/>
      <c r="H26" s="71"/>
      <c r="I26" s="71"/>
      <c r="J26" s="71"/>
      <c r="L26" s="71"/>
    </row>
    <row r="27" spans="1:26" ht="14.25" customHeight="1" x14ac:dyDescent="0.75">
      <c r="C27" s="71"/>
      <c r="D27" s="71"/>
      <c r="E27" s="71"/>
      <c r="F27" s="71"/>
      <c r="G27" s="71"/>
      <c r="H27" s="71"/>
      <c r="I27" s="71"/>
      <c r="J27" s="71"/>
      <c r="L27" s="71"/>
    </row>
    <row r="28" spans="1:26" ht="14.25" customHeight="1" x14ac:dyDescent="0.75">
      <c r="C28" s="71"/>
      <c r="D28" s="71"/>
      <c r="E28" s="71"/>
      <c r="F28" s="71"/>
      <c r="G28" s="71"/>
      <c r="H28" s="71"/>
      <c r="I28" s="71"/>
      <c r="J28" s="71"/>
      <c r="L28" s="71"/>
    </row>
    <row r="29" spans="1:26" ht="14.25" customHeight="1" x14ac:dyDescent="0.75">
      <c r="C29" s="71"/>
      <c r="D29" s="71"/>
      <c r="E29" s="71"/>
      <c r="F29" s="71"/>
      <c r="G29" s="71"/>
      <c r="H29" s="71"/>
      <c r="I29" s="71"/>
      <c r="J29" s="71"/>
      <c r="L29" s="71"/>
    </row>
    <row r="30" spans="1:26" ht="14.25" customHeight="1" x14ac:dyDescent="0.75">
      <c r="C30" s="71"/>
      <c r="D30" s="71"/>
      <c r="E30" s="71"/>
      <c r="F30" s="71"/>
      <c r="G30" s="71"/>
      <c r="H30" s="71"/>
      <c r="I30" s="71"/>
      <c r="J30" s="71"/>
      <c r="L30" s="71"/>
    </row>
    <row r="31" spans="1:26" ht="14.25" customHeight="1" x14ac:dyDescent="0.75">
      <c r="C31" s="71"/>
      <c r="D31" s="71"/>
      <c r="E31" s="71"/>
      <c r="F31" s="71"/>
      <c r="G31" s="71"/>
      <c r="H31" s="71"/>
      <c r="I31" s="71"/>
      <c r="J31" s="71"/>
      <c r="L31" s="71"/>
    </row>
    <row r="32" spans="1:26" ht="14.25" customHeight="1" x14ac:dyDescent="0.75">
      <c r="C32" s="72"/>
      <c r="D32" s="71"/>
      <c r="E32" s="71"/>
      <c r="F32" s="71"/>
      <c r="G32" s="71"/>
      <c r="H32" s="71"/>
      <c r="I32" s="71"/>
      <c r="J32" s="71"/>
      <c r="L32" s="71"/>
    </row>
    <row r="33" spans="3:14" ht="14.25" customHeight="1" x14ac:dyDescent="0.75">
      <c r="C33" s="71"/>
      <c r="D33" s="71"/>
      <c r="E33" s="71"/>
      <c r="F33" s="71"/>
      <c r="G33" s="71"/>
      <c r="H33" s="71"/>
      <c r="I33" s="71"/>
      <c r="J33" s="71"/>
      <c r="L33" s="71"/>
    </row>
    <row r="34" spans="3:14" ht="14.25" customHeight="1" x14ac:dyDescent="0.75">
      <c r="C34" s="71"/>
      <c r="D34" s="71"/>
      <c r="E34" s="71"/>
      <c r="F34" s="71"/>
      <c r="G34" s="71"/>
      <c r="H34" s="71"/>
      <c r="I34" s="71"/>
      <c r="J34" s="71"/>
      <c r="L34" s="71"/>
    </row>
    <row r="35" spans="3:14" ht="14.25" customHeight="1" x14ac:dyDescent="0.75">
      <c r="C35" s="71"/>
      <c r="D35" s="71"/>
      <c r="E35" s="71"/>
      <c r="F35" s="71"/>
      <c r="G35" s="71"/>
      <c r="H35" s="71"/>
      <c r="I35" s="71"/>
      <c r="J35" s="71"/>
      <c r="L35" s="71"/>
    </row>
    <row r="36" spans="3:14" ht="14.25" customHeight="1" x14ac:dyDescent="0.75">
      <c r="C36" s="71"/>
      <c r="D36" s="71"/>
      <c r="E36" s="71"/>
      <c r="F36" s="71"/>
      <c r="G36" s="71"/>
      <c r="H36" s="71"/>
      <c r="I36" s="71"/>
      <c r="J36" s="71"/>
      <c r="L36" s="71"/>
    </row>
    <row r="37" spans="3:14" ht="14.25" customHeight="1" x14ac:dyDescent="0.75">
      <c r="C37" s="71"/>
      <c r="D37" s="71"/>
      <c r="E37" s="71"/>
      <c r="F37" s="71"/>
      <c r="G37" s="71"/>
      <c r="H37" s="71"/>
      <c r="I37" s="71"/>
      <c r="J37" s="71"/>
      <c r="L37" s="71"/>
    </row>
    <row r="38" spans="3:14" ht="14.25" customHeight="1" x14ac:dyDescent="0.75">
      <c r="C38" s="71"/>
      <c r="D38" s="71"/>
      <c r="E38" s="71"/>
      <c r="F38" s="71"/>
      <c r="G38" s="71"/>
      <c r="H38" s="71"/>
      <c r="I38" s="71"/>
      <c r="J38" s="71"/>
      <c r="L38" s="71"/>
    </row>
    <row r="39" spans="3:14" ht="14.25" customHeight="1" x14ac:dyDescent="0.75">
      <c r="C39" s="71"/>
      <c r="D39" s="71"/>
      <c r="E39" s="71"/>
      <c r="F39" s="71"/>
      <c r="G39" s="71"/>
      <c r="H39" s="71"/>
      <c r="I39" s="71"/>
      <c r="J39" s="71"/>
      <c r="L39" s="71"/>
    </row>
    <row r="40" spans="3:14" ht="14.25" customHeight="1" x14ac:dyDescent="0.75">
      <c r="C40" s="71"/>
      <c r="D40" s="71"/>
      <c r="E40" s="71"/>
      <c r="F40" s="71"/>
      <c r="G40" s="71"/>
      <c r="H40" s="71"/>
      <c r="I40" s="71"/>
      <c r="J40" s="71"/>
      <c r="L40" s="71"/>
    </row>
    <row r="41" spans="3:14" ht="14.25" customHeight="1" x14ac:dyDescent="0.75">
      <c r="C41" s="71"/>
      <c r="D41" s="71"/>
      <c r="E41" s="71"/>
      <c r="F41" s="71"/>
      <c r="G41" s="71"/>
      <c r="H41" s="71"/>
      <c r="I41" s="71"/>
      <c r="J41" s="71"/>
      <c r="L41" s="71"/>
    </row>
    <row r="42" spans="3:14" ht="14.25" customHeight="1" x14ac:dyDescent="0.75">
      <c r="C42" s="71"/>
      <c r="D42" s="71"/>
      <c r="E42" s="71"/>
      <c r="F42" s="71"/>
      <c r="G42" s="71"/>
      <c r="H42" s="71"/>
      <c r="I42" s="71"/>
      <c r="J42" s="71"/>
      <c r="L42" s="71"/>
    </row>
    <row r="48" spans="3:14" ht="14.25" customHeight="1" x14ac:dyDescent="0.75">
      <c r="L48" s="73"/>
      <c r="N48" s="74"/>
    </row>
    <row r="49" spans="4:14" ht="14.25" customHeight="1" x14ac:dyDescent="0.75">
      <c r="D49" s="75"/>
      <c r="E49" s="75"/>
      <c r="N49" s="76"/>
    </row>
    <row r="50" spans="4:14" ht="14.25" customHeight="1" x14ac:dyDescent="0.75">
      <c r="D50" s="75"/>
      <c r="E50" s="75"/>
      <c r="N50" s="76"/>
    </row>
    <row r="51" spans="4:14" ht="14.25" customHeight="1" x14ac:dyDescent="0.75">
      <c r="N51" s="76"/>
    </row>
  </sheetData>
  <conditionalFormatting sqref="F4 H4:H25 J4:J25 F5:G5 I5:I24 G6:G24 F6:F25">
    <cfRule type="expression" dxfId="182" priority="6">
      <formula>#REF!=F4</formula>
    </cfRule>
    <cfRule type="expression" dxfId="181" priority="7">
      <formula>#REF!&lt;F4</formula>
    </cfRule>
    <cfRule type="expression" dxfId="180" priority="8">
      <formula>#REF!&gt;F4</formula>
    </cfRule>
  </conditionalFormatting>
  <conditionalFormatting sqref="K5:K25">
    <cfRule type="cellIs" dxfId="179" priority="2" operator="equal">
      <formula>0</formula>
    </cfRule>
  </conditionalFormatting>
  <conditionalFormatting sqref="L5:L25">
    <cfRule type="expression" dxfId="178" priority="3">
      <formula>K5=L5</formula>
    </cfRule>
    <cfRule type="expression" dxfId="177" priority="4">
      <formula>K5&lt;L5</formula>
    </cfRule>
    <cfRule type="expression" dxfId="176" priority="5">
      <formula>K5&gt;L5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B35"/>
  <sheetViews>
    <sheetView zoomScaleNormal="100" workbookViewId="0">
      <selection activeCell="Z19" sqref="Z19"/>
    </sheetView>
  </sheetViews>
  <sheetFormatPr defaultColWidth="8.54296875" defaultRowHeight="14.75" x14ac:dyDescent="0.75"/>
  <cols>
    <col min="2" max="2" width="43.31640625" customWidth="1"/>
    <col min="3" max="3" width="21" customWidth="1"/>
    <col min="4" max="4" width="9.1328125" hidden="1" customWidth="1"/>
  </cols>
  <sheetData>
    <row r="1" spans="1:28" ht="28.5" customHeight="1" x14ac:dyDescent="0.75">
      <c r="A1" s="51"/>
      <c r="B1" s="51"/>
      <c r="C1" s="51" t="s">
        <v>176</v>
      </c>
      <c r="D1" s="51" t="s">
        <v>144</v>
      </c>
      <c r="E1" s="52" t="s">
        <v>116</v>
      </c>
      <c r="F1" s="53" t="s">
        <v>145</v>
      </c>
      <c r="G1" s="54" t="s">
        <v>119</v>
      </c>
      <c r="H1" s="53" t="s">
        <v>146</v>
      </c>
      <c r="I1" s="55" t="s">
        <v>122</v>
      </c>
      <c r="J1" s="56" t="s">
        <v>147</v>
      </c>
      <c r="K1" s="51" t="s">
        <v>148</v>
      </c>
      <c r="L1" s="53" t="s">
        <v>149</v>
      </c>
      <c r="M1" s="51" t="s">
        <v>56</v>
      </c>
      <c r="N1" s="51" t="s">
        <v>58</v>
      </c>
      <c r="O1" s="51" t="s">
        <v>66</v>
      </c>
      <c r="P1" s="51" t="s">
        <v>56</v>
      </c>
      <c r="Q1" s="51" t="s">
        <v>58</v>
      </c>
      <c r="R1" s="51" t="s">
        <v>66</v>
      </c>
      <c r="S1" s="51" t="s">
        <v>56</v>
      </c>
      <c r="T1" s="51" t="s">
        <v>58</v>
      </c>
      <c r="U1" s="51" t="s">
        <v>66</v>
      </c>
      <c r="V1" s="51" t="s">
        <v>56</v>
      </c>
      <c r="W1" s="51" t="s">
        <v>58</v>
      </c>
      <c r="X1" s="51" t="s">
        <v>66</v>
      </c>
      <c r="Y1" s="51" t="s">
        <v>56</v>
      </c>
      <c r="Z1" s="51" t="s">
        <v>58</v>
      </c>
      <c r="AA1" s="51" t="s">
        <v>66</v>
      </c>
      <c r="AB1" s="51"/>
    </row>
    <row r="2" spans="1:28" ht="14.25" customHeight="1" x14ac:dyDescent="0.75">
      <c r="A2" s="50"/>
      <c r="B2" s="50"/>
      <c r="C2" s="57" t="s">
        <v>150</v>
      </c>
      <c r="D2" s="57"/>
      <c r="E2" s="57"/>
      <c r="F2" s="57"/>
      <c r="G2" s="57"/>
      <c r="H2" s="59"/>
      <c r="I2" s="59"/>
      <c r="J2" s="59"/>
      <c r="K2" s="59"/>
      <c r="L2" s="59"/>
      <c r="M2" s="59" t="s">
        <v>57</v>
      </c>
      <c r="N2" s="59" t="s">
        <v>65</v>
      </c>
      <c r="O2" s="59" t="s">
        <v>55</v>
      </c>
      <c r="P2" s="59" t="s">
        <v>57</v>
      </c>
      <c r="Q2" s="59" t="s">
        <v>65</v>
      </c>
      <c r="R2" s="59" t="s">
        <v>55</v>
      </c>
      <c r="S2" s="59" t="s">
        <v>57</v>
      </c>
      <c r="T2" s="59" t="s">
        <v>65</v>
      </c>
      <c r="U2" s="59" t="s">
        <v>55</v>
      </c>
      <c r="V2" s="59" t="s">
        <v>57</v>
      </c>
      <c r="W2" s="59" t="s">
        <v>65</v>
      </c>
      <c r="X2" s="59" t="s">
        <v>55</v>
      </c>
      <c r="Y2" s="59" t="s">
        <v>57</v>
      </c>
      <c r="Z2" s="59" t="s">
        <v>65</v>
      </c>
      <c r="AA2" s="59" t="s">
        <v>55</v>
      </c>
      <c r="AB2" s="50"/>
    </row>
    <row r="3" spans="1:28" ht="14.25" customHeight="1" x14ac:dyDescent="0.75">
      <c r="A3" s="62" t="s">
        <v>129</v>
      </c>
      <c r="B3" s="62" t="s">
        <v>2</v>
      </c>
      <c r="C3" s="62" t="s">
        <v>3</v>
      </c>
      <c r="D3" s="62"/>
      <c r="E3" s="58"/>
      <c r="F3" s="62"/>
      <c r="G3" s="63"/>
      <c r="H3" s="62"/>
      <c r="I3" s="64"/>
      <c r="J3" s="62"/>
      <c r="K3" s="62"/>
      <c r="L3" s="62"/>
      <c r="M3" s="62" t="s">
        <v>54</v>
      </c>
      <c r="N3" s="62" t="s">
        <v>54</v>
      </c>
      <c r="O3" s="62" t="s">
        <v>54</v>
      </c>
      <c r="P3" s="62" t="s">
        <v>59</v>
      </c>
      <c r="Q3" s="62" t="s">
        <v>59</v>
      </c>
      <c r="R3" s="62" t="s">
        <v>59</v>
      </c>
      <c r="S3" s="62" t="s">
        <v>60</v>
      </c>
      <c r="T3" s="62" t="s">
        <v>60</v>
      </c>
      <c r="U3" s="62" t="s">
        <v>60</v>
      </c>
      <c r="V3" s="62" t="s">
        <v>62</v>
      </c>
      <c r="W3" s="62" t="s">
        <v>62</v>
      </c>
      <c r="X3" s="62" t="s">
        <v>62</v>
      </c>
      <c r="Y3" s="62" t="s">
        <v>63</v>
      </c>
      <c r="Z3" s="62" t="s">
        <v>63</v>
      </c>
      <c r="AA3" s="62" t="s">
        <v>63</v>
      </c>
      <c r="AB3" s="50"/>
    </row>
    <row r="4" spans="1:28" ht="14.25" customHeight="1" x14ac:dyDescent="0.75">
      <c r="A4" s="62"/>
      <c r="B4" s="62"/>
      <c r="C4" s="62" t="s">
        <v>151</v>
      </c>
      <c r="D4" s="62"/>
      <c r="E4" s="58"/>
      <c r="F4" s="62">
        <f t="shared" ref="F4:F25" si="0">+M4+P4+S4+V4+Y4</f>
        <v>123</v>
      </c>
      <c r="G4" s="147"/>
      <c r="H4" s="62">
        <f t="shared" ref="H4:H25" si="1">+N4+Q4+T4+W4+Z4</f>
        <v>596</v>
      </c>
      <c r="I4" s="64"/>
      <c r="J4" s="62">
        <f t="shared" ref="J4:J25" si="2">+O4+R4+U4+X4+AA4</f>
        <v>80</v>
      </c>
      <c r="K4" s="62" t="s">
        <v>152</v>
      </c>
      <c r="L4" s="62"/>
      <c r="M4" s="62">
        <v>36</v>
      </c>
      <c r="N4" s="62">
        <v>139</v>
      </c>
      <c r="O4" s="62">
        <v>45</v>
      </c>
      <c r="P4" s="50"/>
      <c r="Q4" s="62">
        <v>166</v>
      </c>
      <c r="R4" s="62">
        <v>35</v>
      </c>
      <c r="S4" s="62">
        <v>29</v>
      </c>
      <c r="T4" s="62">
        <v>103</v>
      </c>
      <c r="U4" s="62"/>
      <c r="V4" s="62">
        <v>35</v>
      </c>
      <c r="W4" s="62">
        <v>99</v>
      </c>
      <c r="X4" s="62"/>
      <c r="Y4" s="62">
        <v>23</v>
      </c>
      <c r="Z4" s="62">
        <v>89</v>
      </c>
      <c r="AA4" s="62"/>
      <c r="AB4" s="50"/>
    </row>
    <row r="5" spans="1:28" ht="14.25" customHeight="1" x14ac:dyDescent="0.75">
      <c r="A5" s="50">
        <v>666501</v>
      </c>
      <c r="B5" s="50" t="s">
        <v>4</v>
      </c>
      <c r="C5" s="50" t="s">
        <v>5</v>
      </c>
      <c r="D5" s="50"/>
      <c r="E5" s="67">
        <v>39</v>
      </c>
      <c r="F5" s="50">
        <f t="shared" si="0"/>
        <v>39</v>
      </c>
      <c r="G5" s="149">
        <v>315</v>
      </c>
      <c r="H5" s="157">
        <f t="shared" si="1"/>
        <v>315</v>
      </c>
      <c r="I5" s="61">
        <v>12</v>
      </c>
      <c r="J5" s="157">
        <f t="shared" si="2"/>
        <v>12</v>
      </c>
      <c r="K5" s="50">
        <f t="shared" ref="K5:K24" si="3">+E5+G5+I5</f>
        <v>366</v>
      </c>
      <c r="L5" s="50">
        <f t="shared" ref="L5:L25" si="4">SUM(F5,H5,J5)</f>
        <v>366</v>
      </c>
      <c r="M5" s="50">
        <v>18</v>
      </c>
      <c r="N5" s="50">
        <v>90</v>
      </c>
      <c r="O5" s="50">
        <v>12</v>
      </c>
      <c r="P5" s="50"/>
      <c r="Q5" s="50">
        <v>159</v>
      </c>
      <c r="R5" s="50"/>
      <c r="S5" s="50">
        <v>3</v>
      </c>
      <c r="T5" s="50">
        <v>66</v>
      </c>
      <c r="U5" s="50"/>
      <c r="V5" s="50">
        <v>18</v>
      </c>
      <c r="W5" s="50"/>
      <c r="X5" s="50"/>
      <c r="Y5" s="50"/>
      <c r="Z5" s="50"/>
      <c r="AA5" s="50"/>
      <c r="AB5" s="50"/>
    </row>
    <row r="6" spans="1:28" ht="14.25" customHeight="1" x14ac:dyDescent="0.75">
      <c r="A6" s="50">
        <v>666502</v>
      </c>
      <c r="B6" s="50" t="s">
        <v>6</v>
      </c>
      <c r="C6" s="50" t="s">
        <v>7</v>
      </c>
      <c r="D6" s="50"/>
      <c r="E6" s="67">
        <v>0</v>
      </c>
      <c r="F6" s="50">
        <f t="shared" si="0"/>
        <v>0</v>
      </c>
      <c r="G6" s="149">
        <v>226</v>
      </c>
      <c r="H6" s="62">
        <f t="shared" si="1"/>
        <v>226</v>
      </c>
      <c r="I6" s="61">
        <v>50</v>
      </c>
      <c r="J6" s="157">
        <f t="shared" si="2"/>
        <v>50</v>
      </c>
      <c r="K6" s="50">
        <f t="shared" si="3"/>
        <v>276</v>
      </c>
      <c r="L6" s="50">
        <f t="shared" si="4"/>
        <v>276</v>
      </c>
      <c r="M6" s="50"/>
      <c r="N6" s="50">
        <v>17</v>
      </c>
      <c r="O6" s="50">
        <v>30</v>
      </c>
      <c r="P6" s="50"/>
      <c r="Q6" s="50">
        <v>50</v>
      </c>
      <c r="R6" s="50">
        <v>20</v>
      </c>
      <c r="S6" s="50"/>
      <c r="T6" s="50">
        <v>66</v>
      </c>
      <c r="U6" s="50"/>
      <c r="V6" s="50"/>
      <c r="W6" s="50">
        <v>79</v>
      </c>
      <c r="X6" s="50"/>
      <c r="Y6" s="50"/>
      <c r="Z6" s="50">
        <v>14</v>
      </c>
      <c r="AA6" s="50"/>
      <c r="AB6" s="50"/>
    </row>
    <row r="7" spans="1:28" ht="14.25" customHeight="1" x14ac:dyDescent="0.75">
      <c r="A7" s="50">
        <v>666505</v>
      </c>
      <c r="B7" s="50" t="s">
        <v>8</v>
      </c>
      <c r="C7" s="50" t="s">
        <v>9</v>
      </c>
      <c r="D7" s="50"/>
      <c r="E7" s="67">
        <v>0</v>
      </c>
      <c r="F7" s="50">
        <f t="shared" si="0"/>
        <v>0</v>
      </c>
      <c r="G7" s="149">
        <v>0</v>
      </c>
      <c r="H7" s="62">
        <f t="shared" si="1"/>
        <v>0</v>
      </c>
      <c r="I7" s="61">
        <v>0</v>
      </c>
      <c r="J7" s="157">
        <f t="shared" si="2"/>
        <v>0</v>
      </c>
      <c r="K7" s="50">
        <f t="shared" si="3"/>
        <v>0</v>
      </c>
      <c r="L7" s="50">
        <f t="shared" si="4"/>
        <v>0</v>
      </c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</row>
    <row r="8" spans="1:28" ht="14.25" customHeight="1" x14ac:dyDescent="0.75">
      <c r="A8" s="50">
        <v>666506</v>
      </c>
      <c r="B8" s="50" t="s">
        <v>10</v>
      </c>
      <c r="C8" s="50" t="s">
        <v>11</v>
      </c>
      <c r="D8" s="50"/>
      <c r="E8" s="67">
        <v>0</v>
      </c>
      <c r="F8" s="50">
        <f t="shared" si="0"/>
        <v>0</v>
      </c>
      <c r="G8" s="149">
        <v>386</v>
      </c>
      <c r="H8" s="190">
        <f t="shared" si="1"/>
        <v>5</v>
      </c>
      <c r="I8" s="61">
        <v>0</v>
      </c>
      <c r="J8" s="62">
        <f t="shared" si="2"/>
        <v>0</v>
      </c>
      <c r="K8" s="50">
        <f t="shared" si="3"/>
        <v>386</v>
      </c>
      <c r="L8" s="50">
        <f t="shared" si="4"/>
        <v>5</v>
      </c>
      <c r="M8" s="50"/>
      <c r="N8" s="50">
        <v>5</v>
      </c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</row>
    <row r="9" spans="1:28" ht="14.25" customHeight="1" x14ac:dyDescent="0.75">
      <c r="A9" s="50">
        <v>666507</v>
      </c>
      <c r="B9" s="50" t="s">
        <v>12</v>
      </c>
      <c r="C9" s="50" t="s">
        <v>13</v>
      </c>
      <c r="D9" s="50"/>
      <c r="E9" s="67">
        <v>26</v>
      </c>
      <c r="F9" s="50">
        <f t="shared" si="0"/>
        <v>26</v>
      </c>
      <c r="G9" s="149">
        <v>0</v>
      </c>
      <c r="H9" s="62">
        <f t="shared" si="1"/>
        <v>0</v>
      </c>
      <c r="I9" s="61">
        <v>0</v>
      </c>
      <c r="J9" s="62">
        <f t="shared" si="2"/>
        <v>0</v>
      </c>
      <c r="K9" s="50">
        <f t="shared" si="3"/>
        <v>26</v>
      </c>
      <c r="L9" s="50">
        <f t="shared" si="4"/>
        <v>26</v>
      </c>
      <c r="M9" s="50">
        <v>1</v>
      </c>
      <c r="N9" s="50"/>
      <c r="O9" s="50"/>
      <c r="P9" s="50"/>
      <c r="Q9" s="50"/>
      <c r="R9" s="50"/>
      <c r="S9" s="50">
        <v>9</v>
      </c>
      <c r="T9" s="50"/>
      <c r="U9" s="50"/>
      <c r="V9" s="50">
        <v>11</v>
      </c>
      <c r="W9" s="50"/>
      <c r="X9" s="50"/>
      <c r="Y9" s="50">
        <v>5</v>
      </c>
      <c r="Z9" s="50"/>
      <c r="AA9" s="50"/>
      <c r="AB9" s="50"/>
    </row>
    <row r="10" spans="1:28" ht="14.25" customHeight="1" x14ac:dyDescent="0.75">
      <c r="A10" s="50">
        <v>666509</v>
      </c>
      <c r="B10" s="50" t="s">
        <v>14</v>
      </c>
      <c r="C10" s="50" t="s">
        <v>15</v>
      </c>
      <c r="D10" s="50"/>
      <c r="E10" s="67">
        <v>34</v>
      </c>
      <c r="F10" s="70">
        <f t="shared" si="0"/>
        <v>34</v>
      </c>
      <c r="G10" s="149">
        <v>0</v>
      </c>
      <c r="H10" s="62">
        <f t="shared" si="1"/>
        <v>0</v>
      </c>
      <c r="I10" s="61">
        <v>0</v>
      </c>
      <c r="J10" s="62">
        <f t="shared" si="2"/>
        <v>0</v>
      </c>
      <c r="K10" s="50">
        <f t="shared" si="3"/>
        <v>34</v>
      </c>
      <c r="L10" s="50">
        <f t="shared" si="4"/>
        <v>34</v>
      </c>
      <c r="M10" s="50">
        <v>10</v>
      </c>
      <c r="N10" s="50"/>
      <c r="O10" s="50"/>
      <c r="P10" s="50"/>
      <c r="Q10" s="50"/>
      <c r="R10" s="50"/>
      <c r="S10" s="50">
        <v>24</v>
      </c>
      <c r="T10" s="50"/>
      <c r="U10" s="50"/>
      <c r="V10" s="50"/>
      <c r="W10" s="50"/>
      <c r="X10" s="50"/>
      <c r="Y10" s="50"/>
      <c r="Z10" s="50"/>
      <c r="AA10" s="50"/>
      <c r="AB10" s="50"/>
    </row>
    <row r="11" spans="1:28" ht="14.25" customHeight="1" x14ac:dyDescent="0.75">
      <c r="A11" s="50">
        <v>666510</v>
      </c>
      <c r="B11" s="50" t="s">
        <v>16</v>
      </c>
      <c r="C11" s="50" t="s">
        <v>17</v>
      </c>
      <c r="D11" s="50"/>
      <c r="E11" s="67">
        <v>0</v>
      </c>
      <c r="F11" s="50">
        <f t="shared" si="0"/>
        <v>0</v>
      </c>
      <c r="G11" s="149">
        <v>0</v>
      </c>
      <c r="H11" s="62">
        <f t="shared" si="1"/>
        <v>0</v>
      </c>
      <c r="I11" s="61">
        <v>0</v>
      </c>
      <c r="J11" s="62">
        <f t="shared" si="2"/>
        <v>0</v>
      </c>
      <c r="K11" s="50">
        <f t="shared" si="3"/>
        <v>0</v>
      </c>
      <c r="L11" s="50">
        <f t="shared" si="4"/>
        <v>0</v>
      </c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</row>
    <row r="12" spans="1:28" ht="14.25" customHeight="1" x14ac:dyDescent="0.75">
      <c r="A12" s="50">
        <v>666511</v>
      </c>
      <c r="B12" s="50" t="s">
        <v>18</v>
      </c>
      <c r="C12" s="50" t="s">
        <v>19</v>
      </c>
      <c r="D12" s="50"/>
      <c r="E12" s="67">
        <v>8</v>
      </c>
      <c r="F12" s="50">
        <f t="shared" si="0"/>
        <v>8</v>
      </c>
      <c r="G12" s="149">
        <v>0</v>
      </c>
      <c r="H12" s="62">
        <f t="shared" si="1"/>
        <v>0</v>
      </c>
      <c r="I12" s="61">
        <v>0</v>
      </c>
      <c r="J12" s="62">
        <f t="shared" si="2"/>
        <v>0</v>
      </c>
      <c r="K12" s="50">
        <f t="shared" si="3"/>
        <v>8</v>
      </c>
      <c r="L12" s="50">
        <f t="shared" si="4"/>
        <v>8</v>
      </c>
      <c r="M12" s="50"/>
      <c r="N12" s="50"/>
      <c r="O12" s="50"/>
      <c r="P12" s="50"/>
      <c r="Q12" s="50"/>
      <c r="R12" s="50"/>
      <c r="S12" s="50">
        <v>5</v>
      </c>
      <c r="T12" s="50"/>
      <c r="U12" s="50"/>
      <c r="V12" s="50">
        <v>3</v>
      </c>
      <c r="W12" s="50"/>
      <c r="X12" s="50"/>
      <c r="Y12" s="50"/>
      <c r="Z12" s="50"/>
      <c r="AA12" s="50"/>
      <c r="AB12" s="50"/>
    </row>
    <row r="13" spans="1:28" ht="14.25" customHeight="1" x14ac:dyDescent="0.75">
      <c r="A13" s="50">
        <v>666513</v>
      </c>
      <c r="B13" s="50" t="s">
        <v>20</v>
      </c>
      <c r="C13" s="50" t="s">
        <v>21</v>
      </c>
      <c r="D13" s="50"/>
      <c r="E13" s="67">
        <v>0</v>
      </c>
      <c r="F13" s="50">
        <f t="shared" si="0"/>
        <v>0</v>
      </c>
      <c r="G13" s="149">
        <v>0</v>
      </c>
      <c r="H13" s="62">
        <f t="shared" si="1"/>
        <v>0</v>
      </c>
      <c r="I13" s="61">
        <v>0</v>
      </c>
      <c r="J13" s="62">
        <f t="shared" si="2"/>
        <v>0</v>
      </c>
      <c r="K13" s="50">
        <f t="shared" si="3"/>
        <v>0</v>
      </c>
      <c r="L13" s="50">
        <f t="shared" si="4"/>
        <v>0</v>
      </c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</row>
    <row r="14" spans="1:28" ht="14.25" customHeight="1" x14ac:dyDescent="0.75">
      <c r="A14" s="50">
        <v>666516</v>
      </c>
      <c r="B14" s="50" t="s">
        <v>22</v>
      </c>
      <c r="C14" s="50" t="s">
        <v>23</v>
      </c>
      <c r="D14" s="50"/>
      <c r="E14" s="67">
        <v>0</v>
      </c>
      <c r="F14" s="50">
        <f t="shared" si="0"/>
        <v>0</v>
      </c>
      <c r="G14" s="149">
        <v>0</v>
      </c>
      <c r="H14" s="62">
        <f t="shared" si="1"/>
        <v>0</v>
      </c>
      <c r="I14" s="61">
        <v>0</v>
      </c>
      <c r="J14" s="157">
        <f t="shared" si="2"/>
        <v>0</v>
      </c>
      <c r="K14" s="50">
        <f t="shared" si="3"/>
        <v>0</v>
      </c>
      <c r="L14" s="50">
        <f t="shared" si="4"/>
        <v>0</v>
      </c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</row>
    <row r="15" spans="1:28" ht="14.25" customHeight="1" x14ac:dyDescent="0.75">
      <c r="A15" s="50">
        <v>666517</v>
      </c>
      <c r="B15" s="50" t="s">
        <v>24</v>
      </c>
      <c r="C15" s="50" t="s">
        <v>25</v>
      </c>
      <c r="D15" s="50"/>
      <c r="E15" s="67">
        <v>9</v>
      </c>
      <c r="F15" s="70">
        <f t="shared" si="0"/>
        <v>9</v>
      </c>
      <c r="G15" s="149">
        <v>0</v>
      </c>
      <c r="H15" s="62">
        <f t="shared" si="1"/>
        <v>0</v>
      </c>
      <c r="I15" s="61">
        <v>0</v>
      </c>
      <c r="J15" s="62">
        <f t="shared" si="2"/>
        <v>0</v>
      </c>
      <c r="K15" s="50">
        <f t="shared" si="3"/>
        <v>9</v>
      </c>
      <c r="L15" s="50">
        <f t="shared" si="4"/>
        <v>9</v>
      </c>
      <c r="M15" s="50">
        <v>9</v>
      </c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</row>
    <row r="16" spans="1:28" ht="14.25" customHeight="1" x14ac:dyDescent="0.75">
      <c r="A16" s="50">
        <v>666518</v>
      </c>
      <c r="B16" s="50" t="s">
        <v>26</v>
      </c>
      <c r="C16" s="50" t="s">
        <v>27</v>
      </c>
      <c r="D16" s="50"/>
      <c r="E16" s="67">
        <v>0</v>
      </c>
      <c r="F16" s="50">
        <f t="shared" si="0"/>
        <v>0</v>
      </c>
      <c r="G16" s="149">
        <v>0</v>
      </c>
      <c r="H16" s="62">
        <f t="shared" si="1"/>
        <v>0</v>
      </c>
      <c r="I16" s="61">
        <v>0</v>
      </c>
      <c r="J16" s="62">
        <f t="shared" si="2"/>
        <v>0</v>
      </c>
      <c r="K16" s="50">
        <f t="shared" si="3"/>
        <v>0</v>
      </c>
      <c r="L16" s="50">
        <f t="shared" si="4"/>
        <v>0</v>
      </c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</row>
    <row r="17" spans="1:28" ht="14.25" customHeight="1" x14ac:dyDescent="0.75">
      <c r="A17" s="50">
        <v>666519</v>
      </c>
      <c r="B17" s="50" t="s">
        <v>28</v>
      </c>
      <c r="C17" s="50" t="s">
        <v>29</v>
      </c>
      <c r="D17" s="50"/>
      <c r="E17" s="67">
        <v>0</v>
      </c>
      <c r="F17" s="50">
        <f t="shared" si="0"/>
        <v>0</v>
      </c>
      <c r="G17" s="149">
        <v>0</v>
      </c>
      <c r="H17" s="62">
        <f t="shared" si="1"/>
        <v>0</v>
      </c>
      <c r="I17" s="61">
        <v>0</v>
      </c>
      <c r="J17" s="62">
        <f t="shared" si="2"/>
        <v>0</v>
      </c>
      <c r="K17" s="50">
        <f t="shared" si="3"/>
        <v>0</v>
      </c>
      <c r="L17" s="50">
        <f t="shared" si="4"/>
        <v>0</v>
      </c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</row>
    <row r="18" spans="1:28" ht="14.25" customHeight="1" x14ac:dyDescent="0.75">
      <c r="A18" s="50">
        <v>666521</v>
      </c>
      <c r="B18" s="50" t="s">
        <v>30</v>
      </c>
      <c r="C18" s="50" t="s">
        <v>31</v>
      </c>
      <c r="D18" s="50"/>
      <c r="E18" s="67">
        <v>28</v>
      </c>
      <c r="F18" s="50">
        <f t="shared" si="0"/>
        <v>28</v>
      </c>
      <c r="G18" s="149">
        <v>0</v>
      </c>
      <c r="H18" s="62">
        <f t="shared" si="1"/>
        <v>0</v>
      </c>
      <c r="I18" s="61">
        <v>0</v>
      </c>
      <c r="J18" s="62">
        <f t="shared" si="2"/>
        <v>0</v>
      </c>
      <c r="K18" s="50">
        <f t="shared" si="3"/>
        <v>28</v>
      </c>
      <c r="L18" s="50">
        <f t="shared" si="4"/>
        <v>28</v>
      </c>
      <c r="M18" s="50">
        <v>11</v>
      </c>
      <c r="N18" s="50"/>
      <c r="O18" s="50"/>
      <c r="P18" s="50"/>
      <c r="Q18" s="50"/>
      <c r="R18" s="50"/>
      <c r="S18" s="50">
        <v>5</v>
      </c>
      <c r="T18" s="50"/>
      <c r="U18" s="50"/>
      <c r="V18" s="50">
        <v>10</v>
      </c>
      <c r="W18" s="50"/>
      <c r="X18" s="50"/>
      <c r="Y18" s="50">
        <v>2</v>
      </c>
      <c r="Z18" s="50"/>
      <c r="AA18" s="50"/>
      <c r="AB18" s="50"/>
    </row>
    <row r="19" spans="1:28" ht="14.25" customHeight="1" x14ac:dyDescent="0.75">
      <c r="A19" s="50">
        <v>666522</v>
      </c>
      <c r="B19" s="50" t="s">
        <v>32</v>
      </c>
      <c r="C19" s="50" t="s">
        <v>33</v>
      </c>
      <c r="D19" s="50"/>
      <c r="E19" s="67">
        <v>45</v>
      </c>
      <c r="F19" s="70">
        <f t="shared" si="0"/>
        <v>45</v>
      </c>
      <c r="G19" s="149">
        <v>5</v>
      </c>
      <c r="H19" s="62">
        <f t="shared" si="1"/>
        <v>5</v>
      </c>
      <c r="I19" s="61">
        <v>0</v>
      </c>
      <c r="J19" s="157">
        <f t="shared" si="2"/>
        <v>0</v>
      </c>
      <c r="K19" s="50">
        <f t="shared" si="3"/>
        <v>50</v>
      </c>
      <c r="L19" s="50">
        <f t="shared" si="4"/>
        <v>50</v>
      </c>
      <c r="M19" s="50">
        <v>35</v>
      </c>
      <c r="N19" s="50"/>
      <c r="O19" s="50"/>
      <c r="P19" s="50"/>
      <c r="Q19" s="50"/>
      <c r="R19" s="50"/>
      <c r="S19" s="50">
        <v>10</v>
      </c>
      <c r="T19" s="50">
        <v>5</v>
      </c>
      <c r="U19" s="50"/>
      <c r="V19" s="50"/>
      <c r="W19" s="50"/>
      <c r="X19" s="50"/>
      <c r="Y19" s="50"/>
      <c r="Z19" s="50"/>
      <c r="AA19" s="50"/>
      <c r="AB19" s="50"/>
    </row>
    <row r="20" spans="1:28" ht="14.25" customHeight="1" x14ac:dyDescent="0.75">
      <c r="A20" s="50">
        <v>666523</v>
      </c>
      <c r="B20" s="50" t="s">
        <v>34</v>
      </c>
      <c r="C20" s="50" t="s">
        <v>35</v>
      </c>
      <c r="D20" s="50"/>
      <c r="E20" s="67">
        <v>0</v>
      </c>
      <c r="F20" s="50">
        <f t="shared" si="0"/>
        <v>0</v>
      </c>
      <c r="G20" s="149">
        <v>0</v>
      </c>
      <c r="H20" s="62">
        <f t="shared" si="1"/>
        <v>0</v>
      </c>
      <c r="I20" s="61">
        <v>0</v>
      </c>
      <c r="J20" s="62">
        <f t="shared" si="2"/>
        <v>0</v>
      </c>
      <c r="K20" s="50">
        <f t="shared" si="3"/>
        <v>0</v>
      </c>
      <c r="L20" s="50">
        <f t="shared" si="4"/>
        <v>0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</row>
    <row r="21" spans="1:28" ht="14.25" customHeight="1" x14ac:dyDescent="0.75">
      <c r="A21" s="50">
        <v>666530</v>
      </c>
      <c r="B21" s="50" t="s">
        <v>36</v>
      </c>
      <c r="C21" s="50" t="s">
        <v>37</v>
      </c>
      <c r="D21" s="50"/>
      <c r="E21" s="67">
        <v>0</v>
      </c>
      <c r="F21" s="50">
        <f t="shared" si="0"/>
        <v>0</v>
      </c>
      <c r="G21" s="149">
        <v>0</v>
      </c>
      <c r="H21" s="62">
        <f t="shared" si="1"/>
        <v>0</v>
      </c>
      <c r="I21" s="61">
        <v>0</v>
      </c>
      <c r="J21" s="157">
        <f t="shared" si="2"/>
        <v>0</v>
      </c>
      <c r="K21" s="50">
        <f t="shared" si="3"/>
        <v>0</v>
      </c>
      <c r="L21" s="50">
        <f t="shared" si="4"/>
        <v>0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</row>
    <row r="22" spans="1:28" ht="14.25" customHeight="1" x14ac:dyDescent="0.75">
      <c r="A22" s="50">
        <v>666531</v>
      </c>
      <c r="B22" s="50" t="s">
        <v>38</v>
      </c>
      <c r="C22" s="50" t="s">
        <v>39</v>
      </c>
      <c r="D22" s="50"/>
      <c r="E22" s="67">
        <v>0</v>
      </c>
      <c r="F22" s="50">
        <f t="shared" si="0"/>
        <v>0</v>
      </c>
      <c r="G22" s="149">
        <v>0</v>
      </c>
      <c r="H22" s="62">
        <f t="shared" si="1"/>
        <v>0</v>
      </c>
      <c r="I22" s="61">
        <v>5</v>
      </c>
      <c r="J22" s="157">
        <f t="shared" si="2"/>
        <v>5</v>
      </c>
      <c r="K22" s="50">
        <f t="shared" si="3"/>
        <v>5</v>
      </c>
      <c r="L22" s="50">
        <f t="shared" si="4"/>
        <v>5</v>
      </c>
      <c r="M22" s="50"/>
      <c r="N22" s="50"/>
      <c r="O22" s="50">
        <v>5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</row>
    <row r="23" spans="1:28" ht="14.25" customHeight="1" x14ac:dyDescent="0.75">
      <c r="A23" s="50">
        <v>666540</v>
      </c>
      <c r="B23" s="50" t="s">
        <v>40</v>
      </c>
      <c r="C23" s="50" t="s">
        <v>40</v>
      </c>
      <c r="D23" s="50"/>
      <c r="E23" s="67">
        <v>0</v>
      </c>
      <c r="F23" s="50">
        <f t="shared" si="0"/>
        <v>0</v>
      </c>
      <c r="G23" s="149">
        <v>120</v>
      </c>
      <c r="H23" s="62">
        <f t="shared" si="1"/>
        <v>0</v>
      </c>
      <c r="I23" s="61">
        <v>0</v>
      </c>
      <c r="J23" s="62">
        <f t="shared" si="2"/>
        <v>0</v>
      </c>
      <c r="K23" s="50">
        <f t="shared" si="3"/>
        <v>120</v>
      </c>
      <c r="L23" s="50">
        <f t="shared" si="4"/>
        <v>0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</row>
    <row r="24" spans="1:28" ht="14.25" customHeight="1" x14ac:dyDescent="0.75">
      <c r="A24" s="50">
        <v>666541</v>
      </c>
      <c r="B24" s="50" t="s">
        <v>41</v>
      </c>
      <c r="C24" s="50" t="s">
        <v>41</v>
      </c>
      <c r="D24" s="50"/>
      <c r="E24" s="67">
        <v>0</v>
      </c>
      <c r="F24" s="50">
        <f t="shared" si="0"/>
        <v>0</v>
      </c>
      <c r="G24" s="149">
        <v>451</v>
      </c>
      <c r="H24" s="62">
        <f t="shared" si="1"/>
        <v>159</v>
      </c>
      <c r="I24" s="61">
        <v>0</v>
      </c>
      <c r="J24" s="62">
        <f t="shared" si="2"/>
        <v>0</v>
      </c>
      <c r="K24" s="50">
        <f t="shared" si="3"/>
        <v>451</v>
      </c>
      <c r="L24" s="50">
        <f t="shared" si="4"/>
        <v>159</v>
      </c>
      <c r="M24" s="50"/>
      <c r="N24" s="50">
        <v>21</v>
      </c>
      <c r="O24" s="50"/>
      <c r="P24" s="50"/>
      <c r="Q24" s="50">
        <v>64</v>
      </c>
      <c r="R24" s="50"/>
      <c r="S24" s="50"/>
      <c r="T24" s="50">
        <v>20</v>
      </c>
      <c r="U24" s="50"/>
      <c r="V24" s="50"/>
      <c r="W24" s="50">
        <v>20</v>
      </c>
      <c r="X24" s="50"/>
      <c r="Y24" s="50"/>
      <c r="Z24" s="50">
        <v>34</v>
      </c>
      <c r="AA24" s="50"/>
      <c r="AB24" s="50"/>
    </row>
    <row r="25" spans="1:28" ht="14.25" customHeight="1" x14ac:dyDescent="0.75">
      <c r="A25" s="50">
        <v>666536</v>
      </c>
      <c r="B25" s="50" t="s">
        <v>42</v>
      </c>
      <c r="C25" s="50" t="s">
        <v>43</v>
      </c>
      <c r="D25" s="50"/>
      <c r="E25" s="67">
        <v>18</v>
      </c>
      <c r="F25" s="50">
        <f t="shared" si="0"/>
        <v>11</v>
      </c>
      <c r="G25" s="149">
        <v>0</v>
      </c>
      <c r="H25" s="62">
        <f t="shared" si="1"/>
        <v>0</v>
      </c>
      <c r="I25" s="61">
        <v>0</v>
      </c>
      <c r="J25" s="62">
        <f t="shared" si="2"/>
        <v>0</v>
      </c>
      <c r="K25" s="50">
        <f>+E25+G25+H25</f>
        <v>18</v>
      </c>
      <c r="L25" s="50">
        <f t="shared" si="4"/>
        <v>11</v>
      </c>
      <c r="M25" s="50">
        <v>2</v>
      </c>
      <c r="N25" s="50"/>
      <c r="O25" s="50"/>
      <c r="P25" s="50"/>
      <c r="Q25" s="50"/>
      <c r="R25" s="50"/>
      <c r="S25" s="50">
        <v>3</v>
      </c>
      <c r="T25" s="50"/>
      <c r="U25" s="50"/>
      <c r="V25" s="50">
        <v>2</v>
      </c>
      <c r="W25" s="50"/>
      <c r="X25" s="50"/>
      <c r="Y25" s="50">
        <v>4</v>
      </c>
      <c r="Z25" s="50"/>
      <c r="AA25" s="50"/>
      <c r="AB25" s="50"/>
    </row>
    <row r="26" spans="1:28" ht="14.25" customHeight="1" x14ac:dyDescent="0.75">
      <c r="A26" s="50"/>
      <c r="B26" s="50"/>
      <c r="C26" s="71"/>
      <c r="D26" s="71"/>
      <c r="E26" s="71"/>
      <c r="F26" s="71"/>
      <c r="G26" s="71"/>
      <c r="H26" s="71"/>
      <c r="I26" s="71"/>
      <c r="J26" s="71"/>
      <c r="K26" s="50"/>
      <c r="L26" s="71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</row>
    <row r="35" spans="15:15" ht="14.25" customHeight="1" x14ac:dyDescent="0.75">
      <c r="O35" t="s">
        <v>152</v>
      </c>
    </row>
  </sheetData>
  <conditionalFormatting sqref="K5:K25">
    <cfRule type="cellIs" dxfId="175" priority="2" operator="equal">
      <formula>0</formula>
    </cfRule>
  </conditionalFormatting>
  <conditionalFormatting sqref="L5:L25">
    <cfRule type="expression" dxfId="174" priority="3">
      <formula>K5=L5</formula>
    </cfRule>
    <cfRule type="expression" dxfId="173" priority="4">
      <formula>K5&lt;L5</formula>
    </cfRule>
    <cfRule type="expression" dxfId="172" priority="5">
      <formula>K5&gt;L5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X71"/>
  <sheetViews>
    <sheetView topLeftCell="A5" zoomScaleNormal="100" workbookViewId="0">
      <selection activeCell="R45" sqref="R45"/>
    </sheetView>
  </sheetViews>
  <sheetFormatPr defaultColWidth="8.86328125" defaultRowHeight="14.75" x14ac:dyDescent="0.75"/>
  <cols>
    <col min="1" max="1" width="9" style="79" customWidth="1"/>
    <col min="2" max="2" width="33.453125" style="79" customWidth="1"/>
    <col min="3" max="3" width="15.6328125" style="79" hidden="1" customWidth="1"/>
    <col min="4" max="13" width="8.86328125" style="79"/>
    <col min="14" max="14" width="9.453125" style="79" customWidth="1"/>
    <col min="15" max="17" width="8.86328125" style="79"/>
    <col min="18" max="18" width="10.6328125" style="80" customWidth="1"/>
    <col min="19" max="19" width="9.1328125" style="79" hidden="1" customWidth="1"/>
    <col min="20" max="16384" width="8.86328125" style="79"/>
  </cols>
  <sheetData>
    <row r="1" spans="1:19" ht="15" customHeight="1" x14ac:dyDescent="0.75">
      <c r="A1" s="5" t="s">
        <v>186</v>
      </c>
      <c r="B1" s="5"/>
      <c r="C1" s="5"/>
      <c r="D1" s="5"/>
      <c r="E1" s="5"/>
      <c r="F1" s="81"/>
      <c r="G1" s="81"/>
      <c r="H1" s="81"/>
      <c r="I1" s="81"/>
      <c r="J1" s="81"/>
      <c r="K1" s="81"/>
      <c r="L1" s="81"/>
      <c r="M1" s="81"/>
      <c r="N1" s="81"/>
      <c r="O1" s="81"/>
      <c r="P1" s="82"/>
      <c r="Q1" s="80" t="s">
        <v>160</v>
      </c>
    </row>
    <row r="2" spans="1:19" ht="41.25" customHeight="1" x14ac:dyDescent="0.75">
      <c r="A2" s="83"/>
      <c r="B2" s="84" t="s">
        <v>56</v>
      </c>
      <c r="C2" s="85" t="s">
        <v>55</v>
      </c>
      <c r="D2" s="86" t="s">
        <v>116</v>
      </c>
      <c r="E2" s="87" t="s">
        <v>161</v>
      </c>
      <c r="F2" s="88" t="s">
        <v>162</v>
      </c>
      <c r="G2" s="86" t="s">
        <v>163</v>
      </c>
      <c r="H2" s="87" t="s">
        <v>164</v>
      </c>
      <c r="I2" s="86" t="s">
        <v>165</v>
      </c>
      <c r="J2" s="86" t="s">
        <v>166</v>
      </c>
      <c r="K2" s="89" t="s">
        <v>167</v>
      </c>
      <c r="L2" s="88" t="s">
        <v>162</v>
      </c>
      <c r="M2" s="86" t="s">
        <v>163</v>
      </c>
      <c r="N2" s="87" t="s">
        <v>164</v>
      </c>
      <c r="O2" s="86" t="s">
        <v>165</v>
      </c>
      <c r="P2" s="90" t="s">
        <v>166</v>
      </c>
      <c r="Q2" s="91"/>
      <c r="R2" s="92" t="s">
        <v>168</v>
      </c>
    </row>
    <row r="3" spans="1:19" ht="14.25" customHeight="1" x14ac:dyDescent="0.75">
      <c r="A3" s="93">
        <v>666501</v>
      </c>
      <c r="B3" s="94" t="s">
        <v>4</v>
      </c>
      <c r="C3" s="95" t="s">
        <v>5</v>
      </c>
      <c r="D3" s="96">
        <v>69</v>
      </c>
      <c r="E3" s="97">
        <f t="shared" ref="E3:E23" si="0">+D3/6</f>
        <v>11.5</v>
      </c>
      <c r="F3" s="96">
        <v>6</v>
      </c>
      <c r="G3" s="98">
        <v>0</v>
      </c>
      <c r="H3" s="96">
        <v>6</v>
      </c>
      <c r="I3" s="96">
        <v>9</v>
      </c>
      <c r="J3" s="96">
        <v>9</v>
      </c>
      <c r="K3" s="99">
        <f t="shared" ref="K3:K23" si="1">(+D3-SUM(F3:J3))/3.5</f>
        <v>11.142857142857142</v>
      </c>
      <c r="L3" s="96">
        <v>18</v>
      </c>
      <c r="M3" s="96">
        <v>0</v>
      </c>
      <c r="N3" s="96">
        <v>3</v>
      </c>
      <c r="O3" s="96">
        <v>18</v>
      </c>
      <c r="P3" s="100">
        <v>0</v>
      </c>
      <c r="Q3" s="101">
        <f t="shared" ref="Q3:Q23" si="2">SUM(F3:J3)+SUM(L3:P3)</f>
        <v>69</v>
      </c>
      <c r="R3" s="101">
        <f t="shared" ref="R3:R23" si="3">+D3-Q3</f>
        <v>0</v>
      </c>
      <c r="S3" s="102">
        <f>+R3/2.25</f>
        <v>0</v>
      </c>
    </row>
    <row r="4" spans="1:19" ht="14.25" customHeight="1" x14ac:dyDescent="0.75">
      <c r="A4" s="93">
        <v>666502</v>
      </c>
      <c r="B4" s="94" t="s">
        <v>6</v>
      </c>
      <c r="C4" s="95" t="s">
        <v>7</v>
      </c>
      <c r="D4" s="96">
        <v>0</v>
      </c>
      <c r="E4" s="97">
        <f t="shared" si="0"/>
        <v>0</v>
      </c>
      <c r="F4" s="96">
        <v>0</v>
      </c>
      <c r="G4" s="98">
        <v>0</v>
      </c>
      <c r="H4" s="96">
        <v>0</v>
      </c>
      <c r="I4" s="96">
        <v>0</v>
      </c>
      <c r="J4" s="96">
        <v>0</v>
      </c>
      <c r="K4" s="99">
        <f t="shared" si="1"/>
        <v>0</v>
      </c>
      <c r="L4" s="96">
        <v>0</v>
      </c>
      <c r="M4" s="96">
        <v>0</v>
      </c>
      <c r="N4" s="96">
        <v>0</v>
      </c>
      <c r="O4" s="96">
        <v>0</v>
      </c>
      <c r="P4" s="100">
        <v>0</v>
      </c>
      <c r="Q4" s="101">
        <f t="shared" si="2"/>
        <v>0</v>
      </c>
      <c r="R4" s="101">
        <f t="shared" si="3"/>
        <v>0</v>
      </c>
      <c r="S4" s="102">
        <f>+R4/2.25</f>
        <v>0</v>
      </c>
    </row>
    <row r="5" spans="1:19" ht="14.25" customHeight="1" x14ac:dyDescent="0.75">
      <c r="A5" s="93">
        <v>666505</v>
      </c>
      <c r="B5" s="94" t="s">
        <v>8</v>
      </c>
      <c r="C5" s="95" t="s">
        <v>9</v>
      </c>
      <c r="D5" s="96">
        <v>20</v>
      </c>
      <c r="E5" s="97">
        <f t="shared" si="0"/>
        <v>3.3333333333333335</v>
      </c>
      <c r="F5" s="96">
        <v>18</v>
      </c>
      <c r="G5" s="98">
        <v>0</v>
      </c>
      <c r="H5" s="96">
        <v>2</v>
      </c>
      <c r="I5" s="96">
        <v>0</v>
      </c>
      <c r="J5" s="96">
        <v>0</v>
      </c>
      <c r="K5" s="99">
        <f t="shared" si="1"/>
        <v>0</v>
      </c>
      <c r="L5" s="96">
        <v>0</v>
      </c>
      <c r="M5" s="96">
        <v>0</v>
      </c>
      <c r="N5" s="96">
        <v>0</v>
      </c>
      <c r="O5" s="96">
        <v>0</v>
      </c>
      <c r="P5" s="100">
        <v>0</v>
      </c>
      <c r="Q5" s="133">
        <f t="shared" si="2"/>
        <v>20</v>
      </c>
      <c r="R5" s="101">
        <f t="shared" si="3"/>
        <v>0</v>
      </c>
      <c r="S5" s="102">
        <f>+R5/2.25</f>
        <v>0</v>
      </c>
    </row>
    <row r="6" spans="1:19" ht="14.25" customHeight="1" x14ac:dyDescent="0.75">
      <c r="A6" s="93">
        <v>666506</v>
      </c>
      <c r="B6" s="94" t="s">
        <v>10</v>
      </c>
      <c r="C6" s="95" t="s">
        <v>11</v>
      </c>
      <c r="D6" s="96">
        <v>0</v>
      </c>
      <c r="E6" s="97">
        <f t="shared" si="0"/>
        <v>0</v>
      </c>
      <c r="F6" s="96">
        <v>0</v>
      </c>
      <c r="G6" s="98">
        <v>0</v>
      </c>
      <c r="H6" s="96">
        <v>0</v>
      </c>
      <c r="I6" s="96">
        <v>0</v>
      </c>
      <c r="J6" s="96">
        <v>0</v>
      </c>
      <c r="K6" s="99">
        <f t="shared" si="1"/>
        <v>0</v>
      </c>
      <c r="L6" s="96">
        <v>0</v>
      </c>
      <c r="M6" s="96">
        <v>0</v>
      </c>
      <c r="N6" s="96">
        <v>0</v>
      </c>
      <c r="O6" s="96">
        <v>0</v>
      </c>
      <c r="P6" s="100">
        <v>0</v>
      </c>
      <c r="Q6" s="101">
        <f t="shared" si="2"/>
        <v>0</v>
      </c>
      <c r="R6" s="101">
        <f t="shared" si="3"/>
        <v>0</v>
      </c>
      <c r="S6" s="102">
        <f>+R6/2.25</f>
        <v>0</v>
      </c>
    </row>
    <row r="7" spans="1:19" ht="14.25" customHeight="1" x14ac:dyDescent="0.75">
      <c r="A7" s="93">
        <v>666507</v>
      </c>
      <c r="B7" s="94" t="s">
        <v>12</v>
      </c>
      <c r="C7" s="95" t="s">
        <v>13</v>
      </c>
      <c r="D7" s="96">
        <v>42</v>
      </c>
      <c r="E7" s="97">
        <f t="shared" si="0"/>
        <v>7</v>
      </c>
      <c r="F7" s="96">
        <v>4</v>
      </c>
      <c r="G7" s="98">
        <v>0</v>
      </c>
      <c r="H7" s="96">
        <v>4</v>
      </c>
      <c r="I7" s="96">
        <v>4</v>
      </c>
      <c r="J7" s="96">
        <v>4</v>
      </c>
      <c r="K7" s="99">
        <f t="shared" si="1"/>
        <v>7.4285714285714288</v>
      </c>
      <c r="L7" s="96">
        <v>1</v>
      </c>
      <c r="M7" s="96">
        <v>0</v>
      </c>
      <c r="N7" s="96">
        <v>9</v>
      </c>
      <c r="O7" s="96">
        <v>11</v>
      </c>
      <c r="P7" s="100">
        <v>5</v>
      </c>
      <c r="Q7" s="133">
        <f t="shared" si="2"/>
        <v>42</v>
      </c>
      <c r="R7" s="101">
        <f t="shared" si="3"/>
        <v>0</v>
      </c>
      <c r="S7" s="102">
        <f>+R7/2.25</f>
        <v>0</v>
      </c>
    </row>
    <row r="8" spans="1:19" ht="14.25" customHeight="1" x14ac:dyDescent="0.75">
      <c r="A8" s="93">
        <v>666509</v>
      </c>
      <c r="B8" s="94" t="s">
        <v>14</v>
      </c>
      <c r="C8" s="95" t="s">
        <v>15</v>
      </c>
      <c r="D8" s="96">
        <v>100</v>
      </c>
      <c r="E8" s="97">
        <f t="shared" si="0"/>
        <v>16.666666666666668</v>
      </c>
      <c r="F8" s="96">
        <v>14</v>
      </c>
      <c r="G8" s="98">
        <v>0</v>
      </c>
      <c r="H8" s="96">
        <v>18</v>
      </c>
      <c r="I8" s="96">
        <v>11</v>
      </c>
      <c r="J8" s="96">
        <v>23</v>
      </c>
      <c r="K8" s="99">
        <f t="shared" si="1"/>
        <v>9.7142857142857135</v>
      </c>
      <c r="L8" s="96">
        <v>10</v>
      </c>
      <c r="M8" s="96">
        <v>0</v>
      </c>
      <c r="N8" s="96">
        <v>24</v>
      </c>
      <c r="O8" s="96">
        <v>0</v>
      </c>
      <c r="P8" s="100">
        <v>0</v>
      </c>
      <c r="Q8" s="101">
        <f t="shared" si="2"/>
        <v>100</v>
      </c>
      <c r="R8" s="101">
        <f t="shared" si="3"/>
        <v>0</v>
      </c>
      <c r="S8" s="102">
        <f>+R8/2</f>
        <v>0</v>
      </c>
    </row>
    <row r="9" spans="1:19" ht="14.25" customHeight="1" x14ac:dyDescent="0.75">
      <c r="A9" s="93">
        <v>666510</v>
      </c>
      <c r="B9" s="94" t="s">
        <v>16</v>
      </c>
      <c r="C9" s="95" t="s">
        <v>169</v>
      </c>
      <c r="D9" s="96">
        <v>0</v>
      </c>
      <c r="E9" s="97">
        <f t="shared" si="0"/>
        <v>0</v>
      </c>
      <c r="F9" s="96">
        <v>0</v>
      </c>
      <c r="G9" s="98">
        <v>0</v>
      </c>
      <c r="H9" s="96">
        <v>0</v>
      </c>
      <c r="I9" s="96">
        <v>0</v>
      </c>
      <c r="J9" s="96">
        <v>0</v>
      </c>
      <c r="K9" s="99">
        <f t="shared" si="1"/>
        <v>0</v>
      </c>
      <c r="L9" s="96">
        <v>0</v>
      </c>
      <c r="M9" s="96">
        <v>0</v>
      </c>
      <c r="N9" s="96">
        <v>0</v>
      </c>
      <c r="O9" s="96">
        <v>0</v>
      </c>
      <c r="P9" s="100">
        <v>0</v>
      </c>
      <c r="Q9" s="101">
        <f t="shared" si="2"/>
        <v>0</v>
      </c>
      <c r="R9" s="101">
        <f t="shared" si="3"/>
        <v>0</v>
      </c>
      <c r="S9" s="102">
        <f t="shared" ref="S9:S19" si="4">+R9/2.25</f>
        <v>0</v>
      </c>
    </row>
    <row r="10" spans="1:19" ht="14.25" customHeight="1" x14ac:dyDescent="0.75">
      <c r="A10" s="93">
        <v>666511</v>
      </c>
      <c r="B10" s="94" t="s">
        <v>18</v>
      </c>
      <c r="C10" s="95" t="s">
        <v>19</v>
      </c>
      <c r="D10" s="96">
        <v>8</v>
      </c>
      <c r="E10" s="97">
        <f t="shared" si="0"/>
        <v>1.3333333333333333</v>
      </c>
      <c r="F10" s="96">
        <v>0</v>
      </c>
      <c r="G10" s="98">
        <v>0</v>
      </c>
      <c r="H10" s="96">
        <v>0</v>
      </c>
      <c r="I10" s="96">
        <v>0</v>
      </c>
      <c r="J10" s="96">
        <v>0</v>
      </c>
      <c r="K10" s="99">
        <f t="shared" si="1"/>
        <v>2.2857142857142856</v>
      </c>
      <c r="L10" s="96">
        <v>0</v>
      </c>
      <c r="M10" s="96">
        <v>0</v>
      </c>
      <c r="N10" s="96">
        <v>5</v>
      </c>
      <c r="O10" s="96">
        <v>3</v>
      </c>
      <c r="P10" s="100">
        <v>0</v>
      </c>
      <c r="Q10" s="101">
        <f t="shared" si="2"/>
        <v>8</v>
      </c>
      <c r="R10" s="101">
        <f t="shared" si="3"/>
        <v>0</v>
      </c>
      <c r="S10" s="102">
        <f t="shared" si="4"/>
        <v>0</v>
      </c>
    </row>
    <row r="11" spans="1:19" ht="14.25" customHeight="1" x14ac:dyDescent="0.75">
      <c r="A11" s="93">
        <v>666513</v>
      </c>
      <c r="B11" s="94" t="s">
        <v>20</v>
      </c>
      <c r="C11" s="95" t="s">
        <v>21</v>
      </c>
      <c r="D11" s="96">
        <v>0</v>
      </c>
      <c r="E11" s="97">
        <f t="shared" si="0"/>
        <v>0</v>
      </c>
      <c r="F11" s="96">
        <v>0</v>
      </c>
      <c r="G11" s="98">
        <v>0</v>
      </c>
      <c r="H11" s="96">
        <v>0</v>
      </c>
      <c r="I11" s="96">
        <v>0</v>
      </c>
      <c r="J11" s="96">
        <v>0</v>
      </c>
      <c r="K11" s="99">
        <f t="shared" si="1"/>
        <v>0</v>
      </c>
      <c r="L11" s="96">
        <v>0</v>
      </c>
      <c r="M11" s="96">
        <v>0</v>
      </c>
      <c r="N11" s="96">
        <v>0</v>
      </c>
      <c r="O11" s="96">
        <v>0</v>
      </c>
      <c r="P11" s="100">
        <v>0</v>
      </c>
      <c r="Q11" s="101">
        <f t="shared" si="2"/>
        <v>0</v>
      </c>
      <c r="R11" s="101">
        <f t="shared" si="3"/>
        <v>0</v>
      </c>
      <c r="S11" s="102">
        <f t="shared" si="4"/>
        <v>0</v>
      </c>
    </row>
    <row r="12" spans="1:19" ht="14.25" customHeight="1" x14ac:dyDescent="0.75">
      <c r="A12" s="93">
        <v>666516</v>
      </c>
      <c r="B12" s="94" t="s">
        <v>22</v>
      </c>
      <c r="C12" s="95" t="s">
        <v>23</v>
      </c>
      <c r="D12" s="96">
        <v>34</v>
      </c>
      <c r="E12" s="97">
        <f t="shared" si="0"/>
        <v>5.666666666666667</v>
      </c>
      <c r="F12" s="96">
        <v>6</v>
      </c>
      <c r="G12" s="98">
        <v>0</v>
      </c>
      <c r="H12" s="96">
        <v>11</v>
      </c>
      <c r="I12" s="96">
        <v>9</v>
      </c>
      <c r="J12" s="96">
        <v>8</v>
      </c>
      <c r="K12" s="99">
        <f t="shared" si="1"/>
        <v>0</v>
      </c>
      <c r="L12" s="96">
        <v>0</v>
      </c>
      <c r="M12" s="96">
        <v>0</v>
      </c>
      <c r="N12" s="96">
        <v>0</v>
      </c>
      <c r="O12" s="96">
        <v>0</v>
      </c>
      <c r="P12" s="100">
        <v>0</v>
      </c>
      <c r="Q12" s="133">
        <f t="shared" si="2"/>
        <v>34</v>
      </c>
      <c r="R12" s="101">
        <f t="shared" si="3"/>
        <v>0</v>
      </c>
      <c r="S12" s="102">
        <f t="shared" si="4"/>
        <v>0</v>
      </c>
    </row>
    <row r="13" spans="1:19" ht="14.25" customHeight="1" x14ac:dyDescent="0.75">
      <c r="A13" s="93">
        <v>666517</v>
      </c>
      <c r="B13" s="94" t="s">
        <v>24</v>
      </c>
      <c r="C13" s="95" t="s">
        <v>25</v>
      </c>
      <c r="D13" s="96">
        <v>46</v>
      </c>
      <c r="E13" s="97">
        <f t="shared" si="0"/>
        <v>7.666666666666667</v>
      </c>
      <c r="F13" s="96">
        <v>7</v>
      </c>
      <c r="G13" s="98">
        <v>0</v>
      </c>
      <c r="H13" s="96">
        <v>11</v>
      </c>
      <c r="I13" s="96">
        <v>9</v>
      </c>
      <c r="J13" s="96">
        <v>10</v>
      </c>
      <c r="K13" s="99">
        <f t="shared" si="1"/>
        <v>2.5714285714285716</v>
      </c>
      <c r="L13" s="96">
        <v>9</v>
      </c>
      <c r="M13" s="96">
        <v>0</v>
      </c>
      <c r="N13" s="96">
        <v>0</v>
      </c>
      <c r="O13" s="96">
        <v>0</v>
      </c>
      <c r="P13" s="100">
        <v>0</v>
      </c>
      <c r="Q13" s="133">
        <f t="shared" si="2"/>
        <v>46</v>
      </c>
      <c r="R13" s="101">
        <f t="shared" si="3"/>
        <v>0</v>
      </c>
      <c r="S13" s="102">
        <f t="shared" si="4"/>
        <v>0</v>
      </c>
    </row>
    <row r="14" spans="1:19" ht="14.25" customHeight="1" x14ac:dyDescent="0.75">
      <c r="A14" s="93">
        <v>666518</v>
      </c>
      <c r="B14" s="94" t="s">
        <v>26</v>
      </c>
      <c r="C14" s="95" t="s">
        <v>27</v>
      </c>
      <c r="D14" s="96">
        <v>0</v>
      </c>
      <c r="E14" s="97">
        <f t="shared" si="0"/>
        <v>0</v>
      </c>
      <c r="F14" s="96">
        <v>0</v>
      </c>
      <c r="G14" s="98">
        <v>0</v>
      </c>
      <c r="H14" s="96">
        <v>0</v>
      </c>
      <c r="I14" s="96">
        <v>0</v>
      </c>
      <c r="J14" s="96">
        <v>0</v>
      </c>
      <c r="K14" s="99">
        <f t="shared" si="1"/>
        <v>0</v>
      </c>
      <c r="L14" s="96">
        <v>0</v>
      </c>
      <c r="M14" s="96">
        <v>0</v>
      </c>
      <c r="N14" s="96">
        <v>0</v>
      </c>
      <c r="O14" s="96">
        <v>0</v>
      </c>
      <c r="P14" s="100">
        <v>0</v>
      </c>
      <c r="Q14" s="101">
        <f t="shared" si="2"/>
        <v>0</v>
      </c>
      <c r="R14" s="101">
        <f t="shared" si="3"/>
        <v>0</v>
      </c>
      <c r="S14" s="102">
        <f t="shared" si="4"/>
        <v>0</v>
      </c>
    </row>
    <row r="15" spans="1:19" ht="14.25" customHeight="1" x14ac:dyDescent="0.75">
      <c r="A15" s="93">
        <v>666519</v>
      </c>
      <c r="B15" s="94" t="s">
        <v>28</v>
      </c>
      <c r="C15" s="95" t="s">
        <v>29</v>
      </c>
      <c r="D15" s="96">
        <v>33</v>
      </c>
      <c r="E15" s="97">
        <f t="shared" si="0"/>
        <v>5.5</v>
      </c>
      <c r="F15" s="96">
        <v>8</v>
      </c>
      <c r="G15" s="98">
        <v>0</v>
      </c>
      <c r="H15" s="96">
        <v>13</v>
      </c>
      <c r="I15" s="96">
        <v>12</v>
      </c>
      <c r="J15" s="96">
        <v>0</v>
      </c>
      <c r="K15" s="99">
        <f t="shared" si="1"/>
        <v>0</v>
      </c>
      <c r="L15" s="96">
        <v>0</v>
      </c>
      <c r="M15" s="96">
        <v>0</v>
      </c>
      <c r="N15" s="96">
        <v>0</v>
      </c>
      <c r="O15" s="96">
        <v>0</v>
      </c>
      <c r="P15" s="100">
        <v>0</v>
      </c>
      <c r="Q15" s="133">
        <f t="shared" si="2"/>
        <v>33</v>
      </c>
      <c r="R15" s="101">
        <f t="shared" si="3"/>
        <v>0</v>
      </c>
      <c r="S15" s="102">
        <f t="shared" si="4"/>
        <v>0</v>
      </c>
    </row>
    <row r="16" spans="1:19" ht="14.25" customHeight="1" x14ac:dyDescent="0.75">
      <c r="A16" s="93">
        <v>666521</v>
      </c>
      <c r="B16" s="94" t="s">
        <v>30</v>
      </c>
      <c r="C16" s="95" t="s">
        <v>31</v>
      </c>
      <c r="D16" s="96">
        <v>52</v>
      </c>
      <c r="E16" s="97">
        <f t="shared" si="0"/>
        <v>8.6666666666666661</v>
      </c>
      <c r="F16" s="96">
        <v>3</v>
      </c>
      <c r="G16" s="98">
        <v>0</v>
      </c>
      <c r="H16" s="96">
        <v>7</v>
      </c>
      <c r="I16" s="96">
        <v>8</v>
      </c>
      <c r="J16" s="96">
        <v>6</v>
      </c>
      <c r="K16" s="99">
        <f t="shared" si="1"/>
        <v>8</v>
      </c>
      <c r="L16" s="96">
        <v>11</v>
      </c>
      <c r="M16" s="96">
        <v>0</v>
      </c>
      <c r="N16" s="96">
        <v>5</v>
      </c>
      <c r="O16" s="96">
        <v>10</v>
      </c>
      <c r="P16" s="100">
        <v>2</v>
      </c>
      <c r="Q16" s="133">
        <f t="shared" si="2"/>
        <v>52</v>
      </c>
      <c r="R16" s="101">
        <f t="shared" si="3"/>
        <v>0</v>
      </c>
      <c r="S16" s="102">
        <f t="shared" si="4"/>
        <v>0</v>
      </c>
    </row>
    <row r="17" spans="1:19" ht="14.25" customHeight="1" x14ac:dyDescent="0.75">
      <c r="A17" s="93">
        <v>666522</v>
      </c>
      <c r="B17" s="94" t="s">
        <v>32</v>
      </c>
      <c r="C17" s="95" t="s">
        <v>33</v>
      </c>
      <c r="D17" s="96">
        <v>130</v>
      </c>
      <c r="E17" s="97">
        <f t="shared" si="0"/>
        <v>21.666666666666668</v>
      </c>
      <c r="F17" s="96">
        <v>10</v>
      </c>
      <c r="G17" s="98">
        <v>0</v>
      </c>
      <c r="H17" s="96">
        <v>20</v>
      </c>
      <c r="I17" s="96">
        <v>35</v>
      </c>
      <c r="J17" s="96">
        <v>20</v>
      </c>
      <c r="K17" s="99">
        <f t="shared" si="1"/>
        <v>12.857142857142858</v>
      </c>
      <c r="L17" s="96">
        <v>35</v>
      </c>
      <c r="M17" s="96">
        <v>0</v>
      </c>
      <c r="N17" s="96">
        <v>10</v>
      </c>
      <c r="O17" s="96">
        <v>0</v>
      </c>
      <c r="P17" s="100">
        <v>0</v>
      </c>
      <c r="Q17" s="133">
        <f t="shared" si="2"/>
        <v>130</v>
      </c>
      <c r="R17" s="101">
        <f t="shared" si="3"/>
        <v>0</v>
      </c>
      <c r="S17" s="102">
        <f t="shared" si="4"/>
        <v>0</v>
      </c>
    </row>
    <row r="18" spans="1:19" ht="14.25" customHeight="1" x14ac:dyDescent="0.75">
      <c r="A18" s="93">
        <v>666523</v>
      </c>
      <c r="B18" s="94" t="s">
        <v>34</v>
      </c>
      <c r="C18" s="95" t="s">
        <v>35</v>
      </c>
      <c r="D18" s="96">
        <v>0</v>
      </c>
      <c r="E18" s="97">
        <f t="shared" si="0"/>
        <v>0</v>
      </c>
      <c r="F18" s="96">
        <v>0</v>
      </c>
      <c r="G18" s="98">
        <v>0</v>
      </c>
      <c r="H18" s="96">
        <v>0</v>
      </c>
      <c r="I18" s="96">
        <v>0</v>
      </c>
      <c r="J18" s="96">
        <v>0</v>
      </c>
      <c r="K18" s="99">
        <f t="shared" si="1"/>
        <v>0</v>
      </c>
      <c r="L18" s="96">
        <v>0</v>
      </c>
      <c r="M18" s="96">
        <v>0</v>
      </c>
      <c r="N18" s="96">
        <v>0</v>
      </c>
      <c r="O18" s="96">
        <v>0</v>
      </c>
      <c r="P18" s="100">
        <v>0</v>
      </c>
      <c r="Q18" s="101">
        <f t="shared" si="2"/>
        <v>0</v>
      </c>
      <c r="R18" s="101">
        <f t="shared" si="3"/>
        <v>0</v>
      </c>
      <c r="S18" s="102">
        <f t="shared" si="4"/>
        <v>0</v>
      </c>
    </row>
    <row r="19" spans="1:19" ht="14.25" customHeight="1" x14ac:dyDescent="0.75">
      <c r="A19" s="93">
        <v>666530</v>
      </c>
      <c r="B19" s="94" t="s">
        <v>36</v>
      </c>
      <c r="C19" s="95" t="s">
        <v>37</v>
      </c>
      <c r="D19" s="96">
        <v>5</v>
      </c>
      <c r="E19" s="97">
        <f t="shared" si="0"/>
        <v>0.83333333333333337</v>
      </c>
      <c r="F19" s="96">
        <v>5</v>
      </c>
      <c r="G19" s="98">
        <v>0</v>
      </c>
      <c r="H19" s="96">
        <v>0</v>
      </c>
      <c r="I19" s="96">
        <v>0</v>
      </c>
      <c r="J19" s="96">
        <v>0</v>
      </c>
      <c r="K19" s="99">
        <f t="shared" si="1"/>
        <v>0</v>
      </c>
      <c r="L19" s="96">
        <v>0</v>
      </c>
      <c r="M19" s="96">
        <v>0</v>
      </c>
      <c r="N19" s="96">
        <v>0</v>
      </c>
      <c r="O19" s="96">
        <v>0</v>
      </c>
      <c r="P19" s="100">
        <v>0</v>
      </c>
      <c r="Q19" s="133">
        <f t="shared" si="2"/>
        <v>5</v>
      </c>
      <c r="R19" s="101">
        <f t="shared" si="3"/>
        <v>0</v>
      </c>
      <c r="S19" s="102">
        <f t="shared" si="4"/>
        <v>0</v>
      </c>
    </row>
    <row r="20" spans="1:19" ht="14.25" customHeight="1" x14ac:dyDescent="0.75">
      <c r="A20" s="93">
        <v>666531</v>
      </c>
      <c r="B20" s="94" t="s">
        <v>38</v>
      </c>
      <c r="C20" s="95" t="s">
        <v>39</v>
      </c>
      <c r="D20" s="96">
        <v>18</v>
      </c>
      <c r="E20" s="97">
        <f t="shared" si="0"/>
        <v>3</v>
      </c>
      <c r="F20" s="96">
        <v>6</v>
      </c>
      <c r="G20" s="98">
        <v>0</v>
      </c>
      <c r="H20" s="96">
        <v>5</v>
      </c>
      <c r="I20" s="96">
        <v>6</v>
      </c>
      <c r="J20" s="96">
        <v>1</v>
      </c>
      <c r="K20" s="99">
        <f t="shared" si="1"/>
        <v>0</v>
      </c>
      <c r="L20" s="96">
        <v>0</v>
      </c>
      <c r="M20" s="96">
        <v>0</v>
      </c>
      <c r="N20" s="96">
        <v>0</v>
      </c>
      <c r="O20" s="96">
        <v>0</v>
      </c>
      <c r="P20" s="100">
        <v>0</v>
      </c>
      <c r="Q20" s="133">
        <f t="shared" si="2"/>
        <v>18</v>
      </c>
      <c r="R20" s="101">
        <f t="shared" si="3"/>
        <v>0</v>
      </c>
      <c r="S20" s="102"/>
    </row>
    <row r="21" spans="1:19" ht="14.25" customHeight="1" x14ac:dyDescent="0.75">
      <c r="A21" s="93">
        <v>666540</v>
      </c>
      <c r="B21" s="94" t="s">
        <v>40</v>
      </c>
      <c r="C21" s="95" t="s">
        <v>40</v>
      </c>
      <c r="D21" s="96">
        <v>0</v>
      </c>
      <c r="E21" s="97">
        <f t="shared" si="0"/>
        <v>0</v>
      </c>
      <c r="F21" s="96">
        <v>0</v>
      </c>
      <c r="G21" s="98">
        <v>0</v>
      </c>
      <c r="H21" s="96">
        <v>0</v>
      </c>
      <c r="I21" s="96">
        <v>0</v>
      </c>
      <c r="J21" s="96">
        <v>0</v>
      </c>
      <c r="K21" s="99">
        <f t="shared" si="1"/>
        <v>0</v>
      </c>
      <c r="L21" s="96">
        <v>0</v>
      </c>
      <c r="M21" s="96">
        <v>0</v>
      </c>
      <c r="N21" s="96">
        <v>0</v>
      </c>
      <c r="O21" s="96">
        <v>0</v>
      </c>
      <c r="P21" s="100">
        <v>0</v>
      </c>
      <c r="Q21" s="101">
        <f t="shared" si="2"/>
        <v>0</v>
      </c>
      <c r="R21" s="101">
        <f t="shared" si="3"/>
        <v>0</v>
      </c>
      <c r="S21" s="102"/>
    </row>
    <row r="22" spans="1:19" ht="15" customHeight="1" x14ac:dyDescent="0.75">
      <c r="A22" s="93">
        <v>666541</v>
      </c>
      <c r="B22" s="94" t="s">
        <v>41</v>
      </c>
      <c r="C22" s="103" t="s">
        <v>41</v>
      </c>
      <c r="D22" s="96">
        <v>0</v>
      </c>
      <c r="E22" s="97">
        <f t="shared" si="0"/>
        <v>0</v>
      </c>
      <c r="F22" s="104">
        <v>0</v>
      </c>
      <c r="G22" s="105">
        <v>0</v>
      </c>
      <c r="H22" s="104">
        <v>0</v>
      </c>
      <c r="I22" s="104">
        <v>0</v>
      </c>
      <c r="J22" s="104">
        <v>0</v>
      </c>
      <c r="K22" s="106">
        <f t="shared" si="1"/>
        <v>0</v>
      </c>
      <c r="L22" s="96">
        <v>0</v>
      </c>
      <c r="M22" s="96">
        <v>0</v>
      </c>
      <c r="N22" s="96">
        <v>0</v>
      </c>
      <c r="O22" s="96">
        <v>0</v>
      </c>
      <c r="P22" s="100">
        <v>0</v>
      </c>
      <c r="Q22" s="101">
        <f t="shared" si="2"/>
        <v>0</v>
      </c>
      <c r="R22" s="101">
        <f t="shared" si="3"/>
        <v>0</v>
      </c>
      <c r="S22" s="102"/>
    </row>
    <row r="23" spans="1:19" s="50" customFormat="1" ht="15" customHeight="1" x14ac:dyDescent="0.75">
      <c r="A23" s="108">
        <v>666536</v>
      </c>
      <c r="B23" s="109" t="s">
        <v>42</v>
      </c>
      <c r="C23" s="110"/>
      <c r="D23" s="104">
        <v>30</v>
      </c>
      <c r="E23" s="111">
        <f t="shared" si="0"/>
        <v>5</v>
      </c>
      <c r="F23" s="104">
        <v>4</v>
      </c>
      <c r="G23" s="105">
        <v>0</v>
      </c>
      <c r="H23" s="104">
        <v>3</v>
      </c>
      <c r="I23" s="104">
        <v>2</v>
      </c>
      <c r="J23" s="104">
        <v>3</v>
      </c>
      <c r="K23" s="106">
        <f t="shared" si="1"/>
        <v>5.1428571428571432</v>
      </c>
      <c r="L23" s="104">
        <v>2</v>
      </c>
      <c r="M23" s="104">
        <v>0</v>
      </c>
      <c r="N23" s="104">
        <v>3</v>
      </c>
      <c r="O23" s="104">
        <v>2</v>
      </c>
      <c r="P23" s="107">
        <v>4</v>
      </c>
      <c r="Q23" s="101">
        <f t="shared" si="2"/>
        <v>23</v>
      </c>
      <c r="R23" s="101">
        <f t="shared" si="3"/>
        <v>7</v>
      </c>
    </row>
    <row r="24" spans="1:19" s="50" customFormat="1" ht="15" customHeight="1" x14ac:dyDescent="0.75">
      <c r="A24" s="112"/>
      <c r="B24" s="113"/>
      <c r="D24" s="101"/>
      <c r="E24" s="114"/>
    </row>
    <row r="25" spans="1:19" ht="15" customHeight="1" x14ac:dyDescent="0.75">
      <c r="A25" s="4" t="str">
        <f>+A1</f>
        <v>Weeks of 03/23/26 &amp;03/30/6</v>
      </c>
      <c r="B25" s="4"/>
      <c r="C25" s="4"/>
      <c r="D25" s="4"/>
      <c r="E25" s="4"/>
      <c r="F25" s="115"/>
      <c r="G25" s="115"/>
      <c r="H25" s="115"/>
      <c r="I25" s="115"/>
      <c r="J25" s="116"/>
      <c r="K25" s="116"/>
      <c r="L25" s="116"/>
      <c r="M25" s="116"/>
      <c r="N25" s="116"/>
      <c r="O25" s="116"/>
      <c r="P25" s="117"/>
      <c r="Q25" s="101"/>
      <c r="R25" s="101"/>
    </row>
    <row r="26" spans="1:19" ht="42" customHeight="1" x14ac:dyDescent="0.75">
      <c r="A26" s="118"/>
      <c r="B26" s="119" t="s">
        <v>170</v>
      </c>
      <c r="C26" s="120" t="s">
        <v>65</v>
      </c>
      <c r="D26" s="121" t="s">
        <v>119</v>
      </c>
      <c r="E26" s="122" t="s">
        <v>171</v>
      </c>
      <c r="F26" s="88" t="s">
        <v>162</v>
      </c>
      <c r="G26" s="86" t="s">
        <v>163</v>
      </c>
      <c r="H26" s="87" t="s">
        <v>172</v>
      </c>
      <c r="I26" s="86" t="s">
        <v>165</v>
      </c>
      <c r="J26" s="123" t="s">
        <v>166</v>
      </c>
      <c r="K26" s="124" t="str">
        <f>+K2</f>
        <v>2nd wk daily goals</v>
      </c>
      <c r="L26" s="125" t="s">
        <v>162</v>
      </c>
      <c r="M26" s="86" t="s">
        <v>163</v>
      </c>
      <c r="N26" s="126" t="s">
        <v>172</v>
      </c>
      <c r="O26" s="86" t="s">
        <v>165</v>
      </c>
      <c r="P26" s="90" t="s">
        <v>166</v>
      </c>
      <c r="Q26" s="101"/>
      <c r="R26" s="92" t="s">
        <v>168</v>
      </c>
    </row>
    <row r="27" spans="1:19" ht="15" customHeight="1" x14ac:dyDescent="0.75">
      <c r="A27" s="93">
        <v>666501</v>
      </c>
      <c r="B27" s="94" t="s">
        <v>4</v>
      </c>
      <c r="C27" s="127" t="s">
        <v>5</v>
      </c>
      <c r="D27" s="128">
        <v>624</v>
      </c>
      <c r="E27" s="129">
        <f t="shared" ref="E27:E47" si="5">+D27/7</f>
        <v>89.142857142857139</v>
      </c>
      <c r="F27" s="96">
        <v>0</v>
      </c>
      <c r="G27" s="96">
        <v>135</v>
      </c>
      <c r="H27" s="96">
        <v>57</v>
      </c>
      <c r="I27" s="96">
        <v>51</v>
      </c>
      <c r="J27" s="130">
        <v>66</v>
      </c>
      <c r="K27" s="131">
        <f t="shared" ref="K27:K47" si="6">(+D27-SUM(F27:J27))/4</f>
        <v>78.75</v>
      </c>
      <c r="L27" s="132">
        <v>90</v>
      </c>
      <c r="M27" s="96">
        <v>159</v>
      </c>
      <c r="N27" s="96">
        <v>66</v>
      </c>
      <c r="O27" s="96">
        <v>0</v>
      </c>
      <c r="P27" s="100">
        <v>0</v>
      </c>
      <c r="Q27" s="133">
        <f t="shared" ref="Q27:Q47" si="7">SUM(F27:J27)+SUM(L27:P27)</f>
        <v>624</v>
      </c>
      <c r="R27" s="101">
        <f t="shared" ref="R27:R47" si="8">+D27-Q27</f>
        <v>0</v>
      </c>
      <c r="S27" s="102">
        <f t="shared" ref="S27:S36" si="9">+R27/3</f>
        <v>0</v>
      </c>
    </row>
    <row r="28" spans="1:19" ht="15" customHeight="1" x14ac:dyDescent="0.75">
      <c r="A28" s="93">
        <v>666502</v>
      </c>
      <c r="B28" s="94" t="s">
        <v>6</v>
      </c>
      <c r="C28" s="127" t="s">
        <v>7</v>
      </c>
      <c r="D28" s="128">
        <v>350</v>
      </c>
      <c r="E28" s="129">
        <f t="shared" si="5"/>
        <v>50</v>
      </c>
      <c r="F28" s="96">
        <v>50</v>
      </c>
      <c r="G28" s="96">
        <v>34</v>
      </c>
      <c r="H28" s="96">
        <v>20</v>
      </c>
      <c r="I28" s="96">
        <v>0</v>
      </c>
      <c r="J28" s="130">
        <v>20</v>
      </c>
      <c r="K28" s="131">
        <f t="shared" si="6"/>
        <v>56.5</v>
      </c>
      <c r="L28" s="132">
        <v>17</v>
      </c>
      <c r="M28" s="96">
        <v>50</v>
      </c>
      <c r="N28" s="96">
        <v>50</v>
      </c>
      <c r="O28" s="96">
        <v>79</v>
      </c>
      <c r="P28" s="100">
        <v>30</v>
      </c>
      <c r="Q28" s="101">
        <f t="shared" si="7"/>
        <v>350</v>
      </c>
      <c r="R28" s="101">
        <f t="shared" si="8"/>
        <v>0</v>
      </c>
      <c r="S28" s="102">
        <f t="shared" si="9"/>
        <v>0</v>
      </c>
    </row>
    <row r="29" spans="1:19" ht="15" customHeight="1" x14ac:dyDescent="0.75">
      <c r="A29" s="93">
        <v>666505</v>
      </c>
      <c r="B29" s="94" t="s">
        <v>8</v>
      </c>
      <c r="C29" s="127" t="s">
        <v>9</v>
      </c>
      <c r="D29" s="128">
        <v>0</v>
      </c>
      <c r="E29" s="129">
        <f t="shared" si="5"/>
        <v>0</v>
      </c>
      <c r="F29" s="96">
        <v>0</v>
      </c>
      <c r="G29" s="96">
        <v>0</v>
      </c>
      <c r="H29" s="96">
        <v>0</v>
      </c>
      <c r="I29" s="96">
        <v>0</v>
      </c>
      <c r="J29" s="130">
        <v>0</v>
      </c>
      <c r="K29" s="131">
        <f t="shared" si="6"/>
        <v>0</v>
      </c>
      <c r="L29" s="132">
        <v>0</v>
      </c>
      <c r="M29" s="96">
        <v>0</v>
      </c>
      <c r="N29" s="96">
        <v>0</v>
      </c>
      <c r="O29" s="96">
        <v>0</v>
      </c>
      <c r="P29" s="100">
        <v>0</v>
      </c>
      <c r="Q29" s="101">
        <f t="shared" si="7"/>
        <v>0</v>
      </c>
      <c r="R29" s="101">
        <f t="shared" si="8"/>
        <v>0</v>
      </c>
      <c r="S29" s="102">
        <f t="shared" si="9"/>
        <v>0</v>
      </c>
    </row>
    <row r="30" spans="1:19" ht="15" customHeight="1" x14ac:dyDescent="0.75">
      <c r="A30" s="93">
        <v>666506</v>
      </c>
      <c r="B30" s="94" t="s">
        <v>10</v>
      </c>
      <c r="C30" s="127" t="s">
        <v>11</v>
      </c>
      <c r="D30" s="128">
        <v>400</v>
      </c>
      <c r="E30" s="129">
        <f t="shared" si="5"/>
        <v>57.142857142857146</v>
      </c>
      <c r="F30" s="96">
        <v>0</v>
      </c>
      <c r="G30" s="96">
        <v>14</v>
      </c>
      <c r="H30" s="96">
        <v>0</v>
      </c>
      <c r="I30" s="96">
        <v>0</v>
      </c>
      <c r="J30" s="130">
        <v>0</v>
      </c>
      <c r="K30" s="131">
        <f t="shared" si="6"/>
        <v>96.5</v>
      </c>
      <c r="L30" s="132">
        <v>5</v>
      </c>
      <c r="M30" s="96">
        <v>0</v>
      </c>
      <c r="N30" s="96">
        <v>0</v>
      </c>
      <c r="O30" s="96">
        <v>0</v>
      </c>
      <c r="P30" s="100">
        <v>0</v>
      </c>
      <c r="Q30" s="168">
        <f t="shared" si="7"/>
        <v>19</v>
      </c>
      <c r="R30" s="169">
        <f t="shared" si="8"/>
        <v>381</v>
      </c>
      <c r="S30" s="102">
        <f t="shared" si="9"/>
        <v>127</v>
      </c>
    </row>
    <row r="31" spans="1:19" ht="15" customHeight="1" x14ac:dyDescent="0.75">
      <c r="A31" s="93">
        <v>666507</v>
      </c>
      <c r="B31" s="94" t="s">
        <v>12</v>
      </c>
      <c r="C31" s="127" t="s">
        <v>13</v>
      </c>
      <c r="D31" s="128">
        <v>0</v>
      </c>
      <c r="E31" s="129">
        <f t="shared" si="5"/>
        <v>0</v>
      </c>
      <c r="F31" s="96">
        <v>0</v>
      </c>
      <c r="G31" s="96">
        <v>0</v>
      </c>
      <c r="H31" s="96">
        <v>0</v>
      </c>
      <c r="I31" s="96">
        <v>0</v>
      </c>
      <c r="J31" s="130">
        <v>0</v>
      </c>
      <c r="K31" s="131">
        <f t="shared" si="6"/>
        <v>0</v>
      </c>
      <c r="L31" s="132">
        <v>0</v>
      </c>
      <c r="M31" s="96">
        <v>0</v>
      </c>
      <c r="N31" s="96">
        <v>0</v>
      </c>
      <c r="O31" s="96">
        <v>0</v>
      </c>
      <c r="P31" s="100">
        <v>0</v>
      </c>
      <c r="Q31" s="101">
        <f t="shared" si="7"/>
        <v>0</v>
      </c>
      <c r="R31" s="101">
        <f t="shared" si="8"/>
        <v>0</v>
      </c>
      <c r="S31" s="102">
        <f t="shared" si="9"/>
        <v>0</v>
      </c>
    </row>
    <row r="32" spans="1:19" ht="15" customHeight="1" x14ac:dyDescent="0.75">
      <c r="A32" s="93">
        <v>666509</v>
      </c>
      <c r="B32" s="94" t="s">
        <v>14</v>
      </c>
      <c r="C32" s="127" t="s">
        <v>15</v>
      </c>
      <c r="D32" s="128">
        <v>0</v>
      </c>
      <c r="E32" s="129">
        <f t="shared" si="5"/>
        <v>0</v>
      </c>
      <c r="F32" s="96">
        <v>0</v>
      </c>
      <c r="G32" s="96">
        <v>0</v>
      </c>
      <c r="H32" s="96">
        <v>0</v>
      </c>
      <c r="I32" s="96">
        <v>0</v>
      </c>
      <c r="J32" s="130">
        <v>0</v>
      </c>
      <c r="K32" s="131">
        <f t="shared" si="6"/>
        <v>0</v>
      </c>
      <c r="L32" s="132">
        <v>0</v>
      </c>
      <c r="M32" s="96">
        <v>0</v>
      </c>
      <c r="N32" s="96">
        <v>0</v>
      </c>
      <c r="O32" s="96">
        <v>0</v>
      </c>
      <c r="P32" s="100">
        <v>0</v>
      </c>
      <c r="Q32" s="101">
        <f t="shared" si="7"/>
        <v>0</v>
      </c>
      <c r="R32" s="101">
        <f t="shared" si="8"/>
        <v>0</v>
      </c>
      <c r="S32" s="102">
        <f t="shared" si="9"/>
        <v>0</v>
      </c>
    </row>
    <row r="33" spans="1:24" ht="15" customHeight="1" x14ac:dyDescent="0.75">
      <c r="A33" s="93">
        <v>666510</v>
      </c>
      <c r="B33" s="94" t="s">
        <v>16</v>
      </c>
      <c r="C33" s="127" t="s">
        <v>169</v>
      </c>
      <c r="D33" s="128">
        <v>0</v>
      </c>
      <c r="E33" s="129">
        <f t="shared" si="5"/>
        <v>0</v>
      </c>
      <c r="F33" s="96">
        <v>0</v>
      </c>
      <c r="G33" s="96">
        <v>0</v>
      </c>
      <c r="H33" s="96">
        <v>0</v>
      </c>
      <c r="I33" s="96">
        <v>0</v>
      </c>
      <c r="J33" s="130">
        <v>0</v>
      </c>
      <c r="K33" s="131">
        <f t="shared" si="6"/>
        <v>0</v>
      </c>
      <c r="L33" s="132">
        <v>0</v>
      </c>
      <c r="M33" s="96">
        <v>0</v>
      </c>
      <c r="N33" s="96">
        <v>0</v>
      </c>
      <c r="O33" s="96">
        <v>0</v>
      </c>
      <c r="P33" s="100">
        <v>0</v>
      </c>
      <c r="Q33" s="101">
        <f t="shared" si="7"/>
        <v>0</v>
      </c>
      <c r="R33" s="101">
        <f t="shared" si="8"/>
        <v>0</v>
      </c>
      <c r="S33" s="102">
        <f t="shared" si="9"/>
        <v>0</v>
      </c>
    </row>
    <row r="34" spans="1:24" ht="15" customHeight="1" x14ac:dyDescent="0.75">
      <c r="A34" s="93">
        <v>666511</v>
      </c>
      <c r="B34" s="94" t="s">
        <v>18</v>
      </c>
      <c r="C34" s="127" t="s">
        <v>19</v>
      </c>
      <c r="D34" s="128">
        <v>0</v>
      </c>
      <c r="E34" s="129">
        <f t="shared" si="5"/>
        <v>0</v>
      </c>
      <c r="F34" s="96">
        <v>0</v>
      </c>
      <c r="G34" s="96">
        <v>0</v>
      </c>
      <c r="H34" s="96">
        <v>0</v>
      </c>
      <c r="I34" s="96">
        <v>0</v>
      </c>
      <c r="J34" s="130">
        <v>0</v>
      </c>
      <c r="K34" s="131">
        <f t="shared" si="6"/>
        <v>0</v>
      </c>
      <c r="L34" s="132">
        <v>0</v>
      </c>
      <c r="M34" s="96">
        <v>0</v>
      </c>
      <c r="N34" s="96">
        <v>0</v>
      </c>
      <c r="O34" s="96">
        <v>0</v>
      </c>
      <c r="P34" s="100">
        <v>0</v>
      </c>
      <c r="Q34" s="101">
        <f t="shared" si="7"/>
        <v>0</v>
      </c>
      <c r="R34" s="101">
        <f t="shared" si="8"/>
        <v>0</v>
      </c>
      <c r="S34" s="102">
        <f t="shared" si="9"/>
        <v>0</v>
      </c>
    </row>
    <row r="35" spans="1:24" ht="15" customHeight="1" x14ac:dyDescent="0.75">
      <c r="A35" s="93">
        <v>666513</v>
      </c>
      <c r="B35" s="94" t="s">
        <v>20</v>
      </c>
      <c r="C35" s="127" t="s">
        <v>21</v>
      </c>
      <c r="D35" s="128">
        <v>0</v>
      </c>
      <c r="E35" s="129">
        <f t="shared" si="5"/>
        <v>0</v>
      </c>
      <c r="F35" s="96">
        <v>0</v>
      </c>
      <c r="G35" s="96">
        <v>0</v>
      </c>
      <c r="H35" s="96">
        <v>0</v>
      </c>
      <c r="I35" s="96">
        <v>0</v>
      </c>
      <c r="J35" s="130">
        <v>0</v>
      </c>
      <c r="K35" s="131">
        <f t="shared" si="6"/>
        <v>0</v>
      </c>
      <c r="L35" s="132">
        <v>0</v>
      </c>
      <c r="M35" s="96">
        <v>0</v>
      </c>
      <c r="N35" s="96">
        <v>0</v>
      </c>
      <c r="O35" s="96">
        <v>0</v>
      </c>
      <c r="P35" s="100">
        <v>0</v>
      </c>
      <c r="Q35" s="101">
        <f t="shared" si="7"/>
        <v>0</v>
      </c>
      <c r="R35" s="101">
        <f t="shared" si="8"/>
        <v>0</v>
      </c>
      <c r="S35" s="102">
        <f t="shared" si="9"/>
        <v>0</v>
      </c>
    </row>
    <row r="36" spans="1:24" ht="15" customHeight="1" x14ac:dyDescent="0.75">
      <c r="A36" s="93">
        <v>666516</v>
      </c>
      <c r="B36" s="94" t="s">
        <v>22</v>
      </c>
      <c r="C36" s="127" t="s">
        <v>23</v>
      </c>
      <c r="D36" s="128">
        <v>0</v>
      </c>
      <c r="E36" s="129">
        <f t="shared" si="5"/>
        <v>0</v>
      </c>
      <c r="F36" s="96">
        <v>0</v>
      </c>
      <c r="G36" s="96">
        <v>0</v>
      </c>
      <c r="H36" s="96">
        <v>0</v>
      </c>
      <c r="I36" s="96">
        <v>0</v>
      </c>
      <c r="J36" s="130">
        <v>0</v>
      </c>
      <c r="K36" s="131">
        <f t="shared" si="6"/>
        <v>0</v>
      </c>
      <c r="L36" s="132">
        <v>0</v>
      </c>
      <c r="M36" s="96">
        <v>0</v>
      </c>
      <c r="N36" s="96">
        <v>0</v>
      </c>
      <c r="O36" s="96">
        <v>0</v>
      </c>
      <c r="P36" s="100">
        <v>0</v>
      </c>
      <c r="Q36" s="101">
        <f t="shared" si="7"/>
        <v>0</v>
      </c>
      <c r="R36" s="101">
        <f t="shared" si="8"/>
        <v>0</v>
      </c>
      <c r="S36" s="102">
        <f t="shared" si="9"/>
        <v>0</v>
      </c>
    </row>
    <row r="37" spans="1:24" ht="15" customHeight="1" x14ac:dyDescent="0.75">
      <c r="A37" s="93">
        <v>666517</v>
      </c>
      <c r="B37" s="94" t="s">
        <v>24</v>
      </c>
      <c r="C37" s="127" t="s">
        <v>25</v>
      </c>
      <c r="D37" s="128">
        <v>0</v>
      </c>
      <c r="E37" s="129">
        <f t="shared" si="5"/>
        <v>0</v>
      </c>
      <c r="F37" s="96">
        <v>0</v>
      </c>
      <c r="G37" s="96">
        <v>0</v>
      </c>
      <c r="H37" s="96">
        <v>0</v>
      </c>
      <c r="I37" s="96">
        <v>0</v>
      </c>
      <c r="J37" s="130">
        <v>0</v>
      </c>
      <c r="K37" s="131">
        <f t="shared" si="6"/>
        <v>0</v>
      </c>
      <c r="L37" s="132">
        <v>0</v>
      </c>
      <c r="M37" s="96">
        <v>0</v>
      </c>
      <c r="N37" s="96">
        <v>0</v>
      </c>
      <c r="O37" s="96">
        <v>0</v>
      </c>
      <c r="P37" s="100">
        <v>0</v>
      </c>
      <c r="Q37" s="101">
        <f t="shared" si="7"/>
        <v>0</v>
      </c>
      <c r="R37" s="101">
        <f t="shared" si="8"/>
        <v>0</v>
      </c>
      <c r="S37" s="102">
        <f>+R37/2</f>
        <v>0</v>
      </c>
    </row>
    <row r="38" spans="1:24" ht="15" customHeight="1" x14ac:dyDescent="0.75">
      <c r="A38" s="93">
        <v>666518</v>
      </c>
      <c r="B38" s="94" t="s">
        <v>26</v>
      </c>
      <c r="C38" s="127" t="s">
        <v>27</v>
      </c>
      <c r="D38" s="128">
        <v>0</v>
      </c>
      <c r="E38" s="129">
        <f t="shared" si="5"/>
        <v>0</v>
      </c>
      <c r="F38" s="96">
        <v>0</v>
      </c>
      <c r="G38" s="96">
        <v>0</v>
      </c>
      <c r="H38" s="96">
        <v>0</v>
      </c>
      <c r="I38" s="96">
        <v>0</v>
      </c>
      <c r="J38" s="130">
        <v>0</v>
      </c>
      <c r="K38" s="131">
        <f t="shared" si="6"/>
        <v>0</v>
      </c>
      <c r="L38" s="132">
        <v>0</v>
      </c>
      <c r="M38" s="96">
        <v>0</v>
      </c>
      <c r="N38" s="96">
        <v>0</v>
      </c>
      <c r="O38" s="96">
        <v>0</v>
      </c>
      <c r="P38" s="100">
        <v>0</v>
      </c>
      <c r="Q38" s="101">
        <f t="shared" si="7"/>
        <v>0</v>
      </c>
      <c r="R38" s="101">
        <f t="shared" si="8"/>
        <v>0</v>
      </c>
      <c r="S38" s="102">
        <f>+R38/3</f>
        <v>0</v>
      </c>
    </row>
    <row r="39" spans="1:24" ht="15" customHeight="1" x14ac:dyDescent="0.75">
      <c r="A39" s="93">
        <v>666519</v>
      </c>
      <c r="B39" s="94" t="s">
        <v>28</v>
      </c>
      <c r="C39" s="127" t="s">
        <v>29</v>
      </c>
      <c r="D39" s="128">
        <v>0</v>
      </c>
      <c r="E39" s="129">
        <f t="shared" si="5"/>
        <v>0</v>
      </c>
      <c r="F39" s="96">
        <v>0</v>
      </c>
      <c r="G39" s="96">
        <v>0</v>
      </c>
      <c r="H39" s="96">
        <v>0</v>
      </c>
      <c r="I39" s="96">
        <v>0</v>
      </c>
      <c r="J39" s="130">
        <v>0</v>
      </c>
      <c r="K39" s="131">
        <f t="shared" si="6"/>
        <v>0</v>
      </c>
      <c r="L39" s="132">
        <v>0</v>
      </c>
      <c r="M39" s="96">
        <v>0</v>
      </c>
      <c r="N39" s="96">
        <v>0</v>
      </c>
      <c r="O39" s="96">
        <v>0</v>
      </c>
      <c r="P39" s="100">
        <v>0</v>
      </c>
      <c r="Q39" s="101">
        <f t="shared" si="7"/>
        <v>0</v>
      </c>
      <c r="R39" s="101">
        <f t="shared" si="8"/>
        <v>0</v>
      </c>
      <c r="S39" s="102"/>
    </row>
    <row r="40" spans="1:24" ht="15" customHeight="1" x14ac:dyDescent="0.75">
      <c r="A40" s="93">
        <v>666521</v>
      </c>
      <c r="B40" s="94" t="s">
        <v>30</v>
      </c>
      <c r="C40" s="127" t="s">
        <v>31</v>
      </c>
      <c r="D40" s="128">
        <v>0</v>
      </c>
      <c r="E40" s="129">
        <f t="shared" si="5"/>
        <v>0</v>
      </c>
      <c r="F40" s="96">
        <v>0</v>
      </c>
      <c r="G40" s="96">
        <v>0</v>
      </c>
      <c r="H40" s="96">
        <v>0</v>
      </c>
      <c r="I40" s="96">
        <v>0</v>
      </c>
      <c r="J40" s="130">
        <v>0</v>
      </c>
      <c r="K40" s="131">
        <f t="shared" si="6"/>
        <v>0</v>
      </c>
      <c r="L40" s="132">
        <v>0</v>
      </c>
      <c r="M40" s="96">
        <v>0</v>
      </c>
      <c r="N40" s="96">
        <v>0</v>
      </c>
      <c r="O40" s="96">
        <v>0</v>
      </c>
      <c r="P40" s="100">
        <v>0</v>
      </c>
      <c r="Q40" s="101">
        <f t="shared" si="7"/>
        <v>0</v>
      </c>
      <c r="R40" s="101">
        <f t="shared" si="8"/>
        <v>0</v>
      </c>
      <c r="S40" s="102"/>
    </row>
    <row r="41" spans="1:24" ht="15" customHeight="1" x14ac:dyDescent="0.75">
      <c r="A41" s="93">
        <v>666522</v>
      </c>
      <c r="B41" s="94" t="s">
        <v>32</v>
      </c>
      <c r="C41" s="127" t="s">
        <v>33</v>
      </c>
      <c r="D41" s="128">
        <v>190</v>
      </c>
      <c r="E41" s="129">
        <f t="shared" si="5"/>
        <v>27.142857142857142</v>
      </c>
      <c r="F41" s="96">
        <v>60</v>
      </c>
      <c r="G41" s="96">
        <v>25</v>
      </c>
      <c r="H41" s="96">
        <v>15</v>
      </c>
      <c r="I41" s="96">
        <v>0</v>
      </c>
      <c r="J41" s="130">
        <v>85</v>
      </c>
      <c r="K41" s="131">
        <f t="shared" si="6"/>
        <v>1.25</v>
      </c>
      <c r="L41" s="132">
        <v>0</v>
      </c>
      <c r="M41" s="96">
        <v>0</v>
      </c>
      <c r="N41" s="96">
        <v>5</v>
      </c>
      <c r="O41" s="96">
        <v>0</v>
      </c>
      <c r="P41" s="100">
        <v>0</v>
      </c>
      <c r="Q41" s="133">
        <f t="shared" si="7"/>
        <v>190</v>
      </c>
      <c r="R41" s="101">
        <f t="shared" si="8"/>
        <v>0</v>
      </c>
      <c r="S41" s="102"/>
    </row>
    <row r="42" spans="1:24" ht="15" customHeight="1" x14ac:dyDescent="0.75">
      <c r="A42" s="93">
        <v>666523</v>
      </c>
      <c r="B42" s="94" t="s">
        <v>34</v>
      </c>
      <c r="C42" s="127" t="s">
        <v>35</v>
      </c>
      <c r="D42" s="128">
        <v>40</v>
      </c>
      <c r="E42" s="129">
        <f t="shared" si="5"/>
        <v>5.7142857142857144</v>
      </c>
      <c r="F42" s="96">
        <v>0</v>
      </c>
      <c r="G42" s="96">
        <v>35</v>
      </c>
      <c r="H42" s="96">
        <v>5</v>
      </c>
      <c r="I42" s="96">
        <v>0</v>
      </c>
      <c r="J42" s="130">
        <v>0</v>
      </c>
      <c r="K42" s="131">
        <f t="shared" si="6"/>
        <v>0</v>
      </c>
      <c r="L42" s="132">
        <v>0</v>
      </c>
      <c r="M42" s="96">
        <v>0</v>
      </c>
      <c r="N42" s="96">
        <v>0</v>
      </c>
      <c r="O42" s="96">
        <v>0</v>
      </c>
      <c r="P42" s="100">
        <v>0</v>
      </c>
      <c r="Q42" s="133">
        <f t="shared" si="7"/>
        <v>40</v>
      </c>
      <c r="R42" s="101">
        <f t="shared" si="8"/>
        <v>0</v>
      </c>
      <c r="S42" s="102"/>
    </row>
    <row r="43" spans="1:24" ht="15" customHeight="1" x14ac:dyDescent="0.75">
      <c r="A43" s="93">
        <v>666530</v>
      </c>
      <c r="B43" s="94" t="s">
        <v>36</v>
      </c>
      <c r="C43" s="127" t="s">
        <v>37</v>
      </c>
      <c r="D43" s="128">
        <v>0</v>
      </c>
      <c r="E43" s="129">
        <f t="shared" si="5"/>
        <v>0</v>
      </c>
      <c r="F43" s="96">
        <v>0</v>
      </c>
      <c r="G43" s="96">
        <v>0</v>
      </c>
      <c r="H43" s="96">
        <v>0</v>
      </c>
      <c r="I43" s="96">
        <v>0</v>
      </c>
      <c r="J43" s="130">
        <v>0</v>
      </c>
      <c r="K43" s="131">
        <f t="shared" si="6"/>
        <v>0</v>
      </c>
      <c r="L43" s="132">
        <v>0</v>
      </c>
      <c r="M43" s="96">
        <v>0</v>
      </c>
      <c r="N43" s="96">
        <v>0</v>
      </c>
      <c r="O43" s="96">
        <v>0</v>
      </c>
      <c r="P43" s="100">
        <v>0</v>
      </c>
      <c r="Q43" s="101">
        <f t="shared" si="7"/>
        <v>0</v>
      </c>
      <c r="R43" s="101">
        <f t="shared" si="8"/>
        <v>0</v>
      </c>
      <c r="S43" s="102"/>
    </row>
    <row r="44" spans="1:24" ht="15" customHeight="1" x14ac:dyDescent="0.75">
      <c r="A44" s="93">
        <v>666531</v>
      </c>
      <c r="B44" s="94" t="s">
        <v>38</v>
      </c>
      <c r="C44" s="127" t="s">
        <v>39</v>
      </c>
      <c r="D44" s="128">
        <v>0</v>
      </c>
      <c r="E44" s="129">
        <f t="shared" si="5"/>
        <v>0</v>
      </c>
      <c r="F44" s="96">
        <v>0</v>
      </c>
      <c r="G44" s="96">
        <v>0</v>
      </c>
      <c r="H44" s="96">
        <v>0</v>
      </c>
      <c r="I44" s="96">
        <v>0</v>
      </c>
      <c r="J44" s="130">
        <v>0</v>
      </c>
      <c r="K44" s="131">
        <f t="shared" si="6"/>
        <v>0</v>
      </c>
      <c r="L44" s="132">
        <v>0</v>
      </c>
      <c r="M44" s="96">
        <v>0</v>
      </c>
      <c r="N44" s="96">
        <v>0</v>
      </c>
      <c r="O44" s="96">
        <v>0</v>
      </c>
      <c r="P44" s="100">
        <v>0</v>
      </c>
      <c r="Q44" s="101">
        <f t="shared" si="7"/>
        <v>0</v>
      </c>
      <c r="R44" s="101">
        <f t="shared" si="8"/>
        <v>0</v>
      </c>
      <c r="S44" s="102">
        <f>+R44/3</f>
        <v>0</v>
      </c>
    </row>
    <row r="45" spans="1:24" ht="15" customHeight="1" x14ac:dyDescent="0.75">
      <c r="A45" s="93">
        <v>666540</v>
      </c>
      <c r="B45" s="94" t="s">
        <v>40</v>
      </c>
      <c r="C45" s="127" t="s">
        <v>40</v>
      </c>
      <c r="D45" s="128">
        <v>120</v>
      </c>
      <c r="E45" s="129">
        <f t="shared" si="5"/>
        <v>17.142857142857142</v>
      </c>
      <c r="F45" s="96">
        <v>0</v>
      </c>
      <c r="G45" s="96">
        <v>0</v>
      </c>
      <c r="H45" s="96">
        <v>0</v>
      </c>
      <c r="I45" s="96">
        <v>0</v>
      </c>
      <c r="J45" s="130">
        <v>0</v>
      </c>
      <c r="K45" s="131">
        <f t="shared" si="6"/>
        <v>30</v>
      </c>
      <c r="L45" s="132">
        <v>0</v>
      </c>
      <c r="M45" s="96">
        <v>0</v>
      </c>
      <c r="N45" s="96">
        <v>0</v>
      </c>
      <c r="O45" s="96">
        <v>0</v>
      </c>
      <c r="P45" s="100">
        <v>0</v>
      </c>
      <c r="Q45" s="101">
        <f t="shared" si="7"/>
        <v>0</v>
      </c>
      <c r="R45" s="101">
        <f t="shared" si="8"/>
        <v>120</v>
      </c>
      <c r="S45" s="102">
        <f>+R45/3</f>
        <v>40</v>
      </c>
    </row>
    <row r="46" spans="1:24" ht="15" customHeight="1" x14ac:dyDescent="0.75">
      <c r="A46" s="93">
        <v>666541</v>
      </c>
      <c r="B46" s="94" t="s">
        <v>41</v>
      </c>
      <c r="C46" s="127"/>
      <c r="D46" s="128">
        <v>600</v>
      </c>
      <c r="E46" s="129">
        <f t="shared" si="5"/>
        <v>85.714285714285708</v>
      </c>
      <c r="F46" s="96">
        <v>25</v>
      </c>
      <c r="G46" s="96">
        <v>47</v>
      </c>
      <c r="H46" s="96">
        <v>17</v>
      </c>
      <c r="I46" s="96">
        <v>32</v>
      </c>
      <c r="J46" s="130">
        <v>28</v>
      </c>
      <c r="K46" s="131">
        <f t="shared" si="6"/>
        <v>112.75</v>
      </c>
      <c r="L46" s="132">
        <v>21</v>
      </c>
      <c r="M46" s="96">
        <v>64</v>
      </c>
      <c r="N46" s="96">
        <v>20</v>
      </c>
      <c r="O46" s="96">
        <v>20</v>
      </c>
      <c r="P46" s="100">
        <v>34</v>
      </c>
      <c r="Q46" s="101">
        <f t="shared" si="7"/>
        <v>308</v>
      </c>
      <c r="R46" s="169">
        <f t="shared" si="8"/>
        <v>292</v>
      </c>
      <c r="S46" s="102"/>
    </row>
    <row r="47" spans="1:24" ht="15" customHeight="1" x14ac:dyDescent="0.75">
      <c r="A47" s="93">
        <v>666536</v>
      </c>
      <c r="B47" s="94" t="s">
        <v>42</v>
      </c>
      <c r="C47" s="134" t="s">
        <v>41</v>
      </c>
      <c r="D47" s="128">
        <v>0</v>
      </c>
      <c r="E47" s="129">
        <f t="shared" si="5"/>
        <v>0</v>
      </c>
      <c r="F47" s="96">
        <v>0</v>
      </c>
      <c r="G47" s="96">
        <v>0</v>
      </c>
      <c r="H47" s="96">
        <v>0</v>
      </c>
      <c r="I47" s="96">
        <v>0</v>
      </c>
      <c r="J47" s="130">
        <v>0</v>
      </c>
      <c r="K47" s="131">
        <f t="shared" si="6"/>
        <v>0</v>
      </c>
      <c r="L47" s="132">
        <v>0</v>
      </c>
      <c r="M47" s="96">
        <v>0</v>
      </c>
      <c r="N47" s="96">
        <v>0</v>
      </c>
      <c r="O47" s="96">
        <v>0</v>
      </c>
      <c r="P47" s="100">
        <v>0</v>
      </c>
      <c r="Q47" s="101">
        <f t="shared" si="7"/>
        <v>0</v>
      </c>
      <c r="R47" s="101">
        <f t="shared" si="8"/>
        <v>0</v>
      </c>
      <c r="S47" s="102">
        <f>+R47/3</f>
        <v>0</v>
      </c>
      <c r="X47" s="79" t="s">
        <v>152</v>
      </c>
    </row>
    <row r="48" spans="1:24" ht="15" customHeight="1" x14ac:dyDescent="0.75">
      <c r="A48" s="135"/>
      <c r="B48" s="136"/>
      <c r="C48" s="134"/>
      <c r="D48" s="137"/>
      <c r="E48" s="137"/>
      <c r="F48" s="138"/>
      <c r="G48" s="139"/>
      <c r="H48" s="139"/>
      <c r="I48" s="139"/>
      <c r="J48" s="139"/>
      <c r="K48" s="140"/>
      <c r="L48" s="139"/>
      <c r="M48" s="139"/>
      <c r="N48" s="139"/>
      <c r="O48" s="139"/>
      <c r="P48" s="141"/>
      <c r="Q48" s="101"/>
      <c r="R48" s="101"/>
      <c r="S48" s="102"/>
      <c r="T48" s="79">
        <v>10004968</v>
      </c>
    </row>
    <row r="49" spans="1:21" ht="15" customHeight="1" x14ac:dyDescent="0.75">
      <c r="A49" s="3" t="str">
        <f>+A1</f>
        <v>Weeks of 03/23/26 &amp;03/30/6</v>
      </c>
      <c r="B49" s="3"/>
      <c r="C49" s="3"/>
      <c r="D49" s="3"/>
      <c r="E49" s="3"/>
      <c r="F49" s="142"/>
      <c r="G49" s="81"/>
      <c r="H49" s="81"/>
      <c r="I49" s="81"/>
      <c r="J49" s="81"/>
      <c r="K49" s="81"/>
      <c r="L49" s="81"/>
      <c r="M49" s="81"/>
      <c r="N49" s="81"/>
      <c r="O49" s="81"/>
      <c r="P49" s="82"/>
      <c r="Q49" s="101"/>
    </row>
    <row r="50" spans="1:21" ht="36.75" customHeight="1" x14ac:dyDescent="0.75">
      <c r="A50" s="83"/>
      <c r="B50" s="143" t="s">
        <v>66</v>
      </c>
      <c r="C50" s="144"/>
      <c r="D50" s="86" t="s">
        <v>122</v>
      </c>
      <c r="E50" s="86" t="s">
        <v>173</v>
      </c>
      <c r="F50" s="88" t="s">
        <v>162</v>
      </c>
      <c r="G50" s="86" t="s">
        <v>163</v>
      </c>
      <c r="H50" s="87" t="s">
        <v>164</v>
      </c>
      <c r="I50" s="86" t="s">
        <v>165</v>
      </c>
      <c r="J50" s="86" t="s">
        <v>166</v>
      </c>
      <c r="K50" s="89" t="str">
        <f>+K26</f>
        <v>2nd wk daily goals</v>
      </c>
      <c r="L50" s="88" t="s">
        <v>162</v>
      </c>
      <c r="M50" s="86" t="s">
        <v>163</v>
      </c>
      <c r="N50" s="87" t="s">
        <v>164</v>
      </c>
      <c r="O50" s="86" t="s">
        <v>165</v>
      </c>
      <c r="P50" s="90" t="s">
        <v>166</v>
      </c>
      <c r="Q50" s="101"/>
      <c r="R50" s="92" t="s">
        <v>168</v>
      </c>
    </row>
    <row r="51" spans="1:21" ht="14.25" customHeight="1" x14ac:dyDescent="0.75">
      <c r="A51" s="93">
        <v>666501</v>
      </c>
      <c r="B51" s="94" t="s">
        <v>4</v>
      </c>
      <c r="C51" s="95" t="s">
        <v>5</v>
      </c>
      <c r="D51" s="96">
        <v>60</v>
      </c>
      <c r="E51" s="97">
        <f t="shared" ref="E51:E71" si="10">+D51/2</f>
        <v>30</v>
      </c>
      <c r="F51" s="96">
        <v>0</v>
      </c>
      <c r="G51" s="96">
        <v>24</v>
      </c>
      <c r="H51" s="96">
        <v>0</v>
      </c>
      <c r="I51" s="96">
        <v>24</v>
      </c>
      <c r="J51" s="96">
        <v>0</v>
      </c>
      <c r="K51" s="99">
        <f t="shared" ref="K51:K71" si="11">(+D51-SUM(F51:J51))/4</f>
        <v>3</v>
      </c>
      <c r="L51" s="96">
        <v>12</v>
      </c>
      <c r="M51" s="96">
        <v>0</v>
      </c>
      <c r="N51" s="96">
        <v>0</v>
      </c>
      <c r="O51" s="96">
        <v>0</v>
      </c>
      <c r="P51" s="100">
        <v>0</v>
      </c>
      <c r="Q51" s="133">
        <f t="shared" ref="Q51:Q71" si="12">SUM(F51:J51)+SUM(L51:P51)</f>
        <v>60</v>
      </c>
      <c r="R51" s="101">
        <f t="shared" ref="R51:R71" si="13">+D51-Q51</f>
        <v>0</v>
      </c>
    </row>
    <row r="52" spans="1:21" ht="14.25" customHeight="1" x14ac:dyDescent="0.75">
      <c r="A52" s="93">
        <v>666502</v>
      </c>
      <c r="B52" s="94" t="s">
        <v>6</v>
      </c>
      <c r="C52" s="95" t="s">
        <v>7</v>
      </c>
      <c r="D52" s="96">
        <v>50</v>
      </c>
      <c r="E52" s="97">
        <f t="shared" si="10"/>
        <v>25</v>
      </c>
      <c r="F52" s="96">
        <v>0</v>
      </c>
      <c r="G52" s="96">
        <v>0</v>
      </c>
      <c r="H52" s="96">
        <v>0</v>
      </c>
      <c r="I52" s="96">
        <v>0</v>
      </c>
      <c r="J52" s="96">
        <v>0</v>
      </c>
      <c r="K52" s="99">
        <f t="shared" si="11"/>
        <v>12.5</v>
      </c>
      <c r="L52" s="96">
        <v>30</v>
      </c>
      <c r="M52" s="96">
        <v>20</v>
      </c>
      <c r="N52" s="96">
        <v>0</v>
      </c>
      <c r="O52" s="96">
        <v>0</v>
      </c>
      <c r="P52" s="100">
        <v>0</v>
      </c>
      <c r="Q52" s="133">
        <f t="shared" si="12"/>
        <v>50</v>
      </c>
      <c r="R52" s="101">
        <f t="shared" si="13"/>
        <v>0</v>
      </c>
      <c r="U52" s="79" t="s">
        <v>152</v>
      </c>
    </row>
    <row r="53" spans="1:21" ht="14.25" customHeight="1" x14ac:dyDescent="0.75">
      <c r="A53" s="93">
        <v>666505</v>
      </c>
      <c r="B53" s="94" t="s">
        <v>8</v>
      </c>
      <c r="C53" s="95" t="s">
        <v>9</v>
      </c>
      <c r="D53" s="96">
        <v>44</v>
      </c>
      <c r="E53" s="97">
        <f t="shared" si="10"/>
        <v>22</v>
      </c>
      <c r="F53" s="96">
        <v>0</v>
      </c>
      <c r="G53" s="96">
        <v>44</v>
      </c>
      <c r="H53" s="96">
        <v>0</v>
      </c>
      <c r="I53" s="96">
        <v>0</v>
      </c>
      <c r="J53" s="96">
        <v>0</v>
      </c>
      <c r="K53" s="99">
        <f t="shared" si="11"/>
        <v>0</v>
      </c>
      <c r="L53" s="96">
        <v>0</v>
      </c>
      <c r="M53" s="96">
        <v>0</v>
      </c>
      <c r="N53" s="96">
        <v>0</v>
      </c>
      <c r="O53" s="96">
        <v>0</v>
      </c>
      <c r="P53" s="100">
        <v>0</v>
      </c>
      <c r="Q53" s="133">
        <f t="shared" si="12"/>
        <v>44</v>
      </c>
      <c r="R53" s="101">
        <f t="shared" si="13"/>
        <v>0</v>
      </c>
    </row>
    <row r="54" spans="1:21" ht="14.25" customHeight="1" x14ac:dyDescent="0.75">
      <c r="A54" s="93">
        <v>666506</v>
      </c>
      <c r="B54" s="94" t="s">
        <v>10</v>
      </c>
      <c r="C54" s="95" t="s">
        <v>11</v>
      </c>
      <c r="D54" s="96">
        <v>0</v>
      </c>
      <c r="E54" s="97">
        <f t="shared" si="10"/>
        <v>0</v>
      </c>
      <c r="F54" s="96">
        <v>0</v>
      </c>
      <c r="G54" s="96">
        <v>0</v>
      </c>
      <c r="H54" s="96">
        <v>0</v>
      </c>
      <c r="I54" s="96">
        <v>0</v>
      </c>
      <c r="J54" s="96">
        <v>0</v>
      </c>
      <c r="K54" s="99">
        <f t="shared" si="11"/>
        <v>0</v>
      </c>
      <c r="L54" s="96">
        <v>0</v>
      </c>
      <c r="M54" s="96">
        <v>0</v>
      </c>
      <c r="N54" s="96">
        <v>0</v>
      </c>
      <c r="O54" s="96">
        <v>0</v>
      </c>
      <c r="P54" s="100">
        <v>0</v>
      </c>
      <c r="Q54" s="101">
        <f t="shared" si="12"/>
        <v>0</v>
      </c>
      <c r="R54" s="101">
        <f t="shared" si="13"/>
        <v>0</v>
      </c>
    </row>
    <row r="55" spans="1:21" ht="14.25" customHeight="1" x14ac:dyDescent="0.75">
      <c r="A55" s="93">
        <v>666507</v>
      </c>
      <c r="B55" s="94" t="s">
        <v>12</v>
      </c>
      <c r="C55" s="95" t="s">
        <v>13</v>
      </c>
      <c r="D55" s="96">
        <v>0</v>
      </c>
      <c r="E55" s="97">
        <f t="shared" si="10"/>
        <v>0</v>
      </c>
      <c r="F55" s="96">
        <v>0</v>
      </c>
      <c r="G55" s="96">
        <v>0</v>
      </c>
      <c r="H55" s="96">
        <v>0</v>
      </c>
      <c r="I55" s="96">
        <v>0</v>
      </c>
      <c r="J55" s="96">
        <v>0</v>
      </c>
      <c r="K55" s="99">
        <f t="shared" si="11"/>
        <v>0</v>
      </c>
      <c r="L55" s="96">
        <v>0</v>
      </c>
      <c r="M55" s="96">
        <v>0</v>
      </c>
      <c r="N55" s="96">
        <v>0</v>
      </c>
      <c r="O55" s="96">
        <v>0</v>
      </c>
      <c r="P55" s="100">
        <v>0</v>
      </c>
      <c r="Q55" s="101">
        <f t="shared" si="12"/>
        <v>0</v>
      </c>
      <c r="R55" s="101">
        <f t="shared" si="13"/>
        <v>0</v>
      </c>
    </row>
    <row r="56" spans="1:21" ht="14.25" customHeight="1" x14ac:dyDescent="0.75">
      <c r="A56" s="93">
        <v>666509</v>
      </c>
      <c r="B56" s="94" t="s">
        <v>14</v>
      </c>
      <c r="C56" s="95" t="s">
        <v>15</v>
      </c>
      <c r="D56" s="96">
        <v>0</v>
      </c>
      <c r="E56" s="97">
        <f t="shared" si="10"/>
        <v>0</v>
      </c>
      <c r="F56" s="96">
        <v>0</v>
      </c>
      <c r="G56" s="96">
        <v>0</v>
      </c>
      <c r="H56" s="96">
        <v>0</v>
      </c>
      <c r="I56" s="96">
        <v>0</v>
      </c>
      <c r="J56" s="96">
        <v>0</v>
      </c>
      <c r="K56" s="99">
        <f t="shared" si="11"/>
        <v>0</v>
      </c>
      <c r="L56" s="96">
        <v>0</v>
      </c>
      <c r="M56" s="96">
        <v>0</v>
      </c>
      <c r="N56" s="96">
        <v>0</v>
      </c>
      <c r="O56" s="96">
        <v>0</v>
      </c>
      <c r="P56" s="100">
        <v>0</v>
      </c>
      <c r="Q56" s="101">
        <f t="shared" si="12"/>
        <v>0</v>
      </c>
      <c r="R56" s="101">
        <f t="shared" si="13"/>
        <v>0</v>
      </c>
    </row>
    <row r="57" spans="1:21" ht="14.25" customHeight="1" x14ac:dyDescent="0.75">
      <c r="A57" s="93">
        <v>666510</v>
      </c>
      <c r="B57" s="94" t="s">
        <v>16</v>
      </c>
      <c r="C57" s="95" t="s">
        <v>169</v>
      </c>
      <c r="D57" s="96">
        <v>0</v>
      </c>
      <c r="E57" s="97">
        <f t="shared" si="10"/>
        <v>0</v>
      </c>
      <c r="F57" s="96">
        <v>0</v>
      </c>
      <c r="G57" s="96">
        <v>0</v>
      </c>
      <c r="H57" s="96">
        <v>0</v>
      </c>
      <c r="I57" s="96">
        <v>0</v>
      </c>
      <c r="J57" s="96">
        <v>0</v>
      </c>
      <c r="K57" s="99">
        <f t="shared" si="11"/>
        <v>0</v>
      </c>
      <c r="L57" s="96">
        <v>0</v>
      </c>
      <c r="M57" s="96">
        <v>0</v>
      </c>
      <c r="N57" s="96">
        <v>0</v>
      </c>
      <c r="O57" s="96">
        <v>0</v>
      </c>
      <c r="P57" s="100">
        <v>0</v>
      </c>
      <c r="Q57" s="101">
        <f t="shared" si="12"/>
        <v>0</v>
      </c>
      <c r="R57" s="101">
        <f t="shared" si="13"/>
        <v>0</v>
      </c>
    </row>
    <row r="58" spans="1:21" ht="14.25" customHeight="1" x14ac:dyDescent="0.75">
      <c r="A58" s="93">
        <v>666511</v>
      </c>
      <c r="B58" s="94" t="s">
        <v>18</v>
      </c>
      <c r="C58" s="95" t="s">
        <v>19</v>
      </c>
      <c r="D58" s="96">
        <v>0</v>
      </c>
      <c r="E58" s="97">
        <f t="shared" si="10"/>
        <v>0</v>
      </c>
      <c r="F58" s="96">
        <v>0</v>
      </c>
      <c r="G58" s="96">
        <v>0</v>
      </c>
      <c r="H58" s="96">
        <v>0</v>
      </c>
      <c r="I58" s="96">
        <v>0</v>
      </c>
      <c r="J58" s="96">
        <v>0</v>
      </c>
      <c r="K58" s="99">
        <f t="shared" si="11"/>
        <v>0</v>
      </c>
      <c r="L58" s="96">
        <v>0</v>
      </c>
      <c r="M58" s="96">
        <v>0</v>
      </c>
      <c r="N58" s="96">
        <v>0</v>
      </c>
      <c r="O58" s="96">
        <v>0</v>
      </c>
      <c r="P58" s="100">
        <v>0</v>
      </c>
      <c r="Q58" s="101">
        <f t="shared" si="12"/>
        <v>0</v>
      </c>
      <c r="R58" s="101">
        <f t="shared" si="13"/>
        <v>0</v>
      </c>
    </row>
    <row r="59" spans="1:21" ht="14.25" customHeight="1" x14ac:dyDescent="0.75">
      <c r="A59" s="93">
        <v>666513</v>
      </c>
      <c r="B59" s="94" t="s">
        <v>20</v>
      </c>
      <c r="C59" s="95" t="s">
        <v>21</v>
      </c>
      <c r="D59" s="96">
        <v>0</v>
      </c>
      <c r="E59" s="97">
        <f t="shared" si="10"/>
        <v>0</v>
      </c>
      <c r="F59" s="96">
        <v>0</v>
      </c>
      <c r="G59" s="96">
        <v>0</v>
      </c>
      <c r="H59" s="96">
        <v>0</v>
      </c>
      <c r="I59" s="96">
        <v>0</v>
      </c>
      <c r="J59" s="96">
        <v>0</v>
      </c>
      <c r="K59" s="99">
        <f t="shared" si="11"/>
        <v>0</v>
      </c>
      <c r="L59" s="96">
        <v>0</v>
      </c>
      <c r="M59" s="96">
        <v>0</v>
      </c>
      <c r="N59" s="96">
        <v>0</v>
      </c>
      <c r="O59" s="96">
        <v>0</v>
      </c>
      <c r="P59" s="100">
        <v>0</v>
      </c>
      <c r="Q59" s="101">
        <f t="shared" si="12"/>
        <v>0</v>
      </c>
      <c r="R59" s="101">
        <f t="shared" si="13"/>
        <v>0</v>
      </c>
    </row>
    <row r="60" spans="1:21" ht="14.25" customHeight="1" x14ac:dyDescent="0.75">
      <c r="A60" s="93">
        <v>666516</v>
      </c>
      <c r="B60" s="94" t="s">
        <v>22</v>
      </c>
      <c r="C60" s="95" t="s">
        <v>23</v>
      </c>
      <c r="D60" s="96">
        <v>34</v>
      </c>
      <c r="E60" s="97">
        <f t="shared" si="10"/>
        <v>17</v>
      </c>
      <c r="F60" s="96">
        <v>0</v>
      </c>
      <c r="G60" s="96">
        <v>32</v>
      </c>
      <c r="H60" s="96">
        <v>0</v>
      </c>
      <c r="I60" s="96">
        <v>2</v>
      </c>
      <c r="J60" s="96">
        <v>0</v>
      </c>
      <c r="K60" s="99">
        <f t="shared" si="11"/>
        <v>0</v>
      </c>
      <c r="L60" s="96">
        <v>0</v>
      </c>
      <c r="M60" s="96">
        <v>0</v>
      </c>
      <c r="N60" s="96">
        <v>0</v>
      </c>
      <c r="O60" s="96">
        <v>0</v>
      </c>
      <c r="P60" s="100">
        <v>0</v>
      </c>
      <c r="Q60" s="133">
        <f t="shared" si="12"/>
        <v>34</v>
      </c>
      <c r="R60" s="101">
        <f t="shared" si="13"/>
        <v>0</v>
      </c>
    </row>
    <row r="61" spans="1:21" ht="14.25" customHeight="1" x14ac:dyDescent="0.75">
      <c r="A61" s="93">
        <v>666517</v>
      </c>
      <c r="B61" s="94" t="s">
        <v>24</v>
      </c>
      <c r="C61" s="95" t="s">
        <v>25</v>
      </c>
      <c r="D61" s="96">
        <v>20</v>
      </c>
      <c r="E61" s="97">
        <f t="shared" si="10"/>
        <v>10</v>
      </c>
      <c r="F61" s="96">
        <v>0</v>
      </c>
      <c r="G61" s="96">
        <v>20</v>
      </c>
      <c r="H61" s="96">
        <v>0</v>
      </c>
      <c r="I61" s="96">
        <v>0</v>
      </c>
      <c r="J61" s="96">
        <v>0</v>
      </c>
      <c r="K61" s="99">
        <f t="shared" si="11"/>
        <v>0</v>
      </c>
      <c r="L61" s="96">
        <v>0</v>
      </c>
      <c r="M61" s="96">
        <v>0</v>
      </c>
      <c r="N61" s="96">
        <v>0</v>
      </c>
      <c r="O61" s="96">
        <v>0</v>
      </c>
      <c r="P61" s="100">
        <v>0</v>
      </c>
      <c r="Q61" s="133">
        <f t="shared" si="12"/>
        <v>20</v>
      </c>
      <c r="R61" s="101">
        <f t="shared" si="13"/>
        <v>0</v>
      </c>
    </row>
    <row r="62" spans="1:21" ht="14.25" customHeight="1" x14ac:dyDescent="0.75">
      <c r="A62" s="93">
        <v>666518</v>
      </c>
      <c r="B62" s="94" t="s">
        <v>26</v>
      </c>
      <c r="C62" s="95" t="s">
        <v>27</v>
      </c>
      <c r="D62" s="96">
        <v>0</v>
      </c>
      <c r="E62" s="97">
        <f t="shared" si="10"/>
        <v>0</v>
      </c>
      <c r="F62" s="96">
        <v>0</v>
      </c>
      <c r="G62" s="96">
        <v>0</v>
      </c>
      <c r="H62" s="96">
        <v>0</v>
      </c>
      <c r="I62" s="96">
        <v>0</v>
      </c>
      <c r="J62" s="96">
        <v>0</v>
      </c>
      <c r="K62" s="99">
        <f t="shared" si="11"/>
        <v>0</v>
      </c>
      <c r="L62" s="96">
        <v>0</v>
      </c>
      <c r="M62" s="96">
        <v>0</v>
      </c>
      <c r="N62" s="96">
        <v>0</v>
      </c>
      <c r="O62" s="96">
        <v>0</v>
      </c>
      <c r="P62" s="100">
        <v>0</v>
      </c>
      <c r="Q62" s="101">
        <f t="shared" si="12"/>
        <v>0</v>
      </c>
      <c r="R62" s="101">
        <f t="shared" si="13"/>
        <v>0</v>
      </c>
    </row>
    <row r="63" spans="1:21" ht="14.25" customHeight="1" x14ac:dyDescent="0.75">
      <c r="A63" s="93">
        <v>666519</v>
      </c>
      <c r="B63" s="94" t="s">
        <v>28</v>
      </c>
      <c r="C63" s="95" t="s">
        <v>29</v>
      </c>
      <c r="D63" s="96">
        <v>33</v>
      </c>
      <c r="E63" s="97">
        <f t="shared" si="10"/>
        <v>16.5</v>
      </c>
      <c r="F63" s="96">
        <v>0</v>
      </c>
      <c r="G63" s="96">
        <v>33</v>
      </c>
      <c r="H63" s="96">
        <v>0</v>
      </c>
      <c r="I63" s="96">
        <v>0</v>
      </c>
      <c r="J63" s="96">
        <v>0</v>
      </c>
      <c r="K63" s="99">
        <f t="shared" si="11"/>
        <v>0</v>
      </c>
      <c r="L63" s="96">
        <v>0</v>
      </c>
      <c r="M63" s="96">
        <v>0</v>
      </c>
      <c r="N63" s="96">
        <v>0</v>
      </c>
      <c r="O63" s="96">
        <v>0</v>
      </c>
      <c r="P63" s="100">
        <v>0</v>
      </c>
      <c r="Q63" s="133">
        <f t="shared" si="12"/>
        <v>33</v>
      </c>
      <c r="R63" s="101">
        <f t="shared" si="13"/>
        <v>0</v>
      </c>
    </row>
    <row r="64" spans="1:21" ht="14.25" customHeight="1" x14ac:dyDescent="0.75">
      <c r="A64" s="93">
        <v>666521</v>
      </c>
      <c r="B64" s="94" t="s">
        <v>30</v>
      </c>
      <c r="C64" s="95" t="s">
        <v>31</v>
      </c>
      <c r="D64" s="96">
        <v>0</v>
      </c>
      <c r="E64" s="97">
        <f t="shared" si="10"/>
        <v>0</v>
      </c>
      <c r="F64" s="96">
        <v>0</v>
      </c>
      <c r="G64" s="96">
        <v>0</v>
      </c>
      <c r="H64" s="96">
        <v>0</v>
      </c>
      <c r="I64" s="96">
        <v>0</v>
      </c>
      <c r="J64" s="96">
        <v>0</v>
      </c>
      <c r="K64" s="99">
        <f t="shared" si="11"/>
        <v>0</v>
      </c>
      <c r="L64" s="96">
        <v>0</v>
      </c>
      <c r="M64" s="96">
        <v>0</v>
      </c>
      <c r="N64" s="96">
        <v>0</v>
      </c>
      <c r="O64" s="96">
        <v>0</v>
      </c>
      <c r="P64" s="100">
        <v>0</v>
      </c>
      <c r="Q64" s="101">
        <f t="shared" si="12"/>
        <v>0</v>
      </c>
      <c r="R64" s="101">
        <f t="shared" si="13"/>
        <v>0</v>
      </c>
    </row>
    <row r="65" spans="1:18" ht="14.25" customHeight="1" x14ac:dyDescent="0.75">
      <c r="A65" s="93">
        <v>666522</v>
      </c>
      <c r="B65" s="94" t="s">
        <v>32</v>
      </c>
      <c r="C65" s="95" t="s">
        <v>33</v>
      </c>
      <c r="D65" s="96">
        <v>80</v>
      </c>
      <c r="E65" s="97">
        <f t="shared" si="10"/>
        <v>40</v>
      </c>
      <c r="F65" s="96">
        <v>0</v>
      </c>
      <c r="G65" s="96">
        <v>45</v>
      </c>
      <c r="H65" s="96">
        <v>0</v>
      </c>
      <c r="I65" s="96">
        <v>35</v>
      </c>
      <c r="J65" s="96">
        <v>0</v>
      </c>
      <c r="K65" s="99">
        <f t="shared" si="11"/>
        <v>0</v>
      </c>
      <c r="L65" s="96">
        <v>0</v>
      </c>
      <c r="M65" s="96">
        <v>0</v>
      </c>
      <c r="N65" s="96">
        <v>0</v>
      </c>
      <c r="O65" s="96">
        <v>0</v>
      </c>
      <c r="P65" s="100">
        <v>0</v>
      </c>
      <c r="Q65" s="133">
        <f t="shared" si="12"/>
        <v>80</v>
      </c>
      <c r="R65" s="101">
        <f t="shared" si="13"/>
        <v>0</v>
      </c>
    </row>
    <row r="66" spans="1:18" ht="14.25" customHeight="1" x14ac:dyDescent="0.75">
      <c r="A66" s="93">
        <v>666523</v>
      </c>
      <c r="B66" s="94" t="s">
        <v>34</v>
      </c>
      <c r="C66" s="95" t="s">
        <v>35</v>
      </c>
      <c r="D66" s="96">
        <v>10</v>
      </c>
      <c r="E66" s="97">
        <f t="shared" si="10"/>
        <v>5</v>
      </c>
      <c r="F66" s="96">
        <v>0</v>
      </c>
      <c r="G66" s="96">
        <v>10</v>
      </c>
      <c r="H66" s="96">
        <v>0</v>
      </c>
      <c r="I66" s="96">
        <v>0</v>
      </c>
      <c r="J66" s="96">
        <v>0</v>
      </c>
      <c r="K66" s="99">
        <f t="shared" si="11"/>
        <v>0</v>
      </c>
      <c r="L66" s="96">
        <v>0</v>
      </c>
      <c r="M66" s="96">
        <v>0</v>
      </c>
      <c r="N66" s="96">
        <v>0</v>
      </c>
      <c r="O66" s="96">
        <v>0</v>
      </c>
      <c r="P66" s="100">
        <v>0</v>
      </c>
      <c r="Q66" s="133">
        <f t="shared" si="12"/>
        <v>10</v>
      </c>
      <c r="R66" s="101">
        <f t="shared" si="13"/>
        <v>0</v>
      </c>
    </row>
    <row r="67" spans="1:18" ht="14.25" customHeight="1" x14ac:dyDescent="0.75">
      <c r="A67" s="93">
        <v>666530</v>
      </c>
      <c r="B67" s="94" t="s">
        <v>36</v>
      </c>
      <c r="C67" s="95" t="s">
        <v>37</v>
      </c>
      <c r="D67" s="96">
        <v>15</v>
      </c>
      <c r="E67" s="97">
        <f t="shared" si="10"/>
        <v>7.5</v>
      </c>
      <c r="F67" s="96">
        <v>0</v>
      </c>
      <c r="G67" s="96">
        <v>15</v>
      </c>
      <c r="H67" s="96">
        <v>0</v>
      </c>
      <c r="I67" s="96">
        <v>0</v>
      </c>
      <c r="J67" s="96">
        <v>0</v>
      </c>
      <c r="K67" s="99">
        <f t="shared" si="11"/>
        <v>0</v>
      </c>
      <c r="L67" s="96">
        <v>0</v>
      </c>
      <c r="M67" s="96">
        <v>0</v>
      </c>
      <c r="N67" s="96">
        <v>0</v>
      </c>
      <c r="O67" s="96">
        <v>0</v>
      </c>
      <c r="P67" s="100">
        <v>0</v>
      </c>
      <c r="Q67" s="133">
        <f t="shared" si="12"/>
        <v>15</v>
      </c>
      <c r="R67" s="101">
        <f t="shared" si="13"/>
        <v>0</v>
      </c>
    </row>
    <row r="68" spans="1:18" ht="14.25" customHeight="1" x14ac:dyDescent="0.75">
      <c r="A68" s="93">
        <v>666531</v>
      </c>
      <c r="B68" s="94" t="s">
        <v>38</v>
      </c>
      <c r="C68" s="95" t="s">
        <v>39</v>
      </c>
      <c r="D68" s="96">
        <v>8</v>
      </c>
      <c r="E68" s="97">
        <f t="shared" si="10"/>
        <v>4</v>
      </c>
      <c r="F68" s="96">
        <v>0</v>
      </c>
      <c r="G68" s="96">
        <v>0</v>
      </c>
      <c r="H68" s="96">
        <v>0</v>
      </c>
      <c r="I68" s="96">
        <v>3</v>
      </c>
      <c r="J68" s="96">
        <v>0</v>
      </c>
      <c r="K68" s="99">
        <f t="shared" si="11"/>
        <v>1.25</v>
      </c>
      <c r="L68" s="96">
        <v>5</v>
      </c>
      <c r="M68" s="96">
        <v>0</v>
      </c>
      <c r="N68" s="96">
        <v>0</v>
      </c>
      <c r="O68" s="96">
        <v>0</v>
      </c>
      <c r="P68" s="100">
        <v>0</v>
      </c>
      <c r="Q68" s="133">
        <f t="shared" si="12"/>
        <v>8</v>
      </c>
      <c r="R68" s="101">
        <f t="shared" si="13"/>
        <v>0</v>
      </c>
    </row>
    <row r="69" spans="1:18" ht="14.25" customHeight="1" x14ac:dyDescent="0.75">
      <c r="A69" s="93">
        <v>666540</v>
      </c>
      <c r="B69" s="94" t="s">
        <v>40</v>
      </c>
      <c r="C69" s="95" t="s">
        <v>40</v>
      </c>
      <c r="D69" s="96">
        <v>0</v>
      </c>
      <c r="E69" s="97">
        <f t="shared" si="10"/>
        <v>0</v>
      </c>
      <c r="F69" s="96">
        <v>0</v>
      </c>
      <c r="G69" s="96">
        <v>0</v>
      </c>
      <c r="H69" s="96">
        <v>0</v>
      </c>
      <c r="I69" s="96">
        <v>0</v>
      </c>
      <c r="J69" s="96">
        <v>0</v>
      </c>
      <c r="K69" s="99">
        <f t="shared" si="11"/>
        <v>0</v>
      </c>
      <c r="L69" s="96">
        <v>0</v>
      </c>
      <c r="M69" s="96">
        <v>0</v>
      </c>
      <c r="N69" s="96">
        <v>0</v>
      </c>
      <c r="O69" s="96">
        <v>0</v>
      </c>
      <c r="P69" s="100">
        <v>0</v>
      </c>
      <c r="Q69" s="101">
        <f t="shared" si="12"/>
        <v>0</v>
      </c>
      <c r="R69" s="101">
        <f t="shared" si="13"/>
        <v>0</v>
      </c>
    </row>
    <row r="70" spans="1:18" ht="15" customHeight="1" x14ac:dyDescent="0.75">
      <c r="A70" s="93">
        <v>666541</v>
      </c>
      <c r="B70" s="109" t="s">
        <v>41</v>
      </c>
      <c r="C70" s="95" t="s">
        <v>41</v>
      </c>
      <c r="D70" s="96">
        <v>0</v>
      </c>
      <c r="E70" s="97">
        <f t="shared" si="10"/>
        <v>0</v>
      </c>
      <c r="F70" s="96">
        <v>0</v>
      </c>
      <c r="G70" s="96">
        <v>0</v>
      </c>
      <c r="H70" s="96">
        <v>0</v>
      </c>
      <c r="I70" s="96">
        <v>0</v>
      </c>
      <c r="J70" s="96">
        <v>0</v>
      </c>
      <c r="K70" s="99">
        <f t="shared" si="11"/>
        <v>0</v>
      </c>
      <c r="L70" s="96">
        <v>0</v>
      </c>
      <c r="M70" s="96">
        <v>0</v>
      </c>
      <c r="N70" s="96">
        <v>0</v>
      </c>
      <c r="O70" s="96">
        <v>0</v>
      </c>
      <c r="P70" s="100">
        <v>0</v>
      </c>
      <c r="Q70" s="101">
        <f t="shared" si="12"/>
        <v>0</v>
      </c>
      <c r="R70" s="101">
        <f t="shared" si="13"/>
        <v>0</v>
      </c>
    </row>
    <row r="71" spans="1:18" ht="15" customHeight="1" x14ac:dyDescent="0.75">
      <c r="A71" s="108">
        <v>666536</v>
      </c>
      <c r="B71" s="109" t="s">
        <v>42</v>
      </c>
      <c r="C71" s="103" t="s">
        <v>41</v>
      </c>
      <c r="D71" s="104">
        <v>0</v>
      </c>
      <c r="E71" s="111">
        <f t="shared" si="10"/>
        <v>0</v>
      </c>
      <c r="F71" s="104">
        <v>0</v>
      </c>
      <c r="G71" s="104">
        <v>0</v>
      </c>
      <c r="H71" s="104">
        <v>0</v>
      </c>
      <c r="I71" s="104">
        <v>0</v>
      </c>
      <c r="J71" s="104">
        <v>0</v>
      </c>
      <c r="K71" s="106">
        <f t="shared" si="11"/>
        <v>0</v>
      </c>
      <c r="L71" s="96">
        <v>0</v>
      </c>
      <c r="M71" s="96">
        <v>0</v>
      </c>
      <c r="N71" s="96">
        <v>0</v>
      </c>
      <c r="O71" s="96">
        <v>0</v>
      </c>
      <c r="P71" s="100">
        <v>0</v>
      </c>
      <c r="Q71" s="101">
        <f t="shared" si="12"/>
        <v>0</v>
      </c>
      <c r="R71" s="101">
        <f t="shared" si="13"/>
        <v>0</v>
      </c>
    </row>
  </sheetData>
  <mergeCells count="3">
    <mergeCell ref="A1:E1"/>
    <mergeCell ref="A25:E25"/>
    <mergeCell ref="A49:E49"/>
  </mergeCells>
  <conditionalFormatting sqref="F24 H24 J24">
    <cfRule type="expression" dxfId="171" priority="2">
      <formula>#REF!=F24</formula>
    </cfRule>
    <cfRule type="expression" dxfId="170" priority="3">
      <formula>#REF!&lt;F24</formula>
    </cfRule>
    <cfRule type="expression" dxfId="169" priority="4">
      <formula>#REF!&gt;F24</formula>
    </cfRule>
  </conditionalFormatting>
  <conditionalFormatting sqref="Q3">
    <cfRule type="cellIs" dxfId="168" priority="8" operator="equal">
      <formula>$D$3</formula>
    </cfRule>
  </conditionalFormatting>
  <conditionalFormatting sqref="Q5:Q23">
    <cfRule type="cellIs" dxfId="167" priority="7" operator="equal">
      <formula>$D$3</formula>
    </cfRule>
  </conditionalFormatting>
  <conditionalFormatting sqref="Q8">
    <cfRule type="cellIs" dxfId="166" priority="5" operator="lessThan">
      <formula>$D$8</formula>
    </cfRule>
    <cfRule type="cellIs" dxfId="165" priority="6" operator="equal">
      <formula>$D$8</formula>
    </cfRule>
  </conditionalFormatting>
  <pageMargins left="0.7" right="0.7" top="0.75" bottom="0.75" header="0.511811023622047" footer="0.511811023622047"/>
  <pageSetup paperSize="9" scale="150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S26"/>
  <sheetViews>
    <sheetView topLeftCell="B1" zoomScaleNormal="100" workbookViewId="0">
      <selection activeCell="J32" sqref="J32"/>
    </sheetView>
  </sheetViews>
  <sheetFormatPr defaultColWidth="8.54296875" defaultRowHeight="14.75" x14ac:dyDescent="0.75"/>
  <cols>
    <col min="2" max="2" width="34.453125" customWidth="1"/>
    <col min="3" max="3" width="6.08984375" hidden="1" customWidth="1"/>
    <col min="4" max="4" width="10.86328125" hidden="1" customWidth="1"/>
  </cols>
  <sheetData>
    <row r="1" spans="1:12" ht="14.25" customHeight="1" x14ac:dyDescent="0.75">
      <c r="C1" s="145" t="s">
        <v>174</v>
      </c>
    </row>
    <row r="2" spans="1:12" ht="28.5" customHeight="1" x14ac:dyDescent="0.75">
      <c r="A2" s="51"/>
      <c r="B2" s="51" t="s">
        <v>178</v>
      </c>
      <c r="C2" s="51"/>
      <c r="D2" s="51" t="s">
        <v>144</v>
      </c>
      <c r="E2" s="53" t="s">
        <v>116</v>
      </c>
      <c r="F2" s="53" t="s">
        <v>145</v>
      </c>
      <c r="G2" s="56" t="s">
        <v>119</v>
      </c>
      <c r="H2" s="53" t="s">
        <v>146</v>
      </c>
      <c r="I2" s="51" t="s">
        <v>122</v>
      </c>
      <c r="J2" s="56" t="s">
        <v>147</v>
      </c>
      <c r="K2" s="51" t="s">
        <v>148</v>
      </c>
      <c r="L2" s="53" t="s">
        <v>149</v>
      </c>
    </row>
    <row r="3" spans="1:12" ht="14.25" customHeight="1" x14ac:dyDescent="0.75">
      <c r="A3" s="50"/>
      <c r="B3" s="50"/>
      <c r="C3" s="57" t="s">
        <v>150</v>
      </c>
      <c r="D3" s="57"/>
      <c r="E3" s="57"/>
      <c r="F3" s="59"/>
      <c r="G3" s="59"/>
      <c r="H3" s="59"/>
      <c r="I3" s="59"/>
      <c r="J3" s="59"/>
      <c r="K3" s="59"/>
      <c r="L3" s="59"/>
    </row>
    <row r="4" spans="1:12" ht="14.25" customHeight="1" x14ac:dyDescent="0.75">
      <c r="A4" s="62" t="s">
        <v>129</v>
      </c>
      <c r="B4" s="62" t="s">
        <v>2</v>
      </c>
      <c r="C4" s="62" t="s">
        <v>3</v>
      </c>
      <c r="D4" s="62"/>
      <c r="E4" s="62"/>
      <c r="F4" s="62"/>
      <c r="G4" s="62"/>
      <c r="H4" s="62"/>
      <c r="I4" s="62"/>
      <c r="J4" s="62"/>
      <c r="K4" s="62"/>
      <c r="L4" s="62"/>
    </row>
    <row r="5" spans="1:12" ht="14.25" customHeight="1" x14ac:dyDescent="0.75">
      <c r="A5" s="62"/>
      <c r="B5" s="62"/>
      <c r="C5" s="62" t="s">
        <v>151</v>
      </c>
      <c r="D5" s="62"/>
      <c r="E5" s="62"/>
      <c r="F5" s="50">
        <v>192</v>
      </c>
      <c r="G5" s="50"/>
      <c r="H5" s="50">
        <v>976</v>
      </c>
      <c r="I5" s="50"/>
      <c r="J5" s="50">
        <v>112</v>
      </c>
      <c r="K5" s="62" t="s">
        <v>152</v>
      </c>
      <c r="L5" s="62">
        <f>SUM(F5:J5)</f>
        <v>1280</v>
      </c>
    </row>
    <row r="6" spans="1:12" ht="14.25" customHeight="1" x14ac:dyDescent="0.75">
      <c r="A6" s="50">
        <v>666501</v>
      </c>
      <c r="B6" s="73" t="s">
        <v>4</v>
      </c>
      <c r="C6" s="73" t="s">
        <v>5</v>
      </c>
      <c r="D6" s="50">
        <f t="shared" ref="D6:D25" si="0">+K6</f>
        <v>753</v>
      </c>
      <c r="E6" s="50">
        <v>69</v>
      </c>
      <c r="F6" s="70">
        <v>69</v>
      </c>
      <c r="G6" s="50">
        <v>624</v>
      </c>
      <c r="H6" s="70">
        <v>624</v>
      </c>
      <c r="I6" s="50">
        <v>60</v>
      </c>
      <c r="J6" s="70">
        <v>60</v>
      </c>
      <c r="K6" s="50">
        <f t="shared" ref="K6:K26" si="1">+I6+G6+E6</f>
        <v>753</v>
      </c>
      <c r="L6" s="50">
        <f t="shared" ref="L6:L26" si="2">+F6+H6+J6</f>
        <v>753</v>
      </c>
    </row>
    <row r="7" spans="1:12" ht="14.25" customHeight="1" x14ac:dyDescent="0.75">
      <c r="A7" s="50">
        <v>666502</v>
      </c>
      <c r="B7" s="73" t="s">
        <v>6</v>
      </c>
      <c r="C7" s="73" t="s">
        <v>7</v>
      </c>
      <c r="D7" s="50">
        <f t="shared" si="0"/>
        <v>400</v>
      </c>
      <c r="E7" s="50">
        <v>0</v>
      </c>
      <c r="F7" s="50">
        <v>0</v>
      </c>
      <c r="G7" s="50">
        <v>350</v>
      </c>
      <c r="H7" s="50">
        <v>350</v>
      </c>
      <c r="I7" s="50">
        <v>50</v>
      </c>
      <c r="J7" s="50">
        <v>50</v>
      </c>
      <c r="K7" s="50">
        <f t="shared" si="1"/>
        <v>400</v>
      </c>
      <c r="L7" s="50">
        <f t="shared" si="2"/>
        <v>400</v>
      </c>
    </row>
    <row r="8" spans="1:12" ht="14.25" customHeight="1" x14ac:dyDescent="0.75">
      <c r="A8" s="50">
        <v>666505</v>
      </c>
      <c r="B8" s="73" t="s">
        <v>8</v>
      </c>
      <c r="C8" s="73" t="s">
        <v>9</v>
      </c>
      <c r="D8" s="50">
        <f t="shared" si="0"/>
        <v>64</v>
      </c>
      <c r="E8" s="50">
        <v>20</v>
      </c>
      <c r="F8" s="50">
        <v>20</v>
      </c>
      <c r="G8" s="50">
        <v>0</v>
      </c>
      <c r="H8" s="50">
        <v>0</v>
      </c>
      <c r="I8" s="50">
        <v>44</v>
      </c>
      <c r="J8" s="50">
        <v>44</v>
      </c>
      <c r="K8" s="50">
        <f t="shared" si="1"/>
        <v>64</v>
      </c>
      <c r="L8" s="50">
        <f t="shared" si="2"/>
        <v>64</v>
      </c>
    </row>
    <row r="9" spans="1:12" ht="14.25" customHeight="1" x14ac:dyDescent="0.75">
      <c r="A9" s="50">
        <v>666506</v>
      </c>
      <c r="B9" s="73" t="s">
        <v>10</v>
      </c>
      <c r="C9" s="73" t="s">
        <v>11</v>
      </c>
      <c r="D9" s="50">
        <f t="shared" si="0"/>
        <v>400</v>
      </c>
      <c r="E9" s="50">
        <v>0</v>
      </c>
      <c r="F9" s="50">
        <v>0</v>
      </c>
      <c r="G9" s="50">
        <v>400</v>
      </c>
      <c r="H9" s="50">
        <v>19</v>
      </c>
      <c r="I9" s="50">
        <v>0</v>
      </c>
      <c r="J9" s="50">
        <v>0</v>
      </c>
      <c r="K9" s="50">
        <f t="shared" si="1"/>
        <v>400</v>
      </c>
      <c r="L9" s="50">
        <f t="shared" si="2"/>
        <v>19</v>
      </c>
    </row>
    <row r="10" spans="1:12" ht="14.25" customHeight="1" x14ac:dyDescent="0.75">
      <c r="A10" s="50">
        <v>666507</v>
      </c>
      <c r="B10" s="73" t="s">
        <v>12</v>
      </c>
      <c r="C10" s="73" t="s">
        <v>13</v>
      </c>
      <c r="D10" s="50">
        <f t="shared" si="0"/>
        <v>42</v>
      </c>
      <c r="E10" s="50">
        <v>42</v>
      </c>
      <c r="F10" s="50">
        <v>42</v>
      </c>
      <c r="G10" s="50">
        <v>0</v>
      </c>
      <c r="H10" s="50">
        <v>0</v>
      </c>
      <c r="I10" s="50">
        <v>0</v>
      </c>
      <c r="J10" s="50">
        <v>0</v>
      </c>
      <c r="K10" s="50">
        <f t="shared" si="1"/>
        <v>42</v>
      </c>
      <c r="L10" s="50">
        <f t="shared" si="2"/>
        <v>42</v>
      </c>
    </row>
    <row r="11" spans="1:12" ht="14.25" customHeight="1" x14ac:dyDescent="0.75">
      <c r="A11" s="50">
        <v>666509</v>
      </c>
      <c r="B11" s="73" t="s">
        <v>14</v>
      </c>
      <c r="C11" s="73" t="s">
        <v>15</v>
      </c>
      <c r="D11" s="50">
        <f t="shared" si="0"/>
        <v>100</v>
      </c>
      <c r="E11" s="50">
        <v>100</v>
      </c>
      <c r="F11" s="50">
        <v>100</v>
      </c>
      <c r="G11" s="50">
        <v>0</v>
      </c>
      <c r="H11" s="50">
        <v>0</v>
      </c>
      <c r="I11" s="50">
        <v>0</v>
      </c>
      <c r="J11" s="50">
        <v>0</v>
      </c>
      <c r="K11" s="50">
        <f t="shared" si="1"/>
        <v>100</v>
      </c>
      <c r="L11" s="50">
        <f t="shared" si="2"/>
        <v>100</v>
      </c>
    </row>
    <row r="12" spans="1:12" ht="14.25" customHeight="1" x14ac:dyDescent="0.75">
      <c r="A12" s="50">
        <v>666510</v>
      </c>
      <c r="B12" s="73" t="s">
        <v>16</v>
      </c>
      <c r="C12" s="73" t="s">
        <v>169</v>
      </c>
      <c r="D12" s="50">
        <f t="shared" si="0"/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f t="shared" si="1"/>
        <v>0</v>
      </c>
      <c r="L12" s="50">
        <f t="shared" si="2"/>
        <v>0</v>
      </c>
    </row>
    <row r="13" spans="1:12" ht="14.25" customHeight="1" x14ac:dyDescent="0.75">
      <c r="A13" s="50">
        <v>666511</v>
      </c>
      <c r="B13" s="73" t="s">
        <v>18</v>
      </c>
      <c r="C13" s="73" t="s">
        <v>19</v>
      </c>
      <c r="D13" s="50">
        <f t="shared" si="0"/>
        <v>8</v>
      </c>
      <c r="E13" s="50">
        <v>8</v>
      </c>
      <c r="F13" s="50">
        <v>8</v>
      </c>
      <c r="G13" s="50">
        <v>0</v>
      </c>
      <c r="H13" s="50">
        <v>0</v>
      </c>
      <c r="I13" s="50">
        <v>0</v>
      </c>
      <c r="J13" s="50">
        <v>0</v>
      </c>
      <c r="K13" s="50">
        <f t="shared" si="1"/>
        <v>8</v>
      </c>
      <c r="L13" s="50">
        <f t="shared" si="2"/>
        <v>8</v>
      </c>
    </row>
    <row r="14" spans="1:12" ht="14.25" customHeight="1" x14ac:dyDescent="0.75">
      <c r="A14" s="50">
        <v>666513</v>
      </c>
      <c r="B14" s="73" t="s">
        <v>20</v>
      </c>
      <c r="C14" s="73" t="s">
        <v>21</v>
      </c>
      <c r="D14" s="50">
        <f t="shared" si="0"/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f t="shared" si="1"/>
        <v>0</v>
      </c>
      <c r="L14" s="50">
        <f t="shared" si="2"/>
        <v>0</v>
      </c>
    </row>
    <row r="15" spans="1:12" ht="14.25" customHeight="1" x14ac:dyDescent="0.75">
      <c r="A15" s="50">
        <v>666516</v>
      </c>
      <c r="B15" s="73" t="s">
        <v>22</v>
      </c>
      <c r="C15" s="73" t="s">
        <v>23</v>
      </c>
      <c r="D15" s="50">
        <f t="shared" si="0"/>
        <v>68</v>
      </c>
      <c r="E15" s="50">
        <v>34</v>
      </c>
      <c r="F15" s="50">
        <v>34</v>
      </c>
      <c r="G15" s="50">
        <v>0</v>
      </c>
      <c r="H15" s="50">
        <v>0</v>
      </c>
      <c r="I15" s="50">
        <v>34</v>
      </c>
      <c r="J15" s="50">
        <v>34</v>
      </c>
      <c r="K15" s="50">
        <f t="shared" si="1"/>
        <v>68</v>
      </c>
      <c r="L15" s="50">
        <f t="shared" si="2"/>
        <v>68</v>
      </c>
    </row>
    <row r="16" spans="1:12" ht="14.25" customHeight="1" x14ac:dyDescent="0.75">
      <c r="A16" s="50">
        <v>666517</v>
      </c>
      <c r="B16" s="73" t="s">
        <v>24</v>
      </c>
      <c r="C16" s="73" t="s">
        <v>25</v>
      </c>
      <c r="D16" s="50">
        <f t="shared" si="0"/>
        <v>66</v>
      </c>
      <c r="E16" s="50">
        <v>46</v>
      </c>
      <c r="F16" s="50">
        <v>46</v>
      </c>
      <c r="G16" s="50">
        <v>0</v>
      </c>
      <c r="H16" s="50">
        <v>0</v>
      </c>
      <c r="I16" s="50">
        <v>20</v>
      </c>
      <c r="J16" s="50">
        <v>20</v>
      </c>
      <c r="K16" s="50">
        <f t="shared" si="1"/>
        <v>66</v>
      </c>
      <c r="L16" s="50">
        <f t="shared" si="2"/>
        <v>66</v>
      </c>
    </row>
    <row r="17" spans="1:19" ht="14.25" customHeight="1" x14ac:dyDescent="0.75">
      <c r="A17" s="50">
        <v>666518</v>
      </c>
      <c r="B17" s="73" t="s">
        <v>26</v>
      </c>
      <c r="C17" s="73" t="s">
        <v>27</v>
      </c>
      <c r="D17" s="50">
        <f t="shared" si="0"/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f t="shared" si="1"/>
        <v>0</v>
      </c>
      <c r="L17" s="50">
        <f t="shared" si="2"/>
        <v>0</v>
      </c>
    </row>
    <row r="18" spans="1:19" ht="14.25" customHeight="1" x14ac:dyDescent="0.75">
      <c r="A18" s="50">
        <v>666519</v>
      </c>
      <c r="B18" s="73" t="s">
        <v>28</v>
      </c>
      <c r="C18" s="73" t="s">
        <v>29</v>
      </c>
      <c r="D18" s="50">
        <f t="shared" si="0"/>
        <v>66</v>
      </c>
      <c r="E18" s="50">
        <v>33</v>
      </c>
      <c r="F18" s="50">
        <v>33</v>
      </c>
      <c r="G18" s="50">
        <v>0</v>
      </c>
      <c r="H18" s="50">
        <v>0</v>
      </c>
      <c r="I18" s="50">
        <v>33</v>
      </c>
      <c r="J18" s="50">
        <v>33</v>
      </c>
      <c r="K18" s="50">
        <f t="shared" si="1"/>
        <v>66</v>
      </c>
      <c r="L18" s="50">
        <f t="shared" si="2"/>
        <v>66</v>
      </c>
    </row>
    <row r="19" spans="1:19" ht="14.25" customHeight="1" x14ac:dyDescent="0.75">
      <c r="A19" s="50">
        <v>666521</v>
      </c>
      <c r="B19" s="73" t="s">
        <v>30</v>
      </c>
      <c r="C19" s="73" t="s">
        <v>31</v>
      </c>
      <c r="D19" s="50">
        <f t="shared" si="0"/>
        <v>52</v>
      </c>
      <c r="E19" s="50">
        <v>52</v>
      </c>
      <c r="F19" s="50">
        <v>52</v>
      </c>
      <c r="G19" s="50">
        <v>0</v>
      </c>
      <c r="H19" s="50">
        <v>0</v>
      </c>
      <c r="I19" s="50">
        <v>0</v>
      </c>
      <c r="J19" s="50">
        <v>0</v>
      </c>
      <c r="K19" s="50">
        <f t="shared" si="1"/>
        <v>52</v>
      </c>
      <c r="L19" s="50">
        <f t="shared" si="2"/>
        <v>52</v>
      </c>
    </row>
    <row r="20" spans="1:19" ht="14.25" customHeight="1" x14ac:dyDescent="0.75">
      <c r="A20" s="50">
        <v>666522</v>
      </c>
      <c r="B20" s="73" t="s">
        <v>32</v>
      </c>
      <c r="C20" s="73" t="s">
        <v>33</v>
      </c>
      <c r="D20" s="50">
        <f t="shared" si="0"/>
        <v>400</v>
      </c>
      <c r="E20" s="50">
        <v>130</v>
      </c>
      <c r="F20" s="50">
        <v>130</v>
      </c>
      <c r="G20" s="50">
        <v>190</v>
      </c>
      <c r="H20" s="50">
        <v>190</v>
      </c>
      <c r="I20" s="50">
        <v>80</v>
      </c>
      <c r="J20" s="50">
        <v>80</v>
      </c>
      <c r="K20" s="50">
        <f t="shared" si="1"/>
        <v>400</v>
      </c>
      <c r="L20" s="50">
        <f t="shared" si="2"/>
        <v>400</v>
      </c>
    </row>
    <row r="21" spans="1:19" ht="14.25" customHeight="1" x14ac:dyDescent="0.75">
      <c r="A21" s="50">
        <v>666523</v>
      </c>
      <c r="B21" s="73" t="s">
        <v>34</v>
      </c>
      <c r="C21" s="73" t="s">
        <v>35</v>
      </c>
      <c r="D21" s="50">
        <f t="shared" si="0"/>
        <v>50</v>
      </c>
      <c r="E21" s="50">
        <v>0</v>
      </c>
      <c r="F21" s="50">
        <v>0</v>
      </c>
      <c r="G21" s="50">
        <v>40</v>
      </c>
      <c r="H21" s="50">
        <v>40</v>
      </c>
      <c r="I21" s="50">
        <v>10</v>
      </c>
      <c r="J21" s="50">
        <v>10</v>
      </c>
      <c r="K21" s="50">
        <f t="shared" si="1"/>
        <v>50</v>
      </c>
      <c r="L21" s="50">
        <f t="shared" si="2"/>
        <v>50</v>
      </c>
    </row>
    <row r="22" spans="1:19" ht="14.25" customHeight="1" x14ac:dyDescent="0.75">
      <c r="A22" s="50">
        <v>666530</v>
      </c>
      <c r="B22" s="73" t="s">
        <v>36</v>
      </c>
      <c r="C22" s="73" t="s">
        <v>37</v>
      </c>
      <c r="D22" s="50">
        <f t="shared" si="0"/>
        <v>20</v>
      </c>
      <c r="E22" s="50">
        <v>5</v>
      </c>
      <c r="F22" s="50">
        <v>5</v>
      </c>
      <c r="G22" s="50">
        <v>0</v>
      </c>
      <c r="H22" s="50">
        <v>0</v>
      </c>
      <c r="I22" s="50">
        <v>15</v>
      </c>
      <c r="J22" s="50">
        <v>15</v>
      </c>
      <c r="K22" s="50">
        <f t="shared" si="1"/>
        <v>20</v>
      </c>
      <c r="L22" s="50">
        <f t="shared" si="2"/>
        <v>20</v>
      </c>
    </row>
    <row r="23" spans="1:19" ht="14.25" customHeight="1" x14ac:dyDescent="0.75">
      <c r="A23" s="50">
        <v>666531</v>
      </c>
      <c r="B23" s="73" t="s">
        <v>38</v>
      </c>
      <c r="C23" s="73" t="s">
        <v>39</v>
      </c>
      <c r="D23" s="50">
        <f t="shared" si="0"/>
        <v>26</v>
      </c>
      <c r="E23" s="50">
        <v>18</v>
      </c>
      <c r="F23" s="50">
        <v>18</v>
      </c>
      <c r="G23" s="50">
        <v>0</v>
      </c>
      <c r="H23" s="50">
        <v>0</v>
      </c>
      <c r="I23" s="50">
        <v>8</v>
      </c>
      <c r="J23" s="50">
        <v>8</v>
      </c>
      <c r="K23" s="50">
        <f t="shared" si="1"/>
        <v>26</v>
      </c>
      <c r="L23" s="50">
        <f t="shared" si="2"/>
        <v>26</v>
      </c>
    </row>
    <row r="24" spans="1:19" ht="14.25" customHeight="1" x14ac:dyDescent="0.75">
      <c r="A24" s="50">
        <v>666540</v>
      </c>
      <c r="B24" s="73" t="s">
        <v>40</v>
      </c>
      <c r="C24" s="73" t="s">
        <v>40</v>
      </c>
      <c r="D24" s="50">
        <f t="shared" si="0"/>
        <v>120</v>
      </c>
      <c r="E24" s="50">
        <v>0</v>
      </c>
      <c r="F24" s="50">
        <v>0</v>
      </c>
      <c r="G24" s="50">
        <v>120</v>
      </c>
      <c r="H24" s="50">
        <v>0</v>
      </c>
      <c r="I24" s="50">
        <v>0</v>
      </c>
      <c r="J24" s="50">
        <v>0</v>
      </c>
      <c r="K24" s="50">
        <f t="shared" si="1"/>
        <v>120</v>
      </c>
      <c r="L24" s="50">
        <f t="shared" si="2"/>
        <v>0</v>
      </c>
    </row>
    <row r="25" spans="1:19" ht="14.25" customHeight="1" x14ac:dyDescent="0.75">
      <c r="A25" s="50">
        <v>666541</v>
      </c>
      <c r="B25" s="73" t="s">
        <v>41</v>
      </c>
      <c r="C25" s="73" t="s">
        <v>41</v>
      </c>
      <c r="D25" s="50">
        <f t="shared" si="0"/>
        <v>600</v>
      </c>
      <c r="E25" s="50">
        <v>0</v>
      </c>
      <c r="F25" s="50">
        <v>0</v>
      </c>
      <c r="G25" s="50">
        <v>600</v>
      </c>
      <c r="H25" s="50">
        <v>308</v>
      </c>
      <c r="I25" s="50">
        <v>0</v>
      </c>
      <c r="J25" s="50">
        <v>0</v>
      </c>
      <c r="K25" s="50">
        <f t="shared" si="1"/>
        <v>600</v>
      </c>
      <c r="L25" s="50">
        <f t="shared" si="2"/>
        <v>308</v>
      </c>
    </row>
    <row r="26" spans="1:19" s="74" customFormat="1" ht="14.25" customHeight="1" x14ac:dyDescent="0.75">
      <c r="A26" s="74">
        <v>666536</v>
      </c>
      <c r="B26" s="74" t="s">
        <v>42</v>
      </c>
      <c r="C26" s="74" t="s">
        <v>43</v>
      </c>
      <c r="E26" s="50">
        <v>30</v>
      </c>
      <c r="F26" s="50">
        <v>23</v>
      </c>
      <c r="G26" s="50">
        <v>0</v>
      </c>
      <c r="H26" s="50">
        <v>0</v>
      </c>
      <c r="I26" s="50">
        <v>0</v>
      </c>
      <c r="J26" s="50">
        <v>0</v>
      </c>
      <c r="K26" s="50">
        <f t="shared" si="1"/>
        <v>30</v>
      </c>
      <c r="L26" s="50">
        <f t="shared" si="2"/>
        <v>23</v>
      </c>
      <c r="S26" s="74">
        <v>2</v>
      </c>
    </row>
  </sheetData>
  <conditionalFormatting sqref="K6:K26">
    <cfRule type="cellIs" dxfId="164" priority="2" operator="equal">
      <formula>0</formula>
    </cfRule>
  </conditionalFormatting>
  <conditionalFormatting sqref="L6:L26">
    <cfRule type="expression" dxfId="163" priority="3">
      <formula>K6=L6</formula>
    </cfRule>
    <cfRule type="expression" dxfId="162" priority="4">
      <formula>K6&lt;L6</formula>
    </cfRule>
    <cfRule type="expression" dxfId="161" priority="5">
      <formula>K6&gt;L6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S34"/>
  <sheetViews>
    <sheetView zoomScaleNormal="100" workbookViewId="0">
      <selection activeCell="O36" sqref="O36"/>
    </sheetView>
  </sheetViews>
  <sheetFormatPr defaultColWidth="8.86328125" defaultRowHeight="14.75" x14ac:dyDescent="0.75"/>
  <cols>
    <col min="1" max="1" width="8.86328125" style="145"/>
    <col min="2" max="2" width="33" style="145" customWidth="1"/>
    <col min="3" max="4" width="10" style="145" hidden="1" customWidth="1"/>
    <col min="5" max="5" width="10" style="145" customWidth="1"/>
    <col min="6" max="16384" width="8.86328125" style="145"/>
  </cols>
  <sheetData>
    <row r="1" spans="1:19" ht="14.25" customHeight="1" x14ac:dyDescent="0.75">
      <c r="E1" s="145" t="s">
        <v>187</v>
      </c>
    </row>
    <row r="2" spans="1:19" ht="36" customHeight="1" x14ac:dyDescent="0.75">
      <c r="A2" s="51"/>
      <c r="B2" s="51"/>
      <c r="C2" s="51"/>
      <c r="D2" s="51" t="s">
        <v>144</v>
      </c>
      <c r="E2" s="53" t="s">
        <v>116</v>
      </c>
      <c r="F2" s="53" t="s">
        <v>145</v>
      </c>
      <c r="G2" s="53" t="s">
        <v>118</v>
      </c>
      <c r="H2" s="56" t="s">
        <v>119</v>
      </c>
      <c r="I2" s="53" t="s">
        <v>146</v>
      </c>
      <c r="J2" s="53" t="s">
        <v>121</v>
      </c>
      <c r="K2" s="51" t="s">
        <v>122</v>
      </c>
      <c r="L2" s="56" t="s">
        <v>147</v>
      </c>
      <c r="M2" s="56" t="s">
        <v>124</v>
      </c>
      <c r="N2" s="51" t="s">
        <v>148</v>
      </c>
      <c r="O2" s="53" t="s">
        <v>149</v>
      </c>
      <c r="P2" s="53" t="s">
        <v>188</v>
      </c>
      <c r="Q2" s="191" t="s">
        <v>189</v>
      </c>
      <c r="R2" s="191" t="s">
        <v>190</v>
      </c>
    </row>
    <row r="3" spans="1:19" ht="14.25" customHeight="1" x14ac:dyDescent="0.75">
      <c r="A3" s="50"/>
      <c r="B3" s="50"/>
      <c r="C3" s="57" t="s">
        <v>150</v>
      </c>
      <c r="D3" s="57"/>
      <c r="E3" s="57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</row>
    <row r="4" spans="1:19" ht="14.25" customHeight="1" x14ac:dyDescent="0.75">
      <c r="A4" s="62" t="s">
        <v>129</v>
      </c>
      <c r="B4" s="62" t="s">
        <v>2</v>
      </c>
      <c r="C4" s="62" t="s">
        <v>3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</row>
    <row r="5" spans="1:19" ht="14.25" customHeight="1" x14ac:dyDescent="0.75">
      <c r="A5" s="62"/>
      <c r="B5" s="62"/>
      <c r="C5" s="62" t="s">
        <v>151</v>
      </c>
      <c r="D5" s="62"/>
      <c r="E5" s="62"/>
      <c r="F5" s="50">
        <v>107</v>
      </c>
      <c r="G5" s="50"/>
      <c r="H5" s="50"/>
      <c r="I5" s="50">
        <v>884</v>
      </c>
      <c r="J5" s="127"/>
      <c r="K5" s="50"/>
      <c r="L5" s="50">
        <v>104</v>
      </c>
      <c r="M5" s="50"/>
      <c r="N5" s="62" t="s">
        <v>152</v>
      </c>
      <c r="O5" s="62">
        <f>SUM(F5:L5)</f>
        <v>1095</v>
      </c>
      <c r="P5" s="62"/>
    </row>
    <row r="6" spans="1:19" ht="14.25" customHeight="1" x14ac:dyDescent="0.75">
      <c r="A6" s="50">
        <v>666501</v>
      </c>
      <c r="B6" s="192" t="s">
        <v>4</v>
      </c>
      <c r="C6" s="73" t="s">
        <v>5</v>
      </c>
      <c r="D6" s="50">
        <f t="shared" ref="D6:D26" si="0">+N6</f>
        <v>2886</v>
      </c>
      <c r="E6" s="50">
        <f>+Sheet4!E6+Sheet8!E6+Sheet6!E6+Sheet10!E6+Sheet12!E6+Sheet2!E6+Sheet16!E6</f>
        <v>261</v>
      </c>
      <c r="F6" s="50">
        <f>+Sheet4!F6+Sheet8!F6+Sheet6!F6+Sheet10!F6+Sheet12!F6+Sheet2!F6+Sheet16!F6</f>
        <v>246</v>
      </c>
      <c r="G6" s="76">
        <f>+F6/E6</f>
        <v>0.94252873563218387</v>
      </c>
      <c r="H6" s="50">
        <f>+Sheet4!G6+Sheet8!G6+Sheet6!G6+Sheet10!G6+Sheet12!G6+Sheet2!G6+Sheet16!G6</f>
        <v>2388</v>
      </c>
      <c r="I6" s="50">
        <f>+Sheet4!H6+Sheet8!H6+Sheet6!H6+Sheet10!H6+Sheet12!H6+Sheet2!H6+Sheet16!H6</f>
        <v>2322</v>
      </c>
      <c r="J6" s="193">
        <f>+I6/H6</f>
        <v>0.97236180904522618</v>
      </c>
      <c r="K6" s="50">
        <f>+Sheet4!I6+Sheet8!I6+Sheet6!I6+Sheet10!I6+Sheet12!I6+Sheet2!I6+Sheet16!I6</f>
        <v>237</v>
      </c>
      <c r="L6" s="50">
        <f>+Sheet4!J6+Sheet8!J6+Sheet6!J6+Sheet10!J6+Sheet12!J6+Sheet2!J6+Sheet16!J6</f>
        <v>207</v>
      </c>
      <c r="M6" s="76">
        <f>+L6/K6</f>
        <v>0.87341772151898733</v>
      </c>
      <c r="N6" s="50">
        <f t="shared" ref="N6:N26" si="1">+K6+H6+E6</f>
        <v>2886</v>
      </c>
      <c r="O6" s="50">
        <f t="shared" ref="O6:O26" si="2">+F6+I6+L6</f>
        <v>2775</v>
      </c>
      <c r="P6" s="50">
        <v>2695</v>
      </c>
      <c r="Q6" s="194">
        <f t="shared" ref="Q6:Q11" si="3">+O6/N6</f>
        <v>0.96153846153846156</v>
      </c>
      <c r="R6" s="194">
        <f t="shared" ref="R6:R26" si="4">+O6/P6</f>
        <v>1.0296846011131726</v>
      </c>
      <c r="S6" s="145">
        <f t="shared" ref="S6:S26" si="5">+N6-O6</f>
        <v>111</v>
      </c>
    </row>
    <row r="7" spans="1:19" ht="14.25" customHeight="1" x14ac:dyDescent="0.75">
      <c r="A7" s="50">
        <v>666502</v>
      </c>
      <c r="B7" s="192" t="s">
        <v>6</v>
      </c>
      <c r="C7" s="73" t="s">
        <v>7</v>
      </c>
      <c r="D7" s="50">
        <f t="shared" si="0"/>
        <v>2404</v>
      </c>
      <c r="E7" s="50">
        <f>+Sheet4!E7+Sheet8!E7+Sheet6!E7+Sheet10!E7+Sheet12!E7+Sheet2!E7+Sheet16!E7</f>
        <v>0</v>
      </c>
      <c r="F7" s="50">
        <f>+Sheet4!F7+Sheet8!F7+Sheet6!F7+Sheet10!F7+Sheet12!F7+Sheet2!F7+Sheet16!F7</f>
        <v>0</v>
      </c>
      <c r="G7" s="76"/>
      <c r="H7" s="50">
        <f>+Sheet4!G7+Sheet8!G7+Sheet6!G7+Sheet10!G7+Sheet12!G7+Sheet2!G7+Sheet16!G7</f>
        <v>2084</v>
      </c>
      <c r="I7" s="50">
        <f>+Sheet4!H7+Sheet8!H7+Sheet6!H7+Sheet10!H7+Sheet12!H7+Sheet2!H7+Sheet16!H7</f>
        <v>1832</v>
      </c>
      <c r="J7" s="193">
        <f>+I7/H7</f>
        <v>0.87907869481765832</v>
      </c>
      <c r="K7" s="50">
        <f>+Sheet4!I7+Sheet8!I7+Sheet6!I7+Sheet10!I7+Sheet12!I7+Sheet2!I7+Sheet16!I7</f>
        <v>320</v>
      </c>
      <c r="L7" s="50">
        <f>+Sheet4!J7+Sheet8!J7+Sheet6!J7+Sheet10!J7+Sheet12!J7+Sheet2!J7+Sheet16!J7</f>
        <v>268</v>
      </c>
      <c r="M7" s="76">
        <f>+L7/K7</f>
        <v>0.83750000000000002</v>
      </c>
      <c r="N7" s="50">
        <f t="shared" si="1"/>
        <v>2404</v>
      </c>
      <c r="O7" s="50">
        <f t="shared" si="2"/>
        <v>2100</v>
      </c>
      <c r="P7" s="50">
        <v>176</v>
      </c>
      <c r="Q7" s="194">
        <f t="shared" si="3"/>
        <v>0.87354409317803661</v>
      </c>
      <c r="R7" s="194">
        <f t="shared" si="4"/>
        <v>11.931818181818182</v>
      </c>
      <c r="S7" s="145">
        <f t="shared" si="5"/>
        <v>304</v>
      </c>
    </row>
    <row r="8" spans="1:19" ht="14.25" customHeight="1" x14ac:dyDescent="0.75">
      <c r="A8" s="50">
        <v>666505</v>
      </c>
      <c r="B8" s="192" t="s">
        <v>8</v>
      </c>
      <c r="C8" s="73" t="s">
        <v>9</v>
      </c>
      <c r="D8" s="50">
        <f t="shared" si="0"/>
        <v>434</v>
      </c>
      <c r="E8" s="50">
        <f>+Sheet4!E8+Sheet8!E8+Sheet6!E8+Sheet10!E8+Sheet12!E8+Sheet2!E8+Sheet16!E8</f>
        <v>137</v>
      </c>
      <c r="F8" s="50">
        <f>+Sheet4!F8+Sheet8!F8+Sheet6!F8+Sheet10!F8+Sheet12!F8+Sheet2!F8+Sheet16!F8</f>
        <v>137</v>
      </c>
      <c r="G8" s="76">
        <f>+F8/E8</f>
        <v>1</v>
      </c>
      <c r="H8" s="50">
        <f>+Sheet4!G8+Sheet8!G8+Sheet6!G8+Sheet10!G8+Sheet12!G8+Sheet2!G8+Sheet16!G8</f>
        <v>0</v>
      </c>
      <c r="I8" s="50">
        <f>+Sheet4!H8+Sheet8!H8+Sheet6!H8+Sheet10!H8+Sheet12!H8+Sheet2!H8+Sheet16!H8</f>
        <v>0</v>
      </c>
      <c r="J8" s="193"/>
      <c r="K8" s="50">
        <f>+Sheet4!I8+Sheet8!I8+Sheet6!I8+Sheet10!I8+Sheet12!I8+Sheet2!I8+Sheet16!I8</f>
        <v>297</v>
      </c>
      <c r="L8" s="50">
        <f>+Sheet4!J8+Sheet8!J8+Sheet6!J8+Sheet10!J8+Sheet12!J8+Sheet2!J8+Sheet16!J8</f>
        <v>255</v>
      </c>
      <c r="M8" s="76">
        <f>+L8/K8</f>
        <v>0.85858585858585856</v>
      </c>
      <c r="N8" s="50">
        <f t="shared" si="1"/>
        <v>434</v>
      </c>
      <c r="O8" s="50">
        <f t="shared" si="2"/>
        <v>392</v>
      </c>
      <c r="P8" s="50">
        <v>29</v>
      </c>
      <c r="Q8" s="194">
        <f t="shared" si="3"/>
        <v>0.90322580645161288</v>
      </c>
      <c r="R8" s="194">
        <f t="shared" si="4"/>
        <v>13.517241379310345</v>
      </c>
      <c r="S8" s="145">
        <f t="shared" si="5"/>
        <v>42</v>
      </c>
    </row>
    <row r="9" spans="1:19" ht="14.25" customHeight="1" x14ac:dyDescent="0.75">
      <c r="A9" s="50">
        <v>666506</v>
      </c>
      <c r="B9" s="192" t="s">
        <v>10</v>
      </c>
      <c r="C9" s="73" t="s">
        <v>11</v>
      </c>
      <c r="D9" s="50">
        <f t="shared" si="0"/>
        <v>1800</v>
      </c>
      <c r="E9" s="50">
        <f>+Sheet4!E9+Sheet8!E9+Sheet6!E9+Sheet10!E9+Sheet12!E9+Sheet2!E9+Sheet16!E9</f>
        <v>0</v>
      </c>
      <c r="F9" s="50">
        <f>+Sheet4!F9+Sheet8!F9+Sheet6!F9+Sheet10!F9+Sheet12!F9+Sheet2!F9+Sheet16!F9</f>
        <v>0</v>
      </c>
      <c r="G9" s="76"/>
      <c r="H9" s="50">
        <f>+Sheet4!G9+Sheet8!G9+Sheet6!G9+Sheet10!G9+Sheet12!G9+Sheet2!G9+Sheet16!G9</f>
        <v>1800</v>
      </c>
      <c r="I9" s="50">
        <f>+Sheet4!H9+Sheet8!H9+Sheet6!H9+Sheet10!H9+Sheet12!H9+Sheet2!H9+Sheet16!H9</f>
        <v>756</v>
      </c>
      <c r="J9" s="193">
        <f>+I9/H9</f>
        <v>0.42</v>
      </c>
      <c r="K9" s="50">
        <f>+Sheet4!I9+Sheet8!I9+Sheet6!I9+Sheet10!I9+Sheet12!I9+Sheet2!I9+Sheet16!I9</f>
        <v>0</v>
      </c>
      <c r="L9" s="50">
        <f>+Sheet4!J9+Sheet8!J9+Sheet6!J9+Sheet10!J9+Sheet12!J9+Sheet2!J9+Sheet16!J9</f>
        <v>0</v>
      </c>
      <c r="M9" s="76"/>
      <c r="N9" s="50">
        <f t="shared" si="1"/>
        <v>1800</v>
      </c>
      <c r="O9" s="50">
        <f t="shared" si="2"/>
        <v>756</v>
      </c>
      <c r="P9" s="50">
        <v>836</v>
      </c>
      <c r="Q9" s="194">
        <f t="shared" si="3"/>
        <v>0.42</v>
      </c>
      <c r="R9" s="194">
        <f t="shared" si="4"/>
        <v>0.90430622009569372</v>
      </c>
      <c r="S9" s="145">
        <f t="shared" si="5"/>
        <v>1044</v>
      </c>
    </row>
    <row r="10" spans="1:19" ht="14.25" customHeight="1" x14ac:dyDescent="0.75">
      <c r="A10" s="50">
        <v>666507</v>
      </c>
      <c r="B10" s="192" t="s">
        <v>12</v>
      </c>
      <c r="C10" s="73" t="s">
        <v>13</v>
      </c>
      <c r="D10" s="50">
        <f t="shared" si="0"/>
        <v>328</v>
      </c>
      <c r="E10" s="50">
        <f>+Sheet4!E10+Sheet8!E10+Sheet6!E10+Sheet10!E10+Sheet12!E10+Sheet2!E10+Sheet16!E10</f>
        <v>328</v>
      </c>
      <c r="F10" s="50">
        <f>+Sheet4!F10+Sheet8!F10+Sheet6!F10+Sheet10!F10+Sheet12!F10+Sheet2!F10+Sheet16!F10</f>
        <v>320</v>
      </c>
      <c r="G10" s="76">
        <f>+F10/E10</f>
        <v>0.97560975609756095</v>
      </c>
      <c r="H10" s="50">
        <f>+Sheet4!G10+Sheet8!G10+Sheet6!G10+Sheet10!G10+Sheet12!G10+Sheet2!G10+Sheet16!G10</f>
        <v>0</v>
      </c>
      <c r="I10" s="50">
        <f>+Sheet4!H10+Sheet8!H10+Sheet6!H10+Sheet10!H10+Sheet12!H10+Sheet2!H10+Sheet16!H10</f>
        <v>0</v>
      </c>
      <c r="J10" s="193"/>
      <c r="K10" s="50">
        <f>+Sheet4!I10+Sheet8!I10+Sheet6!I10+Sheet10!I10+Sheet12!I10+Sheet2!I10+Sheet16!I10</f>
        <v>0</v>
      </c>
      <c r="L10" s="50">
        <f>+Sheet4!J10+Sheet8!J10+Sheet6!J10+Sheet10!J10+Sheet12!J10+Sheet2!J10+Sheet16!J10</f>
        <v>0</v>
      </c>
      <c r="M10" s="76"/>
      <c r="N10" s="50">
        <f t="shared" si="1"/>
        <v>328</v>
      </c>
      <c r="O10" s="50">
        <f t="shared" si="2"/>
        <v>320</v>
      </c>
      <c r="P10" s="50">
        <v>10</v>
      </c>
      <c r="Q10" s="194">
        <f t="shared" si="3"/>
        <v>0.97560975609756095</v>
      </c>
      <c r="R10" s="194">
        <f t="shared" si="4"/>
        <v>32</v>
      </c>
      <c r="S10" s="145">
        <f t="shared" si="5"/>
        <v>8</v>
      </c>
    </row>
    <row r="11" spans="1:19" ht="14.25" customHeight="1" x14ac:dyDescent="0.75">
      <c r="A11" s="50">
        <v>666509</v>
      </c>
      <c r="B11" s="192" t="s">
        <v>14</v>
      </c>
      <c r="C11" s="73" t="s">
        <v>15</v>
      </c>
      <c r="D11" s="50">
        <f t="shared" si="0"/>
        <v>664</v>
      </c>
      <c r="E11" s="50">
        <f>+Sheet4!E11+Sheet8!E11+Sheet6!E11+Sheet10!E11+Sheet12!E11+Sheet2!E11+Sheet16!E11</f>
        <v>664</v>
      </c>
      <c r="F11" s="50">
        <f>+Sheet4!F11+Sheet8!F11+Sheet6!F11+Sheet10!F11+Sheet12!F11+Sheet2!F11+Sheet16!F11</f>
        <v>595</v>
      </c>
      <c r="G11" s="76">
        <f>+F11/E11</f>
        <v>0.89608433734939763</v>
      </c>
      <c r="H11" s="50">
        <f>+Sheet4!G11+Sheet8!G11+Sheet6!G11+Sheet10!G11+Sheet12!G11+Sheet2!G11+Sheet16!G11</f>
        <v>0</v>
      </c>
      <c r="I11" s="50">
        <f>+Sheet4!H11+Sheet8!H11+Sheet6!H11+Sheet10!H11+Sheet12!H11+Sheet2!H11+Sheet16!H11</f>
        <v>0</v>
      </c>
      <c r="J11" s="193"/>
      <c r="K11" s="50">
        <f>+Sheet4!I11+Sheet8!I11+Sheet6!I11+Sheet10!I11+Sheet12!I11+Sheet2!I11+Sheet16!I11</f>
        <v>0</v>
      </c>
      <c r="L11" s="50">
        <f>+Sheet4!J11+Sheet8!J11+Sheet6!J11+Sheet10!J11+Sheet12!J11+Sheet2!J11+Sheet16!J11</f>
        <v>0</v>
      </c>
      <c r="M11" s="76"/>
      <c r="N11" s="50">
        <f t="shared" si="1"/>
        <v>664</v>
      </c>
      <c r="O11" s="50">
        <f t="shared" si="2"/>
        <v>595</v>
      </c>
      <c r="P11" s="50">
        <v>54</v>
      </c>
      <c r="Q11" s="194">
        <f t="shared" si="3"/>
        <v>0.89608433734939763</v>
      </c>
      <c r="R11" s="194">
        <f t="shared" si="4"/>
        <v>11.018518518518519</v>
      </c>
      <c r="S11" s="145">
        <f t="shared" si="5"/>
        <v>69</v>
      </c>
    </row>
    <row r="12" spans="1:19" ht="14.25" customHeight="1" x14ac:dyDescent="0.75">
      <c r="A12" s="50">
        <v>666510</v>
      </c>
      <c r="B12" s="192" t="s">
        <v>16</v>
      </c>
      <c r="C12" s="73" t="s">
        <v>169</v>
      </c>
      <c r="D12" s="50">
        <f t="shared" si="0"/>
        <v>0</v>
      </c>
      <c r="E12" s="50">
        <f>+Sheet4!E12+Sheet8!E12+Sheet6!E12+Sheet10!E12+Sheet12!E12+Sheet2!E12+Sheet16!E12</f>
        <v>0</v>
      </c>
      <c r="F12" s="50">
        <f>+Sheet4!F12+Sheet8!F12+Sheet6!F12+Sheet10!F12+Sheet12!F12+Sheet2!F12+Sheet16!F12</f>
        <v>0</v>
      </c>
      <c r="G12" s="76"/>
      <c r="H12" s="50">
        <f>+Sheet4!G12+Sheet8!G12+Sheet6!G12+Sheet10!G12+Sheet12!G12+Sheet2!G12+Sheet16!G12</f>
        <v>0</v>
      </c>
      <c r="I12" s="50">
        <f>+Sheet4!H12+Sheet8!H12+Sheet6!H12+Sheet10!H12+Sheet12!H12+Sheet2!H12+Sheet16!H12</f>
        <v>0</v>
      </c>
      <c r="J12" s="193"/>
      <c r="K12" s="50">
        <f>+Sheet4!I12+Sheet8!I12+Sheet6!I12+Sheet10!I12+Sheet12!I12+Sheet2!I12+Sheet16!I12</f>
        <v>0</v>
      </c>
      <c r="L12" s="50">
        <f>+Sheet4!J12+Sheet8!J12+Sheet6!J12+Sheet10!J12+Sheet12!J12+Sheet2!J12+Sheet16!J12</f>
        <v>0</v>
      </c>
      <c r="M12" s="76"/>
      <c r="N12" s="50">
        <f t="shared" si="1"/>
        <v>0</v>
      </c>
      <c r="O12" s="50">
        <f t="shared" si="2"/>
        <v>0</v>
      </c>
      <c r="P12" s="50">
        <v>108</v>
      </c>
      <c r="Q12" s="194"/>
      <c r="R12" s="194">
        <f t="shared" si="4"/>
        <v>0</v>
      </c>
      <c r="S12" s="145">
        <f t="shared" si="5"/>
        <v>0</v>
      </c>
    </row>
    <row r="13" spans="1:19" ht="14.25" customHeight="1" x14ac:dyDescent="0.75">
      <c r="A13" s="50">
        <v>666511</v>
      </c>
      <c r="B13" s="192" t="s">
        <v>18</v>
      </c>
      <c r="C13" s="73" t="s">
        <v>19</v>
      </c>
      <c r="D13" s="50">
        <f t="shared" si="0"/>
        <v>54</v>
      </c>
      <c r="E13" s="50">
        <f>+Sheet4!E13+Sheet8!E13+Sheet6!E13+Sheet10!E13+Sheet12!E13+Sheet2!E13+Sheet16!E13</f>
        <v>54</v>
      </c>
      <c r="F13" s="50">
        <f>+Sheet4!F13+Sheet8!F13+Sheet6!F13+Sheet10!F13+Sheet12!F13+Sheet2!F13+Sheet16!F13</f>
        <v>54</v>
      </c>
      <c r="G13" s="76">
        <f>+F13/E13</f>
        <v>1</v>
      </c>
      <c r="H13" s="50">
        <f>+Sheet4!G13+Sheet8!G13+Sheet6!G13+Sheet10!G13+Sheet12!G13+Sheet2!G13+Sheet16!G13</f>
        <v>0</v>
      </c>
      <c r="I13" s="50">
        <f>+Sheet4!H13+Sheet8!H13+Sheet6!H13+Sheet10!H13+Sheet12!H13+Sheet2!H13+Sheet16!H13</f>
        <v>0</v>
      </c>
      <c r="J13" s="193"/>
      <c r="K13" s="50">
        <f>+Sheet4!I13+Sheet8!I13+Sheet6!I13+Sheet10!I13+Sheet12!I13+Sheet2!I13+Sheet16!I13</f>
        <v>0</v>
      </c>
      <c r="L13" s="50">
        <f>+Sheet4!J13+Sheet8!J13+Sheet6!J13+Sheet10!J13+Sheet12!J13+Sheet2!J13+Sheet16!J13</f>
        <v>0</v>
      </c>
      <c r="M13" s="76"/>
      <c r="N13" s="50">
        <f t="shared" si="1"/>
        <v>54</v>
      </c>
      <c r="O13" s="50">
        <f t="shared" si="2"/>
        <v>54</v>
      </c>
      <c r="P13" s="50">
        <v>4</v>
      </c>
      <c r="Q13" s="194">
        <f>+O13/N13</f>
        <v>1</v>
      </c>
      <c r="R13" s="194">
        <f t="shared" si="4"/>
        <v>13.5</v>
      </c>
      <c r="S13" s="145">
        <f t="shared" si="5"/>
        <v>0</v>
      </c>
    </row>
    <row r="14" spans="1:19" ht="14.25" customHeight="1" x14ac:dyDescent="0.75">
      <c r="A14" s="50">
        <v>666513</v>
      </c>
      <c r="B14" s="192" t="s">
        <v>20</v>
      </c>
      <c r="C14" s="73" t="s">
        <v>21</v>
      </c>
      <c r="D14" s="50">
        <f t="shared" si="0"/>
        <v>66</v>
      </c>
      <c r="E14" s="50">
        <f>+Sheet4!E14+Sheet8!E14+Sheet6!E14+Sheet10!E14+Sheet12!E14+Sheet2!E14+Sheet16!E14</f>
        <v>20</v>
      </c>
      <c r="F14" s="50">
        <f>+Sheet4!F14+Sheet8!F14+Sheet6!F14+Sheet10!F14+Sheet12!F14+Sheet2!F14+Sheet16!F14</f>
        <v>20</v>
      </c>
      <c r="G14" s="76">
        <f>+F14/E14</f>
        <v>1</v>
      </c>
      <c r="H14" s="50">
        <f>+Sheet4!G14+Sheet8!G14+Sheet6!G14+Sheet10!G14+Sheet12!G14+Sheet2!G14+Sheet16!G14</f>
        <v>0</v>
      </c>
      <c r="I14" s="50">
        <f>+Sheet4!H14+Sheet8!H14+Sheet6!H14+Sheet10!H14+Sheet12!H14+Sheet2!H14+Sheet16!H14</f>
        <v>0</v>
      </c>
      <c r="J14" s="193"/>
      <c r="K14" s="50">
        <f>+Sheet4!I14+Sheet8!I14+Sheet6!I14+Sheet10!I14+Sheet12!I14+Sheet2!I14+Sheet16!I14</f>
        <v>46</v>
      </c>
      <c r="L14" s="50">
        <f>+Sheet4!J14+Sheet8!J14+Sheet6!J14+Sheet10!J14+Sheet12!J14+Sheet2!J14+Sheet16!J14</f>
        <v>0</v>
      </c>
      <c r="M14" s="76">
        <f>+L14/K14</f>
        <v>0</v>
      </c>
      <c r="N14" s="50">
        <f t="shared" si="1"/>
        <v>66</v>
      </c>
      <c r="O14" s="50">
        <f t="shared" si="2"/>
        <v>20</v>
      </c>
      <c r="P14" s="50">
        <v>8</v>
      </c>
      <c r="Q14" s="194">
        <f>+O14/N14</f>
        <v>0.30303030303030304</v>
      </c>
      <c r="R14" s="194">
        <f t="shared" si="4"/>
        <v>2.5</v>
      </c>
      <c r="S14" s="145">
        <f t="shared" si="5"/>
        <v>46</v>
      </c>
    </row>
    <row r="15" spans="1:19" ht="14.25" customHeight="1" x14ac:dyDescent="0.75">
      <c r="A15" s="50">
        <v>666516</v>
      </c>
      <c r="B15" s="192" t="s">
        <v>22</v>
      </c>
      <c r="C15" s="73" t="s">
        <v>23</v>
      </c>
      <c r="D15" s="50">
        <f t="shared" si="0"/>
        <v>368</v>
      </c>
      <c r="E15" s="50">
        <f>+Sheet4!E15+Sheet8!E15+Sheet6!E15+Sheet10!E15+Sheet12!E15+Sheet2!E15+Sheet16!E15</f>
        <v>174</v>
      </c>
      <c r="F15" s="50">
        <f>+Sheet4!F15+Sheet8!F15+Sheet6!F15+Sheet10!F15+Sheet12!F15+Sheet2!F15+Sheet16!F15</f>
        <v>174</v>
      </c>
      <c r="G15" s="76">
        <f>+F15/E15</f>
        <v>1</v>
      </c>
      <c r="H15" s="50">
        <f>+Sheet4!G15+Sheet8!G15+Sheet6!G15+Sheet10!G15+Sheet12!G15+Sheet2!G15+Sheet16!G15</f>
        <v>0</v>
      </c>
      <c r="I15" s="50">
        <f>+Sheet4!H15+Sheet8!H15+Sheet6!H15+Sheet10!H15+Sheet12!H15+Sheet2!H15+Sheet16!H15</f>
        <v>0</v>
      </c>
      <c r="J15" s="193"/>
      <c r="K15" s="50">
        <f>+Sheet4!I15+Sheet8!I15+Sheet6!I15+Sheet10!I15+Sheet12!I15+Sheet2!I15+Sheet16!I15</f>
        <v>194</v>
      </c>
      <c r="L15" s="50">
        <f>+Sheet4!J15+Sheet8!J15+Sheet6!J15+Sheet10!J15+Sheet12!J15+Sheet2!J15+Sheet16!J15</f>
        <v>146</v>
      </c>
      <c r="M15" s="76">
        <f>+L15/K15</f>
        <v>0.75257731958762886</v>
      </c>
      <c r="N15" s="50">
        <f t="shared" si="1"/>
        <v>368</v>
      </c>
      <c r="O15" s="50">
        <f t="shared" si="2"/>
        <v>320</v>
      </c>
      <c r="P15" s="50">
        <v>318</v>
      </c>
      <c r="Q15" s="194">
        <f>+O15/N15</f>
        <v>0.86956521739130432</v>
      </c>
      <c r="R15" s="194">
        <f t="shared" si="4"/>
        <v>1.0062893081761006</v>
      </c>
      <c r="S15" s="145">
        <f t="shared" si="5"/>
        <v>48</v>
      </c>
    </row>
    <row r="16" spans="1:19" ht="14.25" customHeight="1" x14ac:dyDescent="0.75">
      <c r="A16" s="50">
        <v>666517</v>
      </c>
      <c r="B16" s="192" t="s">
        <v>24</v>
      </c>
      <c r="C16" s="73" t="s">
        <v>25</v>
      </c>
      <c r="D16" s="50">
        <f t="shared" si="0"/>
        <v>396</v>
      </c>
      <c r="E16" s="50">
        <f>+Sheet4!E16+Sheet8!E16+Sheet6!E16+Sheet10!E16+Sheet12!E16+Sheet2!E16+Sheet16!E16</f>
        <v>274</v>
      </c>
      <c r="F16" s="50">
        <f>+Sheet4!F16+Sheet8!F16+Sheet6!F16+Sheet10!F16+Sheet12!F16+Sheet2!F16+Sheet16!F16</f>
        <v>274</v>
      </c>
      <c r="G16" s="76">
        <f>+F16/E16</f>
        <v>1</v>
      </c>
      <c r="H16" s="50">
        <f>+Sheet4!G16+Sheet8!G16+Sheet6!G16+Sheet10!G16+Sheet12!G16+Sheet2!G16+Sheet16!G16</f>
        <v>0</v>
      </c>
      <c r="I16" s="50">
        <f>+Sheet4!H16+Sheet8!H16+Sheet6!H16+Sheet10!H16+Sheet12!H16+Sheet2!H16+Sheet16!H16</f>
        <v>0</v>
      </c>
      <c r="J16" s="193"/>
      <c r="K16" s="50">
        <f>+Sheet4!I16+Sheet8!I16+Sheet6!I16+Sheet10!I16+Sheet12!I16+Sheet2!I16+Sheet16!I16</f>
        <v>122</v>
      </c>
      <c r="L16" s="50">
        <f>+Sheet4!J16+Sheet8!J16+Sheet6!J16+Sheet10!J16+Sheet12!J16+Sheet2!J16+Sheet16!J16</f>
        <v>93</v>
      </c>
      <c r="M16" s="76">
        <f>+L16/K16</f>
        <v>0.76229508196721307</v>
      </c>
      <c r="N16" s="50">
        <f t="shared" si="1"/>
        <v>396</v>
      </c>
      <c r="O16" s="50">
        <f t="shared" si="2"/>
        <v>367</v>
      </c>
      <c r="P16" s="50">
        <v>318</v>
      </c>
      <c r="Q16" s="194">
        <f>+O16/N16</f>
        <v>0.9267676767676768</v>
      </c>
      <c r="R16" s="194">
        <f t="shared" si="4"/>
        <v>1.1540880503144655</v>
      </c>
      <c r="S16" s="145">
        <f t="shared" si="5"/>
        <v>29</v>
      </c>
    </row>
    <row r="17" spans="1:19" ht="14.25" customHeight="1" x14ac:dyDescent="0.75">
      <c r="A17" s="50">
        <v>666518</v>
      </c>
      <c r="B17" s="192" t="s">
        <v>26</v>
      </c>
      <c r="C17" s="73" t="s">
        <v>27</v>
      </c>
      <c r="D17" s="50">
        <f t="shared" si="0"/>
        <v>0</v>
      </c>
      <c r="E17" s="50">
        <f>+Sheet4!E17+Sheet8!E17+Sheet6!E17+Sheet10!E17+Sheet12!E17+Sheet2!E17+Sheet16!E17</f>
        <v>0</v>
      </c>
      <c r="F17" s="50">
        <f>+Sheet4!F17+Sheet8!F17+Sheet6!F17+Sheet10!F17+Sheet12!F17+Sheet2!F17+Sheet16!F17</f>
        <v>0</v>
      </c>
      <c r="G17" s="76"/>
      <c r="H17" s="50">
        <f>+Sheet4!G17+Sheet8!G17+Sheet6!G17+Sheet10!G17+Sheet12!G17+Sheet2!G17+Sheet16!G17</f>
        <v>0</v>
      </c>
      <c r="I17" s="50">
        <f>+Sheet4!H17+Sheet8!H17+Sheet6!H17+Sheet10!H17+Sheet12!H17+Sheet2!H17+Sheet16!H17</f>
        <v>0</v>
      </c>
      <c r="J17" s="193"/>
      <c r="K17" s="50">
        <f>+Sheet4!I17+Sheet8!I17+Sheet6!I17+Sheet10!I17+Sheet12!I17+Sheet2!I17+Sheet16!I17</f>
        <v>0</v>
      </c>
      <c r="L17" s="50">
        <f>+Sheet4!J17+Sheet8!J17+Sheet6!J17+Sheet10!J17+Sheet12!J17+Sheet2!J17+Sheet16!J17</f>
        <v>0</v>
      </c>
      <c r="M17" s="76"/>
      <c r="N17" s="50">
        <f t="shared" si="1"/>
        <v>0</v>
      </c>
      <c r="O17" s="50">
        <f t="shared" si="2"/>
        <v>0</v>
      </c>
      <c r="P17" s="50">
        <v>598</v>
      </c>
      <c r="Q17" s="194"/>
      <c r="R17" s="194">
        <f t="shared" si="4"/>
        <v>0</v>
      </c>
      <c r="S17" s="145">
        <f t="shared" si="5"/>
        <v>0</v>
      </c>
    </row>
    <row r="18" spans="1:19" ht="14.25" customHeight="1" x14ac:dyDescent="0.75">
      <c r="A18" s="50">
        <v>666519</v>
      </c>
      <c r="B18" s="192" t="s">
        <v>28</v>
      </c>
      <c r="C18" s="73" t="s">
        <v>29</v>
      </c>
      <c r="D18" s="50">
        <f t="shared" si="0"/>
        <v>444</v>
      </c>
      <c r="E18" s="50">
        <f>+Sheet4!E18+Sheet8!E18+Sheet6!E18+Sheet10!E18+Sheet12!E18+Sheet2!E18+Sheet16!E18</f>
        <v>222</v>
      </c>
      <c r="F18" s="50">
        <f>+Sheet4!F18+Sheet8!F18+Sheet6!F18+Sheet10!F18+Sheet12!F18+Sheet2!F18+Sheet16!F18</f>
        <v>222</v>
      </c>
      <c r="G18" s="76">
        <f>+F18/E18</f>
        <v>1</v>
      </c>
      <c r="H18" s="50">
        <f>+Sheet4!G18+Sheet8!G18+Sheet6!G18+Sheet10!G18+Sheet12!G18+Sheet2!G18+Sheet16!G18</f>
        <v>0</v>
      </c>
      <c r="I18" s="50">
        <f>+Sheet4!H18+Sheet8!H18+Sheet6!H18+Sheet10!H18+Sheet12!H18+Sheet2!H18+Sheet16!H18</f>
        <v>0</v>
      </c>
      <c r="J18" s="193"/>
      <c r="K18" s="50">
        <f>+Sheet4!I18+Sheet8!I18+Sheet6!I18+Sheet10!I18+Sheet12!I18+Sheet2!I18+Sheet16!I18</f>
        <v>222</v>
      </c>
      <c r="L18" s="50">
        <f>+Sheet4!J18+Sheet8!J18+Sheet6!J18+Sheet10!J18+Sheet12!J18+Sheet2!J18+Sheet16!J18</f>
        <v>164</v>
      </c>
      <c r="M18" s="76">
        <f>+L18/K18</f>
        <v>0.73873873873873874</v>
      </c>
      <c r="N18" s="50">
        <f t="shared" si="1"/>
        <v>444</v>
      </c>
      <c r="O18" s="50">
        <f t="shared" si="2"/>
        <v>386</v>
      </c>
      <c r="P18" s="50">
        <v>29</v>
      </c>
      <c r="Q18" s="194">
        <f t="shared" ref="Q18:Q26" si="6">+O18/N18</f>
        <v>0.86936936936936937</v>
      </c>
      <c r="R18" s="194">
        <f t="shared" si="4"/>
        <v>13.310344827586206</v>
      </c>
      <c r="S18" s="145">
        <f t="shared" si="5"/>
        <v>58</v>
      </c>
    </row>
    <row r="19" spans="1:19" ht="14.25" customHeight="1" x14ac:dyDescent="0.75">
      <c r="A19" s="50">
        <v>666521</v>
      </c>
      <c r="B19" s="192" t="s">
        <v>30</v>
      </c>
      <c r="C19" s="73" t="s">
        <v>31</v>
      </c>
      <c r="D19" s="50">
        <f t="shared" si="0"/>
        <v>160</v>
      </c>
      <c r="E19" s="50">
        <f>+Sheet4!E19+Sheet8!E19+Sheet6!E19+Sheet10!E19+Sheet12!E19+Sheet2!E19+Sheet16!E19</f>
        <v>160</v>
      </c>
      <c r="F19" s="50">
        <f>+Sheet4!F19+Sheet8!F19+Sheet6!F19+Sheet10!F19+Sheet12!F19+Sheet2!F19+Sheet16!F19</f>
        <v>139</v>
      </c>
      <c r="G19" s="76">
        <f>+F19/E19</f>
        <v>0.86875000000000002</v>
      </c>
      <c r="H19" s="50">
        <f>+Sheet4!G19+Sheet8!G19+Sheet6!G19+Sheet10!G19+Sheet12!G19+Sheet2!G19+Sheet16!G19</f>
        <v>0</v>
      </c>
      <c r="I19" s="50">
        <f>+Sheet4!H19+Sheet8!H19+Sheet6!H19+Sheet10!H19+Sheet12!H19+Sheet2!H19+Sheet16!H19</f>
        <v>0</v>
      </c>
      <c r="J19" s="193"/>
      <c r="K19" s="50">
        <f>+Sheet4!I19+Sheet8!I19+Sheet6!I19+Sheet10!I19+Sheet12!I19+Sheet2!I19+Sheet16!I19</f>
        <v>0</v>
      </c>
      <c r="L19" s="50">
        <f>+Sheet4!J19+Sheet8!J19+Sheet6!J19+Sheet10!J19+Sheet12!J19+Sheet2!J19+Sheet16!J19</f>
        <v>0</v>
      </c>
      <c r="M19" s="76"/>
      <c r="N19" s="50">
        <f t="shared" si="1"/>
        <v>160</v>
      </c>
      <c r="O19" s="50">
        <f t="shared" si="2"/>
        <v>139</v>
      </c>
      <c r="P19" s="50">
        <v>31</v>
      </c>
      <c r="Q19" s="194">
        <f t="shared" si="6"/>
        <v>0.86875000000000002</v>
      </c>
      <c r="R19" s="194">
        <f t="shared" si="4"/>
        <v>4.4838709677419351</v>
      </c>
      <c r="S19" s="145">
        <f t="shared" si="5"/>
        <v>21</v>
      </c>
    </row>
    <row r="20" spans="1:19" ht="14.25" customHeight="1" x14ac:dyDescent="0.75">
      <c r="A20" s="50">
        <v>666522</v>
      </c>
      <c r="B20" s="192" t="s">
        <v>32</v>
      </c>
      <c r="C20" s="73" t="s">
        <v>33</v>
      </c>
      <c r="D20" s="50">
        <f t="shared" si="0"/>
        <v>2580</v>
      </c>
      <c r="E20" s="50">
        <f>+Sheet4!E20+Sheet8!E20+Sheet6!E20+Sheet10!E20+Sheet12!E20+Sheet2!E20+Sheet16!E20</f>
        <v>810</v>
      </c>
      <c r="F20" s="50">
        <f>+Sheet4!F20+Sheet8!F20+Sheet6!F20+Sheet10!F20+Sheet12!F20+Sheet2!F20+Sheet16!F20</f>
        <v>810</v>
      </c>
      <c r="G20" s="76">
        <f>+F20/E20</f>
        <v>1</v>
      </c>
      <c r="H20" s="50">
        <f>+Sheet4!G20+Sheet8!G20+Sheet6!G20+Sheet10!G20+Sheet12!G20+Sheet2!G20+Sheet16!G20</f>
        <v>1250</v>
      </c>
      <c r="I20" s="50">
        <f>+Sheet4!H20+Sheet8!H20+Sheet6!H20+Sheet10!H20+Sheet12!H20+Sheet2!H20+Sheet16!H20</f>
        <v>1250</v>
      </c>
      <c r="J20" s="193">
        <f>+I20/H20</f>
        <v>1</v>
      </c>
      <c r="K20" s="50">
        <f>+Sheet4!I20+Sheet8!I20+Sheet6!I20+Sheet10!I20+Sheet12!I20+Sheet2!I20+Sheet16!I20</f>
        <v>520</v>
      </c>
      <c r="L20" s="50">
        <f>+Sheet4!J20+Sheet8!J20+Sheet6!J20+Sheet10!J20+Sheet12!J20+Sheet2!J20+Sheet16!J20</f>
        <v>440</v>
      </c>
      <c r="M20" s="76">
        <f>+L20/K20</f>
        <v>0.84615384615384615</v>
      </c>
      <c r="N20" s="50">
        <f t="shared" si="1"/>
        <v>2580</v>
      </c>
      <c r="O20" s="50">
        <f t="shared" si="2"/>
        <v>2500</v>
      </c>
      <c r="P20" s="50">
        <v>1694</v>
      </c>
      <c r="Q20" s="194">
        <f t="shared" si="6"/>
        <v>0.96899224806201545</v>
      </c>
      <c r="R20" s="194">
        <f t="shared" si="4"/>
        <v>1.4757969303423848</v>
      </c>
      <c r="S20" s="145">
        <f t="shared" si="5"/>
        <v>80</v>
      </c>
    </row>
    <row r="21" spans="1:19" ht="14.25" customHeight="1" x14ac:dyDescent="0.75">
      <c r="A21" s="50">
        <v>666523</v>
      </c>
      <c r="B21" s="192" t="s">
        <v>34</v>
      </c>
      <c r="C21" s="73" t="s">
        <v>35</v>
      </c>
      <c r="D21" s="50">
        <f t="shared" si="0"/>
        <v>468</v>
      </c>
      <c r="E21" s="50">
        <f>+Sheet4!E21+Sheet8!E21+Sheet6!E21+Sheet10!E21+Sheet12!E21+Sheet2!E21+Sheet16!E21</f>
        <v>0</v>
      </c>
      <c r="F21" s="50">
        <f>+Sheet4!F21+Sheet8!F21+Sheet6!F21+Sheet10!F21+Sheet12!F21+Sheet2!F21+Sheet16!F21</f>
        <v>0</v>
      </c>
      <c r="G21" s="76"/>
      <c r="H21" s="50">
        <f>+Sheet4!G21+Sheet8!G21+Sheet6!G21+Sheet10!G21+Sheet12!G21+Sheet2!G21+Sheet16!G21</f>
        <v>374</v>
      </c>
      <c r="I21" s="50">
        <f>+Sheet4!H21+Sheet8!H21+Sheet6!H21+Sheet10!H21+Sheet12!H21+Sheet2!H21+Sheet16!H21</f>
        <v>374</v>
      </c>
      <c r="J21" s="195">
        <f>+I21/H21</f>
        <v>1</v>
      </c>
      <c r="K21" s="50">
        <f>+Sheet4!I21+Sheet8!I21+Sheet6!I21+Sheet10!I21+Sheet12!I21+Sheet2!I21+Sheet16!I21</f>
        <v>94</v>
      </c>
      <c r="L21" s="50">
        <f>+Sheet4!J21+Sheet8!J21+Sheet6!J21+Sheet10!J21+Sheet12!J21+Sheet2!J21+Sheet16!J21</f>
        <v>57</v>
      </c>
      <c r="M21" s="76">
        <f>+L21/K21</f>
        <v>0.6063829787234043</v>
      </c>
      <c r="N21" s="50">
        <f t="shared" si="1"/>
        <v>468</v>
      </c>
      <c r="O21" s="50">
        <f t="shared" si="2"/>
        <v>431</v>
      </c>
      <c r="P21" s="50">
        <v>42</v>
      </c>
      <c r="Q21" s="194">
        <f t="shared" si="6"/>
        <v>0.92094017094017089</v>
      </c>
      <c r="R21" s="194">
        <f t="shared" si="4"/>
        <v>10.261904761904763</v>
      </c>
      <c r="S21" s="145">
        <f t="shared" si="5"/>
        <v>37</v>
      </c>
    </row>
    <row r="22" spans="1:19" ht="14.25" customHeight="1" x14ac:dyDescent="0.75">
      <c r="A22" s="50">
        <v>666530</v>
      </c>
      <c r="B22" s="192" t="s">
        <v>36</v>
      </c>
      <c r="C22" s="73" t="s">
        <v>37</v>
      </c>
      <c r="D22" s="50">
        <f t="shared" si="0"/>
        <v>136</v>
      </c>
      <c r="E22" s="50">
        <f>+Sheet4!E22+Sheet8!E22+Sheet6!E22+Sheet10!E22+Sheet12!E22+Sheet2!E22+Sheet16!E22</f>
        <v>34</v>
      </c>
      <c r="F22" s="50">
        <f>+Sheet4!F22+Sheet8!F22+Sheet6!F22+Sheet10!F22+Sheet12!F22+Sheet2!F22+Sheet16!F22</f>
        <v>34</v>
      </c>
      <c r="G22" s="76">
        <f>+F22/E22</f>
        <v>1</v>
      </c>
      <c r="H22" s="50">
        <f>+Sheet4!G22+Sheet8!G22+Sheet6!G22+Sheet10!G22+Sheet12!G22+Sheet2!G22+Sheet16!G22</f>
        <v>0</v>
      </c>
      <c r="I22" s="50">
        <f>+Sheet4!H22+Sheet8!H22+Sheet6!H22+Sheet10!H22+Sheet12!H22+Sheet2!H22+Sheet16!H22</f>
        <v>0</v>
      </c>
      <c r="J22" s="193"/>
      <c r="K22" s="50">
        <f>+Sheet4!I22+Sheet8!I22+Sheet6!I22+Sheet10!I22+Sheet12!I22+Sheet2!I22+Sheet16!I22</f>
        <v>102</v>
      </c>
      <c r="L22" s="50">
        <f>+Sheet4!J22+Sheet8!J22+Sheet6!J22+Sheet10!J22+Sheet12!J22+Sheet2!J22+Sheet16!J22</f>
        <v>75</v>
      </c>
      <c r="M22" s="76">
        <f>+L22/K22</f>
        <v>0.73529411764705888</v>
      </c>
      <c r="N22" s="50">
        <f t="shared" si="1"/>
        <v>136</v>
      </c>
      <c r="O22" s="50">
        <f t="shared" si="2"/>
        <v>109</v>
      </c>
      <c r="P22" s="50">
        <v>10</v>
      </c>
      <c r="Q22" s="194">
        <f t="shared" si="6"/>
        <v>0.80147058823529416</v>
      </c>
      <c r="R22" s="194">
        <f t="shared" si="4"/>
        <v>10.9</v>
      </c>
      <c r="S22" s="145">
        <f t="shared" si="5"/>
        <v>27</v>
      </c>
    </row>
    <row r="23" spans="1:19" ht="14.25" customHeight="1" x14ac:dyDescent="0.75">
      <c r="A23" s="50">
        <v>666531</v>
      </c>
      <c r="B23" s="192" t="s">
        <v>38</v>
      </c>
      <c r="C23" s="73" t="s">
        <v>39</v>
      </c>
      <c r="D23" s="50">
        <f t="shared" si="0"/>
        <v>180</v>
      </c>
      <c r="E23" s="50">
        <f>+Sheet4!E23+Sheet8!E23+Sheet6!E23+Sheet10!E23+Sheet12!E23+Sheet2!E23+Sheet16!E23</f>
        <v>125</v>
      </c>
      <c r="F23" s="50">
        <f>+Sheet4!F23+Sheet8!F23+Sheet6!F23+Sheet10!F23+Sheet12!F23+Sheet2!F23+Sheet16!F23</f>
        <v>125</v>
      </c>
      <c r="G23" s="76">
        <f>+F23/E23</f>
        <v>1</v>
      </c>
      <c r="H23" s="50">
        <f>+Sheet4!G23+Sheet8!G23+Sheet6!G23+Sheet10!G23+Sheet12!G23+Sheet2!G23+Sheet16!G23</f>
        <v>0</v>
      </c>
      <c r="I23" s="50">
        <f>+Sheet4!H23+Sheet8!H23+Sheet6!H23+Sheet10!H23+Sheet12!H23+Sheet2!H23+Sheet16!H23</f>
        <v>0</v>
      </c>
      <c r="J23" s="193"/>
      <c r="K23" s="50">
        <f>+Sheet4!I23+Sheet8!I23+Sheet6!I23+Sheet10!I23+Sheet12!I23+Sheet2!I23+Sheet16!I23</f>
        <v>55</v>
      </c>
      <c r="L23" s="50">
        <f>+Sheet4!J23+Sheet8!J23+Sheet6!J23+Sheet10!J23+Sheet12!J23+Sheet2!J23+Sheet16!J23</f>
        <v>40</v>
      </c>
      <c r="M23" s="76">
        <f>+L23/K23</f>
        <v>0.72727272727272729</v>
      </c>
      <c r="N23" s="50">
        <f t="shared" si="1"/>
        <v>180</v>
      </c>
      <c r="O23" s="50">
        <f t="shared" si="2"/>
        <v>165</v>
      </c>
      <c r="P23" s="50">
        <v>14</v>
      </c>
      <c r="Q23" s="194">
        <f t="shared" si="6"/>
        <v>0.91666666666666663</v>
      </c>
      <c r="R23" s="194">
        <f t="shared" si="4"/>
        <v>11.785714285714286</v>
      </c>
      <c r="S23" s="145">
        <f t="shared" si="5"/>
        <v>15</v>
      </c>
    </row>
    <row r="24" spans="1:19" ht="14.25" customHeight="1" x14ac:dyDescent="0.75">
      <c r="A24" s="50">
        <v>666540</v>
      </c>
      <c r="B24" s="192" t="s">
        <v>40</v>
      </c>
      <c r="C24" s="73" t="s">
        <v>40</v>
      </c>
      <c r="D24" s="50">
        <f t="shared" si="0"/>
        <v>1200</v>
      </c>
      <c r="E24" s="50">
        <f>+Sheet4!E24+Sheet8!E24+Sheet6!E24+Sheet10!E24+Sheet12!E24+Sheet2!E24+Sheet16!E24</f>
        <v>0</v>
      </c>
      <c r="F24" s="50">
        <f>+Sheet4!F24+Sheet8!F24+Sheet6!F24+Sheet10!F24+Sheet12!F24+Sheet2!F24+Sheet16!F24</f>
        <v>0</v>
      </c>
      <c r="G24" s="76"/>
      <c r="H24" s="50">
        <f>+Sheet4!G24+Sheet8!G24+Sheet6!G24+Sheet10!G24+Sheet12!G24+Sheet2!G24+Sheet16!G24</f>
        <v>1200</v>
      </c>
      <c r="I24" s="50">
        <f>+Sheet4!H24+Sheet8!H24+Sheet6!H24+Sheet10!H24+Sheet12!H24+Sheet2!H24+Sheet16!H24</f>
        <v>240</v>
      </c>
      <c r="J24" s="193">
        <f>+I24/H24</f>
        <v>0.2</v>
      </c>
      <c r="K24" s="50">
        <f>+Sheet4!I24+Sheet8!I24+Sheet6!I24+Sheet10!I24+Sheet12!I24+Sheet2!I24+Sheet16!I24</f>
        <v>0</v>
      </c>
      <c r="L24" s="50">
        <f>+Sheet4!J24+Sheet8!J24+Sheet6!J24+Sheet10!J24+Sheet12!J24+Sheet2!J24+Sheet16!J24</f>
        <v>0</v>
      </c>
      <c r="M24" s="76"/>
      <c r="N24" s="50">
        <f t="shared" si="1"/>
        <v>1200</v>
      </c>
      <c r="O24" s="50">
        <f t="shared" si="2"/>
        <v>240</v>
      </c>
      <c r="P24" s="50">
        <v>700</v>
      </c>
      <c r="Q24" s="194">
        <f t="shared" si="6"/>
        <v>0.2</v>
      </c>
      <c r="R24" s="194">
        <f t="shared" si="4"/>
        <v>0.34285714285714286</v>
      </c>
      <c r="S24" s="145">
        <f t="shared" si="5"/>
        <v>960</v>
      </c>
    </row>
    <row r="25" spans="1:19" ht="14.25" customHeight="1" x14ac:dyDescent="0.75">
      <c r="A25" s="50">
        <v>666541</v>
      </c>
      <c r="B25" s="192" t="s">
        <v>41</v>
      </c>
      <c r="C25" s="73" t="s">
        <v>41</v>
      </c>
      <c r="D25" s="50">
        <f t="shared" si="0"/>
        <v>2640</v>
      </c>
      <c r="E25" s="50">
        <f>+Sheet4!E25+Sheet8!E25+Sheet6!E25+Sheet10!E25+Sheet12!E25+Sheet2!E25+Sheet16!E25</f>
        <v>0</v>
      </c>
      <c r="F25" s="50">
        <f>+Sheet4!F25+Sheet8!F25+Sheet6!F25+Sheet10!F25+Sheet12!F25+Sheet2!F25+Sheet16!F25</f>
        <v>0</v>
      </c>
      <c r="G25" s="76"/>
      <c r="H25" s="50">
        <f>+Sheet4!G25+Sheet8!G25+Sheet6!G25+Sheet10!G25+Sheet12!G25+Sheet2!G25+Sheet16!G25</f>
        <v>2640</v>
      </c>
      <c r="I25" s="50">
        <f>+Sheet4!H25+Sheet8!H25+Sheet6!H25+Sheet10!H25+Sheet12!H25+Sheet2!H25+Sheet16!H25</f>
        <v>2363</v>
      </c>
      <c r="J25" s="193">
        <f>+I25/H25</f>
        <v>0.89507575757575752</v>
      </c>
      <c r="K25" s="50">
        <f>+Sheet4!I25+Sheet8!I25+Sheet6!I25+Sheet10!I25+Sheet12!I25+Sheet2!I25+Sheet16!I25</f>
        <v>0</v>
      </c>
      <c r="L25" s="50">
        <f>+Sheet4!J25+Sheet8!J25+Sheet6!J25+Sheet10!J25+Sheet12!J25+Sheet2!J25+Sheet16!J25</f>
        <v>0</v>
      </c>
      <c r="M25" s="76"/>
      <c r="N25" s="50">
        <f t="shared" si="1"/>
        <v>2640</v>
      </c>
      <c r="O25" s="50">
        <f t="shared" si="2"/>
        <v>2363</v>
      </c>
      <c r="P25" s="50">
        <v>700</v>
      </c>
      <c r="Q25" s="194">
        <f t="shared" si="6"/>
        <v>0.89507575757575752</v>
      </c>
      <c r="R25" s="194">
        <f t="shared" si="4"/>
        <v>3.3757142857142859</v>
      </c>
      <c r="S25" s="145">
        <f t="shared" si="5"/>
        <v>277</v>
      </c>
    </row>
    <row r="26" spans="1:19" s="74" customFormat="1" ht="14.25" customHeight="1" x14ac:dyDescent="0.75">
      <c r="A26" s="74">
        <v>666536</v>
      </c>
      <c r="B26" s="196" t="s">
        <v>42</v>
      </c>
      <c r="C26" s="74" t="s">
        <v>43</v>
      </c>
      <c r="D26" s="50">
        <f t="shared" si="0"/>
        <v>94</v>
      </c>
      <c r="E26" s="50">
        <f>+Sheet4!E26+Sheet8!E26+Sheet6!E26+Sheet10!E26+Sheet12!E26+Sheet2!E26+Sheet16!E26</f>
        <v>94</v>
      </c>
      <c r="F26" s="50">
        <f>+Sheet4!F26+Sheet8!F26+Sheet6!F26+Sheet10!F26+Sheet12!F26+Sheet2!F26+Sheet16!F26</f>
        <v>59</v>
      </c>
      <c r="G26" s="76">
        <f>+F26/E26</f>
        <v>0.62765957446808507</v>
      </c>
      <c r="H26" s="50">
        <f>+Sheet4!G26+Sheet8!G26+Sheet6!G26+Sheet10!G26+Sheet12!G26+Sheet2!G26+Sheet16!G26</f>
        <v>0</v>
      </c>
      <c r="I26" s="50">
        <f>+Sheet4!H26+Sheet8!H26+Sheet6!H26+Sheet10!H26+Sheet12!H26+Sheet2!H26+Sheet16!H26</f>
        <v>0</v>
      </c>
      <c r="J26" s="193"/>
      <c r="K26" s="50">
        <f>+Sheet4!I26+Sheet8!I26+Sheet6!I26+Sheet10!I26+Sheet12!I26+Sheet2!I26+Sheet16!I26</f>
        <v>0</v>
      </c>
      <c r="L26" s="50">
        <f>+Sheet4!J26+Sheet8!J26+Sheet6!J26+Sheet10!J26+Sheet12!J26+Sheet2!J26+Sheet16!J26</f>
        <v>0</v>
      </c>
      <c r="M26" s="76"/>
      <c r="N26" s="50">
        <f t="shared" si="1"/>
        <v>94</v>
      </c>
      <c r="O26" s="50">
        <f t="shared" si="2"/>
        <v>59</v>
      </c>
      <c r="P26" s="50">
        <v>0</v>
      </c>
      <c r="Q26" s="194">
        <f t="shared" si="6"/>
        <v>0.62765957446808507</v>
      </c>
      <c r="R26" s="194" t="e">
        <f t="shared" si="4"/>
        <v>#DIV/0!</v>
      </c>
      <c r="S26" s="145">
        <f t="shared" si="5"/>
        <v>35</v>
      </c>
    </row>
    <row r="27" spans="1:19" s="74" customFormat="1" ht="14.25" customHeight="1" x14ac:dyDescent="0.75">
      <c r="B27" s="196"/>
      <c r="D27" s="50"/>
      <c r="E27" s="50"/>
      <c r="F27" s="50"/>
      <c r="G27" s="76"/>
      <c r="H27" s="50"/>
      <c r="I27" s="50"/>
      <c r="J27" s="193"/>
      <c r="K27" s="50"/>
      <c r="L27" s="50"/>
      <c r="M27" s="76"/>
      <c r="N27" s="50"/>
      <c r="O27" s="50"/>
      <c r="P27" s="50"/>
      <c r="Q27" s="194"/>
      <c r="R27" s="194"/>
      <c r="S27" s="145"/>
    </row>
    <row r="28" spans="1:19" ht="14.25" customHeight="1" x14ac:dyDescent="0.75">
      <c r="E28" s="145">
        <f>SUM(E6:E26)</f>
        <v>3357</v>
      </c>
      <c r="F28" s="145">
        <f>SUM(F6:F26)</f>
        <v>3209</v>
      </c>
      <c r="G28" s="76">
        <f>+F28/E28</f>
        <v>0.95591301757521596</v>
      </c>
      <c r="H28" s="145">
        <f>SUM(H6:H26)</f>
        <v>11736</v>
      </c>
      <c r="I28" s="145">
        <f>SUM(I6:I26)</f>
        <v>9137</v>
      </c>
      <c r="J28" s="197">
        <f>+I28/H28</f>
        <v>0.7785446489434219</v>
      </c>
      <c r="K28" s="145">
        <f>SUM(K6:K26)</f>
        <v>2209</v>
      </c>
      <c r="L28" s="145">
        <f>SUM(L6:L26)</f>
        <v>1745</v>
      </c>
      <c r="M28" s="194">
        <f>+L28/K28</f>
        <v>0.78995020371208691</v>
      </c>
      <c r="N28" s="145">
        <f>SUM(N6:N26)</f>
        <v>17302</v>
      </c>
      <c r="O28" s="145">
        <f>SUM(O6:O26)</f>
        <v>14091</v>
      </c>
      <c r="P28" s="145">
        <f>SUM(P6:P26)</f>
        <v>8374</v>
      </c>
      <c r="Q28" s="194">
        <f>+O28/N28</f>
        <v>0.81441451855276847</v>
      </c>
      <c r="R28" s="194">
        <f>+O28/P28</f>
        <v>1.6827083830905183</v>
      </c>
      <c r="S28" s="145">
        <f>+N28-O28</f>
        <v>3211</v>
      </c>
    </row>
    <row r="29" spans="1:19" ht="14.25" customHeight="1" x14ac:dyDescent="0.75">
      <c r="J29" s="80"/>
    </row>
    <row r="34" spans="7:7" ht="14.25" customHeight="1" x14ac:dyDescent="0.75">
      <c r="G34" s="145" t="s">
        <v>152</v>
      </c>
    </row>
  </sheetData>
  <conditionalFormatting sqref="N6:N27">
    <cfRule type="cellIs" dxfId="160" priority="2" operator="equal">
      <formula>0</formula>
    </cfRule>
  </conditionalFormatting>
  <conditionalFormatting sqref="O6:O27">
    <cfRule type="expression" dxfId="159" priority="3">
      <formula>N6=O6</formula>
    </cfRule>
    <cfRule type="expression" dxfId="158" priority="4">
      <formula>N6&lt;O6</formula>
    </cfRule>
    <cfRule type="expression" dxfId="157" priority="5">
      <formula>N6&gt;O6</formula>
    </cfRule>
  </conditionalFormatting>
  <pageMargins left="0.7" right="0.7" top="0.75" bottom="0.75" header="0.511811023622047" footer="0.511811023622047"/>
  <pageSetup orientation="portrait" horizontalDpi="300" verticalDpi="30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51"/>
  <sheetViews>
    <sheetView topLeftCell="B1" zoomScaleNormal="100" workbookViewId="0">
      <selection activeCell="Z8" sqref="Z8"/>
    </sheetView>
  </sheetViews>
  <sheetFormatPr defaultColWidth="8.6796875" defaultRowHeight="14.75" x14ac:dyDescent="0.75"/>
  <cols>
    <col min="1" max="1" width="8.6796875" style="50"/>
    <col min="2" max="2" width="41.54296875" style="50" customWidth="1"/>
    <col min="3" max="3" width="22.6796875" style="50" customWidth="1"/>
    <col min="4" max="4" width="9.54296875" style="50" hidden="1" customWidth="1"/>
    <col min="5" max="6" width="8.6796875" style="50"/>
    <col min="7" max="7" width="7.31640625" style="50" customWidth="1"/>
    <col min="8" max="8" width="8.453125" style="50" customWidth="1"/>
    <col min="9" max="9" width="7.453125" style="50" customWidth="1"/>
    <col min="10" max="10" width="8.08984375" style="50" customWidth="1"/>
    <col min="11" max="11" width="8.54296875" style="50" customWidth="1"/>
    <col min="12" max="16384" width="8.6796875" style="50"/>
  </cols>
  <sheetData>
    <row r="1" spans="1:28" s="51" customFormat="1" ht="28.5" customHeight="1" x14ac:dyDescent="0.75">
      <c r="C1" s="51" t="s">
        <v>175</v>
      </c>
      <c r="D1" s="51" t="s">
        <v>144</v>
      </c>
      <c r="E1" s="52" t="s">
        <v>116</v>
      </c>
      <c r="F1" s="53" t="s">
        <v>145</v>
      </c>
      <c r="G1" s="54" t="s">
        <v>119</v>
      </c>
      <c r="H1" s="53" t="s">
        <v>146</v>
      </c>
      <c r="I1" s="153" t="s">
        <v>122</v>
      </c>
      <c r="J1" s="56" t="s">
        <v>147</v>
      </c>
      <c r="K1" s="51" t="s">
        <v>148</v>
      </c>
      <c r="L1" s="53" t="s">
        <v>149</v>
      </c>
      <c r="M1" s="51" t="s">
        <v>56</v>
      </c>
      <c r="N1" s="51" t="s">
        <v>58</v>
      </c>
      <c r="O1" s="51" t="s">
        <v>66</v>
      </c>
      <c r="P1" s="51" t="s">
        <v>56</v>
      </c>
      <c r="Q1" s="51" t="s">
        <v>58</v>
      </c>
      <c r="R1" s="51" t="s">
        <v>66</v>
      </c>
      <c r="S1" s="51" t="s">
        <v>56</v>
      </c>
      <c r="T1" s="51" t="s">
        <v>58</v>
      </c>
      <c r="U1" s="51" t="s">
        <v>66</v>
      </c>
      <c r="V1" s="51" t="s">
        <v>56</v>
      </c>
      <c r="W1" s="51" t="s">
        <v>58</v>
      </c>
      <c r="X1" s="51" t="s">
        <v>66</v>
      </c>
      <c r="Y1" s="51" t="s">
        <v>56</v>
      </c>
      <c r="Z1" s="51" t="s">
        <v>58</v>
      </c>
      <c r="AA1" s="51" t="s">
        <v>66</v>
      </c>
    </row>
    <row r="2" spans="1:28" ht="14.25" customHeight="1" x14ac:dyDescent="0.75">
      <c r="C2" s="57" t="s">
        <v>150</v>
      </c>
      <c r="D2" s="57"/>
      <c r="E2" s="58"/>
      <c r="F2" s="59"/>
      <c r="G2" s="60"/>
      <c r="H2" s="59"/>
      <c r="I2" s="78"/>
      <c r="J2" s="59"/>
      <c r="K2" s="59"/>
      <c r="L2" s="59"/>
      <c r="M2" s="59" t="s">
        <v>65</v>
      </c>
      <c r="N2" s="59" t="s">
        <v>57</v>
      </c>
      <c r="O2" s="59" t="s">
        <v>55</v>
      </c>
      <c r="P2" s="59" t="s">
        <v>65</v>
      </c>
      <c r="Q2" s="59" t="s">
        <v>57</v>
      </c>
      <c r="R2" s="59" t="s">
        <v>55</v>
      </c>
      <c r="S2" s="59" t="s">
        <v>65</v>
      </c>
      <c r="T2" s="59" t="s">
        <v>57</v>
      </c>
      <c r="U2" s="59" t="s">
        <v>55</v>
      </c>
      <c r="V2" s="59" t="s">
        <v>65</v>
      </c>
      <c r="W2" s="59" t="s">
        <v>57</v>
      </c>
      <c r="X2" s="59" t="s">
        <v>55</v>
      </c>
      <c r="Y2" s="59" t="s">
        <v>65</v>
      </c>
      <c r="Z2" s="59" t="s">
        <v>57</v>
      </c>
      <c r="AA2" s="59" t="s">
        <v>55</v>
      </c>
    </row>
    <row r="3" spans="1:28" ht="14.25" customHeight="1" x14ac:dyDescent="0.75">
      <c r="A3" s="62" t="s">
        <v>129</v>
      </c>
      <c r="B3" s="62" t="s">
        <v>2</v>
      </c>
      <c r="C3" s="62" t="s">
        <v>3</v>
      </c>
      <c r="D3" s="62"/>
      <c r="E3" s="58"/>
      <c r="F3" s="62"/>
      <c r="G3" s="63"/>
      <c r="H3" s="62"/>
      <c r="I3" s="154"/>
      <c r="J3" s="62"/>
      <c r="K3" s="62"/>
      <c r="L3" s="62"/>
      <c r="M3" s="62" t="s">
        <v>54</v>
      </c>
      <c r="N3" s="62" t="s">
        <v>54</v>
      </c>
      <c r="O3" s="62" t="s">
        <v>54</v>
      </c>
      <c r="P3" s="62" t="s">
        <v>59</v>
      </c>
      <c r="Q3" s="62" t="s">
        <v>59</v>
      </c>
      <c r="R3" s="62" t="s">
        <v>59</v>
      </c>
      <c r="S3" s="62" t="s">
        <v>60</v>
      </c>
      <c r="T3" s="62" t="s">
        <v>60</v>
      </c>
      <c r="U3" s="62" t="s">
        <v>60</v>
      </c>
      <c r="V3" s="62" t="s">
        <v>62</v>
      </c>
      <c r="W3" s="62" t="s">
        <v>62</v>
      </c>
      <c r="X3" s="62" t="s">
        <v>62</v>
      </c>
      <c r="Y3" s="62" t="s">
        <v>63</v>
      </c>
      <c r="Z3" s="62" t="s">
        <v>63</v>
      </c>
      <c r="AA3" s="62" t="s">
        <v>63</v>
      </c>
    </row>
    <row r="4" spans="1:28" ht="14.25" customHeight="1" x14ac:dyDescent="0.75">
      <c r="A4" s="62"/>
      <c r="B4" s="62"/>
      <c r="C4" s="62" t="s">
        <v>151</v>
      </c>
      <c r="D4" s="62"/>
      <c r="E4" s="58"/>
      <c r="F4" s="50">
        <f t="shared" ref="F4:F25" si="0">+M4+P4+S4+V4+Y4</f>
        <v>94</v>
      </c>
      <c r="G4" s="63"/>
      <c r="H4" s="50">
        <f t="shared" ref="H4:H25" si="1">+N4+Q4+T4+W4+Z4</f>
        <v>509</v>
      </c>
      <c r="I4" s="154"/>
      <c r="J4" s="50">
        <f t="shared" ref="J4:J25" si="2">+O4+R4+U4+X4+AA4</f>
        <v>79</v>
      </c>
      <c r="K4" s="62"/>
      <c r="L4" s="62"/>
      <c r="M4" s="62"/>
      <c r="N4" s="62"/>
      <c r="O4" s="62"/>
      <c r="P4" s="50">
        <v>30</v>
      </c>
      <c r="Q4" s="50">
        <v>135</v>
      </c>
      <c r="R4" s="50">
        <v>38</v>
      </c>
      <c r="S4" s="50">
        <v>29</v>
      </c>
      <c r="T4" s="50">
        <v>140</v>
      </c>
      <c r="V4" s="50">
        <v>35</v>
      </c>
      <c r="W4" s="50">
        <v>234</v>
      </c>
      <c r="X4" s="50">
        <v>41</v>
      </c>
    </row>
    <row r="5" spans="1:28" ht="14.25" customHeight="1" x14ac:dyDescent="0.75">
      <c r="A5" s="50">
        <v>666501</v>
      </c>
      <c r="B5" s="50" t="s">
        <v>4</v>
      </c>
      <c r="C5" s="50" t="s">
        <v>5</v>
      </c>
      <c r="E5" s="67">
        <v>72</v>
      </c>
      <c r="F5" s="165">
        <f t="shared" si="0"/>
        <v>18</v>
      </c>
      <c r="G5" s="60">
        <v>666</v>
      </c>
      <c r="H5" s="50">
        <f t="shared" si="1"/>
        <v>438</v>
      </c>
      <c r="I5" s="78">
        <v>66</v>
      </c>
      <c r="J5" s="70">
        <f t="shared" si="2"/>
        <v>66</v>
      </c>
      <c r="K5" s="50">
        <f t="shared" ref="K5:K25" si="3">+E5+G5+I5</f>
        <v>804</v>
      </c>
      <c r="L5" s="50">
        <f t="shared" ref="L5:L25" si="4">+F5+H5+J5</f>
        <v>522</v>
      </c>
      <c r="M5" s="77"/>
      <c r="N5" s="77"/>
      <c r="O5" s="77"/>
      <c r="P5" s="50">
        <v>6</v>
      </c>
      <c r="Q5" s="50">
        <v>87</v>
      </c>
      <c r="R5" s="50">
        <v>30</v>
      </c>
      <c r="S5" s="50">
        <v>9</v>
      </c>
      <c r="T5" s="50">
        <v>96</v>
      </c>
      <c r="V5" s="50">
        <v>3</v>
      </c>
      <c r="W5" s="50">
        <v>162</v>
      </c>
      <c r="X5" s="50">
        <v>36</v>
      </c>
      <c r="Z5" s="50">
        <v>93</v>
      </c>
    </row>
    <row r="6" spans="1:28" ht="14.25" customHeight="1" x14ac:dyDescent="0.75">
      <c r="A6" s="50">
        <v>666502</v>
      </c>
      <c r="B6" s="50" t="s">
        <v>6</v>
      </c>
      <c r="C6" s="50" t="s">
        <v>7</v>
      </c>
      <c r="E6" s="67"/>
      <c r="F6" s="50">
        <f t="shared" si="0"/>
        <v>0</v>
      </c>
      <c r="G6" s="60">
        <v>277</v>
      </c>
      <c r="H6" s="50">
        <f t="shared" si="1"/>
        <v>99</v>
      </c>
      <c r="I6" s="78">
        <v>74</v>
      </c>
      <c r="J6" s="50">
        <f t="shared" si="2"/>
        <v>11</v>
      </c>
      <c r="K6" s="50">
        <f t="shared" si="3"/>
        <v>351</v>
      </c>
      <c r="L6" s="50">
        <f t="shared" si="4"/>
        <v>110</v>
      </c>
      <c r="M6" s="77"/>
      <c r="N6" s="77"/>
      <c r="O6" s="77"/>
      <c r="Q6" s="50">
        <v>11</v>
      </c>
      <c r="T6" s="50">
        <v>39</v>
      </c>
      <c r="W6" s="50">
        <v>12</v>
      </c>
      <c r="X6" s="50">
        <v>11</v>
      </c>
      <c r="Z6" s="50">
        <v>37</v>
      </c>
    </row>
    <row r="7" spans="1:28" ht="14.25" customHeight="1" x14ac:dyDescent="0.75">
      <c r="A7" s="50">
        <v>666505</v>
      </c>
      <c r="B7" s="50" t="s">
        <v>8</v>
      </c>
      <c r="C7" s="50" t="s">
        <v>9</v>
      </c>
      <c r="E7" s="67">
        <v>19</v>
      </c>
      <c r="F7" s="70">
        <f t="shared" si="0"/>
        <v>19</v>
      </c>
      <c r="G7" s="60"/>
      <c r="H7" s="50">
        <f t="shared" si="1"/>
        <v>0</v>
      </c>
      <c r="I7" s="78">
        <v>39</v>
      </c>
      <c r="J7" s="70">
        <f t="shared" si="2"/>
        <v>39</v>
      </c>
      <c r="K7" s="50">
        <f t="shared" si="3"/>
        <v>58</v>
      </c>
      <c r="L7" s="50">
        <f t="shared" si="4"/>
        <v>58</v>
      </c>
      <c r="M7" s="77"/>
      <c r="N7" s="77"/>
      <c r="O7" s="77"/>
      <c r="P7" s="50">
        <v>19</v>
      </c>
      <c r="R7" s="50">
        <v>39</v>
      </c>
    </row>
    <row r="8" spans="1:28" ht="14.25" customHeight="1" x14ac:dyDescent="0.75">
      <c r="A8" s="50">
        <v>666506</v>
      </c>
      <c r="B8" s="50" t="s">
        <v>10</v>
      </c>
      <c r="C8" s="50" t="s">
        <v>11</v>
      </c>
      <c r="E8" s="67"/>
      <c r="F8" s="165">
        <f t="shared" si="0"/>
        <v>0</v>
      </c>
      <c r="G8" s="60">
        <v>277</v>
      </c>
      <c r="H8" s="50">
        <f t="shared" si="1"/>
        <v>25</v>
      </c>
      <c r="I8" s="78"/>
      <c r="J8" s="50">
        <f t="shared" si="2"/>
        <v>0</v>
      </c>
      <c r="K8" s="50">
        <f t="shared" si="3"/>
        <v>277</v>
      </c>
      <c r="L8" s="50">
        <f t="shared" si="4"/>
        <v>25</v>
      </c>
      <c r="M8" s="77"/>
      <c r="N8" s="77"/>
      <c r="O8" s="77"/>
      <c r="Q8" s="50">
        <v>6</v>
      </c>
      <c r="T8" s="50">
        <v>7</v>
      </c>
      <c r="W8" s="50">
        <v>7</v>
      </c>
      <c r="Z8" s="50">
        <v>5</v>
      </c>
    </row>
    <row r="9" spans="1:28" ht="14.25" customHeight="1" x14ac:dyDescent="0.75">
      <c r="A9" s="50">
        <v>666507</v>
      </c>
      <c r="B9" s="50" t="s">
        <v>12</v>
      </c>
      <c r="C9" s="50" t="s">
        <v>13</v>
      </c>
      <c r="E9" s="67">
        <v>16</v>
      </c>
      <c r="F9" s="165">
        <f t="shared" si="0"/>
        <v>0</v>
      </c>
      <c r="G9" s="60"/>
      <c r="H9" s="50">
        <f t="shared" si="1"/>
        <v>0</v>
      </c>
      <c r="I9" s="78"/>
      <c r="J9" s="50">
        <f t="shared" si="2"/>
        <v>0</v>
      </c>
      <c r="K9" s="50">
        <f t="shared" si="3"/>
        <v>16</v>
      </c>
      <c r="L9" s="50">
        <f t="shared" si="4"/>
        <v>0</v>
      </c>
      <c r="M9" s="77"/>
      <c r="N9" s="77"/>
      <c r="O9" s="77"/>
    </row>
    <row r="10" spans="1:28" ht="14.25" customHeight="1" x14ac:dyDescent="0.75">
      <c r="A10" s="50">
        <v>666509</v>
      </c>
      <c r="B10" s="50" t="s">
        <v>14</v>
      </c>
      <c r="C10" s="50" t="s">
        <v>15</v>
      </c>
      <c r="E10" s="67">
        <v>68</v>
      </c>
      <c r="F10" s="165">
        <f t="shared" si="0"/>
        <v>35</v>
      </c>
      <c r="G10" s="60"/>
      <c r="H10" s="50">
        <f t="shared" si="1"/>
        <v>0</v>
      </c>
      <c r="I10" s="78"/>
      <c r="J10" s="50">
        <f t="shared" si="2"/>
        <v>0</v>
      </c>
      <c r="K10" s="50">
        <f t="shared" si="3"/>
        <v>68</v>
      </c>
      <c r="L10" s="50">
        <f t="shared" si="4"/>
        <v>35</v>
      </c>
      <c r="M10" s="77"/>
      <c r="N10" s="77"/>
      <c r="O10" s="77"/>
      <c r="P10" s="50">
        <v>10</v>
      </c>
      <c r="S10" s="50">
        <v>10</v>
      </c>
      <c r="V10" s="50">
        <v>15</v>
      </c>
    </row>
    <row r="11" spans="1:28" ht="14.25" customHeight="1" x14ac:dyDescent="0.75">
      <c r="A11" s="50">
        <v>666510</v>
      </c>
      <c r="B11" s="50" t="s">
        <v>16</v>
      </c>
      <c r="C11" s="50" t="s">
        <v>17</v>
      </c>
      <c r="E11" s="67"/>
      <c r="F11" s="165">
        <f t="shared" si="0"/>
        <v>0</v>
      </c>
      <c r="G11" s="60"/>
      <c r="H11" s="50">
        <f t="shared" si="1"/>
        <v>0</v>
      </c>
      <c r="I11" s="78"/>
      <c r="J11" s="50">
        <f t="shared" si="2"/>
        <v>0</v>
      </c>
      <c r="K11" s="50">
        <f t="shared" si="3"/>
        <v>0</v>
      </c>
      <c r="L11" s="50">
        <f t="shared" si="4"/>
        <v>0</v>
      </c>
      <c r="M11" s="77"/>
      <c r="N11" s="77"/>
      <c r="O11" s="77"/>
    </row>
    <row r="12" spans="1:28" ht="14.25" customHeight="1" x14ac:dyDescent="0.75">
      <c r="A12" s="50">
        <v>666511</v>
      </c>
      <c r="B12" s="50" t="s">
        <v>18</v>
      </c>
      <c r="C12" s="50" t="s">
        <v>19</v>
      </c>
      <c r="E12" s="67">
        <v>6</v>
      </c>
      <c r="F12" s="165">
        <f t="shared" si="0"/>
        <v>0</v>
      </c>
      <c r="G12" s="60"/>
      <c r="H12" s="50">
        <f t="shared" si="1"/>
        <v>0</v>
      </c>
      <c r="I12" s="78"/>
      <c r="J12" s="50">
        <f t="shared" si="2"/>
        <v>0</v>
      </c>
      <c r="K12" s="50">
        <f t="shared" si="3"/>
        <v>6</v>
      </c>
      <c r="L12" s="50">
        <f t="shared" si="4"/>
        <v>0</v>
      </c>
      <c r="M12" s="77"/>
      <c r="N12" s="77"/>
      <c r="O12" s="77"/>
    </row>
    <row r="13" spans="1:28" ht="14.25" customHeight="1" x14ac:dyDescent="0.75">
      <c r="A13" s="50">
        <v>666513</v>
      </c>
      <c r="B13" s="50" t="s">
        <v>20</v>
      </c>
      <c r="C13" s="50" t="s">
        <v>21</v>
      </c>
      <c r="E13" s="67">
        <v>6</v>
      </c>
      <c r="F13" s="70">
        <f t="shared" si="0"/>
        <v>6</v>
      </c>
      <c r="G13" s="60"/>
      <c r="H13" s="50">
        <f t="shared" si="1"/>
        <v>0</v>
      </c>
      <c r="I13" s="78">
        <v>14</v>
      </c>
      <c r="J13" s="70">
        <f t="shared" si="2"/>
        <v>14</v>
      </c>
      <c r="K13" s="50">
        <f t="shared" si="3"/>
        <v>20</v>
      </c>
      <c r="L13" s="50">
        <f t="shared" si="4"/>
        <v>20</v>
      </c>
      <c r="M13" s="77"/>
      <c r="N13" s="77"/>
      <c r="O13" s="77"/>
      <c r="P13" s="50">
        <v>6</v>
      </c>
      <c r="R13" s="50">
        <v>14</v>
      </c>
    </row>
    <row r="14" spans="1:28" ht="14.25" customHeight="1" x14ac:dyDescent="0.75">
      <c r="A14" s="50">
        <v>666516</v>
      </c>
      <c r="B14" s="50" t="s">
        <v>22</v>
      </c>
      <c r="C14" s="50" t="s">
        <v>23</v>
      </c>
      <c r="E14" s="67">
        <v>31</v>
      </c>
      <c r="F14" s="70">
        <f t="shared" si="0"/>
        <v>31</v>
      </c>
      <c r="G14" s="60"/>
      <c r="H14" s="50">
        <f t="shared" si="1"/>
        <v>0</v>
      </c>
      <c r="I14" s="78">
        <v>31</v>
      </c>
      <c r="J14" s="70">
        <f t="shared" si="2"/>
        <v>31</v>
      </c>
      <c r="K14" s="50">
        <f t="shared" si="3"/>
        <v>62</v>
      </c>
      <c r="L14" s="50">
        <f t="shared" si="4"/>
        <v>62</v>
      </c>
      <c r="M14" s="77"/>
      <c r="N14" s="77"/>
      <c r="O14" s="77"/>
      <c r="P14" s="50">
        <v>19</v>
      </c>
      <c r="R14" s="50">
        <v>26</v>
      </c>
      <c r="S14" s="50">
        <v>12</v>
      </c>
      <c r="X14" s="50">
        <v>5</v>
      </c>
      <c r="AB14" s="50" t="s">
        <v>152</v>
      </c>
    </row>
    <row r="15" spans="1:28" ht="14.25" customHeight="1" x14ac:dyDescent="0.75">
      <c r="A15" s="50">
        <v>666517</v>
      </c>
      <c r="B15" s="50" t="s">
        <v>24</v>
      </c>
      <c r="C15" s="50" t="s">
        <v>25</v>
      </c>
      <c r="E15" s="67">
        <v>39</v>
      </c>
      <c r="F15" s="70">
        <f t="shared" si="0"/>
        <v>39</v>
      </c>
      <c r="G15" s="60"/>
      <c r="H15" s="50">
        <f t="shared" si="1"/>
        <v>0</v>
      </c>
      <c r="I15" s="78">
        <v>17</v>
      </c>
      <c r="J15" s="70">
        <f t="shared" si="2"/>
        <v>17</v>
      </c>
      <c r="K15" s="50">
        <f t="shared" si="3"/>
        <v>56</v>
      </c>
      <c r="L15" s="50">
        <f t="shared" si="4"/>
        <v>56</v>
      </c>
      <c r="M15" s="77"/>
      <c r="N15" s="77"/>
      <c r="O15" s="77"/>
      <c r="P15" s="50">
        <v>17</v>
      </c>
      <c r="R15" s="50">
        <v>17</v>
      </c>
      <c r="S15" s="50">
        <v>22</v>
      </c>
    </row>
    <row r="16" spans="1:28" ht="14.25" customHeight="1" x14ac:dyDescent="0.75">
      <c r="A16" s="50">
        <v>666518</v>
      </c>
      <c r="B16" s="50" t="s">
        <v>26</v>
      </c>
      <c r="C16" s="50" t="s">
        <v>27</v>
      </c>
      <c r="E16" s="67"/>
      <c r="F16" s="165">
        <f t="shared" si="0"/>
        <v>0</v>
      </c>
      <c r="G16" s="60"/>
      <c r="H16" s="50">
        <f t="shared" si="1"/>
        <v>0</v>
      </c>
      <c r="I16" s="78"/>
      <c r="J16" s="165">
        <f t="shared" si="2"/>
        <v>0</v>
      </c>
      <c r="K16" s="50">
        <f t="shared" si="3"/>
        <v>0</v>
      </c>
      <c r="L16" s="50">
        <f t="shared" si="4"/>
        <v>0</v>
      </c>
      <c r="M16" s="77"/>
      <c r="N16" s="77"/>
      <c r="O16" s="77"/>
    </row>
    <row r="17" spans="1:26" ht="14.25" customHeight="1" x14ac:dyDescent="0.75">
      <c r="A17" s="50">
        <v>666519</v>
      </c>
      <c r="B17" s="50" t="s">
        <v>28</v>
      </c>
      <c r="C17" s="50" t="s">
        <v>29</v>
      </c>
      <c r="E17" s="67">
        <v>26</v>
      </c>
      <c r="F17" s="70">
        <f t="shared" si="0"/>
        <v>26</v>
      </c>
      <c r="G17" s="60"/>
      <c r="H17" s="50">
        <f t="shared" si="1"/>
        <v>0</v>
      </c>
      <c r="I17" s="78">
        <v>26</v>
      </c>
      <c r="J17" s="70">
        <f t="shared" si="2"/>
        <v>26</v>
      </c>
      <c r="K17" s="50">
        <f t="shared" si="3"/>
        <v>52</v>
      </c>
      <c r="L17" s="50">
        <f t="shared" si="4"/>
        <v>52</v>
      </c>
      <c r="M17" s="77"/>
      <c r="N17" s="77"/>
      <c r="O17" s="77"/>
      <c r="P17" s="50">
        <v>26</v>
      </c>
      <c r="R17" s="50">
        <v>26</v>
      </c>
    </row>
    <row r="18" spans="1:26" ht="14.25" customHeight="1" x14ac:dyDescent="0.75">
      <c r="A18" s="50">
        <v>666521</v>
      </c>
      <c r="B18" s="50" t="s">
        <v>30</v>
      </c>
      <c r="C18" s="50" t="s">
        <v>31</v>
      </c>
      <c r="E18" s="67">
        <v>120</v>
      </c>
      <c r="F18" s="50">
        <f t="shared" si="0"/>
        <v>53</v>
      </c>
      <c r="G18" s="60"/>
      <c r="H18" s="50">
        <f t="shared" si="1"/>
        <v>0</v>
      </c>
      <c r="I18" s="78"/>
      <c r="J18" s="165">
        <f t="shared" si="2"/>
        <v>0</v>
      </c>
      <c r="K18" s="50">
        <f t="shared" si="3"/>
        <v>120</v>
      </c>
      <c r="L18" s="50">
        <f t="shared" si="4"/>
        <v>53</v>
      </c>
      <c r="M18" s="77"/>
      <c r="N18" s="77"/>
      <c r="O18" s="77"/>
      <c r="P18" s="50">
        <v>10</v>
      </c>
      <c r="S18" s="50">
        <v>17</v>
      </c>
      <c r="V18" s="50">
        <v>17</v>
      </c>
      <c r="Y18" s="50">
        <v>9</v>
      </c>
    </row>
    <row r="19" spans="1:26" ht="14.25" customHeight="1" x14ac:dyDescent="0.75">
      <c r="A19" s="50">
        <v>666522</v>
      </c>
      <c r="B19" s="50" t="s">
        <v>32</v>
      </c>
      <c r="C19" s="50" t="s">
        <v>33</v>
      </c>
      <c r="E19" s="67">
        <v>190</v>
      </c>
      <c r="F19" s="165">
        <f t="shared" si="0"/>
        <v>120</v>
      </c>
      <c r="G19" s="60">
        <v>170</v>
      </c>
      <c r="H19" s="70">
        <f t="shared" si="1"/>
        <v>170</v>
      </c>
      <c r="I19" s="78">
        <v>100</v>
      </c>
      <c r="J19" s="70">
        <f t="shared" si="2"/>
        <v>100</v>
      </c>
      <c r="K19" s="50">
        <f t="shared" si="3"/>
        <v>460</v>
      </c>
      <c r="L19" s="50">
        <f t="shared" si="4"/>
        <v>390</v>
      </c>
      <c r="M19" s="77"/>
      <c r="N19" s="77"/>
      <c r="O19" s="77"/>
      <c r="P19" s="50">
        <v>45</v>
      </c>
      <c r="Q19" s="50">
        <v>60</v>
      </c>
      <c r="R19" s="50">
        <v>35</v>
      </c>
      <c r="S19" s="50">
        <v>35</v>
      </c>
      <c r="T19" s="50">
        <v>110</v>
      </c>
      <c r="V19" s="50">
        <v>30</v>
      </c>
      <c r="X19" s="50">
        <v>65</v>
      </c>
      <c r="Y19" s="50">
        <v>10</v>
      </c>
    </row>
    <row r="20" spans="1:26" ht="14.25" customHeight="1" x14ac:dyDescent="0.75">
      <c r="A20" s="50">
        <v>666523</v>
      </c>
      <c r="B20" s="50" t="s">
        <v>34</v>
      </c>
      <c r="C20" s="50" t="s">
        <v>35</v>
      </c>
      <c r="E20" s="67"/>
      <c r="F20" s="50">
        <f t="shared" si="0"/>
        <v>0</v>
      </c>
      <c r="G20" s="60"/>
      <c r="H20" s="50">
        <f t="shared" si="1"/>
        <v>0</v>
      </c>
      <c r="I20" s="78">
        <v>40</v>
      </c>
      <c r="J20" s="70">
        <f t="shared" si="2"/>
        <v>40</v>
      </c>
      <c r="K20" s="50">
        <f t="shared" si="3"/>
        <v>40</v>
      </c>
      <c r="L20" s="50">
        <f t="shared" si="4"/>
        <v>40</v>
      </c>
      <c r="M20" s="77"/>
      <c r="N20" s="77"/>
      <c r="O20" s="77"/>
      <c r="R20" s="50">
        <v>20</v>
      </c>
      <c r="X20" s="50">
        <v>20</v>
      </c>
    </row>
    <row r="21" spans="1:26" ht="14.25" customHeight="1" x14ac:dyDescent="0.75">
      <c r="A21" s="50">
        <v>666530</v>
      </c>
      <c r="B21" s="50" t="s">
        <v>36</v>
      </c>
      <c r="C21" s="50" t="s">
        <v>37</v>
      </c>
      <c r="E21" s="67"/>
      <c r="F21" s="165">
        <f t="shared" si="0"/>
        <v>0</v>
      </c>
      <c r="G21" s="60"/>
      <c r="H21" s="50">
        <f t="shared" si="1"/>
        <v>0</v>
      </c>
      <c r="I21" s="78">
        <v>24</v>
      </c>
      <c r="J21" s="70">
        <f t="shared" si="2"/>
        <v>24</v>
      </c>
      <c r="K21" s="50">
        <f t="shared" si="3"/>
        <v>24</v>
      </c>
      <c r="L21" s="50">
        <f t="shared" si="4"/>
        <v>24</v>
      </c>
      <c r="M21" s="77"/>
      <c r="N21" s="77"/>
      <c r="O21" s="77"/>
      <c r="R21" s="50">
        <v>17</v>
      </c>
      <c r="X21" s="50">
        <v>7</v>
      </c>
    </row>
    <row r="22" spans="1:26" ht="14.25" customHeight="1" x14ac:dyDescent="0.75">
      <c r="A22" s="50">
        <v>666531</v>
      </c>
      <c r="B22" s="50" t="s">
        <v>38</v>
      </c>
      <c r="C22" s="50" t="s">
        <v>39</v>
      </c>
      <c r="E22" s="67">
        <v>20</v>
      </c>
      <c r="F22" s="70">
        <f t="shared" si="0"/>
        <v>20</v>
      </c>
      <c r="G22" s="60"/>
      <c r="H22" s="50">
        <f t="shared" si="1"/>
        <v>0</v>
      </c>
      <c r="I22" s="78">
        <v>8</v>
      </c>
      <c r="J22" s="70">
        <f t="shared" si="2"/>
        <v>8</v>
      </c>
      <c r="K22" s="50">
        <f t="shared" si="3"/>
        <v>28</v>
      </c>
      <c r="L22" s="50">
        <f t="shared" si="4"/>
        <v>28</v>
      </c>
      <c r="M22" s="77"/>
      <c r="N22" s="77"/>
      <c r="O22" s="77"/>
      <c r="P22" s="50">
        <v>12</v>
      </c>
      <c r="R22" s="50">
        <v>8</v>
      </c>
      <c r="S22" s="50">
        <v>8</v>
      </c>
    </row>
    <row r="23" spans="1:26" ht="14.25" customHeight="1" x14ac:dyDescent="0.75">
      <c r="A23" s="50">
        <v>666540</v>
      </c>
      <c r="B23" s="50" t="s">
        <v>40</v>
      </c>
      <c r="C23" s="50" t="s">
        <v>40</v>
      </c>
      <c r="E23" s="67"/>
      <c r="F23" s="50">
        <f t="shared" si="0"/>
        <v>0</v>
      </c>
      <c r="G23" s="60">
        <v>40</v>
      </c>
      <c r="H23" s="50">
        <f t="shared" si="1"/>
        <v>1</v>
      </c>
      <c r="I23" s="78"/>
      <c r="J23" s="50">
        <f t="shared" si="2"/>
        <v>0</v>
      </c>
      <c r="K23" s="50">
        <f t="shared" si="3"/>
        <v>40</v>
      </c>
      <c r="L23" s="50">
        <f t="shared" si="4"/>
        <v>1</v>
      </c>
      <c r="M23" s="77"/>
      <c r="N23" s="77"/>
      <c r="O23" s="77"/>
      <c r="W23" s="50">
        <v>1</v>
      </c>
    </row>
    <row r="24" spans="1:26" ht="14.25" customHeight="1" x14ac:dyDescent="0.75">
      <c r="A24" s="50">
        <v>666541</v>
      </c>
      <c r="B24" s="50" t="s">
        <v>41</v>
      </c>
      <c r="C24" s="50" t="s">
        <v>41</v>
      </c>
      <c r="E24" s="67"/>
      <c r="F24" s="50">
        <f t="shared" si="0"/>
        <v>0</v>
      </c>
      <c r="G24" s="60">
        <v>680</v>
      </c>
      <c r="H24" s="50">
        <f t="shared" si="1"/>
        <v>219</v>
      </c>
      <c r="I24" s="78"/>
      <c r="J24" s="50">
        <f t="shared" si="2"/>
        <v>0</v>
      </c>
      <c r="K24" s="50">
        <f t="shared" si="3"/>
        <v>680</v>
      </c>
      <c r="L24" s="50">
        <f t="shared" si="4"/>
        <v>219</v>
      </c>
      <c r="M24" s="77"/>
      <c r="N24" s="77"/>
      <c r="O24" s="77"/>
      <c r="Q24" s="50">
        <v>55</v>
      </c>
      <c r="T24" s="50">
        <v>56</v>
      </c>
      <c r="W24" s="50">
        <v>73</v>
      </c>
      <c r="Z24" s="50">
        <v>35</v>
      </c>
    </row>
    <row r="25" spans="1:26" ht="14.25" customHeight="1" x14ac:dyDescent="0.75">
      <c r="A25" s="50">
        <v>666536</v>
      </c>
      <c r="B25" s="50" t="s">
        <v>42</v>
      </c>
      <c r="C25" s="50" t="s">
        <v>43</v>
      </c>
      <c r="E25" s="67">
        <v>28</v>
      </c>
      <c r="F25" s="50">
        <f t="shared" si="0"/>
        <v>11</v>
      </c>
      <c r="G25" s="60"/>
      <c r="H25" s="50">
        <f t="shared" si="1"/>
        <v>0</v>
      </c>
      <c r="I25" s="78"/>
      <c r="J25" s="50">
        <f t="shared" si="2"/>
        <v>0</v>
      </c>
      <c r="K25" s="50">
        <f t="shared" si="3"/>
        <v>28</v>
      </c>
      <c r="L25" s="50">
        <f t="shared" si="4"/>
        <v>11</v>
      </c>
      <c r="M25" s="77"/>
      <c r="N25" s="77"/>
      <c r="O25" s="77"/>
      <c r="S25" s="50">
        <v>3</v>
      </c>
      <c r="V25" s="50">
        <v>3</v>
      </c>
      <c r="Y25" s="50">
        <v>5</v>
      </c>
    </row>
    <row r="26" spans="1:26" ht="14.25" customHeight="1" x14ac:dyDescent="0.75">
      <c r="C26" s="71"/>
      <c r="D26" s="71"/>
      <c r="E26" s="71"/>
      <c r="F26" s="71"/>
      <c r="G26" s="71"/>
      <c r="H26" s="71"/>
      <c r="I26" s="71"/>
      <c r="J26" s="71"/>
      <c r="L26" s="71"/>
    </row>
    <row r="27" spans="1:26" ht="14.25" customHeight="1" x14ac:dyDescent="0.75">
      <c r="C27" s="71"/>
      <c r="D27" s="71"/>
      <c r="E27" s="71"/>
      <c r="F27" s="71"/>
      <c r="G27" s="71"/>
      <c r="H27" s="71"/>
      <c r="I27" s="71"/>
      <c r="J27" s="71"/>
      <c r="L27" s="71"/>
    </row>
    <row r="28" spans="1:26" ht="14.25" customHeight="1" x14ac:dyDescent="0.75">
      <c r="C28" s="71"/>
      <c r="D28" s="71"/>
      <c r="E28" s="71"/>
      <c r="F28" s="71"/>
      <c r="G28" s="71"/>
      <c r="H28" s="71"/>
      <c r="I28" s="71"/>
      <c r="J28" s="71"/>
      <c r="L28" s="71"/>
    </row>
    <row r="29" spans="1:26" ht="14.25" customHeight="1" x14ac:dyDescent="0.75">
      <c r="C29" s="71"/>
      <c r="D29" s="71"/>
      <c r="E29" s="71"/>
      <c r="F29" s="71"/>
      <c r="G29" s="71"/>
      <c r="H29" s="71"/>
      <c r="I29" s="71"/>
      <c r="J29" s="71"/>
      <c r="L29" s="71"/>
    </row>
    <row r="30" spans="1:26" ht="14.25" customHeight="1" x14ac:dyDescent="0.75">
      <c r="C30" s="71"/>
      <c r="D30" s="71"/>
      <c r="E30" s="71"/>
      <c r="F30" s="71"/>
      <c r="G30" s="71"/>
      <c r="H30" s="71"/>
      <c r="I30" s="71"/>
      <c r="J30" s="71"/>
      <c r="L30" s="71"/>
    </row>
    <row r="31" spans="1:26" ht="14.25" customHeight="1" x14ac:dyDescent="0.75">
      <c r="C31" s="71"/>
      <c r="D31" s="71"/>
      <c r="E31" s="71"/>
      <c r="F31" s="71"/>
      <c r="G31" s="71"/>
      <c r="H31" s="71"/>
      <c r="I31" s="71"/>
      <c r="J31" s="71"/>
      <c r="L31" s="71"/>
    </row>
    <row r="32" spans="1:26" ht="14.25" customHeight="1" x14ac:dyDescent="0.75">
      <c r="C32" s="72"/>
      <c r="D32" s="71"/>
      <c r="E32" s="71"/>
      <c r="F32" s="71"/>
      <c r="G32" s="71"/>
      <c r="H32" s="71"/>
      <c r="I32" s="71"/>
      <c r="J32" s="71"/>
      <c r="L32" s="71"/>
    </row>
    <row r="33" spans="3:14" ht="14.25" customHeight="1" x14ac:dyDescent="0.75">
      <c r="C33" s="71"/>
      <c r="D33" s="71"/>
      <c r="E33" s="71"/>
      <c r="F33" s="71"/>
      <c r="G33" s="71"/>
      <c r="H33" s="71"/>
      <c r="I33" s="71"/>
      <c r="J33" s="71"/>
      <c r="L33" s="71"/>
    </row>
    <row r="34" spans="3:14" ht="14.25" customHeight="1" x14ac:dyDescent="0.75">
      <c r="C34" s="71"/>
      <c r="D34" s="71"/>
      <c r="E34" s="71"/>
      <c r="F34" s="71"/>
      <c r="G34" s="71"/>
      <c r="H34" s="71"/>
      <c r="I34" s="71"/>
      <c r="J34" s="71"/>
      <c r="L34" s="71"/>
    </row>
    <row r="35" spans="3:14" ht="14.25" customHeight="1" x14ac:dyDescent="0.75">
      <c r="C35" s="71"/>
      <c r="D35" s="71"/>
      <c r="E35" s="71"/>
      <c r="F35" s="71"/>
      <c r="G35" s="71"/>
      <c r="H35" s="71"/>
      <c r="I35" s="71"/>
      <c r="J35" s="71"/>
      <c r="L35" s="71"/>
    </row>
    <row r="36" spans="3:14" ht="14.25" customHeight="1" x14ac:dyDescent="0.75">
      <c r="C36" s="71"/>
      <c r="D36" s="71"/>
      <c r="E36" s="71"/>
      <c r="F36" s="71"/>
      <c r="G36" s="71"/>
      <c r="H36" s="71"/>
      <c r="I36" s="71"/>
      <c r="J36" s="71"/>
      <c r="L36" s="71"/>
    </row>
    <row r="37" spans="3:14" ht="14.25" customHeight="1" x14ac:dyDescent="0.75">
      <c r="C37" s="71"/>
      <c r="D37" s="71"/>
      <c r="E37" s="71"/>
      <c r="F37" s="71"/>
      <c r="G37" s="71"/>
      <c r="H37" s="71"/>
      <c r="I37" s="71"/>
      <c r="J37" s="71"/>
      <c r="L37" s="71"/>
    </row>
    <row r="38" spans="3:14" ht="14.25" customHeight="1" x14ac:dyDescent="0.75">
      <c r="C38" s="71"/>
      <c r="D38" s="71"/>
      <c r="E38" s="71"/>
      <c r="F38" s="71"/>
      <c r="G38" s="71"/>
      <c r="H38" s="71"/>
      <c r="I38" s="71"/>
      <c r="J38" s="71"/>
      <c r="L38" s="71"/>
    </row>
    <row r="39" spans="3:14" ht="14.25" customHeight="1" x14ac:dyDescent="0.75">
      <c r="C39" s="71"/>
      <c r="D39" s="71"/>
      <c r="E39" s="71"/>
      <c r="F39" s="71"/>
      <c r="G39" s="71"/>
      <c r="H39" s="71"/>
      <c r="I39" s="71"/>
      <c r="J39" s="71"/>
      <c r="L39" s="71"/>
    </row>
    <row r="40" spans="3:14" ht="14.25" customHeight="1" x14ac:dyDescent="0.75">
      <c r="C40" s="71"/>
      <c r="D40" s="71"/>
      <c r="E40" s="71"/>
      <c r="F40" s="71"/>
      <c r="G40" s="71"/>
      <c r="H40" s="71"/>
      <c r="I40" s="71"/>
      <c r="J40" s="71"/>
      <c r="L40" s="71"/>
    </row>
    <row r="41" spans="3:14" ht="14.25" customHeight="1" x14ac:dyDescent="0.75">
      <c r="C41" s="71"/>
      <c r="D41" s="71"/>
      <c r="E41" s="71"/>
      <c r="F41" s="71"/>
      <c r="G41" s="71"/>
      <c r="H41" s="71"/>
      <c r="I41" s="71"/>
      <c r="J41" s="71"/>
      <c r="L41" s="71"/>
    </row>
    <row r="42" spans="3:14" ht="14.25" customHeight="1" x14ac:dyDescent="0.75">
      <c r="C42" s="71"/>
      <c r="D42" s="71"/>
      <c r="E42" s="71"/>
      <c r="F42" s="71"/>
      <c r="G42" s="71"/>
      <c r="H42" s="71"/>
      <c r="I42" s="71"/>
      <c r="J42" s="71"/>
      <c r="L42" s="71"/>
    </row>
    <row r="48" spans="3:14" ht="14.25" customHeight="1" x14ac:dyDescent="0.75">
      <c r="L48" s="73"/>
      <c r="N48" s="74"/>
    </row>
    <row r="49" spans="4:14" ht="14.25" customHeight="1" x14ac:dyDescent="0.75">
      <c r="D49" s="75"/>
      <c r="E49" s="75"/>
      <c r="N49" s="76"/>
    </row>
    <row r="50" spans="4:14" ht="14.25" customHeight="1" x14ac:dyDescent="0.75">
      <c r="D50" s="75"/>
      <c r="E50" s="75"/>
      <c r="N50" s="76"/>
    </row>
    <row r="51" spans="4:14" ht="14.25" customHeight="1" x14ac:dyDescent="0.75">
      <c r="N51" s="76"/>
    </row>
  </sheetData>
  <conditionalFormatting sqref="F4 H4:H25 J4:J25 F5:G5 I5:I24 G6:G24 F6:F25">
    <cfRule type="expression" dxfId="156" priority="6">
      <formula>#REF!=F4</formula>
    </cfRule>
    <cfRule type="expression" dxfId="155" priority="7">
      <formula>#REF!&lt;F4</formula>
    </cfRule>
    <cfRule type="expression" dxfId="154" priority="8">
      <formula>#REF!&gt;F4</formula>
    </cfRule>
  </conditionalFormatting>
  <conditionalFormatting sqref="K5:K25">
    <cfRule type="cellIs" dxfId="153" priority="2" operator="equal">
      <formula>0</formula>
    </cfRule>
  </conditionalFormatting>
  <conditionalFormatting sqref="L5:L25">
    <cfRule type="expression" dxfId="152" priority="3">
      <formula>K5=L5</formula>
    </cfRule>
    <cfRule type="expression" dxfId="151" priority="4">
      <formula>K5&lt;L5</formula>
    </cfRule>
    <cfRule type="expression" dxfId="150" priority="5">
      <formula>K5&gt;L5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B35"/>
  <sheetViews>
    <sheetView topLeftCell="C1" zoomScaleNormal="100" workbookViewId="0">
      <selection activeCell="Y28" sqref="Y28"/>
    </sheetView>
  </sheetViews>
  <sheetFormatPr defaultColWidth="8.54296875" defaultRowHeight="14.75" x14ac:dyDescent="0.75"/>
  <cols>
    <col min="2" max="2" width="43.31640625" customWidth="1"/>
    <col min="3" max="3" width="21" customWidth="1"/>
    <col min="4" max="4" width="9.1328125" hidden="1" customWidth="1"/>
  </cols>
  <sheetData>
    <row r="1" spans="1:28" ht="28.5" customHeight="1" x14ac:dyDescent="0.75">
      <c r="A1" s="51"/>
      <c r="B1" s="51"/>
      <c r="C1" s="51" t="s">
        <v>176</v>
      </c>
      <c r="D1" s="51" t="s">
        <v>144</v>
      </c>
      <c r="E1" s="52" t="s">
        <v>116</v>
      </c>
      <c r="F1" s="53" t="s">
        <v>145</v>
      </c>
      <c r="G1" s="54" t="s">
        <v>119</v>
      </c>
      <c r="H1" s="53" t="s">
        <v>146</v>
      </c>
      <c r="I1" s="55" t="s">
        <v>122</v>
      </c>
      <c r="J1" s="56" t="s">
        <v>147</v>
      </c>
      <c r="K1" s="51" t="s">
        <v>148</v>
      </c>
      <c r="L1" s="53" t="s">
        <v>149</v>
      </c>
      <c r="M1" s="51" t="s">
        <v>56</v>
      </c>
      <c r="N1" s="51" t="s">
        <v>58</v>
      </c>
      <c r="O1" s="51" t="s">
        <v>66</v>
      </c>
      <c r="P1" s="51" t="s">
        <v>56</v>
      </c>
      <c r="Q1" s="51" t="s">
        <v>58</v>
      </c>
      <c r="R1" s="51" t="s">
        <v>66</v>
      </c>
      <c r="S1" s="51" t="s">
        <v>56</v>
      </c>
      <c r="T1" s="51" t="s">
        <v>58</v>
      </c>
      <c r="U1" s="51" t="s">
        <v>66</v>
      </c>
      <c r="V1" s="51" t="s">
        <v>56</v>
      </c>
      <c r="W1" s="51" t="s">
        <v>58</v>
      </c>
      <c r="X1" s="51" t="s">
        <v>66</v>
      </c>
      <c r="Y1" s="51" t="s">
        <v>56</v>
      </c>
      <c r="Z1" s="51" t="s">
        <v>58</v>
      </c>
      <c r="AA1" s="51" t="s">
        <v>66</v>
      </c>
      <c r="AB1" s="51"/>
    </row>
    <row r="2" spans="1:28" ht="14.25" customHeight="1" x14ac:dyDescent="0.75">
      <c r="A2" s="50"/>
      <c r="B2" s="50"/>
      <c r="C2" s="57" t="s">
        <v>150</v>
      </c>
      <c r="D2" s="57"/>
      <c r="E2" s="57"/>
      <c r="F2" s="57"/>
      <c r="G2" s="57"/>
      <c r="H2" s="59"/>
      <c r="I2" s="59"/>
      <c r="J2" s="59"/>
      <c r="K2" s="59"/>
      <c r="L2" s="59"/>
      <c r="M2" s="59" t="s">
        <v>65</v>
      </c>
      <c r="N2" s="59" t="s">
        <v>57</v>
      </c>
      <c r="O2" s="59" t="s">
        <v>55</v>
      </c>
      <c r="P2" s="59" t="s">
        <v>65</v>
      </c>
      <c r="Q2" s="59" t="s">
        <v>57</v>
      </c>
      <c r="R2" s="59" t="s">
        <v>55</v>
      </c>
      <c r="S2" s="59" t="s">
        <v>65</v>
      </c>
      <c r="T2" s="59" t="s">
        <v>57</v>
      </c>
      <c r="U2" s="59" t="s">
        <v>55</v>
      </c>
      <c r="V2" s="59" t="s">
        <v>65</v>
      </c>
      <c r="W2" s="59" t="s">
        <v>57</v>
      </c>
      <c r="X2" s="59" t="s">
        <v>55</v>
      </c>
      <c r="Y2" s="59" t="s">
        <v>65</v>
      </c>
      <c r="Z2" s="59" t="s">
        <v>57</v>
      </c>
      <c r="AA2" s="59" t="s">
        <v>55</v>
      </c>
      <c r="AB2" s="50"/>
    </row>
    <row r="3" spans="1:28" ht="14.25" customHeight="1" x14ac:dyDescent="0.75">
      <c r="A3" s="62" t="s">
        <v>129</v>
      </c>
      <c r="B3" s="62" t="s">
        <v>2</v>
      </c>
      <c r="C3" s="62" t="s">
        <v>3</v>
      </c>
      <c r="D3" s="62"/>
      <c r="E3" s="58"/>
      <c r="F3" s="62"/>
      <c r="G3" s="63"/>
      <c r="H3" s="62"/>
      <c r="I3" s="64"/>
      <c r="J3" s="62"/>
      <c r="K3" s="62"/>
      <c r="L3" s="62"/>
      <c r="M3" s="62" t="s">
        <v>54</v>
      </c>
      <c r="N3" s="62" t="s">
        <v>54</v>
      </c>
      <c r="O3" s="62" t="s">
        <v>54</v>
      </c>
      <c r="P3" s="62" t="s">
        <v>59</v>
      </c>
      <c r="Q3" s="62" t="s">
        <v>59</v>
      </c>
      <c r="R3" s="62" t="s">
        <v>59</v>
      </c>
      <c r="S3" s="62" t="s">
        <v>60</v>
      </c>
      <c r="T3" s="62" t="s">
        <v>60</v>
      </c>
      <c r="U3" s="62" t="s">
        <v>60</v>
      </c>
      <c r="V3" s="62" t="s">
        <v>62</v>
      </c>
      <c r="W3" s="62" t="s">
        <v>62</v>
      </c>
      <c r="X3" s="62" t="s">
        <v>62</v>
      </c>
      <c r="Y3" s="62" t="s">
        <v>63</v>
      </c>
      <c r="Z3" s="62" t="s">
        <v>63</v>
      </c>
      <c r="AA3" s="62" t="s">
        <v>63</v>
      </c>
      <c r="AB3" s="50"/>
    </row>
    <row r="4" spans="1:28" ht="14.25" customHeight="1" x14ac:dyDescent="0.75">
      <c r="A4" s="62"/>
      <c r="B4" s="62"/>
      <c r="C4" s="62" t="s">
        <v>151</v>
      </c>
      <c r="D4" s="62"/>
      <c r="E4" s="58"/>
      <c r="F4" s="62">
        <f t="shared" ref="F4:F25" si="0">+M4+P4+S4+V4+Y4</f>
        <v>64</v>
      </c>
      <c r="G4" s="147"/>
      <c r="H4" s="62">
        <f t="shared" ref="H4:H25" si="1">+N4+Q4+T4+W4+Z4</f>
        <v>547</v>
      </c>
      <c r="I4" s="64"/>
      <c r="J4" s="62">
        <f t="shared" ref="J4:J25" si="2">+O4+R4+U4+X4+AA4</f>
        <v>84</v>
      </c>
      <c r="K4" s="62" t="s">
        <v>152</v>
      </c>
      <c r="L4" s="62"/>
      <c r="M4" s="62"/>
      <c r="N4" s="62">
        <v>102</v>
      </c>
      <c r="O4" s="62">
        <v>29</v>
      </c>
      <c r="P4" s="50"/>
      <c r="Q4" s="62">
        <v>167</v>
      </c>
      <c r="R4" s="62">
        <v>30</v>
      </c>
      <c r="S4" s="62">
        <v>32</v>
      </c>
      <c r="T4" s="62">
        <v>128</v>
      </c>
      <c r="U4" s="62"/>
      <c r="V4" s="62">
        <v>32</v>
      </c>
      <c r="W4" s="62">
        <v>150</v>
      </c>
      <c r="X4" s="62">
        <v>25</v>
      </c>
      <c r="Y4" s="62"/>
      <c r="Z4" s="62"/>
      <c r="AA4" s="62"/>
      <c r="AB4" s="50"/>
    </row>
    <row r="5" spans="1:28" ht="14.25" customHeight="1" x14ac:dyDescent="0.75">
      <c r="A5" s="50">
        <v>666501</v>
      </c>
      <c r="B5" s="50" t="s">
        <v>4</v>
      </c>
      <c r="C5" s="50" t="s">
        <v>5</v>
      </c>
      <c r="D5" s="50"/>
      <c r="E5" s="67">
        <v>54</v>
      </c>
      <c r="F5" s="50">
        <f t="shared" si="0"/>
        <v>54</v>
      </c>
      <c r="G5" s="149">
        <v>228</v>
      </c>
      <c r="H5" s="62">
        <f t="shared" si="1"/>
        <v>228</v>
      </c>
      <c r="I5" s="61">
        <v>0</v>
      </c>
      <c r="J5" s="157">
        <f t="shared" si="2"/>
        <v>0</v>
      </c>
      <c r="K5" s="50">
        <f t="shared" ref="K5:K24" si="3">+E5+G5+I5</f>
        <v>282</v>
      </c>
      <c r="L5" s="50">
        <f t="shared" ref="L5:L25" si="4">SUM(F5,H5,J5)</f>
        <v>282</v>
      </c>
      <c r="M5" s="50"/>
      <c r="N5" s="50"/>
      <c r="O5" s="50"/>
      <c r="P5" s="50"/>
      <c r="Q5" s="50">
        <v>42</v>
      </c>
      <c r="R5" s="50"/>
      <c r="S5" s="50">
        <v>45</v>
      </c>
      <c r="T5" s="50">
        <v>93</v>
      </c>
      <c r="U5" s="50"/>
      <c r="V5" s="50">
        <v>9</v>
      </c>
      <c r="W5" s="50"/>
      <c r="X5" s="50"/>
      <c r="Y5" s="50"/>
      <c r="Z5" s="50">
        <v>93</v>
      </c>
      <c r="AA5" s="50"/>
      <c r="AB5" s="50"/>
    </row>
    <row r="6" spans="1:28" ht="14.25" customHeight="1" x14ac:dyDescent="0.75">
      <c r="A6" s="50">
        <v>666502</v>
      </c>
      <c r="B6" s="50" t="s">
        <v>6</v>
      </c>
      <c r="C6" s="50" t="s">
        <v>7</v>
      </c>
      <c r="D6" s="50"/>
      <c r="E6" s="67">
        <v>0</v>
      </c>
      <c r="F6" s="50">
        <f t="shared" si="0"/>
        <v>0</v>
      </c>
      <c r="G6" s="149">
        <v>178</v>
      </c>
      <c r="H6" s="62">
        <f t="shared" si="1"/>
        <v>157</v>
      </c>
      <c r="I6" s="61">
        <v>63</v>
      </c>
      <c r="J6" s="164">
        <f t="shared" si="2"/>
        <v>63</v>
      </c>
      <c r="K6" s="50">
        <f t="shared" si="3"/>
        <v>241</v>
      </c>
      <c r="L6" s="50">
        <f t="shared" si="4"/>
        <v>220</v>
      </c>
      <c r="M6" s="50"/>
      <c r="N6" s="50">
        <v>31</v>
      </c>
      <c r="O6" s="50">
        <v>27</v>
      </c>
      <c r="P6" s="50"/>
      <c r="Q6" s="50">
        <v>25</v>
      </c>
      <c r="R6" s="50">
        <v>29</v>
      </c>
      <c r="S6" s="50"/>
      <c r="T6" s="50">
        <v>35</v>
      </c>
      <c r="U6" s="50"/>
      <c r="V6" s="50"/>
      <c r="W6" s="50">
        <v>25</v>
      </c>
      <c r="X6" s="50">
        <v>7</v>
      </c>
      <c r="Y6" s="50"/>
      <c r="Z6" s="50">
        <v>41</v>
      </c>
      <c r="AA6" s="50"/>
      <c r="AB6" s="50"/>
    </row>
    <row r="7" spans="1:28" ht="14.25" customHeight="1" x14ac:dyDescent="0.75">
      <c r="A7" s="50">
        <v>666505</v>
      </c>
      <c r="B7" s="50" t="s">
        <v>8</v>
      </c>
      <c r="C7" s="50" t="s">
        <v>9</v>
      </c>
      <c r="D7" s="50"/>
      <c r="E7" s="67">
        <v>0</v>
      </c>
      <c r="F7" s="50">
        <f t="shared" si="0"/>
        <v>0</v>
      </c>
      <c r="G7" s="149">
        <v>0</v>
      </c>
      <c r="H7" s="62">
        <f t="shared" si="1"/>
        <v>0</v>
      </c>
      <c r="I7" s="61">
        <v>0</v>
      </c>
      <c r="J7" s="157">
        <f t="shared" si="2"/>
        <v>0</v>
      </c>
      <c r="K7" s="50">
        <f t="shared" si="3"/>
        <v>0</v>
      </c>
      <c r="L7" s="50">
        <f t="shared" si="4"/>
        <v>0</v>
      </c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</row>
    <row r="8" spans="1:28" ht="14.25" customHeight="1" x14ac:dyDescent="0.75">
      <c r="A8" s="50">
        <v>666506</v>
      </c>
      <c r="B8" s="50" t="s">
        <v>10</v>
      </c>
      <c r="C8" s="50" t="s">
        <v>11</v>
      </c>
      <c r="D8" s="50"/>
      <c r="E8" s="67">
        <v>0</v>
      </c>
      <c r="F8" s="50">
        <f t="shared" si="0"/>
        <v>0</v>
      </c>
      <c r="G8" s="149">
        <v>252</v>
      </c>
      <c r="H8" s="62">
        <f t="shared" si="1"/>
        <v>60</v>
      </c>
      <c r="I8" s="61">
        <v>0</v>
      </c>
      <c r="J8" s="62">
        <f t="shared" si="2"/>
        <v>0</v>
      </c>
      <c r="K8" s="50">
        <f t="shared" si="3"/>
        <v>252</v>
      </c>
      <c r="L8" s="50">
        <f t="shared" si="4"/>
        <v>60</v>
      </c>
      <c r="M8" s="50"/>
      <c r="N8" s="50">
        <v>12</v>
      </c>
      <c r="O8" s="50"/>
      <c r="P8" s="50"/>
      <c r="Q8" s="198">
        <v>15</v>
      </c>
      <c r="R8" s="50"/>
      <c r="S8" s="50"/>
      <c r="T8" s="50">
        <v>8</v>
      </c>
      <c r="U8" s="50"/>
      <c r="V8" s="50"/>
      <c r="W8" s="50">
        <v>14</v>
      </c>
      <c r="X8" s="50"/>
      <c r="Y8" s="50"/>
      <c r="Z8" s="50">
        <v>11</v>
      </c>
      <c r="AA8" s="50"/>
      <c r="AB8" s="50"/>
    </row>
    <row r="9" spans="1:28" ht="14.25" customHeight="1" x14ac:dyDescent="0.75">
      <c r="A9" s="50">
        <v>666507</v>
      </c>
      <c r="B9" s="50" t="s">
        <v>12</v>
      </c>
      <c r="C9" s="50" t="s">
        <v>13</v>
      </c>
      <c r="D9" s="50"/>
      <c r="E9" s="67">
        <v>16</v>
      </c>
      <c r="F9" s="50">
        <f t="shared" si="0"/>
        <v>16</v>
      </c>
      <c r="G9" s="149">
        <v>0</v>
      </c>
      <c r="H9" s="62">
        <f t="shared" si="1"/>
        <v>0</v>
      </c>
      <c r="I9" s="61">
        <v>0</v>
      </c>
      <c r="J9" s="62">
        <f t="shared" si="2"/>
        <v>0</v>
      </c>
      <c r="K9" s="50">
        <f t="shared" si="3"/>
        <v>16</v>
      </c>
      <c r="L9" s="50">
        <f t="shared" si="4"/>
        <v>16</v>
      </c>
      <c r="M9" s="50"/>
      <c r="N9" s="50"/>
      <c r="O9" s="50"/>
      <c r="P9" s="50"/>
      <c r="Q9" s="50"/>
      <c r="R9" s="50"/>
      <c r="S9" s="50">
        <v>10</v>
      </c>
      <c r="T9" s="50"/>
      <c r="U9" s="50"/>
      <c r="V9" s="50"/>
      <c r="W9" s="50"/>
      <c r="X9" s="50"/>
      <c r="Y9" s="50">
        <v>6</v>
      </c>
      <c r="Z9" s="50"/>
      <c r="AA9" s="50"/>
      <c r="AB9" s="50"/>
    </row>
    <row r="10" spans="1:28" ht="14.25" customHeight="1" x14ac:dyDescent="0.75">
      <c r="A10" s="50">
        <v>666509</v>
      </c>
      <c r="B10" s="50" t="s">
        <v>14</v>
      </c>
      <c r="C10" s="50" t="s">
        <v>15</v>
      </c>
      <c r="D10" s="50"/>
      <c r="E10" s="67">
        <v>33</v>
      </c>
      <c r="F10" s="50">
        <f t="shared" si="0"/>
        <v>33</v>
      </c>
      <c r="G10" s="149">
        <v>0</v>
      </c>
      <c r="H10" s="62">
        <f t="shared" si="1"/>
        <v>0</v>
      </c>
      <c r="I10" s="61">
        <v>0</v>
      </c>
      <c r="J10" s="62">
        <f t="shared" si="2"/>
        <v>0</v>
      </c>
      <c r="K10" s="50">
        <f t="shared" si="3"/>
        <v>33</v>
      </c>
      <c r="L10" s="50">
        <f t="shared" si="4"/>
        <v>33</v>
      </c>
      <c r="M10" s="50">
        <v>10</v>
      </c>
      <c r="N10" s="50"/>
      <c r="O10" s="50"/>
      <c r="P10" s="50"/>
      <c r="Q10" s="50"/>
      <c r="R10" s="50"/>
      <c r="S10" s="50">
        <v>10</v>
      </c>
      <c r="T10" s="50"/>
      <c r="U10" s="50"/>
      <c r="V10" s="50">
        <v>13</v>
      </c>
      <c r="W10" s="50"/>
      <c r="X10" s="50"/>
      <c r="Y10" s="50"/>
      <c r="Z10" s="50"/>
      <c r="AA10" s="50"/>
      <c r="AB10" s="50"/>
    </row>
    <row r="11" spans="1:28" ht="14.25" customHeight="1" x14ac:dyDescent="0.75">
      <c r="A11" s="50">
        <v>666510</v>
      </c>
      <c r="B11" s="50" t="s">
        <v>16</v>
      </c>
      <c r="C11" s="50" t="s">
        <v>17</v>
      </c>
      <c r="D11" s="50"/>
      <c r="E11" s="67">
        <v>0</v>
      </c>
      <c r="F11" s="50">
        <f t="shared" si="0"/>
        <v>0</v>
      </c>
      <c r="G11" s="149">
        <v>0</v>
      </c>
      <c r="H11" s="62">
        <f t="shared" si="1"/>
        <v>0</v>
      </c>
      <c r="I11" s="61">
        <v>0</v>
      </c>
      <c r="J11" s="62">
        <f t="shared" si="2"/>
        <v>0</v>
      </c>
      <c r="K11" s="50">
        <f t="shared" si="3"/>
        <v>0</v>
      </c>
      <c r="L11" s="50">
        <f t="shared" si="4"/>
        <v>0</v>
      </c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</row>
    <row r="12" spans="1:28" ht="14.25" customHeight="1" x14ac:dyDescent="0.75">
      <c r="A12" s="50">
        <v>666511</v>
      </c>
      <c r="B12" s="50" t="s">
        <v>18</v>
      </c>
      <c r="C12" s="50" t="s">
        <v>19</v>
      </c>
      <c r="D12" s="50"/>
      <c r="E12" s="67">
        <v>6</v>
      </c>
      <c r="F12" s="50">
        <f t="shared" si="0"/>
        <v>6</v>
      </c>
      <c r="G12" s="149">
        <v>0</v>
      </c>
      <c r="H12" s="62">
        <f t="shared" si="1"/>
        <v>0</v>
      </c>
      <c r="I12" s="61">
        <v>0</v>
      </c>
      <c r="J12" s="62">
        <f t="shared" si="2"/>
        <v>0</v>
      </c>
      <c r="K12" s="50">
        <f t="shared" si="3"/>
        <v>6</v>
      </c>
      <c r="L12" s="50">
        <f t="shared" si="4"/>
        <v>6</v>
      </c>
      <c r="M12" s="50"/>
      <c r="N12" s="50"/>
      <c r="O12" s="50"/>
      <c r="P12" s="50"/>
      <c r="Q12" s="50"/>
      <c r="R12" s="50"/>
      <c r="S12" s="50">
        <v>6</v>
      </c>
      <c r="T12" s="50"/>
      <c r="U12" s="50"/>
      <c r="V12" s="50"/>
      <c r="W12" s="50"/>
      <c r="X12" s="50"/>
      <c r="Y12" s="50"/>
      <c r="Z12" s="50"/>
      <c r="AA12" s="50"/>
      <c r="AB12" s="50"/>
    </row>
    <row r="13" spans="1:28" ht="14.25" customHeight="1" x14ac:dyDescent="0.75">
      <c r="A13" s="50">
        <v>666513</v>
      </c>
      <c r="B13" s="50" t="s">
        <v>20</v>
      </c>
      <c r="C13" s="50" t="s">
        <v>21</v>
      </c>
      <c r="D13" s="50"/>
      <c r="E13" s="67">
        <v>0</v>
      </c>
      <c r="F13" s="50">
        <f t="shared" si="0"/>
        <v>0</v>
      </c>
      <c r="G13" s="149">
        <v>0</v>
      </c>
      <c r="H13" s="62">
        <f t="shared" si="1"/>
        <v>0</v>
      </c>
      <c r="I13" s="61">
        <v>0</v>
      </c>
      <c r="J13" s="62">
        <f t="shared" si="2"/>
        <v>0</v>
      </c>
      <c r="K13" s="50">
        <f t="shared" si="3"/>
        <v>0</v>
      </c>
      <c r="L13" s="50">
        <f t="shared" si="4"/>
        <v>0</v>
      </c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</row>
    <row r="14" spans="1:28" ht="14.25" customHeight="1" x14ac:dyDescent="0.75">
      <c r="A14" s="50">
        <v>666516</v>
      </c>
      <c r="B14" s="50" t="s">
        <v>22</v>
      </c>
      <c r="C14" s="50" t="s">
        <v>23</v>
      </c>
      <c r="D14" s="50"/>
      <c r="E14" s="67">
        <v>0</v>
      </c>
      <c r="F14" s="50">
        <f t="shared" si="0"/>
        <v>0</v>
      </c>
      <c r="G14" s="149">
        <v>0</v>
      </c>
      <c r="H14" s="62">
        <f t="shared" si="1"/>
        <v>0</v>
      </c>
      <c r="I14" s="61">
        <v>0</v>
      </c>
      <c r="J14" s="157">
        <f t="shared" si="2"/>
        <v>0</v>
      </c>
      <c r="K14" s="50">
        <f t="shared" si="3"/>
        <v>0</v>
      </c>
      <c r="L14" s="50">
        <f t="shared" si="4"/>
        <v>0</v>
      </c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</row>
    <row r="15" spans="1:28" ht="14.25" customHeight="1" x14ac:dyDescent="0.75">
      <c r="A15" s="50">
        <v>666517</v>
      </c>
      <c r="B15" s="50" t="s">
        <v>24</v>
      </c>
      <c r="C15" s="50" t="s">
        <v>25</v>
      </c>
      <c r="D15" s="50"/>
      <c r="E15" s="67">
        <v>0</v>
      </c>
      <c r="F15" s="50">
        <f t="shared" si="0"/>
        <v>0</v>
      </c>
      <c r="G15" s="149">
        <v>0</v>
      </c>
      <c r="H15" s="62">
        <f t="shared" si="1"/>
        <v>0</v>
      </c>
      <c r="I15" s="61">
        <v>0</v>
      </c>
      <c r="J15" s="62">
        <f t="shared" si="2"/>
        <v>0</v>
      </c>
      <c r="K15" s="50">
        <f t="shared" si="3"/>
        <v>0</v>
      </c>
      <c r="L15" s="50">
        <f t="shared" si="4"/>
        <v>0</v>
      </c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</row>
    <row r="16" spans="1:28" ht="14.25" customHeight="1" x14ac:dyDescent="0.75">
      <c r="A16" s="50">
        <v>666518</v>
      </c>
      <c r="B16" s="50" t="s">
        <v>26</v>
      </c>
      <c r="C16" s="50" t="s">
        <v>27</v>
      </c>
      <c r="D16" s="50"/>
      <c r="E16" s="67">
        <v>0</v>
      </c>
      <c r="F16" s="50">
        <f t="shared" si="0"/>
        <v>0</v>
      </c>
      <c r="G16" s="149">
        <v>0</v>
      </c>
      <c r="H16" s="62">
        <f t="shared" si="1"/>
        <v>0</v>
      </c>
      <c r="I16" s="61">
        <v>0</v>
      </c>
      <c r="J16" s="62">
        <f t="shared" si="2"/>
        <v>0</v>
      </c>
      <c r="K16" s="50">
        <f t="shared" si="3"/>
        <v>0</v>
      </c>
      <c r="L16" s="50">
        <f t="shared" si="4"/>
        <v>0</v>
      </c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</row>
    <row r="17" spans="1:28" ht="14.25" customHeight="1" x14ac:dyDescent="0.75">
      <c r="A17" s="50">
        <v>666519</v>
      </c>
      <c r="B17" s="50" t="s">
        <v>28</v>
      </c>
      <c r="C17" s="50" t="s">
        <v>29</v>
      </c>
      <c r="D17" s="50"/>
      <c r="E17" s="67">
        <v>0</v>
      </c>
      <c r="F17" s="50">
        <f t="shared" si="0"/>
        <v>0</v>
      </c>
      <c r="G17" s="149">
        <v>0</v>
      </c>
      <c r="H17" s="62">
        <f t="shared" si="1"/>
        <v>0</v>
      </c>
      <c r="I17" s="61">
        <v>0</v>
      </c>
      <c r="J17" s="62">
        <f t="shared" si="2"/>
        <v>0</v>
      </c>
      <c r="K17" s="50">
        <f t="shared" si="3"/>
        <v>0</v>
      </c>
      <c r="L17" s="50">
        <f t="shared" si="4"/>
        <v>0</v>
      </c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</row>
    <row r="18" spans="1:28" ht="14.25" customHeight="1" x14ac:dyDescent="0.75">
      <c r="A18" s="50">
        <v>666521</v>
      </c>
      <c r="B18" s="50" t="s">
        <v>30</v>
      </c>
      <c r="C18" s="50" t="s">
        <v>31</v>
      </c>
      <c r="D18" s="50"/>
      <c r="E18" s="67">
        <v>67</v>
      </c>
      <c r="F18" s="50">
        <f t="shared" si="0"/>
        <v>21</v>
      </c>
      <c r="G18" s="149">
        <v>0</v>
      </c>
      <c r="H18" s="62">
        <f t="shared" si="1"/>
        <v>0</v>
      </c>
      <c r="I18" s="61">
        <v>0</v>
      </c>
      <c r="J18" s="62">
        <f t="shared" si="2"/>
        <v>0</v>
      </c>
      <c r="K18" s="50">
        <f t="shared" si="3"/>
        <v>67</v>
      </c>
      <c r="L18" s="50">
        <f t="shared" si="4"/>
        <v>21</v>
      </c>
      <c r="M18" s="50">
        <v>14</v>
      </c>
      <c r="N18" s="50"/>
      <c r="O18" s="50"/>
      <c r="P18" s="50"/>
      <c r="Q18" s="50"/>
      <c r="R18" s="50"/>
      <c r="S18" s="50">
        <v>5</v>
      </c>
      <c r="T18" s="50"/>
      <c r="U18" s="50"/>
      <c r="V18" s="50">
        <v>1</v>
      </c>
      <c r="W18" s="50"/>
      <c r="X18" s="50"/>
      <c r="Y18" s="50">
        <v>1</v>
      </c>
      <c r="Z18" s="50"/>
      <c r="AA18" s="50"/>
      <c r="AB18" s="50"/>
    </row>
    <row r="19" spans="1:28" ht="14.25" customHeight="1" x14ac:dyDescent="0.75">
      <c r="A19" s="50">
        <v>666522</v>
      </c>
      <c r="B19" s="50" t="s">
        <v>32</v>
      </c>
      <c r="C19" s="50" t="s">
        <v>33</v>
      </c>
      <c r="D19" s="50"/>
      <c r="E19" s="67">
        <v>70</v>
      </c>
      <c r="F19" s="50">
        <f t="shared" si="0"/>
        <v>70</v>
      </c>
      <c r="G19" s="149">
        <v>0</v>
      </c>
      <c r="H19" s="62">
        <f t="shared" si="1"/>
        <v>0</v>
      </c>
      <c r="I19" s="61">
        <v>0</v>
      </c>
      <c r="J19" s="157">
        <f t="shared" si="2"/>
        <v>0</v>
      </c>
      <c r="K19" s="50">
        <f t="shared" si="3"/>
        <v>70</v>
      </c>
      <c r="L19" s="50">
        <f t="shared" si="4"/>
        <v>70</v>
      </c>
      <c r="M19" s="50">
        <v>20</v>
      </c>
      <c r="N19" s="50"/>
      <c r="O19" s="50"/>
      <c r="P19" s="50"/>
      <c r="Q19" s="50"/>
      <c r="R19" s="50"/>
      <c r="S19" s="50">
        <v>50</v>
      </c>
      <c r="T19" s="50"/>
      <c r="U19" s="50"/>
      <c r="V19" s="50"/>
      <c r="W19" s="50"/>
      <c r="X19" s="50"/>
      <c r="Y19" s="50"/>
      <c r="Z19" s="50"/>
      <c r="AA19" s="50"/>
      <c r="AB19" s="50"/>
    </row>
    <row r="20" spans="1:28" ht="14.25" customHeight="1" x14ac:dyDescent="0.75">
      <c r="A20" s="50">
        <v>666523</v>
      </c>
      <c r="B20" s="50" t="s">
        <v>34</v>
      </c>
      <c r="C20" s="50" t="s">
        <v>35</v>
      </c>
      <c r="D20" s="50"/>
      <c r="E20" s="67">
        <v>0</v>
      </c>
      <c r="F20" s="50">
        <f t="shared" si="0"/>
        <v>0</v>
      </c>
      <c r="G20" s="149">
        <v>0</v>
      </c>
      <c r="H20" s="62">
        <f t="shared" si="1"/>
        <v>0</v>
      </c>
      <c r="I20" s="61">
        <v>0</v>
      </c>
      <c r="J20" s="62">
        <f t="shared" si="2"/>
        <v>0</v>
      </c>
      <c r="K20" s="50">
        <f t="shared" si="3"/>
        <v>0</v>
      </c>
      <c r="L20" s="50">
        <f t="shared" si="4"/>
        <v>0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</row>
    <row r="21" spans="1:28" ht="14.25" customHeight="1" x14ac:dyDescent="0.75">
      <c r="A21" s="50">
        <v>666530</v>
      </c>
      <c r="B21" s="50" t="s">
        <v>36</v>
      </c>
      <c r="C21" s="50" t="s">
        <v>37</v>
      </c>
      <c r="D21" s="50"/>
      <c r="E21" s="67">
        <v>0</v>
      </c>
      <c r="F21" s="50">
        <f t="shared" si="0"/>
        <v>0</v>
      </c>
      <c r="G21" s="149">
        <v>0</v>
      </c>
      <c r="H21" s="62">
        <f t="shared" si="1"/>
        <v>0</v>
      </c>
      <c r="I21" s="61">
        <v>0</v>
      </c>
      <c r="J21" s="157">
        <f t="shared" si="2"/>
        <v>0</v>
      </c>
      <c r="K21" s="50">
        <f t="shared" si="3"/>
        <v>0</v>
      </c>
      <c r="L21" s="50">
        <f t="shared" si="4"/>
        <v>0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</row>
    <row r="22" spans="1:28" ht="14.25" customHeight="1" x14ac:dyDescent="0.75">
      <c r="A22" s="50">
        <v>666531</v>
      </c>
      <c r="B22" s="50" t="s">
        <v>38</v>
      </c>
      <c r="C22" s="50" t="s">
        <v>39</v>
      </c>
      <c r="D22" s="50"/>
      <c r="E22" s="67">
        <v>0</v>
      </c>
      <c r="F22" s="50">
        <f t="shared" si="0"/>
        <v>0</v>
      </c>
      <c r="G22" s="149">
        <v>0</v>
      </c>
      <c r="H22" s="62">
        <f t="shared" si="1"/>
        <v>0</v>
      </c>
      <c r="I22" s="61">
        <v>0</v>
      </c>
      <c r="J22" s="157">
        <f t="shared" si="2"/>
        <v>0</v>
      </c>
      <c r="K22" s="50">
        <f t="shared" si="3"/>
        <v>0</v>
      </c>
      <c r="L22" s="50">
        <f t="shared" si="4"/>
        <v>0</v>
      </c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</row>
    <row r="23" spans="1:28" ht="14.25" customHeight="1" x14ac:dyDescent="0.75">
      <c r="A23" s="50">
        <v>666540</v>
      </c>
      <c r="B23" s="50" t="s">
        <v>40</v>
      </c>
      <c r="C23" s="50" t="s">
        <v>40</v>
      </c>
      <c r="D23" s="50"/>
      <c r="E23" s="67">
        <v>0</v>
      </c>
      <c r="F23" s="50">
        <f t="shared" si="0"/>
        <v>0</v>
      </c>
      <c r="G23" s="149">
        <v>39</v>
      </c>
      <c r="H23" s="62">
        <f t="shared" si="1"/>
        <v>0</v>
      </c>
      <c r="I23" s="61">
        <v>0</v>
      </c>
      <c r="J23" s="62">
        <f t="shared" si="2"/>
        <v>0</v>
      </c>
      <c r="K23" s="50">
        <f t="shared" si="3"/>
        <v>39</v>
      </c>
      <c r="L23" s="50">
        <f t="shared" si="4"/>
        <v>0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</row>
    <row r="24" spans="1:28" ht="14.25" customHeight="1" x14ac:dyDescent="0.75">
      <c r="A24" s="50">
        <v>666541</v>
      </c>
      <c r="B24" s="50" t="s">
        <v>41</v>
      </c>
      <c r="C24" s="50" t="s">
        <v>41</v>
      </c>
      <c r="D24" s="50"/>
      <c r="E24" s="67">
        <v>0</v>
      </c>
      <c r="F24" s="50">
        <f t="shared" si="0"/>
        <v>0</v>
      </c>
      <c r="G24" s="149">
        <v>461</v>
      </c>
      <c r="H24" s="62">
        <f t="shared" si="1"/>
        <v>323</v>
      </c>
      <c r="I24" s="61">
        <v>0</v>
      </c>
      <c r="J24" s="62">
        <f t="shared" si="2"/>
        <v>0</v>
      </c>
      <c r="K24" s="50">
        <f t="shared" si="3"/>
        <v>461</v>
      </c>
      <c r="L24" s="50">
        <f t="shared" si="4"/>
        <v>323</v>
      </c>
      <c r="M24" s="50"/>
      <c r="N24" s="50">
        <v>50</v>
      </c>
      <c r="O24" s="50"/>
      <c r="P24" s="50"/>
      <c r="Q24" s="50">
        <v>96</v>
      </c>
      <c r="R24" s="50"/>
      <c r="S24" s="50"/>
      <c r="T24" s="50">
        <v>26</v>
      </c>
      <c r="U24" s="50"/>
      <c r="V24" s="50"/>
      <c r="W24" s="50">
        <v>108</v>
      </c>
      <c r="X24" s="50"/>
      <c r="Y24" s="50"/>
      <c r="Z24" s="50">
        <v>43</v>
      </c>
      <c r="AA24" s="50"/>
      <c r="AB24" s="50"/>
    </row>
    <row r="25" spans="1:28" ht="14.25" customHeight="1" x14ac:dyDescent="0.75">
      <c r="A25" s="50">
        <v>666536</v>
      </c>
      <c r="B25" s="50" t="s">
        <v>42</v>
      </c>
      <c r="C25" s="50" t="s">
        <v>43</v>
      </c>
      <c r="D25" s="50"/>
      <c r="E25" s="67">
        <v>17</v>
      </c>
      <c r="F25" s="50">
        <f t="shared" si="0"/>
        <v>1</v>
      </c>
      <c r="G25" s="149">
        <v>0</v>
      </c>
      <c r="H25" s="62">
        <f t="shared" si="1"/>
        <v>0</v>
      </c>
      <c r="I25" s="61">
        <v>0</v>
      </c>
      <c r="J25" s="62">
        <f t="shared" si="2"/>
        <v>0</v>
      </c>
      <c r="K25" s="50">
        <f>+E25+G25+H25</f>
        <v>17</v>
      </c>
      <c r="L25" s="50">
        <f t="shared" si="4"/>
        <v>1</v>
      </c>
      <c r="M25" s="50"/>
      <c r="N25" s="50"/>
      <c r="O25" s="50"/>
      <c r="P25" s="50"/>
      <c r="Q25" s="50"/>
      <c r="R25" s="50"/>
      <c r="S25" s="50"/>
      <c r="T25" s="50"/>
      <c r="U25" s="50"/>
      <c r="V25" s="50">
        <v>1</v>
      </c>
      <c r="W25" s="50"/>
      <c r="X25" s="50"/>
      <c r="Y25" s="50"/>
      <c r="Z25" s="50"/>
      <c r="AA25" s="50"/>
      <c r="AB25" s="50"/>
    </row>
    <row r="26" spans="1:28" ht="14.25" customHeight="1" x14ac:dyDescent="0.75">
      <c r="A26" s="50"/>
      <c r="B26" s="50"/>
      <c r="C26" s="71"/>
      <c r="D26" s="71"/>
      <c r="E26" s="71"/>
      <c r="F26" s="71"/>
      <c r="G26" s="71"/>
      <c r="H26" s="71"/>
      <c r="I26" s="71"/>
      <c r="J26" s="71"/>
      <c r="K26" s="50"/>
      <c r="L26" s="71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</row>
    <row r="35" spans="15:15" ht="14.25" customHeight="1" x14ac:dyDescent="0.75">
      <c r="O35" t="s">
        <v>152</v>
      </c>
    </row>
  </sheetData>
  <conditionalFormatting sqref="K5:K25">
    <cfRule type="cellIs" dxfId="149" priority="2" operator="equal">
      <formula>0</formula>
    </cfRule>
  </conditionalFormatting>
  <conditionalFormatting sqref="L5:L25">
    <cfRule type="expression" dxfId="148" priority="3">
      <formula>K5=L5</formula>
    </cfRule>
    <cfRule type="expression" dxfId="147" priority="4">
      <formula>K5&lt;L5</formula>
    </cfRule>
    <cfRule type="expression" dxfId="146" priority="5">
      <formula>K5&gt;L5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X71"/>
  <sheetViews>
    <sheetView topLeftCell="A17" zoomScaleNormal="100" workbookViewId="0">
      <selection activeCell="Q46" sqref="Q46"/>
    </sheetView>
  </sheetViews>
  <sheetFormatPr defaultColWidth="8.86328125" defaultRowHeight="14.75" x14ac:dyDescent="0.75"/>
  <cols>
    <col min="1" max="1" width="9" style="79" customWidth="1"/>
    <col min="2" max="2" width="33.453125" style="79" customWidth="1"/>
    <col min="3" max="3" width="15.6328125" style="79" hidden="1" customWidth="1"/>
    <col min="4" max="13" width="8.86328125" style="79"/>
    <col min="14" max="14" width="9.453125" style="79" customWidth="1"/>
    <col min="15" max="17" width="8.86328125" style="79"/>
    <col min="18" max="18" width="10.6328125" style="80" customWidth="1"/>
    <col min="19" max="19" width="9.1328125" style="79" hidden="1" customWidth="1"/>
    <col min="20" max="16384" width="8.86328125" style="79"/>
  </cols>
  <sheetData>
    <row r="1" spans="1:19" ht="15" customHeight="1" x14ac:dyDescent="0.75">
      <c r="A1" s="5" t="s">
        <v>191</v>
      </c>
      <c r="B1" s="5"/>
      <c r="C1" s="5"/>
      <c r="D1" s="5"/>
      <c r="E1" s="5"/>
      <c r="F1" s="81"/>
      <c r="G1" s="81"/>
      <c r="H1" s="81"/>
      <c r="I1" s="81"/>
      <c r="J1" s="81"/>
      <c r="K1" s="81"/>
      <c r="L1" s="81"/>
      <c r="M1" s="81"/>
      <c r="N1" s="81"/>
      <c r="O1" s="81"/>
      <c r="P1" s="82"/>
      <c r="Q1" s="80" t="s">
        <v>160</v>
      </c>
    </row>
    <row r="2" spans="1:19" ht="41.25" customHeight="1" x14ac:dyDescent="0.75">
      <c r="A2" s="83"/>
      <c r="B2" s="84" t="s">
        <v>56</v>
      </c>
      <c r="C2" s="85" t="s">
        <v>55</v>
      </c>
      <c r="D2" s="86" t="s">
        <v>116</v>
      </c>
      <c r="E2" s="87" t="s">
        <v>161</v>
      </c>
      <c r="F2" s="88" t="s">
        <v>162</v>
      </c>
      <c r="G2" s="86" t="s">
        <v>163</v>
      </c>
      <c r="H2" s="87" t="s">
        <v>164</v>
      </c>
      <c r="I2" s="86" t="s">
        <v>165</v>
      </c>
      <c r="J2" s="86" t="s">
        <v>166</v>
      </c>
      <c r="K2" s="89" t="s">
        <v>167</v>
      </c>
      <c r="L2" s="88" t="s">
        <v>162</v>
      </c>
      <c r="M2" s="86" t="s">
        <v>163</v>
      </c>
      <c r="N2" s="87" t="s">
        <v>164</v>
      </c>
      <c r="O2" s="86" t="s">
        <v>165</v>
      </c>
      <c r="P2" s="90" t="s">
        <v>166</v>
      </c>
      <c r="Q2" s="91"/>
      <c r="R2" s="92" t="s">
        <v>168</v>
      </c>
    </row>
    <row r="3" spans="1:19" ht="14.25" customHeight="1" x14ac:dyDescent="0.75">
      <c r="A3" s="93">
        <v>666501</v>
      </c>
      <c r="B3" s="94" t="s">
        <v>4</v>
      </c>
      <c r="C3" s="95" t="s">
        <v>5</v>
      </c>
      <c r="D3" s="96">
        <v>72</v>
      </c>
      <c r="E3" s="97">
        <f t="shared" ref="E3:E23" si="0">+D3/6</f>
        <v>12</v>
      </c>
      <c r="F3" s="96">
        <v>0</v>
      </c>
      <c r="G3" s="98">
        <v>6</v>
      </c>
      <c r="H3" s="96">
        <v>9</v>
      </c>
      <c r="I3" s="96">
        <v>3</v>
      </c>
      <c r="J3" s="96">
        <v>0</v>
      </c>
      <c r="K3" s="99">
        <f t="shared" ref="K3:K23" si="1">(+D3-SUM(F3:J3))/3.5</f>
        <v>15.428571428571429</v>
      </c>
      <c r="L3" s="96">
        <v>0</v>
      </c>
      <c r="M3" s="96">
        <v>0</v>
      </c>
      <c r="N3" s="96">
        <v>45</v>
      </c>
      <c r="O3" s="96">
        <v>9</v>
      </c>
      <c r="P3" s="100">
        <v>0</v>
      </c>
      <c r="Q3" s="101">
        <f t="shared" ref="Q3:Q23" si="2">SUM(F3:J3)+SUM(L3:P3)</f>
        <v>72</v>
      </c>
      <c r="R3" s="101">
        <f t="shared" ref="R3:R23" si="3">+D3-Q3</f>
        <v>0</v>
      </c>
      <c r="S3" s="102">
        <f>+R3/2.25</f>
        <v>0</v>
      </c>
    </row>
    <row r="4" spans="1:19" ht="14.25" customHeight="1" x14ac:dyDescent="0.75">
      <c r="A4" s="93">
        <v>666502</v>
      </c>
      <c r="B4" s="94" t="s">
        <v>6</v>
      </c>
      <c r="C4" s="95" t="s">
        <v>7</v>
      </c>
      <c r="D4" s="96">
        <v>0</v>
      </c>
      <c r="E4" s="97">
        <f t="shared" si="0"/>
        <v>0</v>
      </c>
      <c r="F4" s="96">
        <v>0</v>
      </c>
      <c r="G4" s="98">
        <v>0</v>
      </c>
      <c r="H4" s="96">
        <v>0</v>
      </c>
      <c r="I4" s="96">
        <v>0</v>
      </c>
      <c r="J4" s="96">
        <v>0</v>
      </c>
      <c r="K4" s="99">
        <f t="shared" si="1"/>
        <v>0</v>
      </c>
      <c r="L4" s="96">
        <v>0</v>
      </c>
      <c r="M4" s="96">
        <v>0</v>
      </c>
      <c r="N4" s="96">
        <v>0</v>
      </c>
      <c r="O4" s="96">
        <v>0</v>
      </c>
      <c r="P4" s="100">
        <v>0</v>
      </c>
      <c r="Q4" s="101">
        <f t="shared" si="2"/>
        <v>0</v>
      </c>
      <c r="R4" s="101">
        <f t="shared" si="3"/>
        <v>0</v>
      </c>
      <c r="S4" s="102">
        <f>+R4/2.25</f>
        <v>0</v>
      </c>
    </row>
    <row r="5" spans="1:19" ht="14.25" customHeight="1" x14ac:dyDescent="0.75">
      <c r="A5" s="93">
        <v>666505</v>
      </c>
      <c r="B5" s="94" t="s">
        <v>8</v>
      </c>
      <c r="C5" s="95" t="s">
        <v>9</v>
      </c>
      <c r="D5" s="96">
        <v>19</v>
      </c>
      <c r="E5" s="97">
        <f t="shared" si="0"/>
        <v>3.1666666666666665</v>
      </c>
      <c r="F5" s="96">
        <v>0</v>
      </c>
      <c r="G5" s="98">
        <v>19</v>
      </c>
      <c r="H5" s="96">
        <v>0</v>
      </c>
      <c r="I5" s="96">
        <v>0</v>
      </c>
      <c r="J5" s="96">
        <v>0</v>
      </c>
      <c r="K5" s="99">
        <f t="shared" si="1"/>
        <v>0</v>
      </c>
      <c r="L5" s="96">
        <v>0</v>
      </c>
      <c r="M5" s="96">
        <v>0</v>
      </c>
      <c r="N5" s="96">
        <v>0</v>
      </c>
      <c r="O5" s="96">
        <v>0</v>
      </c>
      <c r="P5" s="100">
        <v>0</v>
      </c>
      <c r="Q5" s="133">
        <f t="shared" si="2"/>
        <v>19</v>
      </c>
      <c r="R5" s="101">
        <f t="shared" si="3"/>
        <v>0</v>
      </c>
      <c r="S5" s="102">
        <f>+R5/2.25</f>
        <v>0</v>
      </c>
    </row>
    <row r="6" spans="1:19" ht="14.25" customHeight="1" x14ac:dyDescent="0.75">
      <c r="A6" s="93">
        <v>666506</v>
      </c>
      <c r="B6" s="94" t="s">
        <v>10</v>
      </c>
      <c r="C6" s="95" t="s">
        <v>11</v>
      </c>
      <c r="D6" s="96">
        <v>0</v>
      </c>
      <c r="E6" s="97">
        <f t="shared" si="0"/>
        <v>0</v>
      </c>
      <c r="F6" s="96">
        <v>0</v>
      </c>
      <c r="G6" s="98">
        <v>0</v>
      </c>
      <c r="H6" s="96">
        <v>0</v>
      </c>
      <c r="I6" s="96">
        <v>0</v>
      </c>
      <c r="J6" s="96">
        <v>0</v>
      </c>
      <c r="K6" s="99">
        <f t="shared" si="1"/>
        <v>0</v>
      </c>
      <c r="L6" s="96">
        <v>0</v>
      </c>
      <c r="M6" s="96">
        <v>0</v>
      </c>
      <c r="N6" s="96">
        <v>0</v>
      </c>
      <c r="O6" s="96">
        <v>0</v>
      </c>
      <c r="P6" s="100">
        <v>0</v>
      </c>
      <c r="Q6" s="101">
        <f t="shared" si="2"/>
        <v>0</v>
      </c>
      <c r="R6" s="101">
        <f t="shared" si="3"/>
        <v>0</v>
      </c>
      <c r="S6" s="102">
        <f>+R6/2.25</f>
        <v>0</v>
      </c>
    </row>
    <row r="7" spans="1:19" ht="14.25" customHeight="1" x14ac:dyDescent="0.75">
      <c r="A7" s="93">
        <v>666507</v>
      </c>
      <c r="B7" s="94" t="s">
        <v>12</v>
      </c>
      <c r="C7" s="95" t="s">
        <v>13</v>
      </c>
      <c r="D7" s="96">
        <v>16</v>
      </c>
      <c r="E7" s="97">
        <f t="shared" si="0"/>
        <v>2.6666666666666665</v>
      </c>
      <c r="F7" s="96">
        <v>0</v>
      </c>
      <c r="G7" s="98">
        <v>0</v>
      </c>
      <c r="H7" s="96">
        <v>0</v>
      </c>
      <c r="I7" s="96">
        <v>0</v>
      </c>
      <c r="J7" s="96">
        <v>0</v>
      </c>
      <c r="K7" s="99">
        <f t="shared" si="1"/>
        <v>4.5714285714285712</v>
      </c>
      <c r="L7" s="96">
        <v>0</v>
      </c>
      <c r="M7" s="96">
        <v>0</v>
      </c>
      <c r="N7" s="96">
        <v>10</v>
      </c>
      <c r="O7" s="96">
        <v>0</v>
      </c>
      <c r="P7" s="100">
        <v>6</v>
      </c>
      <c r="Q7" s="133">
        <f t="shared" si="2"/>
        <v>16</v>
      </c>
      <c r="R7" s="101">
        <f t="shared" si="3"/>
        <v>0</v>
      </c>
      <c r="S7" s="102">
        <f>+R7/2.25</f>
        <v>0</v>
      </c>
    </row>
    <row r="8" spans="1:19" ht="14.25" customHeight="1" x14ac:dyDescent="0.75">
      <c r="A8" s="93">
        <v>666509</v>
      </c>
      <c r="B8" s="94" t="s">
        <v>14</v>
      </c>
      <c r="C8" s="95" t="s">
        <v>15</v>
      </c>
      <c r="D8" s="96">
        <v>68</v>
      </c>
      <c r="E8" s="97">
        <f t="shared" si="0"/>
        <v>11.333333333333334</v>
      </c>
      <c r="F8" s="96">
        <v>0</v>
      </c>
      <c r="G8" s="98">
        <v>10</v>
      </c>
      <c r="H8" s="96">
        <v>10</v>
      </c>
      <c r="I8" s="96">
        <v>15</v>
      </c>
      <c r="J8" s="96">
        <v>0</v>
      </c>
      <c r="K8" s="99">
        <f t="shared" si="1"/>
        <v>9.4285714285714288</v>
      </c>
      <c r="L8" s="96">
        <v>10</v>
      </c>
      <c r="M8" s="96">
        <v>0</v>
      </c>
      <c r="N8" s="96">
        <v>10</v>
      </c>
      <c r="O8" s="96">
        <v>13</v>
      </c>
      <c r="P8" s="100">
        <v>0</v>
      </c>
      <c r="Q8" s="101">
        <f t="shared" si="2"/>
        <v>68</v>
      </c>
      <c r="R8" s="101">
        <f t="shared" si="3"/>
        <v>0</v>
      </c>
      <c r="S8" s="102">
        <f>+R8/2</f>
        <v>0</v>
      </c>
    </row>
    <row r="9" spans="1:19" ht="14.25" customHeight="1" x14ac:dyDescent="0.75">
      <c r="A9" s="93">
        <v>666510</v>
      </c>
      <c r="B9" s="94" t="s">
        <v>16</v>
      </c>
      <c r="C9" s="95" t="s">
        <v>169</v>
      </c>
      <c r="D9" s="96">
        <v>0</v>
      </c>
      <c r="E9" s="97">
        <f t="shared" si="0"/>
        <v>0</v>
      </c>
      <c r="F9" s="96">
        <v>0</v>
      </c>
      <c r="G9" s="98">
        <v>0</v>
      </c>
      <c r="H9" s="96">
        <v>0</v>
      </c>
      <c r="I9" s="96">
        <v>0</v>
      </c>
      <c r="J9" s="96">
        <v>0</v>
      </c>
      <c r="K9" s="99">
        <f t="shared" si="1"/>
        <v>0</v>
      </c>
      <c r="L9" s="96">
        <v>0</v>
      </c>
      <c r="M9" s="96">
        <v>0</v>
      </c>
      <c r="N9" s="96">
        <v>0</v>
      </c>
      <c r="O9" s="96">
        <v>0</v>
      </c>
      <c r="P9" s="100">
        <v>0</v>
      </c>
      <c r="Q9" s="101">
        <f t="shared" si="2"/>
        <v>0</v>
      </c>
      <c r="R9" s="101">
        <f t="shared" si="3"/>
        <v>0</v>
      </c>
      <c r="S9" s="102">
        <f t="shared" ref="S9:S19" si="4">+R9/2.25</f>
        <v>0</v>
      </c>
    </row>
    <row r="10" spans="1:19" ht="14.25" customHeight="1" x14ac:dyDescent="0.75">
      <c r="A10" s="93">
        <v>666511</v>
      </c>
      <c r="B10" s="94" t="s">
        <v>18</v>
      </c>
      <c r="C10" s="95" t="s">
        <v>19</v>
      </c>
      <c r="D10" s="96">
        <v>6</v>
      </c>
      <c r="E10" s="97">
        <f t="shared" si="0"/>
        <v>1</v>
      </c>
      <c r="F10" s="96">
        <v>0</v>
      </c>
      <c r="G10" s="98">
        <v>0</v>
      </c>
      <c r="H10" s="96">
        <v>0</v>
      </c>
      <c r="I10" s="96">
        <v>0</v>
      </c>
      <c r="J10" s="96">
        <v>0</v>
      </c>
      <c r="K10" s="99">
        <f t="shared" si="1"/>
        <v>1.7142857142857142</v>
      </c>
      <c r="L10" s="96">
        <v>0</v>
      </c>
      <c r="M10" s="96">
        <v>0</v>
      </c>
      <c r="N10" s="96">
        <v>6</v>
      </c>
      <c r="O10" s="96">
        <v>0</v>
      </c>
      <c r="P10" s="100">
        <v>0</v>
      </c>
      <c r="Q10" s="133">
        <f t="shared" si="2"/>
        <v>6</v>
      </c>
      <c r="R10" s="101">
        <f t="shared" si="3"/>
        <v>0</v>
      </c>
      <c r="S10" s="102">
        <f t="shared" si="4"/>
        <v>0</v>
      </c>
    </row>
    <row r="11" spans="1:19" ht="14.25" customHeight="1" x14ac:dyDescent="0.75">
      <c r="A11" s="93">
        <v>666513</v>
      </c>
      <c r="B11" s="94" t="s">
        <v>20</v>
      </c>
      <c r="C11" s="95" t="s">
        <v>21</v>
      </c>
      <c r="D11" s="96">
        <v>6</v>
      </c>
      <c r="E11" s="97">
        <f t="shared" si="0"/>
        <v>1</v>
      </c>
      <c r="F11" s="96">
        <v>0</v>
      </c>
      <c r="G11" s="98">
        <v>6</v>
      </c>
      <c r="H11" s="96">
        <v>0</v>
      </c>
      <c r="I11" s="96">
        <v>0</v>
      </c>
      <c r="J11" s="96">
        <v>0</v>
      </c>
      <c r="K11" s="99">
        <f t="shared" si="1"/>
        <v>0</v>
      </c>
      <c r="L11" s="96">
        <v>0</v>
      </c>
      <c r="M11" s="96">
        <v>0</v>
      </c>
      <c r="N11" s="96">
        <v>0</v>
      </c>
      <c r="O11" s="96">
        <v>0</v>
      </c>
      <c r="P11" s="100">
        <v>0</v>
      </c>
      <c r="Q11" s="133">
        <f t="shared" si="2"/>
        <v>6</v>
      </c>
      <c r="R11" s="101">
        <f t="shared" si="3"/>
        <v>0</v>
      </c>
      <c r="S11" s="102">
        <f t="shared" si="4"/>
        <v>0</v>
      </c>
    </row>
    <row r="12" spans="1:19" ht="14.25" customHeight="1" x14ac:dyDescent="0.75">
      <c r="A12" s="93">
        <v>666516</v>
      </c>
      <c r="B12" s="94" t="s">
        <v>22</v>
      </c>
      <c r="C12" s="95" t="s">
        <v>23</v>
      </c>
      <c r="D12" s="96">
        <v>31</v>
      </c>
      <c r="E12" s="97">
        <f t="shared" si="0"/>
        <v>5.166666666666667</v>
      </c>
      <c r="F12" s="96">
        <v>0</v>
      </c>
      <c r="G12" s="98">
        <v>19</v>
      </c>
      <c r="H12" s="96">
        <v>12</v>
      </c>
      <c r="I12" s="96">
        <v>0</v>
      </c>
      <c r="J12" s="96">
        <v>0</v>
      </c>
      <c r="K12" s="99">
        <f t="shared" si="1"/>
        <v>0</v>
      </c>
      <c r="L12" s="96">
        <v>0</v>
      </c>
      <c r="M12" s="96">
        <v>0</v>
      </c>
      <c r="N12" s="96">
        <v>0</v>
      </c>
      <c r="O12" s="96">
        <v>0</v>
      </c>
      <c r="P12" s="100">
        <v>0</v>
      </c>
      <c r="Q12" s="133">
        <f t="shared" si="2"/>
        <v>31</v>
      </c>
      <c r="R12" s="101">
        <f t="shared" si="3"/>
        <v>0</v>
      </c>
      <c r="S12" s="102">
        <f t="shared" si="4"/>
        <v>0</v>
      </c>
    </row>
    <row r="13" spans="1:19" ht="14.25" customHeight="1" x14ac:dyDescent="0.75">
      <c r="A13" s="93">
        <v>666517</v>
      </c>
      <c r="B13" s="94" t="s">
        <v>24</v>
      </c>
      <c r="C13" s="95" t="s">
        <v>25</v>
      </c>
      <c r="D13" s="96">
        <v>39</v>
      </c>
      <c r="E13" s="97">
        <f t="shared" si="0"/>
        <v>6.5</v>
      </c>
      <c r="F13" s="96">
        <v>0</v>
      </c>
      <c r="G13" s="98">
        <v>17</v>
      </c>
      <c r="H13" s="96">
        <v>22</v>
      </c>
      <c r="I13" s="96">
        <v>0</v>
      </c>
      <c r="J13" s="96">
        <v>0</v>
      </c>
      <c r="K13" s="99">
        <f t="shared" si="1"/>
        <v>0</v>
      </c>
      <c r="L13" s="96">
        <v>0</v>
      </c>
      <c r="M13" s="96">
        <v>0</v>
      </c>
      <c r="N13" s="96">
        <v>0</v>
      </c>
      <c r="O13" s="96">
        <v>0</v>
      </c>
      <c r="P13" s="100">
        <v>0</v>
      </c>
      <c r="Q13" s="133">
        <f t="shared" si="2"/>
        <v>39</v>
      </c>
      <c r="R13" s="101">
        <f t="shared" si="3"/>
        <v>0</v>
      </c>
      <c r="S13" s="102">
        <f t="shared" si="4"/>
        <v>0</v>
      </c>
    </row>
    <row r="14" spans="1:19" ht="14.25" customHeight="1" x14ac:dyDescent="0.75">
      <c r="A14" s="93">
        <v>666518</v>
      </c>
      <c r="B14" s="94" t="s">
        <v>26</v>
      </c>
      <c r="C14" s="95" t="s">
        <v>27</v>
      </c>
      <c r="D14" s="96">
        <v>0</v>
      </c>
      <c r="E14" s="97">
        <f t="shared" si="0"/>
        <v>0</v>
      </c>
      <c r="F14" s="96">
        <v>0</v>
      </c>
      <c r="G14" s="98">
        <v>0</v>
      </c>
      <c r="H14" s="96">
        <v>0</v>
      </c>
      <c r="I14" s="96">
        <v>0</v>
      </c>
      <c r="J14" s="96">
        <v>0</v>
      </c>
      <c r="K14" s="99">
        <f t="shared" si="1"/>
        <v>0</v>
      </c>
      <c r="L14" s="96">
        <v>0</v>
      </c>
      <c r="M14" s="96">
        <v>0</v>
      </c>
      <c r="N14" s="96">
        <v>0</v>
      </c>
      <c r="O14" s="96">
        <v>0</v>
      </c>
      <c r="P14" s="100">
        <v>0</v>
      </c>
      <c r="Q14" s="101">
        <f t="shared" si="2"/>
        <v>0</v>
      </c>
      <c r="R14" s="101">
        <f t="shared" si="3"/>
        <v>0</v>
      </c>
      <c r="S14" s="102">
        <f t="shared" si="4"/>
        <v>0</v>
      </c>
    </row>
    <row r="15" spans="1:19" ht="14.25" customHeight="1" x14ac:dyDescent="0.75">
      <c r="A15" s="93">
        <v>666519</v>
      </c>
      <c r="B15" s="94" t="s">
        <v>28</v>
      </c>
      <c r="C15" s="95" t="s">
        <v>29</v>
      </c>
      <c r="D15" s="96">
        <v>26</v>
      </c>
      <c r="E15" s="97">
        <f t="shared" si="0"/>
        <v>4.333333333333333</v>
      </c>
      <c r="F15" s="96">
        <v>0</v>
      </c>
      <c r="G15" s="98">
        <v>26</v>
      </c>
      <c r="H15" s="96">
        <v>0</v>
      </c>
      <c r="I15" s="96">
        <v>0</v>
      </c>
      <c r="J15" s="96">
        <v>0</v>
      </c>
      <c r="K15" s="99">
        <f t="shared" si="1"/>
        <v>0</v>
      </c>
      <c r="L15" s="96">
        <v>0</v>
      </c>
      <c r="M15" s="96">
        <v>0</v>
      </c>
      <c r="N15" s="96">
        <v>0</v>
      </c>
      <c r="O15" s="96">
        <v>0</v>
      </c>
      <c r="P15" s="100">
        <v>0</v>
      </c>
      <c r="Q15" s="133">
        <f t="shared" si="2"/>
        <v>26</v>
      </c>
      <c r="R15" s="101">
        <f t="shared" si="3"/>
        <v>0</v>
      </c>
      <c r="S15" s="102">
        <f t="shared" si="4"/>
        <v>0</v>
      </c>
    </row>
    <row r="16" spans="1:19" ht="14.25" customHeight="1" x14ac:dyDescent="0.75">
      <c r="A16" s="93">
        <v>666521</v>
      </c>
      <c r="B16" s="94" t="s">
        <v>30</v>
      </c>
      <c r="C16" s="95" t="s">
        <v>31</v>
      </c>
      <c r="D16" s="96">
        <v>120</v>
      </c>
      <c r="E16" s="97">
        <f t="shared" si="0"/>
        <v>20</v>
      </c>
      <c r="F16" s="96">
        <v>0</v>
      </c>
      <c r="G16" s="98">
        <v>10</v>
      </c>
      <c r="H16" s="96">
        <v>17</v>
      </c>
      <c r="I16" s="96">
        <v>17</v>
      </c>
      <c r="J16" s="96">
        <v>9</v>
      </c>
      <c r="K16" s="99">
        <f t="shared" si="1"/>
        <v>19.142857142857142</v>
      </c>
      <c r="L16" s="96">
        <v>14</v>
      </c>
      <c r="M16" s="96">
        <v>0</v>
      </c>
      <c r="N16" s="96">
        <v>5</v>
      </c>
      <c r="O16" s="96">
        <v>1</v>
      </c>
      <c r="P16" s="100">
        <v>1</v>
      </c>
      <c r="Q16" s="101">
        <f t="shared" si="2"/>
        <v>74</v>
      </c>
      <c r="R16" s="101">
        <f t="shared" si="3"/>
        <v>46</v>
      </c>
      <c r="S16" s="102">
        <f t="shared" si="4"/>
        <v>20.444444444444443</v>
      </c>
    </row>
    <row r="17" spans="1:19" ht="14.25" customHeight="1" x14ac:dyDescent="0.75">
      <c r="A17" s="93">
        <v>666522</v>
      </c>
      <c r="B17" s="94" t="s">
        <v>32</v>
      </c>
      <c r="C17" s="95" t="s">
        <v>33</v>
      </c>
      <c r="D17" s="96">
        <v>190</v>
      </c>
      <c r="E17" s="97">
        <f t="shared" si="0"/>
        <v>31.666666666666668</v>
      </c>
      <c r="F17" s="96">
        <v>0</v>
      </c>
      <c r="G17" s="98">
        <v>45</v>
      </c>
      <c r="H17" s="96">
        <v>35</v>
      </c>
      <c r="I17" s="96">
        <v>30</v>
      </c>
      <c r="J17" s="96">
        <v>10</v>
      </c>
      <c r="K17" s="99">
        <f t="shared" si="1"/>
        <v>20</v>
      </c>
      <c r="L17" s="96">
        <v>20</v>
      </c>
      <c r="M17" s="96">
        <v>0</v>
      </c>
      <c r="N17" s="96">
        <v>50</v>
      </c>
      <c r="O17" s="96">
        <v>0</v>
      </c>
      <c r="P17" s="100">
        <v>0</v>
      </c>
      <c r="Q17" s="133">
        <f t="shared" si="2"/>
        <v>190</v>
      </c>
      <c r="R17" s="101">
        <f t="shared" si="3"/>
        <v>0</v>
      </c>
      <c r="S17" s="102">
        <f t="shared" si="4"/>
        <v>0</v>
      </c>
    </row>
    <row r="18" spans="1:19" ht="14.25" customHeight="1" x14ac:dyDescent="0.75">
      <c r="A18" s="93">
        <v>666523</v>
      </c>
      <c r="B18" s="94" t="s">
        <v>34</v>
      </c>
      <c r="C18" s="95" t="s">
        <v>35</v>
      </c>
      <c r="D18" s="96">
        <v>0</v>
      </c>
      <c r="E18" s="97">
        <f t="shared" si="0"/>
        <v>0</v>
      </c>
      <c r="F18" s="96">
        <v>0</v>
      </c>
      <c r="G18" s="98">
        <v>0</v>
      </c>
      <c r="H18" s="96">
        <v>0</v>
      </c>
      <c r="I18" s="96">
        <v>0</v>
      </c>
      <c r="J18" s="96">
        <v>0</v>
      </c>
      <c r="K18" s="99">
        <f t="shared" si="1"/>
        <v>0</v>
      </c>
      <c r="L18" s="96">
        <v>0</v>
      </c>
      <c r="M18" s="96">
        <v>0</v>
      </c>
      <c r="N18" s="96">
        <v>0</v>
      </c>
      <c r="O18" s="96">
        <v>0</v>
      </c>
      <c r="P18" s="100">
        <v>0</v>
      </c>
      <c r="Q18" s="101">
        <f t="shared" si="2"/>
        <v>0</v>
      </c>
      <c r="R18" s="101">
        <f t="shared" si="3"/>
        <v>0</v>
      </c>
      <c r="S18" s="102">
        <f t="shared" si="4"/>
        <v>0</v>
      </c>
    </row>
    <row r="19" spans="1:19" ht="14.25" customHeight="1" x14ac:dyDescent="0.75">
      <c r="A19" s="93">
        <v>666530</v>
      </c>
      <c r="B19" s="94" t="s">
        <v>36</v>
      </c>
      <c r="C19" s="95" t="s">
        <v>37</v>
      </c>
      <c r="D19" s="96">
        <v>0</v>
      </c>
      <c r="E19" s="97">
        <f t="shared" si="0"/>
        <v>0</v>
      </c>
      <c r="F19" s="96">
        <v>0</v>
      </c>
      <c r="G19" s="98">
        <v>0</v>
      </c>
      <c r="H19" s="96">
        <v>0</v>
      </c>
      <c r="I19" s="96">
        <v>0</v>
      </c>
      <c r="J19" s="96">
        <v>0</v>
      </c>
      <c r="K19" s="99">
        <f t="shared" si="1"/>
        <v>0</v>
      </c>
      <c r="L19" s="96">
        <v>0</v>
      </c>
      <c r="M19" s="96">
        <v>0</v>
      </c>
      <c r="N19" s="96">
        <v>0</v>
      </c>
      <c r="O19" s="96">
        <v>0</v>
      </c>
      <c r="P19" s="100">
        <v>0</v>
      </c>
      <c r="Q19" s="133">
        <f t="shared" si="2"/>
        <v>0</v>
      </c>
      <c r="R19" s="101">
        <f t="shared" si="3"/>
        <v>0</v>
      </c>
      <c r="S19" s="102">
        <f t="shared" si="4"/>
        <v>0</v>
      </c>
    </row>
    <row r="20" spans="1:19" ht="14.25" customHeight="1" x14ac:dyDescent="0.75">
      <c r="A20" s="93">
        <v>666531</v>
      </c>
      <c r="B20" s="94" t="s">
        <v>38</v>
      </c>
      <c r="C20" s="95" t="s">
        <v>39</v>
      </c>
      <c r="D20" s="96">
        <v>20</v>
      </c>
      <c r="E20" s="97">
        <f t="shared" si="0"/>
        <v>3.3333333333333335</v>
      </c>
      <c r="F20" s="96">
        <v>0</v>
      </c>
      <c r="G20" s="98">
        <v>12</v>
      </c>
      <c r="H20" s="96">
        <v>8</v>
      </c>
      <c r="I20" s="96">
        <v>0</v>
      </c>
      <c r="J20" s="96">
        <v>0</v>
      </c>
      <c r="K20" s="99">
        <f t="shared" si="1"/>
        <v>0</v>
      </c>
      <c r="L20" s="96">
        <v>0</v>
      </c>
      <c r="M20" s="96">
        <v>0</v>
      </c>
      <c r="N20" s="96">
        <v>0</v>
      </c>
      <c r="O20" s="96">
        <v>0</v>
      </c>
      <c r="P20" s="100">
        <v>0</v>
      </c>
      <c r="Q20" s="133">
        <f t="shared" si="2"/>
        <v>20</v>
      </c>
      <c r="R20" s="101">
        <f t="shared" si="3"/>
        <v>0</v>
      </c>
      <c r="S20" s="102"/>
    </row>
    <row r="21" spans="1:19" ht="14.25" customHeight="1" x14ac:dyDescent="0.75">
      <c r="A21" s="93">
        <v>666540</v>
      </c>
      <c r="B21" s="94" t="s">
        <v>40</v>
      </c>
      <c r="C21" s="95" t="s">
        <v>40</v>
      </c>
      <c r="D21" s="96">
        <v>0</v>
      </c>
      <c r="E21" s="97">
        <f t="shared" si="0"/>
        <v>0</v>
      </c>
      <c r="F21" s="96">
        <v>0</v>
      </c>
      <c r="G21" s="98">
        <v>0</v>
      </c>
      <c r="H21" s="96">
        <v>0</v>
      </c>
      <c r="I21" s="96">
        <v>0</v>
      </c>
      <c r="J21" s="96">
        <v>0</v>
      </c>
      <c r="K21" s="99">
        <f t="shared" si="1"/>
        <v>0</v>
      </c>
      <c r="L21" s="96">
        <v>0</v>
      </c>
      <c r="M21" s="96">
        <v>0</v>
      </c>
      <c r="N21" s="96">
        <v>0</v>
      </c>
      <c r="O21" s="96">
        <v>0</v>
      </c>
      <c r="P21" s="100">
        <v>0</v>
      </c>
      <c r="Q21" s="101">
        <f t="shared" si="2"/>
        <v>0</v>
      </c>
      <c r="R21" s="101">
        <f t="shared" si="3"/>
        <v>0</v>
      </c>
      <c r="S21" s="102"/>
    </row>
    <row r="22" spans="1:19" ht="15" customHeight="1" x14ac:dyDescent="0.75">
      <c r="A22" s="93">
        <v>666541</v>
      </c>
      <c r="B22" s="94" t="s">
        <v>41</v>
      </c>
      <c r="C22" s="103" t="s">
        <v>41</v>
      </c>
      <c r="D22" s="96">
        <v>0</v>
      </c>
      <c r="E22" s="97">
        <f t="shared" si="0"/>
        <v>0</v>
      </c>
      <c r="F22" s="104">
        <v>0</v>
      </c>
      <c r="G22" s="105">
        <v>0</v>
      </c>
      <c r="H22" s="104">
        <v>0</v>
      </c>
      <c r="I22" s="104">
        <v>0</v>
      </c>
      <c r="J22" s="104">
        <v>0</v>
      </c>
      <c r="K22" s="106">
        <f t="shared" si="1"/>
        <v>0</v>
      </c>
      <c r="L22" s="96">
        <v>0</v>
      </c>
      <c r="M22" s="96">
        <v>0</v>
      </c>
      <c r="N22" s="96">
        <v>0</v>
      </c>
      <c r="O22" s="96">
        <v>0</v>
      </c>
      <c r="P22" s="100">
        <v>0</v>
      </c>
      <c r="Q22" s="101">
        <f t="shared" si="2"/>
        <v>0</v>
      </c>
      <c r="R22" s="101">
        <f t="shared" si="3"/>
        <v>0</v>
      </c>
      <c r="S22" s="102"/>
    </row>
    <row r="23" spans="1:19" s="50" customFormat="1" ht="15" customHeight="1" x14ac:dyDescent="0.75">
      <c r="A23" s="108">
        <v>666536</v>
      </c>
      <c r="B23" s="109" t="s">
        <v>42</v>
      </c>
      <c r="C23" s="110"/>
      <c r="D23" s="104">
        <v>28</v>
      </c>
      <c r="E23" s="111">
        <f t="shared" si="0"/>
        <v>4.666666666666667</v>
      </c>
      <c r="F23" s="104">
        <v>0</v>
      </c>
      <c r="G23" s="105">
        <v>0</v>
      </c>
      <c r="H23" s="104">
        <v>3</v>
      </c>
      <c r="I23" s="104">
        <v>3</v>
      </c>
      <c r="J23" s="104">
        <v>5</v>
      </c>
      <c r="K23" s="106">
        <f t="shared" si="1"/>
        <v>4.8571428571428568</v>
      </c>
      <c r="L23" s="104">
        <v>0</v>
      </c>
      <c r="M23" s="104">
        <v>0</v>
      </c>
      <c r="N23" s="104">
        <v>0</v>
      </c>
      <c r="O23" s="104">
        <v>1</v>
      </c>
      <c r="P23" s="107">
        <v>0</v>
      </c>
      <c r="Q23" s="101">
        <f t="shared" si="2"/>
        <v>12</v>
      </c>
      <c r="R23" s="101">
        <f t="shared" si="3"/>
        <v>16</v>
      </c>
    </row>
    <row r="24" spans="1:19" s="50" customFormat="1" ht="15" customHeight="1" x14ac:dyDescent="0.75">
      <c r="A24" s="112"/>
      <c r="B24" s="113"/>
      <c r="D24" s="101"/>
      <c r="E24" s="114"/>
    </row>
    <row r="25" spans="1:19" ht="15" customHeight="1" x14ac:dyDescent="0.75">
      <c r="A25" s="4" t="str">
        <f>+A1</f>
        <v>Weeks of 04/06/26 &amp; 04/13/26</v>
      </c>
      <c r="B25" s="4"/>
      <c r="C25" s="4"/>
      <c r="D25" s="4"/>
      <c r="E25" s="4"/>
      <c r="F25" s="115"/>
      <c r="G25" s="115"/>
      <c r="H25" s="115"/>
      <c r="I25" s="115"/>
      <c r="J25" s="116"/>
      <c r="K25" s="116"/>
      <c r="L25" s="116"/>
      <c r="M25" s="116"/>
      <c r="N25" s="116"/>
      <c r="O25" s="116"/>
      <c r="P25" s="117"/>
      <c r="Q25" s="101"/>
      <c r="R25" s="101"/>
    </row>
    <row r="26" spans="1:19" ht="42" customHeight="1" x14ac:dyDescent="0.75">
      <c r="A26" s="118"/>
      <c r="B26" s="119" t="s">
        <v>170</v>
      </c>
      <c r="C26" s="120" t="s">
        <v>65</v>
      </c>
      <c r="D26" s="121" t="s">
        <v>119</v>
      </c>
      <c r="E26" s="122" t="s">
        <v>171</v>
      </c>
      <c r="F26" s="88" t="s">
        <v>162</v>
      </c>
      <c r="G26" s="86" t="s">
        <v>163</v>
      </c>
      <c r="H26" s="87" t="s">
        <v>172</v>
      </c>
      <c r="I26" s="86" t="s">
        <v>165</v>
      </c>
      <c r="J26" s="123" t="s">
        <v>166</v>
      </c>
      <c r="K26" s="124" t="str">
        <f>+K2</f>
        <v>2nd wk daily goals</v>
      </c>
      <c r="L26" s="125" t="s">
        <v>162</v>
      </c>
      <c r="M26" s="86" t="s">
        <v>163</v>
      </c>
      <c r="N26" s="126" t="s">
        <v>172</v>
      </c>
      <c r="O26" s="86" t="s">
        <v>165</v>
      </c>
      <c r="P26" s="90" t="s">
        <v>166</v>
      </c>
      <c r="Q26" s="101"/>
      <c r="R26" s="92" t="s">
        <v>168</v>
      </c>
    </row>
    <row r="27" spans="1:19" ht="15" customHeight="1" x14ac:dyDescent="0.75">
      <c r="A27" s="93">
        <v>666501</v>
      </c>
      <c r="B27" s="94" t="s">
        <v>4</v>
      </c>
      <c r="C27" s="127" t="s">
        <v>5</v>
      </c>
      <c r="D27" s="128">
        <v>666</v>
      </c>
      <c r="E27" s="129">
        <f t="shared" ref="E27:E47" si="5">+D27/7</f>
        <v>95.142857142857139</v>
      </c>
      <c r="F27" s="96">
        <v>0</v>
      </c>
      <c r="G27" s="96">
        <v>87</v>
      </c>
      <c r="H27" s="96">
        <v>96</v>
      </c>
      <c r="I27" s="96">
        <v>162</v>
      </c>
      <c r="J27" s="130">
        <v>93</v>
      </c>
      <c r="K27" s="131">
        <f t="shared" ref="K27:K47" si="6">(+D27-SUM(F27:J27))/4</f>
        <v>57</v>
      </c>
      <c r="L27" s="132">
        <v>0</v>
      </c>
      <c r="M27" s="96">
        <v>42</v>
      </c>
      <c r="N27" s="96">
        <v>93</v>
      </c>
      <c r="O27" s="96">
        <v>0</v>
      </c>
      <c r="P27" s="100">
        <v>93</v>
      </c>
      <c r="Q27" s="133">
        <f t="shared" ref="Q27:Q47" si="7">SUM(F27:J27)+SUM(L27:P27)</f>
        <v>666</v>
      </c>
      <c r="R27" s="101">
        <f t="shared" ref="R27:R47" si="8">+D27-Q27</f>
        <v>0</v>
      </c>
      <c r="S27" s="102">
        <f t="shared" ref="S27:S36" si="9">+R27/3</f>
        <v>0</v>
      </c>
    </row>
    <row r="28" spans="1:19" ht="15" customHeight="1" x14ac:dyDescent="0.75">
      <c r="A28" s="93">
        <v>666502</v>
      </c>
      <c r="B28" s="94" t="s">
        <v>6</v>
      </c>
      <c r="C28" s="127" t="s">
        <v>7</v>
      </c>
      <c r="D28" s="128">
        <v>277</v>
      </c>
      <c r="E28" s="129">
        <f t="shared" si="5"/>
        <v>39.571428571428569</v>
      </c>
      <c r="F28" s="96">
        <v>0</v>
      </c>
      <c r="G28" s="96">
        <v>11</v>
      </c>
      <c r="H28" s="96">
        <v>39</v>
      </c>
      <c r="I28" s="96">
        <v>12</v>
      </c>
      <c r="J28" s="130">
        <v>37</v>
      </c>
      <c r="K28" s="131">
        <f t="shared" si="6"/>
        <v>44.5</v>
      </c>
      <c r="L28" s="132">
        <v>31</v>
      </c>
      <c r="M28" s="96">
        <v>25</v>
      </c>
      <c r="N28" s="96">
        <v>35</v>
      </c>
      <c r="O28" s="96">
        <v>25</v>
      </c>
      <c r="P28" s="100">
        <v>41</v>
      </c>
      <c r="Q28" s="101">
        <f t="shared" si="7"/>
        <v>256</v>
      </c>
      <c r="R28" s="101">
        <f t="shared" si="8"/>
        <v>21</v>
      </c>
      <c r="S28" s="102">
        <f t="shared" si="9"/>
        <v>7</v>
      </c>
    </row>
    <row r="29" spans="1:19" ht="15" customHeight="1" x14ac:dyDescent="0.75">
      <c r="A29" s="93">
        <v>666505</v>
      </c>
      <c r="B29" s="94" t="s">
        <v>8</v>
      </c>
      <c r="C29" s="127" t="s">
        <v>9</v>
      </c>
      <c r="D29" s="128">
        <v>0</v>
      </c>
      <c r="E29" s="129">
        <f t="shared" si="5"/>
        <v>0</v>
      </c>
      <c r="F29" s="96">
        <v>0</v>
      </c>
      <c r="G29" s="96">
        <v>0</v>
      </c>
      <c r="H29" s="96">
        <v>0</v>
      </c>
      <c r="I29" s="96">
        <v>0</v>
      </c>
      <c r="J29" s="130">
        <v>0</v>
      </c>
      <c r="K29" s="131">
        <f t="shared" si="6"/>
        <v>0</v>
      </c>
      <c r="L29" s="132">
        <v>0</v>
      </c>
      <c r="M29" s="96">
        <v>0</v>
      </c>
      <c r="N29" s="96">
        <v>0</v>
      </c>
      <c r="O29" s="96">
        <v>0</v>
      </c>
      <c r="P29" s="100">
        <v>0</v>
      </c>
      <c r="Q29" s="101">
        <f t="shared" si="7"/>
        <v>0</v>
      </c>
      <c r="R29" s="101">
        <f t="shared" si="8"/>
        <v>0</v>
      </c>
      <c r="S29" s="102">
        <f t="shared" si="9"/>
        <v>0</v>
      </c>
    </row>
    <row r="30" spans="1:19" ht="15" customHeight="1" x14ac:dyDescent="0.75">
      <c r="A30" s="93">
        <v>666506</v>
      </c>
      <c r="B30" s="94" t="s">
        <v>10</v>
      </c>
      <c r="C30" s="127" t="s">
        <v>11</v>
      </c>
      <c r="D30" s="128">
        <v>277</v>
      </c>
      <c r="E30" s="129">
        <f t="shared" si="5"/>
        <v>39.571428571428569</v>
      </c>
      <c r="F30" s="96">
        <v>0</v>
      </c>
      <c r="G30" s="96">
        <v>6</v>
      </c>
      <c r="H30" s="96">
        <v>7</v>
      </c>
      <c r="I30" s="96">
        <v>7</v>
      </c>
      <c r="J30" s="130">
        <v>5</v>
      </c>
      <c r="K30" s="131">
        <f t="shared" si="6"/>
        <v>63</v>
      </c>
      <c r="L30" s="132">
        <v>12</v>
      </c>
      <c r="M30" s="96">
        <v>15</v>
      </c>
      <c r="N30" s="96">
        <v>8</v>
      </c>
      <c r="O30" s="96">
        <v>14</v>
      </c>
      <c r="P30" s="100">
        <v>11</v>
      </c>
      <c r="Q30" s="168">
        <f t="shared" si="7"/>
        <v>85</v>
      </c>
      <c r="R30" s="169">
        <f t="shared" si="8"/>
        <v>192</v>
      </c>
      <c r="S30" s="102">
        <f t="shared" si="9"/>
        <v>64</v>
      </c>
    </row>
    <row r="31" spans="1:19" ht="15" customHeight="1" x14ac:dyDescent="0.75">
      <c r="A31" s="93">
        <v>666507</v>
      </c>
      <c r="B31" s="94" t="s">
        <v>12</v>
      </c>
      <c r="C31" s="127" t="s">
        <v>13</v>
      </c>
      <c r="D31" s="128">
        <v>0</v>
      </c>
      <c r="E31" s="129">
        <f t="shared" si="5"/>
        <v>0</v>
      </c>
      <c r="F31" s="96">
        <v>0</v>
      </c>
      <c r="G31" s="96">
        <v>0</v>
      </c>
      <c r="H31" s="96">
        <v>0</v>
      </c>
      <c r="I31" s="96">
        <v>0</v>
      </c>
      <c r="J31" s="130">
        <v>0</v>
      </c>
      <c r="K31" s="131">
        <f t="shared" si="6"/>
        <v>0</v>
      </c>
      <c r="L31" s="132">
        <v>0</v>
      </c>
      <c r="M31" s="96">
        <v>0</v>
      </c>
      <c r="N31" s="96">
        <v>0</v>
      </c>
      <c r="O31" s="96">
        <v>0</v>
      </c>
      <c r="P31" s="100">
        <v>0</v>
      </c>
      <c r="Q31" s="101">
        <f t="shared" si="7"/>
        <v>0</v>
      </c>
      <c r="R31" s="101">
        <f t="shared" si="8"/>
        <v>0</v>
      </c>
      <c r="S31" s="102">
        <f t="shared" si="9"/>
        <v>0</v>
      </c>
    </row>
    <row r="32" spans="1:19" ht="15" customHeight="1" x14ac:dyDescent="0.75">
      <c r="A32" s="93">
        <v>666509</v>
      </c>
      <c r="B32" s="94" t="s">
        <v>14</v>
      </c>
      <c r="C32" s="127" t="s">
        <v>15</v>
      </c>
      <c r="D32" s="128">
        <v>0</v>
      </c>
      <c r="E32" s="129">
        <f t="shared" si="5"/>
        <v>0</v>
      </c>
      <c r="F32" s="96">
        <v>0</v>
      </c>
      <c r="G32" s="96">
        <v>0</v>
      </c>
      <c r="H32" s="96">
        <v>0</v>
      </c>
      <c r="I32" s="96">
        <v>0</v>
      </c>
      <c r="J32" s="130">
        <v>0</v>
      </c>
      <c r="K32" s="131">
        <f t="shared" si="6"/>
        <v>0</v>
      </c>
      <c r="L32" s="132">
        <v>0</v>
      </c>
      <c r="M32" s="96">
        <v>0</v>
      </c>
      <c r="N32" s="96">
        <v>0</v>
      </c>
      <c r="O32" s="96">
        <v>0</v>
      </c>
      <c r="P32" s="100">
        <v>0</v>
      </c>
      <c r="Q32" s="101">
        <f t="shared" si="7"/>
        <v>0</v>
      </c>
      <c r="R32" s="101">
        <f t="shared" si="8"/>
        <v>0</v>
      </c>
      <c r="S32" s="102">
        <f t="shared" si="9"/>
        <v>0</v>
      </c>
    </row>
    <row r="33" spans="1:24" ht="15" customHeight="1" x14ac:dyDescent="0.75">
      <c r="A33" s="93">
        <v>666510</v>
      </c>
      <c r="B33" s="94" t="s">
        <v>16</v>
      </c>
      <c r="C33" s="127" t="s">
        <v>169</v>
      </c>
      <c r="D33" s="128">
        <v>0</v>
      </c>
      <c r="E33" s="129">
        <f t="shared" si="5"/>
        <v>0</v>
      </c>
      <c r="F33" s="96">
        <v>0</v>
      </c>
      <c r="G33" s="96">
        <v>0</v>
      </c>
      <c r="H33" s="96">
        <v>0</v>
      </c>
      <c r="I33" s="96">
        <v>0</v>
      </c>
      <c r="J33" s="130">
        <v>0</v>
      </c>
      <c r="K33" s="131">
        <f t="shared" si="6"/>
        <v>0</v>
      </c>
      <c r="L33" s="132">
        <v>0</v>
      </c>
      <c r="M33" s="96">
        <v>0</v>
      </c>
      <c r="N33" s="96">
        <v>0</v>
      </c>
      <c r="O33" s="96">
        <v>0</v>
      </c>
      <c r="P33" s="100">
        <v>0</v>
      </c>
      <c r="Q33" s="101">
        <f t="shared" si="7"/>
        <v>0</v>
      </c>
      <c r="R33" s="101">
        <f t="shared" si="8"/>
        <v>0</v>
      </c>
      <c r="S33" s="102">
        <f t="shared" si="9"/>
        <v>0</v>
      </c>
    </row>
    <row r="34" spans="1:24" ht="15" customHeight="1" x14ac:dyDescent="0.75">
      <c r="A34" s="93">
        <v>666511</v>
      </c>
      <c r="B34" s="94" t="s">
        <v>18</v>
      </c>
      <c r="C34" s="127" t="s">
        <v>19</v>
      </c>
      <c r="D34" s="128">
        <v>0</v>
      </c>
      <c r="E34" s="129">
        <f t="shared" si="5"/>
        <v>0</v>
      </c>
      <c r="F34" s="96">
        <v>0</v>
      </c>
      <c r="G34" s="96">
        <v>0</v>
      </c>
      <c r="H34" s="96">
        <v>0</v>
      </c>
      <c r="I34" s="96">
        <v>0</v>
      </c>
      <c r="J34" s="130">
        <v>0</v>
      </c>
      <c r="K34" s="131">
        <f t="shared" si="6"/>
        <v>0</v>
      </c>
      <c r="L34" s="132">
        <v>0</v>
      </c>
      <c r="M34" s="96">
        <v>0</v>
      </c>
      <c r="N34" s="96">
        <v>0</v>
      </c>
      <c r="O34" s="96">
        <v>0</v>
      </c>
      <c r="P34" s="100">
        <v>0</v>
      </c>
      <c r="Q34" s="101">
        <f t="shared" si="7"/>
        <v>0</v>
      </c>
      <c r="R34" s="101">
        <f t="shared" si="8"/>
        <v>0</v>
      </c>
      <c r="S34" s="102">
        <f t="shared" si="9"/>
        <v>0</v>
      </c>
    </row>
    <row r="35" spans="1:24" ht="15" customHeight="1" x14ac:dyDescent="0.75">
      <c r="A35" s="93">
        <v>666513</v>
      </c>
      <c r="B35" s="94" t="s">
        <v>20</v>
      </c>
      <c r="C35" s="127" t="s">
        <v>21</v>
      </c>
      <c r="D35" s="128">
        <v>0</v>
      </c>
      <c r="E35" s="129">
        <f t="shared" si="5"/>
        <v>0</v>
      </c>
      <c r="F35" s="96">
        <v>0</v>
      </c>
      <c r="G35" s="96">
        <v>0</v>
      </c>
      <c r="H35" s="96">
        <v>0</v>
      </c>
      <c r="I35" s="96">
        <v>0</v>
      </c>
      <c r="J35" s="130">
        <v>0</v>
      </c>
      <c r="K35" s="131">
        <f t="shared" si="6"/>
        <v>0</v>
      </c>
      <c r="L35" s="132">
        <v>0</v>
      </c>
      <c r="M35" s="96">
        <v>0</v>
      </c>
      <c r="N35" s="96">
        <v>0</v>
      </c>
      <c r="O35" s="96">
        <v>0</v>
      </c>
      <c r="P35" s="100">
        <v>0</v>
      </c>
      <c r="Q35" s="101">
        <f t="shared" si="7"/>
        <v>0</v>
      </c>
      <c r="R35" s="101">
        <f t="shared" si="8"/>
        <v>0</v>
      </c>
      <c r="S35" s="102">
        <f t="shared" si="9"/>
        <v>0</v>
      </c>
    </row>
    <row r="36" spans="1:24" ht="15" customHeight="1" x14ac:dyDescent="0.75">
      <c r="A36" s="93">
        <v>666516</v>
      </c>
      <c r="B36" s="94" t="s">
        <v>22</v>
      </c>
      <c r="C36" s="127" t="s">
        <v>23</v>
      </c>
      <c r="D36" s="128">
        <v>0</v>
      </c>
      <c r="E36" s="129">
        <f t="shared" si="5"/>
        <v>0</v>
      </c>
      <c r="F36" s="96">
        <v>0</v>
      </c>
      <c r="G36" s="96">
        <v>0</v>
      </c>
      <c r="H36" s="96">
        <v>0</v>
      </c>
      <c r="I36" s="96">
        <v>0</v>
      </c>
      <c r="J36" s="130">
        <v>0</v>
      </c>
      <c r="K36" s="131">
        <f t="shared" si="6"/>
        <v>0</v>
      </c>
      <c r="L36" s="132">
        <v>0</v>
      </c>
      <c r="M36" s="96">
        <v>0</v>
      </c>
      <c r="N36" s="96">
        <v>0</v>
      </c>
      <c r="O36" s="96">
        <v>0</v>
      </c>
      <c r="P36" s="100">
        <v>0</v>
      </c>
      <c r="Q36" s="101">
        <f t="shared" si="7"/>
        <v>0</v>
      </c>
      <c r="R36" s="101">
        <f t="shared" si="8"/>
        <v>0</v>
      </c>
      <c r="S36" s="102">
        <f t="shared" si="9"/>
        <v>0</v>
      </c>
    </row>
    <row r="37" spans="1:24" ht="15" customHeight="1" x14ac:dyDescent="0.75">
      <c r="A37" s="93">
        <v>666517</v>
      </c>
      <c r="B37" s="94" t="s">
        <v>24</v>
      </c>
      <c r="C37" s="127" t="s">
        <v>25</v>
      </c>
      <c r="D37" s="128">
        <v>0</v>
      </c>
      <c r="E37" s="129">
        <f t="shared" si="5"/>
        <v>0</v>
      </c>
      <c r="F37" s="96">
        <v>0</v>
      </c>
      <c r="G37" s="96">
        <v>0</v>
      </c>
      <c r="H37" s="96">
        <v>0</v>
      </c>
      <c r="I37" s="96">
        <v>0</v>
      </c>
      <c r="J37" s="130">
        <v>0</v>
      </c>
      <c r="K37" s="131">
        <f t="shared" si="6"/>
        <v>0</v>
      </c>
      <c r="L37" s="132">
        <v>0</v>
      </c>
      <c r="M37" s="96">
        <v>0</v>
      </c>
      <c r="N37" s="96">
        <v>0</v>
      </c>
      <c r="O37" s="96">
        <v>0</v>
      </c>
      <c r="P37" s="100">
        <v>0</v>
      </c>
      <c r="Q37" s="101">
        <f t="shared" si="7"/>
        <v>0</v>
      </c>
      <c r="R37" s="101">
        <f t="shared" si="8"/>
        <v>0</v>
      </c>
      <c r="S37" s="102">
        <f>+R37/2</f>
        <v>0</v>
      </c>
    </row>
    <row r="38" spans="1:24" ht="15" customHeight="1" x14ac:dyDescent="0.75">
      <c r="A38" s="93">
        <v>666518</v>
      </c>
      <c r="B38" s="94" t="s">
        <v>26</v>
      </c>
      <c r="C38" s="127" t="s">
        <v>27</v>
      </c>
      <c r="D38" s="128">
        <v>0</v>
      </c>
      <c r="E38" s="129">
        <f t="shared" si="5"/>
        <v>0</v>
      </c>
      <c r="F38" s="96">
        <v>0</v>
      </c>
      <c r="G38" s="96">
        <v>0</v>
      </c>
      <c r="H38" s="96">
        <v>0</v>
      </c>
      <c r="I38" s="96">
        <v>0</v>
      </c>
      <c r="J38" s="130">
        <v>0</v>
      </c>
      <c r="K38" s="131">
        <f t="shared" si="6"/>
        <v>0</v>
      </c>
      <c r="L38" s="132">
        <v>0</v>
      </c>
      <c r="M38" s="96">
        <v>0</v>
      </c>
      <c r="N38" s="96">
        <v>0</v>
      </c>
      <c r="O38" s="96">
        <v>0</v>
      </c>
      <c r="P38" s="100">
        <v>0</v>
      </c>
      <c r="Q38" s="101">
        <f t="shared" si="7"/>
        <v>0</v>
      </c>
      <c r="R38" s="101">
        <f t="shared" si="8"/>
        <v>0</v>
      </c>
      <c r="S38" s="102">
        <f>+R38/3</f>
        <v>0</v>
      </c>
    </row>
    <row r="39" spans="1:24" ht="15" customHeight="1" x14ac:dyDescent="0.75">
      <c r="A39" s="93">
        <v>666519</v>
      </c>
      <c r="B39" s="94" t="s">
        <v>28</v>
      </c>
      <c r="C39" s="127" t="s">
        <v>29</v>
      </c>
      <c r="D39" s="128">
        <v>0</v>
      </c>
      <c r="E39" s="129">
        <f t="shared" si="5"/>
        <v>0</v>
      </c>
      <c r="F39" s="96">
        <v>0</v>
      </c>
      <c r="G39" s="96">
        <v>0</v>
      </c>
      <c r="H39" s="96">
        <v>0</v>
      </c>
      <c r="I39" s="96">
        <v>0</v>
      </c>
      <c r="J39" s="130">
        <v>0</v>
      </c>
      <c r="K39" s="131">
        <f t="shared" si="6"/>
        <v>0</v>
      </c>
      <c r="L39" s="132">
        <v>0</v>
      </c>
      <c r="M39" s="96">
        <v>0</v>
      </c>
      <c r="N39" s="96">
        <v>0</v>
      </c>
      <c r="O39" s="96">
        <v>0</v>
      </c>
      <c r="P39" s="100">
        <v>0</v>
      </c>
      <c r="Q39" s="101">
        <f t="shared" si="7"/>
        <v>0</v>
      </c>
      <c r="R39" s="101">
        <f t="shared" si="8"/>
        <v>0</v>
      </c>
      <c r="S39" s="102"/>
    </row>
    <row r="40" spans="1:24" ht="15" customHeight="1" x14ac:dyDescent="0.75">
      <c r="A40" s="93">
        <v>666521</v>
      </c>
      <c r="B40" s="94" t="s">
        <v>30</v>
      </c>
      <c r="C40" s="127" t="s">
        <v>31</v>
      </c>
      <c r="D40" s="128">
        <v>0</v>
      </c>
      <c r="E40" s="129">
        <f t="shared" si="5"/>
        <v>0</v>
      </c>
      <c r="F40" s="96">
        <v>0</v>
      </c>
      <c r="G40" s="96">
        <v>0</v>
      </c>
      <c r="H40" s="96">
        <v>0</v>
      </c>
      <c r="I40" s="96">
        <v>0</v>
      </c>
      <c r="J40" s="130">
        <v>0</v>
      </c>
      <c r="K40" s="131">
        <f t="shared" si="6"/>
        <v>0</v>
      </c>
      <c r="L40" s="132">
        <v>0</v>
      </c>
      <c r="M40" s="96">
        <v>0</v>
      </c>
      <c r="N40" s="96">
        <v>0</v>
      </c>
      <c r="O40" s="96">
        <v>0</v>
      </c>
      <c r="P40" s="100">
        <v>0</v>
      </c>
      <c r="Q40" s="101">
        <f t="shared" si="7"/>
        <v>0</v>
      </c>
      <c r="R40" s="101">
        <f t="shared" si="8"/>
        <v>0</v>
      </c>
      <c r="S40" s="102"/>
    </row>
    <row r="41" spans="1:24" ht="15" customHeight="1" x14ac:dyDescent="0.75">
      <c r="A41" s="93">
        <v>666522</v>
      </c>
      <c r="B41" s="94" t="s">
        <v>32</v>
      </c>
      <c r="C41" s="127" t="s">
        <v>33</v>
      </c>
      <c r="D41" s="128">
        <v>170</v>
      </c>
      <c r="E41" s="129">
        <f t="shared" si="5"/>
        <v>24.285714285714285</v>
      </c>
      <c r="F41" s="96">
        <v>0</v>
      </c>
      <c r="G41" s="96">
        <v>60</v>
      </c>
      <c r="H41" s="96">
        <v>110</v>
      </c>
      <c r="I41" s="96">
        <v>0</v>
      </c>
      <c r="J41" s="130">
        <v>0</v>
      </c>
      <c r="K41" s="131">
        <f t="shared" si="6"/>
        <v>0</v>
      </c>
      <c r="L41" s="132">
        <v>0</v>
      </c>
      <c r="M41" s="96">
        <v>0</v>
      </c>
      <c r="N41" s="96">
        <v>0</v>
      </c>
      <c r="O41" s="96">
        <v>0</v>
      </c>
      <c r="P41" s="100">
        <v>0</v>
      </c>
      <c r="Q41" s="133">
        <f t="shared" si="7"/>
        <v>170</v>
      </c>
      <c r="R41" s="101">
        <f t="shared" si="8"/>
        <v>0</v>
      </c>
      <c r="S41" s="102"/>
    </row>
    <row r="42" spans="1:24" ht="15" customHeight="1" x14ac:dyDescent="0.75">
      <c r="A42" s="93">
        <v>666523</v>
      </c>
      <c r="B42" s="94" t="s">
        <v>34</v>
      </c>
      <c r="C42" s="127" t="s">
        <v>35</v>
      </c>
      <c r="D42" s="128">
        <v>0</v>
      </c>
      <c r="E42" s="129">
        <f t="shared" si="5"/>
        <v>0</v>
      </c>
      <c r="F42" s="96">
        <v>0</v>
      </c>
      <c r="G42" s="96">
        <v>0</v>
      </c>
      <c r="H42" s="96">
        <v>0</v>
      </c>
      <c r="I42" s="96">
        <v>0</v>
      </c>
      <c r="J42" s="130">
        <v>0</v>
      </c>
      <c r="K42" s="131">
        <f t="shared" si="6"/>
        <v>0</v>
      </c>
      <c r="L42" s="132">
        <v>0</v>
      </c>
      <c r="M42" s="96">
        <v>0</v>
      </c>
      <c r="N42" s="96">
        <v>0</v>
      </c>
      <c r="O42" s="96">
        <v>0</v>
      </c>
      <c r="P42" s="100">
        <v>0</v>
      </c>
      <c r="Q42" s="133">
        <f t="shared" si="7"/>
        <v>0</v>
      </c>
      <c r="R42" s="101">
        <f t="shared" si="8"/>
        <v>0</v>
      </c>
      <c r="S42" s="102"/>
    </row>
    <row r="43" spans="1:24" ht="15" customHeight="1" x14ac:dyDescent="0.75">
      <c r="A43" s="93">
        <v>666530</v>
      </c>
      <c r="B43" s="94" t="s">
        <v>36</v>
      </c>
      <c r="C43" s="127" t="s">
        <v>37</v>
      </c>
      <c r="D43" s="128">
        <v>0</v>
      </c>
      <c r="E43" s="129">
        <f t="shared" si="5"/>
        <v>0</v>
      </c>
      <c r="F43" s="96">
        <v>0</v>
      </c>
      <c r="G43" s="96">
        <v>0</v>
      </c>
      <c r="H43" s="96">
        <v>0</v>
      </c>
      <c r="I43" s="96">
        <v>0</v>
      </c>
      <c r="J43" s="130">
        <v>0</v>
      </c>
      <c r="K43" s="131">
        <f t="shared" si="6"/>
        <v>0</v>
      </c>
      <c r="L43" s="132">
        <v>0</v>
      </c>
      <c r="M43" s="96">
        <v>0</v>
      </c>
      <c r="N43" s="96">
        <v>0</v>
      </c>
      <c r="O43" s="96">
        <v>0</v>
      </c>
      <c r="P43" s="100">
        <v>0</v>
      </c>
      <c r="Q43" s="101">
        <f t="shared" si="7"/>
        <v>0</v>
      </c>
      <c r="R43" s="101">
        <f t="shared" si="8"/>
        <v>0</v>
      </c>
      <c r="S43" s="102"/>
    </row>
    <row r="44" spans="1:24" ht="15" customHeight="1" x14ac:dyDescent="0.75">
      <c r="A44" s="93">
        <v>666531</v>
      </c>
      <c r="B44" s="94" t="s">
        <v>38</v>
      </c>
      <c r="C44" s="127" t="s">
        <v>39</v>
      </c>
      <c r="D44" s="128">
        <v>0</v>
      </c>
      <c r="E44" s="129">
        <f t="shared" si="5"/>
        <v>0</v>
      </c>
      <c r="F44" s="96">
        <v>0</v>
      </c>
      <c r="G44" s="96">
        <v>0</v>
      </c>
      <c r="H44" s="96">
        <v>0</v>
      </c>
      <c r="I44" s="96">
        <v>0</v>
      </c>
      <c r="J44" s="130">
        <v>0</v>
      </c>
      <c r="K44" s="131">
        <f t="shared" si="6"/>
        <v>0</v>
      </c>
      <c r="L44" s="132">
        <v>0</v>
      </c>
      <c r="M44" s="96">
        <v>0</v>
      </c>
      <c r="N44" s="96">
        <v>0</v>
      </c>
      <c r="O44" s="96">
        <v>0</v>
      </c>
      <c r="P44" s="100">
        <v>0</v>
      </c>
      <c r="Q44" s="101">
        <f t="shared" si="7"/>
        <v>0</v>
      </c>
      <c r="R44" s="101">
        <f t="shared" si="8"/>
        <v>0</v>
      </c>
      <c r="S44" s="102">
        <f>+R44/3</f>
        <v>0</v>
      </c>
    </row>
    <row r="45" spans="1:24" ht="15" customHeight="1" x14ac:dyDescent="0.75">
      <c r="A45" s="93">
        <v>666540</v>
      </c>
      <c r="B45" s="94" t="s">
        <v>40</v>
      </c>
      <c r="C45" s="127" t="s">
        <v>40</v>
      </c>
      <c r="D45" s="128">
        <v>40</v>
      </c>
      <c r="E45" s="129">
        <f t="shared" si="5"/>
        <v>5.7142857142857144</v>
      </c>
      <c r="F45" s="96">
        <v>0</v>
      </c>
      <c r="G45" s="96">
        <v>0</v>
      </c>
      <c r="H45" s="96">
        <v>0</v>
      </c>
      <c r="I45" s="96">
        <v>1</v>
      </c>
      <c r="J45" s="130">
        <v>0</v>
      </c>
      <c r="K45" s="131">
        <f t="shared" si="6"/>
        <v>9.75</v>
      </c>
      <c r="L45" s="132">
        <v>0</v>
      </c>
      <c r="M45" s="96">
        <v>0</v>
      </c>
      <c r="N45" s="96">
        <v>0</v>
      </c>
      <c r="O45" s="96">
        <v>0</v>
      </c>
      <c r="P45" s="100">
        <v>0</v>
      </c>
      <c r="Q45" s="101">
        <f t="shared" si="7"/>
        <v>1</v>
      </c>
      <c r="R45" s="101">
        <f t="shared" si="8"/>
        <v>39</v>
      </c>
      <c r="S45" s="102">
        <f>+R45/3</f>
        <v>13</v>
      </c>
    </row>
    <row r="46" spans="1:24" ht="15" customHeight="1" x14ac:dyDescent="0.75">
      <c r="A46" s="93">
        <v>666541</v>
      </c>
      <c r="B46" s="94" t="s">
        <v>41</v>
      </c>
      <c r="C46" s="127"/>
      <c r="D46" s="128">
        <v>680</v>
      </c>
      <c r="E46" s="129">
        <f t="shared" si="5"/>
        <v>97.142857142857139</v>
      </c>
      <c r="F46" s="96">
        <v>0</v>
      </c>
      <c r="G46" s="96">
        <v>55</v>
      </c>
      <c r="H46" s="96">
        <v>56</v>
      </c>
      <c r="I46" s="96">
        <v>73</v>
      </c>
      <c r="J46" s="130">
        <v>35</v>
      </c>
      <c r="K46" s="131">
        <f t="shared" si="6"/>
        <v>115.25</v>
      </c>
      <c r="L46" s="132">
        <v>50</v>
      </c>
      <c r="M46" s="96">
        <v>96</v>
      </c>
      <c r="N46" s="96">
        <v>26</v>
      </c>
      <c r="O46" s="96">
        <v>108</v>
      </c>
      <c r="P46" s="100">
        <v>43</v>
      </c>
      <c r="Q46" s="101">
        <f t="shared" si="7"/>
        <v>542</v>
      </c>
      <c r="R46" s="169">
        <f t="shared" si="8"/>
        <v>138</v>
      </c>
      <c r="S46" s="102"/>
    </row>
    <row r="47" spans="1:24" ht="15" customHeight="1" x14ac:dyDescent="0.75">
      <c r="A47" s="93">
        <v>666536</v>
      </c>
      <c r="B47" s="94" t="s">
        <v>42</v>
      </c>
      <c r="C47" s="134" t="s">
        <v>41</v>
      </c>
      <c r="D47" s="128">
        <v>0</v>
      </c>
      <c r="E47" s="129">
        <f t="shared" si="5"/>
        <v>0</v>
      </c>
      <c r="F47" s="96">
        <v>0</v>
      </c>
      <c r="G47" s="96">
        <v>0</v>
      </c>
      <c r="H47" s="96">
        <v>0</v>
      </c>
      <c r="I47" s="96">
        <v>0</v>
      </c>
      <c r="J47" s="130">
        <v>0</v>
      </c>
      <c r="K47" s="131">
        <f t="shared" si="6"/>
        <v>0</v>
      </c>
      <c r="L47" s="132">
        <v>0</v>
      </c>
      <c r="M47" s="96">
        <v>0</v>
      </c>
      <c r="N47" s="96">
        <v>0</v>
      </c>
      <c r="O47" s="96">
        <v>0</v>
      </c>
      <c r="P47" s="100">
        <v>0</v>
      </c>
      <c r="Q47" s="101">
        <f t="shared" si="7"/>
        <v>0</v>
      </c>
      <c r="R47" s="101">
        <f t="shared" si="8"/>
        <v>0</v>
      </c>
      <c r="S47" s="102">
        <f>+R47/3</f>
        <v>0</v>
      </c>
      <c r="X47" s="79" t="s">
        <v>152</v>
      </c>
    </row>
    <row r="48" spans="1:24" ht="15" customHeight="1" x14ac:dyDescent="0.75">
      <c r="A48" s="135"/>
      <c r="B48" s="136"/>
      <c r="C48" s="134"/>
      <c r="D48" s="137"/>
      <c r="E48" s="137"/>
      <c r="F48" s="138"/>
      <c r="G48" s="139"/>
      <c r="H48" s="139"/>
      <c r="I48" s="139"/>
      <c r="J48" s="139"/>
      <c r="K48" s="140"/>
      <c r="L48" s="139"/>
      <c r="M48" s="139"/>
      <c r="N48" s="139"/>
      <c r="O48" s="139"/>
      <c r="P48" s="141"/>
      <c r="Q48" s="101"/>
      <c r="R48" s="101"/>
      <c r="S48" s="102"/>
    </row>
    <row r="49" spans="1:18" ht="15" customHeight="1" x14ac:dyDescent="0.75">
      <c r="A49" s="3" t="str">
        <f>+A1</f>
        <v>Weeks of 04/06/26 &amp; 04/13/26</v>
      </c>
      <c r="B49" s="3"/>
      <c r="C49" s="3"/>
      <c r="D49" s="3"/>
      <c r="E49" s="3"/>
      <c r="F49" s="142"/>
      <c r="G49" s="81"/>
      <c r="H49" s="81"/>
      <c r="I49" s="81"/>
      <c r="J49" s="81"/>
      <c r="K49" s="81"/>
      <c r="L49" s="81"/>
      <c r="M49" s="81"/>
      <c r="N49" s="81"/>
      <c r="O49" s="81"/>
      <c r="P49" s="82"/>
      <c r="Q49" s="101"/>
    </row>
    <row r="50" spans="1:18" ht="36.75" customHeight="1" x14ac:dyDescent="0.75">
      <c r="A50" s="83"/>
      <c r="B50" s="143" t="s">
        <v>66</v>
      </c>
      <c r="C50" s="144"/>
      <c r="D50" s="86" t="s">
        <v>122</v>
      </c>
      <c r="E50" s="86" t="s">
        <v>173</v>
      </c>
      <c r="F50" s="88" t="s">
        <v>162</v>
      </c>
      <c r="G50" s="86" t="s">
        <v>163</v>
      </c>
      <c r="H50" s="87" t="s">
        <v>164</v>
      </c>
      <c r="I50" s="86" t="s">
        <v>165</v>
      </c>
      <c r="J50" s="86" t="s">
        <v>166</v>
      </c>
      <c r="K50" s="89" t="str">
        <f>+K26</f>
        <v>2nd wk daily goals</v>
      </c>
      <c r="L50" s="88" t="s">
        <v>162</v>
      </c>
      <c r="M50" s="86" t="s">
        <v>163</v>
      </c>
      <c r="N50" s="87" t="s">
        <v>164</v>
      </c>
      <c r="O50" s="86" t="s">
        <v>165</v>
      </c>
      <c r="P50" s="90" t="s">
        <v>166</v>
      </c>
      <c r="Q50" s="101"/>
      <c r="R50" s="92" t="s">
        <v>168</v>
      </c>
    </row>
    <row r="51" spans="1:18" ht="14.25" customHeight="1" x14ac:dyDescent="0.75">
      <c r="A51" s="93">
        <v>666501</v>
      </c>
      <c r="B51" s="94" t="s">
        <v>4</v>
      </c>
      <c r="C51" s="95" t="s">
        <v>5</v>
      </c>
      <c r="D51" s="96">
        <v>66</v>
      </c>
      <c r="E51" s="97">
        <f t="shared" ref="E51:E71" si="10">+D51/2</f>
        <v>33</v>
      </c>
      <c r="F51" s="96">
        <v>0</v>
      </c>
      <c r="G51" s="96">
        <v>30</v>
      </c>
      <c r="H51" s="96">
        <v>0</v>
      </c>
      <c r="I51" s="96">
        <v>36</v>
      </c>
      <c r="J51" s="96">
        <v>0</v>
      </c>
      <c r="K51" s="99">
        <f t="shared" ref="K51:K71" si="11">(+D51-SUM(F51:J51))/4</f>
        <v>0</v>
      </c>
      <c r="L51" s="96">
        <v>0</v>
      </c>
      <c r="M51" s="96">
        <v>0</v>
      </c>
      <c r="N51" s="96">
        <v>0</v>
      </c>
      <c r="O51" s="96">
        <v>0</v>
      </c>
      <c r="P51" s="100">
        <v>0</v>
      </c>
      <c r="Q51" s="133">
        <f t="shared" ref="Q51:Q71" si="12">SUM(F51:J51)+SUM(L51:P51)</f>
        <v>66</v>
      </c>
      <c r="R51" s="101">
        <f t="shared" ref="R51:R71" si="13">+D51-Q51</f>
        <v>0</v>
      </c>
    </row>
    <row r="52" spans="1:18" ht="14.25" customHeight="1" x14ac:dyDescent="0.75">
      <c r="A52" s="93">
        <v>666502</v>
      </c>
      <c r="B52" s="94" t="s">
        <v>6</v>
      </c>
      <c r="C52" s="95" t="s">
        <v>7</v>
      </c>
      <c r="D52" s="96">
        <v>74</v>
      </c>
      <c r="E52" s="97">
        <f t="shared" si="10"/>
        <v>37</v>
      </c>
      <c r="F52" s="96">
        <v>0</v>
      </c>
      <c r="G52" s="96">
        <v>0</v>
      </c>
      <c r="H52" s="96">
        <v>0</v>
      </c>
      <c r="I52" s="96">
        <v>11</v>
      </c>
      <c r="J52" s="96">
        <v>0</v>
      </c>
      <c r="K52" s="99">
        <f t="shared" si="11"/>
        <v>15.75</v>
      </c>
      <c r="L52" s="96">
        <v>27</v>
      </c>
      <c r="M52" s="96">
        <v>29</v>
      </c>
      <c r="N52" s="96">
        <v>0</v>
      </c>
      <c r="O52" s="96">
        <v>7</v>
      </c>
      <c r="P52" s="100">
        <v>0</v>
      </c>
      <c r="Q52" s="101">
        <f t="shared" si="12"/>
        <v>74</v>
      </c>
      <c r="R52" s="101">
        <f t="shared" si="13"/>
        <v>0</v>
      </c>
    </row>
    <row r="53" spans="1:18" ht="14.25" customHeight="1" x14ac:dyDescent="0.75">
      <c r="A53" s="93">
        <v>666505</v>
      </c>
      <c r="B53" s="94" t="s">
        <v>8</v>
      </c>
      <c r="C53" s="95" t="s">
        <v>9</v>
      </c>
      <c r="D53" s="96">
        <v>39</v>
      </c>
      <c r="E53" s="97">
        <f t="shared" si="10"/>
        <v>19.5</v>
      </c>
      <c r="F53" s="96">
        <v>0</v>
      </c>
      <c r="G53" s="96">
        <v>39</v>
      </c>
      <c r="H53" s="96">
        <v>0</v>
      </c>
      <c r="I53" s="96">
        <v>0</v>
      </c>
      <c r="J53" s="96">
        <v>0</v>
      </c>
      <c r="K53" s="99">
        <f t="shared" si="11"/>
        <v>0</v>
      </c>
      <c r="L53" s="96">
        <v>0</v>
      </c>
      <c r="M53" s="96">
        <v>0</v>
      </c>
      <c r="N53" s="96">
        <v>0</v>
      </c>
      <c r="O53" s="96">
        <v>0</v>
      </c>
      <c r="P53" s="100">
        <v>0</v>
      </c>
      <c r="Q53" s="133">
        <f t="shared" si="12"/>
        <v>39</v>
      </c>
      <c r="R53" s="101">
        <f t="shared" si="13"/>
        <v>0</v>
      </c>
    </row>
    <row r="54" spans="1:18" ht="14.25" customHeight="1" x14ac:dyDescent="0.75">
      <c r="A54" s="93">
        <v>666506</v>
      </c>
      <c r="B54" s="94" t="s">
        <v>10</v>
      </c>
      <c r="C54" s="95" t="s">
        <v>11</v>
      </c>
      <c r="D54" s="96">
        <v>0</v>
      </c>
      <c r="E54" s="97">
        <f t="shared" si="10"/>
        <v>0</v>
      </c>
      <c r="F54" s="96">
        <v>0</v>
      </c>
      <c r="G54" s="96">
        <v>0</v>
      </c>
      <c r="H54" s="96">
        <v>0</v>
      </c>
      <c r="I54" s="96">
        <v>0</v>
      </c>
      <c r="J54" s="96">
        <v>0</v>
      </c>
      <c r="K54" s="99">
        <f t="shared" si="11"/>
        <v>0</v>
      </c>
      <c r="L54" s="96">
        <v>0</v>
      </c>
      <c r="M54" s="96">
        <v>0</v>
      </c>
      <c r="N54" s="96">
        <v>0</v>
      </c>
      <c r="O54" s="96">
        <v>0</v>
      </c>
      <c r="P54" s="100">
        <v>0</v>
      </c>
      <c r="Q54" s="101">
        <f t="shared" si="12"/>
        <v>0</v>
      </c>
      <c r="R54" s="101">
        <f t="shared" si="13"/>
        <v>0</v>
      </c>
    </row>
    <row r="55" spans="1:18" ht="14.25" customHeight="1" x14ac:dyDescent="0.75">
      <c r="A55" s="93">
        <v>666507</v>
      </c>
      <c r="B55" s="94" t="s">
        <v>12</v>
      </c>
      <c r="C55" s="95" t="s">
        <v>13</v>
      </c>
      <c r="D55" s="96">
        <v>0</v>
      </c>
      <c r="E55" s="97">
        <f t="shared" si="10"/>
        <v>0</v>
      </c>
      <c r="F55" s="96">
        <v>0</v>
      </c>
      <c r="G55" s="96">
        <v>0</v>
      </c>
      <c r="H55" s="96">
        <v>0</v>
      </c>
      <c r="I55" s="96">
        <v>0</v>
      </c>
      <c r="J55" s="96">
        <v>0</v>
      </c>
      <c r="K55" s="99">
        <f t="shared" si="11"/>
        <v>0</v>
      </c>
      <c r="L55" s="96">
        <v>0</v>
      </c>
      <c r="M55" s="96">
        <v>0</v>
      </c>
      <c r="N55" s="96">
        <v>0</v>
      </c>
      <c r="O55" s="96">
        <v>0</v>
      </c>
      <c r="P55" s="100">
        <v>0</v>
      </c>
      <c r="Q55" s="101">
        <f t="shared" si="12"/>
        <v>0</v>
      </c>
      <c r="R55" s="101">
        <f t="shared" si="13"/>
        <v>0</v>
      </c>
    </row>
    <row r="56" spans="1:18" ht="14.25" customHeight="1" x14ac:dyDescent="0.75">
      <c r="A56" s="93">
        <v>666509</v>
      </c>
      <c r="B56" s="94" t="s">
        <v>14</v>
      </c>
      <c r="C56" s="95" t="s">
        <v>15</v>
      </c>
      <c r="D56" s="96">
        <v>0</v>
      </c>
      <c r="E56" s="97">
        <f t="shared" si="10"/>
        <v>0</v>
      </c>
      <c r="F56" s="96">
        <v>0</v>
      </c>
      <c r="G56" s="96">
        <v>0</v>
      </c>
      <c r="H56" s="96">
        <v>0</v>
      </c>
      <c r="I56" s="96">
        <v>0</v>
      </c>
      <c r="J56" s="96">
        <v>0</v>
      </c>
      <c r="K56" s="99">
        <f t="shared" si="11"/>
        <v>0</v>
      </c>
      <c r="L56" s="96">
        <v>0</v>
      </c>
      <c r="M56" s="96">
        <v>0</v>
      </c>
      <c r="N56" s="96">
        <v>0</v>
      </c>
      <c r="O56" s="96">
        <v>0</v>
      </c>
      <c r="P56" s="100">
        <v>0</v>
      </c>
      <c r="Q56" s="101">
        <f t="shared" si="12"/>
        <v>0</v>
      </c>
      <c r="R56" s="101">
        <f t="shared" si="13"/>
        <v>0</v>
      </c>
    </row>
    <row r="57" spans="1:18" ht="14.25" customHeight="1" x14ac:dyDescent="0.75">
      <c r="A57" s="93">
        <v>666510</v>
      </c>
      <c r="B57" s="94" t="s">
        <v>16</v>
      </c>
      <c r="C57" s="95" t="s">
        <v>169</v>
      </c>
      <c r="D57" s="96">
        <v>0</v>
      </c>
      <c r="E57" s="97">
        <f t="shared" si="10"/>
        <v>0</v>
      </c>
      <c r="F57" s="96">
        <v>0</v>
      </c>
      <c r="G57" s="96">
        <v>0</v>
      </c>
      <c r="H57" s="96">
        <v>0</v>
      </c>
      <c r="I57" s="96">
        <v>0</v>
      </c>
      <c r="J57" s="96">
        <v>0</v>
      </c>
      <c r="K57" s="99">
        <f t="shared" si="11"/>
        <v>0</v>
      </c>
      <c r="L57" s="96">
        <v>0</v>
      </c>
      <c r="M57" s="96">
        <v>0</v>
      </c>
      <c r="N57" s="96">
        <v>0</v>
      </c>
      <c r="O57" s="96">
        <v>0</v>
      </c>
      <c r="P57" s="100">
        <v>0</v>
      </c>
      <c r="Q57" s="101">
        <f t="shared" si="12"/>
        <v>0</v>
      </c>
      <c r="R57" s="101">
        <f t="shared" si="13"/>
        <v>0</v>
      </c>
    </row>
    <row r="58" spans="1:18" ht="14.25" customHeight="1" x14ac:dyDescent="0.75">
      <c r="A58" s="93">
        <v>666511</v>
      </c>
      <c r="B58" s="94" t="s">
        <v>18</v>
      </c>
      <c r="C58" s="95" t="s">
        <v>19</v>
      </c>
      <c r="D58" s="96">
        <v>0</v>
      </c>
      <c r="E58" s="97">
        <f t="shared" si="10"/>
        <v>0</v>
      </c>
      <c r="F58" s="96">
        <v>0</v>
      </c>
      <c r="G58" s="96">
        <v>0</v>
      </c>
      <c r="H58" s="96">
        <v>0</v>
      </c>
      <c r="I58" s="96">
        <v>0</v>
      </c>
      <c r="J58" s="96">
        <v>0</v>
      </c>
      <c r="K58" s="99">
        <f t="shared" si="11"/>
        <v>0</v>
      </c>
      <c r="L58" s="96">
        <v>0</v>
      </c>
      <c r="M58" s="96">
        <v>0</v>
      </c>
      <c r="N58" s="96">
        <v>0</v>
      </c>
      <c r="O58" s="96">
        <v>0</v>
      </c>
      <c r="P58" s="100">
        <v>0</v>
      </c>
      <c r="Q58" s="101">
        <f t="shared" si="12"/>
        <v>0</v>
      </c>
      <c r="R58" s="101">
        <f t="shared" si="13"/>
        <v>0</v>
      </c>
    </row>
    <row r="59" spans="1:18" ht="14.25" customHeight="1" x14ac:dyDescent="0.75">
      <c r="A59" s="93">
        <v>666513</v>
      </c>
      <c r="B59" s="94" t="s">
        <v>20</v>
      </c>
      <c r="C59" s="95" t="s">
        <v>21</v>
      </c>
      <c r="D59" s="96">
        <v>14</v>
      </c>
      <c r="E59" s="97">
        <f t="shared" si="10"/>
        <v>7</v>
      </c>
      <c r="F59" s="96">
        <v>0</v>
      </c>
      <c r="G59" s="96">
        <v>14</v>
      </c>
      <c r="H59" s="96">
        <v>0</v>
      </c>
      <c r="I59" s="96">
        <v>0</v>
      </c>
      <c r="J59" s="96">
        <v>0</v>
      </c>
      <c r="K59" s="99">
        <f t="shared" si="11"/>
        <v>0</v>
      </c>
      <c r="L59" s="96">
        <v>0</v>
      </c>
      <c r="M59" s="96">
        <v>0</v>
      </c>
      <c r="N59" s="96">
        <v>0</v>
      </c>
      <c r="O59" s="96">
        <v>0</v>
      </c>
      <c r="P59" s="100">
        <v>0</v>
      </c>
      <c r="Q59" s="133">
        <f t="shared" si="12"/>
        <v>14</v>
      </c>
      <c r="R59" s="101">
        <f t="shared" si="13"/>
        <v>0</v>
      </c>
    </row>
    <row r="60" spans="1:18" ht="14.25" customHeight="1" x14ac:dyDescent="0.75">
      <c r="A60" s="93">
        <v>666516</v>
      </c>
      <c r="B60" s="94" t="s">
        <v>22</v>
      </c>
      <c r="C60" s="95" t="s">
        <v>23</v>
      </c>
      <c r="D60" s="96">
        <v>31</v>
      </c>
      <c r="E60" s="97">
        <f t="shared" si="10"/>
        <v>15.5</v>
      </c>
      <c r="F60" s="96">
        <v>0</v>
      </c>
      <c r="G60" s="96">
        <v>26</v>
      </c>
      <c r="H60" s="96">
        <v>0</v>
      </c>
      <c r="I60" s="96">
        <v>5</v>
      </c>
      <c r="J60" s="96">
        <v>0</v>
      </c>
      <c r="K60" s="99">
        <f t="shared" si="11"/>
        <v>0</v>
      </c>
      <c r="L60" s="96">
        <v>0</v>
      </c>
      <c r="M60" s="96">
        <v>0</v>
      </c>
      <c r="N60" s="96">
        <v>0</v>
      </c>
      <c r="O60" s="96">
        <v>0</v>
      </c>
      <c r="P60" s="100">
        <v>0</v>
      </c>
      <c r="Q60" s="133">
        <f t="shared" si="12"/>
        <v>31</v>
      </c>
      <c r="R60" s="101">
        <f t="shared" si="13"/>
        <v>0</v>
      </c>
    </row>
    <row r="61" spans="1:18" ht="14.25" customHeight="1" x14ac:dyDescent="0.75">
      <c r="A61" s="93">
        <v>666517</v>
      </c>
      <c r="B61" s="94" t="s">
        <v>24</v>
      </c>
      <c r="C61" s="95" t="s">
        <v>25</v>
      </c>
      <c r="D61" s="96">
        <v>17</v>
      </c>
      <c r="E61" s="97">
        <f t="shared" si="10"/>
        <v>8.5</v>
      </c>
      <c r="F61" s="96">
        <v>0</v>
      </c>
      <c r="G61" s="96">
        <v>17</v>
      </c>
      <c r="H61" s="96">
        <v>0</v>
      </c>
      <c r="I61" s="96">
        <v>0</v>
      </c>
      <c r="J61" s="96">
        <v>0</v>
      </c>
      <c r="K61" s="99">
        <f t="shared" si="11"/>
        <v>0</v>
      </c>
      <c r="L61" s="96">
        <v>0</v>
      </c>
      <c r="M61" s="96">
        <v>0</v>
      </c>
      <c r="N61" s="96">
        <v>0</v>
      </c>
      <c r="O61" s="96">
        <v>0</v>
      </c>
      <c r="P61" s="100">
        <v>0</v>
      </c>
      <c r="Q61" s="133">
        <f t="shared" si="12"/>
        <v>17</v>
      </c>
      <c r="R61" s="101">
        <f t="shared" si="13"/>
        <v>0</v>
      </c>
    </row>
    <row r="62" spans="1:18" ht="14.25" customHeight="1" x14ac:dyDescent="0.75">
      <c r="A62" s="93">
        <v>666518</v>
      </c>
      <c r="B62" s="94" t="s">
        <v>26</v>
      </c>
      <c r="C62" s="95" t="s">
        <v>27</v>
      </c>
      <c r="D62" s="96">
        <v>0</v>
      </c>
      <c r="E62" s="97">
        <f t="shared" si="10"/>
        <v>0</v>
      </c>
      <c r="F62" s="96">
        <v>0</v>
      </c>
      <c r="G62" s="96">
        <v>0</v>
      </c>
      <c r="H62" s="96">
        <v>0</v>
      </c>
      <c r="I62" s="96">
        <v>0</v>
      </c>
      <c r="J62" s="96">
        <v>0</v>
      </c>
      <c r="K62" s="99">
        <f t="shared" si="11"/>
        <v>0</v>
      </c>
      <c r="L62" s="96">
        <v>0</v>
      </c>
      <c r="M62" s="96">
        <v>0</v>
      </c>
      <c r="N62" s="96">
        <v>0</v>
      </c>
      <c r="O62" s="96">
        <v>0</v>
      </c>
      <c r="P62" s="100">
        <v>0</v>
      </c>
      <c r="Q62" s="101">
        <f t="shared" si="12"/>
        <v>0</v>
      </c>
      <c r="R62" s="101">
        <f t="shared" si="13"/>
        <v>0</v>
      </c>
    </row>
    <row r="63" spans="1:18" ht="14.25" customHeight="1" x14ac:dyDescent="0.75">
      <c r="A63" s="93">
        <v>666519</v>
      </c>
      <c r="B63" s="94" t="s">
        <v>28</v>
      </c>
      <c r="C63" s="95" t="s">
        <v>29</v>
      </c>
      <c r="D63" s="96">
        <v>26</v>
      </c>
      <c r="E63" s="97">
        <f t="shared" si="10"/>
        <v>13</v>
      </c>
      <c r="F63" s="96">
        <v>0</v>
      </c>
      <c r="G63" s="96">
        <v>26</v>
      </c>
      <c r="H63" s="96">
        <v>0</v>
      </c>
      <c r="I63" s="96">
        <v>0</v>
      </c>
      <c r="J63" s="96">
        <v>0</v>
      </c>
      <c r="K63" s="99">
        <f t="shared" si="11"/>
        <v>0</v>
      </c>
      <c r="L63" s="96">
        <v>0</v>
      </c>
      <c r="M63" s="96">
        <v>0</v>
      </c>
      <c r="N63" s="96">
        <v>0</v>
      </c>
      <c r="O63" s="96">
        <v>0</v>
      </c>
      <c r="P63" s="100">
        <v>0</v>
      </c>
      <c r="Q63" s="133">
        <f t="shared" si="12"/>
        <v>26</v>
      </c>
      <c r="R63" s="101">
        <f t="shared" si="13"/>
        <v>0</v>
      </c>
    </row>
    <row r="64" spans="1:18" ht="14.25" customHeight="1" x14ac:dyDescent="0.75">
      <c r="A64" s="93">
        <v>666521</v>
      </c>
      <c r="B64" s="94" t="s">
        <v>30</v>
      </c>
      <c r="C64" s="95" t="s">
        <v>31</v>
      </c>
      <c r="D64" s="96">
        <v>0</v>
      </c>
      <c r="E64" s="97">
        <f t="shared" si="10"/>
        <v>0</v>
      </c>
      <c r="F64" s="96">
        <v>0</v>
      </c>
      <c r="G64" s="96">
        <v>0</v>
      </c>
      <c r="H64" s="96">
        <v>0</v>
      </c>
      <c r="I64" s="96">
        <v>0</v>
      </c>
      <c r="J64" s="96">
        <v>0</v>
      </c>
      <c r="K64" s="99">
        <f t="shared" si="11"/>
        <v>0</v>
      </c>
      <c r="L64" s="96">
        <v>0</v>
      </c>
      <c r="M64" s="96">
        <v>0</v>
      </c>
      <c r="N64" s="96">
        <v>0</v>
      </c>
      <c r="O64" s="96">
        <v>0</v>
      </c>
      <c r="P64" s="100">
        <v>0</v>
      </c>
      <c r="Q64" s="101">
        <f t="shared" si="12"/>
        <v>0</v>
      </c>
      <c r="R64" s="101">
        <f t="shared" si="13"/>
        <v>0</v>
      </c>
    </row>
    <row r="65" spans="1:18" ht="14.25" customHeight="1" x14ac:dyDescent="0.75">
      <c r="A65" s="93">
        <v>666522</v>
      </c>
      <c r="B65" s="94" t="s">
        <v>32</v>
      </c>
      <c r="C65" s="95" t="s">
        <v>33</v>
      </c>
      <c r="D65" s="96">
        <v>100</v>
      </c>
      <c r="E65" s="97">
        <f t="shared" si="10"/>
        <v>50</v>
      </c>
      <c r="F65" s="96">
        <v>0</v>
      </c>
      <c r="G65" s="96">
        <v>35</v>
      </c>
      <c r="H65" s="96">
        <v>0</v>
      </c>
      <c r="I65" s="96">
        <v>65</v>
      </c>
      <c r="J65" s="96">
        <v>0</v>
      </c>
      <c r="K65" s="99">
        <f t="shared" si="11"/>
        <v>0</v>
      </c>
      <c r="L65" s="96">
        <v>0</v>
      </c>
      <c r="M65" s="96">
        <v>0</v>
      </c>
      <c r="N65" s="96">
        <v>0</v>
      </c>
      <c r="O65" s="96">
        <v>0</v>
      </c>
      <c r="P65" s="100">
        <v>0</v>
      </c>
      <c r="Q65" s="133">
        <f t="shared" si="12"/>
        <v>100</v>
      </c>
      <c r="R65" s="101">
        <f t="shared" si="13"/>
        <v>0</v>
      </c>
    </row>
    <row r="66" spans="1:18" ht="14.25" customHeight="1" x14ac:dyDescent="0.75">
      <c r="A66" s="93">
        <v>666523</v>
      </c>
      <c r="B66" s="94" t="s">
        <v>34</v>
      </c>
      <c r="C66" s="95" t="s">
        <v>35</v>
      </c>
      <c r="D66" s="96">
        <v>40</v>
      </c>
      <c r="E66" s="97">
        <f t="shared" si="10"/>
        <v>20</v>
      </c>
      <c r="F66" s="96">
        <v>0</v>
      </c>
      <c r="G66" s="96">
        <v>20</v>
      </c>
      <c r="H66" s="96">
        <v>0</v>
      </c>
      <c r="I66" s="96">
        <v>20</v>
      </c>
      <c r="J66" s="96">
        <v>0</v>
      </c>
      <c r="K66" s="99">
        <f t="shared" si="11"/>
        <v>0</v>
      </c>
      <c r="L66" s="96">
        <v>0</v>
      </c>
      <c r="M66" s="96">
        <v>0</v>
      </c>
      <c r="N66" s="96">
        <v>0</v>
      </c>
      <c r="O66" s="96">
        <v>0</v>
      </c>
      <c r="P66" s="100">
        <v>0</v>
      </c>
      <c r="Q66" s="133">
        <f t="shared" si="12"/>
        <v>40</v>
      </c>
      <c r="R66" s="101">
        <f t="shared" si="13"/>
        <v>0</v>
      </c>
    </row>
    <row r="67" spans="1:18" ht="14.25" customHeight="1" x14ac:dyDescent="0.75">
      <c r="A67" s="93">
        <v>666530</v>
      </c>
      <c r="B67" s="94" t="s">
        <v>36</v>
      </c>
      <c r="C67" s="95" t="s">
        <v>37</v>
      </c>
      <c r="D67" s="96">
        <v>24</v>
      </c>
      <c r="E67" s="97">
        <f t="shared" si="10"/>
        <v>12</v>
      </c>
      <c r="F67" s="96">
        <v>0</v>
      </c>
      <c r="G67" s="96">
        <v>17</v>
      </c>
      <c r="H67" s="96">
        <v>0</v>
      </c>
      <c r="I67" s="96">
        <v>7</v>
      </c>
      <c r="J67" s="96">
        <v>0</v>
      </c>
      <c r="K67" s="99">
        <f t="shared" si="11"/>
        <v>0</v>
      </c>
      <c r="L67" s="96">
        <v>0</v>
      </c>
      <c r="M67" s="96">
        <v>0</v>
      </c>
      <c r="N67" s="96">
        <v>0</v>
      </c>
      <c r="O67" s="96">
        <v>0</v>
      </c>
      <c r="P67" s="100">
        <v>0</v>
      </c>
      <c r="Q67" s="133">
        <f t="shared" si="12"/>
        <v>24</v>
      </c>
      <c r="R67" s="101">
        <f t="shared" si="13"/>
        <v>0</v>
      </c>
    </row>
    <row r="68" spans="1:18" ht="14.25" customHeight="1" x14ac:dyDescent="0.75">
      <c r="A68" s="93">
        <v>666531</v>
      </c>
      <c r="B68" s="94" t="s">
        <v>38</v>
      </c>
      <c r="C68" s="95" t="s">
        <v>39</v>
      </c>
      <c r="D68" s="96">
        <v>8</v>
      </c>
      <c r="E68" s="97">
        <f t="shared" si="10"/>
        <v>4</v>
      </c>
      <c r="F68" s="96">
        <v>0</v>
      </c>
      <c r="G68" s="96">
        <v>8</v>
      </c>
      <c r="H68" s="96">
        <v>0</v>
      </c>
      <c r="I68" s="96">
        <v>0</v>
      </c>
      <c r="J68" s="96">
        <v>0</v>
      </c>
      <c r="K68" s="99">
        <f t="shared" si="11"/>
        <v>0</v>
      </c>
      <c r="L68" s="96">
        <v>0</v>
      </c>
      <c r="M68" s="96">
        <v>0</v>
      </c>
      <c r="N68" s="96">
        <v>0</v>
      </c>
      <c r="O68" s="96">
        <v>0</v>
      </c>
      <c r="P68" s="100">
        <v>0</v>
      </c>
      <c r="Q68" s="133">
        <f t="shared" si="12"/>
        <v>8</v>
      </c>
      <c r="R68" s="101">
        <f t="shared" si="13"/>
        <v>0</v>
      </c>
    </row>
    <row r="69" spans="1:18" ht="14.25" customHeight="1" x14ac:dyDescent="0.75">
      <c r="A69" s="93">
        <v>666540</v>
      </c>
      <c r="B69" s="94" t="s">
        <v>40</v>
      </c>
      <c r="C69" s="95" t="s">
        <v>40</v>
      </c>
      <c r="D69" s="96">
        <v>0</v>
      </c>
      <c r="E69" s="97">
        <f t="shared" si="10"/>
        <v>0</v>
      </c>
      <c r="F69" s="96">
        <v>0</v>
      </c>
      <c r="G69" s="96">
        <v>0</v>
      </c>
      <c r="H69" s="96">
        <v>0</v>
      </c>
      <c r="I69" s="96">
        <v>0</v>
      </c>
      <c r="J69" s="96">
        <v>0</v>
      </c>
      <c r="K69" s="99">
        <f t="shared" si="11"/>
        <v>0</v>
      </c>
      <c r="L69" s="96">
        <v>0</v>
      </c>
      <c r="M69" s="96">
        <v>0</v>
      </c>
      <c r="N69" s="96">
        <v>0</v>
      </c>
      <c r="O69" s="96">
        <v>0</v>
      </c>
      <c r="P69" s="100">
        <v>0</v>
      </c>
      <c r="Q69" s="101">
        <f t="shared" si="12"/>
        <v>0</v>
      </c>
      <c r="R69" s="101">
        <f t="shared" si="13"/>
        <v>0</v>
      </c>
    </row>
    <row r="70" spans="1:18" ht="15" customHeight="1" x14ac:dyDescent="0.75">
      <c r="A70" s="93">
        <v>666541</v>
      </c>
      <c r="B70" s="109" t="s">
        <v>41</v>
      </c>
      <c r="C70" s="95" t="s">
        <v>41</v>
      </c>
      <c r="D70" s="96">
        <v>0</v>
      </c>
      <c r="E70" s="97">
        <f t="shared" si="10"/>
        <v>0</v>
      </c>
      <c r="F70" s="96">
        <v>0</v>
      </c>
      <c r="G70" s="96">
        <v>0</v>
      </c>
      <c r="H70" s="96">
        <v>0</v>
      </c>
      <c r="I70" s="96">
        <v>0</v>
      </c>
      <c r="J70" s="96">
        <v>0</v>
      </c>
      <c r="K70" s="99">
        <f t="shared" si="11"/>
        <v>0</v>
      </c>
      <c r="L70" s="96">
        <v>0</v>
      </c>
      <c r="M70" s="96">
        <v>0</v>
      </c>
      <c r="N70" s="96">
        <v>0</v>
      </c>
      <c r="O70" s="96">
        <v>0</v>
      </c>
      <c r="P70" s="100">
        <v>0</v>
      </c>
      <c r="Q70" s="101">
        <f t="shared" si="12"/>
        <v>0</v>
      </c>
      <c r="R70" s="101">
        <f t="shared" si="13"/>
        <v>0</v>
      </c>
    </row>
    <row r="71" spans="1:18" ht="15" customHeight="1" x14ac:dyDescent="0.75">
      <c r="A71" s="108">
        <v>666536</v>
      </c>
      <c r="B71" s="109" t="s">
        <v>42</v>
      </c>
      <c r="C71" s="103" t="s">
        <v>41</v>
      </c>
      <c r="D71" s="104">
        <v>0</v>
      </c>
      <c r="E71" s="111">
        <f t="shared" si="10"/>
        <v>0</v>
      </c>
      <c r="F71" s="104">
        <v>0</v>
      </c>
      <c r="G71" s="104">
        <v>0</v>
      </c>
      <c r="H71" s="104">
        <v>0</v>
      </c>
      <c r="I71" s="104">
        <v>0</v>
      </c>
      <c r="J71" s="104">
        <v>0</v>
      </c>
      <c r="K71" s="106">
        <f t="shared" si="11"/>
        <v>0</v>
      </c>
      <c r="L71" s="96">
        <v>0</v>
      </c>
      <c r="M71" s="96">
        <v>0</v>
      </c>
      <c r="N71" s="96">
        <v>0</v>
      </c>
      <c r="O71" s="96">
        <v>0</v>
      </c>
      <c r="P71" s="100">
        <v>0</v>
      </c>
      <c r="Q71" s="101">
        <f t="shared" si="12"/>
        <v>0</v>
      </c>
      <c r="R71" s="101">
        <f t="shared" si="13"/>
        <v>0</v>
      </c>
    </row>
  </sheetData>
  <mergeCells count="3">
    <mergeCell ref="A1:E1"/>
    <mergeCell ref="A25:E25"/>
    <mergeCell ref="A49:E49"/>
  </mergeCells>
  <conditionalFormatting sqref="F24 H24 J24">
    <cfRule type="expression" dxfId="145" priority="2">
      <formula>#REF!=F24</formula>
    </cfRule>
    <cfRule type="expression" dxfId="144" priority="3">
      <formula>#REF!&lt;F24</formula>
    </cfRule>
    <cfRule type="expression" dxfId="143" priority="4">
      <formula>#REF!&gt;F24</formula>
    </cfRule>
  </conditionalFormatting>
  <conditionalFormatting sqref="Q3">
    <cfRule type="cellIs" dxfId="142" priority="8" operator="equal">
      <formula>$D$3</formula>
    </cfRule>
  </conditionalFormatting>
  <conditionalFormatting sqref="Q5:Q23">
    <cfRule type="cellIs" dxfId="141" priority="7" operator="equal">
      <formula>$D$3</formula>
    </cfRule>
  </conditionalFormatting>
  <conditionalFormatting sqref="Q8">
    <cfRule type="cellIs" dxfId="140" priority="5" operator="lessThan">
      <formula>$D$8</formula>
    </cfRule>
    <cfRule type="cellIs" dxfId="139" priority="6" operator="equal">
      <formula>$D$8</formula>
    </cfRule>
  </conditionalFormatting>
  <pageMargins left="0.25" right="0.2" top="0" bottom="0" header="0.511811023622047" footer="0.511811023622047"/>
  <pageSetup scale="155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S26"/>
  <sheetViews>
    <sheetView zoomScaleNormal="100" workbookViewId="0">
      <selection activeCell="D1" sqref="D1"/>
    </sheetView>
  </sheetViews>
  <sheetFormatPr defaultColWidth="8.54296875" defaultRowHeight="14.75" x14ac:dyDescent="0.75"/>
  <cols>
    <col min="2" max="2" width="34.453125" customWidth="1"/>
    <col min="3" max="3" width="10.31640625" customWidth="1"/>
    <col min="4" max="4" width="10.86328125" customWidth="1"/>
  </cols>
  <sheetData>
    <row r="1" spans="1:12" ht="14.25" customHeight="1" x14ac:dyDescent="0.75">
      <c r="C1" s="145" t="s">
        <v>174</v>
      </c>
    </row>
    <row r="2" spans="1:12" ht="28.5" customHeight="1" x14ac:dyDescent="0.75">
      <c r="A2" s="51"/>
      <c r="B2" s="51" t="s">
        <v>178</v>
      </c>
      <c r="C2" s="51"/>
      <c r="D2" s="51" t="s">
        <v>144</v>
      </c>
      <c r="E2" s="53" t="s">
        <v>116</v>
      </c>
      <c r="F2" s="53" t="s">
        <v>145</v>
      </c>
      <c r="G2" s="56" t="s">
        <v>119</v>
      </c>
      <c r="H2" s="53" t="s">
        <v>146</v>
      </c>
      <c r="I2" s="51" t="s">
        <v>122</v>
      </c>
      <c r="J2" s="56" t="s">
        <v>147</v>
      </c>
      <c r="K2" s="51" t="s">
        <v>148</v>
      </c>
      <c r="L2" s="53" t="s">
        <v>149</v>
      </c>
    </row>
    <row r="3" spans="1:12" ht="14.25" customHeight="1" x14ac:dyDescent="0.75">
      <c r="A3" s="50"/>
      <c r="B3" s="50"/>
      <c r="C3" s="57" t="s">
        <v>150</v>
      </c>
      <c r="D3" s="57"/>
      <c r="E3" s="57"/>
      <c r="F3" s="59"/>
      <c r="G3" s="59"/>
      <c r="H3" s="59"/>
      <c r="I3" s="59"/>
      <c r="J3" s="59"/>
      <c r="K3" s="59"/>
      <c r="L3" s="59"/>
    </row>
    <row r="4" spans="1:12" ht="14.25" customHeight="1" x14ac:dyDescent="0.75">
      <c r="A4" s="62" t="s">
        <v>129</v>
      </c>
      <c r="B4" s="62" t="s">
        <v>2</v>
      </c>
      <c r="C4" s="62" t="s">
        <v>3</v>
      </c>
      <c r="D4" s="62"/>
      <c r="E4" s="62"/>
      <c r="F4" s="62"/>
      <c r="G4" s="62"/>
      <c r="H4" s="62"/>
      <c r="I4" s="62"/>
      <c r="J4" s="62"/>
      <c r="K4" s="62"/>
      <c r="L4" s="62"/>
    </row>
    <row r="5" spans="1:12" ht="14.25" customHeight="1" x14ac:dyDescent="0.75">
      <c r="A5" s="62"/>
      <c r="B5" s="62"/>
      <c r="C5" s="62" t="s">
        <v>151</v>
      </c>
      <c r="D5" s="62"/>
      <c r="E5" s="62"/>
      <c r="F5" s="50">
        <v>158</v>
      </c>
      <c r="G5" s="50"/>
      <c r="H5" s="50">
        <v>1056</v>
      </c>
      <c r="I5" s="50"/>
      <c r="J5" s="50">
        <v>163</v>
      </c>
      <c r="K5" s="62" t="s">
        <v>152</v>
      </c>
      <c r="L5" s="62">
        <f>SUM(F5:J5)</f>
        <v>1377</v>
      </c>
    </row>
    <row r="6" spans="1:12" ht="14.25" customHeight="1" x14ac:dyDescent="0.75">
      <c r="A6" s="50">
        <v>666501</v>
      </c>
      <c r="B6" s="73" t="s">
        <v>4</v>
      </c>
      <c r="C6" s="73" t="s">
        <v>5</v>
      </c>
      <c r="D6" s="50">
        <f t="shared" ref="D6:D25" si="0">+K6</f>
        <v>804</v>
      </c>
      <c r="E6" s="50">
        <v>72</v>
      </c>
      <c r="F6" s="70">
        <v>72</v>
      </c>
      <c r="G6" s="50">
        <v>666</v>
      </c>
      <c r="H6" s="70">
        <v>666</v>
      </c>
      <c r="I6" s="50">
        <v>66</v>
      </c>
      <c r="J6" s="70">
        <v>66</v>
      </c>
      <c r="K6" s="50">
        <f t="shared" ref="K6:K26" si="1">+I6+G6+E6</f>
        <v>804</v>
      </c>
      <c r="L6" s="50">
        <f t="shared" ref="L6:L26" si="2">+F6+H6+J6</f>
        <v>804</v>
      </c>
    </row>
    <row r="7" spans="1:12" ht="14.25" customHeight="1" x14ac:dyDescent="0.75">
      <c r="A7" s="50">
        <v>666502</v>
      </c>
      <c r="B7" s="73" t="s">
        <v>6</v>
      </c>
      <c r="C7" s="73" t="s">
        <v>7</v>
      </c>
      <c r="D7" s="50">
        <f t="shared" si="0"/>
        <v>351</v>
      </c>
      <c r="E7" s="50">
        <v>0</v>
      </c>
      <c r="F7" s="50">
        <v>0</v>
      </c>
      <c r="G7" s="50">
        <v>277</v>
      </c>
      <c r="H7" s="50">
        <v>256</v>
      </c>
      <c r="I7" s="50">
        <v>74</v>
      </c>
      <c r="J7" s="70">
        <v>74</v>
      </c>
      <c r="K7" s="50">
        <f t="shared" si="1"/>
        <v>351</v>
      </c>
      <c r="L7" s="50">
        <f t="shared" si="2"/>
        <v>330</v>
      </c>
    </row>
    <row r="8" spans="1:12" ht="14.25" customHeight="1" x14ac:dyDescent="0.75">
      <c r="A8" s="50">
        <v>666505</v>
      </c>
      <c r="B8" s="73" t="s">
        <v>8</v>
      </c>
      <c r="C8" s="73" t="s">
        <v>9</v>
      </c>
      <c r="D8" s="50">
        <f t="shared" si="0"/>
        <v>58</v>
      </c>
      <c r="E8" s="50">
        <v>19</v>
      </c>
      <c r="F8" s="70">
        <v>19</v>
      </c>
      <c r="G8" s="50">
        <v>0</v>
      </c>
      <c r="H8" s="50">
        <v>0</v>
      </c>
      <c r="I8" s="50">
        <v>39</v>
      </c>
      <c r="J8" s="70">
        <v>39</v>
      </c>
      <c r="K8" s="50">
        <f t="shared" si="1"/>
        <v>58</v>
      </c>
      <c r="L8" s="50">
        <f t="shared" si="2"/>
        <v>58</v>
      </c>
    </row>
    <row r="9" spans="1:12" ht="14.25" customHeight="1" x14ac:dyDescent="0.75">
      <c r="A9" s="50">
        <v>666506</v>
      </c>
      <c r="B9" s="73" t="s">
        <v>10</v>
      </c>
      <c r="C9" s="73" t="s">
        <v>11</v>
      </c>
      <c r="D9" s="50">
        <f t="shared" si="0"/>
        <v>277</v>
      </c>
      <c r="E9" s="50">
        <v>0</v>
      </c>
      <c r="F9" s="50">
        <v>0</v>
      </c>
      <c r="G9" s="50">
        <v>277</v>
      </c>
      <c r="H9" s="50">
        <v>85</v>
      </c>
      <c r="I9" s="50">
        <v>0</v>
      </c>
      <c r="J9" s="50">
        <v>0</v>
      </c>
      <c r="K9" s="50">
        <f t="shared" si="1"/>
        <v>277</v>
      </c>
      <c r="L9" s="50">
        <f t="shared" si="2"/>
        <v>85</v>
      </c>
    </row>
    <row r="10" spans="1:12" ht="14.25" customHeight="1" x14ac:dyDescent="0.75">
      <c r="A10" s="50">
        <v>666507</v>
      </c>
      <c r="B10" s="73" t="s">
        <v>12</v>
      </c>
      <c r="C10" s="73" t="s">
        <v>13</v>
      </c>
      <c r="D10" s="50">
        <f t="shared" si="0"/>
        <v>16</v>
      </c>
      <c r="E10" s="50">
        <v>16</v>
      </c>
      <c r="F10" s="70">
        <v>16</v>
      </c>
      <c r="G10" s="50">
        <v>0</v>
      </c>
      <c r="H10" s="50">
        <v>0</v>
      </c>
      <c r="I10" s="50">
        <v>0</v>
      </c>
      <c r="J10" s="50">
        <v>0</v>
      </c>
      <c r="K10" s="50">
        <f t="shared" si="1"/>
        <v>16</v>
      </c>
      <c r="L10" s="50">
        <f t="shared" si="2"/>
        <v>16</v>
      </c>
    </row>
    <row r="11" spans="1:12" ht="14.25" customHeight="1" x14ac:dyDescent="0.75">
      <c r="A11" s="50">
        <v>666509</v>
      </c>
      <c r="B11" s="73" t="s">
        <v>14</v>
      </c>
      <c r="C11" s="73" t="s">
        <v>15</v>
      </c>
      <c r="D11" s="50">
        <f t="shared" si="0"/>
        <v>68</v>
      </c>
      <c r="E11" s="50">
        <v>68</v>
      </c>
      <c r="F11" s="70">
        <v>68</v>
      </c>
      <c r="G11" s="50">
        <v>0</v>
      </c>
      <c r="H11" s="50">
        <v>0</v>
      </c>
      <c r="I11" s="50">
        <v>0</v>
      </c>
      <c r="J11" s="50">
        <v>0</v>
      </c>
      <c r="K11" s="50">
        <f t="shared" si="1"/>
        <v>68</v>
      </c>
      <c r="L11" s="50">
        <f t="shared" si="2"/>
        <v>68</v>
      </c>
    </row>
    <row r="12" spans="1:12" ht="14.25" customHeight="1" x14ac:dyDescent="0.75">
      <c r="A12" s="50">
        <v>666510</v>
      </c>
      <c r="B12" s="73" t="s">
        <v>16</v>
      </c>
      <c r="C12" s="73" t="s">
        <v>169</v>
      </c>
      <c r="D12" s="50">
        <f t="shared" si="0"/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f t="shared" si="1"/>
        <v>0</v>
      </c>
      <c r="L12" s="50">
        <f t="shared" si="2"/>
        <v>0</v>
      </c>
    </row>
    <row r="13" spans="1:12" ht="14.25" customHeight="1" x14ac:dyDescent="0.75">
      <c r="A13" s="50">
        <v>666511</v>
      </c>
      <c r="B13" s="73" t="s">
        <v>18</v>
      </c>
      <c r="C13" s="73" t="s">
        <v>19</v>
      </c>
      <c r="D13" s="50">
        <f t="shared" si="0"/>
        <v>6</v>
      </c>
      <c r="E13" s="50">
        <v>6</v>
      </c>
      <c r="F13" s="70">
        <v>6</v>
      </c>
      <c r="G13" s="50">
        <v>0</v>
      </c>
      <c r="H13" s="50">
        <v>0</v>
      </c>
      <c r="I13" s="50">
        <v>0</v>
      </c>
      <c r="J13" s="50">
        <v>0</v>
      </c>
      <c r="K13" s="50">
        <f t="shared" si="1"/>
        <v>6</v>
      </c>
      <c r="L13" s="50">
        <f t="shared" si="2"/>
        <v>6</v>
      </c>
    </row>
    <row r="14" spans="1:12" ht="14.25" customHeight="1" x14ac:dyDescent="0.75">
      <c r="A14" s="50">
        <v>666513</v>
      </c>
      <c r="B14" s="73" t="s">
        <v>20</v>
      </c>
      <c r="C14" s="73" t="s">
        <v>21</v>
      </c>
      <c r="D14" s="50">
        <f t="shared" si="0"/>
        <v>20</v>
      </c>
      <c r="E14" s="50">
        <v>6</v>
      </c>
      <c r="F14" s="70">
        <v>6</v>
      </c>
      <c r="G14" s="50">
        <v>0</v>
      </c>
      <c r="H14" s="50">
        <v>0</v>
      </c>
      <c r="I14" s="50">
        <v>14</v>
      </c>
      <c r="J14" s="70">
        <v>14</v>
      </c>
      <c r="K14" s="50">
        <f t="shared" si="1"/>
        <v>20</v>
      </c>
      <c r="L14" s="50">
        <f t="shared" si="2"/>
        <v>20</v>
      </c>
    </row>
    <row r="15" spans="1:12" ht="14.25" customHeight="1" x14ac:dyDescent="0.75">
      <c r="A15" s="50">
        <v>666516</v>
      </c>
      <c r="B15" s="73" t="s">
        <v>22</v>
      </c>
      <c r="C15" s="73" t="s">
        <v>23</v>
      </c>
      <c r="D15" s="50">
        <f t="shared" si="0"/>
        <v>62</v>
      </c>
      <c r="E15" s="50">
        <v>31</v>
      </c>
      <c r="F15" s="70">
        <v>31</v>
      </c>
      <c r="G15" s="50">
        <v>0</v>
      </c>
      <c r="H15" s="50">
        <v>0</v>
      </c>
      <c r="I15" s="50">
        <v>31</v>
      </c>
      <c r="J15" s="70">
        <v>31</v>
      </c>
      <c r="K15" s="50">
        <f t="shared" si="1"/>
        <v>62</v>
      </c>
      <c r="L15" s="50">
        <f t="shared" si="2"/>
        <v>62</v>
      </c>
    </row>
    <row r="16" spans="1:12" ht="14.25" customHeight="1" x14ac:dyDescent="0.75">
      <c r="A16" s="50">
        <v>666517</v>
      </c>
      <c r="B16" s="73" t="s">
        <v>24</v>
      </c>
      <c r="C16" s="73" t="s">
        <v>25</v>
      </c>
      <c r="D16" s="50">
        <f t="shared" si="0"/>
        <v>56</v>
      </c>
      <c r="E16" s="50">
        <v>39</v>
      </c>
      <c r="F16" s="70">
        <v>39</v>
      </c>
      <c r="G16" s="50">
        <v>0</v>
      </c>
      <c r="H16" s="50">
        <v>0</v>
      </c>
      <c r="I16" s="50">
        <v>17</v>
      </c>
      <c r="J16" s="70">
        <v>17</v>
      </c>
      <c r="K16" s="50">
        <f t="shared" si="1"/>
        <v>56</v>
      </c>
      <c r="L16" s="50">
        <f t="shared" si="2"/>
        <v>56</v>
      </c>
    </row>
    <row r="17" spans="1:19" ht="14.25" customHeight="1" x14ac:dyDescent="0.75">
      <c r="A17" s="50">
        <v>666518</v>
      </c>
      <c r="B17" s="73" t="s">
        <v>26</v>
      </c>
      <c r="C17" s="73" t="s">
        <v>27</v>
      </c>
      <c r="D17" s="50">
        <f t="shared" si="0"/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f t="shared" si="1"/>
        <v>0</v>
      </c>
      <c r="L17" s="50">
        <f t="shared" si="2"/>
        <v>0</v>
      </c>
    </row>
    <row r="18" spans="1:19" ht="14.25" customHeight="1" x14ac:dyDescent="0.75">
      <c r="A18" s="50">
        <v>666519</v>
      </c>
      <c r="B18" s="73" t="s">
        <v>28</v>
      </c>
      <c r="C18" s="73" t="s">
        <v>29</v>
      </c>
      <c r="D18" s="50">
        <f t="shared" si="0"/>
        <v>52</v>
      </c>
      <c r="E18" s="50">
        <v>26</v>
      </c>
      <c r="F18" s="70">
        <v>26</v>
      </c>
      <c r="G18" s="50">
        <v>0</v>
      </c>
      <c r="H18" s="50">
        <v>0</v>
      </c>
      <c r="I18" s="50">
        <v>26</v>
      </c>
      <c r="J18" s="70">
        <v>26</v>
      </c>
      <c r="K18" s="50">
        <f t="shared" si="1"/>
        <v>52</v>
      </c>
      <c r="L18" s="50">
        <f t="shared" si="2"/>
        <v>52</v>
      </c>
    </row>
    <row r="19" spans="1:19" ht="14.25" customHeight="1" x14ac:dyDescent="0.75">
      <c r="A19" s="50">
        <v>666521</v>
      </c>
      <c r="B19" s="73" t="s">
        <v>30</v>
      </c>
      <c r="C19" s="73" t="s">
        <v>31</v>
      </c>
      <c r="D19" s="50">
        <f t="shared" si="0"/>
        <v>120</v>
      </c>
      <c r="E19" s="50">
        <v>120</v>
      </c>
      <c r="F19" s="50">
        <v>74</v>
      </c>
      <c r="G19" s="50">
        <v>0</v>
      </c>
      <c r="H19" s="50">
        <v>0</v>
      </c>
      <c r="I19" s="50">
        <v>0</v>
      </c>
      <c r="J19" s="50">
        <v>0</v>
      </c>
      <c r="K19" s="50">
        <f t="shared" si="1"/>
        <v>120</v>
      </c>
      <c r="L19" s="50">
        <f t="shared" si="2"/>
        <v>74</v>
      </c>
    </row>
    <row r="20" spans="1:19" ht="14.25" customHeight="1" x14ac:dyDescent="0.75">
      <c r="A20" s="50">
        <v>666522</v>
      </c>
      <c r="B20" s="73" t="s">
        <v>32</v>
      </c>
      <c r="C20" s="73" t="s">
        <v>33</v>
      </c>
      <c r="D20" s="50">
        <f t="shared" si="0"/>
        <v>460</v>
      </c>
      <c r="E20" s="50">
        <v>190</v>
      </c>
      <c r="F20" s="70">
        <v>190</v>
      </c>
      <c r="G20" s="50">
        <v>170</v>
      </c>
      <c r="H20" s="70">
        <v>170</v>
      </c>
      <c r="I20" s="50">
        <v>100</v>
      </c>
      <c r="J20" s="70">
        <v>100</v>
      </c>
      <c r="K20" s="50">
        <f t="shared" si="1"/>
        <v>460</v>
      </c>
      <c r="L20" s="50">
        <f t="shared" si="2"/>
        <v>460</v>
      </c>
    </row>
    <row r="21" spans="1:19" ht="14.25" customHeight="1" x14ac:dyDescent="0.75">
      <c r="A21" s="50">
        <v>666523</v>
      </c>
      <c r="B21" s="73" t="s">
        <v>34</v>
      </c>
      <c r="C21" s="73" t="s">
        <v>35</v>
      </c>
      <c r="D21" s="50">
        <f t="shared" si="0"/>
        <v>40</v>
      </c>
      <c r="E21" s="50">
        <v>0</v>
      </c>
      <c r="F21" s="50">
        <v>0</v>
      </c>
      <c r="G21" s="50">
        <v>0</v>
      </c>
      <c r="H21" s="50">
        <v>0</v>
      </c>
      <c r="I21" s="50">
        <v>40</v>
      </c>
      <c r="J21" s="70">
        <v>40</v>
      </c>
      <c r="K21" s="50">
        <f t="shared" si="1"/>
        <v>40</v>
      </c>
      <c r="L21" s="50">
        <f t="shared" si="2"/>
        <v>40</v>
      </c>
    </row>
    <row r="22" spans="1:19" ht="14.25" customHeight="1" x14ac:dyDescent="0.75">
      <c r="A22" s="50">
        <v>666530</v>
      </c>
      <c r="B22" s="73" t="s">
        <v>36</v>
      </c>
      <c r="C22" s="73" t="s">
        <v>37</v>
      </c>
      <c r="D22" s="50">
        <f t="shared" si="0"/>
        <v>24</v>
      </c>
      <c r="E22" s="50">
        <v>0</v>
      </c>
      <c r="F22" s="50">
        <v>0</v>
      </c>
      <c r="G22" s="50">
        <v>0</v>
      </c>
      <c r="H22" s="50">
        <v>0</v>
      </c>
      <c r="I22" s="50">
        <v>24</v>
      </c>
      <c r="J22" s="70">
        <v>24</v>
      </c>
      <c r="K22" s="50">
        <f t="shared" si="1"/>
        <v>24</v>
      </c>
      <c r="L22" s="50">
        <f t="shared" si="2"/>
        <v>24</v>
      </c>
    </row>
    <row r="23" spans="1:19" ht="14.25" customHeight="1" x14ac:dyDescent="0.75">
      <c r="A23" s="50">
        <v>666531</v>
      </c>
      <c r="B23" s="73" t="s">
        <v>38</v>
      </c>
      <c r="C23" s="73" t="s">
        <v>39</v>
      </c>
      <c r="D23" s="50">
        <f t="shared" si="0"/>
        <v>28</v>
      </c>
      <c r="E23" s="50">
        <v>20</v>
      </c>
      <c r="F23" s="70">
        <v>20</v>
      </c>
      <c r="G23" s="50">
        <v>0</v>
      </c>
      <c r="H23" s="50">
        <v>0</v>
      </c>
      <c r="I23" s="50">
        <v>8</v>
      </c>
      <c r="J23" s="70">
        <v>8</v>
      </c>
      <c r="K23" s="50">
        <f t="shared" si="1"/>
        <v>28</v>
      </c>
      <c r="L23" s="50">
        <f t="shared" si="2"/>
        <v>28</v>
      </c>
    </row>
    <row r="24" spans="1:19" ht="14.25" customHeight="1" x14ac:dyDescent="0.75">
      <c r="A24" s="50">
        <v>666540</v>
      </c>
      <c r="B24" s="73" t="s">
        <v>40</v>
      </c>
      <c r="C24" s="73" t="s">
        <v>40</v>
      </c>
      <c r="D24" s="50">
        <f t="shared" si="0"/>
        <v>40</v>
      </c>
      <c r="E24" s="50">
        <v>0</v>
      </c>
      <c r="F24" s="50">
        <v>0</v>
      </c>
      <c r="G24" s="50">
        <v>40</v>
      </c>
      <c r="H24" s="50">
        <v>1</v>
      </c>
      <c r="I24" s="50">
        <v>0</v>
      </c>
      <c r="J24" s="50">
        <v>0</v>
      </c>
      <c r="K24" s="50">
        <f t="shared" si="1"/>
        <v>40</v>
      </c>
      <c r="L24" s="50">
        <f t="shared" si="2"/>
        <v>1</v>
      </c>
    </row>
    <row r="25" spans="1:19" ht="14.25" customHeight="1" x14ac:dyDescent="0.75">
      <c r="A25" s="50">
        <v>666541</v>
      </c>
      <c r="B25" s="73" t="s">
        <v>41</v>
      </c>
      <c r="C25" s="73" t="s">
        <v>41</v>
      </c>
      <c r="D25" s="50">
        <f t="shared" si="0"/>
        <v>680</v>
      </c>
      <c r="E25" s="50">
        <v>0</v>
      </c>
      <c r="F25" s="50">
        <v>0</v>
      </c>
      <c r="G25" s="50">
        <v>680</v>
      </c>
      <c r="H25" s="50">
        <v>542</v>
      </c>
      <c r="I25" s="50">
        <v>0</v>
      </c>
      <c r="J25" s="50">
        <v>0</v>
      </c>
      <c r="K25" s="50">
        <f t="shared" si="1"/>
        <v>680</v>
      </c>
      <c r="L25" s="50">
        <f t="shared" si="2"/>
        <v>542</v>
      </c>
    </row>
    <row r="26" spans="1:19" s="74" customFormat="1" ht="14.25" customHeight="1" x14ac:dyDescent="0.75">
      <c r="A26" s="74">
        <v>666536</v>
      </c>
      <c r="B26" s="74" t="s">
        <v>42</v>
      </c>
      <c r="C26" s="74" t="s">
        <v>43</v>
      </c>
      <c r="E26" s="50">
        <v>28</v>
      </c>
      <c r="F26" s="50">
        <v>12</v>
      </c>
      <c r="G26" s="50">
        <v>0</v>
      </c>
      <c r="H26" s="50">
        <v>0</v>
      </c>
      <c r="I26" s="50">
        <v>0</v>
      </c>
      <c r="J26" s="50">
        <v>0</v>
      </c>
      <c r="K26" s="50">
        <f t="shared" si="1"/>
        <v>28</v>
      </c>
      <c r="L26" s="50">
        <f t="shared" si="2"/>
        <v>12</v>
      </c>
      <c r="S26" s="74">
        <v>2</v>
      </c>
    </row>
  </sheetData>
  <conditionalFormatting sqref="K6:K26">
    <cfRule type="cellIs" dxfId="138" priority="2" operator="equal">
      <formula>0</formula>
    </cfRule>
  </conditionalFormatting>
  <conditionalFormatting sqref="L6:L26">
    <cfRule type="expression" dxfId="137" priority="3">
      <formula>K6=L6</formula>
    </cfRule>
    <cfRule type="expression" dxfId="136" priority="4">
      <formula>K6&lt;L6</formula>
    </cfRule>
    <cfRule type="expression" dxfId="135" priority="5">
      <formula>K6&gt;L6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A51"/>
  <sheetViews>
    <sheetView topLeftCell="C1" zoomScaleNormal="100" workbookViewId="0">
      <selection activeCell="I7" sqref="I7"/>
    </sheetView>
  </sheetViews>
  <sheetFormatPr defaultColWidth="8.6796875" defaultRowHeight="14.75" x14ac:dyDescent="0.75"/>
  <cols>
    <col min="1" max="1" width="8.6796875" style="50"/>
    <col min="2" max="2" width="41.54296875" style="50" customWidth="1"/>
    <col min="3" max="3" width="22.6796875" style="50" customWidth="1"/>
    <col min="4" max="4" width="9.54296875" style="50" hidden="1" customWidth="1"/>
    <col min="5" max="6" width="8.6796875" style="50"/>
    <col min="7" max="7" width="7.31640625" style="50" customWidth="1"/>
    <col min="8" max="8" width="8.453125" style="50" customWidth="1"/>
    <col min="9" max="9" width="7.453125" style="50" customWidth="1"/>
    <col min="10" max="10" width="8.08984375" style="50" customWidth="1"/>
    <col min="11" max="11" width="8.54296875" style="50" customWidth="1"/>
    <col min="12" max="16384" width="8.6796875" style="50"/>
  </cols>
  <sheetData>
    <row r="1" spans="1:27" s="51" customFormat="1" ht="28.5" customHeight="1" x14ac:dyDescent="0.75">
      <c r="C1" s="51" t="s">
        <v>175</v>
      </c>
      <c r="D1" s="51" t="s">
        <v>144</v>
      </c>
      <c r="E1" s="52" t="s">
        <v>116</v>
      </c>
      <c r="F1" s="53" t="s">
        <v>145</v>
      </c>
      <c r="G1" s="54" t="s">
        <v>119</v>
      </c>
      <c r="H1" s="53" t="s">
        <v>146</v>
      </c>
      <c r="I1" s="153" t="s">
        <v>122</v>
      </c>
      <c r="J1" s="56" t="s">
        <v>147</v>
      </c>
      <c r="K1" s="51" t="s">
        <v>148</v>
      </c>
      <c r="L1" s="53" t="s">
        <v>149</v>
      </c>
      <c r="M1" s="51" t="s">
        <v>56</v>
      </c>
      <c r="N1" s="51" t="s">
        <v>58</v>
      </c>
      <c r="O1" s="51" t="s">
        <v>66</v>
      </c>
      <c r="P1" s="51" t="s">
        <v>56</v>
      </c>
      <c r="Q1" s="51" t="s">
        <v>58</v>
      </c>
      <c r="R1" s="51" t="s">
        <v>66</v>
      </c>
      <c r="S1" s="51" t="s">
        <v>56</v>
      </c>
      <c r="T1" s="51" t="s">
        <v>58</v>
      </c>
      <c r="U1" s="51" t="s">
        <v>66</v>
      </c>
      <c r="V1" s="51" t="s">
        <v>56</v>
      </c>
      <c r="W1" s="51" t="s">
        <v>58</v>
      </c>
      <c r="X1" s="51" t="s">
        <v>66</v>
      </c>
      <c r="Y1" s="51" t="s">
        <v>56</v>
      </c>
      <c r="Z1" s="51" t="s">
        <v>58</v>
      </c>
      <c r="AA1" s="51" t="s">
        <v>66</v>
      </c>
    </row>
    <row r="2" spans="1:27" ht="14.25" customHeight="1" x14ac:dyDescent="0.75">
      <c r="C2" s="57" t="s">
        <v>150</v>
      </c>
      <c r="D2" s="57"/>
      <c r="E2" s="58"/>
      <c r="F2" s="59"/>
      <c r="G2" s="60"/>
      <c r="H2" s="59"/>
      <c r="I2" s="78"/>
      <c r="J2" s="59"/>
      <c r="K2" s="59"/>
      <c r="L2" s="59"/>
      <c r="M2" s="59" t="s">
        <v>65</v>
      </c>
      <c r="N2" s="59" t="s">
        <v>57</v>
      </c>
      <c r="O2" s="59" t="s">
        <v>55</v>
      </c>
      <c r="P2" s="59" t="s">
        <v>65</v>
      </c>
      <c r="Q2" s="59" t="s">
        <v>57</v>
      </c>
      <c r="R2" s="59" t="s">
        <v>55</v>
      </c>
      <c r="S2" s="59" t="s">
        <v>65</v>
      </c>
      <c r="T2" s="59" t="s">
        <v>57</v>
      </c>
      <c r="U2" s="59" t="s">
        <v>55</v>
      </c>
      <c r="V2" s="59" t="s">
        <v>65</v>
      </c>
      <c r="W2" s="59" t="s">
        <v>57</v>
      </c>
      <c r="X2" s="59" t="s">
        <v>55</v>
      </c>
      <c r="Y2" s="59" t="s">
        <v>65</v>
      </c>
      <c r="Z2" s="59" t="s">
        <v>57</v>
      </c>
      <c r="AA2" s="59" t="s">
        <v>55</v>
      </c>
    </row>
    <row r="3" spans="1:27" ht="14.25" customHeight="1" x14ac:dyDescent="0.75">
      <c r="A3" s="62" t="s">
        <v>129</v>
      </c>
      <c r="B3" s="62" t="s">
        <v>2</v>
      </c>
      <c r="C3" s="62" t="s">
        <v>3</v>
      </c>
      <c r="D3" s="62"/>
      <c r="E3" s="58"/>
      <c r="F3" s="62"/>
      <c r="G3" s="63"/>
      <c r="H3" s="62"/>
      <c r="I3" s="154"/>
      <c r="J3" s="62"/>
      <c r="K3" s="62"/>
      <c r="L3" s="62"/>
      <c r="M3" s="62" t="s">
        <v>54</v>
      </c>
      <c r="N3" s="62" t="s">
        <v>54</v>
      </c>
      <c r="O3" s="62" t="s">
        <v>54</v>
      </c>
      <c r="P3" s="62" t="s">
        <v>59</v>
      </c>
      <c r="Q3" s="62" t="s">
        <v>59</v>
      </c>
      <c r="R3" s="62" t="s">
        <v>59</v>
      </c>
      <c r="S3" s="62" t="s">
        <v>60</v>
      </c>
      <c r="T3" s="62" t="s">
        <v>60</v>
      </c>
      <c r="U3" s="62" t="s">
        <v>60</v>
      </c>
      <c r="V3" s="62" t="s">
        <v>62</v>
      </c>
      <c r="W3" s="62" t="s">
        <v>62</v>
      </c>
      <c r="X3" s="62" t="s">
        <v>62</v>
      </c>
      <c r="Y3" s="62" t="s">
        <v>63</v>
      </c>
      <c r="Z3" s="62" t="s">
        <v>63</v>
      </c>
      <c r="AA3" s="62" t="s">
        <v>63</v>
      </c>
    </row>
    <row r="4" spans="1:27" ht="14.25" customHeight="1" x14ac:dyDescent="0.75">
      <c r="A4" s="62"/>
      <c r="B4" s="62"/>
      <c r="C4" s="62" t="s">
        <v>151</v>
      </c>
      <c r="D4" s="62"/>
      <c r="E4" s="58"/>
      <c r="F4" s="50">
        <f t="shared" ref="F4:F25" si="0">+M4+P4+S4+V4+Y4</f>
        <v>316</v>
      </c>
      <c r="G4" s="63"/>
      <c r="H4" s="50">
        <f t="shared" ref="H4:H25" si="1">+N4+Q4+T4+W4+Z4</f>
        <v>593</v>
      </c>
      <c r="I4" s="154"/>
      <c r="J4" s="50">
        <f t="shared" ref="J4:J25" si="2">+O4+R4+U4+X4+AA4</f>
        <v>84</v>
      </c>
      <c r="K4" s="62"/>
      <c r="L4" s="62"/>
      <c r="M4" s="62">
        <v>29</v>
      </c>
      <c r="N4" s="62">
        <v>176</v>
      </c>
      <c r="O4" s="62">
        <v>41</v>
      </c>
      <c r="Q4" s="50">
        <v>164</v>
      </c>
      <c r="R4" s="50">
        <v>43</v>
      </c>
      <c r="S4" s="50">
        <v>143</v>
      </c>
      <c r="T4" s="50">
        <v>35</v>
      </c>
      <c r="V4" s="50">
        <v>123</v>
      </c>
      <c r="W4" s="50">
        <v>38</v>
      </c>
      <c r="Y4" s="50">
        <v>21</v>
      </c>
      <c r="Z4" s="50">
        <v>180</v>
      </c>
    </row>
    <row r="5" spans="1:27" ht="14.25" customHeight="1" x14ac:dyDescent="0.75">
      <c r="A5" s="50">
        <v>666501</v>
      </c>
      <c r="B5" s="50" t="s">
        <v>4</v>
      </c>
      <c r="C5" s="50" t="s">
        <v>5</v>
      </c>
      <c r="E5" s="67">
        <v>72</v>
      </c>
      <c r="F5" s="70">
        <f t="shared" si="0"/>
        <v>72</v>
      </c>
      <c r="G5" s="60">
        <v>666</v>
      </c>
      <c r="H5" s="50">
        <f t="shared" si="1"/>
        <v>435</v>
      </c>
      <c r="I5" s="78">
        <v>66</v>
      </c>
      <c r="J5" s="50">
        <f t="shared" si="2"/>
        <v>60</v>
      </c>
      <c r="K5" s="50">
        <f t="shared" ref="K5:K25" si="3">+E5+G5+I5</f>
        <v>804</v>
      </c>
      <c r="L5" s="50">
        <f t="shared" ref="L5:L25" si="4">+F5+H5+J5</f>
        <v>567</v>
      </c>
      <c r="M5" s="50">
        <v>9</v>
      </c>
      <c r="N5" s="50">
        <v>72</v>
      </c>
      <c r="O5" s="50">
        <v>30</v>
      </c>
      <c r="Q5" s="50">
        <v>96</v>
      </c>
      <c r="R5" s="50">
        <v>30</v>
      </c>
      <c r="S5" s="50">
        <v>57</v>
      </c>
      <c r="T5" s="50">
        <v>102</v>
      </c>
      <c r="V5" s="50">
        <v>6</v>
      </c>
      <c r="W5" s="50">
        <v>30</v>
      </c>
      <c r="Z5" s="50">
        <v>135</v>
      </c>
    </row>
    <row r="6" spans="1:27" ht="14.25" customHeight="1" x14ac:dyDescent="0.75">
      <c r="A6" s="50">
        <v>666502</v>
      </c>
      <c r="B6" s="50" t="s">
        <v>6</v>
      </c>
      <c r="C6" s="50" t="s">
        <v>7</v>
      </c>
      <c r="E6" s="67">
        <v>0</v>
      </c>
      <c r="F6" s="50">
        <f t="shared" si="0"/>
        <v>0</v>
      </c>
      <c r="G6" s="60">
        <v>277</v>
      </c>
      <c r="H6" s="50">
        <f t="shared" si="1"/>
        <v>192</v>
      </c>
      <c r="I6" s="78">
        <v>92</v>
      </c>
      <c r="J6" s="50">
        <f t="shared" si="2"/>
        <v>18</v>
      </c>
      <c r="K6" s="50">
        <f t="shared" si="3"/>
        <v>369</v>
      </c>
      <c r="L6" s="50">
        <f t="shared" si="4"/>
        <v>210</v>
      </c>
      <c r="N6" s="50">
        <v>43</v>
      </c>
      <c r="O6" s="50">
        <v>10</v>
      </c>
      <c r="Q6" s="50">
        <v>36</v>
      </c>
      <c r="R6" s="50">
        <v>8</v>
      </c>
      <c r="T6" s="50">
        <v>47</v>
      </c>
      <c r="W6" s="50">
        <v>24</v>
      </c>
      <c r="Z6" s="50">
        <v>42</v>
      </c>
    </row>
    <row r="7" spans="1:27" ht="14.25" customHeight="1" x14ac:dyDescent="0.75">
      <c r="A7" s="50">
        <v>666505</v>
      </c>
      <c r="B7" s="50" t="s">
        <v>8</v>
      </c>
      <c r="C7" s="50" t="s">
        <v>9</v>
      </c>
      <c r="E7" s="67">
        <v>19</v>
      </c>
      <c r="F7" s="70">
        <f t="shared" si="0"/>
        <v>19</v>
      </c>
      <c r="G7" s="60"/>
      <c r="H7" s="50">
        <f t="shared" si="1"/>
        <v>0</v>
      </c>
      <c r="I7" s="78">
        <v>39</v>
      </c>
      <c r="J7" s="70">
        <f t="shared" si="2"/>
        <v>39</v>
      </c>
      <c r="K7" s="50">
        <f t="shared" si="3"/>
        <v>58</v>
      </c>
      <c r="L7" s="50">
        <f t="shared" si="4"/>
        <v>58</v>
      </c>
      <c r="M7" s="50">
        <v>19</v>
      </c>
      <c r="O7" s="50">
        <v>39</v>
      </c>
    </row>
    <row r="8" spans="1:27" ht="14.25" customHeight="1" x14ac:dyDescent="0.75">
      <c r="A8" s="50">
        <v>666506</v>
      </c>
      <c r="B8" s="50" t="s">
        <v>10</v>
      </c>
      <c r="C8" s="50" t="s">
        <v>11</v>
      </c>
      <c r="E8" s="67"/>
      <c r="F8" s="50">
        <f t="shared" si="0"/>
        <v>0</v>
      </c>
      <c r="G8" s="60">
        <v>277</v>
      </c>
      <c r="H8" s="50">
        <f t="shared" si="1"/>
        <v>154</v>
      </c>
      <c r="I8" s="78"/>
      <c r="J8" s="50">
        <f t="shared" si="2"/>
        <v>0</v>
      </c>
      <c r="K8" s="50">
        <f t="shared" si="3"/>
        <v>277</v>
      </c>
      <c r="L8" s="50">
        <f t="shared" si="4"/>
        <v>154</v>
      </c>
      <c r="N8" s="50">
        <v>29</v>
      </c>
      <c r="Q8" s="50">
        <v>21</v>
      </c>
      <c r="T8" s="50">
        <v>30</v>
      </c>
      <c r="W8" s="50">
        <v>34</v>
      </c>
      <c r="Z8" s="50">
        <v>40</v>
      </c>
    </row>
    <row r="9" spans="1:27" ht="14.25" customHeight="1" x14ac:dyDescent="0.75">
      <c r="A9" s="50">
        <v>666507</v>
      </c>
      <c r="B9" s="50" t="s">
        <v>12</v>
      </c>
      <c r="C9" s="50" t="s">
        <v>13</v>
      </c>
      <c r="E9" s="67">
        <v>16</v>
      </c>
      <c r="F9" s="50">
        <f t="shared" si="0"/>
        <v>0</v>
      </c>
      <c r="G9" s="60"/>
      <c r="H9" s="50">
        <f t="shared" si="1"/>
        <v>0</v>
      </c>
      <c r="I9" s="78"/>
      <c r="J9" s="50">
        <f t="shared" si="2"/>
        <v>0</v>
      </c>
      <c r="K9" s="50">
        <f t="shared" si="3"/>
        <v>16</v>
      </c>
      <c r="L9" s="50">
        <f t="shared" si="4"/>
        <v>0</v>
      </c>
    </row>
    <row r="10" spans="1:27" ht="14.25" customHeight="1" x14ac:dyDescent="0.75">
      <c r="A10" s="50">
        <v>666509</v>
      </c>
      <c r="B10" s="50" t="s">
        <v>14</v>
      </c>
      <c r="C10" s="50" t="s">
        <v>15</v>
      </c>
      <c r="E10" s="67">
        <v>68</v>
      </c>
      <c r="F10" s="50">
        <f t="shared" si="0"/>
        <v>42</v>
      </c>
      <c r="G10" s="60"/>
      <c r="H10" s="50">
        <f t="shared" si="1"/>
        <v>0</v>
      </c>
      <c r="I10" s="78"/>
      <c r="J10" s="50">
        <f t="shared" si="2"/>
        <v>0</v>
      </c>
      <c r="K10" s="50">
        <f t="shared" si="3"/>
        <v>68</v>
      </c>
      <c r="L10" s="50">
        <f t="shared" si="4"/>
        <v>42</v>
      </c>
      <c r="M10" s="50">
        <v>10</v>
      </c>
      <c r="S10" s="50">
        <v>12</v>
      </c>
      <c r="V10" s="50">
        <v>12</v>
      </c>
      <c r="Y10" s="50">
        <v>8</v>
      </c>
    </row>
    <row r="11" spans="1:27" ht="14.25" customHeight="1" x14ac:dyDescent="0.75">
      <c r="A11" s="50">
        <v>666510</v>
      </c>
      <c r="B11" s="50" t="s">
        <v>16</v>
      </c>
      <c r="C11" s="50" t="s">
        <v>17</v>
      </c>
      <c r="E11" s="67"/>
      <c r="F11" s="50">
        <f t="shared" si="0"/>
        <v>0</v>
      </c>
      <c r="G11" s="60"/>
      <c r="H11" s="50">
        <f t="shared" si="1"/>
        <v>0</v>
      </c>
      <c r="I11" s="78"/>
      <c r="J11" s="50">
        <f t="shared" si="2"/>
        <v>0</v>
      </c>
      <c r="K11" s="50">
        <f t="shared" si="3"/>
        <v>0</v>
      </c>
      <c r="L11" s="50">
        <f t="shared" si="4"/>
        <v>0</v>
      </c>
    </row>
    <row r="12" spans="1:27" ht="14.25" customHeight="1" x14ac:dyDescent="0.75">
      <c r="A12" s="50">
        <v>666511</v>
      </c>
      <c r="B12" s="50" t="s">
        <v>18</v>
      </c>
      <c r="C12" s="50" t="s">
        <v>19</v>
      </c>
      <c r="E12" s="67">
        <v>6</v>
      </c>
      <c r="F12" s="50">
        <f t="shared" si="0"/>
        <v>0</v>
      </c>
      <c r="G12" s="60"/>
      <c r="H12" s="50">
        <f t="shared" si="1"/>
        <v>0</v>
      </c>
      <c r="I12" s="78"/>
      <c r="J12" s="50">
        <f t="shared" si="2"/>
        <v>0</v>
      </c>
      <c r="K12" s="50">
        <f t="shared" si="3"/>
        <v>6</v>
      </c>
      <c r="L12" s="50">
        <f t="shared" si="4"/>
        <v>0</v>
      </c>
    </row>
    <row r="13" spans="1:27" ht="14.25" customHeight="1" x14ac:dyDescent="0.75">
      <c r="A13" s="50">
        <v>666513</v>
      </c>
      <c r="B13" s="50" t="s">
        <v>20</v>
      </c>
      <c r="C13" s="50" t="s">
        <v>21</v>
      </c>
      <c r="E13" s="67">
        <v>6</v>
      </c>
      <c r="F13" s="70">
        <f t="shared" si="0"/>
        <v>6</v>
      </c>
      <c r="G13" s="60"/>
      <c r="H13" s="50">
        <f t="shared" si="1"/>
        <v>0</v>
      </c>
      <c r="I13" s="78">
        <v>14</v>
      </c>
      <c r="J13" s="70">
        <f t="shared" si="2"/>
        <v>14</v>
      </c>
      <c r="K13" s="50">
        <f t="shared" si="3"/>
        <v>20</v>
      </c>
      <c r="L13" s="50">
        <f t="shared" si="4"/>
        <v>20</v>
      </c>
      <c r="M13" s="50">
        <v>6</v>
      </c>
      <c r="O13" s="50">
        <v>14</v>
      </c>
    </row>
    <row r="14" spans="1:27" ht="14.25" customHeight="1" x14ac:dyDescent="0.75">
      <c r="A14" s="50">
        <v>666516</v>
      </c>
      <c r="B14" s="50" t="s">
        <v>22</v>
      </c>
      <c r="C14" s="50" t="s">
        <v>23</v>
      </c>
      <c r="E14" s="67">
        <v>31</v>
      </c>
      <c r="F14" s="70">
        <f t="shared" si="0"/>
        <v>31</v>
      </c>
      <c r="G14" s="60"/>
      <c r="H14" s="50">
        <f t="shared" si="1"/>
        <v>0</v>
      </c>
      <c r="I14" s="78">
        <v>31</v>
      </c>
      <c r="J14" s="70">
        <f t="shared" si="2"/>
        <v>31</v>
      </c>
      <c r="K14" s="50">
        <f t="shared" si="3"/>
        <v>62</v>
      </c>
      <c r="L14" s="50">
        <f t="shared" si="4"/>
        <v>62</v>
      </c>
      <c r="M14" s="50">
        <v>29</v>
      </c>
      <c r="O14" s="50">
        <v>19</v>
      </c>
      <c r="R14" s="50">
        <v>12</v>
      </c>
      <c r="S14" s="50">
        <v>2</v>
      </c>
    </row>
    <row r="15" spans="1:27" ht="14.25" customHeight="1" x14ac:dyDescent="0.75">
      <c r="A15" s="50">
        <v>666517</v>
      </c>
      <c r="B15" s="50" t="s">
        <v>24</v>
      </c>
      <c r="C15" s="50" t="s">
        <v>25</v>
      </c>
      <c r="E15" s="67">
        <v>39</v>
      </c>
      <c r="F15" s="50">
        <f t="shared" si="0"/>
        <v>38</v>
      </c>
      <c r="G15" s="60"/>
      <c r="H15" s="50">
        <f t="shared" si="1"/>
        <v>0</v>
      </c>
      <c r="I15" s="78">
        <v>17</v>
      </c>
      <c r="J15" s="70">
        <f t="shared" si="2"/>
        <v>17</v>
      </c>
      <c r="K15" s="50">
        <f t="shared" si="3"/>
        <v>56</v>
      </c>
      <c r="L15" s="50">
        <f t="shared" si="4"/>
        <v>55</v>
      </c>
      <c r="M15" s="50">
        <v>30</v>
      </c>
      <c r="O15" s="50">
        <v>17</v>
      </c>
      <c r="S15" s="50">
        <v>8</v>
      </c>
    </row>
    <row r="16" spans="1:27" ht="14.25" customHeight="1" x14ac:dyDescent="0.75">
      <c r="A16" s="50">
        <v>666518</v>
      </c>
      <c r="B16" s="50" t="s">
        <v>26</v>
      </c>
      <c r="C16" s="50" t="s">
        <v>27</v>
      </c>
      <c r="E16" s="67"/>
      <c r="F16" s="50">
        <f t="shared" si="0"/>
        <v>0</v>
      </c>
      <c r="G16" s="60"/>
      <c r="H16" s="50">
        <f t="shared" si="1"/>
        <v>0</v>
      </c>
      <c r="I16" s="78"/>
      <c r="J16" s="50">
        <f t="shared" si="2"/>
        <v>0</v>
      </c>
      <c r="K16" s="50">
        <f t="shared" si="3"/>
        <v>0</v>
      </c>
      <c r="L16" s="50">
        <f t="shared" si="4"/>
        <v>0</v>
      </c>
    </row>
    <row r="17" spans="1:26" ht="14.25" customHeight="1" x14ac:dyDescent="0.75">
      <c r="A17" s="50">
        <v>666519</v>
      </c>
      <c r="B17" s="50" t="s">
        <v>28</v>
      </c>
      <c r="C17" s="50" t="s">
        <v>29</v>
      </c>
      <c r="E17" s="67">
        <v>26</v>
      </c>
      <c r="F17" s="70">
        <f t="shared" si="0"/>
        <v>26</v>
      </c>
      <c r="G17" s="60"/>
      <c r="H17" s="50">
        <f t="shared" si="1"/>
        <v>0</v>
      </c>
      <c r="I17" s="78">
        <v>26</v>
      </c>
      <c r="J17" s="70">
        <f t="shared" si="2"/>
        <v>26</v>
      </c>
      <c r="K17" s="50">
        <f t="shared" si="3"/>
        <v>52</v>
      </c>
      <c r="L17" s="50">
        <f t="shared" si="4"/>
        <v>52</v>
      </c>
      <c r="M17" s="50">
        <v>26</v>
      </c>
      <c r="O17" s="50">
        <v>20</v>
      </c>
      <c r="R17" s="50">
        <v>6</v>
      </c>
    </row>
    <row r="18" spans="1:26" ht="14.25" customHeight="1" x14ac:dyDescent="0.75">
      <c r="A18" s="50">
        <v>666521</v>
      </c>
      <c r="B18" s="50" t="s">
        <v>30</v>
      </c>
      <c r="C18" s="50" t="s">
        <v>31</v>
      </c>
      <c r="E18" s="67">
        <v>120</v>
      </c>
      <c r="F18" s="50">
        <f t="shared" si="0"/>
        <v>74</v>
      </c>
      <c r="G18" s="60"/>
      <c r="H18" s="50">
        <f t="shared" si="1"/>
        <v>0</v>
      </c>
      <c r="I18" s="78"/>
      <c r="J18" s="50">
        <f t="shared" si="2"/>
        <v>0</v>
      </c>
      <c r="K18" s="50">
        <f t="shared" si="3"/>
        <v>120</v>
      </c>
      <c r="L18" s="50">
        <f t="shared" si="4"/>
        <v>74</v>
      </c>
      <c r="M18" s="50">
        <v>20</v>
      </c>
      <c r="S18" s="50">
        <v>24</v>
      </c>
      <c r="V18" s="50">
        <v>16</v>
      </c>
      <c r="Y18" s="50">
        <v>14</v>
      </c>
    </row>
    <row r="19" spans="1:26" ht="14.25" customHeight="1" x14ac:dyDescent="0.75">
      <c r="A19" s="50">
        <v>666522</v>
      </c>
      <c r="B19" s="50" t="s">
        <v>32</v>
      </c>
      <c r="C19" s="50" t="s">
        <v>33</v>
      </c>
      <c r="E19" s="67">
        <v>210</v>
      </c>
      <c r="F19" s="50">
        <f t="shared" si="0"/>
        <v>185</v>
      </c>
      <c r="G19" s="60">
        <v>60</v>
      </c>
      <c r="H19" s="50">
        <f t="shared" si="1"/>
        <v>50</v>
      </c>
      <c r="I19" s="78">
        <v>150</v>
      </c>
      <c r="J19" s="70">
        <f t="shared" si="2"/>
        <v>150</v>
      </c>
      <c r="K19" s="50">
        <f t="shared" si="3"/>
        <v>420</v>
      </c>
      <c r="L19" s="50">
        <f t="shared" si="4"/>
        <v>385</v>
      </c>
      <c r="M19" s="50">
        <v>40</v>
      </c>
      <c r="O19" s="50">
        <v>75</v>
      </c>
      <c r="R19" s="50">
        <v>75</v>
      </c>
      <c r="S19" s="50">
        <v>85</v>
      </c>
      <c r="V19" s="50">
        <v>35</v>
      </c>
      <c r="Y19" s="50">
        <v>25</v>
      </c>
      <c r="Z19" s="50">
        <v>50</v>
      </c>
    </row>
    <row r="20" spans="1:26" ht="14.25" customHeight="1" x14ac:dyDescent="0.75">
      <c r="A20" s="50">
        <v>666523</v>
      </c>
      <c r="B20" s="50" t="s">
        <v>34</v>
      </c>
      <c r="C20" s="50" t="s">
        <v>35</v>
      </c>
      <c r="E20" s="67"/>
      <c r="F20" s="50">
        <f t="shared" si="0"/>
        <v>0</v>
      </c>
      <c r="G20" s="60"/>
      <c r="H20" s="50">
        <f t="shared" si="1"/>
        <v>0</v>
      </c>
      <c r="I20" s="78">
        <v>40</v>
      </c>
      <c r="J20" s="70">
        <f t="shared" si="2"/>
        <v>40</v>
      </c>
      <c r="K20" s="50">
        <f t="shared" si="3"/>
        <v>40</v>
      </c>
      <c r="L20" s="50">
        <f t="shared" si="4"/>
        <v>40</v>
      </c>
      <c r="O20" s="50">
        <v>23</v>
      </c>
      <c r="R20" s="50">
        <v>17</v>
      </c>
    </row>
    <row r="21" spans="1:26" ht="14.25" customHeight="1" x14ac:dyDescent="0.75">
      <c r="A21" s="50">
        <v>666530</v>
      </c>
      <c r="B21" s="50" t="s">
        <v>36</v>
      </c>
      <c r="C21" s="50" t="s">
        <v>37</v>
      </c>
      <c r="E21" s="67"/>
      <c r="F21" s="50">
        <f t="shared" si="0"/>
        <v>0</v>
      </c>
      <c r="G21" s="60"/>
      <c r="H21" s="50">
        <f t="shared" si="1"/>
        <v>0</v>
      </c>
      <c r="I21" s="78">
        <v>24</v>
      </c>
      <c r="J21" s="70">
        <f t="shared" si="2"/>
        <v>24</v>
      </c>
      <c r="K21" s="50">
        <f t="shared" si="3"/>
        <v>24</v>
      </c>
      <c r="L21" s="50">
        <f t="shared" si="4"/>
        <v>24</v>
      </c>
      <c r="O21" s="50">
        <v>17</v>
      </c>
      <c r="R21" s="50">
        <v>7</v>
      </c>
    </row>
    <row r="22" spans="1:26" ht="14.25" customHeight="1" x14ac:dyDescent="0.75">
      <c r="A22" s="50">
        <v>666531</v>
      </c>
      <c r="B22" s="50" t="s">
        <v>38</v>
      </c>
      <c r="C22" s="50" t="s">
        <v>39</v>
      </c>
      <c r="E22" s="67">
        <v>20</v>
      </c>
      <c r="F22" s="50">
        <f t="shared" si="0"/>
        <v>15</v>
      </c>
      <c r="G22" s="60"/>
      <c r="H22" s="50">
        <f t="shared" si="1"/>
        <v>0</v>
      </c>
      <c r="I22" s="78">
        <v>8</v>
      </c>
      <c r="J22" s="70">
        <f t="shared" si="2"/>
        <v>8</v>
      </c>
      <c r="K22" s="50">
        <f t="shared" si="3"/>
        <v>28</v>
      </c>
      <c r="L22" s="50">
        <f t="shared" si="4"/>
        <v>23</v>
      </c>
      <c r="M22" s="50">
        <v>3</v>
      </c>
      <c r="O22" s="50">
        <v>8</v>
      </c>
      <c r="S22" s="50">
        <v>4</v>
      </c>
      <c r="V22" s="50">
        <v>4</v>
      </c>
      <c r="Y22" s="50">
        <v>4</v>
      </c>
    </row>
    <row r="23" spans="1:26" ht="14.25" customHeight="1" x14ac:dyDescent="0.75">
      <c r="A23" s="50">
        <v>666540</v>
      </c>
      <c r="B23" s="50" t="s">
        <v>40</v>
      </c>
      <c r="C23" s="50" t="s">
        <v>40</v>
      </c>
      <c r="E23" s="67"/>
      <c r="F23" s="50">
        <f t="shared" si="0"/>
        <v>0</v>
      </c>
      <c r="G23" s="60">
        <v>40</v>
      </c>
      <c r="H23" s="50">
        <f t="shared" si="1"/>
        <v>0</v>
      </c>
      <c r="I23" s="78"/>
      <c r="J23" s="50">
        <f t="shared" si="2"/>
        <v>0</v>
      </c>
      <c r="K23" s="50">
        <f t="shared" si="3"/>
        <v>40</v>
      </c>
      <c r="L23" s="50">
        <f t="shared" si="4"/>
        <v>0</v>
      </c>
    </row>
    <row r="24" spans="1:26" ht="14.25" customHeight="1" x14ac:dyDescent="0.75">
      <c r="A24" s="50">
        <v>666541</v>
      </c>
      <c r="B24" s="50" t="s">
        <v>41</v>
      </c>
      <c r="C24" s="50" t="s">
        <v>41</v>
      </c>
      <c r="E24" s="67"/>
      <c r="F24" s="50">
        <f t="shared" si="0"/>
        <v>0</v>
      </c>
      <c r="G24" s="60">
        <v>680</v>
      </c>
      <c r="H24" s="50">
        <f t="shared" si="1"/>
        <v>240</v>
      </c>
      <c r="I24" s="78"/>
      <c r="J24" s="50">
        <f t="shared" si="2"/>
        <v>0</v>
      </c>
      <c r="K24" s="50">
        <f t="shared" si="3"/>
        <v>680</v>
      </c>
      <c r="L24" s="50">
        <f t="shared" si="4"/>
        <v>240</v>
      </c>
      <c r="N24" s="50">
        <v>19</v>
      </c>
      <c r="Q24" s="50">
        <v>37</v>
      </c>
      <c r="T24" s="50">
        <v>70</v>
      </c>
      <c r="W24" s="50">
        <v>57</v>
      </c>
      <c r="Z24" s="50">
        <v>57</v>
      </c>
    </row>
    <row r="25" spans="1:26" ht="14.25" customHeight="1" x14ac:dyDescent="0.75">
      <c r="A25" s="50">
        <v>666536</v>
      </c>
      <c r="B25" s="50" t="s">
        <v>42</v>
      </c>
      <c r="C25" s="50" t="s">
        <v>43</v>
      </c>
      <c r="E25" s="67">
        <v>28</v>
      </c>
      <c r="F25" s="50">
        <f t="shared" si="0"/>
        <v>8</v>
      </c>
      <c r="G25" s="60"/>
      <c r="H25" s="50">
        <f t="shared" si="1"/>
        <v>0</v>
      </c>
      <c r="I25" s="78"/>
      <c r="J25" s="50">
        <f t="shared" si="2"/>
        <v>0</v>
      </c>
      <c r="K25" s="50">
        <f t="shared" si="3"/>
        <v>28</v>
      </c>
      <c r="L25" s="50">
        <f t="shared" si="4"/>
        <v>8</v>
      </c>
      <c r="M25" s="50">
        <v>5</v>
      </c>
      <c r="V25" s="50">
        <v>2</v>
      </c>
      <c r="Y25" s="50">
        <v>1</v>
      </c>
    </row>
    <row r="26" spans="1:26" ht="14.25" customHeight="1" x14ac:dyDescent="0.75">
      <c r="C26" s="71"/>
      <c r="D26" s="71"/>
      <c r="E26" s="71"/>
      <c r="F26" s="71"/>
      <c r="G26" s="71"/>
      <c r="H26" s="71"/>
      <c r="I26" s="71"/>
      <c r="J26" s="71"/>
      <c r="L26" s="71"/>
    </row>
    <row r="27" spans="1:26" ht="14.25" customHeight="1" x14ac:dyDescent="0.75">
      <c r="C27" s="71"/>
      <c r="D27" s="71"/>
      <c r="E27" s="71"/>
      <c r="F27" s="71"/>
      <c r="G27" s="71"/>
      <c r="H27" s="71"/>
      <c r="I27" s="71"/>
      <c r="J27" s="71"/>
      <c r="L27" s="71"/>
    </row>
    <row r="28" spans="1:26" ht="14.25" customHeight="1" x14ac:dyDescent="0.75">
      <c r="C28" s="71"/>
      <c r="D28" s="71"/>
      <c r="E28" s="71"/>
      <c r="F28" s="71"/>
      <c r="G28" s="71"/>
      <c r="H28" s="71"/>
      <c r="I28" s="71"/>
      <c r="J28" s="71"/>
      <c r="L28" s="71"/>
    </row>
    <row r="29" spans="1:26" ht="14.25" customHeight="1" x14ac:dyDescent="0.75">
      <c r="C29" s="71"/>
      <c r="D29" s="71"/>
      <c r="E29" s="71"/>
      <c r="F29" s="71"/>
      <c r="G29" s="71"/>
      <c r="H29" s="71"/>
      <c r="I29" s="71"/>
      <c r="J29" s="71"/>
      <c r="L29" s="71"/>
    </row>
    <row r="30" spans="1:26" ht="14.25" customHeight="1" x14ac:dyDescent="0.75">
      <c r="C30" s="71"/>
      <c r="D30" s="71"/>
      <c r="E30" s="71"/>
      <c r="F30" s="71"/>
      <c r="G30" s="71"/>
      <c r="H30" s="71"/>
      <c r="I30" s="71"/>
      <c r="J30" s="71"/>
      <c r="L30" s="71"/>
    </row>
    <row r="31" spans="1:26" ht="14.25" customHeight="1" x14ac:dyDescent="0.75">
      <c r="C31" s="71"/>
      <c r="D31" s="71"/>
      <c r="E31" s="71"/>
      <c r="F31" s="71"/>
      <c r="G31" s="71"/>
      <c r="H31" s="71"/>
      <c r="I31" s="71"/>
      <c r="J31" s="71"/>
      <c r="L31" s="71"/>
    </row>
    <row r="32" spans="1:26" ht="14.25" customHeight="1" x14ac:dyDescent="0.75">
      <c r="C32" s="72"/>
      <c r="D32" s="71"/>
      <c r="E32" s="71"/>
      <c r="F32" s="71"/>
      <c r="G32" s="71"/>
      <c r="H32" s="71"/>
      <c r="I32" s="71"/>
      <c r="J32" s="71"/>
      <c r="L32" s="71"/>
    </row>
    <row r="33" spans="3:14" ht="14.25" customHeight="1" x14ac:dyDescent="0.75">
      <c r="C33" s="71"/>
      <c r="D33" s="71"/>
      <c r="E33" s="71"/>
      <c r="F33" s="71"/>
      <c r="G33" s="71"/>
      <c r="H33" s="71"/>
      <c r="I33" s="71"/>
      <c r="J33" s="71"/>
      <c r="L33" s="71"/>
    </row>
    <row r="34" spans="3:14" ht="14.25" customHeight="1" x14ac:dyDescent="0.75">
      <c r="C34" s="71"/>
      <c r="D34" s="71"/>
      <c r="E34" s="71"/>
      <c r="F34" s="71"/>
      <c r="G34" s="71"/>
      <c r="H34" s="71"/>
      <c r="I34" s="71"/>
      <c r="J34" s="71"/>
      <c r="L34" s="71"/>
    </row>
    <row r="35" spans="3:14" ht="14.25" customHeight="1" x14ac:dyDescent="0.75">
      <c r="C35" s="71"/>
      <c r="D35" s="71"/>
      <c r="E35" s="71"/>
      <c r="F35" s="71"/>
      <c r="G35" s="71"/>
      <c r="H35" s="71"/>
      <c r="I35" s="71"/>
      <c r="J35" s="71"/>
      <c r="L35" s="71"/>
    </row>
    <row r="36" spans="3:14" ht="14.25" customHeight="1" x14ac:dyDescent="0.75">
      <c r="C36" s="71"/>
      <c r="D36" s="71"/>
      <c r="E36" s="71"/>
      <c r="F36" s="71"/>
      <c r="G36" s="71"/>
      <c r="H36" s="71"/>
      <c r="I36" s="71"/>
      <c r="J36" s="71"/>
      <c r="L36" s="71"/>
    </row>
    <row r="37" spans="3:14" ht="14.25" customHeight="1" x14ac:dyDescent="0.75">
      <c r="C37" s="71"/>
      <c r="D37" s="71"/>
      <c r="E37" s="71"/>
      <c r="F37" s="71"/>
      <c r="G37" s="71"/>
      <c r="H37" s="71"/>
      <c r="I37" s="71"/>
      <c r="J37" s="71"/>
      <c r="L37" s="71"/>
    </row>
    <row r="38" spans="3:14" ht="14.25" customHeight="1" x14ac:dyDescent="0.75">
      <c r="C38" s="71"/>
      <c r="D38" s="71"/>
      <c r="E38" s="71"/>
      <c r="F38" s="71"/>
      <c r="G38" s="71"/>
      <c r="H38" s="71"/>
      <c r="I38" s="71"/>
      <c r="J38" s="71"/>
      <c r="L38" s="71"/>
    </row>
    <row r="39" spans="3:14" ht="14.25" customHeight="1" x14ac:dyDescent="0.75">
      <c r="C39" s="71"/>
      <c r="D39" s="71"/>
      <c r="E39" s="71"/>
      <c r="F39" s="71"/>
      <c r="G39" s="71"/>
      <c r="H39" s="71"/>
      <c r="I39" s="71"/>
      <c r="J39" s="71"/>
      <c r="L39" s="71"/>
    </row>
    <row r="40" spans="3:14" ht="14.25" customHeight="1" x14ac:dyDescent="0.75">
      <c r="C40" s="71"/>
      <c r="D40" s="71"/>
      <c r="E40" s="71"/>
      <c r="F40" s="71"/>
      <c r="G40" s="71"/>
      <c r="H40" s="71"/>
      <c r="I40" s="71"/>
      <c r="J40" s="71"/>
      <c r="L40" s="71"/>
    </row>
    <row r="41" spans="3:14" ht="14.25" customHeight="1" x14ac:dyDescent="0.75">
      <c r="C41" s="71"/>
      <c r="D41" s="71"/>
      <c r="E41" s="71"/>
      <c r="F41" s="71"/>
      <c r="G41" s="71"/>
      <c r="H41" s="71"/>
      <c r="I41" s="71"/>
      <c r="J41" s="71"/>
      <c r="L41" s="71"/>
    </row>
    <row r="42" spans="3:14" ht="14.25" customHeight="1" x14ac:dyDescent="0.75">
      <c r="C42" s="71"/>
      <c r="D42" s="71"/>
      <c r="E42" s="71"/>
      <c r="F42" s="71"/>
      <c r="G42" s="71"/>
      <c r="H42" s="71"/>
      <c r="I42" s="71"/>
      <c r="J42" s="71"/>
      <c r="L42" s="71"/>
    </row>
    <row r="48" spans="3:14" ht="14.25" customHeight="1" x14ac:dyDescent="0.75">
      <c r="L48" s="73"/>
      <c r="N48" s="74"/>
    </row>
    <row r="49" spans="4:14" ht="14.25" customHeight="1" x14ac:dyDescent="0.75">
      <c r="D49" s="75"/>
      <c r="E49" s="75"/>
      <c r="N49" s="76"/>
    </row>
    <row r="50" spans="4:14" ht="14.25" customHeight="1" x14ac:dyDescent="0.75">
      <c r="D50" s="75"/>
      <c r="E50" s="75"/>
      <c r="N50" s="76"/>
    </row>
    <row r="51" spans="4:14" ht="14.25" customHeight="1" x14ac:dyDescent="0.75">
      <c r="N51" s="76"/>
    </row>
  </sheetData>
  <conditionalFormatting sqref="F4 H4:H25 J4:J25 F5:G5 I5:I24 G6:G24 F6:F25">
    <cfRule type="expression" dxfId="134" priority="6">
      <formula>#REF!=F4</formula>
    </cfRule>
    <cfRule type="expression" dxfId="133" priority="7">
      <formula>#REF!&lt;F4</formula>
    </cfRule>
    <cfRule type="expression" dxfId="132" priority="8">
      <formula>#REF!&gt;F4</formula>
    </cfRule>
  </conditionalFormatting>
  <conditionalFormatting sqref="K5:K25">
    <cfRule type="cellIs" dxfId="131" priority="2" operator="equal">
      <formula>0</formula>
    </cfRule>
  </conditionalFormatting>
  <conditionalFormatting sqref="L5:L25">
    <cfRule type="expression" dxfId="130" priority="3">
      <formula>K5=L5</formula>
    </cfRule>
    <cfRule type="expression" dxfId="129" priority="4">
      <formula>K5&lt;L5</formula>
    </cfRule>
    <cfRule type="expression" dxfId="128" priority="5">
      <formula>K5&gt;L5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B35"/>
  <sheetViews>
    <sheetView topLeftCell="B1" zoomScaleNormal="100" workbookViewId="0">
      <selection activeCell="I6" sqref="I6"/>
    </sheetView>
  </sheetViews>
  <sheetFormatPr defaultColWidth="8.54296875" defaultRowHeight="14.75" x14ac:dyDescent="0.75"/>
  <cols>
    <col min="2" max="2" width="43.31640625" customWidth="1"/>
    <col min="3" max="3" width="21" customWidth="1"/>
    <col min="4" max="4" width="9.1328125" hidden="1" customWidth="1"/>
  </cols>
  <sheetData>
    <row r="1" spans="1:28" ht="28.5" customHeight="1" x14ac:dyDescent="0.75">
      <c r="A1" s="51"/>
      <c r="B1" s="51"/>
      <c r="C1" s="51" t="s">
        <v>176</v>
      </c>
      <c r="D1" s="51" t="s">
        <v>144</v>
      </c>
      <c r="E1" s="52" t="s">
        <v>116</v>
      </c>
      <c r="F1" s="53" t="s">
        <v>145</v>
      </c>
      <c r="G1" s="54" t="s">
        <v>119</v>
      </c>
      <c r="H1" s="53" t="s">
        <v>146</v>
      </c>
      <c r="I1" s="55" t="s">
        <v>122</v>
      </c>
      <c r="J1" s="56" t="s">
        <v>147</v>
      </c>
      <c r="K1" s="51" t="s">
        <v>148</v>
      </c>
      <c r="L1" s="53" t="s">
        <v>149</v>
      </c>
      <c r="M1" s="51" t="s">
        <v>56</v>
      </c>
      <c r="N1" s="51" t="s">
        <v>58</v>
      </c>
      <c r="O1" s="51" t="s">
        <v>66</v>
      </c>
      <c r="P1" s="51" t="s">
        <v>56</v>
      </c>
      <c r="Q1" s="51" t="s">
        <v>58</v>
      </c>
      <c r="R1" s="51" t="s">
        <v>66</v>
      </c>
      <c r="S1" s="51" t="s">
        <v>56</v>
      </c>
      <c r="T1" s="51" t="s">
        <v>58</v>
      </c>
      <c r="U1" s="51" t="s">
        <v>66</v>
      </c>
      <c r="V1" s="51" t="s">
        <v>56</v>
      </c>
      <c r="W1" s="51" t="s">
        <v>58</v>
      </c>
      <c r="X1" s="51" t="s">
        <v>66</v>
      </c>
      <c r="Y1" s="51" t="s">
        <v>56</v>
      </c>
      <c r="Z1" s="51" t="s">
        <v>58</v>
      </c>
      <c r="AA1" s="51" t="s">
        <v>66</v>
      </c>
      <c r="AB1" s="51"/>
    </row>
    <row r="2" spans="1:28" ht="14.25" customHeight="1" x14ac:dyDescent="0.75">
      <c r="A2" s="50"/>
      <c r="B2" s="50"/>
      <c r="C2" s="57" t="s">
        <v>150</v>
      </c>
      <c r="D2" s="57"/>
      <c r="E2" s="57"/>
      <c r="F2" s="57"/>
      <c r="G2" s="57"/>
      <c r="H2" s="59"/>
      <c r="I2" s="59"/>
      <c r="J2" s="59"/>
      <c r="K2" s="59"/>
      <c r="L2" s="59"/>
      <c r="M2" s="59" t="s">
        <v>65</v>
      </c>
      <c r="N2" s="59" t="s">
        <v>57</v>
      </c>
      <c r="O2" s="59" t="s">
        <v>55</v>
      </c>
      <c r="P2" s="59" t="s">
        <v>65</v>
      </c>
      <c r="Q2" s="59" t="s">
        <v>57</v>
      </c>
      <c r="R2" s="59" t="s">
        <v>55</v>
      </c>
      <c r="S2" s="59" t="s">
        <v>65</v>
      </c>
      <c r="T2" s="59" t="s">
        <v>57</v>
      </c>
      <c r="U2" s="59" t="s">
        <v>55</v>
      </c>
      <c r="V2" s="59" t="s">
        <v>65</v>
      </c>
      <c r="W2" s="59" t="s">
        <v>57</v>
      </c>
      <c r="X2" s="59" t="s">
        <v>55</v>
      </c>
      <c r="Y2" s="59" t="s">
        <v>65</v>
      </c>
      <c r="Z2" s="59" t="s">
        <v>57</v>
      </c>
      <c r="AA2" s="59" t="s">
        <v>55</v>
      </c>
      <c r="AB2" s="50"/>
    </row>
    <row r="3" spans="1:28" ht="14.25" customHeight="1" x14ac:dyDescent="0.75">
      <c r="A3" s="62" t="s">
        <v>129</v>
      </c>
      <c r="B3" s="62" t="s">
        <v>2</v>
      </c>
      <c r="C3" s="62" t="s">
        <v>3</v>
      </c>
      <c r="D3" s="62"/>
      <c r="E3" s="58"/>
      <c r="F3" s="62"/>
      <c r="G3" s="63"/>
      <c r="H3" s="62"/>
      <c r="I3" s="64"/>
      <c r="J3" s="62"/>
      <c r="K3" s="62"/>
      <c r="L3" s="62"/>
      <c r="M3" s="62" t="s">
        <v>54</v>
      </c>
      <c r="N3" s="62" t="s">
        <v>54</v>
      </c>
      <c r="O3" s="62" t="s">
        <v>54</v>
      </c>
      <c r="P3" s="62" t="s">
        <v>59</v>
      </c>
      <c r="Q3" s="62" t="s">
        <v>59</v>
      </c>
      <c r="R3" s="62" t="s">
        <v>59</v>
      </c>
      <c r="S3" s="62" t="s">
        <v>60</v>
      </c>
      <c r="T3" s="62" t="s">
        <v>60</v>
      </c>
      <c r="U3" s="62" t="s">
        <v>60</v>
      </c>
      <c r="V3" s="62" t="s">
        <v>62</v>
      </c>
      <c r="W3" s="62" t="s">
        <v>62</v>
      </c>
      <c r="X3" s="62" t="s">
        <v>62</v>
      </c>
      <c r="Y3" s="62" t="s">
        <v>63</v>
      </c>
      <c r="Z3" s="62" t="s">
        <v>63</v>
      </c>
      <c r="AA3" s="62" t="s">
        <v>63</v>
      </c>
      <c r="AB3" s="50"/>
    </row>
    <row r="4" spans="1:28" ht="14.25" customHeight="1" x14ac:dyDescent="0.75">
      <c r="A4" s="62"/>
      <c r="B4" s="62"/>
      <c r="C4" s="62" t="s">
        <v>151</v>
      </c>
      <c r="D4" s="62"/>
      <c r="E4" s="58"/>
      <c r="F4" s="62">
        <f t="shared" ref="F4:F25" si="0">+M4+P4+S4+V4+Y4</f>
        <v>109</v>
      </c>
      <c r="G4" s="147"/>
      <c r="H4" s="62">
        <f t="shared" ref="H4:H25" si="1">+N4+Q4+T4+W4+Z4</f>
        <v>637</v>
      </c>
      <c r="I4" s="64"/>
      <c r="J4" s="62">
        <f t="shared" ref="J4:J25" si="2">+O4+R4+U4+X4+AA4</f>
        <v>94</v>
      </c>
      <c r="K4" s="62" t="s">
        <v>152</v>
      </c>
      <c r="L4" s="62"/>
      <c r="M4" s="62">
        <v>28</v>
      </c>
      <c r="N4" s="62">
        <v>168</v>
      </c>
      <c r="O4" s="62">
        <v>34</v>
      </c>
      <c r="P4" s="50"/>
      <c r="Q4" s="62">
        <v>120</v>
      </c>
      <c r="R4" s="62">
        <v>30</v>
      </c>
      <c r="S4" s="62">
        <v>39</v>
      </c>
      <c r="T4" s="62">
        <v>135</v>
      </c>
      <c r="U4" s="62"/>
      <c r="V4" s="62">
        <v>22</v>
      </c>
      <c r="W4" s="62">
        <v>112</v>
      </c>
      <c r="X4" s="62">
        <v>30</v>
      </c>
      <c r="Y4" s="62">
        <v>20</v>
      </c>
      <c r="Z4" s="62">
        <v>102</v>
      </c>
      <c r="AA4" s="62"/>
      <c r="AB4" s="50"/>
    </row>
    <row r="5" spans="1:28" ht="14.25" customHeight="1" x14ac:dyDescent="0.75">
      <c r="A5" s="50">
        <v>666501</v>
      </c>
      <c r="B5" s="50" t="s">
        <v>4</v>
      </c>
      <c r="C5" s="50" t="s">
        <v>5</v>
      </c>
      <c r="D5" s="50"/>
      <c r="E5" s="67">
        <v>0</v>
      </c>
      <c r="F5" s="50">
        <f t="shared" si="0"/>
        <v>0</v>
      </c>
      <c r="G5" s="149">
        <v>231</v>
      </c>
      <c r="H5" s="62">
        <f t="shared" si="1"/>
        <v>231</v>
      </c>
      <c r="I5" s="61">
        <v>6</v>
      </c>
      <c r="J5" s="157">
        <f t="shared" si="2"/>
        <v>6</v>
      </c>
      <c r="K5" s="50">
        <f t="shared" ref="K5:K24" si="3">+E5+G5+I5</f>
        <v>237</v>
      </c>
      <c r="L5" s="50">
        <f t="shared" ref="L5:L25" si="4">SUM(F5,H5,J5)</f>
        <v>237</v>
      </c>
      <c r="M5" s="50"/>
      <c r="N5" s="50">
        <v>147</v>
      </c>
      <c r="O5" s="50">
        <v>6</v>
      </c>
      <c r="P5" s="50"/>
      <c r="Q5" s="50">
        <v>45</v>
      </c>
      <c r="R5" s="50"/>
      <c r="S5" s="50"/>
      <c r="T5" s="50">
        <v>33</v>
      </c>
      <c r="U5" s="50"/>
      <c r="V5" s="50"/>
      <c r="W5" s="50"/>
      <c r="X5" s="50"/>
      <c r="Y5" s="50"/>
      <c r="Z5" s="50">
        <v>6</v>
      </c>
      <c r="AA5" s="50"/>
      <c r="AB5" s="50"/>
    </row>
    <row r="6" spans="1:28" ht="14.25" customHeight="1" x14ac:dyDescent="0.75">
      <c r="A6" s="50">
        <v>666502</v>
      </c>
      <c r="B6" s="50" t="s">
        <v>6</v>
      </c>
      <c r="C6" s="50" t="s">
        <v>7</v>
      </c>
      <c r="D6" s="50"/>
      <c r="E6" s="67">
        <v>0</v>
      </c>
      <c r="F6" s="50">
        <f t="shared" si="0"/>
        <v>0</v>
      </c>
      <c r="G6" s="149">
        <v>85</v>
      </c>
      <c r="H6" s="62">
        <f t="shared" si="1"/>
        <v>77</v>
      </c>
      <c r="I6" s="61">
        <v>74</v>
      </c>
      <c r="J6" s="157">
        <f t="shared" si="2"/>
        <v>74</v>
      </c>
      <c r="K6" s="50">
        <f t="shared" si="3"/>
        <v>159</v>
      </c>
      <c r="L6" s="50">
        <f t="shared" si="4"/>
        <v>151</v>
      </c>
      <c r="M6" s="50"/>
      <c r="N6" s="50">
        <v>29</v>
      </c>
      <c r="O6" s="50">
        <v>27</v>
      </c>
      <c r="P6" s="50"/>
      <c r="Q6" s="50">
        <v>32</v>
      </c>
      <c r="R6" s="50">
        <v>26</v>
      </c>
      <c r="S6" s="50"/>
      <c r="T6" s="50">
        <v>14</v>
      </c>
      <c r="U6" s="50"/>
      <c r="V6" s="50"/>
      <c r="W6" s="50"/>
      <c r="X6" s="50">
        <v>21</v>
      </c>
      <c r="Y6" s="50"/>
      <c r="Z6" s="50">
        <v>2</v>
      </c>
      <c r="AA6" s="50"/>
      <c r="AB6" s="50"/>
    </row>
    <row r="7" spans="1:28" ht="14.25" customHeight="1" x14ac:dyDescent="0.75">
      <c r="A7" s="50">
        <v>666505</v>
      </c>
      <c r="B7" s="50" t="s">
        <v>8</v>
      </c>
      <c r="C7" s="50" t="s">
        <v>9</v>
      </c>
      <c r="D7" s="50"/>
      <c r="E7" s="67">
        <v>0</v>
      </c>
      <c r="F7" s="50">
        <f t="shared" si="0"/>
        <v>0</v>
      </c>
      <c r="G7" s="149">
        <v>0</v>
      </c>
      <c r="H7" s="62">
        <f t="shared" si="1"/>
        <v>0</v>
      </c>
      <c r="I7" s="61">
        <v>0</v>
      </c>
      <c r="J7" s="157">
        <f t="shared" si="2"/>
        <v>0</v>
      </c>
      <c r="K7" s="50">
        <f t="shared" si="3"/>
        <v>0</v>
      </c>
      <c r="L7" s="50">
        <f t="shared" si="4"/>
        <v>0</v>
      </c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</row>
    <row r="8" spans="1:28" ht="14.25" customHeight="1" x14ac:dyDescent="0.75">
      <c r="A8" s="50">
        <v>666506</v>
      </c>
      <c r="B8" s="50" t="s">
        <v>10</v>
      </c>
      <c r="C8" s="50" t="s">
        <v>11</v>
      </c>
      <c r="D8" s="50"/>
      <c r="E8" s="67">
        <v>0</v>
      </c>
      <c r="F8" s="50">
        <f t="shared" si="0"/>
        <v>0</v>
      </c>
      <c r="G8" s="149">
        <v>123</v>
      </c>
      <c r="H8" s="62">
        <f t="shared" si="1"/>
        <v>123</v>
      </c>
      <c r="I8" s="61">
        <v>0</v>
      </c>
      <c r="J8" s="62">
        <f t="shared" si="2"/>
        <v>0</v>
      </c>
      <c r="K8" s="50">
        <f t="shared" si="3"/>
        <v>123</v>
      </c>
      <c r="L8" s="50">
        <f t="shared" si="4"/>
        <v>123</v>
      </c>
      <c r="M8" s="50"/>
      <c r="N8" s="50">
        <v>22</v>
      </c>
      <c r="O8" s="50"/>
      <c r="P8" s="50"/>
      <c r="Q8" s="50">
        <v>22</v>
      </c>
      <c r="R8" s="50"/>
      <c r="S8" s="50"/>
      <c r="T8" s="50">
        <v>32</v>
      </c>
      <c r="U8" s="50"/>
      <c r="V8" s="50"/>
      <c r="W8" s="50">
        <v>43</v>
      </c>
      <c r="X8" s="50"/>
      <c r="Y8" s="50"/>
      <c r="Z8" s="50">
        <v>4</v>
      </c>
      <c r="AA8" s="50"/>
      <c r="AB8" s="50"/>
    </row>
    <row r="9" spans="1:28" ht="14.25" customHeight="1" x14ac:dyDescent="0.75">
      <c r="A9" s="50">
        <v>666507</v>
      </c>
      <c r="B9" s="50" t="s">
        <v>12</v>
      </c>
      <c r="C9" s="50" t="s">
        <v>13</v>
      </c>
      <c r="D9" s="50"/>
      <c r="E9" s="67">
        <v>16</v>
      </c>
      <c r="F9" s="50">
        <f t="shared" si="0"/>
        <v>16</v>
      </c>
      <c r="G9" s="149">
        <v>0</v>
      </c>
      <c r="H9" s="62">
        <f t="shared" si="1"/>
        <v>0</v>
      </c>
      <c r="I9" s="61">
        <v>0</v>
      </c>
      <c r="J9" s="62">
        <f t="shared" si="2"/>
        <v>0</v>
      </c>
      <c r="K9" s="50">
        <f t="shared" si="3"/>
        <v>16</v>
      </c>
      <c r="L9" s="50">
        <f t="shared" si="4"/>
        <v>16</v>
      </c>
      <c r="M9" s="50"/>
      <c r="N9" s="50"/>
      <c r="O9" s="50"/>
      <c r="P9" s="50"/>
      <c r="Q9" s="50"/>
      <c r="R9" s="50"/>
      <c r="S9" s="50"/>
      <c r="T9" s="50"/>
      <c r="U9" s="50"/>
      <c r="V9" s="50">
        <v>11</v>
      </c>
      <c r="W9" s="50"/>
      <c r="X9" s="50"/>
      <c r="Y9" s="50">
        <v>5</v>
      </c>
      <c r="Z9" s="50"/>
      <c r="AA9" s="50"/>
      <c r="AB9" s="50"/>
    </row>
    <row r="10" spans="1:28" ht="14.25" customHeight="1" x14ac:dyDescent="0.75">
      <c r="A10" s="50">
        <v>666509</v>
      </c>
      <c r="B10" s="50" t="s">
        <v>14</v>
      </c>
      <c r="C10" s="50" t="s">
        <v>15</v>
      </c>
      <c r="D10" s="50"/>
      <c r="E10" s="67">
        <v>26</v>
      </c>
      <c r="F10" s="50">
        <f t="shared" si="0"/>
        <v>26</v>
      </c>
      <c r="G10" s="149">
        <v>0</v>
      </c>
      <c r="H10" s="62">
        <f t="shared" si="1"/>
        <v>0</v>
      </c>
      <c r="I10" s="61">
        <v>0</v>
      </c>
      <c r="J10" s="62">
        <f t="shared" si="2"/>
        <v>0</v>
      </c>
      <c r="K10" s="50">
        <f t="shared" si="3"/>
        <v>26</v>
      </c>
      <c r="L10" s="50">
        <f t="shared" si="4"/>
        <v>26</v>
      </c>
      <c r="M10" s="50">
        <v>11</v>
      </c>
      <c r="N10" s="50"/>
      <c r="O10" s="50"/>
      <c r="P10" s="50"/>
      <c r="Q10" s="50"/>
      <c r="R10" s="50"/>
      <c r="S10" s="50">
        <v>15</v>
      </c>
      <c r="T10" s="50"/>
      <c r="U10" s="50"/>
      <c r="V10" s="50"/>
      <c r="W10" s="50"/>
      <c r="X10" s="50"/>
      <c r="Y10" s="50"/>
      <c r="Z10" s="50"/>
      <c r="AA10" s="50"/>
      <c r="AB10" s="50"/>
    </row>
    <row r="11" spans="1:28" ht="14.25" customHeight="1" x14ac:dyDescent="0.75">
      <c r="A11" s="50">
        <v>666510</v>
      </c>
      <c r="B11" s="50" t="s">
        <v>16</v>
      </c>
      <c r="C11" s="50" t="s">
        <v>17</v>
      </c>
      <c r="D11" s="50"/>
      <c r="E11" s="67">
        <v>0</v>
      </c>
      <c r="F11" s="50">
        <f t="shared" si="0"/>
        <v>0</v>
      </c>
      <c r="G11" s="149">
        <v>0</v>
      </c>
      <c r="H11" s="62">
        <f t="shared" si="1"/>
        <v>0</v>
      </c>
      <c r="I11" s="61">
        <v>0</v>
      </c>
      <c r="J11" s="62">
        <f t="shared" si="2"/>
        <v>0</v>
      </c>
      <c r="K11" s="50">
        <f t="shared" si="3"/>
        <v>0</v>
      </c>
      <c r="L11" s="50">
        <f t="shared" si="4"/>
        <v>0</v>
      </c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</row>
    <row r="12" spans="1:28" ht="14.25" customHeight="1" x14ac:dyDescent="0.75">
      <c r="A12" s="50">
        <v>666511</v>
      </c>
      <c r="B12" s="50" t="s">
        <v>18</v>
      </c>
      <c r="C12" s="50" t="s">
        <v>19</v>
      </c>
      <c r="D12" s="50"/>
      <c r="E12" s="67">
        <v>6</v>
      </c>
      <c r="F12" s="50">
        <f t="shared" si="0"/>
        <v>6</v>
      </c>
      <c r="G12" s="149">
        <v>0</v>
      </c>
      <c r="H12" s="62">
        <f t="shared" si="1"/>
        <v>0</v>
      </c>
      <c r="I12" s="61">
        <v>0</v>
      </c>
      <c r="J12" s="62">
        <f t="shared" si="2"/>
        <v>0</v>
      </c>
      <c r="K12" s="50">
        <f t="shared" si="3"/>
        <v>6</v>
      </c>
      <c r="L12" s="50">
        <f t="shared" si="4"/>
        <v>6</v>
      </c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>
        <v>6</v>
      </c>
      <c r="Z12" s="50"/>
      <c r="AA12" s="50"/>
      <c r="AB12" s="50"/>
    </row>
    <row r="13" spans="1:28" ht="14.25" customHeight="1" x14ac:dyDescent="0.75">
      <c r="A13" s="50">
        <v>666513</v>
      </c>
      <c r="B13" s="50" t="s">
        <v>20</v>
      </c>
      <c r="C13" s="50" t="s">
        <v>21</v>
      </c>
      <c r="D13" s="50"/>
      <c r="E13" s="67">
        <v>0</v>
      </c>
      <c r="F13" s="50">
        <f t="shared" si="0"/>
        <v>0</v>
      </c>
      <c r="G13" s="149">
        <v>0</v>
      </c>
      <c r="H13" s="62">
        <f t="shared" si="1"/>
        <v>0</v>
      </c>
      <c r="I13" s="61">
        <v>0</v>
      </c>
      <c r="J13" s="62">
        <f t="shared" si="2"/>
        <v>0</v>
      </c>
      <c r="K13" s="50">
        <f t="shared" si="3"/>
        <v>0</v>
      </c>
      <c r="L13" s="50">
        <f t="shared" si="4"/>
        <v>0</v>
      </c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</row>
    <row r="14" spans="1:28" ht="14.25" customHeight="1" x14ac:dyDescent="0.75">
      <c r="A14" s="50">
        <v>666516</v>
      </c>
      <c r="B14" s="50" t="s">
        <v>22</v>
      </c>
      <c r="C14" s="50" t="s">
        <v>23</v>
      </c>
      <c r="D14" s="50"/>
      <c r="E14" s="67">
        <v>0</v>
      </c>
      <c r="F14" s="50">
        <f t="shared" si="0"/>
        <v>0</v>
      </c>
      <c r="G14" s="149">
        <v>0</v>
      </c>
      <c r="H14" s="62">
        <f t="shared" si="1"/>
        <v>0</v>
      </c>
      <c r="I14" s="61">
        <v>0</v>
      </c>
      <c r="J14" s="157">
        <f t="shared" si="2"/>
        <v>0</v>
      </c>
      <c r="K14" s="50">
        <f t="shared" si="3"/>
        <v>0</v>
      </c>
      <c r="L14" s="50">
        <f t="shared" si="4"/>
        <v>0</v>
      </c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</row>
    <row r="15" spans="1:28" ht="14.25" customHeight="1" x14ac:dyDescent="0.75">
      <c r="A15" s="50">
        <v>666517</v>
      </c>
      <c r="B15" s="50" t="s">
        <v>24</v>
      </c>
      <c r="C15" s="50" t="s">
        <v>25</v>
      </c>
      <c r="D15" s="50"/>
      <c r="E15" s="67">
        <v>1</v>
      </c>
      <c r="F15" s="50">
        <f t="shared" si="0"/>
        <v>0</v>
      </c>
      <c r="G15" s="149">
        <v>0</v>
      </c>
      <c r="H15" s="62">
        <f t="shared" si="1"/>
        <v>0</v>
      </c>
      <c r="I15" s="61">
        <v>0</v>
      </c>
      <c r="J15" s="62">
        <f t="shared" si="2"/>
        <v>0</v>
      </c>
      <c r="K15" s="50">
        <f t="shared" si="3"/>
        <v>1</v>
      </c>
      <c r="L15" s="50">
        <f t="shared" si="4"/>
        <v>0</v>
      </c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</row>
    <row r="16" spans="1:28" ht="14.25" customHeight="1" x14ac:dyDescent="0.75">
      <c r="A16" s="50">
        <v>666518</v>
      </c>
      <c r="B16" s="50" t="s">
        <v>26</v>
      </c>
      <c r="C16" s="50" t="s">
        <v>27</v>
      </c>
      <c r="D16" s="50"/>
      <c r="E16" s="67">
        <v>0</v>
      </c>
      <c r="F16" s="50">
        <f t="shared" si="0"/>
        <v>0</v>
      </c>
      <c r="G16" s="149">
        <v>0</v>
      </c>
      <c r="H16" s="62">
        <f t="shared" si="1"/>
        <v>0</v>
      </c>
      <c r="I16" s="61">
        <v>0</v>
      </c>
      <c r="J16" s="62">
        <f t="shared" si="2"/>
        <v>0</v>
      </c>
      <c r="K16" s="50">
        <f t="shared" si="3"/>
        <v>0</v>
      </c>
      <c r="L16" s="50">
        <f t="shared" si="4"/>
        <v>0</v>
      </c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</row>
    <row r="17" spans="1:28" ht="14.25" customHeight="1" x14ac:dyDescent="0.75">
      <c r="A17" s="50">
        <v>666519</v>
      </c>
      <c r="B17" s="50" t="s">
        <v>28</v>
      </c>
      <c r="C17" s="50" t="s">
        <v>29</v>
      </c>
      <c r="D17" s="50"/>
      <c r="E17" s="67">
        <v>0</v>
      </c>
      <c r="F17" s="50">
        <f t="shared" si="0"/>
        <v>0</v>
      </c>
      <c r="G17" s="149">
        <v>0</v>
      </c>
      <c r="H17" s="62">
        <f t="shared" si="1"/>
        <v>0</v>
      </c>
      <c r="I17" s="61">
        <v>0</v>
      </c>
      <c r="J17" s="62">
        <f t="shared" si="2"/>
        <v>0</v>
      </c>
      <c r="K17" s="50">
        <f t="shared" si="3"/>
        <v>0</v>
      </c>
      <c r="L17" s="50">
        <f t="shared" si="4"/>
        <v>0</v>
      </c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</row>
    <row r="18" spans="1:28" ht="14.25" customHeight="1" x14ac:dyDescent="0.75">
      <c r="A18" s="50">
        <v>666521</v>
      </c>
      <c r="B18" s="50" t="s">
        <v>30</v>
      </c>
      <c r="C18" s="50" t="s">
        <v>31</v>
      </c>
      <c r="D18" s="50"/>
      <c r="E18" s="67">
        <v>46</v>
      </c>
      <c r="F18" s="50">
        <f t="shared" si="0"/>
        <v>46</v>
      </c>
      <c r="G18" s="149">
        <v>0</v>
      </c>
      <c r="H18" s="62">
        <f t="shared" si="1"/>
        <v>0</v>
      </c>
      <c r="I18" s="61">
        <v>0</v>
      </c>
      <c r="J18" s="62">
        <f t="shared" si="2"/>
        <v>0</v>
      </c>
      <c r="K18" s="50">
        <f t="shared" si="3"/>
        <v>46</v>
      </c>
      <c r="L18" s="50">
        <f t="shared" si="4"/>
        <v>46</v>
      </c>
      <c r="M18" s="50">
        <v>13</v>
      </c>
      <c r="N18" s="50"/>
      <c r="O18" s="50"/>
      <c r="P18" s="50"/>
      <c r="Q18" s="50"/>
      <c r="R18" s="50"/>
      <c r="S18" s="50">
        <v>23</v>
      </c>
      <c r="T18" s="50"/>
      <c r="U18" s="50"/>
      <c r="V18" s="50">
        <v>1</v>
      </c>
      <c r="W18" s="50"/>
      <c r="X18" s="50"/>
      <c r="Y18" s="50">
        <v>9</v>
      </c>
      <c r="Z18" s="50"/>
      <c r="AA18" s="50"/>
      <c r="AB18" s="50"/>
    </row>
    <row r="19" spans="1:28" ht="14.25" customHeight="1" x14ac:dyDescent="0.75">
      <c r="A19" s="50">
        <v>666522</v>
      </c>
      <c r="B19" s="50" t="s">
        <v>32</v>
      </c>
      <c r="C19" s="50" t="s">
        <v>33</v>
      </c>
      <c r="D19" s="50"/>
      <c r="E19" s="67">
        <v>25</v>
      </c>
      <c r="F19" s="50">
        <f t="shared" si="0"/>
        <v>25</v>
      </c>
      <c r="G19" s="149">
        <v>10</v>
      </c>
      <c r="H19" s="62">
        <f t="shared" si="1"/>
        <v>10</v>
      </c>
      <c r="I19" s="61">
        <v>0</v>
      </c>
      <c r="J19" s="157">
        <f t="shared" si="2"/>
        <v>0</v>
      </c>
      <c r="K19" s="50">
        <f t="shared" si="3"/>
        <v>35</v>
      </c>
      <c r="L19" s="50">
        <f t="shared" si="4"/>
        <v>35</v>
      </c>
      <c r="M19" s="50">
        <v>20</v>
      </c>
      <c r="N19" s="50"/>
      <c r="O19" s="50"/>
      <c r="P19" s="50"/>
      <c r="Q19" s="50">
        <v>10</v>
      </c>
      <c r="R19" s="50"/>
      <c r="S19" s="50">
        <v>5</v>
      </c>
      <c r="T19" s="50"/>
      <c r="U19" s="50"/>
      <c r="V19" s="50"/>
      <c r="W19" s="50"/>
      <c r="X19" s="50"/>
      <c r="Y19" s="50"/>
      <c r="Z19" s="50"/>
      <c r="AA19" s="50"/>
      <c r="AB19" s="50"/>
    </row>
    <row r="20" spans="1:28" ht="14.25" customHeight="1" x14ac:dyDescent="0.75">
      <c r="A20" s="50">
        <v>666523</v>
      </c>
      <c r="B20" s="50" t="s">
        <v>34</v>
      </c>
      <c r="C20" s="50" t="s">
        <v>35</v>
      </c>
      <c r="D20" s="50"/>
      <c r="E20" s="67">
        <v>0</v>
      </c>
      <c r="F20" s="50">
        <f t="shared" si="0"/>
        <v>0</v>
      </c>
      <c r="G20" s="149">
        <v>0</v>
      </c>
      <c r="H20" s="62">
        <f t="shared" si="1"/>
        <v>0</v>
      </c>
      <c r="I20" s="61">
        <v>0</v>
      </c>
      <c r="J20" s="62">
        <f t="shared" si="2"/>
        <v>0</v>
      </c>
      <c r="K20" s="50">
        <f t="shared" si="3"/>
        <v>0</v>
      </c>
      <c r="L20" s="50">
        <f t="shared" si="4"/>
        <v>0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</row>
    <row r="21" spans="1:28" ht="14.25" customHeight="1" x14ac:dyDescent="0.75">
      <c r="A21" s="50">
        <v>666530</v>
      </c>
      <c r="B21" s="50" t="s">
        <v>36</v>
      </c>
      <c r="C21" s="50" t="s">
        <v>37</v>
      </c>
      <c r="D21" s="50"/>
      <c r="E21" s="67">
        <v>0</v>
      </c>
      <c r="F21" s="50">
        <f t="shared" si="0"/>
        <v>0</v>
      </c>
      <c r="G21" s="149">
        <v>0</v>
      </c>
      <c r="H21" s="62">
        <f t="shared" si="1"/>
        <v>0</v>
      </c>
      <c r="I21" s="61">
        <v>0</v>
      </c>
      <c r="J21" s="157">
        <f t="shared" si="2"/>
        <v>0</v>
      </c>
      <c r="K21" s="50">
        <f t="shared" si="3"/>
        <v>0</v>
      </c>
      <c r="L21" s="50">
        <f t="shared" si="4"/>
        <v>0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</row>
    <row r="22" spans="1:28" ht="14.25" customHeight="1" x14ac:dyDescent="0.75">
      <c r="A22" s="50">
        <v>666531</v>
      </c>
      <c r="B22" s="50" t="s">
        <v>38</v>
      </c>
      <c r="C22" s="50" t="s">
        <v>39</v>
      </c>
      <c r="D22" s="50"/>
      <c r="E22" s="67">
        <v>5</v>
      </c>
      <c r="F22" s="50">
        <f t="shared" si="0"/>
        <v>5</v>
      </c>
      <c r="G22" s="149">
        <v>0</v>
      </c>
      <c r="H22" s="62">
        <f t="shared" si="1"/>
        <v>0</v>
      </c>
      <c r="I22" s="61">
        <v>0</v>
      </c>
      <c r="J22" s="157">
        <f t="shared" si="2"/>
        <v>0</v>
      </c>
      <c r="K22" s="50">
        <f t="shared" si="3"/>
        <v>5</v>
      </c>
      <c r="L22" s="50">
        <f t="shared" si="4"/>
        <v>5</v>
      </c>
      <c r="M22" s="50"/>
      <c r="N22" s="50"/>
      <c r="O22" s="50"/>
      <c r="P22" s="50"/>
      <c r="Q22" s="50"/>
      <c r="R22" s="50"/>
      <c r="S22" s="50">
        <v>5</v>
      </c>
      <c r="T22" s="50"/>
      <c r="U22" s="50"/>
      <c r="V22" s="50"/>
      <c r="W22" s="50"/>
      <c r="X22" s="50"/>
      <c r="Y22" s="50"/>
      <c r="Z22" s="50"/>
      <c r="AA22" s="50"/>
      <c r="AB22" s="50"/>
    </row>
    <row r="23" spans="1:28" ht="14.25" customHeight="1" x14ac:dyDescent="0.75">
      <c r="A23" s="50">
        <v>666540</v>
      </c>
      <c r="B23" s="50" t="s">
        <v>40</v>
      </c>
      <c r="C23" s="50" t="s">
        <v>40</v>
      </c>
      <c r="D23" s="50"/>
      <c r="E23" s="67">
        <v>0</v>
      </c>
      <c r="F23" s="50">
        <f t="shared" si="0"/>
        <v>0</v>
      </c>
      <c r="G23" s="149">
        <v>40</v>
      </c>
      <c r="H23" s="62">
        <f t="shared" si="1"/>
        <v>1</v>
      </c>
      <c r="I23" s="61">
        <v>0</v>
      </c>
      <c r="J23" s="62">
        <f t="shared" si="2"/>
        <v>0</v>
      </c>
      <c r="K23" s="50">
        <f t="shared" si="3"/>
        <v>40</v>
      </c>
      <c r="L23" s="50">
        <f t="shared" si="4"/>
        <v>1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>
        <v>1</v>
      </c>
      <c r="AA23" s="50"/>
      <c r="AB23" s="50"/>
    </row>
    <row r="24" spans="1:28" ht="14.25" customHeight="1" x14ac:dyDescent="0.75">
      <c r="A24" s="50">
        <v>666541</v>
      </c>
      <c r="B24" s="50" t="s">
        <v>41</v>
      </c>
      <c r="C24" s="50" t="s">
        <v>41</v>
      </c>
      <c r="D24" s="50"/>
      <c r="E24" s="67">
        <v>0</v>
      </c>
      <c r="F24" s="50">
        <f t="shared" si="0"/>
        <v>0</v>
      </c>
      <c r="G24" s="149">
        <v>440</v>
      </c>
      <c r="H24" s="62">
        <f t="shared" si="1"/>
        <v>188</v>
      </c>
      <c r="I24" s="61">
        <v>0</v>
      </c>
      <c r="J24" s="62">
        <f t="shared" si="2"/>
        <v>0</v>
      </c>
      <c r="K24" s="50">
        <f t="shared" si="3"/>
        <v>440</v>
      </c>
      <c r="L24" s="50">
        <f t="shared" si="4"/>
        <v>188</v>
      </c>
      <c r="M24" s="50"/>
      <c r="N24" s="50">
        <v>28</v>
      </c>
      <c r="O24" s="50"/>
      <c r="P24" s="50"/>
      <c r="Q24" s="50">
        <v>35</v>
      </c>
      <c r="R24" s="50"/>
      <c r="S24" s="50"/>
      <c r="T24" s="50">
        <v>37</v>
      </c>
      <c r="U24" s="50"/>
      <c r="V24" s="50"/>
      <c r="W24" s="50">
        <v>61</v>
      </c>
      <c r="X24" s="50"/>
      <c r="Y24" s="50"/>
      <c r="Z24" s="50">
        <v>27</v>
      </c>
      <c r="AA24" s="50"/>
      <c r="AB24" s="50"/>
    </row>
    <row r="25" spans="1:28" ht="14.25" customHeight="1" x14ac:dyDescent="0.75">
      <c r="A25" s="50">
        <v>666536</v>
      </c>
      <c r="B25" s="50" t="s">
        <v>42</v>
      </c>
      <c r="C25" s="50" t="s">
        <v>43</v>
      </c>
      <c r="D25" s="50"/>
      <c r="E25" s="67">
        <v>20</v>
      </c>
      <c r="F25" s="50">
        <f t="shared" si="0"/>
        <v>9</v>
      </c>
      <c r="G25" s="149">
        <v>0</v>
      </c>
      <c r="H25" s="62">
        <f t="shared" si="1"/>
        <v>0</v>
      </c>
      <c r="I25" s="61">
        <v>0</v>
      </c>
      <c r="J25" s="62">
        <f t="shared" si="2"/>
        <v>0</v>
      </c>
      <c r="K25" s="50">
        <f>+E25+G25+H25</f>
        <v>20</v>
      </c>
      <c r="L25" s="50">
        <f t="shared" si="4"/>
        <v>9</v>
      </c>
      <c r="M25" s="50">
        <v>7</v>
      </c>
      <c r="N25" s="50"/>
      <c r="O25" s="50"/>
      <c r="P25" s="50"/>
      <c r="Q25" s="50"/>
      <c r="R25" s="50"/>
      <c r="S25" s="50">
        <v>2</v>
      </c>
      <c r="T25" s="50"/>
      <c r="U25" s="50"/>
      <c r="V25" s="50"/>
      <c r="W25" s="50"/>
      <c r="X25" s="50"/>
      <c r="Y25" s="50"/>
      <c r="Z25" s="50"/>
      <c r="AA25" s="50"/>
      <c r="AB25" s="50"/>
    </row>
    <row r="26" spans="1:28" ht="14.25" customHeight="1" x14ac:dyDescent="0.75">
      <c r="A26" s="50"/>
      <c r="B26" s="50"/>
      <c r="C26" s="71"/>
      <c r="D26" s="71"/>
      <c r="E26" s="71"/>
      <c r="F26" s="71"/>
      <c r="G26" s="71"/>
      <c r="H26" s="71"/>
      <c r="I26" s="71"/>
      <c r="J26" s="71"/>
      <c r="K26" s="50"/>
      <c r="L26" s="71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</row>
    <row r="35" spans="15:15" ht="14.25" customHeight="1" x14ac:dyDescent="0.75">
      <c r="O35" t="s">
        <v>152</v>
      </c>
    </row>
  </sheetData>
  <conditionalFormatting sqref="K5:K25">
    <cfRule type="cellIs" dxfId="127" priority="2" operator="equal">
      <formula>0</formula>
    </cfRule>
  </conditionalFormatting>
  <conditionalFormatting sqref="L5:L25">
    <cfRule type="expression" dxfId="126" priority="3">
      <formula>K5=L5</formula>
    </cfRule>
    <cfRule type="expression" dxfId="125" priority="4">
      <formula>K5&lt;L5</formula>
    </cfRule>
    <cfRule type="expression" dxfId="124" priority="5">
      <formula>K5&gt;L5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X71"/>
  <sheetViews>
    <sheetView topLeftCell="A17" zoomScaleNormal="100" workbookViewId="0">
      <selection activeCell="D30" sqref="D30"/>
    </sheetView>
  </sheetViews>
  <sheetFormatPr defaultColWidth="8.86328125" defaultRowHeight="14.75" x14ac:dyDescent="0.75"/>
  <cols>
    <col min="1" max="1" width="9" style="79" customWidth="1"/>
    <col min="2" max="2" width="33.453125" style="79" customWidth="1"/>
    <col min="3" max="3" width="15.6328125" style="79" hidden="1" customWidth="1"/>
    <col min="4" max="13" width="8.86328125" style="79"/>
    <col min="14" max="14" width="9.453125" style="79" customWidth="1"/>
    <col min="15" max="17" width="8.86328125" style="79"/>
    <col min="18" max="18" width="10.6328125" style="80" customWidth="1"/>
    <col min="19" max="19" width="9.1328125" style="79" hidden="1" customWidth="1"/>
    <col min="20" max="16384" width="8.86328125" style="79"/>
  </cols>
  <sheetData>
    <row r="1" spans="1:19" ht="15" customHeight="1" x14ac:dyDescent="0.75">
      <c r="A1" s="3" t="s">
        <v>192</v>
      </c>
      <c r="B1" s="3"/>
      <c r="C1" s="3"/>
      <c r="D1" s="3"/>
      <c r="E1" s="3"/>
      <c r="F1" s="81"/>
      <c r="G1" s="81"/>
      <c r="H1" s="81"/>
      <c r="I1" s="81"/>
      <c r="J1" s="81"/>
      <c r="K1" s="81"/>
      <c r="L1" s="81"/>
      <c r="M1" s="81"/>
      <c r="N1" s="81"/>
      <c r="O1" s="81"/>
      <c r="P1" s="82"/>
      <c r="Q1" s="80" t="s">
        <v>160</v>
      </c>
    </row>
    <row r="2" spans="1:19" ht="41.25" customHeight="1" x14ac:dyDescent="0.75">
      <c r="A2" s="83"/>
      <c r="B2" s="84" t="s">
        <v>56</v>
      </c>
      <c r="C2" s="85" t="s">
        <v>55</v>
      </c>
      <c r="D2" s="86" t="s">
        <v>116</v>
      </c>
      <c r="E2" s="87" t="s">
        <v>161</v>
      </c>
      <c r="F2" s="88" t="s">
        <v>162</v>
      </c>
      <c r="G2" s="86" t="s">
        <v>163</v>
      </c>
      <c r="H2" s="87" t="s">
        <v>164</v>
      </c>
      <c r="I2" s="86" t="s">
        <v>165</v>
      </c>
      <c r="J2" s="86" t="s">
        <v>166</v>
      </c>
      <c r="K2" s="89" t="s">
        <v>167</v>
      </c>
      <c r="L2" s="88" t="s">
        <v>162</v>
      </c>
      <c r="M2" s="86" t="s">
        <v>163</v>
      </c>
      <c r="N2" s="87" t="s">
        <v>164</v>
      </c>
      <c r="O2" s="86" t="s">
        <v>165</v>
      </c>
      <c r="P2" s="90" t="s">
        <v>166</v>
      </c>
      <c r="Q2" s="91"/>
      <c r="R2" s="92" t="s">
        <v>168</v>
      </c>
    </row>
    <row r="3" spans="1:19" ht="14.25" customHeight="1" x14ac:dyDescent="0.75">
      <c r="A3" s="93">
        <v>666501</v>
      </c>
      <c r="B3" s="94" t="s">
        <v>4</v>
      </c>
      <c r="C3" s="95" t="s">
        <v>5</v>
      </c>
      <c r="D3" s="96">
        <v>72</v>
      </c>
      <c r="E3" s="97">
        <f t="shared" ref="E3:E23" si="0">+D3/6</f>
        <v>12</v>
      </c>
      <c r="F3" s="96">
        <v>9</v>
      </c>
      <c r="G3" s="98">
        <v>0</v>
      </c>
      <c r="H3" s="96">
        <v>57</v>
      </c>
      <c r="I3" s="96">
        <v>6</v>
      </c>
      <c r="J3" s="96">
        <v>0</v>
      </c>
      <c r="K3" s="99">
        <f t="shared" ref="K3:K23" si="1">(+D3-SUM(F3:J3))/3.5</f>
        <v>0</v>
      </c>
      <c r="L3" s="96">
        <v>0</v>
      </c>
      <c r="M3" s="96">
        <v>0</v>
      </c>
      <c r="N3" s="96">
        <v>0</v>
      </c>
      <c r="O3" s="96">
        <v>0</v>
      </c>
      <c r="P3" s="100">
        <v>0</v>
      </c>
      <c r="Q3" s="101">
        <f t="shared" ref="Q3:Q23" si="2">SUM(F3:J3)+SUM(L3:P3)</f>
        <v>72</v>
      </c>
      <c r="R3" s="101">
        <f t="shared" ref="R3:R23" si="3">+D3-Q3</f>
        <v>0</v>
      </c>
      <c r="S3" s="102">
        <f>+R3/2.25</f>
        <v>0</v>
      </c>
    </row>
    <row r="4" spans="1:19" ht="14.25" customHeight="1" x14ac:dyDescent="0.75">
      <c r="A4" s="93">
        <v>666502</v>
      </c>
      <c r="B4" s="94" t="s">
        <v>6</v>
      </c>
      <c r="C4" s="95" t="s">
        <v>7</v>
      </c>
      <c r="D4" s="96">
        <v>0</v>
      </c>
      <c r="E4" s="97">
        <f t="shared" si="0"/>
        <v>0</v>
      </c>
      <c r="F4" s="96">
        <v>0</v>
      </c>
      <c r="G4" s="98">
        <v>0</v>
      </c>
      <c r="H4" s="96">
        <v>0</v>
      </c>
      <c r="I4" s="96">
        <v>0</v>
      </c>
      <c r="J4" s="96">
        <v>0</v>
      </c>
      <c r="K4" s="99">
        <f t="shared" si="1"/>
        <v>0</v>
      </c>
      <c r="L4" s="96">
        <v>0</v>
      </c>
      <c r="M4" s="96">
        <v>0</v>
      </c>
      <c r="N4" s="96">
        <v>0</v>
      </c>
      <c r="O4" s="96">
        <v>0</v>
      </c>
      <c r="P4" s="100">
        <v>0</v>
      </c>
      <c r="Q4" s="101">
        <f t="shared" si="2"/>
        <v>0</v>
      </c>
      <c r="R4" s="101">
        <f t="shared" si="3"/>
        <v>0</v>
      </c>
      <c r="S4" s="102">
        <f>+R4/2.25</f>
        <v>0</v>
      </c>
    </row>
    <row r="5" spans="1:19" ht="14.25" customHeight="1" x14ac:dyDescent="0.75">
      <c r="A5" s="93">
        <v>666505</v>
      </c>
      <c r="B5" s="94" t="s">
        <v>8</v>
      </c>
      <c r="C5" s="95" t="s">
        <v>9</v>
      </c>
      <c r="D5" s="96">
        <v>19</v>
      </c>
      <c r="E5" s="97">
        <f t="shared" si="0"/>
        <v>3.1666666666666665</v>
      </c>
      <c r="F5" s="96">
        <v>19</v>
      </c>
      <c r="G5" s="98">
        <v>0</v>
      </c>
      <c r="H5" s="96">
        <v>0</v>
      </c>
      <c r="I5" s="96">
        <v>0</v>
      </c>
      <c r="J5" s="96">
        <v>0</v>
      </c>
      <c r="K5" s="99">
        <f t="shared" si="1"/>
        <v>0</v>
      </c>
      <c r="L5" s="96">
        <v>0</v>
      </c>
      <c r="M5" s="96">
        <v>0</v>
      </c>
      <c r="N5" s="96">
        <v>0</v>
      </c>
      <c r="O5" s="96">
        <v>0</v>
      </c>
      <c r="P5" s="100">
        <v>0</v>
      </c>
      <c r="Q5" s="133">
        <f t="shared" si="2"/>
        <v>19</v>
      </c>
      <c r="R5" s="101">
        <f t="shared" si="3"/>
        <v>0</v>
      </c>
      <c r="S5" s="102">
        <f>+R5/2.25</f>
        <v>0</v>
      </c>
    </row>
    <row r="6" spans="1:19" ht="14.25" customHeight="1" x14ac:dyDescent="0.75">
      <c r="A6" s="93">
        <v>666506</v>
      </c>
      <c r="B6" s="94" t="s">
        <v>10</v>
      </c>
      <c r="C6" s="95" t="s">
        <v>11</v>
      </c>
      <c r="D6" s="96">
        <v>0</v>
      </c>
      <c r="E6" s="97">
        <f t="shared" si="0"/>
        <v>0</v>
      </c>
      <c r="F6" s="96">
        <v>0</v>
      </c>
      <c r="G6" s="98">
        <v>0</v>
      </c>
      <c r="H6" s="96">
        <v>0</v>
      </c>
      <c r="I6" s="96">
        <v>0</v>
      </c>
      <c r="J6" s="96">
        <v>0</v>
      </c>
      <c r="K6" s="99">
        <f t="shared" si="1"/>
        <v>0</v>
      </c>
      <c r="L6" s="96">
        <v>0</v>
      </c>
      <c r="M6" s="96">
        <v>0</v>
      </c>
      <c r="N6" s="96">
        <v>0</v>
      </c>
      <c r="O6" s="96">
        <v>0</v>
      </c>
      <c r="P6" s="100">
        <v>0</v>
      </c>
      <c r="Q6" s="101">
        <f t="shared" si="2"/>
        <v>0</v>
      </c>
      <c r="R6" s="101">
        <f t="shared" si="3"/>
        <v>0</v>
      </c>
      <c r="S6" s="102">
        <f>+R6/2.25</f>
        <v>0</v>
      </c>
    </row>
    <row r="7" spans="1:19" ht="14.25" customHeight="1" x14ac:dyDescent="0.75">
      <c r="A7" s="93">
        <v>666507</v>
      </c>
      <c r="B7" s="94" t="s">
        <v>12</v>
      </c>
      <c r="C7" s="95" t="s">
        <v>13</v>
      </c>
      <c r="D7" s="96">
        <v>16</v>
      </c>
      <c r="E7" s="97">
        <f t="shared" si="0"/>
        <v>2.6666666666666665</v>
      </c>
      <c r="F7" s="96">
        <v>0</v>
      </c>
      <c r="G7" s="98">
        <v>0</v>
      </c>
      <c r="H7" s="96">
        <v>0</v>
      </c>
      <c r="I7" s="96">
        <v>0</v>
      </c>
      <c r="J7" s="96">
        <v>0</v>
      </c>
      <c r="K7" s="99">
        <f t="shared" si="1"/>
        <v>4.5714285714285712</v>
      </c>
      <c r="L7" s="96">
        <v>0</v>
      </c>
      <c r="M7" s="96">
        <v>0</v>
      </c>
      <c r="N7" s="96">
        <v>0</v>
      </c>
      <c r="O7" s="96">
        <v>11</v>
      </c>
      <c r="P7" s="100">
        <v>5</v>
      </c>
      <c r="Q7" s="101">
        <f t="shared" si="2"/>
        <v>16</v>
      </c>
      <c r="R7" s="101">
        <f t="shared" si="3"/>
        <v>0</v>
      </c>
      <c r="S7" s="102">
        <f>+R7/2.25</f>
        <v>0</v>
      </c>
    </row>
    <row r="8" spans="1:19" ht="14.25" customHeight="1" x14ac:dyDescent="0.75">
      <c r="A8" s="93">
        <v>666509</v>
      </c>
      <c r="B8" s="94" t="s">
        <v>14</v>
      </c>
      <c r="C8" s="95" t="s">
        <v>15</v>
      </c>
      <c r="D8" s="96">
        <v>68</v>
      </c>
      <c r="E8" s="97">
        <f t="shared" si="0"/>
        <v>11.333333333333334</v>
      </c>
      <c r="F8" s="96">
        <v>10</v>
      </c>
      <c r="G8" s="98">
        <v>0</v>
      </c>
      <c r="H8" s="96">
        <v>12</v>
      </c>
      <c r="I8" s="96">
        <v>12</v>
      </c>
      <c r="J8" s="96">
        <v>8</v>
      </c>
      <c r="K8" s="99">
        <f t="shared" si="1"/>
        <v>7.4285714285714288</v>
      </c>
      <c r="L8" s="96">
        <v>11</v>
      </c>
      <c r="M8" s="96">
        <v>0</v>
      </c>
      <c r="N8" s="96">
        <v>15</v>
      </c>
      <c r="O8" s="96">
        <v>0</v>
      </c>
      <c r="P8" s="100">
        <v>0</v>
      </c>
      <c r="Q8" s="101">
        <f t="shared" si="2"/>
        <v>68</v>
      </c>
      <c r="R8" s="101">
        <f t="shared" si="3"/>
        <v>0</v>
      </c>
      <c r="S8" s="102">
        <f>+R8/2</f>
        <v>0</v>
      </c>
    </row>
    <row r="9" spans="1:19" ht="14.25" customHeight="1" x14ac:dyDescent="0.75">
      <c r="A9" s="93">
        <v>666510</v>
      </c>
      <c r="B9" s="94" t="s">
        <v>16</v>
      </c>
      <c r="C9" s="95" t="s">
        <v>169</v>
      </c>
      <c r="D9" s="96">
        <v>0</v>
      </c>
      <c r="E9" s="97">
        <f t="shared" si="0"/>
        <v>0</v>
      </c>
      <c r="F9" s="96">
        <v>0</v>
      </c>
      <c r="G9" s="98">
        <v>0</v>
      </c>
      <c r="H9" s="96">
        <v>0</v>
      </c>
      <c r="I9" s="96">
        <v>0</v>
      </c>
      <c r="J9" s="96">
        <v>0</v>
      </c>
      <c r="K9" s="99">
        <f t="shared" si="1"/>
        <v>0</v>
      </c>
      <c r="L9" s="96">
        <v>0</v>
      </c>
      <c r="M9" s="96">
        <v>0</v>
      </c>
      <c r="N9" s="96">
        <v>0</v>
      </c>
      <c r="O9" s="96">
        <v>0</v>
      </c>
      <c r="P9" s="100">
        <v>0</v>
      </c>
      <c r="Q9" s="101">
        <f t="shared" si="2"/>
        <v>0</v>
      </c>
      <c r="R9" s="101">
        <f t="shared" si="3"/>
        <v>0</v>
      </c>
      <c r="S9" s="102">
        <f t="shared" ref="S9:S19" si="4">+R9/2.25</f>
        <v>0</v>
      </c>
    </row>
    <row r="10" spans="1:19" ht="14.25" customHeight="1" x14ac:dyDescent="0.75">
      <c r="A10" s="93">
        <v>666511</v>
      </c>
      <c r="B10" s="94" t="s">
        <v>18</v>
      </c>
      <c r="C10" s="95" t="s">
        <v>19</v>
      </c>
      <c r="D10" s="96">
        <v>6</v>
      </c>
      <c r="E10" s="97">
        <f t="shared" si="0"/>
        <v>1</v>
      </c>
      <c r="F10" s="96">
        <v>0</v>
      </c>
      <c r="G10" s="98">
        <v>0</v>
      </c>
      <c r="H10" s="96">
        <v>0</v>
      </c>
      <c r="I10" s="96">
        <v>0</v>
      </c>
      <c r="J10" s="96">
        <v>0</v>
      </c>
      <c r="K10" s="99">
        <f t="shared" si="1"/>
        <v>1.7142857142857142</v>
      </c>
      <c r="L10" s="96">
        <v>0</v>
      </c>
      <c r="M10" s="96">
        <v>0</v>
      </c>
      <c r="N10" s="96">
        <v>0</v>
      </c>
      <c r="O10" s="96">
        <v>0</v>
      </c>
      <c r="P10" s="100">
        <v>6</v>
      </c>
      <c r="Q10" s="101">
        <f t="shared" si="2"/>
        <v>6</v>
      </c>
      <c r="R10" s="101">
        <f t="shared" si="3"/>
        <v>0</v>
      </c>
      <c r="S10" s="102">
        <f t="shared" si="4"/>
        <v>0</v>
      </c>
    </row>
    <row r="11" spans="1:19" ht="14.25" customHeight="1" x14ac:dyDescent="0.75">
      <c r="A11" s="93">
        <v>666513</v>
      </c>
      <c r="B11" s="94" t="s">
        <v>20</v>
      </c>
      <c r="C11" s="95" t="s">
        <v>21</v>
      </c>
      <c r="D11" s="96">
        <v>6</v>
      </c>
      <c r="E11" s="97">
        <f t="shared" si="0"/>
        <v>1</v>
      </c>
      <c r="F11" s="96">
        <v>6</v>
      </c>
      <c r="G11" s="98">
        <v>0</v>
      </c>
      <c r="H11" s="96">
        <v>0</v>
      </c>
      <c r="I11" s="96">
        <v>0</v>
      </c>
      <c r="J11" s="96">
        <v>0</v>
      </c>
      <c r="K11" s="99">
        <f t="shared" si="1"/>
        <v>0</v>
      </c>
      <c r="L11" s="96">
        <v>0</v>
      </c>
      <c r="M11" s="96">
        <v>0</v>
      </c>
      <c r="N11" s="96">
        <v>0</v>
      </c>
      <c r="O11" s="96">
        <v>0</v>
      </c>
      <c r="P11" s="100">
        <v>0</v>
      </c>
      <c r="Q11" s="133">
        <f t="shared" si="2"/>
        <v>6</v>
      </c>
      <c r="R11" s="101">
        <f t="shared" si="3"/>
        <v>0</v>
      </c>
      <c r="S11" s="102">
        <f t="shared" si="4"/>
        <v>0</v>
      </c>
    </row>
    <row r="12" spans="1:19" ht="14.25" customHeight="1" x14ac:dyDescent="0.75">
      <c r="A12" s="93">
        <v>666516</v>
      </c>
      <c r="B12" s="94" t="s">
        <v>22</v>
      </c>
      <c r="C12" s="95" t="s">
        <v>23</v>
      </c>
      <c r="D12" s="96">
        <v>31</v>
      </c>
      <c r="E12" s="97">
        <f t="shared" si="0"/>
        <v>5.166666666666667</v>
      </c>
      <c r="F12" s="96">
        <v>29</v>
      </c>
      <c r="G12" s="98">
        <v>0</v>
      </c>
      <c r="H12" s="96">
        <v>2</v>
      </c>
      <c r="I12" s="96">
        <v>0</v>
      </c>
      <c r="J12" s="96">
        <v>0</v>
      </c>
      <c r="K12" s="99">
        <f t="shared" si="1"/>
        <v>0</v>
      </c>
      <c r="L12" s="96">
        <v>0</v>
      </c>
      <c r="M12" s="96">
        <v>0</v>
      </c>
      <c r="N12" s="96">
        <v>0</v>
      </c>
      <c r="O12" s="96">
        <v>0</v>
      </c>
      <c r="P12" s="100">
        <v>0</v>
      </c>
      <c r="Q12" s="133">
        <f t="shared" si="2"/>
        <v>31</v>
      </c>
      <c r="R12" s="101">
        <f t="shared" si="3"/>
        <v>0</v>
      </c>
      <c r="S12" s="102">
        <f t="shared" si="4"/>
        <v>0</v>
      </c>
    </row>
    <row r="13" spans="1:19" ht="14.25" customHeight="1" x14ac:dyDescent="0.75">
      <c r="A13" s="93">
        <v>666517</v>
      </c>
      <c r="B13" s="94" t="s">
        <v>24</v>
      </c>
      <c r="C13" s="95" t="s">
        <v>25</v>
      </c>
      <c r="D13" s="96">
        <v>39</v>
      </c>
      <c r="E13" s="97">
        <f t="shared" si="0"/>
        <v>6.5</v>
      </c>
      <c r="F13" s="96">
        <v>30</v>
      </c>
      <c r="G13" s="98">
        <v>0</v>
      </c>
      <c r="H13" s="96">
        <v>8</v>
      </c>
      <c r="I13" s="96">
        <v>0</v>
      </c>
      <c r="J13" s="96">
        <v>0</v>
      </c>
      <c r="K13" s="99">
        <f t="shared" si="1"/>
        <v>0.2857142857142857</v>
      </c>
      <c r="L13" s="96">
        <v>0</v>
      </c>
      <c r="M13" s="96">
        <v>0</v>
      </c>
      <c r="N13" s="96">
        <v>0</v>
      </c>
      <c r="O13" s="96">
        <v>0</v>
      </c>
      <c r="P13" s="100">
        <v>0</v>
      </c>
      <c r="Q13" s="133">
        <f t="shared" si="2"/>
        <v>38</v>
      </c>
      <c r="R13" s="101">
        <f t="shared" si="3"/>
        <v>1</v>
      </c>
      <c r="S13" s="102">
        <f t="shared" si="4"/>
        <v>0.44444444444444442</v>
      </c>
    </row>
    <row r="14" spans="1:19" ht="14.25" customHeight="1" x14ac:dyDescent="0.75">
      <c r="A14" s="93">
        <v>666518</v>
      </c>
      <c r="B14" s="94" t="s">
        <v>26</v>
      </c>
      <c r="C14" s="95" t="s">
        <v>27</v>
      </c>
      <c r="D14" s="96">
        <v>0</v>
      </c>
      <c r="E14" s="97">
        <f t="shared" si="0"/>
        <v>0</v>
      </c>
      <c r="F14" s="96">
        <v>0</v>
      </c>
      <c r="G14" s="98">
        <v>0</v>
      </c>
      <c r="H14" s="96">
        <v>0</v>
      </c>
      <c r="I14" s="96">
        <v>0</v>
      </c>
      <c r="J14" s="96">
        <v>0</v>
      </c>
      <c r="K14" s="99">
        <f t="shared" si="1"/>
        <v>0</v>
      </c>
      <c r="L14" s="96">
        <v>0</v>
      </c>
      <c r="M14" s="96">
        <v>0</v>
      </c>
      <c r="N14" s="96">
        <v>0</v>
      </c>
      <c r="O14" s="96">
        <v>0</v>
      </c>
      <c r="P14" s="100">
        <v>0</v>
      </c>
      <c r="Q14" s="101">
        <f t="shared" si="2"/>
        <v>0</v>
      </c>
      <c r="R14" s="101">
        <f t="shared" si="3"/>
        <v>0</v>
      </c>
      <c r="S14" s="102">
        <f t="shared" si="4"/>
        <v>0</v>
      </c>
    </row>
    <row r="15" spans="1:19" ht="14.25" customHeight="1" x14ac:dyDescent="0.75">
      <c r="A15" s="93">
        <v>666519</v>
      </c>
      <c r="B15" s="94" t="s">
        <v>28</v>
      </c>
      <c r="C15" s="95" t="s">
        <v>29</v>
      </c>
      <c r="D15" s="96">
        <v>26</v>
      </c>
      <c r="E15" s="97">
        <f t="shared" si="0"/>
        <v>4.333333333333333</v>
      </c>
      <c r="F15" s="96">
        <v>26</v>
      </c>
      <c r="G15" s="98">
        <v>0</v>
      </c>
      <c r="H15" s="96">
        <v>0</v>
      </c>
      <c r="I15" s="96">
        <v>0</v>
      </c>
      <c r="J15" s="96">
        <v>0</v>
      </c>
      <c r="K15" s="99">
        <f t="shared" si="1"/>
        <v>0</v>
      </c>
      <c r="L15" s="96">
        <v>0</v>
      </c>
      <c r="M15" s="96">
        <v>0</v>
      </c>
      <c r="N15" s="96">
        <v>0</v>
      </c>
      <c r="O15" s="96">
        <v>0</v>
      </c>
      <c r="P15" s="100">
        <v>0</v>
      </c>
      <c r="Q15" s="133">
        <f t="shared" si="2"/>
        <v>26</v>
      </c>
      <c r="R15" s="101">
        <f t="shared" si="3"/>
        <v>0</v>
      </c>
      <c r="S15" s="102">
        <f t="shared" si="4"/>
        <v>0</v>
      </c>
    </row>
    <row r="16" spans="1:19" ht="14.25" customHeight="1" x14ac:dyDescent="0.75">
      <c r="A16" s="93">
        <v>666521</v>
      </c>
      <c r="B16" s="94" t="s">
        <v>30</v>
      </c>
      <c r="C16" s="95" t="s">
        <v>31</v>
      </c>
      <c r="D16" s="96">
        <v>120</v>
      </c>
      <c r="E16" s="97">
        <f t="shared" si="0"/>
        <v>20</v>
      </c>
      <c r="F16" s="96">
        <v>20</v>
      </c>
      <c r="G16" s="98">
        <v>0</v>
      </c>
      <c r="H16" s="96">
        <v>24</v>
      </c>
      <c r="I16" s="96">
        <v>16</v>
      </c>
      <c r="J16" s="96">
        <v>14</v>
      </c>
      <c r="K16" s="99">
        <f t="shared" si="1"/>
        <v>13.142857142857142</v>
      </c>
      <c r="L16" s="96">
        <v>13</v>
      </c>
      <c r="M16" s="96">
        <v>0</v>
      </c>
      <c r="N16" s="96">
        <v>23</v>
      </c>
      <c r="O16" s="96">
        <v>1</v>
      </c>
      <c r="P16" s="100">
        <v>9</v>
      </c>
      <c r="Q16" s="101">
        <f t="shared" si="2"/>
        <v>120</v>
      </c>
      <c r="R16" s="101">
        <f t="shared" si="3"/>
        <v>0</v>
      </c>
      <c r="S16" s="102">
        <f t="shared" si="4"/>
        <v>0</v>
      </c>
    </row>
    <row r="17" spans="1:19" ht="14.25" customHeight="1" x14ac:dyDescent="0.75">
      <c r="A17" s="93">
        <v>666522</v>
      </c>
      <c r="B17" s="94" t="s">
        <v>32</v>
      </c>
      <c r="C17" s="95" t="s">
        <v>33</v>
      </c>
      <c r="D17" s="96">
        <v>210</v>
      </c>
      <c r="E17" s="97">
        <f t="shared" si="0"/>
        <v>35</v>
      </c>
      <c r="F17" s="96">
        <v>40</v>
      </c>
      <c r="G17" s="98">
        <v>0</v>
      </c>
      <c r="H17" s="96">
        <v>85</v>
      </c>
      <c r="I17" s="96">
        <v>35</v>
      </c>
      <c r="J17" s="96">
        <v>25</v>
      </c>
      <c r="K17" s="99">
        <f t="shared" si="1"/>
        <v>7.1428571428571432</v>
      </c>
      <c r="L17" s="96">
        <v>20</v>
      </c>
      <c r="M17" s="96">
        <v>0</v>
      </c>
      <c r="N17" s="96">
        <v>5</v>
      </c>
      <c r="O17" s="96">
        <v>0</v>
      </c>
      <c r="P17" s="100">
        <v>0</v>
      </c>
      <c r="Q17" s="101">
        <f t="shared" si="2"/>
        <v>210</v>
      </c>
      <c r="R17" s="101">
        <f t="shared" si="3"/>
        <v>0</v>
      </c>
      <c r="S17" s="102">
        <f t="shared" si="4"/>
        <v>0</v>
      </c>
    </row>
    <row r="18" spans="1:19" ht="14.25" customHeight="1" x14ac:dyDescent="0.75">
      <c r="A18" s="93">
        <v>666523</v>
      </c>
      <c r="B18" s="94" t="s">
        <v>34</v>
      </c>
      <c r="C18" s="95" t="s">
        <v>35</v>
      </c>
      <c r="D18" s="96">
        <v>0</v>
      </c>
      <c r="E18" s="97">
        <f t="shared" si="0"/>
        <v>0</v>
      </c>
      <c r="F18" s="96">
        <v>0</v>
      </c>
      <c r="G18" s="98">
        <v>0</v>
      </c>
      <c r="H18" s="96">
        <v>0</v>
      </c>
      <c r="I18" s="96">
        <v>0</v>
      </c>
      <c r="J18" s="96">
        <v>0</v>
      </c>
      <c r="K18" s="99">
        <f t="shared" si="1"/>
        <v>0</v>
      </c>
      <c r="L18" s="96">
        <v>0</v>
      </c>
      <c r="M18" s="96">
        <v>0</v>
      </c>
      <c r="N18" s="96">
        <v>0</v>
      </c>
      <c r="O18" s="96">
        <v>0</v>
      </c>
      <c r="P18" s="100">
        <v>0</v>
      </c>
      <c r="Q18" s="101">
        <f t="shared" si="2"/>
        <v>0</v>
      </c>
      <c r="R18" s="101">
        <f t="shared" si="3"/>
        <v>0</v>
      </c>
      <c r="S18" s="102">
        <f t="shared" si="4"/>
        <v>0</v>
      </c>
    </row>
    <row r="19" spans="1:19" ht="14.25" customHeight="1" x14ac:dyDescent="0.75">
      <c r="A19" s="93">
        <v>666530</v>
      </c>
      <c r="B19" s="94" t="s">
        <v>36</v>
      </c>
      <c r="C19" s="95" t="s">
        <v>37</v>
      </c>
      <c r="D19" s="96">
        <v>0</v>
      </c>
      <c r="E19" s="97">
        <f t="shared" si="0"/>
        <v>0</v>
      </c>
      <c r="F19" s="96">
        <v>0</v>
      </c>
      <c r="G19" s="98">
        <v>0</v>
      </c>
      <c r="H19" s="96">
        <v>0</v>
      </c>
      <c r="I19" s="96">
        <v>0</v>
      </c>
      <c r="J19" s="96">
        <v>0</v>
      </c>
      <c r="K19" s="99">
        <f t="shared" si="1"/>
        <v>0</v>
      </c>
      <c r="L19" s="96">
        <v>0</v>
      </c>
      <c r="M19" s="96">
        <v>0</v>
      </c>
      <c r="N19" s="96">
        <v>0</v>
      </c>
      <c r="O19" s="96">
        <v>0</v>
      </c>
      <c r="P19" s="100">
        <v>0</v>
      </c>
      <c r="Q19" s="133">
        <f t="shared" si="2"/>
        <v>0</v>
      </c>
      <c r="R19" s="101">
        <f t="shared" si="3"/>
        <v>0</v>
      </c>
      <c r="S19" s="102">
        <f t="shared" si="4"/>
        <v>0</v>
      </c>
    </row>
    <row r="20" spans="1:19" ht="14.25" customHeight="1" x14ac:dyDescent="0.75">
      <c r="A20" s="93">
        <v>666531</v>
      </c>
      <c r="B20" s="94" t="s">
        <v>38</v>
      </c>
      <c r="C20" s="95" t="s">
        <v>39</v>
      </c>
      <c r="D20" s="96">
        <v>20</v>
      </c>
      <c r="E20" s="97">
        <f t="shared" si="0"/>
        <v>3.3333333333333335</v>
      </c>
      <c r="F20" s="96">
        <v>3</v>
      </c>
      <c r="G20" s="98">
        <v>0</v>
      </c>
      <c r="H20" s="96">
        <v>4</v>
      </c>
      <c r="I20" s="96">
        <v>4</v>
      </c>
      <c r="J20" s="96">
        <v>4</v>
      </c>
      <c r="K20" s="99">
        <f t="shared" si="1"/>
        <v>1.4285714285714286</v>
      </c>
      <c r="L20" s="96">
        <v>0</v>
      </c>
      <c r="M20" s="96">
        <v>0</v>
      </c>
      <c r="N20" s="96">
        <v>5</v>
      </c>
      <c r="O20" s="96">
        <v>0</v>
      </c>
      <c r="P20" s="100">
        <v>0</v>
      </c>
      <c r="Q20" s="133">
        <f t="shared" si="2"/>
        <v>20</v>
      </c>
      <c r="R20" s="101">
        <f t="shared" si="3"/>
        <v>0</v>
      </c>
      <c r="S20" s="102"/>
    </row>
    <row r="21" spans="1:19" ht="14.25" customHeight="1" x14ac:dyDescent="0.75">
      <c r="A21" s="93">
        <v>666540</v>
      </c>
      <c r="B21" s="94" t="s">
        <v>40</v>
      </c>
      <c r="C21" s="95" t="s">
        <v>40</v>
      </c>
      <c r="D21" s="96">
        <v>0</v>
      </c>
      <c r="E21" s="97">
        <f t="shared" si="0"/>
        <v>0</v>
      </c>
      <c r="F21" s="96">
        <v>0</v>
      </c>
      <c r="G21" s="98">
        <v>0</v>
      </c>
      <c r="H21" s="96">
        <v>0</v>
      </c>
      <c r="I21" s="96">
        <v>0</v>
      </c>
      <c r="J21" s="96">
        <v>0</v>
      </c>
      <c r="K21" s="99">
        <f t="shared" si="1"/>
        <v>0</v>
      </c>
      <c r="L21" s="96">
        <v>0</v>
      </c>
      <c r="M21" s="96">
        <v>0</v>
      </c>
      <c r="N21" s="96">
        <v>0</v>
      </c>
      <c r="O21" s="96">
        <v>0</v>
      </c>
      <c r="P21" s="100">
        <v>0</v>
      </c>
      <c r="Q21" s="101">
        <f t="shared" si="2"/>
        <v>0</v>
      </c>
      <c r="R21" s="101">
        <f t="shared" si="3"/>
        <v>0</v>
      </c>
      <c r="S21" s="102"/>
    </row>
    <row r="22" spans="1:19" ht="15" customHeight="1" x14ac:dyDescent="0.75">
      <c r="A22" s="93">
        <v>666541</v>
      </c>
      <c r="B22" s="94" t="s">
        <v>41</v>
      </c>
      <c r="C22" s="103" t="s">
        <v>41</v>
      </c>
      <c r="D22" s="96">
        <v>0</v>
      </c>
      <c r="E22" s="97">
        <f t="shared" si="0"/>
        <v>0</v>
      </c>
      <c r="F22" s="104">
        <v>0</v>
      </c>
      <c r="G22" s="105">
        <v>0</v>
      </c>
      <c r="H22" s="104">
        <v>0</v>
      </c>
      <c r="I22" s="104">
        <v>0</v>
      </c>
      <c r="J22" s="104">
        <v>0</v>
      </c>
      <c r="K22" s="106">
        <f t="shared" si="1"/>
        <v>0</v>
      </c>
      <c r="L22" s="96">
        <v>0</v>
      </c>
      <c r="M22" s="96">
        <v>0</v>
      </c>
      <c r="N22" s="96">
        <v>0</v>
      </c>
      <c r="O22" s="96">
        <v>0</v>
      </c>
      <c r="P22" s="100">
        <v>0</v>
      </c>
      <c r="Q22" s="101">
        <f t="shared" si="2"/>
        <v>0</v>
      </c>
      <c r="R22" s="101">
        <f t="shared" si="3"/>
        <v>0</v>
      </c>
      <c r="S22" s="102"/>
    </row>
    <row r="23" spans="1:19" s="50" customFormat="1" ht="15" customHeight="1" x14ac:dyDescent="0.75">
      <c r="A23" s="108">
        <v>666536</v>
      </c>
      <c r="B23" s="109" t="s">
        <v>42</v>
      </c>
      <c r="C23" s="110"/>
      <c r="D23" s="104">
        <v>28</v>
      </c>
      <c r="E23" s="111">
        <f t="shared" si="0"/>
        <v>4.666666666666667</v>
      </c>
      <c r="F23" s="104">
        <v>5</v>
      </c>
      <c r="G23" s="105">
        <v>0</v>
      </c>
      <c r="H23" s="104">
        <v>0</v>
      </c>
      <c r="I23" s="104">
        <v>2</v>
      </c>
      <c r="J23" s="104">
        <v>1</v>
      </c>
      <c r="K23" s="106">
        <f t="shared" si="1"/>
        <v>5.7142857142857144</v>
      </c>
      <c r="L23" s="104">
        <v>7</v>
      </c>
      <c r="M23" s="104">
        <v>0</v>
      </c>
      <c r="N23" s="104">
        <v>2</v>
      </c>
      <c r="O23" s="104">
        <v>0</v>
      </c>
      <c r="P23" s="107">
        <v>0</v>
      </c>
      <c r="Q23" s="101">
        <f t="shared" si="2"/>
        <v>17</v>
      </c>
      <c r="R23" s="101">
        <f t="shared" si="3"/>
        <v>11</v>
      </c>
    </row>
    <row r="24" spans="1:19" s="50" customFormat="1" ht="15" customHeight="1" x14ac:dyDescent="0.75">
      <c r="A24" s="112"/>
      <c r="B24" s="113"/>
      <c r="D24" s="101"/>
      <c r="E24" s="114"/>
    </row>
    <row r="25" spans="1:19" ht="15" customHeight="1" x14ac:dyDescent="0.75">
      <c r="A25" s="4" t="str">
        <f>+A1</f>
        <v>Weeks of 04/20/26 &amp; 04/27/26</v>
      </c>
      <c r="B25" s="4"/>
      <c r="C25" s="4"/>
      <c r="D25" s="4"/>
      <c r="E25" s="4"/>
      <c r="F25" s="115"/>
      <c r="G25" s="115"/>
      <c r="H25" s="115"/>
      <c r="I25" s="115"/>
      <c r="J25" s="116"/>
      <c r="K25" s="116"/>
      <c r="L25" s="116"/>
      <c r="M25" s="116"/>
      <c r="N25" s="116"/>
      <c r="O25" s="116"/>
      <c r="P25" s="117"/>
      <c r="Q25" s="101"/>
      <c r="R25" s="101"/>
    </row>
    <row r="26" spans="1:19" ht="42" customHeight="1" x14ac:dyDescent="0.75">
      <c r="A26" s="118"/>
      <c r="B26" s="119" t="s">
        <v>170</v>
      </c>
      <c r="C26" s="120" t="s">
        <v>65</v>
      </c>
      <c r="D26" s="121" t="s">
        <v>119</v>
      </c>
      <c r="E26" s="122" t="s">
        <v>171</v>
      </c>
      <c r="F26" s="88" t="s">
        <v>162</v>
      </c>
      <c r="G26" s="86" t="s">
        <v>163</v>
      </c>
      <c r="H26" s="87" t="s">
        <v>172</v>
      </c>
      <c r="I26" s="86" t="s">
        <v>165</v>
      </c>
      <c r="J26" s="123" t="s">
        <v>166</v>
      </c>
      <c r="K26" s="124" t="str">
        <f>+K2</f>
        <v>2nd wk daily goals</v>
      </c>
      <c r="L26" s="125" t="s">
        <v>162</v>
      </c>
      <c r="M26" s="86" t="s">
        <v>163</v>
      </c>
      <c r="N26" s="126" t="s">
        <v>172</v>
      </c>
      <c r="O26" s="86" t="s">
        <v>165</v>
      </c>
      <c r="P26" s="90" t="s">
        <v>166</v>
      </c>
      <c r="Q26" s="101"/>
      <c r="R26" s="92" t="s">
        <v>168</v>
      </c>
    </row>
    <row r="27" spans="1:19" ht="15" customHeight="1" x14ac:dyDescent="0.75">
      <c r="A27" s="93">
        <v>666501</v>
      </c>
      <c r="B27" s="94" t="s">
        <v>4</v>
      </c>
      <c r="C27" s="127" t="s">
        <v>5</v>
      </c>
      <c r="D27" s="128">
        <v>666</v>
      </c>
      <c r="E27" s="129">
        <f t="shared" ref="E27:E47" si="5">+D27/7</f>
        <v>95.142857142857139</v>
      </c>
      <c r="F27" s="96">
        <v>72</v>
      </c>
      <c r="G27" s="96">
        <v>96</v>
      </c>
      <c r="H27" s="96">
        <v>102</v>
      </c>
      <c r="I27" s="96">
        <v>30</v>
      </c>
      <c r="J27" s="130">
        <v>135</v>
      </c>
      <c r="K27" s="131">
        <f t="shared" ref="K27:K47" si="6">(+D27-SUM(F27:J27))/4</f>
        <v>57.75</v>
      </c>
      <c r="L27" s="132">
        <v>147</v>
      </c>
      <c r="M27" s="96">
        <v>45</v>
      </c>
      <c r="N27" s="96">
        <v>33</v>
      </c>
      <c r="O27" s="96">
        <v>0</v>
      </c>
      <c r="P27" s="100">
        <v>6</v>
      </c>
      <c r="Q27" s="133">
        <f t="shared" ref="Q27:Q47" si="7">SUM(F27:J27)+SUM(L27:P27)</f>
        <v>666</v>
      </c>
      <c r="R27" s="101">
        <f t="shared" ref="R27:R47" si="8">+D27-Q27</f>
        <v>0</v>
      </c>
      <c r="S27" s="102">
        <f t="shared" ref="S27:S36" si="9">+R27/3</f>
        <v>0</v>
      </c>
    </row>
    <row r="28" spans="1:19" ht="15" customHeight="1" x14ac:dyDescent="0.75">
      <c r="A28" s="93">
        <v>666502</v>
      </c>
      <c r="B28" s="94" t="s">
        <v>6</v>
      </c>
      <c r="C28" s="127" t="s">
        <v>7</v>
      </c>
      <c r="D28" s="128">
        <v>277</v>
      </c>
      <c r="E28" s="129">
        <f t="shared" si="5"/>
        <v>39.571428571428569</v>
      </c>
      <c r="F28" s="96">
        <v>43</v>
      </c>
      <c r="G28" s="96">
        <v>36</v>
      </c>
      <c r="H28" s="96">
        <v>47</v>
      </c>
      <c r="I28" s="96">
        <v>24</v>
      </c>
      <c r="J28" s="130">
        <v>42</v>
      </c>
      <c r="K28" s="131">
        <f t="shared" si="6"/>
        <v>21.25</v>
      </c>
      <c r="L28" s="132">
        <v>29</v>
      </c>
      <c r="M28" s="96">
        <v>32</v>
      </c>
      <c r="N28" s="96">
        <v>14</v>
      </c>
      <c r="O28" s="96">
        <v>0</v>
      </c>
      <c r="P28" s="100">
        <v>2</v>
      </c>
      <c r="Q28" s="101">
        <f t="shared" si="7"/>
        <v>269</v>
      </c>
      <c r="R28" s="101">
        <f t="shared" si="8"/>
        <v>8</v>
      </c>
      <c r="S28" s="102">
        <f t="shared" si="9"/>
        <v>2.6666666666666665</v>
      </c>
    </row>
    <row r="29" spans="1:19" ht="15" customHeight="1" x14ac:dyDescent="0.75">
      <c r="A29" s="93">
        <v>666505</v>
      </c>
      <c r="B29" s="94" t="s">
        <v>8</v>
      </c>
      <c r="C29" s="127" t="s">
        <v>9</v>
      </c>
      <c r="D29" s="128">
        <v>0</v>
      </c>
      <c r="E29" s="129">
        <f t="shared" si="5"/>
        <v>0</v>
      </c>
      <c r="F29" s="96">
        <v>0</v>
      </c>
      <c r="G29" s="96">
        <v>0</v>
      </c>
      <c r="H29" s="96">
        <v>0</v>
      </c>
      <c r="I29" s="96">
        <v>0</v>
      </c>
      <c r="J29" s="130">
        <v>0</v>
      </c>
      <c r="K29" s="131">
        <f t="shared" si="6"/>
        <v>0</v>
      </c>
      <c r="L29" s="132">
        <v>0</v>
      </c>
      <c r="M29" s="96">
        <v>0</v>
      </c>
      <c r="N29" s="96">
        <v>0</v>
      </c>
      <c r="O29" s="96">
        <v>0</v>
      </c>
      <c r="P29" s="100">
        <v>0</v>
      </c>
      <c r="Q29" s="101">
        <f t="shared" si="7"/>
        <v>0</v>
      </c>
      <c r="R29" s="101">
        <f t="shared" si="8"/>
        <v>0</v>
      </c>
      <c r="S29" s="102">
        <f t="shared" si="9"/>
        <v>0</v>
      </c>
    </row>
    <row r="30" spans="1:19" ht="15" customHeight="1" x14ac:dyDescent="0.75">
      <c r="A30" s="93">
        <v>666506</v>
      </c>
      <c r="B30" s="94" t="s">
        <v>10</v>
      </c>
      <c r="C30" s="127" t="s">
        <v>11</v>
      </c>
      <c r="D30" s="128">
        <v>277</v>
      </c>
      <c r="E30" s="129">
        <f t="shared" si="5"/>
        <v>39.571428571428569</v>
      </c>
      <c r="F30" s="96">
        <v>29</v>
      </c>
      <c r="G30" s="96">
        <v>21</v>
      </c>
      <c r="H30" s="96">
        <v>30</v>
      </c>
      <c r="I30" s="96">
        <v>34</v>
      </c>
      <c r="J30" s="130">
        <v>40</v>
      </c>
      <c r="K30" s="131">
        <f t="shared" si="6"/>
        <v>30.75</v>
      </c>
      <c r="L30" s="132">
        <v>22</v>
      </c>
      <c r="M30" s="96">
        <v>22</v>
      </c>
      <c r="N30" s="96">
        <v>32</v>
      </c>
      <c r="O30" s="96">
        <v>43</v>
      </c>
      <c r="P30" s="100">
        <v>4</v>
      </c>
      <c r="Q30" s="133">
        <f t="shared" si="7"/>
        <v>277</v>
      </c>
      <c r="R30" s="101">
        <f t="shared" si="8"/>
        <v>0</v>
      </c>
      <c r="S30" s="102">
        <f t="shared" si="9"/>
        <v>0</v>
      </c>
    </row>
    <row r="31" spans="1:19" ht="15" customHeight="1" x14ac:dyDescent="0.75">
      <c r="A31" s="93">
        <v>666507</v>
      </c>
      <c r="B31" s="94" t="s">
        <v>12</v>
      </c>
      <c r="C31" s="127" t="s">
        <v>13</v>
      </c>
      <c r="D31" s="128">
        <v>0</v>
      </c>
      <c r="E31" s="129">
        <f t="shared" si="5"/>
        <v>0</v>
      </c>
      <c r="F31" s="96">
        <v>0</v>
      </c>
      <c r="G31" s="96">
        <v>0</v>
      </c>
      <c r="H31" s="96">
        <v>0</v>
      </c>
      <c r="I31" s="96">
        <v>0</v>
      </c>
      <c r="J31" s="130">
        <v>0</v>
      </c>
      <c r="K31" s="131">
        <f t="shared" si="6"/>
        <v>0</v>
      </c>
      <c r="L31" s="132">
        <v>0</v>
      </c>
      <c r="M31" s="96">
        <v>0</v>
      </c>
      <c r="N31" s="96">
        <v>0</v>
      </c>
      <c r="O31" s="96">
        <v>0</v>
      </c>
      <c r="P31" s="100">
        <v>0</v>
      </c>
      <c r="Q31" s="101">
        <f t="shared" si="7"/>
        <v>0</v>
      </c>
      <c r="R31" s="101">
        <f t="shared" si="8"/>
        <v>0</v>
      </c>
      <c r="S31" s="102">
        <f t="shared" si="9"/>
        <v>0</v>
      </c>
    </row>
    <row r="32" spans="1:19" ht="15" customHeight="1" x14ac:dyDescent="0.75">
      <c r="A32" s="93">
        <v>666509</v>
      </c>
      <c r="B32" s="94" t="s">
        <v>14</v>
      </c>
      <c r="C32" s="127" t="s">
        <v>15</v>
      </c>
      <c r="D32" s="128">
        <v>0</v>
      </c>
      <c r="E32" s="129">
        <f t="shared" si="5"/>
        <v>0</v>
      </c>
      <c r="F32" s="96">
        <v>0</v>
      </c>
      <c r="G32" s="96">
        <v>0</v>
      </c>
      <c r="H32" s="96">
        <v>0</v>
      </c>
      <c r="I32" s="96">
        <v>0</v>
      </c>
      <c r="J32" s="130">
        <v>0</v>
      </c>
      <c r="K32" s="131">
        <f t="shared" si="6"/>
        <v>0</v>
      </c>
      <c r="L32" s="132">
        <v>0</v>
      </c>
      <c r="M32" s="96">
        <v>0</v>
      </c>
      <c r="N32" s="96">
        <v>0</v>
      </c>
      <c r="O32" s="96">
        <v>0</v>
      </c>
      <c r="P32" s="100">
        <v>0</v>
      </c>
      <c r="Q32" s="101">
        <f t="shared" si="7"/>
        <v>0</v>
      </c>
      <c r="R32" s="101">
        <f t="shared" si="8"/>
        <v>0</v>
      </c>
      <c r="S32" s="102">
        <f t="shared" si="9"/>
        <v>0</v>
      </c>
    </row>
    <row r="33" spans="1:24" ht="15" customHeight="1" x14ac:dyDescent="0.75">
      <c r="A33" s="93">
        <v>666510</v>
      </c>
      <c r="B33" s="94" t="s">
        <v>16</v>
      </c>
      <c r="C33" s="127" t="s">
        <v>169</v>
      </c>
      <c r="D33" s="128">
        <v>0</v>
      </c>
      <c r="E33" s="129">
        <f t="shared" si="5"/>
        <v>0</v>
      </c>
      <c r="F33" s="96">
        <v>0</v>
      </c>
      <c r="G33" s="96">
        <v>0</v>
      </c>
      <c r="H33" s="96">
        <v>0</v>
      </c>
      <c r="I33" s="96">
        <v>0</v>
      </c>
      <c r="J33" s="130">
        <v>0</v>
      </c>
      <c r="K33" s="131">
        <f t="shared" si="6"/>
        <v>0</v>
      </c>
      <c r="L33" s="132">
        <v>0</v>
      </c>
      <c r="M33" s="96">
        <v>0</v>
      </c>
      <c r="N33" s="96">
        <v>0</v>
      </c>
      <c r="O33" s="96">
        <v>0</v>
      </c>
      <c r="P33" s="100">
        <v>0</v>
      </c>
      <c r="Q33" s="101">
        <f t="shared" si="7"/>
        <v>0</v>
      </c>
      <c r="R33" s="101">
        <f t="shared" si="8"/>
        <v>0</v>
      </c>
      <c r="S33" s="102">
        <f t="shared" si="9"/>
        <v>0</v>
      </c>
    </row>
    <row r="34" spans="1:24" ht="15" customHeight="1" x14ac:dyDescent="0.75">
      <c r="A34" s="93">
        <v>666511</v>
      </c>
      <c r="B34" s="94" t="s">
        <v>18</v>
      </c>
      <c r="C34" s="127" t="s">
        <v>19</v>
      </c>
      <c r="D34" s="128">
        <v>0</v>
      </c>
      <c r="E34" s="129">
        <f t="shared" si="5"/>
        <v>0</v>
      </c>
      <c r="F34" s="96">
        <v>0</v>
      </c>
      <c r="G34" s="96">
        <v>0</v>
      </c>
      <c r="H34" s="96">
        <v>0</v>
      </c>
      <c r="I34" s="96">
        <v>0</v>
      </c>
      <c r="J34" s="130">
        <v>0</v>
      </c>
      <c r="K34" s="131">
        <f t="shared" si="6"/>
        <v>0</v>
      </c>
      <c r="L34" s="132">
        <v>0</v>
      </c>
      <c r="M34" s="96">
        <v>0</v>
      </c>
      <c r="N34" s="96">
        <v>0</v>
      </c>
      <c r="O34" s="96">
        <v>0</v>
      </c>
      <c r="P34" s="100">
        <v>0</v>
      </c>
      <c r="Q34" s="101">
        <f t="shared" si="7"/>
        <v>0</v>
      </c>
      <c r="R34" s="101">
        <f t="shared" si="8"/>
        <v>0</v>
      </c>
      <c r="S34" s="102">
        <f t="shared" si="9"/>
        <v>0</v>
      </c>
    </row>
    <row r="35" spans="1:24" ht="15" customHeight="1" x14ac:dyDescent="0.75">
      <c r="A35" s="93">
        <v>666513</v>
      </c>
      <c r="B35" s="94" t="s">
        <v>20</v>
      </c>
      <c r="C35" s="127" t="s">
        <v>21</v>
      </c>
      <c r="D35" s="128">
        <v>0</v>
      </c>
      <c r="E35" s="129">
        <f t="shared" si="5"/>
        <v>0</v>
      </c>
      <c r="F35" s="96">
        <v>0</v>
      </c>
      <c r="G35" s="96">
        <v>0</v>
      </c>
      <c r="H35" s="96">
        <v>0</v>
      </c>
      <c r="I35" s="96">
        <v>0</v>
      </c>
      <c r="J35" s="130">
        <v>0</v>
      </c>
      <c r="K35" s="131">
        <f t="shared" si="6"/>
        <v>0</v>
      </c>
      <c r="L35" s="132">
        <v>0</v>
      </c>
      <c r="M35" s="96">
        <v>0</v>
      </c>
      <c r="N35" s="96">
        <v>0</v>
      </c>
      <c r="O35" s="96">
        <v>0</v>
      </c>
      <c r="P35" s="100">
        <v>0</v>
      </c>
      <c r="Q35" s="101">
        <f t="shared" si="7"/>
        <v>0</v>
      </c>
      <c r="R35" s="101">
        <f t="shared" si="8"/>
        <v>0</v>
      </c>
      <c r="S35" s="102">
        <f t="shared" si="9"/>
        <v>0</v>
      </c>
    </row>
    <row r="36" spans="1:24" ht="15" customHeight="1" x14ac:dyDescent="0.75">
      <c r="A36" s="93">
        <v>666516</v>
      </c>
      <c r="B36" s="94" t="s">
        <v>22</v>
      </c>
      <c r="C36" s="127" t="s">
        <v>23</v>
      </c>
      <c r="D36" s="128">
        <v>0</v>
      </c>
      <c r="E36" s="129">
        <f t="shared" si="5"/>
        <v>0</v>
      </c>
      <c r="F36" s="96">
        <v>0</v>
      </c>
      <c r="G36" s="96">
        <v>0</v>
      </c>
      <c r="H36" s="96">
        <v>0</v>
      </c>
      <c r="I36" s="96">
        <v>0</v>
      </c>
      <c r="J36" s="130">
        <v>0</v>
      </c>
      <c r="K36" s="131">
        <f t="shared" si="6"/>
        <v>0</v>
      </c>
      <c r="L36" s="132">
        <v>0</v>
      </c>
      <c r="M36" s="96">
        <v>0</v>
      </c>
      <c r="N36" s="96">
        <v>0</v>
      </c>
      <c r="O36" s="96">
        <v>0</v>
      </c>
      <c r="P36" s="100">
        <v>0</v>
      </c>
      <c r="Q36" s="101">
        <f t="shared" si="7"/>
        <v>0</v>
      </c>
      <c r="R36" s="101">
        <f t="shared" si="8"/>
        <v>0</v>
      </c>
      <c r="S36" s="102">
        <f t="shared" si="9"/>
        <v>0</v>
      </c>
    </row>
    <row r="37" spans="1:24" ht="15" customHeight="1" x14ac:dyDescent="0.75">
      <c r="A37" s="93">
        <v>666517</v>
      </c>
      <c r="B37" s="94" t="s">
        <v>24</v>
      </c>
      <c r="C37" s="127" t="s">
        <v>25</v>
      </c>
      <c r="D37" s="128">
        <v>0</v>
      </c>
      <c r="E37" s="129">
        <f t="shared" si="5"/>
        <v>0</v>
      </c>
      <c r="F37" s="96">
        <v>0</v>
      </c>
      <c r="G37" s="96">
        <v>0</v>
      </c>
      <c r="H37" s="96">
        <v>0</v>
      </c>
      <c r="I37" s="96">
        <v>0</v>
      </c>
      <c r="J37" s="130">
        <v>0</v>
      </c>
      <c r="K37" s="131">
        <f t="shared" si="6"/>
        <v>0</v>
      </c>
      <c r="L37" s="132">
        <v>0</v>
      </c>
      <c r="M37" s="96">
        <v>0</v>
      </c>
      <c r="N37" s="96">
        <v>0</v>
      </c>
      <c r="O37" s="96">
        <v>0</v>
      </c>
      <c r="P37" s="100">
        <v>0</v>
      </c>
      <c r="Q37" s="101">
        <f t="shared" si="7"/>
        <v>0</v>
      </c>
      <c r="R37" s="101">
        <f t="shared" si="8"/>
        <v>0</v>
      </c>
      <c r="S37" s="102">
        <f>+R37/2</f>
        <v>0</v>
      </c>
    </row>
    <row r="38" spans="1:24" ht="15" customHeight="1" x14ac:dyDescent="0.75">
      <c r="A38" s="93">
        <v>666518</v>
      </c>
      <c r="B38" s="94" t="s">
        <v>26</v>
      </c>
      <c r="C38" s="127" t="s">
        <v>27</v>
      </c>
      <c r="D38" s="128">
        <v>0</v>
      </c>
      <c r="E38" s="129">
        <f t="shared" si="5"/>
        <v>0</v>
      </c>
      <c r="F38" s="96">
        <v>0</v>
      </c>
      <c r="G38" s="96">
        <v>0</v>
      </c>
      <c r="H38" s="96">
        <v>0</v>
      </c>
      <c r="I38" s="96">
        <v>0</v>
      </c>
      <c r="J38" s="130">
        <v>0</v>
      </c>
      <c r="K38" s="131">
        <f t="shared" si="6"/>
        <v>0</v>
      </c>
      <c r="L38" s="132">
        <v>0</v>
      </c>
      <c r="M38" s="96">
        <v>0</v>
      </c>
      <c r="N38" s="96">
        <v>0</v>
      </c>
      <c r="O38" s="96">
        <v>0</v>
      </c>
      <c r="P38" s="100">
        <v>0</v>
      </c>
      <c r="Q38" s="101">
        <f t="shared" si="7"/>
        <v>0</v>
      </c>
      <c r="R38" s="101">
        <f t="shared" si="8"/>
        <v>0</v>
      </c>
      <c r="S38" s="102">
        <f>+R38/3</f>
        <v>0</v>
      </c>
    </row>
    <row r="39" spans="1:24" ht="15" customHeight="1" x14ac:dyDescent="0.75">
      <c r="A39" s="93">
        <v>666519</v>
      </c>
      <c r="B39" s="94" t="s">
        <v>28</v>
      </c>
      <c r="C39" s="127" t="s">
        <v>29</v>
      </c>
      <c r="D39" s="128">
        <v>0</v>
      </c>
      <c r="E39" s="129">
        <f t="shared" si="5"/>
        <v>0</v>
      </c>
      <c r="F39" s="96">
        <v>0</v>
      </c>
      <c r="G39" s="96">
        <v>0</v>
      </c>
      <c r="H39" s="96">
        <v>0</v>
      </c>
      <c r="I39" s="96">
        <v>0</v>
      </c>
      <c r="J39" s="130">
        <v>0</v>
      </c>
      <c r="K39" s="131">
        <f t="shared" si="6"/>
        <v>0</v>
      </c>
      <c r="L39" s="132">
        <v>0</v>
      </c>
      <c r="M39" s="96">
        <v>0</v>
      </c>
      <c r="N39" s="96">
        <v>0</v>
      </c>
      <c r="O39" s="96">
        <v>0</v>
      </c>
      <c r="P39" s="100">
        <v>0</v>
      </c>
      <c r="Q39" s="101">
        <f t="shared" si="7"/>
        <v>0</v>
      </c>
      <c r="R39" s="101">
        <f t="shared" si="8"/>
        <v>0</v>
      </c>
      <c r="S39" s="102"/>
    </row>
    <row r="40" spans="1:24" ht="15" customHeight="1" x14ac:dyDescent="0.75">
      <c r="A40" s="93">
        <v>666521</v>
      </c>
      <c r="B40" s="94" t="s">
        <v>30</v>
      </c>
      <c r="C40" s="127" t="s">
        <v>31</v>
      </c>
      <c r="D40" s="128">
        <v>0</v>
      </c>
      <c r="E40" s="129">
        <f t="shared" si="5"/>
        <v>0</v>
      </c>
      <c r="F40" s="96">
        <v>0</v>
      </c>
      <c r="G40" s="96">
        <v>0</v>
      </c>
      <c r="H40" s="96">
        <v>0</v>
      </c>
      <c r="I40" s="96">
        <v>0</v>
      </c>
      <c r="J40" s="130">
        <v>0</v>
      </c>
      <c r="K40" s="131">
        <f t="shared" si="6"/>
        <v>0</v>
      </c>
      <c r="L40" s="132">
        <v>0</v>
      </c>
      <c r="M40" s="96">
        <v>0</v>
      </c>
      <c r="N40" s="96">
        <v>0</v>
      </c>
      <c r="O40" s="96">
        <v>0</v>
      </c>
      <c r="P40" s="100">
        <v>0</v>
      </c>
      <c r="Q40" s="101">
        <f t="shared" si="7"/>
        <v>0</v>
      </c>
      <c r="R40" s="101">
        <f t="shared" si="8"/>
        <v>0</v>
      </c>
      <c r="S40" s="102"/>
    </row>
    <row r="41" spans="1:24" ht="15" customHeight="1" x14ac:dyDescent="0.75">
      <c r="A41" s="93">
        <v>666522</v>
      </c>
      <c r="B41" s="94" t="s">
        <v>32</v>
      </c>
      <c r="C41" s="127" t="s">
        <v>33</v>
      </c>
      <c r="D41" s="128">
        <v>60</v>
      </c>
      <c r="E41" s="129">
        <f t="shared" si="5"/>
        <v>8.5714285714285712</v>
      </c>
      <c r="F41" s="96">
        <v>0</v>
      </c>
      <c r="G41" s="96">
        <v>0</v>
      </c>
      <c r="H41" s="96">
        <v>0</v>
      </c>
      <c r="I41" s="96">
        <v>0</v>
      </c>
      <c r="J41" s="130">
        <v>50</v>
      </c>
      <c r="K41" s="131">
        <f t="shared" si="6"/>
        <v>2.5</v>
      </c>
      <c r="L41" s="132">
        <v>0</v>
      </c>
      <c r="M41" s="96">
        <v>10</v>
      </c>
      <c r="N41" s="96">
        <v>0</v>
      </c>
      <c r="O41" s="96">
        <v>0</v>
      </c>
      <c r="P41" s="100">
        <v>0</v>
      </c>
      <c r="Q41" s="133">
        <f t="shared" si="7"/>
        <v>60</v>
      </c>
      <c r="R41" s="101">
        <f t="shared" si="8"/>
        <v>0</v>
      </c>
      <c r="S41" s="102"/>
    </row>
    <row r="42" spans="1:24" ht="15" customHeight="1" x14ac:dyDescent="0.75">
      <c r="A42" s="93">
        <v>666523</v>
      </c>
      <c r="B42" s="94" t="s">
        <v>34</v>
      </c>
      <c r="C42" s="127" t="s">
        <v>35</v>
      </c>
      <c r="D42" s="128">
        <v>0</v>
      </c>
      <c r="E42" s="129">
        <f t="shared" si="5"/>
        <v>0</v>
      </c>
      <c r="F42" s="96">
        <v>0</v>
      </c>
      <c r="G42" s="96">
        <v>0</v>
      </c>
      <c r="H42" s="96">
        <v>0</v>
      </c>
      <c r="I42" s="96">
        <v>0</v>
      </c>
      <c r="J42" s="130">
        <v>0</v>
      </c>
      <c r="K42" s="131">
        <f t="shared" si="6"/>
        <v>0</v>
      </c>
      <c r="L42" s="132">
        <v>0</v>
      </c>
      <c r="M42" s="96">
        <v>0</v>
      </c>
      <c r="N42" s="96">
        <v>0</v>
      </c>
      <c r="O42" s="96">
        <v>0</v>
      </c>
      <c r="P42" s="100">
        <v>0</v>
      </c>
      <c r="Q42" s="133">
        <f t="shared" si="7"/>
        <v>0</v>
      </c>
      <c r="R42" s="101">
        <f t="shared" si="8"/>
        <v>0</v>
      </c>
      <c r="S42" s="102"/>
    </row>
    <row r="43" spans="1:24" ht="15" customHeight="1" x14ac:dyDescent="0.75">
      <c r="A43" s="93">
        <v>666530</v>
      </c>
      <c r="B43" s="94" t="s">
        <v>36</v>
      </c>
      <c r="C43" s="127" t="s">
        <v>37</v>
      </c>
      <c r="D43" s="128">
        <v>0</v>
      </c>
      <c r="E43" s="129">
        <f t="shared" si="5"/>
        <v>0</v>
      </c>
      <c r="F43" s="96">
        <v>0</v>
      </c>
      <c r="G43" s="96">
        <v>0</v>
      </c>
      <c r="H43" s="96">
        <v>0</v>
      </c>
      <c r="I43" s="96">
        <v>0</v>
      </c>
      <c r="J43" s="130">
        <v>0</v>
      </c>
      <c r="K43" s="131">
        <f t="shared" si="6"/>
        <v>0</v>
      </c>
      <c r="L43" s="132">
        <v>0</v>
      </c>
      <c r="M43" s="96">
        <v>0</v>
      </c>
      <c r="N43" s="96">
        <v>0</v>
      </c>
      <c r="O43" s="96">
        <v>0</v>
      </c>
      <c r="P43" s="100">
        <v>0</v>
      </c>
      <c r="Q43" s="101">
        <f t="shared" si="7"/>
        <v>0</v>
      </c>
      <c r="R43" s="101">
        <f t="shared" si="8"/>
        <v>0</v>
      </c>
      <c r="S43" s="102"/>
    </row>
    <row r="44" spans="1:24" ht="15" customHeight="1" x14ac:dyDescent="0.75">
      <c r="A44" s="93">
        <v>666531</v>
      </c>
      <c r="B44" s="94" t="s">
        <v>38</v>
      </c>
      <c r="C44" s="127" t="s">
        <v>39</v>
      </c>
      <c r="D44" s="128">
        <v>0</v>
      </c>
      <c r="E44" s="129">
        <f t="shared" si="5"/>
        <v>0</v>
      </c>
      <c r="F44" s="96">
        <v>0</v>
      </c>
      <c r="G44" s="96">
        <v>0</v>
      </c>
      <c r="H44" s="96">
        <v>0</v>
      </c>
      <c r="I44" s="96">
        <v>0</v>
      </c>
      <c r="J44" s="130">
        <v>0</v>
      </c>
      <c r="K44" s="131">
        <f t="shared" si="6"/>
        <v>0</v>
      </c>
      <c r="L44" s="132">
        <v>0</v>
      </c>
      <c r="M44" s="96">
        <v>0</v>
      </c>
      <c r="N44" s="96">
        <v>0</v>
      </c>
      <c r="O44" s="96">
        <v>0</v>
      </c>
      <c r="P44" s="100">
        <v>0</v>
      </c>
      <c r="Q44" s="101">
        <f t="shared" si="7"/>
        <v>0</v>
      </c>
      <c r="R44" s="101">
        <f t="shared" si="8"/>
        <v>0</v>
      </c>
      <c r="S44" s="102">
        <f>+R44/3</f>
        <v>0</v>
      </c>
    </row>
    <row r="45" spans="1:24" ht="15" customHeight="1" x14ac:dyDescent="0.75">
      <c r="A45" s="93">
        <v>666540</v>
      </c>
      <c r="B45" s="94" t="s">
        <v>40</v>
      </c>
      <c r="C45" s="127" t="s">
        <v>40</v>
      </c>
      <c r="D45" s="128">
        <v>40</v>
      </c>
      <c r="E45" s="129">
        <f t="shared" si="5"/>
        <v>5.7142857142857144</v>
      </c>
      <c r="F45" s="96">
        <v>0</v>
      </c>
      <c r="G45" s="96">
        <v>0</v>
      </c>
      <c r="H45" s="96">
        <v>0</v>
      </c>
      <c r="I45" s="96">
        <v>0</v>
      </c>
      <c r="J45" s="130">
        <v>0</v>
      </c>
      <c r="K45" s="131">
        <f t="shared" si="6"/>
        <v>10</v>
      </c>
      <c r="L45" s="132">
        <v>0</v>
      </c>
      <c r="M45" s="96">
        <v>0</v>
      </c>
      <c r="N45" s="96">
        <v>0</v>
      </c>
      <c r="O45" s="96">
        <v>0</v>
      </c>
      <c r="P45" s="100">
        <v>1</v>
      </c>
      <c r="Q45" s="101">
        <f t="shared" si="7"/>
        <v>1</v>
      </c>
      <c r="R45" s="101">
        <f t="shared" si="8"/>
        <v>39</v>
      </c>
      <c r="S45" s="102">
        <f>+R45/3</f>
        <v>13</v>
      </c>
    </row>
    <row r="46" spans="1:24" ht="15" customHeight="1" x14ac:dyDescent="0.75">
      <c r="A46" s="93">
        <v>666541</v>
      </c>
      <c r="B46" s="94" t="s">
        <v>41</v>
      </c>
      <c r="C46" s="127"/>
      <c r="D46" s="128">
        <v>680</v>
      </c>
      <c r="E46" s="129">
        <f t="shared" si="5"/>
        <v>97.142857142857139</v>
      </c>
      <c r="F46" s="96">
        <v>19</v>
      </c>
      <c r="G46" s="96">
        <v>37</v>
      </c>
      <c r="H46" s="96">
        <v>70</v>
      </c>
      <c r="I46" s="96">
        <v>57</v>
      </c>
      <c r="J46" s="130">
        <v>57</v>
      </c>
      <c r="K46" s="131">
        <f t="shared" si="6"/>
        <v>110</v>
      </c>
      <c r="L46" s="132">
        <v>28</v>
      </c>
      <c r="M46" s="96">
        <v>35</v>
      </c>
      <c r="N46" s="96">
        <v>37</v>
      </c>
      <c r="O46" s="96">
        <v>61</v>
      </c>
      <c r="P46" s="100">
        <v>27</v>
      </c>
      <c r="Q46" s="101">
        <f t="shared" si="7"/>
        <v>428</v>
      </c>
      <c r="R46" s="169">
        <f t="shared" si="8"/>
        <v>252</v>
      </c>
      <c r="S46" s="102"/>
    </row>
    <row r="47" spans="1:24" ht="15" customHeight="1" x14ac:dyDescent="0.75">
      <c r="A47" s="93">
        <v>666536</v>
      </c>
      <c r="B47" s="94" t="s">
        <v>42</v>
      </c>
      <c r="C47" s="134" t="s">
        <v>41</v>
      </c>
      <c r="D47" s="128">
        <v>0</v>
      </c>
      <c r="E47" s="129">
        <f t="shared" si="5"/>
        <v>0</v>
      </c>
      <c r="F47" s="96">
        <v>0</v>
      </c>
      <c r="G47" s="96">
        <v>0</v>
      </c>
      <c r="H47" s="96">
        <v>0</v>
      </c>
      <c r="I47" s="96">
        <v>0</v>
      </c>
      <c r="J47" s="130">
        <v>0</v>
      </c>
      <c r="K47" s="131">
        <f t="shared" si="6"/>
        <v>0</v>
      </c>
      <c r="L47" s="132">
        <v>0</v>
      </c>
      <c r="M47" s="96">
        <v>0</v>
      </c>
      <c r="N47" s="96">
        <v>0</v>
      </c>
      <c r="O47" s="96">
        <v>0</v>
      </c>
      <c r="P47" s="100">
        <v>0</v>
      </c>
      <c r="Q47" s="101">
        <f t="shared" si="7"/>
        <v>0</v>
      </c>
      <c r="R47" s="101">
        <f t="shared" si="8"/>
        <v>0</v>
      </c>
      <c r="S47" s="102">
        <f>+R47/3</f>
        <v>0</v>
      </c>
      <c r="X47" s="79" t="s">
        <v>152</v>
      </c>
    </row>
    <row r="48" spans="1:24" ht="15" customHeight="1" x14ac:dyDescent="0.75">
      <c r="A48" s="135"/>
      <c r="B48" s="136"/>
      <c r="C48" s="134"/>
      <c r="D48" s="137"/>
      <c r="E48" s="137"/>
      <c r="F48" s="138"/>
      <c r="G48" s="139"/>
      <c r="H48" s="139"/>
      <c r="I48" s="139"/>
      <c r="J48" s="139"/>
      <c r="K48" s="140"/>
      <c r="L48" s="139"/>
      <c r="M48" s="139"/>
      <c r="N48" s="139"/>
      <c r="O48" s="139"/>
      <c r="P48" s="141"/>
      <c r="Q48" s="101"/>
      <c r="R48" s="101"/>
      <c r="S48" s="102"/>
    </row>
    <row r="49" spans="1:18" ht="15" customHeight="1" x14ac:dyDescent="0.75">
      <c r="A49" s="3" t="str">
        <f>+A1</f>
        <v>Weeks of 04/20/26 &amp; 04/27/26</v>
      </c>
      <c r="B49" s="3"/>
      <c r="C49" s="3"/>
      <c r="D49" s="3"/>
      <c r="E49" s="3"/>
      <c r="F49" s="142"/>
      <c r="G49" s="81"/>
      <c r="H49" s="81"/>
      <c r="I49" s="81"/>
      <c r="J49" s="81"/>
      <c r="K49" s="81"/>
      <c r="L49" s="81"/>
      <c r="M49" s="81"/>
      <c r="N49" s="81"/>
      <c r="O49" s="81"/>
      <c r="P49" s="82"/>
      <c r="Q49" s="101"/>
    </row>
    <row r="50" spans="1:18" ht="36.75" customHeight="1" x14ac:dyDescent="0.75">
      <c r="A50" s="83"/>
      <c r="B50" s="143" t="s">
        <v>66</v>
      </c>
      <c r="C50" s="144"/>
      <c r="D50" s="86" t="s">
        <v>122</v>
      </c>
      <c r="E50" s="86" t="s">
        <v>173</v>
      </c>
      <c r="F50" s="88" t="s">
        <v>162</v>
      </c>
      <c r="G50" s="86" t="s">
        <v>163</v>
      </c>
      <c r="H50" s="87" t="s">
        <v>164</v>
      </c>
      <c r="I50" s="86" t="s">
        <v>165</v>
      </c>
      <c r="J50" s="86" t="s">
        <v>166</v>
      </c>
      <c r="K50" s="89" t="str">
        <f>+K26</f>
        <v>2nd wk daily goals</v>
      </c>
      <c r="L50" s="88" t="s">
        <v>162</v>
      </c>
      <c r="M50" s="86" t="s">
        <v>163</v>
      </c>
      <c r="N50" s="87" t="s">
        <v>164</v>
      </c>
      <c r="O50" s="86" t="s">
        <v>165</v>
      </c>
      <c r="P50" s="90" t="s">
        <v>166</v>
      </c>
      <c r="Q50" s="101"/>
      <c r="R50" s="92" t="s">
        <v>168</v>
      </c>
    </row>
    <row r="51" spans="1:18" ht="14.25" customHeight="1" x14ac:dyDescent="0.75">
      <c r="A51" s="93">
        <v>666501</v>
      </c>
      <c r="B51" s="94" t="s">
        <v>4</v>
      </c>
      <c r="C51" s="95" t="s">
        <v>5</v>
      </c>
      <c r="D51" s="96">
        <v>66</v>
      </c>
      <c r="E51" s="97">
        <f t="shared" ref="E51:E71" si="10">+D51/2</f>
        <v>33</v>
      </c>
      <c r="F51" s="96">
        <v>30</v>
      </c>
      <c r="G51" s="96">
        <v>30</v>
      </c>
      <c r="H51" s="96">
        <v>0</v>
      </c>
      <c r="I51" s="96">
        <v>0</v>
      </c>
      <c r="J51" s="96">
        <v>0</v>
      </c>
      <c r="K51" s="99">
        <f t="shared" ref="K51:K71" si="11">(+D51-SUM(F51:J51))/4</f>
        <v>1.5</v>
      </c>
      <c r="L51" s="96">
        <v>6</v>
      </c>
      <c r="M51" s="96">
        <v>0</v>
      </c>
      <c r="N51" s="96">
        <v>0</v>
      </c>
      <c r="O51" s="96">
        <v>0</v>
      </c>
      <c r="P51" s="100">
        <v>0</v>
      </c>
      <c r="Q51" s="133">
        <f t="shared" ref="Q51:Q71" si="12">SUM(F51:J51)+SUM(L51:P51)</f>
        <v>66</v>
      </c>
      <c r="R51" s="101">
        <f t="shared" ref="R51:R71" si="13">+D51-Q51</f>
        <v>0</v>
      </c>
    </row>
    <row r="52" spans="1:18" ht="14.25" customHeight="1" x14ac:dyDescent="0.75">
      <c r="A52" s="93">
        <v>666502</v>
      </c>
      <c r="B52" s="94" t="s">
        <v>6</v>
      </c>
      <c r="C52" s="95" t="s">
        <v>7</v>
      </c>
      <c r="D52" s="96">
        <v>92</v>
      </c>
      <c r="E52" s="97">
        <f t="shared" si="10"/>
        <v>46</v>
      </c>
      <c r="F52" s="96">
        <v>10</v>
      </c>
      <c r="G52" s="96">
        <v>8</v>
      </c>
      <c r="H52" s="96">
        <v>0</v>
      </c>
      <c r="I52" s="96">
        <v>0</v>
      </c>
      <c r="J52" s="96">
        <v>0</v>
      </c>
      <c r="K52" s="99">
        <f t="shared" si="11"/>
        <v>18.5</v>
      </c>
      <c r="L52" s="96">
        <v>27</v>
      </c>
      <c r="M52" s="96">
        <v>26</v>
      </c>
      <c r="N52" s="96">
        <v>0</v>
      </c>
      <c r="O52" s="96">
        <v>3</v>
      </c>
      <c r="P52" s="100">
        <v>0</v>
      </c>
      <c r="Q52" s="133">
        <f t="shared" si="12"/>
        <v>74</v>
      </c>
      <c r="R52" s="101">
        <f t="shared" si="13"/>
        <v>18</v>
      </c>
    </row>
    <row r="53" spans="1:18" ht="14.25" customHeight="1" x14ac:dyDescent="0.75">
      <c r="A53" s="93">
        <v>666505</v>
      </c>
      <c r="B53" s="94" t="s">
        <v>8</v>
      </c>
      <c r="C53" s="95" t="s">
        <v>9</v>
      </c>
      <c r="D53" s="96">
        <v>39</v>
      </c>
      <c r="E53" s="97">
        <f t="shared" si="10"/>
        <v>19.5</v>
      </c>
      <c r="F53" s="96">
        <v>39</v>
      </c>
      <c r="G53" s="96">
        <v>0</v>
      </c>
      <c r="H53" s="96">
        <v>0</v>
      </c>
      <c r="I53" s="96">
        <v>0</v>
      </c>
      <c r="J53" s="96">
        <v>0</v>
      </c>
      <c r="K53" s="99">
        <f t="shared" si="11"/>
        <v>0</v>
      </c>
      <c r="L53" s="96">
        <v>0</v>
      </c>
      <c r="M53" s="96">
        <v>0</v>
      </c>
      <c r="N53" s="96">
        <v>0</v>
      </c>
      <c r="O53" s="96">
        <v>0</v>
      </c>
      <c r="P53" s="100">
        <v>0</v>
      </c>
      <c r="Q53" s="133">
        <f t="shared" si="12"/>
        <v>39</v>
      </c>
      <c r="R53" s="101">
        <f t="shared" si="13"/>
        <v>0</v>
      </c>
    </row>
    <row r="54" spans="1:18" ht="14.25" customHeight="1" x14ac:dyDescent="0.75">
      <c r="A54" s="93">
        <v>666506</v>
      </c>
      <c r="B54" s="94" t="s">
        <v>10</v>
      </c>
      <c r="C54" s="95" t="s">
        <v>11</v>
      </c>
      <c r="D54" s="96">
        <v>0</v>
      </c>
      <c r="E54" s="97">
        <f t="shared" si="10"/>
        <v>0</v>
      </c>
      <c r="F54" s="96">
        <v>0</v>
      </c>
      <c r="G54" s="96">
        <v>0</v>
      </c>
      <c r="H54" s="96">
        <v>0</v>
      </c>
      <c r="I54" s="96">
        <v>0</v>
      </c>
      <c r="J54" s="96">
        <v>0</v>
      </c>
      <c r="K54" s="99">
        <f t="shared" si="11"/>
        <v>0</v>
      </c>
      <c r="L54" s="96">
        <v>0</v>
      </c>
      <c r="M54" s="96">
        <v>0</v>
      </c>
      <c r="N54" s="96">
        <v>0</v>
      </c>
      <c r="O54" s="96">
        <v>0</v>
      </c>
      <c r="P54" s="100">
        <v>0</v>
      </c>
      <c r="Q54" s="101">
        <f t="shared" si="12"/>
        <v>0</v>
      </c>
      <c r="R54" s="101">
        <f t="shared" si="13"/>
        <v>0</v>
      </c>
    </row>
    <row r="55" spans="1:18" ht="14.25" customHeight="1" x14ac:dyDescent="0.75">
      <c r="A55" s="93">
        <v>666507</v>
      </c>
      <c r="B55" s="94" t="s">
        <v>12</v>
      </c>
      <c r="C55" s="95" t="s">
        <v>13</v>
      </c>
      <c r="D55" s="96">
        <v>0</v>
      </c>
      <c r="E55" s="97">
        <f t="shared" si="10"/>
        <v>0</v>
      </c>
      <c r="F55" s="96">
        <v>0</v>
      </c>
      <c r="G55" s="96">
        <v>0</v>
      </c>
      <c r="H55" s="96">
        <v>0</v>
      </c>
      <c r="I55" s="96">
        <v>0</v>
      </c>
      <c r="J55" s="96">
        <v>0</v>
      </c>
      <c r="K55" s="99">
        <f t="shared" si="11"/>
        <v>0</v>
      </c>
      <c r="L55" s="96">
        <v>0</v>
      </c>
      <c r="M55" s="96">
        <v>0</v>
      </c>
      <c r="N55" s="96">
        <v>0</v>
      </c>
      <c r="O55" s="96">
        <v>0</v>
      </c>
      <c r="P55" s="100">
        <v>0</v>
      </c>
      <c r="Q55" s="101">
        <f t="shared" si="12"/>
        <v>0</v>
      </c>
      <c r="R55" s="101">
        <f t="shared" si="13"/>
        <v>0</v>
      </c>
    </row>
    <row r="56" spans="1:18" ht="14.25" customHeight="1" x14ac:dyDescent="0.75">
      <c r="A56" s="93">
        <v>666509</v>
      </c>
      <c r="B56" s="94" t="s">
        <v>14</v>
      </c>
      <c r="C56" s="95" t="s">
        <v>15</v>
      </c>
      <c r="D56" s="96">
        <v>0</v>
      </c>
      <c r="E56" s="97">
        <f t="shared" si="10"/>
        <v>0</v>
      </c>
      <c r="F56" s="96">
        <v>0</v>
      </c>
      <c r="G56" s="96">
        <v>0</v>
      </c>
      <c r="H56" s="96">
        <v>0</v>
      </c>
      <c r="I56" s="96">
        <v>0</v>
      </c>
      <c r="J56" s="96">
        <v>0</v>
      </c>
      <c r="K56" s="99">
        <f t="shared" si="11"/>
        <v>0</v>
      </c>
      <c r="L56" s="96">
        <v>0</v>
      </c>
      <c r="M56" s="96">
        <v>0</v>
      </c>
      <c r="N56" s="96">
        <v>0</v>
      </c>
      <c r="O56" s="96">
        <v>0</v>
      </c>
      <c r="P56" s="100">
        <v>0</v>
      </c>
      <c r="Q56" s="101">
        <f t="shared" si="12"/>
        <v>0</v>
      </c>
      <c r="R56" s="101">
        <f t="shared" si="13"/>
        <v>0</v>
      </c>
    </row>
    <row r="57" spans="1:18" ht="14.25" customHeight="1" x14ac:dyDescent="0.75">
      <c r="A57" s="93">
        <v>666510</v>
      </c>
      <c r="B57" s="94" t="s">
        <v>16</v>
      </c>
      <c r="C57" s="95" t="s">
        <v>169</v>
      </c>
      <c r="D57" s="96">
        <v>0</v>
      </c>
      <c r="E57" s="97">
        <f t="shared" si="10"/>
        <v>0</v>
      </c>
      <c r="F57" s="96">
        <v>0</v>
      </c>
      <c r="G57" s="96">
        <v>0</v>
      </c>
      <c r="H57" s="96">
        <v>0</v>
      </c>
      <c r="I57" s="96">
        <v>0</v>
      </c>
      <c r="J57" s="96">
        <v>0</v>
      </c>
      <c r="K57" s="99">
        <f t="shared" si="11"/>
        <v>0</v>
      </c>
      <c r="L57" s="96">
        <v>0</v>
      </c>
      <c r="M57" s="96">
        <v>0</v>
      </c>
      <c r="N57" s="96">
        <v>0</v>
      </c>
      <c r="O57" s="96">
        <v>0</v>
      </c>
      <c r="P57" s="100">
        <v>0</v>
      </c>
      <c r="Q57" s="101">
        <f t="shared" si="12"/>
        <v>0</v>
      </c>
      <c r="R57" s="101">
        <f t="shared" si="13"/>
        <v>0</v>
      </c>
    </row>
    <row r="58" spans="1:18" ht="14.25" customHeight="1" x14ac:dyDescent="0.75">
      <c r="A58" s="93">
        <v>666511</v>
      </c>
      <c r="B58" s="94" t="s">
        <v>18</v>
      </c>
      <c r="C58" s="95" t="s">
        <v>19</v>
      </c>
      <c r="D58" s="96">
        <v>0</v>
      </c>
      <c r="E58" s="97">
        <f t="shared" si="10"/>
        <v>0</v>
      </c>
      <c r="F58" s="96">
        <v>0</v>
      </c>
      <c r="G58" s="96">
        <v>0</v>
      </c>
      <c r="H58" s="96">
        <v>0</v>
      </c>
      <c r="I58" s="96">
        <v>0</v>
      </c>
      <c r="J58" s="96">
        <v>0</v>
      </c>
      <c r="K58" s="99">
        <f t="shared" si="11"/>
        <v>0</v>
      </c>
      <c r="L58" s="96">
        <v>0</v>
      </c>
      <c r="M58" s="96">
        <v>0</v>
      </c>
      <c r="N58" s="96">
        <v>0</v>
      </c>
      <c r="O58" s="96">
        <v>0</v>
      </c>
      <c r="P58" s="100">
        <v>0</v>
      </c>
      <c r="Q58" s="101">
        <f t="shared" si="12"/>
        <v>0</v>
      </c>
      <c r="R58" s="101">
        <f t="shared" si="13"/>
        <v>0</v>
      </c>
    </row>
    <row r="59" spans="1:18" ht="14.25" customHeight="1" x14ac:dyDescent="0.75">
      <c r="A59" s="93">
        <v>666513</v>
      </c>
      <c r="B59" s="94" t="s">
        <v>20</v>
      </c>
      <c r="C59" s="95" t="s">
        <v>21</v>
      </c>
      <c r="D59" s="96">
        <v>14</v>
      </c>
      <c r="E59" s="97">
        <f t="shared" si="10"/>
        <v>7</v>
      </c>
      <c r="F59" s="96">
        <v>14</v>
      </c>
      <c r="G59" s="96">
        <v>0</v>
      </c>
      <c r="H59" s="96">
        <v>0</v>
      </c>
      <c r="I59" s="96">
        <v>0</v>
      </c>
      <c r="J59" s="96">
        <v>0</v>
      </c>
      <c r="K59" s="99">
        <f t="shared" si="11"/>
        <v>0</v>
      </c>
      <c r="L59" s="96">
        <v>0</v>
      </c>
      <c r="M59" s="96">
        <v>0</v>
      </c>
      <c r="N59" s="96">
        <v>0</v>
      </c>
      <c r="O59" s="96">
        <v>0</v>
      </c>
      <c r="P59" s="100">
        <v>0</v>
      </c>
      <c r="Q59" s="133">
        <f t="shared" si="12"/>
        <v>14</v>
      </c>
      <c r="R59" s="101">
        <f t="shared" si="13"/>
        <v>0</v>
      </c>
    </row>
    <row r="60" spans="1:18" ht="14.25" customHeight="1" x14ac:dyDescent="0.75">
      <c r="A60" s="93">
        <v>666516</v>
      </c>
      <c r="B60" s="94" t="s">
        <v>22</v>
      </c>
      <c r="C60" s="95" t="s">
        <v>23</v>
      </c>
      <c r="D60" s="96">
        <v>31</v>
      </c>
      <c r="E60" s="97">
        <f t="shared" si="10"/>
        <v>15.5</v>
      </c>
      <c r="F60" s="96">
        <v>19</v>
      </c>
      <c r="G60" s="96">
        <v>12</v>
      </c>
      <c r="H60" s="96">
        <v>0</v>
      </c>
      <c r="I60" s="96">
        <v>0</v>
      </c>
      <c r="J60" s="96">
        <v>0</v>
      </c>
      <c r="K60" s="99">
        <f t="shared" si="11"/>
        <v>0</v>
      </c>
      <c r="L60" s="96">
        <v>0</v>
      </c>
      <c r="M60" s="96">
        <v>0</v>
      </c>
      <c r="N60" s="96">
        <v>0</v>
      </c>
      <c r="O60" s="96">
        <v>0</v>
      </c>
      <c r="P60" s="100">
        <v>0</v>
      </c>
      <c r="Q60" s="133">
        <f t="shared" si="12"/>
        <v>31</v>
      </c>
      <c r="R60" s="101">
        <f t="shared" si="13"/>
        <v>0</v>
      </c>
    </row>
    <row r="61" spans="1:18" ht="14.25" customHeight="1" x14ac:dyDescent="0.75">
      <c r="A61" s="93">
        <v>666517</v>
      </c>
      <c r="B61" s="94" t="s">
        <v>24</v>
      </c>
      <c r="C61" s="95" t="s">
        <v>25</v>
      </c>
      <c r="D61" s="96">
        <v>17</v>
      </c>
      <c r="E61" s="97">
        <f t="shared" si="10"/>
        <v>8.5</v>
      </c>
      <c r="F61" s="96">
        <v>17</v>
      </c>
      <c r="G61" s="96">
        <v>0</v>
      </c>
      <c r="H61" s="96">
        <v>0</v>
      </c>
      <c r="I61" s="96">
        <v>0</v>
      </c>
      <c r="J61" s="96">
        <v>0</v>
      </c>
      <c r="K61" s="99">
        <f t="shared" si="11"/>
        <v>0</v>
      </c>
      <c r="L61" s="96">
        <v>0</v>
      </c>
      <c r="M61" s="96">
        <v>0</v>
      </c>
      <c r="N61" s="96">
        <v>0</v>
      </c>
      <c r="O61" s="96">
        <v>0</v>
      </c>
      <c r="P61" s="100">
        <v>0</v>
      </c>
      <c r="Q61" s="133">
        <f t="shared" si="12"/>
        <v>17</v>
      </c>
      <c r="R61" s="101">
        <f t="shared" si="13"/>
        <v>0</v>
      </c>
    </row>
    <row r="62" spans="1:18" ht="14.25" customHeight="1" x14ac:dyDescent="0.75">
      <c r="A62" s="93">
        <v>666518</v>
      </c>
      <c r="B62" s="94" t="s">
        <v>26</v>
      </c>
      <c r="C62" s="95" t="s">
        <v>27</v>
      </c>
      <c r="D62" s="96">
        <v>0</v>
      </c>
      <c r="E62" s="97">
        <f t="shared" si="10"/>
        <v>0</v>
      </c>
      <c r="F62" s="96">
        <v>0</v>
      </c>
      <c r="G62" s="96">
        <v>0</v>
      </c>
      <c r="H62" s="96">
        <v>0</v>
      </c>
      <c r="I62" s="96">
        <v>0</v>
      </c>
      <c r="J62" s="96">
        <v>0</v>
      </c>
      <c r="K62" s="99">
        <f t="shared" si="11"/>
        <v>0</v>
      </c>
      <c r="L62" s="96">
        <v>0</v>
      </c>
      <c r="M62" s="96">
        <v>0</v>
      </c>
      <c r="N62" s="96">
        <v>0</v>
      </c>
      <c r="O62" s="96">
        <v>0</v>
      </c>
      <c r="P62" s="100">
        <v>0</v>
      </c>
      <c r="Q62" s="101">
        <f t="shared" si="12"/>
        <v>0</v>
      </c>
      <c r="R62" s="101">
        <f t="shared" si="13"/>
        <v>0</v>
      </c>
    </row>
    <row r="63" spans="1:18" ht="14.25" customHeight="1" x14ac:dyDescent="0.75">
      <c r="A63" s="93">
        <v>666519</v>
      </c>
      <c r="B63" s="94" t="s">
        <v>28</v>
      </c>
      <c r="C63" s="95" t="s">
        <v>29</v>
      </c>
      <c r="D63" s="96">
        <v>26</v>
      </c>
      <c r="E63" s="97">
        <f t="shared" si="10"/>
        <v>13</v>
      </c>
      <c r="F63" s="96">
        <v>20</v>
      </c>
      <c r="G63" s="96">
        <v>6</v>
      </c>
      <c r="H63" s="96">
        <v>0</v>
      </c>
      <c r="I63" s="96">
        <v>0</v>
      </c>
      <c r="J63" s="96">
        <v>0</v>
      </c>
      <c r="K63" s="99">
        <f t="shared" si="11"/>
        <v>0</v>
      </c>
      <c r="L63" s="96">
        <v>0</v>
      </c>
      <c r="M63" s="96">
        <v>0</v>
      </c>
      <c r="N63" s="96">
        <v>0</v>
      </c>
      <c r="O63" s="96">
        <v>0</v>
      </c>
      <c r="P63" s="100">
        <v>0</v>
      </c>
      <c r="Q63" s="133">
        <f t="shared" si="12"/>
        <v>26</v>
      </c>
      <c r="R63" s="101">
        <f t="shared" si="13"/>
        <v>0</v>
      </c>
    </row>
    <row r="64" spans="1:18" ht="14.25" customHeight="1" x14ac:dyDescent="0.75">
      <c r="A64" s="93">
        <v>666521</v>
      </c>
      <c r="B64" s="94" t="s">
        <v>30</v>
      </c>
      <c r="C64" s="95" t="s">
        <v>31</v>
      </c>
      <c r="D64" s="96">
        <v>0</v>
      </c>
      <c r="E64" s="97">
        <f t="shared" si="10"/>
        <v>0</v>
      </c>
      <c r="F64" s="96">
        <v>0</v>
      </c>
      <c r="G64" s="96">
        <v>0</v>
      </c>
      <c r="H64" s="96">
        <v>0</v>
      </c>
      <c r="I64" s="96">
        <v>0</v>
      </c>
      <c r="J64" s="96">
        <v>0</v>
      </c>
      <c r="K64" s="99">
        <f t="shared" si="11"/>
        <v>0</v>
      </c>
      <c r="L64" s="96">
        <v>0</v>
      </c>
      <c r="M64" s="96">
        <v>0</v>
      </c>
      <c r="N64" s="96">
        <v>0</v>
      </c>
      <c r="O64" s="96">
        <v>0</v>
      </c>
      <c r="P64" s="100">
        <v>0</v>
      </c>
      <c r="Q64" s="101">
        <f t="shared" si="12"/>
        <v>0</v>
      </c>
      <c r="R64" s="101">
        <f t="shared" si="13"/>
        <v>0</v>
      </c>
    </row>
    <row r="65" spans="1:18" ht="14.25" customHeight="1" x14ac:dyDescent="0.75">
      <c r="A65" s="93">
        <v>666522</v>
      </c>
      <c r="B65" s="94" t="s">
        <v>32</v>
      </c>
      <c r="C65" s="95" t="s">
        <v>33</v>
      </c>
      <c r="D65" s="96">
        <v>150</v>
      </c>
      <c r="E65" s="97">
        <f t="shared" si="10"/>
        <v>75</v>
      </c>
      <c r="F65" s="96">
        <v>75</v>
      </c>
      <c r="G65" s="96">
        <v>75</v>
      </c>
      <c r="H65" s="96">
        <v>0</v>
      </c>
      <c r="I65" s="96">
        <v>0</v>
      </c>
      <c r="J65" s="96">
        <v>0</v>
      </c>
      <c r="K65" s="99">
        <f t="shared" si="11"/>
        <v>0</v>
      </c>
      <c r="L65" s="96">
        <v>0</v>
      </c>
      <c r="M65" s="96">
        <v>0</v>
      </c>
      <c r="N65" s="96">
        <v>0</v>
      </c>
      <c r="O65" s="96">
        <v>0</v>
      </c>
      <c r="P65" s="100">
        <v>0</v>
      </c>
      <c r="Q65" s="133">
        <f t="shared" si="12"/>
        <v>150</v>
      </c>
      <c r="R65" s="101">
        <f t="shared" si="13"/>
        <v>0</v>
      </c>
    </row>
    <row r="66" spans="1:18" ht="14.25" customHeight="1" x14ac:dyDescent="0.75">
      <c r="A66" s="93">
        <v>666523</v>
      </c>
      <c r="B66" s="94" t="s">
        <v>34</v>
      </c>
      <c r="C66" s="95" t="s">
        <v>35</v>
      </c>
      <c r="D66" s="96">
        <v>40</v>
      </c>
      <c r="E66" s="97">
        <f t="shared" si="10"/>
        <v>20</v>
      </c>
      <c r="F66" s="96">
        <v>23</v>
      </c>
      <c r="G66" s="96">
        <v>17</v>
      </c>
      <c r="H66" s="96">
        <v>0</v>
      </c>
      <c r="I66" s="96">
        <v>0</v>
      </c>
      <c r="J66" s="96">
        <v>0</v>
      </c>
      <c r="K66" s="99">
        <f t="shared" si="11"/>
        <v>0</v>
      </c>
      <c r="L66" s="96">
        <v>0</v>
      </c>
      <c r="M66" s="96">
        <v>0</v>
      </c>
      <c r="N66" s="96">
        <v>0</v>
      </c>
      <c r="O66" s="96">
        <v>0</v>
      </c>
      <c r="P66" s="100">
        <v>0</v>
      </c>
      <c r="Q66" s="133">
        <f t="shared" si="12"/>
        <v>40</v>
      </c>
      <c r="R66" s="101">
        <f t="shared" si="13"/>
        <v>0</v>
      </c>
    </row>
    <row r="67" spans="1:18" ht="14.25" customHeight="1" x14ac:dyDescent="0.75">
      <c r="A67" s="93">
        <v>666530</v>
      </c>
      <c r="B67" s="94" t="s">
        <v>36</v>
      </c>
      <c r="C67" s="95" t="s">
        <v>37</v>
      </c>
      <c r="D67" s="96">
        <v>24</v>
      </c>
      <c r="E67" s="97">
        <f t="shared" si="10"/>
        <v>12</v>
      </c>
      <c r="F67" s="96">
        <v>17</v>
      </c>
      <c r="G67" s="96">
        <v>7</v>
      </c>
      <c r="H67" s="96">
        <v>0</v>
      </c>
      <c r="I67" s="96">
        <v>0</v>
      </c>
      <c r="J67" s="96">
        <v>0</v>
      </c>
      <c r="K67" s="99">
        <f t="shared" si="11"/>
        <v>0</v>
      </c>
      <c r="L67" s="96">
        <v>0</v>
      </c>
      <c r="M67" s="96">
        <v>0</v>
      </c>
      <c r="N67" s="96">
        <v>0</v>
      </c>
      <c r="O67" s="96">
        <v>0</v>
      </c>
      <c r="P67" s="100">
        <v>0</v>
      </c>
      <c r="Q67" s="133">
        <f t="shared" si="12"/>
        <v>24</v>
      </c>
      <c r="R67" s="101">
        <f t="shared" si="13"/>
        <v>0</v>
      </c>
    </row>
    <row r="68" spans="1:18" ht="14.25" customHeight="1" x14ac:dyDescent="0.75">
      <c r="A68" s="93">
        <v>666531</v>
      </c>
      <c r="B68" s="94" t="s">
        <v>38</v>
      </c>
      <c r="C68" s="95" t="s">
        <v>39</v>
      </c>
      <c r="D68" s="96">
        <v>8</v>
      </c>
      <c r="E68" s="97">
        <f t="shared" si="10"/>
        <v>4</v>
      </c>
      <c r="F68" s="96">
        <v>8</v>
      </c>
      <c r="G68" s="96">
        <v>0</v>
      </c>
      <c r="H68" s="96">
        <v>0</v>
      </c>
      <c r="I68" s="96">
        <v>0</v>
      </c>
      <c r="J68" s="96">
        <v>0</v>
      </c>
      <c r="K68" s="99">
        <f t="shared" si="11"/>
        <v>0</v>
      </c>
      <c r="L68" s="96">
        <v>0</v>
      </c>
      <c r="M68" s="96">
        <v>0</v>
      </c>
      <c r="N68" s="96">
        <v>0</v>
      </c>
      <c r="O68" s="96">
        <v>0</v>
      </c>
      <c r="P68" s="100">
        <v>0</v>
      </c>
      <c r="Q68" s="133">
        <f t="shared" si="12"/>
        <v>8</v>
      </c>
      <c r="R68" s="101">
        <f t="shared" si="13"/>
        <v>0</v>
      </c>
    </row>
    <row r="69" spans="1:18" ht="14.25" customHeight="1" x14ac:dyDescent="0.75">
      <c r="A69" s="93">
        <v>666540</v>
      </c>
      <c r="B69" s="94" t="s">
        <v>40</v>
      </c>
      <c r="C69" s="95" t="s">
        <v>40</v>
      </c>
      <c r="D69" s="96">
        <v>0</v>
      </c>
      <c r="E69" s="97">
        <f t="shared" si="10"/>
        <v>0</v>
      </c>
      <c r="F69" s="96">
        <v>0</v>
      </c>
      <c r="G69" s="96">
        <v>0</v>
      </c>
      <c r="H69" s="96">
        <v>0</v>
      </c>
      <c r="I69" s="96">
        <v>0</v>
      </c>
      <c r="J69" s="96">
        <v>0</v>
      </c>
      <c r="K69" s="99">
        <f t="shared" si="11"/>
        <v>0</v>
      </c>
      <c r="L69" s="96">
        <v>0</v>
      </c>
      <c r="M69" s="96">
        <v>0</v>
      </c>
      <c r="N69" s="96">
        <v>0</v>
      </c>
      <c r="O69" s="96">
        <v>0</v>
      </c>
      <c r="P69" s="100">
        <v>0</v>
      </c>
      <c r="Q69" s="101">
        <f t="shared" si="12"/>
        <v>0</v>
      </c>
      <c r="R69" s="101">
        <f t="shared" si="13"/>
        <v>0</v>
      </c>
    </row>
    <row r="70" spans="1:18" ht="15" customHeight="1" x14ac:dyDescent="0.75">
      <c r="A70" s="93">
        <v>666541</v>
      </c>
      <c r="B70" s="109" t="s">
        <v>41</v>
      </c>
      <c r="C70" s="95" t="s">
        <v>41</v>
      </c>
      <c r="D70" s="96">
        <v>0</v>
      </c>
      <c r="E70" s="97">
        <f t="shared" si="10"/>
        <v>0</v>
      </c>
      <c r="F70" s="96">
        <v>0</v>
      </c>
      <c r="G70" s="96">
        <v>0</v>
      </c>
      <c r="H70" s="96">
        <v>0</v>
      </c>
      <c r="I70" s="96">
        <v>0</v>
      </c>
      <c r="J70" s="96">
        <v>0</v>
      </c>
      <c r="K70" s="99">
        <f t="shared" si="11"/>
        <v>0</v>
      </c>
      <c r="L70" s="96">
        <v>0</v>
      </c>
      <c r="M70" s="96">
        <v>0</v>
      </c>
      <c r="N70" s="96">
        <v>0</v>
      </c>
      <c r="O70" s="96">
        <v>0</v>
      </c>
      <c r="P70" s="100">
        <v>0</v>
      </c>
      <c r="Q70" s="101">
        <f t="shared" si="12"/>
        <v>0</v>
      </c>
      <c r="R70" s="101">
        <f t="shared" si="13"/>
        <v>0</v>
      </c>
    </row>
    <row r="71" spans="1:18" ht="15" customHeight="1" x14ac:dyDescent="0.75">
      <c r="A71" s="108">
        <v>666536</v>
      </c>
      <c r="B71" s="109" t="s">
        <v>42</v>
      </c>
      <c r="C71" s="103" t="s">
        <v>41</v>
      </c>
      <c r="D71" s="104">
        <v>0</v>
      </c>
      <c r="E71" s="111">
        <f t="shared" si="10"/>
        <v>0</v>
      </c>
      <c r="F71" s="104">
        <v>0</v>
      </c>
      <c r="G71" s="104">
        <v>0</v>
      </c>
      <c r="H71" s="104">
        <v>0</v>
      </c>
      <c r="I71" s="104">
        <v>0</v>
      </c>
      <c r="J71" s="104">
        <v>0</v>
      </c>
      <c r="K71" s="106">
        <f t="shared" si="11"/>
        <v>0</v>
      </c>
      <c r="L71" s="96">
        <v>0</v>
      </c>
      <c r="M71" s="96">
        <v>0</v>
      </c>
      <c r="N71" s="96">
        <v>0</v>
      </c>
      <c r="O71" s="96">
        <v>0</v>
      </c>
      <c r="P71" s="100">
        <v>0</v>
      </c>
      <c r="Q71" s="101">
        <f t="shared" si="12"/>
        <v>0</v>
      </c>
      <c r="R71" s="101">
        <f t="shared" si="13"/>
        <v>0</v>
      </c>
    </row>
  </sheetData>
  <mergeCells count="3">
    <mergeCell ref="A1:E1"/>
    <mergeCell ref="A25:E25"/>
    <mergeCell ref="A49:E49"/>
  </mergeCells>
  <conditionalFormatting sqref="F24 H24 J24">
    <cfRule type="expression" dxfId="123" priority="4">
      <formula>#REF!&gt;F24</formula>
    </cfRule>
  </conditionalFormatting>
  <conditionalFormatting sqref="Q3">
    <cfRule type="cellIs" dxfId="122" priority="6" operator="equal">
      <formula>$D$3</formula>
    </cfRule>
  </conditionalFormatting>
  <conditionalFormatting sqref="Q5:Q23">
    <cfRule type="cellIs" dxfId="121" priority="5" operator="equal">
      <formula>$D$3</formula>
    </cfRule>
  </conditionalFormatting>
  <conditionalFormatting sqref="Q8">
    <cfRule type="cellIs" dxfId="120" priority="2" operator="lessThan">
      <formula>$D$8</formula>
    </cfRule>
    <cfRule type="cellIs" dxfId="119" priority="3" operator="equal">
      <formula>$D$8</formula>
    </cfRule>
  </conditionalFormatting>
  <pageMargins left="0.7" right="0.7" top="0.75" bottom="0.75" header="0.511811023622047" footer="0.511811023622047"/>
  <pageSetup scale="150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S26"/>
  <sheetViews>
    <sheetView zoomScaleNormal="100" workbookViewId="0">
      <selection activeCell="J7" sqref="J7"/>
    </sheetView>
  </sheetViews>
  <sheetFormatPr defaultColWidth="8.54296875" defaultRowHeight="14.75" x14ac:dyDescent="0.75"/>
  <cols>
    <col min="2" max="2" width="34.453125" customWidth="1"/>
    <col min="3" max="3" width="10.31640625" customWidth="1"/>
    <col min="4" max="4" width="10.86328125" hidden="1" customWidth="1"/>
  </cols>
  <sheetData>
    <row r="1" spans="1:12" ht="14.25" customHeight="1" x14ac:dyDescent="0.75">
      <c r="C1" s="145" t="s">
        <v>174</v>
      </c>
    </row>
    <row r="2" spans="1:12" ht="28.5" customHeight="1" x14ac:dyDescent="0.75">
      <c r="A2" s="51"/>
      <c r="B2" s="51" t="s">
        <v>178</v>
      </c>
      <c r="C2" s="51"/>
      <c r="D2" s="51" t="s">
        <v>144</v>
      </c>
      <c r="E2" s="53" t="s">
        <v>116</v>
      </c>
      <c r="F2" s="53" t="s">
        <v>145</v>
      </c>
      <c r="G2" s="56" t="s">
        <v>119</v>
      </c>
      <c r="H2" s="53" t="s">
        <v>146</v>
      </c>
      <c r="I2" s="51" t="s">
        <v>122</v>
      </c>
      <c r="J2" s="56" t="s">
        <v>147</v>
      </c>
      <c r="K2" s="51" t="s">
        <v>148</v>
      </c>
      <c r="L2" s="53" t="s">
        <v>149</v>
      </c>
    </row>
    <row r="3" spans="1:12" ht="14.25" customHeight="1" x14ac:dyDescent="0.75">
      <c r="A3" s="50"/>
      <c r="B3" s="50"/>
      <c r="C3" s="57" t="s">
        <v>150</v>
      </c>
      <c r="D3" s="57"/>
      <c r="E3" s="57"/>
      <c r="F3" s="59"/>
      <c r="G3" s="59"/>
      <c r="H3" s="59"/>
      <c r="I3" s="59"/>
      <c r="J3" s="59"/>
      <c r="K3" s="59"/>
      <c r="L3" s="59"/>
    </row>
    <row r="4" spans="1:12" ht="14.25" customHeight="1" x14ac:dyDescent="0.75">
      <c r="A4" s="62" t="s">
        <v>129</v>
      </c>
      <c r="B4" s="62" t="s">
        <v>2</v>
      </c>
      <c r="C4" s="62" t="s">
        <v>3</v>
      </c>
      <c r="D4" s="62"/>
      <c r="E4" s="62"/>
      <c r="F4" s="62"/>
      <c r="G4" s="62"/>
      <c r="H4" s="62"/>
      <c r="I4" s="62"/>
      <c r="J4" s="62"/>
      <c r="K4" s="62"/>
      <c r="L4" s="62"/>
    </row>
    <row r="5" spans="1:12" ht="14.25" customHeight="1" x14ac:dyDescent="0.75">
      <c r="A5" s="62"/>
      <c r="B5" s="62"/>
      <c r="C5" s="62" t="s">
        <v>151</v>
      </c>
      <c r="D5" s="62"/>
      <c r="E5" s="62"/>
      <c r="F5" s="50">
        <v>425</v>
      </c>
      <c r="G5" s="50"/>
      <c r="H5" s="50">
        <v>1230</v>
      </c>
      <c r="I5" s="50"/>
      <c r="J5" s="50">
        <v>178</v>
      </c>
      <c r="K5" s="62" t="s">
        <v>152</v>
      </c>
      <c r="L5" s="62">
        <f>SUM(F5:J5)</f>
        <v>1833</v>
      </c>
    </row>
    <row r="6" spans="1:12" ht="14.25" customHeight="1" x14ac:dyDescent="0.75">
      <c r="A6" s="50">
        <v>666501</v>
      </c>
      <c r="B6" s="73" t="s">
        <v>4</v>
      </c>
      <c r="C6" s="73" t="s">
        <v>5</v>
      </c>
      <c r="D6" s="50">
        <f t="shared" ref="D6:D25" si="0">+K6</f>
        <v>804</v>
      </c>
      <c r="E6" s="50">
        <v>72</v>
      </c>
      <c r="F6" s="50">
        <v>72</v>
      </c>
      <c r="G6" s="50">
        <v>666</v>
      </c>
      <c r="H6" s="50">
        <v>666</v>
      </c>
      <c r="I6" s="50">
        <v>66</v>
      </c>
      <c r="J6" s="50">
        <v>66</v>
      </c>
      <c r="K6" s="50">
        <f t="shared" ref="K6:K26" si="1">+I6+G6+E6</f>
        <v>804</v>
      </c>
      <c r="L6" s="50">
        <f t="shared" ref="L6:L26" si="2">+F6+H6+J6</f>
        <v>804</v>
      </c>
    </row>
    <row r="7" spans="1:12" ht="14.25" customHeight="1" x14ac:dyDescent="0.75">
      <c r="A7" s="50">
        <v>666502</v>
      </c>
      <c r="B7" s="73" t="s">
        <v>6</v>
      </c>
      <c r="C7" s="73" t="s">
        <v>7</v>
      </c>
      <c r="D7" s="50">
        <f t="shared" si="0"/>
        <v>369</v>
      </c>
      <c r="E7" s="50">
        <v>0</v>
      </c>
      <c r="F7" s="50">
        <v>0</v>
      </c>
      <c r="G7" s="50">
        <v>277</v>
      </c>
      <c r="H7" s="50">
        <v>269</v>
      </c>
      <c r="I7" s="50">
        <v>92</v>
      </c>
      <c r="J7" s="50">
        <v>92</v>
      </c>
      <c r="K7" s="50">
        <f t="shared" si="1"/>
        <v>369</v>
      </c>
      <c r="L7" s="50">
        <f t="shared" si="2"/>
        <v>361</v>
      </c>
    </row>
    <row r="8" spans="1:12" ht="14.25" customHeight="1" x14ac:dyDescent="0.75">
      <c r="A8" s="50">
        <v>666505</v>
      </c>
      <c r="B8" s="73" t="s">
        <v>8</v>
      </c>
      <c r="C8" s="73" t="s">
        <v>9</v>
      </c>
      <c r="D8" s="50">
        <f t="shared" si="0"/>
        <v>58</v>
      </c>
      <c r="E8" s="50">
        <v>19</v>
      </c>
      <c r="F8" s="50">
        <v>19</v>
      </c>
      <c r="G8" s="50">
        <v>0</v>
      </c>
      <c r="H8" s="50">
        <v>0</v>
      </c>
      <c r="I8" s="50">
        <v>39</v>
      </c>
      <c r="J8" s="50">
        <v>39</v>
      </c>
      <c r="K8" s="50">
        <f t="shared" si="1"/>
        <v>58</v>
      </c>
      <c r="L8" s="50">
        <f t="shared" si="2"/>
        <v>58</v>
      </c>
    </row>
    <row r="9" spans="1:12" ht="14.25" customHeight="1" x14ac:dyDescent="0.75">
      <c r="A9" s="50">
        <v>666506</v>
      </c>
      <c r="B9" s="73" t="s">
        <v>10</v>
      </c>
      <c r="C9" s="73" t="s">
        <v>11</v>
      </c>
      <c r="D9" s="50">
        <f t="shared" si="0"/>
        <v>277</v>
      </c>
      <c r="E9" s="50">
        <v>0</v>
      </c>
      <c r="F9" s="50">
        <v>0</v>
      </c>
      <c r="G9" s="50">
        <v>277</v>
      </c>
      <c r="H9" s="50">
        <v>277</v>
      </c>
      <c r="I9" s="50">
        <v>0</v>
      </c>
      <c r="J9" s="50">
        <v>0</v>
      </c>
      <c r="K9" s="50">
        <f t="shared" si="1"/>
        <v>277</v>
      </c>
      <c r="L9" s="50">
        <f t="shared" si="2"/>
        <v>277</v>
      </c>
    </row>
    <row r="10" spans="1:12" ht="14.25" customHeight="1" x14ac:dyDescent="0.75">
      <c r="A10" s="50">
        <v>666507</v>
      </c>
      <c r="B10" s="73" t="s">
        <v>12</v>
      </c>
      <c r="C10" s="73" t="s">
        <v>13</v>
      </c>
      <c r="D10" s="50">
        <f t="shared" si="0"/>
        <v>16</v>
      </c>
      <c r="E10" s="50">
        <v>16</v>
      </c>
      <c r="F10" s="50">
        <v>16</v>
      </c>
      <c r="G10" s="50">
        <v>0</v>
      </c>
      <c r="H10" s="50">
        <v>0</v>
      </c>
      <c r="I10" s="50">
        <v>0</v>
      </c>
      <c r="J10" s="50">
        <v>0</v>
      </c>
      <c r="K10" s="50">
        <f t="shared" si="1"/>
        <v>16</v>
      </c>
      <c r="L10" s="50">
        <f t="shared" si="2"/>
        <v>16</v>
      </c>
    </row>
    <row r="11" spans="1:12" ht="14.25" customHeight="1" x14ac:dyDescent="0.75">
      <c r="A11" s="50">
        <v>666509</v>
      </c>
      <c r="B11" s="73" t="s">
        <v>14</v>
      </c>
      <c r="C11" s="73" t="s">
        <v>15</v>
      </c>
      <c r="D11" s="50">
        <f t="shared" si="0"/>
        <v>68</v>
      </c>
      <c r="E11" s="50">
        <v>68</v>
      </c>
      <c r="F11" s="50">
        <v>68</v>
      </c>
      <c r="G11" s="50">
        <v>0</v>
      </c>
      <c r="H11" s="50">
        <v>0</v>
      </c>
      <c r="I11" s="50">
        <v>0</v>
      </c>
      <c r="J11" s="50">
        <v>0</v>
      </c>
      <c r="K11" s="50">
        <f t="shared" si="1"/>
        <v>68</v>
      </c>
      <c r="L11" s="50">
        <f t="shared" si="2"/>
        <v>68</v>
      </c>
    </row>
    <row r="12" spans="1:12" ht="14.25" customHeight="1" x14ac:dyDescent="0.75">
      <c r="A12" s="50">
        <v>666510</v>
      </c>
      <c r="B12" s="73" t="s">
        <v>16</v>
      </c>
      <c r="C12" s="73" t="s">
        <v>169</v>
      </c>
      <c r="D12" s="50">
        <f t="shared" si="0"/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f t="shared" si="1"/>
        <v>0</v>
      </c>
      <c r="L12" s="50">
        <f t="shared" si="2"/>
        <v>0</v>
      </c>
    </row>
    <row r="13" spans="1:12" ht="14.25" customHeight="1" x14ac:dyDescent="0.75">
      <c r="A13" s="50">
        <v>666511</v>
      </c>
      <c r="B13" s="73" t="s">
        <v>18</v>
      </c>
      <c r="C13" s="73" t="s">
        <v>19</v>
      </c>
      <c r="D13" s="50">
        <f t="shared" si="0"/>
        <v>6</v>
      </c>
      <c r="E13" s="50">
        <v>6</v>
      </c>
      <c r="F13" s="50">
        <v>6</v>
      </c>
      <c r="G13" s="50">
        <v>0</v>
      </c>
      <c r="H13" s="50">
        <v>0</v>
      </c>
      <c r="I13" s="50">
        <v>0</v>
      </c>
      <c r="J13" s="50">
        <v>0</v>
      </c>
      <c r="K13" s="50">
        <f t="shared" si="1"/>
        <v>6</v>
      </c>
      <c r="L13" s="50">
        <f t="shared" si="2"/>
        <v>6</v>
      </c>
    </row>
    <row r="14" spans="1:12" ht="14.25" customHeight="1" x14ac:dyDescent="0.75">
      <c r="A14" s="50">
        <v>666513</v>
      </c>
      <c r="B14" s="73" t="s">
        <v>20</v>
      </c>
      <c r="C14" s="73" t="s">
        <v>21</v>
      </c>
      <c r="D14" s="50">
        <f t="shared" si="0"/>
        <v>20</v>
      </c>
      <c r="E14" s="50">
        <v>6</v>
      </c>
      <c r="F14" s="50">
        <v>6</v>
      </c>
      <c r="G14" s="50">
        <v>0</v>
      </c>
      <c r="H14" s="50">
        <v>0</v>
      </c>
      <c r="I14" s="50">
        <v>14</v>
      </c>
      <c r="J14" s="50">
        <v>14</v>
      </c>
      <c r="K14" s="50">
        <f t="shared" si="1"/>
        <v>20</v>
      </c>
      <c r="L14" s="50">
        <f t="shared" si="2"/>
        <v>20</v>
      </c>
    </row>
    <row r="15" spans="1:12" ht="14.25" customHeight="1" x14ac:dyDescent="0.75">
      <c r="A15" s="50">
        <v>666516</v>
      </c>
      <c r="B15" s="73" t="s">
        <v>22</v>
      </c>
      <c r="C15" s="73" t="s">
        <v>23</v>
      </c>
      <c r="D15" s="50">
        <f t="shared" si="0"/>
        <v>62</v>
      </c>
      <c r="E15" s="50">
        <v>31</v>
      </c>
      <c r="F15" s="50">
        <v>31</v>
      </c>
      <c r="G15" s="50">
        <v>0</v>
      </c>
      <c r="H15" s="50">
        <v>0</v>
      </c>
      <c r="I15" s="50">
        <v>31</v>
      </c>
      <c r="J15" s="50">
        <v>31</v>
      </c>
      <c r="K15" s="50">
        <f t="shared" si="1"/>
        <v>62</v>
      </c>
      <c r="L15" s="50">
        <f t="shared" si="2"/>
        <v>62</v>
      </c>
    </row>
    <row r="16" spans="1:12" ht="14.25" customHeight="1" x14ac:dyDescent="0.75">
      <c r="A16" s="50">
        <v>666517</v>
      </c>
      <c r="B16" s="73" t="s">
        <v>24</v>
      </c>
      <c r="C16" s="73" t="s">
        <v>25</v>
      </c>
      <c r="D16" s="50">
        <f t="shared" si="0"/>
        <v>56</v>
      </c>
      <c r="E16" s="50">
        <v>39</v>
      </c>
      <c r="F16" s="50">
        <v>38</v>
      </c>
      <c r="G16" s="50">
        <v>0</v>
      </c>
      <c r="H16" s="50">
        <v>0</v>
      </c>
      <c r="I16" s="50">
        <v>17</v>
      </c>
      <c r="J16" s="50">
        <v>17</v>
      </c>
      <c r="K16" s="50">
        <f t="shared" si="1"/>
        <v>56</v>
      </c>
      <c r="L16" s="50">
        <f t="shared" si="2"/>
        <v>55</v>
      </c>
    </row>
    <row r="17" spans="1:19" ht="14.25" customHeight="1" x14ac:dyDescent="0.75">
      <c r="A17" s="50">
        <v>666518</v>
      </c>
      <c r="B17" s="73" t="s">
        <v>26</v>
      </c>
      <c r="C17" s="73" t="s">
        <v>27</v>
      </c>
      <c r="D17" s="50">
        <f t="shared" si="0"/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f t="shared" si="1"/>
        <v>0</v>
      </c>
      <c r="L17" s="50">
        <f t="shared" si="2"/>
        <v>0</v>
      </c>
    </row>
    <row r="18" spans="1:19" ht="14.25" customHeight="1" x14ac:dyDescent="0.75">
      <c r="A18" s="50">
        <v>666519</v>
      </c>
      <c r="B18" s="73" t="s">
        <v>28</v>
      </c>
      <c r="C18" s="73" t="s">
        <v>29</v>
      </c>
      <c r="D18" s="50">
        <f t="shared" si="0"/>
        <v>52</v>
      </c>
      <c r="E18" s="50">
        <v>26</v>
      </c>
      <c r="F18" s="50">
        <v>26</v>
      </c>
      <c r="G18" s="50">
        <v>0</v>
      </c>
      <c r="H18" s="50">
        <v>0</v>
      </c>
      <c r="I18" s="50">
        <v>26</v>
      </c>
      <c r="J18" s="50">
        <v>26</v>
      </c>
      <c r="K18" s="50">
        <f t="shared" si="1"/>
        <v>52</v>
      </c>
      <c r="L18" s="50">
        <f t="shared" si="2"/>
        <v>52</v>
      </c>
    </row>
    <row r="19" spans="1:19" ht="14.25" customHeight="1" x14ac:dyDescent="0.75">
      <c r="A19" s="50">
        <v>666521</v>
      </c>
      <c r="B19" s="73" t="s">
        <v>30</v>
      </c>
      <c r="C19" s="73" t="s">
        <v>31</v>
      </c>
      <c r="D19" s="50">
        <f t="shared" si="0"/>
        <v>120</v>
      </c>
      <c r="E19" s="50">
        <v>120</v>
      </c>
      <c r="F19" s="50">
        <v>120</v>
      </c>
      <c r="G19" s="50">
        <v>0</v>
      </c>
      <c r="H19" s="50">
        <v>0</v>
      </c>
      <c r="I19" s="50">
        <v>0</v>
      </c>
      <c r="J19" s="50">
        <v>0</v>
      </c>
      <c r="K19" s="50">
        <f t="shared" si="1"/>
        <v>120</v>
      </c>
      <c r="L19" s="50">
        <f t="shared" si="2"/>
        <v>120</v>
      </c>
    </row>
    <row r="20" spans="1:19" ht="14.25" customHeight="1" x14ac:dyDescent="0.75">
      <c r="A20" s="50">
        <v>666522</v>
      </c>
      <c r="B20" s="73" t="s">
        <v>32</v>
      </c>
      <c r="C20" s="73" t="s">
        <v>33</v>
      </c>
      <c r="D20" s="50">
        <f t="shared" si="0"/>
        <v>420</v>
      </c>
      <c r="E20" s="50">
        <v>210</v>
      </c>
      <c r="F20" s="50">
        <v>210</v>
      </c>
      <c r="G20" s="50">
        <v>60</v>
      </c>
      <c r="H20" s="50">
        <v>60</v>
      </c>
      <c r="I20" s="50">
        <v>150</v>
      </c>
      <c r="J20" s="50">
        <v>150</v>
      </c>
      <c r="K20" s="50">
        <f t="shared" si="1"/>
        <v>420</v>
      </c>
      <c r="L20" s="50">
        <f t="shared" si="2"/>
        <v>420</v>
      </c>
    </row>
    <row r="21" spans="1:19" ht="14.25" customHeight="1" x14ac:dyDescent="0.75">
      <c r="A21" s="50">
        <v>666523</v>
      </c>
      <c r="B21" s="73" t="s">
        <v>34</v>
      </c>
      <c r="C21" s="73" t="s">
        <v>35</v>
      </c>
      <c r="D21" s="50">
        <f t="shared" si="0"/>
        <v>40</v>
      </c>
      <c r="E21" s="50">
        <v>0</v>
      </c>
      <c r="F21" s="50">
        <v>0</v>
      </c>
      <c r="G21" s="50">
        <v>0</v>
      </c>
      <c r="H21" s="50">
        <v>0</v>
      </c>
      <c r="I21" s="50">
        <v>40</v>
      </c>
      <c r="J21" s="50">
        <v>40</v>
      </c>
      <c r="K21" s="50">
        <f t="shared" si="1"/>
        <v>40</v>
      </c>
      <c r="L21" s="50">
        <f t="shared" si="2"/>
        <v>40</v>
      </c>
    </row>
    <row r="22" spans="1:19" ht="14.25" customHeight="1" x14ac:dyDescent="0.75">
      <c r="A22" s="50">
        <v>666530</v>
      </c>
      <c r="B22" s="73" t="s">
        <v>36</v>
      </c>
      <c r="C22" s="73" t="s">
        <v>37</v>
      </c>
      <c r="D22" s="50">
        <f t="shared" si="0"/>
        <v>24</v>
      </c>
      <c r="E22" s="50">
        <v>0</v>
      </c>
      <c r="F22" s="50">
        <v>0</v>
      </c>
      <c r="G22" s="50">
        <v>0</v>
      </c>
      <c r="H22" s="50">
        <v>0</v>
      </c>
      <c r="I22" s="50">
        <v>24</v>
      </c>
      <c r="J22" s="50">
        <v>24</v>
      </c>
      <c r="K22" s="50">
        <f t="shared" si="1"/>
        <v>24</v>
      </c>
      <c r="L22" s="50">
        <f t="shared" si="2"/>
        <v>24</v>
      </c>
    </row>
    <row r="23" spans="1:19" ht="14.25" customHeight="1" x14ac:dyDescent="0.75">
      <c r="A23" s="50">
        <v>666531</v>
      </c>
      <c r="B23" s="73" t="s">
        <v>38</v>
      </c>
      <c r="C23" s="73" t="s">
        <v>39</v>
      </c>
      <c r="D23" s="50">
        <f t="shared" si="0"/>
        <v>28</v>
      </c>
      <c r="E23" s="50">
        <v>20</v>
      </c>
      <c r="F23" s="50">
        <v>20</v>
      </c>
      <c r="G23" s="50">
        <v>0</v>
      </c>
      <c r="H23" s="50">
        <v>0</v>
      </c>
      <c r="I23" s="50">
        <v>8</v>
      </c>
      <c r="J23" s="50">
        <v>8</v>
      </c>
      <c r="K23" s="50">
        <f t="shared" si="1"/>
        <v>28</v>
      </c>
      <c r="L23" s="50">
        <f t="shared" si="2"/>
        <v>28</v>
      </c>
    </row>
    <row r="24" spans="1:19" ht="14.25" customHeight="1" x14ac:dyDescent="0.75">
      <c r="A24" s="50">
        <v>666540</v>
      </c>
      <c r="B24" s="73" t="s">
        <v>40</v>
      </c>
      <c r="C24" s="73" t="s">
        <v>40</v>
      </c>
      <c r="D24" s="50">
        <f t="shared" si="0"/>
        <v>40</v>
      </c>
      <c r="E24" s="50">
        <v>0</v>
      </c>
      <c r="F24" s="50">
        <v>0</v>
      </c>
      <c r="G24" s="50">
        <v>40</v>
      </c>
      <c r="H24" s="50">
        <v>1</v>
      </c>
      <c r="I24" s="50">
        <v>0</v>
      </c>
      <c r="J24" s="50">
        <v>0</v>
      </c>
      <c r="K24" s="50">
        <f t="shared" si="1"/>
        <v>40</v>
      </c>
      <c r="L24" s="50">
        <f t="shared" si="2"/>
        <v>1</v>
      </c>
    </row>
    <row r="25" spans="1:19" ht="14.25" customHeight="1" x14ac:dyDescent="0.75">
      <c r="A25" s="50">
        <v>666541</v>
      </c>
      <c r="B25" s="73" t="s">
        <v>41</v>
      </c>
      <c r="C25" s="73" t="s">
        <v>41</v>
      </c>
      <c r="D25" s="50">
        <f t="shared" si="0"/>
        <v>680</v>
      </c>
      <c r="E25" s="50">
        <v>0</v>
      </c>
      <c r="F25" s="50">
        <v>0</v>
      </c>
      <c r="G25" s="50">
        <v>680</v>
      </c>
      <c r="H25" s="50">
        <v>428</v>
      </c>
      <c r="I25" s="50">
        <v>0</v>
      </c>
      <c r="J25" s="50">
        <v>0</v>
      </c>
      <c r="K25" s="50">
        <f t="shared" si="1"/>
        <v>680</v>
      </c>
      <c r="L25" s="50">
        <f t="shared" si="2"/>
        <v>428</v>
      </c>
    </row>
    <row r="26" spans="1:19" s="74" customFormat="1" ht="14.25" customHeight="1" x14ac:dyDescent="0.75">
      <c r="A26" s="74">
        <v>666536</v>
      </c>
      <c r="B26" s="74" t="s">
        <v>42</v>
      </c>
      <c r="C26" s="74" t="s">
        <v>43</v>
      </c>
      <c r="E26" s="50">
        <v>28</v>
      </c>
      <c r="F26" s="50">
        <v>17</v>
      </c>
      <c r="G26" s="50">
        <v>0</v>
      </c>
      <c r="H26" s="50">
        <v>0</v>
      </c>
      <c r="I26" s="50">
        <v>0</v>
      </c>
      <c r="J26" s="50">
        <v>0</v>
      </c>
      <c r="K26" s="50">
        <f t="shared" si="1"/>
        <v>28</v>
      </c>
      <c r="L26" s="50">
        <f t="shared" si="2"/>
        <v>17</v>
      </c>
      <c r="S26" s="74">
        <v>2</v>
      </c>
    </row>
  </sheetData>
  <conditionalFormatting sqref="K6:K26">
    <cfRule type="cellIs" dxfId="118" priority="2" operator="equal">
      <formula>0</formula>
    </cfRule>
  </conditionalFormatting>
  <conditionalFormatting sqref="L6:L26">
    <cfRule type="expression" dxfId="117" priority="3">
      <formula>K6=L6</formula>
    </cfRule>
    <cfRule type="expression" dxfId="116" priority="4">
      <formula>K6&lt;L6</formula>
    </cfRule>
    <cfRule type="expression" dxfId="115" priority="5">
      <formula>K6&gt;L6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A51"/>
  <sheetViews>
    <sheetView topLeftCell="B1" zoomScaleNormal="100" workbookViewId="0">
      <selection activeCell="I6" sqref="I6"/>
    </sheetView>
  </sheetViews>
  <sheetFormatPr defaultColWidth="8.6796875" defaultRowHeight="14.75" x14ac:dyDescent="0.75"/>
  <cols>
    <col min="1" max="1" width="8.6796875" style="50"/>
    <col min="2" max="2" width="41.54296875" style="50" customWidth="1"/>
    <col min="3" max="3" width="22.6796875" style="50" customWidth="1"/>
    <col min="4" max="4" width="9.54296875" style="50" hidden="1" customWidth="1"/>
    <col min="5" max="6" width="8.6796875" style="50"/>
    <col min="7" max="7" width="7.31640625" style="50" customWidth="1"/>
    <col min="8" max="8" width="8.453125" style="50" customWidth="1"/>
    <col min="9" max="9" width="7.453125" style="50" customWidth="1"/>
    <col min="10" max="10" width="8.08984375" style="50" customWidth="1"/>
    <col min="11" max="11" width="8.54296875" style="50" customWidth="1"/>
    <col min="12" max="16384" width="8.6796875" style="50"/>
  </cols>
  <sheetData>
    <row r="1" spans="1:27" s="51" customFormat="1" ht="28.5" customHeight="1" x14ac:dyDescent="0.75">
      <c r="C1" s="51" t="s">
        <v>175</v>
      </c>
      <c r="D1" s="51" t="s">
        <v>144</v>
      </c>
      <c r="E1" s="52" t="s">
        <v>116</v>
      </c>
      <c r="F1" s="53" t="s">
        <v>145</v>
      </c>
      <c r="G1" s="54" t="s">
        <v>119</v>
      </c>
      <c r="H1" s="53" t="s">
        <v>146</v>
      </c>
      <c r="I1" s="153" t="s">
        <v>122</v>
      </c>
      <c r="J1" s="56" t="s">
        <v>147</v>
      </c>
      <c r="K1" s="51" t="s">
        <v>148</v>
      </c>
      <c r="L1" s="53" t="s">
        <v>149</v>
      </c>
      <c r="M1" s="51" t="s">
        <v>56</v>
      </c>
      <c r="N1" s="51" t="s">
        <v>58</v>
      </c>
      <c r="O1" s="51" t="s">
        <v>66</v>
      </c>
      <c r="P1" s="51" t="s">
        <v>56</v>
      </c>
      <c r="Q1" s="51" t="s">
        <v>58</v>
      </c>
      <c r="R1" s="51" t="s">
        <v>66</v>
      </c>
      <c r="S1" s="51" t="s">
        <v>56</v>
      </c>
      <c r="T1" s="51" t="s">
        <v>58</v>
      </c>
      <c r="U1" s="51" t="s">
        <v>66</v>
      </c>
      <c r="V1" s="51" t="s">
        <v>56</v>
      </c>
      <c r="W1" s="51" t="s">
        <v>58</v>
      </c>
      <c r="X1" s="51" t="s">
        <v>66</v>
      </c>
      <c r="Y1" s="51" t="s">
        <v>56</v>
      </c>
      <c r="Z1" s="51" t="s">
        <v>58</v>
      </c>
      <c r="AA1" s="51" t="s">
        <v>66</v>
      </c>
    </row>
    <row r="2" spans="1:27" ht="14.25" customHeight="1" x14ac:dyDescent="0.75">
      <c r="C2" s="57" t="s">
        <v>150</v>
      </c>
      <c r="D2" s="57"/>
      <c r="E2" s="58"/>
      <c r="F2" s="59"/>
      <c r="G2" s="60"/>
      <c r="H2" s="59"/>
      <c r="I2" s="78"/>
      <c r="J2" s="59"/>
      <c r="K2" s="59"/>
      <c r="L2" s="59"/>
      <c r="M2" s="59" t="s">
        <v>65</v>
      </c>
      <c r="N2" s="59" t="s">
        <v>57</v>
      </c>
      <c r="O2" s="59" t="s">
        <v>55</v>
      </c>
      <c r="P2" s="59" t="s">
        <v>65</v>
      </c>
      <c r="Q2" s="59" t="s">
        <v>57</v>
      </c>
      <c r="R2" s="59" t="s">
        <v>55</v>
      </c>
      <c r="S2" s="59" t="s">
        <v>65</v>
      </c>
      <c r="T2" s="59" t="s">
        <v>57</v>
      </c>
      <c r="U2" s="59" t="s">
        <v>55</v>
      </c>
      <c r="V2" s="59" t="s">
        <v>65</v>
      </c>
      <c r="W2" s="59" t="s">
        <v>57</v>
      </c>
      <c r="X2" s="59" t="s">
        <v>55</v>
      </c>
      <c r="Y2" s="59" t="s">
        <v>65</v>
      </c>
      <c r="Z2" s="59" t="s">
        <v>57</v>
      </c>
      <c r="AA2" s="59" t="s">
        <v>55</v>
      </c>
    </row>
    <row r="3" spans="1:27" ht="14.25" customHeight="1" x14ac:dyDescent="0.75">
      <c r="A3" s="62" t="s">
        <v>129</v>
      </c>
      <c r="B3" s="62" t="s">
        <v>2</v>
      </c>
      <c r="C3" s="62" t="s">
        <v>3</v>
      </c>
      <c r="D3" s="62"/>
      <c r="E3" s="58"/>
      <c r="F3" s="62"/>
      <c r="G3" s="63"/>
      <c r="H3" s="62"/>
      <c r="I3" s="154"/>
      <c r="J3" s="62"/>
      <c r="K3" s="62"/>
      <c r="L3" s="62"/>
      <c r="M3" s="62" t="s">
        <v>54</v>
      </c>
      <c r="N3" s="62" t="s">
        <v>54</v>
      </c>
      <c r="O3" s="62" t="s">
        <v>54</v>
      </c>
      <c r="P3" s="62" t="s">
        <v>59</v>
      </c>
      <c r="Q3" s="62" t="s">
        <v>59</v>
      </c>
      <c r="R3" s="62" t="s">
        <v>59</v>
      </c>
      <c r="S3" s="62" t="s">
        <v>60</v>
      </c>
      <c r="T3" s="62" t="s">
        <v>60</v>
      </c>
      <c r="U3" s="62" t="s">
        <v>60</v>
      </c>
      <c r="V3" s="62" t="s">
        <v>62</v>
      </c>
      <c r="W3" s="62" t="s">
        <v>62</v>
      </c>
      <c r="X3" s="62" t="s">
        <v>62</v>
      </c>
      <c r="Y3" s="62" t="s">
        <v>63</v>
      </c>
      <c r="Z3" s="62" t="s">
        <v>63</v>
      </c>
      <c r="AA3" s="62" t="s">
        <v>63</v>
      </c>
    </row>
    <row r="4" spans="1:27" ht="14.25" customHeight="1" x14ac:dyDescent="0.75">
      <c r="A4" s="62"/>
      <c r="B4" s="62"/>
      <c r="C4" s="62" t="s">
        <v>151</v>
      </c>
      <c r="D4" s="62"/>
      <c r="E4" s="58"/>
      <c r="F4" s="50">
        <f t="shared" ref="F4:F25" si="0">+M4+P4+S4+V4+Y4</f>
        <v>127</v>
      </c>
      <c r="G4" s="63"/>
      <c r="H4" s="50">
        <f t="shared" ref="H4:H25" si="1">+N4+Q4+T4+W4+Z4</f>
        <v>740</v>
      </c>
      <c r="I4" s="154"/>
      <c r="J4" s="50">
        <f t="shared" ref="J4:J25" si="2">+O4+R4+U4+X4+AA4</f>
        <v>101</v>
      </c>
      <c r="K4" s="62"/>
      <c r="L4" s="62"/>
      <c r="M4" s="62">
        <v>35</v>
      </c>
      <c r="N4" s="62">
        <v>130</v>
      </c>
      <c r="O4" s="62">
        <v>39</v>
      </c>
      <c r="Q4" s="50">
        <v>203</v>
      </c>
      <c r="R4" s="50">
        <v>42</v>
      </c>
      <c r="S4" s="50">
        <v>38</v>
      </c>
      <c r="T4" s="50">
        <v>164</v>
      </c>
      <c r="V4" s="50">
        <v>32</v>
      </c>
      <c r="W4" s="50">
        <v>130</v>
      </c>
      <c r="X4" s="50">
        <v>20</v>
      </c>
      <c r="Y4" s="50">
        <v>22</v>
      </c>
      <c r="Z4" s="50">
        <v>113</v>
      </c>
    </row>
    <row r="5" spans="1:27" ht="14.25" customHeight="1" x14ac:dyDescent="0.75">
      <c r="A5" s="50">
        <v>666501</v>
      </c>
      <c r="B5" s="50" t="s">
        <v>4</v>
      </c>
      <c r="C5" s="50" t="s">
        <v>5</v>
      </c>
      <c r="E5" s="67">
        <v>42</v>
      </c>
      <c r="F5" s="70">
        <f t="shared" si="0"/>
        <v>42</v>
      </c>
      <c r="G5" s="60">
        <v>465</v>
      </c>
      <c r="H5" s="50">
        <f t="shared" si="1"/>
        <v>390</v>
      </c>
      <c r="I5" s="78">
        <v>39</v>
      </c>
      <c r="J5" s="50">
        <f t="shared" si="2"/>
        <v>39</v>
      </c>
      <c r="K5" s="50">
        <f t="shared" ref="K5:K25" si="3">+E5+G5+I5</f>
        <v>546</v>
      </c>
      <c r="L5" s="50">
        <f t="shared" ref="L5:L25" si="4">+F5+H5+J5</f>
        <v>471</v>
      </c>
      <c r="M5" s="50">
        <v>24</v>
      </c>
      <c r="O5" s="50">
        <v>27</v>
      </c>
      <c r="Q5" s="50">
        <v>198</v>
      </c>
      <c r="R5" s="50">
        <v>12</v>
      </c>
      <c r="S5" s="50">
        <v>18</v>
      </c>
      <c r="T5" s="50">
        <v>84</v>
      </c>
      <c r="W5" s="50">
        <v>39</v>
      </c>
      <c r="Z5" s="50">
        <v>69</v>
      </c>
    </row>
    <row r="6" spans="1:27" ht="14.25" customHeight="1" x14ac:dyDescent="0.75">
      <c r="A6" s="50">
        <v>666502</v>
      </c>
      <c r="B6" s="50" t="s">
        <v>6</v>
      </c>
      <c r="C6" s="50" t="s">
        <v>7</v>
      </c>
      <c r="E6" s="67"/>
      <c r="F6" s="50">
        <f t="shared" si="0"/>
        <v>0</v>
      </c>
      <c r="G6" s="60">
        <v>260</v>
      </c>
      <c r="H6" s="50">
        <f t="shared" si="1"/>
        <v>135</v>
      </c>
      <c r="I6" s="78">
        <v>100</v>
      </c>
      <c r="J6" s="50">
        <f t="shared" si="2"/>
        <v>39</v>
      </c>
      <c r="K6" s="50">
        <f t="shared" si="3"/>
        <v>360</v>
      </c>
      <c r="L6" s="50">
        <f t="shared" si="4"/>
        <v>174</v>
      </c>
      <c r="N6" s="50">
        <v>20</v>
      </c>
      <c r="O6" s="50">
        <v>10</v>
      </c>
      <c r="Q6" s="50">
        <v>41</v>
      </c>
      <c r="R6" s="50">
        <v>15</v>
      </c>
      <c r="T6" s="50">
        <v>50</v>
      </c>
      <c r="W6" s="50">
        <v>24</v>
      </c>
      <c r="X6" s="50">
        <v>14</v>
      </c>
    </row>
    <row r="7" spans="1:27" ht="14.25" customHeight="1" x14ac:dyDescent="0.75">
      <c r="A7" s="50">
        <v>666505</v>
      </c>
      <c r="B7" s="50" t="s">
        <v>8</v>
      </c>
      <c r="C7" s="50" t="s">
        <v>9</v>
      </c>
      <c r="E7" s="67">
        <v>16</v>
      </c>
      <c r="F7" s="70">
        <f t="shared" si="0"/>
        <v>16</v>
      </c>
      <c r="G7" s="60"/>
      <c r="H7" s="50">
        <f t="shared" si="1"/>
        <v>0</v>
      </c>
      <c r="I7" s="78">
        <v>34</v>
      </c>
      <c r="J7" s="70">
        <f t="shared" si="2"/>
        <v>34</v>
      </c>
      <c r="K7" s="50">
        <f t="shared" si="3"/>
        <v>50</v>
      </c>
      <c r="L7" s="50">
        <f t="shared" si="4"/>
        <v>50</v>
      </c>
      <c r="M7" s="50">
        <v>16</v>
      </c>
      <c r="O7" s="50">
        <v>34</v>
      </c>
    </row>
    <row r="8" spans="1:27" ht="14.25" customHeight="1" x14ac:dyDescent="0.75">
      <c r="A8" s="50">
        <v>666506</v>
      </c>
      <c r="B8" s="50" t="s">
        <v>10</v>
      </c>
      <c r="C8" s="50" t="s">
        <v>11</v>
      </c>
      <c r="E8" s="67"/>
      <c r="F8" s="50">
        <f t="shared" si="0"/>
        <v>0</v>
      </c>
      <c r="G8" s="60">
        <v>300</v>
      </c>
      <c r="H8" s="50">
        <f t="shared" si="1"/>
        <v>119</v>
      </c>
      <c r="I8" s="78"/>
      <c r="J8" s="50">
        <f t="shared" si="2"/>
        <v>0</v>
      </c>
      <c r="K8" s="50">
        <f t="shared" si="3"/>
        <v>300</v>
      </c>
      <c r="L8" s="50">
        <f t="shared" si="4"/>
        <v>119</v>
      </c>
      <c r="N8" s="50">
        <v>13</v>
      </c>
      <c r="Q8" s="50">
        <v>32</v>
      </c>
      <c r="T8" s="50">
        <v>22</v>
      </c>
      <c r="W8" s="50">
        <v>36</v>
      </c>
      <c r="Z8" s="50">
        <v>16</v>
      </c>
    </row>
    <row r="9" spans="1:27" ht="14.25" customHeight="1" x14ac:dyDescent="0.75">
      <c r="A9" s="50">
        <v>666507</v>
      </c>
      <c r="B9" s="50" t="s">
        <v>12</v>
      </c>
      <c r="C9" s="50" t="s">
        <v>13</v>
      </c>
      <c r="E9" s="67">
        <v>16</v>
      </c>
      <c r="F9" s="50">
        <f t="shared" si="0"/>
        <v>0</v>
      </c>
      <c r="G9" s="60"/>
      <c r="H9" s="50">
        <f t="shared" si="1"/>
        <v>0</v>
      </c>
      <c r="I9" s="78"/>
      <c r="J9" s="50">
        <f t="shared" si="2"/>
        <v>0</v>
      </c>
      <c r="K9" s="50">
        <f t="shared" si="3"/>
        <v>16</v>
      </c>
      <c r="L9" s="50">
        <f t="shared" si="4"/>
        <v>0</v>
      </c>
    </row>
    <row r="10" spans="1:27" ht="14.25" customHeight="1" x14ac:dyDescent="0.75">
      <c r="A10" s="50">
        <v>666509</v>
      </c>
      <c r="B10" s="50" t="s">
        <v>14</v>
      </c>
      <c r="C10" s="50" t="s">
        <v>15</v>
      </c>
      <c r="E10" s="67">
        <v>50</v>
      </c>
      <c r="F10" s="50">
        <f t="shared" si="0"/>
        <v>50</v>
      </c>
      <c r="G10" s="60"/>
      <c r="H10" s="50">
        <f t="shared" si="1"/>
        <v>0</v>
      </c>
      <c r="I10" s="78"/>
      <c r="J10" s="50">
        <f t="shared" si="2"/>
        <v>0</v>
      </c>
      <c r="K10" s="50">
        <f t="shared" si="3"/>
        <v>50</v>
      </c>
      <c r="L10" s="50">
        <f t="shared" si="4"/>
        <v>50</v>
      </c>
      <c r="M10" s="50">
        <v>12</v>
      </c>
      <c r="S10" s="50">
        <v>10</v>
      </c>
      <c r="V10" s="50">
        <v>10</v>
      </c>
      <c r="Y10" s="50">
        <v>18</v>
      </c>
    </row>
    <row r="11" spans="1:27" ht="14.25" customHeight="1" x14ac:dyDescent="0.75">
      <c r="A11" s="50">
        <v>666510</v>
      </c>
      <c r="B11" s="50" t="s">
        <v>16</v>
      </c>
      <c r="C11" s="50" t="s">
        <v>17</v>
      </c>
      <c r="E11" s="67"/>
      <c r="F11" s="50">
        <f t="shared" si="0"/>
        <v>0</v>
      </c>
      <c r="G11" s="60"/>
      <c r="H11" s="50">
        <f t="shared" si="1"/>
        <v>0</v>
      </c>
      <c r="I11" s="78"/>
      <c r="J11" s="50">
        <f t="shared" si="2"/>
        <v>0</v>
      </c>
      <c r="K11" s="50">
        <f t="shared" si="3"/>
        <v>0</v>
      </c>
      <c r="L11" s="50">
        <f t="shared" si="4"/>
        <v>0</v>
      </c>
    </row>
    <row r="12" spans="1:27" ht="14.25" customHeight="1" x14ac:dyDescent="0.75">
      <c r="A12" s="50">
        <v>666511</v>
      </c>
      <c r="B12" s="50" t="s">
        <v>18</v>
      </c>
      <c r="C12" s="50" t="s">
        <v>19</v>
      </c>
      <c r="E12" s="67">
        <v>6</v>
      </c>
      <c r="F12" s="50">
        <f t="shared" si="0"/>
        <v>0</v>
      </c>
      <c r="G12" s="60"/>
      <c r="H12" s="50">
        <f t="shared" si="1"/>
        <v>0</v>
      </c>
      <c r="I12" s="78"/>
      <c r="J12" s="50">
        <f t="shared" si="2"/>
        <v>0</v>
      </c>
      <c r="K12" s="50">
        <f t="shared" si="3"/>
        <v>6</v>
      </c>
      <c r="L12" s="50">
        <f t="shared" si="4"/>
        <v>0</v>
      </c>
    </row>
    <row r="13" spans="1:27" ht="14.25" customHeight="1" x14ac:dyDescent="0.75">
      <c r="A13" s="50">
        <v>666513</v>
      </c>
      <c r="B13" s="50" t="s">
        <v>20</v>
      </c>
      <c r="C13" s="50" t="s">
        <v>21</v>
      </c>
      <c r="E13" s="67">
        <v>8</v>
      </c>
      <c r="F13" s="70">
        <f t="shared" si="0"/>
        <v>8</v>
      </c>
      <c r="G13" s="60"/>
      <c r="H13" s="50">
        <f t="shared" si="1"/>
        <v>0</v>
      </c>
      <c r="I13" s="78">
        <v>20</v>
      </c>
      <c r="J13" s="70">
        <f t="shared" si="2"/>
        <v>20</v>
      </c>
      <c r="K13" s="50">
        <f t="shared" si="3"/>
        <v>28</v>
      </c>
      <c r="L13" s="50">
        <f t="shared" si="4"/>
        <v>28</v>
      </c>
      <c r="M13" s="50">
        <v>8</v>
      </c>
      <c r="O13" s="50">
        <v>20</v>
      </c>
    </row>
    <row r="14" spans="1:27" ht="14.25" customHeight="1" x14ac:dyDescent="0.75">
      <c r="A14" s="50">
        <v>666516</v>
      </c>
      <c r="B14" s="50" t="s">
        <v>22</v>
      </c>
      <c r="C14" s="50" t="s">
        <v>23</v>
      </c>
      <c r="E14" s="67">
        <v>27</v>
      </c>
      <c r="F14" s="70">
        <f t="shared" si="0"/>
        <v>27</v>
      </c>
      <c r="G14" s="60"/>
      <c r="H14" s="50">
        <f t="shared" si="1"/>
        <v>0</v>
      </c>
      <c r="I14" s="78">
        <v>27</v>
      </c>
      <c r="J14" s="70">
        <f t="shared" si="2"/>
        <v>27</v>
      </c>
      <c r="K14" s="50">
        <f t="shared" si="3"/>
        <v>54</v>
      </c>
      <c r="L14" s="50">
        <f t="shared" si="4"/>
        <v>54</v>
      </c>
      <c r="M14" s="50">
        <v>27</v>
      </c>
      <c r="O14" s="50">
        <v>27</v>
      </c>
    </row>
    <row r="15" spans="1:27" ht="14.25" customHeight="1" x14ac:dyDescent="0.75">
      <c r="A15" s="50">
        <v>666517</v>
      </c>
      <c r="B15" s="50" t="s">
        <v>24</v>
      </c>
      <c r="C15" s="50" t="s">
        <v>25</v>
      </c>
      <c r="E15" s="67">
        <v>33</v>
      </c>
      <c r="F15" s="50">
        <f t="shared" si="0"/>
        <v>33</v>
      </c>
      <c r="G15" s="60"/>
      <c r="H15" s="50">
        <f t="shared" si="1"/>
        <v>0</v>
      </c>
      <c r="I15" s="78">
        <v>15</v>
      </c>
      <c r="J15" s="70">
        <f t="shared" si="2"/>
        <v>15</v>
      </c>
      <c r="K15" s="50">
        <f t="shared" si="3"/>
        <v>48</v>
      </c>
      <c r="L15" s="50">
        <f t="shared" si="4"/>
        <v>48</v>
      </c>
      <c r="M15" s="50">
        <v>33</v>
      </c>
      <c r="O15" s="50">
        <v>15</v>
      </c>
    </row>
    <row r="16" spans="1:27" ht="14.25" customHeight="1" x14ac:dyDescent="0.75">
      <c r="A16" s="50">
        <v>666518</v>
      </c>
      <c r="B16" s="50" t="s">
        <v>26</v>
      </c>
      <c r="C16" s="50" t="s">
        <v>27</v>
      </c>
      <c r="E16" s="67"/>
      <c r="F16" s="50">
        <f t="shared" si="0"/>
        <v>0</v>
      </c>
      <c r="G16" s="60"/>
      <c r="H16" s="50">
        <f t="shared" si="1"/>
        <v>0</v>
      </c>
      <c r="I16" s="78"/>
      <c r="J16" s="50">
        <f t="shared" si="2"/>
        <v>0</v>
      </c>
      <c r="K16" s="50">
        <f t="shared" si="3"/>
        <v>0</v>
      </c>
      <c r="L16" s="50">
        <f t="shared" si="4"/>
        <v>0</v>
      </c>
    </row>
    <row r="17" spans="1:26" ht="14.25" customHeight="1" x14ac:dyDescent="0.75">
      <c r="A17" s="50">
        <v>666519</v>
      </c>
      <c r="B17" s="50" t="s">
        <v>28</v>
      </c>
      <c r="C17" s="50" t="s">
        <v>29</v>
      </c>
      <c r="E17" s="67">
        <v>26</v>
      </c>
      <c r="F17" s="70">
        <f t="shared" si="0"/>
        <v>26</v>
      </c>
      <c r="G17" s="60"/>
      <c r="H17" s="50">
        <f t="shared" si="1"/>
        <v>0</v>
      </c>
      <c r="I17" s="78">
        <v>26</v>
      </c>
      <c r="J17" s="70">
        <f t="shared" si="2"/>
        <v>26</v>
      </c>
      <c r="K17" s="50">
        <f t="shared" si="3"/>
        <v>52</v>
      </c>
      <c r="L17" s="50">
        <f t="shared" si="4"/>
        <v>52</v>
      </c>
      <c r="M17" s="50">
        <v>26</v>
      </c>
      <c r="O17" s="50">
        <v>26</v>
      </c>
    </row>
    <row r="18" spans="1:26" ht="14.25" customHeight="1" x14ac:dyDescent="0.75">
      <c r="A18" s="50">
        <v>666521</v>
      </c>
      <c r="B18" s="50" t="s">
        <v>30</v>
      </c>
      <c r="C18" s="50" t="s">
        <v>31</v>
      </c>
      <c r="E18" s="67">
        <v>80</v>
      </c>
      <c r="F18" s="50">
        <f t="shared" si="0"/>
        <v>41</v>
      </c>
      <c r="G18" s="60"/>
      <c r="H18" s="50">
        <f t="shared" si="1"/>
        <v>0</v>
      </c>
      <c r="I18" s="78"/>
      <c r="J18" s="50">
        <f t="shared" si="2"/>
        <v>0</v>
      </c>
      <c r="K18" s="50">
        <f t="shared" si="3"/>
        <v>80</v>
      </c>
      <c r="L18" s="50">
        <f t="shared" si="4"/>
        <v>41</v>
      </c>
      <c r="M18" s="50">
        <v>7</v>
      </c>
      <c r="S18" s="50">
        <v>15</v>
      </c>
      <c r="V18" s="50">
        <v>14</v>
      </c>
      <c r="Y18" s="50">
        <v>5</v>
      </c>
    </row>
    <row r="19" spans="1:26" ht="14.25" customHeight="1" x14ac:dyDescent="0.75">
      <c r="A19" s="50">
        <v>666522</v>
      </c>
      <c r="B19" s="50" t="s">
        <v>32</v>
      </c>
      <c r="C19" s="50" t="s">
        <v>33</v>
      </c>
      <c r="E19" s="67">
        <v>180</v>
      </c>
      <c r="F19" s="50">
        <f t="shared" si="0"/>
        <v>180</v>
      </c>
      <c r="G19" s="60">
        <v>50</v>
      </c>
      <c r="H19" s="50">
        <f t="shared" si="1"/>
        <v>50</v>
      </c>
      <c r="I19" s="78">
        <v>125</v>
      </c>
      <c r="J19" s="70">
        <f t="shared" si="2"/>
        <v>125</v>
      </c>
      <c r="K19" s="50">
        <f t="shared" si="3"/>
        <v>355</v>
      </c>
      <c r="L19" s="50">
        <f t="shared" si="4"/>
        <v>355</v>
      </c>
      <c r="M19" s="50">
        <v>65</v>
      </c>
      <c r="O19" s="50">
        <v>65</v>
      </c>
      <c r="Q19" s="50">
        <v>50</v>
      </c>
      <c r="R19" s="50">
        <v>60</v>
      </c>
      <c r="S19" s="50">
        <v>70</v>
      </c>
      <c r="V19" s="50">
        <v>25</v>
      </c>
      <c r="Y19" s="50">
        <v>20</v>
      </c>
    </row>
    <row r="20" spans="1:26" ht="14.25" customHeight="1" x14ac:dyDescent="0.75">
      <c r="A20" s="50">
        <v>666523</v>
      </c>
      <c r="B20" s="50" t="s">
        <v>34</v>
      </c>
      <c r="C20" s="50" t="s">
        <v>35</v>
      </c>
      <c r="E20" s="67"/>
      <c r="F20" s="50">
        <f t="shared" si="0"/>
        <v>0</v>
      </c>
      <c r="G20" s="60"/>
      <c r="H20" s="50">
        <f t="shared" si="1"/>
        <v>0</v>
      </c>
      <c r="I20" s="78">
        <v>40</v>
      </c>
      <c r="J20" s="70">
        <f t="shared" si="2"/>
        <v>40</v>
      </c>
      <c r="K20" s="50">
        <f t="shared" si="3"/>
        <v>40</v>
      </c>
      <c r="L20" s="50">
        <f t="shared" si="4"/>
        <v>40</v>
      </c>
      <c r="O20" s="50">
        <v>23</v>
      </c>
      <c r="R20" s="50">
        <v>17</v>
      </c>
    </row>
    <row r="21" spans="1:26" ht="14.25" customHeight="1" x14ac:dyDescent="0.75">
      <c r="A21" s="50">
        <v>666530</v>
      </c>
      <c r="B21" s="50" t="s">
        <v>36</v>
      </c>
      <c r="C21" s="50" t="s">
        <v>37</v>
      </c>
      <c r="E21" s="67"/>
      <c r="F21" s="50">
        <f t="shared" si="0"/>
        <v>0</v>
      </c>
      <c r="G21" s="60"/>
      <c r="H21" s="50">
        <f t="shared" si="1"/>
        <v>0</v>
      </c>
      <c r="I21" s="78">
        <v>24</v>
      </c>
      <c r="J21" s="70">
        <f t="shared" si="2"/>
        <v>24</v>
      </c>
      <c r="K21" s="50">
        <f t="shared" si="3"/>
        <v>24</v>
      </c>
      <c r="L21" s="50">
        <f t="shared" si="4"/>
        <v>24</v>
      </c>
      <c r="R21" s="50">
        <v>24</v>
      </c>
    </row>
    <row r="22" spans="1:26" ht="14.25" customHeight="1" x14ac:dyDescent="0.75">
      <c r="A22" s="50">
        <v>666531</v>
      </c>
      <c r="B22" s="50" t="s">
        <v>38</v>
      </c>
      <c r="C22" s="50" t="s">
        <v>39</v>
      </c>
      <c r="E22" s="67">
        <v>20</v>
      </c>
      <c r="F22" s="50">
        <f t="shared" si="0"/>
        <v>6</v>
      </c>
      <c r="G22" s="60"/>
      <c r="H22" s="50">
        <f t="shared" si="1"/>
        <v>0</v>
      </c>
      <c r="I22" s="78">
        <v>8</v>
      </c>
      <c r="J22" s="70">
        <f t="shared" si="2"/>
        <v>8</v>
      </c>
      <c r="K22" s="50">
        <f t="shared" si="3"/>
        <v>28</v>
      </c>
      <c r="L22" s="50">
        <f t="shared" si="4"/>
        <v>14</v>
      </c>
      <c r="M22" s="50">
        <v>2</v>
      </c>
      <c r="O22" s="50">
        <v>8</v>
      </c>
      <c r="S22" s="50">
        <v>3</v>
      </c>
      <c r="V22" s="50">
        <v>1</v>
      </c>
    </row>
    <row r="23" spans="1:26" ht="14.25" customHeight="1" x14ac:dyDescent="0.75">
      <c r="A23" s="50">
        <v>666540</v>
      </c>
      <c r="B23" s="50" t="s">
        <v>40</v>
      </c>
      <c r="C23" s="50" t="s">
        <v>40</v>
      </c>
      <c r="E23" s="67"/>
      <c r="F23" s="50">
        <f t="shared" si="0"/>
        <v>0</v>
      </c>
      <c r="G23" s="60">
        <v>40</v>
      </c>
      <c r="H23" s="50">
        <f t="shared" si="1"/>
        <v>0</v>
      </c>
      <c r="I23" s="78"/>
      <c r="J23" s="50">
        <f t="shared" si="2"/>
        <v>0</v>
      </c>
      <c r="K23" s="50">
        <f t="shared" si="3"/>
        <v>40</v>
      </c>
      <c r="L23" s="50">
        <f t="shared" si="4"/>
        <v>0</v>
      </c>
    </row>
    <row r="24" spans="1:26" ht="14.25" customHeight="1" x14ac:dyDescent="0.75">
      <c r="A24" s="50">
        <v>666541</v>
      </c>
      <c r="B24" s="50" t="s">
        <v>41</v>
      </c>
      <c r="C24" s="50" t="s">
        <v>41</v>
      </c>
      <c r="E24" s="67"/>
      <c r="F24" s="50">
        <f t="shared" si="0"/>
        <v>0</v>
      </c>
      <c r="G24" s="60">
        <v>680</v>
      </c>
      <c r="H24" s="50">
        <f t="shared" si="1"/>
        <v>184</v>
      </c>
      <c r="I24" s="78"/>
      <c r="J24" s="50">
        <f t="shared" si="2"/>
        <v>0</v>
      </c>
      <c r="K24" s="50">
        <f t="shared" si="3"/>
        <v>680</v>
      </c>
      <c r="L24" s="50">
        <f t="shared" si="4"/>
        <v>184</v>
      </c>
      <c r="N24" s="50">
        <v>36</v>
      </c>
      <c r="Q24" s="50">
        <v>51</v>
      </c>
      <c r="T24" s="50">
        <v>29</v>
      </c>
      <c r="W24" s="50">
        <v>40</v>
      </c>
      <c r="Z24" s="50">
        <v>28</v>
      </c>
    </row>
    <row r="25" spans="1:26" ht="14.25" customHeight="1" x14ac:dyDescent="0.75">
      <c r="A25" s="50">
        <v>666536</v>
      </c>
      <c r="B25" s="50" t="s">
        <v>42</v>
      </c>
      <c r="C25" s="50" t="s">
        <v>43</v>
      </c>
      <c r="E25" s="67">
        <v>40</v>
      </c>
      <c r="F25" s="50">
        <f t="shared" si="0"/>
        <v>12</v>
      </c>
      <c r="G25" s="60"/>
      <c r="H25" s="50">
        <f t="shared" si="1"/>
        <v>0</v>
      </c>
      <c r="I25" s="78"/>
      <c r="J25" s="50">
        <f t="shared" si="2"/>
        <v>0</v>
      </c>
      <c r="K25" s="50">
        <f t="shared" si="3"/>
        <v>40</v>
      </c>
      <c r="L25" s="50">
        <f t="shared" si="4"/>
        <v>12</v>
      </c>
      <c r="M25" s="50">
        <v>5</v>
      </c>
      <c r="S25" s="50">
        <v>5</v>
      </c>
      <c r="V25" s="50">
        <v>2</v>
      </c>
    </row>
    <row r="26" spans="1:26" ht="14.25" customHeight="1" x14ac:dyDescent="0.75">
      <c r="C26" s="71"/>
      <c r="D26" s="71"/>
      <c r="E26" s="71"/>
      <c r="F26" s="71"/>
      <c r="G26" s="71"/>
      <c r="H26" s="71"/>
      <c r="I26" s="71"/>
      <c r="J26" s="71"/>
      <c r="L26" s="71"/>
    </row>
    <row r="27" spans="1:26" ht="14.25" customHeight="1" x14ac:dyDescent="0.75">
      <c r="C27" s="71"/>
      <c r="D27" s="71"/>
      <c r="E27" s="71"/>
      <c r="F27" s="71"/>
      <c r="G27" s="71"/>
      <c r="H27" s="71"/>
      <c r="I27" s="71"/>
      <c r="J27" s="71"/>
      <c r="L27" s="71"/>
    </row>
    <row r="28" spans="1:26" ht="14.25" customHeight="1" x14ac:dyDescent="0.75">
      <c r="C28" s="71"/>
      <c r="D28" s="71"/>
      <c r="E28" s="71"/>
      <c r="F28" s="71"/>
      <c r="G28" s="71"/>
      <c r="H28" s="71"/>
      <c r="I28" s="71"/>
      <c r="J28" s="71"/>
      <c r="L28" s="71"/>
    </row>
    <row r="29" spans="1:26" ht="14.25" customHeight="1" x14ac:dyDescent="0.75">
      <c r="C29" s="71"/>
      <c r="D29" s="71"/>
      <c r="E29" s="71"/>
      <c r="F29" s="71"/>
      <c r="G29" s="71"/>
      <c r="H29" s="71"/>
      <c r="I29" s="71"/>
      <c r="J29" s="71"/>
      <c r="L29" s="71"/>
    </row>
    <row r="30" spans="1:26" ht="14.25" customHeight="1" x14ac:dyDescent="0.75">
      <c r="C30" s="71"/>
      <c r="D30" s="71"/>
      <c r="E30" s="71"/>
      <c r="F30" s="71"/>
      <c r="G30" s="71"/>
      <c r="H30" s="71"/>
      <c r="I30" s="71"/>
      <c r="J30" s="71"/>
      <c r="L30" s="71"/>
    </row>
    <row r="31" spans="1:26" ht="14.25" customHeight="1" x14ac:dyDescent="0.75">
      <c r="C31" s="71"/>
      <c r="D31" s="71"/>
      <c r="E31" s="71"/>
      <c r="F31" s="71"/>
      <c r="G31" s="71"/>
      <c r="H31" s="71"/>
      <c r="I31" s="71"/>
      <c r="J31" s="71"/>
      <c r="L31" s="71"/>
    </row>
    <row r="32" spans="1:26" ht="14.25" customHeight="1" x14ac:dyDescent="0.75">
      <c r="C32" s="72"/>
      <c r="D32" s="71"/>
      <c r="E32" s="71"/>
      <c r="F32" s="71"/>
      <c r="G32" s="71"/>
      <c r="H32" s="71"/>
      <c r="I32" s="71"/>
      <c r="J32" s="71"/>
      <c r="L32" s="71"/>
    </row>
    <row r="33" spans="3:14" ht="14.25" customHeight="1" x14ac:dyDescent="0.75">
      <c r="C33" s="71"/>
      <c r="D33" s="71"/>
      <c r="E33" s="71"/>
      <c r="F33" s="71"/>
      <c r="G33" s="71"/>
      <c r="H33" s="71"/>
      <c r="I33" s="71"/>
      <c r="J33" s="71"/>
      <c r="L33" s="71"/>
    </row>
    <row r="34" spans="3:14" ht="14.25" customHeight="1" x14ac:dyDescent="0.75">
      <c r="C34" s="71"/>
      <c r="D34" s="71"/>
      <c r="E34" s="71"/>
      <c r="F34" s="71"/>
      <c r="G34" s="71"/>
      <c r="H34" s="71"/>
      <c r="I34" s="71"/>
      <c r="J34" s="71"/>
      <c r="L34" s="71"/>
    </row>
    <row r="35" spans="3:14" ht="14.25" customHeight="1" x14ac:dyDescent="0.75">
      <c r="C35" s="71"/>
      <c r="D35" s="71"/>
      <c r="E35" s="71"/>
      <c r="F35" s="71"/>
      <c r="G35" s="71"/>
      <c r="H35" s="71"/>
      <c r="I35" s="71"/>
      <c r="J35" s="71"/>
      <c r="L35" s="71"/>
    </row>
    <row r="36" spans="3:14" ht="14.25" customHeight="1" x14ac:dyDescent="0.75">
      <c r="C36" s="71"/>
      <c r="D36" s="71"/>
      <c r="E36" s="71"/>
      <c r="F36" s="71"/>
      <c r="G36" s="71"/>
      <c r="H36" s="71"/>
      <c r="I36" s="71"/>
      <c r="J36" s="71"/>
      <c r="L36" s="71"/>
    </row>
    <row r="37" spans="3:14" ht="14.25" customHeight="1" x14ac:dyDescent="0.75">
      <c r="C37" s="71"/>
      <c r="D37" s="71"/>
      <c r="E37" s="71"/>
      <c r="F37" s="71"/>
      <c r="G37" s="71"/>
      <c r="H37" s="71"/>
      <c r="I37" s="71"/>
      <c r="J37" s="71"/>
      <c r="L37" s="71"/>
    </row>
    <row r="38" spans="3:14" ht="14.25" customHeight="1" x14ac:dyDescent="0.75">
      <c r="C38" s="71"/>
      <c r="D38" s="71"/>
      <c r="E38" s="71"/>
      <c r="F38" s="71"/>
      <c r="G38" s="71"/>
      <c r="H38" s="71"/>
      <c r="I38" s="71"/>
      <c r="J38" s="71"/>
      <c r="L38" s="71"/>
    </row>
    <row r="39" spans="3:14" ht="14.25" customHeight="1" x14ac:dyDescent="0.75">
      <c r="C39" s="71"/>
      <c r="D39" s="71"/>
      <c r="E39" s="71"/>
      <c r="F39" s="71"/>
      <c r="G39" s="71"/>
      <c r="H39" s="71"/>
      <c r="I39" s="71"/>
      <c r="J39" s="71"/>
      <c r="L39" s="71"/>
    </row>
    <row r="40" spans="3:14" ht="14.25" customHeight="1" x14ac:dyDescent="0.75">
      <c r="C40" s="71"/>
      <c r="D40" s="71"/>
      <c r="E40" s="71"/>
      <c r="F40" s="71"/>
      <c r="G40" s="71"/>
      <c r="H40" s="71"/>
      <c r="I40" s="71"/>
      <c r="J40" s="71"/>
      <c r="L40" s="71"/>
    </row>
    <row r="41" spans="3:14" ht="14.25" customHeight="1" x14ac:dyDescent="0.75">
      <c r="C41" s="71"/>
      <c r="D41" s="71"/>
      <c r="E41" s="71"/>
      <c r="F41" s="71"/>
      <c r="G41" s="71"/>
      <c r="H41" s="71"/>
      <c r="I41" s="71"/>
      <c r="J41" s="71"/>
      <c r="L41" s="71"/>
    </row>
    <row r="42" spans="3:14" ht="14.25" customHeight="1" x14ac:dyDescent="0.75">
      <c r="C42" s="71"/>
      <c r="D42" s="71"/>
      <c r="E42" s="71"/>
      <c r="F42" s="71"/>
      <c r="G42" s="71"/>
      <c r="H42" s="71"/>
      <c r="I42" s="71"/>
      <c r="J42" s="71"/>
      <c r="L42" s="71"/>
    </row>
    <row r="48" spans="3:14" ht="14.25" customHeight="1" x14ac:dyDescent="0.75">
      <c r="L48" s="73"/>
      <c r="N48" s="74"/>
    </row>
    <row r="49" spans="4:14" ht="14.25" customHeight="1" x14ac:dyDescent="0.75">
      <c r="D49" s="75"/>
      <c r="E49" s="75"/>
      <c r="N49" s="76"/>
    </row>
    <row r="50" spans="4:14" ht="14.25" customHeight="1" x14ac:dyDescent="0.75">
      <c r="D50" s="75"/>
      <c r="E50" s="75"/>
      <c r="N50" s="76"/>
    </row>
    <row r="51" spans="4:14" ht="14.25" customHeight="1" x14ac:dyDescent="0.75">
      <c r="N51" s="76"/>
    </row>
  </sheetData>
  <conditionalFormatting sqref="F4 H4:H25 J4:J25 F5:G5 I5:I24 G6:G24 F6:F25">
    <cfRule type="expression" dxfId="114" priority="6">
      <formula>#REF!=F4</formula>
    </cfRule>
    <cfRule type="expression" dxfId="113" priority="7">
      <formula>#REF!&lt;F4</formula>
    </cfRule>
    <cfRule type="expression" dxfId="112" priority="8">
      <formula>#REF!&gt;F4</formula>
    </cfRule>
  </conditionalFormatting>
  <conditionalFormatting sqref="K5:K25">
    <cfRule type="cellIs" dxfId="111" priority="2" operator="equal">
      <formula>0</formula>
    </cfRule>
  </conditionalFormatting>
  <conditionalFormatting sqref="L5:L25">
    <cfRule type="expression" dxfId="110" priority="3">
      <formula>K5=L5</formula>
    </cfRule>
    <cfRule type="expression" dxfId="109" priority="4">
      <formula>K5&lt;L5</formula>
    </cfRule>
    <cfRule type="expression" dxfId="108" priority="5">
      <formula>K5&gt;L5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AB35"/>
  <sheetViews>
    <sheetView topLeftCell="B1" zoomScaleNormal="100" workbookViewId="0">
      <selection activeCell="I6" sqref="I6"/>
    </sheetView>
  </sheetViews>
  <sheetFormatPr defaultColWidth="8.54296875" defaultRowHeight="14.75" x14ac:dyDescent="0.75"/>
  <cols>
    <col min="2" max="2" width="43.31640625" customWidth="1"/>
    <col min="3" max="3" width="21" customWidth="1"/>
    <col min="4" max="4" width="9.1328125" hidden="1" customWidth="1"/>
  </cols>
  <sheetData>
    <row r="1" spans="1:28" ht="28.5" customHeight="1" x14ac:dyDescent="0.75">
      <c r="A1" s="51"/>
      <c r="B1" s="51"/>
      <c r="C1" s="51" t="s">
        <v>176</v>
      </c>
      <c r="D1" s="51" t="s">
        <v>144</v>
      </c>
      <c r="E1" s="52" t="s">
        <v>116</v>
      </c>
      <c r="F1" s="53" t="s">
        <v>145</v>
      </c>
      <c r="G1" s="54" t="s">
        <v>119</v>
      </c>
      <c r="H1" s="53" t="s">
        <v>146</v>
      </c>
      <c r="I1" s="55" t="s">
        <v>122</v>
      </c>
      <c r="J1" s="56" t="s">
        <v>147</v>
      </c>
      <c r="K1" s="51" t="s">
        <v>148</v>
      </c>
      <c r="L1" s="53" t="s">
        <v>149</v>
      </c>
      <c r="M1" s="51" t="s">
        <v>56</v>
      </c>
      <c r="N1" s="51" t="s">
        <v>58</v>
      </c>
      <c r="O1" s="51" t="s">
        <v>66</v>
      </c>
      <c r="P1" s="51" t="s">
        <v>56</v>
      </c>
      <c r="Q1" s="51" t="s">
        <v>58</v>
      </c>
      <c r="R1" s="51" t="s">
        <v>66</v>
      </c>
      <c r="S1" s="51" t="s">
        <v>56</v>
      </c>
      <c r="T1" s="51" t="s">
        <v>58</v>
      </c>
      <c r="U1" s="51" t="s">
        <v>66</v>
      </c>
      <c r="V1" s="51" t="s">
        <v>56</v>
      </c>
      <c r="W1" s="51" t="s">
        <v>58</v>
      </c>
      <c r="X1" s="51" t="s">
        <v>66</v>
      </c>
      <c r="Y1" s="51" t="s">
        <v>56</v>
      </c>
      <c r="Z1" s="51" t="s">
        <v>58</v>
      </c>
      <c r="AA1" s="51" t="s">
        <v>66</v>
      </c>
      <c r="AB1" s="51"/>
    </row>
    <row r="2" spans="1:28" ht="14.25" customHeight="1" x14ac:dyDescent="0.75">
      <c r="A2" s="50"/>
      <c r="B2" s="50"/>
      <c r="C2" s="57" t="s">
        <v>150</v>
      </c>
      <c r="D2" s="57"/>
      <c r="E2" s="57"/>
      <c r="F2" s="57"/>
      <c r="G2" s="57"/>
      <c r="H2" s="59"/>
      <c r="I2" s="59"/>
      <c r="J2" s="59"/>
      <c r="K2" s="59"/>
      <c r="L2" s="59"/>
      <c r="M2" s="59" t="s">
        <v>65</v>
      </c>
      <c r="N2" s="59" t="s">
        <v>57</v>
      </c>
      <c r="O2" s="59" t="s">
        <v>55</v>
      </c>
      <c r="P2" s="59" t="s">
        <v>65</v>
      </c>
      <c r="Q2" s="59" t="s">
        <v>57</v>
      </c>
      <c r="R2" s="59" t="s">
        <v>55</v>
      </c>
      <c r="S2" s="59" t="s">
        <v>65</v>
      </c>
      <c r="T2" s="59" t="s">
        <v>57</v>
      </c>
      <c r="U2" s="59" t="s">
        <v>55</v>
      </c>
      <c r="V2" s="59" t="s">
        <v>65</v>
      </c>
      <c r="W2" s="59" t="s">
        <v>57</v>
      </c>
      <c r="X2" s="59" t="s">
        <v>55</v>
      </c>
      <c r="Y2" s="59" t="s">
        <v>65</v>
      </c>
      <c r="Z2" s="59" t="s">
        <v>57</v>
      </c>
      <c r="AA2" s="59" t="s">
        <v>55</v>
      </c>
      <c r="AB2" s="50"/>
    </row>
    <row r="3" spans="1:28" ht="14.25" customHeight="1" x14ac:dyDescent="0.75">
      <c r="A3" s="62" t="s">
        <v>129</v>
      </c>
      <c r="B3" s="62" t="s">
        <v>2</v>
      </c>
      <c r="C3" s="62" t="s">
        <v>3</v>
      </c>
      <c r="D3" s="62"/>
      <c r="E3" s="58"/>
      <c r="F3" s="62"/>
      <c r="G3" s="63"/>
      <c r="H3" s="62"/>
      <c r="I3" s="64"/>
      <c r="J3" s="62"/>
      <c r="K3" s="62"/>
      <c r="L3" s="62"/>
      <c r="M3" s="62" t="s">
        <v>54</v>
      </c>
      <c r="N3" s="62" t="s">
        <v>54</v>
      </c>
      <c r="O3" s="62" t="s">
        <v>54</v>
      </c>
      <c r="P3" s="62" t="s">
        <v>59</v>
      </c>
      <c r="Q3" s="62" t="s">
        <v>59</v>
      </c>
      <c r="R3" s="62" t="s">
        <v>59</v>
      </c>
      <c r="S3" s="62" t="s">
        <v>60</v>
      </c>
      <c r="T3" s="62" t="s">
        <v>60</v>
      </c>
      <c r="U3" s="62" t="s">
        <v>60</v>
      </c>
      <c r="V3" s="62" t="s">
        <v>62</v>
      </c>
      <c r="W3" s="62" t="s">
        <v>62</v>
      </c>
      <c r="X3" s="62" t="s">
        <v>62</v>
      </c>
      <c r="Y3" s="62" t="s">
        <v>63</v>
      </c>
      <c r="Z3" s="62" t="s">
        <v>63</v>
      </c>
      <c r="AA3" s="62" t="s">
        <v>63</v>
      </c>
      <c r="AB3" s="50"/>
    </row>
    <row r="4" spans="1:28" ht="14.25" customHeight="1" x14ac:dyDescent="0.75">
      <c r="A4" s="62"/>
      <c r="B4" s="62"/>
      <c r="C4" s="62" t="s">
        <v>151</v>
      </c>
      <c r="D4" s="62"/>
      <c r="E4" s="58"/>
      <c r="F4" s="62">
        <f t="shared" ref="F4:F26" si="0">+M4+P4+S4+V4+Y4</f>
        <v>37</v>
      </c>
      <c r="G4" s="147"/>
      <c r="H4" s="62">
        <f t="shared" ref="H4:H26" si="1">+N4+Q4+T4+W4+Z4</f>
        <v>143</v>
      </c>
      <c r="I4" s="64"/>
      <c r="J4" s="62">
        <f t="shared" ref="J4:J26" si="2">+O4+R4+U4+X4+AA4</f>
        <v>56</v>
      </c>
      <c r="K4" s="62" t="s">
        <v>152</v>
      </c>
      <c r="L4" s="62"/>
      <c r="M4" s="62"/>
      <c r="N4" s="62"/>
      <c r="O4" s="62">
        <v>36</v>
      </c>
      <c r="P4" s="50"/>
      <c r="Q4" s="62"/>
      <c r="R4" s="62">
        <v>20</v>
      </c>
      <c r="S4" s="62">
        <v>37</v>
      </c>
      <c r="T4" s="62">
        <v>143</v>
      </c>
      <c r="U4" s="62"/>
      <c r="V4" s="62"/>
      <c r="W4" s="62"/>
      <c r="X4" s="62"/>
      <c r="Y4" s="62"/>
      <c r="Z4" s="62"/>
      <c r="AA4" s="62"/>
      <c r="AB4" s="50"/>
    </row>
    <row r="5" spans="1:28" ht="14.25" customHeight="1" x14ac:dyDescent="0.75">
      <c r="A5" s="50">
        <v>666501</v>
      </c>
      <c r="B5" s="50" t="s">
        <v>4</v>
      </c>
      <c r="C5" s="50" t="s">
        <v>5</v>
      </c>
      <c r="D5" s="50"/>
      <c r="E5" s="67">
        <v>0</v>
      </c>
      <c r="F5" s="50">
        <f t="shared" si="0"/>
        <v>0</v>
      </c>
      <c r="G5" s="149">
        <v>75</v>
      </c>
      <c r="H5" s="62">
        <f t="shared" si="1"/>
        <v>75</v>
      </c>
      <c r="I5" s="61">
        <v>0</v>
      </c>
      <c r="J5" s="157">
        <f t="shared" si="2"/>
        <v>0</v>
      </c>
      <c r="K5" s="50">
        <f t="shared" ref="K5:K24" si="3">+E5+G5+I5</f>
        <v>75</v>
      </c>
      <c r="L5" s="50">
        <f t="shared" ref="L5:L26" si="4">SUM(F5,H5,J5)</f>
        <v>75</v>
      </c>
      <c r="M5" s="50"/>
      <c r="N5" s="50"/>
      <c r="O5" s="50"/>
      <c r="P5" s="50"/>
      <c r="Q5" s="50"/>
      <c r="R5" s="50"/>
      <c r="S5" s="50"/>
      <c r="T5" s="50">
        <v>72</v>
      </c>
      <c r="U5" s="50"/>
      <c r="V5" s="50"/>
      <c r="W5" s="50"/>
      <c r="X5" s="50"/>
      <c r="Y5" s="50"/>
      <c r="Z5" s="50">
        <v>3</v>
      </c>
      <c r="AA5" s="50"/>
      <c r="AB5" s="50"/>
    </row>
    <row r="6" spans="1:28" ht="14.25" customHeight="1" x14ac:dyDescent="0.75">
      <c r="A6" s="50">
        <v>666502</v>
      </c>
      <c r="B6" s="50" t="s">
        <v>6</v>
      </c>
      <c r="C6" s="50" t="s">
        <v>7</v>
      </c>
      <c r="D6" s="50"/>
      <c r="E6" s="67">
        <v>0</v>
      </c>
      <c r="F6" s="50">
        <f t="shared" si="0"/>
        <v>0</v>
      </c>
      <c r="G6" s="149">
        <v>125</v>
      </c>
      <c r="H6" s="62">
        <f t="shared" si="1"/>
        <v>118</v>
      </c>
      <c r="I6" s="61">
        <v>61</v>
      </c>
      <c r="J6" s="164">
        <f t="shared" si="2"/>
        <v>61</v>
      </c>
      <c r="K6" s="50">
        <f t="shared" si="3"/>
        <v>186</v>
      </c>
      <c r="L6" s="50">
        <f t="shared" si="4"/>
        <v>179</v>
      </c>
      <c r="M6" s="50"/>
      <c r="N6" s="50">
        <v>25</v>
      </c>
      <c r="O6" s="50">
        <v>28</v>
      </c>
      <c r="P6" s="50"/>
      <c r="Q6" s="50">
        <v>25</v>
      </c>
      <c r="R6" s="50">
        <v>20</v>
      </c>
      <c r="S6" s="50"/>
      <c r="T6" s="50">
        <v>32</v>
      </c>
      <c r="U6" s="50"/>
      <c r="V6" s="50"/>
      <c r="W6" s="50">
        <v>22</v>
      </c>
      <c r="X6" s="50">
        <v>13</v>
      </c>
      <c r="Y6" s="50"/>
      <c r="Z6" s="50">
        <v>14</v>
      </c>
      <c r="AA6" s="50"/>
      <c r="AB6" s="50"/>
    </row>
    <row r="7" spans="1:28" ht="14.25" customHeight="1" x14ac:dyDescent="0.75">
      <c r="A7" s="50">
        <v>666505</v>
      </c>
      <c r="B7" s="50" t="s">
        <v>8</v>
      </c>
      <c r="C7" s="50" t="s">
        <v>9</v>
      </c>
      <c r="D7" s="50"/>
      <c r="E7" s="67">
        <v>0</v>
      </c>
      <c r="F7" s="50">
        <f t="shared" si="0"/>
        <v>0</v>
      </c>
      <c r="G7" s="149">
        <v>0</v>
      </c>
      <c r="H7" s="62">
        <f t="shared" si="1"/>
        <v>0</v>
      </c>
      <c r="I7" s="61">
        <v>0</v>
      </c>
      <c r="J7" s="157">
        <f t="shared" si="2"/>
        <v>0</v>
      </c>
      <c r="K7" s="50">
        <f t="shared" si="3"/>
        <v>0</v>
      </c>
      <c r="L7" s="50">
        <f t="shared" si="4"/>
        <v>0</v>
      </c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</row>
    <row r="8" spans="1:28" ht="14.25" customHeight="1" x14ac:dyDescent="0.75">
      <c r="A8" s="50">
        <v>666506</v>
      </c>
      <c r="B8" s="50" t="s">
        <v>10</v>
      </c>
      <c r="C8" s="50" t="s">
        <v>11</v>
      </c>
      <c r="D8" s="50"/>
      <c r="E8" s="67">
        <v>0</v>
      </c>
      <c r="F8" s="50">
        <f t="shared" si="0"/>
        <v>0</v>
      </c>
      <c r="G8" s="149">
        <v>181</v>
      </c>
      <c r="H8" s="62">
        <f t="shared" si="1"/>
        <v>149</v>
      </c>
      <c r="I8" s="61">
        <v>0</v>
      </c>
      <c r="J8" s="62">
        <f t="shared" si="2"/>
        <v>0</v>
      </c>
      <c r="K8" s="50">
        <f t="shared" si="3"/>
        <v>181</v>
      </c>
      <c r="L8" s="50">
        <f t="shared" si="4"/>
        <v>149</v>
      </c>
      <c r="M8" s="50"/>
      <c r="N8" s="50">
        <v>20</v>
      </c>
      <c r="O8" s="50"/>
      <c r="P8" s="50"/>
      <c r="Q8" s="50">
        <v>17</v>
      </c>
      <c r="R8" s="50"/>
      <c r="S8" s="50"/>
      <c r="T8" s="50">
        <v>46</v>
      </c>
      <c r="U8" s="50"/>
      <c r="V8" s="50"/>
      <c r="W8" s="50">
        <v>35</v>
      </c>
      <c r="X8" s="50"/>
      <c r="Y8" s="50"/>
      <c r="Z8" s="50">
        <v>31</v>
      </c>
      <c r="AA8" s="50"/>
      <c r="AB8" s="50"/>
    </row>
    <row r="9" spans="1:28" ht="14.25" customHeight="1" x14ac:dyDescent="0.75">
      <c r="A9" s="50">
        <v>666507</v>
      </c>
      <c r="B9" s="50" t="s">
        <v>12</v>
      </c>
      <c r="C9" s="50" t="s">
        <v>13</v>
      </c>
      <c r="D9" s="50"/>
      <c r="E9" s="67">
        <v>16</v>
      </c>
      <c r="F9" s="50">
        <f t="shared" si="0"/>
        <v>16</v>
      </c>
      <c r="G9" s="149">
        <v>0</v>
      </c>
      <c r="H9" s="62">
        <f t="shared" si="1"/>
        <v>0</v>
      </c>
      <c r="I9" s="61">
        <v>0</v>
      </c>
      <c r="J9" s="62">
        <f t="shared" si="2"/>
        <v>0</v>
      </c>
      <c r="K9" s="50">
        <f t="shared" si="3"/>
        <v>16</v>
      </c>
      <c r="L9" s="50">
        <f t="shared" si="4"/>
        <v>16</v>
      </c>
      <c r="M9" s="50"/>
      <c r="N9" s="50"/>
      <c r="O9" s="50"/>
      <c r="P9" s="50"/>
      <c r="Q9" s="50"/>
      <c r="R9" s="50"/>
      <c r="S9" s="50"/>
      <c r="T9" s="50"/>
      <c r="U9" s="50"/>
      <c r="V9" s="50">
        <v>16</v>
      </c>
      <c r="W9" s="50"/>
      <c r="X9" s="50"/>
      <c r="Y9" s="50"/>
      <c r="Z9" s="50"/>
      <c r="AA9" s="50"/>
      <c r="AB9" s="50"/>
    </row>
    <row r="10" spans="1:28" ht="14.25" customHeight="1" x14ac:dyDescent="0.75">
      <c r="A10" s="50">
        <v>666509</v>
      </c>
      <c r="B10" s="50" t="s">
        <v>14</v>
      </c>
      <c r="C10" s="50" t="s">
        <v>15</v>
      </c>
      <c r="D10" s="50"/>
      <c r="E10" s="67">
        <v>0</v>
      </c>
      <c r="F10" s="50">
        <f t="shared" si="0"/>
        <v>0</v>
      </c>
      <c r="G10" s="149">
        <v>0</v>
      </c>
      <c r="H10" s="62">
        <f t="shared" si="1"/>
        <v>0</v>
      </c>
      <c r="I10" s="61">
        <v>0</v>
      </c>
      <c r="J10" s="62">
        <f t="shared" si="2"/>
        <v>0</v>
      </c>
      <c r="K10" s="50">
        <f t="shared" si="3"/>
        <v>0</v>
      </c>
      <c r="L10" s="50">
        <f t="shared" si="4"/>
        <v>0</v>
      </c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</row>
    <row r="11" spans="1:28" ht="14.25" customHeight="1" x14ac:dyDescent="0.75">
      <c r="A11" s="50">
        <v>666510</v>
      </c>
      <c r="B11" s="50" t="s">
        <v>16</v>
      </c>
      <c r="C11" s="50" t="s">
        <v>17</v>
      </c>
      <c r="D11" s="50"/>
      <c r="E11" s="67">
        <v>0</v>
      </c>
      <c r="F11" s="50">
        <f t="shared" si="0"/>
        <v>0</v>
      </c>
      <c r="G11" s="149">
        <v>0</v>
      </c>
      <c r="H11" s="62">
        <f t="shared" si="1"/>
        <v>0</v>
      </c>
      <c r="I11" s="61">
        <v>0</v>
      </c>
      <c r="J11" s="62">
        <f t="shared" si="2"/>
        <v>0</v>
      </c>
      <c r="K11" s="50">
        <f t="shared" si="3"/>
        <v>0</v>
      </c>
      <c r="L11" s="50">
        <f t="shared" si="4"/>
        <v>0</v>
      </c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</row>
    <row r="12" spans="1:28" ht="14.25" customHeight="1" x14ac:dyDescent="0.75">
      <c r="A12" s="50">
        <v>666511</v>
      </c>
      <c r="B12" s="50" t="s">
        <v>18</v>
      </c>
      <c r="C12" s="50" t="s">
        <v>19</v>
      </c>
      <c r="D12" s="50"/>
      <c r="E12" s="67">
        <v>6</v>
      </c>
      <c r="F12" s="50">
        <f t="shared" si="0"/>
        <v>6</v>
      </c>
      <c r="G12" s="149">
        <v>0</v>
      </c>
      <c r="H12" s="62">
        <f t="shared" si="1"/>
        <v>0</v>
      </c>
      <c r="I12" s="61">
        <v>0</v>
      </c>
      <c r="J12" s="62">
        <f t="shared" si="2"/>
        <v>0</v>
      </c>
      <c r="K12" s="50">
        <f t="shared" si="3"/>
        <v>6</v>
      </c>
      <c r="L12" s="50">
        <f t="shared" si="4"/>
        <v>6</v>
      </c>
      <c r="M12" s="50"/>
      <c r="N12" s="50"/>
      <c r="O12" s="50"/>
      <c r="P12" s="50"/>
      <c r="Q12" s="50"/>
      <c r="R12" s="50"/>
      <c r="S12" s="50"/>
      <c r="T12" s="50"/>
      <c r="U12" s="50"/>
      <c r="V12" s="50">
        <v>6</v>
      </c>
      <c r="W12" s="50"/>
      <c r="X12" s="50"/>
      <c r="Y12" s="50"/>
      <c r="Z12" s="50"/>
      <c r="AA12" s="50"/>
      <c r="AB12" s="50"/>
    </row>
    <row r="13" spans="1:28" ht="14.25" customHeight="1" x14ac:dyDescent="0.75">
      <c r="A13" s="50">
        <v>666513</v>
      </c>
      <c r="B13" s="50" t="s">
        <v>20</v>
      </c>
      <c r="C13" s="50" t="s">
        <v>21</v>
      </c>
      <c r="D13" s="50"/>
      <c r="E13" s="67">
        <v>0</v>
      </c>
      <c r="F13" s="50">
        <f t="shared" si="0"/>
        <v>0</v>
      </c>
      <c r="G13" s="149">
        <v>0</v>
      </c>
      <c r="H13" s="62">
        <f t="shared" si="1"/>
        <v>0</v>
      </c>
      <c r="I13" s="61">
        <v>0</v>
      </c>
      <c r="J13" s="62">
        <f t="shared" si="2"/>
        <v>0</v>
      </c>
      <c r="K13" s="50">
        <f t="shared" si="3"/>
        <v>0</v>
      </c>
      <c r="L13" s="50">
        <f t="shared" si="4"/>
        <v>0</v>
      </c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</row>
    <row r="14" spans="1:28" ht="14.25" customHeight="1" x14ac:dyDescent="0.75">
      <c r="A14" s="50">
        <v>666516</v>
      </c>
      <c r="B14" s="50" t="s">
        <v>22</v>
      </c>
      <c r="C14" s="50" t="s">
        <v>23</v>
      </c>
      <c r="D14" s="50"/>
      <c r="E14" s="67">
        <v>0</v>
      </c>
      <c r="F14" s="50">
        <f t="shared" si="0"/>
        <v>0</v>
      </c>
      <c r="G14" s="149">
        <v>0</v>
      </c>
      <c r="H14" s="62">
        <f t="shared" si="1"/>
        <v>0</v>
      </c>
      <c r="I14" s="61">
        <v>0</v>
      </c>
      <c r="J14" s="157">
        <f t="shared" si="2"/>
        <v>0</v>
      </c>
      <c r="K14" s="50">
        <f t="shared" si="3"/>
        <v>0</v>
      </c>
      <c r="L14" s="50">
        <f t="shared" si="4"/>
        <v>0</v>
      </c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</row>
    <row r="15" spans="1:28" ht="14.25" customHeight="1" x14ac:dyDescent="0.75">
      <c r="A15" s="50">
        <v>666517</v>
      </c>
      <c r="B15" s="50" t="s">
        <v>24</v>
      </c>
      <c r="C15" s="50" t="s">
        <v>25</v>
      </c>
      <c r="D15" s="50"/>
      <c r="E15" s="67">
        <v>0</v>
      </c>
      <c r="F15" s="50">
        <f t="shared" si="0"/>
        <v>0</v>
      </c>
      <c r="G15" s="149">
        <v>0</v>
      </c>
      <c r="H15" s="62">
        <f t="shared" si="1"/>
        <v>0</v>
      </c>
      <c r="I15" s="61">
        <v>0</v>
      </c>
      <c r="J15" s="62">
        <f t="shared" si="2"/>
        <v>0</v>
      </c>
      <c r="K15" s="50">
        <f t="shared" si="3"/>
        <v>0</v>
      </c>
      <c r="L15" s="50">
        <f t="shared" si="4"/>
        <v>0</v>
      </c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</row>
    <row r="16" spans="1:28" ht="14.25" customHeight="1" x14ac:dyDescent="0.75">
      <c r="A16" s="50">
        <v>666518</v>
      </c>
      <c r="B16" s="50" t="s">
        <v>26</v>
      </c>
      <c r="C16" s="50" t="s">
        <v>27</v>
      </c>
      <c r="D16" s="50"/>
      <c r="E16" s="67">
        <v>0</v>
      </c>
      <c r="F16" s="50">
        <f t="shared" si="0"/>
        <v>0</v>
      </c>
      <c r="G16" s="149">
        <v>0</v>
      </c>
      <c r="H16" s="62">
        <f t="shared" si="1"/>
        <v>0</v>
      </c>
      <c r="I16" s="61">
        <v>0</v>
      </c>
      <c r="J16" s="62">
        <f t="shared" si="2"/>
        <v>0</v>
      </c>
      <c r="K16" s="50">
        <f t="shared" si="3"/>
        <v>0</v>
      </c>
      <c r="L16" s="50">
        <f t="shared" si="4"/>
        <v>0</v>
      </c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</row>
    <row r="17" spans="1:28" ht="14.25" customHeight="1" x14ac:dyDescent="0.75">
      <c r="A17" s="50">
        <v>666519</v>
      </c>
      <c r="B17" s="50" t="s">
        <v>28</v>
      </c>
      <c r="C17" s="50" t="s">
        <v>29</v>
      </c>
      <c r="D17" s="50"/>
      <c r="E17" s="67">
        <v>0</v>
      </c>
      <c r="F17" s="50">
        <f t="shared" si="0"/>
        <v>0</v>
      </c>
      <c r="G17" s="149">
        <v>0</v>
      </c>
      <c r="H17" s="62">
        <f t="shared" si="1"/>
        <v>0</v>
      </c>
      <c r="I17" s="61">
        <v>0</v>
      </c>
      <c r="J17" s="62">
        <f t="shared" si="2"/>
        <v>0</v>
      </c>
      <c r="K17" s="50">
        <f t="shared" si="3"/>
        <v>0</v>
      </c>
      <c r="L17" s="50">
        <f t="shared" si="4"/>
        <v>0</v>
      </c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</row>
    <row r="18" spans="1:28" ht="14.25" customHeight="1" x14ac:dyDescent="0.75">
      <c r="A18" s="50">
        <v>666521</v>
      </c>
      <c r="B18" s="50" t="s">
        <v>30</v>
      </c>
      <c r="C18" s="50" t="s">
        <v>31</v>
      </c>
      <c r="D18" s="50"/>
      <c r="E18" s="67">
        <v>39</v>
      </c>
      <c r="F18" s="50">
        <f t="shared" si="0"/>
        <v>39</v>
      </c>
      <c r="G18" s="149">
        <v>0</v>
      </c>
      <c r="H18" s="62">
        <f t="shared" si="1"/>
        <v>0</v>
      </c>
      <c r="I18" s="61">
        <v>0</v>
      </c>
      <c r="J18" s="62">
        <f t="shared" si="2"/>
        <v>0</v>
      </c>
      <c r="K18" s="50">
        <f t="shared" si="3"/>
        <v>39</v>
      </c>
      <c r="L18" s="50">
        <f t="shared" si="4"/>
        <v>39</v>
      </c>
      <c r="M18" s="50">
        <v>19</v>
      </c>
      <c r="N18" s="50"/>
      <c r="O18" s="50"/>
      <c r="P18" s="50"/>
      <c r="Q18" s="50"/>
      <c r="R18" s="50"/>
      <c r="S18" s="50">
        <v>20</v>
      </c>
      <c r="T18" s="50"/>
      <c r="U18" s="50"/>
      <c r="V18" s="50"/>
      <c r="W18" s="50"/>
      <c r="X18" s="50"/>
      <c r="Y18" s="50"/>
      <c r="Z18" s="50"/>
      <c r="AA18" s="50"/>
      <c r="AB18" s="50"/>
    </row>
    <row r="19" spans="1:28" ht="14.25" customHeight="1" x14ac:dyDescent="0.75">
      <c r="A19" s="50">
        <v>666522</v>
      </c>
      <c r="B19" s="50" t="s">
        <v>32</v>
      </c>
      <c r="C19" s="50" t="s">
        <v>33</v>
      </c>
      <c r="D19" s="50"/>
      <c r="E19" s="67">
        <v>0</v>
      </c>
      <c r="F19" s="50">
        <f t="shared" si="0"/>
        <v>0</v>
      </c>
      <c r="G19" s="149">
        <v>0</v>
      </c>
      <c r="H19" s="62">
        <f t="shared" si="1"/>
        <v>0</v>
      </c>
      <c r="I19" s="61">
        <v>0</v>
      </c>
      <c r="J19" s="157">
        <f t="shared" si="2"/>
        <v>0</v>
      </c>
      <c r="K19" s="50">
        <f t="shared" si="3"/>
        <v>0</v>
      </c>
      <c r="L19" s="50">
        <f t="shared" si="4"/>
        <v>0</v>
      </c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</row>
    <row r="20" spans="1:28" ht="14.25" customHeight="1" x14ac:dyDescent="0.75">
      <c r="A20" s="50">
        <v>666523</v>
      </c>
      <c r="B20" s="50" t="s">
        <v>34</v>
      </c>
      <c r="C20" s="50" t="s">
        <v>35</v>
      </c>
      <c r="D20" s="50"/>
      <c r="E20" s="67">
        <v>0</v>
      </c>
      <c r="F20" s="50">
        <f t="shared" si="0"/>
        <v>0</v>
      </c>
      <c r="G20" s="149">
        <v>0</v>
      </c>
      <c r="H20" s="62">
        <f t="shared" si="1"/>
        <v>0</v>
      </c>
      <c r="I20" s="61">
        <v>0</v>
      </c>
      <c r="J20" s="62">
        <f t="shared" si="2"/>
        <v>0</v>
      </c>
      <c r="K20" s="50">
        <f t="shared" si="3"/>
        <v>0</v>
      </c>
      <c r="L20" s="50">
        <f t="shared" si="4"/>
        <v>0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</row>
    <row r="21" spans="1:28" ht="14.25" customHeight="1" x14ac:dyDescent="0.75">
      <c r="A21" s="50">
        <v>666530</v>
      </c>
      <c r="B21" s="50" t="s">
        <v>36</v>
      </c>
      <c r="C21" s="50" t="s">
        <v>37</v>
      </c>
      <c r="D21" s="50"/>
      <c r="E21" s="67">
        <v>0</v>
      </c>
      <c r="F21" s="50">
        <f t="shared" si="0"/>
        <v>0</v>
      </c>
      <c r="G21" s="149">
        <v>0</v>
      </c>
      <c r="H21" s="62">
        <f t="shared" si="1"/>
        <v>0</v>
      </c>
      <c r="I21" s="61">
        <v>0</v>
      </c>
      <c r="J21" s="157">
        <f t="shared" si="2"/>
        <v>0</v>
      </c>
      <c r="K21" s="50">
        <f t="shared" si="3"/>
        <v>0</v>
      </c>
      <c r="L21" s="50">
        <f t="shared" si="4"/>
        <v>0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</row>
    <row r="22" spans="1:28" ht="14.25" customHeight="1" x14ac:dyDescent="0.75">
      <c r="A22" s="50">
        <v>666531</v>
      </c>
      <c r="B22" s="50" t="s">
        <v>38</v>
      </c>
      <c r="C22" s="50" t="s">
        <v>39</v>
      </c>
      <c r="D22" s="50"/>
      <c r="E22" s="67">
        <v>14</v>
      </c>
      <c r="F22" s="50">
        <f t="shared" si="0"/>
        <v>14</v>
      </c>
      <c r="G22" s="149">
        <v>0</v>
      </c>
      <c r="H22" s="62">
        <f t="shared" si="1"/>
        <v>0</v>
      </c>
      <c r="I22" s="61">
        <v>0</v>
      </c>
      <c r="J22" s="157">
        <f t="shared" si="2"/>
        <v>0</v>
      </c>
      <c r="K22" s="50">
        <f t="shared" si="3"/>
        <v>14</v>
      </c>
      <c r="L22" s="50">
        <f t="shared" si="4"/>
        <v>14</v>
      </c>
      <c r="M22" s="50">
        <v>3</v>
      </c>
      <c r="N22" s="50"/>
      <c r="O22" s="50"/>
      <c r="P22" s="50"/>
      <c r="Q22" s="50"/>
      <c r="R22" s="50"/>
      <c r="S22" s="50">
        <v>11</v>
      </c>
      <c r="T22" s="50"/>
      <c r="U22" s="50"/>
      <c r="V22" s="50"/>
      <c r="W22" s="50"/>
      <c r="X22" s="50"/>
      <c r="Y22" s="50"/>
      <c r="Z22" s="50"/>
      <c r="AA22" s="50"/>
      <c r="AB22" s="50"/>
    </row>
    <row r="23" spans="1:28" ht="14.25" customHeight="1" x14ac:dyDescent="0.75">
      <c r="A23" s="50">
        <v>666540</v>
      </c>
      <c r="B23" s="50" t="s">
        <v>40</v>
      </c>
      <c r="C23" s="50" t="s">
        <v>40</v>
      </c>
      <c r="D23" s="50"/>
      <c r="E23" s="67">
        <v>0</v>
      </c>
      <c r="F23" s="50">
        <f t="shared" si="0"/>
        <v>0</v>
      </c>
      <c r="G23" s="149">
        <v>40</v>
      </c>
      <c r="H23" s="62">
        <f t="shared" si="1"/>
        <v>0</v>
      </c>
      <c r="I23" s="61">
        <v>0</v>
      </c>
      <c r="J23" s="62">
        <f t="shared" si="2"/>
        <v>0</v>
      </c>
      <c r="K23" s="50">
        <f t="shared" si="3"/>
        <v>40</v>
      </c>
      <c r="L23" s="50">
        <f t="shared" si="4"/>
        <v>0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</row>
    <row r="24" spans="1:28" ht="14.25" customHeight="1" x14ac:dyDescent="0.75">
      <c r="A24" s="50">
        <v>666541</v>
      </c>
      <c r="B24" s="50" t="s">
        <v>41</v>
      </c>
      <c r="C24" s="50" t="s">
        <v>41</v>
      </c>
      <c r="D24" s="50"/>
      <c r="E24" s="67">
        <v>0</v>
      </c>
      <c r="F24" s="50">
        <f t="shared" si="0"/>
        <v>0</v>
      </c>
      <c r="G24" s="149">
        <v>496</v>
      </c>
      <c r="H24" s="62">
        <f t="shared" si="1"/>
        <v>163</v>
      </c>
      <c r="I24" s="61">
        <v>0</v>
      </c>
      <c r="J24" s="62">
        <f t="shared" si="2"/>
        <v>0</v>
      </c>
      <c r="K24" s="50">
        <f t="shared" si="3"/>
        <v>496</v>
      </c>
      <c r="L24" s="50">
        <f t="shared" si="4"/>
        <v>163</v>
      </c>
      <c r="M24" s="50"/>
      <c r="N24" s="50">
        <v>19</v>
      </c>
      <c r="O24" s="50"/>
      <c r="P24" s="50"/>
      <c r="Q24" s="50">
        <v>60</v>
      </c>
      <c r="R24" s="50"/>
      <c r="S24" s="50"/>
      <c r="T24" s="50">
        <v>30</v>
      </c>
      <c r="U24" s="50"/>
      <c r="V24" s="50"/>
      <c r="W24" s="50">
        <v>24</v>
      </c>
      <c r="X24" s="50"/>
      <c r="Y24" s="50"/>
      <c r="Z24" s="50">
        <v>30</v>
      </c>
      <c r="AA24" s="50"/>
      <c r="AB24" s="50"/>
    </row>
    <row r="25" spans="1:28" ht="14.25" customHeight="1" x14ac:dyDescent="0.75">
      <c r="A25" s="50">
        <v>666536</v>
      </c>
      <c r="B25" s="50" t="s">
        <v>42</v>
      </c>
      <c r="C25" s="50" t="s">
        <v>43</v>
      </c>
      <c r="D25" s="50"/>
      <c r="E25" s="67">
        <v>28</v>
      </c>
      <c r="F25" s="50">
        <f t="shared" si="0"/>
        <v>6</v>
      </c>
      <c r="G25" s="149">
        <v>0</v>
      </c>
      <c r="H25" s="62">
        <f t="shared" si="1"/>
        <v>0</v>
      </c>
      <c r="I25" s="61">
        <v>0</v>
      </c>
      <c r="J25" s="62">
        <f t="shared" si="2"/>
        <v>0</v>
      </c>
      <c r="K25" s="50">
        <f>+E25+G25+H25</f>
        <v>28</v>
      </c>
      <c r="L25" s="50">
        <f t="shared" si="4"/>
        <v>6</v>
      </c>
      <c r="M25" s="50">
        <v>4</v>
      </c>
      <c r="N25" s="50"/>
      <c r="O25" s="50"/>
      <c r="P25" s="50"/>
      <c r="Q25" s="50"/>
      <c r="R25" s="50"/>
      <c r="S25" s="50">
        <v>2</v>
      </c>
      <c r="T25" s="50"/>
      <c r="U25" s="50"/>
      <c r="V25" s="50"/>
      <c r="W25" s="50"/>
      <c r="X25" s="50"/>
      <c r="Y25" s="50"/>
      <c r="Z25" s="50"/>
      <c r="AA25" s="50"/>
      <c r="AB25" s="50"/>
    </row>
    <row r="26" spans="1:28" ht="14.25" customHeight="1" x14ac:dyDescent="0.75">
      <c r="A26" s="50" t="s">
        <v>193</v>
      </c>
      <c r="B26" s="50" t="s">
        <v>194</v>
      </c>
      <c r="C26" s="50" t="s">
        <v>195</v>
      </c>
      <c r="D26" s="71"/>
      <c r="E26" s="67">
        <v>100</v>
      </c>
      <c r="F26" s="50">
        <f t="shared" si="0"/>
        <v>100</v>
      </c>
      <c r="G26" s="149">
        <v>0</v>
      </c>
      <c r="H26" s="62">
        <f t="shared" si="1"/>
        <v>0</v>
      </c>
      <c r="I26" s="61">
        <v>0</v>
      </c>
      <c r="J26" s="62">
        <f t="shared" si="2"/>
        <v>0</v>
      </c>
      <c r="K26" s="50">
        <f>+E26+G26+H26</f>
        <v>100</v>
      </c>
      <c r="L26" s="50">
        <f t="shared" si="4"/>
        <v>100</v>
      </c>
      <c r="M26" s="50">
        <v>33</v>
      </c>
      <c r="N26" s="50"/>
      <c r="O26" s="50"/>
      <c r="P26" s="50"/>
      <c r="Q26" s="50"/>
      <c r="R26" s="50"/>
      <c r="S26" s="50">
        <v>45</v>
      </c>
      <c r="T26" s="50"/>
      <c r="U26" s="50"/>
      <c r="V26" s="50">
        <v>22</v>
      </c>
      <c r="W26" s="50"/>
      <c r="X26" s="50"/>
      <c r="Y26" s="50"/>
      <c r="Z26" s="50"/>
      <c r="AA26" s="50"/>
      <c r="AB26" s="50"/>
    </row>
    <row r="35" spans="15:15" ht="14.25" customHeight="1" x14ac:dyDescent="0.75">
      <c r="O35" t="s">
        <v>152</v>
      </c>
    </row>
  </sheetData>
  <conditionalFormatting sqref="K5:K26">
    <cfRule type="cellIs" dxfId="107" priority="2" operator="equal">
      <formula>0</formula>
    </cfRule>
  </conditionalFormatting>
  <conditionalFormatting sqref="L5:L26">
    <cfRule type="expression" dxfId="106" priority="3">
      <formula>K5=L5</formula>
    </cfRule>
    <cfRule type="expression" dxfId="105" priority="4">
      <formula>K5&lt;L5</formula>
    </cfRule>
    <cfRule type="expression" dxfId="104" priority="5">
      <formula>K5&gt;L5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X71"/>
  <sheetViews>
    <sheetView topLeftCell="A8" zoomScaleNormal="100" workbookViewId="0">
      <selection activeCell="X22" sqref="X22"/>
    </sheetView>
  </sheetViews>
  <sheetFormatPr defaultColWidth="8.86328125" defaultRowHeight="14.75" x14ac:dyDescent="0.75"/>
  <cols>
    <col min="1" max="1" width="9" style="79" customWidth="1"/>
    <col min="2" max="2" width="33.453125" style="79" customWidth="1"/>
    <col min="3" max="3" width="15.6328125" style="79" hidden="1" customWidth="1"/>
    <col min="4" max="13" width="8.86328125" style="79"/>
    <col min="14" max="14" width="9.453125" style="79" customWidth="1"/>
    <col min="15" max="17" width="8.86328125" style="79"/>
    <col min="18" max="18" width="10.6328125" style="80" customWidth="1"/>
    <col min="19" max="19" width="9.1328125" style="79" hidden="1" customWidth="1"/>
    <col min="20" max="16384" width="8.86328125" style="79"/>
  </cols>
  <sheetData>
    <row r="1" spans="1:19" ht="15" customHeight="1" x14ac:dyDescent="0.75">
      <c r="A1" s="3" t="s">
        <v>196</v>
      </c>
      <c r="B1" s="3"/>
      <c r="C1" s="3"/>
      <c r="D1" s="3"/>
      <c r="E1" s="3"/>
      <c r="F1" s="81"/>
      <c r="G1" s="81"/>
      <c r="H1" s="81"/>
      <c r="I1" s="81"/>
      <c r="J1" s="81"/>
      <c r="K1" s="81"/>
      <c r="L1" s="81"/>
      <c r="M1" s="81"/>
      <c r="N1" s="81"/>
      <c r="O1" s="81"/>
      <c r="P1" s="82"/>
      <c r="Q1" s="80" t="s">
        <v>160</v>
      </c>
    </row>
    <row r="2" spans="1:19" ht="41.25" customHeight="1" x14ac:dyDescent="0.75">
      <c r="A2" s="83"/>
      <c r="B2" s="84" t="s">
        <v>56</v>
      </c>
      <c r="C2" s="85" t="s">
        <v>55</v>
      </c>
      <c r="D2" s="86" t="s">
        <v>116</v>
      </c>
      <c r="E2" s="87" t="s">
        <v>161</v>
      </c>
      <c r="F2" s="88" t="s">
        <v>162</v>
      </c>
      <c r="G2" s="86" t="s">
        <v>163</v>
      </c>
      <c r="H2" s="87" t="s">
        <v>164</v>
      </c>
      <c r="I2" s="86" t="s">
        <v>165</v>
      </c>
      <c r="J2" s="86" t="s">
        <v>166</v>
      </c>
      <c r="K2" s="89" t="s">
        <v>167</v>
      </c>
      <c r="L2" s="88" t="s">
        <v>162</v>
      </c>
      <c r="M2" s="86" t="s">
        <v>163</v>
      </c>
      <c r="N2" s="87" t="s">
        <v>164</v>
      </c>
      <c r="O2" s="86" t="s">
        <v>165</v>
      </c>
      <c r="P2" s="90" t="s">
        <v>166</v>
      </c>
      <c r="Q2" s="91"/>
      <c r="R2" s="92" t="s">
        <v>168</v>
      </c>
    </row>
    <row r="3" spans="1:19" ht="14.25" customHeight="1" x14ac:dyDescent="0.75">
      <c r="A3" s="93">
        <v>666501</v>
      </c>
      <c r="B3" s="94" t="s">
        <v>4</v>
      </c>
      <c r="C3" s="95" t="s">
        <v>5</v>
      </c>
      <c r="D3" s="96">
        <v>42</v>
      </c>
      <c r="E3" s="97">
        <f t="shared" ref="E3:E24" si="0">+D3/6</f>
        <v>7</v>
      </c>
      <c r="F3" s="96">
        <v>24</v>
      </c>
      <c r="G3" s="98">
        <v>0</v>
      </c>
      <c r="H3" s="96">
        <v>18</v>
      </c>
      <c r="I3" s="96">
        <v>0</v>
      </c>
      <c r="J3" s="96">
        <v>0</v>
      </c>
      <c r="K3" s="99">
        <f t="shared" ref="K3:K24" si="1">(+D3-SUM(F3:J3))/3.5</f>
        <v>0</v>
      </c>
      <c r="L3" s="96">
        <v>0</v>
      </c>
      <c r="M3" s="96">
        <v>0</v>
      </c>
      <c r="N3" s="96">
        <v>0</v>
      </c>
      <c r="O3" s="96">
        <v>0</v>
      </c>
      <c r="P3" s="100">
        <v>0</v>
      </c>
      <c r="Q3" s="101">
        <f t="shared" ref="Q3:Q24" si="2">SUM(F3:J3)+SUM(L3:P3)</f>
        <v>42</v>
      </c>
      <c r="R3" s="101">
        <f t="shared" ref="R3:R24" si="3">+D3-Q3</f>
        <v>0</v>
      </c>
      <c r="S3" s="102">
        <f>+R3/2.25</f>
        <v>0</v>
      </c>
    </row>
    <row r="4" spans="1:19" ht="14.25" customHeight="1" x14ac:dyDescent="0.75">
      <c r="A4" s="93">
        <v>666502</v>
      </c>
      <c r="B4" s="94" t="s">
        <v>6</v>
      </c>
      <c r="C4" s="95" t="s">
        <v>7</v>
      </c>
      <c r="D4" s="96">
        <v>0</v>
      </c>
      <c r="E4" s="97">
        <f t="shared" si="0"/>
        <v>0</v>
      </c>
      <c r="F4" s="96">
        <v>0</v>
      </c>
      <c r="G4" s="98">
        <v>0</v>
      </c>
      <c r="H4" s="96">
        <v>0</v>
      </c>
      <c r="I4" s="96">
        <v>0</v>
      </c>
      <c r="J4" s="96">
        <v>0</v>
      </c>
      <c r="K4" s="99">
        <f t="shared" si="1"/>
        <v>0</v>
      </c>
      <c r="L4" s="96">
        <v>0</v>
      </c>
      <c r="M4" s="96">
        <v>0</v>
      </c>
      <c r="N4" s="96">
        <v>0</v>
      </c>
      <c r="O4" s="96">
        <v>0</v>
      </c>
      <c r="P4" s="100">
        <v>0</v>
      </c>
      <c r="Q4" s="101">
        <f t="shared" si="2"/>
        <v>0</v>
      </c>
      <c r="R4" s="101">
        <f t="shared" si="3"/>
        <v>0</v>
      </c>
      <c r="S4" s="102">
        <f>+R4/2.25</f>
        <v>0</v>
      </c>
    </row>
    <row r="5" spans="1:19" ht="14.25" customHeight="1" x14ac:dyDescent="0.75">
      <c r="A5" s="93">
        <v>666505</v>
      </c>
      <c r="B5" s="94" t="s">
        <v>8</v>
      </c>
      <c r="C5" s="95" t="s">
        <v>9</v>
      </c>
      <c r="D5" s="96">
        <v>16</v>
      </c>
      <c r="E5" s="97">
        <f t="shared" si="0"/>
        <v>2.6666666666666665</v>
      </c>
      <c r="F5" s="96">
        <v>16</v>
      </c>
      <c r="G5" s="98">
        <v>0</v>
      </c>
      <c r="H5" s="96">
        <v>0</v>
      </c>
      <c r="I5" s="96">
        <v>0</v>
      </c>
      <c r="J5" s="96">
        <v>0</v>
      </c>
      <c r="K5" s="99">
        <f t="shared" si="1"/>
        <v>0</v>
      </c>
      <c r="L5" s="96">
        <v>0</v>
      </c>
      <c r="M5" s="96">
        <v>0</v>
      </c>
      <c r="N5" s="96">
        <v>0</v>
      </c>
      <c r="O5" s="96">
        <v>0</v>
      </c>
      <c r="P5" s="100">
        <v>0</v>
      </c>
      <c r="Q5" s="133">
        <f t="shared" si="2"/>
        <v>16</v>
      </c>
      <c r="R5" s="101">
        <f t="shared" si="3"/>
        <v>0</v>
      </c>
      <c r="S5" s="102">
        <f>+R5/2.25</f>
        <v>0</v>
      </c>
    </row>
    <row r="6" spans="1:19" ht="14.25" customHeight="1" x14ac:dyDescent="0.75">
      <c r="A6" s="93">
        <v>666506</v>
      </c>
      <c r="B6" s="94" t="s">
        <v>10</v>
      </c>
      <c r="C6" s="95" t="s">
        <v>11</v>
      </c>
      <c r="D6" s="96">
        <v>0</v>
      </c>
      <c r="E6" s="97">
        <f t="shared" si="0"/>
        <v>0</v>
      </c>
      <c r="F6" s="96">
        <v>0</v>
      </c>
      <c r="G6" s="98">
        <v>0</v>
      </c>
      <c r="H6" s="96">
        <v>0</v>
      </c>
      <c r="I6" s="96">
        <v>0</v>
      </c>
      <c r="J6" s="96">
        <v>0</v>
      </c>
      <c r="K6" s="99">
        <f t="shared" si="1"/>
        <v>0</v>
      </c>
      <c r="L6" s="96">
        <v>0</v>
      </c>
      <c r="M6" s="96">
        <v>0</v>
      </c>
      <c r="N6" s="96">
        <v>0</v>
      </c>
      <c r="O6" s="96">
        <v>0</v>
      </c>
      <c r="P6" s="100">
        <v>0</v>
      </c>
      <c r="Q6" s="101">
        <f t="shared" si="2"/>
        <v>0</v>
      </c>
      <c r="R6" s="101">
        <f t="shared" si="3"/>
        <v>0</v>
      </c>
      <c r="S6" s="102">
        <f>+R6/2.25</f>
        <v>0</v>
      </c>
    </row>
    <row r="7" spans="1:19" ht="14.25" customHeight="1" x14ac:dyDescent="0.75">
      <c r="A7" s="93">
        <v>666507</v>
      </c>
      <c r="B7" s="94" t="s">
        <v>12</v>
      </c>
      <c r="C7" s="95" t="s">
        <v>13</v>
      </c>
      <c r="D7" s="96">
        <v>16</v>
      </c>
      <c r="E7" s="97">
        <f t="shared" si="0"/>
        <v>2.6666666666666665</v>
      </c>
      <c r="F7" s="96">
        <v>0</v>
      </c>
      <c r="G7" s="98">
        <v>0</v>
      </c>
      <c r="H7" s="96">
        <v>0</v>
      </c>
      <c r="I7" s="96">
        <v>0</v>
      </c>
      <c r="J7" s="96">
        <v>0</v>
      </c>
      <c r="K7" s="99">
        <f t="shared" si="1"/>
        <v>4.5714285714285712</v>
      </c>
      <c r="L7" s="96">
        <v>0</v>
      </c>
      <c r="M7" s="96">
        <v>0</v>
      </c>
      <c r="N7" s="96">
        <v>0</v>
      </c>
      <c r="O7" s="96">
        <v>16</v>
      </c>
      <c r="P7" s="100">
        <v>0</v>
      </c>
      <c r="Q7" s="133">
        <f t="shared" si="2"/>
        <v>16</v>
      </c>
      <c r="R7" s="101">
        <f t="shared" si="3"/>
        <v>0</v>
      </c>
      <c r="S7" s="102">
        <f>+R7/2.25</f>
        <v>0</v>
      </c>
    </row>
    <row r="8" spans="1:19" ht="14.25" customHeight="1" x14ac:dyDescent="0.75">
      <c r="A8" s="93">
        <v>666509</v>
      </c>
      <c r="B8" s="94" t="s">
        <v>14</v>
      </c>
      <c r="C8" s="95" t="s">
        <v>15</v>
      </c>
      <c r="D8" s="96">
        <v>50</v>
      </c>
      <c r="E8" s="97">
        <f t="shared" si="0"/>
        <v>8.3333333333333339</v>
      </c>
      <c r="F8" s="96">
        <v>12</v>
      </c>
      <c r="G8" s="98">
        <v>0</v>
      </c>
      <c r="H8" s="96">
        <v>10</v>
      </c>
      <c r="I8" s="96">
        <v>10</v>
      </c>
      <c r="J8" s="96">
        <v>18</v>
      </c>
      <c r="K8" s="99">
        <f t="shared" si="1"/>
        <v>0</v>
      </c>
      <c r="L8" s="96">
        <v>0</v>
      </c>
      <c r="M8" s="96">
        <v>0</v>
      </c>
      <c r="N8" s="96">
        <v>0</v>
      </c>
      <c r="O8" s="96">
        <v>0</v>
      </c>
      <c r="P8" s="100">
        <v>0</v>
      </c>
      <c r="Q8" s="101">
        <f t="shared" si="2"/>
        <v>50</v>
      </c>
      <c r="R8" s="101">
        <f t="shared" si="3"/>
        <v>0</v>
      </c>
      <c r="S8" s="102">
        <f>+R8/2</f>
        <v>0</v>
      </c>
    </row>
    <row r="9" spans="1:19" ht="14.25" customHeight="1" x14ac:dyDescent="0.75">
      <c r="A9" s="93">
        <v>666510</v>
      </c>
      <c r="B9" s="94" t="s">
        <v>16</v>
      </c>
      <c r="C9" s="95" t="s">
        <v>169</v>
      </c>
      <c r="D9" s="96">
        <v>0</v>
      </c>
      <c r="E9" s="97">
        <f t="shared" si="0"/>
        <v>0</v>
      </c>
      <c r="F9" s="96">
        <v>0</v>
      </c>
      <c r="G9" s="98">
        <v>0</v>
      </c>
      <c r="H9" s="96">
        <v>0</v>
      </c>
      <c r="I9" s="96">
        <v>0</v>
      </c>
      <c r="J9" s="96">
        <v>0</v>
      </c>
      <c r="K9" s="99">
        <f t="shared" si="1"/>
        <v>0</v>
      </c>
      <c r="L9" s="96">
        <v>0</v>
      </c>
      <c r="M9" s="96">
        <v>0</v>
      </c>
      <c r="N9" s="96">
        <v>0</v>
      </c>
      <c r="O9" s="96">
        <v>0</v>
      </c>
      <c r="P9" s="100">
        <v>0</v>
      </c>
      <c r="Q9" s="101">
        <f t="shared" si="2"/>
        <v>0</v>
      </c>
      <c r="R9" s="101">
        <f t="shared" si="3"/>
        <v>0</v>
      </c>
      <c r="S9" s="102">
        <f t="shared" ref="S9:S19" si="4">+R9/2.25</f>
        <v>0</v>
      </c>
    </row>
    <row r="10" spans="1:19" ht="14.25" customHeight="1" x14ac:dyDescent="0.75">
      <c r="A10" s="93">
        <v>666511</v>
      </c>
      <c r="B10" s="94" t="s">
        <v>18</v>
      </c>
      <c r="C10" s="95" t="s">
        <v>19</v>
      </c>
      <c r="D10" s="96">
        <v>6</v>
      </c>
      <c r="E10" s="97">
        <f t="shared" si="0"/>
        <v>1</v>
      </c>
      <c r="F10" s="96">
        <v>0</v>
      </c>
      <c r="G10" s="98">
        <v>0</v>
      </c>
      <c r="H10" s="96">
        <v>0</v>
      </c>
      <c r="I10" s="96">
        <v>0</v>
      </c>
      <c r="J10" s="96">
        <v>0</v>
      </c>
      <c r="K10" s="99">
        <f t="shared" si="1"/>
        <v>1.7142857142857142</v>
      </c>
      <c r="L10" s="96">
        <v>0</v>
      </c>
      <c r="M10" s="96">
        <v>0</v>
      </c>
      <c r="N10" s="96">
        <v>0</v>
      </c>
      <c r="O10" s="96">
        <v>6</v>
      </c>
      <c r="P10" s="100">
        <v>0</v>
      </c>
      <c r="Q10" s="133">
        <f t="shared" si="2"/>
        <v>6</v>
      </c>
      <c r="R10" s="101">
        <f t="shared" si="3"/>
        <v>0</v>
      </c>
      <c r="S10" s="102">
        <f t="shared" si="4"/>
        <v>0</v>
      </c>
    </row>
    <row r="11" spans="1:19" ht="14.25" customHeight="1" x14ac:dyDescent="0.75">
      <c r="A11" s="93">
        <v>666513</v>
      </c>
      <c r="B11" s="94" t="s">
        <v>20</v>
      </c>
      <c r="C11" s="95" t="s">
        <v>21</v>
      </c>
      <c r="D11" s="96">
        <v>8</v>
      </c>
      <c r="E11" s="97">
        <f t="shared" si="0"/>
        <v>1.3333333333333333</v>
      </c>
      <c r="F11" s="96">
        <v>8</v>
      </c>
      <c r="G11" s="98">
        <v>0</v>
      </c>
      <c r="H11" s="96">
        <v>0</v>
      </c>
      <c r="I11" s="96">
        <v>0</v>
      </c>
      <c r="J11" s="96">
        <v>0</v>
      </c>
      <c r="K11" s="99">
        <f t="shared" si="1"/>
        <v>0</v>
      </c>
      <c r="L11" s="96">
        <v>0</v>
      </c>
      <c r="M11" s="96">
        <v>0</v>
      </c>
      <c r="N11" s="96">
        <v>0</v>
      </c>
      <c r="O11" s="96">
        <v>0</v>
      </c>
      <c r="P11" s="100">
        <v>0</v>
      </c>
      <c r="Q11" s="133">
        <f t="shared" si="2"/>
        <v>8</v>
      </c>
      <c r="R11" s="101">
        <f t="shared" si="3"/>
        <v>0</v>
      </c>
      <c r="S11" s="102">
        <f t="shared" si="4"/>
        <v>0</v>
      </c>
    </row>
    <row r="12" spans="1:19" ht="14.25" customHeight="1" x14ac:dyDescent="0.75">
      <c r="A12" s="93">
        <v>666516</v>
      </c>
      <c r="B12" s="94" t="s">
        <v>22</v>
      </c>
      <c r="C12" s="95" t="s">
        <v>23</v>
      </c>
      <c r="D12" s="96">
        <v>27</v>
      </c>
      <c r="E12" s="97">
        <f t="shared" si="0"/>
        <v>4.5</v>
      </c>
      <c r="F12" s="96">
        <v>27</v>
      </c>
      <c r="G12" s="98">
        <v>0</v>
      </c>
      <c r="H12" s="96">
        <v>0</v>
      </c>
      <c r="I12" s="96">
        <v>0</v>
      </c>
      <c r="J12" s="96">
        <v>0</v>
      </c>
      <c r="K12" s="99">
        <f t="shared" si="1"/>
        <v>0</v>
      </c>
      <c r="L12" s="96">
        <v>0</v>
      </c>
      <c r="M12" s="96">
        <v>0</v>
      </c>
      <c r="N12" s="96">
        <v>0</v>
      </c>
      <c r="O12" s="96">
        <v>0</v>
      </c>
      <c r="P12" s="100">
        <v>0</v>
      </c>
      <c r="Q12" s="133">
        <f t="shared" si="2"/>
        <v>27</v>
      </c>
      <c r="R12" s="101">
        <f t="shared" si="3"/>
        <v>0</v>
      </c>
      <c r="S12" s="102">
        <f t="shared" si="4"/>
        <v>0</v>
      </c>
    </row>
    <row r="13" spans="1:19" ht="14.25" customHeight="1" x14ac:dyDescent="0.75">
      <c r="A13" s="93">
        <v>666517</v>
      </c>
      <c r="B13" s="94" t="s">
        <v>24</v>
      </c>
      <c r="C13" s="95" t="s">
        <v>25</v>
      </c>
      <c r="D13" s="96">
        <v>33</v>
      </c>
      <c r="E13" s="97">
        <f t="shared" si="0"/>
        <v>5.5</v>
      </c>
      <c r="F13" s="96">
        <v>33</v>
      </c>
      <c r="G13" s="98">
        <v>0</v>
      </c>
      <c r="H13" s="96">
        <v>0</v>
      </c>
      <c r="I13" s="96">
        <v>0</v>
      </c>
      <c r="J13" s="96">
        <v>0</v>
      </c>
      <c r="K13" s="99">
        <f t="shared" si="1"/>
        <v>0</v>
      </c>
      <c r="L13" s="96">
        <v>0</v>
      </c>
      <c r="M13" s="96">
        <v>0</v>
      </c>
      <c r="N13" s="96">
        <v>0</v>
      </c>
      <c r="O13" s="96">
        <v>0</v>
      </c>
      <c r="P13" s="100">
        <v>0</v>
      </c>
      <c r="Q13" s="133">
        <f t="shared" si="2"/>
        <v>33</v>
      </c>
      <c r="R13" s="101">
        <f t="shared" si="3"/>
        <v>0</v>
      </c>
      <c r="S13" s="102">
        <f t="shared" si="4"/>
        <v>0</v>
      </c>
    </row>
    <row r="14" spans="1:19" ht="14.25" customHeight="1" x14ac:dyDescent="0.75">
      <c r="A14" s="93">
        <v>666518</v>
      </c>
      <c r="B14" s="94" t="s">
        <v>26</v>
      </c>
      <c r="C14" s="95" t="s">
        <v>27</v>
      </c>
      <c r="D14" s="96">
        <v>0</v>
      </c>
      <c r="E14" s="97">
        <f t="shared" si="0"/>
        <v>0</v>
      </c>
      <c r="F14" s="96">
        <v>0</v>
      </c>
      <c r="G14" s="98">
        <v>0</v>
      </c>
      <c r="H14" s="96">
        <v>0</v>
      </c>
      <c r="I14" s="96">
        <v>0</v>
      </c>
      <c r="J14" s="96">
        <v>0</v>
      </c>
      <c r="K14" s="99">
        <f t="shared" si="1"/>
        <v>0</v>
      </c>
      <c r="L14" s="96">
        <v>0</v>
      </c>
      <c r="M14" s="96">
        <v>0</v>
      </c>
      <c r="N14" s="96">
        <v>0</v>
      </c>
      <c r="O14" s="96">
        <v>0</v>
      </c>
      <c r="P14" s="100">
        <v>0</v>
      </c>
      <c r="Q14" s="101">
        <f t="shared" si="2"/>
        <v>0</v>
      </c>
      <c r="R14" s="101">
        <f t="shared" si="3"/>
        <v>0</v>
      </c>
      <c r="S14" s="102">
        <f t="shared" si="4"/>
        <v>0</v>
      </c>
    </row>
    <row r="15" spans="1:19" ht="14.25" customHeight="1" x14ac:dyDescent="0.75">
      <c r="A15" s="93">
        <v>666519</v>
      </c>
      <c r="B15" s="94" t="s">
        <v>28</v>
      </c>
      <c r="C15" s="95" t="s">
        <v>29</v>
      </c>
      <c r="D15" s="96">
        <v>26</v>
      </c>
      <c r="E15" s="97">
        <f t="shared" si="0"/>
        <v>4.333333333333333</v>
      </c>
      <c r="F15" s="96">
        <v>26</v>
      </c>
      <c r="G15" s="98">
        <v>0</v>
      </c>
      <c r="H15" s="96">
        <v>0</v>
      </c>
      <c r="I15" s="96">
        <v>0</v>
      </c>
      <c r="J15" s="96">
        <v>0</v>
      </c>
      <c r="K15" s="99">
        <f t="shared" si="1"/>
        <v>0</v>
      </c>
      <c r="L15" s="96">
        <v>0</v>
      </c>
      <c r="M15" s="96">
        <v>0</v>
      </c>
      <c r="N15" s="96">
        <v>0</v>
      </c>
      <c r="O15" s="96">
        <v>0</v>
      </c>
      <c r="P15" s="100">
        <v>0</v>
      </c>
      <c r="Q15" s="133">
        <f t="shared" si="2"/>
        <v>26</v>
      </c>
      <c r="R15" s="101">
        <f t="shared" si="3"/>
        <v>0</v>
      </c>
      <c r="S15" s="102">
        <f t="shared" si="4"/>
        <v>0</v>
      </c>
    </row>
    <row r="16" spans="1:19" ht="14.25" customHeight="1" x14ac:dyDescent="0.75">
      <c r="A16" s="93">
        <v>666521</v>
      </c>
      <c r="B16" s="94" t="s">
        <v>30</v>
      </c>
      <c r="C16" s="95" t="s">
        <v>31</v>
      </c>
      <c r="D16" s="96">
        <v>80</v>
      </c>
      <c r="E16" s="97">
        <f t="shared" si="0"/>
        <v>13.333333333333334</v>
      </c>
      <c r="F16" s="96">
        <v>7</v>
      </c>
      <c r="G16" s="98">
        <v>0</v>
      </c>
      <c r="H16" s="96">
        <v>15</v>
      </c>
      <c r="I16" s="96">
        <v>14</v>
      </c>
      <c r="J16" s="96">
        <v>5</v>
      </c>
      <c r="K16" s="99">
        <f t="shared" si="1"/>
        <v>11.142857142857142</v>
      </c>
      <c r="L16" s="96">
        <v>19</v>
      </c>
      <c r="M16" s="96">
        <v>0</v>
      </c>
      <c r="N16" s="96">
        <v>20</v>
      </c>
      <c r="O16" s="96">
        <v>0</v>
      </c>
      <c r="P16" s="100">
        <v>0</v>
      </c>
      <c r="Q16" s="133">
        <f t="shared" si="2"/>
        <v>80</v>
      </c>
      <c r="R16" s="101">
        <f t="shared" si="3"/>
        <v>0</v>
      </c>
      <c r="S16" s="102">
        <f t="shared" si="4"/>
        <v>0</v>
      </c>
    </row>
    <row r="17" spans="1:19" ht="14.25" customHeight="1" x14ac:dyDescent="0.75">
      <c r="A17" s="93">
        <v>666522</v>
      </c>
      <c r="B17" s="94" t="s">
        <v>32</v>
      </c>
      <c r="C17" s="95" t="s">
        <v>33</v>
      </c>
      <c r="D17" s="96">
        <v>180</v>
      </c>
      <c r="E17" s="97">
        <f t="shared" si="0"/>
        <v>30</v>
      </c>
      <c r="F17" s="96">
        <v>65</v>
      </c>
      <c r="G17" s="98">
        <v>0</v>
      </c>
      <c r="H17" s="96">
        <v>70</v>
      </c>
      <c r="I17" s="96">
        <v>25</v>
      </c>
      <c r="J17" s="96">
        <v>20</v>
      </c>
      <c r="K17" s="99">
        <f t="shared" si="1"/>
        <v>0</v>
      </c>
      <c r="L17" s="96">
        <v>0</v>
      </c>
      <c r="M17" s="96">
        <v>0</v>
      </c>
      <c r="N17" s="96">
        <v>0</v>
      </c>
      <c r="O17" s="96">
        <v>0</v>
      </c>
      <c r="P17" s="100">
        <v>0</v>
      </c>
      <c r="Q17" s="133">
        <f t="shared" si="2"/>
        <v>180</v>
      </c>
      <c r="R17" s="101">
        <f t="shared" si="3"/>
        <v>0</v>
      </c>
      <c r="S17" s="102">
        <f t="shared" si="4"/>
        <v>0</v>
      </c>
    </row>
    <row r="18" spans="1:19" ht="14.25" customHeight="1" x14ac:dyDescent="0.75">
      <c r="A18" s="93">
        <v>666523</v>
      </c>
      <c r="B18" s="94" t="s">
        <v>34</v>
      </c>
      <c r="C18" s="95" t="s">
        <v>35</v>
      </c>
      <c r="D18" s="96">
        <v>0</v>
      </c>
      <c r="E18" s="97">
        <f t="shared" si="0"/>
        <v>0</v>
      </c>
      <c r="F18" s="96">
        <v>0</v>
      </c>
      <c r="G18" s="98">
        <v>0</v>
      </c>
      <c r="H18" s="96">
        <v>0</v>
      </c>
      <c r="I18" s="96">
        <v>0</v>
      </c>
      <c r="J18" s="96">
        <v>0</v>
      </c>
      <c r="K18" s="99">
        <f t="shared" si="1"/>
        <v>0</v>
      </c>
      <c r="L18" s="96">
        <v>0</v>
      </c>
      <c r="M18" s="96">
        <v>0</v>
      </c>
      <c r="N18" s="96">
        <v>0</v>
      </c>
      <c r="O18" s="96">
        <v>0</v>
      </c>
      <c r="P18" s="100">
        <v>0</v>
      </c>
      <c r="Q18" s="101">
        <f t="shared" si="2"/>
        <v>0</v>
      </c>
      <c r="R18" s="101">
        <f t="shared" si="3"/>
        <v>0</v>
      </c>
      <c r="S18" s="102">
        <f t="shared" si="4"/>
        <v>0</v>
      </c>
    </row>
    <row r="19" spans="1:19" ht="14.25" customHeight="1" x14ac:dyDescent="0.75">
      <c r="A19" s="93">
        <v>666530</v>
      </c>
      <c r="B19" s="94" t="s">
        <v>36</v>
      </c>
      <c r="C19" s="95" t="s">
        <v>37</v>
      </c>
      <c r="D19" s="96">
        <v>0</v>
      </c>
      <c r="E19" s="97">
        <f t="shared" si="0"/>
        <v>0</v>
      </c>
      <c r="F19" s="96">
        <v>0</v>
      </c>
      <c r="G19" s="98">
        <v>0</v>
      </c>
      <c r="H19" s="96">
        <v>0</v>
      </c>
      <c r="I19" s="96">
        <v>0</v>
      </c>
      <c r="J19" s="96">
        <v>0</v>
      </c>
      <c r="K19" s="99">
        <f t="shared" si="1"/>
        <v>0</v>
      </c>
      <c r="L19" s="96">
        <v>0</v>
      </c>
      <c r="M19" s="96">
        <v>0</v>
      </c>
      <c r="N19" s="96">
        <v>0</v>
      </c>
      <c r="O19" s="96">
        <v>0</v>
      </c>
      <c r="P19" s="100">
        <v>0</v>
      </c>
      <c r="Q19" s="133">
        <f t="shared" si="2"/>
        <v>0</v>
      </c>
      <c r="R19" s="101">
        <f t="shared" si="3"/>
        <v>0</v>
      </c>
      <c r="S19" s="102">
        <f t="shared" si="4"/>
        <v>0</v>
      </c>
    </row>
    <row r="20" spans="1:19" ht="14.25" customHeight="1" x14ac:dyDescent="0.75">
      <c r="A20" s="93">
        <v>666531</v>
      </c>
      <c r="B20" s="94" t="s">
        <v>38</v>
      </c>
      <c r="C20" s="95" t="s">
        <v>39</v>
      </c>
      <c r="D20" s="96">
        <v>20</v>
      </c>
      <c r="E20" s="97">
        <f t="shared" si="0"/>
        <v>3.3333333333333335</v>
      </c>
      <c r="F20" s="96">
        <v>2</v>
      </c>
      <c r="G20" s="98">
        <v>0</v>
      </c>
      <c r="H20" s="96">
        <v>3</v>
      </c>
      <c r="I20" s="96">
        <v>1</v>
      </c>
      <c r="J20" s="96">
        <v>0</v>
      </c>
      <c r="K20" s="99">
        <f t="shared" si="1"/>
        <v>4</v>
      </c>
      <c r="L20" s="96">
        <v>3</v>
      </c>
      <c r="M20" s="96">
        <v>0</v>
      </c>
      <c r="N20" s="96">
        <v>11</v>
      </c>
      <c r="O20" s="96">
        <v>0</v>
      </c>
      <c r="P20" s="100">
        <v>0</v>
      </c>
      <c r="Q20" s="133">
        <f t="shared" si="2"/>
        <v>20</v>
      </c>
      <c r="R20" s="101">
        <f t="shared" si="3"/>
        <v>0</v>
      </c>
      <c r="S20" s="102"/>
    </row>
    <row r="21" spans="1:19" ht="14.25" customHeight="1" x14ac:dyDescent="0.75">
      <c r="A21" s="93">
        <v>666540</v>
      </c>
      <c r="B21" s="94" t="s">
        <v>40</v>
      </c>
      <c r="C21" s="95" t="s">
        <v>40</v>
      </c>
      <c r="D21" s="96">
        <v>0</v>
      </c>
      <c r="E21" s="97">
        <f t="shared" si="0"/>
        <v>0</v>
      </c>
      <c r="F21" s="96">
        <v>0</v>
      </c>
      <c r="G21" s="98">
        <v>0</v>
      </c>
      <c r="H21" s="96">
        <v>0</v>
      </c>
      <c r="I21" s="96">
        <v>0</v>
      </c>
      <c r="J21" s="96">
        <v>0</v>
      </c>
      <c r="K21" s="99">
        <f t="shared" si="1"/>
        <v>0</v>
      </c>
      <c r="L21" s="96">
        <v>0</v>
      </c>
      <c r="M21" s="96">
        <v>0</v>
      </c>
      <c r="N21" s="96">
        <v>0</v>
      </c>
      <c r="O21" s="96">
        <v>0</v>
      </c>
      <c r="P21" s="100">
        <v>0</v>
      </c>
      <c r="Q21" s="101">
        <f t="shared" si="2"/>
        <v>0</v>
      </c>
      <c r="R21" s="101">
        <f t="shared" si="3"/>
        <v>0</v>
      </c>
      <c r="S21" s="102"/>
    </row>
    <row r="22" spans="1:19" ht="15" customHeight="1" x14ac:dyDescent="0.75">
      <c r="A22" s="93">
        <v>666541</v>
      </c>
      <c r="B22" s="94" t="s">
        <v>41</v>
      </c>
      <c r="C22" s="103" t="s">
        <v>41</v>
      </c>
      <c r="D22" s="96">
        <v>0</v>
      </c>
      <c r="E22" s="97">
        <f t="shared" si="0"/>
        <v>0</v>
      </c>
      <c r="F22" s="104">
        <v>0</v>
      </c>
      <c r="G22" s="105">
        <v>0</v>
      </c>
      <c r="H22" s="104">
        <v>0</v>
      </c>
      <c r="I22" s="104">
        <v>0</v>
      </c>
      <c r="J22" s="104">
        <v>0</v>
      </c>
      <c r="K22" s="106">
        <f t="shared" si="1"/>
        <v>0</v>
      </c>
      <c r="L22" s="96">
        <v>0</v>
      </c>
      <c r="M22" s="96">
        <v>0</v>
      </c>
      <c r="N22" s="96">
        <v>0</v>
      </c>
      <c r="O22" s="96">
        <v>0</v>
      </c>
      <c r="P22" s="100">
        <v>0</v>
      </c>
      <c r="Q22" s="101">
        <f t="shared" si="2"/>
        <v>0</v>
      </c>
      <c r="R22" s="101">
        <f t="shared" si="3"/>
        <v>0</v>
      </c>
      <c r="S22" s="102"/>
    </row>
    <row r="23" spans="1:19" s="50" customFormat="1" ht="15" customHeight="1" x14ac:dyDescent="0.75">
      <c r="A23" s="108">
        <v>666536</v>
      </c>
      <c r="B23" s="109" t="s">
        <v>42</v>
      </c>
      <c r="C23" s="110"/>
      <c r="D23" s="104">
        <v>40</v>
      </c>
      <c r="E23" s="111">
        <f t="shared" si="0"/>
        <v>6.666666666666667</v>
      </c>
      <c r="F23" s="104">
        <v>5</v>
      </c>
      <c r="G23" s="105">
        <v>0</v>
      </c>
      <c r="H23" s="104">
        <v>5</v>
      </c>
      <c r="I23" s="104">
        <v>2</v>
      </c>
      <c r="J23" s="104">
        <v>0</v>
      </c>
      <c r="K23" s="106">
        <f t="shared" si="1"/>
        <v>8</v>
      </c>
      <c r="L23" s="104">
        <v>4</v>
      </c>
      <c r="M23" s="104">
        <v>0</v>
      </c>
      <c r="N23" s="104">
        <v>2</v>
      </c>
      <c r="O23" s="104">
        <v>0</v>
      </c>
      <c r="P23" s="107">
        <v>0</v>
      </c>
      <c r="Q23" s="101">
        <f t="shared" si="2"/>
        <v>18</v>
      </c>
      <c r="R23" s="101">
        <f t="shared" si="3"/>
        <v>22</v>
      </c>
    </row>
    <row r="24" spans="1:19" s="50" customFormat="1" ht="15" customHeight="1" x14ac:dyDescent="0.75">
      <c r="A24" s="112" t="s">
        <v>193</v>
      </c>
      <c r="B24" s="127" t="s">
        <v>197</v>
      </c>
      <c r="D24" s="104">
        <v>100</v>
      </c>
      <c r="E24" s="111">
        <f t="shared" si="0"/>
        <v>16.666666666666668</v>
      </c>
      <c r="F24" s="104">
        <v>0</v>
      </c>
      <c r="G24" s="105">
        <v>0</v>
      </c>
      <c r="H24" s="104">
        <v>0</v>
      </c>
      <c r="I24" s="104">
        <v>0</v>
      </c>
      <c r="J24" s="104">
        <v>0</v>
      </c>
      <c r="K24" s="106">
        <f t="shared" si="1"/>
        <v>28.571428571428573</v>
      </c>
      <c r="L24" s="104">
        <v>33</v>
      </c>
      <c r="M24" s="104">
        <v>0</v>
      </c>
      <c r="N24" s="104">
        <v>45</v>
      </c>
      <c r="O24" s="104">
        <v>22</v>
      </c>
      <c r="P24" s="107">
        <v>0</v>
      </c>
      <c r="Q24" s="133">
        <f t="shared" si="2"/>
        <v>100</v>
      </c>
      <c r="R24" s="101">
        <f t="shared" si="3"/>
        <v>0</v>
      </c>
    </row>
    <row r="25" spans="1:19" ht="15" customHeight="1" x14ac:dyDescent="0.75">
      <c r="A25" s="4" t="str">
        <f>+A1</f>
        <v>Weeks of 05/04/26 &amp;05_11_26</v>
      </c>
      <c r="B25" s="4"/>
      <c r="C25" s="4"/>
      <c r="D25" s="4"/>
      <c r="E25" s="4"/>
      <c r="F25" s="115"/>
      <c r="G25" s="115"/>
      <c r="H25" s="115"/>
      <c r="I25" s="115"/>
      <c r="J25" s="116"/>
      <c r="K25" s="116"/>
      <c r="L25" s="116"/>
      <c r="M25" s="116"/>
      <c r="N25" s="116"/>
      <c r="O25" s="116"/>
      <c r="P25" s="117"/>
      <c r="Q25" s="101"/>
      <c r="R25" s="101"/>
    </row>
    <row r="26" spans="1:19" ht="42" customHeight="1" x14ac:dyDescent="0.75">
      <c r="A26" s="118"/>
      <c r="B26" s="119" t="s">
        <v>170</v>
      </c>
      <c r="C26" s="120" t="s">
        <v>65</v>
      </c>
      <c r="D26" s="121" t="s">
        <v>119</v>
      </c>
      <c r="E26" s="122" t="s">
        <v>171</v>
      </c>
      <c r="F26" s="88" t="s">
        <v>162</v>
      </c>
      <c r="G26" s="86" t="s">
        <v>163</v>
      </c>
      <c r="H26" s="87" t="s">
        <v>172</v>
      </c>
      <c r="I26" s="86" t="s">
        <v>165</v>
      </c>
      <c r="J26" s="123" t="s">
        <v>166</v>
      </c>
      <c r="K26" s="124" t="str">
        <f>+K2</f>
        <v>2nd wk daily goals</v>
      </c>
      <c r="L26" s="125" t="s">
        <v>162</v>
      </c>
      <c r="M26" s="86" t="s">
        <v>163</v>
      </c>
      <c r="N26" s="126" t="s">
        <v>172</v>
      </c>
      <c r="O26" s="86" t="s">
        <v>165</v>
      </c>
      <c r="P26" s="90" t="s">
        <v>166</v>
      </c>
      <c r="Q26" s="101"/>
      <c r="R26" s="92" t="s">
        <v>168</v>
      </c>
    </row>
    <row r="27" spans="1:19" ht="15" customHeight="1" x14ac:dyDescent="0.75">
      <c r="A27" s="93">
        <v>666501</v>
      </c>
      <c r="B27" s="94" t="s">
        <v>4</v>
      </c>
      <c r="C27" s="127" t="s">
        <v>5</v>
      </c>
      <c r="D27" s="128">
        <v>465</v>
      </c>
      <c r="E27" s="129">
        <f t="shared" ref="E27:E47" si="5">+D27/7</f>
        <v>66.428571428571431</v>
      </c>
      <c r="F27" s="96">
        <v>0</v>
      </c>
      <c r="G27" s="96">
        <v>198</v>
      </c>
      <c r="H27" s="96">
        <v>84</v>
      </c>
      <c r="I27" s="96">
        <v>39</v>
      </c>
      <c r="J27" s="130">
        <v>69</v>
      </c>
      <c r="K27" s="131">
        <f t="shared" ref="K27:K47" si="6">(+D27-SUM(F27:J27))/4</f>
        <v>18.75</v>
      </c>
      <c r="L27" s="132">
        <v>0</v>
      </c>
      <c r="M27" s="96">
        <v>0</v>
      </c>
      <c r="N27" s="96">
        <v>72</v>
      </c>
      <c r="O27" s="96">
        <v>0</v>
      </c>
      <c r="P27" s="100">
        <v>3</v>
      </c>
      <c r="Q27" s="133">
        <f t="shared" ref="Q27:Q47" si="7">SUM(F27:J27)+SUM(L27:P27)</f>
        <v>465</v>
      </c>
      <c r="R27" s="101">
        <f t="shared" ref="R27:R47" si="8">+D27-Q27</f>
        <v>0</v>
      </c>
      <c r="S27" s="102">
        <f t="shared" ref="S27:S36" si="9">+R27/3</f>
        <v>0</v>
      </c>
    </row>
    <row r="28" spans="1:19" ht="15" customHeight="1" x14ac:dyDescent="0.75">
      <c r="A28" s="93">
        <v>666502</v>
      </c>
      <c r="B28" s="94" t="s">
        <v>6</v>
      </c>
      <c r="C28" s="127" t="s">
        <v>7</v>
      </c>
      <c r="D28" s="128">
        <v>260</v>
      </c>
      <c r="E28" s="129">
        <f t="shared" si="5"/>
        <v>37.142857142857146</v>
      </c>
      <c r="F28" s="96">
        <v>20</v>
      </c>
      <c r="G28" s="96">
        <v>41</v>
      </c>
      <c r="H28" s="96">
        <v>50</v>
      </c>
      <c r="I28" s="96">
        <v>24</v>
      </c>
      <c r="J28" s="130">
        <v>0</v>
      </c>
      <c r="K28" s="131">
        <f t="shared" si="6"/>
        <v>31.25</v>
      </c>
      <c r="L28" s="132">
        <v>25</v>
      </c>
      <c r="M28" s="96">
        <v>25</v>
      </c>
      <c r="N28" s="96">
        <v>32</v>
      </c>
      <c r="O28" s="96">
        <v>22</v>
      </c>
      <c r="P28" s="100">
        <v>14</v>
      </c>
      <c r="Q28" s="101">
        <f t="shared" si="7"/>
        <v>253</v>
      </c>
      <c r="R28" s="101">
        <f t="shared" si="8"/>
        <v>7</v>
      </c>
      <c r="S28" s="102">
        <f t="shared" si="9"/>
        <v>2.3333333333333335</v>
      </c>
    </row>
    <row r="29" spans="1:19" ht="15" customHeight="1" x14ac:dyDescent="0.75">
      <c r="A29" s="93">
        <v>666505</v>
      </c>
      <c r="B29" s="94" t="s">
        <v>8</v>
      </c>
      <c r="C29" s="127" t="s">
        <v>9</v>
      </c>
      <c r="D29" s="128">
        <v>0</v>
      </c>
      <c r="E29" s="129">
        <f t="shared" si="5"/>
        <v>0</v>
      </c>
      <c r="F29" s="96">
        <v>0</v>
      </c>
      <c r="G29" s="96">
        <v>0</v>
      </c>
      <c r="H29" s="96">
        <v>0</v>
      </c>
      <c r="I29" s="96">
        <v>0</v>
      </c>
      <c r="J29" s="130">
        <v>0</v>
      </c>
      <c r="K29" s="131">
        <f t="shared" si="6"/>
        <v>0</v>
      </c>
      <c r="L29" s="132">
        <v>0</v>
      </c>
      <c r="M29" s="96">
        <v>0</v>
      </c>
      <c r="N29" s="96">
        <v>0</v>
      </c>
      <c r="O29" s="96">
        <v>0</v>
      </c>
      <c r="P29" s="100">
        <v>0</v>
      </c>
      <c r="Q29" s="101">
        <f t="shared" si="7"/>
        <v>0</v>
      </c>
      <c r="R29" s="101">
        <f t="shared" si="8"/>
        <v>0</v>
      </c>
      <c r="S29" s="102">
        <f t="shared" si="9"/>
        <v>0</v>
      </c>
    </row>
    <row r="30" spans="1:19" ht="15" customHeight="1" x14ac:dyDescent="0.75">
      <c r="A30" s="93">
        <v>666506</v>
      </c>
      <c r="B30" s="94" t="s">
        <v>10</v>
      </c>
      <c r="C30" s="127" t="s">
        <v>11</v>
      </c>
      <c r="D30" s="128">
        <v>300</v>
      </c>
      <c r="E30" s="129">
        <f t="shared" si="5"/>
        <v>42.857142857142854</v>
      </c>
      <c r="F30" s="96">
        <v>13</v>
      </c>
      <c r="G30" s="96">
        <v>32</v>
      </c>
      <c r="H30" s="96">
        <v>22</v>
      </c>
      <c r="I30" s="96">
        <v>36</v>
      </c>
      <c r="J30" s="130">
        <v>16</v>
      </c>
      <c r="K30" s="131">
        <f t="shared" si="6"/>
        <v>45.25</v>
      </c>
      <c r="L30" s="132">
        <v>20</v>
      </c>
      <c r="M30" s="96">
        <v>17</v>
      </c>
      <c r="N30" s="96">
        <v>46</v>
      </c>
      <c r="O30" s="96">
        <v>35</v>
      </c>
      <c r="P30" s="100">
        <v>31</v>
      </c>
      <c r="Q30" s="168">
        <f t="shared" si="7"/>
        <v>268</v>
      </c>
      <c r="R30" s="169">
        <f t="shared" si="8"/>
        <v>32</v>
      </c>
      <c r="S30" s="102">
        <f t="shared" si="9"/>
        <v>10.666666666666666</v>
      </c>
    </row>
    <row r="31" spans="1:19" ht="15" customHeight="1" x14ac:dyDescent="0.75">
      <c r="A31" s="93">
        <v>666507</v>
      </c>
      <c r="B31" s="94" t="s">
        <v>12</v>
      </c>
      <c r="C31" s="127" t="s">
        <v>13</v>
      </c>
      <c r="D31" s="128">
        <v>0</v>
      </c>
      <c r="E31" s="129">
        <f t="shared" si="5"/>
        <v>0</v>
      </c>
      <c r="F31" s="96">
        <v>0</v>
      </c>
      <c r="G31" s="96">
        <v>0</v>
      </c>
      <c r="H31" s="96">
        <v>0</v>
      </c>
      <c r="I31" s="96">
        <v>0</v>
      </c>
      <c r="J31" s="130">
        <v>0</v>
      </c>
      <c r="K31" s="131">
        <f t="shared" si="6"/>
        <v>0</v>
      </c>
      <c r="L31" s="132">
        <v>0</v>
      </c>
      <c r="M31" s="96">
        <v>0</v>
      </c>
      <c r="N31" s="96">
        <v>0</v>
      </c>
      <c r="O31" s="96">
        <v>0</v>
      </c>
      <c r="P31" s="100">
        <v>0</v>
      </c>
      <c r="Q31" s="101">
        <f t="shared" si="7"/>
        <v>0</v>
      </c>
      <c r="R31" s="101">
        <f t="shared" si="8"/>
        <v>0</v>
      </c>
      <c r="S31" s="102">
        <f t="shared" si="9"/>
        <v>0</v>
      </c>
    </row>
    <row r="32" spans="1:19" ht="15" customHeight="1" x14ac:dyDescent="0.75">
      <c r="A32" s="93">
        <v>666509</v>
      </c>
      <c r="B32" s="94" t="s">
        <v>14</v>
      </c>
      <c r="C32" s="127" t="s">
        <v>15</v>
      </c>
      <c r="D32" s="128">
        <v>0</v>
      </c>
      <c r="E32" s="129">
        <f t="shared" si="5"/>
        <v>0</v>
      </c>
      <c r="F32" s="96">
        <v>0</v>
      </c>
      <c r="G32" s="96">
        <v>0</v>
      </c>
      <c r="H32" s="96">
        <v>0</v>
      </c>
      <c r="I32" s="96">
        <v>0</v>
      </c>
      <c r="J32" s="130">
        <v>0</v>
      </c>
      <c r="K32" s="131">
        <f t="shared" si="6"/>
        <v>0</v>
      </c>
      <c r="L32" s="132">
        <v>0</v>
      </c>
      <c r="M32" s="96">
        <v>0</v>
      </c>
      <c r="N32" s="96">
        <v>0</v>
      </c>
      <c r="O32" s="96">
        <v>0</v>
      </c>
      <c r="P32" s="100">
        <v>0</v>
      </c>
      <c r="Q32" s="101">
        <f t="shared" si="7"/>
        <v>0</v>
      </c>
      <c r="R32" s="101">
        <f t="shared" si="8"/>
        <v>0</v>
      </c>
      <c r="S32" s="102">
        <f t="shared" si="9"/>
        <v>0</v>
      </c>
    </row>
    <row r="33" spans="1:24" ht="15" customHeight="1" x14ac:dyDescent="0.75">
      <c r="A33" s="93">
        <v>666510</v>
      </c>
      <c r="B33" s="94" t="s">
        <v>16</v>
      </c>
      <c r="C33" s="127" t="s">
        <v>169</v>
      </c>
      <c r="D33" s="128">
        <v>0</v>
      </c>
      <c r="E33" s="129">
        <f t="shared" si="5"/>
        <v>0</v>
      </c>
      <c r="F33" s="96">
        <v>0</v>
      </c>
      <c r="G33" s="96">
        <v>0</v>
      </c>
      <c r="H33" s="96">
        <v>0</v>
      </c>
      <c r="I33" s="96">
        <v>0</v>
      </c>
      <c r="J33" s="130">
        <v>0</v>
      </c>
      <c r="K33" s="131">
        <f t="shared" si="6"/>
        <v>0</v>
      </c>
      <c r="L33" s="132">
        <v>0</v>
      </c>
      <c r="M33" s="96">
        <v>0</v>
      </c>
      <c r="N33" s="96">
        <v>0</v>
      </c>
      <c r="O33" s="96">
        <v>0</v>
      </c>
      <c r="P33" s="100">
        <v>0</v>
      </c>
      <c r="Q33" s="101">
        <f t="shared" si="7"/>
        <v>0</v>
      </c>
      <c r="R33" s="101">
        <f t="shared" si="8"/>
        <v>0</v>
      </c>
      <c r="S33" s="102">
        <f t="shared" si="9"/>
        <v>0</v>
      </c>
    </row>
    <row r="34" spans="1:24" ht="15" customHeight="1" x14ac:dyDescent="0.75">
      <c r="A34" s="93">
        <v>666511</v>
      </c>
      <c r="B34" s="94" t="s">
        <v>18</v>
      </c>
      <c r="C34" s="127" t="s">
        <v>19</v>
      </c>
      <c r="D34" s="128">
        <v>0</v>
      </c>
      <c r="E34" s="129">
        <f t="shared" si="5"/>
        <v>0</v>
      </c>
      <c r="F34" s="96">
        <v>0</v>
      </c>
      <c r="G34" s="96">
        <v>0</v>
      </c>
      <c r="H34" s="96">
        <v>0</v>
      </c>
      <c r="I34" s="96">
        <v>0</v>
      </c>
      <c r="J34" s="130">
        <v>0</v>
      </c>
      <c r="K34" s="131">
        <f t="shared" si="6"/>
        <v>0</v>
      </c>
      <c r="L34" s="132">
        <v>0</v>
      </c>
      <c r="M34" s="96">
        <v>0</v>
      </c>
      <c r="N34" s="96">
        <v>0</v>
      </c>
      <c r="O34" s="96">
        <v>0</v>
      </c>
      <c r="P34" s="100">
        <v>0</v>
      </c>
      <c r="Q34" s="101">
        <f t="shared" si="7"/>
        <v>0</v>
      </c>
      <c r="R34" s="101">
        <f t="shared" si="8"/>
        <v>0</v>
      </c>
      <c r="S34" s="102">
        <f t="shared" si="9"/>
        <v>0</v>
      </c>
    </row>
    <row r="35" spans="1:24" ht="15" customHeight="1" x14ac:dyDescent="0.75">
      <c r="A35" s="93">
        <v>666513</v>
      </c>
      <c r="B35" s="94" t="s">
        <v>20</v>
      </c>
      <c r="C35" s="127" t="s">
        <v>21</v>
      </c>
      <c r="D35" s="128">
        <v>0</v>
      </c>
      <c r="E35" s="129">
        <f t="shared" si="5"/>
        <v>0</v>
      </c>
      <c r="F35" s="96">
        <v>0</v>
      </c>
      <c r="G35" s="96">
        <v>0</v>
      </c>
      <c r="H35" s="96">
        <v>0</v>
      </c>
      <c r="I35" s="96">
        <v>0</v>
      </c>
      <c r="J35" s="130">
        <v>0</v>
      </c>
      <c r="K35" s="131">
        <f t="shared" si="6"/>
        <v>0</v>
      </c>
      <c r="L35" s="132">
        <v>0</v>
      </c>
      <c r="M35" s="96">
        <v>0</v>
      </c>
      <c r="N35" s="96">
        <v>0</v>
      </c>
      <c r="O35" s="96">
        <v>0</v>
      </c>
      <c r="P35" s="100">
        <v>0</v>
      </c>
      <c r="Q35" s="101">
        <f t="shared" si="7"/>
        <v>0</v>
      </c>
      <c r="R35" s="101">
        <f t="shared" si="8"/>
        <v>0</v>
      </c>
      <c r="S35" s="102">
        <f t="shared" si="9"/>
        <v>0</v>
      </c>
    </row>
    <row r="36" spans="1:24" ht="15" customHeight="1" x14ac:dyDescent="0.75">
      <c r="A36" s="93">
        <v>666516</v>
      </c>
      <c r="B36" s="94" t="s">
        <v>22</v>
      </c>
      <c r="C36" s="127" t="s">
        <v>23</v>
      </c>
      <c r="D36" s="128">
        <v>0</v>
      </c>
      <c r="E36" s="129">
        <f t="shared" si="5"/>
        <v>0</v>
      </c>
      <c r="F36" s="96">
        <v>0</v>
      </c>
      <c r="G36" s="96">
        <v>0</v>
      </c>
      <c r="H36" s="96">
        <v>0</v>
      </c>
      <c r="I36" s="96">
        <v>0</v>
      </c>
      <c r="J36" s="130">
        <v>0</v>
      </c>
      <c r="K36" s="131">
        <f t="shared" si="6"/>
        <v>0</v>
      </c>
      <c r="L36" s="132">
        <v>0</v>
      </c>
      <c r="M36" s="96">
        <v>0</v>
      </c>
      <c r="N36" s="96">
        <v>0</v>
      </c>
      <c r="O36" s="96">
        <v>0</v>
      </c>
      <c r="P36" s="100">
        <v>0</v>
      </c>
      <c r="Q36" s="101">
        <f t="shared" si="7"/>
        <v>0</v>
      </c>
      <c r="R36" s="101">
        <f t="shared" si="8"/>
        <v>0</v>
      </c>
      <c r="S36" s="102">
        <f t="shared" si="9"/>
        <v>0</v>
      </c>
    </row>
    <row r="37" spans="1:24" ht="15" customHeight="1" x14ac:dyDescent="0.75">
      <c r="A37" s="93">
        <v>666517</v>
      </c>
      <c r="B37" s="94" t="s">
        <v>24</v>
      </c>
      <c r="C37" s="127" t="s">
        <v>25</v>
      </c>
      <c r="D37" s="128">
        <v>0</v>
      </c>
      <c r="E37" s="129">
        <f t="shared" si="5"/>
        <v>0</v>
      </c>
      <c r="F37" s="96">
        <v>0</v>
      </c>
      <c r="G37" s="96">
        <v>0</v>
      </c>
      <c r="H37" s="96">
        <v>0</v>
      </c>
      <c r="I37" s="96">
        <v>0</v>
      </c>
      <c r="J37" s="130">
        <v>0</v>
      </c>
      <c r="K37" s="131">
        <f t="shared" si="6"/>
        <v>0</v>
      </c>
      <c r="L37" s="132">
        <v>0</v>
      </c>
      <c r="M37" s="96">
        <v>0</v>
      </c>
      <c r="N37" s="96">
        <v>0</v>
      </c>
      <c r="O37" s="96">
        <v>0</v>
      </c>
      <c r="P37" s="100">
        <v>0</v>
      </c>
      <c r="Q37" s="101">
        <f t="shared" si="7"/>
        <v>0</v>
      </c>
      <c r="R37" s="101">
        <f t="shared" si="8"/>
        <v>0</v>
      </c>
      <c r="S37" s="102">
        <f>+R37/2</f>
        <v>0</v>
      </c>
    </row>
    <row r="38" spans="1:24" ht="15" customHeight="1" x14ac:dyDescent="0.75">
      <c r="A38" s="93">
        <v>666518</v>
      </c>
      <c r="B38" s="94" t="s">
        <v>26</v>
      </c>
      <c r="C38" s="127" t="s">
        <v>27</v>
      </c>
      <c r="D38" s="128">
        <v>0</v>
      </c>
      <c r="E38" s="129">
        <f t="shared" si="5"/>
        <v>0</v>
      </c>
      <c r="F38" s="96">
        <v>0</v>
      </c>
      <c r="G38" s="96">
        <v>0</v>
      </c>
      <c r="H38" s="96">
        <v>0</v>
      </c>
      <c r="I38" s="96">
        <v>0</v>
      </c>
      <c r="J38" s="130">
        <v>0</v>
      </c>
      <c r="K38" s="131">
        <f t="shared" si="6"/>
        <v>0</v>
      </c>
      <c r="L38" s="132">
        <v>0</v>
      </c>
      <c r="M38" s="96">
        <v>0</v>
      </c>
      <c r="N38" s="96">
        <v>0</v>
      </c>
      <c r="O38" s="96">
        <v>0</v>
      </c>
      <c r="P38" s="100">
        <v>0</v>
      </c>
      <c r="Q38" s="101">
        <f t="shared" si="7"/>
        <v>0</v>
      </c>
      <c r="R38" s="101">
        <f t="shared" si="8"/>
        <v>0</v>
      </c>
      <c r="S38" s="102">
        <f>+R38/3</f>
        <v>0</v>
      </c>
    </row>
    <row r="39" spans="1:24" ht="15" customHeight="1" x14ac:dyDescent="0.75">
      <c r="A39" s="93">
        <v>666519</v>
      </c>
      <c r="B39" s="94" t="s">
        <v>28</v>
      </c>
      <c r="C39" s="127" t="s">
        <v>29</v>
      </c>
      <c r="D39" s="128">
        <v>0</v>
      </c>
      <c r="E39" s="129">
        <f t="shared" si="5"/>
        <v>0</v>
      </c>
      <c r="F39" s="96">
        <v>0</v>
      </c>
      <c r="G39" s="96">
        <v>0</v>
      </c>
      <c r="H39" s="96">
        <v>0</v>
      </c>
      <c r="I39" s="96">
        <v>0</v>
      </c>
      <c r="J39" s="130">
        <v>0</v>
      </c>
      <c r="K39" s="131">
        <f t="shared" si="6"/>
        <v>0</v>
      </c>
      <c r="L39" s="132">
        <v>0</v>
      </c>
      <c r="M39" s="96">
        <v>0</v>
      </c>
      <c r="N39" s="96">
        <v>0</v>
      </c>
      <c r="O39" s="96">
        <v>0</v>
      </c>
      <c r="P39" s="100">
        <v>0</v>
      </c>
      <c r="Q39" s="101">
        <f t="shared" si="7"/>
        <v>0</v>
      </c>
      <c r="R39" s="101">
        <f t="shared" si="8"/>
        <v>0</v>
      </c>
      <c r="S39" s="102"/>
    </row>
    <row r="40" spans="1:24" ht="15" customHeight="1" x14ac:dyDescent="0.75">
      <c r="A40" s="93">
        <v>666521</v>
      </c>
      <c r="B40" s="94" t="s">
        <v>30</v>
      </c>
      <c r="C40" s="127" t="s">
        <v>31</v>
      </c>
      <c r="D40" s="128">
        <v>0</v>
      </c>
      <c r="E40" s="129">
        <f t="shared" si="5"/>
        <v>0</v>
      </c>
      <c r="F40" s="96">
        <v>0</v>
      </c>
      <c r="G40" s="96">
        <v>0</v>
      </c>
      <c r="H40" s="96">
        <v>0</v>
      </c>
      <c r="I40" s="96">
        <v>0</v>
      </c>
      <c r="J40" s="130">
        <v>0</v>
      </c>
      <c r="K40" s="131">
        <f t="shared" si="6"/>
        <v>0</v>
      </c>
      <c r="L40" s="132">
        <v>0</v>
      </c>
      <c r="M40" s="96">
        <v>0</v>
      </c>
      <c r="N40" s="96">
        <v>0</v>
      </c>
      <c r="O40" s="96">
        <v>0</v>
      </c>
      <c r="P40" s="100">
        <v>0</v>
      </c>
      <c r="Q40" s="101">
        <f t="shared" si="7"/>
        <v>0</v>
      </c>
      <c r="R40" s="101">
        <f t="shared" si="8"/>
        <v>0</v>
      </c>
      <c r="S40" s="102"/>
    </row>
    <row r="41" spans="1:24" ht="15" customHeight="1" x14ac:dyDescent="0.75">
      <c r="A41" s="93">
        <v>666522</v>
      </c>
      <c r="B41" s="94" t="s">
        <v>32</v>
      </c>
      <c r="C41" s="127" t="s">
        <v>33</v>
      </c>
      <c r="D41" s="128">
        <v>50</v>
      </c>
      <c r="E41" s="129">
        <f t="shared" si="5"/>
        <v>7.1428571428571432</v>
      </c>
      <c r="F41" s="96">
        <v>0</v>
      </c>
      <c r="G41" s="96">
        <v>50</v>
      </c>
      <c r="H41" s="96">
        <v>0</v>
      </c>
      <c r="I41" s="96">
        <v>0</v>
      </c>
      <c r="J41" s="130">
        <v>0</v>
      </c>
      <c r="K41" s="131">
        <f t="shared" si="6"/>
        <v>0</v>
      </c>
      <c r="L41" s="132">
        <v>0</v>
      </c>
      <c r="M41" s="96">
        <v>0</v>
      </c>
      <c r="N41" s="96">
        <v>0</v>
      </c>
      <c r="O41" s="96">
        <v>0</v>
      </c>
      <c r="P41" s="100">
        <v>0</v>
      </c>
      <c r="Q41" s="133">
        <f t="shared" si="7"/>
        <v>50</v>
      </c>
      <c r="R41" s="101">
        <f t="shared" si="8"/>
        <v>0</v>
      </c>
      <c r="S41" s="102"/>
    </row>
    <row r="42" spans="1:24" ht="15" customHeight="1" x14ac:dyDescent="0.75">
      <c r="A42" s="93">
        <v>666523</v>
      </c>
      <c r="B42" s="94" t="s">
        <v>34</v>
      </c>
      <c r="C42" s="127" t="s">
        <v>35</v>
      </c>
      <c r="D42" s="128">
        <v>0</v>
      </c>
      <c r="E42" s="129">
        <f t="shared" si="5"/>
        <v>0</v>
      </c>
      <c r="F42" s="96">
        <v>0</v>
      </c>
      <c r="G42" s="96">
        <v>0</v>
      </c>
      <c r="H42" s="96">
        <v>0</v>
      </c>
      <c r="I42" s="96">
        <v>0</v>
      </c>
      <c r="J42" s="130">
        <v>0</v>
      </c>
      <c r="K42" s="131">
        <f t="shared" si="6"/>
        <v>0</v>
      </c>
      <c r="L42" s="132">
        <v>0</v>
      </c>
      <c r="M42" s="96">
        <v>0</v>
      </c>
      <c r="N42" s="96">
        <v>0</v>
      </c>
      <c r="O42" s="96">
        <v>0</v>
      </c>
      <c r="P42" s="100">
        <v>0</v>
      </c>
      <c r="Q42" s="101">
        <f t="shared" si="7"/>
        <v>0</v>
      </c>
      <c r="R42" s="101">
        <f t="shared" si="8"/>
        <v>0</v>
      </c>
      <c r="S42" s="102"/>
    </row>
    <row r="43" spans="1:24" ht="15" customHeight="1" x14ac:dyDescent="0.75">
      <c r="A43" s="93">
        <v>666530</v>
      </c>
      <c r="B43" s="94" t="s">
        <v>36</v>
      </c>
      <c r="C43" s="127" t="s">
        <v>37</v>
      </c>
      <c r="D43" s="128">
        <v>0</v>
      </c>
      <c r="E43" s="129">
        <f t="shared" si="5"/>
        <v>0</v>
      </c>
      <c r="F43" s="96">
        <v>0</v>
      </c>
      <c r="G43" s="96">
        <v>0</v>
      </c>
      <c r="H43" s="96">
        <v>0</v>
      </c>
      <c r="I43" s="96">
        <v>0</v>
      </c>
      <c r="J43" s="130">
        <v>0</v>
      </c>
      <c r="K43" s="131">
        <f t="shared" si="6"/>
        <v>0</v>
      </c>
      <c r="L43" s="132">
        <v>0</v>
      </c>
      <c r="M43" s="96">
        <v>0</v>
      </c>
      <c r="N43" s="96">
        <v>0</v>
      </c>
      <c r="O43" s="96">
        <v>0</v>
      </c>
      <c r="P43" s="100">
        <v>0</v>
      </c>
      <c r="Q43" s="101">
        <f t="shared" si="7"/>
        <v>0</v>
      </c>
      <c r="R43" s="101">
        <f t="shared" si="8"/>
        <v>0</v>
      </c>
      <c r="S43" s="102"/>
    </row>
    <row r="44" spans="1:24" ht="15" customHeight="1" x14ac:dyDescent="0.75">
      <c r="A44" s="93">
        <v>666531</v>
      </c>
      <c r="B44" s="94" t="s">
        <v>38</v>
      </c>
      <c r="C44" s="127" t="s">
        <v>39</v>
      </c>
      <c r="D44" s="128">
        <v>0</v>
      </c>
      <c r="E44" s="129">
        <f t="shared" si="5"/>
        <v>0</v>
      </c>
      <c r="F44" s="96">
        <v>0</v>
      </c>
      <c r="G44" s="96">
        <v>0</v>
      </c>
      <c r="H44" s="96">
        <v>0</v>
      </c>
      <c r="I44" s="96">
        <v>0</v>
      </c>
      <c r="J44" s="130">
        <v>0</v>
      </c>
      <c r="K44" s="131">
        <f t="shared" si="6"/>
        <v>0</v>
      </c>
      <c r="L44" s="132">
        <v>0</v>
      </c>
      <c r="M44" s="96">
        <v>0</v>
      </c>
      <c r="N44" s="96">
        <v>0</v>
      </c>
      <c r="O44" s="96">
        <v>0</v>
      </c>
      <c r="P44" s="100">
        <v>0</v>
      </c>
      <c r="Q44" s="101">
        <f t="shared" si="7"/>
        <v>0</v>
      </c>
      <c r="R44" s="101">
        <f t="shared" si="8"/>
        <v>0</v>
      </c>
      <c r="S44" s="102">
        <f>+R44/3</f>
        <v>0</v>
      </c>
    </row>
    <row r="45" spans="1:24" ht="15" customHeight="1" x14ac:dyDescent="0.75">
      <c r="A45" s="93">
        <v>666540</v>
      </c>
      <c r="B45" s="94" t="s">
        <v>40</v>
      </c>
      <c r="C45" s="127" t="s">
        <v>40</v>
      </c>
      <c r="D45" s="128">
        <v>40</v>
      </c>
      <c r="E45" s="129">
        <f t="shared" si="5"/>
        <v>5.7142857142857144</v>
      </c>
      <c r="F45" s="96">
        <v>0</v>
      </c>
      <c r="G45" s="96">
        <v>0</v>
      </c>
      <c r="H45" s="96">
        <v>0</v>
      </c>
      <c r="I45" s="96">
        <v>0</v>
      </c>
      <c r="J45" s="130">
        <v>0</v>
      </c>
      <c r="K45" s="131">
        <f t="shared" si="6"/>
        <v>10</v>
      </c>
      <c r="L45" s="132">
        <v>0</v>
      </c>
      <c r="M45" s="96">
        <v>0</v>
      </c>
      <c r="N45" s="96">
        <v>0</v>
      </c>
      <c r="O45" s="96">
        <v>0</v>
      </c>
      <c r="P45" s="100">
        <v>0</v>
      </c>
      <c r="Q45" s="101">
        <f t="shared" si="7"/>
        <v>0</v>
      </c>
      <c r="R45" s="101">
        <f t="shared" si="8"/>
        <v>40</v>
      </c>
      <c r="S45" s="102">
        <f>+R45/3</f>
        <v>13.333333333333334</v>
      </c>
    </row>
    <row r="46" spans="1:24" ht="15" customHeight="1" x14ac:dyDescent="0.75">
      <c r="A46" s="93">
        <v>666541</v>
      </c>
      <c r="B46" s="94" t="s">
        <v>41</v>
      </c>
      <c r="C46" s="127"/>
      <c r="D46" s="128">
        <v>680</v>
      </c>
      <c r="E46" s="129">
        <f t="shared" si="5"/>
        <v>97.142857142857139</v>
      </c>
      <c r="F46" s="96">
        <v>36</v>
      </c>
      <c r="G46" s="96">
        <v>51</v>
      </c>
      <c r="H46" s="96">
        <v>29</v>
      </c>
      <c r="I46" s="96">
        <v>40</v>
      </c>
      <c r="J46" s="130">
        <v>28</v>
      </c>
      <c r="K46" s="131">
        <f t="shared" si="6"/>
        <v>124</v>
      </c>
      <c r="L46" s="132">
        <v>19</v>
      </c>
      <c r="M46" s="96">
        <v>60</v>
      </c>
      <c r="N46" s="96">
        <v>30</v>
      </c>
      <c r="O46" s="96">
        <v>24</v>
      </c>
      <c r="P46" s="100">
        <v>30</v>
      </c>
      <c r="Q46" s="101">
        <f t="shared" si="7"/>
        <v>347</v>
      </c>
      <c r="R46" s="169">
        <f t="shared" si="8"/>
        <v>333</v>
      </c>
      <c r="S46" s="102"/>
    </row>
    <row r="47" spans="1:24" ht="15" customHeight="1" x14ac:dyDescent="0.75">
      <c r="A47" s="93">
        <v>666536</v>
      </c>
      <c r="B47" s="94" t="s">
        <v>42</v>
      </c>
      <c r="C47" s="134" t="s">
        <v>41</v>
      </c>
      <c r="D47" s="128">
        <v>0</v>
      </c>
      <c r="E47" s="129">
        <f t="shared" si="5"/>
        <v>0</v>
      </c>
      <c r="F47" s="96">
        <v>0</v>
      </c>
      <c r="G47" s="96">
        <v>0</v>
      </c>
      <c r="H47" s="96">
        <v>0</v>
      </c>
      <c r="I47" s="96">
        <v>0</v>
      </c>
      <c r="J47" s="130">
        <v>0</v>
      </c>
      <c r="K47" s="131">
        <f t="shared" si="6"/>
        <v>0</v>
      </c>
      <c r="L47" s="132">
        <v>0</v>
      </c>
      <c r="M47" s="96">
        <v>0</v>
      </c>
      <c r="N47" s="96">
        <v>0</v>
      </c>
      <c r="O47" s="96">
        <v>0</v>
      </c>
      <c r="P47" s="100">
        <v>0</v>
      </c>
      <c r="Q47" s="101">
        <f t="shared" si="7"/>
        <v>0</v>
      </c>
      <c r="R47" s="101">
        <f t="shared" si="8"/>
        <v>0</v>
      </c>
      <c r="S47" s="102">
        <f>+R47/3</f>
        <v>0</v>
      </c>
      <c r="X47" s="79" t="s">
        <v>152</v>
      </c>
    </row>
    <row r="48" spans="1:24" ht="15" customHeight="1" x14ac:dyDescent="0.75">
      <c r="A48" s="135"/>
      <c r="B48" s="136"/>
      <c r="C48" s="134"/>
      <c r="D48" s="137"/>
      <c r="E48" s="137"/>
      <c r="F48" s="138"/>
      <c r="G48" s="139"/>
      <c r="H48" s="139"/>
      <c r="I48" s="139"/>
      <c r="J48" s="139"/>
      <c r="K48" s="140"/>
      <c r="L48" s="139"/>
      <c r="M48" s="139"/>
      <c r="N48" s="139"/>
      <c r="O48" s="139"/>
      <c r="P48" s="141"/>
      <c r="Q48" s="101"/>
      <c r="R48" s="101"/>
      <c r="S48" s="102"/>
    </row>
    <row r="49" spans="1:18" ht="15" customHeight="1" x14ac:dyDescent="0.75">
      <c r="A49" s="3" t="str">
        <f>+A1</f>
        <v>Weeks of 05/04/26 &amp;05_11_26</v>
      </c>
      <c r="B49" s="3"/>
      <c r="C49" s="3"/>
      <c r="D49" s="3"/>
      <c r="E49" s="3"/>
      <c r="F49" s="142"/>
      <c r="G49" s="81"/>
      <c r="H49" s="81"/>
      <c r="I49" s="81"/>
      <c r="J49" s="81"/>
      <c r="K49" s="81"/>
      <c r="L49" s="81"/>
      <c r="M49" s="81"/>
      <c r="N49" s="81"/>
      <c r="O49" s="81"/>
      <c r="P49" s="82"/>
      <c r="Q49" s="101"/>
    </row>
    <row r="50" spans="1:18" ht="36.75" customHeight="1" x14ac:dyDescent="0.75">
      <c r="A50" s="83"/>
      <c r="B50" s="143" t="s">
        <v>66</v>
      </c>
      <c r="C50" s="144"/>
      <c r="D50" s="86" t="s">
        <v>122</v>
      </c>
      <c r="E50" s="86" t="s">
        <v>173</v>
      </c>
      <c r="F50" s="88" t="s">
        <v>162</v>
      </c>
      <c r="G50" s="86" t="s">
        <v>163</v>
      </c>
      <c r="H50" s="87" t="s">
        <v>164</v>
      </c>
      <c r="I50" s="86" t="s">
        <v>165</v>
      </c>
      <c r="J50" s="86" t="s">
        <v>166</v>
      </c>
      <c r="K50" s="89" t="str">
        <f>+K26</f>
        <v>2nd wk daily goals</v>
      </c>
      <c r="L50" s="88" t="s">
        <v>162</v>
      </c>
      <c r="M50" s="86" t="s">
        <v>163</v>
      </c>
      <c r="N50" s="87" t="s">
        <v>164</v>
      </c>
      <c r="O50" s="86" t="s">
        <v>165</v>
      </c>
      <c r="P50" s="90" t="s">
        <v>166</v>
      </c>
      <c r="Q50" s="101"/>
      <c r="R50" s="92" t="s">
        <v>168</v>
      </c>
    </row>
    <row r="51" spans="1:18" ht="14.25" customHeight="1" x14ac:dyDescent="0.75">
      <c r="A51" s="93">
        <v>666501</v>
      </c>
      <c r="B51" s="94" t="s">
        <v>4</v>
      </c>
      <c r="C51" s="95" t="s">
        <v>5</v>
      </c>
      <c r="D51" s="96">
        <v>39</v>
      </c>
      <c r="E51" s="97">
        <f t="shared" ref="E51:E71" si="10">+D51/2</f>
        <v>19.5</v>
      </c>
      <c r="F51" s="96">
        <v>27</v>
      </c>
      <c r="G51" s="96">
        <v>12</v>
      </c>
      <c r="H51" s="96">
        <v>0</v>
      </c>
      <c r="I51" s="96">
        <v>0</v>
      </c>
      <c r="J51" s="96">
        <v>0</v>
      </c>
      <c r="K51" s="99">
        <f t="shared" ref="K51:K71" si="11">(+D51-SUM(F51:J51))/4</f>
        <v>0</v>
      </c>
      <c r="L51" s="96">
        <v>0</v>
      </c>
      <c r="M51" s="96">
        <v>0</v>
      </c>
      <c r="N51" s="96">
        <v>0</v>
      </c>
      <c r="O51" s="96">
        <v>0</v>
      </c>
      <c r="P51" s="100">
        <v>0</v>
      </c>
      <c r="Q51" s="133">
        <f t="shared" ref="Q51:Q71" si="12">SUM(F51:J51)+SUM(L51:P51)</f>
        <v>39</v>
      </c>
      <c r="R51" s="101">
        <f t="shared" ref="R51:R71" si="13">+D51-Q51</f>
        <v>0</v>
      </c>
    </row>
    <row r="52" spans="1:18" ht="14.25" customHeight="1" x14ac:dyDescent="0.75">
      <c r="A52" s="93">
        <v>666502</v>
      </c>
      <c r="B52" s="94" t="s">
        <v>6</v>
      </c>
      <c r="C52" s="95" t="s">
        <v>7</v>
      </c>
      <c r="D52" s="96">
        <v>100</v>
      </c>
      <c r="E52" s="97">
        <f t="shared" si="10"/>
        <v>50</v>
      </c>
      <c r="F52" s="96">
        <v>10</v>
      </c>
      <c r="G52" s="96">
        <v>15</v>
      </c>
      <c r="H52" s="96">
        <v>0</v>
      </c>
      <c r="I52" s="96">
        <v>14</v>
      </c>
      <c r="J52" s="96">
        <v>0</v>
      </c>
      <c r="K52" s="99">
        <f t="shared" si="11"/>
        <v>15.25</v>
      </c>
      <c r="L52" s="96">
        <v>28</v>
      </c>
      <c r="M52" s="96">
        <v>20</v>
      </c>
      <c r="N52" s="96">
        <v>0</v>
      </c>
      <c r="O52" s="96">
        <v>13</v>
      </c>
      <c r="P52" s="100">
        <v>0</v>
      </c>
      <c r="Q52" s="133">
        <f t="shared" si="12"/>
        <v>100</v>
      </c>
      <c r="R52" s="101">
        <f t="shared" si="13"/>
        <v>0</v>
      </c>
    </row>
    <row r="53" spans="1:18" ht="14.25" customHeight="1" x14ac:dyDescent="0.75">
      <c r="A53" s="93">
        <v>666505</v>
      </c>
      <c r="B53" s="94" t="s">
        <v>8</v>
      </c>
      <c r="C53" s="95" t="s">
        <v>9</v>
      </c>
      <c r="D53" s="96">
        <v>34</v>
      </c>
      <c r="E53" s="97">
        <f t="shared" si="10"/>
        <v>17</v>
      </c>
      <c r="F53" s="96">
        <v>34</v>
      </c>
      <c r="G53" s="96">
        <v>0</v>
      </c>
      <c r="H53" s="96">
        <v>0</v>
      </c>
      <c r="I53" s="96">
        <v>0</v>
      </c>
      <c r="J53" s="96">
        <v>0</v>
      </c>
      <c r="K53" s="99">
        <f t="shared" si="11"/>
        <v>0</v>
      </c>
      <c r="L53" s="96">
        <v>0</v>
      </c>
      <c r="M53" s="96">
        <v>0</v>
      </c>
      <c r="N53" s="96">
        <v>0</v>
      </c>
      <c r="O53" s="96">
        <v>0</v>
      </c>
      <c r="P53" s="100">
        <v>0</v>
      </c>
      <c r="Q53" s="133">
        <f t="shared" si="12"/>
        <v>34</v>
      </c>
      <c r="R53" s="101">
        <f t="shared" si="13"/>
        <v>0</v>
      </c>
    </row>
    <row r="54" spans="1:18" ht="14.25" customHeight="1" x14ac:dyDescent="0.75">
      <c r="A54" s="93">
        <v>666506</v>
      </c>
      <c r="B54" s="94" t="s">
        <v>10</v>
      </c>
      <c r="C54" s="95" t="s">
        <v>11</v>
      </c>
      <c r="D54" s="96">
        <v>0</v>
      </c>
      <c r="E54" s="97">
        <f t="shared" si="10"/>
        <v>0</v>
      </c>
      <c r="F54" s="96">
        <v>0</v>
      </c>
      <c r="G54" s="96">
        <v>0</v>
      </c>
      <c r="H54" s="96">
        <v>0</v>
      </c>
      <c r="I54" s="96">
        <v>0</v>
      </c>
      <c r="J54" s="96">
        <v>0</v>
      </c>
      <c r="K54" s="99">
        <f t="shared" si="11"/>
        <v>0</v>
      </c>
      <c r="L54" s="96">
        <v>0</v>
      </c>
      <c r="M54" s="96">
        <v>0</v>
      </c>
      <c r="N54" s="96">
        <v>0</v>
      </c>
      <c r="O54" s="96">
        <v>0</v>
      </c>
      <c r="P54" s="100">
        <v>0</v>
      </c>
      <c r="Q54" s="101">
        <f t="shared" si="12"/>
        <v>0</v>
      </c>
      <c r="R54" s="101">
        <f t="shared" si="13"/>
        <v>0</v>
      </c>
    </row>
    <row r="55" spans="1:18" ht="14.25" customHeight="1" x14ac:dyDescent="0.75">
      <c r="A55" s="93">
        <v>666507</v>
      </c>
      <c r="B55" s="94" t="s">
        <v>12</v>
      </c>
      <c r="C55" s="95" t="s">
        <v>13</v>
      </c>
      <c r="D55" s="96">
        <v>0</v>
      </c>
      <c r="E55" s="97">
        <f t="shared" si="10"/>
        <v>0</v>
      </c>
      <c r="F55" s="96">
        <v>0</v>
      </c>
      <c r="G55" s="96">
        <v>0</v>
      </c>
      <c r="H55" s="96">
        <v>0</v>
      </c>
      <c r="I55" s="96">
        <v>0</v>
      </c>
      <c r="J55" s="96">
        <v>0</v>
      </c>
      <c r="K55" s="99">
        <f t="shared" si="11"/>
        <v>0</v>
      </c>
      <c r="L55" s="96">
        <v>0</v>
      </c>
      <c r="M55" s="96">
        <v>0</v>
      </c>
      <c r="N55" s="96">
        <v>0</v>
      </c>
      <c r="O55" s="96">
        <v>0</v>
      </c>
      <c r="P55" s="100">
        <v>0</v>
      </c>
      <c r="Q55" s="101">
        <f t="shared" si="12"/>
        <v>0</v>
      </c>
      <c r="R55" s="101">
        <f t="shared" si="13"/>
        <v>0</v>
      </c>
    </row>
    <row r="56" spans="1:18" ht="14.25" customHeight="1" x14ac:dyDescent="0.75">
      <c r="A56" s="93">
        <v>666509</v>
      </c>
      <c r="B56" s="94" t="s">
        <v>14</v>
      </c>
      <c r="C56" s="95" t="s">
        <v>15</v>
      </c>
      <c r="D56" s="96">
        <v>0</v>
      </c>
      <c r="E56" s="97">
        <f t="shared" si="10"/>
        <v>0</v>
      </c>
      <c r="F56" s="96">
        <v>0</v>
      </c>
      <c r="G56" s="96">
        <v>0</v>
      </c>
      <c r="H56" s="96">
        <v>0</v>
      </c>
      <c r="I56" s="96">
        <v>0</v>
      </c>
      <c r="J56" s="96">
        <v>0</v>
      </c>
      <c r="K56" s="99">
        <f t="shared" si="11"/>
        <v>0</v>
      </c>
      <c r="L56" s="96">
        <v>0</v>
      </c>
      <c r="M56" s="96">
        <v>0</v>
      </c>
      <c r="N56" s="96">
        <v>0</v>
      </c>
      <c r="O56" s="96">
        <v>0</v>
      </c>
      <c r="P56" s="100">
        <v>0</v>
      </c>
      <c r="Q56" s="101">
        <f t="shared" si="12"/>
        <v>0</v>
      </c>
      <c r="R56" s="101">
        <f t="shared" si="13"/>
        <v>0</v>
      </c>
    </row>
    <row r="57" spans="1:18" ht="14.25" customHeight="1" x14ac:dyDescent="0.75">
      <c r="A57" s="93">
        <v>666510</v>
      </c>
      <c r="B57" s="94" t="s">
        <v>16</v>
      </c>
      <c r="C57" s="95" t="s">
        <v>169</v>
      </c>
      <c r="D57" s="96">
        <v>0</v>
      </c>
      <c r="E57" s="97">
        <f t="shared" si="10"/>
        <v>0</v>
      </c>
      <c r="F57" s="96">
        <v>0</v>
      </c>
      <c r="G57" s="96">
        <v>0</v>
      </c>
      <c r="H57" s="96">
        <v>0</v>
      </c>
      <c r="I57" s="96">
        <v>0</v>
      </c>
      <c r="J57" s="96">
        <v>0</v>
      </c>
      <c r="K57" s="99">
        <f t="shared" si="11"/>
        <v>0</v>
      </c>
      <c r="L57" s="96">
        <v>0</v>
      </c>
      <c r="M57" s="96">
        <v>0</v>
      </c>
      <c r="N57" s="96">
        <v>0</v>
      </c>
      <c r="O57" s="96">
        <v>0</v>
      </c>
      <c r="P57" s="100">
        <v>0</v>
      </c>
      <c r="Q57" s="101">
        <f t="shared" si="12"/>
        <v>0</v>
      </c>
      <c r="R57" s="101">
        <f t="shared" si="13"/>
        <v>0</v>
      </c>
    </row>
    <row r="58" spans="1:18" ht="14.25" customHeight="1" x14ac:dyDescent="0.75">
      <c r="A58" s="93">
        <v>666511</v>
      </c>
      <c r="B58" s="94" t="s">
        <v>18</v>
      </c>
      <c r="C58" s="95" t="s">
        <v>19</v>
      </c>
      <c r="D58" s="96">
        <v>0</v>
      </c>
      <c r="E58" s="97">
        <f t="shared" si="10"/>
        <v>0</v>
      </c>
      <c r="F58" s="96">
        <v>0</v>
      </c>
      <c r="G58" s="96">
        <v>0</v>
      </c>
      <c r="H58" s="96">
        <v>0</v>
      </c>
      <c r="I58" s="96">
        <v>0</v>
      </c>
      <c r="J58" s="96">
        <v>0</v>
      </c>
      <c r="K58" s="99">
        <f t="shared" si="11"/>
        <v>0</v>
      </c>
      <c r="L58" s="96">
        <v>0</v>
      </c>
      <c r="M58" s="96">
        <v>0</v>
      </c>
      <c r="N58" s="96">
        <v>0</v>
      </c>
      <c r="O58" s="96">
        <v>0</v>
      </c>
      <c r="P58" s="100">
        <v>0</v>
      </c>
      <c r="Q58" s="101">
        <f t="shared" si="12"/>
        <v>0</v>
      </c>
      <c r="R58" s="101">
        <f t="shared" si="13"/>
        <v>0</v>
      </c>
    </row>
    <row r="59" spans="1:18" ht="14.25" customHeight="1" x14ac:dyDescent="0.75">
      <c r="A59" s="93">
        <v>666513</v>
      </c>
      <c r="B59" s="94" t="s">
        <v>20</v>
      </c>
      <c r="C59" s="95" t="s">
        <v>21</v>
      </c>
      <c r="D59" s="96">
        <v>20</v>
      </c>
      <c r="E59" s="97">
        <f t="shared" si="10"/>
        <v>10</v>
      </c>
      <c r="F59" s="96">
        <v>20</v>
      </c>
      <c r="G59" s="96">
        <v>0</v>
      </c>
      <c r="H59" s="96">
        <v>0</v>
      </c>
      <c r="I59" s="96">
        <v>0</v>
      </c>
      <c r="J59" s="96">
        <v>0</v>
      </c>
      <c r="K59" s="99">
        <f t="shared" si="11"/>
        <v>0</v>
      </c>
      <c r="L59" s="96">
        <v>0</v>
      </c>
      <c r="M59" s="96">
        <v>0</v>
      </c>
      <c r="N59" s="96">
        <v>0</v>
      </c>
      <c r="O59" s="96">
        <v>0</v>
      </c>
      <c r="P59" s="100">
        <v>0</v>
      </c>
      <c r="Q59" s="133">
        <f t="shared" si="12"/>
        <v>20</v>
      </c>
      <c r="R59" s="101">
        <f t="shared" si="13"/>
        <v>0</v>
      </c>
    </row>
    <row r="60" spans="1:18" ht="14.25" customHeight="1" x14ac:dyDescent="0.75">
      <c r="A60" s="93">
        <v>666516</v>
      </c>
      <c r="B60" s="94" t="s">
        <v>22</v>
      </c>
      <c r="C60" s="95" t="s">
        <v>23</v>
      </c>
      <c r="D60" s="96">
        <v>27</v>
      </c>
      <c r="E60" s="97">
        <f t="shared" si="10"/>
        <v>13.5</v>
      </c>
      <c r="F60" s="96">
        <v>27</v>
      </c>
      <c r="G60" s="96">
        <v>0</v>
      </c>
      <c r="H60" s="96">
        <v>0</v>
      </c>
      <c r="I60" s="96">
        <v>0</v>
      </c>
      <c r="J60" s="96">
        <v>0</v>
      </c>
      <c r="K60" s="99">
        <f t="shared" si="11"/>
        <v>0</v>
      </c>
      <c r="L60" s="96">
        <v>0</v>
      </c>
      <c r="M60" s="96">
        <v>0</v>
      </c>
      <c r="N60" s="96">
        <v>0</v>
      </c>
      <c r="O60" s="96">
        <v>0</v>
      </c>
      <c r="P60" s="100">
        <v>0</v>
      </c>
      <c r="Q60" s="133">
        <f t="shared" si="12"/>
        <v>27</v>
      </c>
      <c r="R60" s="101">
        <f t="shared" si="13"/>
        <v>0</v>
      </c>
    </row>
    <row r="61" spans="1:18" ht="14.25" customHeight="1" x14ac:dyDescent="0.75">
      <c r="A61" s="93">
        <v>666517</v>
      </c>
      <c r="B61" s="94" t="s">
        <v>24</v>
      </c>
      <c r="C61" s="95" t="s">
        <v>25</v>
      </c>
      <c r="D61" s="96">
        <v>15</v>
      </c>
      <c r="E61" s="97">
        <f t="shared" si="10"/>
        <v>7.5</v>
      </c>
      <c r="F61" s="96">
        <v>15</v>
      </c>
      <c r="G61" s="96">
        <v>0</v>
      </c>
      <c r="H61" s="96">
        <v>0</v>
      </c>
      <c r="I61" s="96">
        <v>0</v>
      </c>
      <c r="J61" s="96">
        <v>0</v>
      </c>
      <c r="K61" s="99">
        <f t="shared" si="11"/>
        <v>0</v>
      </c>
      <c r="L61" s="96">
        <v>0</v>
      </c>
      <c r="M61" s="96">
        <v>0</v>
      </c>
      <c r="N61" s="96">
        <v>0</v>
      </c>
      <c r="O61" s="96">
        <v>0</v>
      </c>
      <c r="P61" s="100">
        <v>0</v>
      </c>
      <c r="Q61" s="133">
        <f t="shared" si="12"/>
        <v>15</v>
      </c>
      <c r="R61" s="101">
        <f t="shared" si="13"/>
        <v>0</v>
      </c>
    </row>
    <row r="62" spans="1:18" ht="14.25" customHeight="1" x14ac:dyDescent="0.75">
      <c r="A62" s="93">
        <v>666518</v>
      </c>
      <c r="B62" s="94" t="s">
        <v>26</v>
      </c>
      <c r="C62" s="95" t="s">
        <v>27</v>
      </c>
      <c r="D62" s="96">
        <v>0</v>
      </c>
      <c r="E62" s="97">
        <f t="shared" si="10"/>
        <v>0</v>
      </c>
      <c r="F62" s="96">
        <v>0</v>
      </c>
      <c r="G62" s="96">
        <v>0</v>
      </c>
      <c r="H62" s="96">
        <v>0</v>
      </c>
      <c r="I62" s="96">
        <v>0</v>
      </c>
      <c r="J62" s="96">
        <v>0</v>
      </c>
      <c r="K62" s="99">
        <f t="shared" si="11"/>
        <v>0</v>
      </c>
      <c r="L62" s="96">
        <v>0</v>
      </c>
      <c r="M62" s="96">
        <v>0</v>
      </c>
      <c r="N62" s="96">
        <v>0</v>
      </c>
      <c r="O62" s="96">
        <v>0</v>
      </c>
      <c r="P62" s="100">
        <v>0</v>
      </c>
      <c r="Q62" s="101">
        <f t="shared" si="12"/>
        <v>0</v>
      </c>
      <c r="R62" s="101">
        <f t="shared" si="13"/>
        <v>0</v>
      </c>
    </row>
    <row r="63" spans="1:18" ht="14.25" customHeight="1" x14ac:dyDescent="0.75">
      <c r="A63" s="93">
        <v>666519</v>
      </c>
      <c r="B63" s="94" t="s">
        <v>28</v>
      </c>
      <c r="C63" s="95" t="s">
        <v>29</v>
      </c>
      <c r="D63" s="96">
        <v>26</v>
      </c>
      <c r="E63" s="97">
        <f t="shared" si="10"/>
        <v>13</v>
      </c>
      <c r="F63" s="96">
        <v>26</v>
      </c>
      <c r="G63" s="96">
        <v>0</v>
      </c>
      <c r="H63" s="96">
        <v>0</v>
      </c>
      <c r="I63" s="96">
        <v>0</v>
      </c>
      <c r="J63" s="96">
        <v>0</v>
      </c>
      <c r="K63" s="99">
        <f t="shared" si="11"/>
        <v>0</v>
      </c>
      <c r="L63" s="96">
        <v>0</v>
      </c>
      <c r="M63" s="96">
        <v>0</v>
      </c>
      <c r="N63" s="96">
        <v>0</v>
      </c>
      <c r="O63" s="96">
        <v>0</v>
      </c>
      <c r="P63" s="100">
        <v>0</v>
      </c>
      <c r="Q63" s="133">
        <f t="shared" si="12"/>
        <v>26</v>
      </c>
      <c r="R63" s="101">
        <f t="shared" si="13"/>
        <v>0</v>
      </c>
    </row>
    <row r="64" spans="1:18" ht="14.25" customHeight="1" x14ac:dyDescent="0.75">
      <c r="A64" s="93">
        <v>666521</v>
      </c>
      <c r="B64" s="94" t="s">
        <v>30</v>
      </c>
      <c r="C64" s="95" t="s">
        <v>31</v>
      </c>
      <c r="D64" s="96">
        <v>0</v>
      </c>
      <c r="E64" s="97">
        <f t="shared" si="10"/>
        <v>0</v>
      </c>
      <c r="F64" s="96">
        <v>0</v>
      </c>
      <c r="G64" s="96">
        <v>0</v>
      </c>
      <c r="H64" s="96">
        <v>0</v>
      </c>
      <c r="I64" s="96">
        <v>0</v>
      </c>
      <c r="J64" s="96">
        <v>0</v>
      </c>
      <c r="K64" s="99">
        <f t="shared" si="11"/>
        <v>0</v>
      </c>
      <c r="L64" s="96">
        <v>0</v>
      </c>
      <c r="M64" s="96">
        <v>0</v>
      </c>
      <c r="N64" s="96">
        <v>0</v>
      </c>
      <c r="O64" s="96">
        <v>0</v>
      </c>
      <c r="P64" s="100">
        <v>0</v>
      </c>
      <c r="Q64" s="101">
        <f t="shared" si="12"/>
        <v>0</v>
      </c>
      <c r="R64" s="101">
        <f t="shared" si="13"/>
        <v>0</v>
      </c>
    </row>
    <row r="65" spans="1:18" ht="14.25" customHeight="1" x14ac:dyDescent="0.75">
      <c r="A65" s="93">
        <v>666522</v>
      </c>
      <c r="B65" s="94" t="s">
        <v>32</v>
      </c>
      <c r="C65" s="95" t="s">
        <v>33</v>
      </c>
      <c r="D65" s="96">
        <v>125</v>
      </c>
      <c r="E65" s="97">
        <f t="shared" si="10"/>
        <v>62.5</v>
      </c>
      <c r="F65" s="96">
        <v>65</v>
      </c>
      <c r="G65" s="96">
        <v>60</v>
      </c>
      <c r="H65" s="96">
        <v>0</v>
      </c>
      <c r="I65" s="96">
        <v>0</v>
      </c>
      <c r="J65" s="96">
        <v>0</v>
      </c>
      <c r="K65" s="99">
        <f t="shared" si="11"/>
        <v>0</v>
      </c>
      <c r="L65" s="96">
        <v>0</v>
      </c>
      <c r="M65" s="96">
        <v>0</v>
      </c>
      <c r="N65" s="96">
        <v>0</v>
      </c>
      <c r="O65" s="96">
        <v>0</v>
      </c>
      <c r="P65" s="100">
        <v>0</v>
      </c>
      <c r="Q65" s="133">
        <f t="shared" si="12"/>
        <v>125</v>
      </c>
      <c r="R65" s="101">
        <f t="shared" si="13"/>
        <v>0</v>
      </c>
    </row>
    <row r="66" spans="1:18" ht="14.25" customHeight="1" x14ac:dyDescent="0.75">
      <c r="A66" s="93">
        <v>666523</v>
      </c>
      <c r="B66" s="94" t="s">
        <v>34</v>
      </c>
      <c r="C66" s="95" t="s">
        <v>35</v>
      </c>
      <c r="D66" s="96">
        <v>40</v>
      </c>
      <c r="E66" s="97">
        <f t="shared" si="10"/>
        <v>20</v>
      </c>
      <c r="F66" s="96">
        <v>23</v>
      </c>
      <c r="G66" s="96">
        <v>17</v>
      </c>
      <c r="H66" s="96">
        <v>0</v>
      </c>
      <c r="I66" s="96">
        <v>0</v>
      </c>
      <c r="J66" s="96">
        <v>0</v>
      </c>
      <c r="K66" s="99">
        <f t="shared" si="11"/>
        <v>0</v>
      </c>
      <c r="L66" s="96">
        <v>0</v>
      </c>
      <c r="M66" s="96">
        <v>0</v>
      </c>
      <c r="N66" s="96">
        <v>0</v>
      </c>
      <c r="O66" s="96">
        <v>0</v>
      </c>
      <c r="P66" s="100">
        <v>0</v>
      </c>
      <c r="Q66" s="133">
        <f t="shared" si="12"/>
        <v>40</v>
      </c>
      <c r="R66" s="101">
        <f t="shared" si="13"/>
        <v>0</v>
      </c>
    </row>
    <row r="67" spans="1:18" ht="14.25" customHeight="1" x14ac:dyDescent="0.75">
      <c r="A67" s="93">
        <v>666530</v>
      </c>
      <c r="B67" s="94" t="s">
        <v>36</v>
      </c>
      <c r="C67" s="95" t="s">
        <v>37</v>
      </c>
      <c r="D67" s="96">
        <v>24</v>
      </c>
      <c r="E67" s="97">
        <f t="shared" si="10"/>
        <v>12</v>
      </c>
      <c r="F67" s="96">
        <v>0</v>
      </c>
      <c r="G67" s="96">
        <v>24</v>
      </c>
      <c r="H67" s="96">
        <v>0</v>
      </c>
      <c r="I67" s="96">
        <v>0</v>
      </c>
      <c r="J67" s="96">
        <v>0</v>
      </c>
      <c r="K67" s="99">
        <f t="shared" si="11"/>
        <v>0</v>
      </c>
      <c r="L67" s="96">
        <v>0</v>
      </c>
      <c r="M67" s="96">
        <v>0</v>
      </c>
      <c r="N67" s="96">
        <v>0</v>
      </c>
      <c r="O67" s="96">
        <v>0</v>
      </c>
      <c r="P67" s="100">
        <v>0</v>
      </c>
      <c r="Q67" s="133">
        <f t="shared" si="12"/>
        <v>24</v>
      </c>
      <c r="R67" s="101">
        <f t="shared" si="13"/>
        <v>0</v>
      </c>
    </row>
    <row r="68" spans="1:18" ht="14.25" customHeight="1" x14ac:dyDescent="0.75">
      <c r="A68" s="93">
        <v>666531</v>
      </c>
      <c r="B68" s="94" t="s">
        <v>38</v>
      </c>
      <c r="C68" s="95" t="s">
        <v>39</v>
      </c>
      <c r="D68" s="96">
        <v>8</v>
      </c>
      <c r="E68" s="97">
        <f t="shared" si="10"/>
        <v>4</v>
      </c>
      <c r="F68" s="96">
        <v>8</v>
      </c>
      <c r="G68" s="96">
        <v>0</v>
      </c>
      <c r="H68" s="96">
        <v>0</v>
      </c>
      <c r="I68" s="96">
        <v>0</v>
      </c>
      <c r="J68" s="96">
        <v>0</v>
      </c>
      <c r="K68" s="99">
        <f t="shared" si="11"/>
        <v>0</v>
      </c>
      <c r="L68" s="96">
        <v>0</v>
      </c>
      <c r="M68" s="96">
        <v>0</v>
      </c>
      <c r="N68" s="96">
        <v>0</v>
      </c>
      <c r="O68" s="96">
        <v>0</v>
      </c>
      <c r="P68" s="100">
        <v>0</v>
      </c>
      <c r="Q68" s="133">
        <f t="shared" si="12"/>
        <v>8</v>
      </c>
      <c r="R68" s="101">
        <f t="shared" si="13"/>
        <v>0</v>
      </c>
    </row>
    <row r="69" spans="1:18" ht="14.25" customHeight="1" x14ac:dyDescent="0.75">
      <c r="A69" s="93">
        <v>666540</v>
      </c>
      <c r="B69" s="94" t="s">
        <v>40</v>
      </c>
      <c r="C69" s="95" t="s">
        <v>40</v>
      </c>
      <c r="D69" s="96">
        <v>0</v>
      </c>
      <c r="E69" s="97">
        <f t="shared" si="10"/>
        <v>0</v>
      </c>
      <c r="F69" s="96">
        <v>0</v>
      </c>
      <c r="G69" s="96">
        <v>0</v>
      </c>
      <c r="H69" s="96">
        <v>0</v>
      </c>
      <c r="I69" s="96">
        <v>0</v>
      </c>
      <c r="J69" s="96">
        <v>0</v>
      </c>
      <c r="K69" s="99">
        <f t="shared" si="11"/>
        <v>0</v>
      </c>
      <c r="L69" s="96">
        <v>0</v>
      </c>
      <c r="M69" s="96">
        <v>0</v>
      </c>
      <c r="N69" s="96">
        <v>0</v>
      </c>
      <c r="O69" s="96">
        <v>0</v>
      </c>
      <c r="P69" s="100">
        <v>0</v>
      </c>
      <c r="Q69" s="101">
        <f t="shared" si="12"/>
        <v>0</v>
      </c>
      <c r="R69" s="101">
        <f t="shared" si="13"/>
        <v>0</v>
      </c>
    </row>
    <row r="70" spans="1:18" ht="15" customHeight="1" x14ac:dyDescent="0.75">
      <c r="A70" s="93">
        <v>666541</v>
      </c>
      <c r="B70" s="109" t="s">
        <v>41</v>
      </c>
      <c r="C70" s="95" t="s">
        <v>41</v>
      </c>
      <c r="D70" s="96">
        <v>0</v>
      </c>
      <c r="E70" s="97">
        <f t="shared" si="10"/>
        <v>0</v>
      </c>
      <c r="F70" s="96">
        <v>0</v>
      </c>
      <c r="G70" s="96">
        <v>0</v>
      </c>
      <c r="H70" s="96">
        <v>0</v>
      </c>
      <c r="I70" s="96">
        <v>0</v>
      </c>
      <c r="J70" s="96">
        <v>0</v>
      </c>
      <c r="K70" s="99">
        <f t="shared" si="11"/>
        <v>0</v>
      </c>
      <c r="L70" s="96">
        <v>0</v>
      </c>
      <c r="M70" s="96">
        <v>0</v>
      </c>
      <c r="N70" s="96">
        <v>0</v>
      </c>
      <c r="O70" s="96">
        <v>0</v>
      </c>
      <c r="P70" s="100">
        <v>0</v>
      </c>
      <c r="Q70" s="101">
        <f t="shared" si="12"/>
        <v>0</v>
      </c>
      <c r="R70" s="101">
        <f t="shared" si="13"/>
        <v>0</v>
      </c>
    </row>
    <row r="71" spans="1:18" ht="15" customHeight="1" x14ac:dyDescent="0.75">
      <c r="A71" s="108">
        <v>666536</v>
      </c>
      <c r="B71" s="109" t="s">
        <v>42</v>
      </c>
      <c r="C71" s="103" t="s">
        <v>41</v>
      </c>
      <c r="D71" s="104">
        <v>0</v>
      </c>
      <c r="E71" s="111">
        <f t="shared" si="10"/>
        <v>0</v>
      </c>
      <c r="F71" s="104">
        <v>0</v>
      </c>
      <c r="G71" s="104">
        <v>0</v>
      </c>
      <c r="H71" s="104">
        <v>0</v>
      </c>
      <c r="I71" s="104">
        <v>0</v>
      </c>
      <c r="J71" s="104">
        <v>0</v>
      </c>
      <c r="K71" s="106">
        <f t="shared" si="11"/>
        <v>0</v>
      </c>
      <c r="L71" s="96">
        <v>0</v>
      </c>
      <c r="M71" s="96">
        <v>0</v>
      </c>
      <c r="N71" s="96">
        <v>0</v>
      </c>
      <c r="O71" s="96">
        <v>0</v>
      </c>
      <c r="P71" s="100">
        <v>0</v>
      </c>
      <c r="Q71" s="101">
        <f t="shared" si="12"/>
        <v>0</v>
      </c>
      <c r="R71" s="101">
        <f t="shared" si="13"/>
        <v>0</v>
      </c>
    </row>
  </sheetData>
  <mergeCells count="3">
    <mergeCell ref="A1:E1"/>
    <mergeCell ref="A25:E25"/>
    <mergeCell ref="A49:E49"/>
  </mergeCells>
  <conditionalFormatting sqref="Q3">
    <cfRule type="cellIs" dxfId="103" priority="5" operator="equal">
      <formula>$D$3</formula>
    </cfRule>
  </conditionalFormatting>
  <conditionalFormatting sqref="Q5:Q24">
    <cfRule type="cellIs" dxfId="102" priority="4" operator="equal">
      <formula>$D$3</formula>
    </cfRule>
  </conditionalFormatting>
  <conditionalFormatting sqref="Q8">
    <cfRule type="cellIs" dxfId="101" priority="2" operator="lessThan">
      <formula>$D$8</formula>
    </cfRule>
    <cfRule type="cellIs" dxfId="100" priority="3" operator="equal">
      <formula>$D$8</formula>
    </cfRule>
  </conditionalFormatting>
  <pageMargins left="0.7" right="0.7" top="0.75" bottom="0.75" header="0.511811023622047" footer="0.511811023622047"/>
  <pageSetup scale="145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S27"/>
  <sheetViews>
    <sheetView zoomScaleNormal="100" workbookViewId="0">
      <selection activeCell="H7" sqref="H7"/>
    </sheetView>
  </sheetViews>
  <sheetFormatPr defaultColWidth="8.54296875" defaultRowHeight="14.75" x14ac:dyDescent="0.75"/>
  <cols>
    <col min="2" max="2" width="34.453125" customWidth="1"/>
    <col min="3" max="3" width="15.2265625" customWidth="1"/>
    <col min="4" max="4" width="10.86328125" hidden="1" customWidth="1"/>
  </cols>
  <sheetData>
    <row r="1" spans="1:12" ht="14.25" customHeight="1" x14ac:dyDescent="0.75">
      <c r="C1" s="145" t="s">
        <v>174</v>
      </c>
    </row>
    <row r="2" spans="1:12" ht="28.5" customHeight="1" x14ac:dyDescent="0.75">
      <c r="A2" s="51"/>
      <c r="B2" s="51" t="s">
        <v>178</v>
      </c>
      <c r="C2" s="51"/>
      <c r="D2" s="51" t="s">
        <v>144</v>
      </c>
      <c r="E2" s="53" t="s">
        <v>116</v>
      </c>
      <c r="F2" s="53" t="s">
        <v>145</v>
      </c>
      <c r="G2" s="56" t="s">
        <v>119</v>
      </c>
      <c r="H2" s="53" t="s">
        <v>146</v>
      </c>
      <c r="I2" s="51" t="s">
        <v>122</v>
      </c>
      <c r="J2" s="56" t="s">
        <v>147</v>
      </c>
      <c r="K2" s="51" t="s">
        <v>148</v>
      </c>
      <c r="L2" s="53" t="s">
        <v>149</v>
      </c>
    </row>
    <row r="3" spans="1:12" ht="14.25" customHeight="1" x14ac:dyDescent="0.75">
      <c r="A3" s="50"/>
      <c r="B3" s="50"/>
      <c r="C3" s="57" t="s">
        <v>150</v>
      </c>
      <c r="D3" s="57"/>
      <c r="E3" s="57"/>
      <c r="F3" s="59"/>
      <c r="G3" s="59"/>
      <c r="H3" s="59"/>
      <c r="I3" s="59"/>
      <c r="J3" s="59"/>
      <c r="K3" s="59"/>
      <c r="L3" s="59"/>
    </row>
    <row r="4" spans="1:12" ht="14.25" customHeight="1" x14ac:dyDescent="0.75">
      <c r="A4" s="62" t="s">
        <v>129</v>
      </c>
      <c r="B4" s="62" t="s">
        <v>2</v>
      </c>
      <c r="C4" s="62" t="s">
        <v>3</v>
      </c>
      <c r="D4" s="62"/>
      <c r="E4" s="62"/>
      <c r="F4" s="62"/>
      <c r="G4" s="62"/>
      <c r="H4" s="62"/>
      <c r="I4" s="62"/>
      <c r="J4" s="62"/>
      <c r="K4" s="62"/>
      <c r="L4" s="62"/>
    </row>
    <row r="5" spans="1:12" ht="14.25" customHeight="1" x14ac:dyDescent="0.75">
      <c r="A5" s="62"/>
      <c r="B5" s="62"/>
      <c r="C5" s="62" t="s">
        <v>151</v>
      </c>
      <c r="D5" s="62"/>
      <c r="E5" s="62"/>
      <c r="F5" s="50">
        <v>164</v>
      </c>
      <c r="G5" s="50"/>
      <c r="H5" s="50">
        <v>883</v>
      </c>
      <c r="I5" s="50"/>
      <c r="J5" s="50">
        <v>157</v>
      </c>
      <c r="K5" s="62" t="s">
        <v>152</v>
      </c>
      <c r="L5" s="62">
        <f>SUM(F5:J5)</f>
        <v>1204</v>
      </c>
    </row>
    <row r="6" spans="1:12" ht="14.25" customHeight="1" x14ac:dyDescent="0.75">
      <c r="A6" s="50">
        <v>666501</v>
      </c>
      <c r="B6" s="73" t="s">
        <v>4</v>
      </c>
      <c r="C6" s="73" t="s">
        <v>5</v>
      </c>
      <c r="D6" s="50">
        <f t="shared" ref="D6:D25" si="0">+K6</f>
        <v>546</v>
      </c>
      <c r="E6" s="50">
        <v>42</v>
      </c>
      <c r="F6" s="50">
        <v>42</v>
      </c>
      <c r="G6" s="50">
        <v>465</v>
      </c>
      <c r="H6" s="50">
        <v>465</v>
      </c>
      <c r="I6" s="50">
        <v>39</v>
      </c>
      <c r="J6" s="50">
        <v>39</v>
      </c>
      <c r="K6" s="50">
        <f t="shared" ref="K6:K27" si="1">+I6+G6+E6</f>
        <v>546</v>
      </c>
      <c r="L6" s="50">
        <f t="shared" ref="L6:L27" si="2">+F6+H6+J6</f>
        <v>546</v>
      </c>
    </row>
    <row r="7" spans="1:12" ht="14.25" customHeight="1" x14ac:dyDescent="0.75">
      <c r="A7" s="50">
        <v>666502</v>
      </c>
      <c r="B7" s="73" t="s">
        <v>6</v>
      </c>
      <c r="C7" s="73" t="s">
        <v>7</v>
      </c>
      <c r="D7" s="50">
        <f t="shared" si="0"/>
        <v>360</v>
      </c>
      <c r="E7" s="50">
        <v>0</v>
      </c>
      <c r="F7" s="50">
        <v>0</v>
      </c>
      <c r="G7" s="50">
        <v>260</v>
      </c>
      <c r="H7" s="50">
        <v>253</v>
      </c>
      <c r="I7" s="50">
        <v>100</v>
      </c>
      <c r="J7" s="50">
        <v>100</v>
      </c>
      <c r="K7" s="50">
        <f t="shared" si="1"/>
        <v>360</v>
      </c>
      <c r="L7" s="50">
        <f t="shared" si="2"/>
        <v>353</v>
      </c>
    </row>
    <row r="8" spans="1:12" ht="14.25" customHeight="1" x14ac:dyDescent="0.75">
      <c r="A8" s="50">
        <v>666505</v>
      </c>
      <c r="B8" s="73" t="s">
        <v>8</v>
      </c>
      <c r="C8" s="73" t="s">
        <v>9</v>
      </c>
      <c r="D8" s="50">
        <f t="shared" si="0"/>
        <v>50</v>
      </c>
      <c r="E8" s="50">
        <v>16</v>
      </c>
      <c r="F8" s="50">
        <v>16</v>
      </c>
      <c r="G8" s="50">
        <v>0</v>
      </c>
      <c r="H8" s="50">
        <v>0</v>
      </c>
      <c r="I8" s="50">
        <v>34</v>
      </c>
      <c r="J8" s="50">
        <v>34</v>
      </c>
      <c r="K8" s="50">
        <f t="shared" si="1"/>
        <v>50</v>
      </c>
      <c r="L8" s="50">
        <f t="shared" si="2"/>
        <v>50</v>
      </c>
    </row>
    <row r="9" spans="1:12" ht="14.25" customHeight="1" x14ac:dyDescent="0.75">
      <c r="A9" s="50">
        <v>666506</v>
      </c>
      <c r="B9" s="73" t="s">
        <v>10</v>
      </c>
      <c r="C9" s="73" t="s">
        <v>11</v>
      </c>
      <c r="D9" s="50">
        <f t="shared" si="0"/>
        <v>300</v>
      </c>
      <c r="E9" s="50">
        <v>0</v>
      </c>
      <c r="F9" s="50">
        <v>0</v>
      </c>
      <c r="G9" s="50">
        <v>300</v>
      </c>
      <c r="H9" s="50">
        <v>268</v>
      </c>
      <c r="I9" s="50">
        <v>0</v>
      </c>
      <c r="J9" s="50">
        <v>0</v>
      </c>
      <c r="K9" s="50">
        <f t="shared" si="1"/>
        <v>300</v>
      </c>
      <c r="L9" s="50">
        <f t="shared" si="2"/>
        <v>268</v>
      </c>
    </row>
    <row r="10" spans="1:12" ht="14.25" customHeight="1" x14ac:dyDescent="0.75">
      <c r="A10" s="50">
        <v>666507</v>
      </c>
      <c r="B10" s="73" t="s">
        <v>12</v>
      </c>
      <c r="C10" s="73" t="s">
        <v>13</v>
      </c>
      <c r="D10" s="50">
        <f t="shared" si="0"/>
        <v>16</v>
      </c>
      <c r="E10" s="50">
        <v>16</v>
      </c>
      <c r="F10" s="50">
        <v>16</v>
      </c>
      <c r="G10" s="50">
        <v>0</v>
      </c>
      <c r="H10" s="50">
        <v>0</v>
      </c>
      <c r="I10" s="50">
        <v>0</v>
      </c>
      <c r="J10" s="50">
        <v>0</v>
      </c>
      <c r="K10" s="50">
        <f t="shared" si="1"/>
        <v>16</v>
      </c>
      <c r="L10" s="50">
        <f t="shared" si="2"/>
        <v>16</v>
      </c>
    </row>
    <row r="11" spans="1:12" ht="14.25" customHeight="1" x14ac:dyDescent="0.75">
      <c r="A11" s="50">
        <v>666509</v>
      </c>
      <c r="B11" s="73" t="s">
        <v>14</v>
      </c>
      <c r="C11" s="73" t="s">
        <v>15</v>
      </c>
      <c r="D11" s="50">
        <f t="shared" si="0"/>
        <v>50</v>
      </c>
      <c r="E11" s="50">
        <v>50</v>
      </c>
      <c r="F11" s="50">
        <v>50</v>
      </c>
      <c r="G11" s="50">
        <v>0</v>
      </c>
      <c r="H11" s="50">
        <v>0</v>
      </c>
      <c r="I11" s="50">
        <v>0</v>
      </c>
      <c r="J11" s="50">
        <v>0</v>
      </c>
      <c r="K11" s="50">
        <f t="shared" si="1"/>
        <v>50</v>
      </c>
      <c r="L11" s="50">
        <f t="shared" si="2"/>
        <v>50</v>
      </c>
    </row>
    <row r="12" spans="1:12" ht="14.25" customHeight="1" x14ac:dyDescent="0.75">
      <c r="A12" s="50">
        <v>666510</v>
      </c>
      <c r="B12" s="73" t="s">
        <v>16</v>
      </c>
      <c r="C12" s="73" t="s">
        <v>169</v>
      </c>
      <c r="D12" s="50">
        <f t="shared" si="0"/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f t="shared" si="1"/>
        <v>0</v>
      </c>
      <c r="L12" s="50">
        <f t="shared" si="2"/>
        <v>0</v>
      </c>
    </row>
    <row r="13" spans="1:12" ht="14.25" customHeight="1" x14ac:dyDescent="0.75">
      <c r="A13" s="50">
        <v>666511</v>
      </c>
      <c r="B13" s="73" t="s">
        <v>18</v>
      </c>
      <c r="C13" s="73" t="s">
        <v>19</v>
      </c>
      <c r="D13" s="50">
        <f t="shared" si="0"/>
        <v>6</v>
      </c>
      <c r="E13" s="50">
        <v>6</v>
      </c>
      <c r="F13" s="50">
        <v>6</v>
      </c>
      <c r="G13" s="50">
        <v>0</v>
      </c>
      <c r="H13" s="50">
        <v>0</v>
      </c>
      <c r="I13" s="50">
        <v>0</v>
      </c>
      <c r="J13" s="50">
        <v>0</v>
      </c>
      <c r="K13" s="50">
        <f t="shared" si="1"/>
        <v>6</v>
      </c>
      <c r="L13" s="50">
        <f t="shared" si="2"/>
        <v>6</v>
      </c>
    </row>
    <row r="14" spans="1:12" ht="14.25" customHeight="1" x14ac:dyDescent="0.75">
      <c r="A14" s="50">
        <v>666513</v>
      </c>
      <c r="B14" s="73" t="s">
        <v>20</v>
      </c>
      <c r="C14" s="73" t="s">
        <v>21</v>
      </c>
      <c r="D14" s="50">
        <f t="shared" si="0"/>
        <v>28</v>
      </c>
      <c r="E14" s="50">
        <v>8</v>
      </c>
      <c r="F14" s="50">
        <v>8</v>
      </c>
      <c r="G14" s="50">
        <v>0</v>
      </c>
      <c r="H14" s="50">
        <v>0</v>
      </c>
      <c r="I14" s="50">
        <v>20</v>
      </c>
      <c r="J14" s="50">
        <v>20</v>
      </c>
      <c r="K14" s="50">
        <f t="shared" si="1"/>
        <v>28</v>
      </c>
      <c r="L14" s="50">
        <f t="shared" si="2"/>
        <v>28</v>
      </c>
    </row>
    <row r="15" spans="1:12" ht="14.25" customHeight="1" x14ac:dyDescent="0.75">
      <c r="A15" s="50">
        <v>666516</v>
      </c>
      <c r="B15" s="73" t="s">
        <v>22</v>
      </c>
      <c r="C15" s="73" t="s">
        <v>23</v>
      </c>
      <c r="D15" s="50">
        <f t="shared" si="0"/>
        <v>54</v>
      </c>
      <c r="E15" s="50">
        <v>27</v>
      </c>
      <c r="F15" s="50">
        <v>27</v>
      </c>
      <c r="G15" s="50">
        <v>0</v>
      </c>
      <c r="H15" s="50">
        <v>0</v>
      </c>
      <c r="I15" s="50">
        <v>27</v>
      </c>
      <c r="J15" s="50">
        <v>27</v>
      </c>
      <c r="K15" s="50">
        <f t="shared" si="1"/>
        <v>54</v>
      </c>
      <c r="L15" s="50">
        <f t="shared" si="2"/>
        <v>54</v>
      </c>
    </row>
    <row r="16" spans="1:12" ht="14.25" customHeight="1" x14ac:dyDescent="0.75">
      <c r="A16" s="50">
        <v>666517</v>
      </c>
      <c r="B16" s="73" t="s">
        <v>24</v>
      </c>
      <c r="C16" s="73" t="s">
        <v>25</v>
      </c>
      <c r="D16" s="50">
        <f t="shared" si="0"/>
        <v>48</v>
      </c>
      <c r="E16" s="50">
        <v>33</v>
      </c>
      <c r="F16" s="50">
        <v>33</v>
      </c>
      <c r="G16" s="50">
        <v>0</v>
      </c>
      <c r="H16" s="50">
        <v>0</v>
      </c>
      <c r="I16" s="50">
        <v>15</v>
      </c>
      <c r="J16" s="50">
        <v>15</v>
      </c>
      <c r="K16" s="50">
        <f t="shared" si="1"/>
        <v>48</v>
      </c>
      <c r="L16" s="50">
        <f t="shared" si="2"/>
        <v>48</v>
      </c>
    </row>
    <row r="17" spans="1:19" ht="14.25" customHeight="1" x14ac:dyDescent="0.75">
      <c r="A17" s="50">
        <v>666518</v>
      </c>
      <c r="B17" s="73" t="s">
        <v>26</v>
      </c>
      <c r="C17" s="73" t="s">
        <v>27</v>
      </c>
      <c r="D17" s="50">
        <f t="shared" si="0"/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f t="shared" si="1"/>
        <v>0</v>
      </c>
      <c r="L17" s="50">
        <f t="shared" si="2"/>
        <v>0</v>
      </c>
    </row>
    <row r="18" spans="1:19" ht="14.25" customHeight="1" x14ac:dyDescent="0.75">
      <c r="A18" s="50">
        <v>666519</v>
      </c>
      <c r="B18" s="73" t="s">
        <v>28</v>
      </c>
      <c r="C18" s="73" t="s">
        <v>29</v>
      </c>
      <c r="D18" s="50">
        <f t="shared" si="0"/>
        <v>52</v>
      </c>
      <c r="E18" s="50">
        <v>26</v>
      </c>
      <c r="F18" s="50">
        <v>26</v>
      </c>
      <c r="G18" s="50">
        <v>0</v>
      </c>
      <c r="H18" s="50">
        <v>0</v>
      </c>
      <c r="I18" s="50">
        <v>26</v>
      </c>
      <c r="J18" s="50">
        <v>26</v>
      </c>
      <c r="K18" s="50">
        <f t="shared" si="1"/>
        <v>52</v>
      </c>
      <c r="L18" s="50">
        <f t="shared" si="2"/>
        <v>52</v>
      </c>
    </row>
    <row r="19" spans="1:19" ht="14.25" customHeight="1" x14ac:dyDescent="0.75">
      <c r="A19" s="50">
        <v>666521</v>
      </c>
      <c r="B19" s="73" t="s">
        <v>30</v>
      </c>
      <c r="C19" s="73" t="s">
        <v>31</v>
      </c>
      <c r="D19" s="50">
        <f t="shared" si="0"/>
        <v>80</v>
      </c>
      <c r="E19" s="50">
        <v>80</v>
      </c>
      <c r="F19" s="50">
        <v>80</v>
      </c>
      <c r="G19" s="50">
        <v>0</v>
      </c>
      <c r="H19" s="50">
        <v>0</v>
      </c>
      <c r="I19" s="50">
        <v>0</v>
      </c>
      <c r="J19" s="50">
        <v>0</v>
      </c>
      <c r="K19" s="50">
        <f t="shared" si="1"/>
        <v>80</v>
      </c>
      <c r="L19" s="50">
        <f t="shared" si="2"/>
        <v>80</v>
      </c>
    </row>
    <row r="20" spans="1:19" ht="14.25" customHeight="1" x14ac:dyDescent="0.75">
      <c r="A20" s="50">
        <v>666522</v>
      </c>
      <c r="B20" s="73" t="s">
        <v>32</v>
      </c>
      <c r="C20" s="73" t="s">
        <v>33</v>
      </c>
      <c r="D20" s="50">
        <f t="shared" si="0"/>
        <v>355</v>
      </c>
      <c r="E20" s="50">
        <v>180</v>
      </c>
      <c r="F20" s="50">
        <v>180</v>
      </c>
      <c r="G20" s="50">
        <v>50</v>
      </c>
      <c r="H20" s="50">
        <v>50</v>
      </c>
      <c r="I20" s="50">
        <v>125</v>
      </c>
      <c r="J20" s="50">
        <v>125</v>
      </c>
      <c r="K20" s="50">
        <f t="shared" si="1"/>
        <v>355</v>
      </c>
      <c r="L20" s="50">
        <f t="shared" si="2"/>
        <v>355</v>
      </c>
    </row>
    <row r="21" spans="1:19" ht="14.25" customHeight="1" x14ac:dyDescent="0.75">
      <c r="A21" s="50">
        <v>666523</v>
      </c>
      <c r="B21" s="73" t="s">
        <v>34</v>
      </c>
      <c r="C21" s="73" t="s">
        <v>35</v>
      </c>
      <c r="D21" s="50">
        <f t="shared" si="0"/>
        <v>40</v>
      </c>
      <c r="E21" s="50">
        <v>0</v>
      </c>
      <c r="F21" s="50">
        <v>0</v>
      </c>
      <c r="G21" s="50">
        <v>0</v>
      </c>
      <c r="H21" s="50">
        <v>0</v>
      </c>
      <c r="I21" s="50">
        <v>40</v>
      </c>
      <c r="J21" s="50">
        <v>40</v>
      </c>
      <c r="K21" s="50">
        <f t="shared" si="1"/>
        <v>40</v>
      </c>
      <c r="L21" s="50">
        <f t="shared" si="2"/>
        <v>40</v>
      </c>
    </row>
    <row r="22" spans="1:19" ht="14.25" customHeight="1" x14ac:dyDescent="0.75">
      <c r="A22" s="50">
        <v>666530</v>
      </c>
      <c r="B22" s="73" t="s">
        <v>36</v>
      </c>
      <c r="C22" s="73" t="s">
        <v>37</v>
      </c>
      <c r="D22" s="50">
        <f t="shared" si="0"/>
        <v>24</v>
      </c>
      <c r="E22" s="50">
        <v>0</v>
      </c>
      <c r="F22" s="50">
        <v>0</v>
      </c>
      <c r="G22" s="50">
        <v>0</v>
      </c>
      <c r="H22" s="50">
        <v>0</v>
      </c>
      <c r="I22" s="50">
        <v>24</v>
      </c>
      <c r="J22" s="50">
        <v>24</v>
      </c>
      <c r="K22" s="50">
        <f t="shared" si="1"/>
        <v>24</v>
      </c>
      <c r="L22" s="50">
        <f t="shared" si="2"/>
        <v>24</v>
      </c>
    </row>
    <row r="23" spans="1:19" ht="14.25" customHeight="1" x14ac:dyDescent="0.75">
      <c r="A23" s="50">
        <v>666531</v>
      </c>
      <c r="B23" s="73" t="s">
        <v>38</v>
      </c>
      <c r="C23" s="73" t="s">
        <v>39</v>
      </c>
      <c r="D23" s="50">
        <f t="shared" si="0"/>
        <v>28</v>
      </c>
      <c r="E23" s="50">
        <v>20</v>
      </c>
      <c r="F23" s="50">
        <v>20</v>
      </c>
      <c r="G23" s="50">
        <v>0</v>
      </c>
      <c r="H23" s="50">
        <v>0</v>
      </c>
      <c r="I23" s="50">
        <v>8</v>
      </c>
      <c r="J23" s="50">
        <v>8</v>
      </c>
      <c r="K23" s="50">
        <f t="shared" si="1"/>
        <v>28</v>
      </c>
      <c r="L23" s="50">
        <f t="shared" si="2"/>
        <v>28</v>
      </c>
    </row>
    <row r="24" spans="1:19" ht="14.25" customHeight="1" x14ac:dyDescent="0.75">
      <c r="A24" s="50">
        <v>666540</v>
      </c>
      <c r="B24" s="73" t="s">
        <v>40</v>
      </c>
      <c r="C24" s="73" t="s">
        <v>40</v>
      </c>
      <c r="D24" s="50">
        <f t="shared" si="0"/>
        <v>40</v>
      </c>
      <c r="E24" s="50">
        <v>0</v>
      </c>
      <c r="F24" s="50">
        <v>0</v>
      </c>
      <c r="G24" s="50">
        <v>40</v>
      </c>
      <c r="H24" s="50">
        <v>0</v>
      </c>
      <c r="I24" s="50">
        <v>0</v>
      </c>
      <c r="J24" s="50">
        <v>0</v>
      </c>
      <c r="K24" s="50">
        <f t="shared" si="1"/>
        <v>40</v>
      </c>
      <c r="L24" s="50">
        <f t="shared" si="2"/>
        <v>0</v>
      </c>
    </row>
    <row r="25" spans="1:19" ht="14.25" customHeight="1" x14ac:dyDescent="0.75">
      <c r="A25" s="50">
        <v>666541</v>
      </c>
      <c r="B25" s="73" t="s">
        <v>41</v>
      </c>
      <c r="C25" s="73" t="s">
        <v>41</v>
      </c>
      <c r="D25" s="50">
        <f t="shared" si="0"/>
        <v>680</v>
      </c>
      <c r="E25" s="50">
        <v>0</v>
      </c>
      <c r="F25" s="50">
        <v>0</v>
      </c>
      <c r="G25" s="50">
        <v>680</v>
      </c>
      <c r="H25" s="50">
        <v>347</v>
      </c>
      <c r="I25" s="50">
        <v>0</v>
      </c>
      <c r="J25" s="50">
        <v>0</v>
      </c>
      <c r="K25" s="50">
        <f t="shared" si="1"/>
        <v>680</v>
      </c>
      <c r="L25" s="50">
        <f t="shared" si="2"/>
        <v>347</v>
      </c>
    </row>
    <row r="26" spans="1:19" s="74" customFormat="1" ht="14.25" customHeight="1" x14ac:dyDescent="0.75">
      <c r="A26" s="74">
        <v>666536</v>
      </c>
      <c r="B26" s="74" t="s">
        <v>42</v>
      </c>
      <c r="C26" s="74" t="s">
        <v>43</v>
      </c>
      <c r="E26" s="50">
        <v>40</v>
      </c>
      <c r="F26" s="50">
        <v>18</v>
      </c>
      <c r="G26" s="50">
        <v>0</v>
      </c>
      <c r="H26" s="50">
        <v>0</v>
      </c>
      <c r="I26" s="50">
        <v>0</v>
      </c>
      <c r="J26" s="50">
        <v>0</v>
      </c>
      <c r="K26" s="50">
        <f t="shared" si="1"/>
        <v>40</v>
      </c>
      <c r="L26" s="50">
        <f t="shared" si="2"/>
        <v>18</v>
      </c>
      <c r="S26" s="74">
        <v>2</v>
      </c>
    </row>
    <row r="27" spans="1:19" ht="14.25" customHeight="1" x14ac:dyDescent="0.75">
      <c r="A27" s="50" t="s">
        <v>193</v>
      </c>
      <c r="B27" s="73" t="s">
        <v>198</v>
      </c>
      <c r="C27" s="73" t="s">
        <v>198</v>
      </c>
      <c r="D27" s="50"/>
      <c r="E27" s="50">
        <v>100</v>
      </c>
      <c r="F27" s="50">
        <v>100</v>
      </c>
      <c r="G27" s="50">
        <v>0</v>
      </c>
      <c r="H27" s="50">
        <v>0</v>
      </c>
      <c r="I27" s="50">
        <v>0</v>
      </c>
      <c r="J27" s="50">
        <v>0</v>
      </c>
      <c r="K27" s="50">
        <f t="shared" si="1"/>
        <v>100</v>
      </c>
      <c r="L27" s="50">
        <f t="shared" si="2"/>
        <v>100</v>
      </c>
    </row>
  </sheetData>
  <conditionalFormatting sqref="K6:K27">
    <cfRule type="cellIs" dxfId="99" priority="2" operator="equal">
      <formula>0</formula>
    </cfRule>
  </conditionalFormatting>
  <conditionalFormatting sqref="L6:L27">
    <cfRule type="expression" dxfId="98" priority="3">
      <formula>K6=L6</formula>
    </cfRule>
    <cfRule type="expression" dxfId="97" priority="4">
      <formula>K6&lt;L6</formula>
    </cfRule>
    <cfRule type="expression" dxfId="96" priority="5">
      <formula>K6&gt;L6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AA51"/>
  <sheetViews>
    <sheetView topLeftCell="B1" zoomScaleNormal="100" workbookViewId="0">
      <selection activeCell="H19" sqref="H19"/>
    </sheetView>
  </sheetViews>
  <sheetFormatPr defaultColWidth="8.6796875" defaultRowHeight="14.75" x14ac:dyDescent="0.75"/>
  <cols>
    <col min="1" max="1" width="8.6796875" style="50"/>
    <col min="2" max="2" width="41.54296875" style="50" customWidth="1"/>
    <col min="3" max="3" width="22.6796875" style="50" customWidth="1"/>
    <col min="4" max="4" width="9.54296875" style="50" hidden="1" customWidth="1"/>
    <col min="5" max="6" width="8.6796875" style="50"/>
    <col min="7" max="7" width="7.31640625" style="50" customWidth="1"/>
    <col min="8" max="8" width="8.453125" style="50" customWidth="1"/>
    <col min="9" max="9" width="7.453125" style="50" customWidth="1"/>
    <col min="10" max="10" width="8.08984375" style="50" customWidth="1"/>
    <col min="11" max="11" width="8.54296875" style="50" customWidth="1"/>
    <col min="12" max="16384" width="8.6796875" style="50"/>
  </cols>
  <sheetData>
    <row r="1" spans="1:27" s="51" customFormat="1" ht="28.5" customHeight="1" x14ac:dyDescent="0.75">
      <c r="C1" s="51" t="s">
        <v>175</v>
      </c>
      <c r="D1" s="51" t="s">
        <v>144</v>
      </c>
      <c r="E1" s="52" t="s">
        <v>116</v>
      </c>
      <c r="F1" s="53" t="s">
        <v>145</v>
      </c>
      <c r="G1" s="54" t="s">
        <v>119</v>
      </c>
      <c r="H1" s="53" t="s">
        <v>146</v>
      </c>
      <c r="I1" s="153" t="s">
        <v>122</v>
      </c>
      <c r="J1" s="56" t="s">
        <v>147</v>
      </c>
      <c r="K1" s="51" t="s">
        <v>148</v>
      </c>
      <c r="L1" s="53" t="s">
        <v>149</v>
      </c>
      <c r="M1" s="51" t="s">
        <v>56</v>
      </c>
      <c r="N1" s="51" t="s">
        <v>58</v>
      </c>
      <c r="O1" s="51" t="s">
        <v>66</v>
      </c>
      <c r="P1" s="51" t="s">
        <v>56</v>
      </c>
      <c r="Q1" s="51" t="s">
        <v>58</v>
      </c>
      <c r="R1" s="51" t="s">
        <v>66</v>
      </c>
      <c r="S1" s="51" t="s">
        <v>56</v>
      </c>
      <c r="T1" s="51" t="s">
        <v>58</v>
      </c>
      <c r="U1" s="51" t="s">
        <v>66</v>
      </c>
      <c r="V1" s="51" t="s">
        <v>56</v>
      </c>
      <c r="W1" s="51" t="s">
        <v>58</v>
      </c>
      <c r="X1" s="51" t="s">
        <v>66</v>
      </c>
      <c r="Y1" s="51" t="s">
        <v>56</v>
      </c>
      <c r="Z1" s="51" t="s">
        <v>58</v>
      </c>
      <c r="AA1" s="51" t="s">
        <v>66</v>
      </c>
    </row>
    <row r="2" spans="1:27" ht="14.25" customHeight="1" x14ac:dyDescent="0.75">
      <c r="C2" s="57" t="s">
        <v>150</v>
      </c>
      <c r="D2" s="57"/>
      <c r="E2" s="58"/>
      <c r="F2" s="59"/>
      <c r="G2" s="60"/>
      <c r="H2" s="59"/>
      <c r="I2" s="78"/>
      <c r="J2" s="59"/>
      <c r="K2" s="59"/>
      <c r="L2" s="59"/>
      <c r="M2" s="59" t="s">
        <v>65</v>
      </c>
      <c r="N2" s="59" t="s">
        <v>57</v>
      </c>
      <c r="O2" s="59" t="s">
        <v>55</v>
      </c>
      <c r="P2" s="59" t="s">
        <v>65</v>
      </c>
      <c r="Q2" s="59" t="s">
        <v>57</v>
      </c>
      <c r="R2" s="59" t="s">
        <v>55</v>
      </c>
      <c r="S2" s="59" t="s">
        <v>65</v>
      </c>
      <c r="T2" s="59" t="s">
        <v>57</v>
      </c>
      <c r="U2" s="59" t="s">
        <v>55</v>
      </c>
      <c r="V2" s="59" t="s">
        <v>65</v>
      </c>
      <c r="W2" s="59" t="s">
        <v>57</v>
      </c>
      <c r="X2" s="59" t="s">
        <v>55</v>
      </c>
      <c r="Y2" s="59" t="s">
        <v>65</v>
      </c>
      <c r="Z2" s="59" t="s">
        <v>57</v>
      </c>
      <c r="AA2" s="59" t="s">
        <v>55</v>
      </c>
    </row>
    <row r="3" spans="1:27" ht="14.25" customHeight="1" x14ac:dyDescent="0.75">
      <c r="A3" s="62" t="s">
        <v>129</v>
      </c>
      <c r="B3" s="62" t="s">
        <v>2</v>
      </c>
      <c r="C3" s="62" t="s">
        <v>3</v>
      </c>
      <c r="D3" s="62"/>
      <c r="E3" s="58"/>
      <c r="F3" s="62"/>
      <c r="G3" s="63"/>
      <c r="H3" s="62"/>
      <c r="I3" s="154"/>
      <c r="J3" s="62"/>
      <c r="K3" s="62"/>
      <c r="L3" s="62"/>
      <c r="M3" s="62" t="s">
        <v>54</v>
      </c>
      <c r="N3" s="62" t="s">
        <v>54</v>
      </c>
      <c r="O3" s="62" t="s">
        <v>54</v>
      </c>
      <c r="P3" s="62" t="s">
        <v>59</v>
      </c>
      <c r="Q3" s="62" t="s">
        <v>59</v>
      </c>
      <c r="R3" s="62" t="s">
        <v>59</v>
      </c>
      <c r="S3" s="62" t="s">
        <v>60</v>
      </c>
      <c r="T3" s="62" t="s">
        <v>60</v>
      </c>
      <c r="U3" s="62" t="s">
        <v>60</v>
      </c>
      <c r="V3" s="62" t="s">
        <v>62</v>
      </c>
      <c r="W3" s="62" t="s">
        <v>62</v>
      </c>
      <c r="X3" s="62" t="s">
        <v>62</v>
      </c>
      <c r="Y3" s="62" t="s">
        <v>63</v>
      </c>
      <c r="Z3" s="62" t="s">
        <v>63</v>
      </c>
      <c r="AA3" s="62" t="s">
        <v>63</v>
      </c>
    </row>
    <row r="4" spans="1:27" ht="14.25" customHeight="1" x14ac:dyDescent="0.75">
      <c r="A4" s="62"/>
      <c r="B4" s="62"/>
      <c r="C4" s="62" t="s">
        <v>151</v>
      </c>
      <c r="D4" s="62"/>
      <c r="E4" s="58"/>
      <c r="F4" s="50">
        <f t="shared" ref="F4:F26" si="0">+M4+P4+S4+V4+Y4</f>
        <v>81</v>
      </c>
      <c r="G4" s="63"/>
      <c r="H4" s="50">
        <f t="shared" ref="H4:H26" si="1">+N4+Q4+T4+W4+Z4</f>
        <v>697</v>
      </c>
      <c r="I4" s="154"/>
      <c r="J4" s="50">
        <f t="shared" ref="J4:J26" si="2">+O4+R4+U4+X4+AA4</f>
        <v>103</v>
      </c>
      <c r="K4" s="62"/>
      <c r="L4" s="62"/>
      <c r="M4" s="62"/>
      <c r="N4" s="62">
        <v>113</v>
      </c>
      <c r="O4" s="62">
        <v>34</v>
      </c>
      <c r="Q4" s="62">
        <v>134</v>
      </c>
      <c r="R4" s="62">
        <v>39</v>
      </c>
      <c r="S4" s="62">
        <v>36</v>
      </c>
      <c r="T4" s="62">
        <v>184</v>
      </c>
      <c r="U4" s="62"/>
      <c r="V4" s="62">
        <v>33</v>
      </c>
      <c r="W4" s="62">
        <v>102</v>
      </c>
      <c r="X4" s="62">
        <v>30</v>
      </c>
      <c r="Y4" s="62">
        <v>12</v>
      </c>
      <c r="Z4" s="62">
        <v>164</v>
      </c>
    </row>
    <row r="5" spans="1:27" ht="14.25" customHeight="1" x14ac:dyDescent="0.75">
      <c r="A5" s="50">
        <v>666501</v>
      </c>
      <c r="B5" s="50" t="s">
        <v>4</v>
      </c>
      <c r="C5" s="50" t="s">
        <v>5</v>
      </c>
      <c r="E5" s="67">
        <v>45</v>
      </c>
      <c r="F5" s="70">
        <f t="shared" si="0"/>
        <v>45</v>
      </c>
      <c r="G5" s="60">
        <v>423</v>
      </c>
      <c r="H5" s="50">
        <f t="shared" si="1"/>
        <v>282</v>
      </c>
      <c r="I5" s="78">
        <v>39</v>
      </c>
      <c r="J5" s="70">
        <f t="shared" si="2"/>
        <v>39</v>
      </c>
      <c r="K5" s="50">
        <f t="shared" ref="K5:K26" si="3">+E5+G5+I5</f>
        <v>507</v>
      </c>
      <c r="L5" s="50">
        <f t="shared" ref="L5:L26" si="4">+F5+H5+J5</f>
        <v>366</v>
      </c>
      <c r="M5" s="50">
        <v>45</v>
      </c>
      <c r="O5" s="50">
        <v>21</v>
      </c>
      <c r="Q5" s="50">
        <v>57</v>
      </c>
      <c r="R5" s="50">
        <v>18</v>
      </c>
      <c r="T5" s="50">
        <v>141</v>
      </c>
      <c r="Z5" s="50">
        <v>84</v>
      </c>
    </row>
    <row r="6" spans="1:27" ht="14.25" customHeight="1" x14ac:dyDescent="0.75">
      <c r="A6" s="50">
        <v>666502</v>
      </c>
      <c r="B6" s="50" t="s">
        <v>6</v>
      </c>
      <c r="C6" s="50" t="s">
        <v>7</v>
      </c>
      <c r="E6" s="67"/>
      <c r="F6" s="50">
        <f t="shared" si="0"/>
        <v>0</v>
      </c>
      <c r="G6" s="60">
        <v>260</v>
      </c>
      <c r="H6" s="50">
        <f t="shared" si="1"/>
        <v>145</v>
      </c>
      <c r="I6" s="78">
        <v>100</v>
      </c>
      <c r="J6" s="50">
        <f t="shared" si="2"/>
        <v>37</v>
      </c>
      <c r="K6" s="50">
        <f t="shared" si="3"/>
        <v>360</v>
      </c>
      <c r="L6" s="50">
        <f t="shared" si="4"/>
        <v>182</v>
      </c>
      <c r="N6" s="50">
        <v>9</v>
      </c>
      <c r="Q6" s="50">
        <v>25</v>
      </c>
      <c r="R6" s="50">
        <v>8</v>
      </c>
      <c r="T6" s="50">
        <v>48</v>
      </c>
      <c r="W6" s="50">
        <v>26</v>
      </c>
      <c r="X6" s="50">
        <v>29</v>
      </c>
      <c r="Z6" s="50">
        <v>37</v>
      </c>
    </row>
    <row r="7" spans="1:27" ht="14.25" customHeight="1" x14ac:dyDescent="0.75">
      <c r="A7" s="50">
        <v>666505</v>
      </c>
      <c r="B7" s="50" t="s">
        <v>8</v>
      </c>
      <c r="C7" s="50" t="s">
        <v>9</v>
      </c>
      <c r="E7" s="67">
        <v>16</v>
      </c>
      <c r="F7" s="70">
        <f t="shared" si="0"/>
        <v>16</v>
      </c>
      <c r="G7" s="60"/>
      <c r="H7" s="50">
        <f t="shared" si="1"/>
        <v>0</v>
      </c>
      <c r="I7" s="78">
        <v>34</v>
      </c>
      <c r="J7" s="70">
        <f t="shared" si="2"/>
        <v>34</v>
      </c>
      <c r="K7" s="50">
        <f t="shared" si="3"/>
        <v>50</v>
      </c>
      <c r="L7" s="50">
        <f t="shared" si="4"/>
        <v>50</v>
      </c>
      <c r="M7" s="50">
        <v>16</v>
      </c>
      <c r="O7" s="50">
        <v>17</v>
      </c>
      <c r="R7" s="50">
        <v>17</v>
      </c>
    </row>
    <row r="8" spans="1:27" ht="14.25" customHeight="1" x14ac:dyDescent="0.75">
      <c r="A8" s="50">
        <v>666506</v>
      </c>
      <c r="B8" s="50" t="s">
        <v>10</v>
      </c>
      <c r="C8" s="50" t="s">
        <v>11</v>
      </c>
      <c r="E8" s="67"/>
      <c r="F8" s="50">
        <f t="shared" si="0"/>
        <v>0</v>
      </c>
      <c r="G8" s="60">
        <v>203</v>
      </c>
      <c r="H8" s="50">
        <f t="shared" si="1"/>
        <v>203</v>
      </c>
      <c r="I8" s="78"/>
      <c r="J8" s="50">
        <f t="shared" si="2"/>
        <v>0</v>
      </c>
      <c r="K8" s="50">
        <f t="shared" si="3"/>
        <v>203</v>
      </c>
      <c r="L8" s="50">
        <f t="shared" si="4"/>
        <v>203</v>
      </c>
      <c r="N8" s="50">
        <v>49</v>
      </c>
      <c r="Q8" s="50">
        <v>45</v>
      </c>
      <c r="T8" s="50">
        <v>27</v>
      </c>
      <c r="W8" s="50">
        <v>41</v>
      </c>
      <c r="Z8" s="50">
        <v>41</v>
      </c>
    </row>
    <row r="9" spans="1:27" ht="14.25" customHeight="1" x14ac:dyDescent="0.75">
      <c r="A9" s="50">
        <v>666507</v>
      </c>
      <c r="B9" s="50" t="s">
        <v>12</v>
      </c>
      <c r="C9" s="50" t="s">
        <v>13</v>
      </c>
      <c r="E9" s="67">
        <v>16</v>
      </c>
      <c r="F9" s="50">
        <f t="shared" si="0"/>
        <v>0</v>
      </c>
      <c r="G9" s="60"/>
      <c r="H9" s="50">
        <f t="shared" si="1"/>
        <v>0</v>
      </c>
      <c r="I9" s="78"/>
      <c r="J9" s="50">
        <f t="shared" si="2"/>
        <v>0</v>
      </c>
      <c r="K9" s="50">
        <f t="shared" si="3"/>
        <v>16</v>
      </c>
      <c r="L9" s="50">
        <f t="shared" si="4"/>
        <v>0</v>
      </c>
    </row>
    <row r="10" spans="1:27" ht="14.25" customHeight="1" x14ac:dyDescent="0.75">
      <c r="A10" s="50">
        <v>666509</v>
      </c>
      <c r="B10" s="50" t="s">
        <v>14</v>
      </c>
      <c r="C10" s="50" t="s">
        <v>15</v>
      </c>
      <c r="E10" s="67">
        <v>50</v>
      </c>
      <c r="F10" s="70">
        <f t="shared" si="0"/>
        <v>50</v>
      </c>
      <c r="G10" s="60"/>
      <c r="H10" s="50">
        <f t="shared" si="1"/>
        <v>0</v>
      </c>
      <c r="I10" s="78"/>
      <c r="J10" s="50">
        <f t="shared" si="2"/>
        <v>0</v>
      </c>
      <c r="K10" s="50">
        <f t="shared" si="3"/>
        <v>50</v>
      </c>
      <c r="L10" s="50">
        <f t="shared" si="4"/>
        <v>50</v>
      </c>
      <c r="M10" s="50">
        <v>10</v>
      </c>
      <c r="S10" s="50">
        <v>19</v>
      </c>
      <c r="V10" s="50">
        <v>21</v>
      </c>
    </row>
    <row r="11" spans="1:27" ht="14.25" customHeight="1" x14ac:dyDescent="0.75">
      <c r="A11" s="50">
        <v>666510</v>
      </c>
      <c r="B11" s="50" t="s">
        <v>16</v>
      </c>
      <c r="C11" s="50" t="s">
        <v>17</v>
      </c>
      <c r="E11" s="67"/>
      <c r="F11" s="50">
        <f t="shared" si="0"/>
        <v>0</v>
      </c>
      <c r="G11" s="60"/>
      <c r="H11" s="50">
        <f t="shared" si="1"/>
        <v>0</v>
      </c>
      <c r="I11" s="78"/>
      <c r="J11" s="50">
        <f t="shared" si="2"/>
        <v>0</v>
      </c>
      <c r="K11" s="50">
        <f t="shared" si="3"/>
        <v>0</v>
      </c>
      <c r="L11" s="50">
        <f t="shared" si="4"/>
        <v>0</v>
      </c>
    </row>
    <row r="12" spans="1:27" ht="14.25" customHeight="1" x14ac:dyDescent="0.75">
      <c r="A12" s="50">
        <v>666511</v>
      </c>
      <c r="B12" s="50" t="s">
        <v>18</v>
      </c>
      <c r="C12" s="50" t="s">
        <v>19</v>
      </c>
      <c r="E12" s="67">
        <v>4</v>
      </c>
      <c r="F12" s="50">
        <f t="shared" si="0"/>
        <v>0</v>
      </c>
      <c r="G12" s="60"/>
      <c r="H12" s="50">
        <f t="shared" si="1"/>
        <v>0</v>
      </c>
      <c r="I12" s="78"/>
      <c r="J12" s="50">
        <f t="shared" si="2"/>
        <v>0</v>
      </c>
      <c r="K12" s="50">
        <f t="shared" si="3"/>
        <v>4</v>
      </c>
      <c r="L12" s="50">
        <f t="shared" si="4"/>
        <v>0</v>
      </c>
    </row>
    <row r="13" spans="1:27" ht="14.25" customHeight="1" x14ac:dyDescent="0.75">
      <c r="A13" s="50">
        <v>666513</v>
      </c>
      <c r="B13" s="50" t="s">
        <v>20</v>
      </c>
      <c r="C13" s="50" t="s">
        <v>21</v>
      </c>
      <c r="E13" s="67">
        <v>8</v>
      </c>
      <c r="F13" s="70">
        <f t="shared" si="0"/>
        <v>8</v>
      </c>
      <c r="G13" s="60"/>
      <c r="H13" s="50">
        <f t="shared" si="1"/>
        <v>0</v>
      </c>
      <c r="I13" s="78">
        <v>20</v>
      </c>
      <c r="J13" s="70">
        <f t="shared" si="2"/>
        <v>20</v>
      </c>
      <c r="K13" s="50">
        <f t="shared" si="3"/>
        <v>28</v>
      </c>
      <c r="L13" s="50">
        <f t="shared" si="4"/>
        <v>28</v>
      </c>
      <c r="M13" s="50">
        <v>8</v>
      </c>
      <c r="O13" s="50">
        <v>10</v>
      </c>
      <c r="R13" s="50">
        <v>10</v>
      </c>
    </row>
    <row r="14" spans="1:27" ht="14.25" customHeight="1" x14ac:dyDescent="0.75">
      <c r="A14" s="50">
        <v>666516</v>
      </c>
      <c r="B14" s="50" t="s">
        <v>22</v>
      </c>
      <c r="C14" s="50" t="s">
        <v>23</v>
      </c>
      <c r="E14" s="67">
        <v>20</v>
      </c>
      <c r="F14" s="70">
        <f t="shared" si="0"/>
        <v>20</v>
      </c>
      <c r="G14" s="60"/>
      <c r="H14" s="50">
        <f t="shared" si="1"/>
        <v>0</v>
      </c>
      <c r="I14" s="78">
        <v>20</v>
      </c>
      <c r="J14" s="70">
        <f t="shared" si="2"/>
        <v>20</v>
      </c>
      <c r="K14" s="50">
        <f t="shared" si="3"/>
        <v>40</v>
      </c>
      <c r="L14" s="50">
        <f t="shared" si="4"/>
        <v>40</v>
      </c>
      <c r="M14" s="50">
        <v>20</v>
      </c>
      <c r="O14" s="50">
        <v>10</v>
      </c>
      <c r="R14" s="50">
        <v>10</v>
      </c>
    </row>
    <row r="15" spans="1:27" ht="14.25" customHeight="1" x14ac:dyDescent="0.75">
      <c r="A15" s="50">
        <v>666517</v>
      </c>
      <c r="B15" s="50" t="s">
        <v>24</v>
      </c>
      <c r="C15" s="50" t="s">
        <v>25</v>
      </c>
      <c r="E15" s="67">
        <v>30</v>
      </c>
      <c r="F15" s="70">
        <f t="shared" si="0"/>
        <v>30</v>
      </c>
      <c r="G15" s="60"/>
      <c r="H15" s="50">
        <f t="shared" si="1"/>
        <v>0</v>
      </c>
      <c r="I15" s="78">
        <v>14</v>
      </c>
      <c r="J15" s="70">
        <f t="shared" si="2"/>
        <v>14</v>
      </c>
      <c r="K15" s="50">
        <f t="shared" si="3"/>
        <v>44</v>
      </c>
      <c r="L15" s="50">
        <f t="shared" si="4"/>
        <v>44</v>
      </c>
      <c r="M15" s="50">
        <v>25</v>
      </c>
      <c r="O15" s="50">
        <v>7</v>
      </c>
      <c r="R15" s="50">
        <v>7</v>
      </c>
      <c r="S15" s="50">
        <v>5</v>
      </c>
    </row>
    <row r="16" spans="1:27" ht="14.25" customHeight="1" x14ac:dyDescent="0.75">
      <c r="A16" s="50">
        <v>666518</v>
      </c>
      <c r="B16" s="50" t="s">
        <v>26</v>
      </c>
      <c r="C16" s="50" t="s">
        <v>27</v>
      </c>
      <c r="E16" s="67"/>
      <c r="F16" s="50">
        <f t="shared" si="0"/>
        <v>0</v>
      </c>
      <c r="G16" s="60"/>
      <c r="H16" s="50">
        <f t="shared" si="1"/>
        <v>0</v>
      </c>
      <c r="I16" s="78"/>
      <c r="J16" s="50">
        <f t="shared" si="2"/>
        <v>0</v>
      </c>
      <c r="K16" s="50">
        <f t="shared" si="3"/>
        <v>0</v>
      </c>
      <c r="L16" s="50">
        <f t="shared" si="4"/>
        <v>0</v>
      </c>
    </row>
    <row r="17" spans="1:26" ht="14.25" customHeight="1" x14ac:dyDescent="0.75">
      <c r="A17" s="50">
        <v>666519</v>
      </c>
      <c r="B17" s="50" t="s">
        <v>28</v>
      </c>
      <c r="C17" s="50" t="s">
        <v>29</v>
      </c>
      <c r="E17" s="67">
        <v>26</v>
      </c>
      <c r="F17" s="70">
        <f t="shared" si="0"/>
        <v>26</v>
      </c>
      <c r="G17" s="60"/>
      <c r="H17" s="50">
        <f t="shared" si="1"/>
        <v>0</v>
      </c>
      <c r="I17" s="78">
        <v>26</v>
      </c>
      <c r="J17" s="70">
        <f t="shared" si="2"/>
        <v>26</v>
      </c>
      <c r="K17" s="50">
        <f t="shared" si="3"/>
        <v>52</v>
      </c>
      <c r="L17" s="50">
        <f t="shared" si="4"/>
        <v>52</v>
      </c>
      <c r="M17" s="50">
        <v>25</v>
      </c>
      <c r="O17" s="50">
        <v>13</v>
      </c>
      <c r="R17" s="50">
        <v>13</v>
      </c>
      <c r="S17" s="50">
        <v>1</v>
      </c>
    </row>
    <row r="18" spans="1:26" ht="14.25" customHeight="1" x14ac:dyDescent="0.75">
      <c r="A18" s="50">
        <v>666521</v>
      </c>
      <c r="B18" s="50" t="s">
        <v>30</v>
      </c>
      <c r="C18" s="50" t="s">
        <v>31</v>
      </c>
      <c r="E18" s="67">
        <v>64</v>
      </c>
      <c r="F18" s="50">
        <f t="shared" si="0"/>
        <v>49</v>
      </c>
      <c r="G18" s="60"/>
      <c r="H18" s="50">
        <f t="shared" si="1"/>
        <v>0</v>
      </c>
      <c r="I18" s="78"/>
      <c r="J18" s="50">
        <f t="shared" si="2"/>
        <v>0</v>
      </c>
      <c r="K18" s="50">
        <f t="shared" si="3"/>
        <v>64</v>
      </c>
      <c r="L18" s="50">
        <f t="shared" si="4"/>
        <v>49</v>
      </c>
      <c r="M18" s="50">
        <v>12</v>
      </c>
      <c r="S18" s="50">
        <v>15</v>
      </c>
      <c r="V18" s="50">
        <v>14</v>
      </c>
      <c r="Y18" s="50">
        <v>8</v>
      </c>
    </row>
    <row r="19" spans="1:26" ht="14.25" customHeight="1" x14ac:dyDescent="0.75">
      <c r="A19" s="50">
        <v>666522</v>
      </c>
      <c r="B19" s="50" t="s">
        <v>32</v>
      </c>
      <c r="C19" s="50" t="s">
        <v>33</v>
      </c>
      <c r="E19" s="67">
        <v>180</v>
      </c>
      <c r="F19" s="50">
        <f t="shared" si="0"/>
        <v>105</v>
      </c>
      <c r="G19" s="60">
        <v>100</v>
      </c>
      <c r="H19" s="70">
        <f t="shared" si="1"/>
        <v>50</v>
      </c>
      <c r="I19" s="78">
        <v>125</v>
      </c>
      <c r="J19" s="50">
        <f t="shared" si="2"/>
        <v>105</v>
      </c>
      <c r="K19" s="50">
        <f t="shared" si="3"/>
        <v>405</v>
      </c>
      <c r="L19" s="50">
        <f t="shared" si="4"/>
        <v>260</v>
      </c>
      <c r="M19" s="50">
        <v>40</v>
      </c>
      <c r="O19" s="50">
        <v>30</v>
      </c>
      <c r="Q19" s="50">
        <v>50</v>
      </c>
      <c r="R19" s="50">
        <v>35</v>
      </c>
      <c r="S19" s="50">
        <v>30</v>
      </c>
      <c r="V19" s="50">
        <v>10</v>
      </c>
      <c r="X19" s="50">
        <v>40</v>
      </c>
      <c r="Y19" s="50">
        <v>25</v>
      </c>
    </row>
    <row r="20" spans="1:26" ht="14.25" customHeight="1" x14ac:dyDescent="0.75">
      <c r="A20" s="50">
        <v>666523</v>
      </c>
      <c r="B20" s="50" t="s">
        <v>34</v>
      </c>
      <c r="C20" s="50" t="s">
        <v>35</v>
      </c>
      <c r="E20" s="67"/>
      <c r="F20" s="50">
        <f t="shared" si="0"/>
        <v>0</v>
      </c>
      <c r="G20" s="60"/>
      <c r="H20" s="50">
        <f t="shared" si="1"/>
        <v>0</v>
      </c>
      <c r="I20" s="78">
        <v>32</v>
      </c>
      <c r="J20" s="70">
        <f t="shared" si="2"/>
        <v>32</v>
      </c>
      <c r="K20" s="50">
        <f t="shared" si="3"/>
        <v>32</v>
      </c>
      <c r="L20" s="50">
        <f t="shared" si="4"/>
        <v>32</v>
      </c>
      <c r="O20" s="50">
        <v>16</v>
      </c>
      <c r="R20" s="50">
        <v>16</v>
      </c>
    </row>
    <row r="21" spans="1:26" ht="14.25" customHeight="1" x14ac:dyDescent="0.75">
      <c r="A21" s="50">
        <v>666530</v>
      </c>
      <c r="B21" s="50" t="s">
        <v>36</v>
      </c>
      <c r="C21" s="50" t="s">
        <v>37</v>
      </c>
      <c r="E21" s="67"/>
      <c r="F21" s="50">
        <f t="shared" si="0"/>
        <v>0</v>
      </c>
      <c r="G21" s="60"/>
      <c r="H21" s="50">
        <f t="shared" si="1"/>
        <v>0</v>
      </c>
      <c r="I21" s="78">
        <v>24</v>
      </c>
      <c r="J21" s="70">
        <f t="shared" si="2"/>
        <v>24</v>
      </c>
      <c r="K21" s="50">
        <f t="shared" si="3"/>
        <v>24</v>
      </c>
      <c r="L21" s="50">
        <f t="shared" si="4"/>
        <v>24</v>
      </c>
      <c r="O21" s="50">
        <v>12</v>
      </c>
      <c r="R21" s="50">
        <v>12</v>
      </c>
    </row>
    <row r="22" spans="1:26" ht="14.25" customHeight="1" x14ac:dyDescent="0.75">
      <c r="A22" s="50">
        <v>666531</v>
      </c>
      <c r="B22" s="50" t="s">
        <v>38</v>
      </c>
      <c r="C22" s="50" t="s">
        <v>39</v>
      </c>
      <c r="E22" s="67">
        <v>20</v>
      </c>
      <c r="F22" s="50">
        <f t="shared" si="0"/>
        <v>13</v>
      </c>
      <c r="G22" s="60"/>
      <c r="H22" s="50">
        <f t="shared" si="1"/>
        <v>0</v>
      </c>
      <c r="I22" s="78">
        <v>8</v>
      </c>
      <c r="J22" s="50">
        <f t="shared" si="2"/>
        <v>2</v>
      </c>
      <c r="K22" s="50">
        <f t="shared" si="3"/>
        <v>28</v>
      </c>
      <c r="L22" s="50">
        <f t="shared" si="4"/>
        <v>15</v>
      </c>
      <c r="M22" s="50">
        <v>7</v>
      </c>
      <c r="O22" s="50">
        <v>1</v>
      </c>
      <c r="R22" s="50">
        <v>1</v>
      </c>
      <c r="S22" s="50">
        <v>6</v>
      </c>
    </row>
    <row r="23" spans="1:26" ht="14.25" customHeight="1" x14ac:dyDescent="0.75">
      <c r="A23" s="50">
        <v>666540</v>
      </c>
      <c r="B23" s="50" t="s">
        <v>40</v>
      </c>
      <c r="C23" s="50" t="s">
        <v>40</v>
      </c>
      <c r="E23" s="67"/>
      <c r="F23" s="50">
        <f t="shared" si="0"/>
        <v>0</v>
      </c>
      <c r="G23" s="60">
        <v>40</v>
      </c>
      <c r="H23" s="50">
        <f t="shared" si="1"/>
        <v>0</v>
      </c>
      <c r="I23" s="78"/>
      <c r="J23" s="50">
        <f t="shared" si="2"/>
        <v>0</v>
      </c>
      <c r="K23" s="50">
        <f t="shared" si="3"/>
        <v>40</v>
      </c>
      <c r="L23" s="50">
        <f t="shared" si="4"/>
        <v>0</v>
      </c>
    </row>
    <row r="24" spans="1:26" ht="14.25" customHeight="1" x14ac:dyDescent="0.75">
      <c r="A24" s="50">
        <v>666541</v>
      </c>
      <c r="B24" s="50" t="s">
        <v>41</v>
      </c>
      <c r="C24" s="50" t="s">
        <v>41</v>
      </c>
      <c r="E24" s="67"/>
      <c r="F24" s="50">
        <f t="shared" si="0"/>
        <v>0</v>
      </c>
      <c r="G24" s="60">
        <v>680</v>
      </c>
      <c r="H24" s="50">
        <f t="shared" si="1"/>
        <v>202</v>
      </c>
      <c r="I24" s="78"/>
      <c r="J24" s="50">
        <f t="shared" si="2"/>
        <v>0</v>
      </c>
      <c r="K24" s="50">
        <f t="shared" si="3"/>
        <v>680</v>
      </c>
      <c r="L24" s="50">
        <f t="shared" si="4"/>
        <v>202</v>
      </c>
      <c r="N24" s="50">
        <v>62</v>
      </c>
      <c r="Q24" s="50">
        <v>41</v>
      </c>
      <c r="T24" s="50">
        <v>30</v>
      </c>
      <c r="W24" s="50">
        <v>27</v>
      </c>
      <c r="Z24" s="50">
        <v>42</v>
      </c>
    </row>
    <row r="25" spans="1:26" ht="14.25" customHeight="1" x14ac:dyDescent="0.75">
      <c r="A25" s="50">
        <v>666536</v>
      </c>
      <c r="B25" s="50" t="s">
        <v>42</v>
      </c>
      <c r="C25" s="50" t="s">
        <v>43</v>
      </c>
      <c r="E25" s="67">
        <v>40</v>
      </c>
      <c r="F25" s="50">
        <f t="shared" si="0"/>
        <v>17</v>
      </c>
      <c r="G25" s="60"/>
      <c r="H25" s="50">
        <f t="shared" si="1"/>
        <v>0</v>
      </c>
      <c r="I25" s="78"/>
      <c r="J25" s="50">
        <f t="shared" si="2"/>
        <v>0</v>
      </c>
      <c r="K25" s="50">
        <f t="shared" si="3"/>
        <v>40</v>
      </c>
      <c r="L25" s="50">
        <f t="shared" si="4"/>
        <v>17</v>
      </c>
      <c r="M25" s="50">
        <v>7</v>
      </c>
      <c r="S25" s="50">
        <v>2</v>
      </c>
      <c r="V25" s="50">
        <v>3</v>
      </c>
      <c r="Y25" s="50">
        <v>5</v>
      </c>
    </row>
    <row r="26" spans="1:26" ht="14.25" customHeight="1" x14ac:dyDescent="0.75">
      <c r="A26" s="50" t="s">
        <v>193</v>
      </c>
      <c r="B26" s="50" t="s">
        <v>194</v>
      </c>
      <c r="C26" s="50" t="s">
        <v>199</v>
      </c>
      <c r="D26" s="71"/>
      <c r="E26" s="67">
        <v>100</v>
      </c>
      <c r="F26" s="50">
        <f t="shared" si="0"/>
        <v>40</v>
      </c>
      <c r="G26" s="60"/>
      <c r="H26" s="50">
        <f t="shared" si="1"/>
        <v>0</v>
      </c>
      <c r="I26" s="78"/>
      <c r="J26" s="50">
        <f t="shared" si="2"/>
        <v>0</v>
      </c>
      <c r="K26" s="50">
        <f t="shared" si="3"/>
        <v>100</v>
      </c>
      <c r="L26" s="50">
        <f t="shared" si="4"/>
        <v>40</v>
      </c>
      <c r="M26" s="50">
        <v>20</v>
      </c>
      <c r="S26" s="50">
        <v>20</v>
      </c>
    </row>
    <row r="27" spans="1:26" ht="14.25" customHeight="1" x14ac:dyDescent="0.75">
      <c r="C27" s="71"/>
      <c r="D27" s="71"/>
      <c r="E27" s="71"/>
      <c r="F27" s="71"/>
      <c r="G27" s="71"/>
      <c r="H27" s="71"/>
      <c r="I27" s="71"/>
      <c r="J27" s="71"/>
      <c r="L27" s="71"/>
    </row>
    <row r="28" spans="1:26" ht="14.25" customHeight="1" x14ac:dyDescent="0.75">
      <c r="C28" s="71"/>
      <c r="D28" s="71"/>
      <c r="E28" s="71"/>
      <c r="F28" s="71"/>
      <c r="G28" s="71"/>
      <c r="H28" s="71"/>
      <c r="I28" s="71"/>
      <c r="J28" s="71"/>
      <c r="L28" s="71"/>
    </row>
    <row r="29" spans="1:26" ht="14.25" customHeight="1" x14ac:dyDescent="0.75">
      <c r="C29" s="71"/>
      <c r="D29" s="71"/>
      <c r="E29" s="71"/>
      <c r="F29" s="71"/>
      <c r="G29" s="71"/>
      <c r="H29" s="71"/>
      <c r="I29" s="71"/>
      <c r="J29" s="71"/>
      <c r="L29" s="71"/>
    </row>
    <row r="30" spans="1:26" ht="14.25" customHeight="1" x14ac:dyDescent="0.75">
      <c r="C30" s="71"/>
      <c r="D30" s="71"/>
      <c r="E30" s="71"/>
      <c r="F30" s="71"/>
      <c r="G30" s="71"/>
      <c r="H30" s="71"/>
      <c r="I30" s="71"/>
      <c r="J30" s="71"/>
      <c r="L30" s="71"/>
    </row>
    <row r="31" spans="1:26" ht="14.25" customHeight="1" x14ac:dyDescent="0.75">
      <c r="C31" s="71"/>
      <c r="D31" s="71"/>
      <c r="E31" s="71"/>
      <c r="F31" s="71"/>
      <c r="G31" s="71"/>
      <c r="H31" s="71"/>
      <c r="I31" s="71"/>
      <c r="J31" s="71"/>
      <c r="L31" s="71"/>
    </row>
    <row r="32" spans="1:26" ht="14.25" customHeight="1" x14ac:dyDescent="0.75">
      <c r="C32" s="72"/>
      <c r="D32" s="71"/>
      <c r="E32" s="71"/>
      <c r="F32" s="71"/>
      <c r="G32" s="71"/>
      <c r="H32" s="71"/>
      <c r="I32" s="71"/>
      <c r="J32" s="71"/>
      <c r="L32" s="71"/>
    </row>
    <row r="33" spans="3:14" ht="14.25" customHeight="1" x14ac:dyDescent="0.75">
      <c r="C33" s="71"/>
      <c r="D33" s="71"/>
      <c r="E33" s="71"/>
      <c r="F33" s="71"/>
      <c r="G33" s="71"/>
      <c r="H33" s="71"/>
      <c r="I33" s="71"/>
      <c r="J33" s="71"/>
      <c r="L33" s="71"/>
    </row>
    <row r="34" spans="3:14" ht="14.25" customHeight="1" x14ac:dyDescent="0.75">
      <c r="C34" s="71"/>
      <c r="D34" s="71"/>
      <c r="E34" s="71"/>
      <c r="F34" s="71"/>
      <c r="G34" s="71"/>
      <c r="H34" s="71"/>
      <c r="I34" s="71"/>
      <c r="J34" s="71"/>
      <c r="L34" s="71"/>
    </row>
    <row r="35" spans="3:14" ht="14.25" customHeight="1" x14ac:dyDescent="0.75">
      <c r="C35" s="71"/>
      <c r="D35" s="71"/>
      <c r="E35" s="71"/>
      <c r="F35" s="71"/>
      <c r="G35" s="71"/>
      <c r="H35" s="71"/>
      <c r="I35" s="71"/>
      <c r="J35" s="71"/>
      <c r="L35" s="71"/>
    </row>
    <row r="36" spans="3:14" ht="14.25" customHeight="1" x14ac:dyDescent="0.75">
      <c r="C36" s="71"/>
      <c r="D36" s="71"/>
      <c r="E36" s="71"/>
      <c r="F36" s="71"/>
      <c r="G36" s="71"/>
      <c r="H36" s="71"/>
      <c r="I36" s="71"/>
      <c r="J36" s="71"/>
      <c r="L36" s="71"/>
    </row>
    <row r="37" spans="3:14" ht="14.25" customHeight="1" x14ac:dyDescent="0.75">
      <c r="C37" s="71"/>
      <c r="D37" s="71"/>
      <c r="E37" s="71"/>
      <c r="F37" s="71"/>
      <c r="G37" s="71"/>
      <c r="H37" s="71"/>
      <c r="I37" s="71"/>
      <c r="J37" s="71"/>
      <c r="L37" s="71"/>
    </row>
    <row r="38" spans="3:14" ht="14.25" customHeight="1" x14ac:dyDescent="0.75">
      <c r="C38" s="71"/>
      <c r="D38" s="71"/>
      <c r="E38" s="71"/>
      <c r="F38" s="71"/>
      <c r="G38" s="71"/>
      <c r="H38" s="71"/>
      <c r="I38" s="71"/>
      <c r="J38" s="71"/>
      <c r="L38" s="71"/>
    </row>
    <row r="39" spans="3:14" ht="14.25" customHeight="1" x14ac:dyDescent="0.75">
      <c r="C39" s="71"/>
      <c r="D39" s="71"/>
      <c r="E39" s="71"/>
      <c r="F39" s="71"/>
      <c r="G39" s="71"/>
      <c r="H39" s="71"/>
      <c r="I39" s="71"/>
      <c r="J39" s="71"/>
      <c r="L39" s="71"/>
    </row>
    <row r="40" spans="3:14" ht="14.25" customHeight="1" x14ac:dyDescent="0.75">
      <c r="C40" s="71"/>
      <c r="D40" s="71"/>
      <c r="E40" s="71"/>
      <c r="F40" s="71"/>
      <c r="G40" s="71"/>
      <c r="H40" s="71"/>
      <c r="I40" s="71"/>
      <c r="J40" s="71"/>
      <c r="L40" s="71"/>
    </row>
    <row r="41" spans="3:14" ht="14.25" customHeight="1" x14ac:dyDescent="0.75">
      <c r="C41" s="71"/>
      <c r="D41" s="71"/>
      <c r="E41" s="71"/>
      <c r="F41" s="71"/>
      <c r="G41" s="71"/>
      <c r="H41" s="71"/>
      <c r="I41" s="71"/>
      <c r="J41" s="71"/>
      <c r="L41" s="71"/>
    </row>
    <row r="42" spans="3:14" ht="14.25" customHeight="1" x14ac:dyDescent="0.75">
      <c r="C42" s="71"/>
      <c r="D42" s="71"/>
      <c r="E42" s="71"/>
      <c r="F42" s="71"/>
      <c r="G42" s="71"/>
      <c r="H42" s="71"/>
      <c r="I42" s="71"/>
      <c r="J42" s="71"/>
      <c r="L42" s="71"/>
    </row>
    <row r="48" spans="3:14" ht="14.25" customHeight="1" x14ac:dyDescent="0.75">
      <c r="L48" s="73"/>
      <c r="N48" s="74"/>
    </row>
    <row r="49" spans="4:14" ht="14.25" customHeight="1" x14ac:dyDescent="0.75">
      <c r="D49" s="75"/>
      <c r="E49" s="75"/>
      <c r="N49" s="76"/>
    </row>
    <row r="50" spans="4:14" ht="14.25" customHeight="1" x14ac:dyDescent="0.75">
      <c r="D50" s="75"/>
      <c r="E50" s="75"/>
      <c r="N50" s="76"/>
    </row>
    <row r="51" spans="4:14" ht="14.25" customHeight="1" x14ac:dyDescent="0.75">
      <c r="N51" s="76"/>
    </row>
  </sheetData>
  <conditionalFormatting sqref="F4 H4:H26 J4:J26 F5:G5 I5:I24 G6:G24 F6:F26">
    <cfRule type="expression" dxfId="95" priority="6">
      <formula>#REF!=F4</formula>
    </cfRule>
    <cfRule type="expression" dxfId="94" priority="7">
      <formula>#REF!&lt;F4</formula>
    </cfRule>
    <cfRule type="expression" dxfId="93" priority="8">
      <formula>#REF!&gt;F4</formula>
    </cfRule>
  </conditionalFormatting>
  <conditionalFormatting sqref="K5:K26">
    <cfRule type="cellIs" dxfId="92" priority="2" operator="equal">
      <formula>0</formula>
    </cfRule>
  </conditionalFormatting>
  <conditionalFormatting sqref="L5:L26">
    <cfRule type="expression" dxfId="91" priority="3">
      <formula>K5=L5</formula>
    </cfRule>
    <cfRule type="expression" dxfId="90" priority="4">
      <formula>K5&lt;L5</formula>
    </cfRule>
    <cfRule type="expression" dxfId="89" priority="5">
      <formula>K5&gt;L5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AB35"/>
  <sheetViews>
    <sheetView topLeftCell="C1" zoomScaleNormal="100" workbookViewId="0">
      <selection activeCell="W24" sqref="W24"/>
    </sheetView>
  </sheetViews>
  <sheetFormatPr defaultColWidth="8.54296875" defaultRowHeight="14.75" x14ac:dyDescent="0.75"/>
  <cols>
    <col min="2" max="2" width="43.31640625" customWidth="1"/>
    <col min="3" max="3" width="21" customWidth="1"/>
    <col min="4" max="4" width="9.1328125" hidden="1" customWidth="1"/>
  </cols>
  <sheetData>
    <row r="1" spans="1:28" ht="28.5" customHeight="1" x14ac:dyDescent="0.75">
      <c r="A1" s="51"/>
      <c r="B1" s="51"/>
      <c r="C1" s="51" t="s">
        <v>176</v>
      </c>
      <c r="D1" s="51" t="s">
        <v>144</v>
      </c>
      <c r="E1" s="52" t="s">
        <v>116</v>
      </c>
      <c r="F1" s="53" t="s">
        <v>145</v>
      </c>
      <c r="G1" s="54" t="s">
        <v>119</v>
      </c>
      <c r="H1" s="53" t="s">
        <v>146</v>
      </c>
      <c r="I1" s="55" t="s">
        <v>122</v>
      </c>
      <c r="J1" s="56" t="s">
        <v>147</v>
      </c>
      <c r="K1" s="51" t="s">
        <v>148</v>
      </c>
      <c r="L1" s="53" t="s">
        <v>149</v>
      </c>
      <c r="M1" s="51" t="s">
        <v>56</v>
      </c>
      <c r="N1" s="51" t="s">
        <v>58</v>
      </c>
      <c r="O1" s="51" t="s">
        <v>66</v>
      </c>
      <c r="P1" s="51" t="s">
        <v>56</v>
      </c>
      <c r="Q1" s="51" t="s">
        <v>58</v>
      </c>
      <c r="R1" s="51" t="s">
        <v>66</v>
      </c>
      <c r="S1" s="51" t="s">
        <v>56</v>
      </c>
      <c r="T1" s="51" t="s">
        <v>58</v>
      </c>
      <c r="U1" s="51" t="s">
        <v>66</v>
      </c>
      <c r="V1" s="51" t="s">
        <v>56</v>
      </c>
      <c r="W1" s="51" t="s">
        <v>58</v>
      </c>
      <c r="X1" s="51" t="s">
        <v>66</v>
      </c>
      <c r="Y1" s="51" t="s">
        <v>56</v>
      </c>
      <c r="Z1" s="51" t="s">
        <v>58</v>
      </c>
      <c r="AA1" s="51" t="s">
        <v>66</v>
      </c>
      <c r="AB1" s="51"/>
    </row>
    <row r="2" spans="1:28" ht="14.25" customHeight="1" x14ac:dyDescent="0.75">
      <c r="A2" s="50"/>
      <c r="B2" s="50"/>
      <c r="C2" s="57" t="s">
        <v>150</v>
      </c>
      <c r="D2" s="57"/>
      <c r="E2" s="57"/>
      <c r="F2" s="57"/>
      <c r="G2" s="57"/>
      <c r="H2" s="59"/>
      <c r="I2" s="59"/>
      <c r="J2" s="59"/>
      <c r="K2" s="59"/>
      <c r="L2" s="59"/>
      <c r="M2" s="59" t="s">
        <v>65</v>
      </c>
      <c r="N2" s="59" t="s">
        <v>57</v>
      </c>
      <c r="O2" s="59" t="s">
        <v>55</v>
      </c>
      <c r="P2" s="59" t="s">
        <v>65</v>
      </c>
      <c r="Q2" s="59" t="s">
        <v>57</v>
      </c>
      <c r="R2" s="59" t="s">
        <v>55</v>
      </c>
      <c r="S2" s="59" t="s">
        <v>65</v>
      </c>
      <c r="T2" s="59" t="s">
        <v>57</v>
      </c>
      <c r="U2" s="59" t="s">
        <v>55</v>
      </c>
      <c r="V2" s="59" t="s">
        <v>65</v>
      </c>
      <c r="W2" s="59" t="s">
        <v>57</v>
      </c>
      <c r="X2" s="59" t="s">
        <v>55</v>
      </c>
      <c r="Y2" s="59" t="s">
        <v>65</v>
      </c>
      <c r="Z2" s="59" t="s">
        <v>57</v>
      </c>
      <c r="AA2" s="59" t="s">
        <v>55</v>
      </c>
      <c r="AB2" s="50"/>
    </row>
    <row r="3" spans="1:28" ht="14.25" customHeight="1" x14ac:dyDescent="0.75">
      <c r="A3" s="62" t="s">
        <v>129</v>
      </c>
      <c r="B3" s="62" t="s">
        <v>2</v>
      </c>
      <c r="C3" s="62" t="s">
        <v>3</v>
      </c>
      <c r="D3" s="62"/>
      <c r="E3" s="58"/>
      <c r="F3" s="62"/>
      <c r="G3" s="63"/>
      <c r="H3" s="62"/>
      <c r="I3" s="64"/>
      <c r="J3" s="62"/>
      <c r="K3" s="62"/>
      <c r="L3" s="62"/>
      <c r="M3" s="62" t="s">
        <v>54</v>
      </c>
      <c r="N3" s="62" t="s">
        <v>54</v>
      </c>
      <c r="O3" s="62" t="s">
        <v>54</v>
      </c>
      <c r="P3" s="62" t="s">
        <v>59</v>
      </c>
      <c r="Q3" s="62" t="s">
        <v>59</v>
      </c>
      <c r="R3" s="62" t="s">
        <v>59</v>
      </c>
      <c r="S3" s="62" t="s">
        <v>60</v>
      </c>
      <c r="T3" s="62" t="s">
        <v>60</v>
      </c>
      <c r="U3" s="62" t="s">
        <v>60</v>
      </c>
      <c r="V3" s="62" t="s">
        <v>62</v>
      </c>
      <c r="W3" s="62" t="s">
        <v>62</v>
      </c>
      <c r="X3" s="62" t="s">
        <v>62</v>
      </c>
      <c r="Y3" s="62" t="s">
        <v>63</v>
      </c>
      <c r="Z3" s="62" t="s">
        <v>63</v>
      </c>
      <c r="AA3" s="62" t="s">
        <v>63</v>
      </c>
      <c r="AB3" s="50"/>
    </row>
    <row r="4" spans="1:28" ht="14.25" customHeight="1" x14ac:dyDescent="0.75">
      <c r="A4" s="62"/>
      <c r="B4" s="62"/>
      <c r="C4" s="62" t="s">
        <v>151</v>
      </c>
      <c r="D4" s="62"/>
      <c r="E4" s="58"/>
      <c r="F4" s="62">
        <f t="shared" ref="F4:F26" si="0">+M4+P4+S4+V4+Y4</f>
        <v>0</v>
      </c>
      <c r="G4" s="147"/>
      <c r="H4" s="62">
        <f t="shared" ref="H4:H26" si="1">+N4+Q4+T4+W4+Z4</f>
        <v>0</v>
      </c>
      <c r="I4" s="64"/>
      <c r="J4" s="62">
        <f t="shared" ref="J4:J26" si="2">+O4+R4+U4+X4+AA4</f>
        <v>0</v>
      </c>
      <c r="K4" s="62" t="s">
        <v>152</v>
      </c>
      <c r="L4" s="62"/>
      <c r="M4" s="199"/>
      <c r="N4" s="199"/>
      <c r="O4" s="199"/>
      <c r="P4" s="50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50"/>
    </row>
    <row r="5" spans="1:28" ht="14.25" customHeight="1" x14ac:dyDescent="0.75">
      <c r="A5" s="50">
        <v>666501</v>
      </c>
      <c r="B5" s="50" t="s">
        <v>4</v>
      </c>
      <c r="C5" s="50" t="s">
        <v>5</v>
      </c>
      <c r="D5" s="50"/>
      <c r="E5" s="67">
        <v>0</v>
      </c>
      <c r="F5" s="50">
        <f t="shared" si="0"/>
        <v>0</v>
      </c>
      <c r="G5" s="149">
        <v>141</v>
      </c>
      <c r="H5" s="62">
        <f t="shared" si="1"/>
        <v>141</v>
      </c>
      <c r="I5" s="61">
        <v>0</v>
      </c>
      <c r="J5" s="62">
        <f t="shared" si="2"/>
        <v>0</v>
      </c>
      <c r="K5" s="50">
        <f t="shared" ref="K5:K24" si="3">+E5+G5+I5</f>
        <v>141</v>
      </c>
      <c r="L5" s="50">
        <f t="shared" ref="L5:L25" si="4">SUM(F5,H5,J5)</f>
        <v>141</v>
      </c>
      <c r="M5" s="200"/>
      <c r="N5" s="200"/>
      <c r="O5" s="200"/>
      <c r="P5" s="50"/>
      <c r="Q5" s="50"/>
      <c r="R5" s="50"/>
      <c r="S5" s="50"/>
      <c r="T5" s="50"/>
      <c r="U5" s="50"/>
      <c r="V5" s="50"/>
      <c r="W5" s="50"/>
      <c r="X5" s="50"/>
      <c r="Y5" s="50"/>
      <c r="Z5" s="50">
        <v>141</v>
      </c>
      <c r="AA5" s="50"/>
      <c r="AB5" s="50"/>
    </row>
    <row r="6" spans="1:28" ht="14.25" customHeight="1" x14ac:dyDescent="0.75">
      <c r="A6" s="50">
        <v>666502</v>
      </c>
      <c r="B6" s="50" t="s">
        <v>6</v>
      </c>
      <c r="C6" s="50" t="s">
        <v>7</v>
      </c>
      <c r="D6" s="50"/>
      <c r="E6" s="67">
        <v>0</v>
      </c>
      <c r="F6" s="50">
        <f t="shared" si="0"/>
        <v>0</v>
      </c>
      <c r="G6" s="149">
        <v>115</v>
      </c>
      <c r="H6" s="62">
        <f t="shared" si="1"/>
        <v>115</v>
      </c>
      <c r="I6" s="61">
        <v>63</v>
      </c>
      <c r="J6" s="62">
        <f t="shared" si="2"/>
        <v>63</v>
      </c>
      <c r="K6" s="50">
        <f t="shared" si="3"/>
        <v>178</v>
      </c>
      <c r="L6" s="50">
        <f t="shared" si="4"/>
        <v>178</v>
      </c>
      <c r="M6" s="200"/>
      <c r="N6" s="200"/>
      <c r="O6" s="200"/>
      <c r="P6" s="50"/>
      <c r="Q6" s="50"/>
      <c r="R6" s="50"/>
      <c r="S6" s="50"/>
      <c r="T6" s="50"/>
      <c r="U6" s="50"/>
      <c r="V6" s="50"/>
      <c r="W6" s="50"/>
      <c r="X6" s="50"/>
      <c r="Y6" s="50"/>
      <c r="Z6" s="50">
        <v>115</v>
      </c>
      <c r="AA6" s="50">
        <v>63</v>
      </c>
      <c r="AB6" s="50"/>
    </row>
    <row r="7" spans="1:28" ht="14.25" customHeight="1" x14ac:dyDescent="0.75">
      <c r="A7" s="50">
        <v>666505</v>
      </c>
      <c r="B7" s="50" t="s">
        <v>8</v>
      </c>
      <c r="C7" s="50" t="s">
        <v>9</v>
      </c>
      <c r="D7" s="50"/>
      <c r="E7" s="67">
        <v>0</v>
      </c>
      <c r="F7" s="50">
        <f t="shared" si="0"/>
        <v>0</v>
      </c>
      <c r="G7" s="149">
        <v>0</v>
      </c>
      <c r="H7" s="62">
        <f t="shared" si="1"/>
        <v>0</v>
      </c>
      <c r="I7" s="61">
        <v>0</v>
      </c>
      <c r="J7" s="62">
        <f t="shared" si="2"/>
        <v>0</v>
      </c>
      <c r="K7" s="50">
        <f t="shared" si="3"/>
        <v>0</v>
      </c>
      <c r="L7" s="50">
        <f t="shared" si="4"/>
        <v>0</v>
      </c>
      <c r="M7" s="200"/>
      <c r="N7" s="200"/>
      <c r="O7" s="20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</row>
    <row r="8" spans="1:28" ht="14.25" customHeight="1" x14ac:dyDescent="0.75">
      <c r="A8" s="50">
        <v>666506</v>
      </c>
      <c r="B8" s="50" t="s">
        <v>10</v>
      </c>
      <c r="C8" s="50" t="s">
        <v>11</v>
      </c>
      <c r="D8" s="50"/>
      <c r="E8" s="67">
        <v>0</v>
      </c>
      <c r="F8" s="50">
        <f t="shared" si="0"/>
        <v>0</v>
      </c>
      <c r="G8" s="149">
        <v>0</v>
      </c>
      <c r="H8" s="62">
        <f t="shared" si="1"/>
        <v>0</v>
      </c>
      <c r="I8" s="61">
        <v>0</v>
      </c>
      <c r="J8" s="62">
        <f t="shared" si="2"/>
        <v>0</v>
      </c>
      <c r="K8" s="50">
        <f t="shared" si="3"/>
        <v>0</v>
      </c>
      <c r="L8" s="50">
        <f t="shared" si="4"/>
        <v>0</v>
      </c>
      <c r="M8" s="200"/>
      <c r="N8" s="200"/>
      <c r="O8" s="20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</row>
    <row r="9" spans="1:28" ht="14.25" customHeight="1" x14ac:dyDescent="0.75">
      <c r="A9" s="50">
        <v>666507</v>
      </c>
      <c r="B9" s="50" t="s">
        <v>12</v>
      </c>
      <c r="C9" s="50" t="s">
        <v>13</v>
      </c>
      <c r="D9" s="50"/>
      <c r="E9" s="67">
        <v>16</v>
      </c>
      <c r="F9" s="50">
        <f t="shared" si="0"/>
        <v>16</v>
      </c>
      <c r="G9" s="149">
        <v>0</v>
      </c>
      <c r="H9" s="62">
        <f t="shared" si="1"/>
        <v>0</v>
      </c>
      <c r="I9" s="61">
        <v>0</v>
      </c>
      <c r="J9" s="62">
        <f t="shared" si="2"/>
        <v>0</v>
      </c>
      <c r="K9" s="50">
        <f t="shared" si="3"/>
        <v>16</v>
      </c>
      <c r="L9" s="50">
        <f t="shared" si="4"/>
        <v>16</v>
      </c>
      <c r="M9" s="200"/>
      <c r="N9" s="200"/>
      <c r="O9" s="200"/>
      <c r="P9" s="50"/>
      <c r="Q9" s="50"/>
      <c r="R9" s="50"/>
      <c r="S9" s="50"/>
      <c r="T9" s="50"/>
      <c r="U9" s="50"/>
      <c r="V9" s="50"/>
      <c r="W9" s="50"/>
      <c r="X9" s="50"/>
      <c r="Y9" s="50">
        <v>16</v>
      </c>
      <c r="Z9" s="50"/>
      <c r="AA9" s="50"/>
      <c r="AB9" s="50"/>
    </row>
    <row r="10" spans="1:28" ht="14.25" customHeight="1" x14ac:dyDescent="0.75">
      <c r="A10" s="50">
        <v>666509</v>
      </c>
      <c r="B10" s="50" t="s">
        <v>14</v>
      </c>
      <c r="C10" s="50" t="s">
        <v>15</v>
      </c>
      <c r="D10" s="50"/>
      <c r="E10" s="67">
        <v>0</v>
      </c>
      <c r="F10" s="50">
        <f t="shared" si="0"/>
        <v>0</v>
      </c>
      <c r="G10" s="149">
        <v>0</v>
      </c>
      <c r="H10" s="62">
        <f t="shared" si="1"/>
        <v>0</v>
      </c>
      <c r="I10" s="61">
        <v>0</v>
      </c>
      <c r="J10" s="62">
        <f t="shared" si="2"/>
        <v>0</v>
      </c>
      <c r="K10" s="50">
        <f t="shared" si="3"/>
        <v>0</v>
      </c>
      <c r="L10" s="50">
        <f t="shared" si="4"/>
        <v>0</v>
      </c>
      <c r="M10" s="200"/>
      <c r="N10" s="200"/>
      <c r="O10" s="20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</row>
    <row r="11" spans="1:28" ht="14.25" customHeight="1" x14ac:dyDescent="0.75">
      <c r="A11" s="50">
        <v>666510</v>
      </c>
      <c r="B11" s="50" t="s">
        <v>16</v>
      </c>
      <c r="C11" s="50" t="s">
        <v>17</v>
      </c>
      <c r="D11" s="50"/>
      <c r="E11" s="67">
        <v>0</v>
      </c>
      <c r="F11" s="50">
        <f t="shared" si="0"/>
        <v>0</v>
      </c>
      <c r="G11" s="149">
        <v>0</v>
      </c>
      <c r="H11" s="62">
        <f t="shared" si="1"/>
        <v>0</v>
      </c>
      <c r="I11" s="61">
        <v>0</v>
      </c>
      <c r="J11" s="62">
        <f t="shared" si="2"/>
        <v>0</v>
      </c>
      <c r="K11" s="50">
        <f t="shared" si="3"/>
        <v>0</v>
      </c>
      <c r="L11" s="50">
        <f t="shared" si="4"/>
        <v>0</v>
      </c>
      <c r="M11" s="200"/>
      <c r="N11" s="200"/>
      <c r="O11" s="20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</row>
    <row r="12" spans="1:28" ht="14.25" customHeight="1" x14ac:dyDescent="0.75">
      <c r="A12" s="50">
        <v>666511</v>
      </c>
      <c r="B12" s="50" t="s">
        <v>18</v>
      </c>
      <c r="C12" s="50" t="s">
        <v>19</v>
      </c>
      <c r="D12" s="50"/>
      <c r="E12" s="67">
        <v>4</v>
      </c>
      <c r="F12" s="50">
        <f t="shared" si="0"/>
        <v>4</v>
      </c>
      <c r="G12" s="149">
        <v>0</v>
      </c>
      <c r="H12" s="62">
        <f t="shared" si="1"/>
        <v>0</v>
      </c>
      <c r="I12" s="61">
        <v>0</v>
      </c>
      <c r="J12" s="62">
        <f t="shared" si="2"/>
        <v>0</v>
      </c>
      <c r="K12" s="50">
        <f t="shared" si="3"/>
        <v>4</v>
      </c>
      <c r="L12" s="50">
        <f t="shared" si="4"/>
        <v>4</v>
      </c>
      <c r="M12" s="200"/>
      <c r="N12" s="200"/>
      <c r="O12" s="200"/>
      <c r="P12" s="50"/>
      <c r="Q12" s="50"/>
      <c r="R12" s="50"/>
      <c r="S12" s="50"/>
      <c r="T12" s="50"/>
      <c r="U12" s="50"/>
      <c r="V12" s="50"/>
      <c r="W12" s="50"/>
      <c r="X12" s="50"/>
      <c r="Y12" s="50">
        <v>4</v>
      </c>
      <c r="Z12" s="50"/>
      <c r="AA12" s="50"/>
      <c r="AB12" s="50"/>
    </row>
    <row r="13" spans="1:28" ht="14.25" customHeight="1" x14ac:dyDescent="0.75">
      <c r="A13" s="50">
        <v>666513</v>
      </c>
      <c r="B13" s="50" t="s">
        <v>20</v>
      </c>
      <c r="C13" s="50" t="s">
        <v>21</v>
      </c>
      <c r="D13" s="50"/>
      <c r="E13" s="67">
        <v>0</v>
      </c>
      <c r="F13" s="50">
        <f t="shared" si="0"/>
        <v>0</v>
      </c>
      <c r="G13" s="149">
        <v>0</v>
      </c>
      <c r="H13" s="62">
        <f t="shared" si="1"/>
        <v>0</v>
      </c>
      <c r="I13" s="61">
        <v>0</v>
      </c>
      <c r="J13" s="62">
        <f t="shared" si="2"/>
        <v>0</v>
      </c>
      <c r="K13" s="50">
        <f t="shared" si="3"/>
        <v>0</v>
      </c>
      <c r="L13" s="50">
        <f t="shared" si="4"/>
        <v>0</v>
      </c>
      <c r="M13" s="200"/>
      <c r="N13" s="200"/>
      <c r="O13" s="20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</row>
    <row r="14" spans="1:28" ht="14.25" customHeight="1" x14ac:dyDescent="0.75">
      <c r="A14" s="50">
        <v>666516</v>
      </c>
      <c r="B14" s="50" t="s">
        <v>22</v>
      </c>
      <c r="C14" s="50" t="s">
        <v>23</v>
      </c>
      <c r="D14" s="50"/>
      <c r="E14" s="67">
        <v>0</v>
      </c>
      <c r="F14" s="50">
        <f t="shared" si="0"/>
        <v>0</v>
      </c>
      <c r="G14" s="149">
        <v>0</v>
      </c>
      <c r="H14" s="62">
        <f t="shared" si="1"/>
        <v>0</v>
      </c>
      <c r="I14" s="61">
        <v>0</v>
      </c>
      <c r="J14" s="62">
        <f t="shared" si="2"/>
        <v>0</v>
      </c>
      <c r="K14" s="50">
        <f t="shared" si="3"/>
        <v>0</v>
      </c>
      <c r="L14" s="50">
        <f t="shared" si="4"/>
        <v>0</v>
      </c>
      <c r="M14" s="200"/>
      <c r="N14" s="200"/>
      <c r="O14" s="20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</row>
    <row r="15" spans="1:28" ht="14.25" customHeight="1" x14ac:dyDescent="0.75">
      <c r="A15" s="50">
        <v>666517</v>
      </c>
      <c r="B15" s="50" t="s">
        <v>24</v>
      </c>
      <c r="C15" s="50" t="s">
        <v>25</v>
      </c>
      <c r="D15" s="50"/>
      <c r="E15" s="67">
        <v>0</v>
      </c>
      <c r="F15" s="50">
        <f t="shared" si="0"/>
        <v>0</v>
      </c>
      <c r="G15" s="149">
        <v>0</v>
      </c>
      <c r="H15" s="62">
        <f t="shared" si="1"/>
        <v>0</v>
      </c>
      <c r="I15" s="61">
        <v>0</v>
      </c>
      <c r="J15" s="62">
        <f t="shared" si="2"/>
        <v>0</v>
      </c>
      <c r="K15" s="50">
        <f t="shared" si="3"/>
        <v>0</v>
      </c>
      <c r="L15" s="50">
        <f t="shared" si="4"/>
        <v>0</v>
      </c>
      <c r="M15" s="200"/>
      <c r="N15" s="200"/>
      <c r="O15" s="20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</row>
    <row r="16" spans="1:28" ht="14.25" customHeight="1" x14ac:dyDescent="0.75">
      <c r="A16" s="50">
        <v>666518</v>
      </c>
      <c r="B16" s="50" t="s">
        <v>26</v>
      </c>
      <c r="C16" s="50" t="s">
        <v>27</v>
      </c>
      <c r="D16" s="50"/>
      <c r="E16" s="67">
        <v>0</v>
      </c>
      <c r="F16" s="50">
        <f t="shared" si="0"/>
        <v>0</v>
      </c>
      <c r="G16" s="149">
        <v>0</v>
      </c>
      <c r="H16" s="62">
        <f t="shared" si="1"/>
        <v>0</v>
      </c>
      <c r="I16" s="61">
        <v>0</v>
      </c>
      <c r="J16" s="62">
        <f t="shared" si="2"/>
        <v>0</v>
      </c>
      <c r="K16" s="50">
        <f t="shared" si="3"/>
        <v>0</v>
      </c>
      <c r="L16" s="50">
        <f t="shared" si="4"/>
        <v>0</v>
      </c>
      <c r="M16" s="200"/>
      <c r="N16" s="200"/>
      <c r="O16" s="20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</row>
    <row r="17" spans="1:28" ht="14.25" customHeight="1" x14ac:dyDescent="0.75">
      <c r="A17" s="50">
        <v>666519</v>
      </c>
      <c r="B17" s="50" t="s">
        <v>28</v>
      </c>
      <c r="C17" s="50" t="s">
        <v>29</v>
      </c>
      <c r="D17" s="50"/>
      <c r="E17" s="67">
        <v>0</v>
      </c>
      <c r="F17" s="50">
        <f t="shared" si="0"/>
        <v>0</v>
      </c>
      <c r="G17" s="149">
        <v>0</v>
      </c>
      <c r="H17" s="62">
        <f t="shared" si="1"/>
        <v>0</v>
      </c>
      <c r="I17" s="61">
        <v>0</v>
      </c>
      <c r="J17" s="62">
        <f t="shared" si="2"/>
        <v>0</v>
      </c>
      <c r="K17" s="50">
        <f t="shared" si="3"/>
        <v>0</v>
      </c>
      <c r="L17" s="50">
        <f t="shared" si="4"/>
        <v>0</v>
      </c>
      <c r="M17" s="200"/>
      <c r="N17" s="200"/>
      <c r="O17" s="20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</row>
    <row r="18" spans="1:28" ht="14.25" customHeight="1" x14ac:dyDescent="0.75">
      <c r="A18" s="50">
        <v>666521</v>
      </c>
      <c r="B18" s="50" t="s">
        <v>30</v>
      </c>
      <c r="C18" s="50" t="s">
        <v>31</v>
      </c>
      <c r="D18" s="50"/>
      <c r="E18" s="67">
        <v>15</v>
      </c>
      <c r="F18" s="50">
        <f t="shared" si="0"/>
        <v>15</v>
      </c>
      <c r="G18" s="149">
        <v>0</v>
      </c>
      <c r="H18" s="62">
        <f t="shared" si="1"/>
        <v>0</v>
      </c>
      <c r="I18" s="61">
        <v>0</v>
      </c>
      <c r="J18" s="62">
        <f t="shared" si="2"/>
        <v>0</v>
      </c>
      <c r="K18" s="50">
        <f t="shared" si="3"/>
        <v>15</v>
      </c>
      <c r="L18" s="50">
        <f t="shared" si="4"/>
        <v>15</v>
      </c>
      <c r="M18" s="200"/>
      <c r="N18" s="200"/>
      <c r="O18" s="200"/>
      <c r="P18" s="50"/>
      <c r="Q18" s="50"/>
      <c r="R18" s="50"/>
      <c r="S18" s="50"/>
      <c r="T18" s="50"/>
      <c r="U18" s="50"/>
      <c r="V18" s="50"/>
      <c r="W18" s="50"/>
      <c r="X18" s="50"/>
      <c r="Y18" s="50">
        <v>15</v>
      </c>
      <c r="Z18" s="50"/>
      <c r="AA18" s="50"/>
      <c r="AB18" s="50"/>
    </row>
    <row r="19" spans="1:28" ht="14.25" customHeight="1" x14ac:dyDescent="0.75">
      <c r="A19" s="50">
        <v>666522</v>
      </c>
      <c r="B19" s="50" t="s">
        <v>32</v>
      </c>
      <c r="C19" s="50" t="s">
        <v>33</v>
      </c>
      <c r="D19" s="50"/>
      <c r="E19" s="67">
        <v>75</v>
      </c>
      <c r="F19" s="50">
        <f t="shared" si="0"/>
        <v>75</v>
      </c>
      <c r="G19" s="149">
        <v>50</v>
      </c>
      <c r="H19" s="62">
        <f t="shared" si="1"/>
        <v>50</v>
      </c>
      <c r="I19" s="61">
        <v>20</v>
      </c>
      <c r="J19" s="62">
        <f t="shared" si="2"/>
        <v>20</v>
      </c>
      <c r="K19" s="50">
        <f t="shared" si="3"/>
        <v>145</v>
      </c>
      <c r="L19" s="50">
        <f t="shared" si="4"/>
        <v>145</v>
      </c>
      <c r="M19" s="200"/>
      <c r="N19" s="200"/>
      <c r="O19" s="200"/>
      <c r="P19" s="50"/>
      <c r="Q19" s="50"/>
      <c r="R19" s="50"/>
      <c r="S19" s="50"/>
      <c r="T19" s="50"/>
      <c r="U19" s="50"/>
      <c r="V19" s="50"/>
      <c r="W19" s="50"/>
      <c r="X19" s="50"/>
      <c r="Y19" s="50">
        <v>75</v>
      </c>
      <c r="Z19" s="50">
        <v>50</v>
      </c>
      <c r="AA19" s="50">
        <v>20</v>
      </c>
      <c r="AB19" s="50"/>
    </row>
    <row r="20" spans="1:28" ht="14.25" customHeight="1" x14ac:dyDescent="0.75">
      <c r="A20" s="50">
        <v>666523</v>
      </c>
      <c r="B20" s="50" t="s">
        <v>34</v>
      </c>
      <c r="C20" s="50" t="s">
        <v>35</v>
      </c>
      <c r="D20" s="50"/>
      <c r="E20" s="67">
        <v>0</v>
      </c>
      <c r="F20" s="50">
        <f t="shared" si="0"/>
        <v>0</v>
      </c>
      <c r="G20" s="149">
        <v>0</v>
      </c>
      <c r="H20" s="62">
        <f t="shared" si="1"/>
        <v>0</v>
      </c>
      <c r="I20" s="61">
        <v>0</v>
      </c>
      <c r="J20" s="62">
        <f t="shared" si="2"/>
        <v>0</v>
      </c>
      <c r="K20" s="50">
        <f t="shared" si="3"/>
        <v>0</v>
      </c>
      <c r="L20" s="50">
        <f t="shared" si="4"/>
        <v>0</v>
      </c>
      <c r="M20" s="200"/>
      <c r="N20" s="200"/>
      <c r="O20" s="20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</row>
    <row r="21" spans="1:28" ht="14.25" customHeight="1" x14ac:dyDescent="0.75">
      <c r="A21" s="50">
        <v>666530</v>
      </c>
      <c r="B21" s="50" t="s">
        <v>36</v>
      </c>
      <c r="C21" s="50" t="s">
        <v>37</v>
      </c>
      <c r="D21" s="50"/>
      <c r="E21" s="67">
        <v>0</v>
      </c>
      <c r="F21" s="50">
        <f t="shared" si="0"/>
        <v>0</v>
      </c>
      <c r="G21" s="149">
        <v>0</v>
      </c>
      <c r="H21" s="62">
        <f t="shared" si="1"/>
        <v>0</v>
      </c>
      <c r="I21" s="61">
        <v>0</v>
      </c>
      <c r="J21" s="62">
        <f t="shared" si="2"/>
        <v>0</v>
      </c>
      <c r="K21" s="50">
        <f t="shared" si="3"/>
        <v>0</v>
      </c>
      <c r="L21" s="50">
        <f t="shared" si="4"/>
        <v>0</v>
      </c>
      <c r="M21" s="200"/>
      <c r="N21" s="200"/>
      <c r="O21" s="20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</row>
    <row r="22" spans="1:28" ht="14.25" customHeight="1" x14ac:dyDescent="0.75">
      <c r="A22" s="50">
        <v>666531</v>
      </c>
      <c r="B22" s="50" t="s">
        <v>38</v>
      </c>
      <c r="C22" s="50" t="s">
        <v>39</v>
      </c>
      <c r="D22" s="50"/>
      <c r="E22" s="67">
        <v>7</v>
      </c>
      <c r="F22" s="50">
        <f t="shared" si="0"/>
        <v>7</v>
      </c>
      <c r="G22" s="149">
        <v>0</v>
      </c>
      <c r="H22" s="62">
        <f t="shared" si="1"/>
        <v>0</v>
      </c>
      <c r="I22" s="61">
        <v>6</v>
      </c>
      <c r="J22" s="62">
        <f t="shared" si="2"/>
        <v>6</v>
      </c>
      <c r="K22" s="50">
        <f t="shared" si="3"/>
        <v>13</v>
      </c>
      <c r="L22" s="50">
        <f t="shared" si="4"/>
        <v>13</v>
      </c>
      <c r="M22" s="200"/>
      <c r="N22" s="200"/>
      <c r="O22" s="200"/>
      <c r="P22" s="50"/>
      <c r="Q22" s="50"/>
      <c r="R22" s="50"/>
      <c r="S22" s="50"/>
      <c r="T22" s="50"/>
      <c r="U22" s="50"/>
      <c r="V22" s="50"/>
      <c r="W22" s="50"/>
      <c r="X22" s="50"/>
      <c r="Y22" s="50">
        <v>7</v>
      </c>
      <c r="Z22" s="50"/>
      <c r="AA22" s="50">
        <v>6</v>
      </c>
      <c r="AB22" s="50"/>
    </row>
    <row r="23" spans="1:28" ht="14.25" customHeight="1" x14ac:dyDescent="0.75">
      <c r="A23" s="50">
        <v>666540</v>
      </c>
      <c r="B23" s="50" t="s">
        <v>40</v>
      </c>
      <c r="C23" s="50" t="s">
        <v>40</v>
      </c>
      <c r="D23" s="50"/>
      <c r="E23" s="67">
        <v>0</v>
      </c>
      <c r="F23" s="50">
        <f t="shared" si="0"/>
        <v>0</v>
      </c>
      <c r="G23" s="149">
        <v>40</v>
      </c>
      <c r="H23" s="62">
        <f t="shared" si="1"/>
        <v>0</v>
      </c>
      <c r="I23" s="61">
        <v>0</v>
      </c>
      <c r="J23" s="62">
        <f t="shared" si="2"/>
        <v>0</v>
      </c>
      <c r="K23" s="50">
        <f t="shared" si="3"/>
        <v>40</v>
      </c>
      <c r="L23" s="70">
        <f t="shared" si="4"/>
        <v>0</v>
      </c>
      <c r="M23" s="200"/>
      <c r="N23" s="200"/>
      <c r="O23" s="20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</row>
    <row r="24" spans="1:28" ht="14.25" customHeight="1" x14ac:dyDescent="0.75">
      <c r="A24" s="50">
        <v>666541</v>
      </c>
      <c r="B24" s="50" t="s">
        <v>41</v>
      </c>
      <c r="C24" s="50" t="s">
        <v>41</v>
      </c>
      <c r="D24" s="50"/>
      <c r="E24" s="67">
        <v>0</v>
      </c>
      <c r="F24" s="50">
        <f t="shared" si="0"/>
        <v>0</v>
      </c>
      <c r="G24" s="149">
        <v>478</v>
      </c>
      <c r="H24" s="62">
        <f t="shared" si="1"/>
        <v>191</v>
      </c>
      <c r="I24" s="61">
        <v>0</v>
      </c>
      <c r="J24" s="62">
        <f t="shared" si="2"/>
        <v>0</v>
      </c>
      <c r="K24" s="50">
        <f t="shared" si="3"/>
        <v>478</v>
      </c>
      <c r="L24" s="50">
        <f t="shared" si="4"/>
        <v>191</v>
      </c>
      <c r="M24" s="200"/>
      <c r="N24" s="200"/>
      <c r="O24" s="20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>
        <v>191</v>
      </c>
      <c r="AA24" s="50"/>
      <c r="AB24" s="50"/>
    </row>
    <row r="25" spans="1:28" ht="14.25" customHeight="1" x14ac:dyDescent="0.75">
      <c r="A25" s="50">
        <v>666536</v>
      </c>
      <c r="B25" s="50" t="s">
        <v>42</v>
      </c>
      <c r="C25" s="50" t="s">
        <v>43</v>
      </c>
      <c r="D25" s="50"/>
      <c r="E25" s="67">
        <v>23</v>
      </c>
      <c r="F25" s="50">
        <f t="shared" si="0"/>
        <v>7</v>
      </c>
      <c r="G25" s="149">
        <v>0</v>
      </c>
      <c r="H25" s="62">
        <f t="shared" si="1"/>
        <v>0</v>
      </c>
      <c r="I25" s="61">
        <v>0</v>
      </c>
      <c r="J25" s="62">
        <f t="shared" si="2"/>
        <v>0</v>
      </c>
      <c r="K25" s="50">
        <f>+E25+G25+H25</f>
        <v>23</v>
      </c>
      <c r="L25" s="50">
        <f t="shared" si="4"/>
        <v>7</v>
      </c>
      <c r="M25" s="200"/>
      <c r="N25" s="200"/>
      <c r="O25" s="200"/>
      <c r="P25" s="50"/>
      <c r="Q25" s="50"/>
      <c r="R25" s="50"/>
      <c r="S25" s="50"/>
      <c r="T25" s="50"/>
      <c r="U25" s="50"/>
      <c r="V25" s="50"/>
      <c r="W25" s="50"/>
      <c r="X25" s="50"/>
      <c r="Y25" s="50">
        <v>7</v>
      </c>
      <c r="Z25" s="50"/>
      <c r="AA25" s="50"/>
      <c r="AB25" s="50"/>
    </row>
    <row r="26" spans="1:28" s="50" customFormat="1" ht="14.25" customHeight="1" x14ac:dyDescent="0.75">
      <c r="A26" s="50" t="s">
        <v>193</v>
      </c>
      <c r="B26" s="50" t="s">
        <v>194</v>
      </c>
      <c r="C26" s="50" t="s">
        <v>199</v>
      </c>
      <c r="D26" s="71"/>
      <c r="E26" s="67">
        <v>60</v>
      </c>
      <c r="F26" s="50">
        <f t="shared" si="0"/>
        <v>60</v>
      </c>
      <c r="G26" s="149">
        <v>0</v>
      </c>
      <c r="H26" s="50">
        <f t="shared" si="1"/>
        <v>0</v>
      </c>
      <c r="I26" s="61">
        <v>0</v>
      </c>
      <c r="J26" s="50">
        <f t="shared" si="2"/>
        <v>0</v>
      </c>
      <c r="K26" s="50">
        <f>+E26+G26+I26</f>
        <v>60</v>
      </c>
      <c r="L26" s="50">
        <f>+F26+H26+J26</f>
        <v>60</v>
      </c>
      <c r="M26" s="200"/>
      <c r="N26" s="200"/>
      <c r="O26" s="200"/>
      <c r="Y26" s="50">
        <v>60</v>
      </c>
    </row>
    <row r="35" spans="15:15" ht="14.25" customHeight="1" x14ac:dyDescent="0.75">
      <c r="O35" t="s">
        <v>152</v>
      </c>
    </row>
  </sheetData>
  <conditionalFormatting sqref="F26 H26 J26">
    <cfRule type="expression" dxfId="88" priority="6">
      <formula>#REF!=F26</formula>
    </cfRule>
    <cfRule type="expression" dxfId="87" priority="7">
      <formula>#REF!&lt;F26</formula>
    </cfRule>
    <cfRule type="expression" dxfId="86" priority="8">
      <formula>#REF!&gt;F26</formula>
    </cfRule>
  </conditionalFormatting>
  <conditionalFormatting sqref="K5:K26">
    <cfRule type="cellIs" dxfId="85" priority="2" operator="equal">
      <formula>0</formula>
    </cfRule>
  </conditionalFormatting>
  <conditionalFormatting sqref="L5:L26">
    <cfRule type="expression" dxfId="84" priority="3">
      <formula>K5=L5</formula>
    </cfRule>
    <cfRule type="expression" dxfId="83" priority="4">
      <formula>K5&lt;L5</formula>
    </cfRule>
    <cfRule type="expression" dxfId="82" priority="5">
      <formula>K5&gt;L5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X72"/>
  <sheetViews>
    <sheetView topLeftCell="A14" zoomScaleNormal="100" workbookViewId="0">
      <selection activeCell="X16" sqref="X16"/>
    </sheetView>
  </sheetViews>
  <sheetFormatPr defaultColWidth="8.86328125" defaultRowHeight="14.75" x14ac:dyDescent="0.75"/>
  <cols>
    <col min="1" max="1" width="9" style="79" customWidth="1"/>
    <col min="2" max="2" width="33.453125" style="79" customWidth="1"/>
    <col min="3" max="3" width="15.6328125" style="79" hidden="1" customWidth="1"/>
    <col min="4" max="13" width="8.86328125" style="79"/>
    <col min="14" max="14" width="9.453125" style="79" customWidth="1"/>
    <col min="15" max="17" width="8.86328125" style="79"/>
    <col min="18" max="18" width="10.6328125" style="80" customWidth="1"/>
    <col min="19" max="19" width="9.1328125" style="79" hidden="1" customWidth="1"/>
    <col min="20" max="16384" width="8.86328125" style="79"/>
  </cols>
  <sheetData>
    <row r="1" spans="1:19" ht="15" customHeight="1" x14ac:dyDescent="0.75">
      <c r="A1" s="3" t="s">
        <v>200</v>
      </c>
      <c r="B1" s="3"/>
      <c r="C1" s="3"/>
      <c r="D1" s="3"/>
      <c r="E1" s="3"/>
      <c r="F1" s="81"/>
      <c r="G1" s="81"/>
      <c r="H1" s="81"/>
      <c r="I1" s="81"/>
      <c r="J1" s="81"/>
      <c r="K1" s="81"/>
      <c r="L1" s="81"/>
      <c r="M1" s="81"/>
      <c r="N1" s="81"/>
      <c r="O1" s="81"/>
      <c r="P1" s="82"/>
      <c r="Q1" s="80" t="s">
        <v>160</v>
      </c>
    </row>
    <row r="2" spans="1:19" ht="41.25" customHeight="1" x14ac:dyDescent="0.75">
      <c r="A2" s="83"/>
      <c r="B2" s="84" t="s">
        <v>56</v>
      </c>
      <c r="C2" s="85" t="s">
        <v>55</v>
      </c>
      <c r="D2" s="86" t="s">
        <v>116</v>
      </c>
      <c r="E2" s="87" t="s">
        <v>161</v>
      </c>
      <c r="F2" s="88" t="s">
        <v>162</v>
      </c>
      <c r="G2" s="86" t="s">
        <v>163</v>
      </c>
      <c r="H2" s="87" t="s">
        <v>164</v>
      </c>
      <c r="I2" s="86" t="s">
        <v>165</v>
      </c>
      <c r="J2" s="86" t="s">
        <v>166</v>
      </c>
      <c r="K2" s="89" t="s">
        <v>167</v>
      </c>
      <c r="L2" s="88" t="s">
        <v>162</v>
      </c>
      <c r="M2" s="86" t="s">
        <v>163</v>
      </c>
      <c r="N2" s="87" t="s">
        <v>164</v>
      </c>
      <c r="O2" s="86" t="s">
        <v>165</v>
      </c>
      <c r="P2" s="90" t="s">
        <v>166</v>
      </c>
      <c r="Q2" s="91"/>
      <c r="R2" s="92" t="s">
        <v>168</v>
      </c>
    </row>
    <row r="3" spans="1:19" ht="14.25" customHeight="1" x14ac:dyDescent="0.75">
      <c r="A3" s="93">
        <v>666501</v>
      </c>
      <c r="B3" s="94" t="s">
        <v>4</v>
      </c>
      <c r="C3" s="95" t="s">
        <v>5</v>
      </c>
      <c r="D3" s="96">
        <v>45</v>
      </c>
      <c r="E3" s="97">
        <f t="shared" ref="E3:E24" si="0">+D3/6</f>
        <v>7.5</v>
      </c>
      <c r="F3" s="96">
        <v>45</v>
      </c>
      <c r="G3" s="98">
        <v>0</v>
      </c>
      <c r="H3" s="96">
        <v>0</v>
      </c>
      <c r="I3" s="96">
        <v>0</v>
      </c>
      <c r="J3" s="96">
        <v>0</v>
      </c>
      <c r="K3" s="99">
        <f t="shared" ref="K3:K24" si="1">(+D3-SUM(F3:J3))/3.5</f>
        <v>0</v>
      </c>
      <c r="L3" s="96">
        <v>0</v>
      </c>
      <c r="M3" s="96">
        <v>0</v>
      </c>
      <c r="N3" s="96">
        <v>0</v>
      </c>
      <c r="O3" s="96">
        <v>0</v>
      </c>
      <c r="P3" s="100">
        <v>0</v>
      </c>
      <c r="Q3" s="101">
        <f t="shared" ref="Q3:Q24" si="2">SUM(F3:J3)+SUM(L3:P3)</f>
        <v>45</v>
      </c>
      <c r="R3" s="101">
        <f t="shared" ref="R3:R24" si="3">+D3-Q3</f>
        <v>0</v>
      </c>
      <c r="S3" s="102">
        <f>+R3/2.25</f>
        <v>0</v>
      </c>
    </row>
    <row r="4" spans="1:19" ht="14.25" customHeight="1" x14ac:dyDescent="0.75">
      <c r="A4" s="93">
        <v>666502</v>
      </c>
      <c r="B4" s="94" t="s">
        <v>6</v>
      </c>
      <c r="C4" s="95" t="s">
        <v>7</v>
      </c>
      <c r="D4" s="96">
        <v>0</v>
      </c>
      <c r="E4" s="97">
        <f t="shared" si="0"/>
        <v>0</v>
      </c>
      <c r="F4" s="96">
        <v>0</v>
      </c>
      <c r="G4" s="98">
        <v>0</v>
      </c>
      <c r="H4" s="96">
        <v>0</v>
      </c>
      <c r="I4" s="96">
        <v>0</v>
      </c>
      <c r="J4" s="96">
        <v>0</v>
      </c>
      <c r="K4" s="99">
        <f t="shared" si="1"/>
        <v>0</v>
      </c>
      <c r="L4" s="96">
        <v>0</v>
      </c>
      <c r="M4" s="96">
        <v>0</v>
      </c>
      <c r="N4" s="96">
        <v>0</v>
      </c>
      <c r="O4" s="96">
        <v>0</v>
      </c>
      <c r="P4" s="100">
        <v>0</v>
      </c>
      <c r="Q4" s="101">
        <f t="shared" si="2"/>
        <v>0</v>
      </c>
      <c r="R4" s="101">
        <f t="shared" si="3"/>
        <v>0</v>
      </c>
      <c r="S4" s="102">
        <f>+R4/2.25</f>
        <v>0</v>
      </c>
    </row>
    <row r="5" spans="1:19" ht="14.25" customHeight="1" x14ac:dyDescent="0.75">
      <c r="A5" s="93">
        <v>666505</v>
      </c>
      <c r="B5" s="94" t="s">
        <v>8</v>
      </c>
      <c r="C5" s="95" t="s">
        <v>9</v>
      </c>
      <c r="D5" s="96">
        <v>16</v>
      </c>
      <c r="E5" s="97">
        <f t="shared" si="0"/>
        <v>2.6666666666666665</v>
      </c>
      <c r="F5" s="96">
        <v>16</v>
      </c>
      <c r="G5" s="98">
        <v>0</v>
      </c>
      <c r="H5" s="96">
        <v>0</v>
      </c>
      <c r="I5" s="96">
        <v>0</v>
      </c>
      <c r="J5" s="96">
        <v>0</v>
      </c>
      <c r="K5" s="99">
        <f t="shared" si="1"/>
        <v>0</v>
      </c>
      <c r="L5" s="96">
        <v>0</v>
      </c>
      <c r="M5" s="96">
        <v>0</v>
      </c>
      <c r="N5" s="96">
        <v>0</v>
      </c>
      <c r="O5" s="96">
        <v>0</v>
      </c>
      <c r="P5" s="100">
        <v>0</v>
      </c>
      <c r="Q5" s="133">
        <f t="shared" si="2"/>
        <v>16</v>
      </c>
      <c r="R5" s="101">
        <f t="shared" si="3"/>
        <v>0</v>
      </c>
      <c r="S5" s="102">
        <f>+R5/2.25</f>
        <v>0</v>
      </c>
    </row>
    <row r="6" spans="1:19" ht="14.25" customHeight="1" x14ac:dyDescent="0.75">
      <c r="A6" s="93">
        <v>666506</v>
      </c>
      <c r="B6" s="94" t="s">
        <v>10</v>
      </c>
      <c r="C6" s="95" t="s">
        <v>11</v>
      </c>
      <c r="D6" s="96">
        <v>0</v>
      </c>
      <c r="E6" s="97">
        <f t="shared" si="0"/>
        <v>0</v>
      </c>
      <c r="F6" s="96">
        <v>0</v>
      </c>
      <c r="G6" s="98">
        <v>0</v>
      </c>
      <c r="H6" s="96">
        <v>0</v>
      </c>
      <c r="I6" s="96">
        <v>0</v>
      </c>
      <c r="J6" s="96">
        <v>0</v>
      </c>
      <c r="K6" s="99">
        <f t="shared" si="1"/>
        <v>0</v>
      </c>
      <c r="L6" s="96">
        <v>0</v>
      </c>
      <c r="M6" s="96">
        <v>0</v>
      </c>
      <c r="N6" s="96">
        <v>0</v>
      </c>
      <c r="O6" s="96">
        <v>0</v>
      </c>
      <c r="P6" s="100">
        <v>0</v>
      </c>
      <c r="Q6" s="101">
        <f t="shared" si="2"/>
        <v>0</v>
      </c>
      <c r="R6" s="101">
        <f t="shared" si="3"/>
        <v>0</v>
      </c>
      <c r="S6" s="102">
        <f>+R6/2.25</f>
        <v>0</v>
      </c>
    </row>
    <row r="7" spans="1:19" ht="14.25" customHeight="1" x14ac:dyDescent="0.75">
      <c r="A7" s="93">
        <v>666507</v>
      </c>
      <c r="B7" s="94" t="s">
        <v>12</v>
      </c>
      <c r="C7" s="95" t="s">
        <v>13</v>
      </c>
      <c r="D7" s="96">
        <v>16</v>
      </c>
      <c r="E7" s="97">
        <f t="shared" si="0"/>
        <v>2.6666666666666665</v>
      </c>
      <c r="F7" s="96">
        <v>0</v>
      </c>
      <c r="G7" s="98">
        <v>0</v>
      </c>
      <c r="H7" s="96">
        <v>0</v>
      </c>
      <c r="I7" s="96">
        <v>0</v>
      </c>
      <c r="J7" s="96">
        <v>0</v>
      </c>
      <c r="K7" s="99">
        <f t="shared" si="1"/>
        <v>4.5714285714285712</v>
      </c>
      <c r="L7" s="96">
        <v>0</v>
      </c>
      <c r="M7" s="96">
        <v>0</v>
      </c>
      <c r="N7" s="96">
        <v>0</v>
      </c>
      <c r="O7" s="96">
        <v>0</v>
      </c>
      <c r="P7" s="100">
        <v>16</v>
      </c>
      <c r="Q7" s="133">
        <f t="shared" si="2"/>
        <v>16</v>
      </c>
      <c r="R7" s="101">
        <f t="shared" si="3"/>
        <v>0</v>
      </c>
      <c r="S7" s="102">
        <f>+R7/2.25</f>
        <v>0</v>
      </c>
    </row>
    <row r="8" spans="1:19" ht="14.25" customHeight="1" x14ac:dyDescent="0.75">
      <c r="A8" s="93">
        <v>666509</v>
      </c>
      <c r="B8" s="94" t="s">
        <v>14</v>
      </c>
      <c r="C8" s="95" t="s">
        <v>15</v>
      </c>
      <c r="D8" s="96">
        <v>50</v>
      </c>
      <c r="E8" s="97">
        <f t="shared" si="0"/>
        <v>8.3333333333333339</v>
      </c>
      <c r="F8" s="96">
        <v>10</v>
      </c>
      <c r="G8" s="98">
        <v>0</v>
      </c>
      <c r="H8" s="96">
        <v>19</v>
      </c>
      <c r="I8" s="96">
        <v>21</v>
      </c>
      <c r="J8" s="96">
        <v>0</v>
      </c>
      <c r="K8" s="99">
        <f t="shared" si="1"/>
        <v>0</v>
      </c>
      <c r="L8" s="96">
        <v>0</v>
      </c>
      <c r="M8" s="96">
        <v>0</v>
      </c>
      <c r="N8" s="96">
        <v>0</v>
      </c>
      <c r="O8" s="96">
        <v>0</v>
      </c>
      <c r="P8" s="100">
        <v>0</v>
      </c>
      <c r="Q8" s="101">
        <f t="shared" si="2"/>
        <v>50</v>
      </c>
      <c r="R8" s="101">
        <f t="shared" si="3"/>
        <v>0</v>
      </c>
      <c r="S8" s="102">
        <f>+R8/2</f>
        <v>0</v>
      </c>
    </row>
    <row r="9" spans="1:19" ht="14.25" customHeight="1" x14ac:dyDescent="0.75">
      <c r="A9" s="93">
        <v>666510</v>
      </c>
      <c r="B9" s="94" t="s">
        <v>16</v>
      </c>
      <c r="C9" s="95" t="s">
        <v>169</v>
      </c>
      <c r="D9" s="96">
        <v>0</v>
      </c>
      <c r="E9" s="97">
        <f t="shared" si="0"/>
        <v>0</v>
      </c>
      <c r="F9" s="96">
        <v>0</v>
      </c>
      <c r="G9" s="98">
        <v>0</v>
      </c>
      <c r="H9" s="96">
        <v>0</v>
      </c>
      <c r="I9" s="96">
        <v>0</v>
      </c>
      <c r="J9" s="96">
        <v>0</v>
      </c>
      <c r="K9" s="99">
        <f t="shared" si="1"/>
        <v>0</v>
      </c>
      <c r="L9" s="96">
        <v>0</v>
      </c>
      <c r="M9" s="96">
        <v>0</v>
      </c>
      <c r="N9" s="96">
        <v>0</v>
      </c>
      <c r="O9" s="96">
        <v>0</v>
      </c>
      <c r="P9" s="100">
        <v>0</v>
      </c>
      <c r="Q9" s="101">
        <f t="shared" si="2"/>
        <v>0</v>
      </c>
      <c r="R9" s="101">
        <f t="shared" si="3"/>
        <v>0</v>
      </c>
      <c r="S9" s="102">
        <f t="shared" ref="S9:S19" si="4">+R9/2.25</f>
        <v>0</v>
      </c>
    </row>
    <row r="10" spans="1:19" ht="14.25" customHeight="1" x14ac:dyDescent="0.75">
      <c r="A10" s="93">
        <v>666511</v>
      </c>
      <c r="B10" s="94" t="s">
        <v>18</v>
      </c>
      <c r="C10" s="95" t="s">
        <v>19</v>
      </c>
      <c r="D10" s="96">
        <v>4</v>
      </c>
      <c r="E10" s="97">
        <f t="shared" si="0"/>
        <v>0.66666666666666663</v>
      </c>
      <c r="F10" s="96">
        <v>0</v>
      </c>
      <c r="G10" s="98">
        <v>0</v>
      </c>
      <c r="H10" s="96">
        <v>0</v>
      </c>
      <c r="I10" s="96">
        <v>0</v>
      </c>
      <c r="J10" s="96">
        <v>0</v>
      </c>
      <c r="K10" s="99">
        <f t="shared" si="1"/>
        <v>1.1428571428571428</v>
      </c>
      <c r="L10" s="96">
        <v>0</v>
      </c>
      <c r="M10" s="96">
        <v>0</v>
      </c>
      <c r="N10" s="96">
        <v>0</v>
      </c>
      <c r="O10" s="96">
        <v>0</v>
      </c>
      <c r="P10" s="100">
        <v>4</v>
      </c>
      <c r="Q10" s="133">
        <f t="shared" si="2"/>
        <v>4</v>
      </c>
      <c r="R10" s="101">
        <f t="shared" si="3"/>
        <v>0</v>
      </c>
      <c r="S10" s="102">
        <f t="shared" si="4"/>
        <v>0</v>
      </c>
    </row>
    <row r="11" spans="1:19" ht="14.25" customHeight="1" x14ac:dyDescent="0.75">
      <c r="A11" s="93">
        <v>666513</v>
      </c>
      <c r="B11" s="94" t="s">
        <v>20</v>
      </c>
      <c r="C11" s="95" t="s">
        <v>21</v>
      </c>
      <c r="D11" s="96">
        <v>8</v>
      </c>
      <c r="E11" s="97">
        <f t="shared" si="0"/>
        <v>1.3333333333333333</v>
      </c>
      <c r="F11" s="96">
        <v>8</v>
      </c>
      <c r="G11" s="98">
        <v>0</v>
      </c>
      <c r="H11" s="96">
        <v>0</v>
      </c>
      <c r="I11" s="96">
        <v>0</v>
      </c>
      <c r="J11" s="96">
        <v>0</v>
      </c>
      <c r="K11" s="99">
        <f t="shared" si="1"/>
        <v>0</v>
      </c>
      <c r="L11" s="96">
        <v>0</v>
      </c>
      <c r="M11" s="96">
        <v>0</v>
      </c>
      <c r="N11" s="96">
        <v>0</v>
      </c>
      <c r="O11" s="96">
        <v>0</v>
      </c>
      <c r="P11" s="100">
        <v>0</v>
      </c>
      <c r="Q11" s="133">
        <f t="shared" si="2"/>
        <v>8</v>
      </c>
      <c r="R11" s="101">
        <f t="shared" si="3"/>
        <v>0</v>
      </c>
      <c r="S11" s="102">
        <f t="shared" si="4"/>
        <v>0</v>
      </c>
    </row>
    <row r="12" spans="1:19" ht="14.25" customHeight="1" x14ac:dyDescent="0.75">
      <c r="A12" s="93">
        <v>666516</v>
      </c>
      <c r="B12" s="94" t="s">
        <v>22</v>
      </c>
      <c r="C12" s="95" t="s">
        <v>23</v>
      </c>
      <c r="D12" s="96">
        <v>20</v>
      </c>
      <c r="E12" s="97">
        <f t="shared" si="0"/>
        <v>3.3333333333333335</v>
      </c>
      <c r="F12" s="96">
        <v>20</v>
      </c>
      <c r="G12" s="98">
        <v>0</v>
      </c>
      <c r="H12" s="96">
        <v>0</v>
      </c>
      <c r="I12" s="96">
        <v>0</v>
      </c>
      <c r="J12" s="96">
        <v>0</v>
      </c>
      <c r="K12" s="99">
        <f t="shared" si="1"/>
        <v>0</v>
      </c>
      <c r="L12" s="96">
        <v>0</v>
      </c>
      <c r="M12" s="96">
        <v>0</v>
      </c>
      <c r="N12" s="96">
        <v>0</v>
      </c>
      <c r="O12" s="96">
        <v>0</v>
      </c>
      <c r="P12" s="100">
        <v>0</v>
      </c>
      <c r="Q12" s="133">
        <f t="shared" si="2"/>
        <v>20</v>
      </c>
      <c r="R12" s="101">
        <f t="shared" si="3"/>
        <v>0</v>
      </c>
      <c r="S12" s="102">
        <f t="shared" si="4"/>
        <v>0</v>
      </c>
    </row>
    <row r="13" spans="1:19" ht="14.25" customHeight="1" x14ac:dyDescent="0.75">
      <c r="A13" s="93">
        <v>666517</v>
      </c>
      <c r="B13" s="94" t="s">
        <v>24</v>
      </c>
      <c r="C13" s="95" t="s">
        <v>25</v>
      </c>
      <c r="D13" s="96">
        <v>30</v>
      </c>
      <c r="E13" s="97">
        <f t="shared" si="0"/>
        <v>5</v>
      </c>
      <c r="F13" s="96">
        <v>25</v>
      </c>
      <c r="G13" s="98">
        <v>0</v>
      </c>
      <c r="H13" s="96">
        <v>5</v>
      </c>
      <c r="I13" s="96">
        <v>0</v>
      </c>
      <c r="J13" s="96">
        <v>0</v>
      </c>
      <c r="K13" s="99">
        <f t="shared" si="1"/>
        <v>0</v>
      </c>
      <c r="L13" s="96">
        <v>0</v>
      </c>
      <c r="M13" s="96">
        <v>0</v>
      </c>
      <c r="N13" s="96">
        <v>0</v>
      </c>
      <c r="O13" s="96">
        <v>0</v>
      </c>
      <c r="P13" s="100">
        <v>0</v>
      </c>
      <c r="Q13" s="133">
        <f t="shared" si="2"/>
        <v>30</v>
      </c>
      <c r="R13" s="101">
        <f t="shared" si="3"/>
        <v>0</v>
      </c>
      <c r="S13" s="102">
        <f t="shared" si="4"/>
        <v>0</v>
      </c>
    </row>
    <row r="14" spans="1:19" ht="14.25" customHeight="1" x14ac:dyDescent="0.75">
      <c r="A14" s="93">
        <v>666518</v>
      </c>
      <c r="B14" s="94" t="s">
        <v>26</v>
      </c>
      <c r="C14" s="95" t="s">
        <v>27</v>
      </c>
      <c r="D14" s="96">
        <v>0</v>
      </c>
      <c r="E14" s="97">
        <f t="shared" si="0"/>
        <v>0</v>
      </c>
      <c r="F14" s="96">
        <v>0</v>
      </c>
      <c r="G14" s="98">
        <v>0</v>
      </c>
      <c r="H14" s="96">
        <v>0</v>
      </c>
      <c r="I14" s="96">
        <v>0</v>
      </c>
      <c r="J14" s="96">
        <v>0</v>
      </c>
      <c r="K14" s="99">
        <f t="shared" si="1"/>
        <v>0</v>
      </c>
      <c r="L14" s="96">
        <v>0</v>
      </c>
      <c r="M14" s="96">
        <v>0</v>
      </c>
      <c r="N14" s="96">
        <v>0</v>
      </c>
      <c r="O14" s="96">
        <v>0</v>
      </c>
      <c r="P14" s="100">
        <v>0</v>
      </c>
      <c r="Q14" s="101">
        <f t="shared" si="2"/>
        <v>0</v>
      </c>
      <c r="R14" s="101">
        <f t="shared" si="3"/>
        <v>0</v>
      </c>
      <c r="S14" s="102">
        <f t="shared" si="4"/>
        <v>0</v>
      </c>
    </row>
    <row r="15" spans="1:19" ht="14.25" customHeight="1" x14ac:dyDescent="0.75">
      <c r="A15" s="93">
        <v>666519</v>
      </c>
      <c r="B15" s="94" t="s">
        <v>28</v>
      </c>
      <c r="C15" s="95" t="s">
        <v>29</v>
      </c>
      <c r="D15" s="96">
        <v>26</v>
      </c>
      <c r="E15" s="97">
        <f t="shared" si="0"/>
        <v>4.333333333333333</v>
      </c>
      <c r="F15" s="96">
        <v>25</v>
      </c>
      <c r="G15" s="98">
        <v>0</v>
      </c>
      <c r="H15" s="96">
        <v>1</v>
      </c>
      <c r="I15" s="96">
        <v>0</v>
      </c>
      <c r="J15" s="96">
        <v>0</v>
      </c>
      <c r="K15" s="99">
        <f t="shared" si="1"/>
        <v>0</v>
      </c>
      <c r="L15" s="96">
        <v>0</v>
      </c>
      <c r="M15" s="96">
        <v>0</v>
      </c>
      <c r="N15" s="96">
        <v>0</v>
      </c>
      <c r="O15" s="96">
        <v>0</v>
      </c>
      <c r="P15" s="100">
        <v>0</v>
      </c>
      <c r="Q15" s="133">
        <f t="shared" si="2"/>
        <v>26</v>
      </c>
      <c r="R15" s="101">
        <f t="shared" si="3"/>
        <v>0</v>
      </c>
      <c r="S15" s="102">
        <f t="shared" si="4"/>
        <v>0</v>
      </c>
    </row>
    <row r="16" spans="1:19" ht="14.25" customHeight="1" x14ac:dyDescent="0.75">
      <c r="A16" s="93">
        <v>666521</v>
      </c>
      <c r="B16" s="94" t="s">
        <v>30</v>
      </c>
      <c r="C16" s="95" t="s">
        <v>31</v>
      </c>
      <c r="D16" s="96">
        <v>64</v>
      </c>
      <c r="E16" s="97">
        <f t="shared" si="0"/>
        <v>10.666666666666666</v>
      </c>
      <c r="F16" s="96">
        <v>12</v>
      </c>
      <c r="G16" s="98">
        <v>0</v>
      </c>
      <c r="H16" s="96">
        <v>15</v>
      </c>
      <c r="I16" s="96">
        <v>14</v>
      </c>
      <c r="J16" s="96">
        <v>8</v>
      </c>
      <c r="K16" s="99">
        <f t="shared" si="1"/>
        <v>4.2857142857142856</v>
      </c>
      <c r="L16" s="96">
        <v>0</v>
      </c>
      <c r="M16" s="96">
        <v>0</v>
      </c>
      <c r="N16" s="96">
        <v>0</v>
      </c>
      <c r="O16" s="96">
        <v>0</v>
      </c>
      <c r="P16" s="100">
        <v>15</v>
      </c>
      <c r="Q16" s="133">
        <f t="shared" si="2"/>
        <v>64</v>
      </c>
      <c r="R16" s="101">
        <f t="shared" si="3"/>
        <v>0</v>
      </c>
      <c r="S16" s="102">
        <f t="shared" si="4"/>
        <v>0</v>
      </c>
    </row>
    <row r="17" spans="1:19" ht="14.25" customHeight="1" x14ac:dyDescent="0.75">
      <c r="A17" s="93">
        <v>666522</v>
      </c>
      <c r="B17" s="94" t="s">
        <v>32</v>
      </c>
      <c r="C17" s="95" t="s">
        <v>33</v>
      </c>
      <c r="D17" s="96">
        <v>180</v>
      </c>
      <c r="E17" s="97">
        <f t="shared" si="0"/>
        <v>30</v>
      </c>
      <c r="F17" s="96">
        <v>40</v>
      </c>
      <c r="G17" s="98">
        <v>0</v>
      </c>
      <c r="H17" s="96">
        <v>30</v>
      </c>
      <c r="I17" s="96">
        <v>10</v>
      </c>
      <c r="J17" s="96">
        <v>25</v>
      </c>
      <c r="K17" s="99">
        <f t="shared" si="1"/>
        <v>21.428571428571427</v>
      </c>
      <c r="L17" s="96">
        <v>0</v>
      </c>
      <c r="M17" s="96">
        <v>0</v>
      </c>
      <c r="N17" s="96">
        <v>0</v>
      </c>
      <c r="O17" s="96">
        <v>0</v>
      </c>
      <c r="P17" s="100">
        <v>75</v>
      </c>
      <c r="Q17" s="133">
        <f t="shared" si="2"/>
        <v>180</v>
      </c>
      <c r="R17" s="101">
        <f t="shared" si="3"/>
        <v>0</v>
      </c>
      <c r="S17" s="102">
        <f t="shared" si="4"/>
        <v>0</v>
      </c>
    </row>
    <row r="18" spans="1:19" ht="14.25" customHeight="1" x14ac:dyDescent="0.75">
      <c r="A18" s="93">
        <v>666523</v>
      </c>
      <c r="B18" s="94" t="s">
        <v>34</v>
      </c>
      <c r="C18" s="95" t="s">
        <v>35</v>
      </c>
      <c r="D18" s="96">
        <v>0</v>
      </c>
      <c r="E18" s="97">
        <f t="shared" si="0"/>
        <v>0</v>
      </c>
      <c r="F18" s="96">
        <v>0</v>
      </c>
      <c r="G18" s="98">
        <v>0</v>
      </c>
      <c r="H18" s="96">
        <v>0</v>
      </c>
      <c r="I18" s="96">
        <v>0</v>
      </c>
      <c r="J18" s="96">
        <v>0</v>
      </c>
      <c r="K18" s="99">
        <f t="shared" si="1"/>
        <v>0</v>
      </c>
      <c r="L18" s="96">
        <v>0</v>
      </c>
      <c r="M18" s="96">
        <v>0</v>
      </c>
      <c r="N18" s="96">
        <v>0</v>
      </c>
      <c r="O18" s="96">
        <v>0</v>
      </c>
      <c r="P18" s="100">
        <v>0</v>
      </c>
      <c r="Q18" s="101">
        <f t="shared" si="2"/>
        <v>0</v>
      </c>
      <c r="R18" s="101">
        <f t="shared" si="3"/>
        <v>0</v>
      </c>
      <c r="S18" s="102">
        <f t="shared" si="4"/>
        <v>0</v>
      </c>
    </row>
    <row r="19" spans="1:19" ht="14.25" customHeight="1" x14ac:dyDescent="0.75">
      <c r="A19" s="93">
        <v>666530</v>
      </c>
      <c r="B19" s="94" t="s">
        <v>36</v>
      </c>
      <c r="C19" s="95" t="s">
        <v>37</v>
      </c>
      <c r="D19" s="96">
        <v>0</v>
      </c>
      <c r="E19" s="97">
        <f t="shared" si="0"/>
        <v>0</v>
      </c>
      <c r="F19" s="96">
        <v>0</v>
      </c>
      <c r="G19" s="98">
        <v>0</v>
      </c>
      <c r="H19" s="96">
        <v>0</v>
      </c>
      <c r="I19" s="96">
        <v>0</v>
      </c>
      <c r="J19" s="96">
        <v>0</v>
      </c>
      <c r="K19" s="99">
        <f t="shared" si="1"/>
        <v>0</v>
      </c>
      <c r="L19" s="96">
        <v>0</v>
      </c>
      <c r="M19" s="96">
        <v>0</v>
      </c>
      <c r="N19" s="96">
        <v>0</v>
      </c>
      <c r="O19" s="96">
        <v>0</v>
      </c>
      <c r="P19" s="100">
        <v>0</v>
      </c>
      <c r="Q19" s="133">
        <f t="shared" si="2"/>
        <v>0</v>
      </c>
      <c r="R19" s="101">
        <f t="shared" si="3"/>
        <v>0</v>
      </c>
      <c r="S19" s="102">
        <f t="shared" si="4"/>
        <v>0</v>
      </c>
    </row>
    <row r="20" spans="1:19" ht="14.25" customHeight="1" x14ac:dyDescent="0.75">
      <c r="A20" s="93">
        <v>666531</v>
      </c>
      <c r="B20" s="94" t="s">
        <v>38</v>
      </c>
      <c r="C20" s="95" t="s">
        <v>39</v>
      </c>
      <c r="D20" s="96">
        <v>20</v>
      </c>
      <c r="E20" s="97">
        <f t="shared" si="0"/>
        <v>3.3333333333333335</v>
      </c>
      <c r="F20" s="96">
        <v>7</v>
      </c>
      <c r="G20" s="98">
        <v>0</v>
      </c>
      <c r="H20" s="96">
        <v>6</v>
      </c>
      <c r="I20" s="96">
        <v>0</v>
      </c>
      <c r="J20" s="96">
        <v>0</v>
      </c>
      <c r="K20" s="99">
        <f t="shared" si="1"/>
        <v>2</v>
      </c>
      <c r="L20" s="96">
        <v>0</v>
      </c>
      <c r="M20" s="96">
        <v>0</v>
      </c>
      <c r="N20" s="96">
        <v>0</v>
      </c>
      <c r="O20" s="96">
        <v>0</v>
      </c>
      <c r="P20" s="100">
        <v>7</v>
      </c>
      <c r="Q20" s="133">
        <f t="shared" si="2"/>
        <v>20</v>
      </c>
      <c r="R20" s="101">
        <f t="shared" si="3"/>
        <v>0</v>
      </c>
      <c r="S20" s="102"/>
    </row>
    <row r="21" spans="1:19" ht="14.25" customHeight="1" x14ac:dyDescent="0.75">
      <c r="A21" s="93">
        <v>666540</v>
      </c>
      <c r="B21" s="94" t="s">
        <v>40</v>
      </c>
      <c r="C21" s="95" t="s">
        <v>40</v>
      </c>
      <c r="D21" s="96">
        <v>0</v>
      </c>
      <c r="E21" s="97">
        <f t="shared" si="0"/>
        <v>0</v>
      </c>
      <c r="F21" s="96">
        <v>0</v>
      </c>
      <c r="G21" s="98">
        <v>0</v>
      </c>
      <c r="H21" s="96">
        <v>0</v>
      </c>
      <c r="I21" s="96">
        <v>0</v>
      </c>
      <c r="J21" s="96">
        <v>0</v>
      </c>
      <c r="K21" s="99">
        <f t="shared" si="1"/>
        <v>0</v>
      </c>
      <c r="L21" s="96">
        <v>0</v>
      </c>
      <c r="M21" s="96">
        <v>0</v>
      </c>
      <c r="N21" s="96">
        <v>0</v>
      </c>
      <c r="O21" s="96">
        <v>0</v>
      </c>
      <c r="P21" s="100">
        <v>0</v>
      </c>
      <c r="Q21" s="101">
        <f t="shared" si="2"/>
        <v>0</v>
      </c>
      <c r="R21" s="101">
        <f t="shared" si="3"/>
        <v>0</v>
      </c>
      <c r="S21" s="102"/>
    </row>
    <row r="22" spans="1:19" ht="15" customHeight="1" x14ac:dyDescent="0.75">
      <c r="A22" s="93">
        <v>666541</v>
      </c>
      <c r="B22" s="94" t="s">
        <v>41</v>
      </c>
      <c r="C22" s="103" t="s">
        <v>41</v>
      </c>
      <c r="D22" s="96">
        <v>0</v>
      </c>
      <c r="E22" s="97">
        <f t="shared" si="0"/>
        <v>0</v>
      </c>
      <c r="F22" s="104">
        <v>0</v>
      </c>
      <c r="G22" s="105">
        <v>0</v>
      </c>
      <c r="H22" s="104">
        <v>0</v>
      </c>
      <c r="I22" s="104">
        <v>0</v>
      </c>
      <c r="J22" s="104">
        <v>0</v>
      </c>
      <c r="K22" s="106">
        <f t="shared" si="1"/>
        <v>0</v>
      </c>
      <c r="L22" s="96">
        <v>0</v>
      </c>
      <c r="M22" s="96">
        <v>0</v>
      </c>
      <c r="N22" s="96">
        <v>0</v>
      </c>
      <c r="O22" s="96">
        <v>0</v>
      </c>
      <c r="P22" s="100">
        <v>0</v>
      </c>
      <c r="Q22" s="101">
        <f t="shared" si="2"/>
        <v>0</v>
      </c>
      <c r="R22" s="101">
        <f t="shared" si="3"/>
        <v>0</v>
      </c>
      <c r="S22" s="102"/>
    </row>
    <row r="23" spans="1:19" s="50" customFormat="1" ht="15" customHeight="1" x14ac:dyDescent="0.75">
      <c r="A23" s="108">
        <v>666536</v>
      </c>
      <c r="B23" s="109" t="s">
        <v>42</v>
      </c>
      <c r="C23" s="110"/>
      <c r="D23" s="104">
        <v>40</v>
      </c>
      <c r="E23" s="111">
        <f t="shared" si="0"/>
        <v>6.666666666666667</v>
      </c>
      <c r="F23" s="104">
        <v>7</v>
      </c>
      <c r="G23" s="105">
        <v>0</v>
      </c>
      <c r="H23" s="104">
        <v>2</v>
      </c>
      <c r="I23" s="104">
        <v>3</v>
      </c>
      <c r="J23" s="104">
        <v>5</v>
      </c>
      <c r="K23" s="106">
        <f t="shared" si="1"/>
        <v>6.5714285714285712</v>
      </c>
      <c r="L23" s="104">
        <v>0</v>
      </c>
      <c r="M23" s="104">
        <v>0</v>
      </c>
      <c r="N23" s="104">
        <v>0</v>
      </c>
      <c r="O23" s="104">
        <v>0</v>
      </c>
      <c r="P23" s="107">
        <v>7</v>
      </c>
      <c r="Q23" s="166">
        <f t="shared" si="2"/>
        <v>24</v>
      </c>
      <c r="R23" s="101">
        <f t="shared" si="3"/>
        <v>16</v>
      </c>
    </row>
    <row r="24" spans="1:19" s="50" customFormat="1" ht="15" customHeight="1" x14ac:dyDescent="0.75">
      <c r="A24" s="112" t="s">
        <v>193</v>
      </c>
      <c r="B24" s="127" t="s">
        <v>197</v>
      </c>
      <c r="D24" s="104">
        <v>100</v>
      </c>
      <c r="E24" s="111">
        <f t="shared" si="0"/>
        <v>16.666666666666668</v>
      </c>
      <c r="F24" s="104">
        <v>20</v>
      </c>
      <c r="G24" s="105">
        <v>0</v>
      </c>
      <c r="H24" s="104">
        <v>20</v>
      </c>
      <c r="I24" s="104">
        <v>0</v>
      </c>
      <c r="J24" s="104">
        <v>0</v>
      </c>
      <c r="K24" s="106">
        <f t="shared" si="1"/>
        <v>17.142857142857142</v>
      </c>
      <c r="L24" s="104">
        <v>0</v>
      </c>
      <c r="M24" s="104">
        <v>0</v>
      </c>
      <c r="N24" s="104">
        <v>0</v>
      </c>
      <c r="O24" s="104">
        <v>0</v>
      </c>
      <c r="P24" s="107">
        <v>60</v>
      </c>
      <c r="Q24" s="133">
        <f t="shared" si="2"/>
        <v>100</v>
      </c>
      <c r="R24" s="101">
        <f t="shared" si="3"/>
        <v>0</v>
      </c>
    </row>
    <row r="25" spans="1:19" ht="15" customHeight="1" x14ac:dyDescent="0.75">
      <c r="A25" s="4" t="str">
        <f>+A1</f>
        <v>Weeks of 05/18/26 &amp; 05_25_26</v>
      </c>
      <c r="B25" s="4"/>
      <c r="C25" s="4"/>
      <c r="D25" s="4"/>
      <c r="E25" s="4"/>
      <c r="F25" s="115"/>
      <c r="G25" s="115"/>
      <c r="H25" s="115"/>
      <c r="I25" s="115"/>
      <c r="J25" s="116"/>
      <c r="K25" s="116"/>
      <c r="L25" s="116"/>
      <c r="M25" s="116"/>
      <c r="N25" s="116"/>
      <c r="O25" s="116"/>
      <c r="P25" s="117"/>
      <c r="Q25" s="101"/>
      <c r="R25" s="101"/>
    </row>
    <row r="26" spans="1:19" ht="42" customHeight="1" x14ac:dyDescent="0.75">
      <c r="A26" s="118"/>
      <c r="B26" s="119" t="s">
        <v>170</v>
      </c>
      <c r="C26" s="120" t="s">
        <v>65</v>
      </c>
      <c r="D26" s="121" t="s">
        <v>119</v>
      </c>
      <c r="E26" s="122" t="s">
        <v>171</v>
      </c>
      <c r="F26" s="88" t="s">
        <v>162</v>
      </c>
      <c r="G26" s="86" t="s">
        <v>163</v>
      </c>
      <c r="H26" s="87" t="s">
        <v>172</v>
      </c>
      <c r="I26" s="86" t="s">
        <v>165</v>
      </c>
      <c r="J26" s="123" t="s">
        <v>166</v>
      </c>
      <c r="K26" s="124" t="str">
        <f>+K2</f>
        <v>2nd wk daily goals</v>
      </c>
      <c r="L26" s="125" t="s">
        <v>162</v>
      </c>
      <c r="M26" s="86" t="s">
        <v>163</v>
      </c>
      <c r="N26" s="126" t="s">
        <v>172</v>
      </c>
      <c r="O26" s="86" t="s">
        <v>165</v>
      </c>
      <c r="P26" s="90" t="s">
        <v>166</v>
      </c>
      <c r="Q26" s="101"/>
      <c r="R26" s="92" t="s">
        <v>168</v>
      </c>
    </row>
    <row r="27" spans="1:19" ht="15" customHeight="1" x14ac:dyDescent="0.75">
      <c r="A27" s="93">
        <v>666501</v>
      </c>
      <c r="B27" s="94" t="s">
        <v>4</v>
      </c>
      <c r="C27" s="127" t="s">
        <v>5</v>
      </c>
      <c r="D27" s="128">
        <v>423</v>
      </c>
      <c r="E27" s="129">
        <f t="shared" ref="E27:E47" si="5">+D27/7</f>
        <v>60.428571428571431</v>
      </c>
      <c r="F27" s="96">
        <v>0</v>
      </c>
      <c r="G27" s="96">
        <v>57</v>
      </c>
      <c r="H27" s="96">
        <v>141</v>
      </c>
      <c r="I27" s="96">
        <v>0</v>
      </c>
      <c r="J27" s="130">
        <v>84</v>
      </c>
      <c r="K27" s="131">
        <f t="shared" ref="K27:K47" si="6">(+D27-SUM(F27:J27))/4</f>
        <v>35.25</v>
      </c>
      <c r="L27" s="132">
        <v>0</v>
      </c>
      <c r="M27" s="96">
        <v>0</v>
      </c>
      <c r="N27" s="96">
        <v>0</v>
      </c>
      <c r="O27" s="96">
        <v>0</v>
      </c>
      <c r="P27" s="100">
        <v>141</v>
      </c>
      <c r="Q27" s="201">
        <f t="shared" ref="Q27:Q47" si="7">SUM(F27:J27)+SUM(L27:P27)</f>
        <v>423</v>
      </c>
      <c r="R27" s="202">
        <f t="shared" ref="R27:R47" si="8">+D27-Q27</f>
        <v>0</v>
      </c>
      <c r="S27" s="102">
        <f t="shared" ref="S27:S36" si="9">+R27/3</f>
        <v>0</v>
      </c>
    </row>
    <row r="28" spans="1:19" ht="15" customHeight="1" x14ac:dyDescent="0.75">
      <c r="A28" s="93">
        <v>666502</v>
      </c>
      <c r="B28" s="94" t="s">
        <v>6</v>
      </c>
      <c r="C28" s="127" t="s">
        <v>7</v>
      </c>
      <c r="D28" s="128">
        <v>260</v>
      </c>
      <c r="E28" s="129">
        <f t="shared" si="5"/>
        <v>37.142857142857146</v>
      </c>
      <c r="F28" s="96">
        <v>9</v>
      </c>
      <c r="G28" s="96">
        <v>25</v>
      </c>
      <c r="H28" s="96">
        <v>48</v>
      </c>
      <c r="I28" s="96">
        <v>26</v>
      </c>
      <c r="J28" s="130">
        <v>37</v>
      </c>
      <c r="K28" s="131">
        <f t="shared" si="6"/>
        <v>28.75</v>
      </c>
      <c r="L28" s="132">
        <v>0</v>
      </c>
      <c r="M28" s="96">
        <v>0</v>
      </c>
      <c r="N28" s="96">
        <v>0</v>
      </c>
      <c r="O28" s="96">
        <v>0</v>
      </c>
      <c r="P28" s="100">
        <v>115</v>
      </c>
      <c r="Q28" s="133">
        <f t="shared" si="7"/>
        <v>260</v>
      </c>
      <c r="R28" s="202">
        <f t="shared" si="8"/>
        <v>0</v>
      </c>
      <c r="S28" s="102">
        <f t="shared" si="9"/>
        <v>0</v>
      </c>
    </row>
    <row r="29" spans="1:19" ht="15" customHeight="1" x14ac:dyDescent="0.75">
      <c r="A29" s="93">
        <v>666505</v>
      </c>
      <c r="B29" s="94" t="s">
        <v>8</v>
      </c>
      <c r="C29" s="127" t="s">
        <v>9</v>
      </c>
      <c r="D29" s="128">
        <v>0</v>
      </c>
      <c r="E29" s="129">
        <f t="shared" si="5"/>
        <v>0</v>
      </c>
      <c r="F29" s="96">
        <v>0</v>
      </c>
      <c r="G29" s="96">
        <v>0</v>
      </c>
      <c r="H29" s="96">
        <v>0</v>
      </c>
      <c r="I29" s="96">
        <v>0</v>
      </c>
      <c r="J29" s="130">
        <v>0</v>
      </c>
      <c r="K29" s="131">
        <f t="shared" si="6"/>
        <v>0</v>
      </c>
      <c r="L29" s="132">
        <v>0</v>
      </c>
      <c r="M29" s="96">
        <v>0</v>
      </c>
      <c r="N29" s="96">
        <v>0</v>
      </c>
      <c r="O29" s="96">
        <v>0</v>
      </c>
      <c r="P29" s="100">
        <v>0</v>
      </c>
      <c r="Q29" s="101">
        <f t="shared" si="7"/>
        <v>0</v>
      </c>
      <c r="R29" s="202">
        <f t="shared" si="8"/>
        <v>0</v>
      </c>
      <c r="S29" s="102">
        <f t="shared" si="9"/>
        <v>0</v>
      </c>
    </row>
    <row r="30" spans="1:19" ht="15" customHeight="1" x14ac:dyDescent="0.75">
      <c r="A30" s="93">
        <v>666506</v>
      </c>
      <c r="B30" s="94" t="s">
        <v>10</v>
      </c>
      <c r="C30" s="127" t="s">
        <v>11</v>
      </c>
      <c r="D30" s="128">
        <v>203</v>
      </c>
      <c r="E30" s="129">
        <f t="shared" si="5"/>
        <v>29</v>
      </c>
      <c r="F30" s="96">
        <v>49</v>
      </c>
      <c r="G30" s="96">
        <v>45</v>
      </c>
      <c r="H30" s="96">
        <v>27</v>
      </c>
      <c r="I30" s="96">
        <v>41</v>
      </c>
      <c r="J30" s="130">
        <v>41</v>
      </c>
      <c r="K30" s="131">
        <f t="shared" si="6"/>
        <v>0</v>
      </c>
      <c r="L30" s="132">
        <v>0</v>
      </c>
      <c r="M30" s="96">
        <v>0</v>
      </c>
      <c r="N30" s="96">
        <v>0</v>
      </c>
      <c r="O30" s="96">
        <v>0</v>
      </c>
      <c r="P30" s="100">
        <v>0</v>
      </c>
      <c r="Q30" s="201">
        <f t="shared" si="7"/>
        <v>203</v>
      </c>
      <c r="R30" s="202">
        <f t="shared" si="8"/>
        <v>0</v>
      </c>
      <c r="S30" s="102">
        <f t="shared" si="9"/>
        <v>0</v>
      </c>
    </row>
    <row r="31" spans="1:19" ht="15" customHeight="1" x14ac:dyDescent="0.75">
      <c r="A31" s="93">
        <v>666507</v>
      </c>
      <c r="B31" s="94" t="s">
        <v>12</v>
      </c>
      <c r="C31" s="127" t="s">
        <v>13</v>
      </c>
      <c r="D31" s="128">
        <v>0</v>
      </c>
      <c r="E31" s="129">
        <f t="shared" si="5"/>
        <v>0</v>
      </c>
      <c r="F31" s="96">
        <v>0</v>
      </c>
      <c r="G31" s="96">
        <v>0</v>
      </c>
      <c r="H31" s="96">
        <v>0</v>
      </c>
      <c r="I31" s="96">
        <v>0</v>
      </c>
      <c r="J31" s="130">
        <v>0</v>
      </c>
      <c r="K31" s="131">
        <f t="shared" si="6"/>
        <v>0</v>
      </c>
      <c r="L31" s="132">
        <v>0</v>
      </c>
      <c r="M31" s="96">
        <v>0</v>
      </c>
      <c r="N31" s="96">
        <v>0</v>
      </c>
      <c r="O31" s="96">
        <v>0</v>
      </c>
      <c r="P31" s="100">
        <v>0</v>
      </c>
      <c r="Q31" s="101">
        <f t="shared" si="7"/>
        <v>0</v>
      </c>
      <c r="R31" s="202">
        <f t="shared" si="8"/>
        <v>0</v>
      </c>
      <c r="S31" s="102">
        <f t="shared" si="9"/>
        <v>0</v>
      </c>
    </row>
    <row r="32" spans="1:19" ht="15" customHeight="1" x14ac:dyDescent="0.75">
      <c r="A32" s="93">
        <v>666509</v>
      </c>
      <c r="B32" s="94" t="s">
        <v>14</v>
      </c>
      <c r="C32" s="127" t="s">
        <v>15</v>
      </c>
      <c r="D32" s="128">
        <v>0</v>
      </c>
      <c r="E32" s="129">
        <f t="shared" si="5"/>
        <v>0</v>
      </c>
      <c r="F32" s="96">
        <v>0</v>
      </c>
      <c r="G32" s="96">
        <v>0</v>
      </c>
      <c r="H32" s="96">
        <v>0</v>
      </c>
      <c r="I32" s="96">
        <v>0</v>
      </c>
      <c r="J32" s="130">
        <v>0</v>
      </c>
      <c r="K32" s="131">
        <f t="shared" si="6"/>
        <v>0</v>
      </c>
      <c r="L32" s="132">
        <v>0</v>
      </c>
      <c r="M32" s="96">
        <v>0</v>
      </c>
      <c r="N32" s="96">
        <v>0</v>
      </c>
      <c r="O32" s="96">
        <v>0</v>
      </c>
      <c r="P32" s="100">
        <v>0</v>
      </c>
      <c r="Q32" s="101">
        <f t="shared" si="7"/>
        <v>0</v>
      </c>
      <c r="R32" s="202">
        <f t="shared" si="8"/>
        <v>0</v>
      </c>
      <c r="S32" s="102">
        <f t="shared" si="9"/>
        <v>0</v>
      </c>
    </row>
    <row r="33" spans="1:24" ht="15" customHeight="1" x14ac:dyDescent="0.75">
      <c r="A33" s="93">
        <v>666510</v>
      </c>
      <c r="B33" s="94" t="s">
        <v>16</v>
      </c>
      <c r="C33" s="127" t="s">
        <v>169</v>
      </c>
      <c r="D33" s="128">
        <v>0</v>
      </c>
      <c r="E33" s="129">
        <f t="shared" si="5"/>
        <v>0</v>
      </c>
      <c r="F33" s="96">
        <v>0</v>
      </c>
      <c r="G33" s="96">
        <v>0</v>
      </c>
      <c r="H33" s="96">
        <v>0</v>
      </c>
      <c r="I33" s="96">
        <v>0</v>
      </c>
      <c r="J33" s="130">
        <v>0</v>
      </c>
      <c r="K33" s="131">
        <f t="shared" si="6"/>
        <v>0</v>
      </c>
      <c r="L33" s="132">
        <v>0</v>
      </c>
      <c r="M33" s="96">
        <v>0</v>
      </c>
      <c r="N33" s="96">
        <v>0</v>
      </c>
      <c r="O33" s="96">
        <v>0</v>
      </c>
      <c r="P33" s="100">
        <v>0</v>
      </c>
      <c r="Q33" s="101">
        <f t="shared" si="7"/>
        <v>0</v>
      </c>
      <c r="R33" s="202">
        <f t="shared" si="8"/>
        <v>0</v>
      </c>
      <c r="S33" s="102">
        <f t="shared" si="9"/>
        <v>0</v>
      </c>
    </row>
    <row r="34" spans="1:24" ht="15" customHeight="1" x14ac:dyDescent="0.75">
      <c r="A34" s="93">
        <v>666511</v>
      </c>
      <c r="B34" s="94" t="s">
        <v>18</v>
      </c>
      <c r="C34" s="127" t="s">
        <v>19</v>
      </c>
      <c r="D34" s="128">
        <v>0</v>
      </c>
      <c r="E34" s="129">
        <f t="shared" si="5"/>
        <v>0</v>
      </c>
      <c r="F34" s="96">
        <v>0</v>
      </c>
      <c r="G34" s="96">
        <v>0</v>
      </c>
      <c r="H34" s="96">
        <v>0</v>
      </c>
      <c r="I34" s="96">
        <v>0</v>
      </c>
      <c r="J34" s="130">
        <v>0</v>
      </c>
      <c r="K34" s="131">
        <f t="shared" si="6"/>
        <v>0</v>
      </c>
      <c r="L34" s="132">
        <v>0</v>
      </c>
      <c r="M34" s="96">
        <v>0</v>
      </c>
      <c r="N34" s="96">
        <v>0</v>
      </c>
      <c r="O34" s="96">
        <v>0</v>
      </c>
      <c r="P34" s="100">
        <v>0</v>
      </c>
      <c r="Q34" s="101">
        <f t="shared" si="7"/>
        <v>0</v>
      </c>
      <c r="R34" s="202">
        <f t="shared" si="8"/>
        <v>0</v>
      </c>
      <c r="S34" s="102">
        <f t="shared" si="9"/>
        <v>0</v>
      </c>
    </row>
    <row r="35" spans="1:24" ht="15" customHeight="1" x14ac:dyDescent="0.75">
      <c r="A35" s="93">
        <v>666513</v>
      </c>
      <c r="B35" s="94" t="s">
        <v>20</v>
      </c>
      <c r="C35" s="127" t="s">
        <v>21</v>
      </c>
      <c r="D35" s="128">
        <v>0</v>
      </c>
      <c r="E35" s="129">
        <f t="shared" si="5"/>
        <v>0</v>
      </c>
      <c r="F35" s="96">
        <v>0</v>
      </c>
      <c r="G35" s="96">
        <v>0</v>
      </c>
      <c r="H35" s="96">
        <v>0</v>
      </c>
      <c r="I35" s="96">
        <v>0</v>
      </c>
      <c r="J35" s="130">
        <v>0</v>
      </c>
      <c r="K35" s="131">
        <f t="shared" si="6"/>
        <v>0</v>
      </c>
      <c r="L35" s="132">
        <v>0</v>
      </c>
      <c r="M35" s="96">
        <v>0</v>
      </c>
      <c r="N35" s="96">
        <v>0</v>
      </c>
      <c r="O35" s="96">
        <v>0</v>
      </c>
      <c r="P35" s="100">
        <v>0</v>
      </c>
      <c r="Q35" s="101">
        <f t="shared" si="7"/>
        <v>0</v>
      </c>
      <c r="R35" s="202">
        <f t="shared" si="8"/>
        <v>0</v>
      </c>
      <c r="S35" s="102">
        <f t="shared" si="9"/>
        <v>0</v>
      </c>
    </row>
    <row r="36" spans="1:24" ht="15" customHeight="1" x14ac:dyDescent="0.75">
      <c r="A36" s="93">
        <v>666516</v>
      </c>
      <c r="B36" s="94" t="s">
        <v>22</v>
      </c>
      <c r="C36" s="127" t="s">
        <v>23</v>
      </c>
      <c r="D36" s="128">
        <v>0</v>
      </c>
      <c r="E36" s="129">
        <f t="shared" si="5"/>
        <v>0</v>
      </c>
      <c r="F36" s="96">
        <v>0</v>
      </c>
      <c r="G36" s="96">
        <v>0</v>
      </c>
      <c r="H36" s="96">
        <v>0</v>
      </c>
      <c r="I36" s="96">
        <v>0</v>
      </c>
      <c r="J36" s="130">
        <v>0</v>
      </c>
      <c r="K36" s="131">
        <f t="shared" si="6"/>
        <v>0</v>
      </c>
      <c r="L36" s="132">
        <v>0</v>
      </c>
      <c r="M36" s="96">
        <v>0</v>
      </c>
      <c r="N36" s="96">
        <v>0</v>
      </c>
      <c r="O36" s="96">
        <v>0</v>
      </c>
      <c r="P36" s="100">
        <v>0</v>
      </c>
      <c r="Q36" s="101">
        <f t="shared" si="7"/>
        <v>0</v>
      </c>
      <c r="R36" s="202">
        <f t="shared" si="8"/>
        <v>0</v>
      </c>
      <c r="S36" s="102">
        <f t="shared" si="9"/>
        <v>0</v>
      </c>
    </row>
    <row r="37" spans="1:24" ht="15" customHeight="1" x14ac:dyDescent="0.75">
      <c r="A37" s="93">
        <v>666517</v>
      </c>
      <c r="B37" s="94" t="s">
        <v>24</v>
      </c>
      <c r="C37" s="127" t="s">
        <v>25</v>
      </c>
      <c r="D37" s="128">
        <v>0</v>
      </c>
      <c r="E37" s="129">
        <f t="shared" si="5"/>
        <v>0</v>
      </c>
      <c r="F37" s="96">
        <v>0</v>
      </c>
      <c r="G37" s="96">
        <v>0</v>
      </c>
      <c r="H37" s="96">
        <v>0</v>
      </c>
      <c r="I37" s="96">
        <v>0</v>
      </c>
      <c r="J37" s="130">
        <v>0</v>
      </c>
      <c r="K37" s="131">
        <f t="shared" si="6"/>
        <v>0</v>
      </c>
      <c r="L37" s="132">
        <v>0</v>
      </c>
      <c r="M37" s="96">
        <v>0</v>
      </c>
      <c r="N37" s="96">
        <v>0</v>
      </c>
      <c r="O37" s="96">
        <v>0</v>
      </c>
      <c r="P37" s="100">
        <v>0</v>
      </c>
      <c r="Q37" s="101">
        <f t="shared" si="7"/>
        <v>0</v>
      </c>
      <c r="R37" s="101">
        <f t="shared" si="8"/>
        <v>0</v>
      </c>
      <c r="S37" s="102">
        <f>+R37/2</f>
        <v>0</v>
      </c>
    </row>
    <row r="38" spans="1:24" ht="15" customHeight="1" x14ac:dyDescent="0.75">
      <c r="A38" s="93">
        <v>666518</v>
      </c>
      <c r="B38" s="94" t="s">
        <v>26</v>
      </c>
      <c r="C38" s="127" t="s">
        <v>27</v>
      </c>
      <c r="D38" s="128">
        <v>0</v>
      </c>
      <c r="E38" s="129">
        <f t="shared" si="5"/>
        <v>0</v>
      </c>
      <c r="F38" s="96">
        <v>0</v>
      </c>
      <c r="G38" s="96">
        <v>0</v>
      </c>
      <c r="H38" s="96">
        <v>0</v>
      </c>
      <c r="I38" s="96">
        <v>0</v>
      </c>
      <c r="J38" s="130">
        <v>0</v>
      </c>
      <c r="K38" s="131">
        <f t="shared" si="6"/>
        <v>0</v>
      </c>
      <c r="L38" s="132">
        <v>0</v>
      </c>
      <c r="M38" s="96">
        <v>0</v>
      </c>
      <c r="N38" s="96">
        <v>0</v>
      </c>
      <c r="O38" s="96">
        <v>0</v>
      </c>
      <c r="P38" s="100">
        <v>0</v>
      </c>
      <c r="Q38" s="101">
        <f t="shared" si="7"/>
        <v>0</v>
      </c>
      <c r="R38" s="101">
        <f t="shared" si="8"/>
        <v>0</v>
      </c>
      <c r="S38" s="102">
        <f>+R38/3</f>
        <v>0</v>
      </c>
    </row>
    <row r="39" spans="1:24" ht="15" customHeight="1" x14ac:dyDescent="0.75">
      <c r="A39" s="93">
        <v>666519</v>
      </c>
      <c r="B39" s="94" t="s">
        <v>28</v>
      </c>
      <c r="C39" s="127" t="s">
        <v>29</v>
      </c>
      <c r="D39" s="128">
        <v>0</v>
      </c>
      <c r="E39" s="129">
        <f t="shared" si="5"/>
        <v>0</v>
      </c>
      <c r="F39" s="96">
        <v>0</v>
      </c>
      <c r="G39" s="96">
        <v>0</v>
      </c>
      <c r="H39" s="96">
        <v>0</v>
      </c>
      <c r="I39" s="96">
        <v>0</v>
      </c>
      <c r="J39" s="130">
        <v>0</v>
      </c>
      <c r="K39" s="131">
        <f t="shared" si="6"/>
        <v>0</v>
      </c>
      <c r="L39" s="132">
        <v>0</v>
      </c>
      <c r="M39" s="96">
        <v>0</v>
      </c>
      <c r="N39" s="96">
        <v>0</v>
      </c>
      <c r="O39" s="96">
        <v>0</v>
      </c>
      <c r="P39" s="100">
        <v>0</v>
      </c>
      <c r="Q39" s="101">
        <f t="shared" si="7"/>
        <v>0</v>
      </c>
      <c r="R39" s="101">
        <f t="shared" si="8"/>
        <v>0</v>
      </c>
      <c r="S39" s="102"/>
    </row>
    <row r="40" spans="1:24" ht="15" customHeight="1" x14ac:dyDescent="0.75">
      <c r="A40" s="93">
        <v>666521</v>
      </c>
      <c r="B40" s="94" t="s">
        <v>30</v>
      </c>
      <c r="C40" s="127" t="s">
        <v>31</v>
      </c>
      <c r="D40" s="128">
        <v>0</v>
      </c>
      <c r="E40" s="129">
        <f t="shared" si="5"/>
        <v>0</v>
      </c>
      <c r="F40" s="96">
        <v>0</v>
      </c>
      <c r="G40" s="96">
        <v>0</v>
      </c>
      <c r="H40" s="96">
        <v>0</v>
      </c>
      <c r="I40" s="96">
        <v>0</v>
      </c>
      <c r="J40" s="130">
        <v>0</v>
      </c>
      <c r="K40" s="131">
        <f t="shared" si="6"/>
        <v>0</v>
      </c>
      <c r="L40" s="132">
        <v>0</v>
      </c>
      <c r="M40" s="96">
        <v>0</v>
      </c>
      <c r="N40" s="96">
        <v>0</v>
      </c>
      <c r="O40" s="96">
        <v>0</v>
      </c>
      <c r="P40" s="100">
        <v>0</v>
      </c>
      <c r="Q40" s="101">
        <f t="shared" si="7"/>
        <v>0</v>
      </c>
      <c r="R40" s="101">
        <f t="shared" si="8"/>
        <v>0</v>
      </c>
      <c r="S40" s="102"/>
    </row>
    <row r="41" spans="1:24" ht="15" customHeight="1" x14ac:dyDescent="0.75">
      <c r="A41" s="93">
        <v>666522</v>
      </c>
      <c r="B41" s="94" t="s">
        <v>32</v>
      </c>
      <c r="C41" s="127" t="s">
        <v>33</v>
      </c>
      <c r="D41" s="128">
        <v>100</v>
      </c>
      <c r="E41" s="129">
        <f t="shared" si="5"/>
        <v>14.285714285714286</v>
      </c>
      <c r="F41" s="96">
        <v>0</v>
      </c>
      <c r="G41" s="96">
        <v>50</v>
      </c>
      <c r="H41" s="96">
        <v>0</v>
      </c>
      <c r="I41" s="96">
        <v>0</v>
      </c>
      <c r="J41" s="130">
        <v>0</v>
      </c>
      <c r="K41" s="131">
        <f t="shared" si="6"/>
        <v>12.5</v>
      </c>
      <c r="L41" s="132">
        <v>0</v>
      </c>
      <c r="M41" s="96">
        <v>0</v>
      </c>
      <c r="N41" s="96">
        <v>0</v>
      </c>
      <c r="O41" s="96">
        <v>0</v>
      </c>
      <c r="P41" s="100">
        <v>50</v>
      </c>
      <c r="Q41" s="133">
        <f t="shared" si="7"/>
        <v>100</v>
      </c>
      <c r="R41" s="101">
        <f t="shared" si="8"/>
        <v>0</v>
      </c>
      <c r="S41" s="102"/>
    </row>
    <row r="42" spans="1:24" ht="15" customHeight="1" x14ac:dyDescent="0.75">
      <c r="A42" s="93">
        <v>666523</v>
      </c>
      <c r="B42" s="94" t="s">
        <v>34</v>
      </c>
      <c r="C42" s="127" t="s">
        <v>35</v>
      </c>
      <c r="D42" s="128">
        <v>0</v>
      </c>
      <c r="E42" s="129">
        <f t="shared" si="5"/>
        <v>0</v>
      </c>
      <c r="F42" s="96">
        <v>0</v>
      </c>
      <c r="G42" s="96">
        <v>0</v>
      </c>
      <c r="H42" s="96">
        <v>0</v>
      </c>
      <c r="I42" s="96">
        <v>0</v>
      </c>
      <c r="J42" s="130">
        <v>0</v>
      </c>
      <c r="K42" s="131">
        <f t="shared" si="6"/>
        <v>0</v>
      </c>
      <c r="L42" s="132">
        <v>0</v>
      </c>
      <c r="M42" s="96">
        <v>0</v>
      </c>
      <c r="N42" s="96">
        <v>0</v>
      </c>
      <c r="O42" s="96">
        <v>0</v>
      </c>
      <c r="P42" s="100">
        <v>0</v>
      </c>
      <c r="Q42" s="101">
        <f t="shared" si="7"/>
        <v>0</v>
      </c>
      <c r="R42" s="101">
        <f t="shared" si="8"/>
        <v>0</v>
      </c>
      <c r="S42" s="102"/>
    </row>
    <row r="43" spans="1:24" ht="15" customHeight="1" x14ac:dyDescent="0.75">
      <c r="A43" s="93">
        <v>666530</v>
      </c>
      <c r="B43" s="94" t="s">
        <v>36</v>
      </c>
      <c r="C43" s="127" t="s">
        <v>37</v>
      </c>
      <c r="D43" s="128">
        <v>0</v>
      </c>
      <c r="E43" s="129">
        <f t="shared" si="5"/>
        <v>0</v>
      </c>
      <c r="F43" s="96">
        <v>0</v>
      </c>
      <c r="G43" s="96">
        <v>0</v>
      </c>
      <c r="H43" s="96">
        <v>0</v>
      </c>
      <c r="I43" s="96">
        <v>0</v>
      </c>
      <c r="J43" s="130">
        <v>0</v>
      </c>
      <c r="K43" s="131">
        <f t="shared" si="6"/>
        <v>0</v>
      </c>
      <c r="L43" s="132">
        <v>0</v>
      </c>
      <c r="M43" s="96">
        <v>0</v>
      </c>
      <c r="N43" s="96">
        <v>0</v>
      </c>
      <c r="O43" s="96">
        <v>0</v>
      </c>
      <c r="P43" s="100">
        <v>0</v>
      </c>
      <c r="Q43" s="101">
        <f t="shared" si="7"/>
        <v>0</v>
      </c>
      <c r="R43" s="101">
        <f t="shared" si="8"/>
        <v>0</v>
      </c>
      <c r="S43" s="102"/>
    </row>
    <row r="44" spans="1:24" ht="15" customHeight="1" x14ac:dyDescent="0.75">
      <c r="A44" s="93">
        <v>666531</v>
      </c>
      <c r="B44" s="94" t="s">
        <v>38</v>
      </c>
      <c r="C44" s="127" t="s">
        <v>39</v>
      </c>
      <c r="D44" s="128">
        <v>0</v>
      </c>
      <c r="E44" s="129">
        <f t="shared" si="5"/>
        <v>0</v>
      </c>
      <c r="F44" s="96">
        <v>0</v>
      </c>
      <c r="G44" s="96">
        <v>0</v>
      </c>
      <c r="H44" s="96">
        <v>0</v>
      </c>
      <c r="I44" s="96">
        <v>0</v>
      </c>
      <c r="J44" s="130">
        <v>0</v>
      </c>
      <c r="K44" s="131">
        <f t="shared" si="6"/>
        <v>0</v>
      </c>
      <c r="L44" s="132">
        <v>0</v>
      </c>
      <c r="M44" s="96">
        <v>0</v>
      </c>
      <c r="N44" s="96">
        <v>0</v>
      </c>
      <c r="O44" s="96">
        <v>0</v>
      </c>
      <c r="P44" s="100">
        <v>0</v>
      </c>
      <c r="Q44" s="101">
        <f t="shared" si="7"/>
        <v>0</v>
      </c>
      <c r="R44" s="101">
        <f t="shared" si="8"/>
        <v>0</v>
      </c>
      <c r="S44" s="102">
        <f>+R44/3</f>
        <v>0</v>
      </c>
    </row>
    <row r="45" spans="1:24" ht="15" customHeight="1" x14ac:dyDescent="0.75">
      <c r="A45" s="93">
        <v>666540</v>
      </c>
      <c r="B45" s="94" t="s">
        <v>40</v>
      </c>
      <c r="C45" s="127" t="s">
        <v>40</v>
      </c>
      <c r="D45" s="128">
        <v>40</v>
      </c>
      <c r="E45" s="129">
        <f t="shared" si="5"/>
        <v>5.7142857142857144</v>
      </c>
      <c r="F45" s="96">
        <v>0</v>
      </c>
      <c r="G45" s="96">
        <v>0</v>
      </c>
      <c r="H45" s="96">
        <v>0</v>
      </c>
      <c r="I45" s="96">
        <v>0</v>
      </c>
      <c r="J45" s="130">
        <v>0</v>
      </c>
      <c r="K45" s="131">
        <f t="shared" si="6"/>
        <v>10</v>
      </c>
      <c r="L45" s="132">
        <v>0</v>
      </c>
      <c r="M45" s="96">
        <v>0</v>
      </c>
      <c r="N45" s="96">
        <v>0</v>
      </c>
      <c r="O45" s="96">
        <v>0</v>
      </c>
      <c r="P45" s="100">
        <v>0</v>
      </c>
      <c r="Q45" s="166">
        <f t="shared" si="7"/>
        <v>0</v>
      </c>
      <c r="R45" s="202">
        <f t="shared" si="8"/>
        <v>40</v>
      </c>
      <c r="S45" s="102">
        <f>+R45/3</f>
        <v>13.333333333333334</v>
      </c>
    </row>
    <row r="46" spans="1:24" ht="15" customHeight="1" x14ac:dyDescent="0.75">
      <c r="A46" s="93">
        <v>666541</v>
      </c>
      <c r="B46" s="94" t="s">
        <v>41</v>
      </c>
      <c r="C46" s="127"/>
      <c r="D46" s="128">
        <v>680</v>
      </c>
      <c r="E46" s="129">
        <f t="shared" si="5"/>
        <v>97.142857142857139</v>
      </c>
      <c r="F46" s="96">
        <v>62</v>
      </c>
      <c r="G46" s="96">
        <v>41</v>
      </c>
      <c r="H46" s="96">
        <v>30</v>
      </c>
      <c r="I46" s="96">
        <v>27</v>
      </c>
      <c r="J46" s="130">
        <v>42</v>
      </c>
      <c r="K46" s="131">
        <f t="shared" si="6"/>
        <v>119.5</v>
      </c>
      <c r="L46" s="132">
        <v>0</v>
      </c>
      <c r="M46" s="96">
        <v>0</v>
      </c>
      <c r="N46" s="96">
        <v>0</v>
      </c>
      <c r="O46" s="96">
        <v>0</v>
      </c>
      <c r="P46" s="100">
        <v>191</v>
      </c>
      <c r="Q46" s="166">
        <f t="shared" si="7"/>
        <v>393</v>
      </c>
      <c r="R46" s="202">
        <f t="shared" si="8"/>
        <v>287</v>
      </c>
      <c r="S46" s="102"/>
    </row>
    <row r="47" spans="1:24" ht="15" customHeight="1" x14ac:dyDescent="0.75">
      <c r="A47" s="93">
        <v>666536</v>
      </c>
      <c r="B47" s="94" t="s">
        <v>42</v>
      </c>
      <c r="C47" s="134" t="s">
        <v>41</v>
      </c>
      <c r="D47" s="128">
        <v>0</v>
      </c>
      <c r="E47" s="129">
        <f t="shared" si="5"/>
        <v>0</v>
      </c>
      <c r="F47" s="96">
        <v>0</v>
      </c>
      <c r="G47" s="96">
        <v>0</v>
      </c>
      <c r="H47" s="96">
        <v>0</v>
      </c>
      <c r="I47" s="96">
        <v>0</v>
      </c>
      <c r="J47" s="130">
        <v>0</v>
      </c>
      <c r="K47" s="131">
        <f t="shared" si="6"/>
        <v>0</v>
      </c>
      <c r="L47" s="132">
        <v>0</v>
      </c>
      <c r="M47" s="96">
        <v>0</v>
      </c>
      <c r="N47" s="96">
        <v>0</v>
      </c>
      <c r="O47" s="96">
        <v>0</v>
      </c>
      <c r="P47" s="100">
        <v>0</v>
      </c>
      <c r="Q47" s="101">
        <f t="shared" si="7"/>
        <v>0</v>
      </c>
      <c r="R47" s="101">
        <f t="shared" si="8"/>
        <v>0</v>
      </c>
      <c r="S47" s="102">
        <f>+R47/3</f>
        <v>0</v>
      </c>
      <c r="X47" s="79" t="s">
        <v>152</v>
      </c>
    </row>
    <row r="48" spans="1:24" ht="15" customHeight="1" x14ac:dyDescent="0.75">
      <c r="A48" s="135"/>
      <c r="B48" s="136"/>
      <c r="C48" s="134"/>
      <c r="D48" s="137"/>
      <c r="E48" s="137"/>
      <c r="F48" s="138"/>
      <c r="G48" s="139"/>
      <c r="H48" s="139"/>
      <c r="I48" s="139"/>
      <c r="J48" s="139"/>
      <c r="K48" s="140"/>
      <c r="L48" s="139"/>
      <c r="M48" s="139"/>
      <c r="N48" s="139"/>
      <c r="O48" s="139"/>
      <c r="P48" s="141"/>
      <c r="Q48" s="101"/>
      <c r="R48" s="101"/>
      <c r="S48" s="102"/>
    </row>
    <row r="49" spans="1:18" ht="15" customHeight="1" x14ac:dyDescent="0.75">
      <c r="A49" s="2" t="str">
        <f>+A1</f>
        <v>Weeks of 05/18/26 &amp; 05_25_26</v>
      </c>
      <c r="B49" s="2"/>
      <c r="C49" s="2"/>
      <c r="D49" s="2"/>
      <c r="E49" s="2"/>
      <c r="F49" s="142"/>
      <c r="G49" s="81"/>
      <c r="H49" s="81"/>
      <c r="I49" s="81"/>
      <c r="J49" s="81"/>
      <c r="K49" s="81"/>
      <c r="L49" s="81"/>
      <c r="M49" s="81"/>
      <c r="N49" s="81"/>
      <c r="O49" s="81"/>
      <c r="P49" s="82"/>
      <c r="Q49" s="101"/>
    </row>
    <row r="50" spans="1:18" ht="36.75" customHeight="1" x14ac:dyDescent="0.75">
      <c r="A50" s="83"/>
      <c r="B50" s="143" t="s">
        <v>66</v>
      </c>
      <c r="C50" s="144"/>
      <c r="D50" s="86" t="s">
        <v>122</v>
      </c>
      <c r="E50" s="90" t="s">
        <v>173</v>
      </c>
      <c r="F50" s="125" t="s">
        <v>162</v>
      </c>
      <c r="G50" s="86" t="s">
        <v>163</v>
      </c>
      <c r="H50" s="87" t="s">
        <v>164</v>
      </c>
      <c r="I50" s="86" t="s">
        <v>165</v>
      </c>
      <c r="J50" s="86" t="s">
        <v>166</v>
      </c>
      <c r="K50" s="89" t="str">
        <f>+K26</f>
        <v>2nd wk daily goals</v>
      </c>
      <c r="L50" s="88" t="s">
        <v>162</v>
      </c>
      <c r="M50" s="86" t="s">
        <v>163</v>
      </c>
      <c r="N50" s="87" t="s">
        <v>164</v>
      </c>
      <c r="O50" s="86" t="s">
        <v>165</v>
      </c>
      <c r="P50" s="90" t="s">
        <v>166</v>
      </c>
      <c r="Q50" s="101"/>
      <c r="R50" s="92" t="s">
        <v>168</v>
      </c>
    </row>
    <row r="51" spans="1:18" ht="14.25" customHeight="1" x14ac:dyDescent="0.75">
      <c r="A51" s="93">
        <v>666501</v>
      </c>
      <c r="B51" s="94" t="s">
        <v>4</v>
      </c>
      <c r="C51" s="95" t="s">
        <v>5</v>
      </c>
      <c r="D51" s="96">
        <v>39</v>
      </c>
      <c r="E51" s="203">
        <f t="shared" ref="E51:E72" si="10">+D51/2</f>
        <v>19.5</v>
      </c>
      <c r="F51" s="132">
        <v>21</v>
      </c>
      <c r="G51" s="96">
        <v>18</v>
      </c>
      <c r="H51" s="96">
        <v>0</v>
      </c>
      <c r="I51" s="96">
        <v>0</v>
      </c>
      <c r="J51" s="96">
        <v>0</v>
      </c>
      <c r="K51" s="99">
        <f t="shared" ref="K51:K72" si="11">(+D51-SUM(F51:J51))/4</f>
        <v>0</v>
      </c>
      <c r="L51" s="96">
        <v>0</v>
      </c>
      <c r="M51" s="96">
        <v>0</v>
      </c>
      <c r="N51" s="96">
        <v>0</v>
      </c>
      <c r="O51" s="96">
        <v>0</v>
      </c>
      <c r="P51" s="100">
        <v>0</v>
      </c>
      <c r="Q51" s="133">
        <f t="shared" ref="Q51:Q72" si="12">SUM(F51:J51)+SUM(L51:P51)</f>
        <v>39</v>
      </c>
      <c r="R51" s="101">
        <f t="shared" ref="R51:R72" si="13">+D51-Q51</f>
        <v>0</v>
      </c>
    </row>
    <row r="52" spans="1:18" ht="14.25" customHeight="1" x14ac:dyDescent="0.75">
      <c r="A52" s="93">
        <v>666502</v>
      </c>
      <c r="B52" s="94" t="s">
        <v>6</v>
      </c>
      <c r="C52" s="95" t="s">
        <v>7</v>
      </c>
      <c r="D52" s="96">
        <v>100</v>
      </c>
      <c r="E52" s="203">
        <f t="shared" si="10"/>
        <v>50</v>
      </c>
      <c r="F52" s="132">
        <v>0</v>
      </c>
      <c r="G52" s="96">
        <v>8</v>
      </c>
      <c r="H52" s="96">
        <v>0</v>
      </c>
      <c r="I52" s="96">
        <v>29</v>
      </c>
      <c r="J52" s="96">
        <v>0</v>
      </c>
      <c r="K52" s="99">
        <f t="shared" si="11"/>
        <v>15.75</v>
      </c>
      <c r="L52" s="96">
        <v>0</v>
      </c>
      <c r="M52" s="96">
        <v>0</v>
      </c>
      <c r="N52" s="96">
        <v>0</v>
      </c>
      <c r="O52" s="96">
        <v>0</v>
      </c>
      <c r="P52" s="100">
        <v>63</v>
      </c>
      <c r="Q52" s="133">
        <f t="shared" si="12"/>
        <v>100</v>
      </c>
      <c r="R52" s="101">
        <f t="shared" si="13"/>
        <v>0</v>
      </c>
    </row>
    <row r="53" spans="1:18" ht="14.25" customHeight="1" x14ac:dyDescent="0.75">
      <c r="A53" s="93">
        <v>666505</v>
      </c>
      <c r="B53" s="94" t="s">
        <v>8</v>
      </c>
      <c r="C53" s="95" t="s">
        <v>9</v>
      </c>
      <c r="D53" s="96">
        <v>34</v>
      </c>
      <c r="E53" s="203">
        <f t="shared" si="10"/>
        <v>17</v>
      </c>
      <c r="F53" s="132">
        <v>17</v>
      </c>
      <c r="G53" s="96">
        <v>17</v>
      </c>
      <c r="H53" s="96">
        <v>0</v>
      </c>
      <c r="I53" s="96">
        <v>0</v>
      </c>
      <c r="J53" s="96">
        <v>0</v>
      </c>
      <c r="K53" s="99">
        <f t="shared" si="11"/>
        <v>0</v>
      </c>
      <c r="L53" s="96">
        <v>0</v>
      </c>
      <c r="M53" s="96">
        <v>0</v>
      </c>
      <c r="N53" s="96">
        <v>0</v>
      </c>
      <c r="O53" s="96">
        <v>0</v>
      </c>
      <c r="P53" s="100">
        <v>0</v>
      </c>
      <c r="Q53" s="133">
        <f t="shared" si="12"/>
        <v>34</v>
      </c>
      <c r="R53" s="101">
        <f t="shared" si="13"/>
        <v>0</v>
      </c>
    </row>
    <row r="54" spans="1:18" ht="14.25" customHeight="1" x14ac:dyDescent="0.75">
      <c r="A54" s="93">
        <v>666506</v>
      </c>
      <c r="B54" s="94" t="s">
        <v>10</v>
      </c>
      <c r="C54" s="95" t="s">
        <v>11</v>
      </c>
      <c r="D54" s="96">
        <v>0</v>
      </c>
      <c r="E54" s="203">
        <f t="shared" si="10"/>
        <v>0</v>
      </c>
      <c r="F54" s="132">
        <v>0</v>
      </c>
      <c r="G54" s="96">
        <v>0</v>
      </c>
      <c r="H54" s="96">
        <v>0</v>
      </c>
      <c r="I54" s="96">
        <v>0</v>
      </c>
      <c r="J54" s="96">
        <v>0</v>
      </c>
      <c r="K54" s="99">
        <f t="shared" si="11"/>
        <v>0</v>
      </c>
      <c r="L54" s="96">
        <v>0</v>
      </c>
      <c r="M54" s="96">
        <v>0</v>
      </c>
      <c r="N54" s="96">
        <v>0</v>
      </c>
      <c r="O54" s="96">
        <v>0</v>
      </c>
      <c r="P54" s="100">
        <v>0</v>
      </c>
      <c r="Q54" s="101">
        <f t="shared" si="12"/>
        <v>0</v>
      </c>
      <c r="R54" s="101">
        <f t="shared" si="13"/>
        <v>0</v>
      </c>
    </row>
    <row r="55" spans="1:18" ht="14.25" customHeight="1" x14ac:dyDescent="0.75">
      <c r="A55" s="93">
        <v>666507</v>
      </c>
      <c r="B55" s="94" t="s">
        <v>12</v>
      </c>
      <c r="C55" s="95" t="s">
        <v>13</v>
      </c>
      <c r="D55" s="96">
        <v>0</v>
      </c>
      <c r="E55" s="203">
        <f t="shared" si="10"/>
        <v>0</v>
      </c>
      <c r="F55" s="132">
        <v>0</v>
      </c>
      <c r="G55" s="96">
        <v>0</v>
      </c>
      <c r="H55" s="96">
        <v>0</v>
      </c>
      <c r="I55" s="96">
        <v>0</v>
      </c>
      <c r="J55" s="96">
        <v>0</v>
      </c>
      <c r="K55" s="99">
        <f t="shared" si="11"/>
        <v>0</v>
      </c>
      <c r="L55" s="96">
        <v>0</v>
      </c>
      <c r="M55" s="96">
        <v>0</v>
      </c>
      <c r="N55" s="96">
        <v>0</v>
      </c>
      <c r="O55" s="96">
        <v>0</v>
      </c>
      <c r="P55" s="100">
        <v>0</v>
      </c>
      <c r="Q55" s="101">
        <f t="shared" si="12"/>
        <v>0</v>
      </c>
      <c r="R55" s="101">
        <f t="shared" si="13"/>
        <v>0</v>
      </c>
    </row>
    <row r="56" spans="1:18" ht="14.25" customHeight="1" x14ac:dyDescent="0.75">
      <c r="A56" s="93">
        <v>666509</v>
      </c>
      <c r="B56" s="94" t="s">
        <v>14</v>
      </c>
      <c r="C56" s="95" t="s">
        <v>15</v>
      </c>
      <c r="D56" s="96">
        <v>0</v>
      </c>
      <c r="E56" s="203">
        <f t="shared" si="10"/>
        <v>0</v>
      </c>
      <c r="F56" s="132">
        <v>0</v>
      </c>
      <c r="G56" s="96">
        <v>0</v>
      </c>
      <c r="H56" s="96">
        <v>0</v>
      </c>
      <c r="I56" s="96">
        <v>0</v>
      </c>
      <c r="J56" s="96">
        <v>0</v>
      </c>
      <c r="K56" s="99">
        <f t="shared" si="11"/>
        <v>0</v>
      </c>
      <c r="L56" s="96">
        <v>0</v>
      </c>
      <c r="M56" s="96">
        <v>0</v>
      </c>
      <c r="N56" s="96">
        <v>0</v>
      </c>
      <c r="O56" s="96">
        <v>0</v>
      </c>
      <c r="P56" s="100">
        <v>0</v>
      </c>
      <c r="Q56" s="101">
        <f t="shared" si="12"/>
        <v>0</v>
      </c>
      <c r="R56" s="101">
        <f t="shared" si="13"/>
        <v>0</v>
      </c>
    </row>
    <row r="57" spans="1:18" ht="14.25" customHeight="1" x14ac:dyDescent="0.75">
      <c r="A57" s="93">
        <v>666510</v>
      </c>
      <c r="B57" s="94" t="s">
        <v>16</v>
      </c>
      <c r="C57" s="95" t="s">
        <v>169</v>
      </c>
      <c r="D57" s="96">
        <v>0</v>
      </c>
      <c r="E57" s="203">
        <f t="shared" si="10"/>
        <v>0</v>
      </c>
      <c r="F57" s="132">
        <v>0</v>
      </c>
      <c r="G57" s="96">
        <v>0</v>
      </c>
      <c r="H57" s="96">
        <v>0</v>
      </c>
      <c r="I57" s="96">
        <v>0</v>
      </c>
      <c r="J57" s="96">
        <v>0</v>
      </c>
      <c r="K57" s="99">
        <f t="shared" si="11"/>
        <v>0</v>
      </c>
      <c r="L57" s="96">
        <v>0</v>
      </c>
      <c r="M57" s="96">
        <v>0</v>
      </c>
      <c r="N57" s="96">
        <v>0</v>
      </c>
      <c r="O57" s="96">
        <v>0</v>
      </c>
      <c r="P57" s="100">
        <v>0</v>
      </c>
      <c r="Q57" s="101">
        <f t="shared" si="12"/>
        <v>0</v>
      </c>
      <c r="R57" s="101">
        <f t="shared" si="13"/>
        <v>0</v>
      </c>
    </row>
    <row r="58" spans="1:18" ht="14.25" customHeight="1" x14ac:dyDescent="0.75">
      <c r="A58" s="93">
        <v>666511</v>
      </c>
      <c r="B58" s="94" t="s">
        <v>18</v>
      </c>
      <c r="C58" s="95" t="s">
        <v>19</v>
      </c>
      <c r="D58" s="96">
        <v>0</v>
      </c>
      <c r="E58" s="203">
        <f t="shared" si="10"/>
        <v>0</v>
      </c>
      <c r="F58" s="132">
        <v>0</v>
      </c>
      <c r="G58" s="96">
        <v>0</v>
      </c>
      <c r="H58" s="96">
        <v>0</v>
      </c>
      <c r="I58" s="96">
        <v>0</v>
      </c>
      <c r="J58" s="96">
        <v>0</v>
      </c>
      <c r="K58" s="99">
        <f t="shared" si="11"/>
        <v>0</v>
      </c>
      <c r="L58" s="96">
        <v>0</v>
      </c>
      <c r="M58" s="96">
        <v>0</v>
      </c>
      <c r="N58" s="96">
        <v>0</v>
      </c>
      <c r="O58" s="96">
        <v>0</v>
      </c>
      <c r="P58" s="100">
        <v>0</v>
      </c>
      <c r="Q58" s="101">
        <f t="shared" si="12"/>
        <v>0</v>
      </c>
      <c r="R58" s="101">
        <f t="shared" si="13"/>
        <v>0</v>
      </c>
    </row>
    <row r="59" spans="1:18" ht="14.25" customHeight="1" x14ac:dyDescent="0.75">
      <c r="A59" s="93">
        <v>666513</v>
      </c>
      <c r="B59" s="94" t="s">
        <v>20</v>
      </c>
      <c r="C59" s="95" t="s">
        <v>21</v>
      </c>
      <c r="D59" s="96">
        <v>20</v>
      </c>
      <c r="E59" s="203">
        <f t="shared" si="10"/>
        <v>10</v>
      </c>
      <c r="F59" s="132">
        <v>10</v>
      </c>
      <c r="G59" s="96">
        <v>10</v>
      </c>
      <c r="H59" s="96">
        <v>0</v>
      </c>
      <c r="I59" s="96">
        <v>0</v>
      </c>
      <c r="J59" s="96">
        <v>0</v>
      </c>
      <c r="K59" s="99">
        <f t="shared" si="11"/>
        <v>0</v>
      </c>
      <c r="L59" s="96">
        <v>0</v>
      </c>
      <c r="M59" s="96">
        <v>0</v>
      </c>
      <c r="N59" s="96">
        <v>0</v>
      </c>
      <c r="O59" s="96">
        <v>0</v>
      </c>
      <c r="P59" s="100">
        <v>0</v>
      </c>
      <c r="Q59" s="133">
        <f t="shared" si="12"/>
        <v>20</v>
      </c>
      <c r="R59" s="101">
        <f t="shared" si="13"/>
        <v>0</v>
      </c>
    </row>
    <row r="60" spans="1:18" ht="14.25" customHeight="1" x14ac:dyDescent="0.75">
      <c r="A60" s="93">
        <v>666516</v>
      </c>
      <c r="B60" s="94" t="s">
        <v>22</v>
      </c>
      <c r="C60" s="95" t="s">
        <v>23</v>
      </c>
      <c r="D60" s="96">
        <v>20</v>
      </c>
      <c r="E60" s="203">
        <f t="shared" si="10"/>
        <v>10</v>
      </c>
      <c r="F60" s="132">
        <v>10</v>
      </c>
      <c r="G60" s="96">
        <v>10</v>
      </c>
      <c r="H60" s="96">
        <v>0</v>
      </c>
      <c r="I60" s="96">
        <v>0</v>
      </c>
      <c r="J60" s="96">
        <v>0</v>
      </c>
      <c r="K60" s="99">
        <f t="shared" si="11"/>
        <v>0</v>
      </c>
      <c r="L60" s="96">
        <v>0</v>
      </c>
      <c r="M60" s="96">
        <v>0</v>
      </c>
      <c r="N60" s="96">
        <v>0</v>
      </c>
      <c r="O60" s="96">
        <v>0</v>
      </c>
      <c r="P60" s="100">
        <v>0</v>
      </c>
      <c r="Q60" s="133">
        <f t="shared" si="12"/>
        <v>20</v>
      </c>
      <c r="R60" s="101">
        <f t="shared" si="13"/>
        <v>0</v>
      </c>
    </row>
    <row r="61" spans="1:18" ht="14.25" customHeight="1" x14ac:dyDescent="0.75">
      <c r="A61" s="93">
        <v>666517</v>
      </c>
      <c r="B61" s="94" t="s">
        <v>24</v>
      </c>
      <c r="C61" s="95" t="s">
        <v>25</v>
      </c>
      <c r="D61" s="96">
        <v>14</v>
      </c>
      <c r="E61" s="203">
        <f t="shared" si="10"/>
        <v>7</v>
      </c>
      <c r="F61" s="132">
        <v>7</v>
      </c>
      <c r="G61" s="96">
        <v>7</v>
      </c>
      <c r="H61" s="96">
        <v>0</v>
      </c>
      <c r="I61" s="96">
        <v>0</v>
      </c>
      <c r="J61" s="96">
        <v>0</v>
      </c>
      <c r="K61" s="99">
        <f t="shared" si="11"/>
        <v>0</v>
      </c>
      <c r="L61" s="96">
        <v>0</v>
      </c>
      <c r="M61" s="96">
        <v>0</v>
      </c>
      <c r="N61" s="96">
        <v>0</v>
      </c>
      <c r="O61" s="96">
        <v>0</v>
      </c>
      <c r="P61" s="100">
        <v>0</v>
      </c>
      <c r="Q61" s="133">
        <f t="shared" si="12"/>
        <v>14</v>
      </c>
      <c r="R61" s="101">
        <f t="shared" si="13"/>
        <v>0</v>
      </c>
    </row>
    <row r="62" spans="1:18" ht="14.25" customHeight="1" x14ac:dyDescent="0.75">
      <c r="A62" s="93">
        <v>666518</v>
      </c>
      <c r="B62" s="94" t="s">
        <v>26</v>
      </c>
      <c r="C62" s="95" t="s">
        <v>27</v>
      </c>
      <c r="D62" s="96">
        <v>0</v>
      </c>
      <c r="E62" s="203">
        <f t="shared" si="10"/>
        <v>0</v>
      </c>
      <c r="F62" s="132">
        <v>0</v>
      </c>
      <c r="G62" s="96">
        <v>0</v>
      </c>
      <c r="H62" s="96">
        <v>0</v>
      </c>
      <c r="I62" s="96">
        <v>0</v>
      </c>
      <c r="J62" s="96">
        <v>0</v>
      </c>
      <c r="K62" s="99">
        <f t="shared" si="11"/>
        <v>0</v>
      </c>
      <c r="L62" s="96">
        <v>0</v>
      </c>
      <c r="M62" s="96">
        <v>0</v>
      </c>
      <c r="N62" s="96">
        <v>0</v>
      </c>
      <c r="O62" s="96">
        <v>0</v>
      </c>
      <c r="P62" s="100">
        <v>0</v>
      </c>
      <c r="Q62" s="101">
        <f t="shared" si="12"/>
        <v>0</v>
      </c>
      <c r="R62" s="101">
        <f t="shared" si="13"/>
        <v>0</v>
      </c>
    </row>
    <row r="63" spans="1:18" ht="14.25" customHeight="1" x14ac:dyDescent="0.75">
      <c r="A63" s="93">
        <v>666519</v>
      </c>
      <c r="B63" s="94" t="s">
        <v>28</v>
      </c>
      <c r="C63" s="95" t="s">
        <v>29</v>
      </c>
      <c r="D63" s="96">
        <v>26</v>
      </c>
      <c r="E63" s="203">
        <f t="shared" si="10"/>
        <v>13</v>
      </c>
      <c r="F63" s="132">
        <v>13</v>
      </c>
      <c r="G63" s="96">
        <v>13</v>
      </c>
      <c r="H63" s="96">
        <v>0</v>
      </c>
      <c r="I63" s="96">
        <v>0</v>
      </c>
      <c r="J63" s="96">
        <v>0</v>
      </c>
      <c r="K63" s="99">
        <f t="shared" si="11"/>
        <v>0</v>
      </c>
      <c r="L63" s="96">
        <v>0</v>
      </c>
      <c r="M63" s="96">
        <v>0</v>
      </c>
      <c r="N63" s="96">
        <v>0</v>
      </c>
      <c r="O63" s="96">
        <v>0</v>
      </c>
      <c r="P63" s="100">
        <v>0</v>
      </c>
      <c r="Q63" s="133">
        <f t="shared" si="12"/>
        <v>26</v>
      </c>
      <c r="R63" s="101">
        <f t="shared" si="13"/>
        <v>0</v>
      </c>
    </row>
    <row r="64" spans="1:18" ht="14.25" customHeight="1" x14ac:dyDescent="0.75">
      <c r="A64" s="93">
        <v>666521</v>
      </c>
      <c r="B64" s="94" t="s">
        <v>30</v>
      </c>
      <c r="C64" s="95" t="s">
        <v>31</v>
      </c>
      <c r="D64" s="96">
        <v>0</v>
      </c>
      <c r="E64" s="203">
        <f t="shared" si="10"/>
        <v>0</v>
      </c>
      <c r="F64" s="132">
        <v>0</v>
      </c>
      <c r="G64" s="96">
        <v>0</v>
      </c>
      <c r="H64" s="96">
        <v>0</v>
      </c>
      <c r="I64" s="96">
        <v>0</v>
      </c>
      <c r="J64" s="96">
        <v>0</v>
      </c>
      <c r="K64" s="99">
        <f t="shared" si="11"/>
        <v>0</v>
      </c>
      <c r="L64" s="96">
        <v>0</v>
      </c>
      <c r="M64" s="96">
        <v>0</v>
      </c>
      <c r="N64" s="96">
        <v>0</v>
      </c>
      <c r="O64" s="96">
        <v>0</v>
      </c>
      <c r="P64" s="100">
        <v>0</v>
      </c>
      <c r="Q64" s="101">
        <f t="shared" si="12"/>
        <v>0</v>
      </c>
      <c r="R64" s="101">
        <f t="shared" si="13"/>
        <v>0</v>
      </c>
    </row>
    <row r="65" spans="1:18" ht="14.25" customHeight="1" x14ac:dyDescent="0.75">
      <c r="A65" s="93">
        <v>666522</v>
      </c>
      <c r="B65" s="94" t="s">
        <v>32</v>
      </c>
      <c r="C65" s="95" t="s">
        <v>33</v>
      </c>
      <c r="D65" s="96">
        <v>125</v>
      </c>
      <c r="E65" s="203">
        <f t="shared" si="10"/>
        <v>62.5</v>
      </c>
      <c r="F65" s="132">
        <v>30</v>
      </c>
      <c r="G65" s="96">
        <v>35</v>
      </c>
      <c r="H65" s="96">
        <v>0</v>
      </c>
      <c r="I65" s="96">
        <v>40</v>
      </c>
      <c r="J65" s="96">
        <v>0</v>
      </c>
      <c r="K65" s="99">
        <f t="shared" si="11"/>
        <v>5</v>
      </c>
      <c r="L65" s="96">
        <v>0</v>
      </c>
      <c r="M65" s="96">
        <v>0</v>
      </c>
      <c r="N65" s="96">
        <v>0</v>
      </c>
      <c r="O65" s="96">
        <v>0</v>
      </c>
      <c r="P65" s="100">
        <v>20</v>
      </c>
      <c r="Q65" s="133">
        <f t="shared" si="12"/>
        <v>125</v>
      </c>
      <c r="R65" s="101">
        <f t="shared" si="13"/>
        <v>0</v>
      </c>
    </row>
    <row r="66" spans="1:18" ht="14.25" customHeight="1" x14ac:dyDescent="0.75">
      <c r="A66" s="93">
        <v>666523</v>
      </c>
      <c r="B66" s="94" t="s">
        <v>34</v>
      </c>
      <c r="C66" s="95" t="s">
        <v>35</v>
      </c>
      <c r="D66" s="96">
        <v>32</v>
      </c>
      <c r="E66" s="203">
        <f t="shared" si="10"/>
        <v>16</v>
      </c>
      <c r="F66" s="132">
        <v>16</v>
      </c>
      <c r="G66" s="96">
        <v>16</v>
      </c>
      <c r="H66" s="96">
        <v>0</v>
      </c>
      <c r="I66" s="96">
        <v>0</v>
      </c>
      <c r="J66" s="96">
        <v>0</v>
      </c>
      <c r="K66" s="99">
        <f t="shared" si="11"/>
        <v>0</v>
      </c>
      <c r="L66" s="96">
        <v>0</v>
      </c>
      <c r="M66" s="96">
        <v>0</v>
      </c>
      <c r="N66" s="96">
        <v>0</v>
      </c>
      <c r="O66" s="96">
        <v>0</v>
      </c>
      <c r="P66" s="100">
        <v>0</v>
      </c>
      <c r="Q66" s="133">
        <f t="shared" si="12"/>
        <v>32</v>
      </c>
      <c r="R66" s="101">
        <f t="shared" si="13"/>
        <v>0</v>
      </c>
    </row>
    <row r="67" spans="1:18" ht="14.25" customHeight="1" x14ac:dyDescent="0.75">
      <c r="A67" s="93">
        <v>666530</v>
      </c>
      <c r="B67" s="94" t="s">
        <v>36</v>
      </c>
      <c r="C67" s="95" t="s">
        <v>37</v>
      </c>
      <c r="D67" s="96">
        <v>24</v>
      </c>
      <c r="E67" s="203">
        <f t="shared" si="10"/>
        <v>12</v>
      </c>
      <c r="F67" s="132">
        <v>12</v>
      </c>
      <c r="G67" s="96">
        <v>12</v>
      </c>
      <c r="H67" s="96">
        <v>0</v>
      </c>
      <c r="I67" s="96">
        <v>0</v>
      </c>
      <c r="J67" s="96">
        <v>0</v>
      </c>
      <c r="K67" s="99">
        <f t="shared" si="11"/>
        <v>0</v>
      </c>
      <c r="L67" s="96">
        <v>0</v>
      </c>
      <c r="M67" s="96">
        <v>0</v>
      </c>
      <c r="N67" s="96">
        <v>0</v>
      </c>
      <c r="O67" s="96">
        <v>0</v>
      </c>
      <c r="P67" s="100">
        <v>0</v>
      </c>
      <c r="Q67" s="133">
        <f t="shared" si="12"/>
        <v>24</v>
      </c>
      <c r="R67" s="101">
        <f t="shared" si="13"/>
        <v>0</v>
      </c>
    </row>
    <row r="68" spans="1:18" ht="14.25" customHeight="1" x14ac:dyDescent="0.75">
      <c r="A68" s="93">
        <v>666531</v>
      </c>
      <c r="B68" s="94" t="s">
        <v>38</v>
      </c>
      <c r="C68" s="95" t="s">
        <v>39</v>
      </c>
      <c r="D68" s="96">
        <v>8</v>
      </c>
      <c r="E68" s="203">
        <f t="shared" si="10"/>
        <v>4</v>
      </c>
      <c r="F68" s="132">
        <v>1</v>
      </c>
      <c r="G68" s="96">
        <v>1</v>
      </c>
      <c r="H68" s="96">
        <v>0</v>
      </c>
      <c r="I68" s="96">
        <v>0</v>
      </c>
      <c r="J68" s="96">
        <v>0</v>
      </c>
      <c r="K68" s="99">
        <f t="shared" si="11"/>
        <v>1.5</v>
      </c>
      <c r="L68" s="96">
        <v>0</v>
      </c>
      <c r="M68" s="96">
        <v>0</v>
      </c>
      <c r="N68" s="96">
        <v>0</v>
      </c>
      <c r="O68" s="96">
        <v>0</v>
      </c>
      <c r="P68" s="100">
        <v>6</v>
      </c>
      <c r="Q68" s="133">
        <f t="shared" si="12"/>
        <v>8</v>
      </c>
      <c r="R68" s="101">
        <f t="shared" si="13"/>
        <v>0</v>
      </c>
    </row>
    <row r="69" spans="1:18" ht="14.25" customHeight="1" x14ac:dyDescent="0.75">
      <c r="A69" s="93">
        <v>666540</v>
      </c>
      <c r="B69" s="94" t="s">
        <v>40</v>
      </c>
      <c r="C69" s="95" t="s">
        <v>40</v>
      </c>
      <c r="D69" s="96">
        <v>0</v>
      </c>
      <c r="E69" s="203">
        <f t="shared" si="10"/>
        <v>0</v>
      </c>
      <c r="F69" s="132">
        <v>0</v>
      </c>
      <c r="G69" s="96">
        <v>0</v>
      </c>
      <c r="H69" s="96">
        <v>0</v>
      </c>
      <c r="I69" s="96">
        <v>0</v>
      </c>
      <c r="J69" s="96">
        <v>0</v>
      </c>
      <c r="K69" s="99">
        <f t="shared" si="11"/>
        <v>0</v>
      </c>
      <c r="L69" s="96">
        <v>0</v>
      </c>
      <c r="M69" s="96">
        <v>0</v>
      </c>
      <c r="N69" s="96">
        <v>0</v>
      </c>
      <c r="O69" s="96">
        <v>0</v>
      </c>
      <c r="P69" s="100">
        <v>0</v>
      </c>
      <c r="Q69" s="101">
        <f t="shared" si="12"/>
        <v>0</v>
      </c>
      <c r="R69" s="101">
        <f t="shared" si="13"/>
        <v>0</v>
      </c>
    </row>
    <row r="70" spans="1:18" ht="15" customHeight="1" x14ac:dyDescent="0.75">
      <c r="A70" s="93">
        <v>666541</v>
      </c>
      <c r="B70" s="109" t="s">
        <v>41</v>
      </c>
      <c r="C70" s="95" t="s">
        <v>41</v>
      </c>
      <c r="D70" s="96">
        <v>0</v>
      </c>
      <c r="E70" s="203">
        <f t="shared" si="10"/>
        <v>0</v>
      </c>
      <c r="F70" s="132">
        <v>0</v>
      </c>
      <c r="G70" s="96">
        <v>0</v>
      </c>
      <c r="H70" s="96">
        <v>0</v>
      </c>
      <c r="I70" s="96">
        <v>0</v>
      </c>
      <c r="J70" s="96">
        <v>0</v>
      </c>
      <c r="K70" s="99">
        <f t="shared" si="11"/>
        <v>0</v>
      </c>
      <c r="L70" s="96">
        <v>0</v>
      </c>
      <c r="M70" s="96">
        <v>0</v>
      </c>
      <c r="N70" s="96">
        <v>0</v>
      </c>
      <c r="O70" s="96">
        <v>0</v>
      </c>
      <c r="P70" s="100">
        <v>0</v>
      </c>
      <c r="Q70" s="101">
        <f t="shared" si="12"/>
        <v>0</v>
      </c>
      <c r="R70" s="101">
        <f t="shared" si="13"/>
        <v>0</v>
      </c>
    </row>
    <row r="71" spans="1:18" ht="15" customHeight="1" x14ac:dyDescent="0.75">
      <c r="A71" s="108">
        <v>666536</v>
      </c>
      <c r="B71" s="109" t="s">
        <v>42</v>
      </c>
      <c r="C71" s="103" t="s">
        <v>41</v>
      </c>
      <c r="D71" s="104">
        <v>0</v>
      </c>
      <c r="E71" s="204">
        <f t="shared" si="10"/>
        <v>0</v>
      </c>
      <c r="F71" s="205">
        <v>0</v>
      </c>
      <c r="G71" s="104">
        <v>0</v>
      </c>
      <c r="H71" s="104">
        <v>0</v>
      </c>
      <c r="I71" s="104">
        <v>0</v>
      </c>
      <c r="J71" s="104">
        <v>0</v>
      </c>
      <c r="K71" s="106">
        <f t="shared" si="11"/>
        <v>0</v>
      </c>
      <c r="L71" s="96">
        <v>0</v>
      </c>
      <c r="M71" s="96">
        <v>0</v>
      </c>
      <c r="N71" s="96">
        <v>0</v>
      </c>
      <c r="O71" s="96">
        <v>0</v>
      </c>
      <c r="P71" s="100">
        <v>0</v>
      </c>
      <c r="Q71" s="101">
        <f t="shared" si="12"/>
        <v>0</v>
      </c>
      <c r="R71" s="101">
        <f t="shared" si="13"/>
        <v>0</v>
      </c>
    </row>
    <row r="72" spans="1:18" ht="15" customHeight="1" x14ac:dyDescent="0.75">
      <c r="A72" s="135" t="s">
        <v>193</v>
      </c>
      <c r="B72" s="134" t="s">
        <v>197</v>
      </c>
      <c r="C72" s="206"/>
      <c r="D72" s="104">
        <v>0</v>
      </c>
      <c r="E72" s="204">
        <f t="shared" si="10"/>
        <v>0</v>
      </c>
      <c r="F72" s="205">
        <v>0</v>
      </c>
      <c r="G72" s="104">
        <v>0</v>
      </c>
      <c r="H72" s="104">
        <v>0</v>
      </c>
      <c r="I72" s="104">
        <v>0</v>
      </c>
      <c r="J72" s="104">
        <v>0</v>
      </c>
      <c r="K72" s="106">
        <f t="shared" si="11"/>
        <v>0</v>
      </c>
      <c r="L72" s="96">
        <v>0</v>
      </c>
      <c r="M72" s="96">
        <v>0</v>
      </c>
      <c r="N72" s="96">
        <v>0</v>
      </c>
      <c r="O72" s="96">
        <v>0</v>
      </c>
      <c r="P72" s="100">
        <v>0</v>
      </c>
      <c r="Q72" s="101">
        <f t="shared" si="12"/>
        <v>0</v>
      </c>
      <c r="R72" s="101">
        <f t="shared" si="13"/>
        <v>0</v>
      </c>
    </row>
  </sheetData>
  <mergeCells count="3">
    <mergeCell ref="A1:E1"/>
    <mergeCell ref="A25:E25"/>
    <mergeCell ref="A49:E49"/>
  </mergeCells>
  <conditionalFormatting sqref="Q3">
    <cfRule type="cellIs" dxfId="81" priority="5" operator="equal">
      <formula>$D$3</formula>
    </cfRule>
  </conditionalFormatting>
  <conditionalFormatting sqref="Q5:Q24">
    <cfRule type="cellIs" dxfId="80" priority="4" operator="equal">
      <formula>$D$3</formula>
    </cfRule>
  </conditionalFormatting>
  <conditionalFormatting sqref="Q8">
    <cfRule type="cellIs" dxfId="79" priority="2" operator="lessThan">
      <formula>$D$8</formula>
    </cfRule>
    <cfRule type="cellIs" dxfId="78" priority="3" operator="equal">
      <formula>$D$8</formula>
    </cfRule>
  </conditionalFormatting>
  <pageMargins left="0.7" right="0.7" top="0.75" bottom="0.75" header="0.511811023622047" footer="0.511811023622047"/>
  <pageSetup paperSize="9" scale="150"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S27"/>
  <sheetViews>
    <sheetView zoomScaleNormal="100" workbookViewId="0">
      <selection activeCell="A27" sqref="A27"/>
    </sheetView>
  </sheetViews>
  <sheetFormatPr defaultColWidth="8.54296875" defaultRowHeight="14.75" x14ac:dyDescent="0.75"/>
  <cols>
    <col min="2" max="2" width="34.453125" customWidth="1"/>
    <col min="3" max="3" width="15.2265625" customWidth="1"/>
    <col min="4" max="4" width="10.86328125" hidden="1" customWidth="1"/>
  </cols>
  <sheetData>
    <row r="1" spans="1:12" ht="14.25" customHeight="1" x14ac:dyDescent="0.75">
      <c r="C1" s="145" t="s">
        <v>174</v>
      </c>
    </row>
    <row r="2" spans="1:12" ht="28.5" customHeight="1" x14ac:dyDescent="0.75">
      <c r="A2" s="51"/>
      <c r="B2" s="51" t="s">
        <v>178</v>
      </c>
      <c r="C2" s="51"/>
      <c r="D2" s="51" t="s">
        <v>144</v>
      </c>
      <c r="E2" s="53" t="s">
        <v>116</v>
      </c>
      <c r="F2" s="53" t="s">
        <v>145</v>
      </c>
      <c r="G2" s="56" t="s">
        <v>119</v>
      </c>
      <c r="H2" s="53" t="s">
        <v>146</v>
      </c>
      <c r="I2" s="51" t="s">
        <v>122</v>
      </c>
      <c r="J2" s="56" t="s">
        <v>147</v>
      </c>
      <c r="K2" s="51" t="s">
        <v>148</v>
      </c>
      <c r="L2" s="53" t="s">
        <v>149</v>
      </c>
    </row>
    <row r="3" spans="1:12" ht="14.25" customHeight="1" x14ac:dyDescent="0.75">
      <c r="A3" s="50"/>
      <c r="B3" s="50"/>
      <c r="C3" s="57" t="s">
        <v>150</v>
      </c>
      <c r="D3" s="57"/>
      <c r="E3" s="57"/>
      <c r="F3" s="59"/>
      <c r="G3" s="59"/>
      <c r="H3" s="59"/>
      <c r="I3" s="59"/>
      <c r="J3" s="59"/>
      <c r="K3" s="59"/>
      <c r="L3" s="59"/>
    </row>
    <row r="4" spans="1:12" ht="14.25" customHeight="1" x14ac:dyDescent="0.75">
      <c r="A4" s="62" t="s">
        <v>129</v>
      </c>
      <c r="B4" s="62" t="s">
        <v>2</v>
      </c>
      <c r="C4" s="62" t="s">
        <v>3</v>
      </c>
      <c r="D4" s="62"/>
      <c r="E4" s="62"/>
      <c r="F4" s="62"/>
      <c r="G4" s="62"/>
      <c r="H4" s="62"/>
      <c r="I4" s="62"/>
      <c r="J4" s="62"/>
      <c r="K4" s="62"/>
      <c r="L4" s="62"/>
    </row>
    <row r="5" spans="1:12" ht="14.25" customHeight="1" x14ac:dyDescent="0.75">
      <c r="A5" s="62"/>
      <c r="B5" s="62"/>
      <c r="C5" s="62" t="s">
        <v>151</v>
      </c>
      <c r="D5" s="62"/>
      <c r="E5" s="62"/>
      <c r="F5" s="50">
        <v>81</v>
      </c>
      <c r="G5" s="50"/>
      <c r="H5" s="50">
        <v>697</v>
      </c>
      <c r="I5" s="50"/>
      <c r="J5" s="50">
        <v>103</v>
      </c>
      <c r="K5" s="62" t="s">
        <v>152</v>
      </c>
      <c r="L5" s="62">
        <f>SUM(F5:J5)</f>
        <v>881</v>
      </c>
    </row>
    <row r="6" spans="1:12" ht="14.25" customHeight="1" x14ac:dyDescent="0.75">
      <c r="A6" s="50">
        <v>666501</v>
      </c>
      <c r="B6" s="73" t="s">
        <v>4</v>
      </c>
      <c r="C6" s="73" t="s">
        <v>5</v>
      </c>
      <c r="D6" s="50">
        <f t="shared" ref="D6:D25" si="0">+K6</f>
        <v>507</v>
      </c>
      <c r="E6" s="50">
        <v>45</v>
      </c>
      <c r="F6" s="50">
        <v>45</v>
      </c>
      <c r="G6" s="50">
        <v>423</v>
      </c>
      <c r="H6" s="50">
        <v>423</v>
      </c>
      <c r="I6" s="50">
        <v>39</v>
      </c>
      <c r="J6" s="50">
        <v>39</v>
      </c>
      <c r="K6" s="50">
        <f t="shared" ref="K6:K27" si="1">+I6+G6+E6</f>
        <v>507</v>
      </c>
      <c r="L6" s="50">
        <f t="shared" ref="L6:L27" si="2">+F6+H6+J6</f>
        <v>507</v>
      </c>
    </row>
    <row r="7" spans="1:12" ht="14.25" customHeight="1" x14ac:dyDescent="0.75">
      <c r="A7" s="50">
        <v>666502</v>
      </c>
      <c r="B7" s="73" t="s">
        <v>6</v>
      </c>
      <c r="C7" s="73" t="s">
        <v>7</v>
      </c>
      <c r="D7" s="50">
        <f t="shared" si="0"/>
        <v>360</v>
      </c>
      <c r="E7" s="50">
        <v>0</v>
      </c>
      <c r="F7" s="50">
        <v>0</v>
      </c>
      <c r="G7" s="50">
        <v>260</v>
      </c>
      <c r="H7" s="50">
        <v>260</v>
      </c>
      <c r="I7" s="50">
        <v>100</v>
      </c>
      <c r="J7" s="50">
        <v>100</v>
      </c>
      <c r="K7" s="50">
        <f t="shared" si="1"/>
        <v>360</v>
      </c>
      <c r="L7" s="50">
        <f t="shared" si="2"/>
        <v>360</v>
      </c>
    </row>
    <row r="8" spans="1:12" ht="14.25" customHeight="1" x14ac:dyDescent="0.75">
      <c r="A8" s="50">
        <v>666505</v>
      </c>
      <c r="B8" s="73" t="s">
        <v>8</v>
      </c>
      <c r="C8" s="73" t="s">
        <v>9</v>
      </c>
      <c r="D8" s="50">
        <f t="shared" si="0"/>
        <v>50</v>
      </c>
      <c r="E8" s="50">
        <v>16</v>
      </c>
      <c r="F8" s="50">
        <v>16</v>
      </c>
      <c r="G8" s="50">
        <v>0</v>
      </c>
      <c r="H8" s="50">
        <v>0</v>
      </c>
      <c r="I8" s="50">
        <v>34</v>
      </c>
      <c r="J8" s="50">
        <v>34</v>
      </c>
      <c r="K8" s="50">
        <f t="shared" si="1"/>
        <v>50</v>
      </c>
      <c r="L8" s="50">
        <f t="shared" si="2"/>
        <v>50</v>
      </c>
    </row>
    <row r="9" spans="1:12" ht="14.25" customHeight="1" x14ac:dyDescent="0.75">
      <c r="A9" s="50">
        <v>666506</v>
      </c>
      <c r="B9" s="73" t="s">
        <v>10</v>
      </c>
      <c r="C9" s="73" t="s">
        <v>11</v>
      </c>
      <c r="D9" s="50">
        <f t="shared" si="0"/>
        <v>203</v>
      </c>
      <c r="E9" s="50">
        <v>0</v>
      </c>
      <c r="F9" s="50">
        <v>0</v>
      </c>
      <c r="G9" s="50">
        <v>203</v>
      </c>
      <c r="H9" s="50">
        <v>203</v>
      </c>
      <c r="I9" s="50">
        <v>0</v>
      </c>
      <c r="J9" s="50">
        <v>0</v>
      </c>
      <c r="K9" s="50">
        <f t="shared" si="1"/>
        <v>203</v>
      </c>
      <c r="L9" s="50">
        <f t="shared" si="2"/>
        <v>203</v>
      </c>
    </row>
    <row r="10" spans="1:12" ht="14.25" customHeight="1" x14ac:dyDescent="0.75">
      <c r="A10" s="50">
        <v>666507</v>
      </c>
      <c r="B10" s="73" t="s">
        <v>12</v>
      </c>
      <c r="C10" s="73" t="s">
        <v>13</v>
      </c>
      <c r="D10" s="50">
        <f t="shared" si="0"/>
        <v>16</v>
      </c>
      <c r="E10" s="50">
        <v>16</v>
      </c>
      <c r="F10" s="50">
        <v>16</v>
      </c>
      <c r="G10" s="50">
        <v>0</v>
      </c>
      <c r="H10" s="50">
        <v>0</v>
      </c>
      <c r="I10" s="50">
        <v>0</v>
      </c>
      <c r="J10" s="50">
        <v>0</v>
      </c>
      <c r="K10" s="50">
        <f t="shared" si="1"/>
        <v>16</v>
      </c>
      <c r="L10" s="50">
        <f t="shared" si="2"/>
        <v>16</v>
      </c>
    </row>
    <row r="11" spans="1:12" ht="14.25" customHeight="1" x14ac:dyDescent="0.75">
      <c r="A11" s="50">
        <v>666509</v>
      </c>
      <c r="B11" s="73" t="s">
        <v>14</v>
      </c>
      <c r="C11" s="73" t="s">
        <v>15</v>
      </c>
      <c r="D11" s="50">
        <f t="shared" si="0"/>
        <v>50</v>
      </c>
      <c r="E11" s="50">
        <v>50</v>
      </c>
      <c r="F11" s="50">
        <v>50</v>
      </c>
      <c r="G11" s="50">
        <v>0</v>
      </c>
      <c r="H11" s="50">
        <v>0</v>
      </c>
      <c r="I11" s="50">
        <v>0</v>
      </c>
      <c r="J11" s="50">
        <v>0</v>
      </c>
      <c r="K11" s="50">
        <f t="shared" si="1"/>
        <v>50</v>
      </c>
      <c r="L11" s="50">
        <f t="shared" si="2"/>
        <v>50</v>
      </c>
    </row>
    <row r="12" spans="1:12" ht="14.25" customHeight="1" x14ac:dyDescent="0.75">
      <c r="A12" s="50">
        <v>666510</v>
      </c>
      <c r="B12" s="73" t="s">
        <v>16</v>
      </c>
      <c r="C12" s="73" t="s">
        <v>169</v>
      </c>
      <c r="D12" s="50">
        <f t="shared" si="0"/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f t="shared" si="1"/>
        <v>0</v>
      </c>
      <c r="L12" s="50">
        <f t="shared" si="2"/>
        <v>0</v>
      </c>
    </row>
    <row r="13" spans="1:12" ht="14.25" customHeight="1" x14ac:dyDescent="0.75">
      <c r="A13" s="50">
        <v>666511</v>
      </c>
      <c r="B13" s="73" t="s">
        <v>18</v>
      </c>
      <c r="C13" s="73" t="s">
        <v>19</v>
      </c>
      <c r="D13" s="50">
        <f t="shared" si="0"/>
        <v>4</v>
      </c>
      <c r="E13" s="50">
        <v>4</v>
      </c>
      <c r="F13" s="50">
        <v>4</v>
      </c>
      <c r="G13" s="50">
        <v>0</v>
      </c>
      <c r="H13" s="50">
        <v>0</v>
      </c>
      <c r="I13" s="50">
        <v>0</v>
      </c>
      <c r="J13" s="50">
        <v>0</v>
      </c>
      <c r="K13" s="50">
        <f t="shared" si="1"/>
        <v>4</v>
      </c>
      <c r="L13" s="50">
        <f t="shared" si="2"/>
        <v>4</v>
      </c>
    </row>
    <row r="14" spans="1:12" ht="14.25" customHeight="1" x14ac:dyDescent="0.75">
      <c r="A14" s="50">
        <v>666513</v>
      </c>
      <c r="B14" s="73" t="s">
        <v>20</v>
      </c>
      <c r="C14" s="73" t="s">
        <v>21</v>
      </c>
      <c r="D14" s="50">
        <f t="shared" si="0"/>
        <v>28</v>
      </c>
      <c r="E14" s="50">
        <v>8</v>
      </c>
      <c r="F14" s="50">
        <v>8</v>
      </c>
      <c r="G14" s="50">
        <v>0</v>
      </c>
      <c r="H14" s="50">
        <v>0</v>
      </c>
      <c r="I14" s="50">
        <v>20</v>
      </c>
      <c r="J14" s="50">
        <v>20</v>
      </c>
      <c r="K14" s="50">
        <f t="shared" si="1"/>
        <v>28</v>
      </c>
      <c r="L14" s="50">
        <f t="shared" si="2"/>
        <v>28</v>
      </c>
    </row>
    <row r="15" spans="1:12" ht="14.25" customHeight="1" x14ac:dyDescent="0.75">
      <c r="A15" s="50">
        <v>666516</v>
      </c>
      <c r="B15" s="73" t="s">
        <v>22</v>
      </c>
      <c r="C15" s="73" t="s">
        <v>23</v>
      </c>
      <c r="D15" s="50">
        <f t="shared" si="0"/>
        <v>40</v>
      </c>
      <c r="E15" s="50">
        <v>20</v>
      </c>
      <c r="F15" s="50">
        <v>20</v>
      </c>
      <c r="G15" s="50">
        <v>0</v>
      </c>
      <c r="H15" s="50">
        <v>0</v>
      </c>
      <c r="I15" s="50">
        <v>20</v>
      </c>
      <c r="J15" s="50">
        <v>20</v>
      </c>
      <c r="K15" s="50">
        <f t="shared" si="1"/>
        <v>40</v>
      </c>
      <c r="L15" s="50">
        <f t="shared" si="2"/>
        <v>40</v>
      </c>
    </row>
    <row r="16" spans="1:12" ht="14.25" customHeight="1" x14ac:dyDescent="0.75">
      <c r="A16" s="50">
        <v>666517</v>
      </c>
      <c r="B16" s="73" t="s">
        <v>24</v>
      </c>
      <c r="C16" s="73" t="s">
        <v>25</v>
      </c>
      <c r="D16" s="50">
        <f t="shared" si="0"/>
        <v>44</v>
      </c>
      <c r="E16" s="50">
        <v>30</v>
      </c>
      <c r="F16" s="50">
        <v>30</v>
      </c>
      <c r="G16" s="50">
        <v>0</v>
      </c>
      <c r="H16" s="50">
        <v>0</v>
      </c>
      <c r="I16" s="50">
        <v>14</v>
      </c>
      <c r="J16" s="50">
        <v>14</v>
      </c>
      <c r="K16" s="50">
        <f t="shared" si="1"/>
        <v>44</v>
      </c>
      <c r="L16" s="50">
        <f t="shared" si="2"/>
        <v>44</v>
      </c>
    </row>
    <row r="17" spans="1:19" ht="14.25" customHeight="1" x14ac:dyDescent="0.75">
      <c r="A17" s="50">
        <v>666518</v>
      </c>
      <c r="B17" s="73" t="s">
        <v>26</v>
      </c>
      <c r="C17" s="73" t="s">
        <v>27</v>
      </c>
      <c r="D17" s="50">
        <f t="shared" si="0"/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f t="shared" si="1"/>
        <v>0</v>
      </c>
      <c r="L17" s="50">
        <f t="shared" si="2"/>
        <v>0</v>
      </c>
    </row>
    <row r="18" spans="1:19" ht="14.25" customHeight="1" x14ac:dyDescent="0.75">
      <c r="A18" s="50">
        <v>666519</v>
      </c>
      <c r="B18" s="73" t="s">
        <v>28</v>
      </c>
      <c r="C18" s="73" t="s">
        <v>29</v>
      </c>
      <c r="D18" s="50">
        <f t="shared" si="0"/>
        <v>52</v>
      </c>
      <c r="E18" s="50">
        <v>26</v>
      </c>
      <c r="F18" s="50">
        <v>26</v>
      </c>
      <c r="G18" s="50">
        <v>0</v>
      </c>
      <c r="H18" s="50">
        <v>0</v>
      </c>
      <c r="I18" s="50">
        <v>26</v>
      </c>
      <c r="J18" s="50">
        <v>26</v>
      </c>
      <c r="K18" s="50">
        <f t="shared" si="1"/>
        <v>52</v>
      </c>
      <c r="L18" s="50">
        <f t="shared" si="2"/>
        <v>52</v>
      </c>
    </row>
    <row r="19" spans="1:19" ht="14.25" customHeight="1" x14ac:dyDescent="0.75">
      <c r="A19" s="50">
        <v>666521</v>
      </c>
      <c r="B19" s="73" t="s">
        <v>30</v>
      </c>
      <c r="C19" s="73" t="s">
        <v>31</v>
      </c>
      <c r="D19" s="50">
        <f t="shared" si="0"/>
        <v>64</v>
      </c>
      <c r="E19" s="50">
        <v>64</v>
      </c>
      <c r="F19" s="50">
        <v>64</v>
      </c>
      <c r="G19" s="50">
        <v>0</v>
      </c>
      <c r="H19" s="50">
        <v>0</v>
      </c>
      <c r="I19" s="50">
        <v>0</v>
      </c>
      <c r="J19" s="50">
        <v>0</v>
      </c>
      <c r="K19" s="50">
        <f t="shared" si="1"/>
        <v>64</v>
      </c>
      <c r="L19" s="50">
        <f t="shared" si="2"/>
        <v>64</v>
      </c>
    </row>
    <row r="20" spans="1:19" ht="14.25" customHeight="1" x14ac:dyDescent="0.75">
      <c r="A20" s="50">
        <v>666522</v>
      </c>
      <c r="B20" s="73" t="s">
        <v>32</v>
      </c>
      <c r="C20" s="73" t="s">
        <v>33</v>
      </c>
      <c r="D20" s="50">
        <f t="shared" si="0"/>
        <v>405</v>
      </c>
      <c r="E20" s="50">
        <v>180</v>
      </c>
      <c r="F20" s="50">
        <v>180</v>
      </c>
      <c r="G20" s="50">
        <v>100</v>
      </c>
      <c r="H20" s="50">
        <v>100</v>
      </c>
      <c r="I20" s="50">
        <v>125</v>
      </c>
      <c r="J20" s="50">
        <v>125</v>
      </c>
      <c r="K20" s="50">
        <f t="shared" si="1"/>
        <v>405</v>
      </c>
      <c r="L20" s="50">
        <f t="shared" si="2"/>
        <v>405</v>
      </c>
    </row>
    <row r="21" spans="1:19" ht="14.25" customHeight="1" x14ac:dyDescent="0.75">
      <c r="A21" s="50">
        <v>666523</v>
      </c>
      <c r="B21" s="73" t="s">
        <v>34</v>
      </c>
      <c r="C21" s="73" t="s">
        <v>35</v>
      </c>
      <c r="D21" s="50">
        <f t="shared" si="0"/>
        <v>32</v>
      </c>
      <c r="E21" s="50">
        <v>0</v>
      </c>
      <c r="F21" s="50">
        <v>0</v>
      </c>
      <c r="G21" s="50">
        <v>0</v>
      </c>
      <c r="H21" s="50">
        <v>0</v>
      </c>
      <c r="I21" s="50">
        <v>32</v>
      </c>
      <c r="J21" s="50">
        <v>32</v>
      </c>
      <c r="K21" s="50">
        <f t="shared" si="1"/>
        <v>32</v>
      </c>
      <c r="L21" s="50">
        <f t="shared" si="2"/>
        <v>32</v>
      </c>
    </row>
    <row r="22" spans="1:19" ht="14.25" customHeight="1" x14ac:dyDescent="0.75">
      <c r="A22" s="50">
        <v>666530</v>
      </c>
      <c r="B22" s="73" t="s">
        <v>36</v>
      </c>
      <c r="C22" s="73" t="s">
        <v>37</v>
      </c>
      <c r="D22" s="50">
        <f t="shared" si="0"/>
        <v>24</v>
      </c>
      <c r="E22" s="50">
        <v>0</v>
      </c>
      <c r="F22" s="50">
        <v>0</v>
      </c>
      <c r="G22" s="50">
        <v>0</v>
      </c>
      <c r="H22" s="50">
        <v>0</v>
      </c>
      <c r="I22" s="50">
        <v>24</v>
      </c>
      <c r="J22" s="50">
        <v>24</v>
      </c>
      <c r="K22" s="50">
        <f t="shared" si="1"/>
        <v>24</v>
      </c>
      <c r="L22" s="50">
        <f t="shared" si="2"/>
        <v>24</v>
      </c>
    </row>
    <row r="23" spans="1:19" ht="14.25" customHeight="1" x14ac:dyDescent="0.75">
      <c r="A23" s="50">
        <v>666531</v>
      </c>
      <c r="B23" s="73" t="s">
        <v>38</v>
      </c>
      <c r="C23" s="73" t="s">
        <v>39</v>
      </c>
      <c r="D23" s="50">
        <f t="shared" si="0"/>
        <v>28</v>
      </c>
      <c r="E23" s="50">
        <v>20</v>
      </c>
      <c r="F23" s="50">
        <v>20</v>
      </c>
      <c r="G23" s="50">
        <v>0</v>
      </c>
      <c r="H23" s="50">
        <v>0</v>
      </c>
      <c r="I23" s="50">
        <v>8</v>
      </c>
      <c r="J23" s="50">
        <v>8</v>
      </c>
      <c r="K23" s="50">
        <f t="shared" si="1"/>
        <v>28</v>
      </c>
      <c r="L23" s="50">
        <f t="shared" si="2"/>
        <v>28</v>
      </c>
    </row>
    <row r="24" spans="1:19" ht="14.25" customHeight="1" x14ac:dyDescent="0.75">
      <c r="A24" s="50">
        <v>666540</v>
      </c>
      <c r="B24" s="73" t="s">
        <v>40</v>
      </c>
      <c r="C24" s="73" t="s">
        <v>40</v>
      </c>
      <c r="D24" s="50">
        <f t="shared" si="0"/>
        <v>40</v>
      </c>
      <c r="E24" s="50">
        <v>0</v>
      </c>
      <c r="F24" s="50">
        <v>0</v>
      </c>
      <c r="G24" s="50">
        <v>40</v>
      </c>
      <c r="H24" s="50">
        <v>0</v>
      </c>
      <c r="I24" s="50">
        <v>0</v>
      </c>
      <c r="J24" s="50">
        <v>0</v>
      </c>
      <c r="K24" s="50">
        <f t="shared" si="1"/>
        <v>40</v>
      </c>
      <c r="L24" s="50">
        <f t="shared" si="2"/>
        <v>0</v>
      </c>
    </row>
    <row r="25" spans="1:19" ht="14.25" customHeight="1" x14ac:dyDescent="0.75">
      <c r="A25" s="50">
        <v>666541</v>
      </c>
      <c r="B25" s="73" t="s">
        <v>41</v>
      </c>
      <c r="C25" s="73" t="s">
        <v>41</v>
      </c>
      <c r="D25" s="50">
        <f t="shared" si="0"/>
        <v>680</v>
      </c>
      <c r="E25" s="50">
        <v>0</v>
      </c>
      <c r="F25" s="50">
        <v>0</v>
      </c>
      <c r="G25" s="50">
        <v>680</v>
      </c>
      <c r="H25" s="50">
        <v>393</v>
      </c>
      <c r="I25" s="50">
        <v>0</v>
      </c>
      <c r="J25" s="50">
        <v>0</v>
      </c>
      <c r="K25" s="50">
        <f t="shared" si="1"/>
        <v>680</v>
      </c>
      <c r="L25" s="50">
        <f t="shared" si="2"/>
        <v>393</v>
      </c>
    </row>
    <row r="26" spans="1:19" s="74" customFormat="1" ht="14.25" customHeight="1" x14ac:dyDescent="0.75">
      <c r="A26" s="74">
        <v>666536</v>
      </c>
      <c r="B26" s="74" t="s">
        <v>42</v>
      </c>
      <c r="C26" s="74" t="s">
        <v>43</v>
      </c>
      <c r="E26" s="50">
        <v>40</v>
      </c>
      <c r="F26" s="50">
        <v>24</v>
      </c>
      <c r="G26" s="50">
        <v>0</v>
      </c>
      <c r="H26" s="50">
        <v>0</v>
      </c>
      <c r="I26" s="50">
        <v>0</v>
      </c>
      <c r="J26" s="50">
        <v>0</v>
      </c>
      <c r="K26" s="50">
        <f t="shared" si="1"/>
        <v>40</v>
      </c>
      <c r="L26" s="50">
        <f t="shared" si="2"/>
        <v>24</v>
      </c>
      <c r="S26" s="74">
        <v>2</v>
      </c>
    </row>
    <row r="27" spans="1:19" ht="14.25" customHeight="1" x14ac:dyDescent="0.75">
      <c r="A27" t="s">
        <v>193</v>
      </c>
      <c r="B27" s="73" t="s">
        <v>198</v>
      </c>
      <c r="C27" s="73" t="s">
        <v>198</v>
      </c>
      <c r="E27" s="50">
        <v>100</v>
      </c>
      <c r="F27" s="50">
        <v>100</v>
      </c>
      <c r="G27">
        <v>0</v>
      </c>
      <c r="H27">
        <v>0</v>
      </c>
      <c r="I27">
        <v>0</v>
      </c>
      <c r="J27">
        <v>0</v>
      </c>
      <c r="K27" s="50">
        <f t="shared" si="1"/>
        <v>100</v>
      </c>
      <c r="L27" s="50">
        <f t="shared" si="2"/>
        <v>100</v>
      </c>
    </row>
  </sheetData>
  <conditionalFormatting sqref="K6:K27">
    <cfRule type="cellIs" dxfId="77" priority="2" operator="equal">
      <formula>0</formula>
    </cfRule>
  </conditionalFormatting>
  <conditionalFormatting sqref="L6:L27">
    <cfRule type="expression" dxfId="76" priority="3">
      <formula>K6=L6</formula>
    </cfRule>
    <cfRule type="expression" dxfId="75" priority="4">
      <formula>K6&lt;L6</formula>
    </cfRule>
    <cfRule type="expression" dxfId="74" priority="5">
      <formula>K6&gt;L6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AA51"/>
  <sheetViews>
    <sheetView topLeftCell="B1" zoomScaleNormal="100" workbookViewId="0">
      <selection activeCell="Z6" sqref="Z6"/>
    </sheetView>
  </sheetViews>
  <sheetFormatPr defaultColWidth="8.6796875" defaultRowHeight="14.75" x14ac:dyDescent="0.75"/>
  <cols>
    <col min="1" max="1" width="8.6796875" style="50"/>
    <col min="2" max="2" width="41.54296875" style="50" customWidth="1"/>
    <col min="3" max="3" width="22.6796875" style="50" customWidth="1"/>
    <col min="4" max="4" width="9.54296875" style="50" hidden="1" customWidth="1"/>
    <col min="5" max="6" width="8.6796875" style="50"/>
    <col min="7" max="7" width="7.31640625" style="50" customWidth="1"/>
    <col min="8" max="8" width="8.453125" style="50" customWidth="1"/>
    <col min="9" max="9" width="7.453125" style="50" customWidth="1"/>
    <col min="10" max="10" width="8.08984375" style="50" customWidth="1"/>
    <col min="11" max="11" width="8.54296875" style="50" customWidth="1"/>
    <col min="12" max="16384" width="8.6796875" style="50"/>
  </cols>
  <sheetData>
    <row r="1" spans="1:27" s="51" customFormat="1" ht="28.5" customHeight="1" x14ac:dyDescent="0.75">
      <c r="C1" s="51" t="s">
        <v>175</v>
      </c>
      <c r="D1" s="51" t="s">
        <v>144</v>
      </c>
      <c r="E1" s="52" t="s">
        <v>116</v>
      </c>
      <c r="F1" s="53" t="s">
        <v>145</v>
      </c>
      <c r="G1" s="54" t="s">
        <v>119</v>
      </c>
      <c r="H1" s="53" t="s">
        <v>146</v>
      </c>
      <c r="I1" s="153" t="s">
        <v>122</v>
      </c>
      <c r="J1" s="56" t="s">
        <v>147</v>
      </c>
      <c r="K1" s="51" t="s">
        <v>148</v>
      </c>
      <c r="L1" s="53" t="s">
        <v>149</v>
      </c>
      <c r="M1" s="51" t="s">
        <v>56</v>
      </c>
      <c r="N1" s="51" t="s">
        <v>58</v>
      </c>
      <c r="O1" s="51" t="s">
        <v>66</v>
      </c>
      <c r="P1" s="51" t="s">
        <v>56</v>
      </c>
      <c r="Q1" s="51" t="s">
        <v>58</v>
      </c>
      <c r="R1" s="51" t="s">
        <v>66</v>
      </c>
      <c r="S1" s="51" t="s">
        <v>56</v>
      </c>
      <c r="T1" s="51" t="s">
        <v>58</v>
      </c>
      <c r="U1" s="51" t="s">
        <v>66</v>
      </c>
      <c r="V1" s="51" t="s">
        <v>56</v>
      </c>
      <c r="W1" s="51" t="s">
        <v>58</v>
      </c>
      <c r="X1" s="51" t="s">
        <v>66</v>
      </c>
      <c r="Y1" s="51" t="s">
        <v>56</v>
      </c>
      <c r="Z1" s="51" t="s">
        <v>58</v>
      </c>
      <c r="AA1" s="51" t="s">
        <v>66</v>
      </c>
    </row>
    <row r="2" spans="1:27" ht="14.25" customHeight="1" x14ac:dyDescent="0.75">
      <c r="C2" s="57" t="s">
        <v>150</v>
      </c>
      <c r="D2" s="57"/>
      <c r="E2" s="58"/>
      <c r="F2" s="59"/>
      <c r="G2" s="60"/>
      <c r="H2" s="59"/>
      <c r="I2" s="78"/>
      <c r="J2" s="59"/>
      <c r="K2" s="59"/>
      <c r="L2" s="59"/>
      <c r="M2" s="59" t="s">
        <v>65</v>
      </c>
      <c r="N2" s="59" t="s">
        <v>57</v>
      </c>
      <c r="O2" s="59" t="s">
        <v>55</v>
      </c>
      <c r="P2" s="59" t="s">
        <v>65</v>
      </c>
      <c r="Q2" s="59" t="s">
        <v>57</v>
      </c>
      <c r="R2" s="59" t="s">
        <v>55</v>
      </c>
      <c r="S2" s="59" t="s">
        <v>65</v>
      </c>
      <c r="T2" s="59" t="s">
        <v>57</v>
      </c>
      <c r="U2" s="59" t="s">
        <v>55</v>
      </c>
      <c r="V2" s="59" t="s">
        <v>65</v>
      </c>
      <c r="W2" s="59" t="s">
        <v>57</v>
      </c>
      <c r="X2" s="59" t="s">
        <v>55</v>
      </c>
      <c r="Y2" s="59" t="s">
        <v>65</v>
      </c>
      <c r="Z2" s="59" t="s">
        <v>57</v>
      </c>
      <c r="AA2" s="59" t="s">
        <v>55</v>
      </c>
    </row>
    <row r="3" spans="1:27" ht="14.25" customHeight="1" x14ac:dyDescent="0.75">
      <c r="A3" s="62" t="s">
        <v>129</v>
      </c>
      <c r="B3" s="62" t="s">
        <v>2</v>
      </c>
      <c r="C3" s="62" t="s">
        <v>3</v>
      </c>
      <c r="D3" s="62"/>
      <c r="E3" s="58"/>
      <c r="F3" s="62"/>
      <c r="G3" s="63"/>
      <c r="H3" s="62"/>
      <c r="I3" s="154"/>
      <c r="J3" s="62"/>
      <c r="K3" s="62"/>
      <c r="L3" s="62"/>
      <c r="M3" s="62" t="s">
        <v>54</v>
      </c>
      <c r="N3" s="62" t="s">
        <v>54</v>
      </c>
      <c r="O3" s="62" t="s">
        <v>54</v>
      </c>
      <c r="P3" s="62" t="s">
        <v>59</v>
      </c>
      <c r="Q3" s="62" t="s">
        <v>59</v>
      </c>
      <c r="R3" s="62" t="s">
        <v>59</v>
      </c>
      <c r="S3" s="62" t="s">
        <v>60</v>
      </c>
      <c r="T3" s="62" t="s">
        <v>60</v>
      </c>
      <c r="U3" s="62" t="s">
        <v>60</v>
      </c>
      <c r="V3" s="62" t="s">
        <v>62</v>
      </c>
      <c r="W3" s="62" t="s">
        <v>62</v>
      </c>
      <c r="X3" s="62" t="s">
        <v>62</v>
      </c>
      <c r="Y3" s="62" t="s">
        <v>63</v>
      </c>
      <c r="Z3" s="62" t="s">
        <v>63</v>
      </c>
      <c r="AA3" s="62" t="s">
        <v>63</v>
      </c>
    </row>
    <row r="4" spans="1:27" ht="14.25" customHeight="1" x14ac:dyDescent="0.75">
      <c r="A4" s="62"/>
      <c r="B4" s="62"/>
      <c r="C4" s="62" t="s">
        <v>151</v>
      </c>
      <c r="D4" s="62"/>
      <c r="E4" s="58"/>
      <c r="F4" s="50">
        <f t="shared" ref="F4:F26" si="0">+M4+P4+S4+V4+Y4</f>
        <v>72</v>
      </c>
      <c r="G4" s="63"/>
      <c r="H4" s="50">
        <f t="shared" ref="H4:H26" si="1">+N4+Q4+T4+W4+Z4</f>
        <v>547</v>
      </c>
      <c r="I4" s="154"/>
      <c r="J4" s="50">
        <f t="shared" ref="J4:J26" si="2">+O4+R4+U4+X4+AA4</f>
        <v>120</v>
      </c>
      <c r="K4" s="62"/>
      <c r="L4" s="62"/>
      <c r="M4" s="62">
        <v>37</v>
      </c>
      <c r="N4" s="62">
        <v>161</v>
      </c>
      <c r="O4" s="62">
        <v>38</v>
      </c>
      <c r="Q4" s="50">
        <v>130</v>
      </c>
      <c r="R4" s="50">
        <v>48</v>
      </c>
      <c r="S4" s="50">
        <v>35</v>
      </c>
      <c r="T4" s="50">
        <v>136</v>
      </c>
      <c r="W4" s="50">
        <v>120</v>
      </c>
      <c r="X4" s="50">
        <v>34</v>
      </c>
    </row>
    <row r="5" spans="1:27" ht="14.25" customHeight="1" x14ac:dyDescent="0.75">
      <c r="A5" s="50">
        <v>666501</v>
      </c>
      <c r="B5" s="50" t="s">
        <v>4</v>
      </c>
      <c r="C5" s="50" t="s">
        <v>5</v>
      </c>
      <c r="E5" s="67">
        <v>42</v>
      </c>
      <c r="F5" s="70">
        <f t="shared" si="0"/>
        <v>42</v>
      </c>
      <c r="G5" s="60">
        <v>393</v>
      </c>
      <c r="H5" s="50">
        <f t="shared" si="1"/>
        <v>264</v>
      </c>
      <c r="I5" s="78">
        <v>39</v>
      </c>
      <c r="J5" s="70">
        <f t="shared" si="2"/>
        <v>39</v>
      </c>
      <c r="K5" s="50">
        <f t="shared" ref="K5:K26" si="3">+E5+G5+I5</f>
        <v>474</v>
      </c>
      <c r="L5" s="50">
        <f t="shared" ref="L5:L26" si="4">+F5+H5+J5</f>
        <v>345</v>
      </c>
      <c r="M5" s="50">
        <v>39</v>
      </c>
      <c r="N5" s="50">
        <v>90</v>
      </c>
      <c r="O5" s="50">
        <v>21</v>
      </c>
      <c r="R5" s="50">
        <v>18</v>
      </c>
      <c r="S5" s="50">
        <v>3</v>
      </c>
      <c r="T5" s="50">
        <v>102</v>
      </c>
      <c r="Z5" s="50">
        <v>72</v>
      </c>
    </row>
    <row r="6" spans="1:27" ht="14.25" customHeight="1" x14ac:dyDescent="0.75">
      <c r="A6" s="50">
        <v>666502</v>
      </c>
      <c r="B6" s="50" t="s">
        <v>6</v>
      </c>
      <c r="C6" s="50" t="s">
        <v>7</v>
      </c>
      <c r="E6" s="67"/>
      <c r="F6" s="50">
        <f t="shared" si="0"/>
        <v>0</v>
      </c>
      <c r="G6" s="60">
        <v>212</v>
      </c>
      <c r="H6" s="50">
        <f t="shared" si="1"/>
        <v>138</v>
      </c>
      <c r="I6" s="78">
        <v>100</v>
      </c>
      <c r="J6" s="50">
        <f t="shared" si="2"/>
        <v>31</v>
      </c>
      <c r="K6" s="50">
        <f t="shared" si="3"/>
        <v>312</v>
      </c>
      <c r="L6" s="50">
        <f t="shared" si="4"/>
        <v>169</v>
      </c>
      <c r="N6" s="50">
        <v>33</v>
      </c>
      <c r="T6" s="50">
        <v>30</v>
      </c>
      <c r="W6" s="50">
        <v>40</v>
      </c>
      <c r="X6" s="50">
        <v>31</v>
      </c>
      <c r="Z6" s="50">
        <v>35</v>
      </c>
    </row>
    <row r="7" spans="1:27" ht="14.25" customHeight="1" x14ac:dyDescent="0.75">
      <c r="A7" s="50">
        <v>666505</v>
      </c>
      <c r="B7" s="50" t="s">
        <v>8</v>
      </c>
      <c r="C7" s="50" t="s">
        <v>9</v>
      </c>
      <c r="E7" s="67">
        <v>13</v>
      </c>
      <c r="F7" s="70">
        <f t="shared" si="0"/>
        <v>13</v>
      </c>
      <c r="G7" s="60"/>
      <c r="H7" s="50">
        <f t="shared" si="1"/>
        <v>0</v>
      </c>
      <c r="I7" s="78">
        <v>27</v>
      </c>
      <c r="J7" s="70">
        <f t="shared" si="2"/>
        <v>27</v>
      </c>
      <c r="K7" s="50">
        <f t="shared" si="3"/>
        <v>40</v>
      </c>
      <c r="L7" s="50">
        <f t="shared" si="4"/>
        <v>40</v>
      </c>
      <c r="M7" s="50">
        <v>13</v>
      </c>
      <c r="O7" s="50">
        <v>14</v>
      </c>
      <c r="R7" s="50">
        <v>13</v>
      </c>
    </row>
    <row r="8" spans="1:27" ht="14.25" customHeight="1" x14ac:dyDescent="0.75">
      <c r="A8" s="50">
        <v>666506</v>
      </c>
      <c r="B8" s="50" t="s">
        <v>10</v>
      </c>
      <c r="C8" s="50" t="s">
        <v>11</v>
      </c>
      <c r="E8" s="67"/>
      <c r="F8" s="50">
        <f t="shared" si="0"/>
        <v>0</v>
      </c>
      <c r="G8" s="60">
        <v>144</v>
      </c>
      <c r="H8" s="50">
        <f t="shared" si="1"/>
        <v>127</v>
      </c>
      <c r="I8" s="78"/>
      <c r="J8" s="50">
        <f t="shared" si="2"/>
        <v>0</v>
      </c>
      <c r="K8" s="50">
        <f t="shared" si="3"/>
        <v>144</v>
      </c>
      <c r="L8" s="50">
        <f t="shared" si="4"/>
        <v>127</v>
      </c>
      <c r="N8" s="50">
        <v>35</v>
      </c>
      <c r="Q8" s="50">
        <v>29</v>
      </c>
      <c r="T8" s="50">
        <v>33</v>
      </c>
      <c r="W8" s="50">
        <v>20</v>
      </c>
      <c r="Z8" s="50">
        <v>10</v>
      </c>
    </row>
    <row r="9" spans="1:27" ht="14.25" customHeight="1" x14ac:dyDescent="0.75">
      <c r="A9" s="50">
        <v>666507</v>
      </c>
      <c r="B9" s="50" t="s">
        <v>12</v>
      </c>
      <c r="C9" s="50" t="s">
        <v>13</v>
      </c>
      <c r="E9" s="67">
        <v>8</v>
      </c>
      <c r="F9" s="70">
        <f t="shared" si="0"/>
        <v>8</v>
      </c>
      <c r="G9" s="60"/>
      <c r="H9" s="50">
        <f t="shared" si="1"/>
        <v>0</v>
      </c>
      <c r="I9" s="78"/>
      <c r="J9" s="50">
        <f t="shared" si="2"/>
        <v>0</v>
      </c>
      <c r="K9" s="50">
        <f t="shared" si="3"/>
        <v>8</v>
      </c>
      <c r="L9" s="50">
        <f t="shared" si="4"/>
        <v>8</v>
      </c>
      <c r="Y9" s="50">
        <v>8</v>
      </c>
    </row>
    <row r="10" spans="1:27" ht="14.25" customHeight="1" x14ac:dyDescent="0.75">
      <c r="A10" s="50">
        <v>666509</v>
      </c>
      <c r="B10" s="50" t="s">
        <v>14</v>
      </c>
      <c r="C10" s="50" t="s">
        <v>15</v>
      </c>
      <c r="E10" s="67">
        <v>50</v>
      </c>
      <c r="F10" s="50">
        <f t="shared" si="0"/>
        <v>35</v>
      </c>
      <c r="G10" s="60"/>
      <c r="H10" s="50">
        <f t="shared" si="1"/>
        <v>0</v>
      </c>
      <c r="I10" s="78"/>
      <c r="J10" s="50">
        <f t="shared" si="2"/>
        <v>0</v>
      </c>
      <c r="K10" s="50">
        <f t="shared" si="3"/>
        <v>50</v>
      </c>
      <c r="L10" s="50">
        <f t="shared" si="4"/>
        <v>35</v>
      </c>
      <c r="M10" s="50">
        <v>15</v>
      </c>
      <c r="S10" s="50">
        <v>10</v>
      </c>
      <c r="Y10" s="50">
        <v>10</v>
      </c>
    </row>
    <row r="11" spans="1:27" ht="14.25" customHeight="1" x14ac:dyDescent="0.75">
      <c r="A11" s="50">
        <v>666510</v>
      </c>
      <c r="B11" s="50" t="s">
        <v>16</v>
      </c>
      <c r="C11" s="50" t="s">
        <v>17</v>
      </c>
      <c r="E11" s="67"/>
      <c r="F11" s="50">
        <f t="shared" si="0"/>
        <v>0</v>
      </c>
      <c r="G11" s="60"/>
      <c r="H11" s="50">
        <f t="shared" si="1"/>
        <v>0</v>
      </c>
      <c r="I11" s="78"/>
      <c r="J11" s="50">
        <f t="shared" si="2"/>
        <v>0</v>
      </c>
      <c r="K11" s="50">
        <f t="shared" si="3"/>
        <v>0</v>
      </c>
      <c r="L11" s="50">
        <f t="shared" si="4"/>
        <v>0</v>
      </c>
    </row>
    <row r="12" spans="1:27" ht="14.25" customHeight="1" x14ac:dyDescent="0.75">
      <c r="A12" s="50">
        <v>666511</v>
      </c>
      <c r="B12" s="50" t="s">
        <v>18</v>
      </c>
      <c r="C12" s="50" t="s">
        <v>19</v>
      </c>
      <c r="E12" s="67">
        <v>4</v>
      </c>
      <c r="F12" s="50">
        <f t="shared" si="0"/>
        <v>0</v>
      </c>
      <c r="G12" s="60"/>
      <c r="H12" s="50">
        <f t="shared" si="1"/>
        <v>0</v>
      </c>
      <c r="I12" s="78"/>
      <c r="J12" s="50">
        <f t="shared" si="2"/>
        <v>0</v>
      </c>
      <c r="K12" s="50">
        <f t="shared" si="3"/>
        <v>4</v>
      </c>
      <c r="L12" s="50">
        <f t="shared" si="4"/>
        <v>0</v>
      </c>
    </row>
    <row r="13" spans="1:27" ht="14.25" customHeight="1" x14ac:dyDescent="0.75">
      <c r="A13" s="50">
        <v>666513</v>
      </c>
      <c r="B13" s="50" t="s">
        <v>20</v>
      </c>
      <c r="C13" s="50" t="s">
        <v>21</v>
      </c>
      <c r="E13" s="67">
        <v>14</v>
      </c>
      <c r="F13" s="70">
        <f t="shared" si="0"/>
        <v>14</v>
      </c>
      <c r="G13" s="60"/>
      <c r="H13" s="50">
        <f t="shared" si="1"/>
        <v>0</v>
      </c>
      <c r="I13" s="78">
        <v>34</v>
      </c>
      <c r="J13" s="70">
        <f t="shared" si="2"/>
        <v>34</v>
      </c>
      <c r="K13" s="50">
        <f t="shared" si="3"/>
        <v>48</v>
      </c>
      <c r="L13" s="50">
        <f t="shared" si="4"/>
        <v>48</v>
      </c>
      <c r="M13" s="50">
        <v>14</v>
      </c>
      <c r="O13" s="50">
        <v>17</v>
      </c>
      <c r="R13" s="50">
        <v>17</v>
      </c>
    </row>
    <row r="14" spans="1:27" ht="14.25" customHeight="1" x14ac:dyDescent="0.75">
      <c r="A14" s="50">
        <v>666516</v>
      </c>
      <c r="B14" s="50" t="s">
        <v>22</v>
      </c>
      <c r="C14" s="50" t="s">
        <v>23</v>
      </c>
      <c r="E14" s="67">
        <v>16</v>
      </c>
      <c r="F14" s="70">
        <f t="shared" si="0"/>
        <v>16</v>
      </c>
      <c r="G14" s="60"/>
      <c r="H14" s="50">
        <f t="shared" si="1"/>
        <v>0</v>
      </c>
      <c r="I14" s="78">
        <v>16</v>
      </c>
      <c r="J14" s="70">
        <f t="shared" si="2"/>
        <v>16</v>
      </c>
      <c r="K14" s="50">
        <f t="shared" si="3"/>
        <v>32</v>
      </c>
      <c r="L14" s="50">
        <f t="shared" si="4"/>
        <v>32</v>
      </c>
      <c r="M14" s="50">
        <v>16</v>
      </c>
      <c r="O14" s="50">
        <v>8</v>
      </c>
      <c r="R14" s="50">
        <v>8</v>
      </c>
    </row>
    <row r="15" spans="1:27" ht="14.25" customHeight="1" x14ac:dyDescent="0.75">
      <c r="A15" s="50">
        <v>666517</v>
      </c>
      <c r="B15" s="50" t="s">
        <v>24</v>
      </c>
      <c r="C15" s="50" t="s">
        <v>25</v>
      </c>
      <c r="E15" s="67">
        <v>22</v>
      </c>
      <c r="F15" s="70">
        <f t="shared" si="0"/>
        <v>22</v>
      </c>
      <c r="G15" s="60"/>
      <c r="H15" s="50">
        <f t="shared" si="1"/>
        <v>0</v>
      </c>
      <c r="I15" s="78">
        <v>10</v>
      </c>
      <c r="J15" s="70">
        <f t="shared" si="2"/>
        <v>10</v>
      </c>
      <c r="K15" s="50">
        <f t="shared" si="3"/>
        <v>32</v>
      </c>
      <c r="L15" s="50">
        <f t="shared" si="4"/>
        <v>32</v>
      </c>
      <c r="M15" s="50">
        <v>22</v>
      </c>
      <c r="O15" s="50">
        <v>5</v>
      </c>
      <c r="R15" s="50">
        <v>5</v>
      </c>
    </row>
    <row r="16" spans="1:27" ht="14.25" customHeight="1" x14ac:dyDescent="0.75">
      <c r="A16" s="50">
        <v>666518</v>
      </c>
      <c r="B16" s="50" t="s">
        <v>26</v>
      </c>
      <c r="C16" s="50" t="s">
        <v>27</v>
      </c>
      <c r="E16" s="67"/>
      <c r="F16" s="50">
        <f t="shared" si="0"/>
        <v>0</v>
      </c>
      <c r="G16" s="60"/>
      <c r="H16" s="50">
        <f t="shared" si="1"/>
        <v>0</v>
      </c>
      <c r="I16" s="78"/>
      <c r="J16" s="50">
        <f t="shared" si="2"/>
        <v>0</v>
      </c>
      <c r="K16" s="50">
        <f t="shared" si="3"/>
        <v>0</v>
      </c>
      <c r="L16" s="50">
        <f t="shared" si="4"/>
        <v>0</v>
      </c>
    </row>
    <row r="17" spans="1:26" ht="14.25" customHeight="1" x14ac:dyDescent="0.75">
      <c r="A17" s="50">
        <v>666519</v>
      </c>
      <c r="B17" s="50" t="s">
        <v>28</v>
      </c>
      <c r="C17" s="50" t="s">
        <v>29</v>
      </c>
      <c r="E17" s="67">
        <v>22</v>
      </c>
      <c r="F17" s="70">
        <f t="shared" si="0"/>
        <v>22</v>
      </c>
      <c r="G17" s="60"/>
      <c r="H17" s="50">
        <f t="shared" si="1"/>
        <v>0</v>
      </c>
      <c r="I17" s="78">
        <v>22</v>
      </c>
      <c r="J17" s="70">
        <f t="shared" si="2"/>
        <v>22</v>
      </c>
      <c r="K17" s="50">
        <f t="shared" si="3"/>
        <v>44</v>
      </c>
      <c r="L17" s="50">
        <f t="shared" si="4"/>
        <v>44</v>
      </c>
      <c r="M17" s="50">
        <v>22</v>
      </c>
      <c r="O17" s="50">
        <v>11</v>
      </c>
      <c r="R17" s="50">
        <v>11</v>
      </c>
    </row>
    <row r="18" spans="1:26" ht="14.25" customHeight="1" x14ac:dyDescent="0.75">
      <c r="A18" s="50">
        <v>666521</v>
      </c>
      <c r="B18" s="50" t="s">
        <v>30</v>
      </c>
      <c r="C18" s="50" t="s">
        <v>31</v>
      </c>
      <c r="E18" s="67">
        <v>48</v>
      </c>
      <c r="F18" s="70">
        <f t="shared" si="0"/>
        <v>48</v>
      </c>
      <c r="G18" s="60"/>
      <c r="H18" s="50">
        <f t="shared" si="1"/>
        <v>0</v>
      </c>
      <c r="I18" s="78"/>
      <c r="J18" s="50">
        <f t="shared" si="2"/>
        <v>0</v>
      </c>
      <c r="K18" s="50">
        <f t="shared" si="3"/>
        <v>48</v>
      </c>
      <c r="L18" s="50">
        <f t="shared" si="4"/>
        <v>48</v>
      </c>
      <c r="M18" s="50">
        <v>27</v>
      </c>
      <c r="S18" s="50">
        <v>17</v>
      </c>
      <c r="V18" s="50">
        <v>4</v>
      </c>
    </row>
    <row r="19" spans="1:26" ht="14.25" customHeight="1" x14ac:dyDescent="0.75">
      <c r="A19" s="50">
        <v>666522</v>
      </c>
      <c r="B19" s="50" t="s">
        <v>32</v>
      </c>
      <c r="C19" s="50" t="s">
        <v>33</v>
      </c>
      <c r="E19" s="67">
        <v>180</v>
      </c>
      <c r="F19" s="50">
        <f t="shared" si="0"/>
        <v>110</v>
      </c>
      <c r="G19" s="60">
        <v>0</v>
      </c>
      <c r="H19" s="50">
        <f t="shared" si="1"/>
        <v>0</v>
      </c>
      <c r="I19" s="78">
        <v>125</v>
      </c>
      <c r="J19" s="70">
        <f t="shared" si="2"/>
        <v>125</v>
      </c>
      <c r="K19" s="50">
        <f t="shared" si="3"/>
        <v>305</v>
      </c>
      <c r="L19" s="50">
        <f t="shared" si="4"/>
        <v>235</v>
      </c>
      <c r="M19" s="50">
        <v>50</v>
      </c>
      <c r="O19" s="50">
        <v>35</v>
      </c>
      <c r="R19" s="50">
        <v>35</v>
      </c>
      <c r="S19" s="50">
        <v>40</v>
      </c>
      <c r="X19" s="50">
        <v>55</v>
      </c>
      <c r="Y19" s="50">
        <v>20</v>
      </c>
    </row>
    <row r="20" spans="1:26" ht="14.25" customHeight="1" x14ac:dyDescent="0.75">
      <c r="A20" s="50">
        <v>666523</v>
      </c>
      <c r="B20" s="50" t="s">
        <v>34</v>
      </c>
      <c r="C20" s="50" t="s">
        <v>35</v>
      </c>
      <c r="E20" s="67"/>
      <c r="F20" s="50">
        <f t="shared" si="0"/>
        <v>0</v>
      </c>
      <c r="G20" s="60"/>
      <c r="H20" s="50">
        <f t="shared" si="1"/>
        <v>0</v>
      </c>
      <c r="I20" s="78">
        <v>28</v>
      </c>
      <c r="J20" s="70">
        <f t="shared" si="2"/>
        <v>28</v>
      </c>
      <c r="K20" s="50">
        <f t="shared" si="3"/>
        <v>28</v>
      </c>
      <c r="L20" s="50">
        <f t="shared" si="4"/>
        <v>28</v>
      </c>
      <c r="O20" s="50">
        <v>14</v>
      </c>
      <c r="R20" s="50">
        <v>14</v>
      </c>
    </row>
    <row r="21" spans="1:26" ht="14.25" customHeight="1" x14ac:dyDescent="0.75">
      <c r="A21" s="50">
        <v>666530</v>
      </c>
      <c r="B21" s="50" t="s">
        <v>36</v>
      </c>
      <c r="C21" s="50" t="s">
        <v>37</v>
      </c>
      <c r="E21" s="67"/>
      <c r="F21" s="50">
        <f t="shared" si="0"/>
        <v>0</v>
      </c>
      <c r="G21" s="60"/>
      <c r="H21" s="50">
        <f t="shared" si="1"/>
        <v>0</v>
      </c>
      <c r="I21" s="78">
        <v>18</v>
      </c>
      <c r="J21" s="70">
        <f t="shared" si="2"/>
        <v>18</v>
      </c>
      <c r="K21" s="50">
        <f t="shared" si="3"/>
        <v>18</v>
      </c>
      <c r="L21" s="50">
        <f t="shared" si="4"/>
        <v>18</v>
      </c>
      <c r="O21" s="50">
        <v>9</v>
      </c>
      <c r="R21" s="50">
        <v>9</v>
      </c>
    </row>
    <row r="22" spans="1:26" ht="14.25" customHeight="1" x14ac:dyDescent="0.75">
      <c r="A22" s="50">
        <v>666531</v>
      </c>
      <c r="B22" s="50" t="s">
        <v>38</v>
      </c>
      <c r="C22" s="50" t="s">
        <v>39</v>
      </c>
      <c r="E22" s="67">
        <v>20</v>
      </c>
      <c r="F22" s="70">
        <f t="shared" si="0"/>
        <v>20</v>
      </c>
      <c r="G22" s="60"/>
      <c r="H22" s="50">
        <f t="shared" si="1"/>
        <v>0</v>
      </c>
      <c r="I22" s="78">
        <v>8</v>
      </c>
      <c r="J22" s="70">
        <f t="shared" si="2"/>
        <v>8</v>
      </c>
      <c r="K22" s="50">
        <f t="shared" si="3"/>
        <v>28</v>
      </c>
      <c r="L22" s="50">
        <f t="shared" si="4"/>
        <v>28</v>
      </c>
      <c r="M22" s="50">
        <v>13</v>
      </c>
      <c r="O22" s="50">
        <v>4</v>
      </c>
      <c r="R22" s="50">
        <v>4</v>
      </c>
      <c r="S22" s="50">
        <v>7</v>
      </c>
    </row>
    <row r="23" spans="1:26" ht="14.25" customHeight="1" x14ac:dyDescent="0.75">
      <c r="A23" s="50">
        <v>666540</v>
      </c>
      <c r="B23" s="50" t="s">
        <v>40</v>
      </c>
      <c r="C23" s="50" t="s">
        <v>40</v>
      </c>
      <c r="E23" s="67"/>
      <c r="F23" s="50">
        <f t="shared" si="0"/>
        <v>0</v>
      </c>
      <c r="G23" s="60">
        <v>40</v>
      </c>
      <c r="H23" s="50">
        <f t="shared" si="1"/>
        <v>0</v>
      </c>
      <c r="I23" s="78"/>
      <c r="J23" s="50">
        <f t="shared" si="2"/>
        <v>0</v>
      </c>
      <c r="K23" s="50">
        <f t="shared" si="3"/>
        <v>40</v>
      </c>
      <c r="L23" s="50">
        <f t="shared" si="4"/>
        <v>0</v>
      </c>
    </row>
    <row r="24" spans="1:26" ht="14.25" customHeight="1" x14ac:dyDescent="0.75">
      <c r="A24" s="50">
        <v>666541</v>
      </c>
      <c r="B24" s="50" t="s">
        <v>41</v>
      </c>
      <c r="C24" s="50" t="s">
        <v>41</v>
      </c>
      <c r="E24" s="67"/>
      <c r="F24" s="50">
        <f t="shared" si="0"/>
        <v>0</v>
      </c>
      <c r="G24" s="60">
        <v>500</v>
      </c>
      <c r="H24" s="50">
        <f t="shared" si="1"/>
        <v>142</v>
      </c>
      <c r="I24" s="78"/>
      <c r="J24" s="50">
        <f t="shared" si="2"/>
        <v>0</v>
      </c>
      <c r="K24" s="50">
        <f t="shared" si="3"/>
        <v>500</v>
      </c>
      <c r="L24" s="50">
        <f t="shared" si="4"/>
        <v>142</v>
      </c>
      <c r="N24" s="50">
        <v>9</v>
      </c>
      <c r="Q24" s="50">
        <v>51</v>
      </c>
      <c r="T24" s="50">
        <v>49</v>
      </c>
      <c r="W24" s="50">
        <v>24</v>
      </c>
      <c r="Z24" s="50">
        <v>9</v>
      </c>
    </row>
    <row r="25" spans="1:26" ht="14.25" customHeight="1" x14ac:dyDescent="0.75">
      <c r="A25" s="50">
        <v>666536</v>
      </c>
      <c r="B25" s="50" t="s">
        <v>42</v>
      </c>
      <c r="C25" s="50" t="s">
        <v>43</v>
      </c>
      <c r="E25" s="67">
        <v>40</v>
      </c>
      <c r="F25" s="50">
        <f t="shared" si="0"/>
        <v>3</v>
      </c>
      <c r="G25" s="60"/>
      <c r="H25" s="50">
        <f t="shared" si="1"/>
        <v>0</v>
      </c>
      <c r="I25" s="78"/>
      <c r="J25" s="50">
        <f t="shared" si="2"/>
        <v>0</v>
      </c>
      <c r="K25" s="50">
        <f t="shared" si="3"/>
        <v>40</v>
      </c>
      <c r="L25" s="50">
        <f t="shared" si="4"/>
        <v>3</v>
      </c>
      <c r="M25" s="50">
        <v>3</v>
      </c>
    </row>
    <row r="26" spans="1:26" ht="14.25" customHeight="1" x14ac:dyDescent="0.75">
      <c r="A26" s="50" t="s">
        <v>193</v>
      </c>
      <c r="B26" s="50" t="s">
        <v>194</v>
      </c>
      <c r="C26" s="50" t="s">
        <v>199</v>
      </c>
      <c r="D26" s="71"/>
      <c r="E26" s="67">
        <v>100</v>
      </c>
      <c r="F26" s="50">
        <f t="shared" si="0"/>
        <v>53</v>
      </c>
      <c r="G26" s="60"/>
      <c r="H26" s="50">
        <f t="shared" si="1"/>
        <v>0</v>
      </c>
      <c r="I26" s="78"/>
      <c r="J26" s="50">
        <f t="shared" si="2"/>
        <v>0</v>
      </c>
      <c r="K26" s="50">
        <f t="shared" si="3"/>
        <v>100</v>
      </c>
      <c r="L26" s="50">
        <f t="shared" si="4"/>
        <v>53</v>
      </c>
      <c r="M26" s="50">
        <v>17</v>
      </c>
      <c r="S26" s="50">
        <v>18</v>
      </c>
      <c r="Y26" s="50">
        <v>18</v>
      </c>
    </row>
    <row r="27" spans="1:26" ht="14.25" customHeight="1" x14ac:dyDescent="0.75">
      <c r="C27" s="71"/>
      <c r="D27" s="71"/>
      <c r="E27" s="71"/>
      <c r="F27" s="71"/>
      <c r="G27" s="71"/>
      <c r="H27" s="71"/>
      <c r="I27" s="71"/>
      <c r="J27" s="71"/>
      <c r="L27" s="71"/>
    </row>
    <row r="28" spans="1:26" ht="14.25" customHeight="1" x14ac:dyDescent="0.75">
      <c r="C28" s="71"/>
      <c r="D28" s="71"/>
      <c r="E28" s="71"/>
      <c r="F28" s="71"/>
      <c r="G28" s="71"/>
      <c r="H28" s="71"/>
      <c r="I28" s="71"/>
      <c r="J28" s="71"/>
      <c r="L28" s="71"/>
    </row>
    <row r="29" spans="1:26" ht="14.25" customHeight="1" x14ac:dyDescent="0.75">
      <c r="C29" s="71"/>
      <c r="D29" s="71"/>
      <c r="E29" s="71"/>
      <c r="F29" s="71"/>
      <c r="G29" s="71"/>
      <c r="H29" s="71"/>
      <c r="I29" s="71"/>
      <c r="J29" s="71"/>
      <c r="L29" s="71"/>
    </row>
    <row r="30" spans="1:26" ht="14.25" customHeight="1" x14ac:dyDescent="0.75">
      <c r="C30" s="71"/>
      <c r="D30" s="71"/>
      <c r="E30" s="71"/>
      <c r="F30" s="71"/>
      <c r="G30" s="71"/>
      <c r="H30" s="71"/>
      <c r="I30" s="71"/>
      <c r="J30" s="71"/>
      <c r="L30" s="71"/>
    </row>
    <row r="31" spans="1:26" ht="14.25" customHeight="1" x14ac:dyDescent="0.75">
      <c r="C31" s="71"/>
      <c r="D31" s="71"/>
      <c r="E31" s="71"/>
      <c r="F31" s="71"/>
      <c r="G31" s="71"/>
      <c r="H31" s="71"/>
      <c r="I31" s="71"/>
      <c r="J31" s="71"/>
      <c r="L31" s="71"/>
    </row>
    <row r="32" spans="1:26" ht="14.25" customHeight="1" x14ac:dyDescent="0.75">
      <c r="C32" s="72"/>
      <c r="D32" s="71"/>
      <c r="E32" s="71"/>
      <c r="F32" s="71"/>
      <c r="G32" s="71"/>
      <c r="H32" s="71"/>
      <c r="I32" s="71"/>
      <c r="J32" s="71"/>
      <c r="L32" s="71"/>
    </row>
    <row r="33" spans="3:14" ht="14.25" customHeight="1" x14ac:dyDescent="0.75">
      <c r="C33" s="71"/>
      <c r="D33" s="71"/>
      <c r="E33" s="71"/>
      <c r="F33" s="71"/>
      <c r="G33" s="71"/>
      <c r="H33" s="71"/>
      <c r="I33" s="71"/>
      <c r="J33" s="71"/>
      <c r="L33" s="71"/>
    </row>
    <row r="34" spans="3:14" ht="14.25" customHeight="1" x14ac:dyDescent="0.75">
      <c r="C34" s="71"/>
      <c r="D34" s="71"/>
      <c r="E34" s="71"/>
      <c r="F34" s="71"/>
      <c r="G34" s="71"/>
      <c r="H34" s="71"/>
      <c r="I34" s="71"/>
      <c r="J34" s="71"/>
      <c r="L34" s="71"/>
    </row>
    <row r="35" spans="3:14" ht="14.25" customHeight="1" x14ac:dyDescent="0.75">
      <c r="C35" s="71"/>
      <c r="D35" s="71"/>
      <c r="E35" s="71"/>
      <c r="F35" s="71"/>
      <c r="G35" s="71"/>
      <c r="H35" s="71"/>
      <c r="I35" s="71"/>
      <c r="J35" s="71"/>
      <c r="L35" s="71"/>
    </row>
    <row r="36" spans="3:14" ht="14.25" customHeight="1" x14ac:dyDescent="0.75">
      <c r="C36" s="71"/>
      <c r="D36" s="71"/>
      <c r="E36" s="71"/>
      <c r="F36" s="71"/>
      <c r="G36" s="71"/>
      <c r="H36" s="71"/>
      <c r="I36" s="71"/>
      <c r="J36" s="71"/>
      <c r="L36" s="71"/>
    </row>
    <row r="37" spans="3:14" ht="14.25" customHeight="1" x14ac:dyDescent="0.75">
      <c r="C37" s="71"/>
      <c r="D37" s="71"/>
      <c r="E37" s="71"/>
      <c r="F37" s="71"/>
      <c r="G37" s="71"/>
      <c r="H37" s="71"/>
      <c r="I37" s="71"/>
      <c r="J37" s="71"/>
      <c r="L37" s="71"/>
    </row>
    <row r="38" spans="3:14" ht="14.25" customHeight="1" x14ac:dyDescent="0.75">
      <c r="C38" s="71"/>
      <c r="D38" s="71"/>
      <c r="E38" s="71"/>
      <c r="F38" s="71"/>
      <c r="G38" s="71"/>
      <c r="H38" s="71"/>
      <c r="I38" s="71"/>
      <c r="J38" s="71"/>
      <c r="L38" s="71"/>
    </row>
    <row r="39" spans="3:14" ht="14.25" customHeight="1" x14ac:dyDescent="0.75">
      <c r="C39" s="71"/>
      <c r="D39" s="71"/>
      <c r="E39" s="71"/>
      <c r="F39" s="71"/>
      <c r="G39" s="71"/>
      <c r="H39" s="71"/>
      <c r="I39" s="71"/>
      <c r="J39" s="71"/>
      <c r="L39" s="71"/>
    </row>
    <row r="40" spans="3:14" ht="14.25" customHeight="1" x14ac:dyDescent="0.75">
      <c r="C40" s="71"/>
      <c r="D40" s="71"/>
      <c r="E40" s="71"/>
      <c r="F40" s="71"/>
      <c r="G40" s="71"/>
      <c r="H40" s="71"/>
      <c r="I40" s="71"/>
      <c r="J40" s="71"/>
      <c r="L40" s="71"/>
    </row>
    <row r="41" spans="3:14" ht="14.25" customHeight="1" x14ac:dyDescent="0.75">
      <c r="C41" s="71"/>
      <c r="D41" s="71"/>
      <c r="E41" s="71"/>
      <c r="F41" s="71"/>
      <c r="G41" s="71"/>
      <c r="H41" s="71"/>
      <c r="I41" s="71"/>
      <c r="J41" s="71"/>
      <c r="L41" s="71"/>
    </row>
    <row r="42" spans="3:14" ht="14.25" customHeight="1" x14ac:dyDescent="0.75">
      <c r="C42" s="71"/>
      <c r="D42" s="71"/>
      <c r="E42" s="71"/>
      <c r="F42" s="71"/>
      <c r="G42" s="71"/>
      <c r="H42" s="71"/>
      <c r="I42" s="71"/>
      <c r="J42" s="71"/>
      <c r="L42" s="71"/>
    </row>
    <row r="48" spans="3:14" ht="14.25" customHeight="1" x14ac:dyDescent="0.75">
      <c r="L48" s="73"/>
      <c r="N48" s="74"/>
    </row>
    <row r="49" spans="4:14" ht="14.25" customHeight="1" x14ac:dyDescent="0.75">
      <c r="D49" s="75"/>
      <c r="E49" s="75"/>
      <c r="N49" s="76"/>
    </row>
    <row r="50" spans="4:14" ht="14.25" customHeight="1" x14ac:dyDescent="0.75">
      <c r="D50" s="75"/>
      <c r="E50" s="75"/>
      <c r="N50" s="76"/>
    </row>
    <row r="51" spans="4:14" ht="14.25" customHeight="1" x14ac:dyDescent="0.75">
      <c r="N51" s="76"/>
    </row>
  </sheetData>
  <conditionalFormatting sqref="F4 H4:H26 J4:J26 F5:G5 I5:I24 G6:G24 F6:F26">
    <cfRule type="expression" dxfId="73" priority="6">
      <formula>#REF!=F4</formula>
    </cfRule>
    <cfRule type="expression" dxfId="72" priority="7">
      <formula>#REF!&lt;F4</formula>
    </cfRule>
    <cfRule type="expression" dxfId="71" priority="8">
      <formula>#REF!&gt;F4</formula>
    </cfRule>
  </conditionalFormatting>
  <conditionalFormatting sqref="K5:K26">
    <cfRule type="cellIs" dxfId="70" priority="2" operator="equal">
      <formula>0</formula>
    </cfRule>
  </conditionalFormatting>
  <conditionalFormatting sqref="L5:L26">
    <cfRule type="expression" dxfId="69" priority="3">
      <formula>K5=L5</formula>
    </cfRule>
    <cfRule type="expression" dxfId="68" priority="4">
      <formula>K5&lt;L5</formula>
    </cfRule>
    <cfRule type="expression" dxfId="67" priority="5">
      <formula>K5&gt;L5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B35"/>
  <sheetViews>
    <sheetView topLeftCell="B1" zoomScaleNormal="100" workbookViewId="0">
      <selection activeCell="G24" sqref="G24"/>
    </sheetView>
  </sheetViews>
  <sheetFormatPr defaultColWidth="8.54296875" defaultRowHeight="14.75" x14ac:dyDescent="0.75"/>
  <cols>
    <col min="2" max="2" width="43.31640625" customWidth="1"/>
    <col min="3" max="3" width="21" customWidth="1"/>
    <col min="4" max="4" width="9.1328125" hidden="1" customWidth="1"/>
  </cols>
  <sheetData>
    <row r="1" spans="1:28" ht="28.5" customHeight="1" x14ac:dyDescent="0.75">
      <c r="A1" s="51"/>
      <c r="B1" s="51"/>
      <c r="C1" s="51" t="s">
        <v>176</v>
      </c>
      <c r="D1" s="51" t="s">
        <v>144</v>
      </c>
      <c r="E1" s="52" t="s">
        <v>116</v>
      </c>
      <c r="F1" s="53" t="s">
        <v>145</v>
      </c>
      <c r="G1" s="54" t="s">
        <v>119</v>
      </c>
      <c r="H1" s="53" t="s">
        <v>146</v>
      </c>
      <c r="I1" s="55" t="s">
        <v>122</v>
      </c>
      <c r="J1" s="56" t="s">
        <v>147</v>
      </c>
      <c r="K1" s="51" t="s">
        <v>148</v>
      </c>
      <c r="L1" s="53" t="s">
        <v>149</v>
      </c>
      <c r="M1" s="51" t="s">
        <v>56</v>
      </c>
      <c r="N1" s="51" t="s">
        <v>58</v>
      </c>
      <c r="O1" s="51" t="s">
        <v>66</v>
      </c>
      <c r="P1" s="51" t="s">
        <v>56</v>
      </c>
      <c r="Q1" s="51" t="s">
        <v>58</v>
      </c>
      <c r="R1" s="51" t="s">
        <v>66</v>
      </c>
      <c r="S1" s="51" t="s">
        <v>56</v>
      </c>
      <c r="T1" s="51" t="s">
        <v>58</v>
      </c>
      <c r="U1" s="51" t="s">
        <v>66</v>
      </c>
      <c r="V1" s="51" t="s">
        <v>56</v>
      </c>
      <c r="W1" s="51" t="s">
        <v>58</v>
      </c>
      <c r="X1" s="51" t="s">
        <v>66</v>
      </c>
      <c r="Y1" s="51" t="s">
        <v>56</v>
      </c>
      <c r="Z1" s="51" t="s">
        <v>58</v>
      </c>
      <c r="AA1" s="51" t="s">
        <v>66</v>
      </c>
      <c r="AB1" s="51"/>
    </row>
    <row r="2" spans="1:28" ht="14.25" customHeight="1" x14ac:dyDescent="0.75">
      <c r="A2" s="50"/>
      <c r="B2" s="50"/>
      <c r="C2" s="57" t="s">
        <v>150</v>
      </c>
      <c r="D2" s="57"/>
      <c r="E2" s="57"/>
      <c r="F2" s="57"/>
      <c r="G2" s="57"/>
      <c r="H2" s="59"/>
      <c r="I2" s="59"/>
      <c r="J2" s="59"/>
      <c r="K2" s="59"/>
      <c r="L2" s="59"/>
      <c r="M2" s="59" t="s">
        <v>65</v>
      </c>
      <c r="N2" s="59" t="s">
        <v>57</v>
      </c>
      <c r="O2" s="59" t="s">
        <v>55</v>
      </c>
      <c r="P2" s="59" t="s">
        <v>65</v>
      </c>
      <c r="Q2" s="59" t="s">
        <v>57</v>
      </c>
      <c r="R2" s="59" t="s">
        <v>55</v>
      </c>
      <c r="S2" s="59" t="s">
        <v>65</v>
      </c>
      <c r="T2" s="59" t="s">
        <v>57</v>
      </c>
      <c r="U2" s="59" t="s">
        <v>55</v>
      </c>
      <c r="V2" s="59" t="s">
        <v>65</v>
      </c>
      <c r="W2" s="59" t="s">
        <v>57</v>
      </c>
      <c r="X2" s="59" t="s">
        <v>55</v>
      </c>
      <c r="Y2" s="59" t="s">
        <v>65</v>
      </c>
      <c r="Z2" s="59" t="s">
        <v>57</v>
      </c>
      <c r="AA2" s="59" t="s">
        <v>55</v>
      </c>
      <c r="AB2" s="50"/>
    </row>
    <row r="3" spans="1:28" ht="14.25" customHeight="1" x14ac:dyDescent="0.75">
      <c r="A3" s="62" t="s">
        <v>129</v>
      </c>
      <c r="B3" s="62" t="s">
        <v>2</v>
      </c>
      <c r="C3" s="62" t="s">
        <v>3</v>
      </c>
      <c r="D3" s="62"/>
      <c r="E3" s="58"/>
      <c r="F3" s="62"/>
      <c r="G3" s="63"/>
      <c r="H3" s="62"/>
      <c r="I3" s="64"/>
      <c r="J3" s="62"/>
      <c r="K3" s="62"/>
      <c r="L3" s="62"/>
      <c r="M3" s="62" t="s">
        <v>54</v>
      </c>
      <c r="N3" s="62" t="s">
        <v>54</v>
      </c>
      <c r="O3" s="62" t="s">
        <v>54</v>
      </c>
      <c r="P3" s="62" t="s">
        <v>59</v>
      </c>
      <c r="Q3" s="62" t="s">
        <v>59</v>
      </c>
      <c r="R3" s="62" t="s">
        <v>59</v>
      </c>
      <c r="S3" s="62" t="s">
        <v>60</v>
      </c>
      <c r="T3" s="62" t="s">
        <v>60</v>
      </c>
      <c r="U3" s="62" t="s">
        <v>60</v>
      </c>
      <c r="V3" s="62" t="s">
        <v>62</v>
      </c>
      <c r="W3" s="62" t="s">
        <v>62</v>
      </c>
      <c r="X3" s="62" t="s">
        <v>62</v>
      </c>
      <c r="Y3" s="62" t="s">
        <v>63</v>
      </c>
      <c r="Z3" s="62" t="s">
        <v>63</v>
      </c>
      <c r="AA3" s="62" t="s">
        <v>63</v>
      </c>
      <c r="AB3" s="50"/>
    </row>
    <row r="4" spans="1:28" ht="14.25" customHeight="1" x14ac:dyDescent="0.75">
      <c r="A4" s="62"/>
      <c r="B4" s="62"/>
      <c r="C4" s="62" t="s">
        <v>151</v>
      </c>
      <c r="D4" s="62"/>
      <c r="E4" s="58"/>
      <c r="F4" s="62">
        <f t="shared" ref="F4:F26" si="0">+M4+P4+S4+V4+Y4</f>
        <v>87</v>
      </c>
      <c r="G4" s="147"/>
      <c r="H4" s="62">
        <f t="shared" ref="H4:H26" si="1">+N4+Q4+T4+W4+Z4</f>
        <v>404</v>
      </c>
      <c r="I4" s="64"/>
      <c r="J4" s="62">
        <f t="shared" ref="J4:J26" si="2">+O4+R4+U4+X4+AA4</f>
        <v>91</v>
      </c>
      <c r="K4" s="62" t="s">
        <v>152</v>
      </c>
      <c r="L4" s="62"/>
      <c r="M4" s="62">
        <v>28</v>
      </c>
      <c r="N4" s="62">
        <v>45</v>
      </c>
      <c r="O4" s="62">
        <v>37</v>
      </c>
      <c r="P4" s="50"/>
      <c r="Q4" s="62">
        <v>110</v>
      </c>
      <c r="R4" s="62">
        <v>28</v>
      </c>
      <c r="S4" s="62">
        <v>29</v>
      </c>
      <c r="T4" s="62">
        <v>103</v>
      </c>
      <c r="U4" s="62"/>
      <c r="V4" s="62">
        <v>30</v>
      </c>
      <c r="W4" s="62">
        <v>146</v>
      </c>
      <c r="X4" s="62">
        <v>26</v>
      </c>
      <c r="Y4" s="62"/>
      <c r="Z4" s="62"/>
      <c r="AA4" s="62"/>
      <c r="AB4" s="50"/>
    </row>
    <row r="5" spans="1:28" ht="14.25" customHeight="1" x14ac:dyDescent="0.75">
      <c r="A5" s="50">
        <v>666501</v>
      </c>
      <c r="B5" s="50" t="s">
        <v>4</v>
      </c>
      <c r="C5" s="50" t="s">
        <v>5</v>
      </c>
      <c r="D5" s="50"/>
      <c r="E5" s="67">
        <v>0</v>
      </c>
      <c r="F5" s="50">
        <f t="shared" si="0"/>
        <v>0</v>
      </c>
      <c r="G5" s="149">
        <v>129</v>
      </c>
      <c r="H5" s="62">
        <f t="shared" si="1"/>
        <v>129</v>
      </c>
      <c r="I5" s="61">
        <v>0</v>
      </c>
      <c r="J5" s="157">
        <f t="shared" si="2"/>
        <v>0</v>
      </c>
      <c r="K5" s="50">
        <f t="shared" ref="K5:K24" si="3">+E5+G5+I5</f>
        <v>129</v>
      </c>
      <c r="L5" s="50">
        <f t="shared" ref="L5:L25" si="4">SUM(F5,H5,J5)</f>
        <v>129</v>
      </c>
      <c r="M5" s="50"/>
      <c r="N5" s="50"/>
      <c r="O5" s="50"/>
      <c r="P5" s="50"/>
      <c r="Q5" s="50">
        <v>114</v>
      </c>
      <c r="R5" s="50"/>
      <c r="S5" s="50"/>
      <c r="T5" s="50">
        <v>12</v>
      </c>
      <c r="U5" s="50"/>
      <c r="V5" s="50"/>
      <c r="W5" s="50"/>
      <c r="X5" s="50"/>
      <c r="Y5" s="50"/>
      <c r="Z5" s="50">
        <v>3</v>
      </c>
      <c r="AA5" s="50"/>
      <c r="AB5" s="50"/>
    </row>
    <row r="6" spans="1:28" ht="14.25" customHeight="1" x14ac:dyDescent="0.75">
      <c r="A6" s="50">
        <v>666502</v>
      </c>
      <c r="B6" s="50" t="s">
        <v>6</v>
      </c>
      <c r="C6" s="50" t="s">
        <v>7</v>
      </c>
      <c r="D6" s="50"/>
      <c r="E6" s="67">
        <v>0</v>
      </c>
      <c r="F6" s="50">
        <f t="shared" si="0"/>
        <v>0</v>
      </c>
      <c r="G6" s="149">
        <v>74</v>
      </c>
      <c r="H6" s="62">
        <f t="shared" si="1"/>
        <v>74</v>
      </c>
      <c r="I6" s="61">
        <v>69</v>
      </c>
      <c r="J6" s="164">
        <f t="shared" si="2"/>
        <v>69</v>
      </c>
      <c r="K6" s="50">
        <f t="shared" si="3"/>
        <v>143</v>
      </c>
      <c r="L6" s="50">
        <f t="shared" si="4"/>
        <v>143</v>
      </c>
      <c r="M6" s="50"/>
      <c r="N6" s="50"/>
      <c r="O6" s="50">
        <v>29</v>
      </c>
      <c r="P6" s="50"/>
      <c r="Q6" s="50">
        <v>27</v>
      </c>
      <c r="R6" s="50">
        <v>21</v>
      </c>
      <c r="S6" s="50"/>
      <c r="T6" s="50">
        <v>41</v>
      </c>
      <c r="U6" s="50"/>
      <c r="V6" s="50"/>
      <c r="W6" s="50">
        <v>6</v>
      </c>
      <c r="X6" s="50">
        <v>19</v>
      </c>
      <c r="Y6" s="50"/>
      <c r="Z6" s="50"/>
      <c r="AA6" s="50"/>
      <c r="AB6" s="50"/>
    </row>
    <row r="7" spans="1:28" ht="14.25" customHeight="1" x14ac:dyDescent="0.75">
      <c r="A7" s="50">
        <v>666505</v>
      </c>
      <c r="B7" s="50" t="s">
        <v>8</v>
      </c>
      <c r="C7" s="50" t="s">
        <v>9</v>
      </c>
      <c r="D7" s="50"/>
      <c r="E7" s="67">
        <v>0</v>
      </c>
      <c r="F7" s="50">
        <f t="shared" si="0"/>
        <v>0</v>
      </c>
      <c r="G7" s="149">
        <v>0</v>
      </c>
      <c r="H7" s="62">
        <f t="shared" si="1"/>
        <v>0</v>
      </c>
      <c r="I7" s="61">
        <v>0</v>
      </c>
      <c r="J7" s="157">
        <f t="shared" si="2"/>
        <v>0</v>
      </c>
      <c r="K7" s="50">
        <f t="shared" si="3"/>
        <v>0</v>
      </c>
      <c r="L7" s="50">
        <f t="shared" si="4"/>
        <v>0</v>
      </c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</row>
    <row r="8" spans="1:28" ht="14.25" customHeight="1" x14ac:dyDescent="0.75">
      <c r="A8" s="50">
        <v>666506</v>
      </c>
      <c r="B8" s="50" t="s">
        <v>10</v>
      </c>
      <c r="C8" s="50" t="s">
        <v>11</v>
      </c>
      <c r="D8" s="50"/>
      <c r="E8" s="67">
        <v>0</v>
      </c>
      <c r="F8" s="50">
        <f t="shared" si="0"/>
        <v>0</v>
      </c>
      <c r="G8" s="149">
        <v>17</v>
      </c>
      <c r="H8" s="62">
        <f t="shared" si="1"/>
        <v>17</v>
      </c>
      <c r="I8" s="61">
        <v>0</v>
      </c>
      <c r="J8" s="62">
        <f t="shared" si="2"/>
        <v>0</v>
      </c>
      <c r="K8" s="50">
        <f t="shared" si="3"/>
        <v>17</v>
      </c>
      <c r="L8" s="50">
        <f t="shared" si="4"/>
        <v>17</v>
      </c>
      <c r="M8" s="50"/>
      <c r="N8" s="50">
        <v>12</v>
      </c>
      <c r="O8" s="50"/>
      <c r="P8" s="50"/>
      <c r="Q8" s="50">
        <v>3</v>
      </c>
      <c r="R8" s="50"/>
      <c r="S8" s="50"/>
      <c r="T8" s="50">
        <v>2</v>
      </c>
      <c r="U8" s="50"/>
      <c r="V8" s="50"/>
      <c r="W8" s="50"/>
      <c r="X8" s="50"/>
      <c r="Y8" s="50"/>
      <c r="Z8" s="50"/>
      <c r="AA8" s="50"/>
      <c r="AB8" s="50"/>
    </row>
    <row r="9" spans="1:28" ht="14.25" customHeight="1" x14ac:dyDescent="0.75">
      <c r="A9" s="50">
        <v>666507</v>
      </c>
      <c r="B9" s="50" t="s">
        <v>12</v>
      </c>
      <c r="C9" s="50" t="s">
        <v>13</v>
      </c>
      <c r="D9" s="50"/>
      <c r="E9" s="67">
        <v>0</v>
      </c>
      <c r="F9" s="50">
        <f t="shared" si="0"/>
        <v>0</v>
      </c>
      <c r="G9" s="149">
        <v>0</v>
      </c>
      <c r="H9" s="62">
        <f t="shared" si="1"/>
        <v>0</v>
      </c>
      <c r="I9" s="61">
        <v>0</v>
      </c>
      <c r="J9" s="62">
        <f t="shared" si="2"/>
        <v>0</v>
      </c>
      <c r="K9" s="50">
        <f t="shared" si="3"/>
        <v>0</v>
      </c>
      <c r="L9" s="50">
        <f t="shared" si="4"/>
        <v>0</v>
      </c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</row>
    <row r="10" spans="1:28" ht="14.25" customHeight="1" x14ac:dyDescent="0.75">
      <c r="A10" s="50">
        <v>666509</v>
      </c>
      <c r="B10" s="50" t="s">
        <v>14</v>
      </c>
      <c r="C10" s="50" t="s">
        <v>15</v>
      </c>
      <c r="D10" s="50"/>
      <c r="E10" s="67">
        <v>15</v>
      </c>
      <c r="F10" s="50">
        <f t="shared" si="0"/>
        <v>15</v>
      </c>
      <c r="G10" s="149">
        <v>0</v>
      </c>
      <c r="H10" s="62">
        <f t="shared" si="1"/>
        <v>0</v>
      </c>
      <c r="I10" s="61">
        <v>0</v>
      </c>
      <c r="J10" s="62">
        <f t="shared" si="2"/>
        <v>0</v>
      </c>
      <c r="K10" s="50">
        <f t="shared" si="3"/>
        <v>15</v>
      </c>
      <c r="L10" s="50">
        <f t="shared" si="4"/>
        <v>15</v>
      </c>
      <c r="M10" s="50">
        <v>15</v>
      </c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</row>
    <row r="11" spans="1:28" ht="14.25" customHeight="1" x14ac:dyDescent="0.75">
      <c r="A11" s="50">
        <v>666510</v>
      </c>
      <c r="B11" s="50" t="s">
        <v>16</v>
      </c>
      <c r="C11" s="50" t="s">
        <v>17</v>
      </c>
      <c r="D11" s="50"/>
      <c r="E11" s="67">
        <v>0</v>
      </c>
      <c r="F11" s="50">
        <f t="shared" si="0"/>
        <v>0</v>
      </c>
      <c r="G11" s="149">
        <v>0</v>
      </c>
      <c r="H11" s="62">
        <f t="shared" si="1"/>
        <v>0</v>
      </c>
      <c r="I11" s="61">
        <v>0</v>
      </c>
      <c r="J11" s="62">
        <f t="shared" si="2"/>
        <v>0</v>
      </c>
      <c r="K11" s="50">
        <f t="shared" si="3"/>
        <v>0</v>
      </c>
      <c r="L11" s="50">
        <f t="shared" si="4"/>
        <v>0</v>
      </c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</row>
    <row r="12" spans="1:28" ht="14.25" customHeight="1" x14ac:dyDescent="0.75">
      <c r="A12" s="50">
        <v>666511</v>
      </c>
      <c r="B12" s="50" t="s">
        <v>18</v>
      </c>
      <c r="C12" s="50" t="s">
        <v>19</v>
      </c>
      <c r="D12" s="50"/>
      <c r="E12" s="67">
        <v>4</v>
      </c>
      <c r="F12" s="50">
        <f t="shared" si="0"/>
        <v>4</v>
      </c>
      <c r="G12" s="149">
        <v>0</v>
      </c>
      <c r="H12" s="62">
        <f t="shared" si="1"/>
        <v>0</v>
      </c>
      <c r="I12" s="61">
        <v>0</v>
      </c>
      <c r="J12" s="62">
        <f t="shared" si="2"/>
        <v>0</v>
      </c>
      <c r="K12" s="50">
        <f t="shared" si="3"/>
        <v>4</v>
      </c>
      <c r="L12" s="50">
        <f t="shared" si="4"/>
        <v>4</v>
      </c>
      <c r="M12" s="50"/>
      <c r="N12" s="50"/>
      <c r="O12" s="50"/>
      <c r="P12" s="50"/>
      <c r="Q12" s="50"/>
      <c r="R12" s="50"/>
      <c r="S12" s="50">
        <v>4</v>
      </c>
      <c r="T12" s="50"/>
      <c r="U12" s="50"/>
      <c r="V12" s="50"/>
      <c r="W12" s="50"/>
      <c r="X12" s="50"/>
      <c r="Y12" s="50"/>
      <c r="Z12" s="50"/>
      <c r="AA12" s="50"/>
      <c r="AB12" s="50"/>
    </row>
    <row r="13" spans="1:28" ht="14.25" customHeight="1" x14ac:dyDescent="0.75">
      <c r="A13" s="50">
        <v>666513</v>
      </c>
      <c r="B13" s="50" t="s">
        <v>20</v>
      </c>
      <c r="C13" s="50" t="s">
        <v>21</v>
      </c>
      <c r="D13" s="50"/>
      <c r="E13" s="67">
        <v>0</v>
      </c>
      <c r="F13" s="50">
        <f t="shared" si="0"/>
        <v>0</v>
      </c>
      <c r="G13" s="149">
        <v>0</v>
      </c>
      <c r="H13" s="62">
        <f t="shared" si="1"/>
        <v>0</v>
      </c>
      <c r="I13" s="61">
        <v>0</v>
      </c>
      <c r="J13" s="62">
        <f t="shared" si="2"/>
        <v>0</v>
      </c>
      <c r="K13" s="50">
        <f t="shared" si="3"/>
        <v>0</v>
      </c>
      <c r="L13" s="50">
        <f t="shared" si="4"/>
        <v>0</v>
      </c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</row>
    <row r="14" spans="1:28" ht="14.25" customHeight="1" x14ac:dyDescent="0.75">
      <c r="A14" s="50">
        <v>666516</v>
      </c>
      <c r="B14" s="50" t="s">
        <v>22</v>
      </c>
      <c r="C14" s="50" t="s">
        <v>23</v>
      </c>
      <c r="D14" s="50"/>
      <c r="E14" s="67">
        <v>0</v>
      </c>
      <c r="F14" s="50">
        <f t="shared" si="0"/>
        <v>0</v>
      </c>
      <c r="G14" s="149">
        <v>0</v>
      </c>
      <c r="H14" s="62">
        <f t="shared" si="1"/>
        <v>0</v>
      </c>
      <c r="I14" s="61">
        <v>0</v>
      </c>
      <c r="J14" s="157">
        <f t="shared" si="2"/>
        <v>0</v>
      </c>
      <c r="K14" s="50">
        <f t="shared" si="3"/>
        <v>0</v>
      </c>
      <c r="L14" s="50">
        <f t="shared" si="4"/>
        <v>0</v>
      </c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</row>
    <row r="15" spans="1:28" ht="14.25" customHeight="1" x14ac:dyDescent="0.75">
      <c r="A15" s="50">
        <v>666517</v>
      </c>
      <c r="B15" s="50" t="s">
        <v>24</v>
      </c>
      <c r="C15" s="50" t="s">
        <v>25</v>
      </c>
      <c r="D15" s="50"/>
      <c r="E15" s="67">
        <v>0</v>
      </c>
      <c r="F15" s="50">
        <f t="shared" si="0"/>
        <v>0</v>
      </c>
      <c r="G15" s="149">
        <v>0</v>
      </c>
      <c r="H15" s="62">
        <f t="shared" si="1"/>
        <v>0</v>
      </c>
      <c r="I15" s="61">
        <v>0</v>
      </c>
      <c r="J15" s="62">
        <f t="shared" si="2"/>
        <v>0</v>
      </c>
      <c r="K15" s="50">
        <f t="shared" si="3"/>
        <v>0</v>
      </c>
      <c r="L15" s="50">
        <f t="shared" si="4"/>
        <v>0</v>
      </c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</row>
    <row r="16" spans="1:28" ht="14.25" customHeight="1" x14ac:dyDescent="0.75">
      <c r="A16" s="50">
        <v>666518</v>
      </c>
      <c r="B16" s="50" t="s">
        <v>26</v>
      </c>
      <c r="C16" s="50" t="s">
        <v>27</v>
      </c>
      <c r="D16" s="50"/>
      <c r="E16" s="67">
        <v>0</v>
      </c>
      <c r="F16" s="50">
        <f t="shared" si="0"/>
        <v>0</v>
      </c>
      <c r="G16" s="149">
        <v>0</v>
      </c>
      <c r="H16" s="62">
        <f t="shared" si="1"/>
        <v>0</v>
      </c>
      <c r="I16" s="61">
        <v>0</v>
      </c>
      <c r="J16" s="62">
        <f t="shared" si="2"/>
        <v>0</v>
      </c>
      <c r="K16" s="50">
        <f t="shared" si="3"/>
        <v>0</v>
      </c>
      <c r="L16" s="50">
        <f t="shared" si="4"/>
        <v>0</v>
      </c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</row>
    <row r="17" spans="1:28" ht="14.25" customHeight="1" x14ac:dyDescent="0.75">
      <c r="A17" s="50">
        <v>666519</v>
      </c>
      <c r="B17" s="50" t="s">
        <v>28</v>
      </c>
      <c r="C17" s="50" t="s">
        <v>29</v>
      </c>
      <c r="D17" s="50"/>
      <c r="E17" s="67">
        <v>0</v>
      </c>
      <c r="F17" s="50">
        <f t="shared" si="0"/>
        <v>0</v>
      </c>
      <c r="G17" s="149">
        <v>0</v>
      </c>
      <c r="H17" s="62">
        <f t="shared" si="1"/>
        <v>0</v>
      </c>
      <c r="I17" s="61">
        <v>0</v>
      </c>
      <c r="J17" s="62">
        <f t="shared" si="2"/>
        <v>0</v>
      </c>
      <c r="K17" s="50">
        <f t="shared" si="3"/>
        <v>0</v>
      </c>
      <c r="L17" s="50">
        <f t="shared" si="4"/>
        <v>0</v>
      </c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</row>
    <row r="18" spans="1:28" ht="14.25" customHeight="1" x14ac:dyDescent="0.75">
      <c r="A18" s="50">
        <v>666521</v>
      </c>
      <c r="B18" s="50" t="s">
        <v>30</v>
      </c>
      <c r="C18" s="50" t="s">
        <v>31</v>
      </c>
      <c r="D18" s="50"/>
      <c r="E18" s="67">
        <v>0</v>
      </c>
      <c r="F18" s="50">
        <f t="shared" si="0"/>
        <v>0</v>
      </c>
      <c r="G18" s="149">
        <v>0</v>
      </c>
      <c r="H18" s="62">
        <f t="shared" si="1"/>
        <v>0</v>
      </c>
      <c r="I18" s="61">
        <v>0</v>
      </c>
      <c r="J18" s="62">
        <f t="shared" si="2"/>
        <v>0</v>
      </c>
      <c r="K18" s="50">
        <f t="shared" si="3"/>
        <v>0</v>
      </c>
      <c r="L18" s="50">
        <f t="shared" si="4"/>
        <v>0</v>
      </c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</row>
    <row r="19" spans="1:28" ht="14.25" customHeight="1" x14ac:dyDescent="0.75">
      <c r="A19" s="50">
        <v>666522</v>
      </c>
      <c r="B19" s="50" t="s">
        <v>32</v>
      </c>
      <c r="C19" s="50" t="s">
        <v>33</v>
      </c>
      <c r="D19" s="50"/>
      <c r="E19" s="67">
        <v>70</v>
      </c>
      <c r="F19" s="50">
        <f t="shared" si="0"/>
        <v>70</v>
      </c>
      <c r="G19" s="149">
        <v>0</v>
      </c>
      <c r="H19" s="62">
        <f t="shared" si="1"/>
        <v>0</v>
      </c>
      <c r="I19" s="61">
        <v>0</v>
      </c>
      <c r="J19" s="157">
        <f t="shared" si="2"/>
        <v>0</v>
      </c>
      <c r="K19" s="50">
        <f t="shared" si="3"/>
        <v>70</v>
      </c>
      <c r="L19" s="50">
        <f t="shared" si="4"/>
        <v>70</v>
      </c>
      <c r="M19" s="50">
        <v>35</v>
      </c>
      <c r="N19" s="50"/>
      <c r="O19" s="50"/>
      <c r="P19" s="50"/>
      <c r="Q19" s="50"/>
      <c r="R19" s="50"/>
      <c r="S19" s="50">
        <v>35</v>
      </c>
      <c r="T19" s="50"/>
      <c r="U19" s="50"/>
      <c r="V19" s="50"/>
      <c r="W19" s="50"/>
      <c r="X19" s="50"/>
      <c r="Y19" s="50"/>
      <c r="Z19" s="50"/>
      <c r="AA19" s="50"/>
      <c r="AB19" s="50"/>
    </row>
    <row r="20" spans="1:28" ht="14.25" customHeight="1" x14ac:dyDescent="0.75">
      <c r="A20" s="50">
        <v>666523</v>
      </c>
      <c r="B20" s="50" t="s">
        <v>34</v>
      </c>
      <c r="C20" s="50" t="s">
        <v>35</v>
      </c>
      <c r="D20" s="50"/>
      <c r="E20" s="67">
        <v>0</v>
      </c>
      <c r="F20" s="50">
        <f t="shared" si="0"/>
        <v>0</v>
      </c>
      <c r="G20" s="149">
        <v>0</v>
      </c>
      <c r="H20" s="62">
        <f t="shared" si="1"/>
        <v>0</v>
      </c>
      <c r="I20" s="61">
        <v>0</v>
      </c>
      <c r="J20" s="62">
        <f t="shared" si="2"/>
        <v>0</v>
      </c>
      <c r="K20" s="50">
        <f t="shared" si="3"/>
        <v>0</v>
      </c>
      <c r="L20" s="50">
        <f t="shared" si="4"/>
        <v>0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</row>
    <row r="21" spans="1:28" ht="14.25" customHeight="1" x14ac:dyDescent="0.75">
      <c r="A21" s="50">
        <v>666530</v>
      </c>
      <c r="B21" s="50" t="s">
        <v>36</v>
      </c>
      <c r="C21" s="50" t="s">
        <v>37</v>
      </c>
      <c r="D21" s="50"/>
      <c r="E21" s="67">
        <v>0</v>
      </c>
      <c r="F21" s="50">
        <f t="shared" si="0"/>
        <v>0</v>
      </c>
      <c r="G21" s="149">
        <v>0</v>
      </c>
      <c r="H21" s="62">
        <f t="shared" si="1"/>
        <v>0</v>
      </c>
      <c r="I21" s="61">
        <v>0</v>
      </c>
      <c r="J21" s="157">
        <f t="shared" si="2"/>
        <v>0</v>
      </c>
      <c r="K21" s="50">
        <f t="shared" si="3"/>
        <v>0</v>
      </c>
      <c r="L21" s="50">
        <f t="shared" si="4"/>
        <v>0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</row>
    <row r="22" spans="1:28" ht="14.25" customHeight="1" x14ac:dyDescent="0.75">
      <c r="A22" s="50">
        <v>666531</v>
      </c>
      <c r="B22" s="50" t="s">
        <v>38</v>
      </c>
      <c r="C22" s="50" t="s">
        <v>39</v>
      </c>
      <c r="D22" s="50"/>
      <c r="E22" s="67">
        <v>0</v>
      </c>
      <c r="F22" s="50">
        <f t="shared" si="0"/>
        <v>0</v>
      </c>
      <c r="G22" s="149">
        <v>0</v>
      </c>
      <c r="H22" s="62">
        <f t="shared" si="1"/>
        <v>0</v>
      </c>
      <c r="I22" s="61">
        <v>0</v>
      </c>
      <c r="J22" s="157">
        <f t="shared" si="2"/>
        <v>0</v>
      </c>
      <c r="K22" s="50">
        <f t="shared" si="3"/>
        <v>0</v>
      </c>
      <c r="L22" s="50">
        <f t="shared" si="4"/>
        <v>0</v>
      </c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</row>
    <row r="23" spans="1:28" ht="14.25" customHeight="1" x14ac:dyDescent="0.75">
      <c r="A23" s="50">
        <v>666540</v>
      </c>
      <c r="B23" s="50" t="s">
        <v>40</v>
      </c>
      <c r="C23" s="50" t="s">
        <v>40</v>
      </c>
      <c r="D23" s="50"/>
      <c r="E23" s="67">
        <v>0</v>
      </c>
      <c r="F23" s="50">
        <f t="shared" si="0"/>
        <v>0</v>
      </c>
      <c r="G23" s="149">
        <v>40</v>
      </c>
      <c r="H23" s="62">
        <f t="shared" si="1"/>
        <v>0</v>
      </c>
      <c r="I23" s="61">
        <v>0</v>
      </c>
      <c r="J23" s="62">
        <f t="shared" si="2"/>
        <v>0</v>
      </c>
      <c r="K23" s="50">
        <f t="shared" si="3"/>
        <v>40</v>
      </c>
      <c r="L23" s="50">
        <f t="shared" si="4"/>
        <v>0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</row>
    <row r="24" spans="1:28" ht="14.25" customHeight="1" x14ac:dyDescent="0.75">
      <c r="A24" s="50">
        <v>666541</v>
      </c>
      <c r="B24" s="50" t="s">
        <v>41</v>
      </c>
      <c r="C24" s="50" t="s">
        <v>41</v>
      </c>
      <c r="D24" s="50"/>
      <c r="E24" s="67">
        <v>0</v>
      </c>
      <c r="F24" s="50">
        <f t="shared" si="0"/>
        <v>0</v>
      </c>
      <c r="G24" s="149">
        <v>358</v>
      </c>
      <c r="H24" s="62">
        <f t="shared" si="1"/>
        <v>105</v>
      </c>
      <c r="I24" s="61">
        <v>0</v>
      </c>
      <c r="J24" s="62">
        <f t="shared" si="2"/>
        <v>0</v>
      </c>
      <c r="K24" s="50">
        <f t="shared" si="3"/>
        <v>358</v>
      </c>
      <c r="L24" s="50">
        <f t="shared" si="4"/>
        <v>105</v>
      </c>
      <c r="M24" s="50"/>
      <c r="N24" s="50">
        <v>16</v>
      </c>
      <c r="O24" s="50"/>
      <c r="P24" s="50"/>
      <c r="Q24" s="50">
        <v>29</v>
      </c>
      <c r="R24" s="50"/>
      <c r="S24" s="50"/>
      <c r="T24" s="50">
        <v>20</v>
      </c>
      <c r="U24" s="50"/>
      <c r="V24" s="50"/>
      <c r="W24" s="50">
        <v>20</v>
      </c>
      <c r="X24" s="50"/>
      <c r="Y24" s="50"/>
      <c r="Z24" s="50">
        <v>20</v>
      </c>
      <c r="AA24" s="50"/>
      <c r="AB24" s="50"/>
    </row>
    <row r="25" spans="1:28" ht="14.25" customHeight="1" x14ac:dyDescent="0.75">
      <c r="A25" s="50">
        <v>666536</v>
      </c>
      <c r="B25" s="50" t="s">
        <v>42</v>
      </c>
      <c r="C25" s="50" t="s">
        <v>43</v>
      </c>
      <c r="D25" s="50"/>
      <c r="E25" s="67">
        <v>37</v>
      </c>
      <c r="F25" s="50">
        <f t="shared" si="0"/>
        <v>7</v>
      </c>
      <c r="G25" s="149">
        <v>0</v>
      </c>
      <c r="H25" s="62">
        <f t="shared" si="1"/>
        <v>0</v>
      </c>
      <c r="I25" s="61">
        <v>0</v>
      </c>
      <c r="J25" s="62">
        <f t="shared" si="2"/>
        <v>0</v>
      </c>
      <c r="K25" s="50">
        <f>+E25+G25+H25</f>
        <v>37</v>
      </c>
      <c r="L25" s="50">
        <f t="shared" si="4"/>
        <v>7</v>
      </c>
      <c r="M25" s="50">
        <v>3</v>
      </c>
      <c r="N25" s="50"/>
      <c r="O25" s="50"/>
      <c r="P25" s="50"/>
      <c r="Q25" s="50"/>
      <c r="R25" s="50"/>
      <c r="S25" s="50">
        <v>4</v>
      </c>
      <c r="T25" s="50"/>
      <c r="U25" s="50"/>
      <c r="V25" s="50"/>
      <c r="W25" s="50"/>
      <c r="X25" s="50"/>
      <c r="Y25" s="50"/>
      <c r="Z25" s="50"/>
      <c r="AA25" s="50"/>
      <c r="AB25" s="50"/>
    </row>
    <row r="26" spans="1:28" s="50" customFormat="1" ht="14.25" customHeight="1" x14ac:dyDescent="0.75">
      <c r="A26" s="50" t="s">
        <v>193</v>
      </c>
      <c r="B26" s="50" t="s">
        <v>194</v>
      </c>
      <c r="C26" s="50" t="s">
        <v>199</v>
      </c>
      <c r="D26" s="71"/>
      <c r="E26" s="67">
        <v>47</v>
      </c>
      <c r="F26" s="50">
        <f t="shared" si="0"/>
        <v>47</v>
      </c>
      <c r="G26" s="149">
        <v>0</v>
      </c>
      <c r="H26" s="50">
        <f t="shared" si="1"/>
        <v>0</v>
      </c>
      <c r="I26" s="61">
        <v>0</v>
      </c>
      <c r="J26" s="50">
        <f t="shared" si="2"/>
        <v>0</v>
      </c>
      <c r="K26" s="50">
        <f>+E26+G26+I26</f>
        <v>47</v>
      </c>
      <c r="L26" s="50">
        <f>+F26+H26+J26</f>
        <v>47</v>
      </c>
      <c r="M26" s="50">
        <v>30</v>
      </c>
      <c r="S26" s="50">
        <v>17</v>
      </c>
    </row>
    <row r="35" spans="15:15" ht="14.25" customHeight="1" x14ac:dyDescent="0.75">
      <c r="O35" t="s">
        <v>152</v>
      </c>
    </row>
  </sheetData>
  <conditionalFormatting sqref="F26 H26 J26">
    <cfRule type="expression" dxfId="66" priority="6">
      <formula>#REF!=F26</formula>
    </cfRule>
    <cfRule type="expression" dxfId="65" priority="7">
      <formula>#REF!&lt;F26</formula>
    </cfRule>
    <cfRule type="expression" dxfId="64" priority="8">
      <formula>#REF!&gt;F26</formula>
    </cfRule>
  </conditionalFormatting>
  <conditionalFormatting sqref="K5:K26">
    <cfRule type="cellIs" dxfId="63" priority="2" operator="equal">
      <formula>0</formula>
    </cfRule>
  </conditionalFormatting>
  <conditionalFormatting sqref="L5:L26">
    <cfRule type="expression" dxfId="62" priority="3">
      <formula>K5=L5</formula>
    </cfRule>
    <cfRule type="expression" dxfId="61" priority="4">
      <formula>K5&lt;L5</formula>
    </cfRule>
    <cfRule type="expression" dxfId="60" priority="5">
      <formula>K5&gt;L5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X72"/>
  <sheetViews>
    <sheetView topLeftCell="A17" zoomScaleNormal="100" workbookViewId="0">
      <selection activeCell="Q46" sqref="Q46"/>
    </sheetView>
  </sheetViews>
  <sheetFormatPr defaultColWidth="8.86328125" defaultRowHeight="14.75" x14ac:dyDescent="0.75"/>
  <cols>
    <col min="1" max="1" width="9" style="79" customWidth="1"/>
    <col min="2" max="2" width="33.453125" style="79" customWidth="1"/>
    <col min="3" max="3" width="15.6328125" style="79" hidden="1" customWidth="1"/>
    <col min="4" max="13" width="8.86328125" style="79"/>
    <col min="14" max="14" width="9.453125" style="79" customWidth="1"/>
    <col min="15" max="17" width="8.86328125" style="79"/>
    <col min="18" max="18" width="10.6328125" style="80" customWidth="1"/>
    <col min="19" max="19" width="9.1328125" style="79" hidden="1" customWidth="1"/>
    <col min="20" max="16384" width="8.86328125" style="79"/>
  </cols>
  <sheetData>
    <row r="1" spans="1:19" ht="15" customHeight="1" x14ac:dyDescent="0.75">
      <c r="A1" s="3" t="s">
        <v>201</v>
      </c>
      <c r="B1" s="3"/>
      <c r="C1" s="3"/>
      <c r="D1" s="3"/>
      <c r="E1" s="3"/>
      <c r="F1" s="81"/>
      <c r="G1" s="81"/>
      <c r="H1" s="81"/>
      <c r="I1" s="81"/>
      <c r="J1" s="81"/>
      <c r="K1" s="81"/>
      <c r="L1" s="81"/>
      <c r="M1" s="81"/>
      <c r="N1" s="81"/>
      <c r="O1" s="81"/>
      <c r="P1" s="82"/>
      <c r="Q1" s="80" t="s">
        <v>160</v>
      </c>
    </row>
    <row r="2" spans="1:19" ht="41.25" customHeight="1" x14ac:dyDescent="0.75">
      <c r="A2" s="83"/>
      <c r="B2" s="84" t="s">
        <v>56</v>
      </c>
      <c r="C2" s="85" t="s">
        <v>55</v>
      </c>
      <c r="D2" s="86" t="s">
        <v>116</v>
      </c>
      <c r="E2" s="87" t="s">
        <v>161</v>
      </c>
      <c r="F2" s="88" t="s">
        <v>162</v>
      </c>
      <c r="G2" s="86" t="s">
        <v>163</v>
      </c>
      <c r="H2" s="87" t="s">
        <v>164</v>
      </c>
      <c r="I2" s="86" t="s">
        <v>165</v>
      </c>
      <c r="J2" s="86" t="s">
        <v>166</v>
      </c>
      <c r="K2" s="89" t="s">
        <v>167</v>
      </c>
      <c r="L2" s="88" t="s">
        <v>162</v>
      </c>
      <c r="M2" s="86" t="s">
        <v>163</v>
      </c>
      <c r="N2" s="87" t="s">
        <v>164</v>
      </c>
      <c r="O2" s="86" t="s">
        <v>165</v>
      </c>
      <c r="P2" s="90" t="s">
        <v>166</v>
      </c>
      <c r="Q2" s="91"/>
      <c r="R2" s="92" t="s">
        <v>168</v>
      </c>
    </row>
    <row r="3" spans="1:19" ht="14.25" customHeight="1" x14ac:dyDescent="0.75">
      <c r="A3" s="93" t="e">
        <f>#NAME?</f>
        <v>#NAME?</v>
      </c>
      <c r="B3" s="94" t="s">
        <v>4</v>
      </c>
      <c r="C3" s="95" t="s">
        <v>5</v>
      </c>
      <c r="D3" s="96">
        <v>42</v>
      </c>
      <c r="E3" s="97">
        <f t="shared" ref="E3:E24" si="0">+D3/6</f>
        <v>7</v>
      </c>
      <c r="F3" s="96">
        <v>39</v>
      </c>
      <c r="G3" s="98">
        <v>0</v>
      </c>
      <c r="H3" s="96">
        <v>3</v>
      </c>
      <c r="I3" s="96">
        <v>0</v>
      </c>
      <c r="J3" s="96">
        <v>0</v>
      </c>
      <c r="K3" s="99">
        <f t="shared" ref="K3:K24" si="1">(+D3-SUM(F3:J3))/3.5</f>
        <v>0</v>
      </c>
      <c r="L3" s="96">
        <v>0</v>
      </c>
      <c r="M3" s="96">
        <v>0</v>
      </c>
      <c r="N3" s="96">
        <v>0</v>
      </c>
      <c r="O3" s="96">
        <v>0</v>
      </c>
      <c r="P3" s="100">
        <v>0</v>
      </c>
      <c r="Q3" s="101">
        <f t="shared" ref="Q3:Q24" si="2">SUM(F3:J3)+SUM(L3:P3)</f>
        <v>42</v>
      </c>
      <c r="R3" s="101">
        <f t="shared" ref="R3:R24" si="3">+D3-Q3</f>
        <v>0</v>
      </c>
      <c r="S3" s="102">
        <f>+R3/2.25</f>
        <v>0</v>
      </c>
    </row>
    <row r="4" spans="1:19" ht="14.25" customHeight="1" x14ac:dyDescent="0.75">
      <c r="A4" s="93">
        <v>666502</v>
      </c>
      <c r="B4" s="94" t="s">
        <v>6</v>
      </c>
      <c r="C4" s="95" t="s">
        <v>7</v>
      </c>
      <c r="D4" s="96">
        <v>0</v>
      </c>
      <c r="E4" s="97">
        <f t="shared" si="0"/>
        <v>0</v>
      </c>
      <c r="F4" s="96">
        <v>0</v>
      </c>
      <c r="G4" s="98">
        <v>0</v>
      </c>
      <c r="H4" s="96">
        <v>0</v>
      </c>
      <c r="I4" s="96">
        <v>0</v>
      </c>
      <c r="J4" s="96">
        <v>0</v>
      </c>
      <c r="K4" s="99">
        <f t="shared" si="1"/>
        <v>0</v>
      </c>
      <c r="L4" s="96">
        <v>0</v>
      </c>
      <c r="M4" s="96">
        <v>0</v>
      </c>
      <c r="N4" s="96">
        <v>0</v>
      </c>
      <c r="O4" s="96">
        <v>0</v>
      </c>
      <c r="P4" s="100">
        <v>0</v>
      </c>
      <c r="Q4" s="101">
        <f t="shared" si="2"/>
        <v>0</v>
      </c>
      <c r="R4" s="101">
        <f t="shared" si="3"/>
        <v>0</v>
      </c>
      <c r="S4" s="102">
        <f>+R4/2.25</f>
        <v>0</v>
      </c>
    </row>
    <row r="5" spans="1:19" ht="14.25" customHeight="1" x14ac:dyDescent="0.75">
      <c r="A5" s="93">
        <v>666505</v>
      </c>
      <c r="B5" s="94" t="s">
        <v>8</v>
      </c>
      <c r="C5" s="95" t="s">
        <v>9</v>
      </c>
      <c r="D5" s="96">
        <v>13</v>
      </c>
      <c r="E5" s="97">
        <f t="shared" si="0"/>
        <v>2.1666666666666665</v>
      </c>
      <c r="F5" s="96">
        <v>13</v>
      </c>
      <c r="G5" s="98">
        <v>0</v>
      </c>
      <c r="H5" s="96">
        <v>0</v>
      </c>
      <c r="I5" s="96">
        <v>0</v>
      </c>
      <c r="J5" s="96">
        <v>0</v>
      </c>
      <c r="K5" s="99">
        <f t="shared" si="1"/>
        <v>0</v>
      </c>
      <c r="L5" s="96">
        <v>0</v>
      </c>
      <c r="M5" s="96">
        <v>0</v>
      </c>
      <c r="N5" s="96">
        <v>0</v>
      </c>
      <c r="O5" s="96">
        <v>0</v>
      </c>
      <c r="P5" s="100">
        <v>0</v>
      </c>
      <c r="Q5" s="133">
        <f t="shared" si="2"/>
        <v>13</v>
      </c>
      <c r="R5" s="101">
        <f t="shared" si="3"/>
        <v>0</v>
      </c>
      <c r="S5" s="102">
        <f>+R5/2.25</f>
        <v>0</v>
      </c>
    </row>
    <row r="6" spans="1:19" ht="14.25" customHeight="1" x14ac:dyDescent="0.75">
      <c r="A6" s="93">
        <v>666506</v>
      </c>
      <c r="B6" s="94" t="s">
        <v>10</v>
      </c>
      <c r="C6" s="95" t="s">
        <v>11</v>
      </c>
      <c r="D6" s="96">
        <v>0</v>
      </c>
      <c r="E6" s="97">
        <f t="shared" si="0"/>
        <v>0</v>
      </c>
      <c r="F6" s="96">
        <v>0</v>
      </c>
      <c r="G6" s="98">
        <v>0</v>
      </c>
      <c r="H6" s="96">
        <v>0</v>
      </c>
      <c r="I6" s="96">
        <v>0</v>
      </c>
      <c r="J6" s="96">
        <v>0</v>
      </c>
      <c r="K6" s="99">
        <f t="shared" si="1"/>
        <v>0</v>
      </c>
      <c r="L6" s="96">
        <v>0</v>
      </c>
      <c r="M6" s="96">
        <v>0</v>
      </c>
      <c r="N6" s="96">
        <v>0</v>
      </c>
      <c r="O6" s="96">
        <v>0</v>
      </c>
      <c r="P6" s="100">
        <v>0</v>
      </c>
      <c r="Q6" s="101">
        <f t="shared" si="2"/>
        <v>0</v>
      </c>
      <c r="R6" s="101">
        <f t="shared" si="3"/>
        <v>0</v>
      </c>
      <c r="S6" s="102">
        <f>+R6/2.25</f>
        <v>0</v>
      </c>
    </row>
    <row r="7" spans="1:19" ht="14.25" customHeight="1" x14ac:dyDescent="0.75">
      <c r="A7" s="93">
        <v>666507</v>
      </c>
      <c r="B7" s="94" t="s">
        <v>12</v>
      </c>
      <c r="C7" s="95" t="s">
        <v>13</v>
      </c>
      <c r="D7" s="96">
        <v>8</v>
      </c>
      <c r="E7" s="97">
        <f t="shared" si="0"/>
        <v>1.3333333333333333</v>
      </c>
      <c r="F7" s="96">
        <v>0</v>
      </c>
      <c r="G7" s="98">
        <v>0</v>
      </c>
      <c r="H7" s="96">
        <v>0</v>
      </c>
      <c r="I7" s="96">
        <v>0</v>
      </c>
      <c r="J7" s="96">
        <v>8</v>
      </c>
      <c r="K7" s="99">
        <f t="shared" si="1"/>
        <v>0</v>
      </c>
      <c r="L7" s="96">
        <v>0</v>
      </c>
      <c r="M7" s="96">
        <v>0</v>
      </c>
      <c r="N7" s="96">
        <v>0</v>
      </c>
      <c r="O7" s="96">
        <v>0</v>
      </c>
      <c r="P7" s="100">
        <v>0</v>
      </c>
      <c r="Q7" s="133">
        <f t="shared" si="2"/>
        <v>8</v>
      </c>
      <c r="R7" s="101">
        <f t="shared" si="3"/>
        <v>0</v>
      </c>
      <c r="S7" s="102">
        <f>+R7/2.25</f>
        <v>0</v>
      </c>
    </row>
    <row r="8" spans="1:19" ht="14.25" customHeight="1" x14ac:dyDescent="0.75">
      <c r="A8" s="93">
        <v>666509</v>
      </c>
      <c r="B8" s="94" t="s">
        <v>14</v>
      </c>
      <c r="C8" s="95" t="s">
        <v>15</v>
      </c>
      <c r="D8" s="96">
        <v>50</v>
      </c>
      <c r="E8" s="97">
        <f t="shared" si="0"/>
        <v>8.3333333333333339</v>
      </c>
      <c r="F8" s="96">
        <v>15</v>
      </c>
      <c r="G8" s="98">
        <v>0</v>
      </c>
      <c r="H8" s="96">
        <v>10</v>
      </c>
      <c r="I8" s="96">
        <v>0</v>
      </c>
      <c r="J8" s="96">
        <v>10</v>
      </c>
      <c r="K8" s="99">
        <f t="shared" si="1"/>
        <v>4.2857142857142856</v>
      </c>
      <c r="L8" s="96">
        <v>15</v>
      </c>
      <c r="M8" s="96">
        <v>0</v>
      </c>
      <c r="N8" s="96">
        <v>0</v>
      </c>
      <c r="O8" s="96">
        <v>0</v>
      </c>
      <c r="P8" s="100">
        <v>0</v>
      </c>
      <c r="Q8" s="101">
        <f t="shared" si="2"/>
        <v>50</v>
      </c>
      <c r="R8" s="101">
        <f t="shared" si="3"/>
        <v>0</v>
      </c>
      <c r="S8" s="102">
        <f>+R8/2</f>
        <v>0</v>
      </c>
    </row>
    <row r="9" spans="1:19" ht="14.25" customHeight="1" x14ac:dyDescent="0.75">
      <c r="A9" s="93">
        <v>666510</v>
      </c>
      <c r="B9" s="94" t="s">
        <v>16</v>
      </c>
      <c r="C9" s="95" t="s">
        <v>169</v>
      </c>
      <c r="D9" s="96">
        <v>0</v>
      </c>
      <c r="E9" s="97">
        <f t="shared" si="0"/>
        <v>0</v>
      </c>
      <c r="F9" s="96">
        <v>0</v>
      </c>
      <c r="G9" s="98">
        <v>0</v>
      </c>
      <c r="H9" s="96">
        <v>0</v>
      </c>
      <c r="I9" s="96">
        <v>0</v>
      </c>
      <c r="J9" s="96">
        <v>0</v>
      </c>
      <c r="K9" s="99">
        <f t="shared" si="1"/>
        <v>0</v>
      </c>
      <c r="L9" s="96">
        <v>0</v>
      </c>
      <c r="M9" s="96">
        <v>0</v>
      </c>
      <c r="N9" s="96">
        <v>0</v>
      </c>
      <c r="O9" s="96">
        <v>0</v>
      </c>
      <c r="P9" s="100">
        <v>0</v>
      </c>
      <c r="Q9" s="101">
        <f t="shared" si="2"/>
        <v>0</v>
      </c>
      <c r="R9" s="101">
        <f t="shared" si="3"/>
        <v>0</v>
      </c>
      <c r="S9" s="102">
        <f t="shared" ref="S9:S19" si="4">+R9/2.25</f>
        <v>0</v>
      </c>
    </row>
    <row r="10" spans="1:19" ht="14.25" customHeight="1" x14ac:dyDescent="0.75">
      <c r="A10" s="93">
        <v>666511</v>
      </c>
      <c r="B10" s="94" t="s">
        <v>18</v>
      </c>
      <c r="C10" s="95" t="s">
        <v>19</v>
      </c>
      <c r="D10" s="96">
        <v>4</v>
      </c>
      <c r="E10" s="97">
        <f t="shared" si="0"/>
        <v>0.66666666666666663</v>
      </c>
      <c r="F10" s="96">
        <v>0</v>
      </c>
      <c r="G10" s="98">
        <v>0</v>
      </c>
      <c r="H10" s="96">
        <v>0</v>
      </c>
      <c r="I10" s="96">
        <v>0</v>
      </c>
      <c r="J10" s="96">
        <v>0</v>
      </c>
      <c r="K10" s="99">
        <f t="shared" si="1"/>
        <v>1.1428571428571428</v>
      </c>
      <c r="L10" s="96">
        <v>0</v>
      </c>
      <c r="M10" s="96">
        <v>0</v>
      </c>
      <c r="N10" s="96">
        <v>4</v>
      </c>
      <c r="O10" s="96">
        <v>0</v>
      </c>
      <c r="P10" s="100">
        <v>0</v>
      </c>
      <c r="Q10" s="101">
        <f t="shared" si="2"/>
        <v>4</v>
      </c>
      <c r="R10" s="101">
        <f t="shared" si="3"/>
        <v>0</v>
      </c>
      <c r="S10" s="102">
        <f t="shared" si="4"/>
        <v>0</v>
      </c>
    </row>
    <row r="11" spans="1:19" ht="14.25" customHeight="1" x14ac:dyDescent="0.75">
      <c r="A11" s="93">
        <v>666513</v>
      </c>
      <c r="B11" s="94" t="s">
        <v>20</v>
      </c>
      <c r="C11" s="95" t="s">
        <v>21</v>
      </c>
      <c r="D11" s="96">
        <v>14</v>
      </c>
      <c r="E11" s="97">
        <f t="shared" si="0"/>
        <v>2.3333333333333335</v>
      </c>
      <c r="F11" s="96">
        <v>14</v>
      </c>
      <c r="G11" s="98">
        <v>0</v>
      </c>
      <c r="H11" s="96">
        <v>0</v>
      </c>
      <c r="I11" s="96">
        <v>0</v>
      </c>
      <c r="J11" s="96">
        <v>0</v>
      </c>
      <c r="K11" s="99">
        <f t="shared" si="1"/>
        <v>0</v>
      </c>
      <c r="L11" s="96">
        <v>0</v>
      </c>
      <c r="M11" s="96">
        <v>0</v>
      </c>
      <c r="N11" s="96">
        <v>0</v>
      </c>
      <c r="O11" s="96">
        <v>0</v>
      </c>
      <c r="P11" s="100">
        <v>0</v>
      </c>
      <c r="Q11" s="133">
        <f t="shared" si="2"/>
        <v>14</v>
      </c>
      <c r="R11" s="101">
        <f t="shared" si="3"/>
        <v>0</v>
      </c>
      <c r="S11" s="102">
        <f t="shared" si="4"/>
        <v>0</v>
      </c>
    </row>
    <row r="12" spans="1:19" ht="14.25" customHeight="1" x14ac:dyDescent="0.75">
      <c r="A12" s="93">
        <v>666516</v>
      </c>
      <c r="B12" s="94" t="s">
        <v>22</v>
      </c>
      <c r="C12" s="95" t="s">
        <v>23</v>
      </c>
      <c r="D12" s="96">
        <v>16</v>
      </c>
      <c r="E12" s="97">
        <f t="shared" si="0"/>
        <v>2.6666666666666665</v>
      </c>
      <c r="F12" s="96">
        <v>16</v>
      </c>
      <c r="G12" s="98">
        <v>0</v>
      </c>
      <c r="H12" s="96">
        <v>0</v>
      </c>
      <c r="I12" s="96">
        <v>0</v>
      </c>
      <c r="J12" s="96">
        <v>0</v>
      </c>
      <c r="K12" s="99">
        <f t="shared" si="1"/>
        <v>0</v>
      </c>
      <c r="L12" s="96">
        <v>0</v>
      </c>
      <c r="M12" s="96">
        <v>0</v>
      </c>
      <c r="N12" s="96">
        <v>0</v>
      </c>
      <c r="O12" s="96">
        <v>0</v>
      </c>
      <c r="P12" s="100">
        <v>0</v>
      </c>
      <c r="Q12" s="133">
        <f t="shared" si="2"/>
        <v>16</v>
      </c>
      <c r="R12" s="101">
        <f t="shared" si="3"/>
        <v>0</v>
      </c>
      <c r="S12" s="102">
        <f t="shared" si="4"/>
        <v>0</v>
      </c>
    </row>
    <row r="13" spans="1:19" ht="14.25" customHeight="1" x14ac:dyDescent="0.75">
      <c r="A13" s="93">
        <v>666517</v>
      </c>
      <c r="B13" s="94" t="s">
        <v>24</v>
      </c>
      <c r="C13" s="95" t="s">
        <v>25</v>
      </c>
      <c r="D13" s="96">
        <v>22</v>
      </c>
      <c r="E13" s="97">
        <f t="shared" si="0"/>
        <v>3.6666666666666665</v>
      </c>
      <c r="F13" s="96">
        <v>22</v>
      </c>
      <c r="G13" s="98">
        <v>0</v>
      </c>
      <c r="H13" s="96">
        <v>0</v>
      </c>
      <c r="I13" s="96">
        <v>0</v>
      </c>
      <c r="J13" s="96">
        <v>0</v>
      </c>
      <c r="K13" s="99">
        <f t="shared" si="1"/>
        <v>0</v>
      </c>
      <c r="L13" s="96">
        <v>0</v>
      </c>
      <c r="M13" s="96">
        <v>0</v>
      </c>
      <c r="N13" s="96">
        <v>0</v>
      </c>
      <c r="O13" s="96">
        <v>0</v>
      </c>
      <c r="P13" s="100">
        <v>0</v>
      </c>
      <c r="Q13" s="133">
        <f t="shared" si="2"/>
        <v>22</v>
      </c>
      <c r="R13" s="101">
        <f t="shared" si="3"/>
        <v>0</v>
      </c>
      <c r="S13" s="102">
        <f t="shared" si="4"/>
        <v>0</v>
      </c>
    </row>
    <row r="14" spans="1:19" ht="14.25" customHeight="1" x14ac:dyDescent="0.75">
      <c r="A14" s="93">
        <v>666518</v>
      </c>
      <c r="B14" s="94" t="s">
        <v>26</v>
      </c>
      <c r="C14" s="95" t="s">
        <v>27</v>
      </c>
      <c r="D14" s="96">
        <v>0</v>
      </c>
      <c r="E14" s="97">
        <f t="shared" si="0"/>
        <v>0</v>
      </c>
      <c r="F14" s="96">
        <v>0</v>
      </c>
      <c r="G14" s="98">
        <v>0</v>
      </c>
      <c r="H14" s="96">
        <v>0</v>
      </c>
      <c r="I14" s="96">
        <v>0</v>
      </c>
      <c r="J14" s="96">
        <v>0</v>
      </c>
      <c r="K14" s="99">
        <f t="shared" si="1"/>
        <v>0</v>
      </c>
      <c r="L14" s="96">
        <v>0</v>
      </c>
      <c r="M14" s="96">
        <v>0</v>
      </c>
      <c r="N14" s="96">
        <v>0</v>
      </c>
      <c r="O14" s="96">
        <v>0</v>
      </c>
      <c r="P14" s="100">
        <v>0</v>
      </c>
      <c r="Q14" s="101">
        <f t="shared" si="2"/>
        <v>0</v>
      </c>
      <c r="R14" s="101">
        <f t="shared" si="3"/>
        <v>0</v>
      </c>
      <c r="S14" s="102">
        <f t="shared" si="4"/>
        <v>0</v>
      </c>
    </row>
    <row r="15" spans="1:19" ht="14.25" customHeight="1" x14ac:dyDescent="0.75">
      <c r="A15" s="93">
        <v>666519</v>
      </c>
      <c r="B15" s="94" t="s">
        <v>28</v>
      </c>
      <c r="C15" s="95" t="s">
        <v>29</v>
      </c>
      <c r="D15" s="96">
        <v>22</v>
      </c>
      <c r="E15" s="97">
        <f t="shared" si="0"/>
        <v>3.6666666666666665</v>
      </c>
      <c r="F15" s="96">
        <v>22</v>
      </c>
      <c r="G15" s="98">
        <v>0</v>
      </c>
      <c r="H15" s="96">
        <v>0</v>
      </c>
      <c r="I15" s="96">
        <v>0</v>
      </c>
      <c r="J15" s="96">
        <v>0</v>
      </c>
      <c r="K15" s="99">
        <f t="shared" si="1"/>
        <v>0</v>
      </c>
      <c r="L15" s="96">
        <v>0</v>
      </c>
      <c r="M15" s="96">
        <v>0</v>
      </c>
      <c r="N15" s="96">
        <v>0</v>
      </c>
      <c r="O15" s="96">
        <v>0</v>
      </c>
      <c r="P15" s="100">
        <v>0</v>
      </c>
      <c r="Q15" s="133">
        <f t="shared" si="2"/>
        <v>22</v>
      </c>
      <c r="R15" s="101">
        <f t="shared" si="3"/>
        <v>0</v>
      </c>
      <c r="S15" s="102">
        <f t="shared" si="4"/>
        <v>0</v>
      </c>
    </row>
    <row r="16" spans="1:19" ht="14.25" customHeight="1" x14ac:dyDescent="0.75">
      <c r="A16" s="93">
        <v>666521</v>
      </c>
      <c r="B16" s="94" t="s">
        <v>30</v>
      </c>
      <c r="C16" s="95" t="s">
        <v>31</v>
      </c>
      <c r="D16" s="96">
        <v>48</v>
      </c>
      <c r="E16" s="97">
        <f t="shared" si="0"/>
        <v>8</v>
      </c>
      <c r="F16" s="96">
        <v>27</v>
      </c>
      <c r="G16" s="98">
        <v>0</v>
      </c>
      <c r="H16" s="96">
        <v>17</v>
      </c>
      <c r="I16" s="96">
        <v>4</v>
      </c>
      <c r="J16" s="96">
        <v>0</v>
      </c>
      <c r="K16" s="99">
        <f t="shared" si="1"/>
        <v>0</v>
      </c>
      <c r="L16" s="96">
        <v>0</v>
      </c>
      <c r="M16" s="96">
        <v>0</v>
      </c>
      <c r="N16" s="96">
        <v>0</v>
      </c>
      <c r="O16" s="96">
        <v>0</v>
      </c>
      <c r="P16" s="100">
        <v>0</v>
      </c>
      <c r="Q16" s="133">
        <f t="shared" si="2"/>
        <v>48</v>
      </c>
      <c r="R16" s="101">
        <f t="shared" si="3"/>
        <v>0</v>
      </c>
      <c r="S16" s="102">
        <f t="shared" si="4"/>
        <v>0</v>
      </c>
    </row>
    <row r="17" spans="1:19" ht="14.25" customHeight="1" x14ac:dyDescent="0.75">
      <c r="A17" s="93">
        <v>666522</v>
      </c>
      <c r="B17" s="94" t="s">
        <v>32</v>
      </c>
      <c r="C17" s="95" t="s">
        <v>33</v>
      </c>
      <c r="D17" s="96">
        <v>180</v>
      </c>
      <c r="E17" s="97">
        <f t="shared" si="0"/>
        <v>30</v>
      </c>
      <c r="F17" s="96">
        <v>50</v>
      </c>
      <c r="G17" s="98">
        <v>0</v>
      </c>
      <c r="H17" s="96">
        <v>40</v>
      </c>
      <c r="I17" s="96">
        <v>0</v>
      </c>
      <c r="J17" s="96">
        <v>20</v>
      </c>
      <c r="K17" s="99">
        <f t="shared" si="1"/>
        <v>20</v>
      </c>
      <c r="L17" s="96">
        <v>35</v>
      </c>
      <c r="M17" s="96">
        <v>0</v>
      </c>
      <c r="N17" s="96">
        <v>35</v>
      </c>
      <c r="O17" s="96">
        <v>0</v>
      </c>
      <c r="P17" s="100">
        <v>0</v>
      </c>
      <c r="Q17" s="101">
        <f t="shared" si="2"/>
        <v>180</v>
      </c>
      <c r="R17" s="101">
        <f t="shared" si="3"/>
        <v>0</v>
      </c>
      <c r="S17" s="102">
        <f t="shared" si="4"/>
        <v>0</v>
      </c>
    </row>
    <row r="18" spans="1:19" ht="14.25" customHeight="1" x14ac:dyDescent="0.75">
      <c r="A18" s="93">
        <v>666523</v>
      </c>
      <c r="B18" s="94" t="s">
        <v>34</v>
      </c>
      <c r="C18" s="95" t="s">
        <v>35</v>
      </c>
      <c r="D18" s="96">
        <v>0</v>
      </c>
      <c r="E18" s="97">
        <f t="shared" si="0"/>
        <v>0</v>
      </c>
      <c r="F18" s="96">
        <v>0</v>
      </c>
      <c r="G18" s="98">
        <v>0</v>
      </c>
      <c r="H18" s="96">
        <v>0</v>
      </c>
      <c r="I18" s="96">
        <v>0</v>
      </c>
      <c r="J18" s="96">
        <v>0</v>
      </c>
      <c r="K18" s="99">
        <f t="shared" si="1"/>
        <v>0</v>
      </c>
      <c r="L18" s="96">
        <v>0</v>
      </c>
      <c r="M18" s="96">
        <v>0</v>
      </c>
      <c r="N18" s="96">
        <v>0</v>
      </c>
      <c r="O18" s="96">
        <v>0</v>
      </c>
      <c r="P18" s="100">
        <v>0</v>
      </c>
      <c r="Q18" s="101">
        <f t="shared" si="2"/>
        <v>0</v>
      </c>
      <c r="R18" s="101">
        <f t="shared" si="3"/>
        <v>0</v>
      </c>
      <c r="S18" s="102">
        <f t="shared" si="4"/>
        <v>0</v>
      </c>
    </row>
    <row r="19" spans="1:19" ht="14.25" customHeight="1" x14ac:dyDescent="0.75">
      <c r="A19" s="93">
        <v>666530</v>
      </c>
      <c r="B19" s="94" t="s">
        <v>36</v>
      </c>
      <c r="C19" s="95" t="s">
        <v>37</v>
      </c>
      <c r="D19" s="96">
        <v>0</v>
      </c>
      <c r="E19" s="97">
        <f t="shared" si="0"/>
        <v>0</v>
      </c>
      <c r="F19" s="96">
        <v>0</v>
      </c>
      <c r="G19" s="98">
        <v>0</v>
      </c>
      <c r="H19" s="96">
        <v>0</v>
      </c>
      <c r="I19" s="96">
        <v>0</v>
      </c>
      <c r="J19" s="96">
        <v>0</v>
      </c>
      <c r="K19" s="99">
        <f t="shared" si="1"/>
        <v>0</v>
      </c>
      <c r="L19" s="96">
        <v>0</v>
      </c>
      <c r="M19" s="96">
        <v>0</v>
      </c>
      <c r="N19" s="96">
        <v>0</v>
      </c>
      <c r="O19" s="96">
        <v>0</v>
      </c>
      <c r="P19" s="100">
        <v>0</v>
      </c>
      <c r="Q19" s="133">
        <f t="shared" si="2"/>
        <v>0</v>
      </c>
      <c r="R19" s="101">
        <f t="shared" si="3"/>
        <v>0</v>
      </c>
      <c r="S19" s="102">
        <f t="shared" si="4"/>
        <v>0</v>
      </c>
    </row>
    <row r="20" spans="1:19" ht="14.25" customHeight="1" x14ac:dyDescent="0.75">
      <c r="A20" s="93">
        <v>666531</v>
      </c>
      <c r="B20" s="94" t="s">
        <v>38</v>
      </c>
      <c r="C20" s="95" t="s">
        <v>39</v>
      </c>
      <c r="D20" s="96">
        <v>20</v>
      </c>
      <c r="E20" s="97">
        <f t="shared" si="0"/>
        <v>3.3333333333333335</v>
      </c>
      <c r="F20" s="96">
        <v>13</v>
      </c>
      <c r="G20" s="98">
        <v>0</v>
      </c>
      <c r="H20" s="96">
        <v>7</v>
      </c>
      <c r="I20" s="96">
        <v>0</v>
      </c>
      <c r="J20" s="96">
        <v>0</v>
      </c>
      <c r="K20" s="99">
        <f t="shared" si="1"/>
        <v>0</v>
      </c>
      <c r="L20" s="96">
        <v>0</v>
      </c>
      <c r="M20" s="96">
        <v>0</v>
      </c>
      <c r="N20" s="96">
        <v>0</v>
      </c>
      <c r="O20" s="96">
        <v>0</v>
      </c>
      <c r="P20" s="100">
        <v>0</v>
      </c>
      <c r="Q20" s="133">
        <f t="shared" si="2"/>
        <v>20</v>
      </c>
      <c r="R20" s="101">
        <f t="shared" si="3"/>
        <v>0</v>
      </c>
      <c r="S20" s="102"/>
    </row>
    <row r="21" spans="1:19" ht="14.25" customHeight="1" x14ac:dyDescent="0.75">
      <c r="A21" s="93">
        <v>666540</v>
      </c>
      <c r="B21" s="94" t="s">
        <v>40</v>
      </c>
      <c r="C21" s="95" t="s">
        <v>40</v>
      </c>
      <c r="D21" s="96">
        <v>0</v>
      </c>
      <c r="E21" s="97">
        <f t="shared" si="0"/>
        <v>0</v>
      </c>
      <c r="F21" s="96">
        <v>0</v>
      </c>
      <c r="G21" s="98">
        <v>0</v>
      </c>
      <c r="H21" s="96">
        <v>0</v>
      </c>
      <c r="I21" s="96">
        <v>0</v>
      </c>
      <c r="J21" s="96">
        <v>0</v>
      </c>
      <c r="K21" s="99">
        <f t="shared" si="1"/>
        <v>0</v>
      </c>
      <c r="L21" s="96">
        <v>0</v>
      </c>
      <c r="M21" s="96">
        <v>0</v>
      </c>
      <c r="N21" s="96">
        <v>0</v>
      </c>
      <c r="O21" s="96">
        <v>0</v>
      </c>
      <c r="P21" s="100">
        <v>0</v>
      </c>
      <c r="Q21" s="101">
        <f t="shared" si="2"/>
        <v>0</v>
      </c>
      <c r="R21" s="101">
        <f t="shared" si="3"/>
        <v>0</v>
      </c>
      <c r="S21" s="102"/>
    </row>
    <row r="22" spans="1:19" ht="15" customHeight="1" x14ac:dyDescent="0.75">
      <c r="A22" s="93">
        <v>666541</v>
      </c>
      <c r="B22" s="94" t="s">
        <v>41</v>
      </c>
      <c r="C22" s="103" t="s">
        <v>41</v>
      </c>
      <c r="D22" s="96">
        <v>0</v>
      </c>
      <c r="E22" s="97">
        <f t="shared" si="0"/>
        <v>0</v>
      </c>
      <c r="F22" s="104">
        <v>0</v>
      </c>
      <c r="G22" s="105">
        <v>0</v>
      </c>
      <c r="H22" s="104">
        <v>0</v>
      </c>
      <c r="I22" s="104">
        <v>0</v>
      </c>
      <c r="J22" s="104">
        <v>0</v>
      </c>
      <c r="K22" s="106">
        <f t="shared" si="1"/>
        <v>0</v>
      </c>
      <c r="L22" s="96">
        <v>0</v>
      </c>
      <c r="M22" s="96">
        <v>0</v>
      </c>
      <c r="N22" s="96">
        <v>0</v>
      </c>
      <c r="O22" s="96">
        <v>0</v>
      </c>
      <c r="P22" s="100">
        <v>0</v>
      </c>
      <c r="Q22" s="101">
        <f t="shared" si="2"/>
        <v>0</v>
      </c>
      <c r="R22" s="101">
        <f t="shared" si="3"/>
        <v>0</v>
      </c>
      <c r="S22" s="102"/>
    </row>
    <row r="23" spans="1:19" s="50" customFormat="1" ht="15" customHeight="1" x14ac:dyDescent="0.75">
      <c r="A23" s="108">
        <v>666536</v>
      </c>
      <c r="B23" s="109" t="s">
        <v>42</v>
      </c>
      <c r="C23" s="110"/>
      <c r="D23" s="104">
        <v>40</v>
      </c>
      <c r="E23" s="111">
        <f t="shared" si="0"/>
        <v>6.666666666666667</v>
      </c>
      <c r="F23" s="104">
        <v>3</v>
      </c>
      <c r="G23" s="105">
        <v>0</v>
      </c>
      <c r="H23" s="104">
        <v>0</v>
      </c>
      <c r="I23" s="104">
        <v>0</v>
      </c>
      <c r="J23" s="104">
        <v>0</v>
      </c>
      <c r="K23" s="106">
        <f t="shared" si="1"/>
        <v>10.571428571428571</v>
      </c>
      <c r="L23" s="104">
        <v>3</v>
      </c>
      <c r="M23" s="104">
        <v>0</v>
      </c>
      <c r="N23" s="104">
        <v>4</v>
      </c>
      <c r="O23" s="104">
        <v>0</v>
      </c>
      <c r="P23" s="107">
        <v>0</v>
      </c>
      <c r="Q23" s="169">
        <f t="shared" si="2"/>
        <v>10</v>
      </c>
      <c r="R23" s="169">
        <f t="shared" si="3"/>
        <v>30</v>
      </c>
    </row>
    <row r="24" spans="1:19" s="50" customFormat="1" ht="15" customHeight="1" x14ac:dyDescent="0.75">
      <c r="A24" s="112" t="s">
        <v>193</v>
      </c>
      <c r="B24" s="127" t="s">
        <v>197</v>
      </c>
      <c r="D24" s="104">
        <v>100</v>
      </c>
      <c r="E24" s="111">
        <f t="shared" si="0"/>
        <v>16.666666666666668</v>
      </c>
      <c r="F24" s="104">
        <v>17</v>
      </c>
      <c r="G24" s="105">
        <v>0</v>
      </c>
      <c r="H24" s="104">
        <v>18</v>
      </c>
      <c r="I24" s="104">
        <v>0</v>
      </c>
      <c r="J24" s="104">
        <v>18</v>
      </c>
      <c r="K24" s="106">
        <f t="shared" si="1"/>
        <v>13.428571428571429</v>
      </c>
      <c r="L24" s="104">
        <v>30</v>
      </c>
      <c r="M24" s="104">
        <v>0</v>
      </c>
      <c r="N24" s="104">
        <v>17</v>
      </c>
      <c r="O24" s="104">
        <v>0</v>
      </c>
      <c r="P24" s="107">
        <v>0</v>
      </c>
      <c r="Q24" s="133">
        <f t="shared" si="2"/>
        <v>100</v>
      </c>
      <c r="R24" s="101">
        <f t="shared" si="3"/>
        <v>0</v>
      </c>
    </row>
    <row r="25" spans="1:19" ht="15" customHeight="1" x14ac:dyDescent="0.75">
      <c r="A25" s="4" t="str">
        <f>+A1</f>
        <v>Weeks of 06/01/26 &amp; 06/08/26</v>
      </c>
      <c r="B25" s="4"/>
      <c r="C25" s="4"/>
      <c r="D25" s="4"/>
      <c r="E25" s="4"/>
      <c r="F25" s="115"/>
      <c r="G25" s="115"/>
      <c r="H25" s="115"/>
      <c r="I25" s="115"/>
      <c r="J25" s="116"/>
      <c r="K25" s="116"/>
      <c r="L25" s="116"/>
      <c r="M25" s="116"/>
      <c r="N25" s="116"/>
      <c r="O25" s="116"/>
      <c r="P25" s="117"/>
      <c r="Q25" s="101"/>
      <c r="R25" s="101"/>
    </row>
    <row r="26" spans="1:19" ht="42" customHeight="1" x14ac:dyDescent="0.75">
      <c r="A26" s="118"/>
      <c r="B26" s="119" t="s">
        <v>170</v>
      </c>
      <c r="C26" s="120" t="s">
        <v>65</v>
      </c>
      <c r="D26" s="121" t="s">
        <v>119</v>
      </c>
      <c r="E26" s="122" t="s">
        <v>171</v>
      </c>
      <c r="F26" s="88" t="s">
        <v>162</v>
      </c>
      <c r="G26" s="86" t="s">
        <v>163</v>
      </c>
      <c r="H26" s="87" t="s">
        <v>172</v>
      </c>
      <c r="I26" s="86" t="s">
        <v>165</v>
      </c>
      <c r="J26" s="123" t="s">
        <v>166</v>
      </c>
      <c r="K26" s="124" t="str">
        <f>+K2</f>
        <v>2nd wk daily goals</v>
      </c>
      <c r="L26" s="125" t="s">
        <v>162</v>
      </c>
      <c r="M26" s="86" t="s">
        <v>163</v>
      </c>
      <c r="N26" s="126" t="s">
        <v>172</v>
      </c>
      <c r="O26" s="86" t="s">
        <v>165</v>
      </c>
      <c r="P26" s="90" t="s">
        <v>166</v>
      </c>
      <c r="Q26" s="101"/>
      <c r="R26" s="92" t="s">
        <v>168</v>
      </c>
    </row>
    <row r="27" spans="1:19" ht="15" customHeight="1" x14ac:dyDescent="0.75">
      <c r="A27" s="93">
        <v>666501</v>
      </c>
      <c r="B27" s="94" t="s">
        <v>4</v>
      </c>
      <c r="C27" s="127" t="s">
        <v>5</v>
      </c>
      <c r="D27" s="128">
        <v>393</v>
      </c>
      <c r="E27" s="129">
        <f t="shared" ref="E27:E47" si="5">+D27/7</f>
        <v>56.142857142857146</v>
      </c>
      <c r="F27" s="96">
        <v>90</v>
      </c>
      <c r="G27" s="96">
        <v>0</v>
      </c>
      <c r="H27" s="96">
        <v>102</v>
      </c>
      <c r="I27" s="96">
        <v>0</v>
      </c>
      <c r="J27" s="130">
        <v>72</v>
      </c>
      <c r="K27" s="131">
        <f t="shared" ref="K27:K47" si="6">(+D27-SUM(F27:J27))/4</f>
        <v>32.25</v>
      </c>
      <c r="L27" s="132">
        <v>0</v>
      </c>
      <c r="M27" s="96">
        <v>114</v>
      </c>
      <c r="N27" s="96">
        <v>12</v>
      </c>
      <c r="O27" s="96">
        <v>0</v>
      </c>
      <c r="P27" s="100">
        <v>3</v>
      </c>
      <c r="Q27" s="101">
        <f t="shared" ref="Q27:Q47" si="7">SUM(F27:J27)+SUM(L27:P27)</f>
        <v>393</v>
      </c>
      <c r="R27" s="101">
        <f t="shared" ref="R27:R47" si="8">+D27-Q27</f>
        <v>0</v>
      </c>
      <c r="S27" s="102">
        <f t="shared" ref="S27:S36" si="9">+R27/3</f>
        <v>0</v>
      </c>
    </row>
    <row r="28" spans="1:19" ht="15" customHeight="1" x14ac:dyDescent="0.75">
      <c r="A28" s="93">
        <v>666502</v>
      </c>
      <c r="B28" s="94" t="s">
        <v>6</v>
      </c>
      <c r="C28" s="127" t="s">
        <v>7</v>
      </c>
      <c r="D28" s="128">
        <v>214</v>
      </c>
      <c r="E28" s="129">
        <f t="shared" si="5"/>
        <v>30.571428571428573</v>
      </c>
      <c r="F28" s="96">
        <v>33</v>
      </c>
      <c r="G28" s="96">
        <v>0</v>
      </c>
      <c r="H28" s="96">
        <v>30</v>
      </c>
      <c r="I28" s="96">
        <v>40</v>
      </c>
      <c r="J28" s="130">
        <v>35</v>
      </c>
      <c r="K28" s="131">
        <f t="shared" si="6"/>
        <v>19</v>
      </c>
      <c r="L28" s="132">
        <v>0</v>
      </c>
      <c r="M28" s="96">
        <v>27</v>
      </c>
      <c r="N28" s="96">
        <v>41</v>
      </c>
      <c r="O28" s="96">
        <v>6</v>
      </c>
      <c r="P28" s="100">
        <v>2</v>
      </c>
      <c r="Q28" s="101">
        <f t="shared" si="7"/>
        <v>214</v>
      </c>
      <c r="R28" s="101">
        <f t="shared" si="8"/>
        <v>0</v>
      </c>
      <c r="S28" s="102">
        <f t="shared" si="9"/>
        <v>0</v>
      </c>
    </row>
    <row r="29" spans="1:19" ht="15" customHeight="1" x14ac:dyDescent="0.75">
      <c r="A29" s="93">
        <v>666505</v>
      </c>
      <c r="B29" s="94" t="s">
        <v>8</v>
      </c>
      <c r="C29" s="127" t="s">
        <v>9</v>
      </c>
      <c r="D29" s="128">
        <v>0</v>
      </c>
      <c r="E29" s="129">
        <f t="shared" si="5"/>
        <v>0</v>
      </c>
      <c r="F29" s="96">
        <v>0</v>
      </c>
      <c r="G29" s="96">
        <v>0</v>
      </c>
      <c r="H29" s="96">
        <v>0</v>
      </c>
      <c r="I29" s="96">
        <v>0</v>
      </c>
      <c r="J29" s="130">
        <v>0</v>
      </c>
      <c r="K29" s="131">
        <f t="shared" si="6"/>
        <v>0</v>
      </c>
      <c r="L29" s="132">
        <v>0</v>
      </c>
      <c r="M29" s="96">
        <v>0</v>
      </c>
      <c r="N29" s="96">
        <v>0</v>
      </c>
      <c r="O29" s="96">
        <v>0</v>
      </c>
      <c r="P29" s="100">
        <v>0</v>
      </c>
      <c r="Q29" s="101">
        <f t="shared" si="7"/>
        <v>0</v>
      </c>
      <c r="R29" s="101">
        <f t="shared" si="8"/>
        <v>0</v>
      </c>
      <c r="S29" s="102">
        <f t="shared" si="9"/>
        <v>0</v>
      </c>
    </row>
    <row r="30" spans="1:19" ht="15" customHeight="1" x14ac:dyDescent="0.75">
      <c r="A30" s="93">
        <v>666506</v>
      </c>
      <c r="B30" s="94" t="s">
        <v>10</v>
      </c>
      <c r="C30" s="127" t="s">
        <v>11</v>
      </c>
      <c r="D30" s="128">
        <v>144</v>
      </c>
      <c r="E30" s="129">
        <f t="shared" si="5"/>
        <v>20.571428571428573</v>
      </c>
      <c r="F30" s="96">
        <v>35</v>
      </c>
      <c r="G30" s="96">
        <v>29</v>
      </c>
      <c r="H30" s="96">
        <v>33</v>
      </c>
      <c r="I30" s="96">
        <v>20</v>
      </c>
      <c r="J30" s="130">
        <v>10</v>
      </c>
      <c r="K30" s="131">
        <f t="shared" si="6"/>
        <v>4.25</v>
      </c>
      <c r="L30" s="132">
        <v>12</v>
      </c>
      <c r="M30" s="96">
        <v>3</v>
      </c>
      <c r="N30" s="96">
        <v>2</v>
      </c>
      <c r="O30" s="96">
        <v>0</v>
      </c>
      <c r="P30" s="100">
        <v>0</v>
      </c>
      <c r="Q30" s="133">
        <f t="shared" si="7"/>
        <v>144</v>
      </c>
      <c r="R30" s="207">
        <f t="shared" si="8"/>
        <v>0</v>
      </c>
      <c r="S30" s="102">
        <f t="shared" si="9"/>
        <v>0</v>
      </c>
    </row>
    <row r="31" spans="1:19" ht="15" customHeight="1" x14ac:dyDescent="0.75">
      <c r="A31" s="93">
        <v>666507</v>
      </c>
      <c r="B31" s="94" t="s">
        <v>12</v>
      </c>
      <c r="C31" s="127" t="s">
        <v>13</v>
      </c>
      <c r="D31" s="128">
        <v>0</v>
      </c>
      <c r="E31" s="129">
        <f t="shared" si="5"/>
        <v>0</v>
      </c>
      <c r="F31" s="96">
        <v>0</v>
      </c>
      <c r="G31" s="96">
        <v>0</v>
      </c>
      <c r="H31" s="96">
        <v>0</v>
      </c>
      <c r="I31" s="96">
        <v>0</v>
      </c>
      <c r="J31" s="130">
        <v>0</v>
      </c>
      <c r="K31" s="131">
        <f t="shared" si="6"/>
        <v>0</v>
      </c>
      <c r="L31" s="132">
        <v>0</v>
      </c>
      <c r="M31" s="96">
        <v>0</v>
      </c>
      <c r="N31" s="96">
        <v>0</v>
      </c>
      <c r="O31" s="96">
        <v>0</v>
      </c>
      <c r="P31" s="100">
        <v>0</v>
      </c>
      <c r="Q31" s="101">
        <f t="shared" si="7"/>
        <v>0</v>
      </c>
      <c r="R31" s="101">
        <f t="shared" si="8"/>
        <v>0</v>
      </c>
      <c r="S31" s="102">
        <f t="shared" si="9"/>
        <v>0</v>
      </c>
    </row>
    <row r="32" spans="1:19" ht="15" customHeight="1" x14ac:dyDescent="0.75">
      <c r="A32" s="93">
        <v>666509</v>
      </c>
      <c r="B32" s="94" t="s">
        <v>14</v>
      </c>
      <c r="C32" s="127" t="s">
        <v>15</v>
      </c>
      <c r="D32" s="128">
        <v>0</v>
      </c>
      <c r="E32" s="129">
        <f t="shared" si="5"/>
        <v>0</v>
      </c>
      <c r="F32" s="96">
        <v>0</v>
      </c>
      <c r="G32" s="96">
        <v>0</v>
      </c>
      <c r="H32" s="96">
        <v>0</v>
      </c>
      <c r="I32" s="96">
        <v>0</v>
      </c>
      <c r="J32" s="130">
        <v>0</v>
      </c>
      <c r="K32" s="131">
        <f t="shared" si="6"/>
        <v>0</v>
      </c>
      <c r="L32" s="132">
        <v>0</v>
      </c>
      <c r="M32" s="96">
        <v>0</v>
      </c>
      <c r="N32" s="96">
        <v>0</v>
      </c>
      <c r="O32" s="96">
        <v>0</v>
      </c>
      <c r="P32" s="100">
        <v>0</v>
      </c>
      <c r="Q32" s="101">
        <f t="shared" si="7"/>
        <v>0</v>
      </c>
      <c r="R32" s="101">
        <f t="shared" si="8"/>
        <v>0</v>
      </c>
      <c r="S32" s="102">
        <f t="shared" si="9"/>
        <v>0</v>
      </c>
    </row>
    <row r="33" spans="1:24" ht="15" customHeight="1" x14ac:dyDescent="0.75">
      <c r="A33" s="93">
        <v>666510</v>
      </c>
      <c r="B33" s="94" t="s">
        <v>16</v>
      </c>
      <c r="C33" s="127" t="s">
        <v>169</v>
      </c>
      <c r="D33" s="128">
        <v>0</v>
      </c>
      <c r="E33" s="129">
        <f t="shared" si="5"/>
        <v>0</v>
      </c>
      <c r="F33" s="96">
        <v>0</v>
      </c>
      <c r="G33" s="96">
        <v>0</v>
      </c>
      <c r="H33" s="96">
        <v>0</v>
      </c>
      <c r="I33" s="96">
        <v>0</v>
      </c>
      <c r="J33" s="130">
        <v>0</v>
      </c>
      <c r="K33" s="131">
        <f t="shared" si="6"/>
        <v>0</v>
      </c>
      <c r="L33" s="132">
        <v>0</v>
      </c>
      <c r="M33" s="96">
        <v>0</v>
      </c>
      <c r="N33" s="96">
        <v>0</v>
      </c>
      <c r="O33" s="96">
        <v>0</v>
      </c>
      <c r="P33" s="100">
        <v>0</v>
      </c>
      <c r="Q33" s="101">
        <f t="shared" si="7"/>
        <v>0</v>
      </c>
      <c r="R33" s="101">
        <f t="shared" si="8"/>
        <v>0</v>
      </c>
      <c r="S33" s="102">
        <f t="shared" si="9"/>
        <v>0</v>
      </c>
    </row>
    <row r="34" spans="1:24" ht="15" customHeight="1" x14ac:dyDescent="0.75">
      <c r="A34" s="93">
        <v>666511</v>
      </c>
      <c r="B34" s="94" t="s">
        <v>18</v>
      </c>
      <c r="C34" s="127" t="s">
        <v>19</v>
      </c>
      <c r="D34" s="128">
        <v>0</v>
      </c>
      <c r="E34" s="129">
        <f t="shared" si="5"/>
        <v>0</v>
      </c>
      <c r="F34" s="96">
        <v>0</v>
      </c>
      <c r="G34" s="96">
        <v>0</v>
      </c>
      <c r="H34" s="96">
        <v>0</v>
      </c>
      <c r="I34" s="96">
        <v>0</v>
      </c>
      <c r="J34" s="130">
        <v>0</v>
      </c>
      <c r="K34" s="131">
        <f t="shared" si="6"/>
        <v>0</v>
      </c>
      <c r="L34" s="132">
        <v>0</v>
      </c>
      <c r="M34" s="96">
        <v>0</v>
      </c>
      <c r="N34" s="96">
        <v>0</v>
      </c>
      <c r="O34" s="96">
        <v>0</v>
      </c>
      <c r="P34" s="100">
        <v>0</v>
      </c>
      <c r="Q34" s="101">
        <f t="shared" si="7"/>
        <v>0</v>
      </c>
      <c r="R34" s="101">
        <f t="shared" si="8"/>
        <v>0</v>
      </c>
      <c r="S34" s="102">
        <f t="shared" si="9"/>
        <v>0</v>
      </c>
    </row>
    <row r="35" spans="1:24" ht="15" customHeight="1" x14ac:dyDescent="0.75">
      <c r="A35" s="93">
        <v>666513</v>
      </c>
      <c r="B35" s="94" t="s">
        <v>20</v>
      </c>
      <c r="C35" s="127" t="s">
        <v>21</v>
      </c>
      <c r="D35" s="128">
        <v>0</v>
      </c>
      <c r="E35" s="129">
        <f t="shared" si="5"/>
        <v>0</v>
      </c>
      <c r="F35" s="96">
        <v>0</v>
      </c>
      <c r="G35" s="96">
        <v>0</v>
      </c>
      <c r="H35" s="96">
        <v>0</v>
      </c>
      <c r="I35" s="96">
        <v>0</v>
      </c>
      <c r="J35" s="130">
        <v>0</v>
      </c>
      <c r="K35" s="131">
        <f t="shared" si="6"/>
        <v>0</v>
      </c>
      <c r="L35" s="132">
        <v>0</v>
      </c>
      <c r="M35" s="96">
        <v>0</v>
      </c>
      <c r="N35" s="96">
        <v>0</v>
      </c>
      <c r="O35" s="96">
        <v>0</v>
      </c>
      <c r="P35" s="100">
        <v>0</v>
      </c>
      <c r="Q35" s="101">
        <f t="shared" si="7"/>
        <v>0</v>
      </c>
      <c r="R35" s="101">
        <f t="shared" si="8"/>
        <v>0</v>
      </c>
      <c r="S35" s="102">
        <f t="shared" si="9"/>
        <v>0</v>
      </c>
    </row>
    <row r="36" spans="1:24" ht="15" customHeight="1" x14ac:dyDescent="0.75">
      <c r="A36" s="93">
        <v>666516</v>
      </c>
      <c r="B36" s="94" t="s">
        <v>22</v>
      </c>
      <c r="C36" s="127" t="s">
        <v>23</v>
      </c>
      <c r="D36" s="128">
        <v>0</v>
      </c>
      <c r="E36" s="129">
        <f t="shared" si="5"/>
        <v>0</v>
      </c>
      <c r="F36" s="96">
        <v>0</v>
      </c>
      <c r="G36" s="96">
        <v>0</v>
      </c>
      <c r="H36" s="96">
        <v>0</v>
      </c>
      <c r="I36" s="96">
        <v>0</v>
      </c>
      <c r="J36" s="130">
        <v>0</v>
      </c>
      <c r="K36" s="131">
        <f t="shared" si="6"/>
        <v>0</v>
      </c>
      <c r="L36" s="132">
        <v>0</v>
      </c>
      <c r="M36" s="96">
        <v>0</v>
      </c>
      <c r="N36" s="96">
        <v>0</v>
      </c>
      <c r="O36" s="96">
        <v>0</v>
      </c>
      <c r="P36" s="100">
        <v>0</v>
      </c>
      <c r="Q36" s="101">
        <f t="shared" si="7"/>
        <v>0</v>
      </c>
      <c r="R36" s="101">
        <f t="shared" si="8"/>
        <v>0</v>
      </c>
      <c r="S36" s="102">
        <f t="shared" si="9"/>
        <v>0</v>
      </c>
    </row>
    <row r="37" spans="1:24" ht="15" customHeight="1" x14ac:dyDescent="0.75">
      <c r="A37" s="93">
        <v>666517</v>
      </c>
      <c r="B37" s="94" t="s">
        <v>24</v>
      </c>
      <c r="C37" s="127" t="s">
        <v>25</v>
      </c>
      <c r="D37" s="128">
        <v>0</v>
      </c>
      <c r="E37" s="129">
        <f t="shared" si="5"/>
        <v>0</v>
      </c>
      <c r="F37" s="96">
        <v>0</v>
      </c>
      <c r="G37" s="96">
        <v>0</v>
      </c>
      <c r="H37" s="96">
        <v>0</v>
      </c>
      <c r="I37" s="96">
        <v>0</v>
      </c>
      <c r="J37" s="130">
        <v>0</v>
      </c>
      <c r="K37" s="131">
        <f t="shared" si="6"/>
        <v>0</v>
      </c>
      <c r="L37" s="132">
        <v>0</v>
      </c>
      <c r="M37" s="96">
        <v>0</v>
      </c>
      <c r="N37" s="96">
        <v>0</v>
      </c>
      <c r="O37" s="96">
        <v>0</v>
      </c>
      <c r="P37" s="100">
        <v>0</v>
      </c>
      <c r="Q37" s="101">
        <f t="shared" si="7"/>
        <v>0</v>
      </c>
      <c r="R37" s="101">
        <f t="shared" si="8"/>
        <v>0</v>
      </c>
      <c r="S37" s="102">
        <f>+R37/2</f>
        <v>0</v>
      </c>
    </row>
    <row r="38" spans="1:24" ht="15" customHeight="1" x14ac:dyDescent="0.75">
      <c r="A38" s="93">
        <v>666518</v>
      </c>
      <c r="B38" s="94" t="s">
        <v>26</v>
      </c>
      <c r="C38" s="127" t="s">
        <v>27</v>
      </c>
      <c r="D38" s="128">
        <v>0</v>
      </c>
      <c r="E38" s="129">
        <f t="shared" si="5"/>
        <v>0</v>
      </c>
      <c r="F38" s="96">
        <v>0</v>
      </c>
      <c r="G38" s="96">
        <v>0</v>
      </c>
      <c r="H38" s="96">
        <v>0</v>
      </c>
      <c r="I38" s="96">
        <v>0</v>
      </c>
      <c r="J38" s="130">
        <v>0</v>
      </c>
      <c r="K38" s="131">
        <f t="shared" si="6"/>
        <v>0</v>
      </c>
      <c r="L38" s="132">
        <v>0</v>
      </c>
      <c r="M38" s="96">
        <v>0</v>
      </c>
      <c r="N38" s="96">
        <v>0</v>
      </c>
      <c r="O38" s="96">
        <v>0</v>
      </c>
      <c r="P38" s="100">
        <v>0</v>
      </c>
      <c r="Q38" s="101">
        <f t="shared" si="7"/>
        <v>0</v>
      </c>
      <c r="R38" s="101">
        <f t="shared" si="8"/>
        <v>0</v>
      </c>
      <c r="S38" s="102">
        <f>+R38/3</f>
        <v>0</v>
      </c>
    </row>
    <row r="39" spans="1:24" ht="15" customHeight="1" x14ac:dyDescent="0.75">
      <c r="A39" s="93">
        <v>666519</v>
      </c>
      <c r="B39" s="94" t="s">
        <v>28</v>
      </c>
      <c r="C39" s="127" t="s">
        <v>29</v>
      </c>
      <c r="D39" s="128">
        <v>0</v>
      </c>
      <c r="E39" s="129">
        <f t="shared" si="5"/>
        <v>0</v>
      </c>
      <c r="F39" s="96">
        <v>0</v>
      </c>
      <c r="G39" s="96">
        <v>0</v>
      </c>
      <c r="H39" s="96">
        <v>0</v>
      </c>
      <c r="I39" s="96">
        <v>0</v>
      </c>
      <c r="J39" s="130">
        <v>0</v>
      </c>
      <c r="K39" s="131">
        <f t="shared" si="6"/>
        <v>0</v>
      </c>
      <c r="L39" s="132">
        <v>0</v>
      </c>
      <c r="M39" s="96">
        <v>0</v>
      </c>
      <c r="N39" s="96">
        <v>0</v>
      </c>
      <c r="O39" s="96">
        <v>0</v>
      </c>
      <c r="P39" s="100">
        <v>0</v>
      </c>
      <c r="Q39" s="101">
        <f t="shared" si="7"/>
        <v>0</v>
      </c>
      <c r="R39" s="101">
        <f t="shared" si="8"/>
        <v>0</v>
      </c>
      <c r="S39" s="102"/>
    </row>
    <row r="40" spans="1:24" ht="15" customHeight="1" x14ac:dyDescent="0.75">
      <c r="A40" s="93">
        <v>666521</v>
      </c>
      <c r="B40" s="94" t="s">
        <v>30</v>
      </c>
      <c r="C40" s="127" t="s">
        <v>31</v>
      </c>
      <c r="D40" s="128">
        <v>0</v>
      </c>
      <c r="E40" s="129">
        <f t="shared" si="5"/>
        <v>0</v>
      </c>
      <c r="F40" s="96">
        <v>0</v>
      </c>
      <c r="G40" s="96">
        <v>0</v>
      </c>
      <c r="H40" s="96">
        <v>0</v>
      </c>
      <c r="I40" s="96">
        <v>0</v>
      </c>
      <c r="J40" s="130">
        <v>0</v>
      </c>
      <c r="K40" s="131">
        <f t="shared" si="6"/>
        <v>0</v>
      </c>
      <c r="L40" s="132">
        <v>0</v>
      </c>
      <c r="M40" s="96">
        <v>0</v>
      </c>
      <c r="N40" s="96">
        <v>0</v>
      </c>
      <c r="O40" s="96">
        <v>0</v>
      </c>
      <c r="P40" s="100">
        <v>0</v>
      </c>
      <c r="Q40" s="101">
        <f t="shared" si="7"/>
        <v>0</v>
      </c>
      <c r="R40" s="101">
        <f t="shared" si="8"/>
        <v>0</v>
      </c>
      <c r="S40" s="102"/>
    </row>
    <row r="41" spans="1:24" ht="15" customHeight="1" x14ac:dyDescent="0.75">
      <c r="A41" s="93">
        <v>666522</v>
      </c>
      <c r="B41" s="94" t="s">
        <v>32</v>
      </c>
      <c r="C41" s="127" t="s">
        <v>33</v>
      </c>
      <c r="D41" s="128">
        <v>0</v>
      </c>
      <c r="E41" s="129">
        <f t="shared" si="5"/>
        <v>0</v>
      </c>
      <c r="F41" s="96">
        <v>0</v>
      </c>
      <c r="G41" s="96">
        <v>0</v>
      </c>
      <c r="H41" s="96">
        <v>0</v>
      </c>
      <c r="I41" s="96">
        <v>0</v>
      </c>
      <c r="J41" s="130">
        <v>0</v>
      </c>
      <c r="K41" s="131">
        <f t="shared" si="6"/>
        <v>0</v>
      </c>
      <c r="L41" s="132">
        <v>0</v>
      </c>
      <c r="M41" s="96">
        <v>0</v>
      </c>
      <c r="N41" s="96">
        <v>0</v>
      </c>
      <c r="O41" s="96">
        <v>0</v>
      </c>
      <c r="P41" s="100">
        <v>0</v>
      </c>
      <c r="Q41" s="101">
        <f t="shared" si="7"/>
        <v>0</v>
      </c>
      <c r="R41" s="101">
        <f t="shared" si="8"/>
        <v>0</v>
      </c>
      <c r="S41" s="102"/>
    </row>
    <row r="42" spans="1:24" ht="15" customHeight="1" x14ac:dyDescent="0.75">
      <c r="A42" s="93">
        <v>666523</v>
      </c>
      <c r="B42" s="94" t="s">
        <v>34</v>
      </c>
      <c r="C42" s="127" t="s">
        <v>35</v>
      </c>
      <c r="D42" s="128">
        <v>0</v>
      </c>
      <c r="E42" s="129">
        <f t="shared" si="5"/>
        <v>0</v>
      </c>
      <c r="F42" s="96">
        <v>0</v>
      </c>
      <c r="G42" s="96">
        <v>0</v>
      </c>
      <c r="H42" s="96">
        <v>0</v>
      </c>
      <c r="I42" s="96">
        <v>0</v>
      </c>
      <c r="J42" s="130">
        <v>0</v>
      </c>
      <c r="K42" s="131">
        <f t="shared" si="6"/>
        <v>0</v>
      </c>
      <c r="L42" s="132">
        <v>0</v>
      </c>
      <c r="M42" s="96">
        <v>0</v>
      </c>
      <c r="N42" s="96">
        <v>0</v>
      </c>
      <c r="O42" s="96">
        <v>0</v>
      </c>
      <c r="P42" s="100">
        <v>0</v>
      </c>
      <c r="Q42" s="133">
        <f t="shared" si="7"/>
        <v>0</v>
      </c>
      <c r="R42" s="101">
        <f t="shared" si="8"/>
        <v>0</v>
      </c>
      <c r="S42" s="102"/>
    </row>
    <row r="43" spans="1:24" ht="15" customHeight="1" x14ac:dyDescent="0.75">
      <c r="A43" s="93">
        <v>666530</v>
      </c>
      <c r="B43" s="94" t="s">
        <v>36</v>
      </c>
      <c r="C43" s="127" t="s">
        <v>37</v>
      </c>
      <c r="D43" s="128">
        <v>0</v>
      </c>
      <c r="E43" s="129">
        <f t="shared" si="5"/>
        <v>0</v>
      </c>
      <c r="F43" s="96">
        <v>0</v>
      </c>
      <c r="G43" s="96">
        <v>0</v>
      </c>
      <c r="H43" s="96">
        <v>0</v>
      </c>
      <c r="I43" s="96">
        <v>0</v>
      </c>
      <c r="J43" s="130">
        <v>0</v>
      </c>
      <c r="K43" s="131">
        <f t="shared" si="6"/>
        <v>0</v>
      </c>
      <c r="L43" s="132">
        <v>0</v>
      </c>
      <c r="M43" s="96">
        <v>0</v>
      </c>
      <c r="N43" s="96">
        <v>0</v>
      </c>
      <c r="O43" s="96">
        <v>0</v>
      </c>
      <c r="P43" s="100">
        <v>0</v>
      </c>
      <c r="Q43" s="101">
        <f t="shared" si="7"/>
        <v>0</v>
      </c>
      <c r="R43" s="101">
        <f t="shared" si="8"/>
        <v>0</v>
      </c>
      <c r="S43" s="102"/>
    </row>
    <row r="44" spans="1:24" ht="15" customHeight="1" x14ac:dyDescent="0.75">
      <c r="A44" s="93">
        <v>666531</v>
      </c>
      <c r="B44" s="94" t="s">
        <v>38</v>
      </c>
      <c r="C44" s="127" t="s">
        <v>39</v>
      </c>
      <c r="D44" s="128">
        <v>0</v>
      </c>
      <c r="E44" s="129">
        <f t="shared" si="5"/>
        <v>0</v>
      </c>
      <c r="F44" s="96">
        <v>0</v>
      </c>
      <c r="G44" s="96">
        <v>0</v>
      </c>
      <c r="H44" s="96">
        <v>0</v>
      </c>
      <c r="I44" s="96">
        <v>0</v>
      </c>
      <c r="J44" s="130">
        <v>0</v>
      </c>
      <c r="K44" s="131">
        <f t="shared" si="6"/>
        <v>0</v>
      </c>
      <c r="L44" s="132">
        <v>0</v>
      </c>
      <c r="M44" s="96">
        <v>0</v>
      </c>
      <c r="N44" s="96">
        <v>0</v>
      </c>
      <c r="O44" s="96">
        <v>0</v>
      </c>
      <c r="P44" s="100">
        <v>0</v>
      </c>
      <c r="Q44" s="101">
        <f t="shared" si="7"/>
        <v>0</v>
      </c>
      <c r="R44" s="101">
        <f t="shared" si="8"/>
        <v>0</v>
      </c>
      <c r="S44" s="102">
        <f>+R44/3</f>
        <v>0</v>
      </c>
    </row>
    <row r="45" spans="1:24" ht="15" customHeight="1" x14ac:dyDescent="0.75">
      <c r="A45" s="93">
        <v>666540</v>
      </c>
      <c r="B45" s="94" t="s">
        <v>40</v>
      </c>
      <c r="C45" s="127" t="s">
        <v>40</v>
      </c>
      <c r="D45" s="128">
        <v>40</v>
      </c>
      <c r="E45" s="129">
        <f t="shared" si="5"/>
        <v>5.7142857142857144</v>
      </c>
      <c r="F45" s="96">
        <v>0</v>
      </c>
      <c r="G45" s="96">
        <v>0</v>
      </c>
      <c r="H45" s="96">
        <v>0</v>
      </c>
      <c r="I45" s="96">
        <v>0</v>
      </c>
      <c r="J45" s="130">
        <v>0</v>
      </c>
      <c r="K45" s="131">
        <f t="shared" si="6"/>
        <v>10</v>
      </c>
      <c r="L45" s="132">
        <v>0</v>
      </c>
      <c r="M45" s="96">
        <v>0</v>
      </c>
      <c r="N45" s="96">
        <v>0</v>
      </c>
      <c r="O45" s="96">
        <v>0</v>
      </c>
      <c r="P45" s="100">
        <v>0</v>
      </c>
      <c r="Q45" s="169">
        <f t="shared" si="7"/>
        <v>0</v>
      </c>
      <c r="R45" s="169">
        <f t="shared" si="8"/>
        <v>40</v>
      </c>
      <c r="S45" s="102">
        <f>+R45/3</f>
        <v>13.333333333333334</v>
      </c>
    </row>
    <row r="46" spans="1:24" ht="15" customHeight="1" x14ac:dyDescent="0.75">
      <c r="A46" s="93">
        <v>666541</v>
      </c>
      <c r="B46" s="94" t="s">
        <v>41</v>
      </c>
      <c r="C46" s="127"/>
      <c r="D46" s="128">
        <v>500</v>
      </c>
      <c r="E46" s="129">
        <f t="shared" si="5"/>
        <v>71.428571428571431</v>
      </c>
      <c r="F46" s="96">
        <v>9</v>
      </c>
      <c r="G46" s="96">
        <v>51</v>
      </c>
      <c r="H46" s="96">
        <v>49</v>
      </c>
      <c r="I46" s="96">
        <v>24</v>
      </c>
      <c r="J46" s="130">
        <v>9</v>
      </c>
      <c r="K46" s="131">
        <f t="shared" si="6"/>
        <v>89.5</v>
      </c>
      <c r="L46" s="132">
        <v>16</v>
      </c>
      <c r="M46" s="96">
        <v>29</v>
      </c>
      <c r="N46" s="96">
        <v>20</v>
      </c>
      <c r="O46" s="96">
        <v>20</v>
      </c>
      <c r="P46" s="100">
        <v>20</v>
      </c>
      <c r="Q46" s="169">
        <f t="shared" si="7"/>
        <v>247</v>
      </c>
      <c r="R46" s="169">
        <f t="shared" si="8"/>
        <v>253</v>
      </c>
      <c r="S46" s="102"/>
    </row>
    <row r="47" spans="1:24" ht="15" customHeight="1" x14ac:dyDescent="0.75">
      <c r="A47" s="93">
        <v>666536</v>
      </c>
      <c r="B47" s="94" t="s">
        <v>42</v>
      </c>
      <c r="C47" s="134" t="s">
        <v>41</v>
      </c>
      <c r="D47" s="128">
        <v>0</v>
      </c>
      <c r="E47" s="129">
        <f t="shared" si="5"/>
        <v>0</v>
      </c>
      <c r="F47" s="96">
        <v>0</v>
      </c>
      <c r="G47" s="96">
        <v>0</v>
      </c>
      <c r="H47" s="96">
        <v>0</v>
      </c>
      <c r="I47" s="96">
        <v>0</v>
      </c>
      <c r="J47" s="130">
        <v>0</v>
      </c>
      <c r="K47" s="131">
        <f t="shared" si="6"/>
        <v>0</v>
      </c>
      <c r="L47" s="132">
        <v>0</v>
      </c>
      <c r="M47" s="96">
        <v>0</v>
      </c>
      <c r="N47" s="96">
        <v>0</v>
      </c>
      <c r="O47" s="96">
        <v>0</v>
      </c>
      <c r="P47" s="100">
        <v>0</v>
      </c>
      <c r="Q47" s="101">
        <f t="shared" si="7"/>
        <v>0</v>
      </c>
      <c r="R47" s="101">
        <f t="shared" si="8"/>
        <v>0</v>
      </c>
      <c r="S47" s="102">
        <f>+R47/3</f>
        <v>0</v>
      </c>
      <c r="X47" s="79" t="s">
        <v>152</v>
      </c>
    </row>
    <row r="48" spans="1:24" ht="15" customHeight="1" x14ac:dyDescent="0.75">
      <c r="A48" s="135"/>
      <c r="B48" s="136"/>
      <c r="C48" s="134"/>
      <c r="D48" s="137"/>
      <c r="E48" s="137"/>
      <c r="F48" s="138"/>
      <c r="G48" s="139"/>
      <c r="H48" s="139"/>
      <c r="I48" s="139"/>
      <c r="J48" s="139"/>
      <c r="K48" s="140"/>
      <c r="L48" s="139"/>
      <c r="M48" s="139"/>
      <c r="N48" s="139"/>
      <c r="O48" s="139"/>
      <c r="P48" s="141"/>
      <c r="Q48" s="101"/>
      <c r="R48" s="101"/>
      <c r="S48" s="102"/>
    </row>
    <row r="49" spans="1:18" ht="15" customHeight="1" x14ac:dyDescent="0.75">
      <c r="A49" s="2" t="str">
        <f>+A1</f>
        <v>Weeks of 06/01/26 &amp; 06/08/26</v>
      </c>
      <c r="B49" s="2"/>
      <c r="C49" s="2"/>
      <c r="D49" s="2"/>
      <c r="E49" s="2"/>
      <c r="F49" s="142"/>
      <c r="G49" s="81"/>
      <c r="H49" s="81"/>
      <c r="I49" s="81"/>
      <c r="J49" s="81"/>
      <c r="K49" s="81"/>
      <c r="L49" s="81"/>
      <c r="M49" s="81"/>
      <c r="N49" s="81"/>
      <c r="O49" s="81"/>
      <c r="P49" s="82"/>
      <c r="Q49" s="101"/>
    </row>
    <row r="50" spans="1:18" ht="36.75" customHeight="1" x14ac:dyDescent="0.75">
      <c r="A50" s="83"/>
      <c r="B50" s="143" t="s">
        <v>66</v>
      </c>
      <c r="C50" s="144"/>
      <c r="D50" s="86" t="s">
        <v>122</v>
      </c>
      <c r="E50" s="90" t="s">
        <v>173</v>
      </c>
      <c r="F50" s="125" t="s">
        <v>162</v>
      </c>
      <c r="G50" s="86" t="s">
        <v>163</v>
      </c>
      <c r="H50" s="87" t="s">
        <v>164</v>
      </c>
      <c r="I50" s="86" t="s">
        <v>165</v>
      </c>
      <c r="J50" s="86" t="s">
        <v>166</v>
      </c>
      <c r="K50" s="89" t="str">
        <f>+K26</f>
        <v>2nd wk daily goals</v>
      </c>
      <c r="L50" s="88" t="s">
        <v>162</v>
      </c>
      <c r="M50" s="86" t="s">
        <v>163</v>
      </c>
      <c r="N50" s="87" t="s">
        <v>164</v>
      </c>
      <c r="O50" s="86" t="s">
        <v>165</v>
      </c>
      <c r="P50" s="90" t="s">
        <v>166</v>
      </c>
      <c r="Q50" s="101"/>
      <c r="R50" s="92" t="s">
        <v>168</v>
      </c>
    </row>
    <row r="51" spans="1:18" ht="14.25" customHeight="1" x14ac:dyDescent="0.75">
      <c r="A51" s="93">
        <v>666501</v>
      </c>
      <c r="B51" s="94" t="s">
        <v>4</v>
      </c>
      <c r="C51" s="95" t="s">
        <v>5</v>
      </c>
      <c r="D51" s="96">
        <v>39</v>
      </c>
      <c r="E51" s="203">
        <f t="shared" ref="E51:E72" si="10">+D51/2</f>
        <v>19.5</v>
      </c>
      <c r="F51" s="132">
        <v>21</v>
      </c>
      <c r="G51" s="96">
        <v>18</v>
      </c>
      <c r="H51" s="96">
        <v>0</v>
      </c>
      <c r="I51" s="96">
        <v>0</v>
      </c>
      <c r="J51" s="96">
        <v>0</v>
      </c>
      <c r="K51" s="99">
        <f t="shared" ref="K51:K72" si="11">(+D51-SUM(F51:J51))/4</f>
        <v>0</v>
      </c>
      <c r="L51" s="96">
        <v>0</v>
      </c>
      <c r="M51" s="96">
        <v>0</v>
      </c>
      <c r="N51" s="96">
        <v>0</v>
      </c>
      <c r="O51" s="96">
        <v>0</v>
      </c>
      <c r="P51" s="100">
        <v>0</v>
      </c>
      <c r="Q51" s="133">
        <f t="shared" ref="Q51:Q72" si="12">SUM(F51:J51)+SUM(L51:P51)</f>
        <v>39</v>
      </c>
      <c r="R51" s="101">
        <f t="shared" ref="R51:R72" si="13">+D51-Q51</f>
        <v>0</v>
      </c>
    </row>
    <row r="52" spans="1:18" ht="14.25" customHeight="1" x14ac:dyDescent="0.75">
      <c r="A52" s="93">
        <v>666502</v>
      </c>
      <c r="B52" s="94" t="s">
        <v>6</v>
      </c>
      <c r="C52" s="95" t="s">
        <v>7</v>
      </c>
      <c r="D52" s="96">
        <v>100</v>
      </c>
      <c r="E52" s="203">
        <f t="shared" si="10"/>
        <v>50</v>
      </c>
      <c r="F52" s="132">
        <v>0</v>
      </c>
      <c r="G52" s="96">
        <v>0</v>
      </c>
      <c r="H52" s="96">
        <v>0</v>
      </c>
      <c r="I52" s="96">
        <v>31</v>
      </c>
      <c r="J52" s="96">
        <v>0</v>
      </c>
      <c r="K52" s="99">
        <f t="shared" si="11"/>
        <v>17.25</v>
      </c>
      <c r="L52" s="96">
        <v>29</v>
      </c>
      <c r="M52" s="96">
        <v>21</v>
      </c>
      <c r="N52" s="96">
        <v>0</v>
      </c>
      <c r="O52" s="96">
        <v>19</v>
      </c>
      <c r="P52" s="100">
        <v>0</v>
      </c>
      <c r="Q52" s="101">
        <f t="shared" si="12"/>
        <v>100</v>
      </c>
      <c r="R52" s="101">
        <f t="shared" si="13"/>
        <v>0</v>
      </c>
    </row>
    <row r="53" spans="1:18" ht="14.25" customHeight="1" x14ac:dyDescent="0.75">
      <c r="A53" s="93">
        <v>666505</v>
      </c>
      <c r="B53" s="94" t="s">
        <v>8</v>
      </c>
      <c r="C53" s="95" t="s">
        <v>9</v>
      </c>
      <c r="D53" s="96">
        <v>27</v>
      </c>
      <c r="E53" s="203">
        <f t="shared" si="10"/>
        <v>13.5</v>
      </c>
      <c r="F53" s="132">
        <v>14</v>
      </c>
      <c r="G53" s="96">
        <v>13</v>
      </c>
      <c r="H53" s="96">
        <v>0</v>
      </c>
      <c r="I53" s="96">
        <v>0</v>
      </c>
      <c r="J53" s="96">
        <v>0</v>
      </c>
      <c r="K53" s="99">
        <f t="shared" si="11"/>
        <v>0</v>
      </c>
      <c r="L53" s="96">
        <v>0</v>
      </c>
      <c r="M53" s="96">
        <v>0</v>
      </c>
      <c r="N53" s="96">
        <v>0</v>
      </c>
      <c r="O53" s="96">
        <v>0</v>
      </c>
      <c r="P53" s="100">
        <v>0</v>
      </c>
      <c r="Q53" s="133">
        <f t="shared" si="12"/>
        <v>27</v>
      </c>
      <c r="R53" s="101">
        <f t="shared" si="13"/>
        <v>0</v>
      </c>
    </row>
    <row r="54" spans="1:18" ht="14.25" customHeight="1" x14ac:dyDescent="0.75">
      <c r="A54" s="93">
        <v>666506</v>
      </c>
      <c r="B54" s="94" t="s">
        <v>10</v>
      </c>
      <c r="C54" s="95" t="s">
        <v>11</v>
      </c>
      <c r="D54" s="96">
        <v>0</v>
      </c>
      <c r="E54" s="203">
        <f t="shared" si="10"/>
        <v>0</v>
      </c>
      <c r="F54" s="132">
        <v>0</v>
      </c>
      <c r="G54" s="96">
        <v>0</v>
      </c>
      <c r="H54" s="96">
        <v>0</v>
      </c>
      <c r="I54" s="96">
        <v>0</v>
      </c>
      <c r="J54" s="96">
        <v>0</v>
      </c>
      <c r="K54" s="99">
        <f t="shared" si="11"/>
        <v>0</v>
      </c>
      <c r="L54" s="96">
        <v>0</v>
      </c>
      <c r="M54" s="96">
        <v>0</v>
      </c>
      <c r="N54" s="96">
        <v>0</v>
      </c>
      <c r="O54" s="96">
        <v>0</v>
      </c>
      <c r="P54" s="100">
        <v>0</v>
      </c>
      <c r="Q54" s="101">
        <f t="shared" si="12"/>
        <v>0</v>
      </c>
      <c r="R54" s="101">
        <f t="shared" si="13"/>
        <v>0</v>
      </c>
    </row>
    <row r="55" spans="1:18" ht="14.25" customHeight="1" x14ac:dyDescent="0.75">
      <c r="A55" s="93">
        <v>666507</v>
      </c>
      <c r="B55" s="94" t="s">
        <v>12</v>
      </c>
      <c r="C55" s="95" t="s">
        <v>13</v>
      </c>
      <c r="D55" s="96">
        <v>0</v>
      </c>
      <c r="E55" s="203">
        <f t="shared" si="10"/>
        <v>0</v>
      </c>
      <c r="F55" s="132">
        <v>0</v>
      </c>
      <c r="G55" s="96">
        <v>0</v>
      </c>
      <c r="H55" s="96">
        <v>0</v>
      </c>
      <c r="I55" s="96">
        <v>0</v>
      </c>
      <c r="J55" s="96">
        <v>0</v>
      </c>
      <c r="K55" s="99">
        <f t="shared" si="11"/>
        <v>0</v>
      </c>
      <c r="L55" s="96">
        <v>0</v>
      </c>
      <c r="M55" s="96">
        <v>0</v>
      </c>
      <c r="N55" s="96">
        <v>0</v>
      </c>
      <c r="O55" s="96">
        <v>0</v>
      </c>
      <c r="P55" s="100">
        <v>0</v>
      </c>
      <c r="Q55" s="101">
        <f t="shared" si="12"/>
        <v>0</v>
      </c>
      <c r="R55" s="101">
        <f t="shared" si="13"/>
        <v>0</v>
      </c>
    </row>
    <row r="56" spans="1:18" ht="14.25" customHeight="1" x14ac:dyDescent="0.75">
      <c r="A56" s="93">
        <v>666509</v>
      </c>
      <c r="B56" s="94" t="s">
        <v>14</v>
      </c>
      <c r="C56" s="95" t="s">
        <v>15</v>
      </c>
      <c r="D56" s="96">
        <v>0</v>
      </c>
      <c r="E56" s="203">
        <f t="shared" si="10"/>
        <v>0</v>
      </c>
      <c r="F56" s="132">
        <v>0</v>
      </c>
      <c r="G56" s="96">
        <v>0</v>
      </c>
      <c r="H56" s="96">
        <v>0</v>
      </c>
      <c r="I56" s="96">
        <v>0</v>
      </c>
      <c r="J56" s="96">
        <v>0</v>
      </c>
      <c r="K56" s="99">
        <f t="shared" si="11"/>
        <v>0</v>
      </c>
      <c r="L56" s="96">
        <v>0</v>
      </c>
      <c r="M56" s="96">
        <v>0</v>
      </c>
      <c r="N56" s="96">
        <v>0</v>
      </c>
      <c r="O56" s="96">
        <v>0</v>
      </c>
      <c r="P56" s="100">
        <v>0</v>
      </c>
      <c r="Q56" s="101">
        <f t="shared" si="12"/>
        <v>0</v>
      </c>
      <c r="R56" s="101">
        <f t="shared" si="13"/>
        <v>0</v>
      </c>
    </row>
    <row r="57" spans="1:18" ht="14.25" customHeight="1" x14ac:dyDescent="0.75">
      <c r="A57" s="93">
        <v>666510</v>
      </c>
      <c r="B57" s="94" t="s">
        <v>16</v>
      </c>
      <c r="C57" s="95" t="s">
        <v>169</v>
      </c>
      <c r="D57" s="96">
        <v>0</v>
      </c>
      <c r="E57" s="203">
        <f t="shared" si="10"/>
        <v>0</v>
      </c>
      <c r="F57" s="132">
        <v>0</v>
      </c>
      <c r="G57" s="96">
        <v>0</v>
      </c>
      <c r="H57" s="96">
        <v>0</v>
      </c>
      <c r="I57" s="96">
        <v>0</v>
      </c>
      <c r="J57" s="96">
        <v>0</v>
      </c>
      <c r="K57" s="99">
        <f t="shared" si="11"/>
        <v>0</v>
      </c>
      <c r="L57" s="96">
        <v>0</v>
      </c>
      <c r="M57" s="96">
        <v>0</v>
      </c>
      <c r="N57" s="96">
        <v>0</v>
      </c>
      <c r="O57" s="96">
        <v>0</v>
      </c>
      <c r="P57" s="100">
        <v>0</v>
      </c>
      <c r="Q57" s="101">
        <f t="shared" si="12"/>
        <v>0</v>
      </c>
      <c r="R57" s="101">
        <f t="shared" si="13"/>
        <v>0</v>
      </c>
    </row>
    <row r="58" spans="1:18" ht="14.25" customHeight="1" x14ac:dyDescent="0.75">
      <c r="A58" s="93">
        <v>666511</v>
      </c>
      <c r="B58" s="94" t="s">
        <v>18</v>
      </c>
      <c r="C58" s="95" t="s">
        <v>19</v>
      </c>
      <c r="D58" s="96">
        <v>0</v>
      </c>
      <c r="E58" s="203">
        <f t="shared" si="10"/>
        <v>0</v>
      </c>
      <c r="F58" s="132">
        <v>0</v>
      </c>
      <c r="G58" s="96">
        <v>0</v>
      </c>
      <c r="H58" s="96">
        <v>0</v>
      </c>
      <c r="I58" s="96">
        <v>0</v>
      </c>
      <c r="J58" s="96">
        <v>0</v>
      </c>
      <c r="K58" s="99">
        <f t="shared" si="11"/>
        <v>0</v>
      </c>
      <c r="L58" s="96">
        <v>0</v>
      </c>
      <c r="M58" s="96">
        <v>0</v>
      </c>
      <c r="N58" s="96">
        <v>0</v>
      </c>
      <c r="O58" s="96">
        <v>0</v>
      </c>
      <c r="P58" s="100">
        <v>0</v>
      </c>
      <c r="Q58" s="101">
        <f t="shared" si="12"/>
        <v>0</v>
      </c>
      <c r="R58" s="101">
        <f t="shared" si="13"/>
        <v>0</v>
      </c>
    </row>
    <row r="59" spans="1:18" ht="14.25" customHeight="1" x14ac:dyDescent="0.75">
      <c r="A59" s="93">
        <v>666513</v>
      </c>
      <c r="B59" s="94" t="s">
        <v>20</v>
      </c>
      <c r="C59" s="95" t="s">
        <v>21</v>
      </c>
      <c r="D59" s="96">
        <v>34</v>
      </c>
      <c r="E59" s="203">
        <f t="shared" si="10"/>
        <v>17</v>
      </c>
      <c r="F59" s="132">
        <v>17</v>
      </c>
      <c r="G59" s="96">
        <v>17</v>
      </c>
      <c r="H59" s="96">
        <v>0</v>
      </c>
      <c r="I59" s="96">
        <v>0</v>
      </c>
      <c r="J59" s="96">
        <v>0</v>
      </c>
      <c r="K59" s="99">
        <f t="shared" si="11"/>
        <v>0</v>
      </c>
      <c r="L59" s="96">
        <v>0</v>
      </c>
      <c r="M59" s="96">
        <v>0</v>
      </c>
      <c r="N59" s="96">
        <v>0</v>
      </c>
      <c r="O59" s="96">
        <v>0</v>
      </c>
      <c r="P59" s="100">
        <v>0</v>
      </c>
      <c r="Q59" s="133">
        <f t="shared" si="12"/>
        <v>34</v>
      </c>
      <c r="R59" s="101">
        <f t="shared" si="13"/>
        <v>0</v>
      </c>
    </row>
    <row r="60" spans="1:18" ht="14.25" customHeight="1" x14ac:dyDescent="0.75">
      <c r="A60" s="93">
        <v>666516</v>
      </c>
      <c r="B60" s="94" t="s">
        <v>22</v>
      </c>
      <c r="C60" s="95" t="s">
        <v>23</v>
      </c>
      <c r="D60" s="96">
        <v>16</v>
      </c>
      <c r="E60" s="203">
        <f t="shared" si="10"/>
        <v>8</v>
      </c>
      <c r="F60" s="132">
        <v>8</v>
      </c>
      <c r="G60" s="96">
        <v>8</v>
      </c>
      <c r="H60" s="96">
        <v>0</v>
      </c>
      <c r="I60" s="96">
        <v>0</v>
      </c>
      <c r="J60" s="96">
        <v>0</v>
      </c>
      <c r="K60" s="99">
        <f t="shared" si="11"/>
        <v>0</v>
      </c>
      <c r="L60" s="96">
        <v>0</v>
      </c>
      <c r="M60" s="96">
        <v>0</v>
      </c>
      <c r="N60" s="96">
        <v>0</v>
      </c>
      <c r="O60" s="96">
        <v>0</v>
      </c>
      <c r="P60" s="100">
        <v>0</v>
      </c>
      <c r="Q60" s="133">
        <f t="shared" si="12"/>
        <v>16</v>
      </c>
      <c r="R60" s="101">
        <f t="shared" si="13"/>
        <v>0</v>
      </c>
    </row>
    <row r="61" spans="1:18" ht="14.25" customHeight="1" x14ac:dyDescent="0.75">
      <c r="A61" s="93">
        <v>666517</v>
      </c>
      <c r="B61" s="94" t="s">
        <v>24</v>
      </c>
      <c r="C61" s="95" t="s">
        <v>25</v>
      </c>
      <c r="D61" s="96">
        <v>10</v>
      </c>
      <c r="E61" s="203">
        <f t="shared" si="10"/>
        <v>5</v>
      </c>
      <c r="F61" s="132">
        <v>5</v>
      </c>
      <c r="G61" s="96">
        <v>5</v>
      </c>
      <c r="H61" s="96">
        <v>0</v>
      </c>
      <c r="I61" s="96">
        <v>0</v>
      </c>
      <c r="J61" s="96">
        <v>0</v>
      </c>
      <c r="K61" s="99">
        <f t="shared" si="11"/>
        <v>0</v>
      </c>
      <c r="L61" s="96">
        <v>0</v>
      </c>
      <c r="M61" s="96">
        <v>0</v>
      </c>
      <c r="N61" s="96">
        <v>0</v>
      </c>
      <c r="O61" s="96">
        <v>0</v>
      </c>
      <c r="P61" s="100">
        <v>0</v>
      </c>
      <c r="Q61" s="133">
        <f t="shared" si="12"/>
        <v>10</v>
      </c>
      <c r="R61" s="101">
        <f t="shared" si="13"/>
        <v>0</v>
      </c>
    </row>
    <row r="62" spans="1:18" ht="14.25" customHeight="1" x14ac:dyDescent="0.75">
      <c r="A62" s="93">
        <v>666518</v>
      </c>
      <c r="B62" s="94" t="s">
        <v>26</v>
      </c>
      <c r="C62" s="95" t="s">
        <v>27</v>
      </c>
      <c r="D62" s="96">
        <v>0</v>
      </c>
      <c r="E62" s="203">
        <f t="shared" si="10"/>
        <v>0</v>
      </c>
      <c r="F62" s="132">
        <v>0</v>
      </c>
      <c r="G62" s="96">
        <v>0</v>
      </c>
      <c r="H62" s="96">
        <v>0</v>
      </c>
      <c r="I62" s="96">
        <v>0</v>
      </c>
      <c r="J62" s="96">
        <v>0</v>
      </c>
      <c r="K62" s="99">
        <f t="shared" si="11"/>
        <v>0</v>
      </c>
      <c r="L62" s="96">
        <v>0</v>
      </c>
      <c r="M62" s="96">
        <v>0</v>
      </c>
      <c r="N62" s="96">
        <v>0</v>
      </c>
      <c r="O62" s="96">
        <v>0</v>
      </c>
      <c r="P62" s="100">
        <v>0</v>
      </c>
      <c r="Q62" s="101">
        <f t="shared" si="12"/>
        <v>0</v>
      </c>
      <c r="R62" s="101">
        <f t="shared" si="13"/>
        <v>0</v>
      </c>
    </row>
    <row r="63" spans="1:18" ht="14.25" customHeight="1" x14ac:dyDescent="0.75">
      <c r="A63" s="93">
        <v>666519</v>
      </c>
      <c r="B63" s="94" t="s">
        <v>28</v>
      </c>
      <c r="C63" s="95" t="s">
        <v>29</v>
      </c>
      <c r="D63" s="96">
        <v>22</v>
      </c>
      <c r="E63" s="203">
        <f t="shared" si="10"/>
        <v>11</v>
      </c>
      <c r="F63" s="132">
        <v>11</v>
      </c>
      <c r="G63" s="96">
        <v>11</v>
      </c>
      <c r="H63" s="96">
        <v>0</v>
      </c>
      <c r="I63" s="96">
        <v>0</v>
      </c>
      <c r="J63" s="96">
        <v>0</v>
      </c>
      <c r="K63" s="99">
        <f t="shared" si="11"/>
        <v>0</v>
      </c>
      <c r="L63" s="96">
        <v>0</v>
      </c>
      <c r="M63" s="96">
        <v>0</v>
      </c>
      <c r="N63" s="96">
        <v>0</v>
      </c>
      <c r="O63" s="96">
        <v>0</v>
      </c>
      <c r="P63" s="100">
        <v>0</v>
      </c>
      <c r="Q63" s="133">
        <f t="shared" si="12"/>
        <v>22</v>
      </c>
      <c r="R63" s="101">
        <f t="shared" si="13"/>
        <v>0</v>
      </c>
    </row>
    <row r="64" spans="1:18" ht="14.25" customHeight="1" x14ac:dyDescent="0.75">
      <c r="A64" s="93">
        <v>666521</v>
      </c>
      <c r="B64" s="94" t="s">
        <v>30</v>
      </c>
      <c r="C64" s="95" t="s">
        <v>31</v>
      </c>
      <c r="D64" s="96">
        <v>0</v>
      </c>
      <c r="E64" s="203">
        <f t="shared" si="10"/>
        <v>0</v>
      </c>
      <c r="F64" s="132">
        <v>0</v>
      </c>
      <c r="G64" s="96">
        <v>0</v>
      </c>
      <c r="H64" s="96">
        <v>0</v>
      </c>
      <c r="I64" s="96">
        <v>0</v>
      </c>
      <c r="J64" s="96">
        <v>0</v>
      </c>
      <c r="K64" s="99">
        <f t="shared" si="11"/>
        <v>0</v>
      </c>
      <c r="L64" s="96">
        <v>0</v>
      </c>
      <c r="M64" s="96">
        <v>0</v>
      </c>
      <c r="N64" s="96">
        <v>0</v>
      </c>
      <c r="O64" s="96">
        <v>0</v>
      </c>
      <c r="P64" s="100">
        <v>0</v>
      </c>
      <c r="Q64" s="101">
        <f t="shared" si="12"/>
        <v>0</v>
      </c>
      <c r="R64" s="101">
        <f t="shared" si="13"/>
        <v>0</v>
      </c>
    </row>
    <row r="65" spans="1:18" ht="14.25" customHeight="1" x14ac:dyDescent="0.75">
      <c r="A65" s="93">
        <v>666522</v>
      </c>
      <c r="B65" s="94" t="s">
        <v>32</v>
      </c>
      <c r="C65" s="95" t="s">
        <v>33</v>
      </c>
      <c r="D65" s="96">
        <v>125</v>
      </c>
      <c r="E65" s="203">
        <f t="shared" si="10"/>
        <v>62.5</v>
      </c>
      <c r="F65" s="132">
        <v>35</v>
      </c>
      <c r="G65" s="96">
        <v>35</v>
      </c>
      <c r="H65" s="96">
        <v>0</v>
      </c>
      <c r="I65" s="96">
        <v>55</v>
      </c>
      <c r="J65" s="96">
        <v>0</v>
      </c>
      <c r="K65" s="99">
        <f t="shared" si="11"/>
        <v>0</v>
      </c>
      <c r="L65" s="96">
        <v>0</v>
      </c>
      <c r="M65" s="96">
        <v>0</v>
      </c>
      <c r="N65" s="96">
        <v>0</v>
      </c>
      <c r="O65" s="96">
        <v>0</v>
      </c>
      <c r="P65" s="100">
        <v>0</v>
      </c>
      <c r="Q65" s="133">
        <f t="shared" si="12"/>
        <v>125</v>
      </c>
      <c r="R65" s="101">
        <f t="shared" si="13"/>
        <v>0</v>
      </c>
    </row>
    <row r="66" spans="1:18" ht="14.25" customHeight="1" x14ac:dyDescent="0.75">
      <c r="A66" s="93">
        <v>666523</v>
      </c>
      <c r="B66" s="94" t="s">
        <v>34</v>
      </c>
      <c r="C66" s="95" t="s">
        <v>35</v>
      </c>
      <c r="D66" s="96">
        <v>28</v>
      </c>
      <c r="E66" s="203">
        <f t="shared" si="10"/>
        <v>14</v>
      </c>
      <c r="F66" s="132">
        <v>14</v>
      </c>
      <c r="G66" s="96">
        <v>14</v>
      </c>
      <c r="H66" s="96">
        <v>0</v>
      </c>
      <c r="I66" s="96">
        <v>0</v>
      </c>
      <c r="J66" s="96">
        <v>0</v>
      </c>
      <c r="K66" s="99">
        <f t="shared" si="11"/>
        <v>0</v>
      </c>
      <c r="L66" s="96">
        <v>0</v>
      </c>
      <c r="M66" s="96">
        <v>0</v>
      </c>
      <c r="N66" s="96">
        <v>0</v>
      </c>
      <c r="O66" s="96">
        <v>0</v>
      </c>
      <c r="P66" s="100">
        <v>0</v>
      </c>
      <c r="Q66" s="133">
        <f t="shared" si="12"/>
        <v>28</v>
      </c>
      <c r="R66" s="101">
        <f t="shared" si="13"/>
        <v>0</v>
      </c>
    </row>
    <row r="67" spans="1:18" ht="14.25" customHeight="1" x14ac:dyDescent="0.75">
      <c r="A67" s="93">
        <v>666530</v>
      </c>
      <c r="B67" s="94" t="s">
        <v>36</v>
      </c>
      <c r="C67" s="95" t="s">
        <v>37</v>
      </c>
      <c r="D67" s="96">
        <v>18</v>
      </c>
      <c r="E67" s="203">
        <f t="shared" si="10"/>
        <v>9</v>
      </c>
      <c r="F67" s="132">
        <v>9</v>
      </c>
      <c r="G67" s="96">
        <v>9</v>
      </c>
      <c r="H67" s="96">
        <v>0</v>
      </c>
      <c r="I67" s="96">
        <v>0</v>
      </c>
      <c r="J67" s="96">
        <v>0</v>
      </c>
      <c r="K67" s="99">
        <f t="shared" si="11"/>
        <v>0</v>
      </c>
      <c r="L67" s="96">
        <v>0</v>
      </c>
      <c r="M67" s="96">
        <v>0</v>
      </c>
      <c r="N67" s="96">
        <v>0</v>
      </c>
      <c r="O67" s="96">
        <v>0</v>
      </c>
      <c r="P67" s="100">
        <v>0</v>
      </c>
      <c r="Q67" s="133">
        <f t="shared" si="12"/>
        <v>18</v>
      </c>
      <c r="R67" s="101">
        <f t="shared" si="13"/>
        <v>0</v>
      </c>
    </row>
    <row r="68" spans="1:18" ht="14.25" customHeight="1" x14ac:dyDescent="0.75">
      <c r="A68" s="93">
        <v>666531</v>
      </c>
      <c r="B68" s="94" t="s">
        <v>38</v>
      </c>
      <c r="C68" s="95" t="s">
        <v>39</v>
      </c>
      <c r="D68" s="96">
        <v>8</v>
      </c>
      <c r="E68" s="203">
        <f t="shared" si="10"/>
        <v>4</v>
      </c>
      <c r="F68" s="132">
        <v>4</v>
      </c>
      <c r="G68" s="96">
        <v>4</v>
      </c>
      <c r="H68" s="96">
        <v>0</v>
      </c>
      <c r="I68" s="96">
        <v>0</v>
      </c>
      <c r="J68" s="96">
        <v>0</v>
      </c>
      <c r="K68" s="99">
        <f t="shared" si="11"/>
        <v>0</v>
      </c>
      <c r="L68" s="96">
        <v>0</v>
      </c>
      <c r="M68" s="96">
        <v>0</v>
      </c>
      <c r="N68" s="96">
        <v>0</v>
      </c>
      <c r="O68" s="96">
        <v>0</v>
      </c>
      <c r="P68" s="100">
        <v>0</v>
      </c>
      <c r="Q68" s="133">
        <f t="shared" si="12"/>
        <v>8</v>
      </c>
      <c r="R68" s="101">
        <f t="shared" si="13"/>
        <v>0</v>
      </c>
    </row>
    <row r="69" spans="1:18" ht="14.25" customHeight="1" x14ac:dyDescent="0.75">
      <c r="A69" s="93">
        <v>666540</v>
      </c>
      <c r="B69" s="94" t="s">
        <v>40</v>
      </c>
      <c r="C69" s="95" t="s">
        <v>40</v>
      </c>
      <c r="D69" s="96">
        <v>0</v>
      </c>
      <c r="E69" s="203">
        <f t="shared" si="10"/>
        <v>0</v>
      </c>
      <c r="F69" s="132">
        <v>0</v>
      </c>
      <c r="G69" s="96">
        <v>0</v>
      </c>
      <c r="H69" s="96">
        <v>0</v>
      </c>
      <c r="I69" s="96">
        <v>0</v>
      </c>
      <c r="J69" s="96">
        <v>0</v>
      </c>
      <c r="K69" s="99">
        <f t="shared" si="11"/>
        <v>0</v>
      </c>
      <c r="L69" s="96">
        <v>0</v>
      </c>
      <c r="M69" s="96">
        <v>0</v>
      </c>
      <c r="N69" s="96">
        <v>0</v>
      </c>
      <c r="O69" s="96">
        <v>0</v>
      </c>
      <c r="P69" s="100">
        <v>0</v>
      </c>
      <c r="Q69" s="101">
        <f t="shared" si="12"/>
        <v>0</v>
      </c>
      <c r="R69" s="101">
        <f t="shared" si="13"/>
        <v>0</v>
      </c>
    </row>
    <row r="70" spans="1:18" ht="15" customHeight="1" x14ac:dyDescent="0.75">
      <c r="A70" s="93">
        <v>666541</v>
      </c>
      <c r="B70" s="109" t="s">
        <v>41</v>
      </c>
      <c r="C70" s="95" t="s">
        <v>41</v>
      </c>
      <c r="D70" s="96">
        <v>0</v>
      </c>
      <c r="E70" s="203">
        <f t="shared" si="10"/>
        <v>0</v>
      </c>
      <c r="F70" s="132">
        <v>0</v>
      </c>
      <c r="G70" s="96">
        <v>0</v>
      </c>
      <c r="H70" s="96">
        <v>0</v>
      </c>
      <c r="I70" s="96">
        <v>0</v>
      </c>
      <c r="J70" s="96">
        <v>0</v>
      </c>
      <c r="K70" s="99">
        <f t="shared" si="11"/>
        <v>0</v>
      </c>
      <c r="L70" s="96">
        <v>0</v>
      </c>
      <c r="M70" s="96">
        <v>0</v>
      </c>
      <c r="N70" s="96">
        <v>0</v>
      </c>
      <c r="O70" s="96">
        <v>0</v>
      </c>
      <c r="P70" s="100">
        <v>0</v>
      </c>
      <c r="Q70" s="101">
        <f t="shared" si="12"/>
        <v>0</v>
      </c>
      <c r="R70" s="101">
        <f t="shared" si="13"/>
        <v>0</v>
      </c>
    </row>
    <row r="71" spans="1:18" ht="15" customHeight="1" x14ac:dyDescent="0.75">
      <c r="A71" s="108">
        <v>666536</v>
      </c>
      <c r="B71" s="109" t="s">
        <v>42</v>
      </c>
      <c r="C71" s="103" t="s">
        <v>41</v>
      </c>
      <c r="D71" s="104">
        <v>0</v>
      </c>
      <c r="E71" s="204">
        <f t="shared" si="10"/>
        <v>0</v>
      </c>
      <c r="F71" s="205">
        <v>0</v>
      </c>
      <c r="G71" s="104">
        <v>0</v>
      </c>
      <c r="H71" s="104">
        <v>0</v>
      </c>
      <c r="I71" s="104">
        <v>0</v>
      </c>
      <c r="J71" s="104">
        <v>0</v>
      </c>
      <c r="K71" s="106">
        <f t="shared" si="11"/>
        <v>0</v>
      </c>
      <c r="L71" s="96">
        <v>0</v>
      </c>
      <c r="M71" s="96">
        <v>0</v>
      </c>
      <c r="N71" s="96">
        <v>0</v>
      </c>
      <c r="O71" s="96">
        <v>0</v>
      </c>
      <c r="P71" s="100">
        <v>0</v>
      </c>
      <c r="Q71" s="101">
        <f t="shared" si="12"/>
        <v>0</v>
      </c>
      <c r="R71" s="101">
        <f t="shared" si="13"/>
        <v>0</v>
      </c>
    </row>
    <row r="72" spans="1:18" ht="15" customHeight="1" x14ac:dyDescent="0.75">
      <c r="A72" s="135" t="s">
        <v>193</v>
      </c>
      <c r="B72" s="134" t="s">
        <v>197</v>
      </c>
      <c r="C72" s="206"/>
      <c r="D72" s="104">
        <v>0</v>
      </c>
      <c r="E72" s="204">
        <f t="shared" si="10"/>
        <v>0</v>
      </c>
      <c r="F72" s="205">
        <v>0</v>
      </c>
      <c r="G72" s="104">
        <v>0</v>
      </c>
      <c r="H72" s="104">
        <v>0</v>
      </c>
      <c r="I72" s="104">
        <v>0</v>
      </c>
      <c r="J72" s="104">
        <v>0</v>
      </c>
      <c r="K72" s="106">
        <f t="shared" si="11"/>
        <v>0</v>
      </c>
      <c r="L72" s="96">
        <v>0</v>
      </c>
      <c r="M72" s="96">
        <v>0</v>
      </c>
      <c r="N72" s="96">
        <v>0</v>
      </c>
      <c r="O72" s="96">
        <v>0</v>
      </c>
      <c r="P72" s="100">
        <v>0</v>
      </c>
      <c r="Q72" s="101">
        <f t="shared" si="12"/>
        <v>0</v>
      </c>
      <c r="R72" s="101">
        <f t="shared" si="13"/>
        <v>0</v>
      </c>
    </row>
  </sheetData>
  <mergeCells count="3">
    <mergeCell ref="A1:E1"/>
    <mergeCell ref="A25:E25"/>
    <mergeCell ref="A49:E49"/>
  </mergeCells>
  <conditionalFormatting sqref="Q3">
    <cfRule type="cellIs" dxfId="59" priority="5" operator="equal">
      <formula>$D$3</formula>
    </cfRule>
  </conditionalFormatting>
  <conditionalFormatting sqref="Q5:Q24">
    <cfRule type="cellIs" dxfId="58" priority="4" operator="equal">
      <formula>$D$3</formula>
    </cfRule>
  </conditionalFormatting>
  <conditionalFormatting sqref="Q8">
    <cfRule type="cellIs" dxfId="57" priority="2" operator="lessThan">
      <formula>$D$8</formula>
    </cfRule>
    <cfRule type="cellIs" dxfId="56" priority="3" operator="equal">
      <formula>$D$8</formula>
    </cfRule>
  </conditionalFormatting>
  <pageMargins left="0.7" right="0.7" top="0.75" bottom="0.75" header="0.511811023622047" footer="0.511811023622047"/>
  <pageSetup scale="150" orientation="portrait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S27"/>
  <sheetViews>
    <sheetView zoomScaleNormal="100" workbookViewId="0">
      <selection activeCell="F5" sqref="F5"/>
    </sheetView>
  </sheetViews>
  <sheetFormatPr defaultColWidth="8.54296875" defaultRowHeight="14.75" x14ac:dyDescent="0.75"/>
  <cols>
    <col min="2" max="2" width="34.453125" customWidth="1"/>
    <col min="3" max="3" width="15.2265625" customWidth="1"/>
    <col min="4" max="4" width="10.86328125" hidden="1" customWidth="1"/>
  </cols>
  <sheetData>
    <row r="1" spans="1:12" ht="14.25" customHeight="1" x14ac:dyDescent="0.75">
      <c r="C1" s="145" t="s">
        <v>174</v>
      </c>
    </row>
    <row r="2" spans="1:12" ht="28.5" customHeight="1" x14ac:dyDescent="0.75">
      <c r="A2" s="51"/>
      <c r="B2" s="51" t="s">
        <v>178</v>
      </c>
      <c r="C2" s="51"/>
      <c r="D2" s="51" t="s">
        <v>144</v>
      </c>
      <c r="E2" s="53" t="s">
        <v>116</v>
      </c>
      <c r="F2" s="53" t="s">
        <v>145</v>
      </c>
      <c r="G2" s="56" t="s">
        <v>119</v>
      </c>
      <c r="H2" s="53" t="s">
        <v>146</v>
      </c>
      <c r="I2" s="51" t="s">
        <v>122</v>
      </c>
      <c r="J2" s="56" t="s">
        <v>147</v>
      </c>
      <c r="K2" s="51" t="s">
        <v>148</v>
      </c>
      <c r="L2" s="53" t="s">
        <v>149</v>
      </c>
    </row>
    <row r="3" spans="1:12" ht="14.25" customHeight="1" x14ac:dyDescent="0.75">
      <c r="A3" s="50"/>
      <c r="B3" s="50"/>
      <c r="C3" s="57" t="s">
        <v>150</v>
      </c>
      <c r="D3" s="57"/>
      <c r="E3" s="57"/>
      <c r="F3" s="59"/>
      <c r="G3" s="59"/>
      <c r="H3" s="59"/>
      <c r="I3" s="59"/>
      <c r="J3" s="59"/>
      <c r="K3" s="59"/>
      <c r="L3" s="59"/>
    </row>
    <row r="4" spans="1:12" ht="14.25" customHeight="1" x14ac:dyDescent="0.75">
      <c r="A4" s="62" t="s">
        <v>129</v>
      </c>
      <c r="B4" s="62" t="s">
        <v>2</v>
      </c>
      <c r="C4" s="62" t="s">
        <v>3</v>
      </c>
      <c r="D4" s="62"/>
      <c r="E4" s="62"/>
      <c r="F4" s="62"/>
      <c r="G4" s="62"/>
      <c r="H4" s="62"/>
      <c r="I4" s="62"/>
      <c r="J4" s="62"/>
      <c r="K4" s="62"/>
      <c r="L4" s="62"/>
    </row>
    <row r="5" spans="1:12" ht="14.25" customHeight="1" x14ac:dyDescent="0.75">
      <c r="A5" s="62"/>
      <c r="B5" s="62"/>
      <c r="C5" s="62" t="s">
        <v>151</v>
      </c>
      <c r="D5" s="62"/>
      <c r="E5" s="62"/>
      <c r="F5" s="50">
        <v>159</v>
      </c>
      <c r="G5" s="50"/>
      <c r="H5" s="50">
        <v>951</v>
      </c>
      <c r="I5" s="50"/>
      <c r="J5" s="50">
        <v>211</v>
      </c>
      <c r="K5" s="62" t="s">
        <v>152</v>
      </c>
      <c r="L5" s="62">
        <f>SUM(F5:J5)</f>
        <v>1321</v>
      </c>
    </row>
    <row r="6" spans="1:12" ht="14.25" customHeight="1" x14ac:dyDescent="0.75">
      <c r="A6" s="50">
        <v>666501</v>
      </c>
      <c r="B6" s="73" t="s">
        <v>4</v>
      </c>
      <c r="C6" s="73" t="s">
        <v>5</v>
      </c>
      <c r="D6" s="50">
        <f t="shared" ref="D6:D25" si="0">+K6</f>
        <v>474</v>
      </c>
      <c r="E6" s="50">
        <v>42</v>
      </c>
      <c r="F6" s="70">
        <v>42</v>
      </c>
      <c r="G6" s="50">
        <v>393</v>
      </c>
      <c r="H6" s="50">
        <v>393</v>
      </c>
      <c r="I6" s="50">
        <v>39</v>
      </c>
      <c r="J6" s="50">
        <v>39</v>
      </c>
      <c r="K6" s="50">
        <f t="shared" ref="K6:K27" si="1">+I6+G6+E6</f>
        <v>474</v>
      </c>
      <c r="L6" s="50">
        <f t="shared" ref="L6:L27" si="2">+F6+H6+J6</f>
        <v>474</v>
      </c>
    </row>
    <row r="7" spans="1:12" ht="14.25" customHeight="1" x14ac:dyDescent="0.75">
      <c r="A7" s="50">
        <v>666502</v>
      </c>
      <c r="B7" s="73" t="s">
        <v>6</v>
      </c>
      <c r="C7" s="73" t="s">
        <v>7</v>
      </c>
      <c r="D7" s="50">
        <f t="shared" si="0"/>
        <v>312</v>
      </c>
      <c r="E7" s="50">
        <v>0</v>
      </c>
      <c r="F7" s="50">
        <v>0</v>
      </c>
      <c r="G7" s="50">
        <v>212</v>
      </c>
      <c r="H7" s="50">
        <v>212</v>
      </c>
      <c r="I7" s="50">
        <v>100</v>
      </c>
      <c r="J7" s="50">
        <v>100</v>
      </c>
      <c r="K7" s="50">
        <f t="shared" si="1"/>
        <v>312</v>
      </c>
      <c r="L7" s="50">
        <f t="shared" si="2"/>
        <v>312</v>
      </c>
    </row>
    <row r="8" spans="1:12" ht="14.25" customHeight="1" x14ac:dyDescent="0.75">
      <c r="A8" s="50">
        <v>666505</v>
      </c>
      <c r="B8" s="73" t="s">
        <v>8</v>
      </c>
      <c r="C8" s="73" t="s">
        <v>9</v>
      </c>
      <c r="D8" s="50">
        <f t="shared" si="0"/>
        <v>40</v>
      </c>
      <c r="E8" s="50">
        <v>13</v>
      </c>
      <c r="F8" s="70">
        <v>13</v>
      </c>
      <c r="G8" s="50">
        <v>0</v>
      </c>
      <c r="H8" s="50">
        <v>0</v>
      </c>
      <c r="I8" s="50">
        <v>27</v>
      </c>
      <c r="J8" s="50">
        <v>27</v>
      </c>
      <c r="K8" s="50">
        <f t="shared" si="1"/>
        <v>40</v>
      </c>
      <c r="L8" s="50">
        <f t="shared" si="2"/>
        <v>40</v>
      </c>
    </row>
    <row r="9" spans="1:12" ht="14.25" customHeight="1" x14ac:dyDescent="0.75">
      <c r="A9" s="50">
        <v>666506</v>
      </c>
      <c r="B9" s="73" t="s">
        <v>10</v>
      </c>
      <c r="C9" s="73" t="s">
        <v>11</v>
      </c>
      <c r="D9" s="50">
        <f t="shared" si="0"/>
        <v>144</v>
      </c>
      <c r="E9" s="50">
        <v>0</v>
      </c>
      <c r="F9" s="50">
        <v>0</v>
      </c>
      <c r="G9" s="50">
        <v>144</v>
      </c>
      <c r="H9" s="50">
        <v>144</v>
      </c>
      <c r="I9" s="50">
        <v>0</v>
      </c>
      <c r="J9" s="50">
        <v>0</v>
      </c>
      <c r="K9" s="50">
        <f t="shared" si="1"/>
        <v>144</v>
      </c>
      <c r="L9" s="50">
        <f t="shared" si="2"/>
        <v>144</v>
      </c>
    </row>
    <row r="10" spans="1:12" ht="14.25" customHeight="1" x14ac:dyDescent="0.75">
      <c r="A10" s="50">
        <v>666507</v>
      </c>
      <c r="B10" s="73" t="s">
        <v>12</v>
      </c>
      <c r="C10" s="73" t="s">
        <v>13</v>
      </c>
      <c r="D10" s="50">
        <f t="shared" si="0"/>
        <v>8</v>
      </c>
      <c r="E10" s="50">
        <v>8</v>
      </c>
      <c r="F10" s="70">
        <v>8</v>
      </c>
      <c r="G10" s="50">
        <v>0</v>
      </c>
      <c r="H10" s="50">
        <v>0</v>
      </c>
      <c r="I10" s="50">
        <v>0</v>
      </c>
      <c r="J10" s="50">
        <v>0</v>
      </c>
      <c r="K10" s="50">
        <f t="shared" si="1"/>
        <v>8</v>
      </c>
      <c r="L10" s="50">
        <f t="shared" si="2"/>
        <v>8</v>
      </c>
    </row>
    <row r="11" spans="1:12" ht="14.25" customHeight="1" x14ac:dyDescent="0.75">
      <c r="A11" s="50">
        <v>666509</v>
      </c>
      <c r="B11" s="73" t="s">
        <v>14</v>
      </c>
      <c r="C11" s="73" t="s">
        <v>15</v>
      </c>
      <c r="D11" s="50">
        <f t="shared" si="0"/>
        <v>50</v>
      </c>
      <c r="E11" s="50">
        <v>50</v>
      </c>
      <c r="F11" s="50">
        <v>50</v>
      </c>
      <c r="G11" s="50">
        <v>0</v>
      </c>
      <c r="H11" s="50">
        <v>0</v>
      </c>
      <c r="I11" s="50">
        <v>0</v>
      </c>
      <c r="J11" s="50">
        <v>0</v>
      </c>
      <c r="K11" s="50">
        <f t="shared" si="1"/>
        <v>50</v>
      </c>
      <c r="L11" s="50">
        <f t="shared" si="2"/>
        <v>50</v>
      </c>
    </row>
    <row r="12" spans="1:12" ht="14.25" customHeight="1" x14ac:dyDescent="0.75">
      <c r="A12" s="50">
        <v>666510</v>
      </c>
      <c r="B12" s="73" t="s">
        <v>16</v>
      </c>
      <c r="C12" s="73" t="s">
        <v>169</v>
      </c>
      <c r="D12" s="50">
        <f t="shared" si="0"/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f t="shared" si="1"/>
        <v>0</v>
      </c>
      <c r="L12" s="50">
        <f t="shared" si="2"/>
        <v>0</v>
      </c>
    </row>
    <row r="13" spans="1:12" ht="14.25" customHeight="1" x14ac:dyDescent="0.75">
      <c r="A13" s="50">
        <v>666511</v>
      </c>
      <c r="B13" s="73" t="s">
        <v>18</v>
      </c>
      <c r="C13" s="73" t="s">
        <v>19</v>
      </c>
      <c r="D13" s="50">
        <f t="shared" si="0"/>
        <v>4</v>
      </c>
      <c r="E13" s="50">
        <v>4</v>
      </c>
      <c r="F13" s="50">
        <v>4</v>
      </c>
      <c r="G13" s="50">
        <v>0</v>
      </c>
      <c r="H13" s="50">
        <v>0</v>
      </c>
      <c r="I13" s="50">
        <v>0</v>
      </c>
      <c r="J13" s="50">
        <v>0</v>
      </c>
      <c r="K13" s="50">
        <f t="shared" si="1"/>
        <v>4</v>
      </c>
      <c r="L13" s="50">
        <f t="shared" si="2"/>
        <v>4</v>
      </c>
    </row>
    <row r="14" spans="1:12" ht="14.25" customHeight="1" x14ac:dyDescent="0.75">
      <c r="A14" s="50">
        <v>666513</v>
      </c>
      <c r="B14" s="73" t="s">
        <v>20</v>
      </c>
      <c r="C14" s="73" t="s">
        <v>21</v>
      </c>
      <c r="D14" s="50">
        <f t="shared" si="0"/>
        <v>48</v>
      </c>
      <c r="E14" s="50">
        <v>14</v>
      </c>
      <c r="F14" s="70">
        <v>14</v>
      </c>
      <c r="G14" s="50">
        <v>0</v>
      </c>
      <c r="H14" s="50">
        <v>0</v>
      </c>
      <c r="I14" s="50">
        <v>34</v>
      </c>
      <c r="J14" s="50">
        <v>34</v>
      </c>
      <c r="K14" s="50">
        <f t="shared" si="1"/>
        <v>48</v>
      </c>
      <c r="L14" s="50">
        <f t="shared" si="2"/>
        <v>48</v>
      </c>
    </row>
    <row r="15" spans="1:12" ht="14.25" customHeight="1" x14ac:dyDescent="0.75">
      <c r="A15" s="50">
        <v>666516</v>
      </c>
      <c r="B15" s="73" t="s">
        <v>22</v>
      </c>
      <c r="C15" s="73" t="s">
        <v>23</v>
      </c>
      <c r="D15" s="50">
        <f t="shared" si="0"/>
        <v>32</v>
      </c>
      <c r="E15" s="50">
        <v>16</v>
      </c>
      <c r="F15" s="70">
        <v>16</v>
      </c>
      <c r="G15" s="50">
        <v>0</v>
      </c>
      <c r="H15" s="50">
        <v>0</v>
      </c>
      <c r="I15" s="50">
        <v>16</v>
      </c>
      <c r="J15" s="50">
        <v>16</v>
      </c>
      <c r="K15" s="50">
        <f t="shared" si="1"/>
        <v>32</v>
      </c>
      <c r="L15" s="50">
        <f t="shared" si="2"/>
        <v>32</v>
      </c>
    </row>
    <row r="16" spans="1:12" ht="14.25" customHeight="1" x14ac:dyDescent="0.75">
      <c r="A16" s="50">
        <v>666517</v>
      </c>
      <c r="B16" s="73" t="s">
        <v>24</v>
      </c>
      <c r="C16" s="73" t="s">
        <v>25</v>
      </c>
      <c r="D16" s="50">
        <f t="shared" si="0"/>
        <v>32</v>
      </c>
      <c r="E16" s="50">
        <v>22</v>
      </c>
      <c r="F16" s="70">
        <v>22</v>
      </c>
      <c r="G16" s="50">
        <v>0</v>
      </c>
      <c r="H16" s="50">
        <v>0</v>
      </c>
      <c r="I16" s="50">
        <v>10</v>
      </c>
      <c r="J16" s="50">
        <v>10</v>
      </c>
      <c r="K16" s="50">
        <f t="shared" si="1"/>
        <v>32</v>
      </c>
      <c r="L16" s="50">
        <f t="shared" si="2"/>
        <v>32</v>
      </c>
    </row>
    <row r="17" spans="1:19" ht="14.25" customHeight="1" x14ac:dyDescent="0.75">
      <c r="A17" s="50">
        <v>666518</v>
      </c>
      <c r="B17" s="73" t="s">
        <v>26</v>
      </c>
      <c r="C17" s="73" t="s">
        <v>27</v>
      </c>
      <c r="D17" s="50">
        <f t="shared" si="0"/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f t="shared" si="1"/>
        <v>0</v>
      </c>
      <c r="L17" s="50">
        <f t="shared" si="2"/>
        <v>0</v>
      </c>
    </row>
    <row r="18" spans="1:19" ht="14.25" customHeight="1" x14ac:dyDescent="0.75">
      <c r="A18" s="50">
        <v>666519</v>
      </c>
      <c r="B18" s="73" t="s">
        <v>28</v>
      </c>
      <c r="C18" s="73" t="s">
        <v>29</v>
      </c>
      <c r="D18" s="50">
        <f t="shared" si="0"/>
        <v>44</v>
      </c>
      <c r="E18" s="50">
        <v>22</v>
      </c>
      <c r="F18" s="70">
        <v>22</v>
      </c>
      <c r="G18" s="50">
        <v>0</v>
      </c>
      <c r="H18" s="50">
        <v>0</v>
      </c>
      <c r="I18" s="50">
        <v>22</v>
      </c>
      <c r="J18" s="50">
        <v>22</v>
      </c>
      <c r="K18" s="50">
        <f t="shared" si="1"/>
        <v>44</v>
      </c>
      <c r="L18" s="50">
        <f t="shared" si="2"/>
        <v>44</v>
      </c>
    </row>
    <row r="19" spans="1:19" ht="14.25" customHeight="1" x14ac:dyDescent="0.75">
      <c r="A19" s="50">
        <v>666521</v>
      </c>
      <c r="B19" s="73" t="s">
        <v>30</v>
      </c>
      <c r="C19" s="73" t="s">
        <v>31</v>
      </c>
      <c r="D19" s="50">
        <f t="shared" si="0"/>
        <v>48</v>
      </c>
      <c r="E19" s="50">
        <v>48</v>
      </c>
      <c r="F19" s="70">
        <v>48</v>
      </c>
      <c r="G19" s="50">
        <v>0</v>
      </c>
      <c r="H19" s="50">
        <v>0</v>
      </c>
      <c r="I19" s="50">
        <v>0</v>
      </c>
      <c r="J19" s="50">
        <v>0</v>
      </c>
      <c r="K19" s="50">
        <f t="shared" si="1"/>
        <v>48</v>
      </c>
      <c r="L19" s="50">
        <f t="shared" si="2"/>
        <v>48</v>
      </c>
    </row>
    <row r="20" spans="1:19" ht="14.25" customHeight="1" x14ac:dyDescent="0.75">
      <c r="A20" s="50">
        <v>666522</v>
      </c>
      <c r="B20" s="73" t="s">
        <v>32</v>
      </c>
      <c r="C20" s="73" t="s">
        <v>33</v>
      </c>
      <c r="D20" s="50">
        <f t="shared" si="0"/>
        <v>305</v>
      </c>
      <c r="E20" s="50">
        <v>180</v>
      </c>
      <c r="F20" s="70">
        <v>180</v>
      </c>
      <c r="G20" s="50">
        <v>0</v>
      </c>
      <c r="H20" s="50">
        <v>0</v>
      </c>
      <c r="I20" s="50">
        <v>125</v>
      </c>
      <c r="J20" s="50">
        <v>125</v>
      </c>
      <c r="K20" s="50">
        <f t="shared" si="1"/>
        <v>305</v>
      </c>
      <c r="L20" s="50">
        <f t="shared" si="2"/>
        <v>305</v>
      </c>
    </row>
    <row r="21" spans="1:19" ht="14.25" customHeight="1" x14ac:dyDescent="0.75">
      <c r="A21" s="50">
        <v>666523</v>
      </c>
      <c r="B21" s="73" t="s">
        <v>34</v>
      </c>
      <c r="C21" s="73" t="s">
        <v>35</v>
      </c>
      <c r="D21" s="50">
        <f t="shared" si="0"/>
        <v>28</v>
      </c>
      <c r="E21" s="50">
        <v>0</v>
      </c>
      <c r="F21" s="50">
        <v>0</v>
      </c>
      <c r="G21" s="50">
        <v>0</v>
      </c>
      <c r="H21" s="50">
        <v>0</v>
      </c>
      <c r="I21" s="50">
        <v>28</v>
      </c>
      <c r="J21" s="50">
        <v>28</v>
      </c>
      <c r="K21" s="50">
        <f t="shared" si="1"/>
        <v>28</v>
      </c>
      <c r="L21" s="50">
        <f t="shared" si="2"/>
        <v>28</v>
      </c>
    </row>
    <row r="22" spans="1:19" ht="14.25" customHeight="1" x14ac:dyDescent="0.75">
      <c r="A22" s="50">
        <v>666530</v>
      </c>
      <c r="B22" s="73" t="s">
        <v>36</v>
      </c>
      <c r="C22" s="73" t="s">
        <v>37</v>
      </c>
      <c r="D22" s="50">
        <f t="shared" si="0"/>
        <v>18</v>
      </c>
      <c r="E22" s="50">
        <v>0</v>
      </c>
      <c r="F22" s="50">
        <v>0</v>
      </c>
      <c r="G22" s="50">
        <v>0</v>
      </c>
      <c r="H22" s="50">
        <v>0</v>
      </c>
      <c r="I22" s="50">
        <v>18</v>
      </c>
      <c r="J22" s="50">
        <v>18</v>
      </c>
      <c r="K22" s="50">
        <f t="shared" si="1"/>
        <v>18</v>
      </c>
      <c r="L22" s="50">
        <f t="shared" si="2"/>
        <v>18</v>
      </c>
    </row>
    <row r="23" spans="1:19" ht="14.25" customHeight="1" x14ac:dyDescent="0.75">
      <c r="A23" s="50">
        <v>666531</v>
      </c>
      <c r="B23" s="73" t="s">
        <v>38</v>
      </c>
      <c r="C23" s="73" t="s">
        <v>39</v>
      </c>
      <c r="D23" s="50">
        <f t="shared" si="0"/>
        <v>28</v>
      </c>
      <c r="E23" s="50">
        <v>20</v>
      </c>
      <c r="F23" s="70">
        <v>20</v>
      </c>
      <c r="G23" s="50">
        <v>0</v>
      </c>
      <c r="H23" s="50">
        <v>0</v>
      </c>
      <c r="I23" s="50">
        <v>8</v>
      </c>
      <c r="J23" s="50">
        <v>8</v>
      </c>
      <c r="K23" s="50">
        <f t="shared" si="1"/>
        <v>28</v>
      </c>
      <c r="L23" s="50">
        <f t="shared" si="2"/>
        <v>28</v>
      </c>
    </row>
    <row r="24" spans="1:19" ht="14.25" customHeight="1" x14ac:dyDescent="0.75">
      <c r="A24" s="50">
        <v>666540</v>
      </c>
      <c r="B24" s="73" t="s">
        <v>40</v>
      </c>
      <c r="C24" s="73" t="s">
        <v>40</v>
      </c>
      <c r="D24" s="50">
        <f t="shared" si="0"/>
        <v>40</v>
      </c>
      <c r="E24" s="50">
        <v>0</v>
      </c>
      <c r="F24" s="50">
        <v>0</v>
      </c>
      <c r="G24" s="50">
        <v>40</v>
      </c>
      <c r="H24" s="50">
        <v>0</v>
      </c>
      <c r="I24" s="50">
        <v>0</v>
      </c>
      <c r="J24" s="50">
        <v>0</v>
      </c>
      <c r="K24" s="50">
        <f t="shared" si="1"/>
        <v>40</v>
      </c>
      <c r="L24" s="50">
        <f t="shared" si="2"/>
        <v>0</v>
      </c>
    </row>
    <row r="25" spans="1:19" ht="14.25" customHeight="1" x14ac:dyDescent="0.75">
      <c r="A25" s="50">
        <v>666541</v>
      </c>
      <c r="B25" s="73" t="s">
        <v>41</v>
      </c>
      <c r="C25" s="73" t="s">
        <v>41</v>
      </c>
      <c r="D25" s="50">
        <f t="shared" si="0"/>
        <v>500</v>
      </c>
      <c r="E25" s="50">
        <v>0</v>
      </c>
      <c r="F25" s="50">
        <v>0</v>
      </c>
      <c r="G25" s="50">
        <v>500</v>
      </c>
      <c r="H25" s="50">
        <v>247</v>
      </c>
      <c r="I25" s="50">
        <v>0</v>
      </c>
      <c r="J25" s="50">
        <v>0</v>
      </c>
      <c r="K25" s="50">
        <f t="shared" si="1"/>
        <v>500</v>
      </c>
      <c r="L25" s="50">
        <f t="shared" si="2"/>
        <v>247</v>
      </c>
    </row>
    <row r="26" spans="1:19" s="74" customFormat="1" ht="14.25" customHeight="1" x14ac:dyDescent="0.75">
      <c r="A26" s="74">
        <v>666536</v>
      </c>
      <c r="B26" s="74" t="s">
        <v>42</v>
      </c>
      <c r="C26" s="74" t="s">
        <v>43</v>
      </c>
      <c r="E26" s="50">
        <v>40</v>
      </c>
      <c r="F26" s="50">
        <v>10</v>
      </c>
      <c r="G26" s="50">
        <v>0</v>
      </c>
      <c r="H26" s="50">
        <v>0</v>
      </c>
      <c r="I26" s="50">
        <v>0</v>
      </c>
      <c r="J26" s="50">
        <v>0</v>
      </c>
      <c r="K26" s="50">
        <f t="shared" si="1"/>
        <v>40</v>
      </c>
      <c r="L26" s="50">
        <f t="shared" si="2"/>
        <v>10</v>
      </c>
      <c r="S26" s="74">
        <v>2</v>
      </c>
    </row>
    <row r="27" spans="1:19" ht="14.25" customHeight="1" x14ac:dyDescent="0.75">
      <c r="A27" t="s">
        <v>193</v>
      </c>
      <c r="B27" s="73" t="s">
        <v>198</v>
      </c>
      <c r="C27" s="73" t="s">
        <v>198</v>
      </c>
      <c r="E27" s="50">
        <v>100</v>
      </c>
      <c r="F27" s="50">
        <v>100</v>
      </c>
      <c r="G27" s="50">
        <v>0</v>
      </c>
      <c r="H27" s="50">
        <v>0</v>
      </c>
      <c r="I27" s="50">
        <v>0</v>
      </c>
      <c r="J27" s="50">
        <v>0</v>
      </c>
      <c r="K27" s="50">
        <f t="shared" si="1"/>
        <v>100</v>
      </c>
      <c r="L27" s="50">
        <f t="shared" si="2"/>
        <v>100</v>
      </c>
    </row>
  </sheetData>
  <conditionalFormatting sqref="K6:K27">
    <cfRule type="cellIs" dxfId="55" priority="2" operator="equal">
      <formula>0</formula>
    </cfRule>
  </conditionalFormatting>
  <conditionalFormatting sqref="L6:L27">
    <cfRule type="expression" dxfId="54" priority="3">
      <formula>K6=L6</formula>
    </cfRule>
    <cfRule type="expression" dxfId="53" priority="4">
      <formula>K6&lt;L6</formula>
    </cfRule>
    <cfRule type="expression" dxfId="52" priority="5">
      <formula>K6&gt;L6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S33"/>
  <sheetViews>
    <sheetView zoomScale="80" zoomScaleNormal="80" workbookViewId="0">
      <selection activeCell="M40" sqref="M40"/>
    </sheetView>
  </sheetViews>
  <sheetFormatPr defaultColWidth="8.86328125" defaultRowHeight="14.75" x14ac:dyDescent="0.75"/>
  <cols>
    <col min="1" max="1" width="8.86328125" style="145"/>
    <col min="2" max="2" width="33" style="145" customWidth="1"/>
    <col min="3" max="3" width="26.2265625" style="145" customWidth="1"/>
    <col min="4" max="5" width="10" style="145" customWidth="1"/>
    <col min="6" max="17" width="8.86328125" style="145"/>
    <col min="18" max="18" width="11.453125" style="145" customWidth="1"/>
    <col min="19" max="16384" width="8.86328125" style="145"/>
  </cols>
  <sheetData>
    <row r="1" spans="1:19" ht="14.25" customHeight="1" x14ac:dyDescent="0.75">
      <c r="E1" s="145" t="s">
        <v>187</v>
      </c>
    </row>
    <row r="2" spans="1:19" ht="36" customHeight="1" x14ac:dyDescent="0.75">
      <c r="A2" s="51"/>
      <c r="B2" s="51"/>
      <c r="C2" s="51"/>
      <c r="D2" s="51" t="s">
        <v>144</v>
      </c>
      <c r="E2" s="53" t="s">
        <v>116</v>
      </c>
      <c r="F2" s="53" t="s">
        <v>145</v>
      </c>
      <c r="G2" s="53" t="s">
        <v>118</v>
      </c>
      <c r="H2" s="56" t="s">
        <v>119</v>
      </c>
      <c r="I2" s="53" t="s">
        <v>146</v>
      </c>
      <c r="J2" s="53" t="s">
        <v>121</v>
      </c>
      <c r="K2" s="51" t="s">
        <v>122</v>
      </c>
      <c r="L2" s="56" t="s">
        <v>147</v>
      </c>
      <c r="M2" s="56" t="s">
        <v>124</v>
      </c>
      <c r="N2" s="51" t="s">
        <v>148</v>
      </c>
      <c r="O2" s="53" t="s">
        <v>149</v>
      </c>
      <c r="P2" s="53" t="s">
        <v>202</v>
      </c>
      <c r="Q2" s="191" t="s">
        <v>189</v>
      </c>
      <c r="R2" s="191" t="s">
        <v>190</v>
      </c>
    </row>
    <row r="3" spans="1:19" ht="14.25" customHeight="1" x14ac:dyDescent="0.75">
      <c r="A3" s="50"/>
      <c r="B3" s="50"/>
      <c r="C3" s="57" t="s">
        <v>150</v>
      </c>
      <c r="D3" s="57"/>
      <c r="E3" s="57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</row>
    <row r="4" spans="1:19" ht="14.25" customHeight="1" x14ac:dyDescent="0.75">
      <c r="A4" s="62" t="s">
        <v>129</v>
      </c>
      <c r="B4" s="62" t="s">
        <v>2</v>
      </c>
      <c r="C4" s="62" t="s">
        <v>3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</row>
    <row r="5" spans="1:19" ht="14.25" customHeight="1" x14ac:dyDescent="0.75">
      <c r="A5" s="62"/>
      <c r="B5" s="62"/>
      <c r="C5" s="62" t="s">
        <v>151</v>
      </c>
      <c r="D5" s="62"/>
      <c r="E5" s="62"/>
      <c r="F5" s="50">
        <f>+Sheet18!F5+Sheet19!F5+Sheet22!F5+Sheet24!F5+Sheet29!$F$6</f>
        <v>870</v>
      </c>
      <c r="G5" s="50"/>
      <c r="H5" s="50"/>
      <c r="I5" s="50">
        <f>+Sheet18!H5+Sheet19!H5+Sheet22!H5+Sheet24!H5+Sheet29!H5</f>
        <v>4817</v>
      </c>
      <c r="J5" s="127"/>
      <c r="K5" s="50"/>
      <c r="L5" s="50">
        <f>+Sheet18!J5+Sheet19!J5+Sheet22!J5+Sheet24!J5</f>
        <v>601</v>
      </c>
      <c r="M5" s="50"/>
      <c r="N5" s="62" t="s">
        <v>152</v>
      </c>
      <c r="O5" s="50">
        <f t="shared" ref="O5:O27" si="0">+F5+I5+L5</f>
        <v>6288</v>
      </c>
      <c r="P5" s="62"/>
    </row>
    <row r="6" spans="1:19" ht="14.25" customHeight="1" x14ac:dyDescent="0.75">
      <c r="A6" s="50">
        <v>666501</v>
      </c>
      <c r="B6" s="192" t="s">
        <v>4</v>
      </c>
      <c r="C6" s="73" t="s">
        <v>5</v>
      </c>
      <c r="D6" s="50">
        <f t="shared" ref="D6:D27" si="1">+N6</f>
        <v>3135</v>
      </c>
      <c r="E6" s="50">
        <f>+Sheet18!E6+Sheet19!E6+Sheet22!E6+Sheet24!E6+Sheet29!E6</f>
        <v>273</v>
      </c>
      <c r="F6" s="50">
        <f>+Sheet18!F6+Sheet19!F6+Sheet22!F6+Sheet24!F6+Sheet29!F6</f>
        <v>273</v>
      </c>
      <c r="G6" s="76">
        <f>+F6/E6</f>
        <v>1</v>
      </c>
      <c r="H6" s="50">
        <f>+Sheet18!G6+Sheet19!G6+Sheet22!G6+Sheet24!G6+Sheet29!G6</f>
        <v>2613</v>
      </c>
      <c r="I6" s="50">
        <f>+Sheet18!H6+Sheet19!H6+Sheet22!H6+Sheet24!H6+Sheet29!H6</f>
        <v>2613</v>
      </c>
      <c r="J6" s="193">
        <f>+I6/H6</f>
        <v>1</v>
      </c>
      <c r="K6" s="50">
        <f>+Sheet18!I6+Sheet19!I6+Sheet22!I6+Sheet24!I6+Sheet29!I6</f>
        <v>249</v>
      </c>
      <c r="L6" s="50">
        <f>+Sheet18!J6+Sheet19!J6+Sheet22!J6+Sheet24!J6</f>
        <v>210</v>
      </c>
      <c r="M6" s="76">
        <f>+L6/K6</f>
        <v>0.84337349397590367</v>
      </c>
      <c r="N6" s="50">
        <f t="shared" ref="N6:N27" si="2">+K6+H6+E6</f>
        <v>3135</v>
      </c>
      <c r="O6" s="50">
        <f t="shared" si="0"/>
        <v>3096</v>
      </c>
      <c r="P6" s="50">
        <v>3666</v>
      </c>
      <c r="Q6" s="194">
        <f t="shared" ref="Q6:Q11" si="3">+O6/N6</f>
        <v>0.98755980861244019</v>
      </c>
      <c r="R6" s="194">
        <f t="shared" ref="R6:R11" si="4">+O6/P6</f>
        <v>0.84451718494271688</v>
      </c>
      <c r="S6" s="145">
        <f t="shared" ref="S6:S28" si="5">+N6-O6</f>
        <v>39</v>
      </c>
    </row>
    <row r="7" spans="1:19" ht="14.25" customHeight="1" x14ac:dyDescent="0.75">
      <c r="A7" s="50">
        <v>666502</v>
      </c>
      <c r="B7" s="192" t="s">
        <v>6</v>
      </c>
      <c r="C7" s="73" t="s">
        <v>7</v>
      </c>
      <c r="D7" s="50">
        <f t="shared" si="1"/>
        <v>1752</v>
      </c>
      <c r="E7" s="50">
        <f>+Sheet18!E7+Sheet19!E7+Sheet22!E7+Sheet24!E7+Sheet29!E7</f>
        <v>0</v>
      </c>
      <c r="F7" s="50">
        <f>+Sheet18!F7+Sheet19!F7+Sheet22!F7+Sheet24!F7+Sheet29!F7</f>
        <v>0</v>
      </c>
      <c r="G7" s="76"/>
      <c r="H7" s="50">
        <f>+Sheet18!G7+Sheet19!G7+Sheet22!G7+Sheet24!G7+Sheet29!G7</f>
        <v>1286</v>
      </c>
      <c r="I7" s="50">
        <f>+Sheet18!H7+Sheet19!H7+Sheet22!H7+Sheet24!H7+Sheet29!H7</f>
        <v>1250</v>
      </c>
      <c r="J7" s="193">
        <f>+I7/H7</f>
        <v>0.97200622083981336</v>
      </c>
      <c r="K7" s="50">
        <f>+Sheet18!I7+Sheet19!I7+Sheet22!I7+Sheet24!I7+Sheet29!I7</f>
        <v>466</v>
      </c>
      <c r="L7" s="50">
        <f>+Sheet18!J7+Sheet19!J7+Sheet22!J7+Sheet24!J7</f>
        <v>366</v>
      </c>
      <c r="M7" s="76">
        <f>+L7/K7</f>
        <v>0.78540772532188841</v>
      </c>
      <c r="N7" s="50">
        <f t="shared" si="2"/>
        <v>1752</v>
      </c>
      <c r="O7" s="50">
        <f t="shared" si="0"/>
        <v>1616</v>
      </c>
      <c r="P7" s="50">
        <v>2197</v>
      </c>
      <c r="Q7" s="194">
        <f t="shared" si="3"/>
        <v>0.92237442922374424</v>
      </c>
      <c r="R7" s="194">
        <f t="shared" si="4"/>
        <v>0.73554847519344557</v>
      </c>
      <c r="S7" s="145">
        <f t="shared" si="5"/>
        <v>136</v>
      </c>
    </row>
    <row r="8" spans="1:19" ht="14.25" customHeight="1" x14ac:dyDescent="0.75">
      <c r="A8" s="50">
        <v>666505</v>
      </c>
      <c r="B8" s="192" t="s">
        <v>8</v>
      </c>
      <c r="C8" s="73" t="s">
        <v>9</v>
      </c>
      <c r="D8" s="50">
        <f t="shared" si="1"/>
        <v>256</v>
      </c>
      <c r="E8" s="50">
        <f>+Sheet18!E8+Sheet19!E8+Sheet22!E8+Sheet24!E8+Sheet29!E8</f>
        <v>83</v>
      </c>
      <c r="F8" s="50">
        <f>+Sheet18!F8+Sheet19!F8+Sheet22!F8+Sheet24!F8+Sheet29!F8</f>
        <v>83</v>
      </c>
      <c r="G8" s="76">
        <f>+F8/E8</f>
        <v>1</v>
      </c>
      <c r="H8" s="50">
        <f>+Sheet18!G8+Sheet19!G8+Sheet22!G8+Sheet24!G8+Sheet29!G8</f>
        <v>0</v>
      </c>
      <c r="I8" s="50">
        <f>+Sheet18!H8+Sheet19!H8+Sheet22!H8+Sheet24!H8+Sheet29!H8</f>
        <v>0</v>
      </c>
      <c r="J8" s="193"/>
      <c r="K8" s="50">
        <f>+Sheet18!I8+Sheet19!I8+Sheet22!I8+Sheet24!I8+Sheet29!I8</f>
        <v>173</v>
      </c>
      <c r="L8" s="50">
        <f>+Sheet18!J8+Sheet19!J8+Sheet22!J8+Sheet24!J8</f>
        <v>146</v>
      </c>
      <c r="M8" s="76">
        <f>+L8/K8</f>
        <v>0.84393063583815031</v>
      </c>
      <c r="N8" s="50">
        <f t="shared" si="2"/>
        <v>256</v>
      </c>
      <c r="O8" s="50">
        <f t="shared" si="0"/>
        <v>229</v>
      </c>
      <c r="P8" s="50">
        <v>377</v>
      </c>
      <c r="Q8" s="194">
        <f t="shared" si="3"/>
        <v>0.89453125</v>
      </c>
      <c r="R8" s="194">
        <f t="shared" si="4"/>
        <v>0.60742705570291777</v>
      </c>
      <c r="S8" s="145">
        <f t="shared" si="5"/>
        <v>27</v>
      </c>
    </row>
    <row r="9" spans="1:19" ht="14.25" customHeight="1" x14ac:dyDescent="0.75">
      <c r="A9" s="50">
        <v>666506</v>
      </c>
      <c r="B9" s="192" t="s">
        <v>10</v>
      </c>
      <c r="C9" s="73" t="s">
        <v>11</v>
      </c>
      <c r="D9" s="50">
        <f t="shared" si="1"/>
        <v>1201</v>
      </c>
      <c r="E9" s="50">
        <f>+Sheet18!E9+Sheet19!E9+Sheet22!E9+Sheet24!E9+Sheet29!E9</f>
        <v>0</v>
      </c>
      <c r="F9" s="50">
        <f>+Sheet18!F9+Sheet19!F9+Sheet22!F9+Sheet24!F9+Sheet29!F9</f>
        <v>0</v>
      </c>
      <c r="G9" s="76"/>
      <c r="H9" s="50">
        <f>+Sheet18!G9+Sheet19!G9+Sheet22!G9+Sheet24!G9+Sheet29!G9</f>
        <v>1201</v>
      </c>
      <c r="I9" s="50">
        <f>+Sheet18!H9+Sheet19!H9+Sheet22!H9+Sheet24!H9+Sheet29!H9</f>
        <v>977</v>
      </c>
      <c r="J9" s="193">
        <f>+I9/H9</f>
        <v>0.813488759367194</v>
      </c>
      <c r="K9" s="50">
        <f>+Sheet18!I9+Sheet19!I9+Sheet22!I9+Sheet24!I9+Sheet29!I9</f>
        <v>0</v>
      </c>
      <c r="L9" s="50">
        <f>+Sheet18!J9+Sheet19!J9+Sheet22!J9+Sheet24!J9</f>
        <v>0</v>
      </c>
      <c r="M9" s="76"/>
      <c r="N9" s="50">
        <f t="shared" si="2"/>
        <v>1201</v>
      </c>
      <c r="O9" s="50">
        <f t="shared" si="0"/>
        <v>977</v>
      </c>
      <c r="P9" s="50">
        <v>1105</v>
      </c>
      <c r="Q9" s="194">
        <f t="shared" si="3"/>
        <v>0.813488759367194</v>
      </c>
      <c r="R9" s="194">
        <f t="shared" si="4"/>
        <v>0.88416289592760178</v>
      </c>
      <c r="S9" s="145">
        <f t="shared" si="5"/>
        <v>224</v>
      </c>
    </row>
    <row r="10" spans="1:19" ht="14.25" customHeight="1" x14ac:dyDescent="0.75">
      <c r="A10" s="50">
        <v>666507</v>
      </c>
      <c r="B10" s="192" t="s">
        <v>12</v>
      </c>
      <c r="C10" s="73" t="s">
        <v>13</v>
      </c>
      <c r="D10" s="50">
        <f t="shared" si="1"/>
        <v>72</v>
      </c>
      <c r="E10" s="50">
        <f>+Sheet18!E10+Sheet19!E10+Sheet22!E10+Sheet24!E10+Sheet29!E10</f>
        <v>72</v>
      </c>
      <c r="F10" s="50">
        <f>+Sheet18!F10+Sheet19!F10+Sheet22!F10+Sheet24!F10+Sheet29!F10</f>
        <v>72</v>
      </c>
      <c r="G10" s="76">
        <f>+F10/E10</f>
        <v>1</v>
      </c>
      <c r="H10" s="50">
        <f>+Sheet18!G10+Sheet19!G10+Sheet22!G10+Sheet24!G10+Sheet29!G10</f>
        <v>0</v>
      </c>
      <c r="I10" s="50">
        <f>+Sheet18!H10+Sheet19!H10+Sheet22!H10+Sheet24!H10+Sheet29!H10</f>
        <v>0</v>
      </c>
      <c r="J10" s="193"/>
      <c r="K10" s="50">
        <f>+Sheet18!I10+Sheet19!I10+Sheet22!I10+Sheet24!I10+Sheet29!I10</f>
        <v>0</v>
      </c>
      <c r="L10" s="50">
        <f>+Sheet18!J10+Sheet19!J10+Sheet22!J10+Sheet24!J10</f>
        <v>0</v>
      </c>
      <c r="M10" s="76"/>
      <c r="N10" s="50">
        <f t="shared" si="2"/>
        <v>72</v>
      </c>
      <c r="O10" s="50">
        <f t="shared" si="0"/>
        <v>72</v>
      </c>
      <c r="P10" s="50">
        <v>273</v>
      </c>
      <c r="Q10" s="194">
        <f t="shared" si="3"/>
        <v>1</v>
      </c>
      <c r="R10" s="194">
        <f t="shared" si="4"/>
        <v>0.26373626373626374</v>
      </c>
      <c r="S10" s="145">
        <f t="shared" si="5"/>
        <v>0</v>
      </c>
    </row>
    <row r="11" spans="1:19" ht="14.25" customHeight="1" x14ac:dyDescent="0.75">
      <c r="A11" s="50">
        <v>666509</v>
      </c>
      <c r="B11" s="192" t="s">
        <v>14</v>
      </c>
      <c r="C11" s="73" t="s">
        <v>15</v>
      </c>
      <c r="D11" s="50">
        <f t="shared" si="1"/>
        <v>286</v>
      </c>
      <c r="E11" s="50">
        <f>+Sheet18!E11+Sheet19!E11+Sheet22!E11+Sheet24!E11+Sheet29!E11</f>
        <v>286</v>
      </c>
      <c r="F11" s="50">
        <f>+Sheet18!F11+Sheet19!F11+Sheet22!F11+Sheet24!F11+Sheet29!F11</f>
        <v>286</v>
      </c>
      <c r="G11" s="76">
        <f>+F11/E11</f>
        <v>1</v>
      </c>
      <c r="H11" s="50">
        <f>+Sheet18!G11+Sheet19!G11+Sheet22!G11+Sheet24!G11+Sheet29!G11</f>
        <v>0</v>
      </c>
      <c r="I11" s="50">
        <f>+Sheet18!H11+Sheet19!H11+Sheet22!H11+Sheet24!H11+Sheet29!H11</f>
        <v>0</v>
      </c>
      <c r="J11" s="193"/>
      <c r="K11" s="50">
        <f>+Sheet18!I11+Sheet19!I11+Sheet22!I11+Sheet24!I11+Sheet29!I11</f>
        <v>0</v>
      </c>
      <c r="L11" s="50">
        <f>+Sheet18!J11+Sheet19!J11+Sheet22!J11+Sheet24!J11</f>
        <v>0</v>
      </c>
      <c r="M11" s="76"/>
      <c r="N11" s="50">
        <f t="shared" si="2"/>
        <v>286</v>
      </c>
      <c r="O11" s="50">
        <f t="shared" si="0"/>
        <v>286</v>
      </c>
      <c r="P11" s="50">
        <v>650</v>
      </c>
      <c r="Q11" s="194">
        <f t="shared" si="3"/>
        <v>1</v>
      </c>
      <c r="R11" s="194">
        <f t="shared" si="4"/>
        <v>0.44</v>
      </c>
      <c r="S11" s="145">
        <f t="shared" si="5"/>
        <v>0</v>
      </c>
    </row>
    <row r="12" spans="1:19" ht="14.25" customHeight="1" x14ac:dyDescent="0.75">
      <c r="A12" s="50">
        <v>666510</v>
      </c>
      <c r="B12" s="192" t="s">
        <v>16</v>
      </c>
      <c r="C12" s="73" t="s">
        <v>169</v>
      </c>
      <c r="D12" s="50">
        <f t="shared" si="1"/>
        <v>0</v>
      </c>
      <c r="E12" s="50">
        <f>+Sheet18!E12+Sheet19!E12+Sheet22!E12+Sheet24!E12+Sheet29!E12</f>
        <v>0</v>
      </c>
      <c r="F12" s="50">
        <f>+Sheet18!F12+Sheet19!F12+Sheet22!F12+Sheet24!F12+Sheet29!F12</f>
        <v>0</v>
      </c>
      <c r="G12" s="76"/>
      <c r="H12" s="50">
        <f>+Sheet18!G12+Sheet19!G12+Sheet22!G12+Sheet24!G12+Sheet29!G12</f>
        <v>0</v>
      </c>
      <c r="I12" s="50">
        <f>+Sheet18!H12+Sheet19!H12+Sheet22!H12+Sheet24!H12+Sheet29!H12</f>
        <v>0</v>
      </c>
      <c r="J12" s="193"/>
      <c r="K12" s="50">
        <f>+Sheet18!I12+Sheet19!I12+Sheet22!I12+Sheet24!I12+Sheet29!I12</f>
        <v>0</v>
      </c>
      <c r="L12" s="50">
        <f>+Sheet18!J12+Sheet19!J12+Sheet22!J12+Sheet24!J12</f>
        <v>0</v>
      </c>
      <c r="M12" s="76"/>
      <c r="N12" s="50">
        <f t="shared" si="2"/>
        <v>0</v>
      </c>
      <c r="O12" s="50">
        <f t="shared" si="0"/>
        <v>0</v>
      </c>
      <c r="P12" s="50">
        <v>104</v>
      </c>
      <c r="Q12" s="194"/>
      <c r="R12" s="194"/>
      <c r="S12" s="145">
        <f t="shared" si="5"/>
        <v>0</v>
      </c>
    </row>
    <row r="13" spans="1:19" ht="14.25" customHeight="1" x14ac:dyDescent="0.75">
      <c r="A13" s="50">
        <v>666511</v>
      </c>
      <c r="B13" s="192" t="s">
        <v>18</v>
      </c>
      <c r="C13" s="73" t="s">
        <v>19</v>
      </c>
      <c r="D13" s="50">
        <f t="shared" si="1"/>
        <v>26</v>
      </c>
      <c r="E13" s="50">
        <f>+Sheet18!E13+Sheet19!E13+Sheet22!E13+Sheet24!E13+Sheet29!E13</f>
        <v>26</v>
      </c>
      <c r="F13" s="50">
        <f>+Sheet18!F13+Sheet19!F13+Sheet22!F13+Sheet24!F13+Sheet29!F13</f>
        <v>26</v>
      </c>
      <c r="G13" s="76">
        <f>+F13/E13</f>
        <v>1</v>
      </c>
      <c r="H13" s="50">
        <f>+Sheet18!G13+Sheet19!G13+Sheet22!G13+Sheet24!G13+Sheet29!G13</f>
        <v>0</v>
      </c>
      <c r="I13" s="50">
        <f>+Sheet18!H13+Sheet19!H13+Sheet22!H13+Sheet24!H13+Sheet29!H13</f>
        <v>0</v>
      </c>
      <c r="J13" s="193"/>
      <c r="K13" s="50">
        <f>+Sheet18!I13+Sheet19!I13+Sheet22!I13+Sheet24!I13+Sheet29!I13</f>
        <v>0</v>
      </c>
      <c r="L13" s="50">
        <f>+Sheet18!J13+Sheet19!J13+Sheet22!J13+Sheet24!J13</f>
        <v>0</v>
      </c>
      <c r="M13" s="76"/>
      <c r="N13" s="50">
        <f t="shared" si="2"/>
        <v>26</v>
      </c>
      <c r="O13" s="50">
        <f t="shared" si="0"/>
        <v>26</v>
      </c>
      <c r="P13" s="50">
        <v>52</v>
      </c>
      <c r="Q13" s="194">
        <f>+O13/N13</f>
        <v>1</v>
      </c>
      <c r="R13" s="194">
        <f>+O13/P13</f>
        <v>0.5</v>
      </c>
      <c r="S13" s="145">
        <f t="shared" si="5"/>
        <v>0</v>
      </c>
    </row>
    <row r="14" spans="1:19" ht="14.25" customHeight="1" x14ac:dyDescent="0.75">
      <c r="A14" s="50">
        <v>666513</v>
      </c>
      <c r="B14" s="192" t="s">
        <v>20</v>
      </c>
      <c r="C14" s="73" t="s">
        <v>21</v>
      </c>
      <c r="D14" s="50">
        <f t="shared" si="1"/>
        <v>144</v>
      </c>
      <c r="E14" s="50">
        <f>+Sheet18!E14+Sheet19!E14+Sheet22!E14+Sheet24!E14+Sheet29!E14</f>
        <v>42</v>
      </c>
      <c r="F14" s="50">
        <f>+Sheet18!F14+Sheet19!F14+Sheet22!F14+Sheet24!F14+Sheet29!F14</f>
        <v>42</v>
      </c>
      <c r="G14" s="76">
        <f>+F14/E14</f>
        <v>1</v>
      </c>
      <c r="H14" s="50">
        <f>+Sheet18!G14+Sheet19!G14+Sheet22!G14+Sheet24!G14+Sheet29!G14</f>
        <v>0</v>
      </c>
      <c r="I14" s="50">
        <f>+Sheet18!H14+Sheet19!H14+Sheet22!H14+Sheet24!H14+Sheet29!H14</f>
        <v>0</v>
      </c>
      <c r="J14" s="193"/>
      <c r="K14" s="50">
        <f>+Sheet18!I14+Sheet19!I14+Sheet22!I14+Sheet24!I14+Sheet29!I14</f>
        <v>102</v>
      </c>
      <c r="L14" s="50">
        <f>+Sheet18!J14+Sheet19!J14+Sheet22!J14+Sheet24!J14</f>
        <v>68</v>
      </c>
      <c r="M14" s="76">
        <f>+L14/K14</f>
        <v>0.66666666666666663</v>
      </c>
      <c r="N14" s="50">
        <f t="shared" si="2"/>
        <v>144</v>
      </c>
      <c r="O14" s="50">
        <f t="shared" si="0"/>
        <v>110</v>
      </c>
      <c r="P14" s="50">
        <v>234</v>
      </c>
      <c r="Q14" s="194">
        <f>+O14/N14</f>
        <v>0.76388888888888884</v>
      </c>
      <c r="R14" s="194">
        <f>+O14/P14</f>
        <v>0.47008547008547008</v>
      </c>
      <c r="S14" s="145">
        <f t="shared" si="5"/>
        <v>34</v>
      </c>
    </row>
    <row r="15" spans="1:19" ht="14.25" customHeight="1" x14ac:dyDescent="0.75">
      <c r="A15" s="50">
        <v>666516</v>
      </c>
      <c r="B15" s="192" t="s">
        <v>22</v>
      </c>
      <c r="C15" s="73" t="s">
        <v>23</v>
      </c>
      <c r="D15" s="50">
        <f t="shared" si="1"/>
        <v>250</v>
      </c>
      <c r="E15" s="50">
        <f>+Sheet18!E15+Sheet19!E15+Sheet22!E15+Sheet24!E15+Sheet29!E15</f>
        <v>125</v>
      </c>
      <c r="F15" s="50">
        <f>+Sheet18!F15+Sheet19!F15+Sheet22!F15+Sheet24!F15+Sheet29!F15</f>
        <v>125</v>
      </c>
      <c r="G15" s="76">
        <f>+F15/E15</f>
        <v>1</v>
      </c>
      <c r="H15" s="50">
        <f>+Sheet18!G15+Sheet19!G15+Sheet22!G15+Sheet24!G15+Sheet29!G15</f>
        <v>0</v>
      </c>
      <c r="I15" s="50">
        <f>+Sheet18!H15+Sheet19!H15+Sheet22!H15+Sheet24!H15+Sheet29!H15</f>
        <v>0</v>
      </c>
      <c r="J15" s="193"/>
      <c r="K15" s="50">
        <f>+Sheet18!I15+Sheet19!I15+Sheet22!I15+Sheet24!I15+Sheet29!I15</f>
        <v>125</v>
      </c>
      <c r="L15" s="50">
        <f>+Sheet18!J15+Sheet19!J15+Sheet22!J15+Sheet24!J15</f>
        <v>109</v>
      </c>
      <c r="M15" s="76">
        <f>+L15/K15</f>
        <v>0.872</v>
      </c>
      <c r="N15" s="50">
        <f t="shared" si="2"/>
        <v>250</v>
      </c>
      <c r="O15" s="50">
        <f t="shared" si="0"/>
        <v>234</v>
      </c>
      <c r="P15" s="50">
        <v>403</v>
      </c>
      <c r="Q15" s="194">
        <f>+O15/N15</f>
        <v>0.93600000000000005</v>
      </c>
      <c r="R15" s="194">
        <f>+O15/P15</f>
        <v>0.58064516129032262</v>
      </c>
      <c r="S15" s="145">
        <f t="shared" si="5"/>
        <v>16</v>
      </c>
    </row>
    <row r="16" spans="1:19" ht="14.25" customHeight="1" x14ac:dyDescent="0.75">
      <c r="A16" s="50">
        <v>666517</v>
      </c>
      <c r="B16" s="192" t="s">
        <v>24</v>
      </c>
      <c r="C16" s="73" t="s">
        <v>25</v>
      </c>
      <c r="D16" s="50">
        <f t="shared" si="1"/>
        <v>236</v>
      </c>
      <c r="E16" s="50">
        <f>+Sheet18!E16+Sheet19!E16+Sheet22!E16+Sheet24!E16+Sheet29!E16</f>
        <v>163</v>
      </c>
      <c r="F16" s="50">
        <f>+Sheet18!F16+Sheet19!F16+Sheet22!F16+Sheet24!F16+Sheet29!F16</f>
        <v>162</v>
      </c>
      <c r="G16" s="76">
        <f>+F16/E16</f>
        <v>0.99386503067484666</v>
      </c>
      <c r="H16" s="50">
        <f>+Sheet18!G16+Sheet19!G16+Sheet22!G16+Sheet24!G16+Sheet29!G16</f>
        <v>0</v>
      </c>
      <c r="I16" s="50">
        <f>+Sheet18!H16+Sheet19!H16+Sheet22!H16+Sheet24!H16+Sheet29!H16</f>
        <v>0</v>
      </c>
      <c r="J16" s="193"/>
      <c r="K16" s="50">
        <f>+Sheet18!I16+Sheet19!I16+Sheet22!I16+Sheet24!I16+Sheet29!I16</f>
        <v>73</v>
      </c>
      <c r="L16" s="50">
        <f>+Sheet18!J16+Sheet19!J16+Sheet22!J16+Sheet24!J16</f>
        <v>63</v>
      </c>
      <c r="M16" s="76">
        <f>+L16/K16</f>
        <v>0.86301369863013699</v>
      </c>
      <c r="N16" s="50">
        <f t="shared" si="2"/>
        <v>236</v>
      </c>
      <c r="O16" s="50">
        <f t="shared" si="0"/>
        <v>225</v>
      </c>
      <c r="P16" s="50">
        <v>390</v>
      </c>
      <c r="Q16" s="194">
        <f>+O16/N16</f>
        <v>0.95338983050847459</v>
      </c>
      <c r="R16" s="194">
        <f>+O16/P16</f>
        <v>0.57692307692307687</v>
      </c>
      <c r="S16" s="145">
        <f t="shared" si="5"/>
        <v>11</v>
      </c>
    </row>
    <row r="17" spans="1:19" ht="14.25" customHeight="1" x14ac:dyDescent="0.75">
      <c r="A17" s="50">
        <v>666518</v>
      </c>
      <c r="B17" s="192" t="s">
        <v>26</v>
      </c>
      <c r="C17" s="73" t="s">
        <v>27</v>
      </c>
      <c r="D17" s="50">
        <f t="shared" si="1"/>
        <v>0</v>
      </c>
      <c r="E17" s="50">
        <f>+Sheet18!E17+Sheet19!E17+Sheet22!E17+Sheet24!E17+Sheet29!E17</f>
        <v>0</v>
      </c>
      <c r="F17" s="50">
        <f>+Sheet18!F17+Sheet19!F17+Sheet22!F17+Sheet24!F17+Sheet29!F17</f>
        <v>0</v>
      </c>
      <c r="G17" s="76"/>
      <c r="H17" s="50">
        <f>+Sheet18!G17+Sheet19!G17+Sheet22!G17+Sheet24!G17+Sheet29!G17</f>
        <v>0</v>
      </c>
      <c r="I17" s="50">
        <f>+Sheet18!H17+Sheet19!H17+Sheet22!H17+Sheet24!H17+Sheet29!H17</f>
        <v>0</v>
      </c>
      <c r="J17" s="193"/>
      <c r="K17" s="50">
        <f>+Sheet18!I17+Sheet19!I17+Sheet22!I17+Sheet24!I17+Sheet29!I17</f>
        <v>0</v>
      </c>
      <c r="L17" s="50">
        <f>+Sheet18!J17+Sheet19!J17+Sheet22!J17+Sheet24!J17</f>
        <v>0</v>
      </c>
      <c r="M17" s="76"/>
      <c r="N17" s="50">
        <f t="shared" si="2"/>
        <v>0</v>
      </c>
      <c r="O17" s="50">
        <f t="shared" si="0"/>
        <v>0</v>
      </c>
      <c r="P17" s="50">
        <v>0</v>
      </c>
      <c r="Q17" s="194"/>
      <c r="R17" s="194"/>
      <c r="S17" s="145">
        <f t="shared" si="5"/>
        <v>0</v>
      </c>
    </row>
    <row r="18" spans="1:19" ht="14.25" customHeight="1" x14ac:dyDescent="0.75">
      <c r="A18" s="50">
        <v>666519</v>
      </c>
      <c r="B18" s="192" t="s">
        <v>28</v>
      </c>
      <c r="C18" s="73" t="s">
        <v>29</v>
      </c>
      <c r="D18" s="50">
        <f t="shared" si="1"/>
        <v>252</v>
      </c>
      <c r="E18" s="50">
        <f>+Sheet18!E18+Sheet19!E18+Sheet22!E18+Sheet24!E18+Sheet29!E18</f>
        <v>126</v>
      </c>
      <c r="F18" s="50">
        <f>+Sheet18!F18+Sheet19!F18+Sheet22!F18+Sheet24!F18+Sheet29!F18</f>
        <v>126</v>
      </c>
      <c r="G18" s="76">
        <f>+F18/E18</f>
        <v>1</v>
      </c>
      <c r="H18" s="50">
        <f>+Sheet18!G18+Sheet19!G18+Sheet22!G18+Sheet24!G18+Sheet29!G18</f>
        <v>0</v>
      </c>
      <c r="I18" s="50">
        <f>+Sheet18!H18+Sheet19!H18+Sheet22!H18+Sheet24!H18+Sheet29!H18</f>
        <v>0</v>
      </c>
      <c r="J18" s="193"/>
      <c r="K18" s="50">
        <f>+Sheet18!I18+Sheet19!I18+Sheet22!I18+Sheet24!I18+Sheet29!I18</f>
        <v>126</v>
      </c>
      <c r="L18" s="50">
        <f>+Sheet18!J18+Sheet19!J18+Sheet22!J18+Sheet24!J18</f>
        <v>104</v>
      </c>
      <c r="M18" s="76">
        <f>+L18/K18</f>
        <v>0.82539682539682535</v>
      </c>
      <c r="N18" s="50">
        <f t="shared" si="2"/>
        <v>252</v>
      </c>
      <c r="O18" s="50">
        <f t="shared" si="0"/>
        <v>230</v>
      </c>
      <c r="P18" s="50">
        <v>390</v>
      </c>
      <c r="Q18" s="194">
        <f t="shared" ref="Q18:Q28" si="6">+O18/N18</f>
        <v>0.91269841269841268</v>
      </c>
      <c r="R18" s="194">
        <f t="shared" ref="R18:R28" si="7">+O18/P18</f>
        <v>0.58974358974358976</v>
      </c>
      <c r="S18" s="145">
        <f t="shared" si="5"/>
        <v>22</v>
      </c>
    </row>
    <row r="19" spans="1:19" ht="14.25" customHeight="1" x14ac:dyDescent="0.75">
      <c r="A19" s="50">
        <v>666521</v>
      </c>
      <c r="B19" s="192" t="s">
        <v>30</v>
      </c>
      <c r="C19" s="73" t="s">
        <v>31</v>
      </c>
      <c r="D19" s="50">
        <f t="shared" si="1"/>
        <v>432</v>
      </c>
      <c r="E19" s="50">
        <f>+Sheet18!E19+Sheet19!E19+Sheet22!E19+Sheet24!E19+Sheet29!E19</f>
        <v>432</v>
      </c>
      <c r="F19" s="50">
        <f>+Sheet18!F19+Sheet19!F19+Sheet22!F19+Sheet24!F19+Sheet29!F19</f>
        <v>386</v>
      </c>
      <c r="G19" s="76">
        <f>+F19/E19</f>
        <v>0.89351851851851849</v>
      </c>
      <c r="H19" s="50">
        <f>+Sheet18!G19+Sheet19!G19+Sheet22!G19+Sheet24!G19+Sheet29!G19</f>
        <v>0</v>
      </c>
      <c r="I19" s="50">
        <f>+Sheet18!H19+Sheet19!H19+Sheet22!H19+Sheet24!H19+Sheet29!H19</f>
        <v>0</v>
      </c>
      <c r="J19" s="193"/>
      <c r="K19" s="50">
        <f>+Sheet18!I19+Sheet19!I19+Sheet22!I19+Sheet24!I19+Sheet29!I19</f>
        <v>0</v>
      </c>
      <c r="L19" s="50">
        <f>+Sheet18!J19+Sheet19!J19+Sheet22!J19+Sheet24!J19</f>
        <v>0</v>
      </c>
      <c r="M19" s="76"/>
      <c r="N19" s="50">
        <f t="shared" si="2"/>
        <v>432</v>
      </c>
      <c r="O19" s="50">
        <f t="shared" si="0"/>
        <v>386</v>
      </c>
      <c r="P19" s="50">
        <v>312</v>
      </c>
      <c r="Q19" s="194">
        <f t="shared" si="6"/>
        <v>0.89351851851851849</v>
      </c>
      <c r="R19" s="194">
        <f t="shared" si="7"/>
        <v>1.2371794871794872</v>
      </c>
      <c r="S19" s="145">
        <f t="shared" si="5"/>
        <v>46</v>
      </c>
    </row>
    <row r="20" spans="1:19" ht="14.25" customHeight="1" x14ac:dyDescent="0.75">
      <c r="A20" s="50">
        <v>666522</v>
      </c>
      <c r="B20" s="192" t="s">
        <v>32</v>
      </c>
      <c r="C20" s="73" t="s">
        <v>33</v>
      </c>
      <c r="D20" s="50">
        <f t="shared" si="1"/>
        <v>1945</v>
      </c>
      <c r="E20" s="50">
        <f>+Sheet18!E20+Sheet19!E20+Sheet22!E20+Sheet24!E20+Sheet29!E20</f>
        <v>940</v>
      </c>
      <c r="F20" s="50">
        <f>+Sheet18!F20+Sheet19!F20+Sheet22!F20+Sheet24!F20+Sheet29!F20</f>
        <v>940</v>
      </c>
      <c r="G20" s="76">
        <f>+F20/E20</f>
        <v>1</v>
      </c>
      <c r="H20" s="50">
        <f>+Sheet18!G20+Sheet19!G20+Sheet22!G20+Sheet24!G20+Sheet29!G20</f>
        <v>380</v>
      </c>
      <c r="I20" s="50">
        <f>+Sheet18!H20+Sheet19!H20+Sheet22!H20+Sheet24!H20+Sheet29!H20</f>
        <v>380</v>
      </c>
      <c r="J20" s="193">
        <f>+I20/H20</f>
        <v>1</v>
      </c>
      <c r="K20" s="50">
        <f>+Sheet18!I20+Sheet19!I20+Sheet22!I20+Sheet24!I20+Sheet29!I20</f>
        <v>625</v>
      </c>
      <c r="L20" s="50">
        <f>+Sheet18!J20+Sheet19!J20+Sheet22!J20+Sheet24!J20</f>
        <v>500</v>
      </c>
      <c r="M20" s="76">
        <f>+L20/K20</f>
        <v>0.8</v>
      </c>
      <c r="N20" s="50">
        <f t="shared" si="2"/>
        <v>1945</v>
      </c>
      <c r="O20" s="50">
        <f t="shared" si="0"/>
        <v>1820</v>
      </c>
      <c r="P20" s="50">
        <v>2743</v>
      </c>
      <c r="Q20" s="194">
        <f t="shared" si="6"/>
        <v>0.93573264781491006</v>
      </c>
      <c r="R20" s="194">
        <f t="shared" si="7"/>
        <v>0.6635071090047393</v>
      </c>
      <c r="S20" s="145">
        <f t="shared" si="5"/>
        <v>125</v>
      </c>
    </row>
    <row r="21" spans="1:19" ht="14.25" customHeight="1" x14ac:dyDescent="0.75">
      <c r="A21" s="50">
        <v>666523</v>
      </c>
      <c r="B21" s="192" t="s">
        <v>34</v>
      </c>
      <c r="C21" s="73" t="s">
        <v>35</v>
      </c>
      <c r="D21" s="50">
        <f t="shared" si="1"/>
        <v>180</v>
      </c>
      <c r="E21" s="50">
        <f>+Sheet18!E21+Sheet19!E21+Sheet22!E21+Sheet24!E21+Sheet29!E21</f>
        <v>0</v>
      </c>
      <c r="F21" s="50">
        <f>+Sheet18!F21+Sheet19!F21+Sheet22!F21+Sheet24!F21+Sheet29!F21</f>
        <v>0</v>
      </c>
      <c r="G21" s="76"/>
      <c r="H21" s="50">
        <f>+Sheet18!G21+Sheet19!G21+Sheet22!G21+Sheet24!G21+Sheet29!G21</f>
        <v>0</v>
      </c>
      <c r="I21" s="50">
        <f>+Sheet18!H21+Sheet19!H21+Sheet22!H21+Sheet24!H21+Sheet29!H21</f>
        <v>0</v>
      </c>
      <c r="J21" s="195" t="e">
        <f>+I21/H21</f>
        <v>#DIV/0!</v>
      </c>
      <c r="K21" s="50">
        <f>+Sheet18!I21+Sheet19!I21+Sheet22!I21+Sheet24!I21+Sheet29!I21</f>
        <v>180</v>
      </c>
      <c r="L21" s="50">
        <f>+Sheet18!J21+Sheet19!J21+Sheet22!J21+Sheet24!J21</f>
        <v>152</v>
      </c>
      <c r="M21" s="76">
        <f>+L21/K21</f>
        <v>0.84444444444444444</v>
      </c>
      <c r="N21" s="50">
        <f t="shared" si="2"/>
        <v>180</v>
      </c>
      <c r="O21" s="50">
        <f t="shared" si="0"/>
        <v>152</v>
      </c>
      <c r="P21" s="50">
        <v>377</v>
      </c>
      <c r="Q21" s="194">
        <f t="shared" si="6"/>
        <v>0.84444444444444444</v>
      </c>
      <c r="R21" s="194">
        <f t="shared" si="7"/>
        <v>0.40318302387267907</v>
      </c>
      <c r="S21" s="145">
        <f t="shared" si="5"/>
        <v>28</v>
      </c>
    </row>
    <row r="22" spans="1:19" ht="14.25" customHeight="1" x14ac:dyDescent="0.75">
      <c r="A22" s="50">
        <v>666530</v>
      </c>
      <c r="B22" s="192" t="s">
        <v>36</v>
      </c>
      <c r="C22" s="73" t="s">
        <v>37</v>
      </c>
      <c r="D22" s="50">
        <f t="shared" si="1"/>
        <v>114</v>
      </c>
      <c r="E22" s="50">
        <f>+Sheet18!E22+Sheet19!E22+Sheet22!E22+Sheet24!E22+Sheet29!E22</f>
        <v>0</v>
      </c>
      <c r="F22" s="50">
        <f>+Sheet18!F22+Sheet19!F22+Sheet22!F22+Sheet24!F22+Sheet29!F22</f>
        <v>0</v>
      </c>
      <c r="G22" s="76" t="e">
        <f>+F22/E22</f>
        <v>#DIV/0!</v>
      </c>
      <c r="H22" s="50">
        <f>+Sheet18!G22+Sheet19!G22+Sheet22!G22+Sheet24!G22+Sheet29!G22</f>
        <v>0</v>
      </c>
      <c r="I22" s="50">
        <f>+Sheet18!H22+Sheet19!H22+Sheet22!H22+Sheet24!H22+Sheet29!H22</f>
        <v>0</v>
      </c>
      <c r="J22" s="193"/>
      <c r="K22" s="50">
        <f>+Sheet18!I22+Sheet19!I22+Sheet22!I22+Sheet24!I22+Sheet29!I22</f>
        <v>114</v>
      </c>
      <c r="L22" s="50">
        <f>+Sheet18!J22+Sheet19!J22+Sheet22!J22+Sheet24!J22</f>
        <v>96</v>
      </c>
      <c r="M22" s="76">
        <f>+L22/K22</f>
        <v>0.84210526315789469</v>
      </c>
      <c r="N22" s="50">
        <f t="shared" si="2"/>
        <v>114</v>
      </c>
      <c r="O22" s="50">
        <f t="shared" si="0"/>
        <v>96</v>
      </c>
      <c r="P22" s="50">
        <v>117</v>
      </c>
      <c r="Q22" s="194">
        <f t="shared" si="6"/>
        <v>0.84210526315789469</v>
      </c>
      <c r="R22" s="194">
        <f t="shared" si="7"/>
        <v>0.82051282051282048</v>
      </c>
      <c r="S22" s="145">
        <f t="shared" si="5"/>
        <v>18</v>
      </c>
    </row>
    <row r="23" spans="1:19" ht="14.25" customHeight="1" x14ac:dyDescent="0.75">
      <c r="A23" s="50">
        <v>666531</v>
      </c>
      <c r="B23" s="192" t="s">
        <v>38</v>
      </c>
      <c r="C23" s="73" t="s">
        <v>39</v>
      </c>
      <c r="D23" s="50">
        <f t="shared" si="1"/>
        <v>140</v>
      </c>
      <c r="E23" s="50">
        <f>+Sheet18!E23+Sheet19!E23+Sheet22!E23+Sheet24!E23+Sheet29!E23</f>
        <v>100</v>
      </c>
      <c r="F23" s="50">
        <f>+Sheet18!F23+Sheet19!F23+Sheet22!F23+Sheet24!F23+Sheet29!F23</f>
        <v>100</v>
      </c>
      <c r="G23" s="76">
        <f>+F23/E23</f>
        <v>1</v>
      </c>
      <c r="H23" s="50">
        <f>+Sheet18!G23+Sheet19!G23+Sheet22!G23+Sheet24!G23+Sheet29!G23</f>
        <v>0</v>
      </c>
      <c r="I23" s="50">
        <f>+Sheet18!H23+Sheet19!H23+Sheet22!H23+Sheet24!H23+Sheet29!H23</f>
        <v>0</v>
      </c>
      <c r="J23" s="193"/>
      <c r="K23" s="50">
        <f>+Sheet18!I23+Sheet19!I23+Sheet22!I23+Sheet24!I23+Sheet29!I23</f>
        <v>40</v>
      </c>
      <c r="L23" s="50">
        <f>+Sheet18!J23+Sheet19!J23+Sheet22!J23+Sheet24!J23</f>
        <v>32</v>
      </c>
      <c r="M23" s="76">
        <f>+L23/K23</f>
        <v>0.8</v>
      </c>
      <c r="N23" s="50">
        <f t="shared" si="2"/>
        <v>140</v>
      </c>
      <c r="O23" s="50">
        <f t="shared" si="0"/>
        <v>132</v>
      </c>
      <c r="P23" s="50">
        <v>156</v>
      </c>
      <c r="Q23" s="194">
        <f t="shared" si="6"/>
        <v>0.94285714285714284</v>
      </c>
      <c r="R23" s="194">
        <f t="shared" si="7"/>
        <v>0.84615384615384615</v>
      </c>
      <c r="S23" s="145">
        <f t="shared" si="5"/>
        <v>8</v>
      </c>
    </row>
    <row r="24" spans="1:19" ht="14.25" customHeight="1" x14ac:dyDescent="0.75">
      <c r="A24" s="50">
        <v>666540</v>
      </c>
      <c r="B24" s="192" t="s">
        <v>40</v>
      </c>
      <c r="C24" s="73" t="s">
        <v>40</v>
      </c>
      <c r="D24" s="50">
        <f t="shared" si="1"/>
        <v>200</v>
      </c>
      <c r="E24" s="50">
        <f>+Sheet18!E24+Sheet19!E24+Sheet22!E24+Sheet24!E24+Sheet29!E24</f>
        <v>0</v>
      </c>
      <c r="F24" s="50">
        <f>+Sheet18!F24+Sheet19!F24+Sheet22!F24+Sheet24!F24+Sheet29!F24</f>
        <v>0</v>
      </c>
      <c r="G24" s="76"/>
      <c r="H24" s="50">
        <f>+Sheet18!G24+Sheet19!G24+Sheet22!G24+Sheet24!G24+Sheet29!G24</f>
        <v>200</v>
      </c>
      <c r="I24" s="50">
        <f>+Sheet18!H24+Sheet19!H24+Sheet22!H24+Sheet24!H24+Sheet29!H24</f>
        <v>2</v>
      </c>
      <c r="J24" s="193">
        <f>+I24/H24</f>
        <v>0.01</v>
      </c>
      <c r="K24" s="50">
        <f>+Sheet18!I24+Sheet19!I24+Sheet22!I24+Sheet24!I24+Sheet29!I24</f>
        <v>0</v>
      </c>
      <c r="L24" s="50">
        <f>+Sheet18!J24+Sheet19!J24+Sheet22!J24+Sheet24!J24</f>
        <v>0</v>
      </c>
      <c r="M24" s="76"/>
      <c r="N24" s="50">
        <f t="shared" si="2"/>
        <v>200</v>
      </c>
      <c r="O24" s="50">
        <f t="shared" si="0"/>
        <v>2</v>
      </c>
      <c r="P24" s="50">
        <v>1443</v>
      </c>
      <c r="Q24" s="194">
        <f t="shared" si="6"/>
        <v>0.01</v>
      </c>
      <c r="R24" s="194">
        <f t="shared" si="7"/>
        <v>1.386001386001386E-3</v>
      </c>
      <c r="S24" s="145">
        <f t="shared" si="5"/>
        <v>198</v>
      </c>
    </row>
    <row r="25" spans="1:19" ht="14.25" customHeight="1" x14ac:dyDescent="0.75">
      <c r="A25" s="50">
        <v>666541</v>
      </c>
      <c r="B25" s="192" t="s">
        <v>41</v>
      </c>
      <c r="C25" s="73" t="s">
        <v>41</v>
      </c>
      <c r="D25" s="50">
        <f t="shared" si="1"/>
        <v>3220</v>
      </c>
      <c r="E25" s="50">
        <f>+Sheet18!E25+Sheet19!E25+Sheet22!E25+Sheet24!E25+Sheet29!E25</f>
        <v>0</v>
      </c>
      <c r="F25" s="50">
        <f>+Sheet18!F25+Sheet19!F25+Sheet22!F25+Sheet24!F25+Sheet29!F25</f>
        <v>0</v>
      </c>
      <c r="G25" s="76"/>
      <c r="H25" s="50">
        <f>+Sheet18!G25+Sheet19!G25+Sheet22!G25+Sheet24!G25+Sheet29!G25</f>
        <v>3220</v>
      </c>
      <c r="I25" s="50">
        <f>+Sheet18!H25+Sheet19!H25+Sheet22!H25+Sheet24!H25+Sheet29!H25</f>
        <v>1957</v>
      </c>
      <c r="J25" s="193">
        <f>+I25/H25</f>
        <v>0.60776397515527947</v>
      </c>
      <c r="K25" s="50">
        <f>+Sheet18!I25+Sheet19!I25+Sheet22!I25+Sheet24!I25+Sheet29!I25</f>
        <v>0</v>
      </c>
      <c r="L25" s="50">
        <f>+Sheet18!J25+Sheet19!J25+Sheet22!J25+Sheet24!J25</f>
        <v>0</v>
      </c>
      <c r="M25" s="76"/>
      <c r="N25" s="50">
        <f t="shared" si="2"/>
        <v>3220</v>
      </c>
      <c r="O25" s="50">
        <f t="shared" si="0"/>
        <v>1957</v>
      </c>
      <c r="P25" s="50">
        <v>1326</v>
      </c>
      <c r="Q25" s="194">
        <f t="shared" si="6"/>
        <v>0.60776397515527947</v>
      </c>
      <c r="R25" s="194">
        <f t="shared" si="7"/>
        <v>1.4758672699849171</v>
      </c>
      <c r="S25" s="145">
        <f t="shared" si="5"/>
        <v>1263</v>
      </c>
    </row>
    <row r="26" spans="1:19" s="74" customFormat="1" ht="14.25" customHeight="1" x14ac:dyDescent="0.75">
      <c r="A26" s="74">
        <v>666536</v>
      </c>
      <c r="B26" s="196" t="s">
        <v>42</v>
      </c>
      <c r="C26" s="74" t="s">
        <v>43</v>
      </c>
      <c r="D26" s="50">
        <f t="shared" si="1"/>
        <v>176</v>
      </c>
      <c r="E26" s="50">
        <f>+Sheet18!E26+Sheet19!E26+Sheet22!E26+Sheet24!E26+Sheet29!E26</f>
        <v>176</v>
      </c>
      <c r="F26" s="50">
        <f>+Sheet18!F26+Sheet19!F26+Sheet22!F26+Sheet24!F26+Sheet29!F26</f>
        <v>81</v>
      </c>
      <c r="G26" s="76">
        <f>+F26/E26</f>
        <v>0.46022727272727271</v>
      </c>
      <c r="H26" s="50">
        <f>+Sheet18!G26+Sheet19!G26+Sheet22!G26+Sheet24!G26+Sheet29!G26</f>
        <v>0</v>
      </c>
      <c r="I26" s="50">
        <f>+Sheet18!H26+Sheet19!H26+Sheet22!H26+Sheet24!H26+Sheet29!H26</f>
        <v>0</v>
      </c>
      <c r="J26" s="193"/>
      <c r="K26" s="50">
        <f>+Sheet18!I26+Sheet19!I26+Sheet22!I26+Sheet24!I26+Sheet29!I26</f>
        <v>0</v>
      </c>
      <c r="L26" s="50">
        <f>+Sheet18!J26+Sheet19!J26+Sheet22!J26+Sheet24!J26</f>
        <v>0</v>
      </c>
      <c r="M26" s="76"/>
      <c r="N26" s="50">
        <f t="shared" si="2"/>
        <v>176</v>
      </c>
      <c r="O26" s="50">
        <f t="shared" si="0"/>
        <v>81</v>
      </c>
      <c r="P26" s="50">
        <v>130</v>
      </c>
      <c r="Q26" s="194">
        <f t="shared" si="6"/>
        <v>0.46022727272727271</v>
      </c>
      <c r="R26" s="194">
        <f t="shared" si="7"/>
        <v>0.62307692307692308</v>
      </c>
      <c r="S26" s="145">
        <f t="shared" si="5"/>
        <v>95</v>
      </c>
    </row>
    <row r="27" spans="1:19" ht="14.25" customHeight="1" x14ac:dyDescent="0.75">
      <c r="A27" s="145" t="str">
        <f>+Sheet22!$A$27</f>
        <v>666510-1</v>
      </c>
      <c r="B27" s="145" t="str">
        <f>+Sheet22!$B$27</f>
        <v>3'Jejunum</v>
      </c>
      <c r="C27" s="145" t="str">
        <f>+Sheet22!$C$27</f>
        <v>3'Jejunum</v>
      </c>
      <c r="D27" s="50">
        <f t="shared" si="1"/>
        <v>300</v>
      </c>
      <c r="E27" s="50">
        <f>+Sheet18!E27+Sheet19!E27+Sheet22!E27+Sheet24!E27+Sheet29!E27</f>
        <v>300</v>
      </c>
      <c r="F27" s="50">
        <f>+Sheet18!F27+Sheet19!F27+Sheet22!F27+Sheet24!F27+Sheet29!F27</f>
        <v>300</v>
      </c>
      <c r="G27" s="76">
        <f>+F27/E27</f>
        <v>1</v>
      </c>
      <c r="H27" s="50">
        <f>+Sheet18!G27+Sheet19!G27+Sheet22!G27+Sheet24!G27+Sheet29!G27</f>
        <v>0</v>
      </c>
      <c r="I27" s="50">
        <f>+Sheet18!H27+Sheet19!H27+Sheet22!H27+Sheet24!H27+Sheet29!H27</f>
        <v>0</v>
      </c>
      <c r="J27" s="193"/>
      <c r="K27" s="50">
        <f>+Sheet18!I27+Sheet19!I27+Sheet22!I27+Sheet24!I27+Sheet29!I27</f>
        <v>0</v>
      </c>
      <c r="L27" s="50">
        <f>+Sheet18!J27+Sheet19!J27+Sheet22!J27+Sheet24!J27</f>
        <v>0</v>
      </c>
      <c r="M27" s="76"/>
      <c r="N27" s="50">
        <f t="shared" si="2"/>
        <v>300</v>
      </c>
      <c r="O27" s="50">
        <f t="shared" si="0"/>
        <v>300</v>
      </c>
      <c r="P27" s="50">
        <v>1</v>
      </c>
      <c r="Q27" s="194">
        <f t="shared" si="6"/>
        <v>1</v>
      </c>
      <c r="R27" s="194">
        <f t="shared" si="7"/>
        <v>300</v>
      </c>
      <c r="S27" s="145">
        <f t="shared" si="5"/>
        <v>0</v>
      </c>
    </row>
    <row r="28" spans="1:19" ht="14.25" customHeight="1" x14ac:dyDescent="0.75">
      <c r="E28" s="145">
        <f>SUM(E7:E27)</f>
        <v>2871</v>
      </c>
      <c r="F28" s="145">
        <f>SUM(F7:F27)</f>
        <v>2729</v>
      </c>
      <c r="G28" s="76">
        <f>+F28/E28</f>
        <v>0.95053988157436431</v>
      </c>
      <c r="H28" s="145">
        <f>SUM(H7:H27)</f>
        <v>6287</v>
      </c>
      <c r="I28" s="145">
        <f>SUM(I7:I27)</f>
        <v>4566</v>
      </c>
      <c r="J28" s="197">
        <f>+I28/H28</f>
        <v>0.72626053761730558</v>
      </c>
      <c r="K28" s="145">
        <f>SUM(K7:K27)</f>
        <v>2024</v>
      </c>
      <c r="L28" s="145">
        <f>SUM(L7:L27)</f>
        <v>1636</v>
      </c>
      <c r="M28" s="194">
        <f>+L28/K28</f>
        <v>0.80830039525691699</v>
      </c>
      <c r="N28" s="145">
        <f>SUM(N7:N27)</f>
        <v>11182</v>
      </c>
      <c r="O28" s="145">
        <f>SUM(O7:O27)</f>
        <v>8931</v>
      </c>
      <c r="P28" s="145">
        <f>SUM(P7:P27)</f>
        <v>12780</v>
      </c>
      <c r="Q28" s="194">
        <f t="shared" si="6"/>
        <v>0.79869433017349312</v>
      </c>
      <c r="R28" s="194">
        <f t="shared" si="7"/>
        <v>0.6988262910798122</v>
      </c>
      <c r="S28" s="145">
        <f t="shared" si="5"/>
        <v>2251</v>
      </c>
    </row>
    <row r="33" spans="7:7" ht="14.25" customHeight="1" x14ac:dyDescent="0.75">
      <c r="G33" s="145" t="s">
        <v>152</v>
      </c>
    </row>
  </sheetData>
  <conditionalFormatting sqref="N6:N27">
    <cfRule type="cellIs" dxfId="51" priority="2" operator="equal">
      <formula>0</formula>
    </cfRule>
  </conditionalFormatting>
  <conditionalFormatting sqref="O5:O27">
    <cfRule type="expression" dxfId="50" priority="3">
      <formula>N5=O5</formula>
    </cfRule>
    <cfRule type="expression" dxfId="49" priority="4">
      <formula>N5&lt;O5</formula>
    </cfRule>
    <cfRule type="expression" dxfId="48" priority="5">
      <formula>N5&gt;O5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Q33"/>
  <sheetViews>
    <sheetView topLeftCell="H5" zoomScaleNormal="100" workbookViewId="0">
      <selection activeCell="M24" sqref="M24"/>
    </sheetView>
  </sheetViews>
  <sheetFormatPr defaultColWidth="8.54296875" defaultRowHeight="14.75" x14ac:dyDescent="0.75"/>
  <cols>
    <col min="2" max="2" width="37.453125" customWidth="1"/>
    <col min="3" max="3" width="15.2265625" customWidth="1"/>
  </cols>
  <sheetData>
    <row r="1" spans="1:17" ht="14.25" customHeight="1" x14ac:dyDescent="0.75">
      <c r="A1" s="1" t="s">
        <v>203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45"/>
      <c r="Q1" s="145"/>
    </row>
    <row r="2" spans="1:17" ht="36" customHeight="1" x14ac:dyDescent="0.75">
      <c r="A2" s="51"/>
      <c r="B2" s="51"/>
      <c r="C2" s="51"/>
      <c r="D2" s="53" t="s">
        <v>116</v>
      </c>
      <c r="E2" s="53" t="s">
        <v>145</v>
      </c>
      <c r="F2" s="53" t="s">
        <v>118</v>
      </c>
      <c r="G2" s="56" t="s">
        <v>119</v>
      </c>
      <c r="H2" s="53" t="s">
        <v>146</v>
      </c>
      <c r="I2" s="53" t="s">
        <v>121</v>
      </c>
      <c r="J2" s="51" t="s">
        <v>122</v>
      </c>
      <c r="K2" s="56" t="s">
        <v>147</v>
      </c>
      <c r="L2" s="56" t="s">
        <v>124</v>
      </c>
      <c r="M2" s="51" t="s">
        <v>112</v>
      </c>
      <c r="N2" s="53" t="s">
        <v>149</v>
      </c>
      <c r="O2" s="53" t="s">
        <v>204</v>
      </c>
      <c r="P2" s="191" t="s">
        <v>189</v>
      </c>
      <c r="Q2" s="191" t="s">
        <v>190</v>
      </c>
    </row>
    <row r="3" spans="1:17" ht="14.25" customHeight="1" x14ac:dyDescent="0.75">
      <c r="A3" s="50"/>
      <c r="B3" s="50"/>
      <c r="C3" s="57" t="s">
        <v>150</v>
      </c>
      <c r="D3" s="57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145"/>
      <c r="Q3" s="145"/>
    </row>
    <row r="4" spans="1:17" ht="14.25" customHeight="1" x14ac:dyDescent="0.75">
      <c r="A4" s="62" t="s">
        <v>129</v>
      </c>
      <c r="B4" s="62" t="s">
        <v>2</v>
      </c>
      <c r="C4" s="62" t="s">
        <v>3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145"/>
      <c r="Q4" s="145"/>
    </row>
    <row r="5" spans="1:17" ht="14.25" customHeight="1" x14ac:dyDescent="0.75">
      <c r="A5" s="62"/>
      <c r="B5" s="62"/>
      <c r="C5" s="62" t="s">
        <v>151</v>
      </c>
      <c r="D5" s="50">
        <f>+'Q2'!E5+'Q1 to Date'!E5</f>
        <v>0</v>
      </c>
      <c r="E5" s="50">
        <f>+'Q2'!F5+'Q1 to Date'!F5</f>
        <v>977</v>
      </c>
      <c r="F5" s="50"/>
      <c r="G5" s="50"/>
      <c r="H5" s="50">
        <f>+'Q2'!I5+'Q1 to Date'!I5</f>
        <v>5701</v>
      </c>
      <c r="I5" s="127"/>
      <c r="J5" s="50"/>
      <c r="K5" s="50">
        <f>+'Q2'!L5+'Q1 to Date'!L5</f>
        <v>705</v>
      </c>
      <c r="L5" s="50"/>
      <c r="M5" s="62" t="s">
        <v>152</v>
      </c>
      <c r="N5" s="50">
        <f t="shared" ref="N5:N27" si="0">+E5+H5+K5</f>
        <v>7383</v>
      </c>
      <c r="O5" s="62"/>
      <c r="P5" s="145"/>
      <c r="Q5" s="145"/>
    </row>
    <row r="6" spans="1:17" ht="14.25" customHeight="1" x14ac:dyDescent="0.75">
      <c r="A6" s="50">
        <v>666501</v>
      </c>
      <c r="B6" s="192" t="s">
        <v>4</v>
      </c>
      <c r="C6" s="73" t="s">
        <v>5</v>
      </c>
      <c r="D6" s="50">
        <f>+'Q2'!E6+'Q1 to Date'!E6</f>
        <v>534</v>
      </c>
      <c r="E6" s="50">
        <f>+'Q2'!F6+'Q1 to Date'!F6</f>
        <v>519</v>
      </c>
      <c r="F6" s="76">
        <f>+E6/D6</f>
        <v>0.9719101123595506</v>
      </c>
      <c r="G6" s="50">
        <f>+'Q2'!H6+'Q1 to Date'!H6</f>
        <v>5001</v>
      </c>
      <c r="H6" s="50">
        <f>+'Q2'!I6+'Q1 to Date'!I6</f>
        <v>4935</v>
      </c>
      <c r="I6" s="193">
        <f>+H6/G6</f>
        <v>0.98680263947210556</v>
      </c>
      <c r="J6" s="50">
        <f>+'Q2'!K6+'Q1 to Date'!K6</f>
        <v>486</v>
      </c>
      <c r="K6" s="50">
        <f>+'Q2'!L6+'Q1 to Date'!L6</f>
        <v>417</v>
      </c>
      <c r="L6" s="76">
        <f>+K6/J6</f>
        <v>0.85802469135802473</v>
      </c>
      <c r="M6" s="50">
        <f t="shared" ref="M6:M27" si="1">+J6+G6+D6</f>
        <v>6021</v>
      </c>
      <c r="N6" s="50">
        <f t="shared" si="0"/>
        <v>5871</v>
      </c>
      <c r="O6" s="50">
        <f>+'Q2'!P6+'Q1 to Date'!P6</f>
        <v>6361</v>
      </c>
      <c r="P6" s="194">
        <f t="shared" ref="P6:P11" si="2">+N6/M6</f>
        <v>0.97508719481813655</v>
      </c>
      <c r="Q6" s="194">
        <f t="shared" ref="Q6:Q11" si="3">+N6/O6</f>
        <v>0.92296808677880837</v>
      </c>
    </row>
    <row r="7" spans="1:17" ht="14.25" customHeight="1" x14ac:dyDescent="0.75">
      <c r="A7" s="50">
        <v>666502</v>
      </c>
      <c r="B7" s="192" t="s">
        <v>6</v>
      </c>
      <c r="C7" s="73" t="s">
        <v>7</v>
      </c>
      <c r="D7" s="50">
        <f>+'Q2'!E7+'Q1 to Date'!E7</f>
        <v>0</v>
      </c>
      <c r="E7" s="50">
        <f>+'Q2'!F7+'Q1 to Date'!F7</f>
        <v>0</v>
      </c>
      <c r="F7" s="76"/>
      <c r="G7" s="50">
        <f>+'Q2'!H7+'Q1 to Date'!H7</f>
        <v>3370</v>
      </c>
      <c r="H7" s="50">
        <f>+'Q2'!I7+'Q1 to Date'!I7</f>
        <v>3082</v>
      </c>
      <c r="I7" s="193">
        <f>+H7/G7</f>
        <v>0.91454005934718097</v>
      </c>
      <c r="J7" s="50">
        <f>+'Q2'!K7+'Q1 to Date'!K7</f>
        <v>786</v>
      </c>
      <c r="K7" s="50">
        <f>+'Q2'!L7+'Q1 to Date'!L7</f>
        <v>634</v>
      </c>
      <c r="L7" s="76">
        <f>+K7/J7</f>
        <v>0.80661577608142498</v>
      </c>
      <c r="M7" s="50">
        <f t="shared" si="1"/>
        <v>4156</v>
      </c>
      <c r="N7" s="50">
        <f t="shared" si="0"/>
        <v>3716</v>
      </c>
      <c r="O7" s="50">
        <f>+'Q2'!P7+'Q1 to Date'!P7</f>
        <v>2373</v>
      </c>
      <c r="P7" s="194">
        <f t="shared" si="2"/>
        <v>0.89412897016361892</v>
      </c>
      <c r="Q7" s="194">
        <f t="shared" si="3"/>
        <v>1.5659502739148756</v>
      </c>
    </row>
    <row r="8" spans="1:17" ht="14.25" customHeight="1" x14ac:dyDescent="0.75">
      <c r="A8" s="50">
        <v>666505</v>
      </c>
      <c r="B8" s="192" t="s">
        <v>8</v>
      </c>
      <c r="C8" s="73" t="s">
        <v>9</v>
      </c>
      <c r="D8" s="50">
        <f>+'Q2'!E8+'Q1 to Date'!E8</f>
        <v>220</v>
      </c>
      <c r="E8" s="50">
        <f>+'Q2'!F8+'Q1 to Date'!F8</f>
        <v>220</v>
      </c>
      <c r="F8" s="76">
        <f>+E8/D8</f>
        <v>1</v>
      </c>
      <c r="G8" s="50">
        <f>+'Q2'!H8+'Q1 to Date'!H8</f>
        <v>0</v>
      </c>
      <c r="H8" s="50">
        <f>+'Q2'!I8+'Q1 to Date'!I8</f>
        <v>0</v>
      </c>
      <c r="I8" s="193"/>
      <c r="J8" s="50">
        <f>+'Q2'!K8+'Q1 to Date'!K8</f>
        <v>470</v>
      </c>
      <c r="K8" s="50">
        <f>+'Q2'!L8+'Q1 to Date'!L8</f>
        <v>401</v>
      </c>
      <c r="L8" s="76">
        <f>+K8/J8</f>
        <v>0.85319148936170208</v>
      </c>
      <c r="M8" s="50">
        <f t="shared" si="1"/>
        <v>690</v>
      </c>
      <c r="N8" s="50">
        <f t="shared" si="0"/>
        <v>621</v>
      </c>
      <c r="O8" s="50">
        <f>+'Q2'!P8+'Q1 to Date'!P8</f>
        <v>406</v>
      </c>
      <c r="P8" s="194">
        <f t="shared" si="2"/>
        <v>0.9</v>
      </c>
      <c r="Q8" s="194">
        <f t="shared" si="3"/>
        <v>1.5295566502463054</v>
      </c>
    </row>
    <row r="9" spans="1:17" ht="14.25" customHeight="1" x14ac:dyDescent="0.75">
      <c r="A9" s="50">
        <v>666506</v>
      </c>
      <c r="B9" s="192" t="s">
        <v>10</v>
      </c>
      <c r="C9" s="73" t="s">
        <v>11</v>
      </c>
      <c r="D9" s="50">
        <f>+'Q2'!E9+'Q1 to Date'!E9</f>
        <v>0</v>
      </c>
      <c r="E9" s="50">
        <f>+'Q2'!F9+'Q1 to Date'!F9</f>
        <v>0</v>
      </c>
      <c r="F9" s="76"/>
      <c r="G9" s="50">
        <f>+'Q2'!H9+'Q1 to Date'!H9</f>
        <v>3001</v>
      </c>
      <c r="H9" s="50">
        <f>+'Q2'!I9+'Q1 to Date'!I9</f>
        <v>1733</v>
      </c>
      <c r="I9" s="193">
        <f>+H9/G9</f>
        <v>0.57747417527490841</v>
      </c>
      <c r="J9" s="50">
        <f>+'Q2'!K9+'Q1 to Date'!K9</f>
        <v>0</v>
      </c>
      <c r="K9" s="50">
        <f>+'Q2'!L9+'Q1 to Date'!L9</f>
        <v>0</v>
      </c>
      <c r="L9" s="76"/>
      <c r="M9" s="50">
        <f t="shared" si="1"/>
        <v>3001</v>
      </c>
      <c r="N9" s="50">
        <f t="shared" si="0"/>
        <v>1733</v>
      </c>
      <c r="O9" s="50">
        <f>+'Q2'!P9+'Q1 to Date'!P9</f>
        <v>1941</v>
      </c>
      <c r="P9" s="194">
        <f t="shared" si="2"/>
        <v>0.57747417527490841</v>
      </c>
      <c r="Q9" s="194">
        <f t="shared" si="3"/>
        <v>0.89283874291602272</v>
      </c>
    </row>
    <row r="10" spans="1:17" ht="14.25" customHeight="1" x14ac:dyDescent="0.75">
      <c r="A10" s="50">
        <v>666507</v>
      </c>
      <c r="B10" s="192" t="s">
        <v>12</v>
      </c>
      <c r="C10" s="73" t="s">
        <v>13</v>
      </c>
      <c r="D10" s="50">
        <f>+'Q2'!E10+'Q1 to Date'!E10</f>
        <v>400</v>
      </c>
      <c r="E10" s="50">
        <f>+'Q2'!F10+'Q1 to Date'!F10</f>
        <v>392</v>
      </c>
      <c r="F10" s="76">
        <f>+E10/D10</f>
        <v>0.98</v>
      </c>
      <c r="G10" s="50">
        <f>+'Q2'!H10+'Q1 to Date'!H10</f>
        <v>0</v>
      </c>
      <c r="H10" s="50">
        <f>+'Q2'!I10+'Q1 to Date'!I10</f>
        <v>0</v>
      </c>
      <c r="I10" s="193"/>
      <c r="J10" s="50">
        <f>+'Q2'!K10+'Q1 to Date'!K10</f>
        <v>0</v>
      </c>
      <c r="K10" s="50">
        <f>+'Q2'!L10+'Q1 to Date'!L10</f>
        <v>0</v>
      </c>
      <c r="L10" s="76"/>
      <c r="M10" s="50">
        <f t="shared" si="1"/>
        <v>400</v>
      </c>
      <c r="N10" s="50">
        <f t="shared" si="0"/>
        <v>392</v>
      </c>
      <c r="O10" s="50">
        <f>+'Q2'!P10+'Q1 to Date'!P10</f>
        <v>283</v>
      </c>
      <c r="P10" s="194">
        <f t="shared" si="2"/>
        <v>0.98</v>
      </c>
      <c r="Q10" s="194">
        <f t="shared" si="3"/>
        <v>1.3851590106007068</v>
      </c>
    </row>
    <row r="11" spans="1:17" ht="14.25" customHeight="1" x14ac:dyDescent="0.75">
      <c r="A11" s="50">
        <v>666509</v>
      </c>
      <c r="B11" s="192" t="s">
        <v>14</v>
      </c>
      <c r="C11" s="73" t="s">
        <v>15</v>
      </c>
      <c r="D11" s="50">
        <f>+'Q2'!E11+'Q1 to Date'!E11</f>
        <v>950</v>
      </c>
      <c r="E11" s="50">
        <f>+'Q2'!F11+'Q1 to Date'!F11</f>
        <v>881</v>
      </c>
      <c r="F11" s="76">
        <f>+E11/D11</f>
        <v>0.92736842105263162</v>
      </c>
      <c r="G11" s="50">
        <f>+'Q2'!H11+'Q1 to Date'!H11</f>
        <v>0</v>
      </c>
      <c r="H11" s="50">
        <f>+'Q2'!I11+'Q1 to Date'!I11</f>
        <v>0</v>
      </c>
      <c r="I11" s="193"/>
      <c r="J11" s="50">
        <f>+'Q2'!K11+'Q1 to Date'!K11</f>
        <v>0</v>
      </c>
      <c r="K11" s="50">
        <f>+'Q2'!L11+'Q1 to Date'!L11</f>
        <v>0</v>
      </c>
      <c r="L11" s="76"/>
      <c r="M11" s="50">
        <f t="shared" si="1"/>
        <v>950</v>
      </c>
      <c r="N11" s="50">
        <f t="shared" si="0"/>
        <v>881</v>
      </c>
      <c r="O11" s="50">
        <f>+'Q2'!P11+'Q1 to Date'!P11</f>
        <v>704</v>
      </c>
      <c r="P11" s="194">
        <f t="shared" si="2"/>
        <v>0.92736842105263162</v>
      </c>
      <c r="Q11" s="194">
        <f t="shared" si="3"/>
        <v>1.2514204545454546</v>
      </c>
    </row>
    <row r="12" spans="1:17" ht="14.25" customHeight="1" x14ac:dyDescent="0.75">
      <c r="A12" s="50">
        <v>666510</v>
      </c>
      <c r="B12" s="192" t="s">
        <v>16</v>
      </c>
      <c r="C12" s="73" t="s">
        <v>169</v>
      </c>
      <c r="D12" s="50">
        <f>+'Q2'!E12+'Q1 to Date'!E12</f>
        <v>0</v>
      </c>
      <c r="E12" s="50">
        <f>+'Q2'!F12+'Q1 to Date'!F12</f>
        <v>0</v>
      </c>
      <c r="F12" s="76"/>
      <c r="G12" s="50">
        <f>+'Q2'!H12+'Q1 to Date'!H12</f>
        <v>0</v>
      </c>
      <c r="H12" s="50">
        <f>+'Q2'!I12+'Q1 to Date'!I12</f>
        <v>0</v>
      </c>
      <c r="I12" s="193"/>
      <c r="J12" s="50">
        <f>+'Q2'!K12+'Q1 to Date'!K12</f>
        <v>0</v>
      </c>
      <c r="K12" s="50">
        <f>+'Q2'!L12+'Q1 to Date'!L12</f>
        <v>0</v>
      </c>
      <c r="L12" s="76"/>
      <c r="M12" s="50">
        <f t="shared" si="1"/>
        <v>0</v>
      </c>
      <c r="N12" s="50">
        <f t="shared" si="0"/>
        <v>0</v>
      </c>
      <c r="O12" s="50">
        <f>+'Q2'!P12+'Q1 to Date'!P12</f>
        <v>212</v>
      </c>
      <c r="P12" s="194"/>
      <c r="Q12" s="194"/>
    </row>
    <row r="13" spans="1:17" ht="14.25" customHeight="1" x14ac:dyDescent="0.75">
      <c r="A13" s="50">
        <v>666511</v>
      </c>
      <c r="B13" s="192" t="s">
        <v>18</v>
      </c>
      <c r="C13" s="73" t="s">
        <v>19</v>
      </c>
      <c r="D13" s="50">
        <f>+'Q2'!E13+'Q1 to Date'!E13</f>
        <v>80</v>
      </c>
      <c r="E13" s="50">
        <f>+'Q2'!F13+'Q1 to Date'!F13</f>
        <v>80</v>
      </c>
      <c r="F13" s="76">
        <f>+E13/D13</f>
        <v>1</v>
      </c>
      <c r="G13" s="50">
        <f>+'Q2'!H13+'Q1 to Date'!H13</f>
        <v>0</v>
      </c>
      <c r="H13" s="50">
        <f>+'Q2'!I13+'Q1 to Date'!I13</f>
        <v>0</v>
      </c>
      <c r="I13" s="193"/>
      <c r="J13" s="50">
        <f>+'Q2'!K13+'Q1 to Date'!K13</f>
        <v>0</v>
      </c>
      <c r="K13" s="50">
        <f>+'Q2'!L13+'Q1 to Date'!L13</f>
        <v>0</v>
      </c>
      <c r="L13" s="76"/>
      <c r="M13" s="50">
        <f t="shared" si="1"/>
        <v>80</v>
      </c>
      <c r="N13" s="50">
        <f t="shared" si="0"/>
        <v>80</v>
      </c>
      <c r="O13" s="50">
        <f>+'Q2'!P13+'Q1 to Date'!P13</f>
        <v>56</v>
      </c>
      <c r="P13" s="194">
        <f>+N13/M13</f>
        <v>1</v>
      </c>
      <c r="Q13" s="194">
        <f>+N13/O13</f>
        <v>1.4285714285714286</v>
      </c>
    </row>
    <row r="14" spans="1:17" ht="14.25" customHeight="1" x14ac:dyDescent="0.75">
      <c r="A14" s="50">
        <v>666513</v>
      </c>
      <c r="B14" s="192" t="s">
        <v>20</v>
      </c>
      <c r="C14" s="73" t="s">
        <v>21</v>
      </c>
      <c r="D14" s="50">
        <f>+'Q2'!E14+'Q1 to Date'!E14</f>
        <v>62</v>
      </c>
      <c r="E14" s="50">
        <f>+'Q2'!F14+'Q1 to Date'!F14</f>
        <v>62</v>
      </c>
      <c r="F14" s="76">
        <f>+E14/D14</f>
        <v>1</v>
      </c>
      <c r="G14" s="50">
        <f>+'Q2'!H14+'Q1 to Date'!H14</f>
        <v>0</v>
      </c>
      <c r="H14" s="50">
        <f>+'Q2'!I14+'Q1 to Date'!I14</f>
        <v>0</v>
      </c>
      <c r="I14" s="193"/>
      <c r="J14" s="50">
        <f>+'Q2'!K14+'Q1 to Date'!K14</f>
        <v>148</v>
      </c>
      <c r="K14" s="50">
        <f>+'Q2'!L14+'Q1 to Date'!L14</f>
        <v>68</v>
      </c>
      <c r="L14" s="76">
        <f>+K14/J14</f>
        <v>0.45945945945945948</v>
      </c>
      <c r="M14" s="50">
        <f t="shared" si="1"/>
        <v>210</v>
      </c>
      <c r="N14" s="50">
        <f t="shared" si="0"/>
        <v>130</v>
      </c>
      <c r="O14" s="50">
        <f>+'Q2'!P14+'Q1 to Date'!P14</f>
        <v>242</v>
      </c>
      <c r="P14" s="194">
        <f>+N14/M14</f>
        <v>0.61904761904761907</v>
      </c>
      <c r="Q14" s="194">
        <f>+N14/O14</f>
        <v>0.53719008264462809</v>
      </c>
    </row>
    <row r="15" spans="1:17" ht="14.25" customHeight="1" x14ac:dyDescent="0.75">
      <c r="A15" s="50">
        <v>666516</v>
      </c>
      <c r="B15" s="192" t="s">
        <v>22</v>
      </c>
      <c r="C15" s="73" t="s">
        <v>23</v>
      </c>
      <c r="D15" s="50">
        <f>+'Q2'!E15+'Q1 to Date'!E15</f>
        <v>299</v>
      </c>
      <c r="E15" s="50">
        <f>+'Q2'!F15+'Q1 to Date'!F15</f>
        <v>299</v>
      </c>
      <c r="F15" s="76">
        <f>+E15/D15</f>
        <v>1</v>
      </c>
      <c r="G15" s="50">
        <f>+'Q2'!H15+'Q1 to Date'!H15</f>
        <v>0</v>
      </c>
      <c r="H15" s="50">
        <f>+'Q2'!I15+'Q1 to Date'!I15</f>
        <v>0</v>
      </c>
      <c r="I15" s="193"/>
      <c r="J15" s="50">
        <f>+'Q2'!K15+'Q1 to Date'!K15</f>
        <v>319</v>
      </c>
      <c r="K15" s="50">
        <f>+'Q2'!L15+'Q1 to Date'!L15</f>
        <v>255</v>
      </c>
      <c r="L15" s="76">
        <f>+K15/J15</f>
        <v>0.79937304075235105</v>
      </c>
      <c r="M15" s="50">
        <f t="shared" si="1"/>
        <v>618</v>
      </c>
      <c r="N15" s="50">
        <f t="shared" si="0"/>
        <v>554</v>
      </c>
      <c r="O15" s="50">
        <f>+'Q2'!P15+'Q1 to Date'!P15</f>
        <v>721</v>
      </c>
      <c r="P15" s="194">
        <f>+N15/M15</f>
        <v>0.8964401294498382</v>
      </c>
      <c r="Q15" s="194">
        <f>+N15/O15</f>
        <v>0.76837725381414701</v>
      </c>
    </row>
    <row r="16" spans="1:17" ht="14.25" customHeight="1" x14ac:dyDescent="0.75">
      <c r="A16" s="50">
        <v>666517</v>
      </c>
      <c r="B16" s="192" t="s">
        <v>24</v>
      </c>
      <c r="C16" s="73" t="s">
        <v>25</v>
      </c>
      <c r="D16" s="50">
        <f>+'Q2'!E16+'Q1 to Date'!E16</f>
        <v>437</v>
      </c>
      <c r="E16" s="50">
        <f>+'Q2'!F16+'Q1 to Date'!F16</f>
        <v>436</v>
      </c>
      <c r="F16" s="76">
        <f>+E16/D16</f>
        <v>0.99771167048054921</v>
      </c>
      <c r="G16" s="50">
        <f>+'Q2'!H16+'Q1 to Date'!H16</f>
        <v>0</v>
      </c>
      <c r="H16" s="50">
        <f>+'Q2'!I16+'Q1 to Date'!I16</f>
        <v>0</v>
      </c>
      <c r="I16" s="193"/>
      <c r="J16" s="50">
        <f>+'Q2'!K16+'Q1 to Date'!K16</f>
        <v>195</v>
      </c>
      <c r="K16" s="50">
        <f>+'Q2'!L16+'Q1 to Date'!L16</f>
        <v>156</v>
      </c>
      <c r="L16" s="76">
        <f>+K16/J16</f>
        <v>0.8</v>
      </c>
      <c r="M16" s="50">
        <f t="shared" si="1"/>
        <v>632</v>
      </c>
      <c r="N16" s="50">
        <f t="shared" si="0"/>
        <v>592</v>
      </c>
      <c r="O16" s="50">
        <f>+'Q2'!P16+'Q1 to Date'!P16</f>
        <v>708</v>
      </c>
      <c r="P16" s="194">
        <f>+N16/M16</f>
        <v>0.93670886075949367</v>
      </c>
      <c r="Q16" s="194">
        <f>+N16/O16</f>
        <v>0.83615819209039544</v>
      </c>
    </row>
    <row r="17" spans="1:17" ht="14.25" customHeight="1" x14ac:dyDescent="0.75">
      <c r="A17" s="50">
        <v>666518</v>
      </c>
      <c r="B17" s="192" t="s">
        <v>26</v>
      </c>
      <c r="C17" s="73" t="s">
        <v>27</v>
      </c>
      <c r="D17" s="50">
        <f>+'Q2'!E17+'Q1 to Date'!E17</f>
        <v>0</v>
      </c>
      <c r="E17" s="50">
        <f>+'Q2'!F17+'Q1 to Date'!F17</f>
        <v>0</v>
      </c>
      <c r="F17" s="76"/>
      <c r="G17" s="50">
        <f>+'Q2'!H17+'Q1 to Date'!H17</f>
        <v>0</v>
      </c>
      <c r="H17" s="50">
        <f>+'Q2'!I17+'Q1 to Date'!I17</f>
        <v>0</v>
      </c>
      <c r="I17" s="193"/>
      <c r="J17" s="50">
        <f>+'Q2'!K17+'Q1 to Date'!K17</f>
        <v>0</v>
      </c>
      <c r="K17" s="50">
        <f>+'Q2'!L17+'Q1 to Date'!L17</f>
        <v>0</v>
      </c>
      <c r="L17" s="76"/>
      <c r="M17" s="50">
        <f t="shared" si="1"/>
        <v>0</v>
      </c>
      <c r="N17" s="50">
        <f t="shared" si="0"/>
        <v>0</v>
      </c>
      <c r="O17" s="50">
        <f>+'Q2'!P17+'Q1 to Date'!P17</f>
        <v>598</v>
      </c>
      <c r="P17" s="194"/>
      <c r="Q17" s="194"/>
    </row>
    <row r="18" spans="1:17" ht="14.25" customHeight="1" x14ac:dyDescent="0.75">
      <c r="A18" s="50">
        <v>666519</v>
      </c>
      <c r="B18" s="192" t="s">
        <v>28</v>
      </c>
      <c r="C18" s="73" t="s">
        <v>29</v>
      </c>
      <c r="D18" s="50">
        <f>+'Q2'!E18+'Q1 to Date'!E18</f>
        <v>348</v>
      </c>
      <c r="E18" s="50">
        <f>+'Q2'!F18+'Q1 to Date'!F18</f>
        <v>348</v>
      </c>
      <c r="F18" s="76">
        <f>+E18/D18</f>
        <v>1</v>
      </c>
      <c r="G18" s="50">
        <f>+'Q2'!H18+'Q1 to Date'!H18</f>
        <v>0</v>
      </c>
      <c r="H18" s="50">
        <f>+'Q2'!I18+'Q1 to Date'!I18</f>
        <v>0</v>
      </c>
      <c r="I18" s="193"/>
      <c r="J18" s="50">
        <f>+'Q2'!K18+'Q1 to Date'!K18</f>
        <v>348</v>
      </c>
      <c r="K18" s="50">
        <f>+'Q2'!L18+'Q1 to Date'!L18</f>
        <v>268</v>
      </c>
      <c r="L18" s="76">
        <f>+K18/J18</f>
        <v>0.77011494252873558</v>
      </c>
      <c r="M18" s="50">
        <f t="shared" si="1"/>
        <v>696</v>
      </c>
      <c r="N18" s="50">
        <f t="shared" si="0"/>
        <v>616</v>
      </c>
      <c r="O18" s="50">
        <f>+'Q2'!P18+'Q1 to Date'!P18</f>
        <v>419</v>
      </c>
      <c r="P18" s="194">
        <f t="shared" ref="P18:P28" si="4">+N18/M18</f>
        <v>0.88505747126436785</v>
      </c>
      <c r="Q18" s="194">
        <f t="shared" ref="Q18:Q28" si="5">+N18/O18</f>
        <v>1.4701670644391409</v>
      </c>
    </row>
    <row r="19" spans="1:17" ht="14.25" customHeight="1" x14ac:dyDescent="0.75">
      <c r="A19" s="50">
        <v>666521</v>
      </c>
      <c r="B19" s="192" t="s">
        <v>30</v>
      </c>
      <c r="C19" s="73" t="s">
        <v>31</v>
      </c>
      <c r="D19" s="50">
        <f>+'Q2'!E19+'Q1 to Date'!E19</f>
        <v>592</v>
      </c>
      <c r="E19" s="50">
        <f>+'Q2'!F19+'Q1 to Date'!F19</f>
        <v>525</v>
      </c>
      <c r="F19" s="76">
        <f>+E19/D19</f>
        <v>0.88682432432432434</v>
      </c>
      <c r="G19" s="50">
        <f>+'Q2'!H19+'Q1 to Date'!H19</f>
        <v>0</v>
      </c>
      <c r="H19" s="50">
        <f>+'Q2'!I19+'Q1 to Date'!I19</f>
        <v>0</v>
      </c>
      <c r="I19" s="193"/>
      <c r="J19" s="50">
        <f>+'Q2'!K19+'Q1 to Date'!K19</f>
        <v>0</v>
      </c>
      <c r="K19" s="50">
        <f>+'Q2'!L19+'Q1 to Date'!L19</f>
        <v>0</v>
      </c>
      <c r="L19" s="76"/>
      <c r="M19" s="50">
        <f t="shared" si="1"/>
        <v>592</v>
      </c>
      <c r="N19" s="50">
        <f t="shared" si="0"/>
        <v>525</v>
      </c>
      <c r="O19" s="50">
        <f>+'Q2'!P19+'Q1 to Date'!P19</f>
        <v>343</v>
      </c>
      <c r="P19" s="194">
        <f t="shared" si="4"/>
        <v>0.88682432432432434</v>
      </c>
      <c r="Q19" s="194">
        <f t="shared" si="5"/>
        <v>1.5306122448979591</v>
      </c>
    </row>
    <row r="20" spans="1:17" ht="14.25" customHeight="1" x14ac:dyDescent="0.75">
      <c r="A20" s="50">
        <v>666522</v>
      </c>
      <c r="B20" s="192" t="s">
        <v>32</v>
      </c>
      <c r="C20" s="73" t="s">
        <v>33</v>
      </c>
      <c r="D20" s="50">
        <f>+'Q2'!E20+'Q1 to Date'!E20</f>
        <v>1750</v>
      </c>
      <c r="E20" s="50">
        <f>+'Q2'!F20+'Q1 to Date'!F20</f>
        <v>1750</v>
      </c>
      <c r="F20" s="76">
        <f>+E20/D20</f>
        <v>1</v>
      </c>
      <c r="G20" s="50">
        <f>+'Q2'!H20+'Q1 to Date'!H20</f>
        <v>1630</v>
      </c>
      <c r="H20" s="50">
        <f>+'Q2'!I20+'Q1 to Date'!I20</f>
        <v>1630</v>
      </c>
      <c r="I20" s="193">
        <f>+H20/G20</f>
        <v>1</v>
      </c>
      <c r="J20" s="50">
        <f>+'Q2'!K20+'Q1 to Date'!K20</f>
        <v>1145</v>
      </c>
      <c r="K20" s="50">
        <f>+'Q2'!L20+'Q1 to Date'!L20</f>
        <v>940</v>
      </c>
      <c r="L20" s="76">
        <f>+K20/J20</f>
        <v>0.82096069868995636</v>
      </c>
      <c r="M20" s="50">
        <f t="shared" si="1"/>
        <v>4525</v>
      </c>
      <c r="N20" s="50">
        <f t="shared" si="0"/>
        <v>4320</v>
      </c>
      <c r="O20" s="50">
        <f>+'Q2'!P20+'Q1 to Date'!P20</f>
        <v>4437</v>
      </c>
      <c r="P20" s="194">
        <f t="shared" si="4"/>
        <v>0.95469613259668507</v>
      </c>
      <c r="Q20" s="194">
        <f t="shared" si="5"/>
        <v>0.97363083164300201</v>
      </c>
    </row>
    <row r="21" spans="1:17" ht="14.25" customHeight="1" x14ac:dyDescent="0.75">
      <c r="A21" s="50">
        <v>666523</v>
      </c>
      <c r="B21" s="192" t="s">
        <v>34</v>
      </c>
      <c r="C21" s="73" t="s">
        <v>35</v>
      </c>
      <c r="D21" s="50">
        <f>+'Q2'!E21+'Q1 to Date'!E21</f>
        <v>0</v>
      </c>
      <c r="E21" s="50">
        <f>+'Q2'!F21+'Q1 to Date'!F21</f>
        <v>0</v>
      </c>
      <c r="F21" s="76"/>
      <c r="G21" s="50">
        <f>+'Q2'!H21+'Q1 to Date'!H21</f>
        <v>374</v>
      </c>
      <c r="H21" s="50">
        <f>+'Q2'!I21+'Q1 to Date'!I21</f>
        <v>374</v>
      </c>
      <c r="I21" s="195">
        <f>+H21/G21</f>
        <v>1</v>
      </c>
      <c r="J21" s="50">
        <f>+'Q2'!K21+'Q1 to Date'!K21</f>
        <v>274</v>
      </c>
      <c r="K21" s="50">
        <f>+'Q2'!L21+'Q1 to Date'!L21</f>
        <v>209</v>
      </c>
      <c r="L21" s="76">
        <f>+K21/J21</f>
        <v>0.76277372262773724</v>
      </c>
      <c r="M21" s="50">
        <f t="shared" si="1"/>
        <v>648</v>
      </c>
      <c r="N21" s="50">
        <f t="shared" si="0"/>
        <v>583</v>
      </c>
      <c r="O21" s="50">
        <f>+'Q2'!P21+'Q1 to Date'!P21</f>
        <v>419</v>
      </c>
      <c r="P21" s="194">
        <f t="shared" si="4"/>
        <v>0.89969135802469136</v>
      </c>
      <c r="Q21" s="194">
        <f t="shared" si="5"/>
        <v>1.3914081145584725</v>
      </c>
    </row>
    <row r="22" spans="1:17" ht="14.25" customHeight="1" x14ac:dyDescent="0.75">
      <c r="A22" s="50">
        <v>666530</v>
      </c>
      <c r="B22" s="192" t="s">
        <v>36</v>
      </c>
      <c r="C22" s="73" t="s">
        <v>37</v>
      </c>
      <c r="D22" s="50">
        <f>+'Q2'!E22+'Q1 to Date'!E22</f>
        <v>34</v>
      </c>
      <c r="E22" s="50">
        <f>+'Q2'!F22+'Q1 to Date'!F22</f>
        <v>34</v>
      </c>
      <c r="F22" s="76">
        <f>+E22/D22</f>
        <v>1</v>
      </c>
      <c r="G22" s="50">
        <f>+'Q2'!H22+'Q1 to Date'!H22</f>
        <v>0</v>
      </c>
      <c r="H22" s="50">
        <f>+'Q2'!I22+'Q1 to Date'!I22</f>
        <v>0</v>
      </c>
      <c r="I22" s="193"/>
      <c r="J22" s="50">
        <f>+'Q2'!K22+'Q1 to Date'!K22</f>
        <v>216</v>
      </c>
      <c r="K22" s="50">
        <f>+'Q2'!L22+'Q1 to Date'!L22</f>
        <v>171</v>
      </c>
      <c r="L22" s="76">
        <f>+K22/J22</f>
        <v>0.79166666666666663</v>
      </c>
      <c r="M22" s="50">
        <f t="shared" si="1"/>
        <v>250</v>
      </c>
      <c r="N22" s="50">
        <f t="shared" si="0"/>
        <v>205</v>
      </c>
      <c r="O22" s="50">
        <f>+'Q2'!P22+'Q1 to Date'!P22</f>
        <v>127</v>
      </c>
      <c r="P22" s="194">
        <f t="shared" si="4"/>
        <v>0.82</v>
      </c>
      <c r="Q22" s="194">
        <f t="shared" si="5"/>
        <v>1.6141732283464567</v>
      </c>
    </row>
    <row r="23" spans="1:17" ht="14.25" customHeight="1" x14ac:dyDescent="0.75">
      <c r="A23" s="50">
        <v>666531</v>
      </c>
      <c r="B23" s="192" t="s">
        <v>38</v>
      </c>
      <c r="C23" s="73" t="s">
        <v>39</v>
      </c>
      <c r="D23" s="50">
        <f>+'Q2'!E23+'Q1 to Date'!E23</f>
        <v>225</v>
      </c>
      <c r="E23" s="50">
        <f>+'Q2'!F23+'Q1 to Date'!F23</f>
        <v>225</v>
      </c>
      <c r="F23" s="76">
        <f>+E23/D23</f>
        <v>1</v>
      </c>
      <c r="G23" s="50">
        <f>+'Q2'!H23+'Q1 to Date'!H23</f>
        <v>0</v>
      </c>
      <c r="H23" s="50">
        <f>+'Q2'!I23+'Q1 to Date'!I23</f>
        <v>0</v>
      </c>
      <c r="I23" s="193"/>
      <c r="J23" s="50">
        <f>+'Q2'!K23+'Q1 to Date'!K23</f>
        <v>95</v>
      </c>
      <c r="K23" s="50">
        <f>+'Q2'!L23+'Q1 to Date'!L23</f>
        <v>72</v>
      </c>
      <c r="L23" s="76">
        <f>+K23/J23</f>
        <v>0.75789473684210529</v>
      </c>
      <c r="M23" s="50">
        <f t="shared" si="1"/>
        <v>320</v>
      </c>
      <c r="N23" s="50">
        <f t="shared" si="0"/>
        <v>297</v>
      </c>
      <c r="O23" s="50">
        <f>+'Q2'!P23+'Q1 to Date'!P23</f>
        <v>170</v>
      </c>
      <c r="P23" s="194">
        <f t="shared" si="4"/>
        <v>0.92812499999999998</v>
      </c>
      <c r="Q23" s="194">
        <f t="shared" si="5"/>
        <v>1.7470588235294118</v>
      </c>
    </row>
    <row r="24" spans="1:17" ht="14.25" customHeight="1" x14ac:dyDescent="0.75">
      <c r="A24" s="50">
        <v>666540</v>
      </c>
      <c r="B24" s="192" t="s">
        <v>40</v>
      </c>
      <c r="C24" s="73" t="s">
        <v>40</v>
      </c>
      <c r="D24" s="50">
        <f>+'Q2'!E24+'Q1 to Date'!E24</f>
        <v>0</v>
      </c>
      <c r="E24" s="50">
        <f>+'Q2'!F24+'Q1 to Date'!F24</f>
        <v>0</v>
      </c>
      <c r="F24" s="76"/>
      <c r="G24" s="50">
        <f>+'Q2'!H24+'Q1 to Date'!H24</f>
        <v>1400</v>
      </c>
      <c r="H24" s="50">
        <f>+'Q2'!I24+'Q1 to Date'!I24</f>
        <v>242</v>
      </c>
      <c r="I24" s="193">
        <f>+H24/G24</f>
        <v>0.17285714285714285</v>
      </c>
      <c r="J24" s="50">
        <f>+'Q2'!K24+'Q1 to Date'!K24</f>
        <v>0</v>
      </c>
      <c r="K24" s="50">
        <f>+'Q2'!L24+'Q1 to Date'!L24</f>
        <v>0</v>
      </c>
      <c r="L24" s="76"/>
      <c r="M24" s="50">
        <f t="shared" si="1"/>
        <v>1400</v>
      </c>
      <c r="N24" s="50">
        <f t="shared" si="0"/>
        <v>242</v>
      </c>
      <c r="O24" s="50">
        <f>+'Q2'!P24+'Q1 to Date'!P24</f>
        <v>2143</v>
      </c>
      <c r="P24" s="194">
        <f t="shared" si="4"/>
        <v>0.17285714285714285</v>
      </c>
      <c r="Q24" s="194">
        <f t="shared" si="5"/>
        <v>0.11292580494633692</v>
      </c>
    </row>
    <row r="25" spans="1:17" ht="14.25" customHeight="1" x14ac:dyDescent="0.75">
      <c r="A25" s="50">
        <v>666541</v>
      </c>
      <c r="B25" s="192" t="s">
        <v>41</v>
      </c>
      <c r="C25" s="73" t="s">
        <v>41</v>
      </c>
      <c r="D25" s="50">
        <f>+'Q2'!E25+'Q1 to Date'!E25</f>
        <v>0</v>
      </c>
      <c r="E25" s="50">
        <f>+'Q2'!F25+'Q1 to Date'!F25</f>
        <v>0</v>
      </c>
      <c r="F25" s="76"/>
      <c r="G25" s="50">
        <f>+'Q2'!H25+'Q1 to Date'!H25</f>
        <v>5860</v>
      </c>
      <c r="H25" s="50">
        <f>+'Q2'!I25+'Q1 to Date'!I25</f>
        <v>4320</v>
      </c>
      <c r="I25" s="193">
        <f>+H25/G25</f>
        <v>0.73720136518771329</v>
      </c>
      <c r="J25" s="50">
        <f>+'Q2'!K25+'Q1 to Date'!K25</f>
        <v>0</v>
      </c>
      <c r="K25" s="50">
        <f>+'Q2'!L25+'Q1 to Date'!L25</f>
        <v>0</v>
      </c>
      <c r="L25" s="76"/>
      <c r="M25" s="50">
        <f t="shared" si="1"/>
        <v>5860</v>
      </c>
      <c r="N25" s="50">
        <f t="shared" si="0"/>
        <v>4320</v>
      </c>
      <c r="O25" s="50">
        <f>+'Q2'!P25+'Q1 to Date'!P25</f>
        <v>2026</v>
      </c>
      <c r="P25" s="194">
        <f t="shared" si="4"/>
        <v>0.73720136518771329</v>
      </c>
      <c r="Q25" s="194">
        <f t="shared" si="5"/>
        <v>2.1322803553800593</v>
      </c>
    </row>
    <row r="26" spans="1:17" ht="14.25" customHeight="1" x14ac:dyDescent="0.75">
      <c r="A26" s="74">
        <v>666536</v>
      </c>
      <c r="B26" s="196" t="s">
        <v>42</v>
      </c>
      <c r="C26" s="74" t="s">
        <v>43</v>
      </c>
      <c r="D26" s="50">
        <f>+'Q2'!E26+'Q1 to Date'!E26</f>
        <v>270</v>
      </c>
      <c r="E26" s="50">
        <f>+'Q2'!F26+'Q1 to Date'!F26</f>
        <v>140</v>
      </c>
      <c r="F26" s="76">
        <f>+E26/D26</f>
        <v>0.51851851851851849</v>
      </c>
      <c r="G26" s="50">
        <f>+'Q2'!H26+'Q1 to Date'!H26</f>
        <v>0</v>
      </c>
      <c r="H26" s="50">
        <f>+'Q2'!I26+'Q1 to Date'!I26</f>
        <v>0</v>
      </c>
      <c r="I26" s="193"/>
      <c r="J26" s="50">
        <f>+'Q2'!K26+'Q1 to Date'!K26</f>
        <v>0</v>
      </c>
      <c r="K26" s="50">
        <f>+'Q2'!L26+'Q1 to Date'!L26</f>
        <v>0</v>
      </c>
      <c r="L26" s="76"/>
      <c r="M26" s="50">
        <f t="shared" si="1"/>
        <v>270</v>
      </c>
      <c r="N26" s="50">
        <f t="shared" si="0"/>
        <v>140</v>
      </c>
      <c r="O26" s="50">
        <f>+'Q2'!P26+'Q1 to Date'!P26</f>
        <v>130</v>
      </c>
      <c r="P26" s="194">
        <f t="shared" si="4"/>
        <v>0.51851851851851849</v>
      </c>
      <c r="Q26" s="194">
        <f t="shared" si="5"/>
        <v>1.0769230769230769</v>
      </c>
    </row>
    <row r="27" spans="1:17" ht="14.25" customHeight="1" x14ac:dyDescent="0.75">
      <c r="A27" s="145" t="str">
        <f>+Sheet22!$A$27</f>
        <v>666510-1</v>
      </c>
      <c r="B27" s="145" t="str">
        <f>+Sheet22!$B$27</f>
        <v>3'Jejunum</v>
      </c>
      <c r="C27" s="145" t="str">
        <f>+Sheet22!$C$27</f>
        <v>3'Jejunum</v>
      </c>
      <c r="D27" s="50">
        <f>+'Q2'!E27+'Q1 to Date'!E27</f>
        <v>300</v>
      </c>
      <c r="E27" s="50">
        <f>+'Q2'!F27+'Q1 to Date'!F27</f>
        <v>300</v>
      </c>
      <c r="F27" s="76">
        <f>+E27/D27</f>
        <v>1</v>
      </c>
      <c r="G27" s="50">
        <f>+'Q2'!H27+'Q1 to Date'!H27</f>
        <v>0</v>
      </c>
      <c r="H27" s="50">
        <f>+'Q2'!I27+'Q1 to Date'!I27</f>
        <v>0</v>
      </c>
      <c r="I27" s="193"/>
      <c r="J27" s="50">
        <f>+'Q2'!K27+'Q1 to Date'!K27</f>
        <v>0</v>
      </c>
      <c r="K27" s="50">
        <f>+'Q2'!L27+'Q1 to Date'!L27</f>
        <v>0</v>
      </c>
      <c r="L27" s="76"/>
      <c r="M27" s="50">
        <f t="shared" si="1"/>
        <v>300</v>
      </c>
      <c r="N27" s="50">
        <f t="shared" si="0"/>
        <v>300</v>
      </c>
      <c r="O27" s="50">
        <f>+'Q2'!P27+'Q1 to Date'!P27</f>
        <v>1</v>
      </c>
      <c r="P27" s="194">
        <f t="shared" si="4"/>
        <v>1</v>
      </c>
      <c r="Q27" s="194">
        <f t="shared" si="5"/>
        <v>300</v>
      </c>
    </row>
    <row r="28" spans="1:17" ht="14.25" customHeight="1" x14ac:dyDescent="0.75">
      <c r="A28" s="145"/>
      <c r="B28" s="145"/>
      <c r="C28" s="145"/>
      <c r="D28" s="145">
        <f>SUM(D7:D27)</f>
        <v>5967</v>
      </c>
      <c r="E28" s="145">
        <f>SUM(E7:E27)</f>
        <v>5692</v>
      </c>
      <c r="F28" s="76">
        <f>+E28/D28</f>
        <v>0.95391318920730683</v>
      </c>
      <c r="G28" s="145">
        <f>SUM(G7:G27)</f>
        <v>15635</v>
      </c>
      <c r="H28" s="145">
        <f>SUM(H7:H27)</f>
        <v>11381</v>
      </c>
      <c r="I28" s="197">
        <f>+H28/G28</f>
        <v>0.72791813239526704</v>
      </c>
      <c r="J28" s="145">
        <f>SUM(J7:J27)</f>
        <v>3996</v>
      </c>
      <c r="K28" s="145">
        <f>SUM(K7:K27)</f>
        <v>3174</v>
      </c>
      <c r="L28" s="194">
        <f>+K28/J28</f>
        <v>0.79429429429429432</v>
      </c>
      <c r="M28" s="145">
        <f>SUM(M7:M27)</f>
        <v>25598</v>
      </c>
      <c r="N28" s="145">
        <f>SUM(N7:N27)</f>
        <v>20247</v>
      </c>
      <c r="O28" s="145">
        <f>SUM(O7:O27)</f>
        <v>18459</v>
      </c>
      <c r="P28" s="194">
        <f t="shared" si="4"/>
        <v>0.7909602312680678</v>
      </c>
      <c r="Q28" s="194">
        <f t="shared" si="5"/>
        <v>1.0968633187063221</v>
      </c>
    </row>
    <row r="33" spans="14:14" ht="14.25" customHeight="1" x14ac:dyDescent="0.75">
      <c r="N33">
        <f>4320/26</f>
        <v>166.15384615384616</v>
      </c>
    </row>
  </sheetData>
  <mergeCells count="1">
    <mergeCell ref="A1:O1"/>
  </mergeCells>
  <conditionalFormatting sqref="M6:M27">
    <cfRule type="cellIs" dxfId="47" priority="2" operator="equal">
      <formula>0</formula>
    </cfRule>
  </conditionalFormatting>
  <conditionalFormatting sqref="N5:N27">
    <cfRule type="expression" dxfId="46" priority="3">
      <formula>M5=N5</formula>
    </cfRule>
    <cfRule type="expression" dxfId="45" priority="4">
      <formula>M5&lt;N5</formula>
    </cfRule>
    <cfRule type="expression" dxfId="44" priority="5">
      <formula>M5&gt;N5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AA51"/>
  <sheetViews>
    <sheetView topLeftCell="B1" zoomScaleNormal="100" workbookViewId="0">
      <selection activeCell="P32" sqref="P32"/>
    </sheetView>
  </sheetViews>
  <sheetFormatPr defaultColWidth="8.6796875" defaultRowHeight="14.75" x14ac:dyDescent="0.75"/>
  <cols>
    <col min="1" max="1" width="8.6796875" style="50"/>
    <col min="2" max="2" width="41.54296875" style="50" customWidth="1"/>
    <col min="3" max="3" width="22.6796875" style="50" customWidth="1"/>
    <col min="4" max="4" width="9.54296875" style="50" hidden="1" customWidth="1"/>
    <col min="5" max="6" width="8.6796875" style="50"/>
    <col min="7" max="7" width="7.31640625" style="50" customWidth="1"/>
    <col min="8" max="8" width="8.453125" style="50" customWidth="1"/>
    <col min="9" max="9" width="7.453125" style="50" customWidth="1"/>
    <col min="10" max="10" width="8.08984375" style="50" customWidth="1"/>
    <col min="11" max="11" width="8.54296875" style="50" customWidth="1"/>
    <col min="12" max="16384" width="8.6796875" style="50"/>
  </cols>
  <sheetData>
    <row r="1" spans="1:27" s="51" customFormat="1" ht="28.5" customHeight="1" x14ac:dyDescent="0.75">
      <c r="C1" s="51" t="s">
        <v>175</v>
      </c>
      <c r="D1" s="51" t="s">
        <v>144</v>
      </c>
      <c r="E1" s="52" t="s">
        <v>116</v>
      </c>
      <c r="F1" s="53" t="s">
        <v>145</v>
      </c>
      <c r="G1" s="54" t="s">
        <v>119</v>
      </c>
      <c r="H1" s="53" t="s">
        <v>146</v>
      </c>
      <c r="I1" s="153" t="s">
        <v>122</v>
      </c>
      <c r="J1" s="56" t="s">
        <v>147</v>
      </c>
      <c r="K1" s="51" t="s">
        <v>148</v>
      </c>
      <c r="L1" s="53" t="s">
        <v>149</v>
      </c>
      <c r="M1" s="51" t="s">
        <v>56</v>
      </c>
      <c r="N1" s="51" t="s">
        <v>58</v>
      </c>
      <c r="O1" s="51" t="s">
        <v>66</v>
      </c>
      <c r="P1" s="51" t="s">
        <v>56</v>
      </c>
      <c r="Q1" s="51" t="s">
        <v>58</v>
      </c>
      <c r="R1" s="51" t="s">
        <v>66</v>
      </c>
      <c r="S1" s="51" t="s">
        <v>56</v>
      </c>
      <c r="T1" s="51" t="s">
        <v>58</v>
      </c>
      <c r="U1" s="51" t="s">
        <v>66</v>
      </c>
      <c r="V1" s="51" t="s">
        <v>56</v>
      </c>
      <c r="W1" s="51" t="s">
        <v>58</v>
      </c>
      <c r="X1" s="51" t="s">
        <v>66</v>
      </c>
      <c r="Y1" s="51" t="s">
        <v>56</v>
      </c>
      <c r="Z1" s="51" t="s">
        <v>58</v>
      </c>
      <c r="AA1" s="51" t="s">
        <v>66</v>
      </c>
    </row>
    <row r="2" spans="1:27" ht="14.25" customHeight="1" x14ac:dyDescent="0.75">
      <c r="C2" s="57" t="s">
        <v>150</v>
      </c>
      <c r="D2" s="57"/>
      <c r="E2" s="58"/>
      <c r="F2" s="59"/>
      <c r="G2" s="60"/>
      <c r="H2" s="59"/>
      <c r="I2" s="78"/>
      <c r="J2" s="59"/>
      <c r="K2" s="59"/>
      <c r="L2" s="59"/>
      <c r="M2" s="59" t="s">
        <v>65</v>
      </c>
      <c r="N2" s="59" t="s">
        <v>57</v>
      </c>
      <c r="O2" s="59" t="s">
        <v>55</v>
      </c>
      <c r="P2" s="59" t="s">
        <v>65</v>
      </c>
      <c r="Q2" s="59" t="s">
        <v>57</v>
      </c>
      <c r="R2" s="59" t="s">
        <v>55</v>
      </c>
      <c r="S2" s="59" t="s">
        <v>65</v>
      </c>
      <c r="T2" s="59" t="s">
        <v>57</v>
      </c>
      <c r="U2" s="59" t="s">
        <v>55</v>
      </c>
      <c r="V2" s="59" t="s">
        <v>65</v>
      </c>
      <c r="W2" s="59" t="s">
        <v>57</v>
      </c>
      <c r="X2" s="59" t="s">
        <v>55</v>
      </c>
      <c r="Y2" s="59" t="s">
        <v>65</v>
      </c>
      <c r="Z2" s="59" t="s">
        <v>57</v>
      </c>
      <c r="AA2" s="59" t="s">
        <v>55</v>
      </c>
    </row>
    <row r="3" spans="1:27" ht="14.25" customHeight="1" x14ac:dyDescent="0.75">
      <c r="A3" s="62" t="s">
        <v>129</v>
      </c>
      <c r="B3" s="62" t="s">
        <v>2</v>
      </c>
      <c r="C3" s="62" t="s">
        <v>3</v>
      </c>
      <c r="D3" s="62"/>
      <c r="E3" s="58"/>
      <c r="F3" s="62"/>
      <c r="G3" s="63"/>
      <c r="H3" s="62"/>
      <c r="I3" s="154"/>
      <c r="J3" s="62"/>
      <c r="K3" s="62"/>
      <c r="L3" s="62"/>
      <c r="M3" s="62" t="s">
        <v>54</v>
      </c>
      <c r="N3" s="62" t="s">
        <v>54</v>
      </c>
      <c r="O3" s="62" t="s">
        <v>54</v>
      </c>
      <c r="P3" s="62" t="s">
        <v>59</v>
      </c>
      <c r="Q3" s="62" t="s">
        <v>59</v>
      </c>
      <c r="R3" s="62" t="s">
        <v>59</v>
      </c>
      <c r="S3" s="62" t="s">
        <v>60</v>
      </c>
      <c r="T3" s="62" t="s">
        <v>60</v>
      </c>
      <c r="U3" s="62" t="s">
        <v>60</v>
      </c>
      <c r="V3" s="62" t="s">
        <v>62</v>
      </c>
      <c r="W3" s="62" t="s">
        <v>62</v>
      </c>
      <c r="X3" s="62" t="s">
        <v>62</v>
      </c>
      <c r="Y3" s="62" t="s">
        <v>63</v>
      </c>
      <c r="Z3" s="62" t="s">
        <v>63</v>
      </c>
      <c r="AA3" s="62" t="s">
        <v>63</v>
      </c>
    </row>
    <row r="4" spans="1:27" ht="14.25" customHeight="1" x14ac:dyDescent="0.75">
      <c r="A4" s="62"/>
      <c r="B4" s="62"/>
      <c r="C4" s="62" t="s">
        <v>151</v>
      </c>
      <c r="D4" s="62"/>
      <c r="E4" s="58"/>
      <c r="F4" s="50">
        <f t="shared" ref="F4:F26" si="0">+M4+P4+S4+V4+Y4</f>
        <v>45</v>
      </c>
      <c r="G4" s="63"/>
      <c r="H4" s="50">
        <f t="shared" ref="H4:H26" si="1">+N4+Q4+T4+W4+Z4</f>
        <v>495</v>
      </c>
      <c r="I4" s="154"/>
      <c r="J4" s="50">
        <f t="shared" ref="J4:J26" si="2">+O4+R4+U4+X4+AA4</f>
        <v>97</v>
      </c>
      <c r="K4" s="62"/>
      <c r="L4" s="62"/>
      <c r="M4" s="62">
        <v>45</v>
      </c>
      <c r="N4" s="62">
        <v>184</v>
      </c>
      <c r="O4" s="62">
        <v>21</v>
      </c>
      <c r="Q4" s="50">
        <v>168</v>
      </c>
      <c r="R4" s="50">
        <v>42</v>
      </c>
      <c r="S4" s="150"/>
      <c r="T4" s="150"/>
      <c r="U4" s="150"/>
      <c r="W4" s="50">
        <v>143</v>
      </c>
      <c r="X4" s="50">
        <v>34</v>
      </c>
      <c r="Y4" s="150"/>
      <c r="Z4" s="150"/>
      <c r="AA4" s="150"/>
    </row>
    <row r="5" spans="1:27" ht="14.25" customHeight="1" x14ac:dyDescent="0.75">
      <c r="A5" s="50">
        <v>666501</v>
      </c>
      <c r="B5" s="50" t="s">
        <v>4</v>
      </c>
      <c r="C5" s="50" t="s">
        <v>5</v>
      </c>
      <c r="E5" s="67">
        <v>42</v>
      </c>
      <c r="F5" s="70">
        <f t="shared" si="0"/>
        <v>42</v>
      </c>
      <c r="G5" s="60">
        <v>390</v>
      </c>
      <c r="H5" s="50">
        <f t="shared" si="1"/>
        <v>239</v>
      </c>
      <c r="I5" s="78">
        <v>39</v>
      </c>
      <c r="J5" s="50">
        <f t="shared" si="2"/>
        <v>18</v>
      </c>
      <c r="K5" s="50">
        <f t="shared" ref="K5:K26" si="3">+E5+G5+I5</f>
        <v>471</v>
      </c>
      <c r="L5" s="50">
        <f t="shared" ref="L5:L26" si="4">+F5+H5+J5</f>
        <v>299</v>
      </c>
      <c r="M5" s="50">
        <v>42</v>
      </c>
      <c r="N5" s="50">
        <v>141</v>
      </c>
      <c r="Q5" s="50">
        <v>98</v>
      </c>
      <c r="R5" s="50">
        <v>18</v>
      </c>
      <c r="S5" s="150"/>
      <c r="T5" s="150"/>
      <c r="U5" s="150"/>
      <c r="Y5" s="150"/>
      <c r="Z5" s="150"/>
      <c r="AA5" s="150"/>
    </row>
    <row r="6" spans="1:27" ht="14.25" customHeight="1" x14ac:dyDescent="0.75">
      <c r="A6" s="50">
        <v>666502</v>
      </c>
      <c r="B6" s="50" t="s">
        <v>6</v>
      </c>
      <c r="C6" s="50" t="s">
        <v>7</v>
      </c>
      <c r="E6" s="67"/>
      <c r="F6" s="50">
        <f t="shared" si="0"/>
        <v>0</v>
      </c>
      <c r="G6" s="60">
        <v>162</v>
      </c>
      <c r="H6" s="50">
        <f t="shared" si="1"/>
        <v>91</v>
      </c>
      <c r="I6" s="78">
        <v>150</v>
      </c>
      <c r="J6" s="50">
        <f t="shared" si="2"/>
        <v>45</v>
      </c>
      <c r="K6" s="50">
        <f t="shared" si="3"/>
        <v>312</v>
      </c>
      <c r="L6" s="50">
        <f t="shared" si="4"/>
        <v>136</v>
      </c>
      <c r="N6" s="50">
        <v>30</v>
      </c>
      <c r="Q6" s="50">
        <v>30</v>
      </c>
      <c r="R6" s="50">
        <v>15</v>
      </c>
      <c r="S6" s="150"/>
      <c r="T6" s="150"/>
      <c r="U6" s="150"/>
      <c r="W6" s="50">
        <v>31</v>
      </c>
      <c r="X6" s="50">
        <v>30</v>
      </c>
      <c r="Y6" s="150"/>
      <c r="Z6" s="150"/>
      <c r="AA6" s="150"/>
    </row>
    <row r="7" spans="1:27" ht="14.25" customHeight="1" x14ac:dyDescent="0.75">
      <c r="A7" s="50">
        <v>666505</v>
      </c>
      <c r="B7" s="50" t="s">
        <v>8</v>
      </c>
      <c r="C7" s="50" t="s">
        <v>9</v>
      </c>
      <c r="E7" s="67">
        <v>13</v>
      </c>
      <c r="F7" s="70">
        <f t="shared" si="0"/>
        <v>13</v>
      </c>
      <c r="G7" s="60"/>
      <c r="H7" s="50">
        <f t="shared" si="1"/>
        <v>0</v>
      </c>
      <c r="I7" s="78">
        <v>27</v>
      </c>
      <c r="J7" s="208">
        <f t="shared" si="2"/>
        <v>27</v>
      </c>
      <c r="K7" s="50">
        <f t="shared" si="3"/>
        <v>40</v>
      </c>
      <c r="L7" s="50">
        <f t="shared" si="4"/>
        <v>40</v>
      </c>
      <c r="M7" s="50">
        <v>13</v>
      </c>
      <c r="O7" s="50">
        <v>14</v>
      </c>
      <c r="R7" s="50">
        <v>13</v>
      </c>
      <c r="S7" s="150"/>
      <c r="T7" s="150"/>
      <c r="U7" s="150"/>
      <c r="Y7" s="150"/>
      <c r="Z7" s="150"/>
      <c r="AA7" s="150"/>
    </row>
    <row r="8" spans="1:27" ht="14.25" customHeight="1" x14ac:dyDescent="0.75">
      <c r="A8" s="50">
        <v>666506</v>
      </c>
      <c r="B8" s="50" t="s">
        <v>10</v>
      </c>
      <c r="C8" s="50" t="s">
        <v>11</v>
      </c>
      <c r="E8" s="67"/>
      <c r="F8" s="50">
        <f t="shared" si="0"/>
        <v>0</v>
      </c>
      <c r="G8" s="60">
        <v>144</v>
      </c>
      <c r="H8" s="50">
        <f t="shared" si="1"/>
        <v>132</v>
      </c>
      <c r="I8" s="78"/>
      <c r="J8" s="50">
        <f t="shared" si="2"/>
        <v>0</v>
      </c>
      <c r="K8" s="50">
        <f t="shared" si="3"/>
        <v>144</v>
      </c>
      <c r="L8" s="50">
        <f t="shared" si="4"/>
        <v>132</v>
      </c>
      <c r="N8" s="50">
        <v>34</v>
      </c>
      <c r="Q8" s="50">
        <v>69</v>
      </c>
      <c r="S8" s="150"/>
      <c r="T8" s="150"/>
      <c r="U8" s="150"/>
      <c r="W8" s="50">
        <v>29</v>
      </c>
      <c r="Y8" s="150"/>
      <c r="Z8" s="150"/>
      <c r="AA8" s="150"/>
    </row>
    <row r="9" spans="1:27" ht="14.25" customHeight="1" x14ac:dyDescent="0.75">
      <c r="A9" s="50">
        <v>666507</v>
      </c>
      <c r="B9" s="50" t="s">
        <v>12</v>
      </c>
      <c r="C9" s="50" t="s">
        <v>13</v>
      </c>
      <c r="E9" s="67">
        <v>8</v>
      </c>
      <c r="F9" s="50">
        <f t="shared" si="0"/>
        <v>0</v>
      </c>
      <c r="G9" s="60"/>
      <c r="H9" s="50">
        <f t="shared" si="1"/>
        <v>0</v>
      </c>
      <c r="I9" s="78"/>
      <c r="J9" s="50">
        <f t="shared" si="2"/>
        <v>0</v>
      </c>
      <c r="K9" s="50">
        <f t="shared" si="3"/>
        <v>8</v>
      </c>
      <c r="L9" s="50">
        <f t="shared" si="4"/>
        <v>0</v>
      </c>
      <c r="M9" s="50">
        <v>0</v>
      </c>
      <c r="S9" s="150"/>
      <c r="T9" s="150"/>
      <c r="U9" s="150"/>
      <c r="Y9" s="150"/>
      <c r="Z9" s="150"/>
      <c r="AA9" s="150"/>
    </row>
    <row r="10" spans="1:27" ht="14.25" customHeight="1" x14ac:dyDescent="0.75">
      <c r="A10" s="50">
        <v>666509</v>
      </c>
      <c r="B10" s="50" t="s">
        <v>14</v>
      </c>
      <c r="C10" s="50" t="s">
        <v>15</v>
      </c>
      <c r="E10" s="67">
        <v>50</v>
      </c>
      <c r="F10" s="50">
        <f t="shared" si="0"/>
        <v>20</v>
      </c>
      <c r="G10" s="60"/>
      <c r="H10" s="50">
        <f t="shared" si="1"/>
        <v>0</v>
      </c>
      <c r="I10" s="78"/>
      <c r="J10" s="50">
        <f t="shared" si="2"/>
        <v>0</v>
      </c>
      <c r="K10" s="50">
        <f t="shared" si="3"/>
        <v>50</v>
      </c>
      <c r="L10" s="50">
        <f t="shared" si="4"/>
        <v>20</v>
      </c>
      <c r="M10" s="50">
        <v>8</v>
      </c>
      <c r="S10" s="150"/>
      <c r="T10" s="150"/>
      <c r="U10" s="150"/>
      <c r="V10" s="50">
        <v>12</v>
      </c>
      <c r="Y10" s="150"/>
      <c r="Z10" s="150"/>
      <c r="AA10" s="150"/>
    </row>
    <row r="11" spans="1:27" ht="14.25" customHeight="1" x14ac:dyDescent="0.75">
      <c r="A11" s="50">
        <v>666510</v>
      </c>
      <c r="B11" s="50" t="s">
        <v>16</v>
      </c>
      <c r="C11" s="50" t="s">
        <v>17</v>
      </c>
      <c r="E11" s="67"/>
      <c r="F11" s="50">
        <f t="shared" si="0"/>
        <v>0</v>
      </c>
      <c r="G11" s="60"/>
      <c r="H11" s="50">
        <f t="shared" si="1"/>
        <v>0</v>
      </c>
      <c r="I11" s="78"/>
      <c r="J11" s="50">
        <f t="shared" si="2"/>
        <v>0</v>
      </c>
      <c r="K11" s="50">
        <f t="shared" si="3"/>
        <v>0</v>
      </c>
      <c r="L11" s="50">
        <f t="shared" si="4"/>
        <v>0</v>
      </c>
      <c r="M11" s="50">
        <v>0</v>
      </c>
      <c r="S11" s="150"/>
      <c r="T11" s="150"/>
      <c r="U11" s="150"/>
      <c r="Y11" s="150"/>
      <c r="Z11" s="150"/>
      <c r="AA11" s="150"/>
    </row>
    <row r="12" spans="1:27" ht="14.25" customHeight="1" x14ac:dyDescent="0.75">
      <c r="A12" s="50">
        <v>666511</v>
      </c>
      <c r="B12" s="50" t="s">
        <v>18</v>
      </c>
      <c r="C12" s="50" t="s">
        <v>19</v>
      </c>
      <c r="E12" s="67">
        <v>4</v>
      </c>
      <c r="F12" s="50">
        <f t="shared" si="0"/>
        <v>0</v>
      </c>
      <c r="G12" s="60"/>
      <c r="H12" s="50">
        <f t="shared" si="1"/>
        <v>0</v>
      </c>
      <c r="I12" s="78"/>
      <c r="J12" s="50">
        <f t="shared" si="2"/>
        <v>0</v>
      </c>
      <c r="K12" s="50">
        <f t="shared" si="3"/>
        <v>4</v>
      </c>
      <c r="L12" s="50">
        <f t="shared" si="4"/>
        <v>0</v>
      </c>
      <c r="S12" s="150"/>
      <c r="T12" s="150"/>
      <c r="U12" s="150"/>
      <c r="Y12" s="150"/>
      <c r="Z12" s="150"/>
      <c r="AA12" s="150"/>
    </row>
    <row r="13" spans="1:27" ht="14.25" customHeight="1" x14ac:dyDescent="0.75">
      <c r="A13" s="50">
        <v>666513</v>
      </c>
      <c r="B13" s="50" t="s">
        <v>20</v>
      </c>
      <c r="C13" s="50" t="s">
        <v>21</v>
      </c>
      <c r="E13" s="67">
        <v>14</v>
      </c>
      <c r="F13" s="70">
        <f t="shared" si="0"/>
        <v>14</v>
      </c>
      <c r="G13" s="60"/>
      <c r="H13" s="50">
        <f t="shared" si="1"/>
        <v>0</v>
      </c>
      <c r="I13" s="78">
        <v>34</v>
      </c>
      <c r="J13" s="208">
        <f t="shared" si="2"/>
        <v>34</v>
      </c>
      <c r="K13" s="50">
        <f t="shared" si="3"/>
        <v>48</v>
      </c>
      <c r="L13" s="50">
        <f t="shared" si="4"/>
        <v>48</v>
      </c>
      <c r="M13" s="50">
        <v>14</v>
      </c>
      <c r="O13" s="50">
        <v>17</v>
      </c>
      <c r="R13" s="50">
        <v>17</v>
      </c>
      <c r="S13" s="150"/>
      <c r="T13" s="150"/>
      <c r="U13" s="150"/>
      <c r="Y13" s="150"/>
      <c r="Z13" s="150"/>
      <c r="AA13" s="150"/>
    </row>
    <row r="14" spans="1:27" ht="14.25" customHeight="1" x14ac:dyDescent="0.75">
      <c r="A14" s="50">
        <v>666516</v>
      </c>
      <c r="B14" s="50" t="s">
        <v>22</v>
      </c>
      <c r="C14" s="50" t="s">
        <v>23</v>
      </c>
      <c r="E14" s="67">
        <v>16</v>
      </c>
      <c r="F14" s="70">
        <f t="shared" si="0"/>
        <v>16</v>
      </c>
      <c r="G14" s="60"/>
      <c r="H14" s="50">
        <f t="shared" si="1"/>
        <v>0</v>
      </c>
      <c r="I14" s="78">
        <v>16</v>
      </c>
      <c r="J14" s="70">
        <f t="shared" si="2"/>
        <v>16</v>
      </c>
      <c r="K14" s="50">
        <f t="shared" si="3"/>
        <v>32</v>
      </c>
      <c r="L14" s="50">
        <f t="shared" si="4"/>
        <v>32</v>
      </c>
      <c r="M14" s="50">
        <v>16</v>
      </c>
      <c r="O14" s="50">
        <v>8</v>
      </c>
      <c r="R14" s="50">
        <v>8</v>
      </c>
      <c r="S14" s="150"/>
      <c r="T14" s="150"/>
      <c r="U14" s="150"/>
      <c r="Y14" s="150"/>
      <c r="Z14" s="150"/>
      <c r="AA14" s="150"/>
    </row>
    <row r="15" spans="1:27" ht="14.25" customHeight="1" x14ac:dyDescent="0.75">
      <c r="A15" s="50">
        <v>666517</v>
      </c>
      <c r="B15" s="50" t="s">
        <v>24</v>
      </c>
      <c r="C15" s="50" t="s">
        <v>25</v>
      </c>
      <c r="E15" s="67">
        <v>22</v>
      </c>
      <c r="F15" s="70">
        <f t="shared" si="0"/>
        <v>22</v>
      </c>
      <c r="G15" s="60"/>
      <c r="H15" s="50">
        <f t="shared" si="1"/>
        <v>0</v>
      </c>
      <c r="I15" s="78">
        <v>10</v>
      </c>
      <c r="J15" s="208">
        <f t="shared" si="2"/>
        <v>10</v>
      </c>
      <c r="K15" s="50">
        <f t="shared" si="3"/>
        <v>32</v>
      </c>
      <c r="L15" s="50">
        <f t="shared" si="4"/>
        <v>32</v>
      </c>
      <c r="M15" s="50">
        <v>22</v>
      </c>
      <c r="O15" s="50">
        <v>5</v>
      </c>
      <c r="R15" s="50">
        <v>5</v>
      </c>
      <c r="S15" s="150"/>
      <c r="T15" s="150"/>
      <c r="U15" s="150"/>
      <c r="Y15" s="150"/>
      <c r="Z15" s="150"/>
      <c r="AA15" s="150"/>
    </row>
    <row r="16" spans="1:27" ht="14.25" customHeight="1" x14ac:dyDescent="0.75">
      <c r="A16" s="50">
        <v>666518</v>
      </c>
      <c r="B16" s="50" t="s">
        <v>26</v>
      </c>
      <c r="C16" s="50" t="s">
        <v>27</v>
      </c>
      <c r="E16" s="67"/>
      <c r="F16" s="50">
        <f t="shared" si="0"/>
        <v>0</v>
      </c>
      <c r="G16" s="60"/>
      <c r="H16" s="50">
        <f t="shared" si="1"/>
        <v>0</v>
      </c>
      <c r="I16" s="78"/>
      <c r="J16" s="50">
        <f t="shared" si="2"/>
        <v>0</v>
      </c>
      <c r="K16" s="50">
        <f t="shared" si="3"/>
        <v>0</v>
      </c>
      <c r="L16" s="50">
        <f t="shared" si="4"/>
        <v>0</v>
      </c>
      <c r="S16" s="150"/>
      <c r="T16" s="150"/>
      <c r="U16" s="150"/>
      <c r="Y16" s="150"/>
      <c r="Z16" s="150"/>
      <c r="AA16" s="150"/>
    </row>
    <row r="17" spans="1:27" ht="14.25" customHeight="1" x14ac:dyDescent="0.75">
      <c r="A17" s="50">
        <v>666519</v>
      </c>
      <c r="B17" s="50" t="s">
        <v>28</v>
      </c>
      <c r="C17" s="50" t="s">
        <v>29</v>
      </c>
      <c r="E17" s="67">
        <v>22</v>
      </c>
      <c r="F17" s="70">
        <f t="shared" si="0"/>
        <v>22</v>
      </c>
      <c r="G17" s="60"/>
      <c r="H17" s="50">
        <f t="shared" si="1"/>
        <v>0</v>
      </c>
      <c r="I17" s="78">
        <v>22</v>
      </c>
      <c r="J17" s="208">
        <f t="shared" si="2"/>
        <v>22</v>
      </c>
      <c r="K17" s="50">
        <f t="shared" si="3"/>
        <v>44</v>
      </c>
      <c r="L17" s="50">
        <f t="shared" si="4"/>
        <v>44</v>
      </c>
      <c r="M17" s="50">
        <v>22</v>
      </c>
      <c r="O17" s="50">
        <v>11</v>
      </c>
      <c r="R17" s="50">
        <v>11</v>
      </c>
      <c r="S17" s="150"/>
      <c r="T17" s="150"/>
      <c r="U17" s="150"/>
      <c r="Y17" s="150"/>
      <c r="Z17" s="150"/>
      <c r="AA17" s="150"/>
    </row>
    <row r="18" spans="1:27" ht="14.25" customHeight="1" x14ac:dyDescent="0.75">
      <c r="A18" s="50">
        <v>666521</v>
      </c>
      <c r="B18" s="50" t="s">
        <v>30</v>
      </c>
      <c r="C18" s="50" t="s">
        <v>31</v>
      </c>
      <c r="E18" s="67">
        <v>36</v>
      </c>
      <c r="F18" s="50">
        <f t="shared" si="0"/>
        <v>24</v>
      </c>
      <c r="G18" s="60"/>
      <c r="H18" s="50">
        <f t="shared" si="1"/>
        <v>0</v>
      </c>
      <c r="I18" s="78"/>
      <c r="J18" s="50">
        <f t="shared" si="2"/>
        <v>0</v>
      </c>
      <c r="K18" s="50">
        <f t="shared" si="3"/>
        <v>36</v>
      </c>
      <c r="L18" s="50">
        <f t="shared" si="4"/>
        <v>24</v>
      </c>
      <c r="M18" s="50">
        <v>17</v>
      </c>
      <c r="S18" s="150"/>
      <c r="T18" s="150"/>
      <c r="U18" s="150"/>
      <c r="V18" s="50">
        <v>7</v>
      </c>
      <c r="Y18" s="150"/>
      <c r="Z18" s="150"/>
      <c r="AA18" s="150"/>
    </row>
    <row r="19" spans="1:27" ht="14.25" customHeight="1" x14ac:dyDescent="0.75">
      <c r="A19" s="50">
        <v>666522</v>
      </c>
      <c r="B19" s="50" t="s">
        <v>32</v>
      </c>
      <c r="C19" s="50" t="s">
        <v>33</v>
      </c>
      <c r="E19" s="67">
        <v>180</v>
      </c>
      <c r="F19" s="50">
        <f t="shared" si="0"/>
        <v>55</v>
      </c>
      <c r="G19" s="60">
        <v>55</v>
      </c>
      <c r="H19" s="50">
        <f t="shared" si="1"/>
        <v>0</v>
      </c>
      <c r="I19" s="78">
        <v>125</v>
      </c>
      <c r="J19" s="208">
        <f t="shared" si="2"/>
        <v>125</v>
      </c>
      <c r="K19" s="50">
        <f t="shared" si="3"/>
        <v>360</v>
      </c>
      <c r="L19" s="50">
        <f t="shared" si="4"/>
        <v>180</v>
      </c>
      <c r="M19" s="50">
        <v>35</v>
      </c>
      <c r="O19" s="50">
        <v>30</v>
      </c>
      <c r="R19" s="50">
        <v>30</v>
      </c>
      <c r="S19" s="150"/>
      <c r="T19" s="150"/>
      <c r="U19" s="150"/>
      <c r="V19" s="50">
        <v>20</v>
      </c>
      <c r="X19" s="50">
        <v>65</v>
      </c>
      <c r="Y19" s="150"/>
      <c r="Z19" s="150"/>
      <c r="AA19" s="150"/>
    </row>
    <row r="20" spans="1:27" ht="14.25" customHeight="1" x14ac:dyDescent="0.75">
      <c r="A20" s="50">
        <v>666523</v>
      </c>
      <c r="B20" s="50" t="s">
        <v>34</v>
      </c>
      <c r="C20" s="50" t="s">
        <v>35</v>
      </c>
      <c r="E20" s="67"/>
      <c r="F20" s="50">
        <f t="shared" si="0"/>
        <v>0</v>
      </c>
      <c r="G20" s="60"/>
      <c r="H20" s="50">
        <f t="shared" si="1"/>
        <v>0</v>
      </c>
      <c r="I20" s="78">
        <v>28</v>
      </c>
      <c r="J20" s="208">
        <f t="shared" si="2"/>
        <v>28</v>
      </c>
      <c r="K20" s="50">
        <f t="shared" si="3"/>
        <v>28</v>
      </c>
      <c r="L20" s="50">
        <f t="shared" si="4"/>
        <v>28</v>
      </c>
      <c r="O20" s="50">
        <v>14</v>
      </c>
      <c r="R20" s="50">
        <v>14</v>
      </c>
      <c r="S20" s="150"/>
      <c r="T20" s="150"/>
      <c r="U20" s="150"/>
      <c r="Y20" s="150"/>
      <c r="Z20" s="150"/>
      <c r="AA20" s="150"/>
    </row>
    <row r="21" spans="1:27" ht="14.25" customHeight="1" x14ac:dyDescent="0.75">
      <c r="A21" s="50">
        <v>666530</v>
      </c>
      <c r="B21" s="50" t="s">
        <v>36</v>
      </c>
      <c r="C21" s="50" t="s">
        <v>37</v>
      </c>
      <c r="E21" s="67"/>
      <c r="F21" s="50">
        <f t="shared" si="0"/>
        <v>0</v>
      </c>
      <c r="G21" s="60"/>
      <c r="H21" s="50">
        <f t="shared" si="1"/>
        <v>0</v>
      </c>
      <c r="I21" s="78"/>
      <c r="J21" s="50">
        <f t="shared" si="2"/>
        <v>0</v>
      </c>
      <c r="K21" s="50">
        <f t="shared" si="3"/>
        <v>0</v>
      </c>
      <c r="L21" s="50">
        <f t="shared" si="4"/>
        <v>0</v>
      </c>
      <c r="S21" s="150"/>
      <c r="T21" s="150"/>
      <c r="U21" s="150"/>
      <c r="Y21" s="150"/>
      <c r="Z21" s="150"/>
      <c r="AA21" s="150"/>
    </row>
    <row r="22" spans="1:27" ht="14.25" customHeight="1" x14ac:dyDescent="0.75">
      <c r="A22" s="50">
        <v>666531</v>
      </c>
      <c r="B22" s="50" t="s">
        <v>38</v>
      </c>
      <c r="C22" s="50" t="s">
        <v>39</v>
      </c>
      <c r="E22" s="67">
        <v>14</v>
      </c>
      <c r="F22" s="50">
        <f t="shared" si="0"/>
        <v>8</v>
      </c>
      <c r="G22" s="60"/>
      <c r="H22" s="50">
        <f t="shared" si="1"/>
        <v>0</v>
      </c>
      <c r="I22" s="78">
        <v>6</v>
      </c>
      <c r="J22" s="208">
        <f t="shared" si="2"/>
        <v>6</v>
      </c>
      <c r="K22" s="50">
        <f t="shared" si="3"/>
        <v>20</v>
      </c>
      <c r="L22" s="50">
        <f t="shared" si="4"/>
        <v>14</v>
      </c>
      <c r="M22" s="50">
        <v>5</v>
      </c>
      <c r="O22" s="50">
        <v>3</v>
      </c>
      <c r="R22" s="50">
        <v>3</v>
      </c>
      <c r="S22" s="150"/>
      <c r="T22" s="150"/>
      <c r="U22" s="150"/>
      <c r="V22" s="50">
        <v>3</v>
      </c>
      <c r="Y22" s="150"/>
      <c r="Z22" s="150"/>
      <c r="AA22" s="150"/>
    </row>
    <row r="23" spans="1:27" ht="14.25" customHeight="1" x14ac:dyDescent="0.75">
      <c r="A23" s="50">
        <v>666540</v>
      </c>
      <c r="B23" s="50" t="s">
        <v>40</v>
      </c>
      <c r="C23" s="50" t="s">
        <v>40</v>
      </c>
      <c r="E23" s="67"/>
      <c r="F23" s="50">
        <f t="shared" si="0"/>
        <v>0</v>
      </c>
      <c r="G23" s="60"/>
      <c r="H23" s="50">
        <f t="shared" si="1"/>
        <v>0</v>
      </c>
      <c r="I23" s="78"/>
      <c r="J23" s="50">
        <f t="shared" si="2"/>
        <v>0</v>
      </c>
      <c r="K23" s="50">
        <f t="shared" si="3"/>
        <v>0</v>
      </c>
      <c r="L23" s="50">
        <f t="shared" si="4"/>
        <v>0</v>
      </c>
      <c r="S23" s="150"/>
      <c r="T23" s="150"/>
      <c r="U23" s="150"/>
      <c r="Y23" s="150"/>
      <c r="Z23" s="150"/>
      <c r="AA23" s="150"/>
    </row>
    <row r="24" spans="1:27" ht="14.25" customHeight="1" x14ac:dyDescent="0.75">
      <c r="A24" s="50">
        <v>666541</v>
      </c>
      <c r="B24" s="50" t="s">
        <v>41</v>
      </c>
      <c r="C24" s="50" t="s">
        <v>41</v>
      </c>
      <c r="E24" s="67"/>
      <c r="F24" s="50">
        <f t="shared" si="0"/>
        <v>0</v>
      </c>
      <c r="G24" s="60">
        <v>500</v>
      </c>
      <c r="H24" s="50">
        <f t="shared" si="1"/>
        <v>110</v>
      </c>
      <c r="I24" s="78"/>
      <c r="J24" s="50">
        <f t="shared" si="2"/>
        <v>0</v>
      </c>
      <c r="K24" s="50">
        <f t="shared" si="3"/>
        <v>500</v>
      </c>
      <c r="L24" s="50">
        <f t="shared" si="4"/>
        <v>110</v>
      </c>
      <c r="N24" s="50">
        <v>19</v>
      </c>
      <c r="Q24" s="50">
        <v>65</v>
      </c>
      <c r="S24" s="150"/>
      <c r="T24" s="150"/>
      <c r="U24" s="150"/>
      <c r="W24" s="50">
        <v>26</v>
      </c>
      <c r="Y24" s="150"/>
      <c r="Z24" s="150"/>
      <c r="AA24" s="150"/>
    </row>
    <row r="25" spans="1:27" ht="14.25" customHeight="1" x14ac:dyDescent="0.75">
      <c r="A25" s="50">
        <v>666536</v>
      </c>
      <c r="B25" s="50" t="s">
        <v>42</v>
      </c>
      <c r="C25" s="50" t="s">
        <v>43</v>
      </c>
      <c r="E25" s="67">
        <v>40</v>
      </c>
      <c r="F25" s="50">
        <f t="shared" si="0"/>
        <v>0</v>
      </c>
      <c r="G25" s="60"/>
      <c r="H25" s="50">
        <f t="shared" si="1"/>
        <v>0</v>
      </c>
      <c r="I25" s="78"/>
      <c r="J25" s="50">
        <f t="shared" si="2"/>
        <v>0</v>
      </c>
      <c r="K25" s="50">
        <f t="shared" si="3"/>
        <v>40</v>
      </c>
      <c r="L25" s="50">
        <f t="shared" si="4"/>
        <v>0</v>
      </c>
      <c r="S25" s="150"/>
      <c r="T25" s="150"/>
      <c r="U25" s="150"/>
      <c r="Y25" s="150"/>
      <c r="Z25" s="150"/>
      <c r="AA25" s="150"/>
    </row>
    <row r="26" spans="1:27" ht="14.25" customHeight="1" x14ac:dyDescent="0.75">
      <c r="A26" s="50" t="s">
        <v>193</v>
      </c>
      <c r="B26" s="50" t="s">
        <v>194</v>
      </c>
      <c r="C26" s="50" t="s">
        <v>199</v>
      </c>
      <c r="D26" s="71"/>
      <c r="E26" s="67">
        <v>40</v>
      </c>
      <c r="F26" s="50">
        <f t="shared" si="0"/>
        <v>21</v>
      </c>
      <c r="G26" s="60"/>
      <c r="H26" s="50">
        <f t="shared" si="1"/>
        <v>0</v>
      </c>
      <c r="I26" s="78"/>
      <c r="J26" s="50">
        <f t="shared" si="2"/>
        <v>0</v>
      </c>
      <c r="K26" s="50">
        <f t="shared" si="3"/>
        <v>40</v>
      </c>
      <c r="L26" s="50">
        <f t="shared" si="4"/>
        <v>21</v>
      </c>
      <c r="M26" s="50">
        <v>15</v>
      </c>
      <c r="S26" s="150"/>
      <c r="T26" s="150"/>
      <c r="U26" s="150"/>
      <c r="V26" s="50">
        <v>6</v>
      </c>
      <c r="Y26" s="150"/>
      <c r="Z26" s="150"/>
      <c r="AA26" s="150"/>
    </row>
    <row r="27" spans="1:27" ht="14.25" customHeight="1" x14ac:dyDescent="0.75">
      <c r="C27" s="71"/>
      <c r="D27" s="71"/>
      <c r="E27" s="71"/>
      <c r="F27" s="71"/>
      <c r="G27" s="71"/>
      <c r="H27" s="71"/>
      <c r="I27" s="71"/>
      <c r="J27" s="71"/>
      <c r="L27" s="71"/>
    </row>
    <row r="28" spans="1:27" ht="14.25" customHeight="1" x14ac:dyDescent="0.75">
      <c r="C28" s="71"/>
      <c r="D28" s="71"/>
      <c r="E28" s="71"/>
      <c r="F28" s="71"/>
      <c r="G28" s="71"/>
      <c r="H28" s="71"/>
      <c r="I28" s="71"/>
      <c r="J28" s="71"/>
      <c r="L28" s="71"/>
    </row>
    <row r="29" spans="1:27" ht="14.25" customHeight="1" x14ac:dyDescent="0.75">
      <c r="C29" s="71"/>
      <c r="D29" s="71"/>
      <c r="E29" s="71"/>
      <c r="F29" s="71"/>
      <c r="G29" s="71"/>
      <c r="H29" s="71"/>
      <c r="I29" s="71"/>
      <c r="J29" s="71"/>
      <c r="L29" s="71"/>
    </row>
    <row r="30" spans="1:27" ht="14.25" customHeight="1" x14ac:dyDescent="0.75">
      <c r="C30" s="71"/>
      <c r="D30" s="71"/>
      <c r="E30" s="71"/>
      <c r="F30" s="71"/>
      <c r="G30" s="71"/>
      <c r="H30" s="71"/>
      <c r="I30" s="71"/>
      <c r="J30" s="71"/>
      <c r="L30" s="71"/>
    </row>
    <row r="31" spans="1:27" ht="14.25" customHeight="1" x14ac:dyDescent="0.75">
      <c r="C31" s="71"/>
      <c r="D31" s="71"/>
      <c r="E31" s="71"/>
      <c r="F31" s="71"/>
      <c r="G31" s="71"/>
      <c r="H31" s="71"/>
      <c r="I31" s="71"/>
      <c r="J31" s="71"/>
      <c r="L31" s="71"/>
    </row>
    <row r="32" spans="1:27" ht="14.25" customHeight="1" x14ac:dyDescent="0.75">
      <c r="C32" s="72"/>
      <c r="D32" s="71"/>
      <c r="E32" s="71"/>
      <c r="F32" s="71"/>
      <c r="G32" s="71"/>
      <c r="H32" s="71"/>
      <c r="I32" s="71"/>
      <c r="J32" s="71"/>
      <c r="L32" s="71"/>
    </row>
    <row r="33" spans="3:14" ht="14.25" customHeight="1" x14ac:dyDescent="0.75">
      <c r="C33" s="71"/>
      <c r="D33" s="71"/>
      <c r="E33" s="71"/>
      <c r="F33" s="71"/>
      <c r="G33" s="71"/>
      <c r="H33" s="71"/>
      <c r="I33" s="71"/>
      <c r="J33" s="71"/>
      <c r="L33" s="71"/>
    </row>
    <row r="34" spans="3:14" ht="14.25" customHeight="1" x14ac:dyDescent="0.75">
      <c r="C34" s="71"/>
      <c r="D34" s="71"/>
      <c r="E34" s="71"/>
      <c r="F34" s="71"/>
      <c r="G34" s="71"/>
      <c r="H34" s="71"/>
      <c r="I34" s="71"/>
      <c r="J34" s="71"/>
      <c r="L34" s="71"/>
    </row>
    <row r="35" spans="3:14" ht="14.25" customHeight="1" x14ac:dyDescent="0.75">
      <c r="C35" s="71"/>
      <c r="D35" s="71"/>
      <c r="E35" s="71"/>
      <c r="F35" s="71"/>
      <c r="G35" s="71"/>
      <c r="H35" s="71"/>
      <c r="I35" s="71"/>
      <c r="J35" s="71"/>
      <c r="L35" s="71"/>
    </row>
    <row r="36" spans="3:14" ht="14.25" customHeight="1" x14ac:dyDescent="0.75">
      <c r="C36" s="71"/>
      <c r="D36" s="71"/>
      <c r="E36" s="71"/>
      <c r="F36" s="71"/>
      <c r="G36" s="71"/>
      <c r="H36" s="71"/>
      <c r="I36" s="71"/>
      <c r="J36" s="71"/>
      <c r="L36" s="71"/>
    </row>
    <row r="37" spans="3:14" ht="14.25" customHeight="1" x14ac:dyDescent="0.75">
      <c r="C37" s="71"/>
      <c r="D37" s="71"/>
      <c r="E37" s="71"/>
      <c r="F37" s="71"/>
      <c r="G37" s="71"/>
      <c r="H37" s="71"/>
      <c r="I37" s="71"/>
      <c r="J37" s="71"/>
      <c r="L37" s="71"/>
    </row>
    <row r="38" spans="3:14" ht="14.25" customHeight="1" x14ac:dyDescent="0.75">
      <c r="C38" s="71"/>
      <c r="D38" s="71"/>
      <c r="E38" s="71"/>
      <c r="F38" s="71"/>
      <c r="G38" s="71"/>
      <c r="H38" s="71"/>
      <c r="I38" s="71"/>
      <c r="J38" s="71"/>
      <c r="L38" s="71"/>
    </row>
    <row r="39" spans="3:14" ht="14.25" customHeight="1" x14ac:dyDescent="0.75">
      <c r="C39" s="71"/>
      <c r="D39" s="71"/>
      <c r="E39" s="71"/>
      <c r="F39" s="71"/>
      <c r="G39" s="71"/>
      <c r="H39" s="71"/>
      <c r="I39" s="71"/>
      <c r="J39" s="71"/>
      <c r="L39" s="71"/>
    </row>
    <row r="40" spans="3:14" ht="14.25" customHeight="1" x14ac:dyDescent="0.75">
      <c r="C40" s="71"/>
      <c r="D40" s="71"/>
      <c r="E40" s="71"/>
      <c r="F40" s="71"/>
      <c r="G40" s="71"/>
      <c r="H40" s="71"/>
      <c r="I40" s="71"/>
      <c r="J40" s="71"/>
      <c r="L40" s="71"/>
    </row>
    <row r="41" spans="3:14" ht="14.25" customHeight="1" x14ac:dyDescent="0.75">
      <c r="C41" s="71"/>
      <c r="D41" s="71"/>
      <c r="E41" s="71"/>
      <c r="F41" s="71"/>
      <c r="G41" s="71"/>
      <c r="H41" s="71"/>
      <c r="I41" s="71"/>
      <c r="J41" s="71"/>
      <c r="L41" s="71"/>
    </row>
    <row r="42" spans="3:14" ht="14.25" customHeight="1" x14ac:dyDescent="0.75">
      <c r="C42" s="71"/>
      <c r="D42" s="71"/>
      <c r="E42" s="71"/>
      <c r="F42" s="71"/>
      <c r="G42" s="71"/>
      <c r="H42" s="71"/>
      <c r="I42" s="71"/>
      <c r="J42" s="71"/>
      <c r="L42" s="71"/>
    </row>
    <row r="48" spans="3:14" ht="14.25" customHeight="1" x14ac:dyDescent="0.75">
      <c r="L48" s="73"/>
      <c r="N48" s="74"/>
    </row>
    <row r="49" spans="4:14" ht="14.25" customHeight="1" x14ac:dyDescent="0.75">
      <c r="D49" s="75"/>
      <c r="E49" s="75"/>
      <c r="N49" s="76"/>
    </row>
    <row r="50" spans="4:14" ht="14.25" customHeight="1" x14ac:dyDescent="0.75">
      <c r="D50" s="75"/>
      <c r="E50" s="75"/>
      <c r="N50" s="76"/>
    </row>
    <row r="51" spans="4:14" ht="14.25" customHeight="1" x14ac:dyDescent="0.75">
      <c r="N51" s="76"/>
    </row>
  </sheetData>
  <conditionalFormatting sqref="F4 H4:H26 J4:J26 F5:G5 I5:I24 G6:G24 F6:F26">
    <cfRule type="expression" dxfId="43" priority="6">
      <formula>#REF!=F4</formula>
    </cfRule>
    <cfRule type="expression" dxfId="42" priority="7">
      <formula>#REF!&lt;F4</formula>
    </cfRule>
    <cfRule type="expression" dxfId="41" priority="8">
      <formula>#REF!&gt;F4</formula>
    </cfRule>
  </conditionalFormatting>
  <conditionalFormatting sqref="K5:K26">
    <cfRule type="cellIs" dxfId="40" priority="2" operator="equal">
      <formula>0</formula>
    </cfRule>
  </conditionalFormatting>
  <conditionalFormatting sqref="L5:L26">
    <cfRule type="expression" dxfId="39" priority="3">
      <formula>K5=L5</formula>
    </cfRule>
    <cfRule type="expression" dxfId="38" priority="4">
      <formula>K5&lt;L5</formula>
    </cfRule>
    <cfRule type="expression" dxfId="37" priority="5">
      <formula>K5&gt;L5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B35"/>
  <sheetViews>
    <sheetView zoomScaleNormal="100" workbookViewId="0"/>
  </sheetViews>
  <sheetFormatPr defaultColWidth="8.54296875" defaultRowHeight="14.75" x14ac:dyDescent="0.75"/>
  <cols>
    <col min="2" max="2" width="43.31640625" customWidth="1"/>
    <col min="3" max="3" width="21" customWidth="1"/>
    <col min="4" max="4" width="9.1328125" hidden="1" customWidth="1"/>
  </cols>
  <sheetData>
    <row r="1" spans="1:28" ht="28.5" customHeight="1" x14ac:dyDescent="0.75">
      <c r="A1" s="51"/>
      <c r="B1" s="51"/>
      <c r="C1" s="51" t="s">
        <v>176</v>
      </c>
      <c r="D1" s="51" t="s">
        <v>144</v>
      </c>
      <c r="E1" s="52" t="s">
        <v>116</v>
      </c>
      <c r="F1" s="53" t="s">
        <v>145</v>
      </c>
      <c r="G1" s="54" t="s">
        <v>119</v>
      </c>
      <c r="H1" s="53" t="s">
        <v>146</v>
      </c>
      <c r="I1" s="55" t="s">
        <v>122</v>
      </c>
      <c r="J1" s="56" t="s">
        <v>147</v>
      </c>
      <c r="K1" s="51" t="s">
        <v>148</v>
      </c>
      <c r="L1" s="53" t="s">
        <v>149</v>
      </c>
      <c r="M1" s="51" t="s">
        <v>56</v>
      </c>
      <c r="N1" s="51" t="s">
        <v>58</v>
      </c>
      <c r="O1" s="51" t="s">
        <v>66</v>
      </c>
      <c r="P1" s="51" t="s">
        <v>56</v>
      </c>
      <c r="Q1" s="51" t="s">
        <v>58</v>
      </c>
      <c r="R1" s="51" t="s">
        <v>66</v>
      </c>
      <c r="S1" s="51" t="s">
        <v>56</v>
      </c>
      <c r="T1" s="51" t="s">
        <v>58</v>
      </c>
      <c r="U1" s="51" t="s">
        <v>66</v>
      </c>
      <c r="V1" s="51" t="s">
        <v>56</v>
      </c>
      <c r="W1" s="51" t="s">
        <v>58</v>
      </c>
      <c r="X1" s="51" t="s">
        <v>66</v>
      </c>
      <c r="Y1" s="51" t="s">
        <v>56</v>
      </c>
      <c r="Z1" s="51" t="s">
        <v>58</v>
      </c>
      <c r="AA1" s="51" t="s">
        <v>66</v>
      </c>
      <c r="AB1" s="51"/>
    </row>
    <row r="2" spans="1:28" ht="14.25" customHeight="1" x14ac:dyDescent="0.75">
      <c r="A2" s="50"/>
      <c r="B2" s="50"/>
      <c r="C2" s="57" t="s">
        <v>150</v>
      </c>
      <c r="D2" s="57"/>
      <c r="E2" s="57"/>
      <c r="F2" s="57"/>
      <c r="G2" s="57"/>
      <c r="H2" s="59"/>
      <c r="I2" s="59"/>
      <c r="J2" s="59"/>
      <c r="K2" s="59"/>
      <c r="L2" s="59"/>
      <c r="M2" s="59" t="s">
        <v>65</v>
      </c>
      <c r="N2" s="59" t="s">
        <v>57</v>
      </c>
      <c r="O2" s="59" t="s">
        <v>55</v>
      </c>
      <c r="P2" s="59" t="s">
        <v>65</v>
      </c>
      <c r="Q2" s="59" t="s">
        <v>57</v>
      </c>
      <c r="R2" s="59" t="s">
        <v>55</v>
      </c>
      <c r="S2" s="59" t="s">
        <v>65</v>
      </c>
      <c r="T2" s="59" t="s">
        <v>57</v>
      </c>
      <c r="U2" s="59" t="s">
        <v>55</v>
      </c>
      <c r="V2" s="59" t="s">
        <v>65</v>
      </c>
      <c r="W2" s="59" t="s">
        <v>57</v>
      </c>
      <c r="X2" s="59" t="s">
        <v>55</v>
      </c>
      <c r="Y2" s="59" t="s">
        <v>65</v>
      </c>
      <c r="Z2" s="59" t="s">
        <v>57</v>
      </c>
      <c r="AA2" s="59" t="s">
        <v>55</v>
      </c>
      <c r="AB2" s="50"/>
    </row>
    <row r="3" spans="1:28" ht="14.25" customHeight="1" x14ac:dyDescent="0.75">
      <c r="A3" s="62" t="s">
        <v>129</v>
      </c>
      <c r="B3" s="62" t="s">
        <v>2</v>
      </c>
      <c r="C3" s="62" t="s">
        <v>3</v>
      </c>
      <c r="D3" s="62"/>
      <c r="E3" s="58"/>
      <c r="F3" s="62"/>
      <c r="G3" s="63"/>
      <c r="H3" s="62"/>
      <c r="I3" s="64"/>
      <c r="J3" s="62"/>
      <c r="K3" s="62"/>
      <c r="L3" s="62"/>
      <c r="M3" s="62" t="s">
        <v>54</v>
      </c>
      <c r="N3" s="62" t="s">
        <v>54</v>
      </c>
      <c r="O3" s="62" t="s">
        <v>54</v>
      </c>
      <c r="P3" s="62" t="s">
        <v>59</v>
      </c>
      <c r="Q3" s="62" t="s">
        <v>59</v>
      </c>
      <c r="R3" s="62" t="s">
        <v>59</v>
      </c>
      <c r="S3" s="62" t="s">
        <v>60</v>
      </c>
      <c r="T3" s="62" t="s">
        <v>60</v>
      </c>
      <c r="U3" s="62" t="s">
        <v>60</v>
      </c>
      <c r="V3" s="62" t="s">
        <v>62</v>
      </c>
      <c r="W3" s="62" t="s">
        <v>62</v>
      </c>
      <c r="X3" s="62" t="s">
        <v>62</v>
      </c>
      <c r="Y3" s="62" t="s">
        <v>63</v>
      </c>
      <c r="Z3" s="62" t="s">
        <v>63</v>
      </c>
      <c r="AA3" s="62" t="s">
        <v>63</v>
      </c>
      <c r="AB3" s="50"/>
    </row>
    <row r="4" spans="1:28" ht="14.25" customHeight="1" x14ac:dyDescent="0.75">
      <c r="A4" s="62"/>
      <c r="B4" s="62"/>
      <c r="C4" s="62" t="s">
        <v>151</v>
      </c>
      <c r="D4" s="62"/>
      <c r="E4" s="58"/>
      <c r="F4" s="62">
        <f t="shared" ref="F4:F26" si="0">+M4+P4+S4+V4+Y4</f>
        <v>0</v>
      </c>
      <c r="G4" s="147"/>
      <c r="H4" s="62">
        <f t="shared" ref="H4:H26" si="1">+N4+Q4+T4+W4+Z4</f>
        <v>0</v>
      </c>
      <c r="I4" s="64"/>
      <c r="J4" s="62">
        <f t="shared" ref="J4:J26" si="2">+O4+R4+U4+X4+AA4</f>
        <v>0</v>
      </c>
      <c r="K4" s="62" t="s">
        <v>152</v>
      </c>
      <c r="L4" s="62"/>
      <c r="M4" s="62"/>
      <c r="N4" s="62"/>
      <c r="O4" s="62"/>
      <c r="P4" s="50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50"/>
    </row>
    <row r="5" spans="1:28" ht="14.25" customHeight="1" x14ac:dyDescent="0.75">
      <c r="A5" s="50">
        <v>666501</v>
      </c>
      <c r="B5" s="50" t="s">
        <v>4</v>
      </c>
      <c r="C5" s="50" t="s">
        <v>5</v>
      </c>
      <c r="D5" s="50"/>
      <c r="E5" s="67">
        <v>0</v>
      </c>
      <c r="F5" s="50">
        <f t="shared" si="0"/>
        <v>0</v>
      </c>
      <c r="G5" s="149">
        <v>151</v>
      </c>
      <c r="H5" s="62">
        <f t="shared" si="1"/>
        <v>0</v>
      </c>
      <c r="I5" s="61">
        <v>21</v>
      </c>
      <c r="J5" s="157">
        <f t="shared" si="2"/>
        <v>0</v>
      </c>
      <c r="K5" s="50">
        <f t="shared" ref="K5:K24" si="3">+E5+G5+I5</f>
        <v>172</v>
      </c>
      <c r="L5" s="50">
        <f t="shared" ref="L5:L25" si="4">SUM(F5,H5,J5)</f>
        <v>0</v>
      </c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</row>
    <row r="6" spans="1:28" ht="14.25" customHeight="1" x14ac:dyDescent="0.75">
      <c r="A6" s="50">
        <v>666502</v>
      </c>
      <c r="B6" s="50" t="s">
        <v>6</v>
      </c>
      <c r="C6" s="50" t="s">
        <v>7</v>
      </c>
      <c r="D6" s="50"/>
      <c r="E6" s="67">
        <v>0</v>
      </c>
      <c r="F6" s="50">
        <f t="shared" si="0"/>
        <v>0</v>
      </c>
      <c r="G6" s="149">
        <v>71</v>
      </c>
      <c r="H6" s="62">
        <f t="shared" si="1"/>
        <v>0</v>
      </c>
      <c r="I6" s="61">
        <v>105</v>
      </c>
      <c r="J6" s="164">
        <f t="shared" si="2"/>
        <v>0</v>
      </c>
      <c r="K6" s="50">
        <f t="shared" si="3"/>
        <v>176</v>
      </c>
      <c r="L6" s="50">
        <f t="shared" si="4"/>
        <v>0</v>
      </c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</row>
    <row r="7" spans="1:28" ht="14.25" customHeight="1" x14ac:dyDescent="0.75">
      <c r="A7" s="50">
        <v>666505</v>
      </c>
      <c r="B7" s="50" t="s">
        <v>8</v>
      </c>
      <c r="C7" s="50" t="s">
        <v>9</v>
      </c>
      <c r="D7" s="50"/>
      <c r="E7" s="67">
        <v>0</v>
      </c>
      <c r="F7" s="50">
        <f t="shared" si="0"/>
        <v>0</v>
      </c>
      <c r="G7" s="149">
        <v>0</v>
      </c>
      <c r="H7" s="62">
        <f t="shared" si="1"/>
        <v>0</v>
      </c>
      <c r="I7" s="61">
        <v>0</v>
      </c>
      <c r="J7" s="157">
        <f t="shared" si="2"/>
        <v>0</v>
      </c>
      <c r="K7" s="50">
        <f t="shared" si="3"/>
        <v>0</v>
      </c>
      <c r="L7" s="50">
        <f t="shared" si="4"/>
        <v>0</v>
      </c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</row>
    <row r="8" spans="1:28" ht="14.25" customHeight="1" x14ac:dyDescent="0.75">
      <c r="A8" s="50">
        <v>666506</v>
      </c>
      <c r="B8" s="50" t="s">
        <v>10</v>
      </c>
      <c r="C8" s="50" t="s">
        <v>11</v>
      </c>
      <c r="D8" s="50"/>
      <c r="E8" s="67">
        <v>0</v>
      </c>
      <c r="F8" s="50">
        <f t="shared" si="0"/>
        <v>0</v>
      </c>
      <c r="G8" s="149">
        <v>12</v>
      </c>
      <c r="H8" s="62">
        <f t="shared" si="1"/>
        <v>0</v>
      </c>
      <c r="I8" s="61">
        <v>0</v>
      </c>
      <c r="J8" s="62">
        <f t="shared" si="2"/>
        <v>0</v>
      </c>
      <c r="K8" s="50">
        <f t="shared" si="3"/>
        <v>12</v>
      </c>
      <c r="L8" s="50">
        <f t="shared" si="4"/>
        <v>0</v>
      </c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</row>
    <row r="9" spans="1:28" ht="14.25" customHeight="1" x14ac:dyDescent="0.75">
      <c r="A9" s="50">
        <v>666507</v>
      </c>
      <c r="B9" s="50" t="s">
        <v>12</v>
      </c>
      <c r="C9" s="50" t="s">
        <v>13</v>
      </c>
      <c r="D9" s="50"/>
      <c r="E9" s="67">
        <v>8</v>
      </c>
      <c r="F9" s="50">
        <f t="shared" si="0"/>
        <v>0</v>
      </c>
      <c r="G9" s="149">
        <v>0</v>
      </c>
      <c r="H9" s="62">
        <f t="shared" si="1"/>
        <v>0</v>
      </c>
      <c r="I9" s="61">
        <v>0</v>
      </c>
      <c r="J9" s="62">
        <f t="shared" si="2"/>
        <v>0</v>
      </c>
      <c r="K9" s="50">
        <f t="shared" si="3"/>
        <v>8</v>
      </c>
      <c r="L9" s="50">
        <f t="shared" si="4"/>
        <v>0</v>
      </c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</row>
    <row r="10" spans="1:28" ht="14.25" customHeight="1" x14ac:dyDescent="0.75">
      <c r="A10" s="50">
        <v>666509</v>
      </c>
      <c r="B10" s="50" t="s">
        <v>14</v>
      </c>
      <c r="C10" s="50" t="s">
        <v>15</v>
      </c>
      <c r="D10" s="50"/>
      <c r="E10" s="67">
        <v>30</v>
      </c>
      <c r="F10" s="50">
        <f t="shared" si="0"/>
        <v>0</v>
      </c>
      <c r="G10" s="149">
        <v>0</v>
      </c>
      <c r="H10" s="62">
        <f t="shared" si="1"/>
        <v>0</v>
      </c>
      <c r="I10" s="61">
        <v>0</v>
      </c>
      <c r="J10" s="62">
        <f t="shared" si="2"/>
        <v>0</v>
      </c>
      <c r="K10" s="50">
        <f t="shared" si="3"/>
        <v>30</v>
      </c>
      <c r="L10" s="50">
        <f t="shared" si="4"/>
        <v>0</v>
      </c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</row>
    <row r="11" spans="1:28" ht="14.25" customHeight="1" x14ac:dyDescent="0.75">
      <c r="A11" s="50">
        <v>666510</v>
      </c>
      <c r="B11" s="50" t="s">
        <v>16</v>
      </c>
      <c r="C11" s="50" t="s">
        <v>17</v>
      </c>
      <c r="D11" s="50"/>
      <c r="E11" s="67">
        <v>0</v>
      </c>
      <c r="F11" s="50">
        <f t="shared" si="0"/>
        <v>0</v>
      </c>
      <c r="G11" s="149">
        <v>0</v>
      </c>
      <c r="H11" s="62">
        <f t="shared" si="1"/>
        <v>0</v>
      </c>
      <c r="I11" s="61">
        <v>0</v>
      </c>
      <c r="J11" s="62">
        <f t="shared" si="2"/>
        <v>0</v>
      </c>
      <c r="K11" s="50">
        <f t="shared" si="3"/>
        <v>0</v>
      </c>
      <c r="L11" s="50">
        <f t="shared" si="4"/>
        <v>0</v>
      </c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</row>
    <row r="12" spans="1:28" ht="14.25" customHeight="1" x14ac:dyDescent="0.75">
      <c r="A12" s="50">
        <v>666511</v>
      </c>
      <c r="B12" s="50" t="s">
        <v>18</v>
      </c>
      <c r="C12" s="50" t="s">
        <v>19</v>
      </c>
      <c r="D12" s="50"/>
      <c r="E12" s="67">
        <v>4</v>
      </c>
      <c r="F12" s="50">
        <f t="shared" si="0"/>
        <v>0</v>
      </c>
      <c r="G12" s="149">
        <v>0</v>
      </c>
      <c r="H12" s="62">
        <f t="shared" si="1"/>
        <v>0</v>
      </c>
      <c r="I12" s="61">
        <v>0</v>
      </c>
      <c r="J12" s="62">
        <f t="shared" si="2"/>
        <v>0</v>
      </c>
      <c r="K12" s="50">
        <f t="shared" si="3"/>
        <v>4</v>
      </c>
      <c r="L12" s="50">
        <f t="shared" si="4"/>
        <v>0</v>
      </c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</row>
    <row r="13" spans="1:28" ht="14.25" customHeight="1" x14ac:dyDescent="0.75">
      <c r="A13" s="50">
        <v>666513</v>
      </c>
      <c r="B13" s="50" t="s">
        <v>20</v>
      </c>
      <c r="C13" s="50" t="s">
        <v>21</v>
      </c>
      <c r="D13" s="50"/>
      <c r="E13" s="67">
        <v>0</v>
      </c>
      <c r="F13" s="50">
        <f t="shared" si="0"/>
        <v>0</v>
      </c>
      <c r="G13" s="149">
        <v>0</v>
      </c>
      <c r="H13" s="62">
        <f t="shared" si="1"/>
        <v>0</v>
      </c>
      <c r="I13" s="61">
        <v>0</v>
      </c>
      <c r="J13" s="62">
        <f t="shared" si="2"/>
        <v>0</v>
      </c>
      <c r="K13" s="50">
        <f t="shared" si="3"/>
        <v>0</v>
      </c>
      <c r="L13" s="50">
        <f t="shared" si="4"/>
        <v>0</v>
      </c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</row>
    <row r="14" spans="1:28" ht="14.25" customHeight="1" x14ac:dyDescent="0.75">
      <c r="A14" s="50">
        <v>666516</v>
      </c>
      <c r="B14" s="50" t="s">
        <v>22</v>
      </c>
      <c r="C14" s="50" t="s">
        <v>23</v>
      </c>
      <c r="D14" s="50"/>
      <c r="E14" s="67">
        <v>0</v>
      </c>
      <c r="F14" s="50">
        <f t="shared" si="0"/>
        <v>0</v>
      </c>
      <c r="G14" s="149">
        <v>0</v>
      </c>
      <c r="H14" s="62">
        <f t="shared" si="1"/>
        <v>0</v>
      </c>
      <c r="I14" s="61">
        <v>0</v>
      </c>
      <c r="J14" s="157">
        <f t="shared" si="2"/>
        <v>0</v>
      </c>
      <c r="K14" s="50">
        <f t="shared" si="3"/>
        <v>0</v>
      </c>
      <c r="L14" s="50">
        <f t="shared" si="4"/>
        <v>0</v>
      </c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</row>
    <row r="15" spans="1:28" ht="14.25" customHeight="1" x14ac:dyDescent="0.75">
      <c r="A15" s="50">
        <v>666517</v>
      </c>
      <c r="B15" s="50" t="s">
        <v>24</v>
      </c>
      <c r="C15" s="50" t="s">
        <v>25</v>
      </c>
      <c r="D15" s="50"/>
      <c r="E15" s="67">
        <v>0</v>
      </c>
      <c r="F15" s="50">
        <f t="shared" si="0"/>
        <v>0</v>
      </c>
      <c r="G15" s="149">
        <v>0</v>
      </c>
      <c r="H15" s="62">
        <f t="shared" si="1"/>
        <v>0</v>
      </c>
      <c r="I15" s="61">
        <v>0</v>
      </c>
      <c r="J15" s="62">
        <f t="shared" si="2"/>
        <v>0</v>
      </c>
      <c r="K15" s="50">
        <f t="shared" si="3"/>
        <v>0</v>
      </c>
      <c r="L15" s="50">
        <f t="shared" si="4"/>
        <v>0</v>
      </c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</row>
    <row r="16" spans="1:28" ht="14.25" customHeight="1" x14ac:dyDescent="0.75">
      <c r="A16" s="50">
        <v>666518</v>
      </c>
      <c r="B16" s="50" t="s">
        <v>26</v>
      </c>
      <c r="C16" s="50" t="s">
        <v>27</v>
      </c>
      <c r="D16" s="50"/>
      <c r="E16" s="67">
        <v>0</v>
      </c>
      <c r="F16" s="50">
        <f t="shared" si="0"/>
        <v>0</v>
      </c>
      <c r="G16" s="149">
        <v>0</v>
      </c>
      <c r="H16" s="62">
        <f t="shared" si="1"/>
        <v>0</v>
      </c>
      <c r="I16" s="61">
        <v>0</v>
      </c>
      <c r="J16" s="62">
        <f t="shared" si="2"/>
        <v>0</v>
      </c>
      <c r="K16" s="50">
        <f t="shared" si="3"/>
        <v>0</v>
      </c>
      <c r="L16" s="50">
        <f t="shared" si="4"/>
        <v>0</v>
      </c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</row>
    <row r="17" spans="1:28" ht="14.25" customHeight="1" x14ac:dyDescent="0.75">
      <c r="A17" s="50">
        <v>666519</v>
      </c>
      <c r="B17" s="50" t="s">
        <v>28</v>
      </c>
      <c r="C17" s="50" t="s">
        <v>29</v>
      </c>
      <c r="D17" s="50"/>
      <c r="E17" s="67">
        <v>0</v>
      </c>
      <c r="F17" s="50">
        <f t="shared" si="0"/>
        <v>0</v>
      </c>
      <c r="G17" s="149">
        <v>0</v>
      </c>
      <c r="H17" s="62">
        <f t="shared" si="1"/>
        <v>0</v>
      </c>
      <c r="I17" s="61">
        <v>0</v>
      </c>
      <c r="J17" s="62">
        <f t="shared" si="2"/>
        <v>0</v>
      </c>
      <c r="K17" s="50">
        <f t="shared" si="3"/>
        <v>0</v>
      </c>
      <c r="L17" s="50">
        <f t="shared" si="4"/>
        <v>0</v>
      </c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</row>
    <row r="18" spans="1:28" ht="14.25" customHeight="1" x14ac:dyDescent="0.75">
      <c r="A18" s="50">
        <v>666521</v>
      </c>
      <c r="B18" s="50" t="s">
        <v>30</v>
      </c>
      <c r="C18" s="50" t="s">
        <v>31</v>
      </c>
      <c r="D18" s="50"/>
      <c r="E18" s="67">
        <v>12</v>
      </c>
      <c r="F18" s="50">
        <f t="shared" si="0"/>
        <v>0</v>
      </c>
      <c r="G18" s="149">
        <v>0</v>
      </c>
      <c r="H18" s="62">
        <f t="shared" si="1"/>
        <v>0</v>
      </c>
      <c r="I18" s="61">
        <v>0</v>
      </c>
      <c r="J18" s="62">
        <f t="shared" si="2"/>
        <v>0</v>
      </c>
      <c r="K18" s="50">
        <f t="shared" si="3"/>
        <v>12</v>
      </c>
      <c r="L18" s="50">
        <f t="shared" si="4"/>
        <v>0</v>
      </c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</row>
    <row r="19" spans="1:28" ht="14.25" customHeight="1" x14ac:dyDescent="0.75">
      <c r="A19" s="50">
        <v>666522</v>
      </c>
      <c r="B19" s="50" t="s">
        <v>32</v>
      </c>
      <c r="C19" s="50" t="s">
        <v>33</v>
      </c>
      <c r="D19" s="50"/>
      <c r="E19" s="67">
        <v>125</v>
      </c>
      <c r="F19" s="50">
        <f t="shared" si="0"/>
        <v>0</v>
      </c>
      <c r="G19" s="149">
        <v>55</v>
      </c>
      <c r="H19" s="62">
        <f t="shared" si="1"/>
        <v>0</v>
      </c>
      <c r="I19" s="61">
        <v>0</v>
      </c>
      <c r="J19" s="157">
        <f t="shared" si="2"/>
        <v>0</v>
      </c>
      <c r="K19" s="50">
        <f t="shared" si="3"/>
        <v>180</v>
      </c>
      <c r="L19" s="50">
        <f t="shared" si="4"/>
        <v>0</v>
      </c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</row>
    <row r="20" spans="1:28" ht="14.25" customHeight="1" x14ac:dyDescent="0.75">
      <c r="A20" s="50">
        <v>666523</v>
      </c>
      <c r="B20" s="50" t="s">
        <v>34</v>
      </c>
      <c r="C20" s="50" t="s">
        <v>35</v>
      </c>
      <c r="D20" s="50"/>
      <c r="E20" s="67">
        <v>0</v>
      </c>
      <c r="F20" s="50">
        <f t="shared" si="0"/>
        <v>0</v>
      </c>
      <c r="G20" s="149">
        <v>0</v>
      </c>
      <c r="H20" s="62">
        <f t="shared" si="1"/>
        <v>0</v>
      </c>
      <c r="I20" s="61">
        <v>0</v>
      </c>
      <c r="J20" s="62">
        <f t="shared" si="2"/>
        <v>0</v>
      </c>
      <c r="K20" s="50">
        <f t="shared" si="3"/>
        <v>0</v>
      </c>
      <c r="L20" s="50">
        <f t="shared" si="4"/>
        <v>0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</row>
    <row r="21" spans="1:28" ht="14.25" customHeight="1" x14ac:dyDescent="0.75">
      <c r="A21" s="50">
        <v>666530</v>
      </c>
      <c r="B21" s="50" t="s">
        <v>36</v>
      </c>
      <c r="C21" s="50" t="s">
        <v>37</v>
      </c>
      <c r="D21" s="50"/>
      <c r="E21" s="67">
        <v>0</v>
      </c>
      <c r="F21" s="50">
        <f t="shared" si="0"/>
        <v>0</v>
      </c>
      <c r="G21" s="149">
        <v>0</v>
      </c>
      <c r="H21" s="62">
        <f t="shared" si="1"/>
        <v>0</v>
      </c>
      <c r="I21" s="61">
        <v>0</v>
      </c>
      <c r="J21" s="157">
        <f t="shared" si="2"/>
        <v>0</v>
      </c>
      <c r="K21" s="50">
        <f t="shared" si="3"/>
        <v>0</v>
      </c>
      <c r="L21" s="50">
        <f t="shared" si="4"/>
        <v>0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</row>
    <row r="22" spans="1:28" ht="14.25" customHeight="1" x14ac:dyDescent="0.75">
      <c r="A22" s="50">
        <v>666531</v>
      </c>
      <c r="B22" s="50" t="s">
        <v>38</v>
      </c>
      <c r="C22" s="50" t="s">
        <v>39</v>
      </c>
      <c r="D22" s="50"/>
      <c r="E22" s="67">
        <v>6</v>
      </c>
      <c r="F22" s="50">
        <f t="shared" si="0"/>
        <v>0</v>
      </c>
      <c r="G22" s="149">
        <v>0</v>
      </c>
      <c r="H22" s="62">
        <f t="shared" si="1"/>
        <v>0</v>
      </c>
      <c r="I22" s="61">
        <v>0</v>
      </c>
      <c r="J22" s="157">
        <f t="shared" si="2"/>
        <v>0</v>
      </c>
      <c r="K22" s="50">
        <f t="shared" si="3"/>
        <v>6</v>
      </c>
      <c r="L22" s="50">
        <f t="shared" si="4"/>
        <v>0</v>
      </c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</row>
    <row r="23" spans="1:28" ht="14.25" customHeight="1" x14ac:dyDescent="0.75">
      <c r="A23" s="50">
        <v>666540</v>
      </c>
      <c r="B23" s="50" t="s">
        <v>40</v>
      </c>
      <c r="C23" s="50" t="s">
        <v>40</v>
      </c>
      <c r="D23" s="50"/>
      <c r="E23" s="67">
        <v>0</v>
      </c>
      <c r="F23" s="50">
        <f t="shared" si="0"/>
        <v>0</v>
      </c>
      <c r="G23" s="149">
        <v>0</v>
      </c>
      <c r="H23" s="62">
        <f t="shared" si="1"/>
        <v>0</v>
      </c>
      <c r="I23" s="61">
        <v>0</v>
      </c>
      <c r="J23" s="62">
        <f t="shared" si="2"/>
        <v>0</v>
      </c>
      <c r="K23" s="50">
        <f t="shared" si="3"/>
        <v>0</v>
      </c>
      <c r="L23" s="50">
        <f t="shared" si="4"/>
        <v>0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</row>
    <row r="24" spans="1:28" ht="14.25" customHeight="1" x14ac:dyDescent="0.75">
      <c r="A24" s="50">
        <v>666541</v>
      </c>
      <c r="B24" s="50" t="s">
        <v>41</v>
      </c>
      <c r="C24" s="50" t="s">
        <v>41</v>
      </c>
      <c r="D24" s="50"/>
      <c r="E24" s="67">
        <v>0</v>
      </c>
      <c r="F24" s="50">
        <f t="shared" si="0"/>
        <v>0</v>
      </c>
      <c r="G24" s="149">
        <v>390</v>
      </c>
      <c r="H24" s="62">
        <f t="shared" si="1"/>
        <v>0</v>
      </c>
      <c r="I24" s="61">
        <v>0</v>
      </c>
      <c r="J24" s="62">
        <f t="shared" si="2"/>
        <v>0</v>
      </c>
      <c r="K24" s="50">
        <f t="shared" si="3"/>
        <v>390</v>
      </c>
      <c r="L24" s="50">
        <f t="shared" si="4"/>
        <v>0</v>
      </c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</row>
    <row r="25" spans="1:28" ht="14.25" customHeight="1" x14ac:dyDescent="0.75">
      <c r="A25" s="50">
        <v>666536</v>
      </c>
      <c r="B25" s="50" t="s">
        <v>42</v>
      </c>
      <c r="C25" s="50" t="s">
        <v>43</v>
      </c>
      <c r="D25" s="50"/>
      <c r="E25" s="67">
        <v>40</v>
      </c>
      <c r="F25" s="50">
        <f t="shared" si="0"/>
        <v>0</v>
      </c>
      <c r="G25" s="149">
        <v>0</v>
      </c>
      <c r="H25" s="62">
        <f t="shared" si="1"/>
        <v>0</v>
      </c>
      <c r="I25" s="61">
        <v>0</v>
      </c>
      <c r="J25" s="62">
        <f t="shared" si="2"/>
        <v>0</v>
      </c>
      <c r="K25" s="50">
        <f>+E25+G25+H25</f>
        <v>40</v>
      </c>
      <c r="L25" s="50">
        <f t="shared" si="4"/>
        <v>0</v>
      </c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</row>
    <row r="26" spans="1:28" s="50" customFormat="1" ht="14.25" customHeight="1" x14ac:dyDescent="0.75">
      <c r="A26" s="50" t="s">
        <v>193</v>
      </c>
      <c r="B26" s="50" t="s">
        <v>194</v>
      </c>
      <c r="C26" s="50" t="s">
        <v>199</v>
      </c>
      <c r="D26" s="71"/>
      <c r="E26" s="67">
        <v>19</v>
      </c>
      <c r="F26" s="50">
        <f t="shared" si="0"/>
        <v>0</v>
      </c>
      <c r="G26" s="149">
        <v>0</v>
      </c>
      <c r="H26" s="50">
        <f t="shared" si="1"/>
        <v>0</v>
      </c>
      <c r="I26" s="61">
        <v>0</v>
      </c>
      <c r="J26" s="50">
        <f t="shared" si="2"/>
        <v>0</v>
      </c>
      <c r="K26" s="50">
        <f>+E26+G26+I26</f>
        <v>19</v>
      </c>
      <c r="L26" s="50">
        <f>+F26+H26+J26</f>
        <v>0</v>
      </c>
    </row>
    <row r="35" spans="15:15" ht="14.25" customHeight="1" x14ac:dyDescent="0.75">
      <c r="O35" t="s">
        <v>152</v>
      </c>
    </row>
  </sheetData>
  <conditionalFormatting sqref="F26 H26 J26">
    <cfRule type="expression" dxfId="36" priority="6">
      <formula>#REF!=F26</formula>
    </cfRule>
    <cfRule type="expression" dxfId="35" priority="7">
      <formula>#REF!&lt;F26</formula>
    </cfRule>
    <cfRule type="expression" dxfId="34" priority="8">
      <formula>#REF!&gt;F26</formula>
    </cfRule>
  </conditionalFormatting>
  <conditionalFormatting sqref="K5:K26">
    <cfRule type="cellIs" dxfId="33" priority="2" operator="equal">
      <formula>0</formula>
    </cfRule>
  </conditionalFormatting>
  <conditionalFormatting sqref="L5:L26">
    <cfRule type="expression" dxfId="32" priority="3">
      <formula>K5=L5</formula>
    </cfRule>
    <cfRule type="expression" dxfId="31" priority="4">
      <formula>K5&lt;L5</formula>
    </cfRule>
    <cfRule type="expression" dxfId="30" priority="5">
      <formula>K5&gt;L5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X72"/>
  <sheetViews>
    <sheetView zoomScaleNormal="100" workbookViewId="0"/>
  </sheetViews>
  <sheetFormatPr defaultColWidth="8.86328125" defaultRowHeight="14.75" x14ac:dyDescent="0.75"/>
  <cols>
    <col min="1" max="1" width="9" style="79" customWidth="1"/>
    <col min="2" max="2" width="33.453125" style="79" customWidth="1"/>
    <col min="3" max="3" width="15.6328125" style="79" hidden="1" customWidth="1"/>
    <col min="4" max="13" width="8.86328125" style="79"/>
    <col min="14" max="14" width="9.453125" style="79" customWidth="1"/>
    <col min="15" max="17" width="8.86328125" style="79"/>
    <col min="18" max="18" width="10.6328125" style="80" customWidth="1"/>
    <col min="19" max="19" width="9.1328125" style="79" hidden="1" customWidth="1"/>
    <col min="20" max="16384" width="8.86328125" style="79"/>
  </cols>
  <sheetData>
    <row r="1" spans="1:19" ht="15" customHeight="1" x14ac:dyDescent="0.75">
      <c r="A1" s="3" t="s">
        <v>205</v>
      </c>
      <c r="B1" s="3"/>
      <c r="C1" s="3"/>
      <c r="D1" s="3"/>
      <c r="E1" s="3"/>
      <c r="F1" s="81"/>
      <c r="G1" s="81"/>
      <c r="H1" s="81"/>
      <c r="I1" s="81"/>
      <c r="J1" s="81"/>
      <c r="K1" s="81"/>
      <c r="L1" s="81"/>
      <c r="M1" s="81"/>
      <c r="N1" s="81"/>
      <c r="O1" s="81"/>
      <c r="P1" s="82"/>
      <c r="Q1" s="80" t="s">
        <v>160</v>
      </c>
    </row>
    <row r="2" spans="1:19" ht="41.25" customHeight="1" x14ac:dyDescent="0.75">
      <c r="A2" s="83"/>
      <c r="B2" s="84" t="s">
        <v>56</v>
      </c>
      <c r="C2" s="85" t="s">
        <v>55</v>
      </c>
      <c r="D2" s="86" t="s">
        <v>116</v>
      </c>
      <c r="E2" s="87" t="s">
        <v>161</v>
      </c>
      <c r="F2" s="88" t="s">
        <v>162</v>
      </c>
      <c r="G2" s="86" t="s">
        <v>163</v>
      </c>
      <c r="H2" s="87" t="s">
        <v>164</v>
      </c>
      <c r="I2" s="86" t="s">
        <v>165</v>
      </c>
      <c r="J2" s="86" t="s">
        <v>166</v>
      </c>
      <c r="K2" s="89" t="s">
        <v>167</v>
      </c>
      <c r="L2" s="88" t="s">
        <v>162</v>
      </c>
      <c r="M2" s="86" t="s">
        <v>163</v>
      </c>
      <c r="N2" s="87" t="s">
        <v>164</v>
      </c>
      <c r="O2" s="86" t="s">
        <v>165</v>
      </c>
      <c r="P2" s="90" t="s">
        <v>166</v>
      </c>
      <c r="Q2" s="91"/>
      <c r="R2" s="92" t="s">
        <v>168</v>
      </c>
    </row>
    <row r="3" spans="1:19" ht="14.25" customHeight="1" x14ac:dyDescent="0.75">
      <c r="A3" s="93" t="e">
        <f>#NAME?</f>
        <v>#NAME?</v>
      </c>
      <c r="B3" s="94" t="s">
        <v>4</v>
      </c>
      <c r="C3" s="95" t="s">
        <v>5</v>
      </c>
      <c r="D3" s="96">
        <v>42</v>
      </c>
      <c r="E3" s="97">
        <f t="shared" ref="E3:E24" si="0">+D3/7</f>
        <v>6</v>
      </c>
      <c r="F3" s="96">
        <v>42</v>
      </c>
      <c r="G3" s="98">
        <v>0</v>
      </c>
      <c r="H3" s="96">
        <v>0</v>
      </c>
      <c r="I3" s="96">
        <v>0</v>
      </c>
      <c r="J3" s="96">
        <v>0</v>
      </c>
      <c r="K3" s="99">
        <f t="shared" ref="K3:K24" si="1">(+D3-SUM(F3:J3))/3.5</f>
        <v>0</v>
      </c>
      <c r="L3" s="96">
        <v>0</v>
      </c>
      <c r="M3" s="96">
        <v>0</v>
      </c>
      <c r="N3" s="96">
        <v>0</v>
      </c>
      <c r="O3" s="96">
        <v>0</v>
      </c>
      <c r="P3" s="100">
        <v>0</v>
      </c>
      <c r="Q3" s="101">
        <f t="shared" ref="Q3:Q24" si="2">SUM(F3:J3)+SUM(L3:P3)</f>
        <v>42</v>
      </c>
      <c r="R3" s="101">
        <f t="shared" ref="R3:R24" si="3">+D3-Q3</f>
        <v>0</v>
      </c>
      <c r="S3" s="102">
        <f>+R3/2.25</f>
        <v>0</v>
      </c>
    </row>
    <row r="4" spans="1:19" ht="14.25" customHeight="1" x14ac:dyDescent="0.75">
      <c r="A4" s="93">
        <v>666502</v>
      </c>
      <c r="B4" s="94" t="s">
        <v>6</v>
      </c>
      <c r="C4" s="95" t="s">
        <v>7</v>
      </c>
      <c r="D4" s="96">
        <v>0</v>
      </c>
      <c r="E4" s="97">
        <f t="shared" si="0"/>
        <v>0</v>
      </c>
      <c r="F4" s="96">
        <v>0</v>
      </c>
      <c r="G4" s="98">
        <v>0</v>
      </c>
      <c r="H4" s="96">
        <v>0</v>
      </c>
      <c r="I4" s="96">
        <v>0</v>
      </c>
      <c r="J4" s="96">
        <v>0</v>
      </c>
      <c r="K4" s="99">
        <f t="shared" si="1"/>
        <v>0</v>
      </c>
      <c r="L4" s="96">
        <v>0</v>
      </c>
      <c r="M4" s="96">
        <v>0</v>
      </c>
      <c r="N4" s="96">
        <v>0</v>
      </c>
      <c r="O4" s="96">
        <v>0</v>
      </c>
      <c r="P4" s="100">
        <v>0</v>
      </c>
      <c r="Q4" s="101">
        <f t="shared" si="2"/>
        <v>0</v>
      </c>
      <c r="R4" s="101">
        <f t="shared" si="3"/>
        <v>0</v>
      </c>
      <c r="S4" s="102">
        <f>+R4/2.25</f>
        <v>0</v>
      </c>
    </row>
    <row r="5" spans="1:19" ht="14.25" customHeight="1" x14ac:dyDescent="0.75">
      <c r="A5" s="93">
        <v>666505</v>
      </c>
      <c r="B5" s="94" t="s">
        <v>8</v>
      </c>
      <c r="C5" s="95" t="s">
        <v>9</v>
      </c>
      <c r="D5" s="96">
        <v>13</v>
      </c>
      <c r="E5" s="97">
        <f t="shared" si="0"/>
        <v>1.8571428571428572</v>
      </c>
      <c r="F5" s="96">
        <v>13</v>
      </c>
      <c r="G5" s="98">
        <v>0</v>
      </c>
      <c r="H5" s="96">
        <v>0</v>
      </c>
      <c r="I5" s="96">
        <v>0</v>
      </c>
      <c r="J5" s="96">
        <v>0</v>
      </c>
      <c r="K5" s="99">
        <f t="shared" si="1"/>
        <v>0</v>
      </c>
      <c r="L5" s="96">
        <v>0</v>
      </c>
      <c r="M5" s="96">
        <v>0</v>
      </c>
      <c r="N5" s="96">
        <v>0</v>
      </c>
      <c r="O5" s="96">
        <v>0</v>
      </c>
      <c r="P5" s="100">
        <v>0</v>
      </c>
      <c r="Q5" s="101">
        <f t="shared" si="2"/>
        <v>13</v>
      </c>
      <c r="R5" s="101">
        <f t="shared" si="3"/>
        <v>0</v>
      </c>
      <c r="S5" s="102">
        <f>+R5/2.25</f>
        <v>0</v>
      </c>
    </row>
    <row r="6" spans="1:19" ht="14.25" customHeight="1" x14ac:dyDescent="0.75">
      <c r="A6" s="93">
        <v>666506</v>
      </c>
      <c r="B6" s="94" t="s">
        <v>10</v>
      </c>
      <c r="C6" s="95" t="s">
        <v>11</v>
      </c>
      <c r="D6" s="96">
        <v>0</v>
      </c>
      <c r="E6" s="97">
        <f t="shared" si="0"/>
        <v>0</v>
      </c>
      <c r="F6" s="96">
        <v>0</v>
      </c>
      <c r="G6" s="98">
        <v>0</v>
      </c>
      <c r="H6" s="96">
        <v>0</v>
      </c>
      <c r="I6" s="96">
        <v>0</v>
      </c>
      <c r="J6" s="96">
        <v>0</v>
      </c>
      <c r="K6" s="99">
        <f t="shared" si="1"/>
        <v>0</v>
      </c>
      <c r="L6" s="96">
        <v>0</v>
      </c>
      <c r="M6" s="96">
        <v>0</v>
      </c>
      <c r="N6" s="96">
        <v>0</v>
      </c>
      <c r="O6" s="96">
        <v>0</v>
      </c>
      <c r="P6" s="100">
        <v>0</v>
      </c>
      <c r="Q6" s="101">
        <f t="shared" si="2"/>
        <v>0</v>
      </c>
      <c r="R6" s="101">
        <f t="shared" si="3"/>
        <v>0</v>
      </c>
      <c r="S6" s="102">
        <f>+R6/2.25</f>
        <v>0</v>
      </c>
    </row>
    <row r="7" spans="1:19" ht="14.25" customHeight="1" x14ac:dyDescent="0.75">
      <c r="A7" s="93">
        <v>666507</v>
      </c>
      <c r="B7" s="94" t="s">
        <v>12</v>
      </c>
      <c r="C7" s="95" t="s">
        <v>13</v>
      </c>
      <c r="D7" s="96">
        <v>8</v>
      </c>
      <c r="E7" s="97">
        <f t="shared" si="0"/>
        <v>1.1428571428571428</v>
      </c>
      <c r="F7" s="96">
        <v>0</v>
      </c>
      <c r="G7" s="98">
        <v>0</v>
      </c>
      <c r="H7" s="96">
        <v>0</v>
      </c>
      <c r="I7" s="96">
        <v>0</v>
      </c>
      <c r="J7" s="96">
        <v>0</v>
      </c>
      <c r="K7" s="99">
        <f t="shared" si="1"/>
        <v>2.2857142857142856</v>
      </c>
      <c r="L7" s="96">
        <v>0</v>
      </c>
      <c r="M7" s="96">
        <v>0</v>
      </c>
      <c r="N7" s="96">
        <v>0</v>
      </c>
      <c r="O7" s="96">
        <v>0</v>
      </c>
      <c r="P7" s="100">
        <v>0</v>
      </c>
      <c r="Q7" s="101">
        <f t="shared" si="2"/>
        <v>0</v>
      </c>
      <c r="R7" s="101">
        <f t="shared" si="3"/>
        <v>8</v>
      </c>
      <c r="S7" s="102">
        <f>+R7/2.25</f>
        <v>3.5555555555555554</v>
      </c>
    </row>
    <row r="8" spans="1:19" ht="14.25" customHeight="1" x14ac:dyDescent="0.75">
      <c r="A8" s="93">
        <v>666509</v>
      </c>
      <c r="B8" s="94" t="s">
        <v>14</v>
      </c>
      <c r="C8" s="95" t="s">
        <v>15</v>
      </c>
      <c r="D8" s="96">
        <v>50</v>
      </c>
      <c r="E8" s="97">
        <f t="shared" si="0"/>
        <v>7.1428571428571432</v>
      </c>
      <c r="F8" s="96">
        <v>8</v>
      </c>
      <c r="G8" s="98">
        <v>0</v>
      </c>
      <c r="H8" s="96">
        <v>0</v>
      </c>
      <c r="I8" s="96">
        <v>12</v>
      </c>
      <c r="J8" s="96">
        <v>0</v>
      </c>
      <c r="K8" s="99">
        <f t="shared" si="1"/>
        <v>8.5714285714285712</v>
      </c>
      <c r="L8" s="96">
        <v>0</v>
      </c>
      <c r="M8" s="96">
        <v>0</v>
      </c>
      <c r="N8" s="96">
        <v>0</v>
      </c>
      <c r="O8" s="96">
        <v>0</v>
      </c>
      <c r="P8" s="100">
        <v>0</v>
      </c>
      <c r="Q8" s="101">
        <f t="shared" si="2"/>
        <v>20</v>
      </c>
      <c r="R8" s="101">
        <f t="shared" si="3"/>
        <v>30</v>
      </c>
      <c r="S8" s="102">
        <f>+R8/2</f>
        <v>15</v>
      </c>
    </row>
    <row r="9" spans="1:19" ht="14.25" customHeight="1" x14ac:dyDescent="0.75">
      <c r="A9" s="93">
        <v>666510</v>
      </c>
      <c r="B9" s="94" t="s">
        <v>16</v>
      </c>
      <c r="C9" s="95" t="s">
        <v>169</v>
      </c>
      <c r="D9" s="96">
        <v>0</v>
      </c>
      <c r="E9" s="97">
        <f t="shared" si="0"/>
        <v>0</v>
      </c>
      <c r="F9" s="96">
        <v>0</v>
      </c>
      <c r="G9" s="98">
        <v>0</v>
      </c>
      <c r="H9" s="96">
        <v>0</v>
      </c>
      <c r="I9" s="96">
        <v>0</v>
      </c>
      <c r="J9" s="96">
        <v>0</v>
      </c>
      <c r="K9" s="99">
        <f t="shared" si="1"/>
        <v>0</v>
      </c>
      <c r="L9" s="96">
        <v>0</v>
      </c>
      <c r="M9" s="96">
        <v>0</v>
      </c>
      <c r="N9" s="96">
        <v>0</v>
      </c>
      <c r="O9" s="96">
        <v>0</v>
      </c>
      <c r="P9" s="100">
        <v>0</v>
      </c>
      <c r="Q9" s="101">
        <f t="shared" si="2"/>
        <v>0</v>
      </c>
      <c r="R9" s="101">
        <f t="shared" si="3"/>
        <v>0</v>
      </c>
      <c r="S9" s="102">
        <f t="shared" ref="S9:S19" si="4">+R9/2.25</f>
        <v>0</v>
      </c>
    </row>
    <row r="10" spans="1:19" ht="14.25" customHeight="1" x14ac:dyDescent="0.75">
      <c r="A10" s="93">
        <v>666511</v>
      </c>
      <c r="B10" s="94" t="s">
        <v>18</v>
      </c>
      <c r="C10" s="95" t="s">
        <v>19</v>
      </c>
      <c r="D10" s="96">
        <v>4</v>
      </c>
      <c r="E10" s="97">
        <f t="shared" si="0"/>
        <v>0.5714285714285714</v>
      </c>
      <c r="F10" s="96">
        <v>0</v>
      </c>
      <c r="G10" s="98">
        <v>0</v>
      </c>
      <c r="H10" s="96">
        <v>0</v>
      </c>
      <c r="I10" s="96">
        <v>0</v>
      </c>
      <c r="J10" s="96">
        <v>0</v>
      </c>
      <c r="K10" s="99">
        <f t="shared" si="1"/>
        <v>1.1428571428571428</v>
      </c>
      <c r="L10" s="96">
        <v>0</v>
      </c>
      <c r="M10" s="96">
        <v>0</v>
      </c>
      <c r="N10" s="96">
        <v>0</v>
      </c>
      <c r="O10" s="96">
        <v>0</v>
      </c>
      <c r="P10" s="100">
        <v>0</v>
      </c>
      <c r="Q10" s="101">
        <f t="shared" si="2"/>
        <v>0</v>
      </c>
      <c r="R10" s="101">
        <f t="shared" si="3"/>
        <v>4</v>
      </c>
      <c r="S10" s="102">
        <f t="shared" si="4"/>
        <v>1.7777777777777777</v>
      </c>
    </row>
    <row r="11" spans="1:19" ht="14.25" customHeight="1" x14ac:dyDescent="0.75">
      <c r="A11" s="93">
        <v>666513</v>
      </c>
      <c r="B11" s="94" t="s">
        <v>20</v>
      </c>
      <c r="C11" s="95" t="s">
        <v>21</v>
      </c>
      <c r="D11" s="96">
        <v>14</v>
      </c>
      <c r="E11" s="97">
        <f t="shared" si="0"/>
        <v>2</v>
      </c>
      <c r="F11" s="96">
        <v>14</v>
      </c>
      <c r="G11" s="98">
        <v>0</v>
      </c>
      <c r="H11" s="96">
        <v>0</v>
      </c>
      <c r="I11" s="96">
        <v>0</v>
      </c>
      <c r="J11" s="96">
        <v>0</v>
      </c>
      <c r="K11" s="99">
        <f t="shared" si="1"/>
        <v>0</v>
      </c>
      <c r="L11" s="96">
        <v>0</v>
      </c>
      <c r="M11" s="96">
        <v>0</v>
      </c>
      <c r="N11" s="96">
        <v>0</v>
      </c>
      <c r="O11" s="96">
        <v>0</v>
      </c>
      <c r="P11" s="100">
        <v>0</v>
      </c>
      <c r="Q11" s="101">
        <f t="shared" si="2"/>
        <v>14</v>
      </c>
      <c r="R11" s="101">
        <f t="shared" si="3"/>
        <v>0</v>
      </c>
      <c r="S11" s="102">
        <f t="shared" si="4"/>
        <v>0</v>
      </c>
    </row>
    <row r="12" spans="1:19" ht="14.25" customHeight="1" x14ac:dyDescent="0.75">
      <c r="A12" s="93">
        <v>666516</v>
      </c>
      <c r="B12" s="94" t="s">
        <v>22</v>
      </c>
      <c r="C12" s="95" t="s">
        <v>23</v>
      </c>
      <c r="D12" s="96">
        <v>16</v>
      </c>
      <c r="E12" s="97">
        <f t="shared" si="0"/>
        <v>2.2857142857142856</v>
      </c>
      <c r="F12" s="96">
        <v>16</v>
      </c>
      <c r="G12" s="98">
        <v>0</v>
      </c>
      <c r="H12" s="96">
        <v>0</v>
      </c>
      <c r="I12" s="96">
        <v>0</v>
      </c>
      <c r="J12" s="96">
        <v>0</v>
      </c>
      <c r="K12" s="99">
        <f t="shared" si="1"/>
        <v>0</v>
      </c>
      <c r="L12" s="96">
        <v>0</v>
      </c>
      <c r="M12" s="96">
        <v>0</v>
      </c>
      <c r="N12" s="96">
        <v>0</v>
      </c>
      <c r="O12" s="96">
        <v>0</v>
      </c>
      <c r="P12" s="100">
        <v>0</v>
      </c>
      <c r="Q12" s="101">
        <f t="shared" si="2"/>
        <v>16</v>
      </c>
      <c r="R12" s="101">
        <f t="shared" si="3"/>
        <v>0</v>
      </c>
      <c r="S12" s="102">
        <f t="shared" si="4"/>
        <v>0</v>
      </c>
    </row>
    <row r="13" spans="1:19" ht="14.25" customHeight="1" x14ac:dyDescent="0.75">
      <c r="A13" s="93">
        <v>666517</v>
      </c>
      <c r="B13" s="94" t="s">
        <v>24</v>
      </c>
      <c r="C13" s="95" t="s">
        <v>25</v>
      </c>
      <c r="D13" s="96">
        <v>22</v>
      </c>
      <c r="E13" s="97">
        <f t="shared" si="0"/>
        <v>3.1428571428571428</v>
      </c>
      <c r="F13" s="96">
        <v>22</v>
      </c>
      <c r="G13" s="98">
        <v>0</v>
      </c>
      <c r="H13" s="96">
        <v>0</v>
      </c>
      <c r="I13" s="96">
        <v>0</v>
      </c>
      <c r="J13" s="96">
        <v>0</v>
      </c>
      <c r="K13" s="99">
        <f t="shared" si="1"/>
        <v>0</v>
      </c>
      <c r="L13" s="96">
        <v>0</v>
      </c>
      <c r="M13" s="96">
        <v>0</v>
      </c>
      <c r="N13" s="96">
        <v>0</v>
      </c>
      <c r="O13" s="96">
        <v>0</v>
      </c>
      <c r="P13" s="100">
        <v>0</v>
      </c>
      <c r="Q13" s="101">
        <f t="shared" si="2"/>
        <v>22</v>
      </c>
      <c r="R13" s="101">
        <f t="shared" si="3"/>
        <v>0</v>
      </c>
      <c r="S13" s="102">
        <f t="shared" si="4"/>
        <v>0</v>
      </c>
    </row>
    <row r="14" spans="1:19" ht="14.25" customHeight="1" x14ac:dyDescent="0.75">
      <c r="A14" s="93">
        <v>666518</v>
      </c>
      <c r="B14" s="94" t="s">
        <v>26</v>
      </c>
      <c r="C14" s="95" t="s">
        <v>27</v>
      </c>
      <c r="D14" s="96">
        <v>0</v>
      </c>
      <c r="E14" s="97">
        <f t="shared" si="0"/>
        <v>0</v>
      </c>
      <c r="F14" s="96">
        <v>0</v>
      </c>
      <c r="G14" s="98">
        <v>0</v>
      </c>
      <c r="H14" s="96">
        <v>0</v>
      </c>
      <c r="I14" s="96">
        <v>0</v>
      </c>
      <c r="J14" s="96">
        <v>0</v>
      </c>
      <c r="K14" s="99">
        <f t="shared" si="1"/>
        <v>0</v>
      </c>
      <c r="L14" s="96">
        <v>0</v>
      </c>
      <c r="M14" s="96">
        <v>0</v>
      </c>
      <c r="N14" s="96">
        <v>0</v>
      </c>
      <c r="O14" s="96">
        <v>0</v>
      </c>
      <c r="P14" s="100">
        <v>0</v>
      </c>
      <c r="Q14" s="101">
        <f t="shared" si="2"/>
        <v>0</v>
      </c>
      <c r="R14" s="101">
        <f t="shared" si="3"/>
        <v>0</v>
      </c>
      <c r="S14" s="102">
        <f t="shared" si="4"/>
        <v>0</v>
      </c>
    </row>
    <row r="15" spans="1:19" ht="14.25" customHeight="1" x14ac:dyDescent="0.75">
      <c r="A15" s="93">
        <v>666519</v>
      </c>
      <c r="B15" s="94" t="s">
        <v>28</v>
      </c>
      <c r="C15" s="95" t="s">
        <v>29</v>
      </c>
      <c r="D15" s="96">
        <v>22</v>
      </c>
      <c r="E15" s="97">
        <f t="shared" si="0"/>
        <v>3.1428571428571428</v>
      </c>
      <c r="F15" s="96">
        <v>22</v>
      </c>
      <c r="G15" s="98">
        <v>0</v>
      </c>
      <c r="H15" s="96">
        <v>0</v>
      </c>
      <c r="I15" s="96">
        <v>0</v>
      </c>
      <c r="J15" s="96">
        <v>0</v>
      </c>
      <c r="K15" s="99">
        <f t="shared" si="1"/>
        <v>0</v>
      </c>
      <c r="L15" s="96">
        <v>0</v>
      </c>
      <c r="M15" s="96">
        <v>0</v>
      </c>
      <c r="N15" s="96">
        <v>0</v>
      </c>
      <c r="O15" s="96">
        <v>0</v>
      </c>
      <c r="P15" s="100">
        <v>0</v>
      </c>
      <c r="Q15" s="101">
        <f t="shared" si="2"/>
        <v>22</v>
      </c>
      <c r="R15" s="101">
        <f t="shared" si="3"/>
        <v>0</v>
      </c>
      <c r="S15" s="102">
        <f t="shared" si="4"/>
        <v>0</v>
      </c>
    </row>
    <row r="16" spans="1:19" ht="14.25" customHeight="1" x14ac:dyDescent="0.75">
      <c r="A16" s="93">
        <v>666521</v>
      </c>
      <c r="B16" s="94" t="s">
        <v>30</v>
      </c>
      <c r="C16" s="95" t="s">
        <v>31</v>
      </c>
      <c r="D16" s="96">
        <v>36</v>
      </c>
      <c r="E16" s="97">
        <f t="shared" si="0"/>
        <v>5.1428571428571432</v>
      </c>
      <c r="F16" s="96">
        <v>17</v>
      </c>
      <c r="G16" s="98">
        <v>0</v>
      </c>
      <c r="H16" s="96">
        <v>0</v>
      </c>
      <c r="I16" s="96">
        <v>7</v>
      </c>
      <c r="J16" s="96">
        <v>0</v>
      </c>
      <c r="K16" s="99">
        <f t="shared" si="1"/>
        <v>3.4285714285714284</v>
      </c>
      <c r="L16" s="96">
        <v>0</v>
      </c>
      <c r="M16" s="96">
        <v>0</v>
      </c>
      <c r="N16" s="96">
        <v>0</v>
      </c>
      <c r="O16" s="96">
        <v>0</v>
      </c>
      <c r="P16" s="100">
        <v>0</v>
      </c>
      <c r="Q16" s="101">
        <f t="shared" si="2"/>
        <v>24</v>
      </c>
      <c r="R16" s="101">
        <f t="shared" si="3"/>
        <v>12</v>
      </c>
      <c r="S16" s="102">
        <f t="shared" si="4"/>
        <v>5.333333333333333</v>
      </c>
    </row>
    <row r="17" spans="1:19" ht="14.25" customHeight="1" x14ac:dyDescent="0.75">
      <c r="A17" s="93">
        <v>666522</v>
      </c>
      <c r="B17" s="94" t="s">
        <v>32</v>
      </c>
      <c r="C17" s="95" t="s">
        <v>33</v>
      </c>
      <c r="D17" s="96">
        <v>180</v>
      </c>
      <c r="E17" s="97">
        <f t="shared" si="0"/>
        <v>25.714285714285715</v>
      </c>
      <c r="F17" s="96">
        <v>35</v>
      </c>
      <c r="G17" s="98">
        <v>0</v>
      </c>
      <c r="H17" s="96">
        <v>0</v>
      </c>
      <c r="I17" s="96">
        <v>20</v>
      </c>
      <c r="J17" s="96">
        <v>0</v>
      </c>
      <c r="K17" s="99">
        <f t="shared" si="1"/>
        <v>35.714285714285715</v>
      </c>
      <c r="L17" s="96">
        <v>0</v>
      </c>
      <c r="M17" s="96">
        <v>0</v>
      </c>
      <c r="N17" s="96">
        <v>0</v>
      </c>
      <c r="O17" s="96">
        <v>0</v>
      </c>
      <c r="P17" s="100">
        <v>0</v>
      </c>
      <c r="Q17" s="101">
        <f t="shared" si="2"/>
        <v>55</v>
      </c>
      <c r="R17" s="101">
        <f t="shared" si="3"/>
        <v>125</v>
      </c>
      <c r="S17" s="102">
        <f t="shared" si="4"/>
        <v>55.555555555555557</v>
      </c>
    </row>
    <row r="18" spans="1:19" ht="14.25" customHeight="1" x14ac:dyDescent="0.75">
      <c r="A18" s="93">
        <v>666523</v>
      </c>
      <c r="B18" s="94" t="s">
        <v>34</v>
      </c>
      <c r="C18" s="95" t="s">
        <v>35</v>
      </c>
      <c r="D18" s="96">
        <v>0</v>
      </c>
      <c r="E18" s="97">
        <f t="shared" si="0"/>
        <v>0</v>
      </c>
      <c r="F18" s="96">
        <v>0</v>
      </c>
      <c r="G18" s="98">
        <v>0</v>
      </c>
      <c r="H18" s="96">
        <v>0</v>
      </c>
      <c r="I18" s="96">
        <v>0</v>
      </c>
      <c r="J18" s="96">
        <v>0</v>
      </c>
      <c r="K18" s="99">
        <f t="shared" si="1"/>
        <v>0</v>
      </c>
      <c r="L18" s="96">
        <v>0</v>
      </c>
      <c r="M18" s="96">
        <v>0</v>
      </c>
      <c r="N18" s="96">
        <v>0</v>
      </c>
      <c r="O18" s="96">
        <v>0</v>
      </c>
      <c r="P18" s="100">
        <v>0</v>
      </c>
      <c r="Q18" s="101">
        <f t="shared" si="2"/>
        <v>0</v>
      </c>
      <c r="R18" s="101">
        <f t="shared" si="3"/>
        <v>0</v>
      </c>
      <c r="S18" s="102">
        <f t="shared" si="4"/>
        <v>0</v>
      </c>
    </row>
    <row r="19" spans="1:19" ht="14.25" customHeight="1" x14ac:dyDescent="0.75">
      <c r="A19" s="93">
        <v>666530</v>
      </c>
      <c r="B19" s="94" t="s">
        <v>36</v>
      </c>
      <c r="C19" s="95" t="s">
        <v>37</v>
      </c>
      <c r="D19" s="96">
        <v>0</v>
      </c>
      <c r="E19" s="97">
        <f t="shared" si="0"/>
        <v>0</v>
      </c>
      <c r="F19" s="96">
        <v>0</v>
      </c>
      <c r="G19" s="98">
        <v>0</v>
      </c>
      <c r="H19" s="96">
        <v>0</v>
      </c>
      <c r="I19" s="96">
        <v>0</v>
      </c>
      <c r="J19" s="96">
        <v>0</v>
      </c>
      <c r="K19" s="99">
        <f t="shared" si="1"/>
        <v>0</v>
      </c>
      <c r="L19" s="96">
        <v>0</v>
      </c>
      <c r="M19" s="96">
        <v>0</v>
      </c>
      <c r="N19" s="96">
        <v>0</v>
      </c>
      <c r="O19" s="96">
        <v>0</v>
      </c>
      <c r="P19" s="100">
        <v>0</v>
      </c>
      <c r="Q19" s="101">
        <f t="shared" si="2"/>
        <v>0</v>
      </c>
      <c r="R19" s="101">
        <f t="shared" si="3"/>
        <v>0</v>
      </c>
      <c r="S19" s="102">
        <f t="shared" si="4"/>
        <v>0</v>
      </c>
    </row>
    <row r="20" spans="1:19" ht="14.25" customHeight="1" x14ac:dyDescent="0.75">
      <c r="A20" s="93">
        <v>666531</v>
      </c>
      <c r="B20" s="94" t="s">
        <v>38</v>
      </c>
      <c r="C20" s="95" t="s">
        <v>39</v>
      </c>
      <c r="D20" s="96">
        <v>14</v>
      </c>
      <c r="E20" s="97">
        <f t="shared" si="0"/>
        <v>2</v>
      </c>
      <c r="F20" s="96">
        <v>5</v>
      </c>
      <c r="G20" s="98">
        <v>0</v>
      </c>
      <c r="H20" s="96">
        <v>0</v>
      </c>
      <c r="I20" s="96">
        <v>3</v>
      </c>
      <c r="J20" s="96">
        <v>0</v>
      </c>
      <c r="K20" s="99">
        <f t="shared" si="1"/>
        <v>1.7142857142857142</v>
      </c>
      <c r="L20" s="96">
        <v>0</v>
      </c>
      <c r="M20" s="96">
        <v>0</v>
      </c>
      <c r="N20" s="96">
        <v>0</v>
      </c>
      <c r="O20" s="96">
        <v>0</v>
      </c>
      <c r="P20" s="100">
        <v>0</v>
      </c>
      <c r="Q20" s="101">
        <f t="shared" si="2"/>
        <v>8</v>
      </c>
      <c r="R20" s="101">
        <f t="shared" si="3"/>
        <v>6</v>
      </c>
      <c r="S20" s="102"/>
    </row>
    <row r="21" spans="1:19" ht="14.25" customHeight="1" x14ac:dyDescent="0.75">
      <c r="A21" s="93">
        <v>666540</v>
      </c>
      <c r="B21" s="94" t="s">
        <v>40</v>
      </c>
      <c r="C21" s="95" t="s">
        <v>40</v>
      </c>
      <c r="D21" s="96">
        <v>0</v>
      </c>
      <c r="E21" s="97">
        <f t="shared" si="0"/>
        <v>0</v>
      </c>
      <c r="F21" s="96">
        <v>0</v>
      </c>
      <c r="G21" s="98">
        <v>0</v>
      </c>
      <c r="H21" s="96">
        <v>0</v>
      </c>
      <c r="I21" s="96">
        <v>0</v>
      </c>
      <c r="J21" s="96">
        <v>0</v>
      </c>
      <c r="K21" s="99">
        <f t="shared" si="1"/>
        <v>0</v>
      </c>
      <c r="L21" s="96">
        <v>0</v>
      </c>
      <c r="M21" s="96">
        <v>0</v>
      </c>
      <c r="N21" s="96">
        <v>0</v>
      </c>
      <c r="O21" s="96">
        <v>0</v>
      </c>
      <c r="P21" s="100">
        <v>0</v>
      </c>
      <c r="Q21" s="101">
        <f t="shared" si="2"/>
        <v>0</v>
      </c>
      <c r="R21" s="101">
        <f t="shared" si="3"/>
        <v>0</v>
      </c>
      <c r="S21" s="102"/>
    </row>
    <row r="22" spans="1:19" ht="15" customHeight="1" x14ac:dyDescent="0.75">
      <c r="A22" s="93">
        <v>666541</v>
      </c>
      <c r="B22" s="94" t="s">
        <v>41</v>
      </c>
      <c r="C22" s="103" t="s">
        <v>41</v>
      </c>
      <c r="D22" s="96">
        <v>0</v>
      </c>
      <c r="E22" s="97">
        <f t="shared" si="0"/>
        <v>0</v>
      </c>
      <c r="F22" s="104">
        <v>0</v>
      </c>
      <c r="G22" s="105">
        <v>0</v>
      </c>
      <c r="H22" s="104">
        <v>0</v>
      </c>
      <c r="I22" s="104">
        <v>0</v>
      </c>
      <c r="J22" s="104">
        <v>0</v>
      </c>
      <c r="K22" s="106">
        <f t="shared" si="1"/>
        <v>0</v>
      </c>
      <c r="L22" s="96">
        <v>0</v>
      </c>
      <c r="M22" s="96">
        <v>0</v>
      </c>
      <c r="N22" s="96">
        <v>0</v>
      </c>
      <c r="O22" s="96">
        <v>0</v>
      </c>
      <c r="P22" s="100">
        <v>0</v>
      </c>
      <c r="Q22" s="101">
        <f t="shared" si="2"/>
        <v>0</v>
      </c>
      <c r="R22" s="101">
        <f t="shared" si="3"/>
        <v>0</v>
      </c>
      <c r="S22" s="102"/>
    </row>
    <row r="23" spans="1:19" s="50" customFormat="1" ht="15" customHeight="1" x14ac:dyDescent="0.75">
      <c r="A23" s="108">
        <v>666536</v>
      </c>
      <c r="B23" s="109" t="s">
        <v>42</v>
      </c>
      <c r="C23" s="110"/>
      <c r="D23" s="104">
        <v>40</v>
      </c>
      <c r="E23" s="97">
        <f t="shared" si="0"/>
        <v>5.7142857142857144</v>
      </c>
      <c r="F23" s="104">
        <v>0</v>
      </c>
      <c r="G23" s="105">
        <v>0</v>
      </c>
      <c r="H23" s="104">
        <v>0</v>
      </c>
      <c r="I23" s="104">
        <v>0</v>
      </c>
      <c r="J23" s="104">
        <v>0</v>
      </c>
      <c r="K23" s="106">
        <f t="shared" si="1"/>
        <v>11.428571428571429</v>
      </c>
      <c r="L23" s="104">
        <v>0</v>
      </c>
      <c r="M23" s="104">
        <v>0</v>
      </c>
      <c r="N23" s="104">
        <v>0</v>
      </c>
      <c r="O23" s="104">
        <v>0</v>
      </c>
      <c r="P23" s="107">
        <v>0</v>
      </c>
      <c r="Q23" s="101">
        <f t="shared" si="2"/>
        <v>0</v>
      </c>
      <c r="R23" s="101">
        <f t="shared" si="3"/>
        <v>40</v>
      </c>
    </row>
    <row r="24" spans="1:19" s="50" customFormat="1" ht="15" customHeight="1" x14ac:dyDescent="0.75">
      <c r="A24" s="112" t="s">
        <v>193</v>
      </c>
      <c r="B24" s="127" t="s">
        <v>197</v>
      </c>
      <c r="D24" s="104">
        <v>40</v>
      </c>
      <c r="E24" s="97">
        <f t="shared" si="0"/>
        <v>5.7142857142857144</v>
      </c>
      <c r="F24" s="104">
        <v>15</v>
      </c>
      <c r="G24" s="105">
        <v>0</v>
      </c>
      <c r="H24" s="104">
        <v>0</v>
      </c>
      <c r="I24" s="104">
        <v>6</v>
      </c>
      <c r="J24" s="104">
        <v>0</v>
      </c>
      <c r="K24" s="106">
        <f t="shared" si="1"/>
        <v>5.4285714285714288</v>
      </c>
      <c r="L24" s="104">
        <v>0</v>
      </c>
      <c r="M24" s="104">
        <v>0</v>
      </c>
      <c r="N24" s="104">
        <v>0</v>
      </c>
      <c r="O24" s="104">
        <v>0</v>
      </c>
      <c r="P24" s="107">
        <v>0</v>
      </c>
      <c r="Q24" s="101">
        <f t="shared" si="2"/>
        <v>21</v>
      </c>
      <c r="R24" s="101">
        <f t="shared" si="3"/>
        <v>19</v>
      </c>
    </row>
    <row r="25" spans="1:19" ht="15" customHeight="1" x14ac:dyDescent="0.75">
      <c r="A25" s="4" t="str">
        <f>+A1</f>
        <v>Weeks of 06/29/26 &amp; 07/06/26</v>
      </c>
      <c r="B25" s="4"/>
      <c r="C25" s="4"/>
      <c r="D25" s="4"/>
      <c r="E25" s="4"/>
      <c r="F25" s="115"/>
      <c r="G25" s="115"/>
      <c r="H25" s="115"/>
      <c r="I25" s="115"/>
      <c r="J25" s="116"/>
      <c r="K25" s="116"/>
      <c r="L25" s="116"/>
      <c r="M25" s="116"/>
      <c r="N25" s="116"/>
      <c r="O25" s="116"/>
      <c r="P25" s="117"/>
      <c r="Q25" s="101"/>
      <c r="R25" s="101"/>
    </row>
    <row r="26" spans="1:19" ht="42" customHeight="1" x14ac:dyDescent="0.75">
      <c r="A26" s="118"/>
      <c r="B26" s="119" t="s">
        <v>170</v>
      </c>
      <c r="C26" s="120" t="s">
        <v>65</v>
      </c>
      <c r="D26" s="121" t="s">
        <v>119</v>
      </c>
      <c r="E26" s="122" t="s">
        <v>171</v>
      </c>
      <c r="F26" s="88" t="s">
        <v>162</v>
      </c>
      <c r="G26" s="86" t="s">
        <v>163</v>
      </c>
      <c r="H26" s="87" t="s">
        <v>172</v>
      </c>
      <c r="I26" s="86" t="s">
        <v>165</v>
      </c>
      <c r="J26" s="123" t="s">
        <v>166</v>
      </c>
      <c r="K26" s="124" t="str">
        <f>+K2</f>
        <v>2nd wk daily goals</v>
      </c>
      <c r="L26" s="125" t="s">
        <v>162</v>
      </c>
      <c r="M26" s="86" t="s">
        <v>163</v>
      </c>
      <c r="N26" s="126" t="s">
        <v>172</v>
      </c>
      <c r="O26" s="86" t="s">
        <v>165</v>
      </c>
      <c r="P26" s="90" t="s">
        <v>166</v>
      </c>
      <c r="Q26" s="101"/>
      <c r="R26" s="92" t="s">
        <v>168</v>
      </c>
    </row>
    <row r="27" spans="1:19" ht="15" customHeight="1" x14ac:dyDescent="0.75">
      <c r="A27" s="93">
        <v>666501</v>
      </c>
      <c r="B27" s="94" t="s">
        <v>4</v>
      </c>
      <c r="C27" s="127" t="s">
        <v>5</v>
      </c>
      <c r="D27" s="128">
        <v>390</v>
      </c>
      <c r="E27" s="129">
        <f t="shared" ref="E27:E47" si="5">+D27/9</f>
        <v>43.333333333333336</v>
      </c>
      <c r="F27" s="96">
        <v>141</v>
      </c>
      <c r="G27" s="96">
        <v>98</v>
      </c>
      <c r="H27" s="96">
        <v>0</v>
      </c>
      <c r="I27" s="96">
        <v>0</v>
      </c>
      <c r="J27" s="130">
        <v>0</v>
      </c>
      <c r="K27" s="131">
        <f t="shared" ref="K27:K47" si="6">(+D27-SUM(F27:J27))/4</f>
        <v>37.75</v>
      </c>
      <c r="L27" s="132">
        <v>0</v>
      </c>
      <c r="M27" s="96">
        <v>0</v>
      </c>
      <c r="N27" s="96">
        <v>0</v>
      </c>
      <c r="O27" s="96">
        <v>0</v>
      </c>
      <c r="P27" s="100">
        <v>0</v>
      </c>
      <c r="Q27" s="101">
        <f t="shared" ref="Q27:Q47" si="7">SUM(F27:J27)+SUM(L27:P27)</f>
        <v>239</v>
      </c>
      <c r="R27" s="101">
        <f t="shared" ref="R27:R47" si="8">+D27-Q27</f>
        <v>151</v>
      </c>
      <c r="S27" s="102">
        <f t="shared" ref="S27:S36" si="9">+R27/3</f>
        <v>50.333333333333336</v>
      </c>
    </row>
    <row r="28" spans="1:19" ht="15" customHeight="1" x14ac:dyDescent="0.75">
      <c r="A28" s="93">
        <v>666502</v>
      </c>
      <c r="B28" s="94" t="s">
        <v>6</v>
      </c>
      <c r="C28" s="127" t="s">
        <v>7</v>
      </c>
      <c r="D28" s="128">
        <v>162</v>
      </c>
      <c r="E28" s="129">
        <f t="shared" si="5"/>
        <v>18</v>
      </c>
      <c r="F28" s="96">
        <v>30</v>
      </c>
      <c r="G28" s="96">
        <v>30</v>
      </c>
      <c r="H28" s="96">
        <v>0</v>
      </c>
      <c r="I28" s="96">
        <v>31</v>
      </c>
      <c r="J28" s="130">
        <v>0</v>
      </c>
      <c r="K28" s="131">
        <f t="shared" si="6"/>
        <v>17.75</v>
      </c>
      <c r="L28" s="132">
        <v>0</v>
      </c>
      <c r="M28" s="96">
        <v>0</v>
      </c>
      <c r="N28" s="96">
        <v>0</v>
      </c>
      <c r="O28" s="96">
        <v>0</v>
      </c>
      <c r="P28" s="100">
        <v>0</v>
      </c>
      <c r="Q28" s="101">
        <f t="shared" si="7"/>
        <v>91</v>
      </c>
      <c r="R28" s="101">
        <f t="shared" si="8"/>
        <v>71</v>
      </c>
      <c r="S28" s="102">
        <f t="shared" si="9"/>
        <v>23.666666666666668</v>
      </c>
    </row>
    <row r="29" spans="1:19" ht="15" customHeight="1" x14ac:dyDescent="0.75">
      <c r="A29" s="93">
        <v>666505</v>
      </c>
      <c r="B29" s="94" t="s">
        <v>8</v>
      </c>
      <c r="C29" s="127" t="s">
        <v>9</v>
      </c>
      <c r="D29" s="128">
        <v>0</v>
      </c>
      <c r="E29" s="129">
        <f t="shared" si="5"/>
        <v>0</v>
      </c>
      <c r="F29" s="96">
        <v>0</v>
      </c>
      <c r="G29" s="96">
        <v>0</v>
      </c>
      <c r="H29" s="96">
        <v>0</v>
      </c>
      <c r="I29" s="96">
        <v>0</v>
      </c>
      <c r="J29" s="130">
        <v>0</v>
      </c>
      <c r="K29" s="131">
        <f t="shared" si="6"/>
        <v>0</v>
      </c>
      <c r="L29" s="132">
        <v>0</v>
      </c>
      <c r="M29" s="96">
        <v>0</v>
      </c>
      <c r="N29" s="96">
        <v>0</v>
      </c>
      <c r="O29" s="96">
        <v>0</v>
      </c>
      <c r="P29" s="100">
        <v>0</v>
      </c>
      <c r="Q29" s="101">
        <f t="shared" si="7"/>
        <v>0</v>
      </c>
      <c r="R29" s="101">
        <f t="shared" si="8"/>
        <v>0</v>
      </c>
      <c r="S29" s="102">
        <f t="shared" si="9"/>
        <v>0</v>
      </c>
    </row>
    <row r="30" spans="1:19" ht="15" customHeight="1" x14ac:dyDescent="0.75">
      <c r="A30" s="93">
        <v>666506</v>
      </c>
      <c r="B30" s="94" t="s">
        <v>10</v>
      </c>
      <c r="C30" s="127" t="s">
        <v>11</v>
      </c>
      <c r="D30" s="128">
        <v>144</v>
      </c>
      <c r="E30" s="129">
        <f t="shared" si="5"/>
        <v>16</v>
      </c>
      <c r="F30" s="96">
        <v>34</v>
      </c>
      <c r="G30" s="96">
        <v>69</v>
      </c>
      <c r="H30" s="96">
        <v>0</v>
      </c>
      <c r="I30" s="96">
        <v>29</v>
      </c>
      <c r="J30" s="130">
        <v>0</v>
      </c>
      <c r="K30" s="131">
        <f t="shared" si="6"/>
        <v>3</v>
      </c>
      <c r="L30" s="132">
        <v>0</v>
      </c>
      <c r="M30" s="96">
        <v>0</v>
      </c>
      <c r="N30" s="96">
        <v>0</v>
      </c>
      <c r="O30" s="96">
        <v>0</v>
      </c>
      <c r="P30" s="100">
        <v>0</v>
      </c>
      <c r="Q30" s="101">
        <f t="shared" si="7"/>
        <v>132</v>
      </c>
      <c r="R30" s="101">
        <f t="shared" si="8"/>
        <v>12</v>
      </c>
      <c r="S30" s="102">
        <f t="shared" si="9"/>
        <v>4</v>
      </c>
    </row>
    <row r="31" spans="1:19" ht="15" customHeight="1" x14ac:dyDescent="0.75">
      <c r="A31" s="93">
        <v>666507</v>
      </c>
      <c r="B31" s="94" t="s">
        <v>12</v>
      </c>
      <c r="C31" s="127" t="s">
        <v>13</v>
      </c>
      <c r="D31" s="128">
        <v>0</v>
      </c>
      <c r="E31" s="129">
        <f t="shared" si="5"/>
        <v>0</v>
      </c>
      <c r="F31" s="96">
        <v>0</v>
      </c>
      <c r="G31" s="96">
        <v>0</v>
      </c>
      <c r="H31" s="96">
        <v>0</v>
      </c>
      <c r="I31" s="96">
        <v>0</v>
      </c>
      <c r="J31" s="130">
        <v>0</v>
      </c>
      <c r="K31" s="131">
        <f t="shared" si="6"/>
        <v>0</v>
      </c>
      <c r="L31" s="132">
        <v>0</v>
      </c>
      <c r="M31" s="96">
        <v>0</v>
      </c>
      <c r="N31" s="96">
        <v>0</v>
      </c>
      <c r="O31" s="96">
        <v>0</v>
      </c>
      <c r="P31" s="100">
        <v>0</v>
      </c>
      <c r="Q31" s="101">
        <f t="shared" si="7"/>
        <v>0</v>
      </c>
      <c r="R31" s="101">
        <f t="shared" si="8"/>
        <v>0</v>
      </c>
      <c r="S31" s="102">
        <f t="shared" si="9"/>
        <v>0</v>
      </c>
    </row>
    <row r="32" spans="1:19" ht="15" customHeight="1" x14ac:dyDescent="0.75">
      <c r="A32" s="93">
        <v>666509</v>
      </c>
      <c r="B32" s="94" t="s">
        <v>14</v>
      </c>
      <c r="C32" s="127" t="s">
        <v>15</v>
      </c>
      <c r="D32" s="128">
        <v>0</v>
      </c>
      <c r="E32" s="129">
        <f t="shared" si="5"/>
        <v>0</v>
      </c>
      <c r="F32" s="96">
        <v>0</v>
      </c>
      <c r="G32" s="96">
        <v>0</v>
      </c>
      <c r="H32" s="96">
        <v>0</v>
      </c>
      <c r="I32" s="96">
        <v>0</v>
      </c>
      <c r="J32" s="130">
        <v>0</v>
      </c>
      <c r="K32" s="131">
        <f t="shared" si="6"/>
        <v>0</v>
      </c>
      <c r="L32" s="132">
        <v>0</v>
      </c>
      <c r="M32" s="96">
        <v>0</v>
      </c>
      <c r="N32" s="96">
        <v>0</v>
      </c>
      <c r="O32" s="96">
        <v>0</v>
      </c>
      <c r="P32" s="100">
        <v>0</v>
      </c>
      <c r="Q32" s="101">
        <f t="shared" si="7"/>
        <v>0</v>
      </c>
      <c r="R32" s="101">
        <f t="shared" si="8"/>
        <v>0</v>
      </c>
      <c r="S32" s="102">
        <f t="shared" si="9"/>
        <v>0</v>
      </c>
    </row>
    <row r="33" spans="1:24" ht="15" customHeight="1" x14ac:dyDescent="0.75">
      <c r="A33" s="93">
        <v>666510</v>
      </c>
      <c r="B33" s="94" t="s">
        <v>16</v>
      </c>
      <c r="C33" s="127" t="s">
        <v>169</v>
      </c>
      <c r="D33" s="128">
        <v>0</v>
      </c>
      <c r="E33" s="129">
        <f t="shared" si="5"/>
        <v>0</v>
      </c>
      <c r="F33" s="96">
        <v>0</v>
      </c>
      <c r="G33" s="96">
        <v>0</v>
      </c>
      <c r="H33" s="96">
        <v>0</v>
      </c>
      <c r="I33" s="96">
        <v>0</v>
      </c>
      <c r="J33" s="130">
        <v>0</v>
      </c>
      <c r="K33" s="131">
        <f t="shared" si="6"/>
        <v>0</v>
      </c>
      <c r="L33" s="132">
        <v>0</v>
      </c>
      <c r="M33" s="96">
        <v>0</v>
      </c>
      <c r="N33" s="96">
        <v>0</v>
      </c>
      <c r="O33" s="96">
        <v>0</v>
      </c>
      <c r="P33" s="100">
        <v>0</v>
      </c>
      <c r="Q33" s="101">
        <f t="shared" si="7"/>
        <v>0</v>
      </c>
      <c r="R33" s="101">
        <f t="shared" si="8"/>
        <v>0</v>
      </c>
      <c r="S33" s="102">
        <f t="shared" si="9"/>
        <v>0</v>
      </c>
    </row>
    <row r="34" spans="1:24" ht="15" customHeight="1" x14ac:dyDescent="0.75">
      <c r="A34" s="93">
        <v>666511</v>
      </c>
      <c r="B34" s="94" t="s">
        <v>18</v>
      </c>
      <c r="C34" s="127" t="s">
        <v>19</v>
      </c>
      <c r="D34" s="128">
        <v>0</v>
      </c>
      <c r="E34" s="129">
        <f t="shared" si="5"/>
        <v>0</v>
      </c>
      <c r="F34" s="96">
        <v>0</v>
      </c>
      <c r="G34" s="96">
        <v>0</v>
      </c>
      <c r="H34" s="96">
        <v>0</v>
      </c>
      <c r="I34" s="96">
        <v>0</v>
      </c>
      <c r="J34" s="130">
        <v>0</v>
      </c>
      <c r="K34" s="131">
        <f t="shared" si="6"/>
        <v>0</v>
      </c>
      <c r="L34" s="132">
        <v>0</v>
      </c>
      <c r="M34" s="96">
        <v>0</v>
      </c>
      <c r="N34" s="96">
        <v>0</v>
      </c>
      <c r="O34" s="96">
        <v>0</v>
      </c>
      <c r="P34" s="100">
        <v>0</v>
      </c>
      <c r="Q34" s="101">
        <f t="shared" si="7"/>
        <v>0</v>
      </c>
      <c r="R34" s="101">
        <f t="shared" si="8"/>
        <v>0</v>
      </c>
      <c r="S34" s="102">
        <f t="shared" si="9"/>
        <v>0</v>
      </c>
    </row>
    <row r="35" spans="1:24" ht="15" customHeight="1" x14ac:dyDescent="0.75">
      <c r="A35" s="93">
        <v>666513</v>
      </c>
      <c r="B35" s="94" t="s">
        <v>20</v>
      </c>
      <c r="C35" s="127" t="s">
        <v>21</v>
      </c>
      <c r="D35" s="128">
        <v>0</v>
      </c>
      <c r="E35" s="129">
        <f t="shared" si="5"/>
        <v>0</v>
      </c>
      <c r="F35" s="96">
        <v>0</v>
      </c>
      <c r="G35" s="96">
        <v>0</v>
      </c>
      <c r="H35" s="96">
        <v>0</v>
      </c>
      <c r="I35" s="96">
        <v>0</v>
      </c>
      <c r="J35" s="130">
        <v>0</v>
      </c>
      <c r="K35" s="131">
        <f t="shared" si="6"/>
        <v>0</v>
      </c>
      <c r="L35" s="132">
        <v>0</v>
      </c>
      <c r="M35" s="96">
        <v>0</v>
      </c>
      <c r="N35" s="96">
        <v>0</v>
      </c>
      <c r="O35" s="96">
        <v>0</v>
      </c>
      <c r="P35" s="100">
        <v>0</v>
      </c>
      <c r="Q35" s="101">
        <f t="shared" si="7"/>
        <v>0</v>
      </c>
      <c r="R35" s="101">
        <f t="shared" si="8"/>
        <v>0</v>
      </c>
      <c r="S35" s="102">
        <f t="shared" si="9"/>
        <v>0</v>
      </c>
    </row>
    <row r="36" spans="1:24" ht="15" customHeight="1" x14ac:dyDescent="0.75">
      <c r="A36" s="93">
        <v>666516</v>
      </c>
      <c r="B36" s="94" t="s">
        <v>22</v>
      </c>
      <c r="C36" s="127" t="s">
        <v>23</v>
      </c>
      <c r="D36" s="128">
        <v>0</v>
      </c>
      <c r="E36" s="129">
        <f t="shared" si="5"/>
        <v>0</v>
      </c>
      <c r="F36" s="96">
        <v>0</v>
      </c>
      <c r="G36" s="96">
        <v>0</v>
      </c>
      <c r="H36" s="96">
        <v>0</v>
      </c>
      <c r="I36" s="96">
        <v>0</v>
      </c>
      <c r="J36" s="130">
        <v>0</v>
      </c>
      <c r="K36" s="131">
        <f t="shared" si="6"/>
        <v>0</v>
      </c>
      <c r="L36" s="132">
        <v>0</v>
      </c>
      <c r="M36" s="96">
        <v>0</v>
      </c>
      <c r="N36" s="96">
        <v>0</v>
      </c>
      <c r="O36" s="96">
        <v>0</v>
      </c>
      <c r="P36" s="100">
        <v>0</v>
      </c>
      <c r="Q36" s="101">
        <f t="shared" si="7"/>
        <v>0</v>
      </c>
      <c r="R36" s="101">
        <f t="shared" si="8"/>
        <v>0</v>
      </c>
      <c r="S36" s="102">
        <f t="shared" si="9"/>
        <v>0</v>
      </c>
    </row>
    <row r="37" spans="1:24" ht="15" customHeight="1" x14ac:dyDescent="0.75">
      <c r="A37" s="93">
        <v>666517</v>
      </c>
      <c r="B37" s="94" t="s">
        <v>24</v>
      </c>
      <c r="C37" s="127" t="s">
        <v>25</v>
      </c>
      <c r="D37" s="128">
        <v>0</v>
      </c>
      <c r="E37" s="129">
        <f t="shared" si="5"/>
        <v>0</v>
      </c>
      <c r="F37" s="96">
        <v>0</v>
      </c>
      <c r="G37" s="96">
        <v>0</v>
      </c>
      <c r="H37" s="96">
        <v>0</v>
      </c>
      <c r="I37" s="96">
        <v>0</v>
      </c>
      <c r="J37" s="130">
        <v>0</v>
      </c>
      <c r="K37" s="131">
        <f t="shared" si="6"/>
        <v>0</v>
      </c>
      <c r="L37" s="132">
        <v>0</v>
      </c>
      <c r="M37" s="96">
        <v>0</v>
      </c>
      <c r="N37" s="96">
        <v>0</v>
      </c>
      <c r="O37" s="96">
        <v>0</v>
      </c>
      <c r="P37" s="100">
        <v>0</v>
      </c>
      <c r="Q37" s="101">
        <f t="shared" si="7"/>
        <v>0</v>
      </c>
      <c r="R37" s="101">
        <f t="shared" si="8"/>
        <v>0</v>
      </c>
      <c r="S37" s="102">
        <f>+R37/2</f>
        <v>0</v>
      </c>
    </row>
    <row r="38" spans="1:24" ht="15" customHeight="1" x14ac:dyDescent="0.75">
      <c r="A38" s="93">
        <v>666518</v>
      </c>
      <c r="B38" s="94" t="s">
        <v>26</v>
      </c>
      <c r="C38" s="127" t="s">
        <v>27</v>
      </c>
      <c r="D38" s="128">
        <v>0</v>
      </c>
      <c r="E38" s="129">
        <f t="shared" si="5"/>
        <v>0</v>
      </c>
      <c r="F38" s="96">
        <v>0</v>
      </c>
      <c r="G38" s="96">
        <v>0</v>
      </c>
      <c r="H38" s="96">
        <v>0</v>
      </c>
      <c r="I38" s="96">
        <v>0</v>
      </c>
      <c r="J38" s="130">
        <v>0</v>
      </c>
      <c r="K38" s="131">
        <f t="shared" si="6"/>
        <v>0</v>
      </c>
      <c r="L38" s="132">
        <v>0</v>
      </c>
      <c r="M38" s="96">
        <v>0</v>
      </c>
      <c r="N38" s="96">
        <v>0</v>
      </c>
      <c r="O38" s="96">
        <v>0</v>
      </c>
      <c r="P38" s="100">
        <v>0</v>
      </c>
      <c r="Q38" s="101">
        <f t="shared" si="7"/>
        <v>0</v>
      </c>
      <c r="R38" s="101">
        <f t="shared" si="8"/>
        <v>0</v>
      </c>
      <c r="S38" s="102">
        <f>+R38/3</f>
        <v>0</v>
      </c>
    </row>
    <row r="39" spans="1:24" ht="15" customHeight="1" x14ac:dyDescent="0.75">
      <c r="A39" s="93">
        <v>666519</v>
      </c>
      <c r="B39" s="94" t="s">
        <v>28</v>
      </c>
      <c r="C39" s="127" t="s">
        <v>29</v>
      </c>
      <c r="D39" s="128">
        <v>0</v>
      </c>
      <c r="E39" s="129">
        <f t="shared" si="5"/>
        <v>0</v>
      </c>
      <c r="F39" s="96">
        <v>0</v>
      </c>
      <c r="G39" s="96">
        <v>0</v>
      </c>
      <c r="H39" s="96">
        <v>0</v>
      </c>
      <c r="I39" s="96">
        <v>0</v>
      </c>
      <c r="J39" s="130">
        <v>0</v>
      </c>
      <c r="K39" s="131">
        <f t="shared" si="6"/>
        <v>0</v>
      </c>
      <c r="L39" s="132">
        <v>0</v>
      </c>
      <c r="M39" s="96">
        <v>0</v>
      </c>
      <c r="N39" s="96">
        <v>0</v>
      </c>
      <c r="O39" s="96">
        <v>0</v>
      </c>
      <c r="P39" s="100">
        <v>0</v>
      </c>
      <c r="Q39" s="101">
        <f t="shared" si="7"/>
        <v>0</v>
      </c>
      <c r="R39" s="101">
        <f t="shared" si="8"/>
        <v>0</v>
      </c>
      <c r="S39" s="102"/>
    </row>
    <row r="40" spans="1:24" ht="15" customHeight="1" x14ac:dyDescent="0.75">
      <c r="A40" s="93">
        <v>666521</v>
      </c>
      <c r="B40" s="94" t="s">
        <v>30</v>
      </c>
      <c r="C40" s="127" t="s">
        <v>31</v>
      </c>
      <c r="D40" s="128">
        <v>0</v>
      </c>
      <c r="E40" s="129">
        <f t="shared" si="5"/>
        <v>0</v>
      </c>
      <c r="F40" s="96">
        <v>0</v>
      </c>
      <c r="G40" s="96">
        <v>0</v>
      </c>
      <c r="H40" s="96">
        <v>0</v>
      </c>
      <c r="I40" s="96">
        <v>0</v>
      </c>
      <c r="J40" s="130">
        <v>0</v>
      </c>
      <c r="K40" s="131">
        <f t="shared" si="6"/>
        <v>0</v>
      </c>
      <c r="L40" s="132">
        <v>0</v>
      </c>
      <c r="M40" s="96">
        <v>0</v>
      </c>
      <c r="N40" s="96">
        <v>0</v>
      </c>
      <c r="O40" s="96">
        <v>0</v>
      </c>
      <c r="P40" s="100">
        <v>0</v>
      </c>
      <c r="Q40" s="101">
        <f t="shared" si="7"/>
        <v>0</v>
      </c>
      <c r="R40" s="101">
        <f t="shared" si="8"/>
        <v>0</v>
      </c>
      <c r="S40" s="102"/>
    </row>
    <row r="41" spans="1:24" ht="15" customHeight="1" x14ac:dyDescent="0.75">
      <c r="A41" s="93">
        <v>666522</v>
      </c>
      <c r="B41" s="94" t="s">
        <v>32</v>
      </c>
      <c r="C41" s="127" t="s">
        <v>33</v>
      </c>
      <c r="D41" s="128">
        <v>55</v>
      </c>
      <c r="E41" s="129">
        <f t="shared" si="5"/>
        <v>6.1111111111111107</v>
      </c>
      <c r="F41" s="96">
        <v>0</v>
      </c>
      <c r="G41" s="96">
        <v>0</v>
      </c>
      <c r="H41" s="96">
        <v>0</v>
      </c>
      <c r="I41" s="96">
        <v>0</v>
      </c>
      <c r="J41" s="130">
        <v>0</v>
      </c>
      <c r="K41" s="131">
        <f t="shared" si="6"/>
        <v>13.75</v>
      </c>
      <c r="L41" s="132">
        <v>0</v>
      </c>
      <c r="M41" s="96">
        <v>0</v>
      </c>
      <c r="N41" s="96">
        <v>0</v>
      </c>
      <c r="O41" s="96">
        <v>0</v>
      </c>
      <c r="P41" s="100">
        <v>0</v>
      </c>
      <c r="Q41" s="101">
        <f t="shared" si="7"/>
        <v>0</v>
      </c>
      <c r="R41" s="101">
        <f t="shared" si="8"/>
        <v>55</v>
      </c>
      <c r="S41" s="102"/>
    </row>
    <row r="42" spans="1:24" ht="15" customHeight="1" x14ac:dyDescent="0.75">
      <c r="A42" s="93">
        <v>666523</v>
      </c>
      <c r="B42" s="94" t="s">
        <v>34</v>
      </c>
      <c r="C42" s="127" t="s">
        <v>35</v>
      </c>
      <c r="D42" s="128">
        <v>0</v>
      </c>
      <c r="E42" s="129">
        <f t="shared" si="5"/>
        <v>0</v>
      </c>
      <c r="F42" s="96">
        <v>0</v>
      </c>
      <c r="G42" s="96">
        <v>0</v>
      </c>
      <c r="H42" s="96">
        <v>0</v>
      </c>
      <c r="I42" s="96">
        <v>0</v>
      </c>
      <c r="J42" s="130">
        <v>0</v>
      </c>
      <c r="K42" s="131">
        <f t="shared" si="6"/>
        <v>0</v>
      </c>
      <c r="L42" s="132">
        <v>0</v>
      </c>
      <c r="M42" s="96">
        <v>0</v>
      </c>
      <c r="N42" s="96">
        <v>0</v>
      </c>
      <c r="O42" s="96">
        <v>0</v>
      </c>
      <c r="P42" s="100">
        <v>0</v>
      </c>
      <c r="Q42" s="101">
        <f t="shared" si="7"/>
        <v>0</v>
      </c>
      <c r="R42" s="101">
        <f t="shared" si="8"/>
        <v>0</v>
      </c>
      <c r="S42" s="102"/>
    </row>
    <row r="43" spans="1:24" ht="15" customHeight="1" x14ac:dyDescent="0.75">
      <c r="A43" s="93">
        <v>666530</v>
      </c>
      <c r="B43" s="94" t="s">
        <v>36</v>
      </c>
      <c r="C43" s="127" t="s">
        <v>37</v>
      </c>
      <c r="D43" s="128">
        <v>0</v>
      </c>
      <c r="E43" s="129">
        <f t="shared" si="5"/>
        <v>0</v>
      </c>
      <c r="F43" s="96">
        <v>0</v>
      </c>
      <c r="G43" s="96">
        <v>0</v>
      </c>
      <c r="H43" s="96">
        <v>0</v>
      </c>
      <c r="I43" s="96">
        <v>0</v>
      </c>
      <c r="J43" s="130">
        <v>0</v>
      </c>
      <c r="K43" s="131">
        <f t="shared" si="6"/>
        <v>0</v>
      </c>
      <c r="L43" s="132">
        <v>0</v>
      </c>
      <c r="M43" s="96">
        <v>0</v>
      </c>
      <c r="N43" s="96">
        <v>0</v>
      </c>
      <c r="O43" s="96">
        <v>0</v>
      </c>
      <c r="P43" s="100">
        <v>0</v>
      </c>
      <c r="Q43" s="101">
        <f t="shared" si="7"/>
        <v>0</v>
      </c>
      <c r="R43" s="101">
        <f t="shared" si="8"/>
        <v>0</v>
      </c>
      <c r="S43" s="102"/>
    </row>
    <row r="44" spans="1:24" ht="15" customHeight="1" x14ac:dyDescent="0.75">
      <c r="A44" s="93">
        <v>666531</v>
      </c>
      <c r="B44" s="94" t="s">
        <v>38</v>
      </c>
      <c r="C44" s="127" t="s">
        <v>39</v>
      </c>
      <c r="D44" s="128">
        <v>0</v>
      </c>
      <c r="E44" s="129">
        <f t="shared" si="5"/>
        <v>0</v>
      </c>
      <c r="F44" s="96">
        <v>0</v>
      </c>
      <c r="G44" s="96">
        <v>0</v>
      </c>
      <c r="H44" s="96">
        <v>0</v>
      </c>
      <c r="I44" s="96">
        <v>0</v>
      </c>
      <c r="J44" s="130">
        <v>0</v>
      </c>
      <c r="K44" s="131">
        <f t="shared" si="6"/>
        <v>0</v>
      </c>
      <c r="L44" s="132">
        <v>0</v>
      </c>
      <c r="M44" s="96">
        <v>0</v>
      </c>
      <c r="N44" s="96">
        <v>0</v>
      </c>
      <c r="O44" s="96">
        <v>0</v>
      </c>
      <c r="P44" s="100">
        <v>0</v>
      </c>
      <c r="Q44" s="101">
        <f t="shared" si="7"/>
        <v>0</v>
      </c>
      <c r="R44" s="101">
        <f t="shared" si="8"/>
        <v>0</v>
      </c>
      <c r="S44" s="102">
        <f>+R44/3</f>
        <v>0</v>
      </c>
    </row>
    <row r="45" spans="1:24" ht="15" customHeight="1" x14ac:dyDescent="0.75">
      <c r="A45" s="93">
        <v>666540</v>
      </c>
      <c r="B45" s="94" t="s">
        <v>40</v>
      </c>
      <c r="C45" s="127" t="s">
        <v>40</v>
      </c>
      <c r="D45" s="128">
        <v>0</v>
      </c>
      <c r="E45" s="129">
        <f t="shared" si="5"/>
        <v>0</v>
      </c>
      <c r="F45" s="96">
        <v>0</v>
      </c>
      <c r="G45" s="96">
        <v>0</v>
      </c>
      <c r="H45" s="96">
        <v>0</v>
      </c>
      <c r="I45" s="96">
        <v>0</v>
      </c>
      <c r="J45" s="130">
        <v>0</v>
      </c>
      <c r="K45" s="131">
        <f t="shared" si="6"/>
        <v>0</v>
      </c>
      <c r="L45" s="132">
        <v>0</v>
      </c>
      <c r="M45" s="96">
        <v>0</v>
      </c>
      <c r="N45" s="96">
        <v>0</v>
      </c>
      <c r="O45" s="96">
        <v>0</v>
      </c>
      <c r="P45" s="100">
        <v>0</v>
      </c>
      <c r="Q45" s="101">
        <f t="shared" si="7"/>
        <v>0</v>
      </c>
      <c r="R45" s="101">
        <f t="shared" si="8"/>
        <v>0</v>
      </c>
      <c r="S45" s="102">
        <f>+R45/3</f>
        <v>0</v>
      </c>
    </row>
    <row r="46" spans="1:24" ht="15" customHeight="1" x14ac:dyDescent="0.75">
      <c r="A46" s="93">
        <v>666541</v>
      </c>
      <c r="B46" s="94" t="s">
        <v>41</v>
      </c>
      <c r="C46" s="127"/>
      <c r="D46" s="128">
        <v>500</v>
      </c>
      <c r="E46" s="129">
        <f t="shared" si="5"/>
        <v>55.555555555555557</v>
      </c>
      <c r="F46" s="96">
        <v>19</v>
      </c>
      <c r="G46" s="96">
        <v>65</v>
      </c>
      <c r="H46" s="96">
        <v>0</v>
      </c>
      <c r="I46" s="96">
        <v>26</v>
      </c>
      <c r="J46" s="130">
        <v>0</v>
      </c>
      <c r="K46" s="131">
        <f t="shared" si="6"/>
        <v>97.5</v>
      </c>
      <c r="L46" s="132">
        <v>0</v>
      </c>
      <c r="M46" s="96">
        <v>0</v>
      </c>
      <c r="N46" s="96">
        <v>0</v>
      </c>
      <c r="O46" s="96">
        <v>0</v>
      </c>
      <c r="P46" s="100">
        <v>0</v>
      </c>
      <c r="Q46" s="101">
        <f t="shared" si="7"/>
        <v>110</v>
      </c>
      <c r="R46" s="101">
        <f t="shared" si="8"/>
        <v>390</v>
      </c>
      <c r="S46" s="102"/>
    </row>
    <row r="47" spans="1:24" ht="15" customHeight="1" x14ac:dyDescent="0.75">
      <c r="A47" s="93">
        <v>666536</v>
      </c>
      <c r="B47" s="94" t="s">
        <v>42</v>
      </c>
      <c r="C47" s="134" t="s">
        <v>41</v>
      </c>
      <c r="D47" s="128">
        <v>0</v>
      </c>
      <c r="E47" s="129">
        <f t="shared" si="5"/>
        <v>0</v>
      </c>
      <c r="F47" s="96">
        <v>0</v>
      </c>
      <c r="G47" s="96">
        <v>0</v>
      </c>
      <c r="H47" s="96">
        <v>0</v>
      </c>
      <c r="I47" s="96">
        <v>0</v>
      </c>
      <c r="J47" s="130">
        <v>0</v>
      </c>
      <c r="K47" s="131">
        <f t="shared" si="6"/>
        <v>0</v>
      </c>
      <c r="L47" s="132">
        <v>0</v>
      </c>
      <c r="M47" s="96">
        <v>0</v>
      </c>
      <c r="N47" s="96">
        <v>0</v>
      </c>
      <c r="O47" s="96">
        <v>0</v>
      </c>
      <c r="P47" s="100">
        <v>0</v>
      </c>
      <c r="Q47" s="101">
        <f t="shared" si="7"/>
        <v>0</v>
      </c>
      <c r="R47" s="101">
        <f t="shared" si="8"/>
        <v>0</v>
      </c>
      <c r="S47" s="102">
        <f>+R47/3</f>
        <v>0</v>
      </c>
      <c r="X47" s="79" t="s">
        <v>152</v>
      </c>
    </row>
    <row r="48" spans="1:24" ht="15" customHeight="1" x14ac:dyDescent="0.75">
      <c r="A48" s="135"/>
      <c r="B48" s="136"/>
      <c r="C48" s="134"/>
      <c r="D48" s="137"/>
      <c r="E48" s="137"/>
      <c r="F48" s="138"/>
      <c r="G48" s="139"/>
      <c r="H48" s="139"/>
      <c r="I48" s="139"/>
      <c r="J48" s="139"/>
      <c r="K48" s="140"/>
      <c r="L48" s="139"/>
      <c r="M48" s="139"/>
      <c r="N48" s="139"/>
      <c r="O48" s="139"/>
      <c r="P48" s="141"/>
      <c r="Q48" s="101"/>
      <c r="R48" s="101"/>
      <c r="S48" s="102"/>
    </row>
    <row r="49" spans="1:18" ht="15" customHeight="1" x14ac:dyDescent="0.75">
      <c r="A49" s="2" t="str">
        <f>+A1</f>
        <v>Weeks of 06/29/26 &amp; 07/06/26</v>
      </c>
      <c r="B49" s="2"/>
      <c r="C49" s="2"/>
      <c r="D49" s="2"/>
      <c r="E49" s="2"/>
      <c r="F49" s="142"/>
      <c r="G49" s="81"/>
      <c r="H49" s="81"/>
      <c r="I49" s="81"/>
      <c r="J49" s="81"/>
      <c r="K49" s="81"/>
      <c r="L49" s="81"/>
      <c r="M49" s="81"/>
      <c r="N49" s="81"/>
      <c r="O49" s="81"/>
      <c r="P49" s="82"/>
      <c r="Q49" s="101"/>
    </row>
    <row r="50" spans="1:18" ht="36.75" customHeight="1" x14ac:dyDescent="0.75">
      <c r="A50" s="83"/>
      <c r="B50" s="143" t="s">
        <v>66</v>
      </c>
      <c r="C50" s="144"/>
      <c r="D50" s="86" t="s">
        <v>122</v>
      </c>
      <c r="E50" s="90" t="s">
        <v>173</v>
      </c>
      <c r="F50" s="125" t="s">
        <v>162</v>
      </c>
      <c r="G50" s="86" t="s">
        <v>163</v>
      </c>
      <c r="H50" s="87" t="s">
        <v>164</v>
      </c>
      <c r="I50" s="86" t="s">
        <v>165</v>
      </c>
      <c r="J50" s="86" t="s">
        <v>166</v>
      </c>
      <c r="K50" s="89" t="str">
        <f>+K26</f>
        <v>2nd wk daily goals</v>
      </c>
      <c r="L50" s="88" t="s">
        <v>162</v>
      </c>
      <c r="M50" s="86" t="s">
        <v>163</v>
      </c>
      <c r="N50" s="87" t="s">
        <v>164</v>
      </c>
      <c r="O50" s="86" t="s">
        <v>165</v>
      </c>
      <c r="P50" s="90" t="s">
        <v>166</v>
      </c>
      <c r="Q50" s="101"/>
      <c r="R50" s="92" t="s">
        <v>168</v>
      </c>
    </row>
    <row r="51" spans="1:18" ht="14.25" customHeight="1" x14ac:dyDescent="0.75">
      <c r="A51" s="93">
        <v>666501</v>
      </c>
      <c r="B51" s="94" t="s">
        <v>4</v>
      </c>
      <c r="C51" s="95" t="s">
        <v>5</v>
      </c>
      <c r="D51" s="96">
        <v>39</v>
      </c>
      <c r="E51" s="203">
        <f t="shared" ref="E51:E72" si="10">+D51/5</f>
        <v>7.8</v>
      </c>
      <c r="F51" s="132">
        <v>0</v>
      </c>
      <c r="G51" s="96">
        <v>18</v>
      </c>
      <c r="H51" s="96">
        <v>0</v>
      </c>
      <c r="I51" s="96">
        <v>0</v>
      </c>
      <c r="J51" s="96">
        <v>0</v>
      </c>
      <c r="K51" s="99">
        <f t="shared" ref="K51:K72" si="11">(+D51-SUM(F51:J51))/4</f>
        <v>5.25</v>
      </c>
      <c r="L51" s="96">
        <v>0</v>
      </c>
      <c r="M51" s="96">
        <v>0</v>
      </c>
      <c r="N51" s="96">
        <v>0</v>
      </c>
      <c r="O51" s="96">
        <v>0</v>
      </c>
      <c r="P51" s="100">
        <v>0</v>
      </c>
      <c r="Q51" s="101">
        <f t="shared" ref="Q51:Q72" si="12">SUM(F51:J51)+SUM(L51:P51)</f>
        <v>18</v>
      </c>
      <c r="R51" s="101">
        <f t="shared" ref="R51:R72" si="13">+D51-Q51</f>
        <v>21</v>
      </c>
    </row>
    <row r="52" spans="1:18" ht="14.25" customHeight="1" x14ac:dyDescent="0.75">
      <c r="A52" s="93">
        <v>666502</v>
      </c>
      <c r="B52" s="94" t="s">
        <v>6</v>
      </c>
      <c r="C52" s="95" t="s">
        <v>7</v>
      </c>
      <c r="D52" s="96">
        <v>150</v>
      </c>
      <c r="E52" s="203">
        <f t="shared" si="10"/>
        <v>30</v>
      </c>
      <c r="F52" s="132">
        <v>0</v>
      </c>
      <c r="G52" s="96">
        <v>15</v>
      </c>
      <c r="H52" s="96">
        <v>0</v>
      </c>
      <c r="I52" s="96">
        <v>30</v>
      </c>
      <c r="J52" s="96">
        <v>0</v>
      </c>
      <c r="K52" s="99">
        <f t="shared" si="11"/>
        <v>26.25</v>
      </c>
      <c r="L52" s="96">
        <v>0</v>
      </c>
      <c r="M52" s="96">
        <v>0</v>
      </c>
      <c r="N52" s="96">
        <v>0</v>
      </c>
      <c r="O52" s="96">
        <v>0</v>
      </c>
      <c r="P52" s="100">
        <v>0</v>
      </c>
      <c r="Q52" s="101">
        <f t="shared" si="12"/>
        <v>45</v>
      </c>
      <c r="R52" s="101">
        <f t="shared" si="13"/>
        <v>105</v>
      </c>
    </row>
    <row r="53" spans="1:18" ht="14.25" customHeight="1" x14ac:dyDescent="0.75">
      <c r="A53" s="93">
        <v>666505</v>
      </c>
      <c r="B53" s="94" t="s">
        <v>8</v>
      </c>
      <c r="C53" s="95" t="s">
        <v>9</v>
      </c>
      <c r="D53" s="96">
        <v>27</v>
      </c>
      <c r="E53" s="203">
        <f t="shared" si="10"/>
        <v>5.4</v>
      </c>
      <c r="F53" s="132">
        <v>14</v>
      </c>
      <c r="G53" s="96">
        <v>13</v>
      </c>
      <c r="H53" s="96">
        <v>0</v>
      </c>
      <c r="I53" s="96">
        <v>0</v>
      </c>
      <c r="J53" s="96">
        <v>0</v>
      </c>
      <c r="K53" s="99">
        <f t="shared" si="11"/>
        <v>0</v>
      </c>
      <c r="L53" s="96">
        <v>0</v>
      </c>
      <c r="M53" s="96">
        <v>0</v>
      </c>
      <c r="N53" s="96">
        <v>0</v>
      </c>
      <c r="O53" s="96">
        <v>0</v>
      </c>
      <c r="P53" s="100">
        <v>0</v>
      </c>
      <c r="Q53" s="101">
        <f t="shared" si="12"/>
        <v>27</v>
      </c>
      <c r="R53" s="101">
        <f t="shared" si="13"/>
        <v>0</v>
      </c>
    </row>
    <row r="54" spans="1:18" ht="14.25" customHeight="1" x14ac:dyDescent="0.75">
      <c r="A54" s="93">
        <v>666506</v>
      </c>
      <c r="B54" s="94" t="s">
        <v>10</v>
      </c>
      <c r="C54" s="95" t="s">
        <v>11</v>
      </c>
      <c r="D54" s="96">
        <v>0</v>
      </c>
      <c r="E54" s="203">
        <f t="shared" si="10"/>
        <v>0</v>
      </c>
      <c r="F54" s="132">
        <v>0</v>
      </c>
      <c r="G54" s="96">
        <v>0</v>
      </c>
      <c r="H54" s="96">
        <v>0</v>
      </c>
      <c r="I54" s="96">
        <v>0</v>
      </c>
      <c r="J54" s="96">
        <v>0</v>
      </c>
      <c r="K54" s="99">
        <f t="shared" si="11"/>
        <v>0</v>
      </c>
      <c r="L54" s="96">
        <v>0</v>
      </c>
      <c r="M54" s="96">
        <v>0</v>
      </c>
      <c r="N54" s="96">
        <v>0</v>
      </c>
      <c r="O54" s="96">
        <v>0</v>
      </c>
      <c r="P54" s="100">
        <v>0</v>
      </c>
      <c r="Q54" s="101">
        <f t="shared" si="12"/>
        <v>0</v>
      </c>
      <c r="R54" s="101">
        <f t="shared" si="13"/>
        <v>0</v>
      </c>
    </row>
    <row r="55" spans="1:18" ht="14.25" customHeight="1" x14ac:dyDescent="0.75">
      <c r="A55" s="93">
        <v>666507</v>
      </c>
      <c r="B55" s="94" t="s">
        <v>12</v>
      </c>
      <c r="C55" s="95" t="s">
        <v>13</v>
      </c>
      <c r="D55" s="96">
        <v>0</v>
      </c>
      <c r="E55" s="203">
        <f t="shared" si="10"/>
        <v>0</v>
      </c>
      <c r="F55" s="132">
        <v>0</v>
      </c>
      <c r="G55" s="96">
        <v>0</v>
      </c>
      <c r="H55" s="96">
        <v>0</v>
      </c>
      <c r="I55" s="96">
        <v>0</v>
      </c>
      <c r="J55" s="96">
        <v>0</v>
      </c>
      <c r="K55" s="99">
        <f t="shared" si="11"/>
        <v>0</v>
      </c>
      <c r="L55" s="96">
        <v>0</v>
      </c>
      <c r="M55" s="96">
        <v>0</v>
      </c>
      <c r="N55" s="96">
        <v>0</v>
      </c>
      <c r="O55" s="96">
        <v>0</v>
      </c>
      <c r="P55" s="100">
        <v>0</v>
      </c>
      <c r="Q55" s="101">
        <f t="shared" si="12"/>
        <v>0</v>
      </c>
      <c r="R55" s="101">
        <f t="shared" si="13"/>
        <v>0</v>
      </c>
    </row>
    <row r="56" spans="1:18" ht="14.25" customHeight="1" x14ac:dyDescent="0.75">
      <c r="A56" s="93">
        <v>666509</v>
      </c>
      <c r="B56" s="94" t="s">
        <v>14</v>
      </c>
      <c r="C56" s="95" t="s">
        <v>15</v>
      </c>
      <c r="D56" s="96">
        <v>0</v>
      </c>
      <c r="E56" s="203">
        <f t="shared" si="10"/>
        <v>0</v>
      </c>
      <c r="F56" s="132">
        <v>0</v>
      </c>
      <c r="G56" s="96">
        <v>0</v>
      </c>
      <c r="H56" s="96">
        <v>0</v>
      </c>
      <c r="I56" s="96">
        <v>0</v>
      </c>
      <c r="J56" s="96">
        <v>0</v>
      </c>
      <c r="K56" s="99">
        <f t="shared" si="11"/>
        <v>0</v>
      </c>
      <c r="L56" s="96">
        <v>0</v>
      </c>
      <c r="M56" s="96">
        <v>0</v>
      </c>
      <c r="N56" s="96">
        <v>0</v>
      </c>
      <c r="O56" s="96">
        <v>0</v>
      </c>
      <c r="P56" s="100">
        <v>0</v>
      </c>
      <c r="Q56" s="101">
        <f t="shared" si="12"/>
        <v>0</v>
      </c>
      <c r="R56" s="101">
        <f t="shared" si="13"/>
        <v>0</v>
      </c>
    </row>
    <row r="57" spans="1:18" ht="14.25" customHeight="1" x14ac:dyDescent="0.75">
      <c r="A57" s="93">
        <v>666510</v>
      </c>
      <c r="B57" s="94" t="s">
        <v>16</v>
      </c>
      <c r="C57" s="95" t="s">
        <v>169</v>
      </c>
      <c r="D57" s="96">
        <v>0</v>
      </c>
      <c r="E57" s="203">
        <f t="shared" si="10"/>
        <v>0</v>
      </c>
      <c r="F57" s="132">
        <v>0</v>
      </c>
      <c r="G57" s="96">
        <v>0</v>
      </c>
      <c r="H57" s="96">
        <v>0</v>
      </c>
      <c r="I57" s="96">
        <v>0</v>
      </c>
      <c r="J57" s="96">
        <v>0</v>
      </c>
      <c r="K57" s="99">
        <f t="shared" si="11"/>
        <v>0</v>
      </c>
      <c r="L57" s="96">
        <v>0</v>
      </c>
      <c r="M57" s="96">
        <v>0</v>
      </c>
      <c r="N57" s="96">
        <v>0</v>
      </c>
      <c r="O57" s="96">
        <v>0</v>
      </c>
      <c r="P57" s="100">
        <v>0</v>
      </c>
      <c r="Q57" s="101">
        <f t="shared" si="12"/>
        <v>0</v>
      </c>
      <c r="R57" s="101">
        <f t="shared" si="13"/>
        <v>0</v>
      </c>
    </row>
    <row r="58" spans="1:18" ht="14.25" customHeight="1" x14ac:dyDescent="0.75">
      <c r="A58" s="93">
        <v>666511</v>
      </c>
      <c r="B58" s="94" t="s">
        <v>18</v>
      </c>
      <c r="C58" s="95" t="s">
        <v>19</v>
      </c>
      <c r="D58" s="96">
        <v>0</v>
      </c>
      <c r="E58" s="203">
        <f t="shared" si="10"/>
        <v>0</v>
      </c>
      <c r="F58" s="132">
        <v>0</v>
      </c>
      <c r="G58" s="96">
        <v>0</v>
      </c>
      <c r="H58" s="96">
        <v>0</v>
      </c>
      <c r="I58" s="96">
        <v>0</v>
      </c>
      <c r="J58" s="96">
        <v>0</v>
      </c>
      <c r="K58" s="99">
        <f t="shared" si="11"/>
        <v>0</v>
      </c>
      <c r="L58" s="96">
        <v>0</v>
      </c>
      <c r="M58" s="96">
        <v>0</v>
      </c>
      <c r="N58" s="96">
        <v>0</v>
      </c>
      <c r="O58" s="96">
        <v>0</v>
      </c>
      <c r="P58" s="100">
        <v>0</v>
      </c>
      <c r="Q58" s="101">
        <f t="shared" si="12"/>
        <v>0</v>
      </c>
      <c r="R58" s="101">
        <f t="shared" si="13"/>
        <v>0</v>
      </c>
    </row>
    <row r="59" spans="1:18" ht="14.25" customHeight="1" x14ac:dyDescent="0.75">
      <c r="A59" s="93">
        <v>666513</v>
      </c>
      <c r="B59" s="94" t="s">
        <v>20</v>
      </c>
      <c r="C59" s="95" t="s">
        <v>21</v>
      </c>
      <c r="D59" s="96">
        <v>34</v>
      </c>
      <c r="E59" s="203">
        <f t="shared" si="10"/>
        <v>6.8</v>
      </c>
      <c r="F59" s="132">
        <v>17</v>
      </c>
      <c r="G59" s="96">
        <v>17</v>
      </c>
      <c r="H59" s="96">
        <v>0</v>
      </c>
      <c r="I59" s="96">
        <v>0</v>
      </c>
      <c r="J59" s="96">
        <v>0</v>
      </c>
      <c r="K59" s="99">
        <f t="shared" si="11"/>
        <v>0</v>
      </c>
      <c r="L59" s="96">
        <v>0</v>
      </c>
      <c r="M59" s="96">
        <v>0</v>
      </c>
      <c r="N59" s="96">
        <v>0</v>
      </c>
      <c r="O59" s="96">
        <v>0</v>
      </c>
      <c r="P59" s="100">
        <v>0</v>
      </c>
      <c r="Q59" s="101">
        <f t="shared" si="12"/>
        <v>34</v>
      </c>
      <c r="R59" s="101">
        <f t="shared" si="13"/>
        <v>0</v>
      </c>
    </row>
    <row r="60" spans="1:18" ht="14.25" customHeight="1" x14ac:dyDescent="0.75">
      <c r="A60" s="93">
        <v>666516</v>
      </c>
      <c r="B60" s="94" t="s">
        <v>22</v>
      </c>
      <c r="C60" s="95" t="s">
        <v>23</v>
      </c>
      <c r="D60" s="96">
        <v>16</v>
      </c>
      <c r="E60" s="203">
        <f t="shared" si="10"/>
        <v>3.2</v>
      </c>
      <c r="F60" s="132">
        <v>8</v>
      </c>
      <c r="G60" s="96">
        <v>8</v>
      </c>
      <c r="H60" s="96">
        <v>0</v>
      </c>
      <c r="I60" s="96">
        <v>0</v>
      </c>
      <c r="J60" s="96">
        <v>0</v>
      </c>
      <c r="K60" s="99">
        <f t="shared" si="11"/>
        <v>0</v>
      </c>
      <c r="L60" s="96">
        <v>0</v>
      </c>
      <c r="M60" s="96">
        <v>0</v>
      </c>
      <c r="N60" s="96">
        <v>0</v>
      </c>
      <c r="O60" s="96">
        <v>0</v>
      </c>
      <c r="P60" s="100">
        <v>0</v>
      </c>
      <c r="Q60" s="101">
        <f t="shared" si="12"/>
        <v>16</v>
      </c>
      <c r="R60" s="101">
        <f t="shared" si="13"/>
        <v>0</v>
      </c>
    </row>
    <row r="61" spans="1:18" ht="14.25" customHeight="1" x14ac:dyDescent="0.75">
      <c r="A61" s="93">
        <v>666517</v>
      </c>
      <c r="B61" s="94" t="s">
        <v>24</v>
      </c>
      <c r="C61" s="95" t="s">
        <v>25</v>
      </c>
      <c r="D61" s="96">
        <v>10</v>
      </c>
      <c r="E61" s="203">
        <f t="shared" si="10"/>
        <v>2</v>
      </c>
      <c r="F61" s="132">
        <v>5</v>
      </c>
      <c r="G61" s="96">
        <v>5</v>
      </c>
      <c r="H61" s="96">
        <v>0</v>
      </c>
      <c r="I61" s="96">
        <v>0</v>
      </c>
      <c r="J61" s="96">
        <v>0</v>
      </c>
      <c r="K61" s="99">
        <f t="shared" si="11"/>
        <v>0</v>
      </c>
      <c r="L61" s="96">
        <v>0</v>
      </c>
      <c r="M61" s="96">
        <v>0</v>
      </c>
      <c r="N61" s="96">
        <v>0</v>
      </c>
      <c r="O61" s="96">
        <v>0</v>
      </c>
      <c r="P61" s="100">
        <v>0</v>
      </c>
      <c r="Q61" s="101">
        <f t="shared" si="12"/>
        <v>10</v>
      </c>
      <c r="R61" s="101">
        <f t="shared" si="13"/>
        <v>0</v>
      </c>
    </row>
    <row r="62" spans="1:18" ht="14.25" customHeight="1" x14ac:dyDescent="0.75">
      <c r="A62" s="93">
        <v>666518</v>
      </c>
      <c r="B62" s="94" t="s">
        <v>26</v>
      </c>
      <c r="C62" s="95" t="s">
        <v>27</v>
      </c>
      <c r="D62" s="96">
        <v>0</v>
      </c>
      <c r="E62" s="203">
        <f t="shared" si="10"/>
        <v>0</v>
      </c>
      <c r="F62" s="132">
        <v>0</v>
      </c>
      <c r="G62" s="96">
        <v>0</v>
      </c>
      <c r="H62" s="96">
        <v>0</v>
      </c>
      <c r="I62" s="96">
        <v>0</v>
      </c>
      <c r="J62" s="96">
        <v>0</v>
      </c>
      <c r="K62" s="99">
        <f t="shared" si="11"/>
        <v>0</v>
      </c>
      <c r="L62" s="96">
        <v>0</v>
      </c>
      <c r="M62" s="96">
        <v>0</v>
      </c>
      <c r="N62" s="96">
        <v>0</v>
      </c>
      <c r="O62" s="96">
        <v>0</v>
      </c>
      <c r="P62" s="100">
        <v>0</v>
      </c>
      <c r="Q62" s="101">
        <f t="shared" si="12"/>
        <v>0</v>
      </c>
      <c r="R62" s="101">
        <f t="shared" si="13"/>
        <v>0</v>
      </c>
    </row>
    <row r="63" spans="1:18" ht="14.25" customHeight="1" x14ac:dyDescent="0.75">
      <c r="A63" s="93">
        <v>666519</v>
      </c>
      <c r="B63" s="94" t="s">
        <v>28</v>
      </c>
      <c r="C63" s="95" t="s">
        <v>29</v>
      </c>
      <c r="D63" s="96">
        <v>22</v>
      </c>
      <c r="E63" s="203">
        <f t="shared" si="10"/>
        <v>4.4000000000000004</v>
      </c>
      <c r="F63" s="132">
        <v>11</v>
      </c>
      <c r="G63" s="96">
        <v>11</v>
      </c>
      <c r="H63" s="96">
        <v>0</v>
      </c>
      <c r="I63" s="96">
        <v>0</v>
      </c>
      <c r="J63" s="96">
        <v>0</v>
      </c>
      <c r="K63" s="99">
        <f t="shared" si="11"/>
        <v>0</v>
      </c>
      <c r="L63" s="96">
        <v>0</v>
      </c>
      <c r="M63" s="96">
        <v>0</v>
      </c>
      <c r="N63" s="96">
        <v>0</v>
      </c>
      <c r="O63" s="96">
        <v>0</v>
      </c>
      <c r="P63" s="100">
        <v>0</v>
      </c>
      <c r="Q63" s="101">
        <f t="shared" si="12"/>
        <v>22</v>
      </c>
      <c r="R63" s="101">
        <f t="shared" si="13"/>
        <v>0</v>
      </c>
    </row>
    <row r="64" spans="1:18" ht="14.25" customHeight="1" x14ac:dyDescent="0.75">
      <c r="A64" s="93">
        <v>666521</v>
      </c>
      <c r="B64" s="94" t="s">
        <v>30</v>
      </c>
      <c r="C64" s="95" t="s">
        <v>31</v>
      </c>
      <c r="D64" s="96">
        <v>0</v>
      </c>
      <c r="E64" s="203">
        <f t="shared" si="10"/>
        <v>0</v>
      </c>
      <c r="F64" s="132">
        <v>0</v>
      </c>
      <c r="G64" s="96">
        <v>0</v>
      </c>
      <c r="H64" s="96">
        <v>0</v>
      </c>
      <c r="I64" s="96">
        <v>0</v>
      </c>
      <c r="J64" s="96">
        <v>0</v>
      </c>
      <c r="K64" s="99">
        <f t="shared" si="11"/>
        <v>0</v>
      </c>
      <c r="L64" s="96">
        <v>0</v>
      </c>
      <c r="M64" s="96">
        <v>0</v>
      </c>
      <c r="N64" s="96">
        <v>0</v>
      </c>
      <c r="O64" s="96">
        <v>0</v>
      </c>
      <c r="P64" s="100">
        <v>0</v>
      </c>
      <c r="Q64" s="101">
        <f t="shared" si="12"/>
        <v>0</v>
      </c>
      <c r="R64" s="101">
        <f t="shared" si="13"/>
        <v>0</v>
      </c>
    </row>
    <row r="65" spans="1:18" ht="14.25" customHeight="1" x14ac:dyDescent="0.75">
      <c r="A65" s="93">
        <v>666522</v>
      </c>
      <c r="B65" s="94" t="s">
        <v>32</v>
      </c>
      <c r="C65" s="95" t="s">
        <v>33</v>
      </c>
      <c r="D65" s="96">
        <v>125</v>
      </c>
      <c r="E65" s="203">
        <f t="shared" si="10"/>
        <v>25</v>
      </c>
      <c r="F65" s="132">
        <v>30</v>
      </c>
      <c r="G65" s="96">
        <v>30</v>
      </c>
      <c r="H65" s="96">
        <v>0</v>
      </c>
      <c r="I65" s="96">
        <v>65</v>
      </c>
      <c r="J65" s="96">
        <v>0</v>
      </c>
      <c r="K65" s="99">
        <f t="shared" si="11"/>
        <v>0</v>
      </c>
      <c r="L65" s="96">
        <v>0</v>
      </c>
      <c r="M65" s="96">
        <v>0</v>
      </c>
      <c r="N65" s="96">
        <v>0</v>
      </c>
      <c r="O65" s="96">
        <v>0</v>
      </c>
      <c r="P65" s="100">
        <v>0</v>
      </c>
      <c r="Q65" s="101">
        <f t="shared" si="12"/>
        <v>125</v>
      </c>
      <c r="R65" s="101">
        <f t="shared" si="13"/>
        <v>0</v>
      </c>
    </row>
    <row r="66" spans="1:18" ht="14.25" customHeight="1" x14ac:dyDescent="0.75">
      <c r="A66" s="93">
        <v>666523</v>
      </c>
      <c r="B66" s="94" t="s">
        <v>34</v>
      </c>
      <c r="C66" s="95" t="s">
        <v>35</v>
      </c>
      <c r="D66" s="96">
        <v>28</v>
      </c>
      <c r="E66" s="203">
        <f t="shared" si="10"/>
        <v>5.6</v>
      </c>
      <c r="F66" s="132">
        <v>14</v>
      </c>
      <c r="G66" s="96">
        <v>14</v>
      </c>
      <c r="H66" s="96">
        <v>0</v>
      </c>
      <c r="I66" s="96">
        <v>0</v>
      </c>
      <c r="J66" s="96">
        <v>0</v>
      </c>
      <c r="K66" s="99">
        <f t="shared" si="11"/>
        <v>0</v>
      </c>
      <c r="L66" s="96">
        <v>0</v>
      </c>
      <c r="M66" s="96">
        <v>0</v>
      </c>
      <c r="N66" s="96">
        <v>0</v>
      </c>
      <c r="O66" s="96">
        <v>0</v>
      </c>
      <c r="P66" s="100">
        <v>0</v>
      </c>
      <c r="Q66" s="101">
        <f t="shared" si="12"/>
        <v>28</v>
      </c>
      <c r="R66" s="101">
        <f t="shared" si="13"/>
        <v>0</v>
      </c>
    </row>
    <row r="67" spans="1:18" ht="14.25" customHeight="1" x14ac:dyDescent="0.75">
      <c r="A67" s="93">
        <v>666530</v>
      </c>
      <c r="B67" s="94" t="s">
        <v>36</v>
      </c>
      <c r="C67" s="95" t="s">
        <v>37</v>
      </c>
      <c r="D67" s="96">
        <v>0</v>
      </c>
      <c r="E67" s="203">
        <f t="shared" si="10"/>
        <v>0</v>
      </c>
      <c r="F67" s="132">
        <v>0</v>
      </c>
      <c r="G67" s="96">
        <v>0</v>
      </c>
      <c r="H67" s="96">
        <v>0</v>
      </c>
      <c r="I67" s="96">
        <v>0</v>
      </c>
      <c r="J67" s="96">
        <v>0</v>
      </c>
      <c r="K67" s="99">
        <f t="shared" si="11"/>
        <v>0</v>
      </c>
      <c r="L67" s="96">
        <v>0</v>
      </c>
      <c r="M67" s="96">
        <v>0</v>
      </c>
      <c r="N67" s="96">
        <v>0</v>
      </c>
      <c r="O67" s="96">
        <v>0</v>
      </c>
      <c r="P67" s="100">
        <v>0</v>
      </c>
      <c r="Q67" s="101">
        <f t="shared" si="12"/>
        <v>0</v>
      </c>
      <c r="R67" s="101">
        <f t="shared" si="13"/>
        <v>0</v>
      </c>
    </row>
    <row r="68" spans="1:18" ht="14.25" customHeight="1" x14ac:dyDescent="0.75">
      <c r="A68" s="93">
        <v>666531</v>
      </c>
      <c r="B68" s="94" t="s">
        <v>38</v>
      </c>
      <c r="C68" s="95" t="s">
        <v>39</v>
      </c>
      <c r="D68" s="96">
        <v>6</v>
      </c>
      <c r="E68" s="203">
        <f t="shared" si="10"/>
        <v>1.2</v>
      </c>
      <c r="F68" s="132">
        <v>3</v>
      </c>
      <c r="G68" s="96">
        <v>3</v>
      </c>
      <c r="H68" s="96">
        <v>0</v>
      </c>
      <c r="I68" s="96">
        <v>0</v>
      </c>
      <c r="J68" s="96">
        <v>0</v>
      </c>
      <c r="K68" s="99">
        <f t="shared" si="11"/>
        <v>0</v>
      </c>
      <c r="L68" s="96">
        <v>0</v>
      </c>
      <c r="M68" s="96">
        <v>0</v>
      </c>
      <c r="N68" s="96">
        <v>0</v>
      </c>
      <c r="O68" s="96">
        <v>0</v>
      </c>
      <c r="P68" s="100">
        <v>0</v>
      </c>
      <c r="Q68" s="101">
        <f t="shared" si="12"/>
        <v>6</v>
      </c>
      <c r="R68" s="101">
        <f t="shared" si="13"/>
        <v>0</v>
      </c>
    </row>
    <row r="69" spans="1:18" ht="14.25" customHeight="1" x14ac:dyDescent="0.75">
      <c r="A69" s="93">
        <v>666540</v>
      </c>
      <c r="B69" s="94" t="s">
        <v>40</v>
      </c>
      <c r="C69" s="95" t="s">
        <v>40</v>
      </c>
      <c r="D69" s="96">
        <v>0</v>
      </c>
      <c r="E69" s="203">
        <f t="shared" si="10"/>
        <v>0</v>
      </c>
      <c r="F69" s="132">
        <v>0</v>
      </c>
      <c r="G69" s="96">
        <v>0</v>
      </c>
      <c r="H69" s="96">
        <v>0</v>
      </c>
      <c r="I69" s="96">
        <v>0</v>
      </c>
      <c r="J69" s="96">
        <v>0</v>
      </c>
      <c r="K69" s="99">
        <f t="shared" si="11"/>
        <v>0</v>
      </c>
      <c r="L69" s="96">
        <v>0</v>
      </c>
      <c r="M69" s="96">
        <v>0</v>
      </c>
      <c r="N69" s="96">
        <v>0</v>
      </c>
      <c r="O69" s="96">
        <v>0</v>
      </c>
      <c r="P69" s="100">
        <v>0</v>
      </c>
      <c r="Q69" s="101">
        <f t="shared" si="12"/>
        <v>0</v>
      </c>
      <c r="R69" s="101">
        <f t="shared" si="13"/>
        <v>0</v>
      </c>
    </row>
    <row r="70" spans="1:18" ht="15" customHeight="1" x14ac:dyDescent="0.75">
      <c r="A70" s="93">
        <v>666541</v>
      </c>
      <c r="B70" s="109" t="s">
        <v>41</v>
      </c>
      <c r="C70" s="95" t="s">
        <v>41</v>
      </c>
      <c r="D70" s="96">
        <v>0</v>
      </c>
      <c r="E70" s="203">
        <f t="shared" si="10"/>
        <v>0</v>
      </c>
      <c r="F70" s="132">
        <v>0</v>
      </c>
      <c r="G70" s="96">
        <v>0</v>
      </c>
      <c r="H70" s="96">
        <v>0</v>
      </c>
      <c r="I70" s="96">
        <v>0</v>
      </c>
      <c r="J70" s="96">
        <v>0</v>
      </c>
      <c r="K70" s="99">
        <f t="shared" si="11"/>
        <v>0</v>
      </c>
      <c r="L70" s="96">
        <v>0</v>
      </c>
      <c r="M70" s="96">
        <v>0</v>
      </c>
      <c r="N70" s="96">
        <v>0</v>
      </c>
      <c r="O70" s="96">
        <v>0</v>
      </c>
      <c r="P70" s="100">
        <v>0</v>
      </c>
      <c r="Q70" s="101">
        <f t="shared" si="12"/>
        <v>0</v>
      </c>
      <c r="R70" s="101">
        <f t="shared" si="13"/>
        <v>0</v>
      </c>
    </row>
    <row r="71" spans="1:18" ht="15" customHeight="1" x14ac:dyDescent="0.75">
      <c r="A71" s="108">
        <v>666536</v>
      </c>
      <c r="B71" s="109" t="s">
        <v>42</v>
      </c>
      <c r="C71" s="103" t="s">
        <v>41</v>
      </c>
      <c r="D71" s="104">
        <v>0</v>
      </c>
      <c r="E71" s="203">
        <f t="shared" si="10"/>
        <v>0</v>
      </c>
      <c r="F71" s="205">
        <v>0</v>
      </c>
      <c r="G71" s="104">
        <v>0</v>
      </c>
      <c r="H71" s="104">
        <v>0</v>
      </c>
      <c r="I71" s="104">
        <v>0</v>
      </c>
      <c r="J71" s="104">
        <v>0</v>
      </c>
      <c r="K71" s="106">
        <f t="shared" si="11"/>
        <v>0</v>
      </c>
      <c r="L71" s="96">
        <v>0</v>
      </c>
      <c r="M71" s="96">
        <v>0</v>
      </c>
      <c r="N71" s="96">
        <v>0</v>
      </c>
      <c r="O71" s="96">
        <v>0</v>
      </c>
      <c r="P71" s="100">
        <v>0</v>
      </c>
      <c r="Q71" s="101">
        <f t="shared" si="12"/>
        <v>0</v>
      </c>
      <c r="R71" s="101">
        <f t="shared" si="13"/>
        <v>0</v>
      </c>
    </row>
    <row r="72" spans="1:18" ht="15" customHeight="1" x14ac:dyDescent="0.75">
      <c r="A72" s="135" t="s">
        <v>193</v>
      </c>
      <c r="B72" s="134" t="s">
        <v>197</v>
      </c>
      <c r="C72" s="206"/>
      <c r="D72" s="104">
        <v>0</v>
      </c>
      <c r="E72" s="203">
        <f t="shared" si="10"/>
        <v>0</v>
      </c>
      <c r="F72" s="205">
        <v>0</v>
      </c>
      <c r="G72" s="104">
        <v>0</v>
      </c>
      <c r="H72" s="104">
        <v>0</v>
      </c>
      <c r="I72" s="104">
        <v>0</v>
      </c>
      <c r="J72" s="104">
        <v>0</v>
      </c>
      <c r="K72" s="106">
        <f t="shared" si="11"/>
        <v>0</v>
      </c>
      <c r="L72" s="96">
        <v>0</v>
      </c>
      <c r="M72" s="96">
        <v>0</v>
      </c>
      <c r="N72" s="96">
        <v>0</v>
      </c>
      <c r="O72" s="96">
        <v>0</v>
      </c>
      <c r="P72" s="100">
        <v>0</v>
      </c>
      <c r="Q72" s="101">
        <f t="shared" si="12"/>
        <v>0</v>
      </c>
      <c r="R72" s="101">
        <f t="shared" si="13"/>
        <v>0</v>
      </c>
    </row>
  </sheetData>
  <mergeCells count="3">
    <mergeCell ref="A1:E1"/>
    <mergeCell ref="A25:E25"/>
    <mergeCell ref="A49:E49"/>
  </mergeCells>
  <conditionalFormatting sqref="Q3">
    <cfRule type="cellIs" dxfId="29" priority="5" operator="equal">
      <formula>$D$3</formula>
    </cfRule>
  </conditionalFormatting>
  <conditionalFormatting sqref="Q5:Q24">
    <cfRule type="cellIs" dxfId="28" priority="4" operator="equal">
      <formula>$D$3</formula>
    </cfRule>
  </conditionalFormatting>
  <conditionalFormatting sqref="Q8">
    <cfRule type="cellIs" dxfId="27" priority="2" operator="lessThan">
      <formula>$D$8</formula>
    </cfRule>
    <cfRule type="cellIs" dxfId="26" priority="3" operator="equal">
      <formula>$D$8</formula>
    </cfRule>
  </conditionalFormatting>
  <pageMargins left="0.7" right="0.7" top="0.75" bottom="0.75" header="0.511811023622047" footer="0.511811023622047"/>
  <pageSetup scale="145" orientation="portrait" horizontalDpi="300" verticalDpi="30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S27"/>
  <sheetViews>
    <sheetView topLeftCell="A3" zoomScaleNormal="100" workbookViewId="0">
      <selection activeCell="I32" sqref="I32"/>
    </sheetView>
  </sheetViews>
  <sheetFormatPr defaultColWidth="8.54296875" defaultRowHeight="14.75" x14ac:dyDescent="0.75"/>
  <cols>
    <col min="2" max="2" width="34.453125" customWidth="1"/>
    <col min="3" max="3" width="15.2265625" customWidth="1"/>
    <col min="4" max="4" width="10.86328125" hidden="1" customWidth="1"/>
  </cols>
  <sheetData>
    <row r="1" spans="1:12" ht="14.25" customHeight="1" x14ac:dyDescent="0.75">
      <c r="C1" s="145" t="s">
        <v>174</v>
      </c>
    </row>
    <row r="2" spans="1:12" ht="28.5" customHeight="1" x14ac:dyDescent="0.75">
      <c r="A2" s="51"/>
      <c r="B2" s="51" t="s">
        <v>178</v>
      </c>
      <c r="C2" s="51"/>
      <c r="D2" s="51" t="s">
        <v>144</v>
      </c>
      <c r="E2" s="53" t="s">
        <v>116</v>
      </c>
      <c r="F2" s="53" t="s">
        <v>145</v>
      </c>
      <c r="G2" s="56" t="s">
        <v>119</v>
      </c>
      <c r="H2" s="53" t="s">
        <v>146</v>
      </c>
      <c r="I2" s="51" t="s">
        <v>122</v>
      </c>
      <c r="J2" s="56" t="s">
        <v>147</v>
      </c>
      <c r="K2" s="51" t="s">
        <v>148</v>
      </c>
      <c r="L2" s="53" t="s">
        <v>149</v>
      </c>
    </row>
    <row r="3" spans="1:12" ht="14.25" customHeight="1" x14ac:dyDescent="0.75">
      <c r="A3" s="50"/>
      <c r="B3" s="50"/>
      <c r="C3" s="57" t="s">
        <v>150</v>
      </c>
      <c r="D3" s="57"/>
      <c r="E3" s="57"/>
      <c r="F3" s="59"/>
      <c r="G3" s="59"/>
      <c r="H3" s="59"/>
      <c r="I3" s="59"/>
      <c r="J3" s="59"/>
      <c r="K3" s="59"/>
      <c r="L3" s="59"/>
    </row>
    <row r="4" spans="1:12" ht="14.25" customHeight="1" x14ac:dyDescent="0.75">
      <c r="A4" s="62" t="s">
        <v>129</v>
      </c>
      <c r="B4" s="62" t="s">
        <v>2</v>
      </c>
      <c r="C4" s="62" t="s">
        <v>3</v>
      </c>
      <c r="D4" s="62"/>
      <c r="E4" s="62"/>
      <c r="F4" s="62"/>
      <c r="G4" s="62"/>
      <c r="H4" s="62"/>
      <c r="I4" s="62"/>
      <c r="J4" s="62"/>
      <c r="K4" s="62"/>
      <c r="L4" s="62"/>
    </row>
    <row r="5" spans="1:12" ht="14.25" customHeight="1" x14ac:dyDescent="0.75">
      <c r="A5" s="62"/>
      <c r="B5" s="62"/>
      <c r="C5" s="62" t="s">
        <v>151</v>
      </c>
      <c r="D5" s="62"/>
      <c r="E5" s="62"/>
      <c r="F5" s="50">
        <v>45</v>
      </c>
      <c r="G5" s="50"/>
      <c r="H5" s="50">
        <v>495</v>
      </c>
      <c r="I5" s="50"/>
      <c r="J5" s="50">
        <v>97</v>
      </c>
      <c r="K5" s="62" t="s">
        <v>152</v>
      </c>
      <c r="L5" s="62">
        <f>SUM(F5:J5)</f>
        <v>637</v>
      </c>
    </row>
    <row r="6" spans="1:12" ht="14.25" customHeight="1" x14ac:dyDescent="0.75">
      <c r="A6" s="50">
        <v>666501</v>
      </c>
      <c r="B6" s="73" t="s">
        <v>4</v>
      </c>
      <c r="C6" s="73" t="s">
        <v>5</v>
      </c>
      <c r="D6" s="50">
        <f t="shared" ref="D6:D25" si="0">+K6</f>
        <v>471</v>
      </c>
      <c r="E6" s="50">
        <v>42</v>
      </c>
      <c r="F6" s="50">
        <v>42</v>
      </c>
      <c r="G6" s="50">
        <v>390</v>
      </c>
      <c r="H6" s="50">
        <v>239</v>
      </c>
      <c r="I6" s="50">
        <v>39</v>
      </c>
      <c r="J6" s="50">
        <v>18</v>
      </c>
      <c r="K6" s="50">
        <f t="shared" ref="K6:K27" si="1">+I6+G6+E6</f>
        <v>471</v>
      </c>
      <c r="L6" s="50">
        <f t="shared" ref="L6:L27" si="2">+F6+H6+J6</f>
        <v>299</v>
      </c>
    </row>
    <row r="7" spans="1:12" ht="14.25" customHeight="1" x14ac:dyDescent="0.75">
      <c r="A7" s="50">
        <v>666502</v>
      </c>
      <c r="B7" s="73" t="s">
        <v>6</v>
      </c>
      <c r="C7" s="73" t="s">
        <v>7</v>
      </c>
      <c r="D7" s="50">
        <f t="shared" si="0"/>
        <v>312</v>
      </c>
      <c r="E7" s="50">
        <v>0</v>
      </c>
      <c r="F7" s="50">
        <v>0</v>
      </c>
      <c r="G7" s="50">
        <v>162</v>
      </c>
      <c r="H7" s="50">
        <v>91</v>
      </c>
      <c r="I7" s="50">
        <v>150</v>
      </c>
      <c r="J7" s="50">
        <v>45</v>
      </c>
      <c r="K7" s="50">
        <f t="shared" si="1"/>
        <v>312</v>
      </c>
      <c r="L7" s="50">
        <f t="shared" si="2"/>
        <v>136</v>
      </c>
    </row>
    <row r="8" spans="1:12" ht="14.25" customHeight="1" x14ac:dyDescent="0.75">
      <c r="A8" s="50">
        <v>666505</v>
      </c>
      <c r="B8" s="73" t="s">
        <v>8</v>
      </c>
      <c r="C8" s="73" t="s">
        <v>9</v>
      </c>
      <c r="D8" s="50">
        <f t="shared" si="0"/>
        <v>40</v>
      </c>
      <c r="E8" s="50">
        <v>13</v>
      </c>
      <c r="F8" s="50">
        <v>13</v>
      </c>
      <c r="G8" s="50">
        <v>0</v>
      </c>
      <c r="H8" s="50">
        <v>0</v>
      </c>
      <c r="I8" s="50">
        <v>27</v>
      </c>
      <c r="J8" s="50">
        <v>27</v>
      </c>
      <c r="K8" s="50">
        <f t="shared" si="1"/>
        <v>40</v>
      </c>
      <c r="L8" s="50">
        <f t="shared" si="2"/>
        <v>40</v>
      </c>
    </row>
    <row r="9" spans="1:12" ht="14.25" customHeight="1" x14ac:dyDescent="0.75">
      <c r="A9" s="50">
        <v>666506</v>
      </c>
      <c r="B9" s="73" t="s">
        <v>10</v>
      </c>
      <c r="C9" s="73" t="s">
        <v>11</v>
      </c>
      <c r="D9" s="50">
        <f t="shared" si="0"/>
        <v>144</v>
      </c>
      <c r="E9" s="50">
        <v>0</v>
      </c>
      <c r="F9" s="50">
        <v>0</v>
      </c>
      <c r="G9" s="50">
        <v>144</v>
      </c>
      <c r="H9" s="50">
        <v>132</v>
      </c>
      <c r="I9" s="50">
        <v>0</v>
      </c>
      <c r="J9" s="50">
        <v>0</v>
      </c>
      <c r="K9" s="50">
        <f t="shared" si="1"/>
        <v>144</v>
      </c>
      <c r="L9" s="50">
        <f t="shared" si="2"/>
        <v>132</v>
      </c>
    </row>
    <row r="10" spans="1:12" ht="14.25" customHeight="1" x14ac:dyDescent="0.75">
      <c r="A10" s="50">
        <v>666507</v>
      </c>
      <c r="B10" s="73" t="s">
        <v>12</v>
      </c>
      <c r="C10" s="73" t="s">
        <v>13</v>
      </c>
      <c r="D10" s="50">
        <f t="shared" si="0"/>
        <v>8</v>
      </c>
      <c r="E10" s="50">
        <v>8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f t="shared" si="1"/>
        <v>8</v>
      </c>
      <c r="L10" s="50">
        <f t="shared" si="2"/>
        <v>0</v>
      </c>
    </row>
    <row r="11" spans="1:12" ht="14.25" customHeight="1" x14ac:dyDescent="0.75">
      <c r="A11" s="50">
        <v>666509</v>
      </c>
      <c r="B11" s="73" t="s">
        <v>14</v>
      </c>
      <c r="C11" s="73" t="s">
        <v>15</v>
      </c>
      <c r="D11" s="50">
        <f t="shared" si="0"/>
        <v>50</v>
      </c>
      <c r="E11" s="50">
        <v>50</v>
      </c>
      <c r="F11" s="50">
        <v>20</v>
      </c>
      <c r="G11" s="50">
        <v>0</v>
      </c>
      <c r="H11" s="50">
        <v>0</v>
      </c>
      <c r="I11" s="50">
        <v>0</v>
      </c>
      <c r="J11" s="50">
        <v>0</v>
      </c>
      <c r="K11" s="50">
        <f t="shared" si="1"/>
        <v>50</v>
      </c>
      <c r="L11" s="50">
        <f t="shared" si="2"/>
        <v>20</v>
      </c>
    </row>
    <row r="12" spans="1:12" ht="14.25" customHeight="1" x14ac:dyDescent="0.75">
      <c r="A12" s="50">
        <v>666510</v>
      </c>
      <c r="B12" s="73" t="s">
        <v>16</v>
      </c>
      <c r="C12" s="73" t="s">
        <v>169</v>
      </c>
      <c r="D12" s="50">
        <f t="shared" si="0"/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f t="shared" si="1"/>
        <v>0</v>
      </c>
      <c r="L12" s="50">
        <f t="shared" si="2"/>
        <v>0</v>
      </c>
    </row>
    <row r="13" spans="1:12" ht="14.25" customHeight="1" x14ac:dyDescent="0.75">
      <c r="A13" s="50">
        <v>666511</v>
      </c>
      <c r="B13" s="73" t="s">
        <v>18</v>
      </c>
      <c r="C13" s="73" t="s">
        <v>19</v>
      </c>
      <c r="D13" s="50">
        <f t="shared" si="0"/>
        <v>4</v>
      </c>
      <c r="E13" s="50">
        <v>4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f t="shared" si="1"/>
        <v>4</v>
      </c>
      <c r="L13" s="50">
        <f t="shared" si="2"/>
        <v>0</v>
      </c>
    </row>
    <row r="14" spans="1:12" ht="14.25" customHeight="1" x14ac:dyDescent="0.75">
      <c r="A14" s="50">
        <v>666513</v>
      </c>
      <c r="B14" s="73" t="s">
        <v>20</v>
      </c>
      <c r="C14" s="73" t="s">
        <v>21</v>
      </c>
      <c r="D14" s="50">
        <f t="shared" si="0"/>
        <v>48</v>
      </c>
      <c r="E14" s="50">
        <v>14</v>
      </c>
      <c r="F14" s="50">
        <v>14</v>
      </c>
      <c r="G14" s="50">
        <v>0</v>
      </c>
      <c r="H14" s="50">
        <v>0</v>
      </c>
      <c r="I14" s="50">
        <v>34</v>
      </c>
      <c r="J14" s="50">
        <v>34</v>
      </c>
      <c r="K14" s="50">
        <f t="shared" si="1"/>
        <v>48</v>
      </c>
      <c r="L14" s="50">
        <f t="shared" si="2"/>
        <v>48</v>
      </c>
    </row>
    <row r="15" spans="1:12" ht="14.25" customHeight="1" x14ac:dyDescent="0.75">
      <c r="A15" s="50">
        <v>666516</v>
      </c>
      <c r="B15" s="73" t="s">
        <v>22</v>
      </c>
      <c r="C15" s="73" t="s">
        <v>23</v>
      </c>
      <c r="D15" s="50">
        <f t="shared" si="0"/>
        <v>32</v>
      </c>
      <c r="E15" s="50">
        <v>16</v>
      </c>
      <c r="F15" s="50">
        <v>16</v>
      </c>
      <c r="G15" s="50">
        <v>0</v>
      </c>
      <c r="H15" s="50">
        <v>0</v>
      </c>
      <c r="I15" s="50">
        <v>16</v>
      </c>
      <c r="J15" s="50">
        <v>16</v>
      </c>
      <c r="K15" s="50">
        <f t="shared" si="1"/>
        <v>32</v>
      </c>
      <c r="L15" s="50">
        <f t="shared" si="2"/>
        <v>32</v>
      </c>
    </row>
    <row r="16" spans="1:12" ht="14.25" customHeight="1" x14ac:dyDescent="0.75">
      <c r="A16" s="50">
        <v>666517</v>
      </c>
      <c r="B16" s="73" t="s">
        <v>24</v>
      </c>
      <c r="C16" s="73" t="s">
        <v>25</v>
      </c>
      <c r="D16" s="50">
        <f t="shared" si="0"/>
        <v>32</v>
      </c>
      <c r="E16" s="50">
        <v>22</v>
      </c>
      <c r="F16" s="50">
        <v>22</v>
      </c>
      <c r="G16" s="50">
        <v>0</v>
      </c>
      <c r="H16" s="50">
        <v>0</v>
      </c>
      <c r="I16" s="50">
        <v>10</v>
      </c>
      <c r="J16" s="50">
        <v>10</v>
      </c>
      <c r="K16" s="50">
        <f t="shared" si="1"/>
        <v>32</v>
      </c>
      <c r="L16" s="50">
        <f t="shared" si="2"/>
        <v>32</v>
      </c>
    </row>
    <row r="17" spans="1:19" ht="14.25" customHeight="1" x14ac:dyDescent="0.75">
      <c r="A17" s="50">
        <v>666518</v>
      </c>
      <c r="B17" s="73" t="s">
        <v>26</v>
      </c>
      <c r="C17" s="73" t="s">
        <v>27</v>
      </c>
      <c r="D17" s="50">
        <f t="shared" si="0"/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f t="shared" si="1"/>
        <v>0</v>
      </c>
      <c r="L17" s="50">
        <f t="shared" si="2"/>
        <v>0</v>
      </c>
    </row>
    <row r="18" spans="1:19" ht="14.25" customHeight="1" x14ac:dyDescent="0.75">
      <c r="A18" s="50">
        <v>666519</v>
      </c>
      <c r="B18" s="73" t="s">
        <v>28</v>
      </c>
      <c r="C18" s="73" t="s">
        <v>29</v>
      </c>
      <c r="D18" s="50">
        <f t="shared" si="0"/>
        <v>44</v>
      </c>
      <c r="E18" s="50">
        <v>22</v>
      </c>
      <c r="F18" s="50">
        <v>22</v>
      </c>
      <c r="G18" s="50">
        <v>0</v>
      </c>
      <c r="H18" s="50">
        <v>0</v>
      </c>
      <c r="I18" s="50">
        <v>22</v>
      </c>
      <c r="J18" s="50">
        <v>22</v>
      </c>
      <c r="K18" s="50">
        <f t="shared" si="1"/>
        <v>44</v>
      </c>
      <c r="L18" s="50">
        <f t="shared" si="2"/>
        <v>44</v>
      </c>
    </row>
    <row r="19" spans="1:19" ht="14.25" customHeight="1" x14ac:dyDescent="0.75">
      <c r="A19" s="50">
        <v>666521</v>
      </c>
      <c r="B19" s="73" t="s">
        <v>30</v>
      </c>
      <c r="C19" s="73" t="s">
        <v>31</v>
      </c>
      <c r="D19" s="50">
        <f t="shared" si="0"/>
        <v>36</v>
      </c>
      <c r="E19" s="50">
        <v>36</v>
      </c>
      <c r="F19" s="50">
        <v>24</v>
      </c>
      <c r="G19" s="50">
        <v>0</v>
      </c>
      <c r="H19" s="50">
        <v>0</v>
      </c>
      <c r="I19" s="50">
        <v>0</v>
      </c>
      <c r="J19" s="50">
        <v>0</v>
      </c>
      <c r="K19" s="50">
        <f t="shared" si="1"/>
        <v>36</v>
      </c>
      <c r="L19" s="50">
        <f t="shared" si="2"/>
        <v>24</v>
      </c>
    </row>
    <row r="20" spans="1:19" ht="14.25" customHeight="1" x14ac:dyDescent="0.75">
      <c r="A20" s="50">
        <v>666522</v>
      </c>
      <c r="B20" s="73" t="s">
        <v>32</v>
      </c>
      <c r="C20" s="73" t="s">
        <v>33</v>
      </c>
      <c r="D20" s="50">
        <f t="shared" si="0"/>
        <v>360</v>
      </c>
      <c r="E20" s="50">
        <v>180</v>
      </c>
      <c r="F20" s="50">
        <v>55</v>
      </c>
      <c r="G20" s="50">
        <v>55</v>
      </c>
      <c r="H20" s="50">
        <v>0</v>
      </c>
      <c r="I20" s="50">
        <v>125</v>
      </c>
      <c r="J20" s="50">
        <v>125</v>
      </c>
      <c r="K20" s="50">
        <f t="shared" si="1"/>
        <v>360</v>
      </c>
      <c r="L20" s="50">
        <f t="shared" si="2"/>
        <v>180</v>
      </c>
    </row>
    <row r="21" spans="1:19" ht="14.25" customHeight="1" x14ac:dyDescent="0.75">
      <c r="A21" s="50">
        <v>666523</v>
      </c>
      <c r="B21" s="73" t="s">
        <v>34</v>
      </c>
      <c r="C21" s="73" t="s">
        <v>35</v>
      </c>
      <c r="D21" s="50">
        <f t="shared" si="0"/>
        <v>28</v>
      </c>
      <c r="E21" s="50">
        <v>0</v>
      </c>
      <c r="F21" s="50">
        <v>0</v>
      </c>
      <c r="G21" s="50">
        <v>0</v>
      </c>
      <c r="H21" s="50">
        <v>0</v>
      </c>
      <c r="I21" s="50">
        <v>28</v>
      </c>
      <c r="J21" s="50">
        <v>28</v>
      </c>
      <c r="K21" s="50">
        <f t="shared" si="1"/>
        <v>28</v>
      </c>
      <c r="L21" s="50">
        <f t="shared" si="2"/>
        <v>28</v>
      </c>
    </row>
    <row r="22" spans="1:19" ht="14.25" customHeight="1" x14ac:dyDescent="0.75">
      <c r="A22" s="50">
        <v>666530</v>
      </c>
      <c r="B22" s="73" t="s">
        <v>36</v>
      </c>
      <c r="C22" s="73" t="s">
        <v>37</v>
      </c>
      <c r="D22" s="50">
        <f t="shared" si="0"/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f t="shared" si="1"/>
        <v>0</v>
      </c>
      <c r="L22" s="50">
        <f t="shared" si="2"/>
        <v>0</v>
      </c>
    </row>
    <row r="23" spans="1:19" ht="14.25" customHeight="1" x14ac:dyDescent="0.75">
      <c r="A23" s="50">
        <v>666531</v>
      </c>
      <c r="B23" s="73" t="s">
        <v>38</v>
      </c>
      <c r="C23" s="73" t="s">
        <v>39</v>
      </c>
      <c r="D23" s="50">
        <f t="shared" si="0"/>
        <v>20</v>
      </c>
      <c r="E23" s="50">
        <v>14</v>
      </c>
      <c r="F23" s="50">
        <v>8</v>
      </c>
      <c r="G23" s="50">
        <v>0</v>
      </c>
      <c r="H23" s="50">
        <v>0</v>
      </c>
      <c r="I23" s="50">
        <v>6</v>
      </c>
      <c r="J23" s="50">
        <v>6</v>
      </c>
      <c r="K23" s="50">
        <f t="shared" si="1"/>
        <v>20</v>
      </c>
      <c r="L23" s="50">
        <f t="shared" si="2"/>
        <v>14</v>
      </c>
    </row>
    <row r="24" spans="1:19" ht="14.25" customHeight="1" x14ac:dyDescent="0.75">
      <c r="A24" s="50">
        <v>666540</v>
      </c>
      <c r="B24" s="73" t="s">
        <v>40</v>
      </c>
      <c r="C24" s="73" t="s">
        <v>40</v>
      </c>
      <c r="D24" s="50">
        <f t="shared" si="0"/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f t="shared" si="1"/>
        <v>0</v>
      </c>
      <c r="L24" s="50">
        <f t="shared" si="2"/>
        <v>0</v>
      </c>
    </row>
    <row r="25" spans="1:19" ht="14.25" customHeight="1" x14ac:dyDescent="0.75">
      <c r="A25" s="50">
        <v>666541</v>
      </c>
      <c r="B25" s="73" t="s">
        <v>41</v>
      </c>
      <c r="C25" s="73" t="s">
        <v>41</v>
      </c>
      <c r="D25" s="50">
        <f t="shared" si="0"/>
        <v>500</v>
      </c>
      <c r="E25" s="50">
        <v>0</v>
      </c>
      <c r="F25" s="50">
        <v>0</v>
      </c>
      <c r="G25" s="50">
        <v>500</v>
      </c>
      <c r="H25" s="50">
        <v>110</v>
      </c>
      <c r="I25" s="50">
        <v>0</v>
      </c>
      <c r="J25" s="50">
        <v>0</v>
      </c>
      <c r="K25" s="50">
        <f t="shared" si="1"/>
        <v>500</v>
      </c>
      <c r="L25" s="50">
        <f t="shared" si="2"/>
        <v>110</v>
      </c>
    </row>
    <row r="26" spans="1:19" s="74" customFormat="1" ht="14.25" customHeight="1" x14ac:dyDescent="0.75">
      <c r="A26" s="74">
        <v>666536</v>
      </c>
      <c r="B26" s="74" t="s">
        <v>42</v>
      </c>
      <c r="C26" s="74" t="s">
        <v>43</v>
      </c>
      <c r="E26" s="50">
        <v>40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f t="shared" si="1"/>
        <v>40</v>
      </c>
      <c r="L26" s="50">
        <f t="shared" si="2"/>
        <v>0</v>
      </c>
      <c r="S26" s="74">
        <v>2</v>
      </c>
    </row>
    <row r="27" spans="1:19" ht="14.25" customHeight="1" x14ac:dyDescent="0.75">
      <c r="A27" t="s">
        <v>193</v>
      </c>
      <c r="B27" s="73" t="s">
        <v>198</v>
      </c>
      <c r="C27" s="73" t="s">
        <v>198</v>
      </c>
      <c r="E27" s="50">
        <v>40</v>
      </c>
      <c r="F27" s="50">
        <v>21</v>
      </c>
      <c r="G27" s="50">
        <v>0</v>
      </c>
      <c r="H27" s="50">
        <v>0</v>
      </c>
      <c r="I27" s="50">
        <v>0</v>
      </c>
      <c r="J27" s="50">
        <v>0</v>
      </c>
      <c r="K27" s="50">
        <f t="shared" si="1"/>
        <v>40</v>
      </c>
      <c r="L27" s="50">
        <f t="shared" si="2"/>
        <v>21</v>
      </c>
    </row>
  </sheetData>
  <conditionalFormatting sqref="K6:K27">
    <cfRule type="cellIs" dxfId="25" priority="2" operator="equal">
      <formula>0</formula>
    </cfRule>
  </conditionalFormatting>
  <conditionalFormatting sqref="L6:L27">
    <cfRule type="expression" dxfId="24" priority="3">
      <formula>K6=L6</formula>
    </cfRule>
    <cfRule type="expression" dxfId="23" priority="4">
      <formula>K6&lt;L6</formula>
    </cfRule>
    <cfRule type="expression" dxfId="22" priority="5">
      <formula>K6&gt;L6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A51"/>
  <sheetViews>
    <sheetView zoomScaleNormal="100" workbookViewId="0">
      <selection activeCell="I5" sqref="I5"/>
    </sheetView>
  </sheetViews>
  <sheetFormatPr defaultColWidth="8.6796875" defaultRowHeight="14.75" x14ac:dyDescent="0.75"/>
  <cols>
    <col min="1" max="1" width="8.6796875" style="50"/>
    <col min="2" max="2" width="41.54296875" style="50" customWidth="1"/>
    <col min="3" max="3" width="22.6796875" style="50" customWidth="1"/>
    <col min="4" max="4" width="9.54296875" style="50" hidden="1" customWidth="1"/>
    <col min="5" max="6" width="8.6796875" style="50"/>
    <col min="7" max="7" width="7.31640625" style="50" customWidth="1"/>
    <col min="8" max="8" width="8.453125" style="50" customWidth="1"/>
    <col min="9" max="9" width="7.453125" style="50" customWidth="1"/>
    <col min="10" max="10" width="8.08984375" style="50" customWidth="1"/>
    <col min="11" max="11" width="8.54296875" style="50" customWidth="1"/>
    <col min="12" max="16384" width="8.6796875" style="50"/>
  </cols>
  <sheetData>
    <row r="1" spans="1:27" s="51" customFormat="1" ht="28.5" customHeight="1" x14ac:dyDescent="0.75">
      <c r="C1" s="51" t="s">
        <v>175</v>
      </c>
      <c r="D1" s="51" t="s">
        <v>144</v>
      </c>
      <c r="E1" s="52" t="s">
        <v>116</v>
      </c>
      <c r="F1" s="53" t="s">
        <v>145</v>
      </c>
      <c r="G1" s="54" t="s">
        <v>119</v>
      </c>
      <c r="H1" s="53" t="s">
        <v>146</v>
      </c>
      <c r="I1" s="153" t="s">
        <v>122</v>
      </c>
      <c r="J1" s="56" t="s">
        <v>147</v>
      </c>
      <c r="K1" s="51" t="s">
        <v>148</v>
      </c>
      <c r="L1" s="53" t="s">
        <v>149</v>
      </c>
      <c r="M1" s="51" t="s">
        <v>56</v>
      </c>
      <c r="N1" s="51" t="s">
        <v>58</v>
      </c>
      <c r="O1" s="51" t="s">
        <v>66</v>
      </c>
      <c r="P1" s="51" t="s">
        <v>56</v>
      </c>
      <c r="Q1" s="51" t="s">
        <v>58</v>
      </c>
      <c r="R1" s="51" t="s">
        <v>66</v>
      </c>
      <c r="S1" s="51" t="s">
        <v>56</v>
      </c>
      <c r="T1" s="51" t="s">
        <v>58</v>
      </c>
      <c r="U1" s="51" t="s">
        <v>66</v>
      </c>
      <c r="V1" s="51" t="s">
        <v>56</v>
      </c>
      <c r="W1" s="51" t="s">
        <v>58</v>
      </c>
      <c r="X1" s="51" t="s">
        <v>66</v>
      </c>
      <c r="Y1" s="51" t="s">
        <v>56</v>
      </c>
      <c r="Z1" s="51" t="s">
        <v>58</v>
      </c>
      <c r="AA1" s="51" t="s">
        <v>66</v>
      </c>
    </row>
    <row r="2" spans="1:27" ht="14.25" customHeight="1" x14ac:dyDescent="0.75">
      <c r="C2" s="57" t="s">
        <v>150</v>
      </c>
      <c r="D2" s="57"/>
      <c r="E2" s="58"/>
      <c r="F2" s="59"/>
      <c r="G2" s="60"/>
      <c r="H2" s="59"/>
      <c r="I2" s="78"/>
      <c r="J2" s="59"/>
      <c r="K2" s="59"/>
      <c r="L2" s="59"/>
      <c r="M2" s="59" t="s">
        <v>65</v>
      </c>
      <c r="N2" s="59" t="s">
        <v>57</v>
      </c>
      <c r="O2" s="59" t="s">
        <v>55</v>
      </c>
      <c r="P2" s="59" t="s">
        <v>65</v>
      </c>
      <c r="Q2" s="59" t="s">
        <v>57</v>
      </c>
      <c r="R2" s="59" t="s">
        <v>55</v>
      </c>
      <c r="S2" s="59" t="s">
        <v>65</v>
      </c>
      <c r="T2" s="59" t="s">
        <v>57</v>
      </c>
      <c r="U2" s="59" t="s">
        <v>55</v>
      </c>
      <c r="V2" s="59" t="s">
        <v>65</v>
      </c>
      <c r="W2" s="59" t="s">
        <v>57</v>
      </c>
      <c r="X2" s="59" t="s">
        <v>55</v>
      </c>
      <c r="Y2" s="59" t="s">
        <v>65</v>
      </c>
      <c r="Z2" s="59" t="s">
        <v>57</v>
      </c>
      <c r="AA2" s="59" t="s">
        <v>55</v>
      </c>
    </row>
    <row r="3" spans="1:27" ht="14.25" customHeight="1" x14ac:dyDescent="0.75">
      <c r="A3" s="62" t="s">
        <v>129</v>
      </c>
      <c r="B3" s="62" t="s">
        <v>2</v>
      </c>
      <c r="C3" s="62" t="s">
        <v>3</v>
      </c>
      <c r="D3" s="62"/>
      <c r="E3" s="58"/>
      <c r="F3" s="62"/>
      <c r="G3" s="63"/>
      <c r="H3" s="62"/>
      <c r="I3" s="154"/>
      <c r="J3" s="62"/>
      <c r="K3" s="62"/>
      <c r="L3" s="62"/>
      <c r="M3" s="62" t="s">
        <v>54</v>
      </c>
      <c r="N3" s="62" t="s">
        <v>54</v>
      </c>
      <c r="O3" s="62" t="s">
        <v>54</v>
      </c>
      <c r="P3" s="62" t="s">
        <v>59</v>
      </c>
      <c r="Q3" s="62" t="s">
        <v>59</v>
      </c>
      <c r="R3" s="62" t="s">
        <v>59</v>
      </c>
      <c r="S3" s="62" t="s">
        <v>60</v>
      </c>
      <c r="T3" s="62" t="s">
        <v>60</v>
      </c>
      <c r="U3" s="62" t="s">
        <v>60</v>
      </c>
      <c r="V3" s="62" t="s">
        <v>62</v>
      </c>
      <c r="W3" s="62" t="s">
        <v>62</v>
      </c>
      <c r="X3" s="62" t="s">
        <v>62</v>
      </c>
      <c r="Y3" s="62" t="s">
        <v>63</v>
      </c>
      <c r="Z3" s="62" t="s">
        <v>63</v>
      </c>
      <c r="AA3" s="62" t="s">
        <v>63</v>
      </c>
    </row>
    <row r="4" spans="1:27" ht="14.25" customHeight="1" x14ac:dyDescent="0.75">
      <c r="A4" s="62"/>
      <c r="B4" s="62"/>
      <c r="C4" s="62" t="s">
        <v>151</v>
      </c>
      <c r="D4" s="62"/>
      <c r="E4" s="58"/>
      <c r="F4" s="50">
        <f t="shared" ref="F4:F26" si="0">+M4+P4+S4+V4+Y4</f>
        <v>0</v>
      </c>
      <c r="G4" s="63"/>
      <c r="H4" s="50">
        <f t="shared" ref="H4:H26" si="1">+N4+Q4+T4+W4+Z4</f>
        <v>0</v>
      </c>
      <c r="I4" s="154"/>
      <c r="J4" s="50">
        <f t="shared" ref="J4:J26" si="2">+O4+R4+U4+X4+AA4</f>
        <v>0</v>
      </c>
      <c r="K4" s="62"/>
      <c r="L4" s="62"/>
      <c r="M4" s="62"/>
      <c r="N4" s="62"/>
      <c r="O4" s="62"/>
    </row>
    <row r="5" spans="1:27" ht="14.25" customHeight="1" x14ac:dyDescent="0.75">
      <c r="A5" s="50">
        <v>666501</v>
      </c>
      <c r="B5" s="50" t="s">
        <v>4</v>
      </c>
      <c r="C5" s="50" t="s">
        <v>5</v>
      </c>
      <c r="E5" s="67">
        <v>42</v>
      </c>
      <c r="F5" s="70">
        <f t="shared" si="0"/>
        <v>0</v>
      </c>
      <c r="G5" s="149">
        <v>390</v>
      </c>
      <c r="H5" s="50">
        <f t="shared" si="1"/>
        <v>0</v>
      </c>
      <c r="I5" s="61">
        <v>39</v>
      </c>
      <c r="J5" s="70">
        <f t="shared" si="2"/>
        <v>0</v>
      </c>
      <c r="K5" s="50">
        <f t="shared" ref="K5:K26" si="3">+E5+G5+I5</f>
        <v>471</v>
      </c>
      <c r="L5" s="50">
        <f t="shared" ref="L5:L26" si="4">+F5+H5+J5</f>
        <v>0</v>
      </c>
    </row>
    <row r="6" spans="1:27" ht="14.25" customHeight="1" x14ac:dyDescent="0.75">
      <c r="A6" s="50">
        <v>666502</v>
      </c>
      <c r="B6" s="50" t="s">
        <v>6</v>
      </c>
      <c r="C6" s="50" t="s">
        <v>7</v>
      </c>
      <c r="E6" s="67" t="e">
        <f>#VALUE!</f>
        <v>#VALUE!</v>
      </c>
      <c r="F6" s="50">
        <f t="shared" si="0"/>
        <v>0</v>
      </c>
      <c r="G6" s="149">
        <v>162</v>
      </c>
      <c r="H6" s="50">
        <f t="shared" si="1"/>
        <v>0</v>
      </c>
      <c r="I6" s="61">
        <v>150</v>
      </c>
      <c r="J6" s="50">
        <f t="shared" si="2"/>
        <v>0</v>
      </c>
      <c r="K6" s="50" t="e">
        <f t="shared" si="3"/>
        <v>#VALUE!</v>
      </c>
      <c r="L6" s="50">
        <f t="shared" si="4"/>
        <v>0</v>
      </c>
    </row>
    <row r="7" spans="1:27" ht="14.25" customHeight="1" x14ac:dyDescent="0.75">
      <c r="A7" s="50">
        <v>666505</v>
      </c>
      <c r="B7" s="50" t="s">
        <v>8</v>
      </c>
      <c r="C7" s="50" t="s">
        <v>9</v>
      </c>
      <c r="E7" s="67">
        <v>13</v>
      </c>
      <c r="F7" s="70">
        <f t="shared" si="0"/>
        <v>0</v>
      </c>
      <c r="G7" s="149" t="e">
        <f>#VALUE!</f>
        <v>#VALUE!</v>
      </c>
      <c r="H7" s="50">
        <f t="shared" si="1"/>
        <v>0</v>
      </c>
      <c r="I7" s="61">
        <v>27</v>
      </c>
      <c r="J7" s="70">
        <f t="shared" si="2"/>
        <v>0</v>
      </c>
      <c r="K7" s="50" t="e">
        <f t="shared" si="3"/>
        <v>#VALUE!</v>
      </c>
      <c r="L7" s="50">
        <f t="shared" si="4"/>
        <v>0</v>
      </c>
    </row>
    <row r="8" spans="1:27" ht="14.25" customHeight="1" x14ac:dyDescent="0.75">
      <c r="A8" s="50">
        <v>666506</v>
      </c>
      <c r="B8" s="50" t="s">
        <v>10</v>
      </c>
      <c r="C8" s="50" t="s">
        <v>11</v>
      </c>
      <c r="E8" s="67" t="e">
        <f>#VALUE!</f>
        <v>#VALUE!</v>
      </c>
      <c r="F8" s="50">
        <f t="shared" si="0"/>
        <v>0</v>
      </c>
      <c r="G8" s="149">
        <v>144</v>
      </c>
      <c r="H8" s="50">
        <f t="shared" si="1"/>
        <v>0</v>
      </c>
      <c r="I8" s="61" t="e">
        <f>#VALUE!</f>
        <v>#VALUE!</v>
      </c>
      <c r="J8" s="50">
        <f t="shared" si="2"/>
        <v>0</v>
      </c>
      <c r="K8" s="50" t="e">
        <f t="shared" si="3"/>
        <v>#VALUE!</v>
      </c>
      <c r="L8" s="50">
        <f t="shared" si="4"/>
        <v>0</v>
      </c>
    </row>
    <row r="9" spans="1:27" ht="14.25" customHeight="1" x14ac:dyDescent="0.75">
      <c r="A9" s="50">
        <v>666507</v>
      </c>
      <c r="B9" s="50" t="s">
        <v>12</v>
      </c>
      <c r="C9" s="50" t="s">
        <v>13</v>
      </c>
      <c r="E9" s="67">
        <v>8</v>
      </c>
      <c r="F9" s="70">
        <f t="shared" si="0"/>
        <v>0</v>
      </c>
      <c r="G9" s="149" t="e">
        <f>#VALUE!</f>
        <v>#VALUE!</v>
      </c>
      <c r="H9" s="50">
        <f t="shared" si="1"/>
        <v>0</v>
      </c>
      <c r="I9" s="61" t="e">
        <f>#VALUE!</f>
        <v>#VALUE!</v>
      </c>
      <c r="J9" s="50">
        <f t="shared" si="2"/>
        <v>0</v>
      </c>
      <c r="K9" s="50" t="e">
        <f t="shared" si="3"/>
        <v>#VALUE!</v>
      </c>
      <c r="L9" s="50">
        <f t="shared" si="4"/>
        <v>0</v>
      </c>
    </row>
    <row r="10" spans="1:27" ht="14.25" customHeight="1" x14ac:dyDescent="0.75">
      <c r="A10" s="50">
        <v>666509</v>
      </c>
      <c r="B10" s="50" t="s">
        <v>14</v>
      </c>
      <c r="C10" s="50" t="s">
        <v>15</v>
      </c>
      <c r="E10" s="67">
        <v>50</v>
      </c>
      <c r="F10" s="50">
        <f t="shared" si="0"/>
        <v>0</v>
      </c>
      <c r="G10" s="149" t="e">
        <f>#VALUE!</f>
        <v>#VALUE!</v>
      </c>
      <c r="H10" s="50">
        <f t="shared" si="1"/>
        <v>0</v>
      </c>
      <c r="I10" s="61" t="e">
        <f>#VALUE!</f>
        <v>#VALUE!</v>
      </c>
      <c r="J10" s="50">
        <f t="shared" si="2"/>
        <v>0</v>
      </c>
      <c r="K10" s="50" t="e">
        <f t="shared" si="3"/>
        <v>#VALUE!</v>
      </c>
      <c r="L10" s="50">
        <f t="shared" si="4"/>
        <v>0</v>
      </c>
    </row>
    <row r="11" spans="1:27" ht="14.25" customHeight="1" x14ac:dyDescent="0.75">
      <c r="A11" s="50">
        <v>666510</v>
      </c>
      <c r="B11" s="50" t="s">
        <v>16</v>
      </c>
      <c r="C11" s="50" t="s">
        <v>17</v>
      </c>
      <c r="E11" s="67" t="e">
        <f>#VALUE!</f>
        <v>#VALUE!</v>
      </c>
      <c r="F11" s="50">
        <f t="shared" si="0"/>
        <v>0</v>
      </c>
      <c r="G11" s="149" t="e">
        <f>#VALUE!</f>
        <v>#VALUE!</v>
      </c>
      <c r="H11" s="50">
        <f t="shared" si="1"/>
        <v>0</v>
      </c>
      <c r="I11" s="61" t="e">
        <f>#VALUE!</f>
        <v>#VALUE!</v>
      </c>
      <c r="J11" s="50">
        <f t="shared" si="2"/>
        <v>0</v>
      </c>
      <c r="K11" s="50" t="e">
        <f t="shared" si="3"/>
        <v>#VALUE!</v>
      </c>
      <c r="L11" s="50">
        <f t="shared" si="4"/>
        <v>0</v>
      </c>
    </row>
    <row r="12" spans="1:27" ht="14.25" customHeight="1" x14ac:dyDescent="0.75">
      <c r="A12" s="50">
        <v>666511</v>
      </c>
      <c r="B12" s="50" t="s">
        <v>18</v>
      </c>
      <c r="C12" s="50" t="s">
        <v>19</v>
      </c>
      <c r="E12" s="67">
        <v>4</v>
      </c>
      <c r="F12" s="50">
        <f t="shared" si="0"/>
        <v>0</v>
      </c>
      <c r="G12" s="149" t="e">
        <f>#VALUE!</f>
        <v>#VALUE!</v>
      </c>
      <c r="H12" s="50">
        <f t="shared" si="1"/>
        <v>0</v>
      </c>
      <c r="I12" s="61" t="e">
        <f>#VALUE!</f>
        <v>#VALUE!</v>
      </c>
      <c r="J12" s="50">
        <f t="shared" si="2"/>
        <v>0</v>
      </c>
      <c r="K12" s="50" t="e">
        <f t="shared" si="3"/>
        <v>#VALUE!</v>
      </c>
      <c r="L12" s="50">
        <f t="shared" si="4"/>
        <v>0</v>
      </c>
    </row>
    <row r="13" spans="1:27" ht="14.25" customHeight="1" x14ac:dyDescent="0.75">
      <c r="A13" s="50">
        <v>666513</v>
      </c>
      <c r="B13" s="50" t="s">
        <v>20</v>
      </c>
      <c r="C13" s="50" t="s">
        <v>21</v>
      </c>
      <c r="E13" s="67">
        <v>14</v>
      </c>
      <c r="F13" s="70">
        <f t="shared" si="0"/>
        <v>0</v>
      </c>
      <c r="G13" s="149" t="e">
        <f>#VALUE!</f>
        <v>#VALUE!</v>
      </c>
      <c r="H13" s="50">
        <f t="shared" si="1"/>
        <v>0</v>
      </c>
      <c r="I13" s="61">
        <v>34</v>
      </c>
      <c r="J13" s="70">
        <f t="shared" si="2"/>
        <v>0</v>
      </c>
      <c r="K13" s="50" t="e">
        <f t="shared" si="3"/>
        <v>#VALUE!</v>
      </c>
      <c r="L13" s="50">
        <f t="shared" si="4"/>
        <v>0</v>
      </c>
    </row>
    <row r="14" spans="1:27" ht="14.25" customHeight="1" x14ac:dyDescent="0.75">
      <c r="A14" s="50">
        <v>666516</v>
      </c>
      <c r="B14" s="50" t="s">
        <v>22</v>
      </c>
      <c r="C14" s="50" t="s">
        <v>23</v>
      </c>
      <c r="E14" s="67">
        <v>16</v>
      </c>
      <c r="F14" s="70">
        <f t="shared" si="0"/>
        <v>0</v>
      </c>
      <c r="G14" s="149" t="e">
        <f>#VALUE!</f>
        <v>#VALUE!</v>
      </c>
      <c r="H14" s="50">
        <f t="shared" si="1"/>
        <v>0</v>
      </c>
      <c r="I14" s="61">
        <v>16</v>
      </c>
      <c r="J14" s="70">
        <f t="shared" si="2"/>
        <v>0</v>
      </c>
      <c r="K14" s="50" t="e">
        <f t="shared" si="3"/>
        <v>#VALUE!</v>
      </c>
      <c r="L14" s="50">
        <f t="shared" si="4"/>
        <v>0</v>
      </c>
    </row>
    <row r="15" spans="1:27" ht="14.25" customHeight="1" x14ac:dyDescent="0.75">
      <c r="A15" s="50">
        <v>666517</v>
      </c>
      <c r="B15" s="50" t="s">
        <v>24</v>
      </c>
      <c r="C15" s="50" t="s">
        <v>25</v>
      </c>
      <c r="E15" s="67">
        <v>22</v>
      </c>
      <c r="F15" s="70">
        <f t="shared" si="0"/>
        <v>0</v>
      </c>
      <c r="G15" s="149" t="e">
        <f>#VALUE!</f>
        <v>#VALUE!</v>
      </c>
      <c r="H15" s="50">
        <f t="shared" si="1"/>
        <v>0</v>
      </c>
      <c r="I15" s="61">
        <v>10</v>
      </c>
      <c r="J15" s="70">
        <f t="shared" si="2"/>
        <v>0</v>
      </c>
      <c r="K15" s="50" t="e">
        <f t="shared" si="3"/>
        <v>#VALUE!</v>
      </c>
      <c r="L15" s="50">
        <f t="shared" si="4"/>
        <v>0</v>
      </c>
    </row>
    <row r="16" spans="1:27" ht="14.25" customHeight="1" x14ac:dyDescent="0.75">
      <c r="A16" s="50">
        <v>666518</v>
      </c>
      <c r="B16" s="50" t="s">
        <v>26</v>
      </c>
      <c r="C16" s="50" t="s">
        <v>27</v>
      </c>
      <c r="E16" s="67" t="e">
        <f>#VALUE!</f>
        <v>#VALUE!</v>
      </c>
      <c r="F16" s="50">
        <f t="shared" si="0"/>
        <v>0</v>
      </c>
      <c r="G16" s="149" t="e">
        <f>#VALUE!</f>
        <v>#VALUE!</v>
      </c>
      <c r="H16" s="50">
        <f t="shared" si="1"/>
        <v>0</v>
      </c>
      <c r="I16" s="61" t="e">
        <f>#VALUE!</f>
        <v>#VALUE!</v>
      </c>
      <c r="J16" s="50">
        <f t="shared" si="2"/>
        <v>0</v>
      </c>
      <c r="K16" s="50" t="e">
        <f t="shared" si="3"/>
        <v>#VALUE!</v>
      </c>
      <c r="L16" s="50">
        <f t="shared" si="4"/>
        <v>0</v>
      </c>
    </row>
    <row r="17" spans="1:12" ht="14.25" customHeight="1" x14ac:dyDescent="0.75">
      <c r="A17" s="50">
        <v>666519</v>
      </c>
      <c r="B17" s="50" t="s">
        <v>28</v>
      </c>
      <c r="C17" s="50" t="s">
        <v>29</v>
      </c>
      <c r="E17" s="67">
        <v>22</v>
      </c>
      <c r="F17" s="70">
        <f t="shared" si="0"/>
        <v>0</v>
      </c>
      <c r="G17" s="149" t="e">
        <f>#VALUE!</f>
        <v>#VALUE!</v>
      </c>
      <c r="H17" s="50">
        <f t="shared" si="1"/>
        <v>0</v>
      </c>
      <c r="I17" s="61">
        <v>22</v>
      </c>
      <c r="J17" s="70">
        <f t="shared" si="2"/>
        <v>0</v>
      </c>
      <c r="K17" s="50" t="e">
        <f t="shared" si="3"/>
        <v>#VALUE!</v>
      </c>
      <c r="L17" s="50">
        <f t="shared" si="4"/>
        <v>0</v>
      </c>
    </row>
    <row r="18" spans="1:12" ht="14.25" customHeight="1" x14ac:dyDescent="0.75">
      <c r="A18" s="50">
        <v>666521</v>
      </c>
      <c r="B18" s="50" t="s">
        <v>30</v>
      </c>
      <c r="C18" s="50" t="s">
        <v>31</v>
      </c>
      <c r="E18" s="67">
        <v>36</v>
      </c>
      <c r="F18" s="70">
        <f t="shared" si="0"/>
        <v>0</v>
      </c>
      <c r="G18" s="149" t="e">
        <f>#VALUE!</f>
        <v>#VALUE!</v>
      </c>
      <c r="H18" s="50">
        <f t="shared" si="1"/>
        <v>0</v>
      </c>
      <c r="I18" s="61" t="e">
        <f>#VALUE!</f>
        <v>#VALUE!</v>
      </c>
      <c r="J18" s="50">
        <f t="shared" si="2"/>
        <v>0</v>
      </c>
      <c r="K18" s="50" t="e">
        <f t="shared" si="3"/>
        <v>#VALUE!</v>
      </c>
      <c r="L18" s="50">
        <f t="shared" si="4"/>
        <v>0</v>
      </c>
    </row>
    <row r="19" spans="1:12" ht="14.25" customHeight="1" x14ac:dyDescent="0.75">
      <c r="A19" s="50">
        <v>666522</v>
      </c>
      <c r="B19" s="50" t="s">
        <v>32</v>
      </c>
      <c r="C19" s="50" t="s">
        <v>33</v>
      </c>
      <c r="E19" s="67">
        <v>180</v>
      </c>
      <c r="F19" s="50">
        <f t="shared" si="0"/>
        <v>0</v>
      </c>
      <c r="G19" s="149">
        <v>55</v>
      </c>
      <c r="H19" s="50">
        <f t="shared" si="1"/>
        <v>0</v>
      </c>
      <c r="I19" s="61">
        <v>125</v>
      </c>
      <c r="J19" s="70">
        <f t="shared" si="2"/>
        <v>0</v>
      </c>
      <c r="K19" s="50">
        <f t="shared" si="3"/>
        <v>360</v>
      </c>
      <c r="L19" s="50">
        <f t="shared" si="4"/>
        <v>0</v>
      </c>
    </row>
    <row r="20" spans="1:12" ht="14.25" customHeight="1" x14ac:dyDescent="0.75">
      <c r="A20" s="50">
        <v>666523</v>
      </c>
      <c r="B20" s="50" t="s">
        <v>34</v>
      </c>
      <c r="C20" s="50" t="s">
        <v>35</v>
      </c>
      <c r="E20" s="67" t="e">
        <f>#VALUE!</f>
        <v>#VALUE!</v>
      </c>
      <c r="F20" s="50">
        <f t="shared" si="0"/>
        <v>0</v>
      </c>
      <c r="G20" s="149" t="e">
        <f>#VALUE!</f>
        <v>#VALUE!</v>
      </c>
      <c r="H20" s="50">
        <f t="shared" si="1"/>
        <v>0</v>
      </c>
      <c r="I20" s="61">
        <v>28</v>
      </c>
      <c r="J20" s="70">
        <f t="shared" si="2"/>
        <v>0</v>
      </c>
      <c r="K20" s="50" t="e">
        <f t="shared" si="3"/>
        <v>#VALUE!</v>
      </c>
      <c r="L20" s="50">
        <f t="shared" si="4"/>
        <v>0</v>
      </c>
    </row>
    <row r="21" spans="1:12" ht="14.25" customHeight="1" x14ac:dyDescent="0.75">
      <c r="A21" s="50">
        <v>666530</v>
      </c>
      <c r="B21" s="50" t="s">
        <v>36</v>
      </c>
      <c r="C21" s="50" t="s">
        <v>37</v>
      </c>
      <c r="E21" s="67" t="e">
        <f>#VALUE!</f>
        <v>#VALUE!</v>
      </c>
      <c r="F21" s="50">
        <f t="shared" si="0"/>
        <v>0</v>
      </c>
      <c r="G21" s="149" t="e">
        <f>#VALUE!</f>
        <v>#VALUE!</v>
      </c>
      <c r="H21" s="50">
        <f t="shared" si="1"/>
        <v>0</v>
      </c>
      <c r="I21" s="61" t="e">
        <f>#VALUE!</f>
        <v>#VALUE!</v>
      </c>
      <c r="J21" s="70">
        <f t="shared" si="2"/>
        <v>0</v>
      </c>
      <c r="K21" s="50" t="e">
        <f t="shared" si="3"/>
        <v>#VALUE!</v>
      </c>
      <c r="L21" s="50">
        <f t="shared" si="4"/>
        <v>0</v>
      </c>
    </row>
    <row r="22" spans="1:12" ht="14.25" customHeight="1" x14ac:dyDescent="0.75">
      <c r="A22" s="50">
        <v>666531</v>
      </c>
      <c r="B22" s="50" t="s">
        <v>38</v>
      </c>
      <c r="C22" s="50" t="s">
        <v>39</v>
      </c>
      <c r="E22" s="67">
        <v>14</v>
      </c>
      <c r="F22" s="70">
        <f t="shared" si="0"/>
        <v>0</v>
      </c>
      <c r="G22" s="149" t="e">
        <f>#VALUE!</f>
        <v>#VALUE!</v>
      </c>
      <c r="H22" s="50">
        <f t="shared" si="1"/>
        <v>0</v>
      </c>
      <c r="I22" s="61">
        <v>6</v>
      </c>
      <c r="J22" s="70">
        <f t="shared" si="2"/>
        <v>0</v>
      </c>
      <c r="K22" s="50" t="e">
        <f t="shared" si="3"/>
        <v>#VALUE!</v>
      </c>
      <c r="L22" s="50">
        <f t="shared" si="4"/>
        <v>0</v>
      </c>
    </row>
    <row r="23" spans="1:12" ht="14.25" customHeight="1" x14ac:dyDescent="0.75">
      <c r="A23" s="50">
        <v>666540</v>
      </c>
      <c r="B23" s="50" t="s">
        <v>40</v>
      </c>
      <c r="C23" s="50" t="s">
        <v>40</v>
      </c>
      <c r="E23" s="67" t="e">
        <f>#VALUE!</f>
        <v>#VALUE!</v>
      </c>
      <c r="F23" s="50">
        <f t="shared" si="0"/>
        <v>0</v>
      </c>
      <c r="G23" s="149" t="e">
        <f>#VALUE!</f>
        <v>#VALUE!</v>
      </c>
      <c r="H23" s="50">
        <f t="shared" si="1"/>
        <v>0</v>
      </c>
      <c r="I23" s="61" t="e">
        <f>#VALUE!</f>
        <v>#VALUE!</v>
      </c>
      <c r="J23" s="50">
        <f t="shared" si="2"/>
        <v>0</v>
      </c>
      <c r="K23" s="50" t="e">
        <f t="shared" si="3"/>
        <v>#VALUE!</v>
      </c>
      <c r="L23" s="50">
        <f t="shared" si="4"/>
        <v>0</v>
      </c>
    </row>
    <row r="24" spans="1:12" ht="14.25" customHeight="1" x14ac:dyDescent="0.75">
      <c r="A24" s="50">
        <v>666541</v>
      </c>
      <c r="B24" s="50" t="s">
        <v>41</v>
      </c>
      <c r="C24" s="50" t="s">
        <v>41</v>
      </c>
      <c r="E24" s="67" t="e">
        <f>#VALUE!</f>
        <v>#VALUE!</v>
      </c>
      <c r="F24" s="50">
        <f t="shared" si="0"/>
        <v>0</v>
      </c>
      <c r="G24" s="149">
        <v>500</v>
      </c>
      <c r="H24" s="50">
        <f t="shared" si="1"/>
        <v>0</v>
      </c>
      <c r="I24" s="61" t="e">
        <f>#VALUE!</f>
        <v>#VALUE!</v>
      </c>
      <c r="J24" s="50">
        <f t="shared" si="2"/>
        <v>0</v>
      </c>
      <c r="K24" s="50" t="e">
        <f t="shared" si="3"/>
        <v>#VALUE!</v>
      </c>
      <c r="L24" s="50">
        <f t="shared" si="4"/>
        <v>0</v>
      </c>
    </row>
    <row r="25" spans="1:12" ht="14.25" customHeight="1" x14ac:dyDescent="0.75">
      <c r="A25" s="50">
        <v>666536</v>
      </c>
      <c r="B25" s="50" t="s">
        <v>42</v>
      </c>
      <c r="C25" s="50" t="s">
        <v>43</v>
      </c>
      <c r="E25" s="67">
        <v>40</v>
      </c>
      <c r="F25" s="50">
        <f t="shared" si="0"/>
        <v>0</v>
      </c>
      <c r="G25" s="149" t="e">
        <f>#VALUE!</f>
        <v>#VALUE!</v>
      </c>
      <c r="H25" s="50">
        <f t="shared" si="1"/>
        <v>0</v>
      </c>
      <c r="I25" s="61" t="e">
        <f>#VALUE!</f>
        <v>#VALUE!</v>
      </c>
      <c r="J25" s="50">
        <f t="shared" si="2"/>
        <v>0</v>
      </c>
      <c r="K25" s="50" t="e">
        <f t="shared" si="3"/>
        <v>#VALUE!</v>
      </c>
      <c r="L25" s="50">
        <f t="shared" si="4"/>
        <v>0</v>
      </c>
    </row>
    <row r="26" spans="1:12" ht="14.25" customHeight="1" x14ac:dyDescent="0.75">
      <c r="A26" s="50" t="s">
        <v>193</v>
      </c>
      <c r="B26" s="50" t="s">
        <v>194</v>
      </c>
      <c r="C26" s="50" t="s">
        <v>199</v>
      </c>
      <c r="D26" s="71"/>
      <c r="E26" s="67">
        <v>40</v>
      </c>
      <c r="F26" s="50">
        <f t="shared" si="0"/>
        <v>0</v>
      </c>
      <c r="G26" s="149" t="e">
        <f>#VALUE!</f>
        <v>#VALUE!</v>
      </c>
      <c r="H26" s="50">
        <f t="shared" si="1"/>
        <v>0</v>
      </c>
      <c r="I26" s="61" t="e">
        <f>#VALUE!</f>
        <v>#VALUE!</v>
      </c>
      <c r="J26" s="50">
        <f t="shared" si="2"/>
        <v>0</v>
      </c>
      <c r="K26" s="50" t="e">
        <f t="shared" si="3"/>
        <v>#VALUE!</v>
      </c>
      <c r="L26" s="50">
        <f t="shared" si="4"/>
        <v>0</v>
      </c>
    </row>
    <row r="27" spans="1:12" ht="14.25" customHeight="1" x14ac:dyDescent="0.75">
      <c r="C27" s="71"/>
      <c r="D27" s="71"/>
      <c r="E27" s="71"/>
      <c r="F27" s="71"/>
      <c r="G27" s="71"/>
      <c r="H27" s="71"/>
      <c r="I27" s="71"/>
      <c r="J27" s="71"/>
      <c r="L27" s="71"/>
    </row>
    <row r="28" spans="1:12" ht="14.25" customHeight="1" x14ac:dyDescent="0.75">
      <c r="C28" s="71"/>
      <c r="D28" s="71"/>
      <c r="E28" s="71"/>
      <c r="F28" s="71"/>
      <c r="G28" s="71"/>
      <c r="H28" s="71"/>
      <c r="I28" s="71"/>
      <c r="J28" s="71"/>
      <c r="L28" s="71"/>
    </row>
    <row r="29" spans="1:12" ht="14.25" customHeight="1" x14ac:dyDescent="0.75">
      <c r="C29" s="71"/>
      <c r="D29" s="71"/>
      <c r="E29" s="71"/>
      <c r="F29" s="71"/>
      <c r="G29" s="71"/>
      <c r="H29" s="71"/>
      <c r="I29" s="71"/>
      <c r="J29" s="71"/>
      <c r="L29" s="71"/>
    </row>
    <row r="30" spans="1:12" ht="14.25" customHeight="1" x14ac:dyDescent="0.75">
      <c r="C30" s="71"/>
      <c r="D30" s="71"/>
      <c r="E30" s="71"/>
      <c r="F30" s="71"/>
      <c r="G30" s="71"/>
      <c r="H30" s="71"/>
      <c r="I30" s="71"/>
      <c r="J30" s="71"/>
      <c r="L30" s="71"/>
    </row>
    <row r="31" spans="1:12" ht="14.25" customHeight="1" x14ac:dyDescent="0.75">
      <c r="C31" s="71"/>
      <c r="D31" s="71"/>
      <c r="E31" s="71"/>
      <c r="F31" s="71"/>
      <c r="G31" s="71"/>
      <c r="H31" s="71"/>
      <c r="I31" s="71"/>
      <c r="J31" s="71"/>
      <c r="L31" s="71"/>
    </row>
    <row r="32" spans="1:12" ht="14.25" customHeight="1" x14ac:dyDescent="0.75">
      <c r="C32" s="72"/>
      <c r="D32" s="71"/>
      <c r="E32" s="71"/>
      <c r="F32" s="71"/>
      <c r="G32" s="71"/>
      <c r="H32" s="71"/>
      <c r="I32" s="71"/>
      <c r="J32" s="71"/>
      <c r="L32" s="71"/>
    </row>
    <row r="33" spans="3:14" ht="14.25" customHeight="1" x14ac:dyDescent="0.75">
      <c r="C33" s="71"/>
      <c r="D33" s="71"/>
      <c r="E33" s="71"/>
      <c r="F33" s="71"/>
      <c r="G33" s="71"/>
      <c r="H33" s="71"/>
      <c r="I33" s="71"/>
      <c r="J33" s="71"/>
      <c r="L33" s="71"/>
    </row>
    <row r="34" spans="3:14" ht="14.25" customHeight="1" x14ac:dyDescent="0.75">
      <c r="C34" s="71"/>
      <c r="D34" s="71"/>
      <c r="E34" s="71"/>
      <c r="F34" s="71"/>
      <c r="G34" s="71"/>
      <c r="H34" s="71"/>
      <c r="I34" s="71"/>
      <c r="J34" s="71"/>
      <c r="L34" s="71"/>
    </row>
    <row r="35" spans="3:14" ht="14.25" customHeight="1" x14ac:dyDescent="0.75">
      <c r="C35" s="71"/>
      <c r="D35" s="71"/>
      <c r="E35" s="71"/>
      <c r="F35" s="71"/>
      <c r="G35" s="71"/>
      <c r="H35" s="71"/>
      <c r="I35" s="71"/>
      <c r="J35" s="71"/>
      <c r="L35" s="71"/>
    </row>
    <row r="36" spans="3:14" ht="14.25" customHeight="1" x14ac:dyDescent="0.75">
      <c r="C36" s="71"/>
      <c r="D36" s="71"/>
      <c r="E36" s="71"/>
      <c r="F36" s="71"/>
      <c r="G36" s="71"/>
      <c r="H36" s="71"/>
      <c r="I36" s="71"/>
      <c r="J36" s="71"/>
      <c r="L36" s="71"/>
    </row>
    <row r="37" spans="3:14" ht="14.25" customHeight="1" x14ac:dyDescent="0.75">
      <c r="C37" s="71"/>
      <c r="D37" s="71"/>
      <c r="E37" s="71"/>
      <c r="F37" s="71"/>
      <c r="G37" s="71"/>
      <c r="H37" s="71"/>
      <c r="I37" s="71"/>
      <c r="J37" s="71"/>
      <c r="L37" s="71"/>
    </row>
    <row r="38" spans="3:14" ht="14.25" customHeight="1" x14ac:dyDescent="0.75">
      <c r="C38" s="71"/>
      <c r="D38" s="71"/>
      <c r="E38" s="71"/>
      <c r="F38" s="71"/>
      <c r="G38" s="71"/>
      <c r="H38" s="71"/>
      <c r="I38" s="71"/>
      <c r="J38" s="71"/>
      <c r="L38" s="71"/>
    </row>
    <row r="39" spans="3:14" ht="14.25" customHeight="1" x14ac:dyDescent="0.75">
      <c r="C39" s="71"/>
      <c r="D39" s="71"/>
      <c r="E39" s="71"/>
      <c r="F39" s="71"/>
      <c r="G39" s="71"/>
      <c r="H39" s="71"/>
      <c r="I39" s="71"/>
      <c r="J39" s="71"/>
      <c r="L39" s="71"/>
    </row>
    <row r="40" spans="3:14" ht="14.25" customHeight="1" x14ac:dyDescent="0.75">
      <c r="C40" s="71"/>
      <c r="D40" s="71"/>
      <c r="E40" s="71"/>
      <c r="F40" s="71"/>
      <c r="G40" s="71"/>
      <c r="H40" s="71"/>
      <c r="I40" s="71"/>
      <c r="J40" s="71"/>
      <c r="L40" s="71"/>
    </row>
    <row r="41" spans="3:14" ht="14.25" customHeight="1" x14ac:dyDescent="0.75">
      <c r="C41" s="71"/>
      <c r="D41" s="71"/>
      <c r="E41" s="71"/>
      <c r="F41" s="71"/>
      <c r="G41" s="71"/>
      <c r="H41" s="71"/>
      <c r="I41" s="71"/>
      <c r="J41" s="71"/>
      <c r="L41" s="71"/>
    </row>
    <row r="42" spans="3:14" ht="14.25" customHeight="1" x14ac:dyDescent="0.75">
      <c r="C42" s="71"/>
      <c r="D42" s="71"/>
      <c r="E42" s="71"/>
      <c r="F42" s="71"/>
      <c r="G42" s="71"/>
      <c r="H42" s="71"/>
      <c r="I42" s="71"/>
      <c r="J42" s="71"/>
      <c r="L42" s="71"/>
    </row>
    <row r="48" spans="3:14" ht="14.25" customHeight="1" x14ac:dyDescent="0.75">
      <c r="L48" s="73"/>
      <c r="N48" s="74"/>
    </row>
    <row r="49" spans="4:14" ht="14.25" customHeight="1" x14ac:dyDescent="0.75">
      <c r="D49" s="75"/>
      <c r="E49" s="75"/>
      <c r="N49" s="76"/>
    </row>
    <row r="50" spans="4:14" ht="14.25" customHeight="1" x14ac:dyDescent="0.75">
      <c r="D50" s="75"/>
      <c r="E50" s="75"/>
      <c r="N50" s="76"/>
    </row>
    <row r="51" spans="4:14" ht="14.25" customHeight="1" x14ac:dyDescent="0.75">
      <c r="N51" s="76"/>
    </row>
  </sheetData>
  <conditionalFormatting sqref="F4:F26 H4:H26 J4:J26">
    <cfRule type="expression" dxfId="21" priority="6">
      <formula>#REF!=F4</formula>
    </cfRule>
    <cfRule type="expression" dxfId="20" priority="7">
      <formula>#REF!&lt;F4</formula>
    </cfRule>
    <cfRule type="expression" dxfId="19" priority="8">
      <formula>#REF!&gt;F4</formula>
    </cfRule>
  </conditionalFormatting>
  <conditionalFormatting sqref="K5:K26">
    <cfRule type="cellIs" dxfId="18" priority="2" operator="equal">
      <formula>0</formula>
    </cfRule>
  </conditionalFormatting>
  <conditionalFormatting sqref="L5:L26">
    <cfRule type="expression" dxfId="17" priority="3">
      <formula>K5=L5</formula>
    </cfRule>
    <cfRule type="expression" dxfId="16" priority="4">
      <formula>K5&lt;L5</formula>
    </cfRule>
    <cfRule type="expression" dxfId="15" priority="5">
      <formula>K5&gt;L5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AB35"/>
  <sheetViews>
    <sheetView zoomScaleNormal="100" workbookViewId="0">
      <selection activeCell="O13" sqref="O13"/>
    </sheetView>
  </sheetViews>
  <sheetFormatPr defaultColWidth="8.54296875" defaultRowHeight="14.75" x14ac:dyDescent="0.75"/>
  <cols>
    <col min="2" max="2" width="43.31640625" customWidth="1"/>
    <col min="3" max="3" width="21" customWidth="1"/>
    <col min="4" max="4" width="9.1328125" hidden="1" customWidth="1"/>
  </cols>
  <sheetData>
    <row r="1" spans="1:28" ht="28.5" customHeight="1" x14ac:dyDescent="0.75">
      <c r="A1" s="51"/>
      <c r="B1" s="51"/>
      <c r="C1" s="51" t="s">
        <v>176</v>
      </c>
      <c r="D1" s="51" t="s">
        <v>144</v>
      </c>
      <c r="E1" s="52" t="s">
        <v>116</v>
      </c>
      <c r="F1" s="53" t="s">
        <v>145</v>
      </c>
      <c r="G1" s="54" t="s">
        <v>119</v>
      </c>
      <c r="H1" s="53" t="s">
        <v>146</v>
      </c>
      <c r="I1" s="55" t="s">
        <v>122</v>
      </c>
      <c r="J1" s="56" t="s">
        <v>147</v>
      </c>
      <c r="K1" s="51" t="s">
        <v>148</v>
      </c>
      <c r="L1" s="53" t="s">
        <v>149</v>
      </c>
      <c r="M1" s="51" t="s">
        <v>56</v>
      </c>
      <c r="N1" s="51" t="s">
        <v>58</v>
      </c>
      <c r="O1" s="51" t="s">
        <v>66</v>
      </c>
      <c r="P1" s="51" t="s">
        <v>56</v>
      </c>
      <c r="Q1" s="51" t="s">
        <v>58</v>
      </c>
      <c r="R1" s="51" t="s">
        <v>66</v>
      </c>
      <c r="S1" s="51" t="s">
        <v>56</v>
      </c>
      <c r="T1" s="51" t="s">
        <v>58</v>
      </c>
      <c r="U1" s="51" t="s">
        <v>66</v>
      </c>
      <c r="V1" s="51" t="s">
        <v>56</v>
      </c>
      <c r="W1" s="51" t="s">
        <v>58</v>
      </c>
      <c r="X1" s="51" t="s">
        <v>66</v>
      </c>
      <c r="Y1" s="51" t="s">
        <v>56</v>
      </c>
      <c r="Z1" s="51" t="s">
        <v>58</v>
      </c>
      <c r="AA1" s="51" t="s">
        <v>66</v>
      </c>
      <c r="AB1" s="51"/>
    </row>
    <row r="2" spans="1:28" ht="14.25" customHeight="1" x14ac:dyDescent="0.75">
      <c r="A2" s="50"/>
      <c r="B2" s="50"/>
      <c r="C2" s="57" t="s">
        <v>150</v>
      </c>
      <c r="D2" s="57"/>
      <c r="E2" s="57"/>
      <c r="F2" s="57"/>
      <c r="G2" s="57"/>
      <c r="H2" s="59"/>
      <c r="I2" s="59"/>
      <c r="J2" s="59"/>
      <c r="K2" s="59"/>
      <c r="L2" s="59"/>
      <c r="M2" s="59" t="s">
        <v>65</v>
      </c>
      <c r="N2" s="59" t="s">
        <v>57</v>
      </c>
      <c r="O2" s="59" t="s">
        <v>55</v>
      </c>
      <c r="P2" s="59" t="s">
        <v>65</v>
      </c>
      <c r="Q2" s="59" t="s">
        <v>57</v>
      </c>
      <c r="R2" s="59" t="s">
        <v>55</v>
      </c>
      <c r="S2" s="59" t="s">
        <v>65</v>
      </c>
      <c r="T2" s="59" t="s">
        <v>57</v>
      </c>
      <c r="U2" s="59" t="s">
        <v>55</v>
      </c>
      <c r="V2" s="59" t="s">
        <v>65</v>
      </c>
      <c r="W2" s="59" t="s">
        <v>57</v>
      </c>
      <c r="X2" s="59" t="s">
        <v>55</v>
      </c>
      <c r="Y2" s="59" t="s">
        <v>65</v>
      </c>
      <c r="Z2" s="59" t="s">
        <v>57</v>
      </c>
      <c r="AA2" s="59" t="s">
        <v>55</v>
      </c>
      <c r="AB2" s="50"/>
    </row>
    <row r="3" spans="1:28" ht="14.25" customHeight="1" x14ac:dyDescent="0.75">
      <c r="A3" s="62" t="s">
        <v>129</v>
      </c>
      <c r="B3" s="62" t="s">
        <v>2</v>
      </c>
      <c r="C3" s="62" t="s">
        <v>3</v>
      </c>
      <c r="D3" s="62"/>
      <c r="E3" s="58"/>
      <c r="F3" s="62"/>
      <c r="G3" s="63"/>
      <c r="H3" s="62"/>
      <c r="I3" s="64"/>
      <c r="J3" s="62"/>
      <c r="K3" s="62"/>
      <c r="L3" s="62"/>
      <c r="M3" s="62" t="s">
        <v>54</v>
      </c>
      <c r="N3" s="62" t="s">
        <v>54</v>
      </c>
      <c r="O3" s="62" t="s">
        <v>54</v>
      </c>
      <c r="P3" s="62" t="s">
        <v>59</v>
      </c>
      <c r="Q3" s="62" t="s">
        <v>59</v>
      </c>
      <c r="R3" s="62" t="s">
        <v>59</v>
      </c>
      <c r="S3" s="62" t="s">
        <v>60</v>
      </c>
      <c r="T3" s="62" t="s">
        <v>60</v>
      </c>
      <c r="U3" s="62" t="s">
        <v>60</v>
      </c>
      <c r="V3" s="62" t="s">
        <v>62</v>
      </c>
      <c r="W3" s="62" t="s">
        <v>62</v>
      </c>
      <c r="X3" s="62" t="s">
        <v>62</v>
      </c>
      <c r="Y3" s="62" t="s">
        <v>63</v>
      </c>
      <c r="Z3" s="62" t="s">
        <v>63</v>
      </c>
      <c r="AA3" s="62" t="s">
        <v>63</v>
      </c>
      <c r="AB3" s="50"/>
    </row>
    <row r="4" spans="1:28" ht="14.25" customHeight="1" x14ac:dyDescent="0.75">
      <c r="A4" s="62"/>
      <c r="B4" s="62"/>
      <c r="C4" s="62" t="s">
        <v>151</v>
      </c>
      <c r="D4" s="62"/>
      <c r="E4" s="58"/>
      <c r="F4" s="62">
        <f t="shared" ref="F4:F26" si="0">+M4+P4+S4+V4+Y4</f>
        <v>0</v>
      </c>
      <c r="G4" s="147"/>
      <c r="H4" s="62">
        <f t="shared" ref="H4:H26" si="1">+N4+Q4+T4+W4+Z4</f>
        <v>0</v>
      </c>
      <c r="I4" s="64"/>
      <c r="J4" s="62">
        <f t="shared" ref="J4:J26" si="2">+O4+R4+U4+X4+AA4</f>
        <v>0</v>
      </c>
      <c r="K4" s="62" t="s">
        <v>152</v>
      </c>
      <c r="L4" s="62"/>
      <c r="M4" s="62"/>
      <c r="N4" s="62"/>
      <c r="O4" s="62"/>
      <c r="P4" s="50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50"/>
    </row>
    <row r="5" spans="1:28" ht="14.25" customHeight="1" x14ac:dyDescent="0.75">
      <c r="A5" s="50">
        <v>666501</v>
      </c>
      <c r="B5" s="50" t="s">
        <v>4</v>
      </c>
      <c r="C5" s="50" t="s">
        <v>5</v>
      </c>
      <c r="D5" s="50"/>
      <c r="E5" s="67">
        <v>42</v>
      </c>
      <c r="F5" s="50">
        <f t="shared" si="0"/>
        <v>0</v>
      </c>
      <c r="G5" s="77">
        <v>390</v>
      </c>
      <c r="H5" s="62">
        <f t="shared" si="1"/>
        <v>0</v>
      </c>
      <c r="I5" s="78">
        <v>39</v>
      </c>
      <c r="J5" s="154">
        <f t="shared" si="2"/>
        <v>0</v>
      </c>
      <c r="K5" s="50">
        <f t="shared" ref="K5:K24" si="3">+E5+G5+I5</f>
        <v>471</v>
      </c>
      <c r="L5" s="50">
        <f t="shared" ref="L5:L25" si="4">SUM(F5,H5,J5)</f>
        <v>0</v>
      </c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</row>
    <row r="6" spans="1:28" ht="14.25" customHeight="1" x14ac:dyDescent="0.75">
      <c r="A6" s="50">
        <v>666502</v>
      </c>
      <c r="B6" s="50" t="s">
        <v>6</v>
      </c>
      <c r="C6" s="50" t="s">
        <v>7</v>
      </c>
      <c r="D6" s="50"/>
      <c r="E6" s="67" t="e">
        <f>'06_29_26'!E6-'06_29_26'!F6</f>
        <v>#VALUE!</v>
      </c>
      <c r="F6" s="50">
        <f t="shared" si="0"/>
        <v>0</v>
      </c>
      <c r="G6" s="77">
        <f>'06_29_26'!G6-'06_29_26'!H6</f>
        <v>162</v>
      </c>
      <c r="H6" s="62">
        <f t="shared" si="1"/>
        <v>0</v>
      </c>
      <c r="I6" s="78">
        <f>'06_29_26'!I6-'06_29_26'!J6</f>
        <v>150</v>
      </c>
      <c r="J6" s="154">
        <f t="shared" si="2"/>
        <v>0</v>
      </c>
      <c r="K6" s="50" t="e">
        <f t="shared" si="3"/>
        <v>#VALUE!</v>
      </c>
      <c r="L6" s="50">
        <f t="shared" si="4"/>
        <v>0</v>
      </c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</row>
    <row r="7" spans="1:28" ht="14.25" customHeight="1" x14ac:dyDescent="0.75">
      <c r="A7" s="50">
        <v>666505</v>
      </c>
      <c r="B7" s="50" t="s">
        <v>8</v>
      </c>
      <c r="C7" s="50" t="s">
        <v>9</v>
      </c>
      <c r="D7" s="50"/>
      <c r="E7" s="67">
        <f>'06_29_26'!E7-'06_29_26'!F7</f>
        <v>13</v>
      </c>
      <c r="F7" s="50">
        <f t="shared" si="0"/>
        <v>0</v>
      </c>
      <c r="G7" s="77" t="e">
        <f>'06_29_26'!G7-'06_29_26'!H7</f>
        <v>#VALUE!</v>
      </c>
      <c r="H7" s="62">
        <f t="shared" si="1"/>
        <v>0</v>
      </c>
      <c r="I7" s="78">
        <f>'06_29_26'!I7-'06_29_26'!J7</f>
        <v>27</v>
      </c>
      <c r="J7" s="154">
        <f t="shared" si="2"/>
        <v>0</v>
      </c>
      <c r="K7" s="50" t="e">
        <f t="shared" si="3"/>
        <v>#VALUE!</v>
      </c>
      <c r="L7" s="50">
        <f t="shared" si="4"/>
        <v>0</v>
      </c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</row>
    <row r="8" spans="1:28" ht="14.25" customHeight="1" x14ac:dyDescent="0.75">
      <c r="A8" s="50">
        <v>666506</v>
      </c>
      <c r="B8" s="50" t="s">
        <v>10</v>
      </c>
      <c r="C8" s="50" t="s">
        <v>11</v>
      </c>
      <c r="D8" s="50"/>
      <c r="E8" s="67" t="e">
        <f>'06_29_26'!E8-'06_29_26'!F8</f>
        <v>#VALUE!</v>
      </c>
      <c r="F8" s="50">
        <f t="shared" si="0"/>
        <v>0</v>
      </c>
      <c r="G8" s="77">
        <f>'06_29_26'!G8-'06_29_26'!H8</f>
        <v>144</v>
      </c>
      <c r="H8" s="62">
        <f t="shared" si="1"/>
        <v>0</v>
      </c>
      <c r="I8" s="78" t="e">
        <f>'06_29_26'!I8-'06_29_26'!J8</f>
        <v>#VALUE!</v>
      </c>
      <c r="J8" s="154">
        <f t="shared" si="2"/>
        <v>0</v>
      </c>
      <c r="K8" s="50" t="e">
        <f t="shared" si="3"/>
        <v>#VALUE!</v>
      </c>
      <c r="L8" s="50">
        <f t="shared" si="4"/>
        <v>0</v>
      </c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</row>
    <row r="9" spans="1:28" ht="14.25" customHeight="1" x14ac:dyDescent="0.75">
      <c r="A9" s="50">
        <v>666507</v>
      </c>
      <c r="B9" s="50" t="s">
        <v>12</v>
      </c>
      <c r="C9" s="50" t="s">
        <v>13</v>
      </c>
      <c r="D9" s="50"/>
      <c r="E9" s="67">
        <f>'06_29_26'!E9-'06_29_26'!F9</f>
        <v>8</v>
      </c>
      <c r="F9" s="50">
        <f t="shared" si="0"/>
        <v>0</v>
      </c>
      <c r="G9" s="77" t="e">
        <f>'06_29_26'!G9-'06_29_26'!H9</f>
        <v>#VALUE!</v>
      </c>
      <c r="H9" s="62">
        <f t="shared" si="1"/>
        <v>0</v>
      </c>
      <c r="I9" s="78" t="e">
        <f>'06_29_26'!I9-'06_29_26'!J9</f>
        <v>#VALUE!</v>
      </c>
      <c r="J9" s="154">
        <f t="shared" si="2"/>
        <v>0</v>
      </c>
      <c r="K9" s="50" t="e">
        <f t="shared" si="3"/>
        <v>#VALUE!</v>
      </c>
      <c r="L9" s="50">
        <f t="shared" si="4"/>
        <v>0</v>
      </c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</row>
    <row r="10" spans="1:28" ht="14.25" customHeight="1" x14ac:dyDescent="0.75">
      <c r="A10" s="50">
        <v>666509</v>
      </c>
      <c r="B10" s="50" t="s">
        <v>14</v>
      </c>
      <c r="C10" s="50" t="s">
        <v>15</v>
      </c>
      <c r="D10" s="50"/>
      <c r="E10" s="67">
        <f>'06_29_26'!E10-'06_29_26'!F10</f>
        <v>50</v>
      </c>
      <c r="F10" s="50">
        <f t="shared" si="0"/>
        <v>0</v>
      </c>
      <c r="G10" s="77" t="e">
        <f>'06_29_26'!G10-'06_29_26'!H10</f>
        <v>#VALUE!</v>
      </c>
      <c r="H10" s="62">
        <f t="shared" si="1"/>
        <v>0</v>
      </c>
      <c r="I10" s="78" t="e">
        <f>'06_29_26'!I10-'06_29_26'!J10</f>
        <v>#VALUE!</v>
      </c>
      <c r="J10" s="154">
        <f t="shared" si="2"/>
        <v>0</v>
      </c>
      <c r="K10" s="50" t="e">
        <f t="shared" si="3"/>
        <v>#VALUE!</v>
      </c>
      <c r="L10" s="50">
        <f t="shared" si="4"/>
        <v>0</v>
      </c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</row>
    <row r="11" spans="1:28" ht="14.25" customHeight="1" x14ac:dyDescent="0.75">
      <c r="A11" s="50">
        <v>666510</v>
      </c>
      <c r="B11" s="50" t="s">
        <v>16</v>
      </c>
      <c r="C11" s="50" t="s">
        <v>17</v>
      </c>
      <c r="D11" s="50"/>
      <c r="E11" s="67" t="e">
        <f>'06_29_26'!E11-'06_29_26'!F11</f>
        <v>#VALUE!</v>
      </c>
      <c r="F11" s="50">
        <f t="shared" si="0"/>
        <v>0</v>
      </c>
      <c r="G11" s="77" t="e">
        <f>'06_29_26'!G11-'06_29_26'!H11</f>
        <v>#VALUE!</v>
      </c>
      <c r="H11" s="62">
        <f t="shared" si="1"/>
        <v>0</v>
      </c>
      <c r="I11" s="78" t="e">
        <f>'06_29_26'!I11-'06_29_26'!J11</f>
        <v>#VALUE!</v>
      </c>
      <c r="J11" s="154">
        <f t="shared" si="2"/>
        <v>0</v>
      </c>
      <c r="K11" s="50" t="e">
        <f t="shared" si="3"/>
        <v>#VALUE!</v>
      </c>
      <c r="L11" s="50">
        <f t="shared" si="4"/>
        <v>0</v>
      </c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</row>
    <row r="12" spans="1:28" ht="14.25" customHeight="1" x14ac:dyDescent="0.75">
      <c r="A12" s="50">
        <v>666511</v>
      </c>
      <c r="B12" s="50" t="s">
        <v>18</v>
      </c>
      <c r="C12" s="50" t="s">
        <v>19</v>
      </c>
      <c r="D12" s="50"/>
      <c r="E12" s="67">
        <f>'06_29_26'!E12-'06_29_26'!F12</f>
        <v>4</v>
      </c>
      <c r="F12" s="50">
        <f t="shared" si="0"/>
        <v>0</v>
      </c>
      <c r="G12" s="77" t="e">
        <f>'06_29_26'!G12-'06_29_26'!H12</f>
        <v>#VALUE!</v>
      </c>
      <c r="H12" s="62">
        <f t="shared" si="1"/>
        <v>0</v>
      </c>
      <c r="I12" s="78" t="e">
        <f>'06_29_26'!I12-'06_29_26'!J12</f>
        <v>#VALUE!</v>
      </c>
      <c r="J12" s="154">
        <f t="shared" si="2"/>
        <v>0</v>
      </c>
      <c r="K12" s="50" t="e">
        <f t="shared" si="3"/>
        <v>#VALUE!</v>
      </c>
      <c r="L12" s="50">
        <f t="shared" si="4"/>
        <v>0</v>
      </c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</row>
    <row r="13" spans="1:28" ht="14.25" customHeight="1" x14ac:dyDescent="0.75">
      <c r="A13" s="50">
        <v>666513</v>
      </c>
      <c r="B13" s="50" t="s">
        <v>20</v>
      </c>
      <c r="C13" s="50" t="s">
        <v>21</v>
      </c>
      <c r="D13" s="50"/>
      <c r="E13" s="67">
        <f>'06_29_26'!E13-'06_29_26'!F13</f>
        <v>14</v>
      </c>
      <c r="F13" s="50">
        <f t="shared" si="0"/>
        <v>0</v>
      </c>
      <c r="G13" s="77" t="e">
        <f>'06_29_26'!G13-'06_29_26'!H13</f>
        <v>#VALUE!</v>
      </c>
      <c r="H13" s="62">
        <f t="shared" si="1"/>
        <v>0</v>
      </c>
      <c r="I13" s="78">
        <f>'06_29_26'!I13-'06_29_26'!J13</f>
        <v>34</v>
      </c>
      <c r="J13" s="154">
        <f t="shared" si="2"/>
        <v>0</v>
      </c>
      <c r="K13" s="50" t="e">
        <f t="shared" si="3"/>
        <v>#VALUE!</v>
      </c>
      <c r="L13" s="50">
        <f t="shared" si="4"/>
        <v>0</v>
      </c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</row>
    <row r="14" spans="1:28" ht="14.25" customHeight="1" x14ac:dyDescent="0.75">
      <c r="A14" s="50">
        <v>666516</v>
      </c>
      <c r="B14" s="50" t="s">
        <v>22</v>
      </c>
      <c r="C14" s="50" t="s">
        <v>23</v>
      </c>
      <c r="D14" s="50"/>
      <c r="E14" s="67">
        <f>'06_29_26'!E14-'06_29_26'!F14</f>
        <v>16</v>
      </c>
      <c r="F14" s="50">
        <f t="shared" si="0"/>
        <v>0</v>
      </c>
      <c r="G14" s="77" t="e">
        <f>'06_29_26'!G14-'06_29_26'!H14</f>
        <v>#VALUE!</v>
      </c>
      <c r="H14" s="62">
        <f t="shared" si="1"/>
        <v>0</v>
      </c>
      <c r="I14" s="78">
        <f>'06_29_26'!I14-'06_29_26'!J14</f>
        <v>16</v>
      </c>
      <c r="J14" s="154">
        <f t="shared" si="2"/>
        <v>0</v>
      </c>
      <c r="K14" s="50" t="e">
        <f t="shared" si="3"/>
        <v>#VALUE!</v>
      </c>
      <c r="L14" s="50">
        <f t="shared" si="4"/>
        <v>0</v>
      </c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</row>
    <row r="15" spans="1:28" ht="14.25" customHeight="1" x14ac:dyDescent="0.75">
      <c r="A15" s="50">
        <v>666517</v>
      </c>
      <c r="B15" s="50" t="s">
        <v>24</v>
      </c>
      <c r="C15" s="50" t="s">
        <v>25</v>
      </c>
      <c r="D15" s="50"/>
      <c r="E15" s="67">
        <f>'06_29_26'!E15-'06_29_26'!F15</f>
        <v>22</v>
      </c>
      <c r="F15" s="50">
        <f t="shared" si="0"/>
        <v>0</v>
      </c>
      <c r="G15" s="77" t="e">
        <f>'06_29_26'!G15-'06_29_26'!H15</f>
        <v>#VALUE!</v>
      </c>
      <c r="H15" s="62">
        <f t="shared" si="1"/>
        <v>0</v>
      </c>
      <c r="I15" s="78">
        <f>'06_29_26'!I15-'06_29_26'!J15</f>
        <v>10</v>
      </c>
      <c r="J15" s="154">
        <f t="shared" si="2"/>
        <v>0</v>
      </c>
      <c r="K15" s="50" t="e">
        <f t="shared" si="3"/>
        <v>#VALUE!</v>
      </c>
      <c r="L15" s="50">
        <f t="shared" si="4"/>
        <v>0</v>
      </c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</row>
    <row r="16" spans="1:28" ht="14.25" customHeight="1" x14ac:dyDescent="0.75">
      <c r="A16" s="50">
        <v>666518</v>
      </c>
      <c r="B16" s="50" t="s">
        <v>26</v>
      </c>
      <c r="C16" s="50" t="s">
        <v>27</v>
      </c>
      <c r="D16" s="50"/>
      <c r="E16" s="67" t="e">
        <f>'06_29_26'!E16-'06_29_26'!F16</f>
        <v>#VALUE!</v>
      </c>
      <c r="F16" s="50">
        <f t="shared" si="0"/>
        <v>0</v>
      </c>
      <c r="G16" s="77" t="e">
        <f>'06_29_26'!G16-'06_29_26'!H16</f>
        <v>#VALUE!</v>
      </c>
      <c r="H16" s="62">
        <f t="shared" si="1"/>
        <v>0</v>
      </c>
      <c r="I16" s="78" t="e">
        <f>'06_29_26'!I16-'06_29_26'!J16</f>
        <v>#VALUE!</v>
      </c>
      <c r="J16" s="154">
        <f t="shared" si="2"/>
        <v>0</v>
      </c>
      <c r="K16" s="50" t="e">
        <f t="shared" si="3"/>
        <v>#VALUE!</v>
      </c>
      <c r="L16" s="50">
        <f t="shared" si="4"/>
        <v>0</v>
      </c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</row>
    <row r="17" spans="1:28" ht="14.25" customHeight="1" x14ac:dyDescent="0.75">
      <c r="A17" s="50">
        <v>666519</v>
      </c>
      <c r="B17" s="50" t="s">
        <v>28</v>
      </c>
      <c r="C17" s="50" t="s">
        <v>29</v>
      </c>
      <c r="D17" s="50"/>
      <c r="E17" s="67">
        <f>'06_29_26'!E17-'06_29_26'!F17</f>
        <v>22</v>
      </c>
      <c r="F17" s="50">
        <f t="shared" si="0"/>
        <v>0</v>
      </c>
      <c r="G17" s="77" t="e">
        <f>'06_29_26'!G17-'06_29_26'!H17</f>
        <v>#VALUE!</v>
      </c>
      <c r="H17" s="62">
        <f t="shared" si="1"/>
        <v>0</v>
      </c>
      <c r="I17" s="78">
        <f>'06_29_26'!I17-'06_29_26'!J17</f>
        <v>22</v>
      </c>
      <c r="J17" s="154">
        <f t="shared" si="2"/>
        <v>0</v>
      </c>
      <c r="K17" s="50" t="e">
        <f t="shared" si="3"/>
        <v>#VALUE!</v>
      </c>
      <c r="L17" s="50">
        <f t="shared" si="4"/>
        <v>0</v>
      </c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</row>
    <row r="18" spans="1:28" ht="14.25" customHeight="1" x14ac:dyDescent="0.75">
      <c r="A18" s="50">
        <v>666521</v>
      </c>
      <c r="B18" s="50" t="s">
        <v>30</v>
      </c>
      <c r="C18" s="50" t="s">
        <v>31</v>
      </c>
      <c r="D18" s="50"/>
      <c r="E18" s="67">
        <f>'06_29_26'!E18-'06_29_26'!F18</f>
        <v>36</v>
      </c>
      <c r="F18" s="50">
        <f t="shared" si="0"/>
        <v>0</v>
      </c>
      <c r="G18" s="77" t="e">
        <f>'06_29_26'!G18-'06_29_26'!H18</f>
        <v>#VALUE!</v>
      </c>
      <c r="H18" s="62">
        <f t="shared" si="1"/>
        <v>0</v>
      </c>
      <c r="I18" s="78" t="e">
        <f>'06_29_26'!I18-'06_29_26'!J18</f>
        <v>#VALUE!</v>
      </c>
      <c r="J18" s="154">
        <f t="shared" si="2"/>
        <v>0</v>
      </c>
      <c r="K18" s="50" t="e">
        <f t="shared" si="3"/>
        <v>#VALUE!</v>
      </c>
      <c r="L18" s="50">
        <f t="shared" si="4"/>
        <v>0</v>
      </c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</row>
    <row r="19" spans="1:28" ht="14.25" customHeight="1" x14ac:dyDescent="0.75">
      <c r="A19" s="50">
        <v>666522</v>
      </c>
      <c r="B19" s="50" t="s">
        <v>32</v>
      </c>
      <c r="C19" s="50" t="s">
        <v>33</v>
      </c>
      <c r="D19" s="50"/>
      <c r="E19" s="67">
        <f>'06_29_26'!E19-'06_29_26'!F19</f>
        <v>180</v>
      </c>
      <c r="F19" s="50">
        <f t="shared" si="0"/>
        <v>0</v>
      </c>
      <c r="G19" s="77">
        <f>'06_29_26'!G19-'06_29_26'!H19</f>
        <v>55</v>
      </c>
      <c r="H19" s="62">
        <f t="shared" si="1"/>
        <v>0</v>
      </c>
      <c r="I19" s="78">
        <f>'06_29_26'!I19-'06_29_26'!J19</f>
        <v>125</v>
      </c>
      <c r="J19" s="154">
        <f t="shared" si="2"/>
        <v>0</v>
      </c>
      <c r="K19" s="50">
        <f t="shared" si="3"/>
        <v>360</v>
      </c>
      <c r="L19" s="50">
        <f t="shared" si="4"/>
        <v>0</v>
      </c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</row>
    <row r="20" spans="1:28" ht="14.25" customHeight="1" x14ac:dyDescent="0.75">
      <c r="A20" s="50">
        <v>666523</v>
      </c>
      <c r="B20" s="50" t="s">
        <v>34</v>
      </c>
      <c r="C20" s="50" t="s">
        <v>35</v>
      </c>
      <c r="D20" s="50"/>
      <c r="E20" s="67" t="e">
        <f>'06_29_26'!E20-'06_29_26'!F20</f>
        <v>#VALUE!</v>
      </c>
      <c r="F20" s="50">
        <f t="shared" si="0"/>
        <v>0</v>
      </c>
      <c r="G20" s="77" t="e">
        <f>'06_29_26'!G20-'06_29_26'!H20</f>
        <v>#VALUE!</v>
      </c>
      <c r="H20" s="62">
        <f t="shared" si="1"/>
        <v>0</v>
      </c>
      <c r="I20" s="78">
        <f>'06_29_26'!I20-'06_29_26'!J20</f>
        <v>28</v>
      </c>
      <c r="J20" s="154">
        <f t="shared" si="2"/>
        <v>0</v>
      </c>
      <c r="K20" s="50" t="e">
        <f t="shared" si="3"/>
        <v>#VALUE!</v>
      </c>
      <c r="L20" s="50">
        <f t="shared" si="4"/>
        <v>0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</row>
    <row r="21" spans="1:28" ht="14.25" customHeight="1" x14ac:dyDescent="0.75">
      <c r="A21" s="50">
        <v>666530</v>
      </c>
      <c r="B21" s="50" t="s">
        <v>36</v>
      </c>
      <c r="C21" s="50" t="s">
        <v>37</v>
      </c>
      <c r="D21" s="50"/>
      <c r="E21" s="67" t="e">
        <f>'06_29_26'!E21-'06_29_26'!F21</f>
        <v>#VALUE!</v>
      </c>
      <c r="F21" s="50">
        <f t="shared" si="0"/>
        <v>0</v>
      </c>
      <c r="G21" s="77" t="e">
        <f>'06_29_26'!G21-'06_29_26'!H21</f>
        <v>#VALUE!</v>
      </c>
      <c r="H21" s="62">
        <f t="shared" si="1"/>
        <v>0</v>
      </c>
      <c r="I21" s="78" t="e">
        <f>'06_29_26'!I21-'06_29_26'!J21</f>
        <v>#VALUE!</v>
      </c>
      <c r="J21" s="154">
        <f t="shared" si="2"/>
        <v>0</v>
      </c>
      <c r="K21" s="50" t="e">
        <f t="shared" si="3"/>
        <v>#VALUE!</v>
      </c>
      <c r="L21" s="50">
        <f t="shared" si="4"/>
        <v>0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</row>
    <row r="22" spans="1:28" ht="14.25" customHeight="1" x14ac:dyDescent="0.75">
      <c r="A22" s="50">
        <v>666531</v>
      </c>
      <c r="B22" s="50" t="s">
        <v>38</v>
      </c>
      <c r="C22" s="50" t="s">
        <v>39</v>
      </c>
      <c r="D22" s="50"/>
      <c r="E22" s="67">
        <f>'06_29_26'!E22-'06_29_26'!F22</f>
        <v>14</v>
      </c>
      <c r="F22" s="50">
        <f t="shared" si="0"/>
        <v>0</v>
      </c>
      <c r="G22" s="77" t="e">
        <f>'06_29_26'!G22-'06_29_26'!H22</f>
        <v>#VALUE!</v>
      </c>
      <c r="H22" s="62">
        <f t="shared" si="1"/>
        <v>0</v>
      </c>
      <c r="I22" s="78">
        <f>'06_29_26'!I22-'06_29_26'!J22</f>
        <v>6</v>
      </c>
      <c r="J22" s="154">
        <f t="shared" si="2"/>
        <v>0</v>
      </c>
      <c r="K22" s="50" t="e">
        <f t="shared" si="3"/>
        <v>#VALUE!</v>
      </c>
      <c r="L22" s="50">
        <f t="shared" si="4"/>
        <v>0</v>
      </c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</row>
    <row r="23" spans="1:28" ht="14.25" customHeight="1" x14ac:dyDescent="0.75">
      <c r="A23" s="50">
        <v>666540</v>
      </c>
      <c r="B23" s="50" t="s">
        <v>40</v>
      </c>
      <c r="C23" s="50" t="s">
        <v>40</v>
      </c>
      <c r="D23" s="50"/>
      <c r="E23" s="67" t="e">
        <f>'06_29_26'!E23-'06_29_26'!F23</f>
        <v>#VALUE!</v>
      </c>
      <c r="F23" s="50">
        <f t="shared" si="0"/>
        <v>0</v>
      </c>
      <c r="G23" s="77" t="e">
        <f>'06_29_26'!G23-'06_29_26'!H23</f>
        <v>#VALUE!</v>
      </c>
      <c r="H23" s="62">
        <f t="shared" si="1"/>
        <v>0</v>
      </c>
      <c r="I23" s="78" t="e">
        <f>'06_29_26'!I23-'06_29_26'!J23</f>
        <v>#VALUE!</v>
      </c>
      <c r="J23" s="154">
        <f t="shared" si="2"/>
        <v>0</v>
      </c>
      <c r="K23" s="50" t="e">
        <f t="shared" si="3"/>
        <v>#VALUE!</v>
      </c>
      <c r="L23" s="50">
        <f t="shared" si="4"/>
        <v>0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</row>
    <row r="24" spans="1:28" ht="14.25" customHeight="1" x14ac:dyDescent="0.75">
      <c r="A24" s="50">
        <v>666541</v>
      </c>
      <c r="B24" s="50" t="s">
        <v>41</v>
      </c>
      <c r="C24" s="50" t="s">
        <v>41</v>
      </c>
      <c r="D24" s="50"/>
      <c r="E24" s="67" t="e">
        <f>'06_29_26'!E24-'06_29_26'!F24</f>
        <v>#VALUE!</v>
      </c>
      <c r="F24" s="50">
        <f t="shared" si="0"/>
        <v>0</v>
      </c>
      <c r="G24" s="77">
        <f>'06_29_26'!G24-'06_29_26'!H24</f>
        <v>500</v>
      </c>
      <c r="H24" s="62">
        <f t="shared" si="1"/>
        <v>0</v>
      </c>
      <c r="I24" s="78" t="e">
        <f>'06_29_26'!I24-'06_29_26'!J24</f>
        <v>#VALUE!</v>
      </c>
      <c r="J24" s="154">
        <f t="shared" si="2"/>
        <v>0</v>
      </c>
      <c r="K24" s="50" t="e">
        <f t="shared" si="3"/>
        <v>#VALUE!</v>
      </c>
      <c r="L24" s="50">
        <f t="shared" si="4"/>
        <v>0</v>
      </c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</row>
    <row r="25" spans="1:28" ht="14.25" customHeight="1" x14ac:dyDescent="0.75">
      <c r="A25" s="50">
        <v>666536</v>
      </c>
      <c r="B25" s="50" t="s">
        <v>42</v>
      </c>
      <c r="C25" s="50" t="s">
        <v>43</v>
      </c>
      <c r="D25" s="50"/>
      <c r="E25" s="67">
        <f>'06_29_26'!E25-'06_29_26'!F25</f>
        <v>40</v>
      </c>
      <c r="F25" s="50">
        <f t="shared" si="0"/>
        <v>0</v>
      </c>
      <c r="G25" s="77" t="e">
        <f>'06_29_26'!G25-'06_29_26'!H25</f>
        <v>#VALUE!</v>
      </c>
      <c r="H25" s="62">
        <f t="shared" si="1"/>
        <v>0</v>
      </c>
      <c r="I25" s="78" t="e">
        <f>'06_29_26'!I25-'06_29_26'!J25</f>
        <v>#VALUE!</v>
      </c>
      <c r="J25" s="154">
        <f t="shared" si="2"/>
        <v>0</v>
      </c>
      <c r="K25" s="50" t="e">
        <f>+E25+G25+H25</f>
        <v>#VALUE!</v>
      </c>
      <c r="L25" s="50">
        <f t="shared" si="4"/>
        <v>0</v>
      </c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</row>
    <row r="26" spans="1:28" s="50" customFormat="1" ht="14.25" customHeight="1" x14ac:dyDescent="0.75">
      <c r="A26" s="50" t="s">
        <v>193</v>
      </c>
      <c r="B26" s="50" t="s">
        <v>194</v>
      </c>
      <c r="C26" s="50" t="s">
        <v>199</v>
      </c>
      <c r="D26" s="71"/>
      <c r="E26" s="67">
        <f>'06_29_26'!E26-'06_29_26'!F26</f>
        <v>40</v>
      </c>
      <c r="F26" s="50">
        <f t="shared" si="0"/>
        <v>0</v>
      </c>
      <c r="G26" s="77" t="e">
        <f>'06_29_26'!G26-'06_29_26'!H26</f>
        <v>#VALUE!</v>
      </c>
      <c r="H26" s="50">
        <f t="shared" si="1"/>
        <v>0</v>
      </c>
      <c r="I26" s="78" t="e">
        <f>'06_29_26'!I26-'06_29_26'!J26</f>
        <v>#VALUE!</v>
      </c>
      <c r="J26" s="78">
        <f t="shared" si="2"/>
        <v>0</v>
      </c>
      <c r="K26" s="50" t="e">
        <f>+E26+G26+I26</f>
        <v>#VALUE!</v>
      </c>
      <c r="L26" s="50">
        <f>+F26+H26+J26</f>
        <v>0</v>
      </c>
    </row>
    <row r="35" spans="15:15" ht="14.25" customHeight="1" x14ac:dyDescent="0.75">
      <c r="O35" t="s">
        <v>152</v>
      </c>
    </row>
  </sheetData>
  <conditionalFormatting sqref="F26 H26 J26">
    <cfRule type="expression" dxfId="14" priority="6">
      <formula>#REF!=F26</formula>
    </cfRule>
    <cfRule type="expression" dxfId="13" priority="7">
      <formula>#REF!&lt;F26</formula>
    </cfRule>
    <cfRule type="expression" dxfId="12" priority="8">
      <formula>#REF!&gt;F26</formula>
    </cfRule>
  </conditionalFormatting>
  <conditionalFormatting sqref="K5:K26">
    <cfRule type="cellIs" dxfId="11" priority="2" operator="equal">
      <formula>0</formula>
    </cfRule>
  </conditionalFormatting>
  <conditionalFormatting sqref="L5:L26">
    <cfRule type="expression" dxfId="10" priority="3">
      <formula>K5=L5</formula>
    </cfRule>
    <cfRule type="expression" dxfId="9" priority="4">
      <formula>K5&lt;L5</formula>
    </cfRule>
    <cfRule type="expression" dxfId="8" priority="5">
      <formula>K5&gt;L5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X72"/>
  <sheetViews>
    <sheetView zoomScaleNormal="100" workbookViewId="0">
      <selection activeCell="V20" sqref="V20"/>
    </sheetView>
  </sheetViews>
  <sheetFormatPr defaultColWidth="8.86328125" defaultRowHeight="14.75" x14ac:dyDescent="0.75"/>
  <cols>
    <col min="1" max="1" width="9" style="79" customWidth="1"/>
    <col min="2" max="2" width="33.453125" style="79" customWidth="1"/>
    <col min="3" max="3" width="15.6328125" style="79" hidden="1" customWidth="1"/>
    <col min="4" max="13" width="8.86328125" style="79"/>
    <col min="14" max="14" width="9.453125" style="79" customWidth="1"/>
    <col min="15" max="17" width="8.86328125" style="79"/>
    <col min="18" max="18" width="10.6328125" style="80" customWidth="1"/>
    <col min="19" max="19" width="9.1328125" style="79" hidden="1" customWidth="1"/>
    <col min="20" max="16384" width="8.86328125" style="79"/>
  </cols>
  <sheetData>
    <row r="1" spans="1:19" ht="15" customHeight="1" x14ac:dyDescent="0.75">
      <c r="A1" s="3" t="s">
        <v>205</v>
      </c>
      <c r="B1" s="3"/>
      <c r="C1" s="3"/>
      <c r="D1" s="3"/>
      <c r="E1" s="3"/>
      <c r="F1" s="81"/>
      <c r="G1" s="81"/>
      <c r="H1" s="81"/>
      <c r="I1" s="81"/>
      <c r="J1" s="81"/>
      <c r="K1" s="81"/>
      <c r="L1" s="81"/>
      <c r="M1" s="81"/>
      <c r="N1" s="81"/>
      <c r="O1" s="81"/>
      <c r="P1" s="82"/>
      <c r="Q1" s="80" t="s">
        <v>160</v>
      </c>
    </row>
    <row r="2" spans="1:19" ht="41.25" customHeight="1" x14ac:dyDescent="0.75">
      <c r="A2" s="83"/>
      <c r="B2" s="84" t="s">
        <v>56</v>
      </c>
      <c r="C2" s="85" t="s">
        <v>55</v>
      </c>
      <c r="D2" s="86" t="s">
        <v>116</v>
      </c>
      <c r="E2" s="87" t="s">
        <v>161</v>
      </c>
      <c r="F2" s="88" t="s">
        <v>162</v>
      </c>
      <c r="G2" s="86" t="s">
        <v>163</v>
      </c>
      <c r="H2" s="87" t="s">
        <v>164</v>
      </c>
      <c r="I2" s="86" t="s">
        <v>165</v>
      </c>
      <c r="J2" s="86" t="s">
        <v>166</v>
      </c>
      <c r="K2" s="89" t="s">
        <v>167</v>
      </c>
      <c r="L2" s="88" t="s">
        <v>162</v>
      </c>
      <c r="M2" s="86" t="s">
        <v>163</v>
      </c>
      <c r="N2" s="87" t="s">
        <v>164</v>
      </c>
      <c r="O2" s="86" t="s">
        <v>165</v>
      </c>
      <c r="P2" s="90" t="s">
        <v>166</v>
      </c>
      <c r="Q2" s="91"/>
      <c r="R2" s="92" t="s">
        <v>168</v>
      </c>
    </row>
    <row r="3" spans="1:19" ht="14.25" customHeight="1" x14ac:dyDescent="0.75">
      <c r="A3" s="93" t="e">
        <f>#NAME?</f>
        <v>#NAME?</v>
      </c>
      <c r="B3" s="94" t="s">
        <v>4</v>
      </c>
      <c r="C3" s="95" t="s">
        <v>5</v>
      </c>
      <c r="D3" s="96">
        <v>42</v>
      </c>
      <c r="E3" s="97">
        <f t="shared" ref="E3:E24" si="0">+D3/7</f>
        <v>6</v>
      </c>
      <c r="F3" s="96">
        <v>0</v>
      </c>
      <c r="G3" s="98">
        <v>0</v>
      </c>
      <c r="H3" s="96">
        <v>0</v>
      </c>
      <c r="I3" s="96">
        <v>0</v>
      </c>
      <c r="J3" s="96">
        <v>0</v>
      </c>
      <c r="K3" s="99">
        <f t="shared" ref="K3:K24" si="1">(+D3-SUM(F3:J3))/3</f>
        <v>14</v>
      </c>
      <c r="L3" s="96">
        <v>0</v>
      </c>
      <c r="M3" s="96">
        <v>0</v>
      </c>
      <c r="N3" s="96">
        <v>0</v>
      </c>
      <c r="O3" s="96">
        <v>0</v>
      </c>
      <c r="P3" s="100">
        <v>0</v>
      </c>
      <c r="Q3" s="101">
        <f t="shared" ref="Q3:Q24" si="2">SUM(F3:J3)+SUM(L3:P3)</f>
        <v>0</v>
      </c>
      <c r="R3" s="101">
        <f t="shared" ref="R3:R24" si="3">+D3-Q3</f>
        <v>42</v>
      </c>
      <c r="S3" s="102">
        <f>+R3/2.25</f>
        <v>18.666666666666668</v>
      </c>
    </row>
    <row r="4" spans="1:19" ht="14.25" customHeight="1" x14ac:dyDescent="0.75">
      <c r="A4" s="93">
        <v>666502</v>
      </c>
      <c r="B4" s="94" t="s">
        <v>6</v>
      </c>
      <c r="C4" s="95" t="s">
        <v>7</v>
      </c>
      <c r="D4" s="96" t="e">
        <f>#VALUE!</f>
        <v>#VALUE!</v>
      </c>
      <c r="E4" s="97" t="e">
        <f t="shared" si="0"/>
        <v>#VALUE!</v>
      </c>
      <c r="F4" s="96">
        <v>0</v>
      </c>
      <c r="G4" s="98">
        <v>0</v>
      </c>
      <c r="H4" s="96">
        <v>0</v>
      </c>
      <c r="I4" s="96">
        <v>0</v>
      </c>
      <c r="J4" s="96">
        <v>0</v>
      </c>
      <c r="K4" s="99" t="e">
        <f t="shared" si="1"/>
        <v>#VALUE!</v>
      </c>
      <c r="L4" s="96">
        <v>0</v>
      </c>
      <c r="M4" s="96">
        <v>0</v>
      </c>
      <c r="N4" s="96">
        <v>0</v>
      </c>
      <c r="O4" s="96">
        <v>0</v>
      </c>
      <c r="P4" s="100">
        <v>0</v>
      </c>
      <c r="Q4" s="101">
        <f t="shared" si="2"/>
        <v>0</v>
      </c>
      <c r="R4" s="101" t="e">
        <f t="shared" si="3"/>
        <v>#VALUE!</v>
      </c>
      <c r="S4" s="102" t="e">
        <f>+R4/2.25</f>
        <v>#VALUE!</v>
      </c>
    </row>
    <row r="5" spans="1:19" ht="14.25" customHeight="1" x14ac:dyDescent="0.75">
      <c r="A5" s="93">
        <v>666505</v>
      </c>
      <c r="B5" s="94" t="s">
        <v>8</v>
      </c>
      <c r="C5" s="95" t="s">
        <v>9</v>
      </c>
      <c r="D5" s="96">
        <v>13</v>
      </c>
      <c r="E5" s="97">
        <f t="shared" si="0"/>
        <v>1.8571428571428572</v>
      </c>
      <c r="F5" s="96">
        <v>0</v>
      </c>
      <c r="G5" s="98">
        <v>0</v>
      </c>
      <c r="H5" s="96">
        <v>0</v>
      </c>
      <c r="I5" s="96">
        <v>0</v>
      </c>
      <c r="J5" s="96">
        <v>0</v>
      </c>
      <c r="K5" s="99">
        <f t="shared" si="1"/>
        <v>4.333333333333333</v>
      </c>
      <c r="L5" s="96">
        <v>0</v>
      </c>
      <c r="M5" s="96">
        <v>0</v>
      </c>
      <c r="N5" s="96">
        <v>0</v>
      </c>
      <c r="O5" s="96">
        <v>0</v>
      </c>
      <c r="P5" s="100">
        <v>0</v>
      </c>
      <c r="Q5" s="101">
        <f t="shared" si="2"/>
        <v>0</v>
      </c>
      <c r="R5" s="101">
        <f t="shared" si="3"/>
        <v>13</v>
      </c>
      <c r="S5" s="102">
        <f>+R5/2.25</f>
        <v>5.7777777777777777</v>
      </c>
    </row>
    <row r="6" spans="1:19" ht="14.25" customHeight="1" x14ac:dyDescent="0.75">
      <c r="A6" s="93">
        <v>666506</v>
      </c>
      <c r="B6" s="94" t="s">
        <v>10</v>
      </c>
      <c r="C6" s="95" t="s">
        <v>11</v>
      </c>
      <c r="D6" s="96" t="e">
        <f>#VALUE!</f>
        <v>#VALUE!</v>
      </c>
      <c r="E6" s="97" t="e">
        <f t="shared" si="0"/>
        <v>#VALUE!</v>
      </c>
      <c r="F6" s="96">
        <v>0</v>
      </c>
      <c r="G6" s="98">
        <v>0</v>
      </c>
      <c r="H6" s="96">
        <v>0</v>
      </c>
      <c r="I6" s="96">
        <v>0</v>
      </c>
      <c r="J6" s="96">
        <v>0</v>
      </c>
      <c r="K6" s="99" t="e">
        <f t="shared" si="1"/>
        <v>#VALUE!</v>
      </c>
      <c r="L6" s="96">
        <v>0</v>
      </c>
      <c r="M6" s="96">
        <v>0</v>
      </c>
      <c r="N6" s="96">
        <v>0</v>
      </c>
      <c r="O6" s="96">
        <v>0</v>
      </c>
      <c r="P6" s="100">
        <v>0</v>
      </c>
      <c r="Q6" s="101">
        <f t="shared" si="2"/>
        <v>0</v>
      </c>
      <c r="R6" s="101" t="e">
        <f t="shared" si="3"/>
        <v>#VALUE!</v>
      </c>
      <c r="S6" s="102" t="e">
        <f>+R6/2.25</f>
        <v>#VALUE!</v>
      </c>
    </row>
    <row r="7" spans="1:19" ht="14.25" customHeight="1" x14ac:dyDescent="0.75">
      <c r="A7" s="93">
        <v>666507</v>
      </c>
      <c r="B7" s="94" t="s">
        <v>12</v>
      </c>
      <c r="C7" s="95" t="s">
        <v>13</v>
      </c>
      <c r="D7" s="96">
        <v>8</v>
      </c>
      <c r="E7" s="97">
        <f t="shared" si="0"/>
        <v>1.1428571428571428</v>
      </c>
      <c r="F7" s="96">
        <v>0</v>
      </c>
      <c r="G7" s="98">
        <v>0</v>
      </c>
      <c r="H7" s="96">
        <v>0</v>
      </c>
      <c r="I7" s="96">
        <v>0</v>
      </c>
      <c r="J7" s="96">
        <v>0</v>
      </c>
      <c r="K7" s="99">
        <f t="shared" si="1"/>
        <v>2.6666666666666665</v>
      </c>
      <c r="L7" s="96">
        <v>0</v>
      </c>
      <c r="M7" s="96">
        <v>0</v>
      </c>
      <c r="N7" s="96">
        <v>0</v>
      </c>
      <c r="O7" s="96">
        <v>0</v>
      </c>
      <c r="P7" s="100">
        <v>0</v>
      </c>
      <c r="Q7" s="101">
        <f t="shared" si="2"/>
        <v>0</v>
      </c>
      <c r="R7" s="101">
        <f t="shared" si="3"/>
        <v>8</v>
      </c>
      <c r="S7" s="102">
        <f>+R7/2.25</f>
        <v>3.5555555555555554</v>
      </c>
    </row>
    <row r="8" spans="1:19" ht="14.25" customHeight="1" x14ac:dyDescent="0.75">
      <c r="A8" s="93">
        <v>666509</v>
      </c>
      <c r="B8" s="94" t="s">
        <v>14</v>
      </c>
      <c r="C8" s="95" t="s">
        <v>15</v>
      </c>
      <c r="D8" s="96">
        <v>50</v>
      </c>
      <c r="E8" s="97">
        <f t="shared" si="0"/>
        <v>7.1428571428571432</v>
      </c>
      <c r="F8" s="96">
        <v>0</v>
      </c>
      <c r="G8" s="98">
        <v>0</v>
      </c>
      <c r="H8" s="96">
        <v>0</v>
      </c>
      <c r="I8" s="96">
        <v>0</v>
      </c>
      <c r="J8" s="96">
        <v>0</v>
      </c>
      <c r="K8" s="99">
        <f t="shared" si="1"/>
        <v>16.666666666666668</v>
      </c>
      <c r="L8" s="96">
        <v>0</v>
      </c>
      <c r="M8" s="96">
        <v>0</v>
      </c>
      <c r="N8" s="96">
        <v>0</v>
      </c>
      <c r="O8" s="96">
        <v>0</v>
      </c>
      <c r="P8" s="100">
        <v>0</v>
      </c>
      <c r="Q8" s="101">
        <f t="shared" si="2"/>
        <v>0</v>
      </c>
      <c r="R8" s="101">
        <f t="shared" si="3"/>
        <v>50</v>
      </c>
      <c r="S8" s="102">
        <f>+R8/2</f>
        <v>25</v>
      </c>
    </row>
    <row r="9" spans="1:19" ht="14.25" customHeight="1" x14ac:dyDescent="0.75">
      <c r="A9" s="93">
        <v>666510</v>
      </c>
      <c r="B9" s="94" t="s">
        <v>16</v>
      </c>
      <c r="C9" s="95" t="s">
        <v>169</v>
      </c>
      <c r="D9" s="96" t="e">
        <f>#VALUE!</f>
        <v>#VALUE!</v>
      </c>
      <c r="E9" s="97" t="e">
        <f t="shared" si="0"/>
        <v>#VALUE!</v>
      </c>
      <c r="F9" s="96">
        <v>0</v>
      </c>
      <c r="G9" s="98">
        <v>0</v>
      </c>
      <c r="H9" s="96">
        <v>0</v>
      </c>
      <c r="I9" s="96">
        <v>0</v>
      </c>
      <c r="J9" s="96">
        <v>0</v>
      </c>
      <c r="K9" s="99" t="e">
        <f t="shared" si="1"/>
        <v>#VALUE!</v>
      </c>
      <c r="L9" s="96">
        <v>0</v>
      </c>
      <c r="M9" s="96">
        <v>0</v>
      </c>
      <c r="N9" s="96">
        <v>0</v>
      </c>
      <c r="O9" s="96">
        <v>0</v>
      </c>
      <c r="P9" s="100">
        <v>0</v>
      </c>
      <c r="Q9" s="101">
        <f t="shared" si="2"/>
        <v>0</v>
      </c>
      <c r="R9" s="101" t="e">
        <f t="shared" si="3"/>
        <v>#VALUE!</v>
      </c>
      <c r="S9" s="102" t="e">
        <f t="shared" ref="S9:S19" si="4">+R9/2.25</f>
        <v>#VALUE!</v>
      </c>
    </row>
    <row r="10" spans="1:19" ht="14.25" customHeight="1" x14ac:dyDescent="0.75">
      <c r="A10" s="93">
        <v>666511</v>
      </c>
      <c r="B10" s="94" t="s">
        <v>18</v>
      </c>
      <c r="C10" s="95" t="s">
        <v>19</v>
      </c>
      <c r="D10" s="96">
        <v>4</v>
      </c>
      <c r="E10" s="97">
        <f t="shared" si="0"/>
        <v>0.5714285714285714</v>
      </c>
      <c r="F10" s="96">
        <v>0</v>
      </c>
      <c r="G10" s="98">
        <v>0</v>
      </c>
      <c r="H10" s="96">
        <v>0</v>
      </c>
      <c r="I10" s="96">
        <v>0</v>
      </c>
      <c r="J10" s="96">
        <v>0</v>
      </c>
      <c r="K10" s="99">
        <f t="shared" si="1"/>
        <v>1.3333333333333333</v>
      </c>
      <c r="L10" s="96">
        <v>0</v>
      </c>
      <c r="M10" s="96">
        <v>0</v>
      </c>
      <c r="N10" s="96">
        <v>0</v>
      </c>
      <c r="O10" s="96">
        <v>0</v>
      </c>
      <c r="P10" s="100">
        <v>0</v>
      </c>
      <c r="Q10" s="101">
        <f t="shared" si="2"/>
        <v>0</v>
      </c>
      <c r="R10" s="101">
        <f t="shared" si="3"/>
        <v>4</v>
      </c>
      <c r="S10" s="102">
        <f t="shared" si="4"/>
        <v>1.7777777777777777</v>
      </c>
    </row>
    <row r="11" spans="1:19" ht="14.25" customHeight="1" x14ac:dyDescent="0.75">
      <c r="A11" s="93">
        <v>666513</v>
      </c>
      <c r="B11" s="94" t="s">
        <v>20</v>
      </c>
      <c r="C11" s="95" t="s">
        <v>21</v>
      </c>
      <c r="D11" s="96">
        <v>14</v>
      </c>
      <c r="E11" s="97">
        <f t="shared" si="0"/>
        <v>2</v>
      </c>
      <c r="F11" s="96">
        <v>0</v>
      </c>
      <c r="G11" s="98">
        <v>0</v>
      </c>
      <c r="H11" s="96">
        <v>0</v>
      </c>
      <c r="I11" s="96">
        <v>0</v>
      </c>
      <c r="J11" s="96">
        <v>0</v>
      </c>
      <c r="K11" s="99">
        <f t="shared" si="1"/>
        <v>4.666666666666667</v>
      </c>
      <c r="L11" s="96">
        <v>0</v>
      </c>
      <c r="M11" s="96">
        <v>0</v>
      </c>
      <c r="N11" s="96">
        <v>0</v>
      </c>
      <c r="O11" s="96">
        <v>0</v>
      </c>
      <c r="P11" s="100">
        <v>0</v>
      </c>
      <c r="Q11" s="101">
        <f t="shared" si="2"/>
        <v>0</v>
      </c>
      <c r="R11" s="101">
        <f t="shared" si="3"/>
        <v>14</v>
      </c>
      <c r="S11" s="102">
        <f t="shared" si="4"/>
        <v>6.2222222222222223</v>
      </c>
    </row>
    <row r="12" spans="1:19" ht="14.25" customHeight="1" x14ac:dyDescent="0.75">
      <c r="A12" s="93">
        <v>666516</v>
      </c>
      <c r="B12" s="94" t="s">
        <v>22</v>
      </c>
      <c r="C12" s="95" t="s">
        <v>23</v>
      </c>
      <c r="D12" s="96">
        <v>16</v>
      </c>
      <c r="E12" s="97">
        <f t="shared" si="0"/>
        <v>2.2857142857142856</v>
      </c>
      <c r="F12" s="96">
        <v>0</v>
      </c>
      <c r="G12" s="98">
        <v>0</v>
      </c>
      <c r="H12" s="96">
        <v>0</v>
      </c>
      <c r="I12" s="96">
        <v>0</v>
      </c>
      <c r="J12" s="96">
        <v>0</v>
      </c>
      <c r="K12" s="99">
        <f t="shared" si="1"/>
        <v>5.333333333333333</v>
      </c>
      <c r="L12" s="96">
        <v>0</v>
      </c>
      <c r="M12" s="96">
        <v>0</v>
      </c>
      <c r="N12" s="96">
        <v>0</v>
      </c>
      <c r="O12" s="96">
        <v>0</v>
      </c>
      <c r="P12" s="100">
        <v>0</v>
      </c>
      <c r="Q12" s="101">
        <f t="shared" si="2"/>
        <v>0</v>
      </c>
      <c r="R12" s="101">
        <f t="shared" si="3"/>
        <v>16</v>
      </c>
      <c r="S12" s="102">
        <f t="shared" si="4"/>
        <v>7.1111111111111107</v>
      </c>
    </row>
    <row r="13" spans="1:19" ht="14.25" customHeight="1" x14ac:dyDescent="0.75">
      <c r="A13" s="93">
        <v>666517</v>
      </c>
      <c r="B13" s="94" t="s">
        <v>24</v>
      </c>
      <c r="C13" s="95" t="s">
        <v>25</v>
      </c>
      <c r="D13" s="96">
        <v>22</v>
      </c>
      <c r="E13" s="97">
        <f t="shared" si="0"/>
        <v>3.1428571428571428</v>
      </c>
      <c r="F13" s="96">
        <v>0</v>
      </c>
      <c r="G13" s="98">
        <v>0</v>
      </c>
      <c r="H13" s="96">
        <v>0</v>
      </c>
      <c r="I13" s="96">
        <v>0</v>
      </c>
      <c r="J13" s="96">
        <v>0</v>
      </c>
      <c r="K13" s="99">
        <f t="shared" si="1"/>
        <v>7.333333333333333</v>
      </c>
      <c r="L13" s="96">
        <v>0</v>
      </c>
      <c r="M13" s="96">
        <v>0</v>
      </c>
      <c r="N13" s="96">
        <v>0</v>
      </c>
      <c r="O13" s="96">
        <v>0</v>
      </c>
      <c r="P13" s="100">
        <v>0</v>
      </c>
      <c r="Q13" s="101">
        <f t="shared" si="2"/>
        <v>0</v>
      </c>
      <c r="R13" s="101">
        <f t="shared" si="3"/>
        <v>22</v>
      </c>
      <c r="S13" s="102">
        <f t="shared" si="4"/>
        <v>9.7777777777777786</v>
      </c>
    </row>
    <row r="14" spans="1:19" ht="14.25" customHeight="1" x14ac:dyDescent="0.75">
      <c r="A14" s="93">
        <v>666518</v>
      </c>
      <c r="B14" s="94" t="s">
        <v>26</v>
      </c>
      <c r="C14" s="95" t="s">
        <v>27</v>
      </c>
      <c r="D14" s="96" t="e">
        <f>#VALUE!</f>
        <v>#VALUE!</v>
      </c>
      <c r="E14" s="97" t="e">
        <f t="shared" si="0"/>
        <v>#VALUE!</v>
      </c>
      <c r="F14" s="96">
        <v>0</v>
      </c>
      <c r="G14" s="98">
        <v>0</v>
      </c>
      <c r="H14" s="96">
        <v>0</v>
      </c>
      <c r="I14" s="96">
        <v>0</v>
      </c>
      <c r="J14" s="96">
        <v>0</v>
      </c>
      <c r="K14" s="99" t="e">
        <f t="shared" si="1"/>
        <v>#VALUE!</v>
      </c>
      <c r="L14" s="96">
        <v>0</v>
      </c>
      <c r="M14" s="96">
        <v>0</v>
      </c>
      <c r="N14" s="96">
        <v>0</v>
      </c>
      <c r="O14" s="96">
        <v>0</v>
      </c>
      <c r="P14" s="100">
        <v>0</v>
      </c>
      <c r="Q14" s="101">
        <f t="shared" si="2"/>
        <v>0</v>
      </c>
      <c r="R14" s="101" t="e">
        <f t="shared" si="3"/>
        <v>#VALUE!</v>
      </c>
      <c r="S14" s="102" t="e">
        <f t="shared" si="4"/>
        <v>#VALUE!</v>
      </c>
    </row>
    <row r="15" spans="1:19" ht="14.25" customHeight="1" x14ac:dyDescent="0.75">
      <c r="A15" s="93">
        <v>666519</v>
      </c>
      <c r="B15" s="94" t="s">
        <v>28</v>
      </c>
      <c r="C15" s="95" t="s">
        <v>29</v>
      </c>
      <c r="D15" s="96">
        <v>22</v>
      </c>
      <c r="E15" s="97">
        <f t="shared" si="0"/>
        <v>3.1428571428571428</v>
      </c>
      <c r="F15" s="96">
        <v>0</v>
      </c>
      <c r="G15" s="98">
        <v>0</v>
      </c>
      <c r="H15" s="96">
        <v>0</v>
      </c>
      <c r="I15" s="96">
        <v>0</v>
      </c>
      <c r="J15" s="96">
        <v>0</v>
      </c>
      <c r="K15" s="99">
        <f t="shared" si="1"/>
        <v>7.333333333333333</v>
      </c>
      <c r="L15" s="96">
        <v>0</v>
      </c>
      <c r="M15" s="96">
        <v>0</v>
      </c>
      <c r="N15" s="96">
        <v>0</v>
      </c>
      <c r="O15" s="96">
        <v>0</v>
      </c>
      <c r="P15" s="100">
        <v>0</v>
      </c>
      <c r="Q15" s="101">
        <f t="shared" si="2"/>
        <v>0</v>
      </c>
      <c r="R15" s="101">
        <f t="shared" si="3"/>
        <v>22</v>
      </c>
      <c r="S15" s="102">
        <f t="shared" si="4"/>
        <v>9.7777777777777786</v>
      </c>
    </row>
    <row r="16" spans="1:19" ht="14.25" customHeight="1" x14ac:dyDescent="0.75">
      <c r="A16" s="93">
        <v>666521</v>
      </c>
      <c r="B16" s="94" t="s">
        <v>30</v>
      </c>
      <c r="C16" s="95" t="s">
        <v>31</v>
      </c>
      <c r="D16" s="96">
        <v>36</v>
      </c>
      <c r="E16" s="97">
        <f t="shared" si="0"/>
        <v>5.1428571428571432</v>
      </c>
      <c r="F16" s="96">
        <v>0</v>
      </c>
      <c r="G16" s="98">
        <v>0</v>
      </c>
      <c r="H16" s="96">
        <v>0</v>
      </c>
      <c r="I16" s="96">
        <v>0</v>
      </c>
      <c r="J16" s="96">
        <v>0</v>
      </c>
      <c r="K16" s="99">
        <f t="shared" si="1"/>
        <v>12</v>
      </c>
      <c r="L16" s="96">
        <v>0</v>
      </c>
      <c r="M16" s="96">
        <v>0</v>
      </c>
      <c r="N16" s="96">
        <v>0</v>
      </c>
      <c r="O16" s="96">
        <v>0</v>
      </c>
      <c r="P16" s="100">
        <v>0</v>
      </c>
      <c r="Q16" s="101">
        <f t="shared" si="2"/>
        <v>0</v>
      </c>
      <c r="R16" s="101">
        <f t="shared" si="3"/>
        <v>36</v>
      </c>
      <c r="S16" s="102">
        <f t="shared" si="4"/>
        <v>16</v>
      </c>
    </row>
    <row r="17" spans="1:20" ht="14.25" customHeight="1" x14ac:dyDescent="0.75">
      <c r="A17" s="93">
        <v>666522</v>
      </c>
      <c r="B17" s="94" t="s">
        <v>32</v>
      </c>
      <c r="C17" s="95" t="s">
        <v>33</v>
      </c>
      <c r="D17" s="96">
        <v>180</v>
      </c>
      <c r="E17" s="97">
        <f t="shared" si="0"/>
        <v>25.714285714285715</v>
      </c>
      <c r="F17" s="96">
        <v>0</v>
      </c>
      <c r="G17" s="98">
        <v>0</v>
      </c>
      <c r="H17" s="96">
        <v>0</v>
      </c>
      <c r="I17" s="96">
        <v>0</v>
      </c>
      <c r="J17" s="96">
        <v>0</v>
      </c>
      <c r="K17" s="99">
        <f t="shared" si="1"/>
        <v>60</v>
      </c>
      <c r="L17" s="96">
        <v>0</v>
      </c>
      <c r="M17" s="96">
        <v>0</v>
      </c>
      <c r="N17" s="96">
        <v>0</v>
      </c>
      <c r="O17" s="96">
        <v>0</v>
      </c>
      <c r="P17" s="100">
        <v>0</v>
      </c>
      <c r="Q17" s="101">
        <f t="shared" si="2"/>
        <v>0</v>
      </c>
      <c r="R17" s="101">
        <f t="shared" si="3"/>
        <v>180</v>
      </c>
      <c r="S17" s="102">
        <f t="shared" si="4"/>
        <v>80</v>
      </c>
    </row>
    <row r="18" spans="1:20" ht="14.25" customHeight="1" x14ac:dyDescent="0.75">
      <c r="A18" s="93">
        <v>666523</v>
      </c>
      <c r="B18" s="94" t="s">
        <v>34</v>
      </c>
      <c r="C18" s="95" t="s">
        <v>35</v>
      </c>
      <c r="D18" s="96" t="e">
        <f>#VALUE!</f>
        <v>#VALUE!</v>
      </c>
      <c r="E18" s="97" t="e">
        <f t="shared" si="0"/>
        <v>#VALUE!</v>
      </c>
      <c r="F18" s="96">
        <v>0</v>
      </c>
      <c r="G18" s="98">
        <v>0</v>
      </c>
      <c r="H18" s="96">
        <v>0</v>
      </c>
      <c r="I18" s="96">
        <v>0</v>
      </c>
      <c r="J18" s="96">
        <v>0</v>
      </c>
      <c r="K18" s="99" t="e">
        <f t="shared" si="1"/>
        <v>#VALUE!</v>
      </c>
      <c r="L18" s="96">
        <v>0</v>
      </c>
      <c r="M18" s="96">
        <v>0</v>
      </c>
      <c r="N18" s="96">
        <v>0</v>
      </c>
      <c r="O18" s="96">
        <v>0</v>
      </c>
      <c r="P18" s="100">
        <v>0</v>
      </c>
      <c r="Q18" s="101">
        <f t="shared" si="2"/>
        <v>0</v>
      </c>
      <c r="R18" s="101" t="e">
        <f t="shared" si="3"/>
        <v>#VALUE!</v>
      </c>
      <c r="S18" s="102" t="e">
        <f t="shared" si="4"/>
        <v>#VALUE!</v>
      </c>
    </row>
    <row r="19" spans="1:20" ht="14.25" customHeight="1" x14ac:dyDescent="0.75">
      <c r="A19" s="93">
        <v>666530</v>
      </c>
      <c r="B19" s="94" t="s">
        <v>36</v>
      </c>
      <c r="C19" s="95" t="s">
        <v>37</v>
      </c>
      <c r="D19" s="96" t="e">
        <f>#VALUE!</f>
        <v>#VALUE!</v>
      </c>
      <c r="E19" s="97" t="e">
        <f t="shared" si="0"/>
        <v>#VALUE!</v>
      </c>
      <c r="F19" s="96">
        <v>0</v>
      </c>
      <c r="G19" s="98">
        <v>0</v>
      </c>
      <c r="H19" s="96">
        <v>0</v>
      </c>
      <c r="I19" s="96">
        <v>0</v>
      </c>
      <c r="J19" s="96">
        <v>0</v>
      </c>
      <c r="K19" s="99" t="e">
        <f t="shared" si="1"/>
        <v>#VALUE!</v>
      </c>
      <c r="L19" s="96">
        <v>0</v>
      </c>
      <c r="M19" s="96">
        <v>0</v>
      </c>
      <c r="N19" s="96">
        <v>0</v>
      </c>
      <c r="O19" s="96">
        <v>0</v>
      </c>
      <c r="P19" s="100">
        <v>0</v>
      </c>
      <c r="Q19" s="101">
        <f t="shared" si="2"/>
        <v>0</v>
      </c>
      <c r="R19" s="101" t="e">
        <f t="shared" si="3"/>
        <v>#VALUE!</v>
      </c>
      <c r="S19" s="102" t="e">
        <f t="shared" si="4"/>
        <v>#VALUE!</v>
      </c>
    </row>
    <row r="20" spans="1:20" ht="14.25" customHeight="1" x14ac:dyDescent="0.75">
      <c r="A20" s="93">
        <v>666531</v>
      </c>
      <c r="B20" s="94" t="s">
        <v>38</v>
      </c>
      <c r="C20" s="95" t="s">
        <v>39</v>
      </c>
      <c r="D20" s="96">
        <v>14</v>
      </c>
      <c r="E20" s="97">
        <f t="shared" si="0"/>
        <v>2</v>
      </c>
      <c r="F20" s="96">
        <v>0</v>
      </c>
      <c r="G20" s="98">
        <v>0</v>
      </c>
      <c r="H20" s="96">
        <v>0</v>
      </c>
      <c r="I20" s="96">
        <v>0</v>
      </c>
      <c r="J20" s="96">
        <v>0</v>
      </c>
      <c r="K20" s="99">
        <f t="shared" si="1"/>
        <v>4.666666666666667</v>
      </c>
      <c r="L20" s="96">
        <v>0</v>
      </c>
      <c r="M20" s="96">
        <v>0</v>
      </c>
      <c r="N20" s="96">
        <v>0</v>
      </c>
      <c r="O20" s="96">
        <v>0</v>
      </c>
      <c r="P20" s="100">
        <v>0</v>
      </c>
      <c r="Q20" s="101">
        <f t="shared" si="2"/>
        <v>0</v>
      </c>
      <c r="R20" s="101">
        <f t="shared" si="3"/>
        <v>14</v>
      </c>
      <c r="S20" s="102"/>
    </row>
    <row r="21" spans="1:20" ht="14.25" customHeight="1" x14ac:dyDescent="0.75">
      <c r="A21" s="93">
        <v>666540</v>
      </c>
      <c r="B21" s="94" t="s">
        <v>40</v>
      </c>
      <c r="C21" s="95" t="s">
        <v>40</v>
      </c>
      <c r="D21" s="96" t="e">
        <f>#VALUE!</f>
        <v>#VALUE!</v>
      </c>
      <c r="E21" s="97" t="e">
        <f t="shared" si="0"/>
        <v>#VALUE!</v>
      </c>
      <c r="F21" s="96">
        <v>0</v>
      </c>
      <c r="G21" s="98">
        <v>0</v>
      </c>
      <c r="H21" s="96">
        <v>0</v>
      </c>
      <c r="I21" s="96">
        <v>0</v>
      </c>
      <c r="J21" s="96">
        <v>0</v>
      </c>
      <c r="K21" s="99" t="e">
        <f t="shared" si="1"/>
        <v>#VALUE!</v>
      </c>
      <c r="L21" s="96">
        <v>0</v>
      </c>
      <c r="M21" s="96">
        <v>0</v>
      </c>
      <c r="N21" s="96">
        <v>0</v>
      </c>
      <c r="O21" s="96">
        <v>0</v>
      </c>
      <c r="P21" s="100">
        <v>0</v>
      </c>
      <c r="Q21" s="101">
        <f t="shared" si="2"/>
        <v>0</v>
      </c>
      <c r="R21" s="101" t="e">
        <f t="shared" si="3"/>
        <v>#VALUE!</v>
      </c>
      <c r="S21" s="102"/>
    </row>
    <row r="22" spans="1:20" ht="15" customHeight="1" x14ac:dyDescent="0.75">
      <c r="A22" s="93">
        <v>666541</v>
      </c>
      <c r="B22" s="94" t="s">
        <v>41</v>
      </c>
      <c r="C22" s="103" t="s">
        <v>41</v>
      </c>
      <c r="D22" s="96" t="e">
        <f>#VALUE!</f>
        <v>#VALUE!</v>
      </c>
      <c r="E22" s="97" t="e">
        <f t="shared" si="0"/>
        <v>#VALUE!</v>
      </c>
      <c r="F22" s="96">
        <v>0</v>
      </c>
      <c r="G22" s="98">
        <v>0</v>
      </c>
      <c r="H22" s="96">
        <v>0</v>
      </c>
      <c r="I22" s="96">
        <v>0</v>
      </c>
      <c r="J22" s="96">
        <v>0</v>
      </c>
      <c r="K22" s="99" t="e">
        <f t="shared" si="1"/>
        <v>#VALUE!</v>
      </c>
      <c r="L22" s="96">
        <v>0</v>
      </c>
      <c r="M22" s="96">
        <v>0</v>
      </c>
      <c r="N22" s="96">
        <v>0</v>
      </c>
      <c r="O22" s="96">
        <v>0</v>
      </c>
      <c r="P22" s="100">
        <v>0</v>
      </c>
      <c r="Q22" s="101">
        <f t="shared" si="2"/>
        <v>0</v>
      </c>
      <c r="R22" s="101" t="e">
        <f t="shared" si="3"/>
        <v>#VALUE!</v>
      </c>
      <c r="S22" s="102"/>
    </row>
    <row r="23" spans="1:20" s="50" customFormat="1" ht="15" customHeight="1" x14ac:dyDescent="0.75">
      <c r="A23" s="108">
        <v>666536</v>
      </c>
      <c r="B23" s="109" t="s">
        <v>42</v>
      </c>
      <c r="C23" s="110"/>
      <c r="D23" s="96">
        <v>40</v>
      </c>
      <c r="E23" s="97">
        <f t="shared" si="0"/>
        <v>5.7142857142857144</v>
      </c>
      <c r="F23" s="96">
        <v>0</v>
      </c>
      <c r="G23" s="98">
        <v>0</v>
      </c>
      <c r="H23" s="96">
        <v>0</v>
      </c>
      <c r="I23" s="96">
        <v>0</v>
      </c>
      <c r="J23" s="96">
        <v>0</v>
      </c>
      <c r="K23" s="99">
        <f t="shared" si="1"/>
        <v>13.333333333333334</v>
      </c>
      <c r="L23" s="96">
        <v>0</v>
      </c>
      <c r="M23" s="96">
        <v>0</v>
      </c>
      <c r="N23" s="96">
        <v>0</v>
      </c>
      <c r="O23" s="96">
        <v>0</v>
      </c>
      <c r="P23" s="100">
        <v>0</v>
      </c>
      <c r="Q23" s="101">
        <f t="shared" si="2"/>
        <v>0</v>
      </c>
      <c r="R23" s="101">
        <f t="shared" si="3"/>
        <v>40</v>
      </c>
      <c r="S23" s="127"/>
      <c r="T23" s="127"/>
    </row>
    <row r="24" spans="1:20" s="50" customFormat="1" ht="15" customHeight="1" x14ac:dyDescent="0.75">
      <c r="A24" s="112" t="s">
        <v>193</v>
      </c>
      <c r="B24" s="127" t="s">
        <v>197</v>
      </c>
      <c r="D24" s="96">
        <v>40</v>
      </c>
      <c r="E24" s="97">
        <f t="shared" si="0"/>
        <v>5.7142857142857144</v>
      </c>
      <c r="F24" s="96">
        <v>0</v>
      </c>
      <c r="G24" s="98">
        <v>0</v>
      </c>
      <c r="H24" s="96">
        <v>0</v>
      </c>
      <c r="I24" s="96">
        <v>0</v>
      </c>
      <c r="J24" s="96">
        <v>0</v>
      </c>
      <c r="K24" s="99">
        <f t="shared" si="1"/>
        <v>13.333333333333334</v>
      </c>
      <c r="L24" s="96">
        <v>0</v>
      </c>
      <c r="M24" s="96">
        <v>0</v>
      </c>
      <c r="N24" s="96">
        <v>0</v>
      </c>
      <c r="O24" s="96">
        <v>0</v>
      </c>
      <c r="P24" s="100">
        <v>0</v>
      </c>
      <c r="Q24" s="101">
        <f t="shared" si="2"/>
        <v>0</v>
      </c>
      <c r="R24" s="101">
        <f t="shared" si="3"/>
        <v>40</v>
      </c>
      <c r="S24" s="127"/>
      <c r="T24" s="127"/>
    </row>
    <row r="25" spans="1:20" ht="15" customHeight="1" x14ac:dyDescent="0.75">
      <c r="A25" s="4" t="str">
        <f>+A1</f>
        <v>Weeks of 06/29/26 &amp; 07/06/26</v>
      </c>
      <c r="B25" s="4"/>
      <c r="C25" s="4"/>
      <c r="D25" s="4"/>
      <c r="E25" s="4"/>
      <c r="F25" s="115"/>
      <c r="G25" s="115"/>
      <c r="H25" s="115"/>
      <c r="I25" s="115"/>
      <c r="J25" s="116"/>
      <c r="K25" s="116"/>
      <c r="L25" s="116"/>
      <c r="M25" s="116"/>
      <c r="N25" s="116"/>
      <c r="O25" s="116"/>
      <c r="P25" s="117"/>
      <c r="Q25" s="101"/>
      <c r="R25" s="101"/>
    </row>
    <row r="26" spans="1:20" ht="42" customHeight="1" x14ac:dyDescent="0.75">
      <c r="A26" s="118"/>
      <c r="B26" s="119" t="s">
        <v>170</v>
      </c>
      <c r="C26" s="120" t="s">
        <v>65</v>
      </c>
      <c r="D26" s="121" t="s">
        <v>119</v>
      </c>
      <c r="E26" s="122" t="s">
        <v>171</v>
      </c>
      <c r="F26" s="88" t="s">
        <v>162</v>
      </c>
      <c r="G26" s="86" t="s">
        <v>163</v>
      </c>
      <c r="H26" s="87" t="s">
        <v>172</v>
      </c>
      <c r="I26" s="86" t="s">
        <v>165</v>
      </c>
      <c r="J26" s="123" t="s">
        <v>166</v>
      </c>
      <c r="K26" s="124" t="str">
        <f>+K2</f>
        <v>2nd wk daily goals</v>
      </c>
      <c r="L26" s="125" t="s">
        <v>162</v>
      </c>
      <c r="M26" s="86" t="s">
        <v>163</v>
      </c>
      <c r="N26" s="126" t="s">
        <v>172</v>
      </c>
      <c r="O26" s="86" t="s">
        <v>165</v>
      </c>
      <c r="P26" s="90" t="s">
        <v>166</v>
      </c>
      <c r="Q26" s="101"/>
      <c r="R26" s="92" t="s">
        <v>168</v>
      </c>
    </row>
    <row r="27" spans="1:20" ht="15" customHeight="1" x14ac:dyDescent="0.75">
      <c r="A27" s="93">
        <v>666501</v>
      </c>
      <c r="B27" s="94" t="s">
        <v>4</v>
      </c>
      <c r="C27" s="127" t="s">
        <v>5</v>
      </c>
      <c r="D27" s="128">
        <v>390</v>
      </c>
      <c r="E27" s="129">
        <f t="shared" ref="E27:E47" si="5">+D27/9</f>
        <v>43.333333333333336</v>
      </c>
      <c r="F27" s="96">
        <v>0</v>
      </c>
      <c r="G27" s="96">
        <v>0</v>
      </c>
      <c r="H27" s="96">
        <v>0</v>
      </c>
      <c r="I27" s="96">
        <v>0</v>
      </c>
      <c r="J27" s="130">
        <v>0</v>
      </c>
      <c r="K27" s="131">
        <f t="shared" ref="K27:K47" si="6">(+D27-SUM(F27:J27))/4</f>
        <v>97.5</v>
      </c>
      <c r="L27" s="132">
        <v>0</v>
      </c>
      <c r="M27" s="96">
        <v>0</v>
      </c>
      <c r="N27" s="96">
        <v>0</v>
      </c>
      <c r="O27" s="96">
        <v>0</v>
      </c>
      <c r="P27" s="100">
        <v>0</v>
      </c>
      <c r="Q27" s="101">
        <f t="shared" ref="Q27:Q47" si="7">SUM(F27:J27)+SUM(L27:P27)</f>
        <v>0</v>
      </c>
      <c r="R27" s="101">
        <f t="shared" ref="R27:R47" si="8">+D27-Q27</f>
        <v>390</v>
      </c>
      <c r="S27" s="102">
        <f t="shared" ref="S27:S36" si="9">+R27/3</f>
        <v>130</v>
      </c>
    </row>
    <row r="28" spans="1:20" ht="15" customHeight="1" x14ac:dyDescent="0.75">
      <c r="A28" s="93">
        <v>666502</v>
      </c>
      <c r="B28" s="94" t="s">
        <v>6</v>
      </c>
      <c r="C28" s="127" t="s">
        <v>7</v>
      </c>
      <c r="D28" s="128">
        <v>162</v>
      </c>
      <c r="E28" s="129">
        <f t="shared" si="5"/>
        <v>18</v>
      </c>
      <c r="F28" s="96">
        <v>0</v>
      </c>
      <c r="G28" s="96">
        <v>0</v>
      </c>
      <c r="H28" s="96">
        <v>0</v>
      </c>
      <c r="I28" s="96">
        <v>0</v>
      </c>
      <c r="J28" s="130">
        <v>0</v>
      </c>
      <c r="K28" s="131">
        <f t="shared" si="6"/>
        <v>40.5</v>
      </c>
      <c r="L28" s="132">
        <v>0</v>
      </c>
      <c r="M28" s="96">
        <v>0</v>
      </c>
      <c r="N28" s="96">
        <v>0</v>
      </c>
      <c r="O28" s="96">
        <v>0</v>
      </c>
      <c r="P28" s="100">
        <v>0</v>
      </c>
      <c r="Q28" s="101">
        <f t="shared" si="7"/>
        <v>0</v>
      </c>
      <c r="R28" s="101">
        <f t="shared" si="8"/>
        <v>162</v>
      </c>
      <c r="S28" s="102">
        <f t="shared" si="9"/>
        <v>54</v>
      </c>
    </row>
    <row r="29" spans="1:20" ht="15" customHeight="1" x14ac:dyDescent="0.75">
      <c r="A29" s="93">
        <v>666505</v>
      </c>
      <c r="B29" s="94" t="s">
        <v>8</v>
      </c>
      <c r="C29" s="127" t="s">
        <v>9</v>
      </c>
      <c r="D29" s="128" t="e">
        <f>#VALUE!</f>
        <v>#VALUE!</v>
      </c>
      <c r="E29" s="129" t="e">
        <f t="shared" si="5"/>
        <v>#VALUE!</v>
      </c>
      <c r="F29" s="96">
        <v>0</v>
      </c>
      <c r="G29" s="96">
        <v>0</v>
      </c>
      <c r="H29" s="96">
        <v>0</v>
      </c>
      <c r="I29" s="96">
        <v>0</v>
      </c>
      <c r="J29" s="130">
        <v>0</v>
      </c>
      <c r="K29" s="131" t="e">
        <f t="shared" si="6"/>
        <v>#VALUE!</v>
      </c>
      <c r="L29" s="132">
        <v>0</v>
      </c>
      <c r="M29" s="96">
        <v>0</v>
      </c>
      <c r="N29" s="96">
        <v>0</v>
      </c>
      <c r="O29" s="96">
        <v>0</v>
      </c>
      <c r="P29" s="100">
        <v>0</v>
      </c>
      <c r="Q29" s="101">
        <f t="shared" si="7"/>
        <v>0</v>
      </c>
      <c r="R29" s="101" t="e">
        <f t="shared" si="8"/>
        <v>#VALUE!</v>
      </c>
      <c r="S29" s="102" t="e">
        <f t="shared" si="9"/>
        <v>#VALUE!</v>
      </c>
    </row>
    <row r="30" spans="1:20" ht="15" customHeight="1" x14ac:dyDescent="0.75">
      <c r="A30" s="93">
        <v>666506</v>
      </c>
      <c r="B30" s="94" t="s">
        <v>10</v>
      </c>
      <c r="C30" s="127" t="s">
        <v>11</v>
      </c>
      <c r="D30" s="128">
        <v>144</v>
      </c>
      <c r="E30" s="129">
        <f t="shared" si="5"/>
        <v>16</v>
      </c>
      <c r="F30" s="96">
        <v>0</v>
      </c>
      <c r="G30" s="96">
        <v>0</v>
      </c>
      <c r="H30" s="96">
        <v>0</v>
      </c>
      <c r="I30" s="96">
        <v>0</v>
      </c>
      <c r="J30" s="130">
        <v>0</v>
      </c>
      <c r="K30" s="131">
        <f t="shared" si="6"/>
        <v>36</v>
      </c>
      <c r="L30" s="132">
        <v>0</v>
      </c>
      <c r="M30" s="96">
        <v>0</v>
      </c>
      <c r="N30" s="96">
        <v>0</v>
      </c>
      <c r="O30" s="96">
        <v>0</v>
      </c>
      <c r="P30" s="100">
        <v>0</v>
      </c>
      <c r="Q30" s="101">
        <f t="shared" si="7"/>
        <v>0</v>
      </c>
      <c r="R30" s="101">
        <f t="shared" si="8"/>
        <v>144</v>
      </c>
      <c r="S30" s="102">
        <f t="shared" si="9"/>
        <v>48</v>
      </c>
    </row>
    <row r="31" spans="1:20" ht="15" customHeight="1" x14ac:dyDescent="0.75">
      <c r="A31" s="93">
        <v>666507</v>
      </c>
      <c r="B31" s="94" t="s">
        <v>12</v>
      </c>
      <c r="C31" s="127" t="s">
        <v>13</v>
      </c>
      <c r="D31" s="128" t="e">
        <f>#VALUE!</f>
        <v>#VALUE!</v>
      </c>
      <c r="E31" s="129" t="e">
        <f t="shared" si="5"/>
        <v>#VALUE!</v>
      </c>
      <c r="F31" s="96">
        <v>0</v>
      </c>
      <c r="G31" s="96">
        <v>0</v>
      </c>
      <c r="H31" s="96">
        <v>0</v>
      </c>
      <c r="I31" s="96">
        <v>0</v>
      </c>
      <c r="J31" s="130">
        <v>0</v>
      </c>
      <c r="K31" s="131" t="e">
        <f t="shared" si="6"/>
        <v>#VALUE!</v>
      </c>
      <c r="L31" s="132">
        <v>0</v>
      </c>
      <c r="M31" s="96">
        <v>0</v>
      </c>
      <c r="N31" s="96">
        <v>0</v>
      </c>
      <c r="O31" s="96">
        <v>0</v>
      </c>
      <c r="P31" s="100">
        <v>0</v>
      </c>
      <c r="Q31" s="101">
        <f t="shared" si="7"/>
        <v>0</v>
      </c>
      <c r="R31" s="101" t="e">
        <f t="shared" si="8"/>
        <v>#VALUE!</v>
      </c>
      <c r="S31" s="102" t="e">
        <f t="shared" si="9"/>
        <v>#VALUE!</v>
      </c>
    </row>
    <row r="32" spans="1:20" ht="15" customHeight="1" x14ac:dyDescent="0.75">
      <c r="A32" s="93">
        <v>666509</v>
      </c>
      <c r="B32" s="94" t="s">
        <v>14</v>
      </c>
      <c r="C32" s="127" t="s">
        <v>15</v>
      </c>
      <c r="D32" s="128" t="e">
        <f>#VALUE!</f>
        <v>#VALUE!</v>
      </c>
      <c r="E32" s="129" t="e">
        <f t="shared" si="5"/>
        <v>#VALUE!</v>
      </c>
      <c r="F32" s="96">
        <v>0</v>
      </c>
      <c r="G32" s="96">
        <v>0</v>
      </c>
      <c r="H32" s="96">
        <v>0</v>
      </c>
      <c r="I32" s="96">
        <v>0</v>
      </c>
      <c r="J32" s="130">
        <v>0</v>
      </c>
      <c r="K32" s="131" t="e">
        <f t="shared" si="6"/>
        <v>#VALUE!</v>
      </c>
      <c r="L32" s="132">
        <v>0</v>
      </c>
      <c r="M32" s="96">
        <v>0</v>
      </c>
      <c r="N32" s="96">
        <v>0</v>
      </c>
      <c r="O32" s="96">
        <v>0</v>
      </c>
      <c r="P32" s="100">
        <v>0</v>
      </c>
      <c r="Q32" s="101">
        <f t="shared" si="7"/>
        <v>0</v>
      </c>
      <c r="R32" s="101" t="e">
        <f t="shared" si="8"/>
        <v>#VALUE!</v>
      </c>
      <c r="S32" s="102" t="e">
        <f t="shared" si="9"/>
        <v>#VALUE!</v>
      </c>
    </row>
    <row r="33" spans="1:24" ht="15" customHeight="1" x14ac:dyDescent="0.75">
      <c r="A33" s="93">
        <v>666510</v>
      </c>
      <c r="B33" s="94" t="s">
        <v>16</v>
      </c>
      <c r="C33" s="127" t="s">
        <v>169</v>
      </c>
      <c r="D33" s="128" t="e">
        <f>#VALUE!</f>
        <v>#VALUE!</v>
      </c>
      <c r="E33" s="129" t="e">
        <f t="shared" si="5"/>
        <v>#VALUE!</v>
      </c>
      <c r="F33" s="96">
        <v>0</v>
      </c>
      <c r="G33" s="96">
        <v>0</v>
      </c>
      <c r="H33" s="96">
        <v>0</v>
      </c>
      <c r="I33" s="96">
        <v>0</v>
      </c>
      <c r="J33" s="130">
        <v>0</v>
      </c>
      <c r="K33" s="131" t="e">
        <f t="shared" si="6"/>
        <v>#VALUE!</v>
      </c>
      <c r="L33" s="132">
        <v>0</v>
      </c>
      <c r="M33" s="96">
        <v>0</v>
      </c>
      <c r="N33" s="96">
        <v>0</v>
      </c>
      <c r="O33" s="96">
        <v>0</v>
      </c>
      <c r="P33" s="100">
        <v>0</v>
      </c>
      <c r="Q33" s="101">
        <f t="shared" si="7"/>
        <v>0</v>
      </c>
      <c r="R33" s="101" t="e">
        <f t="shared" si="8"/>
        <v>#VALUE!</v>
      </c>
      <c r="S33" s="102" t="e">
        <f t="shared" si="9"/>
        <v>#VALUE!</v>
      </c>
    </row>
    <row r="34" spans="1:24" ht="15" customHeight="1" x14ac:dyDescent="0.75">
      <c r="A34" s="93">
        <v>666511</v>
      </c>
      <c r="B34" s="94" t="s">
        <v>18</v>
      </c>
      <c r="C34" s="127" t="s">
        <v>19</v>
      </c>
      <c r="D34" s="128" t="e">
        <f>#VALUE!</f>
        <v>#VALUE!</v>
      </c>
      <c r="E34" s="129" t="e">
        <f t="shared" si="5"/>
        <v>#VALUE!</v>
      </c>
      <c r="F34" s="96">
        <v>0</v>
      </c>
      <c r="G34" s="96">
        <v>0</v>
      </c>
      <c r="H34" s="96">
        <v>0</v>
      </c>
      <c r="I34" s="96">
        <v>0</v>
      </c>
      <c r="J34" s="130">
        <v>0</v>
      </c>
      <c r="K34" s="131" t="e">
        <f t="shared" si="6"/>
        <v>#VALUE!</v>
      </c>
      <c r="L34" s="132">
        <v>0</v>
      </c>
      <c r="M34" s="96">
        <v>0</v>
      </c>
      <c r="N34" s="96">
        <v>0</v>
      </c>
      <c r="O34" s="96">
        <v>0</v>
      </c>
      <c r="P34" s="100">
        <v>0</v>
      </c>
      <c r="Q34" s="101">
        <f t="shared" si="7"/>
        <v>0</v>
      </c>
      <c r="R34" s="101" t="e">
        <f t="shared" si="8"/>
        <v>#VALUE!</v>
      </c>
      <c r="S34" s="102" t="e">
        <f t="shared" si="9"/>
        <v>#VALUE!</v>
      </c>
    </row>
    <row r="35" spans="1:24" ht="15" customHeight="1" x14ac:dyDescent="0.75">
      <c r="A35" s="93">
        <v>666513</v>
      </c>
      <c r="B35" s="94" t="s">
        <v>20</v>
      </c>
      <c r="C35" s="127" t="s">
        <v>21</v>
      </c>
      <c r="D35" s="128" t="e">
        <f>#VALUE!</f>
        <v>#VALUE!</v>
      </c>
      <c r="E35" s="129" t="e">
        <f t="shared" si="5"/>
        <v>#VALUE!</v>
      </c>
      <c r="F35" s="96">
        <v>0</v>
      </c>
      <c r="G35" s="96">
        <v>0</v>
      </c>
      <c r="H35" s="96">
        <v>0</v>
      </c>
      <c r="I35" s="96">
        <v>0</v>
      </c>
      <c r="J35" s="130">
        <v>0</v>
      </c>
      <c r="K35" s="131" t="e">
        <f t="shared" si="6"/>
        <v>#VALUE!</v>
      </c>
      <c r="L35" s="132">
        <v>0</v>
      </c>
      <c r="M35" s="96">
        <v>0</v>
      </c>
      <c r="N35" s="96">
        <v>0</v>
      </c>
      <c r="O35" s="96">
        <v>0</v>
      </c>
      <c r="P35" s="100">
        <v>0</v>
      </c>
      <c r="Q35" s="101">
        <f t="shared" si="7"/>
        <v>0</v>
      </c>
      <c r="R35" s="101" t="e">
        <f t="shared" si="8"/>
        <v>#VALUE!</v>
      </c>
      <c r="S35" s="102" t="e">
        <f t="shared" si="9"/>
        <v>#VALUE!</v>
      </c>
    </row>
    <row r="36" spans="1:24" ht="15" customHeight="1" x14ac:dyDescent="0.75">
      <c r="A36" s="93">
        <v>666516</v>
      </c>
      <c r="B36" s="94" t="s">
        <v>22</v>
      </c>
      <c r="C36" s="127" t="s">
        <v>23</v>
      </c>
      <c r="D36" s="128" t="e">
        <f>#VALUE!</f>
        <v>#VALUE!</v>
      </c>
      <c r="E36" s="129" t="e">
        <f t="shared" si="5"/>
        <v>#VALUE!</v>
      </c>
      <c r="F36" s="96">
        <v>0</v>
      </c>
      <c r="G36" s="96">
        <v>0</v>
      </c>
      <c r="H36" s="96">
        <v>0</v>
      </c>
      <c r="I36" s="96">
        <v>0</v>
      </c>
      <c r="J36" s="130">
        <v>0</v>
      </c>
      <c r="K36" s="131" t="e">
        <f t="shared" si="6"/>
        <v>#VALUE!</v>
      </c>
      <c r="L36" s="132">
        <v>0</v>
      </c>
      <c r="M36" s="96">
        <v>0</v>
      </c>
      <c r="N36" s="96">
        <v>0</v>
      </c>
      <c r="O36" s="96">
        <v>0</v>
      </c>
      <c r="P36" s="100">
        <v>0</v>
      </c>
      <c r="Q36" s="101">
        <f t="shared" si="7"/>
        <v>0</v>
      </c>
      <c r="R36" s="101" t="e">
        <f t="shared" si="8"/>
        <v>#VALUE!</v>
      </c>
      <c r="S36" s="102" t="e">
        <f t="shared" si="9"/>
        <v>#VALUE!</v>
      </c>
    </row>
    <row r="37" spans="1:24" ht="15" customHeight="1" x14ac:dyDescent="0.75">
      <c r="A37" s="93">
        <v>666517</v>
      </c>
      <c r="B37" s="94" t="s">
        <v>24</v>
      </c>
      <c r="C37" s="127" t="s">
        <v>25</v>
      </c>
      <c r="D37" s="128" t="e">
        <f>#VALUE!</f>
        <v>#VALUE!</v>
      </c>
      <c r="E37" s="129" t="e">
        <f t="shared" si="5"/>
        <v>#VALUE!</v>
      </c>
      <c r="F37" s="96">
        <v>0</v>
      </c>
      <c r="G37" s="96">
        <v>0</v>
      </c>
      <c r="H37" s="96">
        <v>0</v>
      </c>
      <c r="I37" s="96">
        <v>0</v>
      </c>
      <c r="J37" s="130">
        <v>0</v>
      </c>
      <c r="K37" s="131" t="e">
        <f t="shared" si="6"/>
        <v>#VALUE!</v>
      </c>
      <c r="L37" s="132">
        <v>0</v>
      </c>
      <c r="M37" s="96">
        <v>0</v>
      </c>
      <c r="N37" s="96">
        <v>0</v>
      </c>
      <c r="O37" s="96">
        <v>0</v>
      </c>
      <c r="P37" s="100">
        <v>0</v>
      </c>
      <c r="Q37" s="101">
        <f t="shared" si="7"/>
        <v>0</v>
      </c>
      <c r="R37" s="101" t="e">
        <f t="shared" si="8"/>
        <v>#VALUE!</v>
      </c>
      <c r="S37" s="102" t="e">
        <f>+R37/2</f>
        <v>#VALUE!</v>
      </c>
    </row>
    <row r="38" spans="1:24" ht="15" customHeight="1" x14ac:dyDescent="0.75">
      <c r="A38" s="93">
        <v>666518</v>
      </c>
      <c r="B38" s="94" t="s">
        <v>26</v>
      </c>
      <c r="C38" s="127" t="s">
        <v>27</v>
      </c>
      <c r="D38" s="128" t="e">
        <f>#VALUE!</f>
        <v>#VALUE!</v>
      </c>
      <c r="E38" s="129" t="e">
        <f t="shared" si="5"/>
        <v>#VALUE!</v>
      </c>
      <c r="F38" s="96">
        <v>0</v>
      </c>
      <c r="G38" s="96">
        <v>0</v>
      </c>
      <c r="H38" s="96">
        <v>0</v>
      </c>
      <c r="I38" s="96">
        <v>0</v>
      </c>
      <c r="J38" s="130">
        <v>0</v>
      </c>
      <c r="K38" s="131" t="e">
        <f t="shared" si="6"/>
        <v>#VALUE!</v>
      </c>
      <c r="L38" s="132">
        <v>0</v>
      </c>
      <c r="M38" s="96">
        <v>0</v>
      </c>
      <c r="N38" s="96">
        <v>0</v>
      </c>
      <c r="O38" s="96">
        <v>0</v>
      </c>
      <c r="P38" s="100">
        <v>0</v>
      </c>
      <c r="Q38" s="101">
        <f t="shared" si="7"/>
        <v>0</v>
      </c>
      <c r="R38" s="101" t="e">
        <f t="shared" si="8"/>
        <v>#VALUE!</v>
      </c>
      <c r="S38" s="102" t="e">
        <f>+R38/3</f>
        <v>#VALUE!</v>
      </c>
    </row>
    <row r="39" spans="1:24" ht="15" customHeight="1" x14ac:dyDescent="0.75">
      <c r="A39" s="93">
        <v>666519</v>
      </c>
      <c r="B39" s="94" t="s">
        <v>28</v>
      </c>
      <c r="C39" s="127" t="s">
        <v>29</v>
      </c>
      <c r="D39" s="128" t="e">
        <f>#VALUE!</f>
        <v>#VALUE!</v>
      </c>
      <c r="E39" s="129" t="e">
        <f t="shared" si="5"/>
        <v>#VALUE!</v>
      </c>
      <c r="F39" s="96">
        <v>0</v>
      </c>
      <c r="G39" s="96">
        <v>0</v>
      </c>
      <c r="H39" s="96">
        <v>0</v>
      </c>
      <c r="I39" s="96">
        <v>0</v>
      </c>
      <c r="J39" s="130">
        <v>0</v>
      </c>
      <c r="K39" s="131" t="e">
        <f t="shared" si="6"/>
        <v>#VALUE!</v>
      </c>
      <c r="L39" s="132">
        <v>0</v>
      </c>
      <c r="M39" s="96">
        <v>0</v>
      </c>
      <c r="N39" s="96">
        <v>0</v>
      </c>
      <c r="O39" s="96">
        <v>0</v>
      </c>
      <c r="P39" s="100">
        <v>0</v>
      </c>
      <c r="Q39" s="101">
        <f t="shared" si="7"/>
        <v>0</v>
      </c>
      <c r="R39" s="101" t="e">
        <f t="shared" si="8"/>
        <v>#VALUE!</v>
      </c>
      <c r="S39" s="102"/>
    </row>
    <row r="40" spans="1:24" ht="15" customHeight="1" x14ac:dyDescent="0.75">
      <c r="A40" s="93">
        <v>666521</v>
      </c>
      <c r="B40" s="94" t="s">
        <v>30</v>
      </c>
      <c r="C40" s="127" t="s">
        <v>31</v>
      </c>
      <c r="D40" s="128" t="e">
        <f>#VALUE!</f>
        <v>#VALUE!</v>
      </c>
      <c r="E40" s="129" t="e">
        <f t="shared" si="5"/>
        <v>#VALUE!</v>
      </c>
      <c r="F40" s="96">
        <v>0</v>
      </c>
      <c r="G40" s="96">
        <v>0</v>
      </c>
      <c r="H40" s="96">
        <v>0</v>
      </c>
      <c r="I40" s="96">
        <v>0</v>
      </c>
      <c r="J40" s="130">
        <v>0</v>
      </c>
      <c r="K40" s="131" t="e">
        <f t="shared" si="6"/>
        <v>#VALUE!</v>
      </c>
      <c r="L40" s="132">
        <v>0</v>
      </c>
      <c r="M40" s="96">
        <v>0</v>
      </c>
      <c r="N40" s="96">
        <v>0</v>
      </c>
      <c r="O40" s="96">
        <v>0</v>
      </c>
      <c r="P40" s="100">
        <v>0</v>
      </c>
      <c r="Q40" s="101">
        <f t="shared" si="7"/>
        <v>0</v>
      </c>
      <c r="R40" s="101" t="e">
        <f t="shared" si="8"/>
        <v>#VALUE!</v>
      </c>
      <c r="S40" s="102"/>
    </row>
    <row r="41" spans="1:24" ht="15" customHeight="1" x14ac:dyDescent="0.75">
      <c r="A41" s="93">
        <v>666522</v>
      </c>
      <c r="B41" s="94" t="s">
        <v>32</v>
      </c>
      <c r="C41" s="127" t="s">
        <v>33</v>
      </c>
      <c r="D41" s="128">
        <v>55</v>
      </c>
      <c r="E41" s="129">
        <f t="shared" si="5"/>
        <v>6.1111111111111107</v>
      </c>
      <c r="F41" s="96">
        <v>0</v>
      </c>
      <c r="G41" s="96">
        <v>0</v>
      </c>
      <c r="H41" s="96">
        <v>0</v>
      </c>
      <c r="I41" s="96">
        <v>0</v>
      </c>
      <c r="J41" s="130">
        <v>0</v>
      </c>
      <c r="K41" s="131">
        <f t="shared" si="6"/>
        <v>13.75</v>
      </c>
      <c r="L41" s="132">
        <v>0</v>
      </c>
      <c r="M41" s="96">
        <v>0</v>
      </c>
      <c r="N41" s="96">
        <v>0</v>
      </c>
      <c r="O41" s="96">
        <v>0</v>
      </c>
      <c r="P41" s="100">
        <v>0</v>
      </c>
      <c r="Q41" s="101">
        <f t="shared" si="7"/>
        <v>0</v>
      </c>
      <c r="R41" s="101">
        <f t="shared" si="8"/>
        <v>55</v>
      </c>
      <c r="S41" s="102"/>
    </row>
    <row r="42" spans="1:24" ht="15" customHeight="1" x14ac:dyDescent="0.75">
      <c r="A42" s="93">
        <v>666523</v>
      </c>
      <c r="B42" s="94" t="s">
        <v>34</v>
      </c>
      <c r="C42" s="127" t="s">
        <v>35</v>
      </c>
      <c r="D42" s="128" t="e">
        <f>#VALUE!</f>
        <v>#VALUE!</v>
      </c>
      <c r="E42" s="129" t="e">
        <f t="shared" si="5"/>
        <v>#VALUE!</v>
      </c>
      <c r="F42" s="96">
        <v>0</v>
      </c>
      <c r="G42" s="96">
        <v>0</v>
      </c>
      <c r="H42" s="96">
        <v>0</v>
      </c>
      <c r="I42" s="96">
        <v>0</v>
      </c>
      <c r="J42" s="130">
        <v>0</v>
      </c>
      <c r="K42" s="131" t="e">
        <f t="shared" si="6"/>
        <v>#VALUE!</v>
      </c>
      <c r="L42" s="132">
        <v>0</v>
      </c>
      <c r="M42" s="96">
        <v>0</v>
      </c>
      <c r="N42" s="96">
        <v>0</v>
      </c>
      <c r="O42" s="96">
        <v>0</v>
      </c>
      <c r="P42" s="100">
        <v>0</v>
      </c>
      <c r="Q42" s="101">
        <f t="shared" si="7"/>
        <v>0</v>
      </c>
      <c r="R42" s="101" t="e">
        <f t="shared" si="8"/>
        <v>#VALUE!</v>
      </c>
      <c r="S42" s="102"/>
    </row>
    <row r="43" spans="1:24" ht="15" customHeight="1" x14ac:dyDescent="0.75">
      <c r="A43" s="93">
        <v>666530</v>
      </c>
      <c r="B43" s="94" t="s">
        <v>36</v>
      </c>
      <c r="C43" s="127" t="s">
        <v>37</v>
      </c>
      <c r="D43" s="128" t="e">
        <f>#VALUE!</f>
        <v>#VALUE!</v>
      </c>
      <c r="E43" s="129" t="e">
        <f t="shared" si="5"/>
        <v>#VALUE!</v>
      </c>
      <c r="F43" s="96">
        <v>0</v>
      </c>
      <c r="G43" s="96">
        <v>0</v>
      </c>
      <c r="H43" s="96">
        <v>0</v>
      </c>
      <c r="I43" s="96">
        <v>0</v>
      </c>
      <c r="J43" s="130">
        <v>0</v>
      </c>
      <c r="K43" s="131" t="e">
        <f t="shared" si="6"/>
        <v>#VALUE!</v>
      </c>
      <c r="L43" s="132">
        <v>0</v>
      </c>
      <c r="M43" s="96">
        <v>0</v>
      </c>
      <c r="N43" s="96">
        <v>0</v>
      </c>
      <c r="O43" s="96">
        <v>0</v>
      </c>
      <c r="P43" s="100">
        <v>0</v>
      </c>
      <c r="Q43" s="101">
        <f t="shared" si="7"/>
        <v>0</v>
      </c>
      <c r="R43" s="101" t="e">
        <f t="shared" si="8"/>
        <v>#VALUE!</v>
      </c>
      <c r="S43" s="102"/>
    </row>
    <row r="44" spans="1:24" ht="15" customHeight="1" x14ac:dyDescent="0.75">
      <c r="A44" s="93">
        <v>666531</v>
      </c>
      <c r="B44" s="94" t="s">
        <v>38</v>
      </c>
      <c r="C44" s="127" t="s">
        <v>39</v>
      </c>
      <c r="D44" s="128" t="e">
        <f>#VALUE!</f>
        <v>#VALUE!</v>
      </c>
      <c r="E44" s="129" t="e">
        <f t="shared" si="5"/>
        <v>#VALUE!</v>
      </c>
      <c r="F44" s="96">
        <v>0</v>
      </c>
      <c r="G44" s="96">
        <v>0</v>
      </c>
      <c r="H44" s="96">
        <v>0</v>
      </c>
      <c r="I44" s="96">
        <v>0</v>
      </c>
      <c r="J44" s="130">
        <v>0</v>
      </c>
      <c r="K44" s="131" t="e">
        <f t="shared" si="6"/>
        <v>#VALUE!</v>
      </c>
      <c r="L44" s="132">
        <v>0</v>
      </c>
      <c r="M44" s="96">
        <v>0</v>
      </c>
      <c r="N44" s="96">
        <v>0</v>
      </c>
      <c r="O44" s="96">
        <v>0</v>
      </c>
      <c r="P44" s="100">
        <v>0</v>
      </c>
      <c r="Q44" s="101">
        <f t="shared" si="7"/>
        <v>0</v>
      </c>
      <c r="R44" s="101" t="e">
        <f t="shared" si="8"/>
        <v>#VALUE!</v>
      </c>
      <c r="S44" s="102" t="e">
        <f>+R44/3</f>
        <v>#VALUE!</v>
      </c>
    </row>
    <row r="45" spans="1:24" ht="15" customHeight="1" x14ac:dyDescent="0.75">
      <c r="A45" s="93">
        <v>666540</v>
      </c>
      <c r="B45" s="94" t="s">
        <v>40</v>
      </c>
      <c r="C45" s="127" t="s">
        <v>40</v>
      </c>
      <c r="D45" s="128" t="e">
        <f>#VALUE!</f>
        <v>#VALUE!</v>
      </c>
      <c r="E45" s="129" t="e">
        <f t="shared" si="5"/>
        <v>#VALUE!</v>
      </c>
      <c r="F45" s="96">
        <v>0</v>
      </c>
      <c r="G45" s="96">
        <v>0</v>
      </c>
      <c r="H45" s="96">
        <v>0</v>
      </c>
      <c r="I45" s="96">
        <v>0</v>
      </c>
      <c r="J45" s="130">
        <v>0</v>
      </c>
      <c r="K45" s="131" t="e">
        <f t="shared" si="6"/>
        <v>#VALUE!</v>
      </c>
      <c r="L45" s="132">
        <v>0</v>
      </c>
      <c r="M45" s="96">
        <v>0</v>
      </c>
      <c r="N45" s="96">
        <v>0</v>
      </c>
      <c r="O45" s="96">
        <v>0</v>
      </c>
      <c r="P45" s="100">
        <v>0</v>
      </c>
      <c r="Q45" s="101">
        <f t="shared" si="7"/>
        <v>0</v>
      </c>
      <c r="R45" s="101" t="e">
        <f t="shared" si="8"/>
        <v>#VALUE!</v>
      </c>
      <c r="S45" s="102" t="e">
        <f>+R45/3</f>
        <v>#VALUE!</v>
      </c>
    </row>
    <row r="46" spans="1:24" ht="15" customHeight="1" x14ac:dyDescent="0.75">
      <c r="A46" s="93">
        <v>666541</v>
      </c>
      <c r="B46" s="94" t="s">
        <v>41</v>
      </c>
      <c r="C46" s="127"/>
      <c r="D46" s="128">
        <v>500</v>
      </c>
      <c r="E46" s="129">
        <f t="shared" si="5"/>
        <v>55.555555555555557</v>
      </c>
      <c r="F46" s="96">
        <v>0</v>
      </c>
      <c r="G46" s="96">
        <v>0</v>
      </c>
      <c r="H46" s="96">
        <v>0</v>
      </c>
      <c r="I46" s="96">
        <v>0</v>
      </c>
      <c r="J46" s="130">
        <v>0</v>
      </c>
      <c r="K46" s="131">
        <f t="shared" si="6"/>
        <v>125</v>
      </c>
      <c r="L46" s="132">
        <v>0</v>
      </c>
      <c r="M46" s="96">
        <v>0</v>
      </c>
      <c r="N46" s="96">
        <v>0</v>
      </c>
      <c r="O46" s="96">
        <v>0</v>
      </c>
      <c r="P46" s="100">
        <v>0</v>
      </c>
      <c r="Q46" s="101">
        <f t="shared" si="7"/>
        <v>0</v>
      </c>
      <c r="R46" s="101">
        <f t="shared" si="8"/>
        <v>500</v>
      </c>
      <c r="S46" s="102"/>
    </row>
    <row r="47" spans="1:24" ht="15" customHeight="1" x14ac:dyDescent="0.75">
      <c r="A47" s="93">
        <v>666536</v>
      </c>
      <c r="B47" s="94" t="s">
        <v>42</v>
      </c>
      <c r="C47" s="134" t="s">
        <v>41</v>
      </c>
      <c r="D47" s="128" t="e">
        <f>#VALUE!</f>
        <v>#VALUE!</v>
      </c>
      <c r="E47" s="129" t="e">
        <f t="shared" si="5"/>
        <v>#VALUE!</v>
      </c>
      <c r="F47" s="96">
        <v>0</v>
      </c>
      <c r="G47" s="96">
        <v>0</v>
      </c>
      <c r="H47" s="96">
        <v>0</v>
      </c>
      <c r="I47" s="96">
        <v>0</v>
      </c>
      <c r="J47" s="130">
        <v>0</v>
      </c>
      <c r="K47" s="131" t="e">
        <f t="shared" si="6"/>
        <v>#VALUE!</v>
      </c>
      <c r="L47" s="132">
        <v>0</v>
      </c>
      <c r="M47" s="96">
        <v>0</v>
      </c>
      <c r="N47" s="96">
        <v>0</v>
      </c>
      <c r="O47" s="96">
        <v>0</v>
      </c>
      <c r="P47" s="100">
        <v>0</v>
      </c>
      <c r="Q47" s="101">
        <f t="shared" si="7"/>
        <v>0</v>
      </c>
      <c r="R47" s="101" t="e">
        <f t="shared" si="8"/>
        <v>#VALUE!</v>
      </c>
      <c r="S47" s="102" t="e">
        <f>+R47/3</f>
        <v>#VALUE!</v>
      </c>
      <c r="X47" s="79" t="s">
        <v>152</v>
      </c>
    </row>
    <row r="48" spans="1:24" ht="15" customHeight="1" x14ac:dyDescent="0.75">
      <c r="A48" s="135"/>
      <c r="B48" s="136"/>
      <c r="C48" s="134"/>
      <c r="D48" s="137"/>
      <c r="E48" s="137"/>
      <c r="F48" s="138"/>
      <c r="G48" s="139"/>
      <c r="H48" s="139"/>
      <c r="I48" s="139"/>
      <c r="J48" s="139"/>
      <c r="K48" s="140"/>
      <c r="L48" s="139"/>
      <c r="M48" s="139"/>
      <c r="N48" s="139"/>
      <c r="O48" s="139"/>
      <c r="P48" s="141"/>
      <c r="Q48" s="101"/>
      <c r="R48" s="101"/>
      <c r="S48" s="102"/>
    </row>
    <row r="49" spans="1:18" ht="15" customHeight="1" x14ac:dyDescent="0.75">
      <c r="A49" s="2" t="str">
        <f>+A1</f>
        <v>Weeks of 06/29/26 &amp; 07/06/26</v>
      </c>
      <c r="B49" s="2"/>
      <c r="C49" s="2"/>
      <c r="D49" s="2"/>
      <c r="E49" s="2"/>
      <c r="F49" s="142"/>
      <c r="G49" s="81"/>
      <c r="H49" s="81"/>
      <c r="I49" s="81"/>
      <c r="J49" s="81"/>
      <c r="K49" s="81"/>
      <c r="L49" s="81"/>
      <c r="M49" s="81"/>
      <c r="N49" s="81"/>
      <c r="O49" s="81"/>
      <c r="P49" s="82"/>
      <c r="Q49" s="101"/>
    </row>
    <row r="50" spans="1:18" ht="36.75" customHeight="1" x14ac:dyDescent="0.75">
      <c r="A50" s="83"/>
      <c r="B50" s="143" t="s">
        <v>66</v>
      </c>
      <c r="C50" s="144"/>
      <c r="D50" s="86" t="s">
        <v>122</v>
      </c>
      <c r="E50" s="90" t="s">
        <v>173</v>
      </c>
      <c r="F50" s="125" t="s">
        <v>162</v>
      </c>
      <c r="G50" s="86" t="s">
        <v>163</v>
      </c>
      <c r="H50" s="87" t="s">
        <v>164</v>
      </c>
      <c r="I50" s="86" t="s">
        <v>165</v>
      </c>
      <c r="J50" s="86" t="s">
        <v>166</v>
      </c>
      <c r="K50" s="89" t="str">
        <f>+K26</f>
        <v>2nd wk daily goals</v>
      </c>
      <c r="L50" s="88" t="s">
        <v>162</v>
      </c>
      <c r="M50" s="86" t="s">
        <v>163</v>
      </c>
      <c r="N50" s="87" t="s">
        <v>164</v>
      </c>
      <c r="O50" s="86" t="s">
        <v>165</v>
      </c>
      <c r="P50" s="90" t="s">
        <v>166</v>
      </c>
      <c r="Q50" s="101"/>
      <c r="R50" s="92" t="s">
        <v>168</v>
      </c>
    </row>
    <row r="51" spans="1:18" ht="14.25" customHeight="1" x14ac:dyDescent="0.75">
      <c r="A51" s="93">
        <v>666501</v>
      </c>
      <c r="B51" s="94" t="s">
        <v>4</v>
      </c>
      <c r="C51" s="95" t="s">
        <v>5</v>
      </c>
      <c r="D51" s="96">
        <v>39</v>
      </c>
      <c r="E51" s="203">
        <f t="shared" ref="E51:E72" si="10">+D51/5</f>
        <v>7.8</v>
      </c>
      <c r="F51" s="132">
        <v>0</v>
      </c>
      <c r="G51" s="96">
        <v>0</v>
      </c>
      <c r="H51" s="96">
        <v>0</v>
      </c>
      <c r="I51" s="96">
        <v>0</v>
      </c>
      <c r="J51" s="96">
        <v>0</v>
      </c>
      <c r="K51" s="99">
        <f t="shared" ref="K51:K72" si="11">(+D51-SUM(F51:J51))/2</f>
        <v>19.5</v>
      </c>
      <c r="L51" s="96">
        <v>0</v>
      </c>
      <c r="M51" s="96">
        <v>0</v>
      </c>
      <c r="N51" s="96">
        <v>0</v>
      </c>
      <c r="O51" s="96">
        <v>0</v>
      </c>
      <c r="P51" s="100">
        <v>0</v>
      </c>
      <c r="Q51" s="101">
        <f t="shared" ref="Q51:Q72" si="12">SUM(F51:J51)+SUM(L51:P51)</f>
        <v>0</v>
      </c>
      <c r="R51" s="101">
        <f t="shared" ref="R51:R72" si="13">+D51-Q51</f>
        <v>39</v>
      </c>
    </row>
    <row r="52" spans="1:18" ht="14.25" customHeight="1" x14ac:dyDescent="0.75">
      <c r="A52" s="93">
        <v>666502</v>
      </c>
      <c r="B52" s="94" t="s">
        <v>6</v>
      </c>
      <c r="C52" s="95" t="s">
        <v>7</v>
      </c>
      <c r="D52" s="96">
        <v>150</v>
      </c>
      <c r="E52" s="203">
        <f t="shared" si="10"/>
        <v>30</v>
      </c>
      <c r="F52" s="132">
        <v>0</v>
      </c>
      <c r="G52" s="96">
        <v>0</v>
      </c>
      <c r="H52" s="96">
        <v>0</v>
      </c>
      <c r="I52" s="96">
        <v>0</v>
      </c>
      <c r="J52" s="96">
        <v>0</v>
      </c>
      <c r="K52" s="99">
        <f t="shared" si="11"/>
        <v>75</v>
      </c>
      <c r="L52" s="96">
        <v>0</v>
      </c>
      <c r="M52" s="96">
        <v>0</v>
      </c>
      <c r="N52" s="96">
        <v>0</v>
      </c>
      <c r="O52" s="96">
        <v>0</v>
      </c>
      <c r="P52" s="100">
        <v>0</v>
      </c>
      <c r="Q52" s="101">
        <f t="shared" si="12"/>
        <v>0</v>
      </c>
      <c r="R52" s="101">
        <f t="shared" si="13"/>
        <v>150</v>
      </c>
    </row>
    <row r="53" spans="1:18" ht="14.25" customHeight="1" x14ac:dyDescent="0.75">
      <c r="A53" s="93">
        <v>666505</v>
      </c>
      <c r="B53" s="94" t="s">
        <v>8</v>
      </c>
      <c r="C53" s="95" t="s">
        <v>9</v>
      </c>
      <c r="D53" s="96">
        <v>27</v>
      </c>
      <c r="E53" s="203">
        <f t="shared" si="10"/>
        <v>5.4</v>
      </c>
      <c r="F53" s="132">
        <v>0</v>
      </c>
      <c r="G53" s="96">
        <v>0</v>
      </c>
      <c r="H53" s="96">
        <v>0</v>
      </c>
      <c r="I53" s="96">
        <v>0</v>
      </c>
      <c r="J53" s="96">
        <v>0</v>
      </c>
      <c r="K53" s="99">
        <f t="shared" si="11"/>
        <v>13.5</v>
      </c>
      <c r="L53" s="96">
        <v>0</v>
      </c>
      <c r="M53" s="96">
        <v>0</v>
      </c>
      <c r="N53" s="96">
        <v>0</v>
      </c>
      <c r="O53" s="96">
        <v>0</v>
      </c>
      <c r="P53" s="100">
        <v>0</v>
      </c>
      <c r="Q53" s="101">
        <f t="shared" si="12"/>
        <v>0</v>
      </c>
      <c r="R53" s="101">
        <f t="shared" si="13"/>
        <v>27</v>
      </c>
    </row>
    <row r="54" spans="1:18" ht="14.25" customHeight="1" x14ac:dyDescent="0.75">
      <c r="A54" s="93">
        <v>666506</v>
      </c>
      <c r="B54" s="94" t="s">
        <v>10</v>
      </c>
      <c r="C54" s="95" t="s">
        <v>11</v>
      </c>
      <c r="D54" s="96" t="e">
        <f>#VALUE!</f>
        <v>#VALUE!</v>
      </c>
      <c r="E54" s="203" t="e">
        <f t="shared" si="10"/>
        <v>#VALUE!</v>
      </c>
      <c r="F54" s="132">
        <v>0</v>
      </c>
      <c r="G54" s="96">
        <v>0</v>
      </c>
      <c r="H54" s="96">
        <v>0</v>
      </c>
      <c r="I54" s="96">
        <v>0</v>
      </c>
      <c r="J54" s="96">
        <v>0</v>
      </c>
      <c r="K54" s="99" t="e">
        <f t="shared" si="11"/>
        <v>#VALUE!</v>
      </c>
      <c r="L54" s="96">
        <v>0</v>
      </c>
      <c r="M54" s="96">
        <v>0</v>
      </c>
      <c r="N54" s="96">
        <v>0</v>
      </c>
      <c r="O54" s="96">
        <v>0</v>
      </c>
      <c r="P54" s="100">
        <v>0</v>
      </c>
      <c r="Q54" s="101">
        <f t="shared" si="12"/>
        <v>0</v>
      </c>
      <c r="R54" s="101" t="e">
        <f t="shared" si="13"/>
        <v>#VALUE!</v>
      </c>
    </row>
    <row r="55" spans="1:18" ht="14.25" customHeight="1" x14ac:dyDescent="0.75">
      <c r="A55" s="93">
        <v>666507</v>
      </c>
      <c r="B55" s="94" t="s">
        <v>12</v>
      </c>
      <c r="C55" s="95" t="s">
        <v>13</v>
      </c>
      <c r="D55" s="96" t="e">
        <f>#VALUE!</f>
        <v>#VALUE!</v>
      </c>
      <c r="E55" s="203" t="e">
        <f t="shared" si="10"/>
        <v>#VALUE!</v>
      </c>
      <c r="F55" s="132">
        <v>0</v>
      </c>
      <c r="G55" s="96">
        <v>0</v>
      </c>
      <c r="H55" s="96">
        <v>0</v>
      </c>
      <c r="I55" s="96">
        <v>0</v>
      </c>
      <c r="J55" s="96">
        <v>0</v>
      </c>
      <c r="K55" s="99" t="e">
        <f t="shared" si="11"/>
        <v>#VALUE!</v>
      </c>
      <c r="L55" s="96">
        <v>0</v>
      </c>
      <c r="M55" s="96">
        <v>0</v>
      </c>
      <c r="N55" s="96">
        <v>0</v>
      </c>
      <c r="O55" s="96">
        <v>0</v>
      </c>
      <c r="P55" s="100">
        <v>0</v>
      </c>
      <c r="Q55" s="101">
        <f t="shared" si="12"/>
        <v>0</v>
      </c>
      <c r="R55" s="101" t="e">
        <f t="shared" si="13"/>
        <v>#VALUE!</v>
      </c>
    </row>
    <row r="56" spans="1:18" ht="14.25" customHeight="1" x14ac:dyDescent="0.75">
      <c r="A56" s="93">
        <v>666509</v>
      </c>
      <c r="B56" s="94" t="s">
        <v>14</v>
      </c>
      <c r="C56" s="95" t="s">
        <v>15</v>
      </c>
      <c r="D56" s="96" t="e">
        <f>#VALUE!</f>
        <v>#VALUE!</v>
      </c>
      <c r="E56" s="203" t="e">
        <f t="shared" si="10"/>
        <v>#VALUE!</v>
      </c>
      <c r="F56" s="132">
        <v>0</v>
      </c>
      <c r="G56" s="96">
        <v>0</v>
      </c>
      <c r="H56" s="96">
        <v>0</v>
      </c>
      <c r="I56" s="96">
        <v>0</v>
      </c>
      <c r="J56" s="96">
        <v>0</v>
      </c>
      <c r="K56" s="99" t="e">
        <f t="shared" si="11"/>
        <v>#VALUE!</v>
      </c>
      <c r="L56" s="96">
        <v>0</v>
      </c>
      <c r="M56" s="96">
        <v>0</v>
      </c>
      <c r="N56" s="96">
        <v>0</v>
      </c>
      <c r="O56" s="96">
        <v>0</v>
      </c>
      <c r="P56" s="100">
        <v>0</v>
      </c>
      <c r="Q56" s="101">
        <f t="shared" si="12"/>
        <v>0</v>
      </c>
      <c r="R56" s="101" t="e">
        <f t="shared" si="13"/>
        <v>#VALUE!</v>
      </c>
    </row>
    <row r="57" spans="1:18" ht="14.25" customHeight="1" x14ac:dyDescent="0.75">
      <c r="A57" s="93">
        <v>666510</v>
      </c>
      <c r="B57" s="94" t="s">
        <v>16</v>
      </c>
      <c r="C57" s="95" t="s">
        <v>169</v>
      </c>
      <c r="D57" s="96" t="e">
        <f>#VALUE!</f>
        <v>#VALUE!</v>
      </c>
      <c r="E57" s="203" t="e">
        <f t="shared" si="10"/>
        <v>#VALUE!</v>
      </c>
      <c r="F57" s="132">
        <v>0</v>
      </c>
      <c r="G57" s="96">
        <v>0</v>
      </c>
      <c r="H57" s="96">
        <v>0</v>
      </c>
      <c r="I57" s="96">
        <v>0</v>
      </c>
      <c r="J57" s="96">
        <v>0</v>
      </c>
      <c r="K57" s="99" t="e">
        <f t="shared" si="11"/>
        <v>#VALUE!</v>
      </c>
      <c r="L57" s="96">
        <v>0</v>
      </c>
      <c r="M57" s="96">
        <v>0</v>
      </c>
      <c r="N57" s="96">
        <v>0</v>
      </c>
      <c r="O57" s="96">
        <v>0</v>
      </c>
      <c r="P57" s="100">
        <v>0</v>
      </c>
      <c r="Q57" s="101">
        <f t="shared" si="12"/>
        <v>0</v>
      </c>
      <c r="R57" s="101" t="e">
        <f t="shared" si="13"/>
        <v>#VALUE!</v>
      </c>
    </row>
    <row r="58" spans="1:18" ht="14.25" customHeight="1" x14ac:dyDescent="0.75">
      <c r="A58" s="93">
        <v>666511</v>
      </c>
      <c r="B58" s="94" t="s">
        <v>18</v>
      </c>
      <c r="C58" s="95" t="s">
        <v>19</v>
      </c>
      <c r="D58" s="96" t="e">
        <f>#VALUE!</f>
        <v>#VALUE!</v>
      </c>
      <c r="E58" s="203" t="e">
        <f t="shared" si="10"/>
        <v>#VALUE!</v>
      </c>
      <c r="F58" s="132">
        <v>0</v>
      </c>
      <c r="G58" s="96">
        <v>0</v>
      </c>
      <c r="H58" s="96">
        <v>0</v>
      </c>
      <c r="I58" s="96">
        <v>0</v>
      </c>
      <c r="J58" s="96">
        <v>0</v>
      </c>
      <c r="K58" s="99" t="e">
        <f t="shared" si="11"/>
        <v>#VALUE!</v>
      </c>
      <c r="L58" s="96">
        <v>0</v>
      </c>
      <c r="M58" s="96">
        <v>0</v>
      </c>
      <c r="N58" s="96">
        <v>0</v>
      </c>
      <c r="O58" s="96">
        <v>0</v>
      </c>
      <c r="P58" s="100">
        <v>0</v>
      </c>
      <c r="Q58" s="101">
        <f t="shared" si="12"/>
        <v>0</v>
      </c>
      <c r="R58" s="101" t="e">
        <f t="shared" si="13"/>
        <v>#VALUE!</v>
      </c>
    </row>
    <row r="59" spans="1:18" ht="14.25" customHeight="1" x14ac:dyDescent="0.75">
      <c r="A59" s="93">
        <v>666513</v>
      </c>
      <c r="B59" s="94" t="s">
        <v>20</v>
      </c>
      <c r="C59" s="95" t="s">
        <v>21</v>
      </c>
      <c r="D59" s="96">
        <v>34</v>
      </c>
      <c r="E59" s="203">
        <f t="shared" si="10"/>
        <v>6.8</v>
      </c>
      <c r="F59" s="132">
        <v>0</v>
      </c>
      <c r="G59" s="96">
        <v>0</v>
      </c>
      <c r="H59" s="96">
        <v>0</v>
      </c>
      <c r="I59" s="96">
        <v>0</v>
      </c>
      <c r="J59" s="96">
        <v>0</v>
      </c>
      <c r="K59" s="99">
        <f t="shared" si="11"/>
        <v>17</v>
      </c>
      <c r="L59" s="96">
        <v>0</v>
      </c>
      <c r="M59" s="96">
        <v>0</v>
      </c>
      <c r="N59" s="96">
        <v>0</v>
      </c>
      <c r="O59" s="96">
        <v>0</v>
      </c>
      <c r="P59" s="100">
        <v>0</v>
      </c>
      <c r="Q59" s="101">
        <f t="shared" si="12"/>
        <v>0</v>
      </c>
      <c r="R59" s="101">
        <f t="shared" si="13"/>
        <v>34</v>
      </c>
    </row>
    <row r="60" spans="1:18" ht="14.25" customHeight="1" x14ac:dyDescent="0.75">
      <c r="A60" s="93">
        <v>666516</v>
      </c>
      <c r="B60" s="94" t="s">
        <v>22</v>
      </c>
      <c r="C60" s="95" t="s">
        <v>23</v>
      </c>
      <c r="D60" s="96">
        <v>16</v>
      </c>
      <c r="E60" s="203">
        <f t="shared" si="10"/>
        <v>3.2</v>
      </c>
      <c r="F60" s="132">
        <v>0</v>
      </c>
      <c r="G60" s="96">
        <v>0</v>
      </c>
      <c r="H60" s="96">
        <v>0</v>
      </c>
      <c r="I60" s="96">
        <v>0</v>
      </c>
      <c r="J60" s="96">
        <v>0</v>
      </c>
      <c r="K60" s="99">
        <f t="shared" si="11"/>
        <v>8</v>
      </c>
      <c r="L60" s="96">
        <v>0</v>
      </c>
      <c r="M60" s="96">
        <v>0</v>
      </c>
      <c r="N60" s="96">
        <v>0</v>
      </c>
      <c r="O60" s="96">
        <v>0</v>
      </c>
      <c r="P60" s="100">
        <v>0</v>
      </c>
      <c r="Q60" s="101">
        <f t="shared" si="12"/>
        <v>0</v>
      </c>
      <c r="R60" s="101">
        <f t="shared" si="13"/>
        <v>16</v>
      </c>
    </row>
    <row r="61" spans="1:18" ht="14.25" customHeight="1" x14ac:dyDescent="0.75">
      <c r="A61" s="93">
        <v>666517</v>
      </c>
      <c r="B61" s="94" t="s">
        <v>24</v>
      </c>
      <c r="C61" s="95" t="s">
        <v>25</v>
      </c>
      <c r="D61" s="96">
        <v>10</v>
      </c>
      <c r="E61" s="203">
        <f t="shared" si="10"/>
        <v>2</v>
      </c>
      <c r="F61" s="132">
        <v>0</v>
      </c>
      <c r="G61" s="96">
        <v>0</v>
      </c>
      <c r="H61" s="96">
        <v>0</v>
      </c>
      <c r="I61" s="96">
        <v>0</v>
      </c>
      <c r="J61" s="96">
        <v>0</v>
      </c>
      <c r="K61" s="99">
        <f t="shared" si="11"/>
        <v>5</v>
      </c>
      <c r="L61" s="96">
        <v>0</v>
      </c>
      <c r="M61" s="96">
        <v>0</v>
      </c>
      <c r="N61" s="96">
        <v>0</v>
      </c>
      <c r="O61" s="96">
        <v>0</v>
      </c>
      <c r="P61" s="100">
        <v>0</v>
      </c>
      <c r="Q61" s="101">
        <f t="shared" si="12"/>
        <v>0</v>
      </c>
      <c r="R61" s="101">
        <f t="shared" si="13"/>
        <v>10</v>
      </c>
    </row>
    <row r="62" spans="1:18" ht="14.25" customHeight="1" x14ac:dyDescent="0.75">
      <c r="A62" s="93">
        <v>666518</v>
      </c>
      <c r="B62" s="94" t="s">
        <v>26</v>
      </c>
      <c r="C62" s="95" t="s">
        <v>27</v>
      </c>
      <c r="D62" s="96" t="e">
        <f>#VALUE!</f>
        <v>#VALUE!</v>
      </c>
      <c r="E62" s="203" t="e">
        <f t="shared" si="10"/>
        <v>#VALUE!</v>
      </c>
      <c r="F62" s="132">
        <v>0</v>
      </c>
      <c r="G62" s="96">
        <v>0</v>
      </c>
      <c r="H62" s="96">
        <v>0</v>
      </c>
      <c r="I62" s="96">
        <v>0</v>
      </c>
      <c r="J62" s="96">
        <v>0</v>
      </c>
      <c r="K62" s="99" t="e">
        <f t="shared" si="11"/>
        <v>#VALUE!</v>
      </c>
      <c r="L62" s="96">
        <v>0</v>
      </c>
      <c r="M62" s="96">
        <v>0</v>
      </c>
      <c r="N62" s="96">
        <v>0</v>
      </c>
      <c r="O62" s="96">
        <v>0</v>
      </c>
      <c r="P62" s="100">
        <v>0</v>
      </c>
      <c r="Q62" s="101">
        <f t="shared" si="12"/>
        <v>0</v>
      </c>
      <c r="R62" s="101" t="e">
        <f t="shared" si="13"/>
        <v>#VALUE!</v>
      </c>
    </row>
    <row r="63" spans="1:18" ht="14.25" customHeight="1" x14ac:dyDescent="0.75">
      <c r="A63" s="93">
        <v>666519</v>
      </c>
      <c r="B63" s="94" t="s">
        <v>28</v>
      </c>
      <c r="C63" s="95" t="s">
        <v>29</v>
      </c>
      <c r="D63" s="96">
        <v>22</v>
      </c>
      <c r="E63" s="203">
        <f t="shared" si="10"/>
        <v>4.4000000000000004</v>
      </c>
      <c r="F63" s="132">
        <v>0</v>
      </c>
      <c r="G63" s="96">
        <v>0</v>
      </c>
      <c r="H63" s="96">
        <v>0</v>
      </c>
      <c r="I63" s="96">
        <v>0</v>
      </c>
      <c r="J63" s="96">
        <v>0</v>
      </c>
      <c r="K63" s="99">
        <f t="shared" si="11"/>
        <v>11</v>
      </c>
      <c r="L63" s="96">
        <v>0</v>
      </c>
      <c r="M63" s="96">
        <v>0</v>
      </c>
      <c r="N63" s="96">
        <v>0</v>
      </c>
      <c r="O63" s="96">
        <v>0</v>
      </c>
      <c r="P63" s="100">
        <v>0</v>
      </c>
      <c r="Q63" s="101">
        <f t="shared" si="12"/>
        <v>0</v>
      </c>
      <c r="R63" s="101">
        <f t="shared" si="13"/>
        <v>22</v>
      </c>
    </row>
    <row r="64" spans="1:18" ht="14.25" customHeight="1" x14ac:dyDescent="0.75">
      <c r="A64" s="93">
        <v>666521</v>
      </c>
      <c r="B64" s="94" t="s">
        <v>30</v>
      </c>
      <c r="C64" s="95" t="s">
        <v>31</v>
      </c>
      <c r="D64" s="96" t="e">
        <f>#VALUE!</f>
        <v>#VALUE!</v>
      </c>
      <c r="E64" s="203" t="e">
        <f t="shared" si="10"/>
        <v>#VALUE!</v>
      </c>
      <c r="F64" s="132">
        <v>0</v>
      </c>
      <c r="G64" s="96">
        <v>0</v>
      </c>
      <c r="H64" s="96">
        <v>0</v>
      </c>
      <c r="I64" s="96">
        <v>0</v>
      </c>
      <c r="J64" s="96">
        <v>0</v>
      </c>
      <c r="K64" s="99" t="e">
        <f t="shared" si="11"/>
        <v>#VALUE!</v>
      </c>
      <c r="L64" s="96">
        <v>0</v>
      </c>
      <c r="M64" s="96">
        <v>0</v>
      </c>
      <c r="N64" s="96">
        <v>0</v>
      </c>
      <c r="O64" s="96">
        <v>0</v>
      </c>
      <c r="P64" s="100">
        <v>0</v>
      </c>
      <c r="Q64" s="101">
        <f t="shared" si="12"/>
        <v>0</v>
      </c>
      <c r="R64" s="101" t="e">
        <f t="shared" si="13"/>
        <v>#VALUE!</v>
      </c>
    </row>
    <row r="65" spans="1:18" ht="14.25" customHeight="1" x14ac:dyDescent="0.75">
      <c r="A65" s="93">
        <v>666522</v>
      </c>
      <c r="B65" s="94" t="s">
        <v>32</v>
      </c>
      <c r="C65" s="95" t="s">
        <v>33</v>
      </c>
      <c r="D65" s="96">
        <v>125</v>
      </c>
      <c r="E65" s="203">
        <f t="shared" si="10"/>
        <v>25</v>
      </c>
      <c r="F65" s="132">
        <v>0</v>
      </c>
      <c r="G65" s="96">
        <v>0</v>
      </c>
      <c r="H65" s="96">
        <v>0</v>
      </c>
      <c r="I65" s="96">
        <v>0</v>
      </c>
      <c r="J65" s="96">
        <v>0</v>
      </c>
      <c r="K65" s="99">
        <f t="shared" si="11"/>
        <v>62.5</v>
      </c>
      <c r="L65" s="96">
        <v>0</v>
      </c>
      <c r="M65" s="96">
        <v>0</v>
      </c>
      <c r="N65" s="96">
        <v>0</v>
      </c>
      <c r="O65" s="96">
        <v>0</v>
      </c>
      <c r="P65" s="100">
        <v>0</v>
      </c>
      <c r="Q65" s="101">
        <f t="shared" si="12"/>
        <v>0</v>
      </c>
      <c r="R65" s="101">
        <f t="shared" si="13"/>
        <v>125</v>
      </c>
    </row>
    <row r="66" spans="1:18" ht="14.25" customHeight="1" x14ac:dyDescent="0.75">
      <c r="A66" s="93">
        <v>666523</v>
      </c>
      <c r="B66" s="94" t="s">
        <v>34</v>
      </c>
      <c r="C66" s="95" t="s">
        <v>35</v>
      </c>
      <c r="D66" s="96">
        <v>28</v>
      </c>
      <c r="E66" s="203">
        <f t="shared" si="10"/>
        <v>5.6</v>
      </c>
      <c r="F66" s="132">
        <v>0</v>
      </c>
      <c r="G66" s="96">
        <v>0</v>
      </c>
      <c r="H66" s="96">
        <v>0</v>
      </c>
      <c r="I66" s="96">
        <v>0</v>
      </c>
      <c r="J66" s="96">
        <v>0</v>
      </c>
      <c r="K66" s="99">
        <f t="shared" si="11"/>
        <v>14</v>
      </c>
      <c r="L66" s="96">
        <v>0</v>
      </c>
      <c r="M66" s="96">
        <v>0</v>
      </c>
      <c r="N66" s="96">
        <v>0</v>
      </c>
      <c r="O66" s="96">
        <v>0</v>
      </c>
      <c r="P66" s="100">
        <v>0</v>
      </c>
      <c r="Q66" s="101">
        <f t="shared" si="12"/>
        <v>0</v>
      </c>
      <c r="R66" s="101">
        <f t="shared" si="13"/>
        <v>28</v>
      </c>
    </row>
    <row r="67" spans="1:18" ht="14.25" customHeight="1" x14ac:dyDescent="0.75">
      <c r="A67" s="93">
        <v>666530</v>
      </c>
      <c r="B67" s="94" t="s">
        <v>36</v>
      </c>
      <c r="C67" s="95" t="s">
        <v>37</v>
      </c>
      <c r="D67" s="96" t="e">
        <f>#VALUE!</f>
        <v>#VALUE!</v>
      </c>
      <c r="E67" s="203" t="e">
        <f t="shared" si="10"/>
        <v>#VALUE!</v>
      </c>
      <c r="F67" s="132">
        <v>0</v>
      </c>
      <c r="G67" s="96">
        <v>0</v>
      </c>
      <c r="H67" s="96">
        <v>0</v>
      </c>
      <c r="I67" s="96">
        <v>0</v>
      </c>
      <c r="J67" s="96">
        <v>0</v>
      </c>
      <c r="K67" s="99" t="e">
        <f t="shared" si="11"/>
        <v>#VALUE!</v>
      </c>
      <c r="L67" s="96">
        <v>0</v>
      </c>
      <c r="M67" s="96">
        <v>0</v>
      </c>
      <c r="N67" s="96">
        <v>0</v>
      </c>
      <c r="O67" s="96">
        <v>0</v>
      </c>
      <c r="P67" s="100">
        <v>0</v>
      </c>
      <c r="Q67" s="101">
        <f t="shared" si="12"/>
        <v>0</v>
      </c>
      <c r="R67" s="101" t="e">
        <f t="shared" si="13"/>
        <v>#VALUE!</v>
      </c>
    </row>
    <row r="68" spans="1:18" ht="14.25" customHeight="1" x14ac:dyDescent="0.75">
      <c r="A68" s="93">
        <v>666531</v>
      </c>
      <c r="B68" s="94" t="s">
        <v>38</v>
      </c>
      <c r="C68" s="95" t="s">
        <v>39</v>
      </c>
      <c r="D68" s="96">
        <v>6</v>
      </c>
      <c r="E68" s="203">
        <f t="shared" si="10"/>
        <v>1.2</v>
      </c>
      <c r="F68" s="132">
        <v>0</v>
      </c>
      <c r="G68" s="96">
        <v>0</v>
      </c>
      <c r="H68" s="96">
        <v>0</v>
      </c>
      <c r="I68" s="96">
        <v>0</v>
      </c>
      <c r="J68" s="96">
        <v>0</v>
      </c>
      <c r="K68" s="99">
        <f t="shared" si="11"/>
        <v>3</v>
      </c>
      <c r="L68" s="96">
        <v>0</v>
      </c>
      <c r="M68" s="96">
        <v>0</v>
      </c>
      <c r="N68" s="96">
        <v>0</v>
      </c>
      <c r="O68" s="96">
        <v>0</v>
      </c>
      <c r="P68" s="100">
        <v>0</v>
      </c>
      <c r="Q68" s="101">
        <f t="shared" si="12"/>
        <v>0</v>
      </c>
      <c r="R68" s="101">
        <f t="shared" si="13"/>
        <v>6</v>
      </c>
    </row>
    <row r="69" spans="1:18" ht="14.25" customHeight="1" x14ac:dyDescent="0.75">
      <c r="A69" s="93">
        <v>666540</v>
      </c>
      <c r="B69" s="94" t="s">
        <v>40</v>
      </c>
      <c r="C69" s="95" t="s">
        <v>40</v>
      </c>
      <c r="D69" s="96" t="e">
        <f>#VALUE!</f>
        <v>#VALUE!</v>
      </c>
      <c r="E69" s="203" t="e">
        <f t="shared" si="10"/>
        <v>#VALUE!</v>
      </c>
      <c r="F69" s="132">
        <v>0</v>
      </c>
      <c r="G69" s="96">
        <v>0</v>
      </c>
      <c r="H69" s="96">
        <v>0</v>
      </c>
      <c r="I69" s="96">
        <v>0</v>
      </c>
      <c r="J69" s="96">
        <v>0</v>
      </c>
      <c r="K69" s="99" t="e">
        <f t="shared" si="11"/>
        <v>#VALUE!</v>
      </c>
      <c r="L69" s="96">
        <v>0</v>
      </c>
      <c r="M69" s="96">
        <v>0</v>
      </c>
      <c r="N69" s="96">
        <v>0</v>
      </c>
      <c r="O69" s="96">
        <v>0</v>
      </c>
      <c r="P69" s="100">
        <v>0</v>
      </c>
      <c r="Q69" s="101">
        <f t="shared" si="12"/>
        <v>0</v>
      </c>
      <c r="R69" s="101" t="e">
        <f t="shared" si="13"/>
        <v>#VALUE!</v>
      </c>
    </row>
    <row r="70" spans="1:18" ht="15" customHeight="1" x14ac:dyDescent="0.75">
      <c r="A70" s="93">
        <v>666541</v>
      </c>
      <c r="B70" s="109" t="s">
        <v>41</v>
      </c>
      <c r="C70" s="95" t="s">
        <v>41</v>
      </c>
      <c r="D70" s="96" t="e">
        <f>#VALUE!</f>
        <v>#VALUE!</v>
      </c>
      <c r="E70" s="203" t="e">
        <f t="shared" si="10"/>
        <v>#VALUE!</v>
      </c>
      <c r="F70" s="132">
        <v>0</v>
      </c>
      <c r="G70" s="96">
        <v>0</v>
      </c>
      <c r="H70" s="96">
        <v>0</v>
      </c>
      <c r="I70" s="96">
        <v>0</v>
      </c>
      <c r="J70" s="96">
        <v>0</v>
      </c>
      <c r="K70" s="99" t="e">
        <f t="shared" si="11"/>
        <v>#VALUE!</v>
      </c>
      <c r="L70" s="96">
        <v>0</v>
      </c>
      <c r="M70" s="96">
        <v>0</v>
      </c>
      <c r="N70" s="96">
        <v>0</v>
      </c>
      <c r="O70" s="96">
        <v>0</v>
      </c>
      <c r="P70" s="100">
        <v>0</v>
      </c>
      <c r="Q70" s="101">
        <f t="shared" si="12"/>
        <v>0</v>
      </c>
      <c r="R70" s="101" t="e">
        <f t="shared" si="13"/>
        <v>#VALUE!</v>
      </c>
    </row>
    <row r="71" spans="1:18" ht="15" customHeight="1" x14ac:dyDescent="0.75">
      <c r="A71" s="108">
        <v>666536</v>
      </c>
      <c r="B71" s="109" t="s">
        <v>42</v>
      </c>
      <c r="C71" s="103" t="s">
        <v>41</v>
      </c>
      <c r="D71" s="104" t="e">
        <f>#VALUE!</f>
        <v>#VALUE!</v>
      </c>
      <c r="E71" s="203" t="e">
        <f t="shared" si="10"/>
        <v>#VALUE!</v>
      </c>
      <c r="F71" s="205">
        <v>0</v>
      </c>
      <c r="G71" s="104">
        <v>0</v>
      </c>
      <c r="H71" s="104">
        <v>0</v>
      </c>
      <c r="I71" s="104">
        <v>0</v>
      </c>
      <c r="J71" s="104">
        <v>0</v>
      </c>
      <c r="K71" s="99" t="e">
        <f t="shared" si="11"/>
        <v>#VALUE!</v>
      </c>
      <c r="L71" s="96">
        <v>0</v>
      </c>
      <c r="M71" s="96">
        <v>0</v>
      </c>
      <c r="N71" s="96">
        <v>0</v>
      </c>
      <c r="O71" s="96">
        <v>0</v>
      </c>
      <c r="P71" s="100">
        <v>0</v>
      </c>
      <c r="Q71" s="101">
        <f t="shared" si="12"/>
        <v>0</v>
      </c>
      <c r="R71" s="101" t="e">
        <f t="shared" si="13"/>
        <v>#VALUE!</v>
      </c>
    </row>
    <row r="72" spans="1:18" ht="15" customHeight="1" x14ac:dyDescent="0.75">
      <c r="A72" s="135" t="s">
        <v>193</v>
      </c>
      <c r="B72" s="134" t="s">
        <v>197</v>
      </c>
      <c r="C72" s="206"/>
      <c r="D72" s="104" t="e">
        <f>#VALUE!</f>
        <v>#VALUE!</v>
      </c>
      <c r="E72" s="203" t="e">
        <f t="shared" si="10"/>
        <v>#VALUE!</v>
      </c>
      <c r="F72" s="205">
        <v>0</v>
      </c>
      <c r="G72" s="104">
        <v>0</v>
      </c>
      <c r="H72" s="104">
        <v>0</v>
      </c>
      <c r="I72" s="104">
        <v>0</v>
      </c>
      <c r="J72" s="104">
        <v>0</v>
      </c>
      <c r="K72" s="99" t="e">
        <f t="shared" si="11"/>
        <v>#VALUE!</v>
      </c>
      <c r="L72" s="96">
        <v>0</v>
      </c>
      <c r="M72" s="96">
        <v>0</v>
      </c>
      <c r="N72" s="96">
        <v>0</v>
      </c>
      <c r="O72" s="96">
        <v>0</v>
      </c>
      <c r="P72" s="100">
        <v>0</v>
      </c>
      <c r="Q72" s="101">
        <f t="shared" si="12"/>
        <v>0</v>
      </c>
      <c r="R72" s="101" t="e">
        <f t="shared" si="13"/>
        <v>#VALUE!</v>
      </c>
    </row>
  </sheetData>
  <mergeCells count="3">
    <mergeCell ref="A1:E1"/>
    <mergeCell ref="A25:E25"/>
    <mergeCell ref="A49:E49"/>
  </mergeCells>
  <conditionalFormatting sqref="Q3">
    <cfRule type="cellIs" dxfId="7" priority="5" operator="equal">
      <formula>$D$3</formula>
    </cfRule>
  </conditionalFormatting>
  <conditionalFormatting sqref="Q5:Q24">
    <cfRule type="cellIs" dxfId="6" priority="4" operator="equal">
      <formula>$D$3</formula>
    </cfRule>
  </conditionalFormatting>
  <conditionalFormatting sqref="Q8">
    <cfRule type="cellIs" dxfId="5" priority="2" operator="lessThan">
      <formula>$D$8</formula>
    </cfRule>
    <cfRule type="cellIs" dxfId="4" priority="3" operator="equal">
      <formula>$D$8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S27"/>
  <sheetViews>
    <sheetView zoomScaleNormal="100" workbookViewId="0">
      <selection activeCell="E8" sqref="E8"/>
    </sheetView>
  </sheetViews>
  <sheetFormatPr defaultColWidth="8.54296875" defaultRowHeight="14.75" x14ac:dyDescent="0.75"/>
  <cols>
    <col min="2" max="2" width="34.453125" customWidth="1"/>
    <col min="3" max="3" width="15.2265625" customWidth="1"/>
    <col min="4" max="4" width="10.86328125" hidden="1" customWidth="1"/>
  </cols>
  <sheetData>
    <row r="1" spans="1:12" ht="14.25" customHeight="1" x14ac:dyDescent="0.75">
      <c r="C1" s="145" t="s">
        <v>174</v>
      </c>
    </row>
    <row r="2" spans="1:12" ht="28.5" customHeight="1" x14ac:dyDescent="0.75">
      <c r="A2" s="51"/>
      <c r="B2" s="51" t="s">
        <v>178</v>
      </c>
      <c r="C2" s="51"/>
      <c r="D2" s="51" t="s">
        <v>144</v>
      </c>
      <c r="E2" s="53" t="s">
        <v>116</v>
      </c>
      <c r="F2" s="53" t="s">
        <v>145</v>
      </c>
      <c r="G2" s="56" t="s">
        <v>119</v>
      </c>
      <c r="H2" s="53" t="s">
        <v>146</v>
      </c>
      <c r="I2" s="51" t="s">
        <v>122</v>
      </c>
      <c r="J2" s="56" t="s">
        <v>147</v>
      </c>
      <c r="K2" s="51" t="s">
        <v>148</v>
      </c>
      <c r="L2" s="53" t="s">
        <v>149</v>
      </c>
    </row>
    <row r="3" spans="1:12" ht="14.25" customHeight="1" x14ac:dyDescent="0.75">
      <c r="A3" s="50"/>
      <c r="B3" s="50"/>
      <c r="C3" s="57" t="s">
        <v>150</v>
      </c>
      <c r="D3" s="57"/>
      <c r="E3" s="57"/>
      <c r="F3" s="59"/>
      <c r="G3" s="59"/>
      <c r="H3" s="59"/>
      <c r="I3" s="59"/>
      <c r="J3" s="59"/>
      <c r="K3" s="59"/>
      <c r="L3" s="59"/>
    </row>
    <row r="4" spans="1:12" ht="14.25" customHeight="1" x14ac:dyDescent="0.75">
      <c r="A4" s="62" t="s">
        <v>129</v>
      </c>
      <c r="B4" s="62" t="s">
        <v>2</v>
      </c>
      <c r="C4" s="62" t="s">
        <v>3</v>
      </c>
      <c r="D4" s="62"/>
      <c r="E4" s="62"/>
      <c r="F4" s="62"/>
      <c r="G4" s="62"/>
      <c r="H4" s="62"/>
      <c r="I4" s="62"/>
      <c r="J4" s="62"/>
      <c r="K4" s="62"/>
      <c r="L4" s="62"/>
    </row>
    <row r="5" spans="1:12" ht="14.25" customHeight="1" x14ac:dyDescent="0.75">
      <c r="A5" s="62"/>
      <c r="B5" s="62"/>
      <c r="C5" s="62" t="s">
        <v>151</v>
      </c>
      <c r="D5" s="62"/>
      <c r="E5" s="62"/>
      <c r="F5" s="50">
        <v>159</v>
      </c>
      <c r="G5" s="50"/>
      <c r="H5" s="50">
        <v>951</v>
      </c>
      <c r="I5" s="50"/>
      <c r="J5" s="50">
        <v>211</v>
      </c>
      <c r="K5" s="62" t="s">
        <v>152</v>
      </c>
      <c r="L5" s="62">
        <f>SUM(F5:J5)</f>
        <v>1321</v>
      </c>
    </row>
    <row r="6" spans="1:12" ht="14.25" customHeight="1" x14ac:dyDescent="0.75">
      <c r="A6" s="50">
        <v>666501</v>
      </c>
      <c r="B6" s="73" t="s">
        <v>4</v>
      </c>
      <c r="C6" s="73" t="s">
        <v>5</v>
      </c>
      <c r="D6" s="50">
        <f t="shared" ref="D6:D25" si="0">+K6</f>
        <v>474</v>
      </c>
      <c r="E6" s="50">
        <v>42</v>
      </c>
      <c r="F6" s="70">
        <v>42</v>
      </c>
      <c r="G6" s="50">
        <v>393</v>
      </c>
      <c r="H6" s="50">
        <v>393</v>
      </c>
      <c r="I6" s="50">
        <v>39</v>
      </c>
      <c r="J6" s="50">
        <v>39</v>
      </c>
      <c r="K6" s="50">
        <f t="shared" ref="K6:K27" si="1">+I6+G6+E6</f>
        <v>474</v>
      </c>
      <c r="L6" s="50">
        <f t="shared" ref="L6:L27" si="2">+F6+H6+J6</f>
        <v>474</v>
      </c>
    </row>
    <row r="7" spans="1:12" ht="14.25" customHeight="1" x14ac:dyDescent="0.75">
      <c r="A7" s="50">
        <v>666502</v>
      </c>
      <c r="B7" s="73" t="s">
        <v>6</v>
      </c>
      <c r="C7" s="73" t="s">
        <v>7</v>
      </c>
      <c r="D7" s="50">
        <f t="shared" si="0"/>
        <v>312</v>
      </c>
      <c r="E7" s="50">
        <v>0</v>
      </c>
      <c r="F7" s="50">
        <v>0</v>
      </c>
      <c r="G7" s="50">
        <v>212</v>
      </c>
      <c r="H7" s="50">
        <v>212</v>
      </c>
      <c r="I7" s="50">
        <v>100</v>
      </c>
      <c r="J7" s="50">
        <v>100</v>
      </c>
      <c r="K7" s="50">
        <f t="shared" si="1"/>
        <v>312</v>
      </c>
      <c r="L7" s="50">
        <f t="shared" si="2"/>
        <v>312</v>
      </c>
    </row>
    <row r="8" spans="1:12" ht="14.25" customHeight="1" x14ac:dyDescent="0.75">
      <c r="A8" s="50">
        <v>666505</v>
      </c>
      <c r="B8" s="73" t="s">
        <v>8</v>
      </c>
      <c r="C8" s="73" t="s">
        <v>9</v>
      </c>
      <c r="D8" s="50">
        <f t="shared" si="0"/>
        <v>40</v>
      </c>
      <c r="E8" s="50">
        <v>13</v>
      </c>
      <c r="F8" s="70">
        <v>13</v>
      </c>
      <c r="G8" s="50">
        <v>0</v>
      </c>
      <c r="H8" s="50">
        <v>0</v>
      </c>
      <c r="I8" s="50">
        <v>27</v>
      </c>
      <c r="J8" s="50">
        <v>27</v>
      </c>
      <c r="K8" s="50">
        <f t="shared" si="1"/>
        <v>40</v>
      </c>
      <c r="L8" s="50">
        <f t="shared" si="2"/>
        <v>40</v>
      </c>
    </row>
    <row r="9" spans="1:12" ht="14.25" customHeight="1" x14ac:dyDescent="0.75">
      <c r="A9" s="50">
        <v>666506</v>
      </c>
      <c r="B9" s="73" t="s">
        <v>10</v>
      </c>
      <c r="C9" s="73" t="s">
        <v>11</v>
      </c>
      <c r="D9" s="50">
        <f t="shared" si="0"/>
        <v>144</v>
      </c>
      <c r="E9" s="50">
        <v>0</v>
      </c>
      <c r="F9" s="50">
        <v>0</v>
      </c>
      <c r="G9" s="50">
        <v>144</v>
      </c>
      <c r="H9" s="50">
        <v>144</v>
      </c>
      <c r="I9" s="50">
        <v>0</v>
      </c>
      <c r="J9" s="50">
        <v>0</v>
      </c>
      <c r="K9" s="50">
        <f t="shared" si="1"/>
        <v>144</v>
      </c>
      <c r="L9" s="50">
        <f t="shared" si="2"/>
        <v>144</v>
      </c>
    </row>
    <row r="10" spans="1:12" ht="14.25" customHeight="1" x14ac:dyDescent="0.75">
      <c r="A10" s="50">
        <v>666507</v>
      </c>
      <c r="B10" s="73" t="s">
        <v>12</v>
      </c>
      <c r="C10" s="73" t="s">
        <v>13</v>
      </c>
      <c r="D10" s="50">
        <f t="shared" si="0"/>
        <v>8</v>
      </c>
      <c r="E10" s="50">
        <v>8</v>
      </c>
      <c r="F10" s="70">
        <v>8</v>
      </c>
      <c r="G10" s="50">
        <v>0</v>
      </c>
      <c r="H10" s="50">
        <v>0</v>
      </c>
      <c r="I10" s="50">
        <v>0</v>
      </c>
      <c r="J10" s="50">
        <v>0</v>
      </c>
      <c r="K10" s="50">
        <f t="shared" si="1"/>
        <v>8</v>
      </c>
      <c r="L10" s="50">
        <f t="shared" si="2"/>
        <v>8</v>
      </c>
    </row>
    <row r="11" spans="1:12" ht="14.25" customHeight="1" x14ac:dyDescent="0.75">
      <c r="A11" s="50">
        <v>666509</v>
      </c>
      <c r="B11" s="73" t="s">
        <v>14</v>
      </c>
      <c r="C11" s="73" t="s">
        <v>15</v>
      </c>
      <c r="D11" s="50">
        <f t="shared" si="0"/>
        <v>50</v>
      </c>
      <c r="E11" s="50">
        <v>50</v>
      </c>
      <c r="F11" s="50">
        <v>50</v>
      </c>
      <c r="G11" s="50">
        <v>0</v>
      </c>
      <c r="H11" s="50">
        <v>0</v>
      </c>
      <c r="I11" s="50">
        <v>0</v>
      </c>
      <c r="J11" s="50">
        <v>0</v>
      </c>
      <c r="K11" s="50">
        <f t="shared" si="1"/>
        <v>50</v>
      </c>
      <c r="L11" s="50">
        <f t="shared" si="2"/>
        <v>50</v>
      </c>
    </row>
    <row r="12" spans="1:12" ht="14.25" customHeight="1" x14ac:dyDescent="0.75">
      <c r="A12" s="50">
        <v>666510</v>
      </c>
      <c r="B12" s="73" t="s">
        <v>16</v>
      </c>
      <c r="C12" s="73" t="s">
        <v>169</v>
      </c>
      <c r="D12" s="50">
        <f t="shared" si="0"/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f t="shared" si="1"/>
        <v>0</v>
      </c>
      <c r="L12" s="50">
        <f t="shared" si="2"/>
        <v>0</v>
      </c>
    </row>
    <row r="13" spans="1:12" ht="14.25" customHeight="1" x14ac:dyDescent="0.75">
      <c r="A13" s="50">
        <v>666511</v>
      </c>
      <c r="B13" s="73" t="s">
        <v>18</v>
      </c>
      <c r="C13" s="73" t="s">
        <v>19</v>
      </c>
      <c r="D13" s="50">
        <f t="shared" si="0"/>
        <v>4</v>
      </c>
      <c r="E13" s="50">
        <v>4</v>
      </c>
      <c r="F13" s="50">
        <v>4</v>
      </c>
      <c r="G13" s="50">
        <v>0</v>
      </c>
      <c r="H13" s="50">
        <v>0</v>
      </c>
      <c r="I13" s="50">
        <v>0</v>
      </c>
      <c r="J13" s="50">
        <v>0</v>
      </c>
      <c r="K13" s="50">
        <f t="shared" si="1"/>
        <v>4</v>
      </c>
      <c r="L13" s="50">
        <f t="shared" si="2"/>
        <v>4</v>
      </c>
    </row>
    <row r="14" spans="1:12" ht="14.25" customHeight="1" x14ac:dyDescent="0.75">
      <c r="A14" s="50">
        <v>666513</v>
      </c>
      <c r="B14" s="73" t="s">
        <v>20</v>
      </c>
      <c r="C14" s="73" t="s">
        <v>21</v>
      </c>
      <c r="D14" s="50">
        <f t="shared" si="0"/>
        <v>48</v>
      </c>
      <c r="E14" s="50">
        <v>14</v>
      </c>
      <c r="F14" s="70">
        <v>14</v>
      </c>
      <c r="G14" s="50">
        <v>0</v>
      </c>
      <c r="H14" s="50">
        <v>0</v>
      </c>
      <c r="I14" s="50">
        <v>34</v>
      </c>
      <c r="J14" s="50">
        <v>34</v>
      </c>
      <c r="K14" s="50">
        <f t="shared" si="1"/>
        <v>48</v>
      </c>
      <c r="L14" s="50">
        <f t="shared" si="2"/>
        <v>48</v>
      </c>
    </row>
    <row r="15" spans="1:12" ht="14.25" customHeight="1" x14ac:dyDescent="0.75">
      <c r="A15" s="50">
        <v>666516</v>
      </c>
      <c r="B15" s="73" t="s">
        <v>22</v>
      </c>
      <c r="C15" s="73" t="s">
        <v>23</v>
      </c>
      <c r="D15" s="50">
        <f t="shared" si="0"/>
        <v>32</v>
      </c>
      <c r="E15" s="50">
        <v>16</v>
      </c>
      <c r="F15" s="70">
        <v>16</v>
      </c>
      <c r="G15" s="50">
        <v>0</v>
      </c>
      <c r="H15" s="50">
        <v>0</v>
      </c>
      <c r="I15" s="50">
        <v>16</v>
      </c>
      <c r="J15" s="50">
        <v>16</v>
      </c>
      <c r="K15" s="50">
        <f t="shared" si="1"/>
        <v>32</v>
      </c>
      <c r="L15" s="50">
        <f t="shared" si="2"/>
        <v>32</v>
      </c>
    </row>
    <row r="16" spans="1:12" ht="14.25" customHeight="1" x14ac:dyDescent="0.75">
      <c r="A16" s="50">
        <v>666517</v>
      </c>
      <c r="B16" s="73" t="s">
        <v>24</v>
      </c>
      <c r="C16" s="73" t="s">
        <v>25</v>
      </c>
      <c r="D16" s="50">
        <f t="shared" si="0"/>
        <v>32</v>
      </c>
      <c r="E16" s="50">
        <v>22</v>
      </c>
      <c r="F16" s="70">
        <v>22</v>
      </c>
      <c r="G16" s="50">
        <v>0</v>
      </c>
      <c r="H16" s="50">
        <v>0</v>
      </c>
      <c r="I16" s="50">
        <v>10</v>
      </c>
      <c r="J16" s="50">
        <v>10</v>
      </c>
      <c r="K16" s="50">
        <f t="shared" si="1"/>
        <v>32</v>
      </c>
      <c r="L16" s="50">
        <f t="shared" si="2"/>
        <v>32</v>
      </c>
    </row>
    <row r="17" spans="1:19" ht="14.25" customHeight="1" x14ac:dyDescent="0.75">
      <c r="A17" s="50">
        <v>666518</v>
      </c>
      <c r="B17" s="73" t="s">
        <v>26</v>
      </c>
      <c r="C17" s="73" t="s">
        <v>27</v>
      </c>
      <c r="D17" s="50">
        <f t="shared" si="0"/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f t="shared" si="1"/>
        <v>0</v>
      </c>
      <c r="L17" s="50">
        <f t="shared" si="2"/>
        <v>0</v>
      </c>
    </row>
    <row r="18" spans="1:19" ht="14.25" customHeight="1" x14ac:dyDescent="0.75">
      <c r="A18" s="50">
        <v>666519</v>
      </c>
      <c r="B18" s="73" t="s">
        <v>28</v>
      </c>
      <c r="C18" s="73" t="s">
        <v>29</v>
      </c>
      <c r="D18" s="50">
        <f t="shared" si="0"/>
        <v>44</v>
      </c>
      <c r="E18" s="50">
        <v>22</v>
      </c>
      <c r="F18" s="70">
        <v>22</v>
      </c>
      <c r="G18" s="50">
        <v>0</v>
      </c>
      <c r="H18" s="50">
        <v>0</v>
      </c>
      <c r="I18" s="50">
        <v>22</v>
      </c>
      <c r="J18" s="50">
        <v>22</v>
      </c>
      <c r="K18" s="50">
        <f t="shared" si="1"/>
        <v>44</v>
      </c>
      <c r="L18" s="50">
        <f t="shared" si="2"/>
        <v>44</v>
      </c>
    </row>
    <row r="19" spans="1:19" ht="14.25" customHeight="1" x14ac:dyDescent="0.75">
      <c r="A19" s="50">
        <v>666521</v>
      </c>
      <c r="B19" s="73" t="s">
        <v>30</v>
      </c>
      <c r="C19" s="73" t="s">
        <v>31</v>
      </c>
      <c r="D19" s="50">
        <f t="shared" si="0"/>
        <v>48</v>
      </c>
      <c r="E19" s="50">
        <v>48</v>
      </c>
      <c r="F19" s="70">
        <v>48</v>
      </c>
      <c r="G19" s="50">
        <v>0</v>
      </c>
      <c r="H19" s="50">
        <v>0</v>
      </c>
      <c r="I19" s="50">
        <v>0</v>
      </c>
      <c r="J19" s="50">
        <v>0</v>
      </c>
      <c r="K19" s="50">
        <f t="shared" si="1"/>
        <v>48</v>
      </c>
      <c r="L19" s="50">
        <f t="shared" si="2"/>
        <v>48</v>
      </c>
    </row>
    <row r="20" spans="1:19" ht="14.25" customHeight="1" x14ac:dyDescent="0.75">
      <c r="A20" s="50">
        <v>666522</v>
      </c>
      <c r="B20" s="73" t="s">
        <v>32</v>
      </c>
      <c r="C20" s="73" t="s">
        <v>33</v>
      </c>
      <c r="D20" s="50">
        <f t="shared" si="0"/>
        <v>305</v>
      </c>
      <c r="E20" s="50">
        <v>180</v>
      </c>
      <c r="F20" s="70">
        <v>180</v>
      </c>
      <c r="G20" s="50">
        <v>0</v>
      </c>
      <c r="H20" s="50">
        <v>0</v>
      </c>
      <c r="I20" s="50">
        <v>125</v>
      </c>
      <c r="J20" s="50">
        <v>125</v>
      </c>
      <c r="K20" s="50">
        <f t="shared" si="1"/>
        <v>305</v>
      </c>
      <c r="L20" s="50">
        <f t="shared" si="2"/>
        <v>305</v>
      </c>
    </row>
    <row r="21" spans="1:19" ht="14.25" customHeight="1" x14ac:dyDescent="0.75">
      <c r="A21" s="50">
        <v>666523</v>
      </c>
      <c r="B21" s="73" t="s">
        <v>34</v>
      </c>
      <c r="C21" s="73" t="s">
        <v>35</v>
      </c>
      <c r="D21" s="50">
        <f t="shared" si="0"/>
        <v>28</v>
      </c>
      <c r="E21" s="50">
        <v>0</v>
      </c>
      <c r="F21" s="50">
        <v>0</v>
      </c>
      <c r="G21" s="50">
        <v>0</v>
      </c>
      <c r="H21" s="50">
        <v>0</v>
      </c>
      <c r="I21" s="50">
        <v>28</v>
      </c>
      <c r="J21" s="50">
        <v>28</v>
      </c>
      <c r="K21" s="50">
        <f t="shared" si="1"/>
        <v>28</v>
      </c>
      <c r="L21" s="50">
        <f t="shared" si="2"/>
        <v>28</v>
      </c>
    </row>
    <row r="22" spans="1:19" ht="14.25" customHeight="1" x14ac:dyDescent="0.75">
      <c r="A22" s="50">
        <v>666530</v>
      </c>
      <c r="B22" s="73" t="s">
        <v>36</v>
      </c>
      <c r="C22" s="73" t="s">
        <v>37</v>
      </c>
      <c r="D22" s="50">
        <f t="shared" si="0"/>
        <v>18</v>
      </c>
      <c r="E22" s="50">
        <v>0</v>
      </c>
      <c r="F22" s="50">
        <v>0</v>
      </c>
      <c r="G22" s="50">
        <v>0</v>
      </c>
      <c r="H22" s="50">
        <v>0</v>
      </c>
      <c r="I22" s="50">
        <v>18</v>
      </c>
      <c r="J22" s="50">
        <v>18</v>
      </c>
      <c r="K22" s="50">
        <f t="shared" si="1"/>
        <v>18</v>
      </c>
      <c r="L22" s="50">
        <f t="shared" si="2"/>
        <v>18</v>
      </c>
    </row>
    <row r="23" spans="1:19" ht="14.25" customHeight="1" x14ac:dyDescent="0.75">
      <c r="A23" s="50">
        <v>666531</v>
      </c>
      <c r="B23" s="73" t="s">
        <v>38</v>
      </c>
      <c r="C23" s="73" t="s">
        <v>39</v>
      </c>
      <c r="D23" s="50">
        <f t="shared" si="0"/>
        <v>28</v>
      </c>
      <c r="E23" s="50">
        <v>20</v>
      </c>
      <c r="F23" s="70">
        <v>20</v>
      </c>
      <c r="G23" s="50">
        <v>0</v>
      </c>
      <c r="H23" s="50">
        <v>0</v>
      </c>
      <c r="I23" s="50">
        <v>8</v>
      </c>
      <c r="J23" s="50">
        <v>8</v>
      </c>
      <c r="K23" s="50">
        <f t="shared" si="1"/>
        <v>28</v>
      </c>
      <c r="L23" s="50">
        <f t="shared" si="2"/>
        <v>28</v>
      </c>
    </row>
    <row r="24" spans="1:19" ht="14.25" customHeight="1" x14ac:dyDescent="0.75">
      <c r="A24" s="50">
        <v>666540</v>
      </c>
      <c r="B24" s="73" t="s">
        <v>40</v>
      </c>
      <c r="C24" s="73" t="s">
        <v>40</v>
      </c>
      <c r="D24" s="50">
        <f t="shared" si="0"/>
        <v>40</v>
      </c>
      <c r="E24" s="50">
        <v>0</v>
      </c>
      <c r="F24" s="50">
        <v>0</v>
      </c>
      <c r="G24" s="50">
        <v>40</v>
      </c>
      <c r="H24" s="50">
        <v>0</v>
      </c>
      <c r="I24" s="50">
        <v>0</v>
      </c>
      <c r="J24" s="50">
        <v>0</v>
      </c>
      <c r="K24" s="50">
        <f t="shared" si="1"/>
        <v>40</v>
      </c>
      <c r="L24" s="50">
        <f t="shared" si="2"/>
        <v>0</v>
      </c>
    </row>
    <row r="25" spans="1:19" ht="14.25" customHeight="1" x14ac:dyDescent="0.75">
      <c r="A25" s="50">
        <v>666541</v>
      </c>
      <c r="B25" s="73" t="s">
        <v>41</v>
      </c>
      <c r="C25" s="73" t="s">
        <v>41</v>
      </c>
      <c r="D25" s="50">
        <f t="shared" si="0"/>
        <v>500</v>
      </c>
      <c r="E25" s="50">
        <v>0</v>
      </c>
      <c r="F25" s="50">
        <v>0</v>
      </c>
      <c r="G25" s="50">
        <v>500</v>
      </c>
      <c r="H25" s="50">
        <v>247</v>
      </c>
      <c r="I25" s="50">
        <v>0</v>
      </c>
      <c r="J25" s="50">
        <v>0</v>
      </c>
      <c r="K25" s="50">
        <f t="shared" si="1"/>
        <v>500</v>
      </c>
      <c r="L25" s="50">
        <f t="shared" si="2"/>
        <v>247</v>
      </c>
    </row>
    <row r="26" spans="1:19" s="74" customFormat="1" ht="14.25" customHeight="1" x14ac:dyDescent="0.75">
      <c r="A26" s="74">
        <v>666536</v>
      </c>
      <c r="B26" s="74" t="s">
        <v>42</v>
      </c>
      <c r="C26" s="74" t="s">
        <v>43</v>
      </c>
      <c r="E26" s="50">
        <v>40</v>
      </c>
      <c r="F26" s="50">
        <v>10</v>
      </c>
      <c r="G26" s="50">
        <v>0</v>
      </c>
      <c r="H26" s="50">
        <v>0</v>
      </c>
      <c r="I26" s="50">
        <v>0</v>
      </c>
      <c r="J26" s="50">
        <v>0</v>
      </c>
      <c r="K26" s="50">
        <f t="shared" si="1"/>
        <v>40</v>
      </c>
      <c r="L26" s="50">
        <f t="shared" si="2"/>
        <v>10</v>
      </c>
      <c r="S26" s="74">
        <v>2</v>
      </c>
    </row>
    <row r="27" spans="1:19" ht="14.25" customHeight="1" x14ac:dyDescent="0.75">
      <c r="A27" t="s">
        <v>193</v>
      </c>
      <c r="B27" s="73" t="s">
        <v>198</v>
      </c>
      <c r="C27" s="73" t="s">
        <v>198</v>
      </c>
      <c r="E27" s="50">
        <v>100</v>
      </c>
      <c r="F27" s="50">
        <v>100</v>
      </c>
      <c r="G27" s="50">
        <v>0</v>
      </c>
      <c r="H27" s="50">
        <v>0</v>
      </c>
      <c r="I27" s="50">
        <v>0</v>
      </c>
      <c r="J27" s="50">
        <v>0</v>
      </c>
      <c r="K27" s="50">
        <f t="shared" si="1"/>
        <v>100</v>
      </c>
      <c r="L27" s="50">
        <f t="shared" si="2"/>
        <v>100</v>
      </c>
    </row>
  </sheetData>
  <conditionalFormatting sqref="K6:K27">
    <cfRule type="cellIs" dxfId="3" priority="2" operator="equal">
      <formula>0</formula>
    </cfRule>
  </conditionalFormatting>
  <conditionalFormatting sqref="L6:L27">
    <cfRule type="expression" dxfId="2" priority="3">
      <formula>K6=L6</formula>
    </cfRule>
    <cfRule type="expression" dxfId="1" priority="4">
      <formula>K6&lt;L6</formula>
    </cfRule>
    <cfRule type="expression" dxfId="0" priority="5">
      <formula>K6&gt;L6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67</vt:i4>
      </vt:variant>
    </vt:vector>
  </HeadingPairs>
  <TitlesOfParts>
    <vt:vector size="67" baseType="lpstr">
      <vt:lpstr>Attainment &amp; Alloc Summary</vt:lpstr>
      <vt:lpstr>Attainment &amp; Allocations</vt:lpstr>
      <vt:lpstr>Harvest Detail</vt:lpstr>
      <vt:lpstr>Productivity</vt:lpstr>
      <vt:lpstr>By Week &amp; House</vt:lpstr>
      <vt:lpstr>Over Time</vt:lpstr>
      <vt:lpstr>PvA Data</vt:lpstr>
      <vt:lpstr>Tissue Codes</vt:lpstr>
      <vt:lpstr>12_29_25</vt:lpstr>
      <vt:lpstr>01_05_26</vt:lpstr>
      <vt:lpstr>Sheet3</vt:lpstr>
      <vt:lpstr>Sheet4</vt:lpstr>
      <vt:lpstr>1_12_26</vt:lpstr>
      <vt:lpstr>1_19_26</vt:lpstr>
      <vt:lpstr>Sheet7</vt:lpstr>
      <vt:lpstr>Sheet8</vt:lpstr>
      <vt:lpstr>1_26_26</vt:lpstr>
      <vt:lpstr>02_02_26</vt:lpstr>
      <vt:lpstr>Sheet5</vt:lpstr>
      <vt:lpstr>Sheet6</vt:lpstr>
      <vt:lpstr>02_09_26</vt:lpstr>
      <vt:lpstr>02_16_26</vt:lpstr>
      <vt:lpstr>Sheet9</vt:lpstr>
      <vt:lpstr>Sheet10</vt:lpstr>
      <vt:lpstr>02_23_26</vt:lpstr>
      <vt:lpstr>03_02_26</vt:lpstr>
      <vt:lpstr>Sheet11</vt:lpstr>
      <vt:lpstr>Sheet12</vt:lpstr>
      <vt:lpstr>03_09_26</vt:lpstr>
      <vt:lpstr>03_16_26</vt:lpstr>
      <vt:lpstr>Sheet1</vt:lpstr>
      <vt:lpstr>Sheet2</vt:lpstr>
      <vt:lpstr>03_23_26</vt:lpstr>
      <vt:lpstr>03_30_26</vt:lpstr>
      <vt:lpstr>Sheet15</vt:lpstr>
      <vt:lpstr>Sheet16</vt:lpstr>
      <vt:lpstr>Q1 to Date</vt:lpstr>
      <vt:lpstr>04_06_26</vt:lpstr>
      <vt:lpstr>04_13_26</vt:lpstr>
      <vt:lpstr>Sheet17</vt:lpstr>
      <vt:lpstr>Sheet18</vt:lpstr>
      <vt:lpstr>04_20_26</vt:lpstr>
      <vt:lpstr>04_27_26</vt:lpstr>
      <vt:lpstr>Sheet20</vt:lpstr>
      <vt:lpstr>Sheet19</vt:lpstr>
      <vt:lpstr>05_04_26</vt:lpstr>
      <vt:lpstr>05_11_26</vt:lpstr>
      <vt:lpstr>Sheet21</vt:lpstr>
      <vt:lpstr>Sheet22</vt:lpstr>
      <vt:lpstr>05_18_26</vt:lpstr>
      <vt:lpstr>05_25_26</vt:lpstr>
      <vt:lpstr>Sheet23</vt:lpstr>
      <vt:lpstr>Sheet24</vt:lpstr>
      <vt:lpstr>06_01_26</vt:lpstr>
      <vt:lpstr>06_08_26</vt:lpstr>
      <vt:lpstr>Sheet28</vt:lpstr>
      <vt:lpstr>Sheet29</vt:lpstr>
      <vt:lpstr>Q2</vt:lpstr>
      <vt:lpstr>Year to date</vt:lpstr>
      <vt:lpstr>06_15_26</vt:lpstr>
      <vt:lpstr>06_22_26</vt:lpstr>
      <vt:lpstr>Sheet25</vt:lpstr>
      <vt:lpstr>Sheet26</vt:lpstr>
      <vt:lpstr>06_29_26</vt:lpstr>
      <vt:lpstr>07_06_26</vt:lpstr>
      <vt:lpstr>Sheet27</vt:lpstr>
      <vt:lpstr>Sheet32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Valovic</dc:creator>
  <dc:description/>
  <cp:lastModifiedBy>Oscar Penny</cp:lastModifiedBy>
  <cp:revision>4</cp:revision>
  <cp:lastPrinted>2026-06-17T14:43:27Z</cp:lastPrinted>
  <dcterms:created xsi:type="dcterms:W3CDTF">2025-12-16T12:55:45Z</dcterms:created>
  <dcterms:modified xsi:type="dcterms:W3CDTF">2026-06-24T14:14:45Z</dcterms:modified>
  <dc:language>en-US</dc:language>
</cp:coreProperties>
</file>