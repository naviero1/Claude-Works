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pplier Shortlist" sheetId="1" state="visible" r:id="rId1"/>
    <sheet name="Cost Model" sheetId="2" state="visible" r:id="rId2"/>
    <sheet name="Qualification Matrix" sheetId="3" state="visible" r:id="rId3"/>
    <sheet name="RFQ Pack" sheetId="4" state="visible" r:id="rId4"/>
    <sheet name="Spec Flags" sheetId="5" state="visible" r:id="rId5"/>
    <sheet name="Sources" sheetId="6" state="visible" r:id="rId6"/>
  </sheets>
  <definedNames>
    <definedName name="_xlnm._FilterDatabase" localSheetId="0" hidden="1">'Supplier Shortlist'!$A$4:$AB$15</definedName>
  </definedNames>
  <calcPr calcId="124519" fullCalcOnLoad="1"/>
</workbook>
</file>

<file path=xl/styles.xml><?xml version="1.0" encoding="utf-8"?>
<styleSheet xmlns="http://schemas.openxmlformats.org/spreadsheetml/2006/main">
  <numFmts count="4">
    <numFmt numFmtId="164" formatCode="$#,##0.00;($#,##0.00);-"/>
    <numFmt numFmtId="165" formatCode="0.0"/>
    <numFmt numFmtId="166" formatCode="$#,##0;($#,##0);-"/>
    <numFmt numFmtId="167" formatCode="0.0%"/>
  </numFmts>
  <fonts count="16">
    <font>
      <name val="Calibri"/>
      <family val="2"/>
      <color theme="1"/>
      <sz val="11"/>
      <scheme val="minor"/>
    </font>
    <font>
      <name val="Arial"/>
      <b val="1"/>
      <color rgb="001F3864"/>
      <sz val="15"/>
    </font>
    <font>
      <name val="Arial"/>
      <i val="1"/>
      <color rgb="00595959"/>
      <sz val="9"/>
    </font>
    <font>
      <name val="Arial"/>
      <b val="1"/>
      <color rgb="00FFFFFF"/>
      <sz val="10"/>
    </font>
    <font>
      <name val="Arial"/>
      <sz val="10"/>
    </font>
    <font>
      <name val="Arial"/>
      <b val="1"/>
      <sz val="10"/>
    </font>
    <font>
      <name val="Arial"/>
      <color rgb="00008000"/>
      <sz val="10"/>
    </font>
    <font>
      <name val="Arial"/>
      <color rgb="000000FF"/>
      <sz val="10"/>
    </font>
    <font>
      <name val="Arial"/>
      <b val="1"/>
      <color rgb="009C0006"/>
      <sz val="11"/>
    </font>
    <font>
      <name val="Arial"/>
      <b val="1"/>
      <color rgb="009C0006"/>
      <sz val="10"/>
    </font>
    <font>
      <name val="Arial"/>
      <b val="1"/>
      <color rgb="00FFFFFF"/>
      <sz val="11"/>
    </font>
    <font>
      <name val="Arial"/>
      <b val="1"/>
      <color rgb="001F3864"/>
      <sz val="10"/>
    </font>
    <font>
      <name val="Arial"/>
      <b val="1"/>
      <color rgb="009C6500"/>
      <sz val="10"/>
    </font>
    <font>
      <name val="Arial"/>
      <b val="1"/>
      <color rgb="00006100"/>
      <sz val="10"/>
    </font>
    <font>
      <name val="Arial"/>
      <color rgb="00595959"/>
      <sz val="10"/>
    </font>
    <font>
      <name val="Arial"/>
      <i val="1"/>
      <color rgb="00808080"/>
      <sz val="9"/>
    </font>
  </fonts>
  <fills count="17">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FFF00"/>
      </patternFill>
    </fill>
    <fill>
      <patternFill patternType="solid">
        <fgColor rgb="00C6EFCE"/>
      </patternFill>
    </fill>
    <fill>
      <patternFill patternType="solid">
        <fgColor rgb="00DCE6F1"/>
      </patternFill>
    </fill>
    <fill>
      <patternFill patternType="solid">
        <fgColor rgb="00F2F2F2"/>
      </patternFill>
    </fill>
    <fill>
      <patternFill patternType="solid">
        <fgColor rgb="00FFC7CE"/>
      </patternFill>
    </fill>
    <fill>
      <patternFill patternType="solid">
        <fgColor rgb="00F2F5FA"/>
      </patternFill>
    </fill>
    <fill>
      <patternFill patternType="solid">
        <fgColor rgb="00FCE4E4"/>
      </patternFill>
    </fill>
    <fill>
      <patternFill patternType="solid">
        <fgColor rgb="002E5C8A"/>
      </patternFill>
    </fill>
    <fill>
      <patternFill patternType="solid">
        <fgColor rgb="00FFE1E1"/>
      </patternFill>
    </fill>
    <fill>
      <patternFill patternType="solid">
        <fgColor rgb="00D9D9D9"/>
      </patternFill>
    </fill>
    <fill>
      <patternFill patternType="solid">
        <fgColor rgb="00FFEB9C"/>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4" fillId="4" borderId="1" applyAlignment="1" pivotButton="0" quotePrefix="0" xfId="0">
      <alignment horizontal="center" vertical="top" wrapText="1"/>
    </xf>
    <xf numFmtId="164" fontId="6" fillId="0" borderId="1" applyAlignment="1" pivotButton="0" quotePrefix="0" xfId="0">
      <alignment horizontal="center" vertical="top" wrapText="1"/>
    </xf>
    <xf numFmtId="0" fontId="7" fillId="5" borderId="1" applyAlignment="1" pivotButton="0" quotePrefix="0" xfId="0">
      <alignment vertical="top" wrapText="1"/>
    </xf>
    <xf numFmtId="164" fontId="7" fillId="5" borderId="1" applyAlignment="1" pivotButton="0" quotePrefix="0" xfId="0">
      <alignment vertical="top" wrapText="1"/>
    </xf>
    <xf numFmtId="0" fontId="4" fillId="6" borderId="1" applyAlignment="1" pivotButton="0" quotePrefix="0" xfId="0">
      <alignment horizontal="center" vertical="top" wrapText="1"/>
    </xf>
    <xf numFmtId="0" fontId="4" fillId="7" borderId="1" applyAlignment="1" pivotButton="0" quotePrefix="0" xfId="0">
      <alignment vertical="top" wrapText="1"/>
    </xf>
    <xf numFmtId="164" fontId="4" fillId="0" borderId="1" applyAlignment="1" pivotButton="0" quotePrefix="0" xfId="0">
      <alignment horizontal="center" vertical="top" wrapText="1"/>
    </xf>
    <xf numFmtId="0" fontId="4" fillId="8" borderId="1" applyAlignment="1" pivotButton="0" quotePrefix="0" xfId="0">
      <alignment horizontal="center" vertical="top" wrapText="1"/>
    </xf>
    <xf numFmtId="0" fontId="4" fillId="4" borderId="1" applyAlignment="1" pivotButton="0" quotePrefix="0" xfId="0">
      <alignment vertical="top" wrapText="1"/>
    </xf>
    <xf numFmtId="0" fontId="4" fillId="9" borderId="1" applyAlignment="1" pivotButton="0" quotePrefix="0" xfId="0">
      <alignment horizontal="center" vertical="top" wrapText="1"/>
    </xf>
    <xf numFmtId="0" fontId="4" fillId="10" borderId="1" applyAlignment="1" pivotButton="0" quotePrefix="0" xfId="0">
      <alignment vertical="top" wrapText="1"/>
    </xf>
    <xf numFmtId="0" fontId="8" fillId="11" borderId="0" pivotButton="0" quotePrefix="0" xfId="0"/>
    <xf numFmtId="0" fontId="0" fillId="11" borderId="1" pivotButton="0" quotePrefix="0" xfId="0"/>
    <xf numFmtId="0" fontId="9" fillId="11" borderId="1" applyAlignment="1" pivotButton="0" quotePrefix="0" xfId="0">
      <alignment vertical="top" wrapText="1"/>
    </xf>
    <xf numFmtId="0" fontId="4" fillId="11" borderId="1" applyAlignment="1" pivotButton="0" quotePrefix="0" xfId="0">
      <alignment vertical="top" wrapText="1"/>
    </xf>
    <xf numFmtId="0" fontId="10" fillId="12" borderId="1" pivotButton="0" quotePrefix="0" xfId="0"/>
    <xf numFmtId="0" fontId="0" fillId="0" borderId="4" pivotButton="0" quotePrefix="0" xfId="0"/>
    <xf numFmtId="0" fontId="0" fillId="0" borderId="5" pivotButton="0" quotePrefix="0" xfId="0"/>
    <xf numFmtId="0" fontId="5" fillId="0" borderId="1" pivotButton="0" quotePrefix="0" xfId="0"/>
    <xf numFmtId="165" fontId="7" fillId="5" borderId="1" applyAlignment="1" pivotButton="0" quotePrefix="0" xfId="0">
      <alignment horizontal="center"/>
    </xf>
    <xf numFmtId="2" fontId="7" fillId="5" borderId="1" applyAlignment="1" pivotButton="0" quotePrefix="0" xfId="0">
      <alignment horizontal="center"/>
    </xf>
    <xf numFmtId="165" fontId="0" fillId="0" borderId="1" applyAlignment="1" pivotButton="0" quotePrefix="0" xfId="0">
      <alignment horizontal="center"/>
    </xf>
    <xf numFmtId="2" fontId="0" fillId="0" borderId="1" applyAlignment="1" pivotButton="0" quotePrefix="0" xfId="0">
      <alignment horizontal="center"/>
    </xf>
    <xf numFmtId="0" fontId="0" fillId="0" borderId="1" applyAlignment="1" pivotButton="0" quotePrefix="0" xfId="0">
      <alignment horizontal="center"/>
    </xf>
    <xf numFmtId="0" fontId="4" fillId="0" borderId="1" applyAlignment="1" pivotButton="0" quotePrefix="0" xfId="0">
      <alignment horizontal="center"/>
    </xf>
    <xf numFmtId="0" fontId="7" fillId="5" borderId="1" applyAlignment="1" pivotButton="0" quotePrefix="0" xfId="0">
      <alignment horizontal="center"/>
    </xf>
    <xf numFmtId="164" fontId="7" fillId="5" borderId="1" applyAlignment="1" pivotButton="0" quotePrefix="0" xfId="0">
      <alignment horizontal="center"/>
    </xf>
    <xf numFmtId="166" fontId="0" fillId="0" borderId="1" applyAlignment="1" pivotButton="0" quotePrefix="0" xfId="0">
      <alignment horizontal="center"/>
    </xf>
    <xf numFmtId="0" fontId="11" fillId="0" borderId="0" applyAlignment="1" pivotButton="0" quotePrefix="0" xfId="0">
      <alignment horizontal="right"/>
    </xf>
    <xf numFmtId="166" fontId="11" fillId="7" borderId="1" pivotButton="0" quotePrefix="0" xfId="0"/>
    <xf numFmtId="166" fontId="7" fillId="5" borderId="1" applyAlignment="1" pivotButton="0" quotePrefix="0" xfId="0">
      <alignment horizontal="center"/>
    </xf>
    <xf numFmtId="164" fontId="0" fillId="0" borderId="1" applyAlignment="1" pivotButton="0" quotePrefix="0" xfId="0">
      <alignment horizontal="center"/>
    </xf>
    <xf numFmtId="167" fontId="0" fillId="0" borderId="1" applyAlignment="1" pivotButton="0" quotePrefix="0" xfId="0">
      <alignment horizontal="center"/>
    </xf>
    <xf numFmtId="0" fontId="5" fillId="3" borderId="1" applyAlignment="1" pivotButton="0" quotePrefix="0" xfId="0">
      <alignment vertical="top" wrapText="1"/>
    </xf>
    <xf numFmtId="164" fontId="0" fillId="3" borderId="1" applyAlignment="1" pivotButton="0" quotePrefix="0" xfId="0">
      <alignment horizontal="center"/>
    </xf>
    <xf numFmtId="167" fontId="0" fillId="3" borderId="1" applyAlignment="1" pivotButton="0" quotePrefix="0" xfId="0">
      <alignment horizontal="center"/>
    </xf>
    <xf numFmtId="3" fontId="7" fillId="5" borderId="1" applyAlignment="1" pivotButton="0" quotePrefix="0" xfId="0">
      <alignment horizontal="center"/>
    </xf>
    <xf numFmtId="3" fontId="0" fillId="0" borderId="1" applyAlignment="1" pivotButton="0" quotePrefix="0" xfId="0">
      <alignment horizontal="center"/>
    </xf>
    <xf numFmtId="0" fontId="3" fillId="2" borderId="1" applyAlignment="1" pivotButton="0" quotePrefix="0" xfId="0">
      <alignment horizontal="center" vertical="bottom" textRotation="90" wrapText="1"/>
    </xf>
    <xf numFmtId="0" fontId="9" fillId="13" borderId="1" applyAlignment="1" pivotButton="0" quotePrefix="0" xfId="0">
      <alignment horizontal="center" vertical="center"/>
    </xf>
    <xf numFmtId="0" fontId="12" fillId="4" borderId="1" applyAlignment="1" pivotButton="0" quotePrefix="0" xfId="0">
      <alignment horizontal="center" vertical="center"/>
    </xf>
    <xf numFmtId="0" fontId="13" fillId="6" borderId="1" applyAlignment="1" pivotButton="0" quotePrefix="0" xfId="0">
      <alignment horizontal="center" vertical="center"/>
    </xf>
    <xf numFmtId="0" fontId="14" fillId="14" borderId="1" applyAlignment="1" pivotButton="0" quotePrefix="0" xfId="0">
      <alignment horizontal="center" vertical="center"/>
    </xf>
    <xf numFmtId="0" fontId="15" fillId="8" borderId="1" applyAlignment="1" pivotButton="0" quotePrefix="0" xfId="0">
      <alignment horizontal="center" vertical="center"/>
    </xf>
    <xf numFmtId="0" fontId="11" fillId="0" borderId="0" pivotButton="0" quotePrefix="0" xfId="0"/>
    <xf numFmtId="0" fontId="11" fillId="0" borderId="1" applyAlignment="1" pivotButton="0" quotePrefix="0" xfId="0">
      <alignment vertical="top" wrapText="1"/>
    </xf>
    <xf numFmtId="0" fontId="0" fillId="5" borderId="1" pivotButton="0" quotePrefix="0" xfId="0"/>
    <xf numFmtId="0" fontId="11" fillId="0" borderId="1" applyAlignment="1" pivotButton="0" quotePrefix="0" xfId="0">
      <alignment horizontal="center" vertical="top" wrapText="1"/>
    </xf>
    <xf numFmtId="0" fontId="9" fillId="9" borderId="1" applyAlignment="1" pivotButton="0" quotePrefix="0" xfId="0">
      <alignment horizontal="center" vertical="top" wrapText="1"/>
    </xf>
    <xf numFmtId="0" fontId="12" fillId="15" borderId="1" applyAlignment="1" pivotButton="0" quotePrefix="0" xfId="0">
      <alignment horizontal="center" vertical="top" wrapText="1"/>
    </xf>
    <xf numFmtId="0" fontId="11" fillId="16" borderId="1" applyAlignment="1" pivotButton="0" quotePrefix="0" xfId="0">
      <alignment horizontal="center" vertical="top" wrapText="1"/>
    </xf>
    <xf numFmtId="0" fontId="5"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Research note</author>
  </authors>
  <commentList>
    <comment ref="I4" authorId="0" shapeId="0">
      <text>
        <t>Approximate road distance from Dulles International Airport (IAD), Sterling, VA 20166. Estimated from published plant addresses, not a routed measurement.</t>
      </text>
    </comment>
    <comment ref="O4" authorId="0" shapeId="0">
      <text>
        <t>The SKU 2 RSC blank is about 171 in long x 75 in wide. A 75 in wide blank is the single most likely disqualifier on this job - ask it on the first call. SKU 1's blank (about 119 x 52 in) is comfortable for any of these plants.</t>
      </text>
    </comment>
    <comment ref="R4" authorId="0" shapeId="0">
      <text>
        <t>US dollars per MSF (thousand square feet of board) - the standard unit corrugated is priced in. Ranges are modelled, not quoted: see the Cost Model tab, which back-calculates real $/MSF from published Uline and packagingprice.com prices for 48ECT / 275 lb test double wall, then discounts for converter-direct purchasing at your volume.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AB23"/>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5" customWidth="1" min="2" max="2"/>
    <col width="30" customWidth="1" min="3" max="3"/>
    <col width="28" customWidth="1" min="4" max="4"/>
    <col width="22" customWidth="1" min="5" max="5"/>
    <col width="14" customWidth="1" min="6" max="6"/>
    <col width="7" customWidth="1" min="7" max="7"/>
    <col width="8" customWidth="1" min="8" max="8"/>
    <col width="10" customWidth="1" min="9" max="9"/>
    <col width="12" customWidth="1" min="10" max="10"/>
    <col width="24" customWidth="1" min="11" max="11"/>
    <col width="24" customWidth="1" min="12" max="12"/>
    <col width="26" customWidth="1" min="13" max="13"/>
    <col width="28" customWidth="1" min="14" max="14"/>
    <col width="14" customWidth="1" min="15" max="15"/>
    <col width="12" customWidth="1" min="16" max="16"/>
    <col width="15" customWidth="1" min="17" max="17"/>
    <col width="13" customWidth="1" min="18" max="18"/>
    <col width="12" customWidth="1" min="19" max="19"/>
    <col width="12" customWidth="1" min="20" max="20"/>
    <col width="15" customWidth="1" min="21" max="21"/>
    <col width="64" customWidth="1" min="22" max="22"/>
    <col width="52" customWidth="1" min="23" max="23"/>
    <col width="16" customWidth="1" min="24" max="24"/>
    <col width="13" customWidth="1" min="25" max="25"/>
    <col width="13" customWidth="1" min="26" max="26"/>
    <col width="13" customWidth="1" min="27" max="27"/>
    <col width="12" customWidth="1" min="28" max="28"/>
  </cols>
  <sheetData>
    <row r="1" ht="22" customHeight="1">
      <c r="A1" s="1" t="inlineStr">
        <is>
          <t>Corrugated Box Supplier Shortlist - Dulles / Northern Virginia</t>
        </is>
      </c>
    </row>
    <row r="2" ht="58" customHeight="1">
      <c r="A2" s="2" t="inlineStr">
        <is>
          <t>SCOPE (revised): TWO BOXES ONLY - the bridge panels are OUT OF SCOPE and no longer quoted.   SKU 1: RSC, inside 39 x 20 x 32 in, outside not to exceed 39.5 x 20.5 x 32.5 in, payload 33 x 14 x 26 in.   SKU 2: RSC, inside 46 x 39 x 36 in, outside not to exceed 46.5 x 39.5 x 36.5 in, payload 40 x 33 x 30 in.   Board: 48ECT kraft, heavy-duty double wall (equivalents welcome).   Volume: 500-5,000/yr per SKU.   Radius: ~100 mi of IAD.   Revised 17 Aug 2026.   MOQ and price columns are ESTIMATES with a stated reliability grade - see the 'Cost Model' tab for the derivation and the 'Sources' tab for provenance. No figure here is a supplier commitment.</t>
        </is>
      </c>
    </row>
    <row r="4" ht="60" customHeight="1">
      <c r="A4" s="3" t="inlineStr">
        <is>
          <t>Rank</t>
        </is>
      </c>
      <c r="B4" s="3" t="inlineStr">
        <is>
          <t>Tier</t>
        </is>
      </c>
      <c r="C4" s="3" t="inlineStr">
        <is>
          <t>Company</t>
        </is>
      </c>
      <c r="D4" s="3" t="inlineStr">
        <is>
          <t>Business model</t>
        </is>
      </c>
      <c r="E4" s="3" t="inlineStr">
        <is>
          <t>Street address</t>
        </is>
      </c>
      <c r="F4" s="3" t="inlineStr">
        <is>
          <t>City</t>
        </is>
      </c>
      <c r="G4" s="3" t="inlineStr">
        <is>
          <t>State</t>
        </is>
      </c>
      <c r="H4" s="3" t="inlineStr">
        <is>
          <t>ZIP</t>
        </is>
      </c>
      <c r="I4" s="3" t="inlineStr">
        <is>
          <t>Approx. miles from IAD</t>
        </is>
      </c>
      <c r="J4" s="3" t="inlineStr">
        <is>
          <t>Approx. drive time</t>
        </is>
      </c>
      <c r="K4" s="3" t="inlineStr">
        <is>
          <t>Phone</t>
        </is>
      </c>
      <c r="L4" s="3" t="inlineStr">
        <is>
          <t>Email</t>
        </is>
      </c>
      <c r="M4" s="3" t="inlineStr">
        <is>
          <t>Website</t>
        </is>
      </c>
      <c r="N4" s="3" t="inlineStr">
        <is>
          <t>Named contact</t>
        </is>
      </c>
      <c r="O4" s="3" t="inlineStr">
        <is>
          <t>Handles 75in wide blank (SKU 2)</t>
        </is>
      </c>
      <c r="P4" s="3" t="inlineStr">
        <is>
          <t>Est. MOQ per SKU</t>
        </is>
      </c>
      <c r="Q4" s="3" t="inlineStr">
        <is>
          <t>MOQ reliability</t>
        </is>
      </c>
      <c r="R4" s="3" t="inlineStr">
        <is>
          <t>Est. $/MSF at your volume</t>
        </is>
      </c>
      <c r="S4" s="3" t="inlineStr">
        <is>
          <t>Est. $/box SKU 1</t>
        </is>
      </c>
      <c r="T4" s="3" t="inlineStr">
        <is>
          <t>Est. $/box SKU 2</t>
        </is>
      </c>
      <c r="U4" s="3" t="inlineStr">
        <is>
          <t>Price reliability</t>
        </is>
      </c>
      <c r="V4" s="3" t="inlineStr">
        <is>
          <t>Why they fit this job</t>
        </is>
      </c>
      <c r="W4" s="3" t="inlineStr">
        <is>
          <t>Watch-outs / open questions</t>
        </is>
      </c>
      <c r="X4" s="3" t="inlineStr">
        <is>
          <t>Quote status</t>
        </is>
      </c>
      <c r="Y4" s="3" t="inlineStr">
        <is>
          <t>ACTUAL $/box SKU 1</t>
        </is>
      </c>
      <c r="Z4" s="3" t="inlineStr">
        <is>
          <t>ACTUAL $/box SKU 2</t>
        </is>
      </c>
      <c r="AA4" s="3" t="inlineStr">
        <is>
          <t>Tooling / setup $</t>
        </is>
      </c>
      <c r="AB4" s="3" t="inlineStr">
        <is>
          <t>Lead time (wks)</t>
        </is>
      </c>
    </row>
    <row r="5" ht="132" customHeight="1">
      <c r="A5" s="4" t="n">
        <v>1</v>
      </c>
      <c r="B5" s="5" t="inlineStr">
        <is>
          <t>A - Primary</t>
        </is>
      </c>
      <c r="C5" s="6" t="inlineStr">
        <is>
          <t>Commercial-Wagner, Inc.</t>
        </is>
      </c>
      <c r="D5" s="7" t="inlineStr">
        <is>
          <t>Independent sheet plant - 17 box-making machines, own truck fleet</t>
        </is>
      </c>
      <c r="E5" s="7" t="inlineStr">
        <is>
          <t>4101 Ashland Ave</t>
        </is>
      </c>
      <c r="F5" s="7" t="inlineStr">
        <is>
          <t>Baltimore</t>
        </is>
      </c>
      <c r="G5" s="7" t="inlineStr">
        <is>
          <t>MD</t>
        </is>
      </c>
      <c r="H5" s="7" t="inlineStr">
        <is>
          <t>21205</t>
        </is>
      </c>
      <c r="I5" s="4" t="n">
        <v>65</v>
      </c>
      <c r="J5" s="7" t="inlineStr">
        <is>
          <t>1 hr 15 min</t>
        </is>
      </c>
      <c r="K5" s="7" t="inlineStr">
        <is>
          <t>(410) 522-0900  |  Fax (410) 522-6184</t>
        </is>
      </c>
      <c r="L5" s="7" t="inlineStr">
        <is>
          <t>Via website RFQ portal</t>
        </is>
      </c>
      <c r="M5" s="7" t="inlineStr">
        <is>
          <t>commercialwagner.com</t>
        </is>
      </c>
      <c r="N5" s="7" t="inlineStr">
        <is>
          <t>Submit via Request-for-Quote portal, then ask for the NoVA rep</t>
        </is>
      </c>
      <c r="O5" s="4" t="inlineStr">
        <is>
          <t>Likely - only shop that advertises it</t>
        </is>
      </c>
      <c r="P5" s="4" t="inlineStr">
        <is>
          <t>250 - 500</t>
        </is>
      </c>
      <c r="Q5" s="8" t="inlineStr">
        <is>
          <t>Inferred (plant class)</t>
        </is>
      </c>
      <c r="R5" s="4" t="inlineStr">
        <is>
          <t>200 - 260</t>
        </is>
      </c>
      <c r="S5" s="9">
        <f>'Cost Model'!$I$6/1000*230.0</f>
        <v>9.904375</v>
      </c>
      <c r="T5" s="9">
        <f>'Cost Model'!$I$7/1000*230.0</f>
        <v>20.5143229167</v>
      </c>
      <c r="U5" s="8" t="inlineStr">
        <is>
          <t>Estimate (modelled)</t>
        </is>
      </c>
      <c r="V5" s="7" t="inlineStr">
        <is>
          <t>Now the #1 pick. With the bridge gone, the hardest requirement on this job is SIZE: the SKU 2 blank is roughly 171 x 75 in, and Commercial-Wagner is the only shop on this list that explicitly advertises EXTRA-LARGE boxes plus taped, glued AND stitched construction. Stitching is the normal closure for a heavy-duty double-wall RSC at 46.5 x 39.5 x 36.5 in. 17 different box-making machines means they can route two very different-sized SKUs efficiently. They run their own fleet into Northern Virginia, which matters more than ever - see Spec Flag SF-4, these boxes ship as oversized flats and freight is a top-3 cost driver.</t>
        </is>
      </c>
      <c r="W5" s="7" t="inlineStr">
        <is>
          <t>No published email - RFQ portal only. No published certifications. Two sites (production + warehouse) so clarify which ships you. Confirm the stitcher handles 36in depth in double wall.</t>
        </is>
      </c>
      <c r="X5" s="10" t="inlineStr">
        <is>
          <t>Not yet contacted</t>
        </is>
      </c>
      <c r="Y5" s="11" t="n"/>
      <c r="Z5" s="11" t="n"/>
      <c r="AA5" s="11" t="n"/>
      <c r="AB5" s="10" t="n"/>
    </row>
    <row r="6" ht="132" customHeight="1">
      <c r="A6" s="4" t="n">
        <v>2</v>
      </c>
      <c r="B6" s="5" t="inlineStr">
        <is>
          <t>A - Primary</t>
        </is>
      </c>
      <c r="C6" s="6" t="inlineStr">
        <is>
          <t>Atlas Container Corp.</t>
        </is>
      </c>
      <c r="D6" s="7" t="inlineStr">
        <is>
          <t>Independent converter (ESOP-reported), rotary + flatbed die cutting</t>
        </is>
      </c>
      <c r="E6" s="7" t="inlineStr">
        <is>
          <t>8140 Telegraph Rd</t>
        </is>
      </c>
      <c r="F6" s="7" t="inlineStr">
        <is>
          <t>Severn</t>
        </is>
      </c>
      <c r="G6" s="7" t="inlineStr">
        <is>
          <t>MD</t>
        </is>
      </c>
      <c r="H6" s="7" t="inlineStr">
        <is>
          <t>21144</t>
        </is>
      </c>
      <c r="I6" s="4" t="n">
        <v>62</v>
      </c>
      <c r="J6" s="7" t="inlineStr">
        <is>
          <t>1 hr 15 min</t>
        </is>
      </c>
      <c r="K6" s="7" t="inlineStr">
        <is>
          <t>(410) 551-6300</t>
        </is>
      </c>
      <c r="L6" s="7" t="inlineStr">
        <is>
          <t>info@atlascontainer.com</t>
        </is>
      </c>
      <c r="M6" s="7" t="inlineStr">
        <is>
          <t>atlascontainer.com</t>
        </is>
      </c>
      <c r="N6" s="7" t="inlineStr">
        <is>
          <t>Christine Beeler (regional sales) - cbeeler@atlascontainer.com</t>
        </is>
      </c>
      <c r="O6" s="4" t="inlineStr">
        <is>
          <t>Must confirm</t>
        </is>
      </c>
      <c r="P6" s="4" t="inlineStr">
        <is>
          <t>100</t>
        </is>
      </c>
      <c r="Q6" s="12" t="inlineStr">
        <is>
          <t>PUBLISHED on their site</t>
        </is>
      </c>
      <c r="R6" s="4" t="inlineStr">
        <is>
          <t>200 - 260</t>
        </is>
      </c>
      <c r="S6" s="9">
        <f>'Cost Model'!$I$6/1000*230.0</f>
        <v>9.904375</v>
      </c>
      <c r="T6" s="9">
        <f>'Cost Model'!$I$7/1000*230.0</f>
        <v>20.5143229167</v>
      </c>
      <c r="U6" s="8" t="inlineStr">
        <is>
          <t>Estimate (modelled)</t>
        </is>
      </c>
      <c r="V6" s="7" t="inlineStr">
        <is>
          <t>The only supplier here with a PUBLISHED minimum - 'orders as small as 100 Qty' - which is a genuine advantage at the 500/yr end of your range and lets you buy in small, frequent releases instead of sitting on a year of inventory. Free custom design and physical samples means a no-cost first-article before you commit. Founded 1968, easy single-truck run to Dulles. Slips to #2 only because the bridge is gone and their die-cutting edge no longer applies - an RSC needs no die.</t>
        </is>
      </c>
      <c r="W6" s="7" t="inlineStr">
        <is>
          <t>Their advertised strengths were die-cutting-centric; the real question now is whether their press and folder-gluer take a 75in wide blank. Ask that FIRST - it is potentially disqualifying for SKU 2 even though SKU 1 is comfortable. Certifications not published.</t>
        </is>
      </c>
      <c r="X6" s="10" t="inlineStr">
        <is>
          <t>Not yet contacted</t>
        </is>
      </c>
      <c r="Y6" s="11" t="n"/>
      <c r="Z6" s="11" t="n"/>
      <c r="AA6" s="11" t="n"/>
      <c r="AB6" s="10" t="n"/>
    </row>
    <row r="7" ht="132" customHeight="1">
      <c r="A7" s="4" t="n">
        <v>3</v>
      </c>
      <c r="B7" s="5" t="inlineStr">
        <is>
          <t>A - Primary</t>
        </is>
      </c>
      <c r="C7" s="6" t="inlineStr">
        <is>
          <t>Green Bay Packaging - Baltimore Division (GBP)</t>
        </is>
      </c>
      <c r="D7" s="7" t="inlineStr">
        <is>
          <t>Integrated mill-backed converter with in-house corrugator</t>
        </is>
      </c>
      <c r="E7" s="7" t="inlineStr">
        <is>
          <t>11000 Gilroy Rd</t>
        </is>
      </c>
      <c r="F7" s="7" t="inlineStr">
        <is>
          <t>Hunt Valley</t>
        </is>
      </c>
      <c r="G7" s="7" t="inlineStr">
        <is>
          <t>MD</t>
        </is>
      </c>
      <c r="H7" s="7" t="inlineStr">
        <is>
          <t>21031</t>
        </is>
      </c>
      <c r="I7" s="4" t="n">
        <v>72</v>
      </c>
      <c r="J7" s="7" t="inlineStr">
        <is>
          <t>1 hr 20 min</t>
        </is>
      </c>
      <c r="K7" s="7" t="inlineStr">
        <is>
          <t>(410) 785-2233</t>
        </is>
      </c>
      <c r="L7" s="7" t="inlineStr">
        <is>
          <t>Via gbp.com contact form</t>
        </is>
      </c>
      <c r="M7" s="7" t="inlineStr">
        <is>
          <t>gbp.com/locations/baltimore</t>
        </is>
      </c>
      <c r="N7" s="7" t="inlineStr">
        <is>
          <t>Baltimore division inside sales</t>
        </is>
      </c>
      <c r="O7" s="4" t="inlineStr">
        <is>
          <t>Yes - in-house corrugator</t>
        </is>
      </c>
      <c r="P7" s="4" t="inlineStr">
        <is>
          <t>1,000 - 2,500</t>
        </is>
      </c>
      <c r="Q7" s="8" t="inlineStr">
        <is>
          <t>Inferred (mill-backed)</t>
        </is>
      </c>
      <c r="R7" s="4" t="inlineStr">
        <is>
          <t>170 - 220</t>
        </is>
      </c>
      <c r="S7" s="9">
        <f>'Cost Model'!$I$6/1000*195.0</f>
        <v>8.3971875</v>
      </c>
      <c r="T7" s="9">
        <f>'Cost Model'!$I$7/1000*195.0</f>
        <v>17.392578125</v>
      </c>
      <c r="U7" s="8" t="inlineStr">
        <is>
          <t>Estimate (modelled)</t>
        </is>
      </c>
      <c r="V7" s="7" t="inlineStr">
        <is>
          <t>Promoted sharply. Without a bridge, this job IS board and stacking strength - and GBP is the only shop in radius that controls both. In-house corrugator (they make the board rather than buy sheets, so a 75in wide 48ECT double-wall sheet is a scheduling question, not a special order), explicit DOUBLE WALL offering for heavy products and long-distance shipping, in-house structural design, and an ON-SITE ISTA LABORATORY. BRCGS and SFI certified. For a 46.5in box that will be stacked on pallets, documented ECT and BCT data is the deliverable that de-risks the whole program. Likely the best $/MSF too, since mill-backed converters price board keenly.</t>
        </is>
      </c>
      <c r="W7" s="7" t="inlineStr">
        <is>
          <t>Expect MOQ pressure and a push toward an annual contract - the trade you make for the best board price and the test lab. Ask whether they will hold finished goods and release monthly. FSC and ISO not listed (they hold SFI + BRCGS).</t>
        </is>
      </c>
      <c r="X7" s="10" t="inlineStr">
        <is>
          <t>Not yet contacted</t>
        </is>
      </c>
      <c r="Y7" s="11" t="n"/>
      <c r="Z7" s="11" t="n"/>
      <c r="AA7" s="11" t="n"/>
      <c r="AB7" s="10" t="n"/>
    </row>
    <row r="8" ht="132" customHeight="1">
      <c r="A8" s="4" t="n">
        <v>4</v>
      </c>
      <c r="B8" s="5" t="inlineStr">
        <is>
          <t>A - Primary</t>
        </is>
      </c>
      <c r="C8" s="6" t="inlineStr">
        <is>
          <t>Columbia Container Corp.</t>
        </is>
      </c>
      <c r="D8" s="7" t="inlineStr">
        <is>
          <t>Independent full-service converter, single Baltimore plant, 40+ yrs</t>
        </is>
      </c>
      <c r="E8" s="7" t="inlineStr">
        <is>
          <t>4311 Erdman Ave</t>
        </is>
      </c>
      <c r="F8" s="7" t="inlineStr">
        <is>
          <t>Baltimore</t>
        </is>
      </c>
      <c r="G8" s="7" t="inlineStr">
        <is>
          <t>MD</t>
        </is>
      </c>
      <c r="H8" s="7" t="inlineStr">
        <is>
          <t>21213</t>
        </is>
      </c>
      <c r="I8" s="4" t="n">
        <v>65</v>
      </c>
      <c r="J8" s="7" t="inlineStr">
        <is>
          <t>1 hr 15 min</t>
        </is>
      </c>
      <c r="K8" s="7" t="inlineStr">
        <is>
          <t>(410) 467-1400</t>
        </is>
      </c>
      <c r="L8" s="7" t="inlineStr">
        <is>
          <t>quotes@columbiacontainer.net</t>
        </is>
      </c>
      <c r="M8" s="7" t="inlineStr">
        <is>
          <t>columbiacontainer.net</t>
        </is>
      </c>
      <c r="N8" s="7" t="inlineStr">
        <is>
          <t>Quotes desk - quotes@columbiacontainer.net</t>
        </is>
      </c>
      <c r="O8" s="4" t="inlineStr">
        <is>
          <t>Must confirm</t>
        </is>
      </c>
      <c r="P8" s="4" t="inlineStr">
        <is>
          <t>250 - 500</t>
        </is>
      </c>
      <c r="Q8" s="8" t="inlineStr">
        <is>
          <t>Inferred (plant class)</t>
        </is>
      </c>
      <c r="R8" s="4" t="inlineStr">
        <is>
          <t>210 - 270</t>
        </is>
      </c>
      <c r="S8" s="9">
        <f>'Cost Model'!$I$6/1000*240.0</f>
        <v>10.335</v>
      </c>
      <c r="T8" s="9">
        <f>'Cost Model'!$I$7/1000*240.0</f>
        <v>21.40625</v>
      </c>
      <c r="U8" s="8" t="inlineStr">
        <is>
          <t>Estimate (modelled)</t>
        </is>
      </c>
      <c r="V8" s="7" t="inlineStr">
        <is>
          <t>The best partner for the 'equivalent alternative' path you left open. They advertise custom FLUTE AND LINER COMBINATIONS, which is precisely the lever that decides whether you hit 48ECT cheaply or expensively - and, per Spec Flag SF-1, which caliper you land on decides whether the not-to-exceed outside dimensions are even achievable. Fastest published turnaround of the group (most orders in 3-5 business days). Their product list includes UN-rated boxes, and a shop doing UN work has the test discipline to certify ECT on a CoC.</t>
        </is>
      </c>
      <c r="W8" s="7" t="inlineStr">
        <is>
          <t>Single plant = single point of failure; ask about contingency. Confirm max blank width for SKU 2. Certifications not published.</t>
        </is>
      </c>
      <c r="X8" s="10" t="inlineStr">
        <is>
          <t>Not yet contacted</t>
        </is>
      </c>
      <c r="Y8" s="11" t="n"/>
      <c r="Z8" s="11" t="n"/>
      <c r="AA8" s="11" t="n"/>
      <c r="AB8" s="10" t="n"/>
    </row>
    <row r="9" ht="132" customHeight="1">
      <c r="A9" s="4" t="n">
        <v>5</v>
      </c>
      <c r="B9" s="5" t="inlineStr">
        <is>
          <t>A - Primary</t>
        </is>
      </c>
      <c r="C9" s="6" t="inlineStr">
        <is>
          <t>Packaging Services Industries, Inc. (PSI)</t>
        </is>
      </c>
      <c r="D9" s="7" t="inlineStr">
        <is>
          <t>Integrated regional converter - 3 production plants + 1 dedicated corrugation plant</t>
        </is>
      </c>
      <c r="E9" s="7" t="inlineStr">
        <is>
          <t>16461 Elliott Pkwy</t>
        </is>
      </c>
      <c r="F9" s="7" t="inlineStr">
        <is>
          <t>Williamsport</t>
        </is>
      </c>
      <c r="G9" s="7" t="inlineStr">
        <is>
          <t>MD</t>
        </is>
      </c>
      <c r="H9" s="7" t="inlineStr">
        <is>
          <t>21795</t>
        </is>
      </c>
      <c r="I9" s="4" t="n">
        <v>62</v>
      </c>
      <c r="J9" s="7" t="inlineStr">
        <is>
          <t>1 hr 10 min</t>
        </is>
      </c>
      <c r="K9" s="7" t="inlineStr">
        <is>
          <t>(301) 223-8726 / (800) 223-6255</t>
        </is>
      </c>
      <c r="L9" s="7" t="inlineStr">
        <is>
          <t>info@psimd.com</t>
        </is>
      </c>
      <c r="M9" s="7" t="inlineStr">
        <is>
          <t>psimd.com</t>
        </is>
      </c>
      <c r="N9" s="7" t="inlineStr">
        <is>
          <t>Ask for the Northern Virginia / Manassas territory rep</t>
        </is>
      </c>
      <c r="O9" s="4" t="inlineStr">
        <is>
          <t>Likely - dedicated corrugation plant</t>
        </is>
      </c>
      <c r="P9" s="4" t="inlineStr">
        <is>
          <t>500 - 1,000</t>
        </is>
      </c>
      <c r="Q9" s="8" t="inlineStr">
        <is>
          <t>Inferred (multi-plant)</t>
        </is>
      </c>
      <c r="R9" s="4" t="inlineStr">
        <is>
          <t>180 - 240</t>
        </is>
      </c>
      <c r="S9" s="9">
        <f>'Cost Model'!$I$6/1000*210.0</f>
        <v>9.043125</v>
      </c>
      <c r="T9" s="9">
        <f>'Cost Model'!$I$7/1000*210.0</f>
        <v>18.73046875</v>
      </c>
      <c r="U9" s="8" t="inlineStr">
        <is>
          <t>Estimate (modelled)</t>
        </is>
      </c>
      <c r="V9" s="7" t="inlineStr">
        <is>
          <t>Best combination of scale and proximity: 282,000 sq ft HQ, four plants including one dedicated corrugation plant, and roughly 40 million sq ft of board per month. They actively market into Manassas/NoVA. Two specific reasons they matter now: they can hold a blanket order and release against it (which smooths 500-5,000/yr without inventory risk), and their engineered-foam capability covers the dunnage question raised by Spec Flag SF-2 - the boxes have a 6in clearance envelope all round and nothing is specified to fill it.</t>
        </is>
      </c>
      <c r="W9" s="7" t="inlineStr">
        <is>
          <t>Big-shop minimums are less flexible than Atlas on a 500-piece first run - get the MOQ explicitly. psimd.com returned HTTP 500 intermittently during research; confirm details by phone.</t>
        </is>
      </c>
      <c r="X9" s="10" t="inlineStr">
        <is>
          <t>Not yet contacted</t>
        </is>
      </c>
      <c r="Y9" s="11" t="n"/>
      <c r="Z9" s="11" t="n"/>
      <c r="AA9" s="11" t="n"/>
      <c r="AB9" s="10" t="n"/>
    </row>
    <row r="10" ht="132" customHeight="1">
      <c r="A10" s="4" t="n">
        <v>6</v>
      </c>
      <c r="B10" s="13" t="inlineStr">
        <is>
          <t>B - Board supply</t>
        </is>
      </c>
      <c r="C10" s="6" t="inlineStr">
        <is>
          <t>Keystone Sheets (Buckeye Corrugated / Corrugated Partners Group)</t>
        </is>
      </c>
      <c r="D10" s="7" t="inlineStr">
        <is>
          <t>SHEET FEEDER - sells corrugated sheets, not finished boxes</t>
        </is>
      </c>
      <c r="E10" s="7" t="inlineStr">
        <is>
          <t>1465 Nitterhouse Dr</t>
        </is>
      </c>
      <c r="F10" s="7" t="inlineStr">
        <is>
          <t>Chambersburg</t>
        </is>
      </c>
      <c r="G10" s="7" t="inlineStr">
        <is>
          <t>PA</t>
        </is>
      </c>
      <c r="H10" s="7" t="inlineStr">
        <is>
          <t>17201</t>
        </is>
      </c>
      <c r="I10" s="4" t="n">
        <v>78</v>
      </c>
      <c r="J10" s="7" t="inlineStr">
        <is>
          <t>1 hr 30 min</t>
        </is>
      </c>
      <c r="K10" s="7" t="inlineStr">
        <is>
          <t>(717) 287-1764</t>
        </is>
      </c>
      <c r="L10" s="7" t="inlineStr">
        <is>
          <t>Via keystonesheets.com/contact-us</t>
        </is>
      </c>
      <c r="M10" s="7" t="inlineStr">
        <is>
          <t>keystonesheets.com</t>
        </is>
      </c>
      <c r="N10" s="7" t="inlineStr">
        <is>
          <t>Inside sales</t>
        </is>
      </c>
      <c r="O10" s="4" t="inlineStr">
        <is>
          <t>Yes - 132in corrugator</t>
        </is>
      </c>
      <c r="P10" s="4" t="inlineStr">
        <is>
          <t>Skid / bundle minimum</t>
        </is>
      </c>
      <c r="Q10" s="8" t="inlineStr">
        <is>
          <t>Inferred (sheet feeder)</t>
        </is>
      </c>
      <c r="R10" s="4" t="inlineStr">
        <is>
          <t>Board only - not a box price</t>
        </is>
      </c>
      <c r="S10" s="14" t="n"/>
      <c r="T10" s="14" t="n"/>
      <c r="U10" s="15" t="inlineStr">
        <is>
          <t>n/a</t>
        </is>
      </c>
      <c r="V10" s="7" t="inlineStr">
        <is>
          <t>Strategic leverage, not a direct supplier. Runs a 132in BHS corrugator, reportedly the widest in the country capable of triple wall. Your SKU 2 blank needs a 75in wide sheet in 48ECT double wall - that is wide enough that some sheet plants will call it a special order and price it accordingly. Naming Keystone as an approved board source in your RFQ takes that excuse away. They are also your route to triple wall if Spec Flag SF-3 bites and 48ECT DW will not carry the stack.</t>
        </is>
      </c>
      <c r="W10" s="7" t="inlineStr">
        <is>
          <t>THEY DO NOT MAKE BOXES - you still need a converter to score, slot and stitch. Founded late 2023 so no long track record as this entity (parent CPG runs 16 plants). ECT ranges and certifications not published.</t>
        </is>
      </c>
      <c r="X10" s="10" t="inlineStr">
        <is>
          <t>Not yet contacted</t>
        </is>
      </c>
      <c r="Y10" s="11" t="n"/>
      <c r="Z10" s="11" t="n"/>
      <c r="AA10" s="11" t="n"/>
      <c r="AB10" s="10" t="n"/>
    </row>
    <row r="11" ht="132" customHeight="1">
      <c r="A11" s="4" t="n">
        <v>7</v>
      </c>
      <c r="B11" s="13" t="inlineStr">
        <is>
          <t>B - Price benchmark</t>
        </is>
      </c>
      <c r="C11" s="6" t="inlineStr">
        <is>
          <t>Smurfit Westrock - Baltimore South Box Plant</t>
        </is>
      </c>
      <c r="D11" s="7" t="inlineStr">
        <is>
          <t>Integrated full-line box plant (global #1 by scale)</t>
        </is>
      </c>
      <c r="E11" s="7" t="inlineStr">
        <is>
          <t>725 Pittman Rd</t>
        </is>
      </c>
      <c r="F11" s="7" t="inlineStr">
        <is>
          <t>Baltimore</t>
        </is>
      </c>
      <c r="G11" s="7" t="inlineStr">
        <is>
          <t>MD</t>
        </is>
      </c>
      <c r="H11" s="7" t="inlineStr">
        <is>
          <t>21226</t>
        </is>
      </c>
      <c r="I11" s="4" t="n">
        <v>62</v>
      </c>
      <c r="J11" s="7" t="inlineStr">
        <is>
          <t>1 hr 15 min</t>
        </is>
      </c>
      <c r="K11" s="7" t="inlineStr">
        <is>
          <t>Not published per-plant - route via smurfitwestrock.com</t>
        </is>
      </c>
      <c r="L11" s="7" t="inlineStr">
        <is>
          <t>Via corporate contact form</t>
        </is>
      </c>
      <c r="M11" s="7" t="inlineStr">
        <is>
          <t>us.smurfitwestrock.com/locations</t>
        </is>
      </c>
      <c r="N11" s="7" t="inlineStr">
        <is>
          <t>Request the Mid-Atlantic corrugated account team</t>
        </is>
      </c>
      <c r="O11" s="4" t="inlineStr">
        <is>
          <t>Yes</t>
        </is>
      </c>
      <c r="P11" s="4" t="inlineStr">
        <is>
          <t>2,500 - 5,000+</t>
        </is>
      </c>
      <c r="Q11" s="8" t="inlineStr">
        <is>
          <t>Inferred (integrated)</t>
        </is>
      </c>
      <c r="R11" s="4" t="inlineStr">
        <is>
          <t>160 - 210</t>
        </is>
      </c>
      <c r="S11" s="9">
        <f>'Cost Model'!$I$6/1000*185.0</f>
        <v>7.9665625</v>
      </c>
      <c r="T11" s="9">
        <f>'Cost Model'!$I$7/1000*185.0</f>
        <v>16.5006510417</v>
      </c>
      <c r="U11" s="8" t="inlineStr">
        <is>
          <t>Estimate (modelled)</t>
        </is>
      </c>
      <c r="V11" s="7" t="inlineStr">
        <is>
          <t>Quote them as your price floor reference. Full-line integrated plant with deep heavy-duty double-wall experience, a global design network and real package-testing resources. At the 5,000/yr end of your range they become genuinely price-competitive, and their number keeps the independents honest even if you never place the order.</t>
        </is>
      </c>
      <c r="W11" s="7" t="inlineStr">
        <is>
          <t>VERIFY THE PLANT IS STILL RUNNING BEFORE INVESTING TIME. WestRock moved to close an Anne Arundel County MD corrugated plant around 2023 and Smurfit Westrock has continued consolidating post-merger. Also the least flexible option at 500/yr - expect long lead times and little interest in a small first run.</t>
        </is>
      </c>
      <c r="X11" s="10" t="inlineStr">
        <is>
          <t>Not yet contacted</t>
        </is>
      </c>
      <c r="Y11" s="11" t="n"/>
      <c r="Z11" s="11" t="n"/>
      <c r="AA11" s="11" t="n"/>
      <c r="AB11" s="10" t="n"/>
    </row>
    <row r="12" ht="132" customHeight="1">
      <c r="A12" s="4" t="n">
        <v>8</v>
      </c>
      <c r="B12" s="16" t="inlineStr">
        <is>
          <t>C - Prototype only</t>
        </is>
      </c>
      <c r="C12" s="6" t="inlineStr">
        <is>
          <t>Craters &amp; Freighters Northern Virginia</t>
        </is>
      </c>
      <c r="D12" s="7" t="inlineStr">
        <is>
          <t>Local custom container fabricator + crating (not a corrugated plant)</t>
        </is>
      </c>
      <c r="E12" s="7" t="inlineStr">
        <is>
          <t>113 Executive Dr, Ste. 131</t>
        </is>
      </c>
      <c r="F12" s="7" t="inlineStr">
        <is>
          <t>Sterling</t>
        </is>
      </c>
      <c r="G12" s="7" t="inlineStr">
        <is>
          <t>VA</t>
        </is>
      </c>
      <c r="H12" s="7" t="inlineStr">
        <is>
          <t>20166</t>
        </is>
      </c>
      <c r="I12" s="4" t="n">
        <v>4</v>
      </c>
      <c r="J12" s="7" t="inlineStr">
        <is>
          <t>10 min</t>
        </is>
      </c>
      <c r="K12" s="7" t="inlineStr">
        <is>
          <t>(703) 796-0180</t>
        </is>
      </c>
      <c r="L12" s="7" t="inlineStr">
        <is>
          <t>Via website quote form</t>
        </is>
      </c>
      <c r="M12" s="7" t="inlineStr">
        <is>
          <t>cratersandfreightersnorthernvirginia.com</t>
        </is>
      </c>
      <c r="N12" s="7" t="inlineStr">
        <is>
          <t>Sterling branch - 8:30am-5:00pm ET Mon-Fri</t>
        </is>
      </c>
      <c r="O12" s="4" t="inlineStr">
        <is>
          <t>Yes - hand built</t>
        </is>
      </c>
      <c r="P12" s="4" t="inlineStr">
        <is>
          <t>1</t>
        </is>
      </c>
      <c r="Q12" s="12" t="inlineStr">
        <is>
          <t>PUBLISHED (one-off model)</t>
        </is>
      </c>
      <c r="R12" s="4" t="inlineStr">
        <is>
          <t>Not comparable - hand built</t>
        </is>
      </c>
      <c r="S12" s="14" t="n">
        <v>250</v>
      </c>
      <c r="T12" s="14" t="n">
        <v>500</v>
      </c>
      <c r="U12" s="17" t="inlineStr">
        <is>
          <t>Order of magnitude only</t>
        </is>
      </c>
      <c r="V12" s="7" t="inlineStr">
        <is>
          <t>The only genuine fabricator essentially AT Dulles - about 4 miles from IAD. Builds to a minimum 350 lb double-wall corrugated fiberboard standard, sized per item, with strapping, banding and palletizing. Worth using for exactly one thing: a same-day physical prototype so you can resolve Spec Flag SF-1 (the outside-dimension conflict) with a real box in your hands before any converter quotes hard numbers. Drive over, iterate, done.</t>
        </is>
      </c>
      <c r="W12" s="7" t="inlineStr">
        <is>
          <t>NOT a production source - per-unit cost is roughly an order of magnitude above a converter, hence the placeholder figures. 350 lb DW is a basis-weight spec, not an ECT spec, so it does not by itself satisfy 48ECT. Prototype and emergency use only.</t>
        </is>
      </c>
      <c r="X12" s="10" t="inlineStr">
        <is>
          <t>Not yet contacted</t>
        </is>
      </c>
      <c r="Y12" s="11" t="n"/>
      <c r="Z12" s="11" t="n"/>
      <c r="AA12" s="11" t="n"/>
      <c r="AB12" s="10" t="n"/>
    </row>
    <row r="13" ht="132" customHeight="1">
      <c r="A13" s="4" t="n">
        <v>9</v>
      </c>
      <c r="B13" s="18" t="inlineStr">
        <is>
          <t>D - Just outside radius</t>
        </is>
      </c>
      <c r="C13" s="6" t="inlineStr">
        <is>
          <t>Atlantic Corrugated Box Company, Inc.</t>
        </is>
      </c>
      <c r="D13" s="7" t="inlineStr">
        <is>
          <t>Independent sheet plant (est. 1985) - packaging + displays</t>
        </is>
      </c>
      <c r="E13" s="7" t="inlineStr">
        <is>
          <t>1701 Ruffin Rd</t>
        </is>
      </c>
      <c r="F13" s="7" t="inlineStr">
        <is>
          <t>Richmond</t>
        </is>
      </c>
      <c r="G13" s="7" t="inlineStr">
        <is>
          <t>VA</t>
        </is>
      </c>
      <c r="H13" s="7" t="inlineStr">
        <is>
          <t>23234</t>
        </is>
      </c>
      <c r="I13" s="4" t="n">
        <v>110</v>
      </c>
      <c r="J13" s="7" t="inlineStr">
        <is>
          <t>2 hr 0 min</t>
        </is>
      </c>
      <c r="K13" s="7" t="inlineStr">
        <is>
          <t>(804) 231-4050</t>
        </is>
      </c>
      <c r="L13" s="7" t="inlineStr">
        <is>
          <t>Via acbc-inc.com contact form</t>
        </is>
      </c>
      <c r="M13" s="7" t="inlineStr">
        <is>
          <t>acbc-inc.com</t>
        </is>
      </c>
      <c r="N13" s="7" t="inlineStr">
        <is>
          <t>Inside sales</t>
        </is>
      </c>
      <c r="O13" s="4" t="inlineStr">
        <is>
          <t>Must confirm</t>
        </is>
      </c>
      <c r="P13" s="4" t="inlineStr">
        <is>
          <t>250 - 500</t>
        </is>
      </c>
      <c r="Q13" s="8" t="inlineStr">
        <is>
          <t>Inferred (plant class)</t>
        </is>
      </c>
      <c r="R13" s="4" t="inlineStr">
        <is>
          <t>210 - 270</t>
        </is>
      </c>
      <c r="S13" s="9">
        <f>'Cost Model'!$I$6/1000*240.0</f>
        <v>10.335</v>
      </c>
      <c r="T13" s="9">
        <f>'Cost Model'!$I$7/1000*240.0</f>
        <v>21.40625</v>
      </c>
      <c r="U13" s="8" t="inlineStr">
        <is>
          <t>Estimate (modelled)</t>
        </is>
      </c>
      <c r="V13" s="7" t="inlineStr">
        <is>
          <t>Strongest of the Richmond cluster and Virginia-based, which matters if in-state sourcing or a Virginia small-business preference carries weight for you. Sheet plant with design services, serving medical, food and beverage and tobacco - regulated industries that demand consistent certified board. Adds real price competition against the Baltimore group.</t>
        </is>
      </c>
      <c r="W13" s="7" t="inlineStr">
        <is>
          <t>About 110 miles, 10 past your stated radius - and freight is a larger share of landed cost on these oversized flats than it would be on a normal box, so the distance penalty is real. No published detail on double wall, max blank width, MOQ or certifications.</t>
        </is>
      </c>
      <c r="X13" s="10" t="inlineStr">
        <is>
          <t>Not yet contacted</t>
        </is>
      </c>
      <c r="Y13" s="11" t="n"/>
      <c r="Z13" s="11" t="n"/>
      <c r="AA13" s="11" t="n"/>
      <c r="AB13" s="10" t="n"/>
    </row>
    <row r="14" ht="132" customHeight="1">
      <c r="A14" s="4" t="n">
        <v>10</v>
      </c>
      <c r="B14" s="18" t="inlineStr">
        <is>
          <t>D - Just outside radius</t>
        </is>
      </c>
      <c r="C14" s="6" t="inlineStr">
        <is>
          <t>Richmond Corrugated Box Co., Inc.</t>
        </is>
      </c>
      <c r="D14" s="7" t="inlineStr">
        <is>
          <t>Independent converter, family-run since 1971</t>
        </is>
      </c>
      <c r="E14" s="7" t="inlineStr">
        <is>
          <t>5301 Corrugated Rd</t>
        </is>
      </c>
      <c r="F14" s="7" t="inlineStr">
        <is>
          <t>Sandston</t>
        </is>
      </c>
      <c r="G14" s="7" t="inlineStr">
        <is>
          <t>VA</t>
        </is>
      </c>
      <c r="H14" s="7" t="inlineStr">
        <is>
          <t>23150</t>
        </is>
      </c>
      <c r="I14" s="4" t="n">
        <v>112</v>
      </c>
      <c r="J14" s="7" t="inlineStr">
        <is>
          <t>2 hr 0 min</t>
        </is>
      </c>
      <c r="K14" s="7" t="inlineStr">
        <is>
          <t>(804) 222-1300  |  alt (804) 226-0807</t>
        </is>
      </c>
      <c r="L14" s="7" t="inlineStr">
        <is>
          <t>Via richmondcorrugated.com</t>
        </is>
      </c>
      <c r="M14" s="7" t="inlineStr">
        <is>
          <t>richmondcorrugated.com</t>
        </is>
      </c>
      <c r="N14" s="7" t="inlineStr">
        <is>
          <t>Inside sales - 8:00am-5:00pm</t>
        </is>
      </c>
      <c r="O14" s="4" t="inlineStr">
        <is>
          <t>Must confirm</t>
        </is>
      </c>
      <c r="P14" s="4" t="inlineStr">
        <is>
          <t>250 - 500</t>
        </is>
      </c>
      <c r="Q14" s="17" t="inlineStr">
        <is>
          <t>Guess (no data)</t>
        </is>
      </c>
      <c r="R14" s="4" t="inlineStr">
        <is>
          <t>200 - 280</t>
        </is>
      </c>
      <c r="S14" s="9">
        <f>'Cost Model'!$I$6/1000*240.0</f>
        <v>10.335</v>
      </c>
      <c r="T14" s="9">
        <f>'Cost Model'!$I$7/1000*240.0</f>
        <v>21.40625</v>
      </c>
      <c r="U14" s="17" t="inlineStr">
        <is>
          <t>Low confidence</t>
        </is>
      </c>
      <c r="V14" s="7" t="inlineStr">
        <is>
          <t>Long-established Virginia independent (54+ yrs). Small family converters are often the most accommodating on awkward low-volume work and can surprise you on price because they are not optimising a corrugator schedule around you. Worth one call as a price and flexibility check.</t>
        </is>
      </c>
      <c r="W14" s="7" t="inlineStr">
        <is>
          <t>Least documented supplier here - almost no published capability data, so both the MOQ and price cells are genuinely guesses. Verify double-wall capability and max blank width on the first call before spending more time. ~112 miles.</t>
        </is>
      </c>
      <c r="X14" s="10" t="inlineStr">
        <is>
          <t>Not yet contacted</t>
        </is>
      </c>
      <c r="Y14" s="11" t="n"/>
      <c r="Z14" s="11" t="n"/>
      <c r="AA14" s="11" t="n"/>
      <c r="AB14" s="10" t="n"/>
    </row>
    <row r="15" ht="132" customHeight="1">
      <c r="A15" s="4" t="n">
        <v>11</v>
      </c>
      <c r="B15" s="18" t="inlineStr">
        <is>
          <t>D - Just outside radius</t>
        </is>
      </c>
      <c r="C15" s="6" t="inlineStr">
        <is>
          <t>Smurfit Westrock - Richmond Box Plant</t>
        </is>
      </c>
      <c r="D15" s="7" t="inlineStr">
        <is>
          <t>Integrated full-line box plant</t>
        </is>
      </c>
      <c r="E15" s="7" t="inlineStr">
        <is>
          <t>5710 S Laburnum Ave</t>
        </is>
      </c>
      <c r="F15" s="7" t="inlineStr">
        <is>
          <t>Richmond</t>
        </is>
      </c>
      <c r="G15" s="7" t="inlineStr">
        <is>
          <t>VA</t>
        </is>
      </c>
      <c r="H15" s="7" t="inlineStr">
        <is>
          <t>23231</t>
        </is>
      </c>
      <c r="I15" s="4" t="n">
        <v>112</v>
      </c>
      <c r="J15" s="7" t="inlineStr">
        <is>
          <t>2 hr 0 min</t>
        </is>
      </c>
      <c r="K15" s="7" t="inlineStr">
        <is>
          <t>Not published per-plant - route via smurfitwestrock.com</t>
        </is>
      </c>
      <c r="L15" s="7" t="inlineStr">
        <is>
          <t>Via corporate contact form</t>
        </is>
      </c>
      <c r="M15" s="7" t="inlineStr">
        <is>
          <t>us.smurfitwestrock.com/locations</t>
        </is>
      </c>
      <c r="N15" s="7" t="inlineStr">
        <is>
          <t>Mid-Atlantic corrugated account team</t>
        </is>
      </c>
      <c r="O15" s="4" t="inlineStr">
        <is>
          <t>Yes</t>
        </is>
      </c>
      <c r="P15" s="4" t="inlineStr">
        <is>
          <t>2,500 - 5,000+</t>
        </is>
      </c>
      <c r="Q15" s="8" t="inlineStr">
        <is>
          <t>Inferred (integrated)</t>
        </is>
      </c>
      <c r="R15" s="4" t="inlineStr">
        <is>
          <t>160 - 210</t>
        </is>
      </c>
      <c r="S15" s="9">
        <f>'Cost Model'!$I$6/1000*185.0</f>
        <v>7.9665625</v>
      </c>
      <c r="T15" s="9">
        <f>'Cost Model'!$I$7/1000*185.0</f>
        <v>16.5006510417</v>
      </c>
      <c r="U15" s="8" t="inlineStr">
        <is>
          <t>Estimate (modelled)</t>
        </is>
      </c>
      <c r="V15" s="7" t="inlineStr">
        <is>
          <t>Second integrated benchmark and the in-Virginia alternative to their Baltimore plant. Same scale, design and testing resources. Useful if Baltimore South turns out to be closed.</t>
        </is>
      </c>
      <c r="W15" s="7" t="inlineStr">
        <is>
          <t>Same caveats as Baltimore South: low interest at your volume, slow setup, post-merger consolidation risk. Verify operating status.</t>
        </is>
      </c>
      <c r="X15" s="10" t="inlineStr">
        <is>
          <t>Not yet contacted</t>
        </is>
      </c>
      <c r="Y15" s="11" t="n"/>
      <c r="Z15" s="11" t="n"/>
      <c r="AA15" s="11" t="n"/>
      <c r="AB15" s="10" t="n"/>
    </row>
    <row r="17">
      <c r="A17" s="19" t="inlineStr">
        <is>
          <t>EXCLUDED / DO NOT PURSUE</t>
        </is>
      </c>
    </row>
    <row r="18" ht="74" customHeight="1">
      <c r="A18" s="20" t="n"/>
      <c r="B18" s="20" t="n"/>
      <c r="C18" s="21" t="inlineStr">
        <is>
          <t>Packaging Corp. of America (PCA) - Richmond Full-Line Plant</t>
        </is>
      </c>
      <c r="D18" s="20" t="n"/>
      <c r="E18" s="22" t="inlineStr">
        <is>
          <t>2000 Richmond Hwy, Richmond, VA 23224</t>
        </is>
      </c>
      <c r="F18" s="20" t="n"/>
      <c r="G18" s="20" t="n"/>
      <c r="H18" s="20" t="n"/>
      <c r="I18" s="20" t="n"/>
      <c r="J18" s="20" t="n"/>
      <c r="K18" s="20" t="n"/>
      <c r="L18" s="20" t="n"/>
      <c r="M18" s="20" t="n"/>
      <c r="N18" s="20" t="n"/>
      <c r="O18" s="20" t="n"/>
      <c r="P18" s="20" t="n"/>
      <c r="Q18" s="20" t="n"/>
      <c r="R18" s="20" t="n"/>
      <c r="S18" s="20" t="n"/>
      <c r="T18" s="20" t="n"/>
      <c r="U18" s="20" t="n"/>
      <c r="V18" s="22" t="inlineStr">
        <is>
          <t>DO NOT SOLICIT - PCA announced the permanent closure of this corrugated plant. Listed so it does not resurface from a stale directory and cost you a week.</t>
        </is>
      </c>
      <c r="W18" s="20" t="n"/>
      <c r="X18" s="20" t="n"/>
      <c r="Y18" s="20" t="n"/>
      <c r="Z18" s="20" t="n"/>
      <c r="AA18" s="20" t="n"/>
      <c r="AB18" s="20" t="n"/>
    </row>
    <row r="19" ht="74" customHeight="1">
      <c r="A19" s="20" t="n"/>
      <c r="B19" s="20" t="n"/>
      <c r="C19" s="21" t="inlineStr">
        <is>
          <t>Kelly Box &amp; Packaging (Fort Wayne, IN)</t>
        </is>
      </c>
      <c r="D19" s="20" t="n"/>
      <c r="E19" s="22" t="inlineStr">
        <is>
          <t>Fort Wayne, IN - 570 miles</t>
        </is>
      </c>
      <c r="F19" s="20" t="n"/>
      <c r="G19" s="20" t="n"/>
      <c r="H19" s="20" t="n"/>
      <c r="I19" s="20" t="n"/>
      <c r="J19" s="20" t="n"/>
      <c r="K19" s="20" t="n"/>
      <c r="L19" s="20" t="n"/>
      <c r="M19" s="20" t="n"/>
      <c r="N19" s="20" t="n"/>
      <c r="O19" s="20" t="n"/>
      <c r="P19" s="20" t="n"/>
      <c r="Q19" s="20" t="n"/>
      <c r="R19" s="20" t="n"/>
      <c r="S19" s="20" t="n"/>
      <c r="T19" s="20" t="n"/>
      <c r="U19" s="20" t="n"/>
      <c r="V19" s="22" t="inlineStr">
        <is>
          <t>REMOVED IN THIS REVISION. It earned its place on the previous list purely as a die-cut specialist with an ISTA/Amazon-APASS lab for the 63-hole bridge panel. With the bridge out of scope there is no die-cutting left on this job, and Green Bay Packaging Baltimore provides an ISTA lab inside the radius. 570 miles of freight on an oversized double-wall flat was never going to work for production.</t>
        </is>
      </c>
      <c r="W19" s="20" t="n"/>
      <c r="X19" s="20" t="n"/>
      <c r="Y19" s="20" t="n"/>
      <c r="Z19" s="20" t="n"/>
      <c r="AA19" s="20" t="n"/>
      <c r="AB19" s="20" t="n"/>
    </row>
    <row r="20" ht="74" customHeight="1">
      <c r="A20" s="20" t="n"/>
      <c r="B20" s="20" t="n"/>
      <c r="C20" s="21" t="inlineStr">
        <is>
          <t>Uline, packagingprice.com and other stock/catalogue distributors</t>
        </is>
      </c>
      <c r="D20" s="20" t="n"/>
      <c r="E20" s="22" t="inlineStr">
        <is>
          <t>Various - no Virginia plant</t>
        </is>
      </c>
      <c r="F20" s="20" t="n"/>
      <c r="G20" s="20" t="n"/>
      <c r="H20" s="20" t="n"/>
      <c r="I20" s="20" t="n"/>
      <c r="J20" s="20" t="n"/>
      <c r="K20" s="20" t="n"/>
      <c r="L20" s="20" t="n"/>
      <c r="M20" s="20" t="n"/>
      <c r="N20" s="20" t="n"/>
      <c r="O20" s="20" t="n"/>
      <c r="P20" s="20" t="n"/>
      <c r="Q20" s="20" t="n"/>
      <c r="R20" s="20" t="n"/>
      <c r="S20" s="20" t="n"/>
      <c r="T20" s="20" t="n"/>
      <c r="U20" s="20" t="n"/>
      <c r="V20" s="22" t="inlineStr">
        <is>
          <t>NOT SUPPLIERS for this job - your sizes are non-stock. They ARE used in this workbook as PRICE BENCHMARKS: their published prices for 48ECT (and 275 lb test) double wall boxes are what the 'Cost Model' tab back-calculates $/MSF from. Treat their numbers as the retail ceiling you should beat.</t>
        </is>
      </c>
      <c r="W20" s="20" t="n"/>
      <c r="X20" s="20" t="n"/>
      <c r="Y20" s="20" t="n"/>
      <c r="Z20" s="20" t="n"/>
      <c r="AA20" s="20" t="n"/>
      <c r="AB20" s="20" t="n"/>
    </row>
    <row r="21" ht="74" customHeight="1">
      <c r="A21" s="20" t="n"/>
      <c r="B21" s="20" t="n"/>
      <c r="C21" s="21" t="inlineStr">
        <is>
          <t>SEO reseller / offshore broker sites (CustomBoxesZone, BoxLark, Branded Boxes, OXO, PakFactory etc.)</t>
        </is>
      </c>
      <c r="D21" s="20" t="n"/>
      <c r="E21" s="22" t="inlineStr">
        <is>
          <t>No local converting asset</t>
        </is>
      </c>
      <c r="F21" s="20" t="n"/>
      <c r="G21" s="20" t="n"/>
      <c r="H21" s="20" t="n"/>
      <c r="I21" s="20" t="n"/>
      <c r="J21" s="20" t="n"/>
      <c r="K21" s="20" t="n"/>
      <c r="L21" s="20" t="n"/>
      <c r="M21" s="20" t="n"/>
      <c r="N21" s="20" t="n"/>
      <c r="O21" s="20" t="n"/>
      <c r="P21" s="20" t="n"/>
      <c r="Q21" s="20" t="n"/>
      <c r="R21" s="20" t="n"/>
      <c r="S21" s="20" t="n"/>
      <c r="T21" s="20" t="n"/>
      <c r="U21" s="20" t="n"/>
      <c r="V21" s="22" t="inlineStr">
        <is>
          <t>EXCLUDED. These dominate search results for 'corrugated boxes Sterling/Ashburn/Dulles VA' but hold no converting asset in Virginia, will not certify 48ECT DW board, and cannot support first-article approval on a 46.5in double-wall box.</t>
        </is>
      </c>
      <c r="W21" s="20" t="n"/>
      <c r="X21" s="20" t="n"/>
      <c r="Y21" s="20" t="n"/>
      <c r="Z21" s="20" t="n"/>
      <c r="AA21" s="20" t="n"/>
      <c r="AB21" s="20" t="n"/>
    </row>
    <row r="23" ht="58" customHeight="1">
      <c r="A23" s="2" t="inlineStr">
        <is>
          <t>HOW TO READ THIS SHEET.  Columns you fill in are YELLOW (Quote status, actual prices, tooling, lead time). GREEN figures are live formulas pulling board area from the 'Cost Model' tab - change an assumption there and they update. Reliability grades: PUBLISHED = stated by the supplier; Inferred = industry-typical for that class of plant, NOT stated; Guess = no data found, treat as a placeholder; Estimate (modelled) = derived bottom-up on the Cost Model tab from real published box prices. Distances are approximate road miles from Dulles International Airport (IAD).</t>
        </is>
      </c>
    </row>
  </sheetData>
  <autoFilter ref="A4:AB15"/>
  <mergeCells count="8">
    <mergeCell ref="A2:AB2"/>
    <mergeCell ref="V20:W20"/>
    <mergeCell ref="V19:W19"/>
    <mergeCell ref="A1:AB1"/>
    <mergeCell ref="A17:AB17"/>
    <mergeCell ref="A23:AB23"/>
    <mergeCell ref="V18:W18"/>
    <mergeCell ref="V21:W21"/>
  </mergeCells>
  <dataValidations count="1">
    <dataValidation sqref="X5:X15" showDropDown="0" showInputMessage="0" showErrorMessage="0" allowBlank="1" type="list">
      <formula1>"Not yet contacted,RFQ sent,Quote received,Sample requested,Sample approved,Declined,Disqualified"</formula1>
    </dataValidation>
  </dataValidations>
  <pageMargins left="0.75" right="0.75" top="1" bottom="1" header="0.5" footer="0.5"/>
  <legacyDrawing r:id="anysvml"/>
</worksheet>
</file>

<file path=xl/worksheets/sheet2.xml><?xml version="1.0" encoding="utf-8"?>
<worksheet xmlns="http://schemas.openxmlformats.org/spreadsheetml/2006/main">
  <sheetPr>
    <outlinePr summaryBelow="1" summaryRight="1"/>
    <pageSetUpPr/>
  </sheetPr>
  <dimension ref="A1:J36"/>
  <sheetViews>
    <sheetView showGridLines="0" workbookViewId="0">
      <selection activeCell="A1" sqref="A1"/>
    </sheetView>
  </sheetViews>
  <sheetFormatPr baseColWidth="8" defaultRowHeight="15"/>
  <cols>
    <col width="40" customWidth="1" min="1" max="1"/>
    <col width="14" customWidth="1" min="2" max="2"/>
    <col width="13" customWidth="1" min="3" max="3"/>
    <col width="13" customWidth="1" min="4" max="4"/>
    <col width="15" customWidth="1" min="5" max="5"/>
    <col width="16" customWidth="1" min="6" max="6"/>
    <col width="46" customWidth="1" min="7" max="7"/>
    <col width="15" customWidth="1" min="8" max="8"/>
    <col width="17" customWidth="1" min="9" max="9"/>
    <col width="52" customWidth="1" min="10" max="10"/>
  </cols>
  <sheetData>
    <row r="1" ht="22" customHeight="1">
      <c r="A1" s="1" t="inlineStr">
        <is>
          <t>Cost Model - where the MOQ and price estimates come from</t>
        </is>
      </c>
    </row>
    <row r="2" ht="58" customHeight="1">
      <c r="A2" s="2" t="inlineStr">
        <is>
          <t>Corrugated is priced per MSF (thousand square feet of board), so unit price is driven almost entirely by blank area. This tab computes the blank area of your two RSCs, back-calculates real $/MSF from PUBLISHED prices for 48ECT (and 275 lb test, which is its burst-basis equivalent) double wall boxes, then applies a converter-direct discount. Blue cells are inputs you can change; everything else is a live formula. Treat outputs as +/- 30% until a supplier quotes.</t>
        </is>
      </c>
    </row>
    <row r="4" ht="20" customHeight="1">
      <c r="A4" s="23" t="inlineStr">
        <is>
          <t>1.  RSC blank geometry - the driver of everything below</t>
        </is>
      </c>
      <c r="B4" s="24" t="n"/>
      <c r="C4" s="24" t="n"/>
      <c r="D4" s="24" t="n"/>
      <c r="E4" s="24" t="n"/>
      <c r="F4" s="24" t="n"/>
      <c r="G4" s="24" t="n"/>
      <c r="H4" s="24" t="n"/>
      <c r="I4" s="24" t="n"/>
      <c r="J4" s="25" t="n"/>
    </row>
    <row r="5" ht="32" customHeight="1">
      <c r="A5" s="3" t="inlineStr">
        <is>
          <t>SKU</t>
        </is>
      </c>
      <c r="B5" s="3" t="inlineStr">
        <is>
          <t>Inside L (in)</t>
        </is>
      </c>
      <c r="C5" s="3" t="inlineStr">
        <is>
          <t>Inside W (in)</t>
        </is>
      </c>
      <c r="D5" s="3" t="inlineStr">
        <is>
          <t>Inside D (in)</t>
        </is>
      </c>
      <c r="E5" s="3" t="inlineStr">
        <is>
          <t>Glue tab (in)</t>
        </is>
      </c>
      <c r="F5" s="3" t="inlineStr">
        <is>
          <t>Blank length (in)</t>
        </is>
      </c>
      <c r="G5" s="3" t="inlineStr">
        <is>
          <t>Blank width (in)</t>
        </is>
      </c>
      <c r="H5" s="3" t="inlineStr">
        <is>
          <t>Blank area (sq in)</t>
        </is>
      </c>
      <c r="I5" s="3" t="inlineStr">
        <is>
          <t>Board sq ft per box</t>
        </is>
      </c>
      <c r="J5" s="3" t="inlineStr">
        <is>
          <t>Knocked-down flat footprint (in)</t>
        </is>
      </c>
    </row>
    <row r="6">
      <c r="A6" s="26" t="inlineStr">
        <is>
          <t>SKU 1  (39 x 20 x 32 ID)</t>
        </is>
      </c>
      <c r="B6" s="27" t="n">
        <v>39</v>
      </c>
      <c r="C6" s="27" t="n">
        <v>20</v>
      </c>
      <c r="D6" s="27" t="n">
        <v>32</v>
      </c>
      <c r="E6" s="28" t="n">
        <v>1.25</v>
      </c>
      <c r="F6" s="29">
        <f>2*(B6+C6)+E6</f>
        <v>119.25</v>
      </c>
      <c r="G6" s="29">
        <f>D6+C6</f>
        <v>52.0</v>
      </c>
      <c r="H6" s="29">
        <f>F6*G6</f>
        <v>6201.0</v>
      </c>
      <c r="I6" s="30">
        <f>H6/144</f>
        <v>43.0625</v>
      </c>
      <c r="J6" s="31" t="str">
        <f>TEXT(B6+C6+E6,"0.0")&amp;" x "&amp;TEXT(D6+C6,"0.0")</f>
        <v>60.2 x 52.0</v>
      </c>
    </row>
    <row r="7">
      <c r="A7" s="26" t="inlineStr">
        <is>
          <t>SKU 2  (46 x 39 x 36 ID)</t>
        </is>
      </c>
      <c r="B7" s="27" t="n">
        <v>46</v>
      </c>
      <c r="C7" s="27" t="n">
        <v>39</v>
      </c>
      <c r="D7" s="27" t="n">
        <v>36</v>
      </c>
      <c r="E7" s="28" t="n">
        <v>1.25</v>
      </c>
      <c r="F7" s="29">
        <f>2*(B7+C7)+E7</f>
        <v>171.25</v>
      </c>
      <c r="G7" s="29">
        <f>D7+C7</f>
        <v>75.0</v>
      </c>
      <c r="H7" s="29">
        <f>F7*G7</f>
        <v>12843.75</v>
      </c>
      <c r="I7" s="30">
        <f>H7/144</f>
        <v>89.1927083333</v>
      </c>
      <c r="J7" s="31" t="str">
        <f>TEXT(B7+C7+E7,"0.0")&amp;" x "&amp;TEXT(D7+C7,"0.0")</f>
        <v>86.2 x 75.0</v>
      </c>
    </row>
    <row r="8" ht="30" customHeight="1">
      <c r="A8" s="2" t="inlineStr">
        <is>
          <t>Blank length = 2 x (L + W) + glue tab.  Blank width = depth + width (the top and bottom flaps together equal one box width).  Knocked-down flat footprint is what actually gets palletised - see Spec Flag SF-4, both SKUs overhang a standard 48 x 40 in pallet.</t>
        </is>
      </c>
    </row>
    <row r="10" ht="20" customHeight="1">
      <c r="A10" s="23" t="inlineStr">
        <is>
          <t>2.  Calibration - $/MSF back-calculated from REAL published prices (48ECT DW, or 275 lb test DW which is its equivalent)</t>
        </is>
      </c>
      <c r="B10" s="24" t="n"/>
      <c r="C10" s="24" t="n"/>
      <c r="D10" s="24" t="n"/>
      <c r="E10" s="24" t="n"/>
      <c r="F10" s="24" t="n"/>
      <c r="G10" s="24" t="n"/>
      <c r="H10" s="24" t="n"/>
      <c r="I10" s="24" t="n"/>
      <c r="J10" s="25" t="n"/>
    </row>
    <row r="11" ht="32" customHeight="1">
      <c r="A11" s="3" t="inlineStr">
        <is>
          <t>Source (published price)</t>
        </is>
      </c>
      <c r="B11" s="3" t="inlineStr">
        <is>
          <t>Size L x W x D (in)</t>
        </is>
      </c>
      <c r="C11" s="3" t="inlineStr">
        <is>
          <t>L</t>
        </is>
      </c>
      <c r="D11" s="3" t="inlineStr">
        <is>
          <t>W</t>
        </is>
      </c>
      <c r="E11" s="3" t="inlineStr">
        <is>
          <t>D</t>
        </is>
      </c>
      <c r="F11" s="3" t="inlineStr">
        <is>
          <t>Qty break</t>
        </is>
      </c>
      <c r="G11" s="3" t="inlineStr">
        <is>
          <t>Published $/box</t>
        </is>
      </c>
      <c r="H11" s="3" t="inlineStr">
        <is>
          <t>Blank sq ft (calc)</t>
        </is>
      </c>
      <c r="I11" s="3" t="inlineStr">
        <is>
          <t>Implied $/MSF (calc)</t>
        </is>
      </c>
      <c r="J11" s="3" t="inlineStr">
        <is>
          <t>Note</t>
        </is>
      </c>
    </row>
    <row r="12" ht="32" customHeight="1">
      <c r="A12" s="7" t="inlineStr">
        <is>
          <t>packagingprice.com, 48ECT DW C-flute kraft</t>
        </is>
      </c>
      <c r="B12" s="32" t="inlineStr">
        <is>
          <t>20 x 20 x 12</t>
        </is>
      </c>
      <c r="C12" s="33" t="n">
        <v>20</v>
      </c>
      <c r="D12" s="33" t="n">
        <v>20</v>
      </c>
      <c r="E12" s="33" t="n">
        <v>12</v>
      </c>
      <c r="F12" s="32" t="inlineStr">
        <is>
          <t>bundle of 10</t>
        </is>
      </c>
      <c r="G12" s="34" t="n">
        <v>6.57</v>
      </c>
      <c r="H12" s="30">
        <f>(2*(C12+D12)+1.25)*(E12+D12)/144</f>
        <v>18.0555555556</v>
      </c>
      <c r="I12" s="35">
        <f>G12/H12*1000</f>
        <v>363.8769230769</v>
      </c>
      <c r="J12" s="7" t="inlineStr">
        <is>
          <t>Stated 48 ECT double wall - exactly your spec. Small-bundle retail.</t>
        </is>
      </c>
    </row>
    <row r="13" ht="32" customHeight="1">
      <c r="A13" s="7" t="inlineStr">
        <is>
          <t>packagingprice.com, 48ECT DW C-flute kraft</t>
        </is>
      </c>
      <c r="B13" s="32" t="inlineStr">
        <is>
          <t>24 x 16 x 16</t>
        </is>
      </c>
      <c r="C13" s="33" t="n">
        <v>24</v>
      </c>
      <c r="D13" s="33" t="n">
        <v>16</v>
      </c>
      <c r="E13" s="33" t="n">
        <v>16</v>
      </c>
      <c r="F13" s="32" t="inlineStr">
        <is>
          <t>bundle of 10</t>
        </is>
      </c>
      <c r="G13" s="34" t="n">
        <v>6.57</v>
      </c>
      <c r="H13" s="30">
        <f>(2*(C13+D13)+1.25)*(E13+D13)/144</f>
        <v>18.0555555556</v>
      </c>
      <c r="I13" s="35">
        <f>G13/H13*1000</f>
        <v>363.8769230769</v>
      </c>
      <c r="J13" s="7" t="inlineStr">
        <is>
          <t>Same board area as the row above and the same price - confirms the blank-area method.</t>
        </is>
      </c>
    </row>
    <row r="14" ht="32" customHeight="1">
      <c r="A14" s="7" t="inlineStr">
        <is>
          <t>packagingprice.com, 48ECT DW C-flute kraft</t>
        </is>
      </c>
      <c r="B14" s="32" t="inlineStr">
        <is>
          <t>20 x 12 x 12</t>
        </is>
      </c>
      <c r="C14" s="33" t="n">
        <v>20</v>
      </c>
      <c r="D14" s="33" t="n">
        <v>12</v>
      </c>
      <c r="E14" s="33" t="n">
        <v>12</v>
      </c>
      <c r="F14" s="32" t="inlineStr">
        <is>
          <t>bundle of 15</t>
        </is>
      </c>
      <c r="G14" s="34" t="n">
        <v>4.01</v>
      </c>
      <c r="H14" s="30">
        <f>(2*(C14+D14)+1.25)*(E14+D14)/144</f>
        <v>10.875</v>
      </c>
      <c r="I14" s="35">
        <f>G14/H14*1000</f>
        <v>368.7356321839</v>
      </c>
      <c r="J14" s="7" t="inlineStr">
        <is>
          <t>Third independent check on the same $/MSF.</t>
        </is>
      </c>
    </row>
    <row r="15" ht="32" customHeight="1">
      <c r="A15" s="7" t="inlineStr">
        <is>
          <t>Uline S-19776, 275 lb test DW</t>
        </is>
      </c>
      <c r="B15" s="32" t="inlineStr">
        <is>
          <t>40 x 30 x 30</t>
        </is>
      </c>
      <c r="C15" s="33" t="n">
        <v>40</v>
      </c>
      <c r="D15" s="33" t="n">
        <v>30</v>
      </c>
      <c r="E15" s="33" t="n">
        <v>30</v>
      </c>
      <c r="F15" s="32" t="inlineStr">
        <is>
          <t>5</t>
        </is>
      </c>
      <c r="G15" s="34" t="n">
        <v>26.15</v>
      </c>
      <c r="H15" s="30">
        <f>(2*(C15+D15)+1.25)*(E15+D15)/144</f>
        <v>58.8541666667</v>
      </c>
      <c r="I15" s="35">
        <f>G15/H15*1000</f>
        <v>444.3185840708</v>
      </c>
      <c r="J15" s="7" t="inlineStr">
        <is>
          <t>275 lb burst DW = 48 ECT DW on the standard equivalence tables. Nearest published size to your SKUs.</t>
        </is>
      </c>
    </row>
    <row r="16" ht="32" customHeight="1">
      <c r="A16" s="7" t="inlineStr">
        <is>
          <t>Uline S-19776, 275 lb test DW</t>
        </is>
      </c>
      <c r="B16" s="32" t="inlineStr">
        <is>
          <t>40 x 30 x 30</t>
        </is>
      </c>
      <c r="C16" s="33" t="n">
        <v>40</v>
      </c>
      <c r="D16" s="33" t="n">
        <v>30</v>
      </c>
      <c r="E16" s="33" t="n">
        <v>30</v>
      </c>
      <c r="F16" s="32" t="inlineStr">
        <is>
          <t>500</t>
        </is>
      </c>
      <c r="G16" s="34" t="n">
        <v>22.5</v>
      </c>
      <c r="H16" s="30">
        <f>(2*(C16+D16)+1.25)*(E16+D16)/144</f>
        <v>58.8541666667</v>
      </c>
      <c r="I16" s="35">
        <f>G16/H16*1000</f>
        <v>382.3008849558</v>
      </c>
      <c r="J16" s="7" t="inlineStr">
        <is>
          <t>Same box at 500 pcs - shows how little catalogue pricing moves with volume.</t>
        </is>
      </c>
    </row>
    <row r="17" ht="32" customHeight="1">
      <c r="A17" s="7" t="inlineStr">
        <is>
          <t>Uline S-19776, 275 lb test DW</t>
        </is>
      </c>
      <c r="B17" s="32" t="inlineStr">
        <is>
          <t>40 x 30 x 30</t>
        </is>
      </c>
      <c r="C17" s="33" t="n">
        <v>40</v>
      </c>
      <c r="D17" s="33" t="n">
        <v>30</v>
      </c>
      <c r="E17" s="33" t="n">
        <v>30</v>
      </c>
      <c r="F17" s="32" t="inlineStr">
        <is>
          <t>1,000+</t>
        </is>
      </c>
      <c r="G17" s="34" t="n">
        <v>21.79</v>
      </c>
      <c r="H17" s="30">
        <f>(2*(C17+D17)+1.25)*(E17+D17)/144</f>
        <v>58.8541666667</v>
      </c>
      <c r="I17" s="35">
        <f>G17/H17*1000</f>
        <v>370.2371681416</v>
      </c>
      <c r="J17" s="7" t="inlineStr">
        <is>
          <t>Uline's best price. This is your RETAIL CEILING - any converter quote above this is not competitive.</t>
        </is>
      </c>
    </row>
    <row r="18">
      <c r="A18" s="36" t="inlineStr">
        <is>
          <t>Mean implied $/MSF across all published benchmarks (the retail level):</t>
        </is>
      </c>
      <c r="I18" s="37">
        <f>AVERAGE(I12:I17)</f>
        <v>382.2243525843</v>
      </c>
    </row>
    <row r="19" ht="42" customHeight="1">
      <c r="A19" s="2" t="inlineStr">
        <is>
          <t>Every benchmark lands in a tight band, which is the useful result: retail/catalogue 48ECT double wall prices out around $360-450 per MSF. Buying custom sizes direct from a converter at 500-5,000/yr should come in well under that - a distributor's margin on corrugated is commonly 40-100% over converter-direct. That is the basis for the discount scenarios below.</t>
        </is>
      </c>
    </row>
    <row r="21" ht="20" customHeight="1">
      <c r="A21" s="23" t="inlineStr">
        <is>
          <t>3.  Indicative unit price for YOUR two SKUs</t>
        </is>
      </c>
      <c r="B21" s="24" t="n"/>
      <c r="C21" s="24" t="n"/>
      <c r="D21" s="24" t="n"/>
      <c r="E21" s="24" t="n"/>
      <c r="F21" s="24" t="n"/>
      <c r="G21" s="24" t="n"/>
      <c r="H21" s="24" t="n"/>
      <c r="I21" s="24" t="n"/>
      <c r="J21" s="25" t="n"/>
    </row>
    <row r="22" ht="32" customHeight="1">
      <c r="A22" s="3" t="inlineStr">
        <is>
          <t>Scenario</t>
        </is>
      </c>
      <c r="B22" s="3" t="inlineStr">
        <is>
          <t>$/MSF</t>
        </is>
      </c>
      <c r="C22" s="3" t="inlineStr">
        <is>
          <t>SKU 1 $/box</t>
        </is>
      </c>
      <c r="D22" s="3" t="inlineStr">
        <is>
          <t>SKU 2 $/box</t>
        </is>
      </c>
      <c r="E22" s="3" t="inlineStr">
        <is>
          <t>Combined $ per set</t>
        </is>
      </c>
      <c r="F22" s="3" t="inlineStr">
        <is>
          <t>vs retail ceiling</t>
        </is>
      </c>
      <c r="G22" s="3" t="inlineStr">
        <is>
          <t>Who this looks like</t>
        </is>
      </c>
      <c r="H22" t="inlineStr"/>
      <c r="I22" t="inlineStr"/>
      <c r="J22" t="inlineStr"/>
    </row>
    <row r="23" ht="34" customHeight="1">
      <c r="A23" s="7" t="inlineStr">
        <is>
          <t>Retail ceiling (catalogue, do not pay this)</t>
        </is>
      </c>
      <c r="B23" s="38" t="n">
        <v>410</v>
      </c>
      <c r="C23" s="39">
        <f>$I$6/1000*B23</f>
        <v>17.655625</v>
      </c>
      <c r="D23" s="39">
        <f>$I$7/1000*B23</f>
        <v>36.5690104167</v>
      </c>
      <c r="E23" s="39">
        <f>C23+D23</f>
        <v>54.2246354167</v>
      </c>
      <c r="F23" s="40">
        <f>B23/$B$23-1</f>
        <v>0.0</v>
      </c>
      <c r="G23" s="7" t="inlineStr">
        <is>
          <t>Uline / packagingprice.com level - the number to beat.</t>
        </is>
      </c>
    </row>
    <row r="24" ht="34" customHeight="1">
      <c r="A24" s="7" t="inlineStr">
        <is>
          <t>Distributor / broker</t>
        </is>
      </c>
      <c r="B24" s="38" t="n">
        <v>320</v>
      </c>
      <c r="C24" s="39">
        <f>$I$6/1000*B24</f>
        <v>13.78</v>
      </c>
      <c r="D24" s="39">
        <f>$I$7/1000*B24</f>
        <v>28.5416666667</v>
      </c>
      <c r="E24" s="39">
        <f>C24+D24</f>
        <v>42.3216666667</v>
      </c>
      <c r="F24" s="40">
        <f>B24/$B$23-1</f>
        <v>-0.2195121951</v>
      </c>
      <c r="G24" s="7" t="inlineStr">
        <is>
          <t>A packaging distributor reselling a converter's box. Still too high for your volume.</t>
        </is>
      </c>
    </row>
    <row r="25" ht="34" customHeight="1">
      <c r="A25" s="7" t="inlineStr">
        <is>
          <t>Converter direct - conservative</t>
        </is>
      </c>
      <c r="B25" s="38" t="n">
        <v>260</v>
      </c>
      <c r="C25" s="39">
        <f>$I$6/1000*B25</f>
        <v>11.19625</v>
      </c>
      <c r="D25" s="39">
        <f>$I$7/1000*B25</f>
        <v>23.1901041667</v>
      </c>
      <c r="E25" s="39">
        <f>C25+D25</f>
        <v>34.3863541667</v>
      </c>
      <c r="F25" s="40">
        <f>B25/$B$23-1</f>
        <v>-0.3658536585</v>
      </c>
      <c r="G25" s="7" t="inlineStr">
        <is>
          <t>A small independent sheet plant at the 500/yr end, non-stock size, no annual commitment.</t>
        </is>
      </c>
    </row>
    <row r="26" ht="34" customHeight="1">
      <c r="A26" s="41" t="inlineStr">
        <is>
          <t>Converter direct - expected (USE THIS)</t>
        </is>
      </c>
      <c r="B26" s="38" t="n">
        <v>220</v>
      </c>
      <c r="C26" s="42">
        <f>$I$6/1000*B26</f>
        <v>9.47375</v>
      </c>
      <c r="D26" s="42">
        <f>$I$7/1000*B26</f>
        <v>19.6223958333</v>
      </c>
      <c r="E26" s="42">
        <f>C26+D26</f>
        <v>29.0961458333</v>
      </c>
      <c r="F26" s="43">
        <f>B26/$B$23-1</f>
        <v>-0.4634146341</v>
      </c>
      <c r="G26" s="5" t="inlineStr">
        <is>
          <t>Most likely landing zone: an independent at 1,000-2,500/yr with a blanket order. Basis for the shortlist's green price cells.</t>
        </is>
      </c>
    </row>
    <row r="27" ht="34" customHeight="1">
      <c r="A27" s="7" t="inlineStr">
        <is>
          <t>Converter direct - aggressive</t>
        </is>
      </c>
      <c r="B27" s="38" t="n">
        <v>180</v>
      </c>
      <c r="C27" s="39">
        <f>$I$6/1000*B27</f>
        <v>7.75125</v>
      </c>
      <c r="D27" s="39">
        <f>$I$7/1000*B27</f>
        <v>16.0546875</v>
      </c>
      <c r="E27" s="39">
        <f>C27+D27</f>
        <v>23.8059375</v>
      </c>
      <c r="F27" s="40">
        <f>B27/$B$23-1</f>
        <v>-0.5609756098</v>
      </c>
      <c r="G27" s="7" t="inlineStr">
        <is>
          <t>Mill-backed plant (GBP) or an integrated (Smurfit Westrock) at 5,000/yr on an annual contract.</t>
        </is>
      </c>
    </row>
    <row r="29" ht="20" customHeight="1">
      <c r="A29" s="23" t="inlineStr">
        <is>
          <t>4.  Indicative annual spend at the expected converter-direct rate (row 26)</t>
        </is>
      </c>
      <c r="B29" s="24" t="n"/>
      <c r="C29" s="24" t="n"/>
      <c r="D29" s="24" t="n"/>
      <c r="E29" s="24" t="n"/>
      <c r="F29" s="24" t="n"/>
      <c r="G29" s="24" t="n"/>
      <c r="H29" s="24" t="n"/>
      <c r="I29" s="24" t="n"/>
      <c r="J29" s="25" t="n"/>
    </row>
    <row r="30" ht="32" customHeight="1">
      <c r="A30" s="3" t="inlineStr">
        <is>
          <t>Annual volume per SKU</t>
        </is>
      </c>
      <c r="B30" s="3" t="inlineStr">
        <is>
          <t>SKU 1 annual $</t>
        </is>
      </c>
      <c r="C30" s="3" t="inlineStr">
        <is>
          <t>SKU 2 annual $</t>
        </is>
      </c>
      <c r="D30" s="3" t="inlineStr">
        <is>
          <t>Combined annual $</t>
        </is>
      </c>
      <c r="E30" s="3" t="inlineStr">
        <is>
          <t>Board sq ft per yr</t>
        </is>
      </c>
      <c r="F30" s="3" t="inlineStr">
        <is>
          <t>Note</t>
        </is>
      </c>
      <c r="G30" t="inlineStr"/>
      <c r="H30" t="inlineStr"/>
      <c r="I30" t="inlineStr"/>
      <c r="J30" t="inlineStr"/>
    </row>
    <row r="31" ht="34" customHeight="1">
      <c r="A31" s="44" t="n">
        <v>500</v>
      </c>
      <c r="B31" s="35">
        <f>A31*$C$26</f>
        <v>4736.875</v>
      </c>
      <c r="C31" s="35">
        <f>A31*$D$26</f>
        <v>9811.1979166667</v>
      </c>
      <c r="D31" s="35">
        <f>B31+C31</f>
        <v>14548.0729166667</v>
      </c>
      <c r="E31" s="45">
        <f>A31*($I$6+$I$7)</f>
        <v>66127.6041666667</v>
      </c>
      <c r="F31" s="7" t="inlineStr">
        <is>
          <t>Bottom of your range. Expect setup charges to weigh heavily per unit; Atlas Container's published 100-piece minimum matters most here.</t>
        </is>
      </c>
    </row>
    <row r="32" ht="34" customHeight="1">
      <c r="A32" s="44" t="n">
        <v>1000</v>
      </c>
      <c r="B32" s="35">
        <f>A32*$C$26</f>
        <v>9473.75</v>
      </c>
      <c r="C32" s="35">
        <f>A32*$D$26</f>
        <v>19622.3958333333</v>
      </c>
      <c r="D32" s="35">
        <f>B32+C32</f>
        <v>29096.1458333333</v>
      </c>
      <c r="E32" s="45">
        <f>A32*($I$6+$I$7)</f>
        <v>132255.2083333333</v>
      </c>
      <c r="F32" s="7" t="inlineStr">
        <is>
          <t>Setup starts to amortise. Independents competitive.</t>
        </is>
      </c>
    </row>
    <row r="33" ht="34" customHeight="1">
      <c r="A33" s="44" t="n">
        <v>2500</v>
      </c>
      <c r="B33" s="35">
        <f>A33*$C$26</f>
        <v>23684.375</v>
      </c>
      <c r="C33" s="35">
        <f>A33*$D$26</f>
        <v>49055.9895833333</v>
      </c>
      <c r="D33" s="35">
        <f>B33+C33</f>
        <v>72740.3645833333</v>
      </c>
      <c r="E33" s="45">
        <f>A33*($I$6+$I$7)</f>
        <v>330638.0208333333</v>
      </c>
      <c r="F33" s="7" t="inlineStr">
        <is>
          <t>Sweet spot for the independents - and where a blanket order with monthly releases pays off.</t>
        </is>
      </c>
    </row>
    <row r="34" ht="34" customHeight="1">
      <c r="A34" s="44" t="n">
        <v>5000</v>
      </c>
      <c r="B34" s="35">
        <f>A34*$C$26</f>
        <v>47368.75</v>
      </c>
      <c r="C34" s="35">
        <f>A34*$D$26</f>
        <v>98111.9791666667</v>
      </c>
      <c r="D34" s="35">
        <f>B34+C34</f>
        <v>145480.7291666667</v>
      </c>
      <c r="E34" s="45">
        <f>A34*($I$6+$I$7)</f>
        <v>661276.0416666666</v>
      </c>
      <c r="F34" s="7" t="inlineStr">
        <is>
          <t>Mill-backed and integrated plants become genuinely price-competitive; revisit GBP and Smurfit Westrock at this level.</t>
        </is>
      </c>
    </row>
    <row r="36" ht="62" customHeight="1">
      <c r="A36" s="2" t="inlineStr">
        <is>
          <t>EXCLUDED FROM THESE NUMBERS, and each is material: (1) FREIGHT - both SKUs ship as oversized flats that overhang a 48 x 40 in pallet, so freight is a top-3 cost driver, not a rounding error. Always get it quoted as a separate line. (2) SETUP / PRINT PLATES - a plain unprinted RSC usually needs no die, but expect a setup charge per run; ask for it broken out. (3) BOARD PRICE MOVES - PCA announced a $70/ton containerboard increase effective 1 March 2026 with mixed market reception, and paper can shift 10-20% in a quarter. Ask every supplier how long the quote holds and whether there is an index clause.</t>
        </is>
      </c>
    </row>
  </sheetData>
  <mergeCells count="10">
    <mergeCell ref="A18:H18"/>
    <mergeCell ref="A1:J1"/>
    <mergeCell ref="A36:J36"/>
    <mergeCell ref="A8:J8"/>
    <mergeCell ref="A21:J21"/>
    <mergeCell ref="A29:J29"/>
    <mergeCell ref="A4:J4"/>
    <mergeCell ref="A2:J2"/>
    <mergeCell ref="A10:J10"/>
    <mergeCell ref="A19:J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22" customWidth="1" min="18" max="18"/>
    <col width="26" customWidth="1" min="19" max="19"/>
  </cols>
  <sheetData>
    <row r="1" ht="22" customHeight="1">
      <c r="A1" s="1" t="inlineStr">
        <is>
          <t>Qualification Matrix</t>
        </is>
      </c>
    </row>
    <row r="2" ht="58" customHeight="1">
      <c r="A2" s="2" t="inlineStr">
        <is>
          <t>Revised for boxes only - the bridge die-cutting criteria are gone, replaced by the ones that actually decide a large heavy-duty double-wall RSC: blank width, extra-large box experience, stitched closure, MOQ, and whether they will certify ECT/BCT.   Legend:  C = confirmed on a public source  |  L = likely / industry-typical for this class of plant but NOT stated  |  A = must ASK on the RFQ call  |  N = no / not applicable  |  n/a = not relevant.   Nothing marked L or A is a capability until a supplier confirms it in writing.</t>
        </is>
      </c>
    </row>
    <row r="4" ht="104" customHeight="1">
      <c r="A4" s="3" t="inlineStr">
        <is>
          <t>Company</t>
        </is>
      </c>
      <c r="B4" s="3" t="inlineStr">
        <is>
          <t>City, State</t>
        </is>
      </c>
      <c r="C4" s="46" t="inlineStr">
        <is>
          <t>In-house corrugator (vs. buys sheets)</t>
        </is>
      </c>
      <c r="D4" s="46" t="inlineStr">
        <is>
          <t>Double wall / heavy duty confirmed</t>
        </is>
      </c>
      <c r="E4" s="46" t="inlineStr">
        <is>
          <t>48ECT specifically confirmed</t>
        </is>
      </c>
      <c r="F4" s="46" t="inlineStr">
        <is>
          <t>Triple wall available (fallback)</t>
        </is>
      </c>
      <c r="G4" s="46" t="inlineStr">
        <is>
          <t>Takes 75in wide blank (SKU 2)</t>
        </is>
      </c>
      <c r="H4" s="46" t="inlineStr">
        <is>
          <t>Extra-large box experience</t>
        </is>
      </c>
      <c r="I4" s="46" t="inlineStr">
        <is>
          <t>Stitched closure available</t>
        </is>
      </c>
      <c r="J4" s="46" t="inlineStr">
        <is>
          <t>MOQ 500 or below</t>
        </is>
      </c>
      <c r="K4" s="46" t="inlineStr">
        <is>
          <t>Structural design + physical samples</t>
        </is>
      </c>
      <c r="L4" s="46" t="inlineStr">
        <is>
          <t>In-house ISTA / package test lab</t>
        </is>
      </c>
      <c r="M4" s="46" t="inlineStr">
        <is>
          <t>Certifies ECT / BCT on a CoC</t>
        </is>
      </c>
      <c r="N4" s="46" t="inlineStr">
        <is>
          <t>FSC or SFI chain of custody</t>
        </is>
      </c>
      <c r="O4" s="46" t="inlineStr">
        <is>
          <t>ISO 9001 / BRCGS / other QMS</t>
        </is>
      </c>
      <c r="P4" s="46" t="inlineStr">
        <is>
          <t>Own delivery fleet into NoVA</t>
        </is>
      </c>
      <c r="Q4" s="46" t="inlineStr">
        <is>
          <t>Holds stock / blanket releases</t>
        </is>
      </c>
      <c r="R4" s="3" t="inlineStr">
        <is>
          <t>Overall confidence in data</t>
        </is>
      </c>
      <c r="S4" s="3" t="inlineStr">
        <is>
          <t>Priority</t>
        </is>
      </c>
    </row>
    <row r="5" ht="30" customHeight="1">
      <c r="A5" s="6" t="inlineStr">
        <is>
          <t>Commercial-Wagner</t>
        </is>
      </c>
      <c r="B5" s="7" t="inlineStr">
        <is>
          <t>Baltimore, MD</t>
        </is>
      </c>
      <c r="C5" s="47" t="inlineStr">
        <is>
          <t>A</t>
        </is>
      </c>
      <c r="D5" s="48" t="inlineStr">
        <is>
          <t>L</t>
        </is>
      </c>
      <c r="E5" s="47" t="inlineStr">
        <is>
          <t>A</t>
        </is>
      </c>
      <c r="F5" s="48" t="inlineStr">
        <is>
          <t>L</t>
        </is>
      </c>
      <c r="G5" s="48" t="inlineStr">
        <is>
          <t>L</t>
        </is>
      </c>
      <c r="H5" s="49" t="inlineStr">
        <is>
          <t>C</t>
        </is>
      </c>
      <c r="I5" s="49" t="inlineStr">
        <is>
          <t>C</t>
        </is>
      </c>
      <c r="J5" s="48" t="inlineStr">
        <is>
          <t>L</t>
        </is>
      </c>
      <c r="K5" s="47" t="inlineStr">
        <is>
          <t>A</t>
        </is>
      </c>
      <c r="L5" s="47" t="inlineStr">
        <is>
          <t>A</t>
        </is>
      </c>
      <c r="M5" s="47" t="inlineStr">
        <is>
          <t>A</t>
        </is>
      </c>
      <c r="N5" s="47" t="inlineStr">
        <is>
          <t>A</t>
        </is>
      </c>
      <c r="O5" s="47" t="inlineStr">
        <is>
          <t>A</t>
        </is>
      </c>
      <c r="P5" s="49" t="inlineStr">
        <is>
          <t>C</t>
        </is>
      </c>
      <c r="Q5" s="49" t="inlineStr">
        <is>
          <t>C</t>
        </is>
      </c>
      <c r="R5" s="7" t="inlineStr">
        <is>
          <t>Medium</t>
        </is>
      </c>
      <c r="S5" s="7" t="inlineStr">
        <is>
          <t>1 - Call first</t>
        </is>
      </c>
    </row>
    <row r="6" ht="30" customHeight="1">
      <c r="A6" s="6" t="inlineStr">
        <is>
          <t>Atlas Container Corp.</t>
        </is>
      </c>
      <c r="B6" s="7" t="inlineStr">
        <is>
          <t>Severn, MD</t>
        </is>
      </c>
      <c r="C6" s="47" t="inlineStr">
        <is>
          <t>A</t>
        </is>
      </c>
      <c r="D6" s="47" t="inlineStr">
        <is>
          <t>A</t>
        </is>
      </c>
      <c r="E6" s="47" t="inlineStr">
        <is>
          <t>A</t>
        </is>
      </c>
      <c r="F6" s="47" t="inlineStr">
        <is>
          <t>A</t>
        </is>
      </c>
      <c r="G6" s="47" t="inlineStr">
        <is>
          <t>A</t>
        </is>
      </c>
      <c r="H6" s="48" t="inlineStr">
        <is>
          <t>L</t>
        </is>
      </c>
      <c r="I6" s="48" t="inlineStr">
        <is>
          <t>L</t>
        </is>
      </c>
      <c r="J6" s="49" t="inlineStr">
        <is>
          <t>C</t>
        </is>
      </c>
      <c r="K6" s="49" t="inlineStr">
        <is>
          <t>C</t>
        </is>
      </c>
      <c r="L6" s="47" t="inlineStr">
        <is>
          <t>A</t>
        </is>
      </c>
      <c r="M6" s="47" t="inlineStr">
        <is>
          <t>A</t>
        </is>
      </c>
      <c r="N6" s="47" t="inlineStr">
        <is>
          <t>A</t>
        </is>
      </c>
      <c r="O6" s="47" t="inlineStr">
        <is>
          <t>A</t>
        </is>
      </c>
      <c r="P6" s="47" t="inlineStr">
        <is>
          <t>A</t>
        </is>
      </c>
      <c r="Q6" s="48" t="inlineStr">
        <is>
          <t>L</t>
        </is>
      </c>
      <c r="R6" s="7" t="inlineStr">
        <is>
          <t>Medium</t>
        </is>
      </c>
      <c r="S6" s="7" t="inlineStr">
        <is>
          <t>2 - Call first</t>
        </is>
      </c>
    </row>
    <row r="7" ht="30" customHeight="1">
      <c r="A7" s="6" t="inlineStr">
        <is>
          <t>Green Bay Packaging - Baltimore</t>
        </is>
      </c>
      <c r="B7" s="7" t="inlineStr">
        <is>
          <t>Hunt Valley, MD</t>
        </is>
      </c>
      <c r="C7" s="49" t="inlineStr">
        <is>
          <t>C</t>
        </is>
      </c>
      <c r="D7" s="49" t="inlineStr">
        <is>
          <t>C</t>
        </is>
      </c>
      <c r="E7" s="47" t="inlineStr">
        <is>
          <t>A</t>
        </is>
      </c>
      <c r="F7" s="48" t="inlineStr">
        <is>
          <t>L</t>
        </is>
      </c>
      <c r="G7" s="49" t="inlineStr">
        <is>
          <t>C</t>
        </is>
      </c>
      <c r="H7" s="48" t="inlineStr">
        <is>
          <t>L</t>
        </is>
      </c>
      <c r="I7" s="48" t="inlineStr">
        <is>
          <t>L</t>
        </is>
      </c>
      <c r="J7" s="50" t="inlineStr">
        <is>
          <t>N</t>
        </is>
      </c>
      <c r="K7" s="49" t="inlineStr">
        <is>
          <t>C</t>
        </is>
      </c>
      <c r="L7" s="49" t="inlineStr">
        <is>
          <t>C</t>
        </is>
      </c>
      <c r="M7" s="49" t="inlineStr">
        <is>
          <t>C</t>
        </is>
      </c>
      <c r="N7" s="48" t="inlineStr">
        <is>
          <t>L</t>
        </is>
      </c>
      <c r="O7" s="49" t="inlineStr">
        <is>
          <t>C</t>
        </is>
      </c>
      <c r="P7" s="48" t="inlineStr">
        <is>
          <t>L</t>
        </is>
      </c>
      <c r="Q7" s="47" t="inlineStr">
        <is>
          <t>A</t>
        </is>
      </c>
      <c r="R7" s="7" t="inlineStr">
        <is>
          <t>High</t>
        </is>
      </c>
      <c r="S7" s="7" t="inlineStr">
        <is>
          <t>3 - Best board + test data</t>
        </is>
      </c>
    </row>
    <row r="8" ht="30" customHeight="1">
      <c r="A8" s="6" t="inlineStr">
        <is>
          <t>Columbia Container</t>
        </is>
      </c>
      <c r="B8" s="7" t="inlineStr">
        <is>
          <t>Baltimore, MD</t>
        </is>
      </c>
      <c r="C8" s="47" t="inlineStr">
        <is>
          <t>A</t>
        </is>
      </c>
      <c r="D8" s="49" t="inlineStr">
        <is>
          <t>C</t>
        </is>
      </c>
      <c r="E8" s="47" t="inlineStr">
        <is>
          <t>A</t>
        </is>
      </c>
      <c r="F8" s="47" t="inlineStr">
        <is>
          <t>A</t>
        </is>
      </c>
      <c r="G8" s="47" t="inlineStr">
        <is>
          <t>A</t>
        </is>
      </c>
      <c r="H8" s="48" t="inlineStr">
        <is>
          <t>L</t>
        </is>
      </c>
      <c r="I8" s="48" t="inlineStr">
        <is>
          <t>L</t>
        </is>
      </c>
      <c r="J8" s="48" t="inlineStr">
        <is>
          <t>L</t>
        </is>
      </c>
      <c r="K8" s="49" t="inlineStr">
        <is>
          <t>C</t>
        </is>
      </c>
      <c r="L8" s="47" t="inlineStr">
        <is>
          <t>A</t>
        </is>
      </c>
      <c r="M8" s="48" t="inlineStr">
        <is>
          <t>L</t>
        </is>
      </c>
      <c r="N8" s="47" t="inlineStr">
        <is>
          <t>A</t>
        </is>
      </c>
      <c r="O8" s="47" t="inlineStr">
        <is>
          <t>A</t>
        </is>
      </c>
      <c r="P8" s="47" t="inlineStr">
        <is>
          <t>A</t>
        </is>
      </c>
      <c r="Q8" s="47" t="inlineStr">
        <is>
          <t>A</t>
        </is>
      </c>
      <c r="R8" s="7" t="inlineStr">
        <is>
          <t>Medium</t>
        </is>
      </c>
      <c r="S8" s="7" t="inlineStr">
        <is>
          <t>4 - Call first</t>
        </is>
      </c>
    </row>
    <row r="9" ht="30" customHeight="1">
      <c r="A9" s="6" t="inlineStr">
        <is>
          <t>Packaging Services Industries (PSI)</t>
        </is>
      </c>
      <c r="B9" s="7" t="inlineStr">
        <is>
          <t>Williamsport, MD</t>
        </is>
      </c>
      <c r="C9" s="49" t="inlineStr">
        <is>
          <t>C</t>
        </is>
      </c>
      <c r="D9" s="48" t="inlineStr">
        <is>
          <t>L</t>
        </is>
      </c>
      <c r="E9" s="47" t="inlineStr">
        <is>
          <t>A</t>
        </is>
      </c>
      <c r="F9" s="47" t="inlineStr">
        <is>
          <t>A</t>
        </is>
      </c>
      <c r="G9" s="48" t="inlineStr">
        <is>
          <t>L</t>
        </is>
      </c>
      <c r="H9" s="48" t="inlineStr">
        <is>
          <t>L</t>
        </is>
      </c>
      <c r="I9" s="48" t="inlineStr">
        <is>
          <t>L</t>
        </is>
      </c>
      <c r="J9" s="47" t="inlineStr">
        <is>
          <t>A</t>
        </is>
      </c>
      <c r="K9" s="49" t="inlineStr">
        <is>
          <t>C</t>
        </is>
      </c>
      <c r="L9" s="47" t="inlineStr">
        <is>
          <t>A</t>
        </is>
      </c>
      <c r="M9" s="47" t="inlineStr">
        <is>
          <t>A</t>
        </is>
      </c>
      <c r="N9" s="47" t="inlineStr">
        <is>
          <t>A</t>
        </is>
      </c>
      <c r="O9" s="47" t="inlineStr">
        <is>
          <t>A</t>
        </is>
      </c>
      <c r="P9" s="49" t="inlineStr">
        <is>
          <t>C</t>
        </is>
      </c>
      <c r="Q9" s="48" t="inlineStr">
        <is>
          <t>L</t>
        </is>
      </c>
      <c r="R9" s="7" t="inlineStr">
        <is>
          <t>Medium</t>
        </is>
      </c>
      <c r="S9" s="7" t="inlineStr">
        <is>
          <t>5 - Call first</t>
        </is>
      </c>
    </row>
    <row r="10" ht="30" customHeight="1">
      <c r="A10" s="6" t="inlineStr">
        <is>
          <t>Keystone Sheets</t>
        </is>
      </c>
      <c r="B10" s="7" t="inlineStr">
        <is>
          <t>Chambersburg, PA</t>
        </is>
      </c>
      <c r="C10" s="49" t="inlineStr">
        <is>
          <t>C</t>
        </is>
      </c>
      <c r="D10" s="49" t="inlineStr">
        <is>
          <t>C</t>
        </is>
      </c>
      <c r="E10" s="47" t="inlineStr">
        <is>
          <t>A</t>
        </is>
      </c>
      <c r="F10" s="49" t="inlineStr">
        <is>
          <t>C</t>
        </is>
      </c>
      <c r="G10" s="49" t="inlineStr">
        <is>
          <t>C</t>
        </is>
      </c>
      <c r="H10" s="51" t="inlineStr">
        <is>
          <t>n/a</t>
        </is>
      </c>
      <c r="I10" s="51" t="inlineStr">
        <is>
          <t>n/a</t>
        </is>
      </c>
      <c r="J10" s="51" t="inlineStr">
        <is>
          <t>n/a</t>
        </is>
      </c>
      <c r="K10" s="51" t="inlineStr">
        <is>
          <t>n/a</t>
        </is>
      </c>
      <c r="L10" s="47" t="inlineStr">
        <is>
          <t>A</t>
        </is>
      </c>
      <c r="M10" s="47" t="inlineStr">
        <is>
          <t>A</t>
        </is>
      </c>
      <c r="N10" s="47" t="inlineStr">
        <is>
          <t>A</t>
        </is>
      </c>
      <c r="O10" s="47" t="inlineStr">
        <is>
          <t>A</t>
        </is>
      </c>
      <c r="P10" s="50" t="inlineStr">
        <is>
          <t>N</t>
        </is>
      </c>
      <c r="Q10" s="47" t="inlineStr">
        <is>
          <t>A</t>
        </is>
      </c>
      <c r="R10" s="7" t="inlineStr">
        <is>
          <t>Medium</t>
        </is>
      </c>
      <c r="S10" s="7" t="inlineStr">
        <is>
          <t>6 - Board source only</t>
        </is>
      </c>
    </row>
    <row r="11" ht="30" customHeight="1">
      <c r="A11" s="6" t="inlineStr">
        <is>
          <t>Smurfit Westrock - Baltimore South</t>
        </is>
      </c>
      <c r="B11" s="7" t="inlineStr">
        <is>
          <t>Baltimore, MD</t>
        </is>
      </c>
      <c r="C11" s="49" t="inlineStr">
        <is>
          <t>C</t>
        </is>
      </c>
      <c r="D11" s="49" t="inlineStr">
        <is>
          <t>C</t>
        </is>
      </c>
      <c r="E11" s="47" t="inlineStr">
        <is>
          <t>A</t>
        </is>
      </c>
      <c r="F11" s="49" t="inlineStr">
        <is>
          <t>C</t>
        </is>
      </c>
      <c r="G11" s="49" t="inlineStr">
        <is>
          <t>C</t>
        </is>
      </c>
      <c r="H11" s="49" t="inlineStr">
        <is>
          <t>C</t>
        </is>
      </c>
      <c r="I11" s="49" t="inlineStr">
        <is>
          <t>C</t>
        </is>
      </c>
      <c r="J11" s="50" t="inlineStr">
        <is>
          <t>N</t>
        </is>
      </c>
      <c r="K11" s="49" t="inlineStr">
        <is>
          <t>C</t>
        </is>
      </c>
      <c r="L11" s="49" t="inlineStr">
        <is>
          <t>C</t>
        </is>
      </c>
      <c r="M11" s="49" t="inlineStr">
        <is>
          <t>C</t>
        </is>
      </c>
      <c r="N11" s="49" t="inlineStr">
        <is>
          <t>C</t>
        </is>
      </c>
      <c r="O11" s="49" t="inlineStr">
        <is>
          <t>C</t>
        </is>
      </c>
      <c r="P11" s="49" t="inlineStr">
        <is>
          <t>C</t>
        </is>
      </c>
      <c r="Q11" s="49" t="inlineStr">
        <is>
          <t>C</t>
        </is>
      </c>
      <c r="R11" s="7" t="inlineStr">
        <is>
          <t>Low - verify plant open</t>
        </is>
      </c>
      <c r="S11" s="7" t="inlineStr">
        <is>
          <t>7 - Price floor</t>
        </is>
      </c>
    </row>
    <row r="12" ht="30" customHeight="1">
      <c r="A12" s="6" t="inlineStr">
        <is>
          <t>Craters &amp; Freighters Northern VA</t>
        </is>
      </c>
      <c r="B12" s="7" t="inlineStr">
        <is>
          <t>Sterling, VA</t>
        </is>
      </c>
      <c r="C12" s="50" t="inlineStr">
        <is>
          <t>N</t>
        </is>
      </c>
      <c r="D12" s="49" t="inlineStr">
        <is>
          <t>C</t>
        </is>
      </c>
      <c r="E12" s="50" t="inlineStr">
        <is>
          <t>N</t>
        </is>
      </c>
      <c r="F12" s="50" t="inlineStr">
        <is>
          <t>N</t>
        </is>
      </c>
      <c r="G12" s="49" t="inlineStr">
        <is>
          <t>C</t>
        </is>
      </c>
      <c r="H12" s="49" t="inlineStr">
        <is>
          <t>C</t>
        </is>
      </c>
      <c r="I12" s="50" t="inlineStr">
        <is>
          <t>N</t>
        </is>
      </c>
      <c r="J12" s="49" t="inlineStr">
        <is>
          <t>C</t>
        </is>
      </c>
      <c r="K12" s="47" t="inlineStr">
        <is>
          <t>A</t>
        </is>
      </c>
      <c r="L12" s="50" t="inlineStr">
        <is>
          <t>N</t>
        </is>
      </c>
      <c r="M12" s="50" t="inlineStr">
        <is>
          <t>N</t>
        </is>
      </c>
      <c r="N12" s="47" t="inlineStr">
        <is>
          <t>A</t>
        </is>
      </c>
      <c r="O12" s="47" t="inlineStr">
        <is>
          <t>A</t>
        </is>
      </c>
      <c r="P12" s="49" t="inlineStr">
        <is>
          <t>C</t>
        </is>
      </c>
      <c r="Q12" s="50" t="inlineStr">
        <is>
          <t>N</t>
        </is>
      </c>
      <c r="R12" s="7" t="inlineStr">
        <is>
          <t>Medium</t>
        </is>
      </c>
      <c r="S12" s="7" t="inlineStr">
        <is>
          <t>8 - Prototypes only</t>
        </is>
      </c>
    </row>
    <row r="13" ht="30" customHeight="1">
      <c r="A13" s="6" t="inlineStr">
        <is>
          <t>Atlantic Corrugated Box Co.</t>
        </is>
      </c>
      <c r="B13" s="7" t="inlineStr">
        <is>
          <t>Richmond, VA</t>
        </is>
      </c>
      <c r="C13" s="47" t="inlineStr">
        <is>
          <t>A</t>
        </is>
      </c>
      <c r="D13" s="47" t="inlineStr">
        <is>
          <t>A</t>
        </is>
      </c>
      <c r="E13" s="47" t="inlineStr">
        <is>
          <t>A</t>
        </is>
      </c>
      <c r="F13" s="47" t="inlineStr">
        <is>
          <t>A</t>
        </is>
      </c>
      <c r="G13" s="47" t="inlineStr">
        <is>
          <t>A</t>
        </is>
      </c>
      <c r="H13" s="47" t="inlineStr">
        <is>
          <t>A</t>
        </is>
      </c>
      <c r="I13" s="47" t="inlineStr">
        <is>
          <t>A</t>
        </is>
      </c>
      <c r="J13" s="48" t="inlineStr">
        <is>
          <t>L</t>
        </is>
      </c>
      <c r="K13" s="49" t="inlineStr">
        <is>
          <t>C</t>
        </is>
      </c>
      <c r="L13" s="47" t="inlineStr">
        <is>
          <t>A</t>
        </is>
      </c>
      <c r="M13" s="47" t="inlineStr">
        <is>
          <t>A</t>
        </is>
      </c>
      <c r="N13" s="47" t="inlineStr">
        <is>
          <t>A</t>
        </is>
      </c>
      <c r="O13" s="47" t="inlineStr">
        <is>
          <t>A</t>
        </is>
      </c>
      <c r="P13" s="47" t="inlineStr">
        <is>
          <t>A</t>
        </is>
      </c>
      <c r="Q13" s="47" t="inlineStr">
        <is>
          <t>A</t>
        </is>
      </c>
      <c r="R13" s="7" t="inlineStr">
        <is>
          <t>Low</t>
        </is>
      </c>
      <c r="S13" s="7" t="inlineStr">
        <is>
          <t>9 - Price check</t>
        </is>
      </c>
    </row>
    <row r="14" ht="30" customHeight="1">
      <c r="A14" s="6" t="inlineStr">
        <is>
          <t>Richmond Corrugated Box Co.</t>
        </is>
      </c>
      <c r="B14" s="7" t="inlineStr">
        <is>
          <t>Sandston, VA</t>
        </is>
      </c>
      <c r="C14" s="47" t="inlineStr">
        <is>
          <t>A</t>
        </is>
      </c>
      <c r="D14" s="47" t="inlineStr">
        <is>
          <t>A</t>
        </is>
      </c>
      <c r="E14" s="47" t="inlineStr">
        <is>
          <t>A</t>
        </is>
      </c>
      <c r="F14" s="47" t="inlineStr">
        <is>
          <t>A</t>
        </is>
      </c>
      <c r="G14" s="47" t="inlineStr">
        <is>
          <t>A</t>
        </is>
      </c>
      <c r="H14" s="47" t="inlineStr">
        <is>
          <t>A</t>
        </is>
      </c>
      <c r="I14" s="47" t="inlineStr">
        <is>
          <t>A</t>
        </is>
      </c>
      <c r="J14" s="47" t="inlineStr">
        <is>
          <t>A</t>
        </is>
      </c>
      <c r="K14" s="47" t="inlineStr">
        <is>
          <t>A</t>
        </is>
      </c>
      <c r="L14" s="47" t="inlineStr">
        <is>
          <t>A</t>
        </is>
      </c>
      <c r="M14" s="47" t="inlineStr">
        <is>
          <t>A</t>
        </is>
      </c>
      <c r="N14" s="47" t="inlineStr">
        <is>
          <t>A</t>
        </is>
      </c>
      <c r="O14" s="47" t="inlineStr">
        <is>
          <t>A</t>
        </is>
      </c>
      <c r="P14" s="47" t="inlineStr">
        <is>
          <t>A</t>
        </is>
      </c>
      <c r="Q14" s="47" t="inlineStr">
        <is>
          <t>A</t>
        </is>
      </c>
      <c r="R14" s="7" t="inlineStr">
        <is>
          <t>Low</t>
        </is>
      </c>
      <c r="S14" s="7" t="inlineStr">
        <is>
          <t>10 - Price check</t>
        </is>
      </c>
    </row>
    <row r="15" ht="30" customHeight="1">
      <c r="A15" s="6" t="inlineStr">
        <is>
          <t>Smurfit Westrock - Richmond</t>
        </is>
      </c>
      <c r="B15" s="7" t="inlineStr">
        <is>
          <t>Richmond, VA</t>
        </is>
      </c>
      <c r="C15" s="49" t="inlineStr">
        <is>
          <t>C</t>
        </is>
      </c>
      <c r="D15" s="49" t="inlineStr">
        <is>
          <t>C</t>
        </is>
      </c>
      <c r="E15" s="47" t="inlineStr">
        <is>
          <t>A</t>
        </is>
      </c>
      <c r="F15" s="49" t="inlineStr">
        <is>
          <t>C</t>
        </is>
      </c>
      <c r="G15" s="49" t="inlineStr">
        <is>
          <t>C</t>
        </is>
      </c>
      <c r="H15" s="49" t="inlineStr">
        <is>
          <t>C</t>
        </is>
      </c>
      <c r="I15" s="49" t="inlineStr">
        <is>
          <t>C</t>
        </is>
      </c>
      <c r="J15" s="50" t="inlineStr">
        <is>
          <t>N</t>
        </is>
      </c>
      <c r="K15" s="49" t="inlineStr">
        <is>
          <t>C</t>
        </is>
      </c>
      <c r="L15" s="49" t="inlineStr">
        <is>
          <t>C</t>
        </is>
      </c>
      <c r="M15" s="49" t="inlineStr">
        <is>
          <t>C</t>
        </is>
      </c>
      <c r="N15" s="49" t="inlineStr">
        <is>
          <t>C</t>
        </is>
      </c>
      <c r="O15" s="49" t="inlineStr">
        <is>
          <t>C</t>
        </is>
      </c>
      <c r="P15" s="49" t="inlineStr">
        <is>
          <t>C</t>
        </is>
      </c>
      <c r="Q15" s="49" t="inlineStr">
        <is>
          <t>C</t>
        </is>
      </c>
      <c r="R15" s="7" t="inlineStr">
        <is>
          <t>Low - verify plant open</t>
        </is>
      </c>
      <c r="S15" s="7" t="inlineStr">
        <is>
          <t>11 - Price floor</t>
        </is>
      </c>
    </row>
    <row r="17" ht="58" customHeight="1">
      <c r="A17" s="2" t="inlineStr">
        <is>
          <t>Column G is the one that can end a conversation. The SKU 2 blank is about 171 x 75 in; a 75 in wide blank exceeds what some sheet plants run comfortably, and a shop that has to splice it is quoting a different product. Ask it first. Note also how much red there is: Mid-Atlantic sheet plants almost never publish ECT grades, blank widths, MOQs or certifications. That is normal for the industry rather than a signal about these particular shops - but it does mean the RFQ call, not this spreadsheet, is where suppliers get qualified.</t>
        </is>
      </c>
    </row>
  </sheetData>
  <mergeCells count="3">
    <mergeCell ref="A2:S2"/>
    <mergeCell ref="A1:S1"/>
    <mergeCell ref="A17:S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4"/>
  <sheetViews>
    <sheetView showGridLines="0" workbookViewId="0">
      <pane ySplit="3" topLeftCell="A4" activePane="bottomLeft" state="frozen"/>
      <selection pane="bottomLeft" activeCell="A1" sqref="A1"/>
    </sheetView>
  </sheetViews>
  <sheetFormatPr baseColWidth="8" defaultRowHeight="15"/>
  <cols>
    <col width="18" customWidth="1" min="1" max="1"/>
    <col width="110" customWidth="1" min="2" max="2"/>
    <col width="40" customWidth="1" min="3" max="3"/>
  </cols>
  <sheetData>
    <row r="1" ht="22" customHeight="1">
      <c r="A1" s="1" t="inlineStr">
        <is>
          <t>RFQ Pack - what to send and what to ask</t>
        </is>
      </c>
    </row>
    <row r="2" ht="58" customHeight="1">
      <c r="A2" s="2" t="inlineStr">
        <is>
          <t>Boxes only. Send an identical package to every supplier so quotes are comparable, and ask the questions in this order - a disqualifying answer comes early and saves you the rest of the call.</t>
        </is>
      </c>
    </row>
    <row r="3">
      <c r="C3" s="52" t="inlineStr">
        <is>
          <t>Your notes / answers</t>
        </is>
      </c>
    </row>
    <row r="4" ht="20" customHeight="1">
      <c r="A4" s="23" t="inlineStr">
        <is>
          <t>1. Spec package to send with every RFQ</t>
        </is>
      </c>
      <c r="B4" s="24" t="n"/>
      <c r="C4" s="25" t="n"/>
    </row>
    <row r="5" ht="52" customHeight="1">
      <c r="A5" s="53" t="inlineStr">
        <is>
          <t>Scope statement</t>
        </is>
      </c>
      <c r="B5" s="7" t="inlineStr">
        <is>
          <t>State plainly: TWO corrugated RSCs, no inserts, no bridges, no printing unless you want part marking. Suppliers will otherwise assume there is an insert programme attached and quote structural design time you do not need.</t>
        </is>
      </c>
      <c r="C5" s="54" t="n"/>
    </row>
    <row r="6" ht="52" customHeight="1">
      <c r="A6" s="53" t="inlineStr">
        <is>
          <t>Drawings</t>
        </is>
      </c>
      <c r="B6" s="7" t="inlineStr">
        <is>
          <t>Send the Rev C sheets (10JUL2026) for the dimensional notes and the revision block, but tell them the BRIDGE geometry on those sheets is out of scope and only notes 1, 2 and 2.1/2.2 apply. Otherwise you will get bridge pricing back. Rev C is the sheet that added the max-external callout, so make sure nobody quotes off Rev A or B.</t>
        </is>
      </c>
      <c r="C6" s="54" t="n"/>
    </row>
    <row r="7" ht="52" customHeight="1">
      <c r="A7" s="53" t="inlineStr">
        <is>
          <t>SKU 1</t>
        </is>
      </c>
      <c r="B7" s="7" t="inlineStr">
        <is>
          <t>RSC, 48ECT kraft, heavy-duty double wall. Inside 39 x 20 x 32 in. Outside NOT TO EXCEED 39.5 x 20.5 x 32.5 in. Payload 33 x 14 x 26 in. Blank is roughly 119 x 52 in.</t>
        </is>
      </c>
      <c r="C7" s="54" t="n"/>
    </row>
    <row r="8" ht="52" customHeight="1">
      <c r="A8" s="53" t="inlineStr">
        <is>
          <t>SKU 2</t>
        </is>
      </c>
      <c r="B8" s="7" t="inlineStr">
        <is>
          <t>RSC, 48ECT kraft, heavy-duty double wall. Inside 46 x 39 x 36 in. Outside NOT TO EXCEED 46.5 x 39.5 x 36.5 in. Payload 40 x 33 x 30 in. Blank is roughly 171 x 75 in - call this out explicitly so they self-select on capability.</t>
        </is>
      </c>
      <c r="C8" s="54" t="n"/>
    </row>
    <row r="9" ht="52" customHeight="1">
      <c r="A9" s="53" t="inlineStr">
        <is>
          <t>Volume to quote</t>
        </is>
      </c>
      <c r="B9" s="7" t="inlineStr">
        <is>
          <t>Price breaks at 500 / 1,000 / 2,500 / 5,000 per year, per SKU. Ask separately whether a blanket order with scheduled monthly releases changes the price, and whether they will hold the finished goods.</t>
        </is>
      </c>
      <c r="C9" s="54" t="n"/>
    </row>
    <row r="10" ht="52" customHeight="1">
      <c r="A10" s="53" t="inlineStr">
        <is>
          <t>Also request</t>
        </is>
      </c>
      <c r="B10" s="7" t="inlineStr">
        <is>
          <t>Board certificate of compliance stating actual ECT, the liner/medium build and the caliper; setup charges broken out from unit price; freight to Sterling VA 20166 as a separate line item; boxes per pallet and pallets per truck; and one physical sample of each SKU before first production.</t>
        </is>
      </c>
      <c r="C10" s="54" t="n"/>
    </row>
    <row r="12" ht="20" customHeight="1">
      <c r="A12" s="23" t="inlineStr">
        <is>
          <t>2. Disqualifying questions - ask these first</t>
        </is>
      </c>
      <c r="B12" s="24" t="n"/>
      <c r="C12" s="25" t="n"/>
    </row>
    <row r="13" ht="52" customHeight="1">
      <c r="A13" s="53" t="inlineStr">
        <is>
          <t>Q1  (size)</t>
        </is>
      </c>
      <c r="B13" s="7" t="inlineStr">
        <is>
          <t>The larger box needs a blank about 171 in long by 75 IN WIDE. Does that run on your equipment in one piece - corrugator trim width, press and folder-gluer? If it has to be spliced or made as two pieces, say so now. This is the most likely reason a shop cannot do this job.</t>
        </is>
      </c>
      <c r="C13" s="54" t="n"/>
    </row>
    <row r="14" ht="52" customHeight="1">
      <c r="A14" s="53" t="inlineStr">
        <is>
          <t>Q2  (board)</t>
        </is>
      </c>
      <c r="B14" s="7" t="inlineStr">
        <is>
          <t>Can you supply 48ECT kraft in a heavy-duty DOUBLE WALL construction at that width, and will you certify actual ECT on a certificate of compliance with each shipment? Do you corrugate in house or buy sheets? (If they buy sheets, ask who from - and see the note on Keystone Sheets in the shortlist.)</t>
        </is>
      </c>
      <c r="C14" s="54" t="n"/>
    </row>
    <row r="15" ht="52" customHeight="1">
      <c r="A15" s="53" t="inlineStr">
        <is>
          <t>Q3  (dimensions)</t>
        </is>
      </c>
      <c r="B15" s="7" t="inlineStr">
        <is>
          <t>See Spec Flag SF-1. With YOUR actual double-wall caliper, can you hold the not-to-exceed outside dimensions AND the stated inside dimensions at the same time? If not, which do you propose to relax and by how much? Ask every supplier and compare - the answers will differ, and this may decide the award.</t>
        </is>
      </c>
      <c r="C15" s="54" t="n"/>
    </row>
    <row r="16" ht="52" customHeight="1">
      <c r="A16" s="53" t="inlineStr">
        <is>
          <t>Q4  (MOQ)</t>
        </is>
      </c>
      <c r="B16" s="7" t="inlineStr">
        <is>
          <t>Minimum order quantity per SKU, and minimum per release against a blanket order. Atlas Container publishes 100; use that as your benchmark and make others beat or match it.</t>
        </is>
      </c>
      <c r="C16" s="54" t="n"/>
    </row>
    <row r="17" ht="52" customHeight="1">
      <c r="A17" s="53" t="inlineStr">
        <is>
          <t>Q5  (closure)</t>
        </is>
      </c>
      <c r="B17" s="7" t="inlineStr">
        <is>
          <t>At 46.5 x 39.5 x 36.5 in in double wall, do you recommend taped, glued or stitched? Can you stitch at that depth? A big heavy-duty DW RSC is commonly stitched, and not every plant has a stitcher that takes 36 in.</t>
        </is>
      </c>
      <c r="C17" s="54" t="n"/>
    </row>
    <row r="19" ht="20" customHeight="1">
      <c r="A19" s="23" t="inlineStr">
        <is>
          <t>3. Commercial and quality questions</t>
        </is>
      </c>
      <c r="B19" s="24" t="n"/>
      <c r="C19" s="25" t="n"/>
    </row>
    <row r="20" ht="52" customHeight="1">
      <c r="A20" s="53" t="inlineStr">
        <is>
          <t>Q6  (price)</t>
        </is>
      </c>
      <c r="B20" s="7" t="inlineStr">
        <is>
          <t>Quote per box at each volume break, and ALSO quote your $/MSF so the two very different-sized SKUs can be compared on the same basis. See the 'Cost Model' tab: retail catalogue 48ECT DW runs about $360-450/MSF, so a converter-direct quote should be materially below that. If a quote comes back above the Uline price for a comparable box, say so and ask them to re-look.</t>
        </is>
      </c>
      <c r="C20" s="54" t="n"/>
    </row>
    <row r="21" ht="52" customHeight="1">
      <c r="A21" s="53" t="inlineStr">
        <is>
          <t>Q7  (freight)</t>
        </is>
      </c>
      <c r="B21" s="7" t="inlineStr">
        <is>
          <t>Both SKUs ship as oversized knocked-down flats that overhang a 48 x 40 in pallet - see Spec Flag SF-4. How many per pallet, what pallet size, how many pallets per truck, and what is the freight cost per unit to Sterling VA 20166 at each volume break? Own fleet or common carrier?</t>
        </is>
      </c>
      <c r="C21" s="54" t="n"/>
    </row>
    <row r="22" ht="52" customHeight="1">
      <c r="A22" s="53" t="inlineStr">
        <is>
          <t>Q8  (setup)</t>
        </is>
      </c>
      <c r="B22" s="7" t="inlineStr">
        <is>
          <t>Setup charge per run, and whether any tooling is required at all for a plain RSC. If tooling IS quoted, ask what for, who owns it, where it is stored and the cost to transfer it to another converter.</t>
        </is>
      </c>
      <c r="C22" s="54" t="n"/>
    </row>
    <row r="23" ht="52" customHeight="1">
      <c r="A23" s="53" t="inlineStr">
        <is>
          <t>Q9  (performance)</t>
        </is>
      </c>
      <c r="B23" s="7" t="inlineStr">
        <is>
          <t>What BCT (box compression) can you certify for each SKU, and at what stack height and humidity? For a 46.5 in box on a pallet this matters more than ECT alone. Do you have an in-house ISTA lab, and can you run ISTA 3A or 6 on the loaded box?</t>
        </is>
      </c>
      <c r="C23" s="54" t="n"/>
    </row>
    <row r="24" ht="52" customHeight="1">
      <c r="A24" s="53" t="inlineStr">
        <is>
          <t>Q10 (certs)</t>
        </is>
      </c>
      <c r="B24" s="7" t="inlineStr">
        <is>
          <t>ISO 9001, FSC or SFI chain of custody, BRCGS. Which do you hold, and can you supply the certificates?</t>
        </is>
      </c>
      <c r="C24" s="54" t="n"/>
    </row>
    <row r="25" ht="52" customHeight="1">
      <c r="A25" s="53" t="inlineStr">
        <is>
          <t>Q11 (lead time)</t>
        </is>
      </c>
      <c r="B25" s="7" t="inlineStr">
        <is>
          <t>First-article lead time and repeat-production lead time. How long does the quote hold, and is there an index clause? PCA announced a $70/ton containerboard increase effective 1 March 2026, so this is a live question.</t>
        </is>
      </c>
      <c r="C25" s="54" t="n"/>
    </row>
    <row r="26" ht="52" customHeight="1">
      <c r="A26" s="53" t="inlineStr">
        <is>
          <t>Q12 (equivalents)</t>
        </is>
      </c>
      <c r="B26" s="7" t="inlineStr">
        <is>
          <t>You said you are open to equivalents: at our volume, would you propose a different flute combination, a different ECT, or a single-wall-plus-reinforcement construction that meets the same stacking performance for less? Show the cost delta. Standardising on a grade you already run is usually the single largest lever on a job this size.</t>
        </is>
      </c>
      <c r="C26" s="54" t="n"/>
    </row>
    <row r="28" ht="20" customHeight="1">
      <c r="A28" s="23" t="inlineStr">
        <is>
          <t>4. Sourcing strategy - recommended sequence</t>
        </is>
      </c>
      <c r="B28" s="24" t="n"/>
      <c r="C28" s="25" t="n"/>
    </row>
    <row r="29" ht="52" customHeight="1">
      <c r="A29" s="53" t="inlineStr">
        <is>
          <t>Step 1</t>
        </is>
      </c>
      <c r="B29" s="7" t="inlineStr">
        <is>
          <t>Call Commercial-Wagner, Atlas Container and Columbia Container first - all independents inside 65 miles. Lead with Q1 (the 75 in blank). That one question will thin the field fast.</t>
        </is>
      </c>
      <c r="C29" s="54" t="n"/>
    </row>
    <row r="30" ht="52" customHeight="1">
      <c r="A30" s="53" t="inlineStr">
        <is>
          <t>Step 2</t>
        </is>
      </c>
      <c r="B30" s="7" t="inlineStr">
        <is>
          <t>Add Green Bay Packaging Baltimore. With the bridge gone, this job is board and stacking strength, and GBP is the only shop in radius with both its own corrugator and an on-site ISTA lab. Expect the best $/MSF and the best test data, at the cost of a higher MOQ.</t>
        </is>
      </c>
      <c r="C30" s="54" t="n"/>
    </row>
    <row r="31" ht="52" customHeight="1">
      <c r="A31" s="53" t="inlineStr">
        <is>
          <t>Step 3</t>
        </is>
      </c>
      <c r="B31" s="7" t="inlineStr">
        <is>
          <t>Add PSI for the blanket-order/scale option, and because their engineered-foam capability covers the dunnage question in Spec Flag SF-2.</t>
        </is>
      </c>
      <c r="C31" s="54" t="n"/>
    </row>
    <row r="32" ht="52" customHeight="1">
      <c r="A32" s="53" t="inlineStr">
        <is>
          <t>Step 4</t>
        </is>
      </c>
      <c r="B32" s="7" t="inlineStr">
        <is>
          <t>Get one integrated quote from Smurfit Westrock as a price floor - after verifying Baltimore South is still operating. Compare every quote against the Uline retail ceiling on the Cost Model tab; anything above it is not competitive.</t>
        </is>
      </c>
      <c r="C32" s="54" t="n"/>
    </row>
    <row r="33" ht="52" customHeight="1">
      <c r="A33" s="53" t="inlineStr">
        <is>
          <t>Step 5</t>
        </is>
      </c>
      <c r="B33" s="7" t="inlineStr">
        <is>
          <t>Order a physical prototype from Craters &amp; Freighters in Sterling (4 miles from IAD) in parallel. Resolve Spec Flag SF-1 with a real box in hand BEFORE you award - the outside/inside dimension stack as drawn is not achievable in typical heavy-duty double wall, and it is far cheaper to find that out on a hand-built sample.</t>
        </is>
      </c>
      <c r="C33" s="54" t="n"/>
    </row>
    <row r="34" ht="52" customHeight="1">
      <c r="A34" s="53" t="inlineStr">
        <is>
          <t>Step 6</t>
        </is>
      </c>
      <c r="B34" s="7" t="inlineStr">
        <is>
          <t>Dual-source by SKU. The two boxes are very different sizes with different equipment demands - SKU 1 suits almost any plant, SKU 2 only some. Splitting the award often gets you the best price on each and gives you continuity cover, which matters with single-plant shops like Columbia.</t>
        </is>
      </c>
      <c r="C34" s="54" t="n"/>
    </row>
  </sheetData>
  <mergeCells count="6">
    <mergeCell ref="A28:C28"/>
    <mergeCell ref="A19:C19"/>
    <mergeCell ref="A1:C1"/>
    <mergeCell ref="A12:C12"/>
    <mergeCell ref="A4:C4"/>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showGridLines="0" workbookViewId="0">
      <pane ySplit="4" topLeftCell="A5" activePane="bottomLeft" state="frozen"/>
      <selection pane="bottomLeft" activeCell="A1" sqref="A1"/>
    </sheetView>
  </sheetViews>
  <sheetFormatPr baseColWidth="8" defaultRowHeight="15"/>
  <cols>
    <col width="8" customWidth="1" min="1" max="1"/>
    <col width="15" customWidth="1" min="2" max="2"/>
    <col width="46" customWidth="1" min="3" max="3"/>
    <col width="74" customWidth="1" min="4" max="4"/>
    <col width="78" customWidth="1" min="5" max="5"/>
  </cols>
  <sheetData>
    <row r="1" ht="22" customHeight="1">
      <c r="A1" s="1" t="inlineStr">
        <is>
          <t>Spec Flags - issues that will affect quoting</t>
        </is>
      </c>
    </row>
    <row r="2" ht="58" customHeight="1">
      <c r="A2" s="2" t="inlineStr">
        <is>
          <t>Revised for boxes only. The two bridge-specific flags from the previous version (bridge retention, and flute crush at the 2.0 in hole webs) are removed as no longer applicable. Two new flags replace them, both of which only became visible once the bridge came out of scope.</t>
        </is>
      </c>
    </row>
    <row r="4" ht="22" customHeight="1">
      <c r="A4" s="3" t="inlineStr">
        <is>
          <t>Flag</t>
        </is>
      </c>
      <c r="B4" s="3" t="inlineStr">
        <is>
          <t>Severity</t>
        </is>
      </c>
      <c r="C4" s="3" t="inlineStr">
        <is>
          <t>Issue</t>
        </is>
      </c>
      <c r="D4" s="3" t="inlineStr">
        <is>
          <t>What the drawings say</t>
        </is>
      </c>
      <c r="E4" s="3" t="inlineStr">
        <is>
          <t>Recommended action</t>
        </is>
      </c>
    </row>
    <row r="5" ht="142" customHeight="1">
      <c r="A5" s="55" t="inlineStr">
        <is>
          <t>SF-1</t>
        </is>
      </c>
      <c r="B5" s="56" t="inlineStr">
        <is>
          <t>HIGH</t>
        </is>
      </c>
      <c r="C5" s="6" t="inlineStr">
        <is>
          <t>The not-to-exceed outside dimensions conflict with the stated inside dimensions in double wall</t>
        </is>
      </c>
      <c r="D5" s="7" t="inlineStr">
        <is>
          <t>Both boxes allow exactly 0.5 in total between inside and outside (39 -&gt; 39.5, 20 -&gt; 20.5, 32 -&gt; 32.5; and 46 -&gt; 46.5, 39 -&gt; 39.5, 36 -&gt; 36.5). On an RSC the outside dimension is the inside dimension plus TWO board thicknesses. Heavy-duty 48ECT double wall typically runs 0.28-0.31 in caliper, so outside = inside + roughly 0.56-0.62 in. That overruns every not-to-exceed callout by about 0.06-0.12 in. A 0.5 in allowance implies 0.25 in board, which is light double wall, not heavy duty.</t>
        </is>
      </c>
      <c r="E5" s="7" t="inlineStr">
        <is>
          <t>STILL THE MOST IMPORTANT ITEM ON THIS LIST, and now unavoidable since the box is the only thing being bought. Decide which constraint governs. If the max OD is hard - Rev C says it was added specifically for pallet fit - either drop the inside dimensions about 0.1 in each or accept a lighter caliper. If the ID is hard because of the payload, get the OD callout raised to inside + 0.65 in. Ask Q3 on the RFQ tab of every supplier and compare their calipers.</t>
        </is>
      </c>
    </row>
    <row r="6" ht="142" customHeight="1">
      <c r="A6" s="55" t="inlineStr">
        <is>
          <t>SF-2</t>
        </is>
      </c>
      <c r="B6" s="57" t="inlineStr">
        <is>
          <t>MEDIUM - RAISED</t>
        </is>
      </c>
      <c r="C6" s="6" t="inlineStr">
        <is>
          <t>With the bridge deleted, nothing locates the payload inside a 6 in clearance envelope</t>
        </is>
      </c>
      <c r="D6" s="7" t="inlineStr">
        <is>
          <t>SKU 1: payload 33 x 14 x 26 in inside a 39 x 20 x 32 in box. SKU 2: payload 40 x 33 x 30 in inside 46 x 39 x 36 in. Both leave a consistent and clearly deliberate 6 in of clearance on every axis. The bridge was the only part in the drawing set that occupied any of that space.</t>
        </is>
      </c>
      <c r="E6" s="7" t="inlineStr">
        <is>
          <t>RAISED IN SEVERITY BY THE SCOPE CHANGE. Previously the bridge could be assumed to do some of this work; now the box is an empty shell with the payload floating 3 in off every wall. Either (a) there is a dunnage or cushioning part that is not on the drawings and needs specifying and sourcing, or (b) the 6 in envelope is no longer needed and both boxes should shrink - which would cut board area and freight materially, since price tracks blank area almost linearly (see Cost Model). Worth resolving before you buy 5,000 of anything. PSI has in-house engineered foam if a dunnage part is required.</t>
        </is>
      </c>
    </row>
    <row r="7" ht="142" customHeight="1">
      <c r="A7" s="55" t="inlineStr">
        <is>
          <t>SF-3</t>
        </is>
      </c>
      <c r="B7" s="57" t="inlineStr">
        <is>
          <t>MEDIUM - NEW</t>
        </is>
      </c>
      <c r="C7" s="6" t="inlineStr">
        <is>
          <t>Stacking strength, not edge crush, is the real performance requirement - and it is unspecified</t>
        </is>
      </c>
      <c r="D7" s="7" t="inlineStr">
        <is>
          <t>The drawings specify 48ECT but say nothing about stack height, pallet pattern, warehouse humidity or storage duration. ECT is a board property; what actually governs whether a 46.5 x 39.5 x 36.5 in box survives is BCT (box compression), which falls sharply with box size, humidity and time under load. A large box in 48ECT DW is a very different risk from a small one at the same grade.</t>
        </is>
      </c>
      <c r="E7" s="7" t="inlineStr">
        <is>
          <t>NEW - surfaced by the scope change, because the box is now the sole load-bearing element. Give suppliers the stack height, pallet pattern and storage environment, and ask them to certify a BCT figure (RFQ Q9). This is also the flag most likely to justify Green Bay Packaging's ISTA lab, or a move to triple wall via Keystone Sheets. Getting this wrong shows up as crushed boxes in a warehouse six months after award, not at first article.</t>
        </is>
      </c>
    </row>
    <row r="8" ht="142" customHeight="1">
      <c r="A8" s="55" t="inlineStr">
        <is>
          <t>SF-4</t>
        </is>
      </c>
      <c r="B8" s="57" t="inlineStr">
        <is>
          <t>MEDIUM - NEW</t>
        </is>
      </c>
      <c r="C8" s="6" t="inlineStr">
        <is>
          <t>Both boxes ship as oversized flats that overhang a standard pallet - freight is a top-3 cost driver</t>
        </is>
      </c>
      <c r="D8" s="7" t="inlineStr">
        <is>
          <t>Knocked down flat, SKU 1 measures roughly 60 x 52 in and SKU 2 roughly 86 x 75 in (see the Cost Model tab, which calculates these). A standard GMA pallet is 48 x 40 in. SKU 2's flat overhangs it on both axes by a wide margin, so it ships on an oversized skid or floor-loaded, and a truck holds far fewer than the board area alone suggests.</t>
        </is>
      </c>
      <c r="E8" s="7" t="inlineStr">
        <is>
          <t>NEW. This is why Commercial-Wagner's own fleet into Northern Virginia moved them to #1, and why the 110-mile Richmond options carry a real penalty rather than a nominal one. Always get freight quoted as a separate line item (RFQ Q7), ask for boxes per pallet and pallets per truck, and re-rank on LANDED cost, not unit price. On low-density freight like this, a cheaper box from further away frequently loses.</t>
        </is>
      </c>
    </row>
    <row r="9" ht="142" customHeight="1">
      <c r="A9" s="55" t="inlineStr">
        <is>
          <t>SF-5</t>
        </is>
      </c>
      <c r="B9" s="58" t="inlineStr">
        <is>
          <t>LOW</t>
        </is>
      </c>
      <c r="C9" s="6" t="inlineStr">
        <is>
          <t>'48ECT' plus 'heavy-duty double wall' is an ambiguous pairing worth pinning down</t>
        </is>
      </c>
      <c r="D9" s="7" t="inlineStr">
        <is>
          <t>48ECT is a legitimate double-wall edge-crush grade, but 'heavy duty' is a marketing term, not a spec. Different shops hit 48ECT with different liner and medium combinations at meaningfully different cost and different caliper - which feeds straight back into SF-1. Useful reference point: 275 lb burst test double wall is the burst-basis equivalent of 48 ECT, which is why Uline's 275 lb boxes are valid price benchmarks on the Cost Model tab.</t>
        </is>
      </c>
      <c r="E9" s="7" t="inlineStr">
        <is>
          <t>Require each supplier to state the actual board build (liner weights and flute combination), the certified ECT and the caliper. Since you are open to equivalents, also ask each to quote their nearest standard grade - standardising on something a plant already runs is usually the largest single cost lever available here.</t>
        </is>
      </c>
    </row>
    <row r="10" ht="142" customHeight="1">
      <c r="A10" s="55" t="inlineStr">
        <is>
          <t>SF-6</t>
        </is>
      </c>
      <c r="B10" s="58" t="inlineStr">
        <is>
          <t>LOW - REVISED</t>
        </is>
      </c>
      <c r="C10" s="6" t="inlineStr">
        <is>
          <t>The drawing set does not actually contain a box drawing</t>
        </is>
      </c>
      <c r="D10" s="7" t="inlineStr">
        <is>
          <t>Both sheets are titled BRIDGE and dimension only the bridge panel. The box appears solely as text in notes 2, 2.1 and 2.2. There is no flap detail, no closure method, no print or part-marking spec, and no tolerance block.</t>
        </is>
      </c>
      <c r="E10" s="7" t="inlineStr">
        <is>
          <t>REVISED, and it matters more now: previously the drawings at least fully defined the part being bought, and now they define only a part you are NOT buying. An RSC can be quoted from ID/OD plus board grade, so this is not a blocker - but before first article you need a box drawing or a written spec covering closure method (taped/glued/stitched), any part marking, and a dimensional tolerance. Without a tolerance you have no contractual basis to reject a shipment. Also strip or annotate the bridge views before sending, or you will get bridge pricing back.</t>
        </is>
      </c>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1"/>
  <sheetViews>
    <sheetView showGridLines="0" workbookViewId="0">
      <pane ySplit="4" topLeftCell="A5" activePane="bottomLeft" state="frozen"/>
      <selection pane="bottomLeft" activeCell="A1" sqref="A1"/>
    </sheetView>
  </sheetViews>
  <sheetFormatPr baseColWidth="8" defaultRowHeight="15"/>
  <cols>
    <col width="36" customWidth="1" min="1" max="1"/>
    <col width="48" customWidth="1" min="2" max="2"/>
    <col width="106" customWidth="1" min="3" max="3"/>
  </cols>
  <sheetData>
    <row r="1" ht="22" customHeight="1">
      <c r="A1" s="1" t="inlineStr">
        <is>
          <t>Sources, method and what changed in this revision</t>
        </is>
      </c>
    </row>
    <row r="2" ht="58" customHeight="1">
      <c r="A2" s="2" t="inlineStr">
        <is>
          <t>Every capability, MOQ and price claim traces to one of these. All of it is public marketing, directory or catalogue data - none of it is a supplier commitment. Revised 17 August 2026.</t>
        </is>
      </c>
    </row>
    <row r="4" ht="22" customHeight="1">
      <c r="A4" s="3" t="inlineStr">
        <is>
          <t>Supplier / topic</t>
        </is>
      </c>
      <c r="B4" s="3" t="inlineStr">
        <is>
          <t>Source</t>
        </is>
      </c>
      <c r="C4" s="3" t="inlineStr">
        <is>
          <t>What was taken from it</t>
        </is>
      </c>
    </row>
    <row r="5" ht="92" customHeight="1">
      <c r="A5" s="59" t="inlineStr">
        <is>
          <t>SCOPE CHANGE - what this revision did</t>
        </is>
      </c>
      <c r="B5" s="16" t="inlineStr">
        <is>
          <t>User instruction, 17 Aug 2026</t>
        </is>
      </c>
      <c r="C5" s="16" t="inlineStr">
        <is>
          <t>The bridge panels were removed from scope; the two boxes remain, dimensions unchanged. Consequences: (1) die-cutting is no longer required, so flatbed die-cut capability stopped being the discriminator and Commercial-Wagner rose to #1 on extra-large box and stitching capability while Atlas dropped to #2; (2) Green Bay Packaging rose to #3 because board control and the ISTA lab now ARE the job; (3) Kelly Box was removed entirely - it was on the list only for bridge die-cutting and its ISTA lab; (4) two bridge-specific spec flags were deleted and two new box-specific ones (stacking strength, oversized pallet footprint) were added; (5) MOQ and price columns were added, per instruction, with explicit reliability grades.</t>
        </is>
      </c>
    </row>
    <row r="6" ht="92" customHeight="1">
      <c r="A6" s="6" t="inlineStr">
        <is>
          <t>MOQ data - reliability note</t>
        </is>
      </c>
      <c r="B6" s="7" t="inlineStr">
        <is>
          <t>Supplier websites + industry norms</t>
        </is>
      </c>
      <c r="C6" s="7" t="inlineStr">
        <is>
          <t>Only TWO MOQs on this list are published by the supplier: Atlas Container's 'orders as small as 100 Qty', and Craters &amp; Freighters' one-off business model. Every other MOQ cell is INFERRED from the class of plant (small independent sheet plant 250-500; multi-plant regional 500-1,000; mill-backed 1,000-2,500; integrated 2,500+), and Richmond Corrugated Box is marked as a straight guess because no capability data exists publicly. Mid-Atlantic sheet plants essentially never publish minimums. Treat every non-green MOQ cell as a hypothesis to test on the call.</t>
        </is>
      </c>
    </row>
    <row r="7" ht="92" customHeight="1">
      <c r="A7" s="6" t="inlineStr">
        <is>
          <t>Price data - method</t>
        </is>
      </c>
      <c r="B7" s="7" t="inlineStr">
        <is>
          <t>Cost Model tab; Uline; packagingprice.com</t>
        </is>
      </c>
      <c r="C7" s="7" t="inlineStr">
        <is>
          <t>No supplier on this list publishes prices, so prices were modelled bottom-up rather than found. Method: compute RSC blank area from the given inside dimensions; back-calculate $/MSF from REAL published prices for 48ECT double wall (packagingprice.com, three sizes, all landing at the same $/MSF - which validates the method) and for 275 lb test double wall (Uline S-19776 40x30x30 at five quantity breaks, $26.15 down to $21.79); then discount for converter-direct purchasing. 275 lb burst DW is the equivalent of 48 ECT DW on the standard burst/ECT tables, which is what makes the Uline series a valid comparator. Outputs are +/- 30%.</t>
        </is>
      </c>
    </row>
    <row r="8" ht="92" customHeight="1">
      <c r="A8" s="6" t="inlineStr">
        <is>
          <t>Price data - market context</t>
        </is>
      </c>
      <c r="B8" s="7" t="inlineStr">
        <is>
          <t>CorrugatedNews containerboard guide; Green Markets Box Report; corrugatedboxsuppliers.com cost guide</t>
        </is>
      </c>
      <c r="C8" s="7" t="inlineStr">
        <is>
          <t>PCA announced a $70/ton containerboard price increase effective 1 March 2026, with mixed market reception and flat demand. Box shipments closed 2025 down 1.5-2.0% year on year with ~1.6% growth forecast for 2026-27. Corrugated pricing can move 10-20% in a quarter on mill outages or supply shifts. This is why RFQ Q11 asks how long each quote holds - a soft demand market is a good time to be buying.</t>
        </is>
      </c>
    </row>
    <row r="9" ht="92" customHeight="1">
      <c r="A9" s="6" t="inlineStr">
        <is>
          <t>Commercial-Wagner</t>
        </is>
      </c>
      <c r="B9" s="7" t="inlineStr">
        <is>
          <t>commercialwagner.com; Thomasnet company profile; directory listings</t>
        </is>
      </c>
      <c r="C9" s="7" t="inlineStr">
        <is>
          <t>4101 Ashland Ave address, phone and fax, 17 box-making machines, rotary and flatbed die cutting, EXTRA-LARGE boxes, taped/glued/stitched construction, hand assembly and fulfillment, own fleet serving Northern Virginia, two sites. The extra-large and stitched claims are why they now rank first.</t>
        </is>
      </c>
    </row>
    <row r="10" ht="92" customHeight="1">
      <c r="A10" s="6" t="inlineStr">
        <is>
          <t>Atlas Container</t>
        </is>
      </c>
      <c r="B10" s="7" t="inlineStr">
        <is>
          <t>atlascontainer.com and /central-pa-packaging-solutions</t>
        </is>
      </c>
      <c r="C10" s="7" t="inlineStr">
        <is>
          <t>Address, phone, info@ email, founded 1968, rotary + flatbed die cutting, 'orders as small as 100 Qty' - the only published MOQ on this list - free custom designs and samples, named regional rep, service region.</t>
        </is>
      </c>
    </row>
    <row r="11" ht="92" customHeight="1">
      <c r="A11" s="6" t="inlineStr">
        <is>
          <t>Green Bay Packaging - Baltimore</t>
        </is>
      </c>
      <c r="B11" s="7" t="inlineStr">
        <is>
          <t>gbp.com/locations/baltimore</t>
        </is>
      </c>
      <c r="C11" s="7" t="inlineStr">
        <is>
          <t>Hunt Valley MD address and phone, IN-HOUSE CORRUGATOR, B/C/E flute plus explicit double wall for heavy products and long-distance shipping, in-house graphic and structural design, ON-SITE ISTA LAB, BRCGS and SFI certifications, MD/DE/PA/NJ/VA/WV region.</t>
        </is>
      </c>
    </row>
    <row r="12" ht="92" customHeight="1">
      <c r="A12" s="6" t="inlineStr">
        <is>
          <t>Columbia Container</t>
        </is>
      </c>
      <c r="B12" s="7" t="inlineStr">
        <is>
          <t>columbiacontainer.net</t>
        </is>
      </c>
      <c r="C12" s="7" t="inlineStr">
        <is>
          <t>4311 Erdman Ave address, phone, quotes@ email, 40+ years, DE/MD/PA/VA/DC region, 3-5 business day turnaround claim, custom flute and liner combinations, die cut / Gaylord / UN-rated / anti-static product list.</t>
        </is>
      </c>
    </row>
    <row r="13" ht="92" customHeight="1">
      <c r="A13" s="6" t="inlineStr">
        <is>
          <t>Packaging Services Industries (PSI)</t>
        </is>
      </c>
      <c r="B13" s="7" t="inlineStr">
        <is>
          <t>psimd.com; Buzzfile; Facebook business listing</t>
        </is>
      </c>
      <c r="C13" s="7" t="inlineStr">
        <is>
          <t>Williamsport MD HQ address, phones, info@psimd.com, 282,000 sq ft, three production facilities plus one dedicated corrugation plant, ~40 million sq ft board/month, engineered foam and displays, Manassas VA marketing page. psimd.com returned HTTP 500 intermittently during research - confirm by phone.</t>
        </is>
      </c>
    </row>
    <row r="14" ht="92" customHeight="1">
      <c r="A14" s="6" t="inlineStr">
        <is>
          <t>Keystone Sheets</t>
        </is>
      </c>
      <c r="B14" s="7" t="inlineStr">
        <is>
          <t>keystonesheets.com; bcipkg.com/locations/keystone-sheets; cpgteam.com</t>
        </is>
      </c>
      <c r="C14" s="7" t="inlineStr">
        <is>
          <t>1465 Nitterhouse Dr Chambersburg PA address and phone, 132 in BHS corrugator described as the widest in the country capable of triple wall, single/double/triple wall SHEETS only, next-day delivery, founded late 2023, parent Corrugated Partners Group / Buckeye Corrugated with 16 plants. Relevant here for 75 in wide double-wall sheet supply and as the triple-wall fallback for Spec Flag SF-3.</t>
        </is>
      </c>
    </row>
    <row r="15" ht="92" customHeight="1">
      <c r="A15" s="6" t="inlineStr">
        <is>
          <t>Smurfit Westrock</t>
        </is>
      </c>
      <c r="B15" s="7" t="inlineStr">
        <is>
          <t>westrock.com/locations; us.smurfitwestrock.com/locations; Packaging Dive and Manufacturing Dive closure reporting</t>
        </is>
      </c>
      <c r="C15" s="7" t="inlineStr">
        <is>
          <t>Baltimore South (725 Pittman Rd, 21226) and Richmond (5710 S Laburnum Ave, 23231) box plant addresses. The 'verify plant is open' warning rests on reporting that WestRock moved to close an Anne Arundel County MD corrugated plant around 2023, with consolidation continuing post-merger.</t>
        </is>
      </c>
    </row>
    <row r="16" ht="92" customHeight="1">
      <c r="A16" s="6" t="inlineStr">
        <is>
          <t>Craters &amp; Freighters Northern Virginia</t>
        </is>
      </c>
      <c r="B16" s="7" t="inlineStr">
        <is>
          <t>cratersandfreightersnorthernvirginia.com</t>
        </is>
      </c>
      <c r="C16" s="7" t="inlineStr">
        <is>
          <t>113 Executive Dr Ste 131, Sterling VA 20166; (703) 796-0180; 8:30-5:00 ET; minimum 350 lb double-wall corrugated fiberboard standard; custom-sized containers; strapping, banding, palletizing. The $250/$500 figures in the shortlist are order-of-magnitude placeholders for hand-built one-offs, not quotes.</t>
        </is>
      </c>
    </row>
    <row r="17" ht="92" customHeight="1">
      <c r="A17" s="6" t="inlineStr">
        <is>
          <t>Atlantic Corrugated Box Co.</t>
        </is>
      </c>
      <c r="B17" s="7" t="inlineStr">
        <is>
          <t>acbc-inc.com; industry directory listings</t>
        </is>
      </c>
      <c r="C17" s="7" t="inlineStr">
        <is>
          <t>1701 Ruffin Rd Richmond VA 23234, (804) 231-4050, established 1985, sheet plant, packaging and display products, design services, industries served.</t>
        </is>
      </c>
    </row>
    <row r="18" ht="92" customHeight="1">
      <c r="A18" s="6" t="inlineStr">
        <is>
          <t>Richmond Corrugated Box Co.</t>
        </is>
      </c>
      <c r="B18" s="7" t="inlineStr">
        <is>
          <t>Yellow Pages, BBB, Blue Book Services, CMac directory listings</t>
        </is>
      </c>
      <c r="C18" s="7" t="inlineStr">
        <is>
          <t>5301 Corrugated Rd, Sandston VA 23150; (804) 222-1300 and (804) 226-0807; richmondcorrugated.com; started 1971; 8:00-5:00. No manufacturer-published capability data found - the lowest-confidence entry, and the only one whose MOQ and price cells are flagged as guesses.</t>
        </is>
      </c>
    </row>
    <row r="19" ht="92" customHeight="1">
      <c r="A19" s="6" t="inlineStr">
        <is>
          <t>PCA Richmond (excluded)</t>
        </is>
      </c>
      <c r="B19" s="7" t="inlineStr">
        <is>
          <t>packagingcorp.com/location/richmond-full-line-plant; closure reporting</t>
        </is>
      </c>
      <c r="C19" s="7" t="inlineStr">
        <is>
          <t>2000 Richmond Hwy, Richmond VA 23224 full-line plant serving VA/MD/southeastern PA/eastern NC. PCA announced permanent closure. Listed as excluded so it is not re-sourced from a stale directory.</t>
        </is>
      </c>
    </row>
    <row r="20" ht="92" customHeight="1">
      <c r="A20" s="6" t="inlineStr">
        <is>
          <t>Method note - why the local search results are misleading</t>
        </is>
      </c>
      <c r="B20" s="7" t="inlineStr">
        <is>
          <t>-</t>
        </is>
      </c>
      <c r="C20" s="7" t="inlineStr">
        <is>
          <t>Searches for 'corrugated boxes Sterling/Ashburn/Dulles VA' return almost entirely SEO reseller and offshore broker sites (CustomBoxesZone, BoxLark, Branded Boxes, OXO, PakFactory and similar). All were excluded: none holds a converting asset in Virginia, none can certify 48ECT DW board, and none can support first-article approval on a 46.5 in double-wall box. The real converting capacity nearest Dulles sits in the Baltimore-Hagerstown-Chambersburg arc, roughly 60-80 miles out.</t>
        </is>
      </c>
    </row>
    <row r="21" ht="92" customHeight="1">
      <c r="A21" s="6" t="inlineStr">
        <is>
          <t>Limitation - the honest answer on 'near Dulles'</t>
        </is>
      </c>
      <c r="B21" s="7" t="inlineStr">
        <is>
          <t>-</t>
        </is>
      </c>
      <c r="C21" s="7" t="inlineStr">
        <is>
          <t>There is no corrugated converting plant in Loudoun County. The closest genuine fabricator to IAD is Craters &amp; Freighters in Sterling at about 4 miles, and it is a one-off custom crating shop, not a production converter. If 'near Dulles' is a hard requirement rather than a preference, the honest answer is that 60 miles to Severn, Baltimore or Williamsport is as close as real production capacity gets - and given Spec Flag SF-4, proximity is worth paying for on this particular job.</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2026-08-17T17:14:01Z</dcterms:created>
  <dcterms:modified xsi:type="dcterms:W3CDTF">2026-08-17T17:14:01Z</dcterms:modified>
</cp:coreProperties>
</file>