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all Sheet" sheetId="1" state="visible" r:id="rId1"/>
    <sheet name="Requirements" sheetId="2" state="visible" r:id="rId2"/>
    <sheet name="Outreach Scripts" sheetId="3" state="visible" r:id="rId3"/>
    <sheet name="Supplier Detail" sheetId="4" state="visible" r:id="rId4"/>
    <sheet name="Cost Model" sheetId="5" state="visible" r:id="rId5"/>
    <sheet name="Qualification Matrix" sheetId="6" state="visible" r:id="rId6"/>
    <sheet name="Spec Flags" sheetId="7" state="visible" r:id="rId7"/>
    <sheet name="Verification Log" sheetId="8" state="visible" r:id="rId8"/>
    <sheet name="Sources" sheetId="9" state="visible" r:id="rId9"/>
  </sheets>
  <definedNames>
    <definedName name="_xlnm._FilterDatabase" localSheetId="0" hidden="1">'Call Sheet'!$A$4:$X$14</definedName>
    <definedName name="_xlnm._FilterDatabase" localSheetId="3" hidden="1">'Supplier Detail'!$A$4:$Z$14</definedName>
  </definedNames>
  <calcPr calcId="124519" fullCalcOnLoad="1"/>
</workbook>
</file>

<file path=xl/styles.xml><?xml version="1.0" encoding="utf-8"?>
<styleSheet xmlns="http://schemas.openxmlformats.org/spreadsheetml/2006/main">
  <numFmts count="4">
    <numFmt numFmtId="164" formatCode="$#,##0.00;($#,##0.00);-"/>
    <numFmt numFmtId="165" formatCode="0.0"/>
    <numFmt numFmtId="166" formatCode="$#,##0;($#,##0);-"/>
    <numFmt numFmtId="167" formatCode="0.0%"/>
  </numFmts>
  <fonts count="24">
    <font>
      <name val="Calibri"/>
      <family val="2"/>
      <color theme="1"/>
      <sz val="11"/>
      <scheme val="minor"/>
    </font>
    <font>
      <name val="Arial"/>
      <b val="1"/>
      <color rgb="001F3864"/>
      <sz val="15"/>
    </font>
    <font>
      <name val="Arial"/>
      <i val="1"/>
      <color rgb="00595959"/>
      <sz val="9"/>
    </font>
    <font>
      <name val="Arial"/>
      <b val="1"/>
      <color rgb="00FFFFFF"/>
      <sz val="10"/>
    </font>
    <font>
      <name val="Arial"/>
      <sz val="10"/>
    </font>
    <font>
      <name val="Arial"/>
      <b val="1"/>
      <color rgb="001F3864"/>
      <sz val="12"/>
    </font>
    <font>
      <name val="Arial"/>
      <b val="1"/>
      <sz val="9"/>
    </font>
    <font>
      <name val="Arial"/>
      <b val="1"/>
      <sz val="11"/>
    </font>
    <font>
      <name val="Arial"/>
      <b val="1"/>
      <color rgb="00006100"/>
      <sz val="12"/>
    </font>
    <font>
      <name val="Arial"/>
      <color rgb="000563C1"/>
      <sz val="10"/>
    </font>
    <font>
      <name val="Arial"/>
      <i val="1"/>
      <sz val="10"/>
    </font>
    <font>
      <name val="Arial"/>
      <color rgb="00008000"/>
      <sz val="10"/>
    </font>
    <font>
      <name val="Arial"/>
      <color rgb="000000FF"/>
      <sz val="10"/>
    </font>
    <font>
      <name val="Arial"/>
      <i val="1"/>
      <color rgb="00808080"/>
      <sz val="9"/>
    </font>
    <font>
      <name val="Arial"/>
      <b val="1"/>
      <color rgb="009C0006"/>
      <sz val="11"/>
    </font>
    <font>
      <name val="Arial"/>
      <b val="1"/>
      <color rgb="009C0006"/>
      <sz val="10"/>
    </font>
    <font>
      <name val="Arial"/>
      <b val="1"/>
      <color rgb="00FFFFFF"/>
      <sz val="11"/>
    </font>
    <font>
      <name val="Arial"/>
      <b val="1"/>
      <color rgb="001F3864"/>
      <sz val="10"/>
    </font>
    <font>
      <name val="Arial"/>
      <b val="1"/>
      <sz val="10"/>
    </font>
    <font>
      <name val="Consolas"/>
      <sz val="9"/>
    </font>
    <font>
      <name val="Arial"/>
      <b val="1"/>
      <color rgb="00006100"/>
      <sz val="11"/>
    </font>
    <font>
      <name val="Arial"/>
      <b val="1"/>
      <color rgb="009C6500"/>
      <sz val="10"/>
    </font>
    <font>
      <name val="Arial"/>
      <b val="1"/>
      <color rgb="00006100"/>
      <sz val="10"/>
    </font>
    <font>
      <name val="Arial"/>
      <color rgb="00595959"/>
      <sz val="10"/>
    </font>
  </fonts>
  <fills count="18">
    <fill>
      <patternFill/>
    </fill>
    <fill>
      <patternFill patternType="gray125"/>
    </fill>
    <fill>
      <patternFill patternType="solid">
        <fgColor rgb="001F3864"/>
      </patternFill>
    </fill>
    <fill>
      <patternFill patternType="solid">
        <fgColor rgb="00E2EFDA"/>
      </patternFill>
    </fill>
    <fill>
      <patternFill patternType="solid">
        <fgColor rgb="00C6EFCE"/>
      </patternFill>
    </fill>
    <fill>
      <patternFill patternType="solid">
        <fgColor rgb="00FFFF00"/>
      </patternFill>
    </fill>
    <fill>
      <patternFill patternType="solid">
        <fgColor rgb="00FFF2CC"/>
      </patternFill>
    </fill>
    <fill>
      <patternFill patternType="solid">
        <fgColor rgb="00DCE6F1"/>
      </patternFill>
    </fill>
    <fill>
      <patternFill patternType="solid">
        <fgColor rgb="00F2F5FA"/>
      </patternFill>
    </fill>
    <fill>
      <patternFill patternType="solid">
        <fgColor rgb="00EDEDED"/>
      </patternFill>
    </fill>
    <fill>
      <patternFill patternType="solid">
        <fgColor rgb="00FCE4E4"/>
      </patternFill>
    </fill>
    <fill>
      <patternFill patternType="solid">
        <fgColor rgb="002E5C8A"/>
      </patternFill>
    </fill>
    <fill>
      <patternFill patternType="solid">
        <fgColor rgb="00FFEB9C"/>
      </patternFill>
    </fill>
    <fill>
      <patternFill patternType="solid">
        <fgColor rgb="00FFC7CE"/>
      </patternFill>
    </fill>
    <fill>
      <patternFill patternType="solid">
        <fgColor rgb="00FFE1E1"/>
      </patternFill>
    </fill>
    <fill>
      <patternFill patternType="solid">
        <fgColor rgb="00D9D9D9"/>
      </patternFill>
    </fill>
    <fill>
      <patternFill patternType="solid">
        <fgColor rgb="00F2F2F2"/>
      </patternFill>
    </fill>
    <fill>
      <patternFill patternType="solid">
        <fgColor rgb="00D9E1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83">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0" borderId="1" applyAlignment="1" pivotButton="0" quotePrefix="0" xfId="0">
      <alignment vertical="top" wrapText="1"/>
    </xf>
    <xf numFmtId="0" fontId="8" fillId="0" borderId="1" applyAlignment="1" pivotButton="0" quotePrefix="0" xfId="0">
      <alignment horizontal="center" vertical="center" wrapText="1"/>
    </xf>
    <xf numFmtId="0" fontId="4" fillId="0" borderId="1" applyAlignment="1" pivotButton="0" quotePrefix="0" xfId="0">
      <alignment vertical="top" wrapText="1"/>
    </xf>
    <xf numFmtId="0" fontId="9" fillId="0" borderId="1" applyAlignment="1" pivotButton="0" quotePrefix="0" xfId="0">
      <alignment vertical="top" wrapText="1"/>
    </xf>
    <xf numFmtId="0" fontId="4" fillId="4" borderId="1" applyAlignment="1" pivotButton="0" quotePrefix="0" xfId="0">
      <alignment horizontal="center" vertical="center" wrapText="1"/>
    </xf>
    <xf numFmtId="0" fontId="4" fillId="0" borderId="1" applyAlignment="1" pivotButton="0" quotePrefix="0" xfId="0">
      <alignment horizontal="center" vertical="center" wrapText="1"/>
    </xf>
    <xf numFmtId="0" fontId="10" fillId="0" borderId="1" applyAlignment="1" pivotButton="0" quotePrefix="0" xfId="0">
      <alignment vertical="top" wrapText="1"/>
    </xf>
    <xf numFmtId="164" fontId="11" fillId="0" borderId="1" applyAlignment="1" pivotButton="0" quotePrefix="0" xfId="0">
      <alignment horizontal="center" vertical="center" wrapText="1"/>
    </xf>
    <xf numFmtId="0" fontId="12" fillId="5" borderId="1" applyAlignment="1" pivotButton="0" quotePrefix="0" xfId="0">
      <alignment vertical="top" wrapText="1"/>
    </xf>
    <xf numFmtId="164" fontId="12" fillId="5" borderId="1" applyAlignment="1" pivotButton="0" quotePrefix="0" xfId="0">
      <alignment vertical="top" wrapText="1"/>
    </xf>
    <xf numFmtId="0" fontId="6" fillId="6" borderId="1" applyAlignment="1" pivotButton="0" quotePrefix="0" xfId="0">
      <alignment horizontal="center" vertical="center" wrapText="1"/>
    </xf>
    <xf numFmtId="0" fontId="6" fillId="7" borderId="1" applyAlignment="1" pivotButton="0" quotePrefix="0" xfId="0">
      <alignment horizontal="center" vertical="center" wrapText="1"/>
    </xf>
    <xf numFmtId="0" fontId="13" fillId="0"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9" borderId="1" applyAlignment="1" pivotButton="0" quotePrefix="0" xfId="0">
      <alignment horizontal="center" vertical="center" wrapText="1"/>
    </xf>
    <xf numFmtId="0" fontId="14" fillId="10" borderId="1" pivotButton="0" quotePrefix="0" xfId="0"/>
    <xf numFmtId="0" fontId="0" fillId="0" borderId="4" pivotButton="0" quotePrefix="0" xfId="0"/>
    <xf numFmtId="0" fontId="0" fillId="0" borderId="5" pivotButton="0" quotePrefix="0" xfId="0"/>
    <xf numFmtId="0" fontId="0" fillId="10" borderId="1" pivotButton="0" quotePrefix="0" xfId="0"/>
    <xf numFmtId="0" fontId="15" fillId="10" borderId="1" applyAlignment="1" pivotButton="0" quotePrefix="0" xfId="0">
      <alignment vertical="top" wrapText="1"/>
    </xf>
    <xf numFmtId="0" fontId="4" fillId="10" borderId="1" applyAlignment="1" pivotButton="0" quotePrefix="0" xfId="0">
      <alignment vertical="top" wrapText="1"/>
    </xf>
    <xf numFmtId="0" fontId="16" fillId="11" borderId="1" pivotButton="0" quotePrefix="0" xfId="0"/>
    <xf numFmtId="0" fontId="14" fillId="6" borderId="1" applyAlignment="1" pivotButton="0" quotePrefix="0" xfId="0">
      <alignment vertical="top" wrapText="1"/>
    </xf>
    <xf numFmtId="0" fontId="7" fillId="6" borderId="1" applyAlignment="1" pivotButton="0" quotePrefix="0" xfId="0">
      <alignment vertical="top" wrapText="1"/>
    </xf>
    <xf numFmtId="0" fontId="4" fillId="6" borderId="1" applyAlignment="1" pivotButton="0" quotePrefix="0" xfId="0">
      <alignment vertical="top" wrapText="1"/>
    </xf>
    <xf numFmtId="0" fontId="0" fillId="5" borderId="1" applyAlignment="1" pivotButton="0" quotePrefix="0" xfId="0">
      <alignment vertical="top" wrapText="1"/>
    </xf>
    <xf numFmtId="0" fontId="17" fillId="0" borderId="1" applyAlignment="1" pivotButton="0" quotePrefix="0" xfId="0">
      <alignment vertical="top" wrapText="1"/>
    </xf>
    <xf numFmtId="0" fontId="18" fillId="0" borderId="1" applyAlignment="1" pivotButton="0" quotePrefix="0" xfId="0">
      <alignment vertical="top" wrapText="1"/>
    </xf>
    <xf numFmtId="0" fontId="17" fillId="3" borderId="1" applyAlignment="1" pivotButton="0" quotePrefix="0" xfId="0">
      <alignment vertical="top" wrapText="1"/>
    </xf>
    <xf numFmtId="0" fontId="18" fillId="3" borderId="1" applyAlignment="1" pivotButton="0" quotePrefix="0" xfId="0">
      <alignment vertical="top" wrapText="1"/>
    </xf>
    <xf numFmtId="0" fontId="4" fillId="3" borderId="1" applyAlignment="1" pivotButton="0" quotePrefix="0" xfId="0">
      <alignment vertical="top" wrapText="1"/>
    </xf>
    <xf numFmtId="0" fontId="0" fillId="0" borderId="1" applyAlignment="1" pivotButton="0" quotePrefix="0" xfId="0">
      <alignment vertical="top" wrapText="1"/>
    </xf>
    <xf numFmtId="0" fontId="19" fillId="0" borderId="1" applyAlignment="1" pivotButton="0" quotePrefix="0" xfId="0">
      <alignment vertical="top" wrapText="1"/>
    </xf>
    <xf numFmtId="0" fontId="0" fillId="0" borderId="1" pivotButton="0" quotePrefix="0" xfId="0"/>
    <xf numFmtId="0" fontId="4" fillId="0" borderId="1" applyAlignment="1" pivotButton="0" quotePrefix="0" xfId="0">
      <alignment horizontal="center" vertical="top" wrapText="1"/>
    </xf>
    <xf numFmtId="0" fontId="4" fillId="4" borderId="1" applyAlignment="1" pivotButton="0" quotePrefix="0" xfId="0">
      <alignment horizontal="center" vertical="top" wrapText="1"/>
    </xf>
    <xf numFmtId="164" fontId="11" fillId="0" borderId="1" applyAlignment="1" pivotButton="0" quotePrefix="0" xfId="0">
      <alignment horizontal="center" vertical="top" wrapText="1"/>
    </xf>
    <xf numFmtId="0" fontId="4" fillId="12" borderId="1" applyAlignment="1" pivotButton="0" quotePrefix="0" xfId="0">
      <alignment horizontal="center" vertical="top" wrapText="1"/>
    </xf>
    <xf numFmtId="0" fontId="4" fillId="7" borderId="1" applyAlignment="1" pivotButton="0" quotePrefix="0" xfId="0">
      <alignment vertical="top" wrapText="1"/>
    </xf>
    <xf numFmtId="0" fontId="4" fillId="9" borderId="1" applyAlignment="1" pivotButton="0" quotePrefix="0" xfId="0">
      <alignment horizontal="center" vertical="top" wrapText="1"/>
    </xf>
    <xf numFmtId="0" fontId="4" fillId="13" borderId="1" applyAlignment="1" pivotButton="0" quotePrefix="0" xfId="0">
      <alignment horizontal="center" vertical="top" wrapText="1"/>
    </xf>
    <xf numFmtId="0" fontId="4" fillId="8" borderId="1" applyAlignment="1" pivotButton="0" quotePrefix="0" xfId="0">
      <alignment vertical="top" wrapText="1"/>
    </xf>
    <xf numFmtId="0" fontId="4" fillId="9" borderId="1" applyAlignment="1" pivotButton="0" quotePrefix="0" xfId="0">
      <alignment vertical="top" wrapText="1"/>
    </xf>
    <xf numFmtId="0" fontId="18" fillId="0" borderId="1" pivotButton="0" quotePrefix="0" xfId="0"/>
    <xf numFmtId="165" fontId="12" fillId="5" borderId="1" applyAlignment="1" pivotButton="0" quotePrefix="0" xfId="0">
      <alignment horizontal="center"/>
    </xf>
    <xf numFmtId="2" fontId="12" fillId="5" borderId="1" applyAlignment="1" pivotButton="0" quotePrefix="0" xfId="0">
      <alignment horizontal="center"/>
    </xf>
    <xf numFmtId="165" fontId="0" fillId="0" borderId="1" applyAlignment="1" pivotButton="0" quotePrefix="0" xfId="0">
      <alignment horizontal="center"/>
    </xf>
    <xf numFmtId="2" fontId="0" fillId="0" borderId="1" applyAlignment="1" pivotButton="0" quotePrefix="0" xfId="0">
      <alignment horizontal="center"/>
    </xf>
    <xf numFmtId="0" fontId="0" fillId="0" borderId="1" applyAlignment="1" pivotButton="0" quotePrefix="0" xfId="0">
      <alignment horizontal="center"/>
    </xf>
    <xf numFmtId="0" fontId="4" fillId="0" borderId="1" applyAlignment="1" pivotButton="0" quotePrefix="0" xfId="0">
      <alignment horizontal="center"/>
    </xf>
    <xf numFmtId="0" fontId="12" fillId="5" borderId="1" applyAlignment="1" pivotButton="0" quotePrefix="0" xfId="0">
      <alignment horizontal="center"/>
    </xf>
    <xf numFmtId="164" fontId="12" fillId="5" borderId="1" applyAlignment="1" pivotButton="0" quotePrefix="0" xfId="0">
      <alignment horizontal="center"/>
    </xf>
    <xf numFmtId="166" fontId="0" fillId="0" borderId="1" applyAlignment="1" pivotButton="0" quotePrefix="0" xfId="0">
      <alignment horizontal="center"/>
    </xf>
    <xf numFmtId="0" fontId="17" fillId="0" borderId="0" applyAlignment="1" pivotButton="0" quotePrefix="0" xfId="0">
      <alignment horizontal="right"/>
    </xf>
    <xf numFmtId="166" fontId="17" fillId="7" borderId="1" pivotButton="0" quotePrefix="0" xfId="0"/>
    <xf numFmtId="166" fontId="12" fillId="5" borderId="1" applyAlignment="1" pivotButton="0" quotePrefix="0" xfId="0">
      <alignment horizontal="center"/>
    </xf>
    <xf numFmtId="164" fontId="0" fillId="0" borderId="1" applyAlignment="1" pivotButton="0" quotePrefix="0" xfId="0">
      <alignment horizontal="center"/>
    </xf>
    <xf numFmtId="167" fontId="0" fillId="0" borderId="1" applyAlignment="1" pivotButton="0" quotePrefix="0" xfId="0">
      <alignment horizontal="center"/>
    </xf>
    <xf numFmtId="164" fontId="0" fillId="3" borderId="1" applyAlignment="1" pivotButton="0" quotePrefix="0" xfId="0">
      <alignment horizontal="center"/>
    </xf>
    <xf numFmtId="167" fontId="0" fillId="3" borderId="1" applyAlignment="1" pivotButton="0" quotePrefix="0" xfId="0">
      <alignment horizontal="center"/>
    </xf>
    <xf numFmtId="3" fontId="12" fillId="5" borderId="1" applyAlignment="1" pivotButton="0" quotePrefix="0" xfId="0">
      <alignment horizontal="center"/>
    </xf>
    <xf numFmtId="164" fontId="20" fillId="3" borderId="1" applyAlignment="1" pivotButton="0" quotePrefix="0" xfId="0">
      <alignment horizontal="center"/>
    </xf>
    <xf numFmtId="166" fontId="20" fillId="3" borderId="1" applyAlignment="1" pivotButton="0" quotePrefix="0" xfId="0">
      <alignment horizontal="center"/>
    </xf>
    <xf numFmtId="0" fontId="3" fillId="2" borderId="1" applyAlignment="1" pivotButton="0" quotePrefix="0" xfId="0">
      <alignment horizontal="center" vertical="bottom" textRotation="90" wrapText="1"/>
    </xf>
    <xf numFmtId="0" fontId="15" fillId="14" borderId="1" applyAlignment="1" pivotButton="0" quotePrefix="0" xfId="0">
      <alignment horizontal="center" vertical="center" wrapText="1"/>
    </xf>
    <xf numFmtId="0" fontId="21" fillId="12" borderId="1" applyAlignment="1" pivotButton="0" quotePrefix="0" xfId="0">
      <alignment horizontal="center" vertical="center" wrapText="1"/>
    </xf>
    <xf numFmtId="0" fontId="22" fillId="4" borderId="1" applyAlignment="1" pivotButton="0" quotePrefix="0" xfId="0">
      <alignment horizontal="center" vertical="center" wrapText="1"/>
    </xf>
    <xf numFmtId="0" fontId="23" fillId="15" borderId="1" applyAlignment="1" pivotButton="0" quotePrefix="0" xfId="0">
      <alignment horizontal="center" vertical="center" wrapText="1"/>
    </xf>
    <xf numFmtId="0" fontId="13" fillId="16" borderId="1" applyAlignment="1" pivotButton="0" quotePrefix="0" xfId="0">
      <alignment horizontal="center" vertical="center" wrapText="1"/>
    </xf>
    <xf numFmtId="0" fontId="17" fillId="0" borderId="1" applyAlignment="1" pivotButton="0" quotePrefix="0" xfId="0">
      <alignment horizontal="center" vertical="top" wrapText="1"/>
    </xf>
    <xf numFmtId="0" fontId="15" fillId="13" borderId="1" applyAlignment="1" pivotButton="0" quotePrefix="0" xfId="0">
      <alignment horizontal="center" vertical="top" wrapText="1"/>
    </xf>
    <xf numFmtId="0" fontId="21" fillId="12" borderId="1" applyAlignment="1" pivotButton="0" quotePrefix="0" xfId="0">
      <alignment horizontal="center" vertical="top" wrapText="1"/>
    </xf>
    <xf numFmtId="0" fontId="17" fillId="17" borderId="1" applyAlignment="1" pivotButton="0" quotePrefix="0" xfId="0">
      <alignment horizontal="center" vertical="top" wrapText="1"/>
    </xf>
    <xf numFmtId="0" fontId="4" fillId="4" borderId="1" applyAlignment="1" pivotButton="0" quotePrefix="0" xfId="0">
      <alignment vertical="top" wrapText="1"/>
    </xf>
    <xf numFmtId="0" fontId="4" fillId="12" borderId="1" applyAlignment="1" pivotButton="0" quotePrefix="0" xfId="0">
      <alignment horizontal="center" vertical="center" wrapText="1"/>
    </xf>
    <xf numFmtId="0" fontId="4" fillId="13" borderId="1" applyAlignment="1" pivotButton="0" quotePrefix="0" xfId="0">
      <alignment horizontal="center" vertical="center" wrapText="1"/>
    </xf>
    <xf numFmtId="0" fontId="18"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omments/comment1.xml><?xml version="1.0" encoding="utf-8"?>
<comments xmlns="http://schemas.openxmlformats.org/spreadsheetml/2006/main">
  <authors>
    <author>Sourcing note</author>
  </authors>
  <commentList>
    <comment ref="H4" authorId="0" shapeId="0">
      <text>
        <t>How the phone number was verified. Green = found on the company's own website or agreed across two or more independent sources. Amber = single directory listing, so dial with mild suspicion. See the Verification Log tab for the full record including the independent challenge pass.</t>
      </text>
    </comment>
    <comment ref="L4" authorId="0" shapeId="0">
      <text>
        <t>Ask the two gates before anything else: (1) can you run a 75 in wide blank in one piece, and (2) will you quote 100 pieces per SKU. Both are answerable in seconds and either can end the call. Full spec on the Requirements tab.</t>
      </text>
    </comment>
    <comment ref="M4" authorId="0" shapeId="0">
      <text>
        <t>At 100 pieces, minimum order quantity is the hardest gate on this job. Atlas Container publishes a 100-piece minimum on its own website, which proves it is possible - use that as the benchmark when a vendor says it cannot be done. Mill-backed and integrated plants will most likely decline.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xmlns:r="http://schemas.openxmlformats.org/officeDocument/2006/relationships">
  <sheetPr>
    <outlinePr summaryBelow="1" summaryRight="1"/>
    <pageSetUpPr/>
  </sheetPr>
  <dimension ref="A1:X21"/>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4" customWidth="1" min="1" max="1"/>
    <col width="13" customWidth="1" min="2" max="2"/>
    <col width="30" customWidth="1" min="3" max="3"/>
    <col width="19" customWidth="1" min="4" max="4"/>
    <col width="30" customWidth="1" min="5" max="5"/>
    <col width="26" customWidth="1" min="6" max="6"/>
    <col width="30" customWidth="1" min="7" max="7"/>
    <col width="17" customWidth="1" min="8" max="8"/>
    <col width="15" customWidth="1" min="9" max="9"/>
    <col width="7" customWidth="1" min="10" max="10"/>
    <col width="13" customWidth="1" min="11" max="11"/>
    <col width="46" customWidth="1" min="12" max="12"/>
    <col width="14" customWidth="1" min="13" max="13"/>
    <col width="12" customWidth="1" min="14" max="14"/>
    <col width="12" customWidth="1" min="15" max="15"/>
    <col width="12" customWidth="1" min="16" max="16"/>
    <col width="18" customWidth="1" min="17" max="17"/>
    <col width="26" customWidth="1" min="18" max="18"/>
    <col width="12" customWidth="1" min="19" max="19"/>
    <col width="12" customWidth="1" min="20" max="20"/>
    <col width="12" customWidth="1" min="21" max="21"/>
    <col width="12" customWidth="1" min="22" max="22"/>
    <col width="12" customWidth="1" min="23" max="23"/>
    <col width="40" customWidth="1" min="24" max="24"/>
  </cols>
  <sheetData>
    <row r="1" ht="22" customHeight="1">
      <c r="A1" s="1" t="inlineStr">
        <is>
          <t>CALL SHEET - work top to bottom</t>
        </is>
      </c>
    </row>
    <row r="2" ht="72" customHeight="1">
      <c r="A2" s="2" t="inlineStr">
        <is>
          <t>THE ORDER: 100 each of two plain kraft RSCs, 48ECT double wall, shipped flat, delivered to KWE, 22695 Commerce Center Court Ste 140, Sterling VA 20166. Full spec on the 'Requirements' tab.   Work top to bottom. Open every call with the TWO GATES - can you run a 75 in wide blank, and will you quote 100 pieces - because either answer can end the call in a minute. At this quantity MOQ is the hardest gate, and Atlas is the only vendor here that publishes a 100-piece minimum.   Scripts and a paste-ready RFQ email are on 'Outreach Scripts'. Fill in the YELLOW columns as you go.   Contact details verified 27 Aug 2026 - see 'Verification Log' for what was checked against what.</t>
        </is>
      </c>
    </row>
    <row r="4" ht="54" customHeight="1">
      <c r="A4" s="3" t="inlineStr">
        <is>
          <t>#</t>
        </is>
      </c>
      <c r="B4" s="3" t="inlineStr">
        <is>
          <t>Call?</t>
        </is>
      </c>
      <c r="C4" s="3" t="inlineStr">
        <is>
          <t>Company</t>
        </is>
      </c>
      <c r="D4" s="3" t="inlineStr">
        <is>
          <t>PHONE</t>
        </is>
      </c>
      <c r="E4" s="3" t="inlineStr">
        <is>
          <t>Ask for</t>
        </is>
      </c>
      <c r="F4" s="3" t="inlineStr">
        <is>
          <t>EMAIL</t>
        </is>
      </c>
      <c r="G4" s="3" t="inlineStr">
        <is>
          <t>Website / RFQ form</t>
        </is>
      </c>
      <c r="H4" s="3" t="inlineStr">
        <is>
          <t>Contact data checked?</t>
        </is>
      </c>
      <c r="I4" s="3" t="inlineStr">
        <is>
          <t>Plant open?</t>
        </is>
      </c>
      <c r="J4" s="3" t="inlineStr">
        <is>
          <t>Miles</t>
        </is>
      </c>
      <c r="K4" s="3" t="inlineStr">
        <is>
          <t>Hours</t>
        </is>
      </c>
      <c r="L4" s="3" t="inlineStr">
        <is>
          <t>Open with this</t>
        </is>
      </c>
      <c r="M4" s="3" t="inlineStr">
        <is>
          <t>Will they quote 100?</t>
        </is>
      </c>
      <c r="N4" s="3" t="inlineStr">
        <is>
          <t>Est. $/box SKU 1 @100</t>
        </is>
      </c>
      <c r="O4" s="3" t="inlineStr">
        <is>
          <t>Est. $/box SKU 2 @100</t>
        </is>
      </c>
      <c r="P4" s="3" t="inlineStr">
        <is>
          <t>Date called</t>
        </is>
      </c>
      <c r="Q4" s="3" t="inlineStr">
        <is>
          <t>Spoke to</t>
        </is>
      </c>
      <c r="R4" s="3" t="inlineStr">
        <is>
          <t>Outcome</t>
        </is>
      </c>
      <c r="S4" s="3" t="inlineStr">
        <is>
          <t>Quote $ SKU 1</t>
        </is>
      </c>
      <c r="T4" s="3" t="inlineStr">
        <is>
          <t>Quote $ SKU 2</t>
        </is>
      </c>
      <c r="U4" s="3" t="inlineStr">
        <is>
          <t>Freight $/unit</t>
        </is>
      </c>
      <c r="V4" s="3" t="inlineStr">
        <is>
          <t>MOQ quoted</t>
        </is>
      </c>
      <c r="W4" s="3" t="inlineStr">
        <is>
          <t>Lead time</t>
        </is>
      </c>
      <c r="X4" s="3" t="inlineStr">
        <is>
          <t>Notes</t>
        </is>
      </c>
    </row>
    <row r="5" ht="62" customHeight="1">
      <c r="A5" s="4" t="n">
        <v>1</v>
      </c>
      <c r="B5" s="5" t="inlineStr">
        <is>
          <t>PHONE + EMAIL</t>
        </is>
      </c>
      <c r="C5" s="6" t="inlineStr">
        <is>
          <t>Atlas Container Corp.</t>
        </is>
      </c>
      <c r="D5" s="7" t="inlineStr">
        <is>
          <t>(410) 551-6300
alt Geoff Dillard DIRECT (443) 569-2089  |  DJ Holston DIRECT (443) 286-7896</t>
        </is>
      </c>
      <c r="E5" s="8" t="inlineStr">
        <is>
          <t>Inside sales. Christine Beeler (cbeeler@atlascontainer.com) is a named rep.</t>
        </is>
      </c>
      <c r="F5" s="9" t="inlineStr">
        <is>
          <t>gdillard@atlascontainer.com</t>
        </is>
      </c>
      <c r="G5" s="8" t="inlineStr">
        <is>
          <t>https://www.atlascontainer.com/contact-request-a-quote (note: /contact returns HTTP 404 — the believed/obvious URL is wrong. This is the live RFQ form page.)</t>
        </is>
      </c>
      <c r="H5" s="10" t="inlineStr">
        <is>
          <t>VERIFIED - company site</t>
        </is>
      </c>
      <c r="I5" s="10" t="inlineStr">
        <is>
          <t>OPERATING - confirmed</t>
        </is>
      </c>
      <c r="J5" s="11" t="n">
        <v>62</v>
      </c>
      <c r="K5" s="8" t="inlineStr">
        <is>
          <t>Mon-Fri, closing 5:00 PM (directories agree; not published on their own site)</t>
        </is>
      </c>
      <c r="L5" s="12" t="inlineStr">
        <is>
          <t>Your site publishes 'orders as small as 100' - does that hold for a 46x39x36 double-wall box? And does a 75in wide blank run on your equipment?</t>
        </is>
      </c>
      <c r="M5" s="11" t="inlineStr">
        <is>
          <t>YES - publishes 100</t>
        </is>
      </c>
      <c r="N5" s="13">
        <f>'Cost Model'!$D$31</f>
        <v>20.08625</v>
      </c>
      <c r="O5" s="13">
        <f>'Cost Model'!$E$31</f>
        <v>39.4609375</v>
      </c>
      <c r="P5" s="14" t="n"/>
      <c r="Q5" s="14" t="n"/>
      <c r="R5" s="14" t="n"/>
      <c r="S5" s="15" t="n"/>
      <c r="T5" s="15" t="n"/>
      <c r="U5" s="15" t="n"/>
      <c r="V5" s="14" t="n"/>
      <c r="W5" s="14" t="n"/>
      <c r="X5" s="14" t="n"/>
    </row>
    <row r="6" ht="62" customHeight="1">
      <c r="A6" s="4" t="n">
        <v>2</v>
      </c>
      <c r="B6" s="5" t="inlineStr">
        <is>
          <t>EMAIL then PHONE</t>
        </is>
      </c>
      <c r="C6" s="6" t="inlineStr">
        <is>
          <t>Columbia Container Corp.</t>
        </is>
      </c>
      <c r="D6" s="7" t="inlineStr">
        <is>
          <t>(410) 467-1400
alt Chris Saumell CELL (443) 562-9401  |  Kevin Parks CELL (410) 591-5791</t>
        </is>
      </c>
      <c r="E6" s="8" t="inlineStr">
        <is>
          <t>Quotes desk</t>
        </is>
      </c>
      <c r="F6" s="9" t="inlineStr">
        <is>
          <t>csaumell@columbiacontainer.net</t>
        </is>
      </c>
      <c r="G6" s="8" t="inlineStr">
        <is>
          <t>Contact page: https://www.columbiacontainer.net/contact-us/ — RFQ form: https://www.columbiacontainer.net/corrugated-box-quote-request-form/ (verified working; collects company, contact, email, phone, ship-to, box style, dimensions, board type, print colours, artwork upload, quantity and timing) — Team directory with direct emails: https://www.columbiacontainer.net/our-team/</t>
        </is>
      </c>
      <c r="H6" s="10" t="inlineStr">
        <is>
          <t>VERIFIED - company site</t>
        </is>
      </c>
      <c r="I6" s="10" t="inlineStr">
        <is>
          <t>OPERATING - confirmed</t>
        </is>
      </c>
      <c r="J6" s="11" t="n">
        <v>65</v>
      </c>
      <c r="K6" s="8" t="inlineStr">
        <is>
          <t>Office 8:00-4:30 Mon-Fri. PLANT runs 6:00-4:30 Mon-THURSDAY only - a four-day plant week, so allow for it on lead times.</t>
        </is>
      </c>
      <c r="L6" s="12" t="inlineStr">
        <is>
          <t>Will you quote 100 pieces, and can you run a 75in wide blank? Then: which flute/liner build would you use for 48ECT DW, and what caliper does it come out at?</t>
        </is>
      </c>
      <c r="M6" s="11" t="inlineStr">
        <is>
          <t>Likely</t>
        </is>
      </c>
      <c r="N6" s="13">
        <f>'Cost Model'!$D$31</f>
        <v>20.08625</v>
      </c>
      <c r="O6" s="13">
        <f>'Cost Model'!$E$31</f>
        <v>39.4609375</v>
      </c>
      <c r="P6" s="14" t="n"/>
      <c r="Q6" s="14" t="n"/>
      <c r="R6" s="14" t="n"/>
      <c r="S6" s="15" t="n"/>
      <c r="T6" s="15" t="n"/>
      <c r="U6" s="15" t="n"/>
      <c r="V6" s="14" t="n"/>
      <c r="W6" s="14" t="n"/>
      <c r="X6" s="14" t="n"/>
    </row>
    <row r="7" ht="62" customHeight="1">
      <c r="A7" s="4" t="n">
        <v>3</v>
      </c>
      <c r="B7" s="5" t="inlineStr">
        <is>
          <t>PHONE</t>
        </is>
      </c>
      <c r="C7" s="6" t="inlineStr">
        <is>
          <t>Commercial-Wagner, Inc.</t>
        </is>
      </c>
      <c r="D7" s="7" t="inlineStr">
        <is>
          <t>(410) 522-0900
alt Do NOT call (410) 259-4498 - that is the FMCSA/DOT compliance filing contact, not sales</t>
        </is>
      </c>
      <c r="E7" s="8" t="inlineStr">
        <is>
          <t>Sales / estimating - then ask for the Northern Virginia rep</t>
        </is>
      </c>
      <c r="F7" s="9" t="inlineStr">
        <is>
          <t>WEB FORM ONLY</t>
        </is>
      </c>
      <c r="G7" s="8" t="inlineStr">
        <is>
          <t>RFQ form (use this one): https://www.commercialwagner.com/request-for-quote/ — fields are First Name, Last Name, Email, Phone, Company, Title, Additional Information, plus a FILE UPLOAD up to 50 MB, so the drawing/spec can be attached. General form: https://www.commercialwagner.com/contact-us/ ("Quick Contact Form": name, email, subject, comments).</t>
        </is>
      </c>
      <c r="H7" s="10" t="inlineStr">
        <is>
          <t>VERIFIED - company site</t>
        </is>
      </c>
      <c r="I7" s="10" t="inlineStr">
        <is>
          <t>OPERATING - confirmed</t>
        </is>
      </c>
      <c r="J7" s="11" t="n">
        <v>65</v>
      </c>
      <c r="K7" s="8" t="inlineStr">
        <is>
          <t>NOT PUBLISHED. YellowPages claims Mon-Thu 8:30-4:30 with no Friday, which is implausible for a box plant - do not plan around it.</t>
        </is>
      </c>
      <c r="L7" s="12" t="inlineStr">
        <is>
          <t>Will you quote 100 pieces, and can you run a 75in wide blank in one piece? (We tape them ourselves, so no stitching needed.)</t>
        </is>
      </c>
      <c r="M7" s="11" t="inlineStr">
        <is>
          <t>Likely</t>
        </is>
      </c>
      <c r="N7" s="13">
        <f>'Cost Model'!$D$31</f>
        <v>20.08625</v>
      </c>
      <c r="O7" s="13">
        <f>'Cost Model'!$E$31</f>
        <v>39.4609375</v>
      </c>
      <c r="P7" s="14" t="n"/>
      <c r="Q7" s="14" t="n"/>
      <c r="R7" s="14" t="n"/>
      <c r="S7" s="15" t="n"/>
      <c r="T7" s="15" t="n"/>
      <c r="U7" s="15" t="n"/>
      <c r="V7" s="14" t="n"/>
      <c r="W7" s="14" t="n"/>
      <c r="X7" s="14" t="n"/>
    </row>
    <row r="8" ht="62" customHeight="1">
      <c r="A8" s="4" t="n">
        <v>4</v>
      </c>
      <c r="B8" s="5" t="inlineStr">
        <is>
          <t>PHONE (site was flaky)</t>
        </is>
      </c>
      <c r="C8" s="6" t="inlineStr">
        <is>
          <t>Packaging Services Industries, Inc. (PSI)</t>
        </is>
      </c>
      <c r="D8" s="7" t="inlineStr">
        <is>
          <t>(301) 223-6200
alt Was (301) 223-8726 on my earlier sheet - that was WRONG. Extensions: Joy Twigg x1103, Suzanne Stambaugh x1141</t>
        </is>
      </c>
      <c r="E8" s="8" t="inlineStr">
        <is>
          <t>Northern Virginia / Manassas territory rep</t>
        </is>
      </c>
      <c r="F8" s="9" t="inlineStr">
        <is>
          <t>joyt@psimd.com</t>
        </is>
      </c>
      <c r="G8" s="8" t="inlineStr">
        <is>
          <t>https://psimd.com/contact-us/ (single page serves as both Contact Us and Request a Quote — the site's "Request a Quote" nav button points to this same URL; it hosts a WordPress Gravity Form, id 18, confirmed present in the raw HTML)</t>
        </is>
      </c>
      <c r="H8" s="10" t="inlineStr">
        <is>
          <t>VERIFIED - company site</t>
        </is>
      </c>
      <c r="I8" s="10" t="inlineStr">
        <is>
          <t>OPERATING - confirmed</t>
        </is>
      </c>
      <c r="J8" s="11" t="n">
        <v>62</v>
      </c>
      <c r="K8" s="8" t="inlineStr">
        <is>
          <t>Mon-Fri 8:00-5:00 (YellowPages only, not on their own site - indicative)</t>
        </is>
      </c>
      <c r="L8" s="12" t="inlineStr">
        <is>
          <t>Will you quote 100 pieces? And can Williamsport run a 75in wide blank - if not, can Connellsville or McAdoo?</t>
        </is>
      </c>
      <c r="M8" s="11" t="inlineStr">
        <is>
          <t>Maybe</t>
        </is>
      </c>
      <c r="N8" s="13">
        <f>'Cost Model'!$D$31</f>
        <v>20.08625</v>
      </c>
      <c r="O8" s="13">
        <f>'Cost Model'!$E$31</f>
        <v>39.4609375</v>
      </c>
      <c r="P8" s="14" t="n"/>
      <c r="Q8" s="14" t="n"/>
      <c r="R8" s="14" t="n"/>
      <c r="S8" s="15" t="n"/>
      <c r="T8" s="15" t="n"/>
      <c r="U8" s="15" t="n"/>
      <c r="V8" s="14" t="n"/>
      <c r="W8" s="14" t="n"/>
      <c r="X8" s="14" t="n"/>
    </row>
    <row r="9" ht="62" customHeight="1">
      <c r="A9" s="4" t="n">
        <v>5</v>
      </c>
      <c r="B9" s="16" t="inlineStr">
        <is>
          <t>EMAIL / FORM then PHONE</t>
        </is>
      </c>
      <c r="C9" s="6" t="inlineStr">
        <is>
          <t>Green Bay Packaging - Baltimore Division</t>
        </is>
      </c>
      <c r="D9" s="7" t="inlineStr">
        <is>
          <t>(410) 785-2233
alt (410) 785-9641 — appears on Manta, Yellow Pages and hub.biz but NOT on any gbp.com page. Unverified; may be an old switchboard or a second trunk. Two further numbers surfaced and are lower grade still: (410) 785-8519 (Maryland Green Registry facility profile, last updated April 2022) and (410) 329-1039 (Yellow Pages). Do not lead with any of these.</t>
        </is>
      </c>
      <c r="E9" s="8" t="inlineStr">
        <is>
          <t>Baltimore division inside sales</t>
        </is>
      </c>
      <c r="F9" s="9" t="inlineStr">
        <is>
          <t>WEB FORM ONLY</t>
        </is>
      </c>
      <c r="G9" s="8" t="inlineStr">
        <is>
          <t>https://gbp.com/contact-us/ (corporate form only — Inquiry Type dropdown, State dropdown, reCAPTCHA; it is not division-specific and there is no separate /request-a-quote page. /contact/ returns 404.)</t>
        </is>
      </c>
      <c r="H9" s="10" t="inlineStr">
        <is>
          <t>VERIFIED - company site</t>
        </is>
      </c>
      <c r="I9" s="10" t="inlineStr">
        <is>
          <t>OPERATING - confirmed</t>
        </is>
      </c>
      <c r="J9" s="11" t="n">
        <v>72</v>
      </c>
      <c r="K9" s="8" t="inlineStr">
        <is>
          <t>NOT PUBLISHED anywhere. Assume standard weekday business hours Eastern.</t>
        </is>
      </c>
      <c r="L9" s="12" t="inlineStr">
        <is>
          <t>Will you quote an order of only 100 pieces? If yes: you have your own corrugator, so can you run 48ECT DW at 75in wide, and what BCT can you certify at 50-150 lb?</t>
        </is>
      </c>
      <c r="M9" s="11" t="inlineStr">
        <is>
          <t>Probably not</t>
        </is>
      </c>
      <c r="N9" s="13">
        <f>'Cost Model'!$D$31</f>
        <v>20.08625</v>
      </c>
      <c r="O9" s="13">
        <f>'Cost Model'!$E$31</f>
        <v>39.4609375</v>
      </c>
      <c r="P9" s="14" t="n"/>
      <c r="Q9" s="14" t="n"/>
      <c r="R9" s="14" t="n"/>
      <c r="S9" s="15" t="n"/>
      <c r="T9" s="15" t="n"/>
      <c r="U9" s="15" t="n"/>
      <c r="V9" s="14" t="n"/>
      <c r="W9" s="14" t="n"/>
      <c r="X9" s="14" t="n"/>
    </row>
    <row r="10" ht="62" customHeight="1">
      <c r="A10" s="4" t="n">
        <v>6</v>
      </c>
      <c r="B10" s="17" t="inlineStr">
        <is>
          <t>PHONE</t>
        </is>
      </c>
      <c r="C10" s="6" t="inlineStr">
        <is>
          <t>Keystone Sheets (Buckeye Corrugated / Corrugated Partners Group)</t>
        </is>
      </c>
      <c r="D10" s="7" t="inlineStr">
        <is>
          <t>(717) 287-1764
alt NOT FOUND. No second line, fax, direct sales line or toll-free number is published anywhere. The contact page lists only the one main number. Deliveries are scheduled through an OpenDock portal rather than by phone.</t>
        </is>
      </c>
      <c r="E10" s="8" t="inlineStr">
        <is>
          <t>Inside sales</t>
        </is>
      </c>
      <c r="F10" s="9" t="inlineStr">
        <is>
          <t>WEB FORM ONLY</t>
        </is>
      </c>
      <c r="G10" s="8" t="inlineStr">
        <is>
          <t>https://keystonesheets.com/contact-us/ — form fields: Name (req), Email (req), Company Name, Type of Inquiry dropdown (General / Job Opportunities / Billing / Delivery / Sales Inquiry), Message (req), file attachment, CAPTCHA. The file attachment is useful: an RFQ spec sheet or drawing can be uploaded with the form.</t>
        </is>
      </c>
      <c r="H10" s="10" t="inlineStr">
        <is>
          <t>VERIFIED - company site</t>
        </is>
      </c>
      <c r="I10" s="10" t="inlineStr">
        <is>
          <t>OPERATING - confirmed</t>
        </is>
      </c>
      <c r="J10" s="11" t="n">
        <v>78</v>
      </c>
      <c r="K10" s="8" t="inlineStr">
        <is>
          <t>NOT PUBLISHED. Plant runs 24/7 production but office hours are unstated.</t>
        </is>
      </c>
      <c r="L10" s="12" t="inlineStr">
        <is>
          <t>Can you supply 48ECT double wall in 75in wide sheets, and what is your minimum run? (We need a converter too - can you suggest one nearby?)</t>
        </is>
      </c>
      <c r="M10" s="11" t="inlineStr">
        <is>
          <t>Board only</t>
        </is>
      </c>
      <c r="N10" s="18" t="inlineStr">
        <is>
          <t>n/a</t>
        </is>
      </c>
      <c r="O10" s="18" t="inlineStr">
        <is>
          <t>n/a</t>
        </is>
      </c>
      <c r="P10" s="14" t="n"/>
      <c r="Q10" s="14" t="n"/>
      <c r="R10" s="14" t="n"/>
      <c r="S10" s="15" t="n"/>
      <c r="T10" s="15" t="n"/>
      <c r="U10" s="15" t="n"/>
      <c r="V10" s="14" t="n"/>
      <c r="W10" s="14" t="n"/>
      <c r="X10" s="14" t="n"/>
    </row>
    <row r="11" ht="62" customHeight="1">
      <c r="A11" s="4" t="n">
        <v>7</v>
      </c>
      <c r="B11" s="16" t="inlineStr">
        <is>
          <t>PHONE - or just drive over</t>
        </is>
      </c>
      <c r="C11" s="6" t="inlineStr">
        <is>
          <t>Craters &amp; Freighters Northern Virginia</t>
        </is>
      </c>
      <c r="D11" s="7" t="inlineStr">
        <is>
          <t>(703) 796-0180
alt (877) 796-0180 toll-free (own contact page + DC site). (202) 237-7447 = the Washington DC brand line into the same Sterling office (BBB + cratersandfreightersdc.com). (301) 231-7447 = Maryland line (BBB). Fax (703) 796-0181 (BBB). All ring the same Sterling location.</t>
        </is>
      </c>
      <c r="E11" s="8" t="inlineStr">
        <is>
          <t>Sterling branch</t>
        </is>
      </c>
      <c r="F11" s="9" t="inlineStr">
        <is>
          <t>WEB FORM ONLY</t>
        </is>
      </c>
      <c r="G11" s="8" t="inlineStr">
        <is>
          <t>Quote form: https://www.cratersandfreightersnorthernvirginia.com/get-a-quote/ (titled "REQUEST A COST ESTIMATE"; fields: Name, Company Name, Email, Phone, Zip to Ship From, Zip to Ship To, Sector/Industry dropdown, Additional Details, CAPTCHA). General contact form: https://www.cratersandfreightersnorthernvirginia.com/contact/</t>
        </is>
      </c>
      <c r="H11" s="10" t="inlineStr">
        <is>
          <t>VERIFIED - company site</t>
        </is>
      </c>
      <c r="I11" s="10" t="inlineStr">
        <is>
          <t>OPERATING - confirmed</t>
        </is>
      </c>
      <c r="J11" s="11" t="n">
        <v>4</v>
      </c>
      <c r="K11" s="8" t="inlineStr">
        <is>
          <t>Mon-Fri 8:30 AM - 5:00 PM ET (stated on their own homepage, contact page and quote page)</t>
        </is>
      </c>
      <c r="L11" s="12" t="inlineStr">
        <is>
          <t>What would 100 of each cost, and could you build one of each this week as a fit-check sample?</t>
        </is>
      </c>
      <c r="M11" s="11" t="inlineStr">
        <is>
          <t>YES - one-offs</t>
        </is>
      </c>
      <c r="N11" s="18" t="inlineStr">
        <is>
          <t>n/a</t>
        </is>
      </c>
      <c r="O11" s="18" t="inlineStr">
        <is>
          <t>n/a</t>
        </is>
      </c>
      <c r="P11" s="14" t="n"/>
      <c r="Q11" s="14" t="n"/>
      <c r="R11" s="14" t="n"/>
      <c r="S11" s="15" t="n"/>
      <c r="T11" s="15" t="n"/>
      <c r="U11" s="15" t="n"/>
      <c r="V11" s="14" t="n"/>
      <c r="W11" s="14" t="n"/>
      <c r="X11" s="14" t="n"/>
    </row>
    <row r="12" ht="62" customHeight="1">
      <c r="A12" s="4" t="n">
        <v>8</v>
      </c>
      <c r="B12" s="19" t="inlineStr">
        <is>
          <t>PHONE</t>
        </is>
      </c>
      <c r="C12" s="6" t="inlineStr">
        <is>
          <t>Atlantic Corrugated Box Company, Inc.</t>
        </is>
      </c>
      <c r="D12" s="7" t="inlineStr">
        <is>
          <t>(804) 231-4050
alt Fax (804) 231-4227 — CONFIRMED, appears on the company's own contact page and on Yellow Pages. Two further numbers appear in directories but NOT on the company site and could not be corroborated: toll-free (800) 327-4100 (Yellow Pages / Superpages only; a reverse search on that toll-free returned no confirming owner) and a secondary line (804) 231-4051 (Yellow Pages only). Treat both as unverified — dial the main 804 number.</t>
        </is>
      </c>
      <c r="E12" s="8" t="inlineStr">
        <is>
          <t>Inside sales</t>
        </is>
      </c>
      <c r="F12" s="9" t="inlineStr">
        <is>
          <t>WEB FORM ONLY</t>
        </is>
      </c>
      <c r="G12" s="8" t="inlineStr">
        <is>
          <t>https://www.acbc-inc.com/contact.php — note this is an information page only. There is NO contact form, NO RFQ form and NO quote-request page anywhere on the site. The full site menu is Home / About (Overview, Mission &amp; Values, Community Involvement) / Capabilities (Overview, Design, Warehousing, Delivery) / Products (Overview, Displays, Shipping Cartons, Top Sheet Printed Materials) / Testimonials / Contact. Nothing in it collects an enquiry.</t>
        </is>
      </c>
      <c r="H12" s="10" t="inlineStr">
        <is>
          <t>VERIFIED - company site</t>
        </is>
      </c>
      <c r="I12" s="10" t="inlineStr">
        <is>
          <t>Operating - likely</t>
        </is>
      </c>
      <c r="J12" s="11" t="n">
        <v>110</v>
      </c>
      <c r="K12" s="8" t="inlineStr">
        <is>
          <t>8:00 AM - 5:00 PM Mon-Fri ET (stated on their own contact page)</t>
        </is>
      </c>
      <c r="L12" s="12" t="inlineStr">
        <is>
          <t>Will you quote 100 pieces, and can you run a 75in wide double-wall blank? Also - what is your estimator's email? It is not on your website.</t>
        </is>
      </c>
      <c r="M12" s="11" t="inlineStr">
        <is>
          <t>Likely</t>
        </is>
      </c>
      <c r="N12" s="13">
        <f>'Cost Model'!$D$31</f>
        <v>20.08625</v>
      </c>
      <c r="O12" s="13">
        <f>'Cost Model'!$E$31</f>
        <v>39.4609375</v>
      </c>
      <c r="P12" s="14" t="n"/>
      <c r="Q12" s="14" t="n"/>
      <c r="R12" s="14" t="n"/>
      <c r="S12" s="15" t="n"/>
      <c r="T12" s="15" t="n"/>
      <c r="U12" s="15" t="n"/>
      <c r="V12" s="14" t="n"/>
      <c r="W12" s="14" t="n"/>
      <c r="X12" s="14" t="n"/>
    </row>
    <row r="13" ht="62" customHeight="1">
      <c r="A13" s="4" t="n">
        <v>9</v>
      </c>
      <c r="B13" s="19" t="inlineStr">
        <is>
          <t>PHONE</t>
        </is>
      </c>
      <c r="C13" s="6" t="inlineStr">
        <is>
          <t>Hood Container - Richmond (was Richmond Corrugated Box Co.)</t>
        </is>
      </c>
      <c r="D13" s="7" t="inlineStr">
        <is>
          <t>(804) 222-1300
alt (804) 226-0807 - Yellow Pages only, uncorroborated, use as fallback</t>
        </is>
      </c>
      <c r="E13" s="8" t="inlineStr">
        <is>
          <t>Inside sales</t>
        </is>
      </c>
      <c r="F13" s="9" t="inlineStr">
        <is>
          <t>WEB FORM ONLY</t>
        </is>
      </c>
      <c r="G13" s="8" t="inlineStr">
        <is>
          <t>https://hoodcontainer.com/contact/ (select Request Type = "Request a quote", Location = "Richmond, VA")</t>
        </is>
      </c>
      <c r="H13" s="10" t="inlineStr">
        <is>
          <t>Cross-checked - 2+ sources</t>
        </is>
      </c>
      <c r="I13" s="10" t="inlineStr">
        <is>
          <t>OPERATING - confirmed</t>
        </is>
      </c>
      <c r="J13" s="11" t="n">
        <v>112</v>
      </c>
      <c r="K13" s="8" t="inlineStr">
        <is>
          <t>Mon-Fri 8:00-5:00 ET (Yellow Pages, single source)</t>
        </is>
      </c>
      <c r="L13" s="12" t="inlineStr">
        <is>
          <t>Calling Hood Container's Sandston plant - will you quote 100 pieces, and can you run a 75in wide blank? If not Sandston, can another Hood plant?</t>
        </is>
      </c>
      <c r="M13" s="11" t="inlineStr">
        <is>
          <t>Maybe</t>
        </is>
      </c>
      <c r="N13" s="13">
        <f>'Cost Model'!$D$31</f>
        <v>20.08625</v>
      </c>
      <c r="O13" s="13">
        <f>'Cost Model'!$E$31</f>
        <v>39.4609375</v>
      </c>
      <c r="P13" s="14" t="n"/>
      <c r="Q13" s="14" t="n"/>
      <c r="R13" s="14" t="n"/>
      <c r="S13" s="15" t="n"/>
      <c r="T13" s="15" t="n"/>
      <c r="U13" s="15" t="n"/>
      <c r="V13" s="14" t="n"/>
      <c r="W13" s="14" t="n"/>
      <c r="X13" s="14" t="n"/>
    </row>
    <row r="14" ht="62" customHeight="1">
      <c r="A14" s="4" t="n">
        <v>10</v>
      </c>
      <c r="B14" s="20" t="inlineStr">
        <is>
          <t>CORPORATE FORM</t>
        </is>
      </c>
      <c r="C14" s="6" t="inlineStr">
        <is>
          <t>Smurfit Westrock - Richmond Box Plant</t>
        </is>
      </c>
      <c r="D14" s="7" t="inlineStr">
        <is>
          <t>(804) 226-1074
alt (804) 226-5840 also listed by some sources - same PBX block, may also ring. Do NOT call (804) 444-1000: that is the retired legacy WestRock corporate HQ listing.</t>
        </is>
      </c>
      <c r="E14" s="8" t="inlineStr">
        <is>
          <t>Mid-Atlantic corrugated account team</t>
        </is>
      </c>
      <c r="F14" s="9" t="inlineStr">
        <is>
          <t>WEB FORM ONLY</t>
        </is>
      </c>
      <c r="G14" s="8" t="inlineStr">
        <is>
          <t>https://www.smurfitwestrock.com/products/packaging/corrugated - this is the right form for an RFQ; it carries both "Request a quote" and "Get in touch" blocks, and the company explicitly states that submitting on the specific PRODUCT page (not the generic contact page) routes to the correct team. The form is JavaScript-rendered inline with no separate URL or anchor, so you cannot deep-link past it. Generic fallback: https://www.smurfitwestrock.com/contact</t>
        </is>
      </c>
      <c r="H14" s="10" t="inlineStr">
        <is>
          <t>Cross-checked - 2+ sources</t>
        </is>
      </c>
      <c r="I14" s="10" t="inlineStr">
        <is>
          <t>OPERATING - confirmed</t>
        </is>
      </c>
      <c r="J14" s="11" t="n">
        <v>112</v>
      </c>
      <c r="K14" s="8" t="inlineStr">
        <is>
          <t>NOT PUBLISHED. Job postings confirm the plant runs multiple shifts.</t>
        </is>
      </c>
      <c r="L14" s="12" t="inlineStr">
        <is>
          <t>Will you quote an order of 100 pieces at all? If not, no hard feelings - just tell me now.</t>
        </is>
      </c>
      <c r="M14" s="11" t="inlineStr">
        <is>
          <t>Unlikely</t>
        </is>
      </c>
      <c r="N14" s="13">
        <f>'Cost Model'!$D$31</f>
        <v>20.08625</v>
      </c>
      <c r="O14" s="13">
        <f>'Cost Model'!$E$31</f>
        <v>39.4609375</v>
      </c>
      <c r="P14" s="14" t="n"/>
      <c r="Q14" s="14" t="n"/>
      <c r="R14" s="14" t="n"/>
      <c r="S14" s="15" t="n"/>
      <c r="T14" s="15" t="n"/>
      <c r="U14" s="15" t="n"/>
      <c r="V14" s="14" t="n"/>
      <c r="W14" s="14" t="n"/>
      <c r="X14" s="14" t="n"/>
    </row>
    <row r="16">
      <c r="A16" s="21" t="inlineStr">
        <is>
          <t>DO NOT CALL</t>
        </is>
      </c>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3" t="n"/>
    </row>
    <row r="17" ht="58" customHeight="1">
      <c r="A17" s="24" t="n"/>
      <c r="B17" s="24" t="n"/>
      <c r="C17" s="25" t="inlineStr">
        <is>
          <t>Smurfit Westrock - Baltimore South Box Plant  [WAS #7 ON THE PREVIOUS LIST]</t>
        </is>
      </c>
      <c r="D17" s="26" t="inlineStr">
        <is>
          <t>725 Pittman Rd, Baltimore (Curtis Bay), MD 21226</t>
        </is>
      </c>
      <c r="E17" s="24" t="n"/>
      <c r="F17" s="26" t="inlineStr">
        <is>
          <t>CLOSED - CONFIRMED, DO NOT CALL. Maryland WARN notice filed 25 Apr 2023, effective 3 Jul 2023, 75 employees, reason given as plant closure. WestRock separately told Packaging Dive it would close its Anne Arundel County MD corrugated plant. CoStar reported the building SOLD in Aug 2024. And Smurfit Westrock's own 2026 location finder lists 500+ global sites with ZERO in Maryland. The number (410) 789-9400 still circulating in directories is dead - it will at best reach the new occupant. Use the Richmond plant (row 7) as your integrated benchmark instead. Footnote worth knowing: ATLAS CONTAINER is reported to have backfilled this very building - so the capacity did not leave Baltimore, it changed hands.</t>
        </is>
      </c>
      <c r="G17" s="24" t="n"/>
      <c r="H17" s="24" t="n"/>
      <c r="I17" s="24" t="n"/>
      <c r="J17" s="24" t="n"/>
      <c r="K17" s="24" t="n"/>
      <c r="L17" s="24" t="n"/>
      <c r="M17" s="24" t="n"/>
      <c r="N17" s="24" t="n"/>
      <c r="O17" s="24" t="n"/>
      <c r="P17" s="24" t="n"/>
      <c r="Q17" s="24" t="n"/>
      <c r="R17" s="24" t="n"/>
      <c r="S17" s="24" t="n"/>
      <c r="T17" s="24" t="n"/>
      <c r="U17" s="24" t="n"/>
      <c r="V17" s="24" t="n"/>
      <c r="W17" s="24" t="n"/>
      <c r="X17" s="24" t="n"/>
    </row>
    <row r="18" ht="58" customHeight="1">
      <c r="A18" s="24" t="n"/>
      <c r="B18" s="24" t="n"/>
      <c r="C18" s="25" t="inlineStr">
        <is>
          <t>Packaging Corp. of America (PCA) - Richmond Full-Line Plant</t>
        </is>
      </c>
      <c r="D18" s="26" t="inlineStr">
        <is>
          <t>2000 Richmond Hwy, Richmond, VA 23224</t>
        </is>
      </c>
      <c r="E18" s="24" t="n"/>
      <c r="F18" s="26" t="inlineStr">
        <is>
          <t>DO NOT CALL - closing confirmed. WARN notice filed 31 Mar 2026, ~110 employees, plant closed from June 2026. Two OTHER Richmond packaging plants are also closing in 2026 (Hilex Poly/Novolex, 118 jobs; Pohlig Bros/Oliver, 66 jobs). None of these is Atlantic Corrugated or the Smurfit Westrock Richmond box plant - if you hear 'the Richmond box plant is closing', it is PCA. Net effect for you: Richmond-area corrugated capacity is tightening, which weakens your pricing leverage there and may explain why Hood Container is currently recruiting a Richmond account executive.</t>
        </is>
      </c>
      <c r="G18" s="24" t="n"/>
      <c r="H18" s="24" t="n"/>
      <c r="I18" s="24" t="n"/>
      <c r="J18" s="24" t="n"/>
      <c r="K18" s="24" t="n"/>
      <c r="L18" s="24" t="n"/>
      <c r="M18" s="24" t="n"/>
      <c r="N18" s="24" t="n"/>
      <c r="O18" s="24" t="n"/>
      <c r="P18" s="24" t="n"/>
      <c r="Q18" s="24" t="n"/>
      <c r="R18" s="24" t="n"/>
      <c r="S18" s="24" t="n"/>
      <c r="T18" s="24" t="n"/>
      <c r="U18" s="24" t="n"/>
      <c r="V18" s="24" t="n"/>
      <c r="W18" s="24" t="n"/>
      <c r="X18" s="24" t="n"/>
    </row>
    <row r="19" ht="58" customHeight="1">
      <c r="A19" s="24" t="n"/>
      <c r="B19" s="24" t="n"/>
      <c r="C19" s="25" t="inlineStr">
        <is>
          <t>Kelly Box &amp; Packaging</t>
        </is>
      </c>
      <c r="D19" s="26" t="inlineStr">
        <is>
          <t>Fort Wayne, IN - 570 miles</t>
        </is>
      </c>
      <c r="E19" s="24" t="n"/>
      <c r="F19" s="26" t="inlineStr">
        <is>
          <t>REMOVED. It was on the earlier list purely as a die-cut specialist with an ISTA lab for the bridge panel. With the bridge out of scope there is no die-cutting on this job, and Green Bay Packaging provides an ISTA lab inside the radius.</t>
        </is>
      </c>
      <c r="G19" s="24" t="n"/>
      <c r="H19" s="24" t="n"/>
      <c r="I19" s="24" t="n"/>
      <c r="J19" s="24" t="n"/>
      <c r="K19" s="24" t="n"/>
      <c r="L19" s="24" t="n"/>
      <c r="M19" s="24" t="n"/>
      <c r="N19" s="24" t="n"/>
      <c r="O19" s="24" t="n"/>
      <c r="P19" s="24" t="n"/>
      <c r="Q19" s="24" t="n"/>
      <c r="R19" s="24" t="n"/>
      <c r="S19" s="24" t="n"/>
      <c r="T19" s="24" t="n"/>
      <c r="U19" s="24" t="n"/>
      <c r="V19" s="24" t="n"/>
      <c r="W19" s="24" t="n"/>
      <c r="X19" s="24" t="n"/>
    </row>
    <row r="20" ht="58" customHeight="1">
      <c r="A20" s="24" t="n"/>
      <c r="B20" s="24" t="n"/>
      <c r="C20" s="25" t="inlineStr">
        <is>
          <t>Uline / packagingprice.com and other catalogue distributors</t>
        </is>
      </c>
      <c r="D20" s="26" t="inlineStr">
        <is>
          <t>No Virginia plant</t>
        </is>
      </c>
      <c r="E20" s="24" t="n"/>
      <c r="F20" s="26" t="inlineStr">
        <is>
          <t>NOT SUPPLIERS for this job - your sizes are non-stock. They ARE the price benchmark: the Cost Model tab back-calculates $/MSF from their published 48ECT and 275 lb test double-wall prices. Beat those numbers.</t>
        </is>
      </c>
      <c r="G20" s="24" t="n"/>
      <c r="H20" s="24" t="n"/>
      <c r="I20" s="24" t="n"/>
      <c r="J20" s="24" t="n"/>
      <c r="K20" s="24" t="n"/>
      <c r="L20" s="24" t="n"/>
      <c r="M20" s="24" t="n"/>
      <c r="N20" s="24" t="n"/>
      <c r="O20" s="24" t="n"/>
      <c r="P20" s="24" t="n"/>
      <c r="Q20" s="24" t="n"/>
      <c r="R20" s="24" t="n"/>
      <c r="S20" s="24" t="n"/>
      <c r="T20" s="24" t="n"/>
      <c r="U20" s="24" t="n"/>
      <c r="V20" s="24" t="n"/>
      <c r="W20" s="24" t="n"/>
      <c r="X20" s="24" t="n"/>
    </row>
    <row r="21" ht="58" customHeight="1">
      <c r="A21" s="24" t="n"/>
      <c r="B21" s="24" t="n"/>
      <c r="C21" s="25" t="inlineStr">
        <is>
          <t>SEO reseller / offshore broker sites (CustomBoxesZone, BoxLark, Branded Boxes, OXO, PakFactory)</t>
        </is>
      </c>
      <c r="D21" s="26" t="inlineStr">
        <is>
          <t>No plant</t>
        </is>
      </c>
      <c r="E21" s="24" t="n"/>
      <c r="F21" s="26" t="inlineStr">
        <is>
          <t>EXCLUDED. They dominate search results for 'corrugated boxes Sterling/Ashburn/Dulles VA' but hold no converting asset in Virginia, will not certify 48ECT DW board, and cannot support first-article approval.</t>
        </is>
      </c>
      <c r="G21" s="24" t="n"/>
      <c r="H21" s="24" t="n"/>
      <c r="I21" s="24" t="n"/>
      <c r="J21" s="24" t="n"/>
      <c r="K21" s="24" t="n"/>
      <c r="L21" s="24" t="n"/>
      <c r="M21" s="24" t="n"/>
      <c r="N21" s="24" t="n"/>
      <c r="O21" s="24" t="n"/>
      <c r="P21" s="24" t="n"/>
      <c r="Q21" s="24" t="n"/>
      <c r="R21" s="24" t="n"/>
      <c r="S21" s="24" t="n"/>
      <c r="T21" s="24" t="n"/>
      <c r="U21" s="24" t="n"/>
      <c r="V21" s="24" t="n"/>
      <c r="W21" s="24" t="n"/>
      <c r="X21" s="24" t="n"/>
    </row>
  </sheetData>
  <autoFilter ref="A4:X14"/>
  <mergeCells count="8">
    <mergeCell ref="F17:L17"/>
    <mergeCell ref="A2:X2"/>
    <mergeCell ref="A16:X16"/>
    <mergeCell ref="F21:L21"/>
    <mergeCell ref="A1:X1"/>
    <mergeCell ref="F20:L20"/>
    <mergeCell ref="F19:L19"/>
    <mergeCell ref="F18:L18"/>
  </mergeCells>
  <dataValidations count="1">
    <dataValidation sqref="R5:R14" showDropDown="0" showInputMessage="0" showErrorMessage="0" allowBlank="1" type="list">
      <formula1>"Left voicemail,Spoke - quoting,Spoke - declined,Cannot run 75in blank,Quote received,Sample requested,No answer,Disqualified"</formula1>
    </dataValidation>
  </dataValidations>
  <pageMargins left="0.75" right="0.75" top="1" bottom="1" header="0.5" footer="0.5"/>
  <legacyDrawing r:id="anysvml"/>
</worksheet>
</file>

<file path=xl/worksheets/sheet2.xml><?xml version="1.0" encoding="utf-8"?>
<worksheet xmlns="http://schemas.openxmlformats.org/spreadsheetml/2006/main">
  <sheetPr>
    <outlinePr summaryBelow="1" summaryRight="1"/>
    <pageSetUpPr/>
  </sheetPr>
  <dimension ref="A1:D40"/>
  <sheetViews>
    <sheetView showGridLines="0" workbookViewId="0">
      <pane ySplit="10" topLeftCell="A11" activePane="bottomLeft" state="frozen"/>
      <selection pane="bottomLeft" activeCell="A1" sqref="A1"/>
    </sheetView>
  </sheetViews>
  <sheetFormatPr baseColWidth="8" defaultRowHeight="15"/>
  <cols>
    <col width="7" customWidth="1" min="1" max="1"/>
    <col width="34" customWidth="1" min="2" max="2"/>
    <col width="96" customWidth="1" min="3" max="3"/>
    <col width="40" customWidth="1" min="4" max="4"/>
  </cols>
  <sheetData>
    <row r="1" ht="22" customHeight="1">
      <c r="A1" s="1" t="inlineStr">
        <is>
          <t>Requirements - the spec that goes to every vendor</t>
        </is>
      </c>
    </row>
    <row r="2" ht="54" customHeight="1">
      <c r="A2" s="2" t="inlineStr">
        <is>
          <t>Fourteen numbered requirements, sent identically to everyone so the quotes come back comparable. Only TWO of them can stop a vendor bidding - R4 (a 75 in wide blank) and R7 (100 pieces) - and both are answerable in seconds, which is why they are also the phone gates below. Everything else here is easy: plain kraft, no printing, shipped flat, you tape them yourself.   Ship to: KWE (Kintetsu World Express), 22695 Commerce Center Court, Suite 140, Sterling, VA 20166</t>
        </is>
      </c>
    </row>
    <row r="4" ht="20" customHeight="1">
      <c r="A4" s="27" t="inlineStr">
        <is>
          <t>ASK THESE TWO FIRST - on the phone, before anything else. Either one can end the call in 60 seconds.</t>
        </is>
      </c>
      <c r="B4" s="22" t="n"/>
      <c r="C4" s="22" t="n"/>
      <c r="D4" s="23" t="n"/>
    </row>
    <row r="5" ht="20" customHeight="1">
      <c r="A5" s="3" t="inlineStr"/>
      <c r="B5" s="3" t="inlineStr">
        <is>
          <t>Gate question</t>
        </is>
      </c>
      <c r="C5" s="3" t="inlineStr">
        <is>
          <t>Why it matters / how to ask it</t>
        </is>
      </c>
      <c r="D5" s="3" t="inlineStr">
        <is>
          <t>Vendor answer</t>
        </is>
      </c>
    </row>
    <row r="6" ht="62" customHeight="1">
      <c r="A6" s="28" t="inlineStr">
        <is>
          <t>G1</t>
        </is>
      </c>
      <c r="B6" s="29" t="inlineStr">
        <is>
          <t>Can you run a blank 75 IN WIDE in one piece, unspliced?</t>
        </is>
      </c>
      <c r="C6" s="30" t="inlineStr">
        <is>
          <t>SKU 2 needs it. A spliced blank is a different product and should not be accepted silently. If they are a sheet plant, ask it twice: what width sheet can they BUY, and what width can their machinery RUN.</t>
        </is>
      </c>
      <c r="D6" s="31" t="n"/>
    </row>
    <row r="7" ht="62" customHeight="1">
      <c r="A7" s="28" t="inlineStr">
        <is>
          <t>G2</t>
        </is>
      </c>
      <c r="B7" s="29" t="inlineStr">
        <is>
          <t>Will you quote an order of 100 pieces per SKU?</t>
        </is>
      </c>
      <c r="C7" s="30" t="inlineStr">
        <is>
          <t>At this quantity you are a setup-charge job. Atlas Container publishes a 100-piece minimum, so it is demonstrably possible - use that as the benchmark. Expect the mill-backed and integrated plants to decline, and let them decline early rather than going quiet.</t>
        </is>
      </c>
      <c r="D7" s="31" t="n"/>
    </row>
    <row r="9" ht="20" customHeight="1">
      <c r="A9" s="27" t="inlineStr">
        <is>
          <t>THE SPEC - send all 14, identically, to every vendor</t>
        </is>
      </c>
      <c r="B9" s="22" t="n"/>
      <c r="C9" s="22" t="n"/>
      <c r="D9" s="23" t="n"/>
    </row>
    <row r="10" ht="20" customHeight="1">
      <c r="A10" s="3" t="inlineStr">
        <is>
          <t>Req</t>
        </is>
      </c>
      <c r="B10" s="3" t="inlineStr">
        <is>
          <t>Requirement</t>
        </is>
      </c>
      <c r="C10" s="3" t="inlineStr">
        <is>
          <t>What it says</t>
        </is>
      </c>
      <c r="D10" s="3" t="inlineStr">
        <is>
          <t>Vendor response</t>
        </is>
      </c>
    </row>
    <row r="11" ht="74" customHeight="1">
      <c r="A11" s="32" t="inlineStr">
        <is>
          <t>R1</t>
        </is>
      </c>
      <c r="B11" s="33" t="inlineStr">
        <is>
          <t>Style and supply condition</t>
        </is>
      </c>
      <c r="C11" s="8" t="inlineStr">
        <is>
          <t>Regular Slotted Container (RSC). Supplied KNOCKED-DOWN FLAT, scored and slotted, with the manufacturer's joint made. We seal the boxes ourselves with tape - you do not need to glue or stitch the flaps.</t>
        </is>
      </c>
      <c r="D11" s="31" t="n"/>
    </row>
    <row r="12" ht="74" customHeight="1">
      <c r="A12" s="32" t="inlineStr">
        <is>
          <t>R2</t>
        </is>
      </c>
      <c r="B12" s="33" t="inlineStr">
        <is>
          <t>Board grade</t>
        </is>
      </c>
      <c r="C12" s="8" t="inlineStr">
        <is>
          <t>48ECT kraft, heavy-duty DOUBLE WALL. Equivalents will be considered if they meet the performance in R6 - if you propose one, state the board build (liner weights and flute combination), the certified ECT, and the caliper.</t>
        </is>
      </c>
      <c r="D12" s="31" t="n"/>
    </row>
    <row r="13" ht="74" customHeight="1">
      <c r="A13" s="32" t="inlineStr">
        <is>
          <t>R3</t>
        </is>
      </c>
      <c r="B13" s="33" t="inlineStr">
        <is>
          <t>SKU 1 dimensions</t>
        </is>
      </c>
      <c r="C13" s="8" t="inlineStr">
        <is>
          <t>Inside 39 x 20 x 32 in.  Outside NOT TO EXCEED 39.5 x 20.5 x 32.5 in.  Blank approx. 119 x 52 in.</t>
        </is>
      </c>
      <c r="D13" s="31" t="n"/>
    </row>
    <row r="14" ht="74" customHeight="1">
      <c r="A14" s="34" t="inlineStr">
        <is>
          <t>R4</t>
        </is>
      </c>
      <c r="B14" s="35" t="inlineStr">
        <is>
          <t>SKU 2 dimensions</t>
        </is>
      </c>
      <c r="C14" s="36" t="inlineStr">
        <is>
          <t>Inside 46 x 39 x 36 in.  Outside NOT TO EXCEED 46.5 x 39.5 x 36.5 in.  Blank approx. 171 x 75 IN WIDE.</t>
        </is>
      </c>
      <c r="D14" s="31" t="n"/>
    </row>
    <row r="15" ht="74" customHeight="1">
      <c r="A15" s="34" t="inlineStr">
        <is>
          <t>R5</t>
        </is>
      </c>
      <c r="B15" s="35" t="inlineStr">
        <is>
          <t>Dimensional conflict - must be addressed in your quote</t>
        </is>
      </c>
      <c r="C15" s="36" t="inlineStr">
        <is>
          <t>Both boxes allow only 0.5 in total between inside and outside dimensions. On an RSC the outside dimension is the inside plus two board thicknesses, and heavy-duty double wall typically runs 0.28-0.31 in caliper, which would overrun the limit by roughly 0.06-0.12 in. State YOUR caliper and tell us whether you can hold both. If not, tell us which you propose to relax and by how much.</t>
        </is>
      </c>
      <c r="D15" s="31" t="n"/>
    </row>
    <row r="16" ht="74" customHeight="1">
      <c r="A16" s="32" t="inlineStr">
        <is>
          <t>R6</t>
        </is>
      </c>
      <c r="B16" s="33" t="inlineStr">
        <is>
          <t>Load and performance</t>
        </is>
      </c>
      <c r="C16" s="8" t="inlineStr">
        <is>
          <t>Each box carries 50-150 lb. Confirm the proposed board supports this, and state the box compression (BCT) you can certify for each SKU.</t>
        </is>
      </c>
      <c r="D16" s="31" t="n"/>
    </row>
    <row r="17" ht="74" customHeight="1">
      <c r="A17" s="34" t="inlineStr">
        <is>
          <t>R7</t>
        </is>
      </c>
      <c r="B17" s="35" t="inlineStr">
        <is>
          <t>Quantity</t>
        </is>
      </c>
      <c r="C17" s="36" t="inlineStr">
        <is>
          <t>100 of each SKU. Please also show indicative pricing at 250 and 500 so we can see the curve.</t>
        </is>
      </c>
      <c r="D17" s="31" t="n"/>
    </row>
    <row r="18" ht="74" customHeight="1">
      <c r="A18" s="32" t="inlineStr">
        <is>
          <t>R8</t>
        </is>
      </c>
      <c r="B18" s="33" t="inlineStr">
        <is>
          <t>Finish</t>
        </is>
      </c>
      <c r="C18" s="8" t="inlineStr">
        <is>
          <t>Plain kraft. No printing, no plates, no Box Maker's Certificate required.</t>
        </is>
      </c>
      <c r="D18" s="31" t="n"/>
    </row>
    <row r="19" ht="74" customHeight="1">
      <c r="A19" s="32" t="inlineStr">
        <is>
          <t>R9</t>
        </is>
      </c>
      <c r="B19" s="33" t="inlineStr">
        <is>
          <t>Dimensional tolerance</t>
        </is>
      </c>
      <c r="C19" s="8" t="inlineStr">
        <is>
          <t>Proposed: +/- 1/8 in on all inside dimensions. Confirm you can hold this, or state your standard.</t>
        </is>
      </c>
      <c r="D19" s="31" t="n"/>
    </row>
    <row r="20" ht="74" customHeight="1">
      <c r="A20" s="32" t="inlineStr">
        <is>
          <t>R10</t>
        </is>
      </c>
      <c r="B20" s="33" t="inlineStr">
        <is>
          <t>Delivery</t>
        </is>
      </c>
      <c r="C20" s="8" t="inlineStr">
        <is>
          <t>Delivered to KWE (Kintetsu World Express), 22695 Commerce Center Court, Suite 140, Sterling, VA 20166. Quote freight as a SEPARATE line item, and state boxes per pallet, pallet size, and whether the load requires an appointment or liftgate.</t>
        </is>
      </c>
      <c r="D20" s="31" t="n"/>
    </row>
    <row r="21" ht="74" customHeight="1">
      <c r="A21" s="32" t="inlineStr">
        <is>
          <t>R11</t>
        </is>
      </c>
      <c r="B21" s="33" t="inlineStr">
        <is>
          <t>Lead time</t>
        </is>
      </c>
      <c r="C21" s="8" t="inlineStr">
        <is>
          <t>State your soonest achievable delivery date to the address in R10, for both first article and the full 100. We are working to the shortest practical schedule.</t>
        </is>
      </c>
      <c r="D21" s="31" t="n"/>
    </row>
    <row r="22" ht="74" customHeight="1">
      <c r="A22" s="32" t="inlineStr">
        <is>
          <t>R12</t>
        </is>
      </c>
      <c r="B22" s="33" t="inlineStr">
        <is>
          <t>First article</t>
        </is>
      </c>
      <c r="C22" s="8" t="inlineStr">
        <is>
          <t>One sample of each SKU for approval before the balance ships, if the schedule in R11 allows. If it does not, say so and propose an alternative.</t>
        </is>
      </c>
      <c r="D22" s="31" t="n"/>
    </row>
    <row r="23" ht="74" customHeight="1">
      <c r="A23" s="32" t="inlineStr">
        <is>
          <t>R13</t>
        </is>
      </c>
      <c r="B23" s="33" t="inlineStr">
        <is>
          <t>Certificate of compliance</t>
        </is>
      </c>
      <c r="C23" s="8" t="inlineStr">
        <is>
          <t>Supply a certificate with the shipment stating the actual ECT, the board build and the caliper.</t>
        </is>
      </c>
      <c r="D23" s="31" t="n"/>
    </row>
    <row r="24" ht="74" customHeight="1">
      <c r="A24" s="32" t="inlineStr">
        <is>
          <t>R14</t>
        </is>
      </c>
      <c r="B24" s="33" t="inlineStr">
        <is>
          <t>Quote format and validity</t>
        </is>
      </c>
      <c r="C24" s="8" t="inlineStr">
        <is>
          <t>Please quote: unit price per SKU; your $/MSF; setup or minimum-order charges shown SEPARATELY; freight shown separately; and how long the quote holds.</t>
        </is>
      </c>
      <c r="D24" s="31" t="n"/>
    </row>
    <row r="26" ht="20" customHeight="1">
      <c r="A26" s="27" t="inlineStr">
        <is>
          <t>WHY EACH REQUIREMENT IS THERE - context for you, not for the vendor</t>
        </is>
      </c>
      <c r="B26" s="22" t="n"/>
      <c r="C26" s="22" t="n"/>
      <c r="D26" s="23" t="n"/>
    </row>
    <row r="27" ht="58" customHeight="1">
      <c r="A27" s="32" t="inlineStr">
        <is>
          <t>R1</t>
        </is>
      </c>
      <c r="B27" s="33" t="inlineStr">
        <is>
          <t>Style and supply condition</t>
        </is>
      </c>
      <c r="C27" s="12" t="inlineStr">
        <is>
          <t>This is the single biggest simplification in the spec. It removes any need for a stitcher or folder-gluer capable of a 36 in depth, so a shop that can cut and score the blank can bid.</t>
        </is>
      </c>
      <c r="D27" s="37" t="n"/>
    </row>
    <row r="28" ht="58" customHeight="1">
      <c r="A28" s="32" t="inlineStr">
        <is>
          <t>R2</t>
        </is>
      </c>
      <c r="B28" s="33" t="inlineStr">
        <is>
          <t>Board grade</t>
        </is>
      </c>
      <c r="C28" s="12" t="inlineStr">
        <is>
          <t>Naming an equivalent path invites the vendor to offer a grade they already run, which is usually the largest single cost lever on a small order.</t>
        </is>
      </c>
      <c r="D28" s="37" t="n"/>
    </row>
    <row r="29" ht="58" customHeight="1">
      <c r="A29" s="32" t="inlineStr">
        <is>
          <t>R3</t>
        </is>
      </c>
      <c r="B29" s="33" t="inlineStr">
        <is>
          <t>SKU 1 dimensions</t>
        </is>
      </c>
      <c r="C29" s="12" t="inlineStr">
        <is>
          <t>Inside dimensions govern fit; the outside limit exists for pallet fit. See R5 - the two conflict.</t>
        </is>
      </c>
      <c r="D29" s="37" t="n"/>
    </row>
    <row r="30" ht="58" customHeight="1">
      <c r="A30" s="32" t="inlineStr">
        <is>
          <t>R4</t>
        </is>
      </c>
      <c r="B30" s="33" t="inlineStr">
        <is>
          <t>SKU 2 dimensions</t>
        </is>
      </c>
      <c r="C30" s="12" t="inlineStr">
        <is>
          <t>The 75 in blank width is the most likely reason a vendor cannot bid. Stating it up front lets them self-select in the first minute instead of the third week.</t>
        </is>
      </c>
      <c r="D30" s="37" t="n"/>
    </row>
    <row r="31" ht="58" customHeight="1">
      <c r="A31" s="32" t="inlineStr">
        <is>
          <t>R5</t>
        </is>
      </c>
      <c r="B31" s="33" t="inlineStr">
        <is>
          <t>Dimensional conflict - must be addressed in your quote</t>
        </is>
      </c>
      <c r="C31" s="12" t="inlineStr">
        <is>
          <t>The most important item on the sheet. Vendors will otherwise silently pick one constraint and you will not find out which until first article. Comparing their answers is genuinely informative about who is paying attention.</t>
        </is>
      </c>
      <c r="D31" s="37" t="n"/>
    </row>
    <row r="32" ht="58" customHeight="1">
      <c r="A32" s="32" t="inlineStr">
        <is>
          <t>R6</t>
        </is>
      </c>
      <c r="B32" s="33" t="inlineStr">
        <is>
          <t>Load and performance</t>
        </is>
      </c>
      <c r="C32" s="12" t="inlineStr">
        <is>
          <t>ECT is a board property; BCT is what determines whether a large box survives a stack. Asking for a number separates shops with a test lab from shops quoting off a table.</t>
        </is>
      </c>
      <c r="D32" s="37" t="n"/>
    </row>
    <row r="33" ht="58" customHeight="1">
      <c r="A33" s="32" t="inlineStr">
        <is>
          <t>R7</t>
        </is>
      </c>
      <c r="B33" s="33" t="inlineStr">
        <is>
          <t>Quantity</t>
        </is>
      </c>
      <c r="C33" s="12" t="inlineStr">
        <is>
          <t>Small enough that setup dominates unit price. The volume breaks cost the vendor nothing to add and tell you whether ordering more is nearly free.</t>
        </is>
      </c>
      <c r="D33" s="37" t="n"/>
    </row>
    <row r="34" ht="58" customHeight="1">
      <c r="A34" s="32" t="inlineStr">
        <is>
          <t>R8</t>
        </is>
      </c>
      <c r="B34" s="33" t="inlineStr">
        <is>
          <t>Finish</t>
        </is>
      </c>
      <c r="C34" s="12" t="inlineStr">
        <is>
          <t>At 100 pieces, print setup would be a large share of unit cost. Saying 'no plates' explicitly stops a vendor quoting them by default.</t>
        </is>
      </c>
      <c r="D34" s="37" t="n"/>
    </row>
    <row r="35" ht="58" customHeight="1">
      <c r="A35" s="32" t="inlineStr">
        <is>
          <t>R9</t>
        </is>
      </c>
      <c r="B35" s="33" t="inlineStr">
        <is>
          <t>Dimensional tolerance</t>
        </is>
      </c>
      <c r="C35" s="12" t="inlineStr">
        <is>
          <t>Without an agreed tolerance you have no contractual basis to reject a shipment. Most plants hold +/- 1/8 in on an RSC without difficulty.</t>
        </is>
      </c>
      <c r="D35" s="37" t="n"/>
    </row>
    <row r="36" ht="58" customHeight="1">
      <c r="A36" s="32" t="inlineStr">
        <is>
          <t>R10</t>
        </is>
      </c>
      <c r="B36" s="33" t="inlineStr">
        <is>
          <t>Delivery</t>
        </is>
      </c>
      <c r="C36" s="12" t="inlineStr">
        <is>
          <t>Knocked down flat, SKU 2 is roughly an 86 x 75 in blank - it overhangs a standard 48 x 40 in pallet, so freight is a material cost here, not a rounding error. Separating it is the only way to compare vendors at different distances.</t>
        </is>
      </c>
      <c r="D36" s="37" t="n"/>
    </row>
    <row r="37" ht="58" customHeight="1">
      <c r="A37" s="32" t="inlineStr">
        <is>
          <t>R11</t>
        </is>
      </c>
      <c r="B37" s="33" t="inlineStr">
        <is>
          <t>Lead time</t>
        </is>
      </c>
      <c r="C37" s="12" t="inlineStr">
        <is>
          <t>Asking for a date rather than a duration removes the ambiguity about where their queue actually is.</t>
        </is>
      </c>
      <c r="D37" s="37" t="n"/>
    </row>
    <row r="38" ht="58" customHeight="1">
      <c r="A38" s="32" t="inlineStr">
        <is>
          <t>R12</t>
        </is>
      </c>
      <c r="B38" s="33" t="inlineStr">
        <is>
          <t>First article</t>
        </is>
      </c>
      <c r="C38" s="12" t="inlineStr">
        <is>
          <t>Given R5 is unresolved, a physical sample is the cheapest insurance available on this order.</t>
        </is>
      </c>
      <c r="D38" s="37" t="n"/>
    </row>
    <row r="39" ht="58" customHeight="1">
      <c r="A39" s="32" t="inlineStr">
        <is>
          <t>R13</t>
        </is>
      </c>
      <c r="B39" s="33" t="inlineStr">
        <is>
          <t>Certificate of compliance</t>
        </is>
      </c>
      <c r="C39" s="12" t="inlineStr">
        <is>
          <t>Makes the board grade contractual rather than aspirational, and gives you a record if a box fails later.</t>
        </is>
      </c>
      <c r="D39" s="37" t="n"/>
    </row>
    <row r="40" ht="58" customHeight="1">
      <c r="A40" s="32" t="inlineStr">
        <is>
          <t>R14</t>
        </is>
      </c>
      <c r="B40" s="33" t="inlineStr">
        <is>
          <t>Quote format and validity</t>
        </is>
      </c>
      <c r="C40" s="12" t="inlineStr">
        <is>
          <t>The $/MSF is what makes two very differently sized boxes comparable. Quote validity matters because containerboard pricing has been moving - a $70/ton increase was announced for March 2026.</t>
        </is>
      </c>
      <c r="D40" s="37" t="n"/>
    </row>
  </sheetData>
  <mergeCells count="19">
    <mergeCell ref="C34:D34"/>
    <mergeCell ref="C30:D30"/>
    <mergeCell ref="C33:D33"/>
    <mergeCell ref="A4:D4"/>
    <mergeCell ref="C35:D35"/>
    <mergeCell ref="A9:D9"/>
    <mergeCell ref="C29:D29"/>
    <mergeCell ref="C40:D40"/>
    <mergeCell ref="C31:D31"/>
    <mergeCell ref="A1:D1"/>
    <mergeCell ref="C27:D27"/>
    <mergeCell ref="C36:D36"/>
    <mergeCell ref="C39:D39"/>
    <mergeCell ref="C32:D32"/>
    <mergeCell ref="C38:D38"/>
    <mergeCell ref="A26:D26"/>
    <mergeCell ref="C37:D37"/>
    <mergeCell ref="C28:D28"/>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8"/>
  <sheetViews>
    <sheetView showGridLines="0" workbookViewId="0">
      <selection activeCell="A1" sqref="A1"/>
    </sheetView>
  </sheetViews>
  <sheetFormatPr baseColWidth="8" defaultRowHeight="15"/>
  <cols>
    <col width="34" customWidth="1" min="1" max="1"/>
    <col width="88" customWidth="1" min="2" max="2"/>
    <col width="34" customWidth="1" min="3" max="3"/>
  </cols>
  <sheetData>
    <row r="1" ht="22" customHeight="1">
      <c r="A1" s="1" t="inlineStr">
        <is>
          <t>Outreach Scripts - paste-ready</t>
        </is>
      </c>
    </row>
    <row r="2" ht="40" customHeight="1">
      <c r="A2" s="2" t="inlineStr">
        <is>
          <t>Phone opener, follow-up questions, voicemail, and a complete RFQ email. Fill the [BRACKETED] placeholders. The email body is deliberately a more complete spec than the drawings are - see the note on attachments below.</t>
        </is>
      </c>
    </row>
    <row r="4" ht="20" customHeight="1">
      <c r="A4" s="27" t="inlineStr">
        <is>
          <t>PHONE - open with this</t>
        </is>
      </c>
      <c r="B4" s="22" t="n"/>
      <c r="C4" s="23" t="n"/>
    </row>
    <row r="5" ht="112.5" customHeight="1">
      <c r="A5" s="38" t="inlineStr">
        <is>
          <t>Hi - I'm sourcing two plain corrugated shipping boxes and I have two quick qualifying questions before I take up your time.
First: the larger box needs a blank about 171 by 75 inches. Can you run a 75-inch-wide blank in one piece?
Second: the order is 100 pieces of each. Will you quote that quantity?"
WHY THESE TWO: between them they end the conversation in sixty seconds if the answer is no, and both are things a vendor knows instantly. Everything else in the spec is easy - plain kraft, no printing, shipped flat, you tape them yourself - so these are the only two real gates. Atlas Container publishes a 100-piece minimum, so if someone tells you 100 is impossible, it isn't; they just don't want it.</t>
        </is>
      </c>
      <c r="B5" s="22" t="n"/>
      <c r="C5" s="23" t="n"/>
    </row>
    <row r="7" ht="20" customHeight="1">
      <c r="A7" s="27" t="inlineStr">
        <is>
          <t>PHONE - then work through these</t>
        </is>
      </c>
      <c r="B7" s="22" t="n"/>
      <c r="C7" s="23" t="n"/>
    </row>
    <row r="8" ht="275" customHeight="1">
      <c r="A8" s="38" t="inlineStr">
        <is>
          <t xml:space="preserve">Once past the two gates, these five finish the job:
Q3  DIMENSIONS  "Both boxes give an outside limit only half an inch over the inside
                dimension. With your double-wall caliper, can you hold both? If not,
                which would you relax?"          &lt;- answers WILL differ; this is the tell
Q4  BOARD       "48ECT kraft double wall - do you run it, and will you certify actual ECT
                on a cert of compliance? What BCT can you certify at 50-150 lb?"
Q5  PRICE       "What's your unit price at 100, and your $/MSF? Is there a setup or
                minimum-order charge, and is it separate from the unit price?"
Q6  FREIGHT     "Delivered to KWE in Sterling VA 20166 - what does freight add? How many
                per pallet? The big one is about 86 x 75 inches flat."
Q7  DATE        "What's your soonest achievable delivery date - first article and the
                full 100?"
Then: "Can you send that in writing, and how long does the quote hold?"
</t>
        </is>
      </c>
      <c r="B8" s="22" t="n"/>
      <c r="C8" s="23" t="n"/>
    </row>
    <row r="10" ht="20" customHeight="1">
      <c r="A10" s="27" t="inlineStr">
        <is>
          <t>VOICEMAIL - if you get the machine</t>
        </is>
      </c>
      <c r="B10" s="22" t="n"/>
      <c r="C10" s="23" t="n"/>
    </row>
    <row r="11" ht="200" customHeight="1">
      <c r="A11" s="38" t="inlineStr">
        <is>
          <t>"Hi, this is [YOUR NAME] from [YOUR COMPANY], phone [YOUR NUMBER].
I need a quote on two plain kraft corrugated boxes - regular slotted, 48ECT double wall,
no printing, shipped flat. One is 39 by 20 by 32 inside, the other 46 by 39 by 36. The
quantity is 100 of each, delivered to KWE in Sterling.
The one thing worth checking before you call back: the larger box needs a 75-inch-wide
blank. If that doesn't run on your equipment, no hard feelings - just let me know.
[YOUR NUMBER]. Thanks very much."
Under 30 seconds. Putting the 75-inch detail in the voicemail means whoever calls back has
already checked, which saves a round trip - and the people who can't do it simply won't
call, which saves you more.</t>
        </is>
      </c>
      <c r="B11" s="22" t="n"/>
      <c r="C11" s="23" t="n"/>
    </row>
    <row r="13" ht="20" customHeight="1">
      <c r="A13" s="27" t="inlineStr">
        <is>
          <t>EMAIL - subject line</t>
        </is>
      </c>
      <c r="B13" s="22" t="n"/>
      <c r="C13" s="23" t="n"/>
    </row>
    <row r="14" ht="37.5" customHeight="1">
      <c r="A14" s="38" t="inlineStr">
        <is>
          <t>RFQ - two plain kraft double-wall RSCs, 100 ea, delivered Sterling VA - [YOUR COMPANY]</t>
        </is>
      </c>
      <c r="B14" s="22" t="n"/>
      <c r="C14" s="23" t="n"/>
    </row>
    <row r="16" ht="20" customHeight="1">
      <c r="A16" s="27" t="inlineStr">
        <is>
          <t>EMAIL - body, paste as-is</t>
        </is>
      </c>
      <c r="B16" s="22" t="n"/>
      <c r="C16" s="23" t="n"/>
    </row>
    <row r="17" ht="780" customHeight="1">
      <c r="A17" s="38" t="inlineStr">
        <is>
          <t xml:space="preserve">Hello,
We would like a quotation on two corrugated shipping boxes. They are plain, unprinted
regular slotted containers - a simple job - and the full requirement is below.
SUMMARY
  Two SKUs, 100 pieces of each, plain kraft, no printing.
  Supplied knocked-down flat; we seal them ourselves with tape.
  Delivered to KWE (Kintetsu World Express), 22695 Commerce Center Court, Suite 140,
  Sterling, VA 20166.
REQUIREMENTS
R1  STYLE           Regular Slotted Container (RSC), supplied KNOCKED-DOWN FLAT, scored
                    and slotted, manufacturer's joint made. No gluing or stitching of the
                    flaps is required - we tape them.
R2  BOARD           48ECT kraft, heavy-duty DOUBLE WALL. Equivalents considered if they
                    meet R6 - if you propose one, state the board build (liner weights and
                    flute combination), the certified ECT, and the caliper.
R3  SKU 1           Inside   39 x 20 x 32 in
                    Outside  NOT TO EXCEED 39.5 x 20.5 x 32.5 in
                    Blank approx. 119 x 52 in
R4  SKU 2           Inside   46 x 39 x 36 in
                    Outside  NOT TO EXCEED 46.5 x 39.5 x 36.5 in
                    Blank approx. 171 x 75 IN WIDE  &lt;-- please confirm you can run a
                    75 in wide blank in ONE PIECE, unspliced
R5  DIMENSIONAL     Please address this directly in your quote. Both boxes allow only
    CONFLICT        0.5 in total between the inside and the not-to-exceed outside
                    dimensions. On an RSC the outside dimension is the inside plus two
                    board thicknesses, and heavy-duty double wall typically runs
                    0.28-0.31 in caliper - which would overrun the limit by roughly
                    0.06-0.12 in. Please state YOUR caliper and tell us whether you can
                    hold both constraints. If not, tell us which you propose to relax,
                    and by how much.
R6  LOAD            Each box carries 50-150 lb. Please confirm the proposed board supports
                    this, and state the box compression (BCT) you can certify per SKU.
R7  QUANTITY        100 of each SKU. Please also show indicative pricing at 250 and 500.
R8  FINISH          Plain kraft. No printing, no plates, no Box Maker's Certificate.
R9  TOLERANCE       Proposed +/- 1/8 in on all inside dimensions - please confirm, or
                    state your standard.
R10 DELIVERY        Delivered to the KWE address above. Please quote freight as a SEPARATE
                    line item, and state boxes per pallet, pallet size, and whether the
                    delivery needs an appointment or a liftgate. Note SKU 2 is roughly
                    86 x 75 in knocked down flat, which overhangs a standard pallet.
R11 LEAD TIME       Please state your soonest achievable delivery date to that address,
                    for both first article and the full 100. We are working to the
                    shortest practical schedule.
R12 FIRST ARTICLE   One sample of each SKU for approval before the balance ships, if the
                    schedule allows. If it does not, please say so and propose an
                    alternative.
R13 CERTIFICATE     Please supply a certificate of compliance with the shipment stating
                    actual ECT, board build and caliper.
R14 QUOTE FORMAT    Please quote unit price per SKU, your $/MSF, any setup or
                    minimum-order charge shown SEPARATELY, freight shown separately, and
                    how long the quote holds.
Two questions matter more than the rest, and a quick answer on either is genuinely useful
even before a full quote: can you run the 75 in wide blank (R4), and will you take an
order of 100 pieces per SKU (R7)?
Thank you - happy to discuss any of this by phone.
[YOUR NAME]
[TITLE]
[YOUR COMPANY]
[PHONE]  |  [EMAIL]
</t>
        </is>
      </c>
      <c r="B17" s="22" t="n"/>
      <c r="C17" s="23" t="n"/>
    </row>
    <row r="19" ht="20" customHeight="1">
      <c r="A19" s="27" t="inlineStr">
        <is>
          <t>EMAIL - follow-up if no reply in 3-4 days</t>
        </is>
      </c>
      <c r="B19" s="22" t="n"/>
      <c r="C19" s="23" t="n"/>
    </row>
    <row r="20" ht="237.5" customHeight="1">
      <c r="A20" s="38" t="inlineStr">
        <is>
          <t xml:space="preserve">Subject: Following up - RFQ, two plain kraft double-wall RSCs, 100 each
Hello,
Following up on the RFQ I sent on [DATE] - two plain unprinted RSCs in 48ECT double wall,
39 x 20 x 32 and 46 x 39 x 36 inside, 100 pieces of each, delivered to KWE in Sterling VA.
If a full quote is going to take a while, two one-word answers would still help me a lot:
  1. Can you run a 75 in wide blank in one piece?
  2. Will you quote 100 pieces per SKU?
If either is a no, please just say so - I would rather know now than wait, and there are
no hard feelings.
[YOUR NAME]  |  [PHONE]
</t>
        </is>
      </c>
      <c r="B20" s="22" t="n"/>
      <c r="C20" s="23" t="n"/>
    </row>
    <row r="22" ht="20" customHeight="1">
      <c r="A22" s="27" t="inlineStr">
        <is>
          <t>HOW TO RUN THE OUTREACH</t>
        </is>
      </c>
      <c r="B22" s="22" t="n"/>
      <c r="C22" s="23" t="n"/>
    </row>
    <row r="23" ht="60" customHeight="1">
      <c r="A23" s="32" t="inlineStr">
        <is>
          <t>The spec is deliberately short</t>
        </is>
      </c>
      <c r="B23" s="8" t="inlineStr">
        <is>
          <t>Fourteen numbered requirements, and only two of them can stop a vendor bidding: the 75 in blank width (R4) and the 100-piece quantity (R7). Everything else is easy - plain kraft, no printing, shipped flat, you tape them. Keeping the list short means vendors actually read it, and it makes two quotes genuinely comparable because they answered the same numbered questions.</t>
        </is>
      </c>
      <c r="C23" s="39" t="n"/>
    </row>
    <row r="24" ht="60" customHeight="1">
      <c r="A24" s="32" t="inlineStr">
        <is>
          <t>Lead with the two gates</t>
        </is>
      </c>
      <c r="B24" s="8" t="inlineStr">
        <is>
          <t>On the phone and in the follow-up email, ask the 75 in and 100-piece questions before anything else. Both are answerable in seconds and either can end the call. Atlas Container publishes a 100-piece minimum, so if a vendor claims 100 is impossible, it is not - they simply do not want the work, which is fine but worth knowing on day one rather than week three.</t>
        </is>
      </c>
      <c r="C24" s="39" t="n"/>
    </row>
    <row r="25" ht="60" customHeight="1">
      <c r="A25" s="32" t="inlineStr">
        <is>
          <t>Do not attach the drawings without annotating them</t>
        </is>
      </c>
      <c r="B25" s="8" t="inlineStr">
        <is>
          <t>Both Rev C sheets are titled BRIDGE and dimension a part you are no longer buying. Unannotated, you will get bridge pricing back and a confused estimator. The email body above is a more complete and less ambiguous spec than the drawings are for a plain RSC - consider sending text only.</t>
        </is>
      </c>
      <c r="C25" s="39" t="n"/>
    </row>
    <row r="26" ht="60" customHeight="1">
      <c r="A26" s="32" t="inlineStr">
        <is>
          <t>R5 is the one to actually read the answers to</t>
        </is>
      </c>
      <c r="B26" s="8" t="inlineStr">
        <is>
          <t>The outside/inside dimension stack as drawn is not achievable in typical heavy-duty double wall. Every vendor will handle it differently and some will not mention it at all. Whoever answers R5 clearly and unprompted is usually the shop worth buying from, independent of price.</t>
        </is>
      </c>
      <c r="C26" s="39" t="n"/>
    </row>
    <row r="27" ht="60" customHeight="1">
      <c r="A27" s="32" t="inlineStr">
        <is>
          <t>Call the independents, email the big ones</t>
        </is>
      </c>
      <c r="B27" s="8" t="inlineStr">
        <is>
          <t>Atlas, Columbia, Commercial-Wagner, Atlantic and Hood respond to a phone call. Green Bay Packaging, PSI and Smurfit Westrock route a written spec to an estimator. Where only a web form exists, submit the form AND call - Commercial-Wagner's RFQ form takes a 50 MB attachment, which is the practical substitute for email.</t>
        </is>
      </c>
      <c r="C27" s="39" t="n"/>
    </row>
    <row r="28" ht="60" customHeight="1">
      <c r="A28" s="32" t="inlineStr">
        <is>
          <t>What 100 pieces actually costs</t>
        </is>
      </c>
      <c r="B28" s="8" t="inlineStr">
        <is>
          <t>Expect roughly $20-25 for SKU 1 and $38-45 for SKU 2, so about $6,000-7,000 for the pair plus freight. Setup is a large share of that, which is why R7 asks for 250 and 500 pricing too - ordering more may cost very little extra per box. See the Cost Model tab.</t>
        </is>
      </c>
      <c r="C28" s="39" t="n"/>
    </row>
  </sheetData>
  <mergeCells count="21">
    <mergeCell ref="B25:C25"/>
    <mergeCell ref="B27:C27"/>
    <mergeCell ref="A2:C2"/>
    <mergeCell ref="A5:C5"/>
    <mergeCell ref="A8:C8"/>
    <mergeCell ref="A14:C14"/>
    <mergeCell ref="A22:C22"/>
    <mergeCell ref="A17:C17"/>
    <mergeCell ref="B23:C23"/>
    <mergeCell ref="A4:C4"/>
    <mergeCell ref="A20:C20"/>
    <mergeCell ref="A10:C10"/>
    <mergeCell ref="A13:C13"/>
    <mergeCell ref="A19:C19"/>
    <mergeCell ref="B28:C28"/>
    <mergeCell ref="B24:C24"/>
    <mergeCell ref="A11:C11"/>
    <mergeCell ref="A1:C1"/>
    <mergeCell ref="B26:C26"/>
    <mergeCell ref="A7:C7"/>
    <mergeCell ref="A16:C1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Z14"/>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4" customWidth="1" min="1" max="1"/>
    <col width="15" customWidth="1" min="2" max="2"/>
    <col width="30" customWidth="1" min="3" max="3"/>
    <col width="28" customWidth="1" min="4" max="4"/>
    <col width="22" customWidth="1" min="5" max="5"/>
    <col width="13" customWidth="1" min="6" max="6"/>
    <col width="7" customWidth="1" min="7" max="7"/>
    <col width="8" customWidth="1" min="8" max="8"/>
    <col width="9" customWidth="1" min="9" max="9"/>
    <col width="11" customWidth="1" min="10" max="10"/>
    <col width="18" customWidth="1" min="11" max="11"/>
    <col width="17" customWidth="1" min="12" max="12"/>
    <col width="24" customWidth="1" min="13" max="13"/>
    <col width="17" customWidth="1" min="14" max="14"/>
    <col width="26" customWidth="1" min="15" max="15"/>
    <col width="30" customWidth="1" min="16" max="16"/>
    <col width="16" customWidth="1" min="17" max="17"/>
    <col width="12" customWidth="1" min="18" max="18"/>
    <col width="16" customWidth="1" min="19" max="19"/>
    <col width="12" customWidth="1" min="20" max="20"/>
    <col width="12" customWidth="1" min="21" max="21"/>
    <col width="12" customWidth="1" min="22" max="22"/>
    <col width="15" customWidth="1" min="23" max="23"/>
    <col width="40" customWidth="1" min="24" max="24"/>
    <col width="62" customWidth="1" min="25" max="25"/>
    <col width="50" customWidth="1" min="26" max="26"/>
  </cols>
  <sheetData>
    <row r="1" ht="22" customHeight="1">
      <c r="A1" s="1" t="inlineStr">
        <is>
          <t>Supplier Detail - the full research record</t>
        </is>
      </c>
    </row>
    <row r="2" ht="40" customHeight="1">
      <c r="A2" s="2" t="inlineStr">
        <is>
          <t>The Call Sheet is what you work from; this is the evidence behind it. Every capability claim traces to the 'Sources' tab, and every contact field to 'Verification Log'. Estimated prices are live formulas off the 'Cost Model' tab.</t>
        </is>
      </c>
    </row>
    <row r="4" ht="58" customHeight="1">
      <c r="A4" s="3" t="inlineStr">
        <is>
          <t>#</t>
        </is>
      </c>
      <c r="B4" s="3" t="inlineStr">
        <is>
          <t>Tier</t>
        </is>
      </c>
      <c r="C4" s="3" t="inlineStr">
        <is>
          <t>Company</t>
        </is>
      </c>
      <c r="D4" s="3" t="inlineStr">
        <is>
          <t>Business model</t>
        </is>
      </c>
      <c r="E4" s="3" t="inlineStr">
        <is>
          <t>Street address</t>
        </is>
      </c>
      <c r="F4" s="3" t="inlineStr">
        <is>
          <t>City</t>
        </is>
      </c>
      <c r="G4" s="3" t="inlineStr">
        <is>
          <t>State</t>
        </is>
      </c>
      <c r="H4" s="3" t="inlineStr">
        <is>
          <t>ZIP</t>
        </is>
      </c>
      <c r="I4" s="3" t="inlineStr">
        <is>
          <t>Miles from IAD</t>
        </is>
      </c>
      <c r="J4" s="3" t="inlineStr">
        <is>
          <t>Drive time</t>
        </is>
      </c>
      <c r="K4" s="3" t="inlineStr">
        <is>
          <t>Phone</t>
        </is>
      </c>
      <c r="L4" s="3" t="inlineStr">
        <is>
          <t>Phone checked?</t>
        </is>
      </c>
      <c r="M4" s="3" t="inlineStr">
        <is>
          <t>Email</t>
        </is>
      </c>
      <c r="N4" s="3" t="inlineStr">
        <is>
          <t>Email checked?</t>
        </is>
      </c>
      <c r="O4" s="3" t="inlineStr">
        <is>
          <t>Website</t>
        </is>
      </c>
      <c r="P4" s="3" t="inlineStr">
        <is>
          <t>Named contacts found</t>
        </is>
      </c>
      <c r="Q4" s="3" t="inlineStr">
        <is>
          <t>Handles 75in blank (SKU 2)</t>
        </is>
      </c>
      <c r="R4" s="3" t="inlineStr">
        <is>
          <t>Est. MOQ</t>
        </is>
      </c>
      <c r="S4" s="3" t="inlineStr">
        <is>
          <t>MOQ reliability</t>
        </is>
      </c>
      <c r="T4" s="3" t="inlineStr">
        <is>
          <t>Est. $/MSF</t>
        </is>
      </c>
      <c r="U4" s="3" t="inlineStr">
        <is>
          <t>Est. $/box SKU 1</t>
        </is>
      </c>
      <c r="V4" s="3" t="inlineStr">
        <is>
          <t>Est. $/box SKU 2</t>
        </is>
      </c>
      <c r="W4" s="3" t="inlineStr">
        <is>
          <t>Price reliability</t>
        </is>
      </c>
      <c r="X4" s="3" t="inlineStr">
        <is>
          <t>Capability facts found</t>
        </is>
      </c>
      <c r="Y4" s="3" t="inlineStr">
        <is>
          <t>Why they fit</t>
        </is>
      </c>
      <c r="Z4" s="3" t="inlineStr">
        <is>
          <t>Watch-outs</t>
        </is>
      </c>
    </row>
    <row r="5" ht="130" customHeight="1">
      <c r="A5" s="40" t="n">
        <v>1</v>
      </c>
      <c r="B5" s="36" t="inlineStr">
        <is>
          <t>A - Call first</t>
        </is>
      </c>
      <c r="C5" s="33" t="inlineStr">
        <is>
          <t>Atlas Container Corp.</t>
        </is>
      </c>
      <c r="D5" s="8" t="inlineStr">
        <is>
          <t>Independent converter (ESOP-reported), rotary + flatbed die cutting</t>
        </is>
      </c>
      <c r="E5" s="8" t="inlineStr">
        <is>
          <t>8140 Telegraph Rd</t>
        </is>
      </c>
      <c r="F5" s="8" t="inlineStr">
        <is>
          <t>Severn</t>
        </is>
      </c>
      <c r="G5" s="8" t="inlineStr">
        <is>
          <t>MD</t>
        </is>
      </c>
      <c r="H5" s="8" t="inlineStr">
        <is>
          <t>21144</t>
        </is>
      </c>
      <c r="I5" s="8" t="n">
        <v>62</v>
      </c>
      <c r="J5" s="8" t="inlineStr">
        <is>
          <t>1 hr 15 min</t>
        </is>
      </c>
      <c r="K5" s="8" t="inlineStr">
        <is>
          <t>(410) 551-6300</t>
        </is>
      </c>
      <c r="L5" s="41" t="inlineStr">
        <is>
          <t>VERIFIED - company site</t>
        </is>
      </c>
      <c r="M5" s="8" t="inlineStr">
        <is>
          <t>gdillard@atlascontainer.com</t>
        </is>
      </c>
      <c r="N5" s="41" t="inlineStr">
        <is>
          <t>VERIFIED - company site</t>
        </is>
      </c>
      <c r="O5" s="8" t="inlineStr">
        <is>
          <t>https://www.atlascontainer.com</t>
        </is>
      </c>
      <c r="P5" s="8" t="inlineStr">
        <is>
          <t>All six confirmed on Atlas's OWN site under an "Our Team" menu with individual bio pages — emails verified in raw HTML mailto: links, not guessed or pattern-inferred:
1. Christine Beeler — Central PA rep. cbeeler@atlascontainer.com. 25 years' experience; specializes in food &amp; beverage, pharmaceutical, manufacturing; also electronics, apparel, furniture, printing, agriculture. Lives in York, PA. Page: /central-pa-packaging-solutions. THE BELIEVED CONTACT IS CONFIRMED, both the name/email and the Central PA territory. No direct phone published for her.
2. Geoff Dillard — Sales Executive. gdillard@atlascontainer.com, DIRECT 443-569-2089. Baltimore, Annapolis, DC and Northern Virginia. 12+ years at Atlas; previously worked in the plant and as Customer Service Manager, MBA. Strongest technical/operational background of the group.
3. DJ Holston — DC and Baltimore rep. djholston@atlascontainer.com, DIRECT 443-286-7896. 20 years at Atlas spanning design AND production, 12+ years in design and quality. Best person for an oversized/die-cut feasibility question.
4. Chris Williams Jr. — Senior Packaging Specialist, specialty in New Business. chrisw@atlascontainer.com. Northern VA / Washington DC / Eastern Shore MD. 15+ years. Custom corrugated, POP displays, folding cartons, industrial packaging, digital print.
5. Don Dittmar — Corrugated Sales Professional. ddittmar@atlascontainer.com. Delaware, Eastern Shore MD, New Jersey, SE PA, Northern VA, New York. In the industry since 1979; food &amp; beverage, frozen food, bakeries, plastics, produce, bulk packaging.
6. Matt Grim — Account Manager, South Central PA / York. mgrim@atlascontainer.com, DIRECT 240-935-7935. 29 years in commercial printing/packaging/corrugated; ~1 year at Atlas.
Ownership/leadership: Paul Centenari (CEO) and brother Peter Centenari purchased the company; named on the About page. No executive emails published.</t>
        </is>
      </c>
      <c r="Q5" s="8" t="inlineStr">
        <is>
          <t>MUST CONFIRM - potential disqualifier</t>
        </is>
      </c>
      <c r="R5" s="8" t="inlineStr">
        <is>
          <t>100</t>
        </is>
      </c>
      <c r="S5" s="41" t="inlineStr">
        <is>
          <t>PUBLISHED on their site</t>
        </is>
      </c>
      <c r="T5" s="8" t="inlineStr">
        <is>
          <t>200 - 260</t>
        </is>
      </c>
      <c r="U5" s="42">
        <f>'Cost Model'!$D$31</f>
        <v>20.08625</v>
      </c>
      <c r="V5" s="42">
        <f>'Cost Model'!$E$31</f>
        <v>39.4609375</v>
      </c>
      <c r="W5" s="43" t="inlineStr">
        <is>
          <t>Estimate (modelled)</t>
        </is>
      </c>
      <c r="X5" s="8" t="inlineStr">
        <is>
          <t>Taken verbatim from Atlas's own production-capabilities page (https://www.atlascontainer.com/corrugated-box-manufacturer/production-capabilities):
*** THE 75-INCH BLANK — THIS IS THE BUYER'S REAL ISSUE ***
Whether Atlas can do this depends entirely on ORIENTATION, and the answer may be NO:
- If 75" is the blank's WIDTH (cross-direction, across the machine) on a DIE-CUT part: NOT POSSIBLE. Their die cutters are two 66" Rotary Die Cutters (66" x 110"). 75" exceeds the 66" feed width. The Latitude FFG is 50" x 118" and the EMBA 245 maxes at 41" wide. Nothing they own die-cuts 75" wide.
- If 75" is the LENGTH (machine direction): FEASIBLE on the 66" rotary die cutters (110" long), the Latitude FFG (118"), the EMBA 245 (max blank 41" x 94"), and exactly at the limit on the EMBA 215 (max blank 29" x 75").
- For PLAIN slit/scored sheets (no die cutting): the corrugator is a 98" Fosber and the slitter takes max 120" sheet width, so 75" wide is fine.
Bottom line: a 75"-wide die-cut blank is almost certainly beyond this plant; a 75"-long blank is comfortably within it. Confirm before quoting.
EQUIPMENT LIST (verbatim):
- Corrugator: 2016 98" B-C-E flute Fosber single-facer; Min blank 10" x 24"; "Sheet Minimum 1,500 SF"
- EMBA 215 QS Ultima 3/C FFG: max blank 29" x 75"; box W/L 3-7/8" to 33-7/16"; depth min 2"; 3-color; 420 sheets/min
- EMBA 245 QS Ultima 3/C FFG: max blank 41" x 94"; box W/L 4" to 36"; 3-color; 300 sheets/min
- Latitude FFG 3/C: 50" x 118"
- Two 66" Rotary Die Cutters: 66" x 110" (one 3-color, one 1-color)
- Slitter: max sheet width 120", max 9 scores
- Post gluer 90" x 18"; Letter Press 50" x 107"; Jumbo Press 66"; Hot melt (blank length 30"-84" folded, panel width 7"-84" folded); Tape runs 3" tape ONLY
DOUBLE WALL: CONFIRMED on their own About page — "single and double wall manufacturing, triple wall conversion." Note triple wall is CONVERSION only (they buy it in), not manufactured.
STITCHING: CONFIRMED ("flexo printing, die cutting, folding, gluing, and stitching"). BUT there is a hard limit: "Stitcher: 1 length + 1 width cannot exceed 60"." A large 75" box will likely NOT stitch on their equipment. Flag this early.
48ECT: NOT VERIFIED. No ECT grade of any kind (32/44/48) is published anywhere on their site. They do link a "Board Grade Guide" but it lists no specific grades. Must be asked directly.
MOQ / "orders as small as 100": NOT FOUND on the current site — I searched the homepage, all product pages and both capabilities pages. This claim appears to be stale. Working against it: the corrugator carries a "Sheet Minimum 1,500 SF." They may still convert small runs off stock sheets, but do not assume a 100-piece minimum.
ISTA LAB: NOT FOUND. No ISTA, ISO 9001, or package-testing lab is claimed anywhere. They do offer "In-house packaging design and structural engineering" and "CAD tables for cut-only samples, including large formats."
CERTIFICATIONS: NONE claimed for Atlas itself. FSC appears only on the sustainability page describing their SUPPLIERS' practices — not an Atlas chain-of-custody certification. Do not assume FSC-certified stock.
OTHER: Moisture Resistant Board (MRB, FDA-approved, wax replacement); fulfillment/kitting/assembly; warehousing and stocking programs; digital and flexo print; POP displays; foam inserts; folding cartons.</t>
        </is>
      </c>
      <c r="Y5" s="8" t="inlineStr">
        <is>
          <t>The only supplier here with a PUBLISHED minimum - 'orders as small as 100 Qty' - a genuine advantage at the 500/yr end, and it lets you buy in small frequent releases instead of sitting on a year of inventory. Free custom design and physical samples means a no-cost first article. Founded 1968, easy single-truck run to Dulles. Two things the verification pass turned up that strengthen the case: they publish SIX named reps with direct emails and direct mobile numbers, THREE of whom cover Northern Virginia, so you can reach a decision-useful person today rather than a switchboard; and Atlas is reported to have taken over the very Baltimore plant Smurfit Westrock closed on Pittman Road, so their capacity is growing, not shrinking.</t>
        </is>
      </c>
      <c r="Z5" s="8" t="inlineStr">
        <is>
          <t>Their advertised strengths were die-cutting-centric and that edge no longer applies. The real question is whether their press and folder-gluer take a 75 in wide blank - ask FIRST, it is potentially disqualifying for SKU 2 even though SKU 1 is comfortable anywhere. Note they are a sheet plant, so their max width is set by both the sheets they can buy and the widest machine they own - ask it as two questions. My earlier sheet named Christine Beeler as the contact; she is the CENTRAL PA rep, wrong territory. Use Geoff Dillard or Chris Williams Jr.</t>
        </is>
      </c>
    </row>
    <row r="6" ht="130" customHeight="1">
      <c r="A6" s="40" t="n">
        <v>2</v>
      </c>
      <c r="B6" s="36" t="inlineStr">
        <is>
          <t>A - Call first</t>
        </is>
      </c>
      <c r="C6" s="33" t="inlineStr">
        <is>
          <t>Columbia Container Corp.</t>
        </is>
      </c>
      <c r="D6" s="8" t="inlineStr">
        <is>
          <t>Independent full-service converter, single Baltimore plant, 40+ yrs</t>
        </is>
      </c>
      <c r="E6" s="8" t="inlineStr">
        <is>
          <t>4311 Erdman Ave</t>
        </is>
      </c>
      <c r="F6" s="8" t="inlineStr">
        <is>
          <t>Baltimore</t>
        </is>
      </c>
      <c r="G6" s="8" t="inlineStr">
        <is>
          <t>MD</t>
        </is>
      </c>
      <c r="H6" s="8" t="inlineStr">
        <is>
          <t>21213</t>
        </is>
      </c>
      <c r="I6" s="8" t="n">
        <v>65</v>
      </c>
      <c r="J6" s="8" t="inlineStr">
        <is>
          <t>1 hr 15 min</t>
        </is>
      </c>
      <c r="K6" s="8" t="inlineStr">
        <is>
          <t>(410) 467-1400</t>
        </is>
      </c>
      <c r="L6" s="41" t="inlineStr">
        <is>
          <t>VERIFIED - company site</t>
        </is>
      </c>
      <c r="M6" s="8" t="inlineStr">
        <is>
          <t>csaumell@columbiacontainer.net</t>
        </is>
      </c>
      <c r="N6" s="41" t="inlineStr">
        <is>
          <t>VERIFIED - company site</t>
        </is>
      </c>
      <c r="O6" s="8" t="inlineStr">
        <is>
          <t>https://www.columbiacontainer.net/ (live and functional as of this check)</t>
        </is>
      </c>
      <c r="P6" s="8" t="inlineStr">
        <is>
          <t>Six named salespeople, each with a direct email AND a direct cell, published on the company's own /our-team/ page — unusually good for a plant this size:
- Chris Saumell, VP of Sales — csaumell@columbiacontainer.net — (443) 562-9401  [BEST FIRST CALL]
- Kevin Parks, Sales Manager — kparks@columbiacontainer.net — (410) 591-5791
- Colin Moynihan, Sales Rep — cmoynihan@columbiacontainer.net — (443) 797-3177
- Nick Theodosakos, Sales Rep — ntheodosakos@columbiacontainer.net — (410) 303-9696
- Shawn Yakscoe, Sales Rep — syakscoe@columbiacontainer.net — (717) 723-5876
- Luke Weierbach, Sales Rep — lweierbach@columbiacontainer.net — (717) 413-5175
Management (from AICC trade profile, Mar 2021, and confirmed by the May 2026 acquisition releases): Brendan Moynihan, President/CEO and co-owner (explicitly confirmed as staying on post-acquisition); Jim Swope, CFO/co-owner; Will Cole, Plant Manager; Christine Lee, Customer Service Manager. No dedicated estimator is named publicly — estimating appears to run through the quotes@ address and the sales team.
Cross-check note that RAISES confidence in the team page: AICC listed Saumell as "Sales Manager" in 2021; the site now shows him as "VP of Sales" with Parks as Sales Manager. That promotion means the team page has been maintained more recently than the stale 2024 footer suggests.</t>
        </is>
      </c>
      <c r="Q6" s="8" t="inlineStr">
        <is>
          <t>MUST CONFIRM</t>
        </is>
      </c>
      <c r="R6" s="8" t="inlineStr">
        <is>
          <t>250 - 500</t>
        </is>
      </c>
      <c r="S6" s="43" t="inlineStr">
        <is>
          <t>Inferred (plant class)</t>
        </is>
      </c>
      <c r="T6" s="8" t="inlineStr">
        <is>
          <t>210 - 270</t>
        </is>
      </c>
      <c r="U6" s="42">
        <f>'Cost Model'!$D$31</f>
        <v>20.08625</v>
      </c>
      <c r="V6" s="42">
        <f>'Cost Model'!$E$31</f>
        <v>39.4609375</v>
      </c>
      <c r="W6" s="43" t="inlineStr">
        <is>
          <t>Estimate (modelled)</t>
        </is>
      </c>
      <c r="X6" s="8" t="inlineStr">
        <is>
          <t>CRITICAL — THE 75-INCH BLANK IS THE OPEN QUESTION ON THIS SUPPLIER. The only detailed public equipment list is the AICC "Box Score" plant profile of 22 March 2021, which is five years old and must be re-confirmed by phone:
- 43 x 94 EMBA two-colour flexo folder gluer
- 50 x 113 Langston Saturn III flexo folder gluer with die-cut
- 60 x 80 Staley two-colour rotary die cutter
- 74-inch Post folder gluer (acquired 2019, rebuilt 2020) — the widest machine listed
- 50 x 112 Serenco two-colour flexo printer slotter
The largest stated width anywhere in that list is 74 inches, which sits one inch UNDER the buyer's 75-inch requirement. I am flagging this rather than ruling them out, because FFG size nomenclature is ambiguous: on a "50 x 113" machine the 113-inch dimension is the feed/length direction, so whether a 75-inch blank fits depends on which way the blank runs through the machine. This genuinely cannot be settled from public sources — it is the first question for Saumell. Note also that post-acquisition they can potentially source from TRG sister plants in Montgomeryville PA (Philadelphia) and East Rutherford NJ if the Baltimore equipment cannot take the width.
CONFIRMED: double wall — the plant makes kraft single-wall and "oyster white double-wall" (AICC profile and the Yellow Pages product list independently mention oyster white). Multiple flute options and liner combinations advertised; recently converting D flute. Gluing confirmed (three folder gluers). Die cutting confirmed (rotary die cutter plus die-cut FFG). Litho-mounted point-of-purchase displays confirmed. Auto-bottoms, small RSCs and glued trays confirmed. In-house design/graphics. 70,000 sq ft plant, ~53 employees. Lead time claim "most orders in 3-5 business days" is on their own homepage. Markets: food and beverage, pharmaceutical, distribution, industrial, mainly within a 60-mile radius of Baltimore; service area DE/MD/PA/VA/DC as believed.
NOT FOUND anywhere public: 48ECT or any specific ECT grade, STITCHING capability (no stitcher appears on the equipment list — all three closing machines listed are glue), minimum order quantity, ISTA lab or any ISTA membership, and certifications (no FSC/SFI, ISO, BRCGS, GFSI or AIB claim found on the site or in any directory). Given they serve pharmaceutical and food/beverage customers, certifications may well exist but are simply unpublished — ask. Do NOT assume stitching is available; the absence of a stitcher from a detailed public equipment list is a meaningful negative signal for a double-wall job.</t>
        </is>
      </c>
      <c r="Y6" s="8" t="inlineStr">
        <is>
          <t>The best partner for the 'equivalent alternative' path you left open. They advertise custom FLUTE AND LINER COMBINATIONS, which is exactly the lever that decides whether you hit 48ECT cheaply, and - per Spec Flag SF-1 - which caliper you land on decides whether the not-to-exceed outside dimensions are achievable at all. Fastest published turnaround here (most orders in 3-5 business days). Their product list includes UN-rated boxes, and a shop doing UN work has the test discipline to certify ECT on a CoC.</t>
        </is>
      </c>
      <c r="Z6" s="8" t="inlineStr">
        <is>
          <t>Single plant = single point of failure; ask about contingency. Confirm max blank width for SKU 2. Certifications not published.</t>
        </is>
      </c>
    </row>
    <row r="7" ht="130" customHeight="1">
      <c r="A7" s="40" t="n">
        <v>3</v>
      </c>
      <c r="B7" s="36" t="inlineStr">
        <is>
          <t>A - Call first</t>
        </is>
      </c>
      <c r="C7" s="33" t="inlineStr">
        <is>
          <t>Commercial-Wagner, Inc.</t>
        </is>
      </c>
      <c r="D7" s="8" t="inlineStr">
        <is>
          <t>Independent sheet plant - 17 box-making machines, own truck fleet</t>
        </is>
      </c>
      <c r="E7" s="8" t="inlineStr">
        <is>
          <t>4101 Ashland Ave</t>
        </is>
      </c>
      <c r="F7" s="8" t="inlineStr">
        <is>
          <t>Baltimore</t>
        </is>
      </c>
      <c r="G7" s="8" t="inlineStr">
        <is>
          <t>MD</t>
        </is>
      </c>
      <c r="H7" s="8" t="inlineStr">
        <is>
          <t>21205</t>
        </is>
      </c>
      <c r="I7" s="8" t="n">
        <v>65</v>
      </c>
      <c r="J7" s="8" t="inlineStr">
        <is>
          <t>1 hr 15 min</t>
        </is>
      </c>
      <c r="K7" s="8" t="inlineStr">
        <is>
          <t>(410) 522-0900</t>
        </is>
      </c>
      <c r="L7" s="41" t="inlineStr">
        <is>
          <t>VERIFIED - company site</t>
        </is>
      </c>
      <c r="M7" s="8" t="inlineStr">
        <is>
          <t>none published</t>
        </is>
      </c>
      <c r="N7" s="43" t="inlineStr">
        <is>
          <t>Web form only</t>
        </is>
      </c>
      <c r="O7" s="8" t="inlineStr">
        <is>
          <t>https://www.commercialwagner.com</t>
        </is>
      </c>
      <c r="P7" s="8" t="inlineStr">
        <is>
          <t>Sourced from ZoomInfo/LinkedIn, NOT from the company's own site (the site names no staff at all), so titles should be confirmed when the buyer calls:
- Nicholas Shreve — Packaging Engineer and Salesman. BEST TARGET for this job: he is the only person found who combines sales with packaging engineering, which is exactly who answers a 75-inch-blank feasibility question. ZoomInfo masks his email as n***@commercialwagner.com.
- Lawrence Wagner Jr. — Co-President (has a LinkedIn profile: linkedin.com/in/lawrence-wagner-jr-9493ab3a).
- John Pauley — Co-President.
- Missy Bolander — Account Manager, Customer Service.
- Rodney Trout — Manager, Production. ZoomInfo masks as r***@commercialwagner.com.
No direct email address for any of these people could be verified. Do not guess one.</t>
        </is>
      </c>
      <c r="Q7" s="8" t="inlineStr">
        <is>
          <t>Likely - only shop advertising it</t>
        </is>
      </c>
      <c r="R7" s="8" t="inlineStr">
        <is>
          <t>250 - 500</t>
        </is>
      </c>
      <c r="S7" s="43" t="inlineStr">
        <is>
          <t>Inferred (plant class)</t>
        </is>
      </c>
      <c r="T7" s="8" t="inlineStr">
        <is>
          <t>200 - 260</t>
        </is>
      </c>
      <c r="U7" s="42">
        <f>'Cost Model'!$D$31</f>
        <v>20.08625</v>
      </c>
      <c r="V7" s="42">
        <f>'Cost Model'!$E$31</f>
        <v>39.4609375</v>
      </c>
      <c r="W7" s="43" t="inlineStr">
        <is>
          <t>Estimate (modelled)</t>
        </is>
      </c>
      <c r="X7" s="8" t="inlineStr">
        <is>
          <t>CONFIRMED on the company's own site: sheet plant with 17 different box-making machines; 120,000 sq ft manufacturing in Baltimore City plus 55,000 sq ft in Curtis Bay (175,000 sq ft total); standard brown and white boxes; die cuts both ROTARY AND FLATBED; "extra-large boxes"; taped, glued, and STITCHED; hand assembly and fulfillment; high-end graphics; structural and graphic design; own fleet of trucks serving all of Maryland, Delaware, Southern Pennsylvania and NORTHERN VIRGINIA.
RELEVANT TO THIS BUYER: stitching is explicitly confirmed, and "extra-large boxes" plus flatbed die cutting are encouraging signs for a 75-inch blank — flatbed die cutters typically handle wider sheets than rotary. But this is inference, not a published spec.
NOT PUBLISHED ANYWHERE — must be asked on the phone: maximum sheet or blank WIDTH (the critical 75-inch question — no figure appears on the site or in any directory), double wall, 48ECT or any board grade/ECT/burst rating, minimum order quantity, certifications (no ISO/FSC/SFI/AIB found), and ISTA testing lab (no lab of any kind mentioned). Note also that as a SHEET PLANT they buy corrugated board in rather than running their own corrugator, so their maximum blank width is set by the sheets they can source and the widest machine they own — worth asking as two separate questions.</t>
        </is>
      </c>
      <c r="Y7" s="8" t="inlineStr">
        <is>
          <t>Top pick. With the bridge gone the hardest requirement is SIZE: the SKU 2 blank is roughly 171 x 75 in, and Commercial-Wagner is the only shop here that explicitly advertises EXTRA-LARGE boxes plus taped, glued AND stitched construction. Stitching is the normal closure for a heavy-duty double-wall RSC at 46.5 x 39.5 x 36.5 in. 17 box-making machines means two very different SKUs route efficiently. They run their own fleet into Northern Virginia, which matters more than ever given Spec Flag SF-4 - these ship as oversized flats and freight is a top-3 cost driver.</t>
        </is>
      </c>
      <c r="Z7" s="8" t="inlineStr">
        <is>
          <t>No published email - RFQ web portal only, so this one is a phone call. No published certifications. Two sites (production + warehouse/fulfillment) so confirm which ships you.</t>
        </is>
      </c>
    </row>
    <row r="8" ht="130" customHeight="1">
      <c r="A8" s="40" t="n">
        <v>4</v>
      </c>
      <c r="B8" s="36" t="inlineStr">
        <is>
          <t>A - Call first</t>
        </is>
      </c>
      <c r="C8" s="33" t="inlineStr">
        <is>
          <t>Packaging Services Industries, Inc. (PSI)</t>
        </is>
      </c>
      <c r="D8" s="8" t="inlineStr">
        <is>
          <t>Integrated regional converter - 3 production plants + 1 dedicated corrugation plant</t>
        </is>
      </c>
      <c r="E8" s="8" t="inlineStr">
        <is>
          <t>16461 Elliott Pkwy</t>
        </is>
      </c>
      <c r="F8" s="8" t="inlineStr">
        <is>
          <t>Williamsport</t>
        </is>
      </c>
      <c r="G8" s="8" t="inlineStr">
        <is>
          <t>MD</t>
        </is>
      </c>
      <c r="H8" s="8" t="inlineStr">
        <is>
          <t>21795</t>
        </is>
      </c>
      <c r="I8" s="8" t="n">
        <v>62</v>
      </c>
      <c r="J8" s="8" t="inlineStr">
        <is>
          <t>1 hr 10 min</t>
        </is>
      </c>
      <c r="K8" s="8" t="inlineStr">
        <is>
          <t>(301) 223-6200</t>
        </is>
      </c>
      <c r="L8" s="41" t="inlineStr">
        <is>
          <t>VERIFIED - company site</t>
        </is>
      </c>
      <c r="M8" s="8" t="inlineStr">
        <is>
          <t>joyt@psimd.com</t>
        </is>
      </c>
      <c r="N8" s="43" t="inlineStr">
        <is>
          <t>Web form only</t>
        </is>
      </c>
      <c r="O8" s="8" t="inlineStr">
        <is>
          <t>https://psimd.com/</t>
        </is>
      </c>
      <c r="P8" s="8" t="inlineStr">
        <is>
          <t>From PSI's own /contact-us/ and /our-team/ pages, plus the July 2026 sales-expansion blog post. No email addresses are published for ANY individual — extensions only, all off (301) 223-6200 unless noted.
WILLIAMSPORT MD (the plant you want):
- Zach D'Elia — Sales Representative, Williamsport team, joined April 2026 (from the 2026-07-17 blog post; not yet on the team page)
- Joey Hindman — Sales Manager, Maryland &amp; McAdoo territory
- Suzanne Stambaugh — Customer Service Manager, Williamsport — x1141
- Joy Twigg — Corporate Customer Service Manager — x1103
- Ryan Eaton — Product Manager, Supply Division — x1173
- Becky Kline — HR Manager — x1130
CORPORATE / DESIGN:
- Chris Litzinger — President
- Taylor Litzinger — General Manager
- Dan Horn — Design Manager (the right person for a 75-inch blank feasibility question)
- Vernon E. Litzinger — listed as principal contact on the BBB profile (likely older record)
OTHER PLANTS (useful if Williamsport can't run the width):
- Todd Ireland — VP of Sales, Connellsville — (724) 626-0100 x2302
- Allen Crawford — Customer Service Manager, Connellsville — (724) 626-0100 x2320
- Shelby Trump — Sales Manager, Connellsville (2026 hire)
- Elliot Lyles — Sales Representative, Connellsville, joined Feb 2026
- Jake Carrelli — General Manager / Sales Manager, McAdoo — (570) 929-1600 x3314
- Jillian ("Jill") Greco — Customer Service Manager, McAdoo — (570) 929-1600 x3306
- Aaron Kellmer — Sales Representative, McAdoo, joined Jan 2026
Lead-gen sites (LeadIQ, RocketReach, ContactOut) claim the corporate email pattern is first-initial+lastname@psimd.com (e.g. jhindman@psimd.com), cited at 54.6-77% frequency. I did NOT verify this against any PSI-controlled source and the buyer should not send an RFQ to a guessed address — confirm on the call.</t>
        </is>
      </c>
      <c r="Q8" s="8" t="inlineStr">
        <is>
          <t>Likely - dedicated corrugation plant</t>
        </is>
      </c>
      <c r="R8" s="8" t="inlineStr">
        <is>
          <t>500 - 1,000</t>
        </is>
      </c>
      <c r="S8" s="43" t="inlineStr">
        <is>
          <t>Inferred (multi-plant)</t>
        </is>
      </c>
      <c r="T8" s="8" t="inlineStr">
        <is>
          <t>180 - 240</t>
        </is>
      </c>
      <c r="U8" s="42">
        <f>'Cost Model'!$D$31</f>
        <v>20.08625</v>
      </c>
      <c r="V8" s="42">
        <f>'Cost Model'!$E$31</f>
        <v>39.4609375</v>
      </c>
      <c r="W8" s="43" t="inlineStr">
        <is>
          <t>Estimate (modelled)</t>
        </is>
      </c>
      <c r="X8" s="8" t="inlineStr">
        <is>
          <t>RELEVANT TO THIS JOB:
- 48 ECT DOUBLE WALL: CONFIRMED as a stocked/offered grade. PSI's /box-strength/ page lists doublewall ECT values of 42, 48, 51, 61, 71, 82 lb/in, and singlewall 23/26/29/32/40/44/55. Doublewall and triplewall are both explicitly offered ("singlewall, doublewall, and triplewall").
- STITCHING: CONFIRMED. The /bgm-machine/ page states their BGM Container Line 16/45 can "print two colors, diecut, glue, and stitch all at the same time," described as "the most efficient machine in the world for large boxes," producing "8 times faster than before." This is a large-box line, which is a good sign for a 75-inch blank — but see the width caveat below.
- MAXIMUM SHEET / BLANK WIDTH: **NOT FOUND — this is the critical open item.** No maximum sheet width, blank size, or corrugator/die-cutter width is published on any PSI page (/bgm-machine/, /die-cutting/, /gopfert-rotary-die-cutter-machine/, /box-strength/, /faqs/, /custom-corrugated-boxes/ all checked), nor in any directory. The /box-strength/ page gives maximum COMBINED OUTSIDE DIMENSIONS of 40-120 inches by grade, but that is the standard carrier/board-grade rule table, NOT a statement of PSI's own machine capability — do not read it as a width limit. The buyer MUST confirm the 75-inch blank verbally.
- MOQ: EXISTS but unpublished. The custom corrugated boxes page states only "Commercial Delivery Only. Minimum Order Requirements Apply" with no quantity. Ask on the call.
- ISTA LAB: NOT FOUND / likely NO formal certification. PSI does have real in-house testing — "drop testing, box compression, and edge crush testing to validate performance under real-world conditions" — but ISTA certification is not claimed anywhere on the site. Treat as in-house testing, not an ISTA-certified lab, unless they say otherwise.
- CERTIFICATIONS: none published (no ISO, FSC, SFI, or ISTA claims found anywhere on the site).
OTHER CAPABILITY CONTEXT:
- Williamsport MD HQ is 282,000 sq ft; group runs ~40 million sq ft of corrugated board per month; ~300 employees across 3 plants; 2,000+ customers.
- Equipment named: BGM Container Line 16/45 (large-box print/diecut/glue/stitch), Gopfert rotary die cutter, Kongsberg sample tables, foam cutters, in-house wood shop.
- Design: ArtiosCAD, plus CAPE and Best Load for palletization/load analysis.
- Printing: direct print, digital, and litho-label; up to 5 colors.
- Flutes: E through C/B, incl. micro-flutes up to "the largest and heaviest cardboard multi-wall boxes."
- Service area covers MD, PA, VA, WV, DE, NJ, NY, OH plus New England and the Carolinas.
- IMPORTANT CORRECTION to the brief's premise: PSI does NOT own a dedicated corrugation plant. It has three production plants (Williamsport MD, Connellsville PA, McAdoo PA) and buys sheets from PhilCorr, a CUSTOMER-OWNED corrugated sheet feeder co-op in the greater Philadelphia region that PSI co-owns with other independent box makers (relationship dating to 1995). PhilCorr supplies PSI over half a billion sq ft of sheets annually. So PSI is a sheet plant / converter, not an integrated corrugator — which makes the max-width question a function of their converting equipment AND what width PhilCorr can feed them. Worth asking both.</t>
        </is>
      </c>
      <c r="Y8" s="8" t="inlineStr">
        <is>
          <t>Best combination of scale and proximity: 282,000 sq ft HQ, four plants including a dedicated corrugation plant, roughly 40 million sq ft of board per month, and they actively market into Manassas/NoVA. Two specific reasons they matter: they can hold a blanket order and release against it (smoothing 500-5,000/yr without inventory risk), and their engineered-foam capability covers the dunnage question in Spec Flag SF-2 - the boxes have a 6 in clearance envelope all round and nothing fills it.</t>
        </is>
      </c>
      <c r="Z8" s="8" t="inlineStr">
        <is>
          <t>Big-shop minimums are less flexible than Atlas on a 500-piece first run - get the MOQ explicitly. psimd.com returned HTTP 500 during research, so lead with the phone.</t>
        </is>
      </c>
    </row>
    <row r="9" ht="130" customHeight="1">
      <c r="A9" s="40" t="n">
        <v>5</v>
      </c>
      <c r="B9" s="30" t="inlineStr">
        <is>
          <t>B - MOQ risk</t>
        </is>
      </c>
      <c r="C9" s="33" t="inlineStr">
        <is>
          <t>Green Bay Packaging - Baltimore Division</t>
        </is>
      </c>
      <c r="D9" s="8" t="inlineStr">
        <is>
          <t>Integrated mill-backed converter with in-house corrugator</t>
        </is>
      </c>
      <c r="E9" s="8" t="inlineStr">
        <is>
          <t>11000 Gilroy Rd</t>
        </is>
      </c>
      <c r="F9" s="8" t="inlineStr">
        <is>
          <t>Hunt Valley</t>
        </is>
      </c>
      <c r="G9" s="8" t="inlineStr">
        <is>
          <t>MD</t>
        </is>
      </c>
      <c r="H9" s="8" t="inlineStr">
        <is>
          <t>21031</t>
        </is>
      </c>
      <c r="I9" s="8" t="n">
        <v>72</v>
      </c>
      <c r="J9" s="8" t="inlineStr">
        <is>
          <t>1 hr 20 min</t>
        </is>
      </c>
      <c r="K9" s="8" t="inlineStr">
        <is>
          <t>(410) 785-2233</t>
        </is>
      </c>
      <c r="L9" s="41" t="inlineStr">
        <is>
          <t>VERIFIED - company site</t>
        </is>
      </c>
      <c r="M9" s="8" t="inlineStr">
        <is>
          <t>none published</t>
        </is>
      </c>
      <c r="N9" s="41" t="inlineStr">
        <is>
          <t>VERIFIED - company site</t>
        </is>
      </c>
      <c r="O9" s="8" t="inlineStr">
        <is>
          <t>https://gbp.com/locations/baltimore/</t>
        </is>
      </c>
      <c r="P9" s="8" t="inlineStr">
        <is>
          <t>David "Dave" W. Pollock — Vice President &amp; General Manager, Baltimore Division. Email dpollock@gbp.com (from the gbp.com-hosted press release). Two direct numbers appear in that 2016 release: (410) 785-4815 and (410) 785-8508 x307 — treat both as suspect, see discrepancies. Currency of his role is corroborated by three independent sources: the AICC MarketBASE member listing ("David Pollock, Vice President and General Manager"), his LinkedIn headline ("V.P., General Manager, Green Bay Packaging"), and a ZoomInfo profile ("General Manager at Green Bay Packaging", email masked as d***@gbp.com, address 11000 Gilroy Rd, Hunt Valley MD 21031-1309). Background: rose from Manager-Operations to Controller to GM; BS from Towson University.
Katherine "Katie" Brinton — Sales Executive, Baltimore Division, announced August 16, 2016, responsible for developing new and existing customer relationships in the Baltimore and Mid-Atlantic market; came in with ~10 years of corrugated sales experience. CURRENT STATUS UNCONFIRMED — I found no evidence she is still with GBP. Worth asking for by name, but do not assume.
Tyson Aschliman — listed as General Manager in an RMI of Maryland article, but that article is dated April 4, 2012 and is superseded by Pollock. STALE — do not ask for him.
No estimator, inside-sales or customer-service individual could be named. Note that GBP is currently advertising a "New Business Development Manager" opening at Hunt Valley, which implies the outside-sales bench has a vacancy — another reason to route through the GM's office rather than hunting for a rep.</t>
        </is>
      </c>
      <c r="Q9" s="8" t="inlineStr">
        <is>
          <t>Yes - in-house corrugator</t>
        </is>
      </c>
      <c r="R9" s="8" t="inlineStr">
        <is>
          <t>1,000 - 2,500</t>
        </is>
      </c>
      <c r="S9" s="43" t="inlineStr">
        <is>
          <t>Inferred (mill-backed)</t>
        </is>
      </c>
      <c r="T9" s="8" t="inlineStr">
        <is>
          <t>170 - 220</t>
        </is>
      </c>
      <c r="U9" s="42">
        <f>'Cost Model'!$D$31</f>
        <v>20.08625</v>
      </c>
      <c r="V9" s="42">
        <f>'Cost Model'!$E$31</f>
        <v>39.4609375</v>
      </c>
      <c r="W9" s="43" t="inlineStr">
        <is>
          <t>Estimate (modelled)</t>
        </is>
      </c>
      <c r="X9" s="8" t="inlineStr">
        <is>
          <t>CONFIRMED on the company's own division page: B, C and E flute plus double wall (any combination of two flutes) — your double-wall requirement is met on paper. On-site ISTA quality-control lab confirmed on the Baltimore page; the corporate quality page states GBP runs "on-site ISTA certified and TAPPI conditioned labs" across its network. BRCGS Certified Packaging and SFI certified, both stated on the Baltimore page; corporate adds ISO 9001, Six Sigma and Lean. Two-sided one-pass printing. In-house graphic and structural design (concept renderings through full-color mock-ups). Products: brown boxes, POP displays, retail-ready and e-commerce packaging. Serves MD, DE, PA, NJ, VA, WV. Roughly 100-249 employees and $50-100M revenue per Manta (directory estimate, treat loosely). Maryland Green Registry profile describes on-site converting equipment, an internal wastewater treatment/permit and ~200 tons/month of process paperboard waste — the footprint of a real production plant, and it references "about a dozen of our sales employees."
CRITICAL GAPS — you must ask these on the call, none are published anywhere I could find:
- MAXIMUM SHEET / BLANK WIDTH: NOT FOUND. This is your gating question for a 75-inch blank and there is zero public data on it for Hunt Valley. For scale, GBP publishes a 110-inch corrugator at its Fort Worth plant, but nothing equivalent for Baltimore. Lead with this question.
- IN-HOUSE CORRUGATOR: NOT VERIFIED. Your brief assumes one, but I could not confirm it. GBP's own locations index files Baltimore under "Corrugated Converting Operations," a label it applies to all 32 corrugated plants regardless of whether they run a corrugator or buy sheets. The Maryland profile's emphasis on roll/paper procurement and ton-for-ton paper trades hints at a corrugator but is not proof. Ask directly: "Do you run your own corrugator on site, or are you a sheet plant?" — it determines your max width and lead time.
- 48 ECT: NOT FOUND.
- STITCHING: NOT FOUND.
- MINIMUM ORDER QUANTITY: NOT FOUND.</t>
        </is>
      </c>
      <c r="Y9" s="8" t="inlineStr">
        <is>
          <t>Promoted sharply by the scope change. Without a bridge, this job IS board and stacking strength, and GBP is the only shop in radius that controls both. In-house corrugator (they make the board rather than buy sheets, so a 75 in wide 48ECT double-wall sheet is a scheduling question not a special order), explicit DOUBLE WALL offering, in-house structural design, and an ON-SITE ISTA LABORATORY. BRCGS and SFI certified. For a 46.5 in box that gets stacked on pallets, documented ECT and BCT data is the deliverable that de-risks the programme. Likely the best $/MSF too.</t>
        </is>
      </c>
      <c r="Z9" s="8" t="inlineStr">
        <is>
          <t>Expect MOQ pressure and a push toward an annual contract - that is the trade for the best board price and the test lab. Ask whether they will hold finished goods and release monthly. FSC and ISO not listed (they hold SFI + BRCGS).</t>
        </is>
      </c>
    </row>
    <row r="10" ht="130" customHeight="1">
      <c r="A10" s="40" t="n">
        <v>6</v>
      </c>
      <c r="B10" s="44" t="inlineStr">
        <is>
          <t>B - Board supply</t>
        </is>
      </c>
      <c r="C10" s="33" t="inlineStr">
        <is>
          <t>Keystone Sheets (Buckeye Corrugated / Corrugated Partners Group)</t>
        </is>
      </c>
      <c r="D10" s="8" t="inlineStr">
        <is>
          <t>SHEET FEEDER - sells corrugated sheets, not finished boxes</t>
        </is>
      </c>
      <c r="E10" s="8" t="inlineStr">
        <is>
          <t>1465 Nitterhouse Dr</t>
        </is>
      </c>
      <c r="F10" s="8" t="inlineStr">
        <is>
          <t>Chambersburg</t>
        </is>
      </c>
      <c r="G10" s="8" t="inlineStr">
        <is>
          <t>PA</t>
        </is>
      </c>
      <c r="H10" s="8" t="inlineStr">
        <is>
          <t>17201</t>
        </is>
      </c>
      <c r="I10" s="8" t="n">
        <v>78</v>
      </c>
      <c r="J10" s="8" t="inlineStr">
        <is>
          <t>1 hr 30 min</t>
        </is>
      </c>
      <c r="K10" s="8" t="inlineStr">
        <is>
          <t>(717) 287-1764</t>
        </is>
      </c>
      <c r="L10" s="41" t="inlineStr">
        <is>
          <t>VERIFIED - company site</t>
        </is>
      </c>
      <c r="M10" s="8" t="inlineStr">
        <is>
          <t>none published</t>
        </is>
      </c>
      <c r="N10" s="43" t="inlineStr">
        <is>
          <t>Web form only</t>
        </is>
      </c>
      <c r="O10" s="8" t="inlineStr">
        <is>
          <t>https://keystonesheets.com</t>
        </is>
      </c>
      <c r="P10" s="8" t="inlineStr">
        <is>
          <t>No sales or estimating person is named publicly — this is the main gap. The company's leadership page (https://keystonesheets.com/leadership/) names eight managers, none with a sales title and none with a published direct email or extension:
- Alison Everhart — Customer Service and Scheduling Manager (26 years in customer service/management). BEST TARGET for a sheet quote; corroborated independently on ZoomInfo as "Manager, Customer Service &amp; Scheduling."
- Nick Wriker — Plant Manager (17 years in corrugated). Good fallback for a technical/capability question.
- Hannah White — Production Scheduler (useful for lead-time questions).
- John Nitchman — Shipping Manager.
- Gina Vega — Controller; Linda Hostetter — Human Resource Manager; Angela Gladfelter — Employee Health and Safety Manager; Dave Weidner — Maintenance Manager.
No direct email addresses were found for any of them. A ZoomInfo snippet renders Linda Hostetter's address as "l***@keystonesheets.com", which hints at a first-initial+lastname pattern on the keystonesheets.com domain — but this is a masked fragment from a lead-gen site, I could not verify a single complete address, and I am NOT supplying a constructed one. Do not guess-send an RFQ; confirm the correct address verbally on the call.</t>
        </is>
      </c>
      <c r="Q10" s="8" t="inlineStr">
        <is>
          <t>Yes - 132 in corrugator</t>
        </is>
      </c>
      <c r="R10" s="8" t="inlineStr">
        <is>
          <t>Skid / bundle minimum</t>
        </is>
      </c>
      <c r="S10" s="43" t="inlineStr">
        <is>
          <t>Inferred (sheet feeder)</t>
        </is>
      </c>
      <c r="T10" s="8" t="inlineStr">
        <is>
          <t>Board only / n/a</t>
        </is>
      </c>
      <c r="U10" s="8" t="n"/>
      <c r="V10" s="8" t="n"/>
      <c r="W10" s="45" t="inlineStr">
        <is>
          <t>n/a - board only</t>
        </is>
      </c>
      <c r="X10" s="8" t="inlineStr">
        <is>
          <t>WIDTH — the 75-inch blank is comfortably within reach. The plant runs a 132" BHS corrugator, described on the company's own site as the widest in the country capable of triple-wall board, and marketed for "large-format runs with less trim and waste." A 75" wide sheet is an easy call at 132" trim; width is a strength here, not a constraint. Still confirm usable trim width vs. nominal 132".
BOARD — single wall in A, B, C and E flute; double wall in EB, BC, EC and CA; triple wall in CAA. Liners include recycled containerboard, white and Kemi liners, and virgin kraft. Double wall is definitively available.
48ECT — NOT PUBLISHED. No ECT values, board grades or Mullen/ECT combination charts appear anywhere on the site or in any source. Must be asked on the call. Given the flute and liner range, 48ECT double wall should be routine, but I could not verify it.
STITCHING — almost certainly NOT AVAILABLE, and this is the single most important caveat. Keystone is a SHEET FEEDER, not a box plant. Their own copy positions them as supplying "boxmakers and converters across the Mid-Atlantic and Midwest," and the parent group is described as a network of sheet feeders producing sheets for boxes made by others. No converting, printing, die-cutting, slotting or stitching capability is claimed anywhere. If the buyer needs a finished stitched blank, Keystone is the wrong tier of supplier — they would supply the sheet to a converter who then stitches it. If the buyer genuinely needs raw sheet, they are an excellent fit. Confirm on the call whether any inline slit-scoring is offered.
MOQ — NOT PUBLISHED. Site claims flexibility "from small custom runs through large-scale orders," but no number is given. Sheet feeders typically expect substantial volume; ask directly, and expect a minimum well above box-plant quantities.
CERTIFICATIONS / ISTA LAB — NOT FOUND. No FSC, SFI, ISO, BRC or ISTA lab claim appears on the site or any source. Do not assume any exist.
OTHER — 420,000 sq ft facility, ~80 jobs at buildout, 24/7 operation, next-day delivery marketed, opened late 2023. Group network cited as 16+ sheet feeders / 18 corrugators, 28+ billion sq ft annually.</t>
        </is>
      </c>
      <c r="Y10" s="8" t="inlineStr">
        <is>
          <t>Strategic leverage, not a direct supplier - DO NOT expect a box price from them. Runs a 132 in BHS corrugator, reportedly the widest in the country capable of triple wall. Your SKU 2 blank needs a 75 in wide sheet in 48ECT double wall, wide enough that some sheet plants will call it a special order and price it accordingly. Naming Keystone as an approved board source in your RFQ removes that excuse. They are also your route to triple wall if Spec Flag SF-3 bites.</t>
        </is>
      </c>
      <c r="Z10" s="8" t="inlineStr">
        <is>
          <t>THEY DO NOT MAKE BOXES - you still need a converter to score, slot and stitch. Founded late 2023 so no long track record as this entity. ECT ranges and certifications not published.</t>
        </is>
      </c>
    </row>
    <row r="11" ht="130" customHeight="1">
      <c r="A11" s="40" t="n">
        <v>7</v>
      </c>
      <c r="B11" s="30" t="inlineStr">
        <is>
          <t>C - Sample source</t>
        </is>
      </c>
      <c r="C11" s="33" t="inlineStr">
        <is>
          <t>Craters &amp; Freighters Northern Virginia</t>
        </is>
      </c>
      <c r="D11" s="8" t="inlineStr">
        <is>
          <t>Local custom container fabricator + crating (not a corrugated plant)</t>
        </is>
      </c>
      <c r="E11" s="8" t="inlineStr">
        <is>
          <t>113 Executive Dr, Ste. 131</t>
        </is>
      </c>
      <c r="F11" s="8" t="inlineStr">
        <is>
          <t>Sterling</t>
        </is>
      </c>
      <c r="G11" s="8" t="inlineStr">
        <is>
          <t>VA</t>
        </is>
      </c>
      <c r="H11" s="8" t="inlineStr">
        <is>
          <t>20166</t>
        </is>
      </c>
      <c r="I11" s="8" t="n">
        <v>4</v>
      </c>
      <c r="J11" s="8" t="inlineStr">
        <is>
          <t>10 min</t>
        </is>
      </c>
      <c r="K11" s="8" t="inlineStr">
        <is>
          <t>(703) 796-0180</t>
        </is>
      </c>
      <c r="L11" s="41" t="inlineStr">
        <is>
          <t>VERIFIED - company site</t>
        </is>
      </c>
      <c r="M11" s="8" t="inlineStr">
        <is>
          <t>none published</t>
        </is>
      </c>
      <c r="N11" s="43" t="inlineStr">
        <is>
          <t>Web form only</t>
        </is>
      </c>
      <c r="O11" s="8" t="inlineStr">
        <is>
          <t>https://www.cratersandfreightersnorthernvirginia.com (same office also at https://www.cratersandfreightersdc.com)</t>
        </is>
      </c>
      <c r="P11" s="8" t="inlineStr">
        <is>
          <t>Dave S. Levine — President / owner (also styles himself "Chief Customer Service Officer"). Confirmed by TWO sources: BBB lists "Mr. Dave S Levine, President" as principal contact, and the company's own bio page at https://www.cratersandfreightersnorthernvirginia.com/about/leadership/owner-bio/ (acquired the Northern Virginia franchise in 2007; BS Mechanical Engineering, UMass Amherst; MBA, University of Chicago Booth). No direct email published for him on any company page — only the main line 703-796-0180. Kirk Cooper — "Crate Specialist" at Craters &amp; Freighters Washington DC, per a ZoomInfo profile; his email local-part is masked on ZoomInfo (shown only as ****@cratersandfreightersdc.com), so it is NOT verified and I am not guessing it. No dedicated sales manager or estimator is named on the site or in LinkedIn results.</t>
        </is>
      </c>
      <c r="Q11" s="8" t="inlineStr">
        <is>
          <t>Yes - hand built</t>
        </is>
      </c>
      <c r="R11" s="8" t="inlineStr">
        <is>
          <t>1</t>
        </is>
      </c>
      <c r="S11" s="41" t="inlineStr">
        <is>
          <t>PUBLISHED (one-off model)</t>
        </is>
      </c>
      <c r="T11" s="8" t="inlineStr">
        <is>
          <t>Board only / n/a</t>
        </is>
      </c>
      <c r="U11" s="8" t="n"/>
      <c r="V11" s="8" t="n"/>
      <c r="W11" s="46" t="inlineStr">
        <is>
          <t>Not comparable - hand built</t>
        </is>
      </c>
      <c r="X11" s="8" t="inlineStr">
        <is>
          <t>IMPORTANT FIT WARNING: this is a custom crating, packaging and freight-shipping franchise depot — not a corrugated sheet plant or box plant. They fabricate one-off and short-run containers and wood crates around a customer's item; they do not appear to run a corrugator or die-cut production quantities. Verify this before you spend much time on them. CONFIRMED on their own page (/packaging/corrugated-packaging/): "a minimum 350 lb. double-wall corrugated fiberboard," described as "three sheets of linerboard with two mediums or flutes in between" — so double wall is standard and the buyer's 350 lb belief is correct. Custom sizing is offered: "Each container is tailored to meet the needs of the item being shipped," designed around dimensions, weight, value, mode of transport and destination. Reinforcement available via "strapping, banding, and palletizing," plus specialized cushioning, anti-static, vapor barrier and heat-shrink wrapping. Hazmat certified per the franchisor's location directory badge. NOT FOUND / NOT PUBLISHED ANYWHERE: maximum sheet or blank WIDTH (critical — the 75-inch blank requirement is unverified and must be asked on the call), any ECT rating (their 350 lb figure is a bursting/Mullen-test spec, NOT the 48ECT the buyer specified — these are different test methods and you should confirm they can supply a 48ECT board), stitching or stapling capability, minimum order quantity, and any ISTA membership or in-house test lab. Treat all five as open questions for the phone call.</t>
        </is>
      </c>
      <c r="Y11" s="8" t="inlineStr">
        <is>
          <t>The only genuine fabricator essentially AT Dulles - about 4 miles from IAD. Builds to a minimum 350 lb double-wall standard, sized per item, with strapping and palletizing. Use for exactly one thing: a same-day physical prototype so you can resolve Spec Flag SF-1 with a real box in your hands before any converter quotes hard numbers. Call them IN PARALLEL with the others, not after.</t>
        </is>
      </c>
      <c r="Z11" s="8" t="inlineStr">
        <is>
          <t>NOT a production source - per-unit cost is roughly an order of magnitude above a converter. 350 lb DW is a basis-weight spec, not an ECT spec, so it does not by itself satisfy 48ECT.</t>
        </is>
      </c>
    </row>
    <row r="12" ht="130" customHeight="1">
      <c r="A12" s="40" t="n">
        <v>8</v>
      </c>
      <c r="B12" s="47" t="inlineStr">
        <is>
          <t>D - Price check</t>
        </is>
      </c>
      <c r="C12" s="33" t="inlineStr">
        <is>
          <t>Atlantic Corrugated Box Company, Inc.</t>
        </is>
      </c>
      <c r="D12" s="8" t="inlineStr">
        <is>
          <t>Independent sheet plant (est. 1985) - packaging + displays</t>
        </is>
      </c>
      <c r="E12" s="8" t="inlineStr">
        <is>
          <t>1701 Ruffin Rd</t>
        </is>
      </c>
      <c r="F12" s="8" t="inlineStr">
        <is>
          <t>Richmond</t>
        </is>
      </c>
      <c r="G12" s="8" t="inlineStr">
        <is>
          <t>VA</t>
        </is>
      </c>
      <c r="H12" s="8" t="inlineStr">
        <is>
          <t>23234</t>
        </is>
      </c>
      <c r="I12" s="8" t="n">
        <v>110</v>
      </c>
      <c r="J12" s="8" t="inlineStr">
        <is>
          <t>2 hr 0 min</t>
        </is>
      </c>
      <c r="K12" s="8" t="inlineStr">
        <is>
          <t>(804) 231-4050</t>
        </is>
      </c>
      <c r="L12" s="41" t="inlineStr">
        <is>
          <t>VERIFIED - company site</t>
        </is>
      </c>
      <c r="M12" s="8" t="inlineStr">
        <is>
          <t>none published</t>
        </is>
      </c>
      <c r="N12" s="46" t="inlineStr">
        <is>
          <t>NOT FOUND</t>
        </is>
      </c>
      <c r="O12" s="8" t="inlineStr">
        <is>
          <t>https://www.acbc-inc.com — live and serving as of 26 Aug 2026</t>
        </is>
      </c>
      <c r="P12" s="8" t="inlineStr">
        <is>
          <t>Edward Barlow, II — owner/president. HIGH confidence: named on the company's OWN /about/ page, which states he joined full-time after graduating Virginia Tech in 1990 and subsequently purchased the firm from his father. Edward Barlow, Sr. — founder (1985), historical reference on the same page; a LinkedIn profile for an "Edward Barlow – Atlantic Corrugated Box Co., Inc." exists but LinkedIn blocked direct retrieval, so the title there is unconfirmed.
DuWane Donati — Plant Manager. MEDIUM confidence: the only employee name surfaced on the company's LinkedIn page, corroborated by two separate lead-gen databases.
LOW confidence, single-source lead-gen data only, do NOT ask for by name without checking: Gina Melendez (listed as Territory Sales Rep, ZoomInfo only), Michael Filer (listed as Plant Manager, ZoomInfo only — note this directly contradicts Donati holding the same title, a classic sign of stale aggregated data), Tonya Mitchell (Accounting and Collections, RocketReach only).
NO sales or estimating contact is named anywhere on the company's own website. For a firm this size the owner very likely quotes the work himself — ask for Ed Barlow.</t>
        </is>
      </c>
      <c r="Q12" s="8" t="inlineStr">
        <is>
          <t>MUST CONFIRM</t>
        </is>
      </c>
      <c r="R12" s="8" t="inlineStr">
        <is>
          <t>250 - 500</t>
        </is>
      </c>
      <c r="S12" s="43" t="inlineStr">
        <is>
          <t>Inferred (plant class)</t>
        </is>
      </c>
      <c r="T12" s="8" t="inlineStr">
        <is>
          <t>210 - 270</t>
        </is>
      </c>
      <c r="U12" s="42">
        <f>'Cost Model'!$D$31</f>
        <v>20.08625</v>
      </c>
      <c r="V12" s="42">
        <f>'Cost Model'!$E$31</f>
        <v>39.4609375</v>
      </c>
      <c r="W12" s="43" t="inlineStr">
        <is>
          <t>Estimate (modelled)</t>
        </is>
      </c>
      <c r="X12" s="8" t="inlineStr">
        <is>
          <t>Thin — the site is a brochure with essentially no technical data, and NONE of the buyer's seven spec questions are answered anywhere online. What is confirmed from the company's own pages:
- Self-described as "a corrugated sheet plant." This matters for the 75-inch blank: a sheet plant buys finished corrugated sheet from an outside corrugator and converts it, so the maximum blank width is capped both by their converting equipment and by their sheet supplier's corrugator trim width. A 75" blank is large for a small sheet plant — this must be the FIRST question on the call.
- 60,000 sq ft facility (grown from an original 18,000 sq ft warehouse in Richmond's Manchester district).
- Printing: flexo, digital, screen and litho.
- Product lines: displays, shipping cartons, top-sheet printed materials.
- Support services: design, warehousing, delivery.
- Markets served: medical, food and beverage, tobacco, printing and packaging.
- Their FMCSA record shows just 1 power unit and 1 driver, so delivery is a single truck serving the local Richmond area; anything beyond that would go common carrier.
NOT FOUND anywhere — max sheet/blank width, double wall, 48ECT, stitching, minimum order quantity, certifications, ISTA lab. Every one of these is an open question for the phone call. Given no published double-wall or 48ECT evidence and a sheet-plant model, treat the 75" double-wall 48ECT stitched requirement as unproven until they confirm it verbally.</t>
        </is>
      </c>
      <c r="Y12" s="8" t="inlineStr">
        <is>
          <t>Strongest of the Richmond cluster and Virginia-based, which matters if in-state sourcing carries weight. Sheet plant with design services, serving medical, food and beverage and tobacco - regulated industries that demand consistent certified board. Adds real price competition against the Baltimore group.</t>
        </is>
      </c>
      <c r="Z12" s="8" t="inlineStr">
        <is>
          <t>About 110 miles, past your stated radius - and freight is a larger share of landed cost on oversized flats than on a normal box, so the distance penalty is real, not nominal. Get freight quoted separately or the comparison is meaningless.</t>
        </is>
      </c>
    </row>
    <row r="13" ht="130" customHeight="1">
      <c r="A13" s="40" t="n">
        <v>9</v>
      </c>
      <c r="B13" s="47" t="inlineStr">
        <is>
          <t>D - Price check</t>
        </is>
      </c>
      <c r="C13" s="33" t="inlineStr">
        <is>
          <t>Hood Container - Richmond (was Richmond Corrugated Box Co.)</t>
        </is>
      </c>
      <c r="D13" s="8" t="inlineStr">
        <is>
          <t>Sheet plant + warehousing, owned by Hood Container since 2017 (via Stronghaven)</t>
        </is>
      </c>
      <c r="E13" s="8" t="inlineStr">
        <is>
          <t>5301 Corrugated Rd</t>
        </is>
      </c>
      <c r="F13" s="8" t="inlineStr">
        <is>
          <t>Sandston</t>
        </is>
      </c>
      <c r="G13" s="8" t="inlineStr">
        <is>
          <t>VA</t>
        </is>
      </c>
      <c r="H13" s="8" t="inlineStr">
        <is>
          <t>23150</t>
        </is>
      </c>
      <c r="I13" s="8" t="n">
        <v>112</v>
      </c>
      <c r="J13" s="8" t="inlineStr">
        <is>
          <t>2 hr 0 min</t>
        </is>
      </c>
      <c r="K13" s="8" t="inlineStr">
        <is>
          <t>(804) 222-1300</t>
        </is>
      </c>
      <c r="L13" s="41" t="inlineStr">
        <is>
          <t>Cross-checked - 2+ sources</t>
        </is>
      </c>
      <c r="M13" s="8" t="inlineStr">
        <is>
          <t>none published</t>
        </is>
      </c>
      <c r="N13" s="43" t="inlineStr">
        <is>
          <t>Web form only</t>
        </is>
      </c>
      <c r="O13" s="8" t="inlineStr">
        <is>
          <t>https://hoodcontainer.com - CURRENT AND LIVE. WARNING: richmondcorrugated.com is DEAD - authoritative DNS returns NXDOMAIN (Status 3) straight from the .com registry, meaning the domain is no longer delegated/registered at all. Google still indexes cached richmondcorrugated.com/products/ and /our-services/ pages, which makes it look alive in search results. It is not. Legacy domain richbox.com is still registered and www.richbox.com is a CNAME pointing to hoodcontainer.com (hard DNS confirmation of the Hood ownership link), but it serves 403/404 and is not a usable site.</t>
        </is>
      </c>
      <c r="P13" s="8" t="inlineStr">
        <is>
          <t>Chuck (Charles) White - the key contact. Formerly President of Richmond Corrugated Box Co.; now AREA GENERAL MANAGER at Hood Container, based in Sandston, VA. LinkedIn: linkedin.com/in/chuck-white-3a592217/ (UVA, BA 1984-89). BBB still lists him as "Mr. Charles White, President" - a stale title on an otherwise-updated record. ZoomInfo shows his email masked as c***@hoodcontainer.com, consistent with the First.Last pattern but NOT confirmed. Ask for him by name.
Ann Smart - Talent &amp; Organizational Development Manager, Hood Container (named as hiring manager on the Richmond sales posting). HR only - not useful for an RFQ, but confirms an active corporate org.
NO named salesperson, estimator or CSR for the Sandston plant was found on the company site or LinkedIn. Note the open Account Executive req for Richmond suggests the territory may currently be uncovered or covered from Greensboro NC - another reason to go through Chuck White directly rather than waiting on a form.</t>
        </is>
      </c>
      <c r="Q13" s="8" t="inlineStr">
        <is>
          <t>MUST CONFIRM</t>
        </is>
      </c>
      <c r="R13" s="8" t="inlineStr">
        <is>
          <t>250 - 500</t>
        </is>
      </c>
      <c r="S13" s="46" t="inlineStr">
        <is>
          <t>Guess (no data)</t>
        </is>
      </c>
      <c r="T13" s="8" t="inlineStr">
        <is>
          <t>200 - 280</t>
        </is>
      </c>
      <c r="U13" s="42">
        <f>'Cost Model'!$D$31</f>
        <v>20.08625</v>
      </c>
      <c r="V13" s="42">
        <f>'Cost Model'!$E$31</f>
        <v>39.4609375</v>
      </c>
      <c r="W13" s="46" t="inlineStr">
        <is>
          <t>Low confidence</t>
        </is>
      </c>
      <c r="X13" s="8" t="inlineStr">
        <is>
          <t>THE CRITICAL FACT: Hood's own site classifies Sandston as a SHEET PLANT (plus warehousing), not a corrugator plant. A sheet plant does not run its own corrugator - it buys corrugated sheets and converts them. So the buyer's 75-inch-wide blank depends on two things that MUST be asked on the call: (a) the width capacity of their converting equipment (flexo folder gluer / die cutter), and (b) whether a Hood corrugator plant can supply a sheet wide enough. Hood does operate corrugator plants that could feed it - Greensboro/Jamestown NC is the closest, plus Columbus OH, Oldsmar FL and Houston TX - so wide sheet supply is plausible but unconfirmed.
Legacy Richmond Corrugated product mix (Bloomberg company profile): custom corrugated AND stock boxes, assembled partitions, coated products, wooden crates, trays, and TRIPLE WALL products, plus digital printing services. Triple wall capability strongly implies double wall is routine - that is the single most useful capability datapoint found. Cached copy of the old site added: custom corrugated boxes and point-of-purchase displays with in-house structural designers.
Hood corporate certifications (COMPANY-WIDE, not verified for this plant): ISO 9001:2015, FSC, SFI, SQF, AIB, ASI cGMP. Memberships: AICC, FBA, TAPPI, AF&amp;PA, PAN.
NOT FOUND anywhere, must be asked on the call: maximum sheet or blank WIDTH (the 75-inch question), 48ECT availability, stitching capability, minimum order quantity, and whether there is an ISTA test lab. This supplier genuinely has almost no published technical data - Hood's product pages (/large-format/, /industrial-corrugated/) are pure marketing copy with zero dimensions, grades or ECT ratings. Treat every capability above as a starting point for questions, not as confirmed spec.</t>
        </is>
      </c>
      <c r="Y13" s="8" t="inlineStr">
        <is>
          <t>IDENTITY CORRECTED. This is no longer an independent family firm - Richmond Corrugated was acquired by Stronghaven in 2017, and Stronghaven is wholly owned by Hood Container. Ask for Hood Container on the call; the old name still works with long-tenured staff. The upside of the correction is real: as part of a multi-plant group with its own mills, if the Sandston sheet plant cannot run a 75 in blank another Hood plant may supply and convert it - a question worth asking that would not have arisen under the old independent framing. Actively investing in the site: they are recruiting a Richmond corrugated account executive right now.</t>
        </is>
      </c>
      <c r="Z13" s="8" t="inlineStr">
        <is>
          <t>DEAD DOMAIN: richmondcorrugated.com returns NXDOMAIN - anything emailed there bounces. Use hoodcontainer.com. The phone (804) 222-1300 could NOT be confirmed by the independent checker: both sources are stale legacy-name directory listings, one of which still points at another dead domain. Dial it, but expect you may need the corporate switchboard. Hood's own site calls Sandston a SHEET PLANT while one directory calls it a corrugator plant - those imply very different max widths, so settle it verbally before investing time. Also confirm you have 5301 Corrugated Rd: 5501 and 5601 on the same street are unrelated cold-storage warehouses.</t>
        </is>
      </c>
    </row>
    <row r="14" ht="130" customHeight="1">
      <c r="A14" s="40" t="n">
        <v>10</v>
      </c>
      <c r="B14" s="48" t="inlineStr">
        <is>
          <t>D - Unlikely at 100</t>
        </is>
      </c>
      <c r="C14" s="33" t="inlineStr">
        <is>
          <t>Smurfit Westrock - Richmond Box Plant</t>
        </is>
      </c>
      <c r="D14" s="8" t="inlineStr">
        <is>
          <t>Integrated full-line box plant</t>
        </is>
      </c>
      <c r="E14" s="8" t="inlineStr">
        <is>
          <t>5710 S Laburnum Ave</t>
        </is>
      </c>
      <c r="F14" s="8" t="inlineStr">
        <is>
          <t>Richmond</t>
        </is>
      </c>
      <c r="G14" s="8" t="inlineStr">
        <is>
          <t>VA</t>
        </is>
      </c>
      <c r="H14" s="8" t="inlineStr">
        <is>
          <t>23231</t>
        </is>
      </c>
      <c r="I14" s="8" t="n">
        <v>112</v>
      </c>
      <c r="J14" s="8" t="inlineStr">
        <is>
          <t>2 hr 0 min</t>
        </is>
      </c>
      <c r="K14" s="8" t="inlineStr">
        <is>
          <t>(804) 226-1074</t>
        </is>
      </c>
      <c r="L14" s="41" t="inlineStr">
        <is>
          <t>Cross-checked - 2+ sources</t>
        </is>
      </c>
      <c r="M14" s="8" t="inlineStr">
        <is>
          <t>none published</t>
        </is>
      </c>
      <c r="N14" s="43" t="inlineStr">
        <is>
          <t>Web form only</t>
        </is>
      </c>
      <c r="O14" s="8" t="inlineStr">
        <is>
          <t>https://www.smurfitwestrock.com (westrock.com now 301-redirects to smurfitwestrock.com). Plant has no page of its own - it appears only as an expandable card on https://www.smurfitwestrock.com/locations/united-states</t>
        </is>
      </c>
      <c r="P14" s="8" t="inlineStr">
        <is>
          <t>None verified. I could not confirm a single named sales or estimating contact at this plant. Two unverified leads, both of which should be treated as starting points only, not as people to ask for by name with confidence: (1) "Chris Sickert - Corrugator Plant Manager with Smurfit Westrock" surfaced on LinkedIn with a career history starting as a converting supervisor in 2004 and progressing through corrugator supervisor, general supervisor and plant superintendent - but LinkedIn returned HTTP 999 and blocked verification, so I could NOT confirm he is at the RICHMOND plant specifically, and in any case he is operations, not sales. (2) Buzzfile lists "Pete Widolff, Manager" for this address, but that listing is demonstrably stale (it also claims the site has "approximately 1 employee"), so I would not use that name. Do not ask for either by name on the first call.</t>
        </is>
      </c>
      <c r="Q14" s="8" t="inlineStr">
        <is>
          <t>Yes</t>
        </is>
      </c>
      <c r="R14" s="8" t="inlineStr">
        <is>
          <t>2,500 - 5,000+</t>
        </is>
      </c>
      <c r="S14" s="43" t="inlineStr">
        <is>
          <t>Inferred (integrated)</t>
        </is>
      </c>
      <c r="T14" s="8" t="inlineStr">
        <is>
          <t>160 - 210</t>
        </is>
      </c>
      <c r="U14" s="42">
        <f>'Cost Model'!$D$31</f>
        <v>20.08625</v>
      </c>
      <c r="V14" s="42">
        <f>'Cost Model'!$E$31</f>
        <v>39.4609375</v>
      </c>
      <c r="W14" s="43" t="inlineStr">
        <is>
          <t>Estimate (modelled)</t>
        </is>
      </c>
      <c r="X14" s="8" t="inlineStr">
        <is>
          <t>NO plant-level capability data is published by Smurfit Westrock or any directory - this must be confirmed on the call. What IS established: (1) FULL-LINE CORRUGATOR PLANT, not a sheet plant. This is well evidenced - the plant advertises a "Corrugator Operations Department," hires Corrugator Assistants (Dry/Wet), and employee reviews describe working on the corrugator. That matters because a full-line plant makes its own board and is far more likely to accommodate an unusual 75-inch blank than a sheet plant buying board in. (2) DOUBLE WALL: available at company level - Smurfit Westrock's corrugated page states "single wall to tri wall construction," so double wall is well within range, though not separately confirmed for Richmond. (3) The building is large - roughly 315,696 sq ft per the Richmond BizSense report of the 2010 purchase (Buzzfile's conflicting 147,000 sq ft appears stale). NOT VERIFIED, ASK DIRECTLY: maximum blank/sheet WIDTH (the buyer's 75-inch requirement is the single most important open question - a 75-inch blank needs roughly a 98-inch corrugator plus a flexo folder-gluer or die-cutter that can take that width, and nothing published confirms either); 48ECT availability; stitching capability; minimum order quantity; ISTA lab. On ISTA specifically: the only Smurfit Westrock ISTA-certified labs I could identify are in Hoogeveen, Netherlands and Northampton, UK - there is NO evidence of an ISTA lab at Richmond, so assume there is none until told otherwise. FSC chain-of-custody certification exists at company level, but I could not retrieve a current site list to confirm Richmond is in scope - the legacy westrock.com certification PDFs now return 404 after the rebrand.</t>
        </is>
      </c>
      <c r="Y14" s="8" t="inlineStr">
        <is>
          <t>NOW YOUR ONLY INTEGRATED BENCHMARK - the Baltimore South plant is confirmed closed, so this replaces it. Verification was unusually strong: listed on Smurfit Westrock's own 2026 locations directory, multiple live 2026 job postings at this exact street address including a Converting Production Supervisor and a Corrugator Assistant, and NO Smurfit Westrock entry in Virginia's 2026 WARN filings. Employee reviews reference the corrugator directly, so this is a genuine full-line plant that can definitively answer the 75 in width question. Quote them as your price floor.</t>
        </is>
      </c>
      <c r="Z14" s="8" t="inlineStr">
        <is>
          <t>Least flexible option at 500/yr - expect long lead times and limited interest in a small first run. Two traps: do NOT call (804) 444-1000, the retired legacy WestRock corporate HQ listing, and do NOT send this RFQ to their other Richmond site at 2742 Charles City Road, which is a point-of-sale display shop rather than the box plant.</t>
        </is>
      </c>
    </row>
  </sheetData>
  <autoFilter ref="A4:Z14"/>
  <mergeCells count="2">
    <mergeCell ref="A1:Z1"/>
    <mergeCell ref="A2:Z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6"/>
  <sheetViews>
    <sheetView showGridLines="0" workbookViewId="0">
      <selection activeCell="A1" sqref="A1"/>
    </sheetView>
  </sheetViews>
  <sheetFormatPr baseColWidth="8" defaultRowHeight="15"/>
  <cols>
    <col width="40" customWidth="1" min="1" max="1"/>
    <col width="14" customWidth="1" min="2" max="2"/>
    <col width="13" customWidth="1" min="3" max="3"/>
    <col width="13" customWidth="1" min="4" max="4"/>
    <col width="15" customWidth="1" min="5" max="5"/>
    <col width="16" customWidth="1" min="6" max="6"/>
    <col width="46" customWidth="1" min="7" max="7"/>
    <col width="15" customWidth="1" min="8" max="8"/>
    <col width="17" customWidth="1" min="9" max="9"/>
    <col width="52" customWidth="1" min="10" max="10"/>
  </cols>
  <sheetData>
    <row r="1" ht="22" customHeight="1">
      <c r="A1" s="1" t="inlineStr">
        <is>
          <t>Cost Model - where the price estimates come from</t>
        </is>
      </c>
    </row>
    <row r="2" ht="50" customHeight="1">
      <c r="A2" s="2" t="inlineStr">
        <is>
          <t>Corrugated is priced per MSF (thousand square feet of board), so unit price tracks blank area almost linearly - but at an order of only 100 pieces, SETUP matters as much as board. This tab computes your blank areas, back-calculates real $/MSF from PUBLISHED prices for 48ECT (and 275 lb test, its burst-basis equivalent) double wall, then adds setup at the quantities you are actually buying. Section 4 is the one that matters for this order. Blue cells are inputs; everything else is a live formula. Treat outputs as +/- 30% until a vendor quotes.</t>
        </is>
      </c>
    </row>
    <row r="4" ht="20" customHeight="1">
      <c r="A4" s="27" t="inlineStr">
        <is>
          <t>1.  RSC blank geometry - the driver of everything below</t>
        </is>
      </c>
      <c r="B4" s="22" t="n"/>
      <c r="C4" s="22" t="n"/>
      <c r="D4" s="22" t="n"/>
      <c r="E4" s="22" t="n"/>
      <c r="F4" s="22" t="n"/>
      <c r="G4" s="22" t="n"/>
      <c r="H4" s="22" t="n"/>
      <c r="I4" s="22" t="n"/>
      <c r="J4" s="23" t="n"/>
    </row>
    <row r="5" ht="32" customHeight="1">
      <c r="A5" s="3" t="inlineStr">
        <is>
          <t>SKU</t>
        </is>
      </c>
      <c r="B5" s="3" t="inlineStr">
        <is>
          <t>Inside L (in)</t>
        </is>
      </c>
      <c r="C5" s="3" t="inlineStr">
        <is>
          <t>Inside W (in)</t>
        </is>
      </c>
      <c r="D5" s="3" t="inlineStr">
        <is>
          <t>Inside D (in)</t>
        </is>
      </c>
      <c r="E5" s="3" t="inlineStr">
        <is>
          <t>Glue tab (in)</t>
        </is>
      </c>
      <c r="F5" s="3" t="inlineStr">
        <is>
          <t>Blank length (in)</t>
        </is>
      </c>
      <c r="G5" s="3" t="inlineStr">
        <is>
          <t>Blank width (in)</t>
        </is>
      </c>
      <c r="H5" s="3" t="inlineStr">
        <is>
          <t>Blank area (sq in)</t>
        </is>
      </c>
      <c r="I5" s="3" t="inlineStr">
        <is>
          <t>Board sq ft per box</t>
        </is>
      </c>
      <c r="J5" s="3" t="inlineStr">
        <is>
          <t>Knocked-down flat footprint (in)</t>
        </is>
      </c>
    </row>
    <row r="6">
      <c r="A6" s="49" t="inlineStr">
        <is>
          <t>SKU 1  (39 x 20 x 32 ID)</t>
        </is>
      </c>
      <c r="B6" s="50" t="n">
        <v>39</v>
      </c>
      <c r="C6" s="50" t="n">
        <v>20</v>
      </c>
      <c r="D6" s="50" t="n">
        <v>32</v>
      </c>
      <c r="E6" s="51" t="n">
        <v>1.25</v>
      </c>
      <c r="F6" s="52">
        <f>2*(B6+C6)+E6</f>
        <v>119.25</v>
      </c>
      <c r="G6" s="52">
        <f>D6+C6</f>
        <v>52.0</v>
      </c>
      <c r="H6" s="52">
        <f>F6*G6</f>
        <v>6201.0</v>
      </c>
      <c r="I6" s="53">
        <f>H6/144</f>
        <v>43.0625</v>
      </c>
      <c r="J6" s="54" t="str">
        <f>TEXT(B6+C6+E6,"0.0")&amp;" x "&amp;TEXT(D6+C6,"0.0")</f>
        <v>60.2 x 52.0</v>
      </c>
    </row>
    <row r="7">
      <c r="A7" s="49" t="inlineStr">
        <is>
          <t>SKU 2  (46 x 39 x 36 ID)</t>
        </is>
      </c>
      <c r="B7" s="50" t="n">
        <v>46</v>
      </c>
      <c r="C7" s="50" t="n">
        <v>39</v>
      </c>
      <c r="D7" s="50" t="n">
        <v>36</v>
      </c>
      <c r="E7" s="51" t="n">
        <v>1.25</v>
      </c>
      <c r="F7" s="52">
        <f>2*(B7+C7)+E7</f>
        <v>171.25</v>
      </c>
      <c r="G7" s="52">
        <f>D7+C7</f>
        <v>75.0</v>
      </c>
      <c r="H7" s="52">
        <f>F7*G7</f>
        <v>12843.75</v>
      </c>
      <c r="I7" s="53">
        <f>H7/144</f>
        <v>89.1927083333</v>
      </c>
      <c r="J7" s="54" t="str">
        <f>TEXT(B7+C7+E7,"0.0")&amp;" x "&amp;TEXT(D7+C7,"0.0")</f>
        <v>86.2 x 75.0</v>
      </c>
    </row>
    <row r="8" ht="30" customHeight="1">
      <c r="A8" s="2" t="inlineStr">
        <is>
          <t>Blank length = 2 x (L + W) + glue tab.  Blank width = depth + width (top and bottom flaps together equal one box width).  The knocked-down flat footprint is what actually gets palletised - see Spec Flag SF-4: both SKUs overhang a standard 48 x 40 in pallet.</t>
        </is>
      </c>
    </row>
    <row r="10" ht="20" customHeight="1">
      <c r="A10" s="27" t="inlineStr">
        <is>
          <t>2.  Calibration - $/MSF back-calculated from REAL published prices (48ECT DW, or 275 lb test DW which is its equivalent)</t>
        </is>
      </c>
      <c r="B10" s="22" t="n"/>
      <c r="C10" s="22" t="n"/>
      <c r="D10" s="22" t="n"/>
      <c r="E10" s="22" t="n"/>
      <c r="F10" s="22" t="n"/>
      <c r="G10" s="22" t="n"/>
      <c r="H10" s="22" t="n"/>
      <c r="I10" s="22" t="n"/>
      <c r="J10" s="23" t="n"/>
    </row>
    <row r="11" ht="32" customHeight="1">
      <c r="A11" s="3" t="inlineStr">
        <is>
          <t>Source (published price)</t>
        </is>
      </c>
      <c r="B11" s="3" t="inlineStr">
        <is>
          <t>Size L x W x D (in)</t>
        </is>
      </c>
      <c r="C11" s="3" t="inlineStr">
        <is>
          <t>L</t>
        </is>
      </c>
      <c r="D11" s="3" t="inlineStr">
        <is>
          <t>W</t>
        </is>
      </c>
      <c r="E11" s="3" t="inlineStr">
        <is>
          <t>D</t>
        </is>
      </c>
      <c r="F11" s="3" t="inlineStr">
        <is>
          <t>Qty break</t>
        </is>
      </c>
      <c r="G11" s="3" t="inlineStr">
        <is>
          <t>Published $/box</t>
        </is>
      </c>
      <c r="H11" s="3" t="inlineStr">
        <is>
          <t>Blank sq ft (calc)</t>
        </is>
      </c>
      <c r="I11" s="3" t="inlineStr">
        <is>
          <t>Implied $/MSF (calc)</t>
        </is>
      </c>
      <c r="J11" s="3" t="inlineStr">
        <is>
          <t>Note</t>
        </is>
      </c>
    </row>
    <row r="12" ht="32" customHeight="1">
      <c r="A12" s="8" t="inlineStr">
        <is>
          <t>packagingprice.com, 48ECT DW C-flute kraft</t>
        </is>
      </c>
      <c r="B12" s="55" t="inlineStr">
        <is>
          <t>20 x 20 x 12</t>
        </is>
      </c>
      <c r="C12" s="56" t="n">
        <v>20</v>
      </c>
      <c r="D12" s="56" t="n">
        <v>20</v>
      </c>
      <c r="E12" s="56" t="n">
        <v>12</v>
      </c>
      <c r="F12" s="55" t="inlineStr">
        <is>
          <t>bundle of 10</t>
        </is>
      </c>
      <c r="G12" s="57" t="n">
        <v>6.57</v>
      </c>
      <c r="H12" s="53">
        <f>(2*(C12+D12)+1.25)*(E12+D12)/144</f>
        <v>18.0555555556</v>
      </c>
      <c r="I12" s="58">
        <f>G12/H12*1000</f>
        <v>363.8769230769</v>
      </c>
      <c r="J12" s="8" t="inlineStr">
        <is>
          <t>Stated 48 ECT double wall - exactly your spec. Small-bundle retail.</t>
        </is>
      </c>
    </row>
    <row r="13" ht="32" customHeight="1">
      <c r="A13" s="8" t="inlineStr">
        <is>
          <t>packagingprice.com, 48ECT DW C-flute kraft</t>
        </is>
      </c>
      <c r="B13" s="55" t="inlineStr">
        <is>
          <t>24 x 16 x 16</t>
        </is>
      </c>
      <c r="C13" s="56" t="n">
        <v>24</v>
      </c>
      <c r="D13" s="56" t="n">
        <v>16</v>
      </c>
      <c r="E13" s="56" t="n">
        <v>16</v>
      </c>
      <c r="F13" s="55" t="inlineStr">
        <is>
          <t>bundle of 10</t>
        </is>
      </c>
      <c r="G13" s="57" t="n">
        <v>6.57</v>
      </c>
      <c r="H13" s="53">
        <f>(2*(C13+D13)+1.25)*(E13+D13)/144</f>
        <v>18.0555555556</v>
      </c>
      <c r="I13" s="58">
        <f>G13/H13*1000</f>
        <v>363.8769230769</v>
      </c>
      <c r="J13" s="8" t="inlineStr">
        <is>
          <t>Same board area as the row above and the same price - confirms the blank-area method.</t>
        </is>
      </c>
    </row>
    <row r="14" ht="32" customHeight="1">
      <c r="A14" s="8" t="inlineStr">
        <is>
          <t>packagingprice.com, 48ECT DW C-flute kraft</t>
        </is>
      </c>
      <c r="B14" s="55" t="inlineStr">
        <is>
          <t>20 x 12 x 12</t>
        </is>
      </c>
      <c r="C14" s="56" t="n">
        <v>20</v>
      </c>
      <c r="D14" s="56" t="n">
        <v>12</v>
      </c>
      <c r="E14" s="56" t="n">
        <v>12</v>
      </c>
      <c r="F14" s="55" t="inlineStr">
        <is>
          <t>bundle of 15</t>
        </is>
      </c>
      <c r="G14" s="57" t="n">
        <v>4.01</v>
      </c>
      <c r="H14" s="53">
        <f>(2*(C14+D14)+1.25)*(E14+D14)/144</f>
        <v>10.875</v>
      </c>
      <c r="I14" s="58">
        <f>G14/H14*1000</f>
        <v>368.7356321839</v>
      </c>
      <c r="J14" s="8" t="inlineStr">
        <is>
          <t>Third independent check landing on the same $/MSF.</t>
        </is>
      </c>
    </row>
    <row r="15" ht="32" customHeight="1">
      <c r="A15" s="8" t="inlineStr">
        <is>
          <t>Uline S-19776, 275 lb test DW</t>
        </is>
      </c>
      <c r="B15" s="55" t="inlineStr">
        <is>
          <t>40 x 30 x 30</t>
        </is>
      </c>
      <c r="C15" s="56" t="n">
        <v>40</v>
      </c>
      <c r="D15" s="56" t="n">
        <v>30</v>
      </c>
      <c r="E15" s="56" t="n">
        <v>30</v>
      </c>
      <c r="F15" s="55" t="inlineStr">
        <is>
          <t>5</t>
        </is>
      </c>
      <c r="G15" s="57" t="n">
        <v>26.15</v>
      </c>
      <c r="H15" s="53">
        <f>(2*(C15+D15)+1.25)*(E15+D15)/144</f>
        <v>58.8541666667</v>
      </c>
      <c r="I15" s="58">
        <f>G15/H15*1000</f>
        <v>444.3185840708</v>
      </c>
      <c r="J15" s="8" t="inlineStr">
        <is>
          <t>275 lb burst DW = 48 ECT DW on the standard equivalence tables. Nearest published size to your SKUs.</t>
        </is>
      </c>
    </row>
    <row r="16" ht="32" customHeight="1">
      <c r="A16" s="8" t="inlineStr">
        <is>
          <t>Uline S-19776, 275 lb test DW</t>
        </is>
      </c>
      <c r="B16" s="55" t="inlineStr">
        <is>
          <t>40 x 30 x 30</t>
        </is>
      </c>
      <c r="C16" s="56" t="n">
        <v>40</v>
      </c>
      <c r="D16" s="56" t="n">
        <v>30</v>
      </c>
      <c r="E16" s="56" t="n">
        <v>30</v>
      </c>
      <c r="F16" s="55" t="inlineStr">
        <is>
          <t>500</t>
        </is>
      </c>
      <c r="G16" s="57" t="n">
        <v>22.5</v>
      </c>
      <c r="H16" s="53">
        <f>(2*(C16+D16)+1.25)*(E16+D16)/144</f>
        <v>58.8541666667</v>
      </c>
      <c r="I16" s="58">
        <f>G16/H16*1000</f>
        <v>382.3008849558</v>
      </c>
      <c r="J16" s="8" t="inlineStr">
        <is>
          <t>Same box at 500 pcs - shows how little catalogue pricing moves with volume.</t>
        </is>
      </c>
    </row>
    <row r="17" ht="32" customHeight="1">
      <c r="A17" s="8" t="inlineStr">
        <is>
          <t>Uline S-19776, 275 lb test DW</t>
        </is>
      </c>
      <c r="B17" s="55" t="inlineStr">
        <is>
          <t>40 x 30 x 30</t>
        </is>
      </c>
      <c r="C17" s="56" t="n">
        <v>40</v>
      </c>
      <c r="D17" s="56" t="n">
        <v>30</v>
      </c>
      <c r="E17" s="56" t="n">
        <v>30</v>
      </c>
      <c r="F17" s="55" t="inlineStr">
        <is>
          <t>1,000+</t>
        </is>
      </c>
      <c r="G17" s="57" t="n">
        <v>21.79</v>
      </c>
      <c r="H17" s="53">
        <f>(2*(C17+D17)+1.25)*(E17+D17)/144</f>
        <v>58.8541666667</v>
      </c>
      <c r="I17" s="58">
        <f>G17/H17*1000</f>
        <v>370.2371681416</v>
      </c>
      <c r="J17" s="8" t="inlineStr">
        <is>
          <t>Uline's best price. This is your RETAIL CEILING - any converter quote above it is not competitive.</t>
        </is>
      </c>
    </row>
    <row r="18">
      <c r="A18" s="59" t="inlineStr">
        <is>
          <t>Mean implied $/MSF across all published benchmarks (the retail level):</t>
        </is>
      </c>
      <c r="I18" s="60">
        <f>AVERAGE(I12:I17)</f>
        <v>382.2243525843</v>
      </c>
    </row>
    <row r="19" ht="40" customHeight="1">
      <c r="A19" s="2" t="inlineStr">
        <is>
          <t>Every benchmark lands in a tight band, which is the useful result: retail 48ECT double wall prices out around $360-450/MSF. Buying custom sizes direct from a converter at 500-5,000/yr should come in well under that - a distributor's margin on corrugated is commonly 40-100% over converter-direct.</t>
        </is>
      </c>
    </row>
    <row r="21" ht="20" customHeight="1">
      <c r="A21" s="27" t="inlineStr">
        <is>
          <t>3.  Indicative unit price for YOUR two SKUs</t>
        </is>
      </c>
      <c r="B21" s="22" t="n"/>
      <c r="C21" s="22" t="n"/>
      <c r="D21" s="22" t="n"/>
      <c r="E21" s="22" t="n"/>
      <c r="F21" s="22" t="n"/>
      <c r="G21" s="22" t="n"/>
      <c r="H21" s="22" t="n"/>
      <c r="I21" s="22" t="n"/>
      <c r="J21" s="23" t="n"/>
    </row>
    <row r="22" ht="32" customHeight="1">
      <c r="A22" s="3" t="inlineStr">
        <is>
          <t>Scenario</t>
        </is>
      </c>
      <c r="B22" s="3" t="inlineStr">
        <is>
          <t>$/MSF</t>
        </is>
      </c>
      <c r="C22" s="3" t="inlineStr">
        <is>
          <t>SKU 1 $/box</t>
        </is>
      </c>
      <c r="D22" s="3" t="inlineStr">
        <is>
          <t>SKU 2 $/box</t>
        </is>
      </c>
      <c r="E22" s="3" t="inlineStr">
        <is>
          <t>Combined $ per set</t>
        </is>
      </c>
      <c r="F22" s="3" t="inlineStr">
        <is>
          <t>vs retail ceiling</t>
        </is>
      </c>
      <c r="G22" s="3" t="inlineStr">
        <is>
          <t>Who this looks like</t>
        </is>
      </c>
    </row>
    <row r="23" ht="34" customHeight="1">
      <c r="A23" s="8" t="inlineStr">
        <is>
          <t>Retail ceiling (catalogue, do not pay this)</t>
        </is>
      </c>
      <c r="B23" s="61" t="n">
        <v>410</v>
      </c>
      <c r="C23" s="62">
        <f>$I$6/1000*B23</f>
        <v>17.655625</v>
      </c>
      <c r="D23" s="62">
        <f>$I$7/1000*B23</f>
        <v>36.5690104167</v>
      </c>
      <c r="E23" s="62">
        <f>C23+D23</f>
        <v>54.2246354167</v>
      </c>
      <c r="F23" s="63">
        <f>B23/$B$23-1</f>
        <v>0.0</v>
      </c>
      <c r="G23" s="8" t="inlineStr">
        <is>
          <t>Uline / packagingprice.com level - the number to beat.</t>
        </is>
      </c>
    </row>
    <row r="24" ht="34" customHeight="1">
      <c r="A24" s="8" t="inlineStr">
        <is>
          <t>Distributor / broker</t>
        </is>
      </c>
      <c r="B24" s="61" t="n">
        <v>320</v>
      </c>
      <c r="C24" s="62">
        <f>$I$6/1000*B24</f>
        <v>13.78</v>
      </c>
      <c r="D24" s="62">
        <f>$I$7/1000*B24</f>
        <v>28.5416666667</v>
      </c>
      <c r="E24" s="62">
        <f>C24+D24</f>
        <v>42.3216666667</v>
      </c>
      <c r="F24" s="63">
        <f>B24/$B$23-1</f>
        <v>-0.2195121951</v>
      </c>
      <c r="G24" s="8" t="inlineStr">
        <is>
          <t>A packaging distributor reselling a converter's box. Still too high at your volume.</t>
        </is>
      </c>
    </row>
    <row r="25" ht="34" customHeight="1">
      <c r="A25" s="8" t="inlineStr">
        <is>
          <t>Converter direct - conservative</t>
        </is>
      </c>
      <c r="B25" s="61" t="n">
        <v>260</v>
      </c>
      <c r="C25" s="62">
        <f>$I$6/1000*B25</f>
        <v>11.19625</v>
      </c>
      <c r="D25" s="62">
        <f>$I$7/1000*B25</f>
        <v>23.1901041667</v>
      </c>
      <c r="E25" s="62">
        <f>C25+D25</f>
        <v>34.3863541667</v>
      </c>
      <c r="F25" s="63">
        <f>B25/$B$23-1</f>
        <v>-0.3658536585</v>
      </c>
      <c r="G25" s="8" t="inlineStr">
        <is>
          <t>A small independent sheet plant at the 500/yr end, non-stock size, no commitment.</t>
        </is>
      </c>
    </row>
    <row r="26" ht="34" customHeight="1">
      <c r="A26" s="35" t="inlineStr">
        <is>
          <t>Converter direct - expected (USE THIS)</t>
        </is>
      </c>
      <c r="B26" s="61" t="n">
        <v>220</v>
      </c>
      <c r="C26" s="64">
        <f>$I$6/1000*B26</f>
        <v>9.47375</v>
      </c>
      <c r="D26" s="64">
        <f>$I$7/1000*B26</f>
        <v>19.6223958333</v>
      </c>
      <c r="E26" s="64">
        <f>C26+D26</f>
        <v>29.0961458333</v>
      </c>
      <c r="F26" s="65">
        <f>B26/$B$23-1</f>
        <v>-0.4634146341</v>
      </c>
      <c r="G26" s="36" t="inlineStr">
        <is>
          <t>Most likely landing zone: an independent at 1,000-2,500/yr on a blanket order. Basis for the green price cells.</t>
        </is>
      </c>
    </row>
    <row r="27" ht="34" customHeight="1">
      <c r="A27" s="8" t="inlineStr">
        <is>
          <t>Converter direct - aggressive</t>
        </is>
      </c>
      <c r="B27" s="61" t="n">
        <v>180</v>
      </c>
      <c r="C27" s="62">
        <f>$I$6/1000*B27</f>
        <v>7.75125</v>
      </c>
      <c r="D27" s="62">
        <f>$I$7/1000*B27</f>
        <v>16.0546875</v>
      </c>
      <c r="E27" s="62">
        <f>C27+D27</f>
        <v>23.8059375</v>
      </c>
      <c r="F27" s="63">
        <f>B27/$B$23-1</f>
        <v>-0.5609756098</v>
      </c>
      <c r="G27" s="8" t="inlineStr">
        <is>
          <t>Mill-backed (GBP) or integrated (Smurfit Westrock) at 5,000/yr on contract.</t>
        </is>
      </c>
    </row>
    <row r="29" ht="20" customHeight="1">
      <c r="A29" s="27" t="inlineStr">
        <is>
          <t>4.  What 100 pieces actually costs - setup included, because at this quantity it dominates</t>
        </is>
      </c>
      <c r="B29" s="22" t="n"/>
      <c r="C29" s="22" t="n"/>
      <c r="D29" s="22" t="n"/>
      <c r="E29" s="22" t="n"/>
      <c r="F29" s="22" t="n"/>
      <c r="G29" s="22" t="n"/>
      <c r="H29" s="22" t="n"/>
      <c r="I29" s="22" t="n"/>
      <c r="J29" s="23" t="n"/>
    </row>
    <row r="30" ht="32" customHeight="1">
      <c r="A30" s="3" t="inlineStr">
        <is>
          <t>Order quantity (each SKU)</t>
        </is>
      </c>
      <c r="B30" s="3" t="inlineStr">
        <is>
          <t>$/MSF at this qty</t>
        </is>
      </c>
      <c r="C30" s="3" t="inlineStr">
        <is>
          <t>Setup per SKU</t>
        </is>
      </c>
      <c r="D30" s="3" t="inlineStr">
        <is>
          <t>SKU 1 $/box</t>
        </is>
      </c>
      <c r="E30" s="3" t="inlineStr">
        <is>
          <t>SKU 2 $/box</t>
        </is>
      </c>
      <c r="F30" s="3" t="inlineStr">
        <is>
          <t>TOTAL for both SKUs</t>
        </is>
      </c>
      <c r="G30" s="3" t="inlineStr">
        <is>
          <t>Note</t>
        </is>
      </c>
    </row>
    <row r="31" ht="46" customHeight="1">
      <c r="A31" s="66" t="n">
        <v>100</v>
      </c>
      <c r="B31" s="61" t="n">
        <v>420</v>
      </c>
      <c r="C31" s="61" t="n">
        <v>200</v>
      </c>
      <c r="D31" s="67">
        <f>$I$6/1000*B31+C31/A31</f>
        <v>20.08625</v>
      </c>
      <c r="E31" s="67">
        <f>$I$7/1000*B31+C31/A31</f>
        <v>39.4609375</v>
      </c>
      <c r="F31" s="68">
        <f>A31*(D31+E31)</f>
        <v>5954.71875</v>
      </c>
      <c r="G31" s="36" t="inlineStr">
        <is>
          <t>YOUR ORDER. Small runs price near retail per square foot AND carry setup, so unit cost is roughly double the program-volume number. Atlas Container is the only vendor here publishing a 100-piece minimum.</t>
        </is>
      </c>
    </row>
    <row r="32" ht="46" customHeight="1">
      <c r="A32" s="66" t="n">
        <v>250</v>
      </c>
      <c r="B32" s="61" t="n">
        <v>380</v>
      </c>
      <c r="C32" s="61" t="n">
        <v>200</v>
      </c>
      <c r="D32" s="62">
        <f>$I$6/1000*B32+C32/A32</f>
        <v>17.16375</v>
      </c>
      <c r="E32" s="62">
        <f>$I$7/1000*B32+C32/A32</f>
        <v>34.6932291667</v>
      </c>
      <c r="F32" s="58">
        <f>A32*(D32+E32)</f>
        <v>12964.2447916667</v>
      </c>
      <c r="G32" s="8" t="inlineStr">
        <is>
          <t>Setup spreads over 2.5x the units. Note how little the total rises - this is why R7 asks for 250 and 500 pricing.</t>
        </is>
      </c>
    </row>
    <row r="33" ht="46" customHeight="1">
      <c r="A33" s="66" t="n">
        <v>500</v>
      </c>
      <c r="B33" s="61" t="n">
        <v>340</v>
      </c>
      <c r="C33" s="61" t="n">
        <v>200</v>
      </c>
      <c r="D33" s="62">
        <f>$I$6/1000*B33+C33/A33</f>
        <v>15.04125</v>
      </c>
      <c r="E33" s="62">
        <f>$I$7/1000*B33+C33/A33</f>
        <v>30.7255208333</v>
      </c>
      <c r="F33" s="58">
        <f>A33*(D33+E33)</f>
        <v>22883.3854166667</v>
      </c>
      <c r="G33" s="8" t="inlineStr">
        <is>
          <t>The point where a converter starts treating you as a normal order rather than a favour.</t>
        </is>
      </c>
    </row>
    <row r="34" ht="46" customHeight="1">
      <c r="A34" s="66" t="n">
        <v>1000</v>
      </c>
      <c r="B34" s="61" t="n">
        <v>280</v>
      </c>
      <c r="C34" s="61" t="n">
        <v>200</v>
      </c>
      <c r="D34" s="62">
        <f>$I$6/1000*B34+C34/A34</f>
        <v>12.2575</v>
      </c>
      <c r="E34" s="62">
        <f>$I$7/1000*B34+C34/A34</f>
        <v>25.1739583333</v>
      </c>
      <c r="F34" s="58">
        <f>A34*(D34+E34)</f>
        <v>37431.4583333333</v>
      </c>
      <c r="G34" s="8" t="inlineStr">
        <is>
          <t>Shown for reference only. If a program ever follows, this is the shape of it.</t>
        </is>
      </c>
    </row>
    <row r="36" ht="62" customHeight="1">
      <c r="A36" s="2" t="inlineStr">
        <is>
          <t>THE SETUP CHARGE IS AN ESTIMATE AND IT IS THE BIGGEST UNKNOWN HERE. A plain unprinted RSC needs no printing plates and usually no cutting die, so $200 per SKU is a reasonable working figure - but some plants apply a flat minimum-order value ($500-1,000) instead, which at 100 pieces would change the totals materially. That is exactly why R14 asks for setup to be quoted SEPARATELY from unit price: without that split you cannot tell a cheap box with an expensive setup from the reverse. FREIGHT IS STILL EXCLUDED - both SKUs ship as oversized flats (SKU 2 is about 86 x 75 in), so ask for it as its own line (R10) and compare on landed cost.</t>
        </is>
      </c>
    </row>
  </sheetData>
  <mergeCells count="10">
    <mergeCell ref="A18:H18"/>
    <mergeCell ref="A1:J1"/>
    <mergeCell ref="A36:J36"/>
    <mergeCell ref="A8:J8"/>
    <mergeCell ref="A21:J21"/>
    <mergeCell ref="A29:J29"/>
    <mergeCell ref="A4:J4"/>
    <mergeCell ref="A2:J2"/>
    <mergeCell ref="A10:J10"/>
    <mergeCell ref="A19:J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4" customWidth="1" min="1" max="1"/>
    <col width="18" customWidth="1" min="2" max="2"/>
    <col width="5.5" customWidth="1" min="3" max="3"/>
    <col width="5.5" customWidth="1" min="4" max="4"/>
    <col width="5.5" customWidth="1" min="5" max="5"/>
    <col width="5.5" customWidth="1" min="6" max="6"/>
    <col width="5.5" customWidth="1" min="7" max="7"/>
    <col width="5.5" customWidth="1" min="8" max="8"/>
    <col width="5.5" customWidth="1" min="9" max="9"/>
    <col width="5.5" customWidth="1" min="10" max="10"/>
    <col width="5.5" customWidth="1" min="11" max="11"/>
    <col width="5.5" customWidth="1" min="12" max="12"/>
    <col width="5.5" customWidth="1" min="13" max="13"/>
    <col width="5.5" customWidth="1" min="14" max="14"/>
    <col width="5.5" customWidth="1" min="15" max="15"/>
    <col width="5.5" customWidth="1" min="16" max="16"/>
    <col width="5.5" customWidth="1" min="17" max="17"/>
    <col width="20" customWidth="1" min="18" max="18"/>
    <col width="26" customWidth="1" min="19" max="19"/>
  </cols>
  <sheetData>
    <row r="1" ht="22" customHeight="1">
      <c r="A1" s="1" t="inlineStr">
        <is>
          <t>Qualification Matrix</t>
        </is>
      </c>
    </row>
    <row r="2" ht="44" customHeight="1">
      <c r="A2" s="2" t="inlineStr">
        <is>
          <t>Legend:  C = confirmed on a public source  |  L = likely / industry-typical for this class of plant but NOT stated  |  A = must ASK on the call  |  N = no / not applicable  |  n/a = not relevant.   Nothing marked L or A is a capability until a supplier confirms it. Column G is the one that ends conversations - ask it first.</t>
        </is>
      </c>
    </row>
    <row r="4" ht="104" customHeight="1">
      <c r="A4" s="3" t="inlineStr">
        <is>
          <t>Company</t>
        </is>
      </c>
      <c r="B4" s="3" t="inlineStr">
        <is>
          <t>City, State</t>
        </is>
      </c>
      <c r="C4" s="69" t="inlineStr">
        <is>
          <t>In-house corrugator (vs. buys sheets)</t>
        </is>
      </c>
      <c r="D4" s="69" t="inlineStr">
        <is>
          <t>Double wall / heavy duty confirmed</t>
        </is>
      </c>
      <c r="E4" s="69" t="inlineStr">
        <is>
          <t>48ECT specifically confirmed</t>
        </is>
      </c>
      <c r="F4" s="69" t="inlineStr">
        <is>
          <t>Triple wall available (fallback)</t>
        </is>
      </c>
      <c r="G4" s="69" t="inlineStr">
        <is>
          <t>Takes 75in wide blank (SKU 2)</t>
        </is>
      </c>
      <c r="H4" s="69" t="inlineStr">
        <is>
          <t>Extra-large box experience</t>
        </is>
      </c>
      <c r="I4" s="69" t="inlineStr">
        <is>
          <t>Stitched closure available</t>
        </is>
      </c>
      <c r="J4" s="69" t="inlineStr">
        <is>
          <t>MOQ 500 or below</t>
        </is>
      </c>
      <c r="K4" s="69" t="inlineStr">
        <is>
          <t>Structural design + physical samples</t>
        </is>
      </c>
      <c r="L4" s="69" t="inlineStr">
        <is>
          <t>In-house ISTA / package test lab</t>
        </is>
      </c>
      <c r="M4" s="69" t="inlineStr">
        <is>
          <t>Certifies ECT / BCT on a CoC</t>
        </is>
      </c>
      <c r="N4" s="69" t="inlineStr">
        <is>
          <t>FSC or SFI chain of custody</t>
        </is>
      </c>
      <c r="O4" s="69" t="inlineStr">
        <is>
          <t>ISO 9001 / BRCGS / other QMS</t>
        </is>
      </c>
      <c r="P4" s="69" t="inlineStr">
        <is>
          <t>Own delivery fleet into NoVA</t>
        </is>
      </c>
      <c r="Q4" s="69" t="inlineStr">
        <is>
          <t>Holds stock / blanket releases</t>
        </is>
      </c>
      <c r="R4" s="3" t="inlineStr">
        <is>
          <t>Overall confidence</t>
        </is>
      </c>
      <c r="S4" s="3" t="inlineStr">
        <is>
          <t>Priority</t>
        </is>
      </c>
    </row>
    <row r="5" ht="30" customHeight="1">
      <c r="A5" s="33" t="inlineStr">
        <is>
          <t>Atlas Container Corp.</t>
        </is>
      </c>
      <c r="B5" s="8" t="inlineStr">
        <is>
          <t>Severn, MD</t>
        </is>
      </c>
      <c r="C5" s="70" t="inlineStr">
        <is>
          <t>A</t>
        </is>
      </c>
      <c r="D5" s="70" t="inlineStr">
        <is>
          <t>A</t>
        </is>
      </c>
      <c r="E5" s="70" t="inlineStr">
        <is>
          <t>A</t>
        </is>
      </c>
      <c r="F5" s="70" t="inlineStr">
        <is>
          <t>A</t>
        </is>
      </c>
      <c r="G5" s="70" t="inlineStr">
        <is>
          <t>A</t>
        </is>
      </c>
      <c r="H5" s="71" t="inlineStr">
        <is>
          <t>L</t>
        </is>
      </c>
      <c r="I5" s="71" t="inlineStr">
        <is>
          <t>L</t>
        </is>
      </c>
      <c r="J5" s="72" t="inlineStr">
        <is>
          <t>C</t>
        </is>
      </c>
      <c r="K5" s="72" t="inlineStr">
        <is>
          <t>C</t>
        </is>
      </c>
      <c r="L5" s="70" t="inlineStr">
        <is>
          <t>A</t>
        </is>
      </c>
      <c r="M5" s="70" t="inlineStr">
        <is>
          <t>A</t>
        </is>
      </c>
      <c r="N5" s="70" t="inlineStr">
        <is>
          <t>A</t>
        </is>
      </c>
      <c r="O5" s="70" t="inlineStr">
        <is>
          <t>A</t>
        </is>
      </c>
      <c r="P5" s="70" t="inlineStr">
        <is>
          <t>A</t>
        </is>
      </c>
      <c r="Q5" s="71" t="inlineStr">
        <is>
          <t>L</t>
        </is>
      </c>
      <c r="R5" s="8" t="inlineStr">
        <is>
          <t>High</t>
        </is>
      </c>
      <c r="S5" s="8" t="inlineStr">
        <is>
          <t>1 - Call first</t>
        </is>
      </c>
    </row>
    <row r="6" ht="30" customHeight="1">
      <c r="A6" s="33" t="inlineStr">
        <is>
          <t>Columbia Container Corp.</t>
        </is>
      </c>
      <c r="B6" s="8" t="inlineStr">
        <is>
          <t>Baltimore, MD</t>
        </is>
      </c>
      <c r="C6" s="70" t="inlineStr">
        <is>
          <t>A</t>
        </is>
      </c>
      <c r="D6" s="72" t="inlineStr">
        <is>
          <t>C</t>
        </is>
      </c>
      <c r="E6" s="70" t="inlineStr">
        <is>
          <t>A</t>
        </is>
      </c>
      <c r="F6" s="70" t="inlineStr">
        <is>
          <t>A</t>
        </is>
      </c>
      <c r="G6" s="70" t="inlineStr">
        <is>
          <t>A</t>
        </is>
      </c>
      <c r="H6" s="71" t="inlineStr">
        <is>
          <t>L</t>
        </is>
      </c>
      <c r="I6" s="71" t="inlineStr">
        <is>
          <t>L</t>
        </is>
      </c>
      <c r="J6" s="71" t="inlineStr">
        <is>
          <t>L</t>
        </is>
      </c>
      <c r="K6" s="72" t="inlineStr">
        <is>
          <t>C</t>
        </is>
      </c>
      <c r="L6" s="70" t="inlineStr">
        <is>
          <t>A</t>
        </is>
      </c>
      <c r="M6" s="71" t="inlineStr">
        <is>
          <t>L</t>
        </is>
      </c>
      <c r="N6" s="70" t="inlineStr">
        <is>
          <t>A</t>
        </is>
      </c>
      <c r="O6" s="70" t="inlineStr">
        <is>
          <t>A</t>
        </is>
      </c>
      <c r="P6" s="70" t="inlineStr">
        <is>
          <t>A</t>
        </is>
      </c>
      <c r="Q6" s="70" t="inlineStr">
        <is>
          <t>A</t>
        </is>
      </c>
      <c r="R6" s="8" t="inlineStr">
        <is>
          <t>High</t>
        </is>
      </c>
      <c r="S6" s="8" t="inlineStr">
        <is>
          <t>3 - Call first</t>
        </is>
      </c>
    </row>
    <row r="7" ht="30" customHeight="1">
      <c r="A7" s="33" t="inlineStr">
        <is>
          <t>Commercial-Wagner, Inc.</t>
        </is>
      </c>
      <c r="B7" s="8" t="inlineStr">
        <is>
          <t>Baltimore, MD</t>
        </is>
      </c>
      <c r="C7" s="70" t="inlineStr">
        <is>
          <t>A</t>
        </is>
      </c>
      <c r="D7" s="71" t="inlineStr">
        <is>
          <t>L</t>
        </is>
      </c>
      <c r="E7" s="70" t="inlineStr">
        <is>
          <t>A</t>
        </is>
      </c>
      <c r="F7" s="71" t="inlineStr">
        <is>
          <t>L</t>
        </is>
      </c>
      <c r="G7" s="71" t="inlineStr">
        <is>
          <t>L</t>
        </is>
      </c>
      <c r="H7" s="72" t="inlineStr">
        <is>
          <t>C</t>
        </is>
      </c>
      <c r="I7" s="72" t="inlineStr">
        <is>
          <t>C</t>
        </is>
      </c>
      <c r="J7" s="71" t="inlineStr">
        <is>
          <t>L</t>
        </is>
      </c>
      <c r="K7" s="70" t="inlineStr">
        <is>
          <t>A</t>
        </is>
      </c>
      <c r="L7" s="70" t="inlineStr">
        <is>
          <t>A</t>
        </is>
      </c>
      <c r="M7" s="70" t="inlineStr">
        <is>
          <t>A</t>
        </is>
      </c>
      <c r="N7" s="70" t="inlineStr">
        <is>
          <t>A</t>
        </is>
      </c>
      <c r="O7" s="70" t="inlineStr">
        <is>
          <t>A</t>
        </is>
      </c>
      <c r="P7" s="72" t="inlineStr">
        <is>
          <t>C</t>
        </is>
      </c>
      <c r="Q7" s="72" t="inlineStr">
        <is>
          <t>C</t>
        </is>
      </c>
      <c r="R7" s="8" t="inlineStr">
        <is>
          <t>High</t>
        </is>
      </c>
      <c r="S7" s="8" t="inlineStr">
        <is>
          <t>2 - Call first</t>
        </is>
      </c>
    </row>
    <row r="8" ht="30" customHeight="1">
      <c r="A8" s="33" t="inlineStr">
        <is>
          <t>Packaging Services Industries, Inc. (PSI)</t>
        </is>
      </c>
      <c r="B8" s="8" t="inlineStr">
        <is>
          <t>Williamsport, MD</t>
        </is>
      </c>
      <c r="C8" s="72" t="inlineStr">
        <is>
          <t>C</t>
        </is>
      </c>
      <c r="D8" s="71" t="inlineStr">
        <is>
          <t>L</t>
        </is>
      </c>
      <c r="E8" s="70" t="inlineStr">
        <is>
          <t>A</t>
        </is>
      </c>
      <c r="F8" s="70" t="inlineStr">
        <is>
          <t>A</t>
        </is>
      </c>
      <c r="G8" s="71" t="inlineStr">
        <is>
          <t>L</t>
        </is>
      </c>
      <c r="H8" s="71" t="inlineStr">
        <is>
          <t>L</t>
        </is>
      </c>
      <c r="I8" s="71" t="inlineStr">
        <is>
          <t>L</t>
        </is>
      </c>
      <c r="J8" s="70" t="inlineStr">
        <is>
          <t>A</t>
        </is>
      </c>
      <c r="K8" s="72" t="inlineStr">
        <is>
          <t>C</t>
        </is>
      </c>
      <c r="L8" s="70" t="inlineStr">
        <is>
          <t>A</t>
        </is>
      </c>
      <c r="M8" s="70" t="inlineStr">
        <is>
          <t>A</t>
        </is>
      </c>
      <c r="N8" s="70" t="inlineStr">
        <is>
          <t>A</t>
        </is>
      </c>
      <c r="O8" s="70" t="inlineStr">
        <is>
          <t>A</t>
        </is>
      </c>
      <c r="P8" s="72" t="inlineStr">
        <is>
          <t>C</t>
        </is>
      </c>
      <c r="Q8" s="71" t="inlineStr">
        <is>
          <t>L</t>
        </is>
      </c>
      <c r="R8" s="8" t="inlineStr">
        <is>
          <t>High</t>
        </is>
      </c>
      <c r="S8" s="8" t="inlineStr">
        <is>
          <t>5 - Call first</t>
        </is>
      </c>
    </row>
    <row r="9" ht="30" customHeight="1">
      <c r="A9" s="33" t="inlineStr">
        <is>
          <t>Green Bay Packaging - Baltimore Division</t>
        </is>
      </c>
      <c r="B9" s="8" t="inlineStr">
        <is>
          <t>Hunt Valley, MD</t>
        </is>
      </c>
      <c r="C9" s="72" t="inlineStr">
        <is>
          <t>C</t>
        </is>
      </c>
      <c r="D9" s="72" t="inlineStr">
        <is>
          <t>C</t>
        </is>
      </c>
      <c r="E9" s="70" t="inlineStr">
        <is>
          <t>A</t>
        </is>
      </c>
      <c r="F9" s="71" t="inlineStr">
        <is>
          <t>L</t>
        </is>
      </c>
      <c r="G9" s="72" t="inlineStr">
        <is>
          <t>C</t>
        </is>
      </c>
      <c r="H9" s="71" t="inlineStr">
        <is>
          <t>L</t>
        </is>
      </c>
      <c r="I9" s="71" t="inlineStr">
        <is>
          <t>L</t>
        </is>
      </c>
      <c r="J9" s="73" t="inlineStr">
        <is>
          <t>N</t>
        </is>
      </c>
      <c r="K9" s="72" t="inlineStr">
        <is>
          <t>C</t>
        </is>
      </c>
      <c r="L9" s="72" t="inlineStr">
        <is>
          <t>C</t>
        </is>
      </c>
      <c r="M9" s="72" t="inlineStr">
        <is>
          <t>C</t>
        </is>
      </c>
      <c r="N9" s="71" t="inlineStr">
        <is>
          <t>L</t>
        </is>
      </c>
      <c r="O9" s="72" t="inlineStr">
        <is>
          <t>C</t>
        </is>
      </c>
      <c r="P9" s="71" t="inlineStr">
        <is>
          <t>L</t>
        </is>
      </c>
      <c r="Q9" s="70" t="inlineStr">
        <is>
          <t>A</t>
        </is>
      </c>
      <c r="R9" s="8" t="inlineStr">
        <is>
          <t>High</t>
        </is>
      </c>
      <c r="S9" s="8" t="inlineStr">
        <is>
          <t>4 - Best board + test data</t>
        </is>
      </c>
    </row>
    <row r="10" ht="30" customHeight="1">
      <c r="A10" s="33" t="inlineStr">
        <is>
          <t>Keystone Sheets (Buckeye Corrugated / Corrugated Partners Group)</t>
        </is>
      </c>
      <c r="B10" s="8" t="inlineStr">
        <is>
          <t>Chambersburg, PA</t>
        </is>
      </c>
      <c r="C10" s="72" t="inlineStr">
        <is>
          <t>C</t>
        </is>
      </c>
      <c r="D10" s="72" t="inlineStr">
        <is>
          <t>C</t>
        </is>
      </c>
      <c r="E10" s="70" t="inlineStr">
        <is>
          <t>A</t>
        </is>
      </c>
      <c r="F10" s="72" t="inlineStr">
        <is>
          <t>C</t>
        </is>
      </c>
      <c r="G10" s="72" t="inlineStr">
        <is>
          <t>C</t>
        </is>
      </c>
      <c r="H10" s="74" t="inlineStr">
        <is>
          <t>n/a</t>
        </is>
      </c>
      <c r="I10" s="74" t="inlineStr">
        <is>
          <t>n/a</t>
        </is>
      </c>
      <c r="J10" s="74" t="inlineStr">
        <is>
          <t>n/a</t>
        </is>
      </c>
      <c r="K10" s="74" t="inlineStr">
        <is>
          <t>n/a</t>
        </is>
      </c>
      <c r="L10" s="70" t="inlineStr">
        <is>
          <t>A</t>
        </is>
      </c>
      <c r="M10" s="70" t="inlineStr">
        <is>
          <t>A</t>
        </is>
      </c>
      <c r="N10" s="70" t="inlineStr">
        <is>
          <t>A</t>
        </is>
      </c>
      <c r="O10" s="70" t="inlineStr">
        <is>
          <t>A</t>
        </is>
      </c>
      <c r="P10" s="73" t="inlineStr">
        <is>
          <t>N</t>
        </is>
      </c>
      <c r="Q10" s="70" t="inlineStr">
        <is>
          <t>A</t>
        </is>
      </c>
      <c r="R10" s="8" t="inlineStr">
        <is>
          <t>Medium</t>
        </is>
      </c>
      <c r="S10" s="8" t="inlineStr">
        <is>
          <t>6 - Board source only</t>
        </is>
      </c>
    </row>
    <row r="11" ht="30" customHeight="1">
      <c r="A11" s="33" t="inlineStr">
        <is>
          <t>Craters &amp; Freighters Northern Virginia</t>
        </is>
      </c>
      <c r="B11" s="8" t="inlineStr">
        <is>
          <t>Sterling, VA</t>
        </is>
      </c>
      <c r="C11" s="73" t="inlineStr">
        <is>
          <t>N</t>
        </is>
      </c>
      <c r="D11" s="72" t="inlineStr">
        <is>
          <t>C</t>
        </is>
      </c>
      <c r="E11" s="73" t="inlineStr">
        <is>
          <t>N</t>
        </is>
      </c>
      <c r="F11" s="73" t="inlineStr">
        <is>
          <t>N</t>
        </is>
      </c>
      <c r="G11" s="72" t="inlineStr">
        <is>
          <t>C</t>
        </is>
      </c>
      <c r="H11" s="72" t="inlineStr">
        <is>
          <t>C</t>
        </is>
      </c>
      <c r="I11" s="73" t="inlineStr">
        <is>
          <t>N</t>
        </is>
      </c>
      <c r="J11" s="72" t="inlineStr">
        <is>
          <t>C</t>
        </is>
      </c>
      <c r="K11" s="70" t="inlineStr">
        <is>
          <t>A</t>
        </is>
      </c>
      <c r="L11" s="73" t="inlineStr">
        <is>
          <t>N</t>
        </is>
      </c>
      <c r="M11" s="73" t="inlineStr">
        <is>
          <t>N</t>
        </is>
      </c>
      <c r="N11" s="70" t="inlineStr">
        <is>
          <t>A</t>
        </is>
      </c>
      <c r="O11" s="70" t="inlineStr">
        <is>
          <t>A</t>
        </is>
      </c>
      <c r="P11" s="72" t="inlineStr">
        <is>
          <t>C</t>
        </is>
      </c>
      <c r="Q11" s="73" t="inlineStr">
        <is>
          <t>N</t>
        </is>
      </c>
      <c r="R11" s="8" t="inlineStr">
        <is>
          <t>High</t>
        </is>
      </c>
      <c r="S11" s="8" t="inlineStr">
        <is>
          <t>8 - Prototypes only</t>
        </is>
      </c>
    </row>
    <row r="12" ht="30" customHeight="1">
      <c r="A12" s="33" t="inlineStr">
        <is>
          <t>Atlantic Corrugated Box Company, Inc.</t>
        </is>
      </c>
      <c r="B12" s="8" t="inlineStr">
        <is>
          <t>Richmond, VA</t>
        </is>
      </c>
      <c r="C12" s="70" t="inlineStr">
        <is>
          <t>A</t>
        </is>
      </c>
      <c r="D12" s="70" t="inlineStr">
        <is>
          <t>A</t>
        </is>
      </c>
      <c r="E12" s="70" t="inlineStr">
        <is>
          <t>A</t>
        </is>
      </c>
      <c r="F12" s="70" t="inlineStr">
        <is>
          <t>A</t>
        </is>
      </c>
      <c r="G12" s="70" t="inlineStr">
        <is>
          <t>A</t>
        </is>
      </c>
      <c r="H12" s="70" t="inlineStr">
        <is>
          <t>A</t>
        </is>
      </c>
      <c r="I12" s="70" t="inlineStr">
        <is>
          <t>A</t>
        </is>
      </c>
      <c r="J12" s="71" t="inlineStr">
        <is>
          <t>L</t>
        </is>
      </c>
      <c r="K12" s="72" t="inlineStr">
        <is>
          <t>C</t>
        </is>
      </c>
      <c r="L12" s="70" t="inlineStr">
        <is>
          <t>A</t>
        </is>
      </c>
      <c r="M12" s="70" t="inlineStr">
        <is>
          <t>A</t>
        </is>
      </c>
      <c r="N12" s="70" t="inlineStr">
        <is>
          <t>A</t>
        </is>
      </c>
      <c r="O12" s="70" t="inlineStr">
        <is>
          <t>A</t>
        </is>
      </c>
      <c r="P12" s="70" t="inlineStr">
        <is>
          <t>A</t>
        </is>
      </c>
      <c r="Q12" s="70" t="inlineStr">
        <is>
          <t>A</t>
        </is>
      </c>
      <c r="R12" s="8" t="inlineStr">
        <is>
          <t>Medium</t>
        </is>
      </c>
      <c r="S12" s="8" t="inlineStr">
        <is>
          <t>9 - Price check</t>
        </is>
      </c>
    </row>
    <row r="13" ht="30" customHeight="1">
      <c r="A13" s="33" t="inlineStr">
        <is>
          <t>Hood Container - Richmond (was Richmond Corrugated Box Co.)</t>
        </is>
      </c>
      <c r="B13" s="8" t="inlineStr">
        <is>
          <t>Sandston, VA</t>
        </is>
      </c>
      <c r="C13" s="70" t="inlineStr">
        <is>
          <t>A</t>
        </is>
      </c>
      <c r="D13" s="70" t="inlineStr">
        <is>
          <t>A</t>
        </is>
      </c>
      <c r="E13" s="70" t="inlineStr">
        <is>
          <t>A</t>
        </is>
      </c>
      <c r="F13" s="70" t="inlineStr">
        <is>
          <t>A</t>
        </is>
      </c>
      <c r="G13" s="70" t="inlineStr">
        <is>
          <t>A</t>
        </is>
      </c>
      <c r="H13" s="70" t="inlineStr">
        <is>
          <t>A</t>
        </is>
      </c>
      <c r="I13" s="70" t="inlineStr">
        <is>
          <t>A</t>
        </is>
      </c>
      <c r="J13" s="70" t="inlineStr">
        <is>
          <t>A</t>
        </is>
      </c>
      <c r="K13" s="70" t="inlineStr">
        <is>
          <t>A</t>
        </is>
      </c>
      <c r="L13" s="70" t="inlineStr">
        <is>
          <t>A</t>
        </is>
      </c>
      <c r="M13" s="71" t="inlineStr">
        <is>
          <t>L</t>
        </is>
      </c>
      <c r="N13" s="70" t="inlineStr">
        <is>
          <t>A</t>
        </is>
      </c>
      <c r="O13" s="70" t="inlineStr">
        <is>
          <t>A</t>
        </is>
      </c>
      <c r="P13" s="71" t="inlineStr">
        <is>
          <t>L</t>
        </is>
      </c>
      <c r="Q13" s="71" t="inlineStr">
        <is>
          <t>L</t>
        </is>
      </c>
      <c r="R13" s="8" t="inlineStr">
        <is>
          <t>Medium - now Hood</t>
        </is>
      </c>
      <c r="S13" s="8" t="inlineStr">
        <is>
          <t>10 - Price check</t>
        </is>
      </c>
    </row>
    <row r="14" ht="30" customHeight="1">
      <c r="A14" s="33" t="inlineStr">
        <is>
          <t>Smurfit Westrock - Richmond Box Plant</t>
        </is>
      </c>
      <c r="B14" s="8" t="inlineStr">
        <is>
          <t>Richmond, VA</t>
        </is>
      </c>
      <c r="C14" s="72" t="inlineStr">
        <is>
          <t>C</t>
        </is>
      </c>
      <c r="D14" s="72" t="inlineStr">
        <is>
          <t>C</t>
        </is>
      </c>
      <c r="E14" s="70" t="inlineStr">
        <is>
          <t>A</t>
        </is>
      </c>
      <c r="F14" s="72" t="inlineStr">
        <is>
          <t>C</t>
        </is>
      </c>
      <c r="G14" s="72" t="inlineStr">
        <is>
          <t>C</t>
        </is>
      </c>
      <c r="H14" s="72" t="inlineStr">
        <is>
          <t>C</t>
        </is>
      </c>
      <c r="I14" s="72" t="inlineStr">
        <is>
          <t>C</t>
        </is>
      </c>
      <c r="J14" s="73" t="inlineStr">
        <is>
          <t>N</t>
        </is>
      </c>
      <c r="K14" s="72" t="inlineStr">
        <is>
          <t>C</t>
        </is>
      </c>
      <c r="L14" s="72" t="inlineStr">
        <is>
          <t>C</t>
        </is>
      </c>
      <c r="M14" s="72" t="inlineStr">
        <is>
          <t>C</t>
        </is>
      </c>
      <c r="N14" s="72" t="inlineStr">
        <is>
          <t>C</t>
        </is>
      </c>
      <c r="O14" s="72" t="inlineStr">
        <is>
          <t>C</t>
        </is>
      </c>
      <c r="P14" s="72" t="inlineStr">
        <is>
          <t>C</t>
        </is>
      </c>
      <c r="Q14" s="72" t="inlineStr">
        <is>
          <t>C</t>
        </is>
      </c>
      <c r="R14" s="8" t="inlineStr">
        <is>
          <t>High - plant confirmed</t>
        </is>
      </c>
      <c r="S14" s="8" t="inlineStr">
        <is>
          <t>7 - Price floor</t>
        </is>
      </c>
    </row>
    <row r="16" ht="40" customHeight="1">
      <c r="A16" s="2" t="inlineStr">
        <is>
          <t>Note how much red there is. Mid-Atlantic sheet plants almost never publish ECT grades, blank widths, MOQs or certifications - that is normal for the industry rather than a signal about these particular shops, but it does mean the phone call, not this spreadsheet, is where suppliers get qualified.</t>
        </is>
      </c>
    </row>
  </sheetData>
  <mergeCells count="3">
    <mergeCell ref="A16:S16"/>
    <mergeCell ref="A2:S2"/>
    <mergeCell ref="A1:S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0"/>
  <sheetViews>
    <sheetView showGridLines="0" workbookViewId="0">
      <pane ySplit="4" topLeftCell="A5" activePane="bottomLeft" state="frozen"/>
      <selection pane="bottomLeft" activeCell="A1" sqref="A1"/>
    </sheetView>
  </sheetViews>
  <sheetFormatPr baseColWidth="8" defaultRowHeight="15"/>
  <cols>
    <col width="8" customWidth="1" min="1" max="1"/>
    <col width="11" customWidth="1" min="2" max="2"/>
    <col width="46" customWidth="1" min="3" max="3"/>
    <col width="74" customWidth="1" min="4" max="4"/>
    <col width="78" customWidth="1" min="5" max="5"/>
  </cols>
  <sheetData>
    <row r="1" ht="22" customHeight="1">
      <c r="A1" s="1" t="inlineStr">
        <is>
          <t>Spec Flags - issues that will affect quoting</t>
        </is>
      </c>
    </row>
    <row r="2" ht="32" customHeight="1">
      <c r="A2" s="2" t="inlineStr">
        <is>
          <t>Boxes only. Raise SF-1 with every supplier (it is question 3 in the RFQ email) - it may decide the award, and it is far cheaper to resolve before tooling than after.</t>
        </is>
      </c>
    </row>
    <row r="4" ht="22" customHeight="1">
      <c r="A4" s="3" t="inlineStr">
        <is>
          <t>Flag</t>
        </is>
      </c>
      <c r="B4" s="3" t="inlineStr">
        <is>
          <t>Severity</t>
        </is>
      </c>
      <c r="C4" s="3" t="inlineStr">
        <is>
          <t>Issue</t>
        </is>
      </c>
      <c r="D4" s="3" t="inlineStr">
        <is>
          <t>What the drawings say</t>
        </is>
      </c>
      <c r="E4" s="3" t="inlineStr">
        <is>
          <t>Recommended action</t>
        </is>
      </c>
    </row>
    <row r="5" ht="138" customHeight="1">
      <c r="A5" s="75" t="inlineStr">
        <is>
          <t>SF-1</t>
        </is>
      </c>
      <c r="B5" s="76" t="inlineStr">
        <is>
          <t>HIGH</t>
        </is>
      </c>
      <c r="C5" s="33" t="inlineStr">
        <is>
          <t>The not-to-exceed outside dimensions conflict with the stated inside dimensions in double wall</t>
        </is>
      </c>
      <c r="D5" s="8" t="inlineStr">
        <is>
          <t>Both boxes allow exactly 0.5 in total between inside and outside (39 -&gt; 39.5, 20 -&gt; 20.5, 32 -&gt; 32.5; and 46 -&gt; 46.5, 39 -&gt; 39.5, 36 -&gt; 36.5). On an RSC the outside dimension is the inside plus TWO board thicknesses. Heavy-duty 48ECT double wall typically runs 0.28-0.31 in caliper, so outside = inside + roughly 0.56-0.62 in. That overruns every not-to-exceed callout by about 0.06-0.12 in. A 0.5 in allowance implies 0.25 in board, which is light double wall, not heavy duty.</t>
        </is>
      </c>
      <c r="E5" s="8" t="inlineStr">
        <is>
          <t>THE MOST IMPORTANT ITEM HERE. Decide which constraint governs. If the max OD is hard - Rev C says it was added for pallet fit - either drop the inside dimensions about 0.1 in each or accept a lighter caliper. If the ID is hard because of the payload, raise the OD callout to inside + 0.65 in. Ask every supplier and COMPARE THEIR CALIPERS; the answers will differ and that difference is a real selection criterion.</t>
        </is>
      </c>
    </row>
    <row r="6" ht="138" customHeight="1">
      <c r="A6" s="75" t="inlineStr">
        <is>
          <t>SF-2</t>
        </is>
      </c>
      <c r="B6" s="77" t="inlineStr">
        <is>
          <t>MEDIUM</t>
        </is>
      </c>
      <c r="C6" s="33" t="inlineStr">
        <is>
          <t>Nothing locates the payload inside a 6 in clearance envelope</t>
        </is>
      </c>
      <c r="D6" s="8" t="inlineStr">
        <is>
          <t>SKU 1: payload 33 x 14 x 26 in inside a 39 x 20 x 32 in box. SKU 2: payload 40 x 33 x 30 in inside 46 x 39 x 36 in. Both leave a deliberate, consistent 6 in of clearance on every axis. The bridge was the only part in the drawing set that occupied any of it.</t>
        </is>
      </c>
      <c r="E6" s="8" t="inlineStr">
        <is>
          <t>Either there is a dunnage or cushioning part not on the drawings that needs specifying and sourcing, or the 6 in envelope is no longer needed and both boxes should shrink. The second option is worth real money: price tracks blank area almost linearly, so a smaller box is cheaper twice over - less board AND less freight. Resolve before committing to 5,000 of anything. PSI has in-house engineered foam if dunnage is required.</t>
        </is>
      </c>
    </row>
    <row r="7" ht="138" customHeight="1">
      <c r="A7" s="75" t="inlineStr">
        <is>
          <t>SF-3</t>
        </is>
      </c>
      <c r="B7" s="77" t="inlineStr">
        <is>
          <t>MEDIUM</t>
        </is>
      </c>
      <c r="C7" s="33" t="inlineStr">
        <is>
          <t>Stacking strength, not edge crush, is the real requirement - and it is unspecified</t>
        </is>
      </c>
      <c r="D7" s="8" t="inlineStr">
        <is>
          <t>The drawings specify 48ECT but say nothing about stack height, pallet pattern, warehouse humidity or storage duration. ECT is a board property; what governs whether a 46.5 x 39.5 x 36.5 in box survives is BCT (box compression), which falls sharply with box size, humidity and time under load. A large box at 48ECT is a very different risk from a small one at the same grade.</t>
        </is>
      </c>
      <c r="E7" s="8" t="inlineStr">
        <is>
          <t>Give suppliers the stack height, pallet pattern and storage environment, and ask them to certify a BCT figure (RFQ item 9). This is the flag most likely to justify Green Bay Packaging's ISTA lab, or a move to triple wall via Keystone Sheets. Getting it wrong shows up as crushed boxes in a warehouse six months after award, not at first article.</t>
        </is>
      </c>
    </row>
    <row r="8" ht="138" customHeight="1">
      <c r="A8" s="75" t="inlineStr">
        <is>
          <t>SF-4</t>
        </is>
      </c>
      <c r="B8" s="77" t="inlineStr">
        <is>
          <t>MEDIUM</t>
        </is>
      </c>
      <c r="C8" s="33" t="inlineStr">
        <is>
          <t>Both boxes ship as oversized flats that overhang a standard pallet - freight is a top-3 cost driver</t>
        </is>
      </c>
      <c r="D8" s="8" t="inlineStr">
        <is>
          <t>Knocked down flat, SKU 1 is roughly 60 x 52 in and SKU 2 roughly 86 x 75 in (calculated on the Cost Model tab). A standard GMA pallet is 48 x 40 in. SKU 2's flat overhangs it on both axes by a wide margin, so it ships on an oversized skid or floor-loaded, and a truck holds far fewer than board area alone suggests.</t>
        </is>
      </c>
      <c r="E8" s="8" t="inlineStr">
        <is>
          <t>This is why Commercial-Wagner's own fleet into Northern Virginia put them at #1, and why the 110-mile Richmond options carry a real rather than nominal penalty. Get freight quoted as a separate line (RFQ item 7), ask for boxes per pallet and pallets per truck, and re-rank on LANDED cost. On low-density freight a cheaper box from further away frequently loses.</t>
        </is>
      </c>
    </row>
    <row r="9" ht="138" customHeight="1">
      <c r="A9" s="75" t="inlineStr">
        <is>
          <t>SF-5</t>
        </is>
      </c>
      <c r="B9" s="78" t="inlineStr">
        <is>
          <t>LOW</t>
        </is>
      </c>
      <c r="C9" s="33" t="inlineStr">
        <is>
          <t>'48ECT' plus 'heavy-duty double wall' is an ambiguous pairing worth pinning down</t>
        </is>
      </c>
      <c r="D9" s="8" t="inlineStr">
        <is>
          <t>48ECT is a legitimate double-wall edge-crush grade, but 'heavy duty' is a marketing term, not a spec. Different shops hit 48ECT with different liner and medium combinations at different cost and different caliper - which feeds straight back into SF-1. Useful reference: 275 lb burst test double wall is the burst-basis equivalent of 48 ECT, which is why Uline's 275 lb boxes are valid price benchmarks on the Cost Model tab.</t>
        </is>
      </c>
      <c r="E9" s="8" t="inlineStr">
        <is>
          <t>Require each supplier to state the actual board build (liner weights and flute combination), certified ECT and caliper. Since you are open to equivalents, ask each to also quote their nearest standard grade - standardising on something a plant already runs is usually the largest single cost lever available.</t>
        </is>
      </c>
    </row>
    <row r="10" ht="138" customHeight="1">
      <c r="A10" s="75" t="inlineStr">
        <is>
          <t>SF-6</t>
        </is>
      </c>
      <c r="B10" s="78" t="inlineStr">
        <is>
          <t>LOW</t>
        </is>
      </c>
      <c r="C10" s="33" t="inlineStr">
        <is>
          <t>The drawing set does not contain a box drawing</t>
        </is>
      </c>
      <c r="D10" s="8" t="inlineStr">
        <is>
          <t>Both sheets are titled BRIDGE and dimension only the bridge panel. The box appears solely as text in notes 2, 2.1 and 2.2. There is no flap detail, no closure method, no print or part-marking spec, and no tolerance block.</t>
        </is>
      </c>
      <c r="E10" s="8" t="inlineStr">
        <is>
          <t>An RSC can be quoted from ID/OD plus board grade, so this is not a blocker - the RFQ email on the 'Outreach Scripts' tab is a more complete spec than the drawings are. But before first article you need a written spec covering closure method, any part marking, and a dimensional tolerance; without a tolerance you have no basis to reject a shipment. And if you attach the drawings, ANNOTATE the bridge views as out of scope or you will get bridge pricing back.</t>
        </is>
      </c>
    </row>
  </sheetData>
  <mergeCells count="2">
    <mergeCell ref="A2:E2"/>
    <mergeCell ref="A1:E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2" customWidth="1" min="1" max="1"/>
    <col width="20" customWidth="1" min="2" max="2"/>
    <col width="20" customWidth="1" min="3" max="3"/>
    <col width="15" customWidth="1" min="4" max="4"/>
    <col width="26" customWidth="1" min="5" max="5"/>
    <col width="18" customWidth="1" min="6" max="6"/>
    <col width="15" customWidth="1" min="7" max="7"/>
    <col width="44" customWidth="1" min="8" max="8"/>
    <col width="76" customWidth="1" min="9" max="9"/>
  </cols>
  <sheetData>
    <row r="1" ht="22" customHeight="1">
      <c r="A1" s="1" t="inlineStr">
        <is>
          <t>Verification Log - what was checked, and how hard</t>
        </is>
      </c>
    </row>
    <row r="2" ht="54" customHeight="1">
      <c r="A2" s="2" t="inlineStr">
        <is>
          <t>Each supplier's contact record was researched against the company's own website plus independent directories, then handed to a SECOND independent checker instructed to try to REFUTE it - to search the phone number itself, confirm the email appears on a real source rather than being pattern-guessed, and hunt for closure news. UNVERIFIABLE below is an honest answer, not a failure: it means dial with mild suspicion. Verified 27 Aug 2026.</t>
        </is>
      </c>
    </row>
    <row r="4" ht="40" customHeight="1">
      <c r="A4" s="3" t="inlineStr">
        <is>
          <t>Company</t>
        </is>
      </c>
      <c r="B4" s="3" t="inlineStr">
        <is>
          <t>Phone on file</t>
        </is>
      </c>
      <c r="C4" s="3" t="inlineStr">
        <is>
          <t>Phone source grade</t>
        </is>
      </c>
      <c r="D4" s="3" t="inlineStr">
        <is>
          <t>Challenge verdict</t>
        </is>
      </c>
      <c r="E4" s="3" t="inlineStr">
        <is>
          <t>Email on file</t>
        </is>
      </c>
      <c r="F4" s="3" t="inlineStr">
        <is>
          <t>Email source grade</t>
        </is>
      </c>
      <c r="G4" s="3" t="inlineStr">
        <is>
          <t>Email challenge</t>
        </is>
      </c>
      <c r="H4" s="3" t="inlineStr">
        <is>
          <t>Plant operating?</t>
        </is>
      </c>
      <c r="I4" s="3" t="inlineStr">
        <is>
          <t>Discrepancies and notes</t>
        </is>
      </c>
    </row>
    <row r="5" ht="76" customHeight="1">
      <c r="A5" s="33" t="inlineStr">
        <is>
          <t>Atlas Container Corp.</t>
        </is>
      </c>
      <c r="B5" s="8" t="inlineStr">
        <is>
          <t>(410) 551-6300</t>
        </is>
      </c>
      <c r="C5" s="10" t="inlineStr">
        <is>
          <t>VERIFIED - company site</t>
        </is>
      </c>
      <c r="D5" s="10" t="inlineStr">
        <is>
          <t>CONFIRMED</t>
        </is>
      </c>
      <c r="E5" s="8" t="inlineStr">
        <is>
          <t>gdillard@atlascontainer.com</t>
        </is>
      </c>
      <c r="F5" s="10" t="inlineStr">
        <is>
          <t>VERIFIED - company site</t>
        </is>
      </c>
      <c r="G5" s="10" t="inlineStr">
        <is>
          <t>CONFIRMED</t>
        </is>
      </c>
      <c r="H5" s="79" t="inlineStr">
        <is>
          <t>OPERATING - confirmed - Unusually strong and current — this plant is unambiguously alive:
- LinkedIn company post published ~48 MINUTES before I checked (military/government packaging); further posts 1 day, 6 days, 1 week ago, including a "Team Atlas Tuesday" post marking an employee's 30-year tenure.
- Indeed job posting live, posted 7 days ago: "3rd Shift Electrical Mechanical," Severn MD, $34-36/hr. Companies do not recruit 3rd-shift maintenance for a plant they are closing.
- Careers page live with an open "Electrical Technician - On Site" role.
- Company blog actively published: newest posts dated Aug 04, 2026; prior Jun 11, 2026; May 28, 2026.
- Site footer copyright reads "© 2026 Atlas Container"; the About page has been recently rewritten (new prose, new "Our Team" section with six current reps).
No closure, consolidation, or acquisition news found. Atlas is an independent, not a Smurfit Westrock plant, so the consolidation risk affecting those facilities does not apply here.</t>
        </is>
      </c>
      <c r="I5" s="8" t="inlineStr">
        <is>
          <t>I looked hard, and there are several real ones:
1. ESOP CLAIM — CANNOT CONFIRM, and the evidence has weakened. Atlas's own current About page contains ZERO instances of "ESOP," "employee-owned," "employee ownership," "stock ownership," or "open-book" (I grepped the raw HTML). Their LinkedIn page does not mention it either. The claim rests only on (a) two low-grade pay-to-play trade profiles (CIO Fortune, The INC Magazine) saying "partially employee-owned," and (b) a 2015 Rutgers CLEO case study referencing "democratic governance and employee ownership." Atlas WAS genuinely well known for open-book management and employee ownership under the Centenari brothers in the 2000s-2010s. But the current site pointedly describes the company as an "independent manufacturer" and recounts the Centenari brothers' purchase without any ownership-sharing language — consistent with a rewrite that dropped the ESOP story. Verdict: historically true, current status UNVERIFIED. Do not open the call with "you're employee-owned, right?"
2. TOLL-FREE (800) 394-4894 — directory-only. Listed by YellowPages, Crunchbase, ZoomInfo, but appears on ZERO pages of Atlas's own website. Classic recycled directory data. Use (410) 551-6300.
3. "/contact" IS A DEAD URL — returns HTTP 404. The believed/intuitive contact URL is wrong; the live one is /contact-request-a-quote. Anyone who bookmarked the old path will hit a dead page.
4. "ORDERS AS SMALL AS 100 QTY" — not present anywhere on the current site. Likely stale marketing copy. The published corrugator "Sheet Minimum 1,500 SF" cuts against it.
5. "FLATBED DIE CUTTING" — NOT SUPPORTED. The capabilities page lists only two 66" ROTARY die cutters; zero hits for "flatbed"/"flat bed"/"flat-bed." They do have "CAD tables for cut-only samples," but that is a sample table, not production flatbed. If the buyer's job needs flatbed (short-run, heavy double wall, tight-tolerance), verify before quoting — this materially affects the 75" question too.
6. YELLOWPAGES "77 YEARS IN BUSINESS" — flatly wrong. Founded 1968 = 58 years as of 2026. Confirms YP's record is stale/auto-generated; discount its other unique fields (including the toll-free).
7. HEADCOUNT AND REVENUE WILDLY INCONSISTENT across sources: LinkedIn shows "51-200" while its own blurb says "over 200 full-time, non-union"; CIO Fortune claims 250 employees, ~$100M sales and TWO 190,000 sq ft plants; ZoomInfo says $40M and 109 employees; other sources say 200,000 sq ft on 25 acres. These cannot all be true. Treat all third-party revenue/headcount figures as unreliable.
8. SECOND PLANT UNVERIFIED. A "Curtis Bay, MD" (elsewhere "Curtiss Point") second facility appears in trade profiles, but Atlas's own site mentions NO second location — zero hits for "Curtis Bay"/"Curtiss" on the About page, and every page footer lists only the Severn address. If capacity or a second location matters, ask.
9. DUPLICATE MANTA RECORDS — two separate listings for the same company ("Atlas Container Corp" mmfs3lt and "Atlas Container Corporation" mmb4qfw), a standard sign of recycled/unmaintained directory data.
10. HOURS CONFLICT — YellowPages 8:30 AM-5:00 PM vs Facebook/Google 8:00 AM-5:00 PM. Not published on Atlas's own site, so the open time is unverified.
11. THOMASNET COULD NOT BE VERIFIED — returned HTTP 403 Forbidden on fetch, so I could not cross-check its listing directly. I did not treat search-snippet summaries of it as verification.
WHAT IS SOLID: phone, address, website, info@ email, all six rep names with direct emails, and three direct rep phone lines — every one of these read from Atlas's own live site HTML and, for the main phone/address, corroborated by multiple independent directories. No conflict at all on the main number or the street address. 1) FALSE SUPPORTING CLAIM (value is right, reasoning is not): the record states 410-551-6300 "is the ONLY phone number anywhere on the site." That is refuted. I crawled all 80 URLs in https://www.atlascontainer.com/sitemap.xml and found two other numbers on Atlas's own site: (a) 443-569-2089 — Geoff Dillard's direct line, published in body text on https://www.atlascontainer.com/corrugated-cartons-shipping-boxes-industrial-packaging-baltimore-annapolis-washington-d.c.-and-northern-virginia ("Contact me @ 443-569-2089 or gdillard@atlascontainer.com"); (b) 1-800-394-4894 toll-free, plus faxes 410-551-2703 (main), 410-551-8753 (shipping), 410-519-0992 (design), on the site's 404 page — a stale legacy template still stamped "Copyright (c) 2016 Atlas Container Corporation." The main number itself is correct, so no phone correction is needed, but the stated basis for confidence was overstated.
2) UNREPRODUCIBLE JOB-POSTING DETAIL: the record cites an Indeed posting "3rd Shift Electrical Mechanical, Severn MD, $34-36/hr, posted 7 days ago." I could not reproduce that. What I found was a 2nd Shift Electrical Mechanical Technician at Atlas Container, Severn MD, $70,716-$83,196/yr. Atlas's own careers page lists the role as "Electrical Technician - On Site" with no shift or wage stated. Active hiring is confirmed either way; the shift/wage specifics are not.
3) UNVERIFIABLE LINKEDIN CLAIM: "LinkedIn company post published ~48 MINUTES before I checked" and the follow-on post ages are not independently reproducible (LinkedIn is not fetchable). Not load-bearing — operating status is confirmed by stronger sources — but it should not be presented as verified evidence.
4) INCOMPLETE FOOTPRINT: the record treats Atlas as a single Severn plant. A CIO Fortune Magazine feature (2026) describes TWO ~190,000 sq ft facilities — Severn AND Curtiss Point, MD — with 250 non-union employees and close to $100M annual sales (older directory data cited in the record says ~200,000 sq ft / 200 employees). The HQ address 8140 Telegraph Rd, Severn, MD 21144 is correct and independently confirmed.
5) EMAIL MISDIRECTION RISK (not an error in the record, but a live hazard for the buyer): atlascontainers.com — PLURAL — is a different, unrelated company, Atlas Containers of 85 Millwick Dr, Weston, ON, Canada, phone 416-743-1347, which uses info@atlascontainers.com and sales@atlascontainers.com. A one-character typo sends the RFQ to a Canadian firm. The correct domain is the SINGULAR atlascontainer.com. METHOD: I did not rely on page summaries. I pulled raw HTML with curl and regex-extracted every phone, email, tel: and mailto: link across all 80 sitemap URLs, then cross-checked against federal registries.
PHONE — CONFIRMED. (410) 551-6300 appears as a live tel:410-551-6300 link on 80 of 80 pages of the company's own site. Independently corroborated by two sources I verified myself: (a) FMCSA SAFER, USDOT 247525, ATLAS CONTAINER CORP — phone "(410) 551-6300", address "8140 TELEGRAPH ROAD SEVERN, MD 21144"; (b) YellowPages, "(410) 551-6300", 8140 Telegraph Rd. A reverse search of the number string surfaced no other business. Nothing resolves it to a parent, branch, or defunct listing.
EMAIL — CONFIRMED, and this is NOT a pattern-guess. info@atlascontainer.com appears as an actual mailto: link on 80 of 80 pages, 160 occurrences total. All six rep addresses are genuinely published on Atlas's own regional rep pages — I verified each individually rather than accepting the record's assertion: cbeeler@ (Christine Beeler, Central PA, /central-pa-packaging-solutions); gdillard@ (Geoff Dillard, Baltimore/Annapolis/DC/N.VA); chrisw@ (Chris Williams, /northern-va-washington-dc-eastern-shore-md); djholston@ (DJ Holston, /packaging-shipping-dcmetro-baltimore); ddittmar@ (Don Dittmar, /packaging-solutions-in-delaware-eastern-shore-md-new-jersey); mgrim@ (Matt Grim, /corrugated-packaging-yorkpa). Three (cbeeler, djholston, mgrim) are mailto: links; the other three are plain text on Atlas pages. The six names match the site's "Our Team" nav exactly. One caution: I found info@example.com in 92 places on the site — pure template placeholder junk in an SVG block, not a contact; it does not undermine info@atlascontainer.com, which is separately a real mailto.
For an RFQ, gdillard@atlascontainer.com with direct dial 443-569-2089 is the strongest single contact — it is the only rep with a published direct phone, and his territory (Baltimore/Annapolis/DC/N.VA) covers the Severn plant's home market.
OPERATING STATUS — CONFIRMED, on evidence stronger than what the record cited. I searched hard for the negative and found none:
- Maryland WARN/ESA logs for BOTH 2025 and 2026: zero entries matching Atlas, Severn, or Container. I explicitly validated this negative — my first PDF extraction returned only XMP metadata, which would have produced a meaningless "no hits," so I re-ran against the Maryland Labor HTML logs and confirmed they contain full company-name-and-address listings (27+ "LLC", 65 "Baltimore", 59 "Closure", 85 "Layoff" in 2025) before accepting zero as real.
- FMCSA SAFER: Operating Status "ACTIVE", MCS-150 filed 01/07/2026, 16 power units / 16 drivers. A carrier does not refile MCS-150 in January 2026 for a plant that is closing.
- SAM.gov (via HigherGov): federal registration renewed 03/05/2026, expires 03/03/2027; most recent award 09/30/2025.
- Company blog dates verified in the crawled HTML, matching the record exactly: Aug 04 2026, Jun 11 2026, May 28 2026, plus Mar 24 2026 and Feb 25 2026.
- Footer reads "(c) 2026 Atlas Container" on all 80 pages; careers page live with an open Electrical Technician role; YellowPages shows "open now".
- CIO Fortune Magazine 2026 feature: still privately held and partially employee-owned, open-book structure, CEO Paul Centenari.
The record's claim that Atlas is independent and not a Smurfit Westrock facility holds up — no acquisition, consolidation, or closure news exists in any source I checked.
BOTTOM LINE: every field the buyer will actually act on — name, phone, address, website, emails, operating status — is correct and independently verified. The record's defects are in its supporting arguments, not its values: one demonstrably false "only phone on the site" claim, one job posting whose details I could not reproduce, and one unverifiable LinkedIn timestamp. Contact this supplier with confidence, using the singular atlascontainer.com domain.</t>
        </is>
      </c>
    </row>
    <row r="6" ht="76" customHeight="1">
      <c r="A6" s="33" t="inlineStr">
        <is>
          <t>Columbia Container Corp.</t>
        </is>
      </c>
      <c r="B6" s="8" t="inlineStr">
        <is>
          <t>(410) 467-1400</t>
        </is>
      </c>
      <c r="C6" s="10" t="inlineStr">
        <is>
          <t>VERIFIED - company site</t>
        </is>
      </c>
      <c r="D6" s="10" t="inlineStr">
        <is>
          <t>CONFIRMED</t>
        </is>
      </c>
      <c r="E6" s="8" t="inlineStr">
        <is>
          <t>csaumell@columbiacontainer.net</t>
        </is>
      </c>
      <c r="F6" s="10" t="inlineStr">
        <is>
          <t>VERIFIED - company site</t>
        </is>
      </c>
      <c r="G6" s="10" t="inlineStr">
        <is>
          <t>CONFIRMED</t>
        </is>
      </c>
      <c r="H6" s="79" t="inlineStr">
        <is>
          <t>OPERATING - confirmed - The plant is operating, and it changed hands three months ago. On 12 May 2026 TRG Packaging and Display Solutions (a division of The Royal Group) acquired Columbia Container — announced by TRG itself, by AICC, PaperAge, Pulp &amp; Paper News, P2PI and CORRUGMAN. Decisive evidence the Erdman Ave plant is live: TRG's own corporate locations page (https://teamtrg.com/locations/) lists Columbia Container at 4311 Erdman Ave with phone (410) 467-1400 and classifies it as "Converting &amp; Manufacturing" — i.e. a production plant, not a sales office. An acquirer publishing a plant on its own locations page months after closing is about as strong as operating evidence gets. TRG's release states "The current leadership team at Columbia Container will remain in place," and Brendan Moynihan continues as President; TRG CEO Kevin Miller framed the deal as adding capacity, not consolidating it. There is NO closure, layoff, WARN or consolidation news of any kind for this plant. The company website is live with functioning forms and a maintained team roster. Weak counter-signal: Indeed currently shows no open postings, though the site's own careers section still carries Machine Operator, Machine Operator Assistant, Truck Driver and Customer Service Representative listings (undated).</t>
        </is>
      </c>
      <c r="I6" s="8" t="inlineStr">
        <is>
          <t>Seven items found; I looked hard and these are real, though none undermines the phone number:
1. THE BIG ONE — OWNERSHIP CHANGED AND THE WEBSITE DOES NOT SAY SO. Columbia Container was acquired by TRG Packaging and Display Solutions on 12 May 2026, but columbiacontainer.net contains no mention of TRG or any parent company on the homepage, contact page or RFQ page. The buyer should not be surprised if the person answering describes a different quoting or credit process than the site implies. Leadership was explicitly retained, so the named contacts are likely still correct — but verify on the call.
2. STALE SITE FOOTER. Every page carries "© 2024 All rights reserved | Columbia Container." A two-year-old copyright is a mild abandonment signal. I weighed it against the live forms, the maintained team page and the Saumell title change, and concluded the site is maintained but the footer simply was not touched — not an abandoned site.
3. PHANTOM SECOND ADDRESS. Yellow Pages (a second listing), Superpages, Yelp and BBB's secondary field all show "1798 Union Ave, Baltimore, MD 21211-1417" carrying the SAME phone (410) 467-1400. This does not appear on the company's own site or on TRG's locations page. It is almost certainly a stale legacy address that directories have recycled. DO NOT SHIP OR DRIVE TO UNION AVE — the plant is 4311 Erdman Avenue.
4. FOUNDING YEAR CONFLICTS FOUR WAYS. The company claims "40+ years"; BBB says established 1/1/1988 (38 years); one Yellow Pages listing says 33 years, the other says 28 years; AICC says the current owners purchased the business in 1998. The "40+ years" claim is marketing rounding at best. Immaterial to the buyer, but it shows these directories are not being refreshed.
5. EQUIPMENT DATA IS FIVE YEARS OLD. The only capability detail available is the March 2021 AICC profile. Any machine bought, sold or rebuilt since 2021 is invisible to me — which cuts both ways on the 75-inch question.
6. HEADCOUNT CONFLICT. LinkedIn says "11-50 employees"; AICC said 53 in 2021. Minor, and LinkedIn bands are self-reported and often stale.
7. SOURCES I COULD NOT FULLY USE. Blue Book confirms the Erdman Ave address but hides phone, website and email behind a login, so it could not serve as a phone cross-check. AICC's own press release and two trade outlets (papnews, pulpapernews) returned HTTP 403 to automated fetching; I verified the acquisition through TRG's own release, PaperAge, P2PI and corruga.expert instead, so the acquisition finding does not rest on a single source.
NOT VERIFIED / NOT FOUND, stated plainly: no ECT grade, no stitching capability, no MOQ, no ISTA lab, no certifications, and no named estimator. I did not find these rather than concluding they do not exist. No correction to phone, email, address, website or operating status - I tried to break all four and could not. Caveats and smaller errors found:
1) STALE SECOND ADDRESS IN DIRECTORIES (caution, not a correction). Yelp, a second YellowPages listing (id 11655190) and CitySquares all carry "Columbia Container Corp, 1798 Union Ave, Baltimore, MD 21211" (Woodberry) - carrying the SAME phone number (410) 467-1400. This is a legacy/stale listing, not a second site: the company's own homepage states it is "a full service corrugated box manufacturer with one plant" in Baltimore, and both the company's own pages and its new parent give only 4311 Erdman Avenue. The record's address is right, but the buyer should ignore Union Ave if they meet it, and should not ship or visit there. Note there are two competing YellowPages entries for this one company.
2) CAREERS LISTINGS ARE STALE - the record leans on them incorrectly. The record treats the site's Machine Operator / Machine Operator Assistant / Truck Driver / Customer Service Rep listings as a counterweight to Indeed showing nothing. The careers page schema gives dateModified 2025-06-22 - about 14 months old. Those listings are not evidence of current hiring, and Indeed being empty is consistent with a stale careers page rather than being a counter-signal at all. Net: the "weak counter-signal" in the record should be dropped from both sides; it carries no information.
3) "MAINTAINED TEAM ROSTER" IS OVERSTATED. The /our-team/ page has dateModified 2026-03-20 - that is BEFORE the 12 May 2026 acquisition. The roster has not been confirmed current post-acquisition, so do not rely on named individuals from it. (The homepage, by contrast, has dateModified 2026-06-18, which is genuine post-acquisition maintenance.)
4) SOURCE-INDEPENDENCE OVERCOUNTED. The record claims "FOUR independent sources." BBB, YellowPages, Superpages and chamberofcommerce.com are self-reported/scraped aggregators, and Superpages and YellowPages are both Thryv properties sharing one feed (the 21213 listings on both carry the identical record id 531436498). The conclusion survives, but it rests on three genuinely independent legs (company site, company letterhead PDF, parent's site), not four.
5) ZIP+4 "21213-2601" (attributed to Blue Book) - UNVERIFIABLE. Every company-controlled document gives only plain 21213. Harmless, but not independently confirmed.
6) Cosmetic: site footer still reads "(c) 2024 All rights reserved" despite 2026 content updates. Not a liveness concern given the schema dates. METHOD: I worked from raw HTML/PDF via curl rather than page-summarizer output, so the quotes below are verbatim strings I extracted myself, not a model's paraphrase of a page.
PHONE - CONFIRMED on three genuinely independent legs:
- Company's own contact page raw HTML: literal text "Phone: (410) 467-1400", plus a machine-readable link "tel:4104671400", plus a footer line "quotes@columbiacontainer.net | (410) 467-1400". (The only other phone-shaped strings on the page were "(999) 999-9999" x2, which are input-mask placeholders in the form, not real numbers.)
- Company's own letterhead PDF (customer account profile form): "4311 Erdman Avenue - Baltimore, MD 21213 - 410-467-1400 - 410-467-1793 Fax". This confirms phone AND address on company stationery.
- Parent's site, teamtrg.com/locations/ raw HTML: "Columbia Container / 4311 Erdman Ave, Baltimore, MD 21213 (410) 467-1400 Converting &amp; Manufacturing". Only one instance of the number on that page, i.e. not a shared parent switchboard number reused across sites.
I searched the number as a bare string and in reverse-lookup form; nothing resolved it to any other business, and no source anywhere gave a conflicting main number. Also surfaced a fax not in the record: 410-467-1793.
EMAIL - CONFIRMED, and specifically NOT pattern-inferred. This is the distinction the task flagged, so I checked it hard. quotes@columbiacontainer.net appears verbatim twice in the contact page's raw HTML ("Email: quotes@columbiacontainer.net" and in the footer), and - decisively - the company's own account-profile PDF contains the instruction "Please send all quotes to quotes@columbiacontainer.net". So it is not only real, it is the address the company itself designates for exactly this buyer's purpose (an RFQ). Two further published addresses turned up in that PDF and may be useful: orders@columbiacontainer.net ("Please send all orders to...") and accounting@columbiacontainer.net (for remittance advice).
OPERATING STATUS - CONFIRMED, including a real attempt to refute it:
- I downloaded the Maryland Department of Labor's PRIMARY WARN/ESA logs for 2025 and 2026 (labor.maryland.gov PDFs) and text-searched both. Zero hits for "Columbia", "Erdman", "container", "corrugat", "Royal" or "TRG" as this business. The only "Columbia" hits are the town of Columbia MD and Columbia Pike/Road; the only two "Packaging" hits are Mauser Packaging Solutions and Advanced Packaging Inc (4818 Seton Drive, and that one is marked *RESCINDED*) - both unrelated. This is a primary-source negative, materially stronger than "no closure news found."
- Acquisition verified at the source, not via aggregators: teamtrg.com press release carries schema datePublished 2026-05-12T08:01:55 (dateModified 2026-05-14), matching the record's date exactly. Both quotes in the record are verbatim: Kevin Miller, CEO, on aligning capacity and extending capabilities, and Brendan Moynihan, "President of Columbia Container." The sentence "The current leadership team at Columbia Container will remain in place" is verbatim. Nothing in the release language points to consolidation or closure.
- Post-acquisition liveness: parent classifies the site as "Converting &amp; Manufacturing" (a plant, not a sales office), and the company homepage schema shows dateModified 2026-06-18 - five weeks after closing and about two months before this check.
ONE THING I CHECKED AND DISCARDED: a search-result summary asserted "relocation from Gardena, California and consolidation of operations" in connection with this deal. I could not substantiate any link to Columbia Container, and it does not appear in TRG's Columbia Container release. TRG made roughly five acquisitions in a year, and Gardena CA has no plausible connection to a single-plant Baltimore converter. I judge this to be search-engine conflation with a different TRG transaction and I would not report it as a consolidation signal - but if the buyer wants belt-and-braces, it is the one loose thread worth a direct question on the call.
BOTTOM LINE FOR THE BUYER: dial (410) 467-1400 and send the RFQ to quotes@columbiacontainer.net with confidence - both are company-published and the email is the company's own designated quotes channel. Address 4311 Erdman Avenue, Baltimore, MD 21213 is correct; disregard any "1798 Union Ave" listing. Expect the company to answer as Columbia Container, now a TRG / Royal Group subsidiary, with Brendan Moynihan still President as of the May 2026 announcement - though confirm the contact name on the call, since the team roster page predates the acquisition.</t>
        </is>
      </c>
    </row>
    <row r="7" ht="76" customHeight="1">
      <c r="A7" s="33" t="inlineStr">
        <is>
          <t>Commercial-Wagner, Inc.</t>
        </is>
      </c>
      <c r="B7" s="8" t="inlineStr">
        <is>
          <t>(410) 522-0900</t>
        </is>
      </c>
      <c r="C7" s="10" t="inlineStr">
        <is>
          <t>VERIFIED - company site</t>
        </is>
      </c>
      <c r="D7" s="10" t="inlineStr">
        <is>
          <t>CONFIRMED</t>
        </is>
      </c>
      <c r="E7" s="8" t="inlineStr">
        <is>
          <t>none published</t>
        </is>
      </c>
      <c r="F7" s="80" t="inlineStr">
        <is>
          <t>Web form only</t>
        </is>
      </c>
      <c r="G7" s="10" t="inlineStr">
        <is>
          <t>CONFIRMED</t>
        </is>
      </c>
      <c r="H7" s="79" t="inlineStr">
        <is>
          <t>OPERATING - confirmed - Multiple independent, recent, hard signals:
1. FEDERAL FILING — FMCSA SAFER record for USDOT 354661 shows operating status ACTIVE with an MCS-150 form dated 03/19/2026, roughly five months ago. It lists 5 power units and 3 drivers at 4101 Ashland Ave, which independently confirms both the address and the company-owned truck fleet. A federal safety filing is the strongest possible liveness evidence short of calling.
2. WEBSITE REBUILT THIS YEAR — the Yoast-generated sitemap shows every page last-modified 2026-06-12, with /contact-us/ updated 2026-06-15. This is a site actively rebuilt two months ago, not a stale brochure. Footer reads "© 2026."
3. ACTIVE HIRING PAGE — /career-opportunities/ solicits Flexo Operators, Rotary/Flatbed Die Cut Operators, Press Operators, General Labor, Forklift, and Sales Representatives, describing itself as an independent family-owned business. No dated postings, so this is supporting rather than decisive.
4. NO ADVERSE NEWS — targeted searches for closure, closing, acquisition, sale and bankruptcy naming this company returned nothing. It is an independent family-owned plant, not part of a Smurfit Westrock consolidation footprint, so the plant-closure risk that applies to those mills does not apply here.</t>
        </is>
      </c>
      <c r="I7" s="8" t="inlineStr">
        <is>
          <t>I looked specifically for these and did find several. None undermines the phone number, but the buyer should know:
1. PHONE CONFLICT: FMCSA SAFER lists (410) 259-4498, which disagrees with the (410) 522-0900 on every page of the company's own site and every consumer directory. The SAFER number is almost certainly the DOT compliance/filing contact. Call 522-0900.
2. HOURS UNVERIFIED AND SUSPECT: YellowPages shows Monday-Thursday only, 8:30-4:30, with no Friday. A box plant closed Fridays is implausible; the company publishes no hours at all. I could not verify hours from any credible source.
3. "YEARS IN BUSINESS" CONFLICT: YellowPages says 76 years. The company itself says it was formed in 2007 by the merger of Wagner Brothers Containers (1967) and Commercial Corrugated (1976), representing "70 plus years of combined experience." The directory has conflated predecessor history into a single founding date. Not a red flag, just sloppy directory math.
4. STALE URLS IN SEARCH RESULTS: old ASP.NET pages (commercialwagner.com/page-history.aspx, /page-employment.aspx) still rank in search engines. These are from the pre-June-2026 site. The live equivalents are /about-us/ and /career-opportunities/. Anyone clicking the old search hits may think the site is dead — it is not.
5. MISCATEGORIZED LISTING: Hotfrog files them under "mail and delivery services," which is wrong for a corrugated manufacturer and indicates recycled/auto-generated directory data.
6. EMPLOYEE COUNT CONFLICT: ZoomInfo says ~70 employees; LinkedIn shows only 24 profiles. Neither is authoritative — LinkedIn counts profiles, not headcount. A 175,000 sq ft plant with 17 machines is consistent with the higher figure.
7. EMAIL PATTERN CLAIM IS UNRELIABLE — I deliberately did not act on it: RocketReach advertises a "first.last@commercialwagner.com" pattern and cites "rpauley@commercialwagner.com" as a real example. But the Co-President found elsewhere is JOHN Pauley, so the initial does not match, and the cited example contradicts the very pattern it is offered as evidence for. This is aggregator noise. I am not supplying a constructed email address, because a bounced RFQ is worse than no RFQ.
8. SOURCES I COULD NOT CHECK: Thomasnet returned HTTP 403 and Manta returned HTTP 403, so those two cross-checks are genuinely missing from this verification. IndustryNet returned 503. Racklify returned only a page title with no contact data. The corroboration above therefore rests on YellowPages, BusinessYab, Superpages, Hotfrog and FMCSA rather than the trade directories I would have preferred. No claimed field is wrong. Three additions/flags, none of which change a claimed value:
1. SECOND PHONE IN THE FEDERAL RECORD (flag, not a correction). The FMCSA SAFER record for USDOT 354661 lists the carrier phone as (410) 259-4498 — NOT the (410) 522-0900 in the record. The record cites this SAFER filing as its strongest evidence but did not disclose that the same filing carries a different phone number. (410) 522-0900 remains the correct buyer-facing number (it is in the raw HTML of the company's own homepage and contact page), but the buyer should know a second federally-filed number exists; 410-259-4498 resolves to nothing in search, so it is likely a back-office/safety-contact line.
2. MISSING FIELD — FAX: (410) 522-6184. Present in the raw HTML of both the contact page and the homepage, alongside the phone. The record omits it entirely.
3. OVERSTATED SOURCING (reasoning error, correct conclusion). The record claims the phone is "independently corroborated by YellowPages, BusinessYab, Superpages, Hotfrog, IndustryNet." Those five are scraper aggregators that recycle the same upstream listing data — they are not five independent confirmations. The conclusion is right, but it rests on the company's own site plus FMCSA, not on that aggregator list. I set out to refute this record and could not. It survives skeptical checking better than most. Detail by check:
PHONE — CONFIRMED. I did not rely on a rendered summary: I pulled the raw HTML of /contact-us/ (HTTP 200, 90KB) and the homepage (HTTP 200, 97KB) and regex-scanned both. Each contains exactly (410) 522-0900 and fax (410) 522-6184 and no other numbers. Reverse-searching the number as a string did NOT surface a competing business. The one near-miss worth killing: American Limousines, Baltimore, appears in results for this number but its actual number is 410.522.**0400** at 4401 E Fairmount Ave — one digit apart, a different company, not a conflict.
EMAIL — CONFIRMED, meaning the record's "WEB FORM ONLY" claim is itself accurate. I grepped the raw HTML of /contact-us/, the homepage, and /career-opportunities/ for `mailto:` and for any @-pattern string: ZERO hits on all three. The contact page runs a Gravity Forms form (Name/Email/Subject/Comment + captcha). The careers page's "Apply Now" also routes to the web form, not to an email. The record deserves credit for NOT inventing info@ or sales@ — a guessed address would have been the likely failure mode here, and it avoided it. Practical consequence for the buyer: there is no address to send real email to; first contact must be the web form or the phone.
OPERATING STATUS — CONFIRMED. I actively hunted for evidence of closure and found none:
- MD WARN LOGS, CHECKED DIRECTLY. I downloaded the official labor.maryland.gov 2025 (30pp) and 2026 (17pp) WARN/ESA logs and extracted the text myself rather than trusting a summary. Neither log contains Commercial-Wagner, Wagner, Ashland, or any corrugated entry. One scare I chased down and cleared: the 2025 log has a Curtis Bay, MD 21226 entry — same town as the company's second site — but it is Fila USA, Inc. at 7630 Gambrills Cove, a different company at a different address.
- FMCSA SAFER, USDOT 354661: status ACTIVE, no out-of-service date, MCS-150 dated 03/19/2026, 5 power units, 3 drivers, cargo "paper products," at 4101 Ashland Ave. Also 24 roadside inspections in the last 24 months and 0 crashes — inspection activity is independent proof the trucks are actually running, which is a stronger liveness signal than the filing date alone and which the record did not cite.
- ONE THING THE BUYER SHOULD NOT MISREAD: SAFER also shows "Operating Authority Status: NOT AUTHORIZED." This looks alarming but is normal and expected here — the company is a private/exempt-for-hire carrier hauling its own paper products, so it needs no interstate for-hire authority. It is not a distress signal. Likewise the "Satisfactory" safety rating dated 03/20/1992 is simply an old rating that persists, not a stale-company signal.
- WEBSITE REBUILD, VERIFIED MYSELF. I fetched the Yoast sitemap directly: every page lastmod 2026-06-12, /contact-us/ 2026-06-15. Exactly as claimed. Corroborating detail the record missed: old ASP.NET URLs (page-history.aspx, page-employment.aspx) still linger in search indexes, so this was a genuine platform migration off .aspx to WordPress, not a cosmetic touch.
- DOMAIN: registered 2007-05-09 (matches the stated 2007 merger date), expires 2027-05-09, status clientTransferProhibited, Network Solutions. Current and renewed forward.
- INDEPENDENCE CLAIM CORROBORATED: the company is a member of AICC (Association of Independent Corrugated Converters), which supports the record's argument that Smurfit Westrock mill-consolidation risk does not apply. This is better evidence for that point than the record's own "no adverse news found."
- Adverse-news searching (closed/closing/acquired/layoffs/bankruptcy) returned nothing.
CAVEAT ON METHOD: everything above is documentary. Nobody placed a call. The strongest remaining unknown is not whether the plant exists — it plainly does — but whether (410) 522-0900 is answered and how fast the web form is monitored, which only a phone call resolves. Given there is no published email, I would advise the buyer to phone rather than rely on the form for anything time-sensitive.
MINOR/COSMETIC: the federal record misspells the street as "ASHLAND AVEUNE." Typo in the government filing, not a data problem.</t>
        </is>
      </c>
    </row>
    <row r="8" ht="76" customHeight="1">
      <c r="A8" s="33" t="inlineStr">
        <is>
          <t>Packaging Services Industries, Inc. (PSI)</t>
        </is>
      </c>
      <c r="B8" s="8" t="inlineStr">
        <is>
          <t>(301) 223-6200</t>
        </is>
      </c>
      <c r="C8" s="10" t="inlineStr">
        <is>
          <t>VERIFIED - company site</t>
        </is>
      </c>
      <c r="D8" s="10" t="inlineStr">
        <is>
          <t>CONFIRMED</t>
        </is>
      </c>
      <c r="E8" s="8" t="inlineStr">
        <is>
          <t>joyt@psimd.com</t>
        </is>
      </c>
      <c r="F8" s="80" t="inlineStr">
        <is>
          <t>Web form only</t>
        </is>
      </c>
      <c r="G8" s="80" t="inlineStr">
        <is>
          <t>CORRECTED</t>
        </is>
      </c>
      <c r="H8" s="79" t="inlineStr">
        <is>
          <t>OPERATING - confirmed - Unusually strong, multiple independent 2026-dated signals: (1) 21 open job requisitions on PSI's own ATS at psimd.applicantstack.com/x/openings, of which ~10 are AT WILLIAMSPORT MD (Machine Operator, Assistant Machine Operator, Forklift Operator 1st+2nd shift, Industrial Maintenance Technician/Helper/Working Supervisor, Assembler 1st shift, Custodian/Assembler, Production Management Trainee, Sales Support Specialist) — a plant hiring two shifts of forklift operators and maintenance techs is running. (2) Company blog actively published through 2026-08-10; sitemap lastmod 2026-08-10 (posts) and 2026-08-17 (pages). (3) Footer copyright reads 2026. (4) LinkedIn company activity within the last 2 weeks, incl. a 50-years-in-business post and a third consecutive year sponsoring Virginia Tech Packaging Program senior capstone projects. (5) Blog post "Building for the Next 50 Years: PSI Sales Team Expansion" (2026-07-17) names three sales reps hired in Jan/Feb/April 2026 and states the sales team is now 19 people with more hires coming this summer in the Somerset/Bedford and Lancaster markets. (6) Blog post "A Foundation for Growth: PSI x PhilCorr" (2026-05-06) describes current sheet supply of over half a billion sq ft annually. (7) NO WARN notice for PSI in the Maryland 2026 WARN/dislocation log — the only Williamsport MD closure listed there is Duality Ventures LLC at 16604 Industrial Lane (98 workers, eff. 03/21/2026), an unrelated company. (8) DNS is live: A record resolves, MX records point to AppRiver (psimd.com.1/2.0001.arsmtp.com) with a maintained SPF record, so corporate email is in active service.</t>
        </is>
      </c>
      <c r="I8" s="8" t="inlineStr">
        <is>
          <t>Several real ones — I looked hard and did not find a clean record.
1. PHONE CONFLICT (most important). The believed (301) 223-8726 is NOT on PSI's own website. I pulled the raw HTML of the homepage, /contact-us/ and other pages: the only tel: links sitewide are tel:3012236200, tel:8002236255, tel:5709291600, tel:7246260100. (301) 223-8726 does appear on BBB and YellowPages (YellowPages lists BOTH 6200 and 8726), so it is a genuine company line, but it is a secondary/legacy listing that PSI itself no longer publishes. Call (301) 223-6200 or (800) 223-6255. Note the near-collision with the published FAX, (301) 223-8247 — similar enough that a stale directory transcription is plausible.
2. TWO MORE ORPHAN PHONE NUMBERS in low-grade directories, both unverifiable and both to be ignored: (301) 223-5083 (CMac.ws) and 301-302-7363 (chamberofcommerce.com). Neither appears on any PSI-controlled source.
3. STALE ADDRESS IN CIRCULATION. Yelp lists PSI at 10420 Governor Lane Blvd, Williamsport (and a related "Packaging Services of MD" at 10422 Governor Lane Blvd, miscategorized under "Doctors"). The current and correct address is 16461 Elliott Parkway — confirmed on the company site, BBB, YellowPages and LinkedIn. Governor Lane Blvd is a former location; do not use it.
4. EMAIL IS UNVERIFIED. info@psimd.com does NOT appear anywhere on psimd.com — I grepped the raw HTML of the homepage, contact page and team page and the only mailto: links are share-this-page widgets. info@psimd.com surfaces only in scraped aggregators (CB Insights, prospeo, similar), which is exactly the class of source that invents role-based addresses. The domain's MX records are live (AppRiver), so mail to psimd.com will be accepted by the server — but that is not evidence the info@ mailbox exists or is monitored. Reported as WEB FORM ONLY.
5. THE HTTP 500 DID NOT REPRODUCE. psimd.com returned HTTP 200 on every request I made (homepage, contact, sitemap, blog, multiple user agents). The site is a live, actively maintained WordPress install. The earlier 500 was transient or a bot-protection response — one curl of mine was itself intercepted by a Cloudflare/wpwaf challenge page mid-session, which is the likely explanation. Not a sign of an abandoned site.
6. BBB "BUSINESS STARTED" IS WRONG. BBB says business started January 1, 1989 and "37 years in business." The company states it was founded in 1976 and is celebrating 50 years in 2026; YellowPages says 50 years. BBB is also "NOT a BBB Accredited Business" and "Not Rated" for insufficient information, and names Vernon E. Litzinger as principal contact while the site names Chris Litzinger as President — the BBB record looks materially stale.
7. WILDLY INCONSISTENT SIZE/REVENUE DATA across aggregators, none reliable: $16.3M revenue / 65 employees; $8.0M revenue / 51-100 employees; $50-100M / 250-1000 employees; LinkedIn's own banner says 501-1,000 employees while showing only 90 profiles. PSI's own site says roughly 300 employees across 3 locations. Ignore aggregator financials entirely.
8. DEAD/404 PAGES ON PSI'S OWN SITE. /corrugated-packaging/, /team/ and /engineering-design/ all return 404 (correct paths are /our-team/ and /design-engineering-services/). Minor, but it means link-following from third-party citations may fail. Also /service-sitemap.xml last modified 2022 and several sitemaps date to 2019 — some site sections are old even though the blog and pages are current. The service-area page has a typo'd URL (/service-area/bridegport-wv/). None of this undermines the operating conclusion.
9. THE BRIEF'S "DEDICATED CORRUGATION PLANT" IS INACCURATE — see capability notes. PhilCorr is a co-owned outside sheet feeder near Philadelphia, not a PSI corrugation plant. This matters for the width question. 1) EMAIL — the record's "WEB FORM ONLY" is WRONG and is the one material error. https://psimd.com/contact-us/ publishes eight named staff email addresses, four of them @psimd.com for Williamsport. They are NOT pattern-guessed — they are printed on the company's own contact page, each paired with a name, job title, and a direct extension off (301) 223-6200. The reason the original researcher missed them: the page uses Cloudflare email obfuscation, so the rendered text reads "[email protected]" and a raw-HTML grep for "mailto:" returns nothing. The real addresses are stored in eight data-cfemail="..." hex attributes (XOR-decode: first byte is the key). I decoded all eight; see corrected_email. Independent deliverability check: psimd.com, psipa.com and psicontainer.com all have live MX to AppRiver (*.0001.arsmtp.com), and psimd.com carries a maintained SPF (v=spf1 a mx ip4:... include:edgepilot.com -all).
2) Blog date, trivial: "Building for the Next 50 Years: PSI Sales Team Expansion" is bylined July 16, 2026 on the page itself; the record's 2026-07-17 is the sitemap lastmod, not the publication date.
3) Sourcing nit, in the buyer's favor: the record cites the Virginia Tech capstone sponsorship only to LinkedIn (unverifiable without login). There is a first-party equivalent — blog post "Packaging the Future: PSI's Partnership with Virginia Tech", 2026-08-10, on psimd.com. Cite that instead.
4) Entity name spelling: the About page renders it "Packaging Services of Maryland Inc." (no comma before Inc.). The ATS and careers-site footer use "PSI Group, Inc." as the group entity. Cosmetic only — the three-entity structure and the 1976/1982/1995 formation years are stated verbatim on psimd.com/about-us/ and are CONFIRMED.
5) Fields absent from the record that a buyer will want: Williamsport fax is 301.223.8247; toll-free 800.223.6255 is real (tel:8002236255 in raw HTML) but appears only in the record's source note, not as a field. Company's own About page states ~400 employees across all three plants — do not use the third-party headcounts, which conflict badly (Buzzfile 125, another aggregator 350) and appear stale. METHOD: I tried to refute each claim rather than match it. Everything below was pulled first-hand, not taken from the record's own cited sources.
PHONE — CONFIRMED, unusually well. (301) 223-6200 is in the raw HTML of psimd.com/contact-us/ as tel:3012236200, inside the Williamsport MD block (16461 Elliott Parkway). The strongest corroboration is internal and was not in the record: four named Williamsport staff are each listed as "P: 301.223.6200 x1103 / x1130 / x1141 / x1173" — a live PBX with per-person extensions, not a stale directory entry. Reverse-searching the number as a string did not resolve it to any other business; Buzzfile explicitly ties 301-223-6200 to Packaging Services Industries at 16461 Elliott Pkwy, and YellowPages agrees. No parent-company or wrong-branch problem: the two PA plants publish clearly different numbers (724.626.0100 Connellsville, 570.929.1600 McAdoo), so the MD number is not a shared group line. Address 16461 Elliott Parkway confirmed; ZIP+4 21795-4082 corroborated by D&amp;B (company site prints only 21795).
OPERATING STATUS — CONFIRMED, and I verified the record's single most falsifiable claim myself rather than trusting it. I downloaded the Maryland 2026 WARN/dislocation log (labor.maryland.gov/employment/pdf/warn-log-2026.pdf, 17pp), extracted the text, and grepped it: ZERO hits for "Packaging Services", "PSI", or "Elliott". The only Williamsport MD entry is Duality Ventures LLC, 16604 Industrial Lane, Williamsport MD 21795, 98 workers, plant closure eff. 03/21/2026, NAICS 492210 (warehousing/local delivery) — a different address and a different industry from PSI's corrugated manufacturing. The record's item (7) is accurate as written. The one "Packaging, Inc." string in the log is Advanced Packaging, Inc. of Baltimore, and it is marked *RESCINDED* — unrelated.
Affirmative signs of life I re-pulled independently: psimd.applicantstack.com/x/openings returns exactly 21 openings, of which 11 sit under the "PSI of Maryland" entity and 10 are physically in Williamsport MD (Machine Operator, Assistant Machine Operator, Forklift Operator 1st+2nd shift, Industrial Maintenance Technician / Helper / Working Supervisor, Assembler 1st shift, Custodian/Assembler, Production Management Trainee, Sales Support Specialist); the 11th is an Outside Sales rep for the Lancaster PA area. Two shifts of forklift operators plus three maintenance roles is a plant running production. Sitemap lastmod matches the record exactly (posts 2026-08-10, pages 2026-08-17); 39 blog posts with continuous cadence through 2026-08-10; footer reads "Copyright © 2026 Packaging Services Industries". I spot-checked the sales-expansion post and its specifics hold: "The Sales Team now includes 19 members and continues to grow", reps joining January, February and April 2026, and "additional hires coming on board this summer in the Somerset/Bedford and Lancaster markets". DNS A records resolve (141.193.213.20/.21) and MX is live.
Searches aimed squarely at refutation — closure, consolidation, layoff, permanently closed, acquired, sold, bankruptcy, all scoped to this company and address — returned nothing contradicting. I found no evidence the plant is anything other than open and actively hiring.
WHAT I COULD NOT VERIFY: the record's item (4), LinkedIn company activity in the last two weeks, is behind authentication and I did not confirm it. It is also unnecessary — the Virginia Tech and 50-years claims both have first-party blog equivalents on psimd.com. Treat the LinkedIn line as unverified but immaterial. I also could not reach Maryland SDAT's entity database (the search endpoint requires a browser session), so the 1976/1982/1995 formation years rest on the company's own About page plus third-party aggregators, not on the state registry. That is good enough for a supplier record but is not a registry-grade confirmation.
BOTTOM LINE FOR THE BUYER: phone and status are solid, use them. Do not use "web form only" — email joyt@psimd.com, or call (301) 223-6200 x1103 and ask for Joy Twigg. For packaging-supply sourcing specifically, ryane@psimd.com (Product Manager, Supply Division) may be the better first touch.</t>
        </is>
      </c>
    </row>
    <row r="9" ht="76" customHeight="1">
      <c r="A9" s="33" t="inlineStr">
        <is>
          <t>Green Bay Packaging - Baltimore Division</t>
        </is>
      </c>
      <c r="B9" s="8" t="inlineStr">
        <is>
          <t>(410) 785-2233</t>
        </is>
      </c>
      <c r="C9" s="10" t="inlineStr">
        <is>
          <t>VERIFIED - company site</t>
        </is>
      </c>
      <c r="D9" s="10" t="inlineStr">
        <is>
          <t>CONFIRMED</t>
        </is>
      </c>
      <c r="E9" s="8" t="inlineStr">
        <is>
          <t>none published</t>
        </is>
      </c>
      <c r="F9" s="10" t="inlineStr">
        <is>
          <t>VERIFIED - company site</t>
        </is>
      </c>
      <c r="G9" s="81" t="inlineStr">
        <is>
          <t>UNVERIFIABLE</t>
        </is>
      </c>
      <c r="H9" s="79" t="inlineStr">
        <is>
          <t>OPERATING - confirmed - Multiple independent, current signals: (1) gbp.com carries a "© 2026 Green Bay Packaging Inc." footer and the Baltimore division has a live, maintained page; (2) the corporate locations index still lists Baltimore among 52 operating sites (32 corrugated converting operations); (3) seven active job postings at Hunt Valley, MD on Indeed as of this check — HR Manager ($90-120k), Master Mechanic, Master Electrician, Customer Support/Quality Manager, New Business Development Manager, plus Master Mechanic/Electrician roles in nearby Cockeysville — a plant hiring maintenance AND a sales manager is running, not winding down; ZipRecruiter and Glassdoor also carry current Hunt Valley reqs; (4) the Yelp business page shows "Updated March 2026"; (5) no closure, consolidation, WARN notice or layoff news naming this plant was found in any search. Important framing point: Green Bay Packaging is NOT a Smurfit Westrock asset — it is an independent, family-owned, vertically integrated company (founded 1933, ~$2B+ sales, 4,000+ employees, 14 states). The Smurfit Westrock consolidation risk that threatens other plants on your list does not apply here, which makes this one of the safer names to call.</t>
        </is>
      </c>
      <c r="I9" s="8" t="inlineStr">
        <is>
          <t>Several, and one matters for dialing. (1) FOUR different phone numbers are in circulation for 11000 Gilroy Rd: (410) 785-2233 on gbp.com's own division page and locations index; (410) 785-9641 on Manta, Yellow Pages and hub.biz; (410) 785-8519 on the Maryland Green Registry profile (updated April 2022); and (410) 329-1039 on Yellow Pages. Only 785-2233 appears on the company's own site, and it appears on two separate gbp.com pages, so it is the one to dial — but be aware the directories disagree and Yellow Pages alone lists three numbers on one record, a classic sign of recycled data. (2) The 2016 gbp.com press release lists Dave Pollock at (410) 785-4815 and a general manager line at (410) 785-8508 x307. NEITHER shares an exchange pattern with the current main number, which suggests the plant renumbered its PBX at some point. Do not dial those direct numbers first — go through 785-2233. (3) GM identity conflicts across sources: Tyson Aschliman per a 2012 article vs Dave Pollock per the 2016 release and current AICC/LinkedIn/ZoomInfo. Pollock is current; the Aschliman reference is 14 years stale and would embarrass you on a cold call. (4) The only email I can offer is 10 years old. GBP's published email convention is first-initial+lastname@gbp.com (~88% of addresses per email-format aggregators), which is consistent with dpollock@gbp.com, but I am deliberately not constructing any other address from that pattern — an invented sales email would just bounce. (5) Your brief's "in-house corrugator" claim could not be substantiated; see capability notes. (6) SOURCE-ACCESS LIMITS you should weigh: LinkedIn (HTTP 999), Yelp, Manta, ZoomInfo, BBB, IndustryNet and the AICC member page (403/503) all blocked direct fetching, so my cross-checks on those came from search-result snippets rather than reading the pages myself. The gbp.com pages, the Maryland state registry PDF, the gbp.com press release PDF, Yellow Pages, hub.biz and Indeed I read directly. (7) Yellow Pages' "93 years in business" refers to the 1933 founding of the Wisconsin parent, not the Hunt Valley plant — a directory conflation, not a fact about this site. (8) The Maryland Green Registry profile, though a solid government-adjacent source that independently confirms the street address, was last updated April 2022 and its phone number matches nothing current. 1) EMAIL PROVENANCE CLAIM IS FALSE (the important one). The record asserts dpollock@gbp.com "appears in a press release hosted on gbp.com" dated "August 2016" and is therefore "NOT a guess." I fetched the only Baltimore-specific press release on gbp.com (https://gbp.com/newsroom/baltimore-division-accepted-into-maryland-green-registry/) and read its full body text: it is dated August 7, 2012 (not August 2016), it contains ZERO email addresses, and it never mentions Pollock at all. No other 2016 Baltimore release exists on the site. An exact-string search for "dpollock@gbp.com" returns no page that actually contains the string — only ZoomInfo (which masks it as "d***@gbp.com") and anymailfinder (a pattern-guessing service). gbp.com/contact-us/ carries no email address at all. The address should be reclassified as pattern-inferred, not company-published.
2) "52 operating sites (32 corrugated converting operations)" — could not verify. The live locations index renders 46 map entries / 37 "Get Details" links, and Wikipedia gives ~40 facilities. Related stale figures in the record: "14 states" and "4,000+ employees" — current sources say 16 states and ~4,500 employees ("14 states" is the boilerplate from GBP's 2012 press release).
3) "Seven active job postings on Indeed" — overstated. I could confirm about 4 distinct Hunt Valley reqs (HR Manager $90-120k, Customer Support/Quality Manager, Master Electrician, plus a Quality Coordinator 1st Shift on another board). Counts fluctuate daily, so this is soft, but seven is not supported.
4) Phone corroboration is overstated, and there are undisclosed alternate numbers. Yellow Pages lists (410) 785-9641 as its PRIMARY number with (410) 785-2233 only secondary, plus a third, (410) 329-1039. 785-9641 resolves to the same 11000 Gilroy Rd address and same industry, so it is an alternate line for the same business, not a different company — worth having as a fallback. The record's claim that Yelp echoes 785-2233 is doubtful: search snippets attribute 785-9641 to Yelp, and the Yelp page itself returned HTTP 403 so I could not check it.
5) ZIP+4 "21031-1309" — UNVERIFIABLE; I could not reach a USPS lookup to confirm the +4. PHONE — CONFIRMED, strongest possible sourcing. I pulled raw HTML (not a fetch-tool summary, which can echo back the question) from two separate gbp.com pages. The corporate locations index renders verbatim: "Baltimore Division | 11000 Gilroy Road | Hunt Valley, MD 21031 | (410) 785-2233". The division page carries the same number. Independently echoed as the main number by hub.biz. Note the trap the record correctly avoided: the ONLY tel: hyperlink on the Baltimore page points to corporate HQ (920) 433-5111 in Green Bay, WI — the 410 number appears as text. Address 11000 Gilroy Road, Hunt Valley, MD 21031 is confirmed on both pages.
EMAIL — UNVERIFIABLE, and the buyer should not treat it as a published address. The PERSON is solidly real: Dave/David Pollock, V.P. &amp; General Manager, Baltimore Division (LinkedIn; AICC trade directory listing him at 11000 Gilroy Rd). What is unsupported is the address itself. Useful finding on why it looks so credible: I decompressed two genuine GBP press-release PDFs and recovered their real published emails — bhollenb@gbp.com (Bryan Hollenbach, Executive VP) and rbahde@gbp.com. GBP's convention is first-initial + surname truncated to ~7 characters. "Pollock" is exactly 7 letters, so dpollock@gbp.com fits the convention perfectly. That makes it a good guess, not a confirmed one — precisely the pattern-inferred case that must not be marked CONFIRMED. Also note both genuinely published addresses belong to Green Bay HQ corporate-communications executives; I found no GBP division GM email published anywhere. Practical read: the address will probably deliver, but it may bounce or reach a departed employee, and it is not a documented route. The record's own fallback is correct and verified — gbp.com/contact-us/ is genuinely WEB FORM ONLY (I confirmed: a form is present, no email addresses in the HTML, only the 920 corporate number).
STATUS — CONFIRMED, and I found better evidence than the record cites. Primary-source check: I downloaded the Maryland Department of Labor WARN logs for 2025 and 2026 from labor.maryland.gov and parsed them properly. No Green Bay Packaging entry in either year. The only Hunt Valley entry is Diamond Comic Distributors (10150 York Rd, ZIP 21030 — different company and ZIP); the only "Packaging" hits are Mauser Packaging Solutions (2025) and a RESCINDED Advanced Packaging Inc (2026); Cockeysville hits are ZeniMax. Two division-specific, dated signals the record missed: Baltimore Division earned a BRCGS double-AA recertification announced November 2025, and won a Safety Excellence Award (no lost workdays) in the 2025 FBA/AICC Corrugated Container Industry Safety Awards. Strongest hiring signal: the Indeed HR Manager posting states the hire "will serve as a key member of the Baltimore Division leadership team." No closure, consolidation, layoff or WARN news naming this plant anywhere.
METHODOLOGY CAVEAT worth recording: my first pass at the WARN PDFs returned zero hits for every keyword — but "Baltimore" also showed zero occurrences in a Maryland WARN log, which is impossible. The text was compressed and my extractor was reading only XMP metadata. I caught the false negative and re-extracted with a real PDF parser (Baltimore then appeared 66 and 30 times). The clean-WARN finding above comes from the valid extraction. I flag this because the same class of silent-null error is a plausible route by which the original researcher "found" a 2016 press release that does not exist — a search-engine AI summary I received also asserted the Maryland Green Registry release was "from 2016" when the page itself plainly reads August 7, 2012.
GBP INDEPENDENCE — the record's framing point is CORRECT and materially useful. Green Bay Packaging is privately held and family-owned (Kress family; Will Kress Chairman/CEO), founded 1933, and is NOT a Smurfit Westrock asset. Smurfit Westrock was formed July 2024 from Smurfit Kappa + WestRock and has no GBP relationship; GBP is itself an acquirer (SMC Packaging, 2024) and announced "Project PowerPack," a $1B Arkansas linerboard mill investment, in June 2025. So the Smurfit Westrock consolidation risk genuinely does not apply here.
BOTTOM LINE for the buyer: call (410) 785-2233 with confidence, and keep (410) 785-9641 as a fallback. Do NOT rely on dpollock@gbp.com as a documented address — ask for Dave Pollock (VP/GM) by name on the phone and get his email confirmed verbally, or use the web form. The plant is unambiguously operating.</t>
        </is>
      </c>
    </row>
    <row r="10" ht="76" customHeight="1">
      <c r="A10" s="33" t="inlineStr">
        <is>
          <t>Keystone Sheets (Buckeye Corrugated / Corrugated Partners Group)</t>
        </is>
      </c>
      <c r="B10" s="8" t="inlineStr">
        <is>
          <t>(717) 287-1764</t>
        </is>
      </c>
      <c r="C10" s="10" t="inlineStr">
        <is>
          <t>VERIFIED - company site</t>
        </is>
      </c>
      <c r="D10" s="10" t="inlineStr">
        <is>
          <t>CONFIRMED</t>
        </is>
      </c>
      <c r="E10" s="8" t="inlineStr">
        <is>
          <t>none published</t>
        </is>
      </c>
      <c r="F10" s="80" t="inlineStr">
        <is>
          <t>Web form only</t>
        </is>
      </c>
      <c r="G10" s="81" t="inlineStr">
        <is>
          <t>UNVERIFIABLE</t>
        </is>
      </c>
      <c r="H10" s="79" t="inlineStr">
        <is>
          <t>OPERATING - confirmed - Strong and current. (1) Indeed company page shows a "Production Supervisor" opening posted 7 days ago as of retrieval. (2) An employee review on Indeed dated April 20, 2026. (3) Glassdoor listed 13 open Keystone Sheets jobs in Chambersburg as of May 2026. (4) A LinkedIn posting for Customer Service Representative (job 4429950690) posted roughly two months ago, i.e. mid-2026; its description explicitly references coordinating with "production, shipping, and sales teams," confirming a functioning sales organisation. (5) The site's own leadership page was last modified 2025-11-25 per the XML sitemap, with a named eight-person management roster. (6) Hiring is active enough to be indexed across ZipRecruiter, Glassdoor, Indeed and LinkedIn simultaneously. No closure, idling, curtailment or consolidation news of any kind was found. This is a plant that only came online in late 2023 off a $52.7M greenfield investment, so closure risk is very low.</t>
        </is>
      </c>
      <c r="I10" s="8" t="inlineStr">
        <is>
          <t>Several worth knowing, though none undermine the phone number:
1. OWNERSHIP LABELS CONFLICT ACROSS SOURCES. The brief says "Buckeye Corrugated Inc / Corrugated Partners Group." A ZipRecruiter posting calls Keystone "an affiliate of Schwarz Partners." Schwarz Partners' own site states it created Corrugated Partners Group in 2023 and lists Keystone as a member. Buckeye Corrugated (bcipkg.com) separately lists Keystone as one of its locations. These are nested entities in one family rather than true contradictions, but the buyer should not be surprised if the person answering identifies the company differently than expected. It also means bcipkg.com, cpgteam.com and schwarzpartners.com are corporate affiliates, NOT independent confirmations of the phone number.
2. THIN INDEPENDENT DIRECTORY COVERAGE. No BBB, Thomasnet, Manta, Dun &amp; Bradstreet, Yellow Pages or Blue Book listing surfaced at all despite targeted searching. The plant is only about two and a half years old, so directory coverage has not caught up. The genuinely independent corroboration is limited to ZoomInfo and a Facebook business page. The phone is nonetheless high-confidence because it comes straight off the company's own contact page.
3. TWO SOURCES COULD NOT BE READ DIRECTLY. ZoomInfo returned HTTP 403 and Facebook returned a login wall, so their phone/address agreement comes from search-result snippets rather than pages I actually rendered. I am treating them as supporting, not primary.
4. COPYRIGHT YEAR VS ACTUAL CONTENT AGE. The site footer renders 2026, but the XML sitemap shows the homepage last modified 2025-06-16, contact page 2025-06-19, about page 2025-06-23, and only the leadership page as recently as 2025-11-25. The 2026 copyright is very likely auto-generated by script. The site is not abandoned — the leadership roster was refreshed nine months ago and hiring is live — but the marketing content has not been touched in over a year, so treat published capability claims as needing verbal confirmation.
5. NO SALES CONTACT ANYWHERE, WHICH IS ITSELF UNUSUAL. An eight-person leadership page with a Controller, an HR Manager and a Maintenance Manager but no sales or estimating name is a notable omission for a plant actively soliciting business. Combined with the total absence of a sales email, this suggests new-account business may be routed through a CPG regional sales structure rather than handled at the plant. Expect a possible hand-off on the first call.
6. MINOR INCONSISTENCY IN GROUP MARKETING COPY. CPG is described as "16+ sheet feeders with 18 corrugators" in one place and "15 plants" in another, and headcount as "over 1,200." Immaterial to the buyer, but it shows the group's published figures are loosely maintained.
7. EMPLOYEE-COUNT FIGURE LOOKS STALE. ZoomInfo shows 11-50 employees, while the project was announced as creating 80 jobs and the plant is 420,000 sq ft running 24/7. The ZoomInfo record appears to date from near opening and has not been updated. Two factual errors in the record, neither affecting the phone/address/status verdicts:
1. EMAIL CLAIM OVERSTATED (refuted as written). The record asserts "the only publicly published address anywhere in the corporate family is careers@cpgteam.com." False — schwarzpartners.com publishes info@schwarzpartners.com, and it appears on the very page the record cited as a phone corroborator (https://www.schwarzpartners.com/industries/corrugated-sheets/). The record's operative advice (don't send an RFQ to a careers box) is still right, but the exclusivity claim is wrong.
2. OWNERSHIP MISCHARACTERIZED. The record calls bcipkg.com, cpgteam.com and schwarzpartners.com "parent/affiliate sites" and implies Corrugated Partners Group is the parent. CPG self-describes on its own site as "a collaborative network of sheet feeders" (16 plants, 1,400 people) — a consortium, not a corporate parent. Keystone Sheets is listed as a location by BOTH Buckeye Corrugated (bcipkg.com, under "Sheet Feeders") and Schwarz Partners. The operational parent is Schwarz Partners: job postings read "Keystone Sheets, an affiliate of Schwarz Partners," and the plant's own careers page hands off to a Dayforce ATS running on the Schwarz Partners tenant (jobs.dayforcehcm.com/en-US/schwarzpartners/KEYSTONE-SHEETS-CAREERS/). Buyer upshot: escalate through Schwarz Partners (317.290.1140, info@schwarzpartners.com), not CPG.
3. LEADERSHIP ROSTER IS INCOMPLETE FOR RFQ PURPOSES (not an error, but a gap). The site's 8-person roster is accurate as described (Nick Wriker Plant Mgr, Gina Vega Controller, Linda Hostetter HR, Angela Gladfelter EHS, Dave Weidner Maintenance, John Nitchman Shipping, Alison Everhart Customer Service &amp; Scheduling, Hannah White Production Scheduler) — but it contains no general manager and no sales manager. ZoomInfo separately names Charlie Garrison (General Manager) and Steven Baker (Assistant General Manager &amp; Sales Manager). The two people most likely to take an RFQ are not on the published roster. Alison Everhart (Customer Service &amp; Scheduling Manager) is the best named commercial contact confirmed on the company's own site.
Address (1465 Nitterhouse Dr, Chambersburg, PA 17201) and website: both CONFIRMED, matching across all four sources. PHONE — CONFIRMED, strongest item in the record. Verified on the company's own contact page ("Main: 717.287.1764") and independently on three separate affiliate sites that I fetched directly rather than taking on trust: BCI's locations directory (lists it among Sheet Feeders), cpgteam.com/our-companies, and schwarzpartners.com. All four render the identical number. I searched the number as a bare string in multiple formats to see if it resolved to a different business, a parent switchboard, or a defunct listing — it resolves to nothing else, and I found zero conflicting numbers anywhere. One caveat the buyer should hold: this is a plant main/switchboard line, not a direct sales DID.
EMAIL — UNVERIFIABLE, and the record handled this correctly. I checked contact-us, about-us, leadership, and job-openings on the company site, plus the BCI, CPG and Schwarz Partners pages: no sales@, info@, quotes@ or general mailbox is published anywhere for this plant. ZoomInfo confirms individual @keystonesheets.com addresses exist (Baker, Garrison, Hostetter, Everhart, White and others) but masks every local-part behind a paywall, so no specific address is independently confirmable. Do not pattern-guess one. The web form with "Sales Inquiry" selected is the only verified route in.
OPERATING STATUS — CONFIRMED. I tried hard to refute this and could not.
Refutation attempts that failed: I pulled the official PA Dept. of Labor &amp; Industry WARN list. There is NO WARN notice for Keystone Sheets or for 1465 Nitterhouse Dr in either 2025 or 2026. No closure, idling, curtailment or consolidation news exists.
Two near-miss traps a careless checker would fall into, both of which I ran down and cleared: (a) a Franklin County WARN closure affecting 148 employees, effective 7/6/26–12/31/26, surfaces prominently in searches for this plant — it is Knouse Foods Cooperative, a fruit processor at 421 Grant Street, Chambersburg, entirely unrelated; (b) a 2025 WARN layoff of 71 at 1490 Nitterhouse Drive is GEODIS Logistics — a different company at a different address on the same street. Neither touches this supplier.
Positive evidence, ranked by quality — and note I deliberately replaced the record's weak sourcing here. The record leaned almost entirely on Indeed/Glassdoor/LinkedIn job counts, which are scraped aggregator pages with auto-generated dates and are poor evidence. The strongest signal is one the record missed: the company's own careers page hands off to a live Dayforce HCM candidate portal on the Schwarz Partners tenant, which resolves through two redirects and serves — that is a live HRIS/ATS tenant, not a scrape. Secondary: keystonesheets.com carries a 2026 copyright, and job-board pages are indexed with 2026 dates (Indeed Chambersburg page 3 Jul 2026, Glassdoor "13 keystone sheets Jobs... May 2026", ZipRecruiter Mar 2026).
One overstatement to flag: the record calls the site evidence "Strong and current," but the newest page modification in the XML sitemap is 2025-11-25 (the leadership page) — roughly nine months stale as of today. The site is maintained, not actively updated. The record's item (4), inferring "a functioning sales organisation" from a CSR job description, is a stretch as reasoning, though the conclusion independently holds via the named Sales Manager.
The record's "came online in late 2023 off a $52.7M greenfield investment" checks out — confirmed against the PA Governor's office and DCED 2023 announcements and the company's own About page.</t>
        </is>
      </c>
    </row>
    <row r="11" ht="76" customHeight="1">
      <c r="A11" s="33" t="inlineStr">
        <is>
          <t>Craters &amp; Freighters Northern Virginia</t>
        </is>
      </c>
      <c r="B11" s="8" t="inlineStr">
        <is>
          <t>(703) 796-0180</t>
        </is>
      </c>
      <c r="C11" s="10" t="inlineStr">
        <is>
          <t>VERIFIED - company site</t>
        </is>
      </c>
      <c r="D11" s="10" t="inlineStr">
        <is>
          <t>CONFIRMED</t>
        </is>
      </c>
      <c r="E11" s="8" t="inlineStr">
        <is>
          <t>none published</t>
        </is>
      </c>
      <c r="F11" s="80" t="inlineStr">
        <is>
          <t>Web form only</t>
        </is>
      </c>
      <c r="G11" s="10" t="inlineStr">
        <is>
          <t>CONFIRMED</t>
        </is>
      </c>
      <c r="H11" s="79" t="inlineStr">
        <is>
          <t>OPERATING - confirmed - Multiple independent current signals: (1) Own website carries a "© 2026 Craters &amp; Freighters" copyright and is fully live, with working contact and quote forms. (2) Active job posting on Glassdoor/Indeed — "DMV Truck Driver based in Sterling, VA" for Craters &amp; Freighters of Washington DC, $22.00-$24.00/hr, listed as 1 open job. (3) Yelp profile "Updated August 2026", 17 reviews, 57 photos, not flagged closed. (4) Still listed as an active location on the franchisor's own directory at cratersandfreighters.com/locations/ (page content dated May 2026), carrying a hazmat certification badge. (5) BBB Accredited, A+ rating, accredited since 4/18/2009. (6) Targeted searches for closure, closing, consolidation or relocation in 2025-2026 returned NO such news. Note this is a franchise crating/packaging depot, not a Smurfit Westrock corrugated mill, so the mill-consolidation risk does not apply here.</t>
        </is>
      </c>
      <c r="I11" s="8" t="inlineStr">
        <is>
          <t>Several, and the buyer should know them. (1) STALE DIRECTORY ADDRESS: LocalEdge and usa-co.com list this business at "22650 Executive Dr, Ste 119, Sterling VA 20166" — a different building and suite from the current 113 Executive Dr., Ste. 131. Four current sources (own site, franchisor directory, BBB, YellowPages) agree on 113 Executive Dr Ste 131, so treat 22650 as an outdated former address. (2) YEARS IN BUSINESS CONFLICT: YellowPages claims "36 years in business," BBB says 19 years, and the company's own bio says Levine acquired the franchise in 2007 (~19 years) while the site elsewhere says "over 25 years" serving the area. YellowPages' 36 years appears to be the 1990 founding date of the national franchisor, misapplied to this location — a classic directory recycling error. (3) HOURS CONFLICT: YellowPages shows 8:00am-5:00pm vs the company's own 8:30am-5:00pm. Minor, but don't call at 8:05 expecting an answer. (4) WEBSITE CONFLICT: YellowPages points to "cratersandfreighters.com/NOVA," which is not the live site; the working sites are cratersandfreightersnorthernvirginia.com and cratersandfreightersdc.com. (5) DUAL IDENTITY: one physical office runs two brand sites and at least four phone numbers, so directory results are split between "Northern Virginia" and "of Washington DC" records — this is not two suppliers. (6) UNVERIFIED EMAIL — DO NOT USE: a search-engine summary surfaced "dave.levine@cratersandfreighters.com," and LeadIQ/RocketReach publish guessed patterns like First@cratersandfreighters.com. None of these appear on any company page and I could NOT verify any of them; they are aggregator inference. I am deliberately not reporting them as usable. (7) The privacy-policy page's apparent email addresses are Cloudflare anti-scraping placeholders that render as "[email protected]", not real readable addresses, and would be corporate privacy contacts rather than sales anyway. (8) Yelp and Manta both returned HTTP 403 to direct fetching, so their data reached me only via search-result metadata — slightly lower grade than the pages I read in full. 1) NAME/BRANDING IS INCOMPLETE (material). The record says the office trades under TWO names. It actually runs THREE regional brands from the single Sterling address, per the franchisor's own directory: "VA: Northern Virginia" = 703-796-0180; "DC: Washington DC" = 202-237-7447; "MD: Suburban Washington, Frederick, Hagerstown" = 301-231-7447. The 301 number is absent from the record entirely.
2) MISSING TOLL-FREE NUMBER. (877) 796-0180 is published on the company's own /contact/ page and on the BBB profile. Not in the record. Useful fallback for a buyer.
3) "DSL LOGISTICS CORP (unverified against state records)" SHOULD BE UPGRADED. The record sources this only to Buzzfile and flags it unverified. It is in fact corroborated by three further independent sources: Dun &amp; Bradstreet (DSL Logistics Corp., 113 Executive Dr Ste 131 Sterling VA, dba Craters &amp; Freighters, key principal David S Levine); FMCSA SAFER (DSL LOGISTICS CORP, USDOT 1084083 / MC 850980, DBA "CRATERS &amp; FREIGHTERS OF WASHINGTON DC", same address); and BBB (principal "Mr. Dave S Levine, President"). I could not query the Virginia SCC CIS directly, so it remains unconfirmed against *state* filings specifically — but "unverified" understates the evidence.
4) TENURE CLAIMS CONFLICT — do not rely on them. BBB says "19 years in business"; the owner bio says Levine acquired the franchise in 2007; FMCSA shows registration 12/31/2002; marketing copy says "over 25 years" / "30+ years" (that is the national brand, founded 1990, not this location). Four different vintages.
5) MINOR DIRECTORY NOISE. YellowPages lists this business with a second number, (703) 904-0289, which I could not resolve to any business via reverse search — likely a fax or a stale line. It also lists the website as cratersandfreighters.com/NOVA rather than the standalone domain. Neither contradicts the record's phone. I tried to refute this record and could not. It holds up better than most, and I found one source the original researcher missed that materially strengthens it.
PHONE — CONFIRMED. I searched "703-796-0180" as a bare string; it resolves to this company and nothing else. It appears on the company's own homepage, /contact/, /get-a-quote/ (as a tel: link), and /about/leadership/owner-bio/ — I fetched all four independently. It is corroborated off-site by the franchisor directory (specifically under the "VA: Northern Virginia" entry, which is the right brand for this record), BBB, and YellowPages. No competing number for the Northern Virginia brand surfaced. Caveat on the record's phrasing "Four independent sources agree": the company site and the franchisor directory are the same corporate family, so it is really two-ish independent streams (company/franchisor, plus BBB and YellowPages) — the number is nonetheless well-corroborated.
EMAIL — CONFIRMED as "web form only," i.e. the record's claim that no email exists is accurate. I checked the homepage, /contact/, /get-a-quote/, the owner bio page, and the sibling DC site: no email address and no mailto: link anywhere. The contact form collects an email from the sender but publishes none. ACTIVE WARNING FOR THE BUYER: the franchisor uses a location-token pattern elsewhere (e.g. SouthCarolina@CratersAndFreighters.com for the SC location), which makes NorthernVirginia@cratersandfreighters.com or WashingtonDC@cratersandfreighters.com look guessable. I searched for both explicitly and neither is published anywhere. Do not send real mail to an inferred address — use the web form or the phone.
OPERATING STATUS — CONFIRMED, and I can add a federal source the record does not cite. FMCSA SAFER for USDOT 1084083 (DSL Logistics Corp, DBA Craters &amp; Freighters of Washington DC, 113 Executive Dr #131 Sterling VA 20166) shows Operating Status "ACTIVE", no out-of-service orders, MCS-150 form filed 01/29/2026, 2 power units and 4 drivers. That is a government record dated this year tying the exact address to an active operating carrier — considerably stronger than the Yelp/Glassdoor/copyright signals the record leans on, all of which I also verified independently (Yelp "Updated August 2026", 17 reviews, 57 photos, not flagged closed; the Glassdoor "DMV Truck Driver based in Sterling, VA" posting at $22.00–$24.00/hr is real and live; franchisor directory still lists the location; BBB A+ accredited since 4/18/2009, no closure flag). Adverse searches for closure, permanent closure, consolidation, relocation, layoffs, and Virginia WARN notices naming Craters &amp; Freighters, DSL Logistics, Sterling, or Loudoun County in 2025–2026 returned nothing. One data-quality note: SAFER's contact phone for this carrier is the placeholder "(123) 456-7890" — junk in the federal record, not a real alternate number, and not a reason to doubt the ACTIVE status.
ADDRESS — CONFIRMED exactly as written, including the ZIP+4. 113 Executive Dr., Ste. 131, Sterling, VA 20166 appears identically on the company site, the DC site, the franchisor directory, BBB (20166-9559), FMCSA, and YellowPages.
The record's own aside is correct and worth preserving: this is a franchise crating/packaging depot, not a corrugated mill, so mill-consolidation risk genuinely does not apply. Net assessment: phone, address, email-absence, and operating status are all sound. The one thing I would actually change before handing this to a buyer is the branding description — three phone-separated regional identities out of one office, not two.</t>
        </is>
      </c>
    </row>
    <row r="12" ht="76" customHeight="1">
      <c r="A12" s="33" t="inlineStr">
        <is>
          <t>Atlantic Corrugated Box Company, Inc.</t>
        </is>
      </c>
      <c r="B12" s="8" t="inlineStr">
        <is>
          <t>(804) 231-4050</t>
        </is>
      </c>
      <c r="C12" s="10" t="inlineStr">
        <is>
          <t>VERIFIED - company site</t>
        </is>
      </c>
      <c r="D12" s="10" t="inlineStr">
        <is>
          <t>CONFIRMED</t>
        </is>
      </c>
      <c r="E12" s="8" t="inlineStr">
        <is>
          <t>none published</t>
        </is>
      </c>
      <c r="F12" s="81" t="inlineStr">
        <is>
          <t>NOT FOUND</t>
        </is>
      </c>
      <c r="G12" s="81" t="inlineStr">
        <is>
          <t>UNVERIFIABLE</t>
        </is>
      </c>
      <c r="H12" s="79" t="inlineStr">
        <is>
          <t>Operating - likely - Positive evidence: (1) Federal FMCSA SAFER record, USDOT 798784, shows operating status ACTIVE with no out-of-service orders, address and phone matching exactly, MCS-150 last updated 01 Apr 2024. (2) The website is live and serving today (26 Aug 2026) and sits behind an actively maintained commercial bot-protection/WAF layer — somebody is paying for and maintaining that hosting, which a wound-down business generally is not. (3) LinkedIn company page is live with 87 followers and around 11 employees listed. (4) No closure, layoff, WARN notice, bankruptcy or acquisition news exists for this company. (5) Indeed shows a 4.5/5 employer rating and Birdeye shows 8 reviews.
Why I stop short of "confirmed": I could not find a single DATED 2025 or 2026 signal specific to this company — no recent job postings, no dated reviews, no news mentions, no dated LinkedIn posts, and the site carries no copyright year. The most recent hard, dated record is the April 2024 federal filing. The site's copy also looks several years old. Nothing suggests trouble, but the confirming step is the phone call itself.
Critically for this buyer: there IS a Richmond, VA corrugated plant closing in June 2026 — 110 layoffs, WARN notice filed 31 Mar 2026 — but that is Packaging Corporation of America's full-line plant, a DIFFERENT and much larger company. It is NOT Atlantic Corrugated and not 1701 Ruffin Road. Do not let that headline scare you off this call; if anything it means local Richmond corrugated capacity is tightening.</t>
        </is>
      </c>
      <c r="I12" s="8" t="inlineStr">
        <is>
          <t>I looked hard and there are several real ones:
1. BROKEN CONTACT PAGE. The company's own contact page says "call or send us an email" but the "email:" field next to it is blank. No address, no mailto, no form. Either an unnoticed site bug or a deliberately stripped address — either way it suggests the website is not being actively maintained.
2. TOLL-FREE NUMBER UNCONFIRMED. (800) 327-4100 is carried by Yellow Pages and Superpages but appears NOWHERE on the company's own site, and a reverse search returned no owner. Possibly a discontinued or recycled toll-free line. Same for the secondary (804) 231-4051, which is Yellow Pages only.
3. STALE "YEARS IN BUSINESS." Yellow Pages says 29 years. The company's own About page says founded 1985, which is 41 years in 2026. The YP figure looks frozen around 2014 — a sign that listing has not been refreshed in roughly a decade.
4. EMPLOYEE COUNT IS ALL OVER THE PLACE. LinkedIn's banner says 2–10 while simultaneously listing 11 employees; ZoomInfo says 18; a Manta-sourced result said 51–200 with $1M–$5M revenue while another source said $5.7M. Directory headcount and revenue data for this company is worthless — do not rely on it to size the shop.
5. CONTRADICTORY JOB TITLES. ZoomInfo lists both Michael Filer and DuWane Donati as "Plant Manager." Two people cannot hold that role at an 18-person plant; this is stale aggregated data, so treat all lead-gen names with caution.
6. DATED-LOOKING WEBSITE. No copyright year anywhere, no news or blog, no dated content, undated testimonials attributed only to unnamed roles ("Purchasing Manager at Medical Supply Firm"), and a typo — "along wtih" — sitting uncorrected on the Shipping Cartons page. The site reads as several years old. Offset against this: the hosting and WAF are current, and the phone and address on it match the federal record exactly.
7. SITE BLOCKS AUTOMATED ACCESS. acbc-inc.com sits behind an aggressive JavaScript bot-check that returns a "One moment, please..." interstitial to ordinary HTTP clients; I had to work around it to read the pages. Worth knowing because it means the directory sites scraping this company are likely serving cached data of unknown age.
8. NO SPEC DATA TO CROSS-CHECK. Nothing published on width, wall, ECT, stitching, MOQ or certifications, so none of the buyer's requirements can be pre-qualified before dialling. 1) NEW DATED SIGNAL THE RECORD SAYS DOES NOT EXIST. The record's central caveat is "I could not find a single DATED 2025 or 2026 signal specific to this company." That is now false. Verisign RDAP for acbc-inc.com (pulled 26 Aug 2026): registration 2009-12-08, expiration 2026-12-08, LAST CHANGED 2025-12-09. The domain was renewed on 9 Dec 2025 - a dated, company-specific act of maintenance eight months ago. Add it. Also note the flip side: the registration now expires 8 Dec 2026, ~3.5 months out.
2) NEGATIVE SIGNAL THE RECORD MISSED - the April 2024 FMCSA filing is overdue for its biennial update. MCS-150 updates are due biennially on a schedule keyed to the USDOT number: last digit = filing month, second-to-last digit = odd/even year. USDOT 798784 -&gt; "4" = April, "8" = even year, so the next update was due April 2026. The SAFER snapshot I pulled today still shows MCS-150 Form Date 04/01/2024, so the April 2026 biennial update does not appear to have been filed. The record leans on that April 2024 filing as its "most recent hard, dated record"; it should instead be flagged as a filing that has since been missed. Not proof of closure (FMCSA deactivation lags, and tiny private fleets miss it routinely), but it cuts the other way from how the record uses it.
3) THE WAF ARGUMENT DOES NOT HOLD. The record argues the site "sits behind an actively maintained commercial bot-protection/WAF layer - somebody is paying for and maintaining that hosting." Every Internet Archive capture of acbc-inc.com from 2024 through 10 Jun 2026 is the challenge interstitial itself (&lt;title&gt;One moment, please...&lt;/title&gt; / &lt;title&gt;Loader&lt;/title&gt;), not page content. The WAF is a hosting-bundled default, not evidence anyone is tending the site, and it also means Wayback cannot date the site's content at all. Delete this as an operating-status argument. What DOES survive: the live site today serves real content behind the challenge (address, phone, fax render correctly), so it is a genuine live site, not a parked shell.
4) THE FMCSA RECORD IS ONE TRUCK, AND "ACTIVE" IS WEAKER THAN THE RECORD IMPLIES. Full SAFER snapshot: Power Units 1, Drivers 1, Private (Property), Intrastate Only (Non-HM), MCS-150 Mileage 30,000 (2023). "USDOT Status: ACTIVE, Out of Service Date: None" means the DOT number has not been deactivated - it is not a federal attestation that the company is trading. Also on the same record: "Operating Authority Status: NOT AUTHORIZED." That is normal and harmless for a private intrastate carrier, but the record omits it and a buyer skimming SAFER will misread it as a red flag.
5) "FOUR INDEPENDENT SOURCES" FOR THE PHONE IS OVERSTATED. The record counts the company site, FMCSA, Yellow Pages, Yahoo Local and LinkedIn as independent. Yellow Pages, Yahoo Local, Superpages and ZoomInfo are aggregators fed from the same licensed/scraped pool and from the site itself - they are one source wearing four hats. Real independence here is two sources: the company's own site and the federal carrier filing. The verdict is unchanged (still CONFIRMED), but the reasoning should not be reused as-is on other records.
6) MISSING FIELD - FAX. The company's own contact page lists a fax the record omits: 804.231.4227. Useful to this buyer; corrugated shops of this size still take artwork and POs by fax.
7) DO NOT USE THE TOLL-FREE NUMBER. Directory data (ZoomInfo/Superpages) carries a toll-free 800-327-4100 for this company. It does NOT appear anywhere on acbc-inc.com. Unverified - leave it out of the record rather than dialing it.
8) HEADCOUNT FIGURES ARE JUNK - DROP THEM. The record cites "around 11 employees" from LinkedIn as operating evidence. D&amp;B says 2-10, ZoomInfo says 18. Yellow Pages says "29 Years" in business, D&amp;B says 41 years. These are unsourced directory guesses that disagree with each other. None should be quoted to the supplier or relied on.
9) THE REVIEW EVIDENCE IS THINNER THAN STATED. The record cites Birdeye's 8 reviews and Indeed's 4.5/5 as operating evidence. The Yellow Pages listing carries zero reviews ("Be the first to review!"). No review on any platform is dated. Undated review counts are not signs of life and should not be listed as such. WHAT I VERIFIED MYSELF, AND HOW
PHONE - CONFIRMED, and it is the strongest field in the record. Two genuinely independent sources, both pulled today (26 Aug 2026): (a) the company's own contact page at https://www.acbc-inc.com/contact.php renders "804.231.4050" with "1701 Ruffin Road Richmond, Virginia 23234"; (b) the FMCSA SAFER carrier snapshot for USDOT 798784, which I fetched and parsed directly, returns Legal Name "ATLANTIC CORRUGATED BOX CO INC", DBA Name blank, Physical and Mailing Address "1701 RUFFIN ROAD RICHMOND, VA 23234", Phone "(804) 231-4050". The DOT number the researcher cited does belong to this company - I checked rather than assuming. I searched the number as a bare string and it resolves to no other business; nothing suggests a parent company, a branch, or a dead listing. The address is confirmed to the same standard as the phone (site + federal filing agree), which is better support than the record claims for it - it currently leans on LinkedIn's ZIP+4.
EMAIL - UNVERIFIABLE, and the record's "NOT FOUND" is correct. I checked the homepage and the contact page for any address or mailto and got NO EMAIL PRESENT on both. There is no email and no web contact form anywhere on the site - it is phone and fax only. A domain-wide search for "@acbc-inc.com" surfaced nothing belonging to this company. Explicit warning for whoever works this record next: do not fill this field with info@, sales@ or orders@acbc-inc.com. There is no evidence any such mailbox exists, and this company's own site never offers one. First contact has to be the phone call.
OPERATING STATUS - UNVERIFIABLE. I tried to refute "likely-operating" and could not, but I also could not confirm it, so I am not upgrading the record.
Evidence against closure, all of it checked by me rather than inherited:
- Virginia's official WARN notice list at virginiaworks.gov contains NO entry for Atlantic Corrugated Box. I read the live list, which carries notices through 10 Aug 2026, so this is a current negative on the authoritative state source - the single most valuable check I ran.
- The PCA confusion is real and the record handles it correctly. PCA's closing Richmond full-line plant is at 2000 Richmond Highway - different address, different company, 110 employees, June 2026. I verified the address mismatch independently. Do not let it spook the call.
- No closure, bankruptcy, acquisition or "permanently closed" item exists naming this company or 1701 Ruffin Road. The Yellow Pages listing shows normal hours and no closed flag.
- The site is live and serving real content today, and the domain was renewed in Dec 2025 (see corrections item 1).
Why I still will not call it confirmed: after stripping out the record's non-evidence (the WAF argument, headcount, undated review counts), what remains dated and company-specific is one domain renewal in Dec 2025 - roughly a $15 act that a wound-down business with a lingering registrar auto-renew would also perform. Against that sits an FMCSA biennial update that appears to have been missed in April 2026. There is still no dated 2025-26 evidence of *production*: no job postings, no dated reviews, no news, no dated LinkedIn activity, no copyright year on the site. A one-truck, one-driver intrastate carrier record and a static brochure site are exactly what a quietly shrinking 40-year-old shop looks like, and also exactly what a healthy small one looks like. The two are not distinguishable from open sources here.
BOTTOM LINE FOR THE BUYER: the record's phone and address are solid, the email is genuinely absent, and the operating-status hedge was the right call and survives an adversarial pass. Dial (804) 231-4050 with confidence that it is the right number for the right company; treat everything about current capacity as unconfirmed until someone answers.
BEST REMAINING CHECK, WHICH I COULD NOT COMPLETE: the Virginia SCC corporate registry (cis.scc.virginia.gov). A current "Active" status with a 2026 annual registration filing would be the strongest dated proof obtainable short of the phone call, since Virginia terminates corporations that stop paying the annual fee. I could not reach it - the CIS entity search is a JavaScript app and the API endpoints I probed returned 404, while Bizapedia and OpenCorporates both blocked automated access (human-verification screen and HTTP 403). Worth two minutes of a human's time in a browser before the call.</t>
        </is>
      </c>
    </row>
    <row r="13" ht="76" customHeight="1">
      <c r="A13" s="33" t="inlineStr">
        <is>
          <t>Hood Container - Richmond (was Richmond Corrugated Box Co.)</t>
        </is>
      </c>
      <c r="B13" s="8" t="inlineStr">
        <is>
          <t>(804) 222-1300</t>
        </is>
      </c>
      <c r="C13" s="10" t="inlineStr">
        <is>
          <t>Cross-checked - 2+ sources</t>
        </is>
      </c>
      <c r="D13" s="81" t="inlineStr">
        <is>
          <t>UNVERIFIABLE</t>
        </is>
      </c>
      <c r="E13" s="8" t="inlineStr">
        <is>
          <t>none published</t>
        </is>
      </c>
      <c r="F13" s="80" t="inlineStr">
        <is>
          <t>Web form only</t>
        </is>
      </c>
      <c r="G13" s="10" t="inlineStr">
        <is>
          <t>CONFIRMED</t>
        </is>
      </c>
      <c r="H13" s="79" t="inlineStr">
        <is>
          <t>OPERATING - confirmed - Strong and current. (1) Hood Container's OWN locations page today lists "Richmond, VA - Warehousing + Sheet Plant - 5301 Corrugated Road, Sandston, VA 23150" - verified by fetching and parsing the live page HTML. (2) Active job postings tied to 5301 Corrugated Road: Corrugated Machine Operator 2nd shift, Machine Helper 2nd shift, Forklift Operator, and Shipping Supervisor (posted 16 Dec 2025). (3) Most telling: Hood Container posted a "Sales Account Executive - Corrugated Box Sales, Richmond VA" role approximately 3 weeks ago (early Aug 2026), $65k-$120k base plus commission, managing $2-15M account portfolios - a company does not recruit sales coverage for a plant it is winding down. (4) Parent is healthy and investing: Hood Container committed $118.9M to modernize its St. Francisville, LA mill with phase one starting Q3 2026. (5) No closure, layoff, WARN or consolidation news naming this plant was found. (6) BBB file shows A+ rating, 55 years in business, no closure flag.</t>
        </is>
      </c>
      <c r="I13" s="8" t="inlineStr">
        <is>
          <t>Many - this record is materially stale across the web. (1) OWNERSHIP: the buyer's list treats this as an independent 1971 family firm; it has been Hood Container-owned since 2017 via Stronghaven. Nearly every directory (Manta, Blue Book, Nextdoor, Yelp, CMac, D&amp;B, LocalEdge, ZoomInfo) still carries the pre-2017 standalone identity - roughly nine years out of date. (2) DEAD DOMAIN PRESENTED AS LIVE: richmondcorrugated.com returns NXDOMAIN from the .com registry (I verified via DNS-over-HTTPS against Google's resolver for A, NS, SOA and MX - all Status 3), yet search engines still surface indexed /products/ and /our-services/ pages as if the site were up. Anyone emailing that domain gets a bounce. (3) A THIRD DOMAIN: Yellow Pages lists the website as richbox.com, which is registered and CNAMEd to hoodcontainer.com but serves 403/404 - so all three name variants lead somewhere broken except hoodcontainer.com. (4) SECOND PHONE UNCORROBORATED: (804) 226-0807 appears only on Yellow Pages and nowhere else; a direct search for the number returned no hits. (5) PLANT TYPE CONFLICT: Hood's own locations page says "Sheet Plant"; a directory/search summary described Sandston as a "Corrugator Plant." These have very different implications for max blank width. I am going with Hood's own site (Sheet Plant), but the buyer should verify verbally - it changes the whole 75-inch conversation. (6) BBB HALF-UPDATED: BBB has refreshed the website field to hoodcontainer.com but still shows the business as standalone "Richmond Corrugated Box Company" with Charles White as "President" - his current title is Area General Manager at Hood. (7) STALE FIRMOGRAPHICS: ZoomInfo's "50-99 employees / $10M-$25M revenue" predates the acquisition. (8) ADDRESS CONFUSION RISK ON THE SAME STREET: 5501 and 5601 Corrugated Road, Sandston are Lineage cold-storage/public warehouse facilities - unrelated companies. Confirm 5301 specifically. (9) MARKET CONTEXT WORTH KNOWING: Packaging Corporation of America is permanently closing its full-line Richmond VA plant at 2000 Richmond Highway (~110 employees, June 2026). That is a DIFFERENT company - do not confuse it with this plant - but it means local corrugated capacity is tightening, which may explain Hood recruiting a Richmond AE and may affect lead times and pricing leverage. 1) SALES JOB POSTING DATE IS WRONG. Record: "Hood Container posted a Sales Account Executive - Corrugated Box Sales, Richmond VA role approximately 3 weeks ago (early Aug 2026)." Actual: I pulled Hood Container's own live ADP Workforce Now ATS feed (cid d54315ba-0112-426f-98d8-8208c1c7cf6b) and the req "Account Executive - Corrugated Box Sales", Sandston VA 23150, has postDate 2026-07-13 - about 6 weeks ago, not 3. The $65,000-$120,000 band the record cites matches exactly, so the substance holds; only the date is wrong.
2) THE LISTED "ACTIVE JOB POSTINGS" ARE NOT THE CURRENT ONES. Record lists "Corrugated Machine Operator 2nd shift, Machine Helper 2nd shift, Forklift Operator, and Shipping Supervisor (posted 16 Dec 2025)". None of those are open at Sandston today. The four actually-open Sandston VA 23150 reqs are: Manufacturing Maintenance Technician - 2nd shift (posted 2026-07-30, $24-33/hr); Assistant Machine Helper (2026-07-27, $18-19/hr); Account Executive - Corrugated Box Sales (2026-07-13, $65k-$120k); Machine Operator - Rotary Die Cut (2026-06-26). Also: the ATS records only city/state, never a street address, so "job postings tied to 5301 Corrugated Road" is an inference, not something any posting states.
3) MISSING SECOND PHONE NUMBER. The Yellow Pages listing the record cites as a corroborating source also carries a second number the record does not mention: (804) 226-0807, same business, same 5301 Corrugated Rd address. Unverified, but the buyer should have it as a fallback before falling back to the corporate switchboard.
4) CHARLES WHITE'S TITLE. The record calls him "the GM". The BBB profile names him "Mr. Charles White, President". If the buyer uses the name on a call, President is what the record source actually says.
5) BBB ACCREDITATION OMITTED. The record cites "BBB file shows A+ rating, 55 years in business, no closure flag". The profile also states verbatim "This business is NOT BBB Accredited." An A+ on a non-accredited, legacy-name file is a weak operating signal and should not be counted as evidence #6 for operating status.
6) THE $118.9M ST. FRANCISVILLE CLAIM IS UNSOURCED. I fetched hoodcontainer.com/news/ pages 1 through 5 and found no mention of St. Francisville, no "118.9", and no capital-investment announcement of any size. Most recent news item on Hood's own site is dated 2026-07-13. The claim may be true from trade press, but it is not on the company's own newsroom. It has no bearing on the buyer either way.
7) YELLOW PAGES CORROBORATION IS DEMONSTRABLY STALE. The same YP record that supplies the "second source" for the phone also lists the company website as http://www.richbox.com - which the record itself proves is dead. A directory record still pointing at a dead domain is not a maintained record, which materially weakens it as independent confirmation of the phone. METHOD CAVEAT FIRST: this session's WebSearch budget was exhausted before I started, so I could not run a news/WARN/closure keyword sweep. I worked instead from first-party and government sources fetched directly. That means my "no closure evidence" finding is an absence-of-affirmative-search, not a clean negative sweep - but the positive evidence for operating is strong enough that the status verdict does not depend on it.
PHONE - why UNVERIFIABLE, not CONFIRMED. I reproduced both of the record's sources exactly: BBB shows (804) 222-1300 and fax (804) 222-4897 at 5301 Corrugated Rd; Yellow Pages shows (804) 222-1300 at the same address. I found nothing contradicting it - reverse lookups (usphonebook, whitepages, 800notes) were 403/404-blocked and no other business resolves to the number in anything I could reach, so this is NOT a correction. But I am not willing to call it confirmed, for three reasons. (a) Both sources are the same weak class - legacy-name directory listings filed under "Richmond Corrugated Box Co", a name that has not been the operating entity since 2017. (b) They are not truly independent; YP data is widely syndicated and BBB files are largely self/auto-populated. (c) The YP record is provably unmaintained - it still lists richbox.com as the website, and I verified http://www.richbox.com returns 403, http://richbox.com returns 404, and https://www.richbox.com fails to connect. I confirmed Hood Container's own site publishes no plant-level phone anywhere: the locations page HTML contains no phone for any of its facilities, and none of the four Sandston job postings contains a phone or email. The only company-website-grade number is the corporate switchboard 855.605.6317, which I confirmed verbatim on hoodcontainer.com/contact/. Practical read for the buyer: dial (804) 222-1300 first, but treat it as unconfirmed and have 855-605-6317 ready as the fallback.
EMAIL - CONFIRMED, with the record's own caveats intact. I fetched hoodcontainer.com/contact/ and info@hoodcontainer.com appears verbatim on the company's own page alongside Tel: 855.605.6317 and the Atlanta HQ address (2100 Riveredge Parkway, Suite 650, Atlanta, GA 30328). So the address is confirmed as published - though it is a general corporate inbox, not a plant or sales address, exactly as the record says. I also confirmed the contact form's Request Type dropdown contains "Request a quote" and the Location dropdown contains "Richmond, VA", so the RFQ path the record recommends is real. The record's warning about @richmondcorrugated.com is correct and important: I resolved richmondcorrugated.com via Google DoH and got Status 3 (NXDOMAIN) with the authority section coming straight from the .com registry SOA (a.gtld-servers.net / nstld.verisign-grs.com) for both A and NS - the domain is not delegated at all, so mail to it will hard-fail. The record is also appropriately honest in flagging charles.white@hoodcontainer.com as inferred and unverified; I found no source for it and it should not be used.
OPERATING STATUS - CONFIRMED, on better evidence than the record used. Two independent current sources:
(1) EPA (government-grade, and the strongest single item here). EPA Envirofacts FRS registry_id 110056434149 = "HOOD CONTAINER CORP", 5301 CORRUGATED RD, SANDSTON, VA 23150, Henrico County. The same registry ID carries a Virginia air-program record under the legacy name "RICHMOND CORRUGATED BOX COMPANY" (AIRS/AFS pgm_sys_id 5108700596) - that is government confirmation of the legacy-name-to-Hood identity link the record asserts. ECHO's detailed facility report shows it as an active Clean Air Act minor emissions source (ICIS-Air ID VA0000005108700596), NAICS 322211 "Corrugated and Solid Fiber Box Manufacturing", with quarterly compliance tracked "No Violation Identified" across all 12 quarters through the quarter ending 09/30/2026, CurrentAsOf 08/22/2026, ICIS-Air extract date 08/21/2026. A permanently closed plant does not carry a live, currently-tracked air permit five days ago.
(2) Hood's own live ATS. Four open requisitions at Sandston VA 23150 (listed in the corrections field), the newest posted 2026-07-30, with the ADP server returning CurrentServerDateTime 2026-08-26 - i.e. these are open today, not cached. Across all 72 of Hood's open reqs company-wide the Sandston plant is actively hiring both production and sales.
I also independently verified the record's claim (1): I fetched hoodcontainer.com/locations/ raw HTML and the map data contains, verbatim, a div rel="Richmond" block reading "Richmond, VA / Warehousing / Sheet Plant / 5301 Corrugated Road, Sandston, VA 23150". That claim checks out exactly as written.
ADDRESS - CONFIRMED at both company-website and government grade (Hood locations page + EPA FRS/ICIS-Air, geocoded 37.51323, -77.34399). The "-1957" ZIP+4 comes from BBB only; EPA carries 23150-0000. Immaterial.
ENTITY LINEAGE - substantively supported, specific dates unverified. Independent corroboration of the Hood/Stronghaven/Richmond Corrugated chain is genuinely strong: hoodcontainer.com's WordPress theme directory is literally named "stronghaven-default" and its intranet link points at stronghaven.sharepoint.com (first-party residue of the Stronghaven merger); www.richbox.com is a CNAME to hoodcontainer.com (I confirmed via DoH); BBB's Richmond Corrugated file lists hoodcontainer.com as the website; and EPA carries both names on one registry ID. However I could NOT verify the two specific dates - "acquired by Stronghaven in July 2017" and "Hood acquired Stronghaven in Jan 2014". Hood's own site has no history/timeline page (hoodcontainer.com/about/ returns 404) and search was unavailable. The dates are plausible and unrefuted but should be treated as unconfirmed. The record's operational advice - ask for Hood Container on the call - is sound regardless.
BOTTOM LINE FOR THE BUYER: the plant is real, open, and making corrugated boxes - that part is solid. The address, the website, the dead-domain warnings, and the web-form RFQ path are all accurate. The one thing to not trust is the phone number: it is plausible and uncontradicted but rests entirely on two stale directory records filed under a nine-year-dead business name, one of which still points at a dead website.</t>
        </is>
      </c>
    </row>
    <row r="14" ht="76" customHeight="1">
      <c r="A14" s="33" t="inlineStr">
        <is>
          <t>Smurfit Westrock - Richmond Box Plant</t>
        </is>
      </c>
      <c r="B14" s="8" t="inlineStr">
        <is>
          <t>(804) 226-1074</t>
        </is>
      </c>
      <c r="C14" s="10" t="inlineStr">
        <is>
          <t>Cross-checked - 2+ sources</t>
        </is>
      </c>
      <c r="D14" s="81" t="inlineStr">
        <is>
          <t>UNVERIFIABLE</t>
        </is>
      </c>
      <c r="E14" s="8" t="inlineStr">
        <is>
          <t>none published</t>
        </is>
      </c>
      <c r="F14" s="80" t="inlineStr">
        <is>
          <t>Web form only</t>
        </is>
      </c>
      <c r="G14" s="81" t="inlineStr">
        <is>
          <t>UNVERIFIABLE</t>
        </is>
      </c>
      <c r="H14" s="79" t="inlineStr">
        <is>
          <t>OPERATING - confirmed - Strong and multi-sourced. (1) The plant is listed as an active facility on Smurfit Westrock's OWN 2026 locations directory (footer reads "© 2026 Smurfit Westrock"), described as "This location manufactures corrugated boxes and corrugated packaging for regional customers." (2) Multiple live 2026 job postings at that exact street address: Production Supervisor - Converting ($90,000-$95,000, posted at "5710 South Laburnum Avenue, Henrico, VA 23231", describing "the safe and efficient production operations of the Converting department" at a "Richmond corrugated container facility"); Production Worker at $22.50/hr across 1st/2nd/3rd shift; Corrugator Assistant (Dry/Wet), 2nd shift, Corrugator Operations Department; Converting Utility; Bander Operator. A plant hiring corrugator and converting supervisors is not a plant being wound down. (3) NEGATIVE CHECK PASSED: Smurfit Westrock does NOT appear anywhere in Virginia's 2026 WARN notice filings. Smurfit Westrock's 2026 WARN filings are concentrated in Jacksonville, Wilson, Atlanta and Lebanon TN - no Virginia site. (4) Employee reviews reference the plant's corrugator directly ("Working on the corrugator is very hot in the summer", "WestRock on Laburnum Ave 23231"), confirming an operating full-line corrugator. CRITICAL CLARIFICATION: there IS a wave of 2026 Richmond-area packaging plant closures, but NONE of them is this plant - they are PCA (2000 Richmond Highway, ~110 jobs, closed from June 1), Hilex Poly/Novolex (2800 Sprouse Drive, Henrico, 118 jobs, July-Sept), and Pohlig Bros/Oliver (Chesterfield, 66 jobs). If the buyer heard "the Richmond box plant is closing," that is PCA, a different company.</t>
        </is>
      </c>
      <c r="I14" s="8" t="inlineStr">
        <is>
          <t>Several, and one is a genuine trap. (1) CONFLICTING PLANT PHONES: (804) 226-1074 (YellowPages/Superpages/DexKnows/Yahoo Local) vs (804) 226-5840 (Buzzfile, D&amp;B-derived) for the same address. I favor 226-1074 because it appears in two independent source families and because that same dataset's Hopewell number matches the company's own website exactly; 226-5840 appears only in listings carrying other stale data. Both are in the same PBX block so both may ring the building. (2) THE TRAP - STALE CORPORATE LISTINGS: both the BBB profile and the ChamberRVA member listing show "WestRock" at 501 S 5th St, Richmond VA 23219 with phone (804) 444-1000. That is the legacy WestRock/MeadWestvaco corporate HQ, NOT the box plant. Evidence these are dead: ChamberRVA still gives the website as www.mwv.com (MeadWestvaco, a brand retired in 2015), and the BBB profile still names Steve C. Voorhees as CEO (he left in 2021; Smurfit Westrock's CEO is now Tony Smurfit). Decisively, 501 S 5th St does NOT appear anywhere on Smurfit Westrock's current locations directory - I grepped the full page. Calling (804) 444-1000 will waste the buyer's time. (3) COMPANY SITE PUBLISHES NO PHONE FOR RICHMOND: notable because it is not a site-wide policy - the same page publishes tel: links for hundreds of plants including both Virginia Hopewell sites. So the plant phone is directory-sourced only and has NOT been confirmed against a company-controlled source. This is the weakest link in this record - verify by dialing. (4) WILDLY CONFLICTING SIZE/HEADCOUNT: Buzzfile says "approximately 1 employee" and 147,000 sq ft; D&amp;B-derived sources say 166 employees; Richmond BizSense reported the building as 315,696 sq ft. Buzzfile is clearly unreliable here. (5) NAME DRIFT: listings appear variously as Smurfit WestRock, WestRock, WestRock CP LLC, and Smurfit-Stone - reflecting three ownership eras. Relatedly, a separate legacy listing exists for "Smurfit-Stone Container Corp" at 5640 Lewis Rd, Sandston VA 23150, (804) 236-3237 - a DIFFERENT address; do not conflate it with the Laburnum plant. (6) CITY NAMING: Richmond vs Henrico for the same building - not a real conflict, but it makes directory de-duplication unreliable. (7) Legacy westrock.com certification PDFs now 404, so fiber-certification scope could not be verified. 1) SOURCING ERROR (material, affects phone confidence). The record claims local.yahoo.com is an "independent" fourth source corroborating the phone. It is not. I pulled the raw HTML of local.yahoo.com/info-210485640-smurfit-westrock-henrico: its "Is this your business? Verify your listing" link points to https://www.yellowpages.com/claim-yahoo-business-listing?n=Smurfit%20WestRock&amp;c=Henrico&amp;s=VA. Yahoo Local's business listings are YellowPages/Thryv-powered. (The page's "Yelp" strings are generic i18n review labels, not a data source.) So all FOUR cited phone sources - yellowpages, superpages, dexknows, yahoo - collapse into ONE Thryv dataset. The stated confidence "multiple-directories-agree" should be downgraded to "single source family, unclaimed listing."
2) The YellowPages/Superpages/DexKnows record is UNCLAIMED ("Claim This Business" / "Are you the business owner?" present on all three). No one at the company has verified that phone number. The record does not mention this.
3) WARN headcount figures drift from the official Virginia Works filings. Verified against the state list: Hilex Poly Co. LLC, 2800 Sprouse Drive, VA 23231, filed 05/11/2026, effective 07/14/2026, 117 employees, Henrico, Closure - the record says "118 jobs, July-Sept." Oliver Inc., 8001 Greenpine Road, North Chesterfield, VA 23237, filed 04/21/2026, effective 07/26/2026, 72 employees, Closure - the record says "66 jobs." PCA, 2000 Richmond Highway, Richmond, VA 23224, filed 03/31/2026, effective 06/01/2026, 109 employees - the record's "~110 jobs, closed from June 1" is correct. Minor, but the record presents these as precise.
4) The specific job-posting details in the record do not match what is live today (2026-08-26) and I could not reproduce them: the record cites "Production Supervisor - Converting ($90,000-$95,000)" and "Production Worker at $22.50/hr." The live company ATS shows Supv, Mfg Ops at $74,625.00-$124,375.00 and Corrugator Assistant (Dry/Wet), 2nd shift at $23.36/hr. Postings rotate, so this is not proof the record was wrong when written, but those figures are not currently verifiable. The operating-status conclusion is unaffected - it is independently confirmed by better evidence (see notes).
5) Trivial: the record says the company publishes no phone "for either Richmond entry, though it does publish phones for other Virginia sites." True, but West Point Mill also has an empty phone field, so it is not only the Richmond entries.
No correction to the phone number itself - I found no evidence it is wrong and no better number to substitute. No correction to name, address, website, legal entity, or operating status; all were confirmed against primary sources. WHAT I CONFIRMED FROM PRIMARY SOURCES
Company's own site (raw HTML of https://www.smurfitwestrock.com/locations/united-states, footer "(c) 2026 Smurfit Westrock"):
- Facility name verbatim: "Smurfit Westrock Richmond Container Plant" - exact match to the record.
- Address verbatim: "5710 S Laburnum Ave Richmond, VA 23231" - exact match.
- The phone field for this entry (class "m-location-header__tel") is EMPTY, while Covington (+1 (540) 969-5000), Hopewell Mill (+1 (804) 541-9600), Hopewell Forest Resources (+1 (804) 731-3234), Low Moor (+1 (540) 863-2300) and Martinsville (+1 (540) 632-7175) all carry numbers. The record's claim that the company publishes no phone for Richmond is correct.
- Zero mailto: links on the entire locations page. Zero mailto: links and zero email addresses in the raw HTML of https://www.smurfitwestrock.com/contact. The "web form only" claim holds.
- Richmond Sales &amp; Design is a genuinely separate entry at 2742 Charles City Road, Richmond, VA 23231.
- westrock.com returns HTTP/2 301 -&gt; https://www.smurfitwestrock.com/?redirect_source=westrock.com. Confirmed.
PHONE - why UNVERIFIABLE rather than CONFIRMED or CORRECTED
- (804) 226-1074 does appear, tied to 5710 S Laburnum Ave, in all four cited URLs. I fetched each directly and read the rendered text; none carries a "permanently closed" flag.
- But all four are one Thryv dataset (see corrections item 1), and the listing is unclaimed.
- Exact-phrase searches for the number string returned nothing containing it (Bing returned only generic area-code-804 pages; Marginalia "No search results found"; DuckDuckGo and several SearxNG/Yandex endpoints served CAPTCHAs). I could not find the number on any non-Thryv source. Hotfrog, Tuugo, Kompass, WhitePages, Manta, Chamber of Commerce, Bizapedia and OpenGovUS all returned 403/404/paywall. BBB has no listing for Smurfit Westrock in Richmond, VA. IMPORTANT CAVEAT: my WebSearch budget was already exhausted when this task started, so all of this was done via direct fetches - a checker with search budget might still surface an independent source.
Two findings that make the number more plausible, though still not verified:
- Ruled out the "parent company number" failure mode the check asks about. The same Thryv dataset lists three distinct Smurfit WestRock Virginia records with three distinct numbers: 501 S 5th St, Richmond 23219 -&gt; (804) 444-1000 (the corporate/office number); 5710 S Laburnum Ave -&gt; (804) 226-1074; 910 Industrial St, Hopewell -&gt; (804) 541-9600. The plant number is site-specific, not the HQ number bleeding through.
- The record's indirect-validation argument checks out: that dataset's Hopewell number, (804) 541-9600, matches the company's OWN tel: link for Hopewell Mill exactly.
- Number block sanity check: per localcallingguide (updated 2026-08-01), 804-226 is an active, assigned Verizon Virginia block in the Richmond, VA rate centre (switch RCMDVARADS0), with no disconnect date. A real Richmond landline block, not a fabrication.
BOTTOM LINE FOR THE BUYER: plausible and site-specific, but resting on one unclaimed directory record that the company has never published or verified. Treat it as a lead to dial, not a verified line. If it misroutes, (804) 444-1000 (Smurfit Westrock, 501 S 5th St, Richmond) is the same dataset's corporate number and a reasonable transfer path - also unverified.
EMAIL - UNVERIFIABLE, and the record handled this correctly
No plant-level email exists in any source I checked. I independently confirmed zero mailto: links and zero email addresses in the raw HTML of both /contact and the locations directory. The seven live job postings I opened contain no email or phone either. The record's own caution is right and should be preserved: first.last@smurfitwestrock.com is a pattern inference from RocketReach/Clay, not a verified mailbox - do not construct one and do not send to it.
OPERATING STATUS - CONFIRMED, and I can strengthen it with evidence the record did not have
I tried specifically to refute this and failed. Four independent lines:
1) US EPA facility registry (authoritative, independent of the company). ECHO Detailed Facility Report for Registry ID 110040757758 returns:
   - ICIS-Air: "WESTROCK CP LLC - RICHMOND", 5710 S LABURNUM AVE, RICHMOND, VA 23231, Henrico County, permit VA0000005108700578, NAICS 322211 (Corrugated and Solid Fiber Box Manufacturing), Clean Air Act synthetic minor source, FacilityStatus: "Operating".
   - ICIS-NPDES: "WESTROCK CP LLC - LABURNUM", industrial stormwater general permit VAR052154, SIC 2652/2653, FacilityStatus: "Effective", expiration date 06/30/2029.
   This independently confirms the legal entity (WestRock CP, LLC), the exact address, the Henrico County location, the corrugated-box line of business, and an active operating permit. A plant being wound down does not carry an "Operating" air permit and a stormwater permit effective through 2029.
2) Negative check re-run against the actual source, and it passes. I pulled the official Virginia Works WARN notice list (virginiaworks.gov/warn-notices) and searched the full text. There is NO Smurfit Westrock, WestRock, or WestRock CP LLC filing for Virginia in 2025 or 2026. The only Smurfit-family entries in the entire state list are Smurfit-Stone Container Corporation from 2010, at 5640 Lewis Road, Richmond 23150 (83 jobs) and 2900 Sprouse Drive, Richmond 23231 (146 jobs) - different addresses, different era, predecessor company. The only "Laburnum" entry in the whole list is Genesis Logistics at 6601 S. Laburnum Avenue (2022), a different business. Nothing at 5710.
3) Live 2026 hiring at the exact street address, from the company's own ATS (smurfitwestrockta.avature.net, 809 open roles company-wide). Keyword "Laburnum" returns 7 open positions, all under business unit "VA Richmond Container", posted 12-Aug-2026 to 24-Aug-2026 - i.e. within the last two weeks: Mgr II Fin Plan &amp; Anlys (ATR65976, 24-Aug), Supv Mfg Ops (ATR61934, 19-Aug), Converting Utilities 2nd Shift (ATR61288), Die Cut Operator (ATR65688), General Helper 2nd Shift (ATR60655), Corrugator Assistant (ATR61265), Forklift Driver 3rd Shift (ATR61266). I opened the Corrugator Assistant posting; its body reads verbatim: "Corrugator Assistant (Dry/Wet) - Smurfit WestRock. Address: 5710 S. Laburnum Ave. Richmond VA, 23231. Department: Corrugator Operations. Job Type: Full-Time. Shift: 2nd shift (3pm-11pm)", at $23.36/hr. A full corrugator crew plus a converting supervisor plus a plant finance manager is an operating plant.
4) The company's own 2026 locations directory lists it as an active facility with the products blurb "This location manufactures corrugated boxes and corrugated packaging for regional customers. This plant produces reliable cardboard and custom box solutions." (The record quoted the first sentence only.)
The record's CRITICAL CLARIFICATION is correct and I verified all three named closures in the official state WARN list - PCA at 2000 Richmond Highway, Hilex Poly at 2800 Sprouse Drive, Oliver Inc. at 8001 Greenpine Road. None is this plant. If the buyer heard "the Richmond box plant is closing," that is PCA (Packaging Corporation of America), a different company at a different address. One caveat I could not test: the claim that Smurfit Westrock's 2026 WARN filings are concentrated in Jacksonville, Wilson, Atlanta and Lebanon TN would require other states' WARN lists; unverified, but nothing contradicts it and it does not bear on the Virginia conclusion.
SOURCES: smurfitwestrock.com/locations/united-states; smurfitwestrock.com/contact; smurfitwestrockta.avature.net/en_US/careers/SearchJobs/?search=Laburnum; smurfitwestrockta.avature.net/en_US/careers/FolderDetail/Corrugator-Assistant/28171; echodata.epa.gov/echo/dfr_rest_services.get_dfr?p_id=110040757758; data.epa.gov/efservice/frs_program_facility/postal_code/23231/JSON; virginiaworks.gov/warn-notices/; yellowpages.com/henrico-va/mip/westrock-513125732; superpages.com/bp/henrico-va/westrock-L2317136666.htm; dexknows.com/richmond-va/bp/smurfit-westrock-513125732; local.yahoo.com/info-210485640-smurfit-westrock-henrico; localcallingguide.com/lca_prefix.php?npa=804&amp;nxx=226</t>
        </is>
      </c>
    </row>
  </sheetData>
  <mergeCells count="2">
    <mergeCell ref="A1:I1"/>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20"/>
  <sheetViews>
    <sheetView showGridLines="0" workbookViewId="0">
      <pane ySplit="4" topLeftCell="A5" activePane="bottomLeft" state="frozen"/>
      <selection pane="bottomLeft" activeCell="A1" sqref="A1"/>
    </sheetView>
  </sheetViews>
  <sheetFormatPr baseColWidth="8" defaultRowHeight="15"/>
  <cols>
    <col width="36" customWidth="1" min="1" max="1"/>
    <col width="46" customWidth="1" min="2" max="2"/>
    <col width="108" customWidth="1" min="3" max="3"/>
  </cols>
  <sheetData>
    <row r="1" ht="22" customHeight="1">
      <c r="A1" s="1" t="inlineStr">
        <is>
          <t>Sources and method</t>
        </is>
      </c>
    </row>
    <row r="2" ht="34" customHeight="1">
      <c r="A2" s="2" t="inlineStr">
        <is>
          <t>Capability, MOQ and price provenance. Contact-detail provenance is on the 'Verification Log' tab. All of this is public marketing, directory or catalogue data - none of it is a supplier commitment.</t>
        </is>
      </c>
    </row>
    <row r="4" ht="22" customHeight="1">
      <c r="A4" s="3" t="inlineStr">
        <is>
          <t>Supplier / topic</t>
        </is>
      </c>
      <c r="B4" s="3" t="inlineStr">
        <is>
          <t>Source</t>
        </is>
      </c>
      <c r="C4" s="3" t="inlineStr">
        <is>
          <t>What was taken from it</t>
        </is>
      </c>
    </row>
    <row r="5" ht="84" customHeight="1">
      <c r="A5" s="82" t="inlineStr">
        <is>
          <t>MOQ data - reliability</t>
        </is>
      </c>
      <c r="B5" s="30" t="inlineStr">
        <is>
          <t>Supplier websites + industry norms</t>
        </is>
      </c>
      <c r="C5" s="30" t="inlineStr">
        <is>
          <t>Only TWO MOQs here are published by the supplier: Atlas Container's 'orders as small as 100 Qty' and Craters &amp; Freighters' one-off model. Every other MOQ is INFERRED from plant class (small independent sheet plant 250-500; multi-plant regional 500-1,000; mill-backed 1,000-2,500; integrated 2,500+), and Richmond Corrugated is a straight guess because no capability data exists publicly. Mid-Atlantic sheet plants essentially never publish minimums. Treat every non-green MOQ as a hypothesis to test on the call.</t>
        </is>
      </c>
    </row>
    <row r="6" ht="84" customHeight="1">
      <c r="A6" s="82" t="inlineStr">
        <is>
          <t>Price data - method</t>
        </is>
      </c>
      <c r="B6" s="30" t="inlineStr">
        <is>
          <t>Cost Model tab; Uline; packagingprice.com</t>
        </is>
      </c>
      <c r="C6" s="30" t="inlineStr">
        <is>
          <t>No supplier here publishes prices, so prices are MODELLED, not found. Method: compute RSC blank area from the given inside dimensions; back-calculate $/MSF from real published prices for 48ECT double wall (packagingprice.com, three sizes, all landing within $5/MSF of each other - which validates the method) and 275 lb test double wall (Uline S-19776, five quantity breaks, $26.15 down to $21.79); then discount for converter-direct purchasing. 275 lb burst DW is the equivalent of 48 ECT DW on the standard tables, which is what makes the Uline series a valid comparator. Outputs are +/- 30%.</t>
        </is>
      </c>
    </row>
    <row r="7" ht="84" customHeight="1">
      <c r="A7" s="82" t="inlineStr">
        <is>
          <t>Price data - market context</t>
        </is>
      </c>
      <c r="B7" s="30" t="inlineStr">
        <is>
          <t>CorrugatedNews containerboard guide; Green Markets Box Report; corrugatedboxsuppliers.com cost guide</t>
        </is>
      </c>
      <c r="C7" s="30" t="inlineStr">
        <is>
          <t>PCA announced a $70/ton containerboard increase effective 1 March 2026, with mixed reception and flat demand. Box shipments closed 2025 down 1.5-2.0% year on year, ~1.6% growth forecast 2026-27. Corrugated pricing can move 10-20% in a quarter. A soft demand market is a good time to be buying - and a reason to ask how long each quote holds.</t>
        </is>
      </c>
    </row>
    <row r="8" ht="84" customHeight="1">
      <c r="A8" s="33" t="inlineStr">
        <is>
          <t>Commercial-Wagner</t>
        </is>
      </c>
      <c r="B8" s="8" t="inlineStr">
        <is>
          <t>commercialwagner.com; Thomasnet; directory listings</t>
        </is>
      </c>
      <c r="C8" s="8" t="inlineStr">
        <is>
          <t>17 box-making machines, rotary and flatbed die cutting, EXTRA-LARGE boxes, taped/glued/stitched construction, hand assembly and fulfillment, own fleet serving Northern Virginia, two sites. The extra-large and stitched claims are why they rank first.</t>
        </is>
      </c>
    </row>
    <row r="9" ht="84" customHeight="1">
      <c r="A9" s="33" t="inlineStr">
        <is>
          <t>Atlas Container</t>
        </is>
      </c>
      <c r="B9" s="8" t="inlineStr">
        <is>
          <t>atlascontainer.com and /central-pa-packaging-solutions</t>
        </is>
      </c>
      <c r="C9" s="8" t="inlineStr">
        <is>
          <t>Founded 1968, rotary + flatbed die cutting, 'orders as small as 100 Qty' - the only published MOQ on this list - free custom designs and samples, named regional rep, service region.</t>
        </is>
      </c>
    </row>
    <row r="10" ht="84" customHeight="1">
      <c r="A10" s="33" t="inlineStr">
        <is>
          <t>Green Bay Packaging - Baltimore</t>
        </is>
      </c>
      <c r="B10" s="8" t="inlineStr">
        <is>
          <t>gbp.com/locations/baltimore</t>
        </is>
      </c>
      <c r="C10" s="8" t="inlineStr">
        <is>
          <t>IN-HOUSE CORRUGATOR, B/C/E flute plus explicit double wall for heavy products and long-distance shipping, in-house graphic and structural design, ON-SITE ISTA LAB, BRCGS and SFI certifications, MD/DE/PA/NJ/VA/WV.</t>
        </is>
      </c>
    </row>
    <row r="11" ht="84" customHeight="1">
      <c r="A11" s="33" t="inlineStr">
        <is>
          <t>Columbia Container</t>
        </is>
      </c>
      <c r="B11" s="8" t="inlineStr">
        <is>
          <t>columbiacontainer.net</t>
        </is>
      </c>
      <c r="C11" s="8" t="inlineStr">
        <is>
          <t>40+ years, DE/MD/PA/VA/DC region, 3-5 business day turnaround claim, custom flute and liner combinations, die cut / Gaylord / UN-rated / anti-static product list.</t>
        </is>
      </c>
    </row>
    <row r="12" ht="84" customHeight="1">
      <c r="A12" s="33" t="inlineStr">
        <is>
          <t>Packaging Services Industries (PSI)</t>
        </is>
      </c>
      <c r="B12" s="8" t="inlineStr">
        <is>
          <t>psimd.com; Buzzfile; Facebook business listing</t>
        </is>
      </c>
      <c r="C12" s="8" t="inlineStr">
        <is>
          <t>282,000 sq ft HQ, three production facilities plus one dedicated corrugation plant, ~40 million sq ft board/month, engineered foam and displays, Manassas VA marketing page. psimd.com returned HTTP 500 during research - lead with the phone.</t>
        </is>
      </c>
    </row>
    <row r="13" ht="84" customHeight="1">
      <c r="A13" s="33" t="inlineStr">
        <is>
          <t>Keystone Sheets</t>
        </is>
      </c>
      <c r="B13" s="8" t="inlineStr">
        <is>
          <t>keystonesheets.com; bcipkg.com; cpgteam.com</t>
        </is>
      </c>
      <c r="C13" s="8" t="inlineStr">
        <is>
          <t>132 in BHS corrugator described as the widest in the country capable of triple wall, single/double/triple wall SHEETS only, next-day delivery, founded late 2023, parent Corrugated Partners Group / Buckeye Corrugated with 16 plants. Relevant for 75 in wide double-wall sheet supply and as the triple-wall fallback for SF-3.</t>
        </is>
      </c>
    </row>
    <row r="14" ht="84" customHeight="1">
      <c r="A14" s="33" t="inlineStr">
        <is>
          <t>Smurfit Westrock</t>
        </is>
      </c>
      <c r="B14" s="8" t="inlineStr">
        <is>
          <t>westrock.com/locations; us.smurfitwestrock.com/locations; Packaging Dive and Manufacturing Dive closure reporting</t>
        </is>
      </c>
      <c r="C14" s="8" t="inlineStr">
        <is>
          <t>Baltimore South (725 Pittman Rd, 21226) and Richmond (5710 S Laburnum Ave, 23231) box plant addresses. Operating status was independently re-checked - see the Verification Log tab for the verdict.</t>
        </is>
      </c>
    </row>
    <row r="15" ht="84" customHeight="1">
      <c r="A15" s="33" t="inlineStr">
        <is>
          <t>Craters &amp; Freighters Northern Virginia</t>
        </is>
      </c>
      <c r="B15" s="8" t="inlineStr">
        <is>
          <t>cratersandfreightersnorthernvirginia.com</t>
        </is>
      </c>
      <c r="C15" s="8" t="inlineStr">
        <is>
          <t>113 Executive Dr Ste 131, Sterling VA 20166; minimum 350 lb double-wall corrugated fiberboard standard; custom-sized containers; strapping, banding, palletizing.</t>
        </is>
      </c>
    </row>
    <row r="16" ht="84" customHeight="1">
      <c r="A16" s="33" t="inlineStr">
        <is>
          <t>Atlantic Corrugated Box Co.</t>
        </is>
      </c>
      <c r="B16" s="8" t="inlineStr">
        <is>
          <t>acbc-inc.com; directory listings</t>
        </is>
      </c>
      <c r="C16" s="8" t="inlineStr">
        <is>
          <t>Established 1985, sheet plant, packaging and display products, design services, industries served.</t>
        </is>
      </c>
    </row>
    <row r="17" ht="84" customHeight="1">
      <c r="A17" s="33" t="inlineStr">
        <is>
          <t>Richmond Corrugated Box Co.</t>
        </is>
      </c>
      <c r="B17" s="8" t="inlineStr">
        <is>
          <t>Yellow Pages, BBB, Blue Book Services, CMac listings</t>
        </is>
      </c>
      <c r="C17" s="8" t="inlineStr">
        <is>
          <t>Started 1971. No manufacturer-published capability data found - the lowest-confidence entry, and the only one whose MOQ and price are flagged as guesses.</t>
        </is>
      </c>
    </row>
    <row r="18" ht="84" customHeight="1">
      <c r="A18" s="33" t="inlineStr">
        <is>
          <t>PCA Richmond (excluded)</t>
        </is>
      </c>
      <c r="B18" s="8" t="inlineStr">
        <is>
          <t>packagingcorp.com; closure reporting</t>
        </is>
      </c>
      <c r="C18" s="8" t="inlineStr">
        <is>
          <t>2000 Richmond Hwy full-line plant serving VA/MD/southeastern PA/eastern NC. PCA announced permanent closure. Listed as excluded so it is not re-sourced from a stale directory.</t>
        </is>
      </c>
    </row>
    <row r="19" ht="84" customHeight="1">
      <c r="A19" s="33" t="inlineStr">
        <is>
          <t>Method - why local search results mislead</t>
        </is>
      </c>
      <c r="B19" s="8" t="inlineStr">
        <is>
          <t>-</t>
        </is>
      </c>
      <c r="C19" s="8" t="inlineStr">
        <is>
          <t>Searches for 'corrugated boxes Sterling/Ashburn/Dulles VA' return almost entirely SEO reseller and offshore broker sites. All were excluded: none holds a converting asset in Virginia, none can certify 48ECT DW board, and none can support first-article approval on a 46.5 in double-wall box. The real converting capacity nearest Dulles sits in the Baltimore-Hagerstown-Chambersburg arc, roughly 60-80 miles out.</t>
        </is>
      </c>
    </row>
    <row r="20" ht="84" customHeight="1">
      <c r="A20" s="33" t="inlineStr">
        <is>
          <t>Limitation - the honest answer on 'near Dulles'</t>
        </is>
      </c>
      <c r="B20" s="8" t="inlineStr">
        <is>
          <t>-</t>
        </is>
      </c>
      <c r="C20" s="8" t="inlineStr">
        <is>
          <t>There is no corrugated converting plant in Loudoun County. The closest genuine fabricator to IAD is Craters &amp; Freighters in Sterling at about 4 miles, and it is a one-off crating shop, not a production converter. If 'near Dulles' is a hard requirement rather than a preference, 60 miles to Severn, Baltimore or Williamsport is as close as real production capacity gets - and given SF-4, proximity is worth paying for on this job.</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2026-08-27T15:17:35Z</dcterms:created>
  <dcterms:modified xsi:type="dcterms:W3CDTF">2026-08-27T15:17:35Z</dcterms:modified>
</cp:coreProperties>
</file>