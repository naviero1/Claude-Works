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ll Sheet" sheetId="1" state="visible" r:id="rId1"/>
    <sheet name="Outreach Scripts" sheetId="2" state="visible" r:id="rId2"/>
    <sheet name="Supplier Detail" sheetId="3" state="visible" r:id="rId3"/>
    <sheet name="Cost Model" sheetId="4" state="visible" r:id="rId4"/>
    <sheet name="Qualification Matrix" sheetId="5" state="visible" r:id="rId5"/>
    <sheet name="Spec Flags" sheetId="6" state="visible" r:id="rId6"/>
    <sheet name="Verification Log" sheetId="7" state="visible" r:id="rId7"/>
    <sheet name="Sources" sheetId="8" state="visible" r:id="rId8"/>
  </sheets>
  <definedNames>
    <definedName name="_xlnm._FilterDatabase" localSheetId="0" hidden="1">'Call Sheet'!$A$4:$X$15</definedName>
    <definedName name="_xlnm._FilterDatabase" localSheetId="2" hidden="1">'Supplier Detail'!$A$4:$Z$15</definedName>
  </definedNames>
  <calcPr calcId="124519" fullCalcOnLoad="1"/>
</workbook>
</file>

<file path=xl/styles.xml><?xml version="1.0" encoding="utf-8"?>
<styleSheet xmlns="http://schemas.openxmlformats.org/spreadsheetml/2006/main">
  <numFmts count="4">
    <numFmt numFmtId="164" formatCode="$#,##0.00;($#,##0.00);-"/>
    <numFmt numFmtId="165" formatCode="0.0"/>
    <numFmt numFmtId="166" formatCode="$#,##0;($#,##0);-"/>
    <numFmt numFmtId="167" formatCode="0.0%"/>
  </numFmts>
  <fonts count="24">
    <font>
      <name val="Calibri"/>
      <family val="2"/>
      <color theme="1"/>
      <sz val="11"/>
      <scheme val="minor"/>
    </font>
    <font>
      <name val="Arial"/>
      <b val="1"/>
      <color rgb="001F3864"/>
      <sz val="15"/>
    </font>
    <font>
      <name val="Arial"/>
      <i val="1"/>
      <color rgb="00595959"/>
      <sz val="9"/>
    </font>
    <font>
      <name val="Arial"/>
      <b val="1"/>
      <color rgb="00FFFFFF"/>
      <sz val="10"/>
    </font>
    <font>
      <name val="Arial"/>
      <sz val="10"/>
    </font>
    <font>
      <name val="Arial"/>
      <b val="1"/>
      <color rgb="001F3864"/>
      <sz val="12"/>
    </font>
    <font>
      <name val="Arial"/>
      <b val="1"/>
      <sz val="9"/>
    </font>
    <font>
      <name val="Arial"/>
      <b val="1"/>
      <sz val="11"/>
    </font>
    <font>
      <name val="Arial"/>
      <b val="1"/>
      <color rgb="00006100"/>
      <sz val="12"/>
    </font>
    <font>
      <name val="Arial"/>
      <color rgb="000563C1"/>
      <sz val="10"/>
    </font>
    <font>
      <name val="Arial"/>
      <i val="1"/>
      <sz val="10"/>
    </font>
    <font>
      <name val="Arial"/>
      <color rgb="00008000"/>
      <sz val="10"/>
    </font>
    <font>
      <name val="Arial"/>
      <color rgb="000000FF"/>
      <sz val="10"/>
    </font>
    <font>
      <name val="Arial"/>
      <i val="1"/>
      <color rgb="00808080"/>
      <sz val="9"/>
    </font>
    <font>
      <name val="Arial"/>
      <i val="1"/>
      <color rgb="00808080"/>
      <sz val="10"/>
    </font>
    <font>
      <name val="Arial"/>
      <b val="1"/>
      <color rgb="009C0006"/>
      <sz val="11"/>
    </font>
    <font>
      <name val="Arial"/>
      <b val="1"/>
      <color rgb="009C0006"/>
      <sz val="10"/>
    </font>
    <font>
      <name val="Arial"/>
      <b val="1"/>
      <color rgb="00FFFFFF"/>
      <sz val="11"/>
    </font>
    <font>
      <name val="Consolas"/>
      <sz val="9"/>
    </font>
    <font>
      <name val="Arial"/>
      <b val="1"/>
      <color rgb="001F3864"/>
      <sz val="10"/>
    </font>
    <font>
      <name val="Arial"/>
      <b val="1"/>
      <sz val="10"/>
    </font>
    <font>
      <name val="Arial"/>
      <b val="1"/>
      <color rgb="009C6500"/>
      <sz val="10"/>
    </font>
    <font>
      <name val="Arial"/>
      <b val="1"/>
      <color rgb="00006100"/>
      <sz val="10"/>
    </font>
    <font>
      <name val="Arial"/>
      <color rgb="00595959"/>
      <sz val="10"/>
    </font>
  </fonts>
  <fills count="18">
    <fill>
      <patternFill/>
    </fill>
    <fill>
      <patternFill patternType="gray125"/>
    </fill>
    <fill>
      <patternFill patternType="solid">
        <fgColor rgb="001F3864"/>
      </patternFill>
    </fill>
    <fill>
      <patternFill patternType="solid">
        <fgColor rgb="00E2EFDA"/>
      </patternFill>
    </fill>
    <fill>
      <patternFill patternType="solid">
        <fgColor rgb="00EDEDED"/>
      </patternFill>
    </fill>
    <fill>
      <patternFill patternType="solid">
        <fgColor rgb="00FFFF00"/>
      </patternFill>
    </fill>
    <fill>
      <patternFill patternType="solid">
        <fgColor rgb="00DCE6F1"/>
      </patternFill>
    </fill>
    <fill>
      <patternFill patternType="solid">
        <fgColor rgb="00FFF2CC"/>
      </patternFill>
    </fill>
    <fill>
      <patternFill patternType="solid">
        <fgColor rgb="00F2F5FA"/>
      </patternFill>
    </fill>
    <fill>
      <patternFill patternType="solid">
        <fgColor rgb="00FCE4E4"/>
      </patternFill>
    </fill>
    <fill>
      <patternFill patternType="solid">
        <fgColor rgb="002E5C8A"/>
      </patternFill>
    </fill>
    <fill>
      <patternFill patternType="solid">
        <fgColor rgb="00FFEB9C"/>
      </patternFill>
    </fill>
    <fill>
      <patternFill patternType="solid">
        <fgColor rgb="00C6EFCE"/>
      </patternFill>
    </fill>
    <fill>
      <patternFill patternType="solid">
        <fgColor rgb="00FFC7CE"/>
      </patternFill>
    </fill>
    <fill>
      <patternFill patternType="solid">
        <fgColor rgb="00FFE1E1"/>
      </patternFill>
    </fill>
    <fill>
      <patternFill patternType="solid">
        <fgColor rgb="00D9D9D9"/>
      </patternFill>
    </fill>
    <fill>
      <patternFill patternType="solid">
        <fgColor rgb="00F2F2F2"/>
      </patternFill>
    </fill>
    <fill>
      <patternFill patternType="solid">
        <fgColor rgb="00D9E1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7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3" borderId="1" applyAlignment="1" pivotButton="0" quotePrefix="0" xfId="0">
      <alignment horizontal="center" vertical="center" wrapText="1"/>
    </xf>
    <xf numFmtId="0" fontId="7" fillId="0" borderId="1" applyAlignment="1" pivotButton="0" quotePrefix="0" xfId="0">
      <alignment vertical="top" wrapText="1"/>
    </xf>
    <xf numFmtId="0" fontId="8" fillId="0" borderId="1" applyAlignment="1" pivotButton="0" quotePrefix="0" xfId="0">
      <alignment horizontal="center" vertical="center" wrapText="1"/>
    </xf>
    <xf numFmtId="0" fontId="4" fillId="0" borderId="1" applyAlignment="1" pivotButton="0" quotePrefix="0" xfId="0">
      <alignment vertical="top" wrapText="1"/>
    </xf>
    <xf numFmtId="0" fontId="9" fillId="0" borderId="1" applyAlignment="1" pivotButton="0" quotePrefix="0" xfId="0">
      <alignment vertical="top" wrapText="1"/>
    </xf>
    <xf numFmtId="0" fontId="4" fillId="4" borderId="1" applyAlignment="1" pivotButton="0" quotePrefix="0" xfId="0">
      <alignment horizontal="center" vertical="center" wrapText="1"/>
    </xf>
    <xf numFmtId="0" fontId="4" fillId="0" borderId="1" applyAlignment="1" pivotButton="0" quotePrefix="0" xfId="0">
      <alignment horizontal="center" vertical="center" wrapText="1"/>
    </xf>
    <xf numFmtId="0" fontId="10" fillId="0" borderId="1" applyAlignment="1" pivotButton="0" quotePrefix="0" xfId="0">
      <alignment vertical="top" wrapText="1"/>
    </xf>
    <xf numFmtId="164" fontId="11" fillId="0" borderId="1" applyAlignment="1" pivotButton="0" quotePrefix="0" xfId="0">
      <alignment horizontal="center" vertical="center" wrapText="1"/>
    </xf>
    <xf numFmtId="0" fontId="12" fillId="5" borderId="1" applyAlignment="1" pivotButton="0" quotePrefix="0" xfId="0">
      <alignment vertical="top" wrapText="1"/>
    </xf>
    <xf numFmtId="164" fontId="12" fillId="5" borderId="1" applyAlignment="1" pivotButton="0" quotePrefix="0" xfId="0">
      <alignment vertical="top" wrapText="1"/>
    </xf>
    <xf numFmtId="0" fontId="6" fillId="6" borderId="1" applyAlignment="1" pivotButton="0" quotePrefix="0" xfId="0">
      <alignment horizontal="center" vertical="center" wrapText="1"/>
    </xf>
    <xf numFmtId="0" fontId="13" fillId="0" borderId="1" applyAlignment="1" pivotButton="0" quotePrefix="0" xfId="0">
      <alignment horizontal="center" vertical="center" wrapText="1"/>
    </xf>
    <xf numFmtId="0" fontId="14" fillId="0" borderId="1" applyAlignment="1" pivotButton="0" quotePrefix="0" xfId="0">
      <alignment horizontal="center" vertical="center" wrapText="1"/>
    </xf>
    <xf numFmtId="0" fontId="6" fillId="7" borderId="1" applyAlignment="1" pivotButton="0" quotePrefix="0" xfId="0">
      <alignment horizontal="center" vertical="center" wrapText="1"/>
    </xf>
    <xf numFmtId="0" fontId="6" fillId="8" borderId="1" applyAlignment="1" pivotButton="0" quotePrefix="0" xfId="0">
      <alignment horizontal="center" vertical="center" wrapText="1"/>
    </xf>
    <xf numFmtId="0" fontId="15" fillId="9" borderId="1" pivotButton="0" quotePrefix="0" xfId="0"/>
    <xf numFmtId="0" fontId="0" fillId="0" borderId="4" pivotButton="0" quotePrefix="0" xfId="0"/>
    <xf numFmtId="0" fontId="0" fillId="0" borderId="5" pivotButton="0" quotePrefix="0" xfId="0"/>
    <xf numFmtId="0" fontId="0" fillId="9" borderId="1" pivotButton="0" quotePrefix="0" xfId="0"/>
    <xf numFmtId="0" fontId="16" fillId="9" borderId="1" applyAlignment="1" pivotButton="0" quotePrefix="0" xfId="0">
      <alignment vertical="top" wrapText="1"/>
    </xf>
    <xf numFmtId="0" fontId="4" fillId="9" borderId="1" applyAlignment="1" pivotButton="0" quotePrefix="0" xfId="0">
      <alignment vertical="top" wrapText="1"/>
    </xf>
    <xf numFmtId="0" fontId="17" fillId="10" borderId="1" pivotButton="0" quotePrefix="0" xfId="0"/>
    <xf numFmtId="0" fontId="18" fillId="0" borderId="1" applyAlignment="1" pivotButton="0" quotePrefix="0" xfId="0">
      <alignment vertical="top" wrapText="1"/>
    </xf>
    <xf numFmtId="0" fontId="19" fillId="0" borderId="1" applyAlignment="1" pivotButton="0" quotePrefix="0" xfId="0">
      <alignment vertical="top" wrapText="1"/>
    </xf>
    <xf numFmtId="0" fontId="0" fillId="0" borderId="1" pivotButton="0" quotePrefix="0" xfId="0"/>
    <xf numFmtId="0" fontId="4" fillId="0" borderId="1" applyAlignment="1" pivotButton="0" quotePrefix="0" xfId="0">
      <alignment horizontal="center" vertical="top" wrapText="1"/>
    </xf>
    <xf numFmtId="0" fontId="4" fillId="3" borderId="1" applyAlignment="1" pivotButton="0" quotePrefix="0" xfId="0">
      <alignment vertical="top" wrapText="1"/>
    </xf>
    <xf numFmtId="0" fontId="20" fillId="0" borderId="1" applyAlignment="1" pivotButton="0" quotePrefix="0" xfId="0">
      <alignment vertical="top" wrapText="1"/>
    </xf>
    <xf numFmtId="0" fontId="4" fillId="4" borderId="1" applyAlignment="1" pivotButton="0" quotePrefix="0" xfId="0">
      <alignment horizontal="center" vertical="top" wrapText="1"/>
    </xf>
    <xf numFmtId="0" fontId="4" fillId="11" borderId="1" applyAlignment="1" pivotButton="0" quotePrefix="0" xfId="0">
      <alignment horizontal="center" vertical="top" wrapText="1"/>
    </xf>
    <xf numFmtId="164" fontId="11" fillId="0" borderId="1" applyAlignment="1" pivotButton="0" quotePrefix="0" xfId="0">
      <alignment horizontal="center" vertical="top" wrapText="1"/>
    </xf>
    <xf numFmtId="0" fontId="4" fillId="12" borderId="1" applyAlignment="1" pivotButton="0" quotePrefix="0" xfId="0">
      <alignment horizontal="center" vertical="top" wrapText="1"/>
    </xf>
    <xf numFmtId="0" fontId="4" fillId="6" borderId="1" applyAlignment="1" pivotButton="0" quotePrefix="0" xfId="0">
      <alignment vertical="top" wrapText="1"/>
    </xf>
    <xf numFmtId="0" fontId="4" fillId="7" borderId="1" applyAlignment="1" pivotButton="0" quotePrefix="0" xfId="0">
      <alignment vertical="top" wrapText="1"/>
    </xf>
    <xf numFmtId="0" fontId="4" fillId="13" borderId="1" applyAlignment="1" pivotButton="0" quotePrefix="0" xfId="0">
      <alignment horizontal="center" vertical="top" wrapText="1"/>
    </xf>
    <xf numFmtId="0" fontId="4" fillId="8" borderId="1" applyAlignment="1" pivotButton="0" quotePrefix="0" xfId="0">
      <alignment vertical="top" wrapText="1"/>
    </xf>
    <xf numFmtId="0" fontId="20" fillId="0" borderId="1" pivotButton="0" quotePrefix="0" xfId="0"/>
    <xf numFmtId="165" fontId="12" fillId="5" borderId="1" applyAlignment="1" pivotButton="0" quotePrefix="0" xfId="0">
      <alignment horizontal="center"/>
    </xf>
    <xf numFmtId="2" fontId="12" fillId="5" borderId="1" applyAlignment="1" pivotButton="0" quotePrefix="0" xfId="0">
      <alignment horizontal="center"/>
    </xf>
    <xf numFmtId="165" fontId="0" fillId="0" borderId="1" applyAlignment="1" pivotButton="0" quotePrefix="0" xfId="0">
      <alignment horizontal="center"/>
    </xf>
    <xf numFmtId="2" fontId="0" fillId="0" borderId="1" applyAlignment="1" pivotButton="0" quotePrefix="0" xfId="0">
      <alignment horizontal="center"/>
    </xf>
    <xf numFmtId="0" fontId="0" fillId="0" borderId="1" applyAlignment="1" pivotButton="0" quotePrefix="0" xfId="0">
      <alignment horizontal="center"/>
    </xf>
    <xf numFmtId="0" fontId="4" fillId="0" borderId="1" applyAlignment="1" pivotButton="0" quotePrefix="0" xfId="0">
      <alignment horizontal="center"/>
    </xf>
    <xf numFmtId="0" fontId="12" fillId="5" borderId="1" applyAlignment="1" pivotButton="0" quotePrefix="0" xfId="0">
      <alignment horizontal="center"/>
    </xf>
    <xf numFmtId="164" fontId="12" fillId="5" borderId="1" applyAlignment="1" pivotButton="0" quotePrefix="0" xfId="0">
      <alignment horizontal="center"/>
    </xf>
    <xf numFmtId="166" fontId="0" fillId="0" borderId="1" applyAlignment="1" pivotButton="0" quotePrefix="0" xfId="0">
      <alignment horizontal="center"/>
    </xf>
    <xf numFmtId="0" fontId="19" fillId="0" borderId="0" applyAlignment="1" pivotButton="0" quotePrefix="0" xfId="0">
      <alignment horizontal="right"/>
    </xf>
    <xf numFmtId="166" fontId="19" fillId="6" borderId="1" pivotButton="0" quotePrefix="0" xfId="0"/>
    <xf numFmtId="166" fontId="12" fillId="5" borderId="1" applyAlignment="1" pivotButton="0" quotePrefix="0" xfId="0">
      <alignment horizontal="center"/>
    </xf>
    <xf numFmtId="164" fontId="0" fillId="0" borderId="1" applyAlignment="1" pivotButton="0" quotePrefix="0" xfId="0">
      <alignment horizontal="center"/>
    </xf>
    <xf numFmtId="167" fontId="0" fillId="0" borderId="1" applyAlignment="1" pivotButton="0" quotePrefix="0" xfId="0">
      <alignment horizontal="center"/>
    </xf>
    <xf numFmtId="0" fontId="20" fillId="3" borderId="1" applyAlignment="1" pivotButton="0" quotePrefix="0" xfId="0">
      <alignment vertical="top" wrapText="1"/>
    </xf>
    <xf numFmtId="164" fontId="0" fillId="3" borderId="1" applyAlignment="1" pivotButton="0" quotePrefix="0" xfId="0">
      <alignment horizontal="center"/>
    </xf>
    <xf numFmtId="167" fontId="0" fillId="3" borderId="1" applyAlignment="1" pivotButton="0" quotePrefix="0" xfId="0">
      <alignment horizontal="center"/>
    </xf>
    <xf numFmtId="3" fontId="12" fillId="5" borderId="1" applyAlignment="1" pivotButton="0" quotePrefix="0" xfId="0">
      <alignment horizontal="center"/>
    </xf>
    <xf numFmtId="3" fontId="0" fillId="0" borderId="1" applyAlignment="1" pivotButton="0" quotePrefix="0" xfId="0">
      <alignment horizontal="center"/>
    </xf>
    <xf numFmtId="0" fontId="3" fillId="2" borderId="1" applyAlignment="1" pivotButton="0" quotePrefix="0" xfId="0">
      <alignment horizontal="center" vertical="bottom" textRotation="90" wrapText="1"/>
    </xf>
    <xf numFmtId="0" fontId="16" fillId="14" borderId="1" applyAlignment="1" pivotButton="0" quotePrefix="0" xfId="0">
      <alignment horizontal="center" vertical="center" wrapText="1"/>
    </xf>
    <xf numFmtId="0" fontId="21" fillId="11" borderId="1" applyAlignment="1" pivotButton="0" quotePrefix="0" xfId="0">
      <alignment horizontal="center" vertical="center" wrapText="1"/>
    </xf>
    <xf numFmtId="0" fontId="22" fillId="12" borderId="1" applyAlignment="1" pivotButton="0" quotePrefix="0" xfId="0">
      <alignment horizontal="center" vertical="center" wrapText="1"/>
    </xf>
    <xf numFmtId="0" fontId="23" fillId="15" borderId="1" applyAlignment="1" pivotButton="0" quotePrefix="0" xfId="0">
      <alignment horizontal="center" vertical="center" wrapText="1"/>
    </xf>
    <xf numFmtId="0" fontId="13" fillId="16" borderId="1" applyAlignment="1" pivotButton="0" quotePrefix="0" xfId="0">
      <alignment horizontal="center" vertical="center" wrapText="1"/>
    </xf>
    <xf numFmtId="0" fontId="19" fillId="0" borderId="1" applyAlignment="1" pivotButton="0" quotePrefix="0" xfId="0">
      <alignment horizontal="center" vertical="top" wrapText="1"/>
    </xf>
    <xf numFmtId="0" fontId="16" fillId="13" borderId="1" applyAlignment="1" pivotButton="0" quotePrefix="0" xfId="0">
      <alignment horizontal="center" vertical="top" wrapText="1"/>
    </xf>
    <xf numFmtId="0" fontId="21" fillId="11" borderId="1" applyAlignment="1" pivotButton="0" quotePrefix="0" xfId="0">
      <alignment horizontal="center" vertical="top" wrapText="1"/>
    </xf>
    <xf numFmtId="0" fontId="19" fillId="17" borderId="1" applyAlignment="1" pivotButton="0" quotePrefix="0" xfId="0">
      <alignment horizontal="center" vertical="top" wrapText="1"/>
    </xf>
    <xf numFmtId="0" fontId="4" fillId="4" borderId="1" applyAlignment="1" pivotButton="0" quotePrefix="0" xfId="0">
      <alignment vertical="top" wrapText="1"/>
    </xf>
    <xf numFmtId="0" fontId="20"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omments/comment1.xml><?xml version="1.0" encoding="utf-8"?>
<comments xmlns="http://schemas.openxmlformats.org/spreadsheetml/2006/main">
  <authors>
    <author>Sourcing note</author>
  </authors>
  <commentList>
    <comment ref="H4" authorId="0" shapeId="0">
      <text>
        <t>How the phone number was verified. Green = found on the company's own website or agreed across two or more independent sources. Amber = single directory listing, so dial with mild suspicion. See the Verification Log tab for the full record including the independent challenge pass.</t>
      </text>
    </comment>
    <comment ref="L4" authorId="0" shapeId="0">
      <text>
        <t>Open with this. The SKU 2 blank is about 171 x 75 in. A 75 in wide blank exceeds what some sheet plants run, and a shop that has to splice it is quoting a different product. Asking first respects everyone's time.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X21"/>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13" customWidth="1" min="2" max="2"/>
    <col width="30" customWidth="1" min="3" max="3"/>
    <col width="19" customWidth="1" min="4" max="4"/>
    <col width="30" customWidth="1" min="5" max="5"/>
    <col width="26" customWidth="1" min="6" max="6"/>
    <col width="30" customWidth="1" min="7" max="7"/>
    <col width="17" customWidth="1" min="8" max="8"/>
    <col width="15" customWidth="1" min="9" max="9"/>
    <col width="7" customWidth="1" min="10" max="10"/>
    <col width="13" customWidth="1" min="11" max="11"/>
    <col width="46" customWidth="1" min="12" max="12"/>
    <col width="14" customWidth="1" min="13" max="13"/>
    <col width="12" customWidth="1" min="14" max="14"/>
    <col width="12" customWidth="1" min="15" max="15"/>
    <col width="12" customWidth="1" min="16" max="16"/>
    <col width="18" customWidth="1" min="17" max="17"/>
    <col width="26" customWidth="1" min="18" max="18"/>
    <col width="12" customWidth="1" min="19" max="19"/>
    <col width="12" customWidth="1" min="20" max="20"/>
    <col width="12" customWidth="1" min="21" max="21"/>
    <col width="12" customWidth="1" min="22" max="22"/>
    <col width="12" customWidth="1" min="23" max="23"/>
    <col width="40" customWidth="1" min="24" max="24"/>
  </cols>
  <sheetData>
    <row r="1" ht="22" customHeight="1">
      <c r="A1" s="1" t="inlineStr">
        <is>
          <t>CALL SHEET - work top to bottom</t>
        </is>
      </c>
    </row>
    <row r="2" ht="72" customHeight="1">
      <c r="A2" s="2" t="inlineStr">
        <is>
          <t>Everything you need to dial, in priority order. Rows 1-5 are the real prospects; call those first and get ONE quote in hand before touching the rest - a concrete number transforms every later conversation.   Open every call with the question in column L: the larger box needs a 171 x 75 in blank, and a 75 in wide blank is the single most likely disqualifier on this job. Ten seconds, and it saves you twenty minutes.   Scripts and a paste-ready RFQ email are on the 'Outreach Scripts' tab. Fill in the YELLOW columns as you go.   Contact details verified 26 Aug 2026 - see 'Verification Log' for exactly what was checked against what.</t>
        </is>
      </c>
    </row>
    <row r="4" ht="54" customHeight="1">
      <c r="A4" s="3" t="inlineStr">
        <is>
          <t>#</t>
        </is>
      </c>
      <c r="B4" s="3" t="inlineStr">
        <is>
          <t>Call?</t>
        </is>
      </c>
      <c r="C4" s="3" t="inlineStr">
        <is>
          <t>Company</t>
        </is>
      </c>
      <c r="D4" s="3" t="inlineStr">
        <is>
          <t>PHONE</t>
        </is>
      </c>
      <c r="E4" s="3" t="inlineStr">
        <is>
          <t>Ask for</t>
        </is>
      </c>
      <c r="F4" s="3" t="inlineStr">
        <is>
          <t>EMAIL</t>
        </is>
      </c>
      <c r="G4" s="3" t="inlineStr">
        <is>
          <t>Website / RFQ form</t>
        </is>
      </c>
      <c r="H4" s="3" t="inlineStr">
        <is>
          <t>Contact data checked?</t>
        </is>
      </c>
      <c r="I4" s="3" t="inlineStr">
        <is>
          <t>Plant open?</t>
        </is>
      </c>
      <c r="J4" s="3" t="inlineStr">
        <is>
          <t>Miles</t>
        </is>
      </c>
      <c r="K4" s="3" t="inlineStr">
        <is>
          <t>Hours</t>
        </is>
      </c>
      <c r="L4" s="3" t="inlineStr">
        <is>
          <t>The ONE question to open with</t>
        </is>
      </c>
      <c r="M4" s="3" t="inlineStr">
        <is>
          <t>Est. MOQ</t>
        </is>
      </c>
      <c r="N4" s="3" t="inlineStr">
        <is>
          <t>Est. $/box SKU 1</t>
        </is>
      </c>
      <c r="O4" s="3" t="inlineStr">
        <is>
          <t>Est. $/box SKU 2</t>
        </is>
      </c>
      <c r="P4" s="3" t="inlineStr">
        <is>
          <t>Date called</t>
        </is>
      </c>
      <c r="Q4" s="3" t="inlineStr">
        <is>
          <t>Spoke to</t>
        </is>
      </c>
      <c r="R4" s="3" t="inlineStr">
        <is>
          <t>Outcome</t>
        </is>
      </c>
      <c r="S4" s="3" t="inlineStr">
        <is>
          <t>Quote $ SKU 1</t>
        </is>
      </c>
      <c r="T4" s="3" t="inlineStr">
        <is>
          <t>Quote $ SKU 2</t>
        </is>
      </c>
      <c r="U4" s="3" t="inlineStr">
        <is>
          <t>Freight $/unit</t>
        </is>
      </c>
      <c r="V4" s="3" t="inlineStr">
        <is>
          <t>MOQ quoted</t>
        </is>
      </c>
      <c r="W4" s="3" t="inlineStr">
        <is>
          <t>Lead time</t>
        </is>
      </c>
      <c r="X4" s="3" t="inlineStr">
        <is>
          <t>Notes</t>
        </is>
      </c>
    </row>
    <row r="5" ht="62" customHeight="1">
      <c r="A5" s="4" t="n">
        <v>1</v>
      </c>
      <c r="B5" s="5" t="inlineStr">
        <is>
          <t>PHONE</t>
        </is>
      </c>
      <c r="C5" s="6" t="inlineStr">
        <is>
          <t>Commercial-Wagner, Inc.</t>
        </is>
      </c>
      <c r="D5" s="7" t="inlineStr">
        <is>
          <t>(410) 522-0900</t>
        </is>
      </c>
      <c r="E5" s="8" t="inlineStr">
        <is>
          <t>Sales / estimating - then ask for the Northern Virginia rep</t>
        </is>
      </c>
      <c r="F5" s="9" t="inlineStr">
        <is>
          <t>-- none published --</t>
        </is>
      </c>
      <c r="G5" s="8" t="inlineStr">
        <is>
          <t>commercialwagner.com</t>
        </is>
      </c>
      <c r="H5" s="10" t="inlineStr">
        <is>
          <t>Not yet verified</t>
        </is>
      </c>
      <c r="I5" s="10" t="inlineStr">
        <is>
          <t>Not yet verified</t>
        </is>
      </c>
      <c r="J5" s="11" t="n">
        <v>65</v>
      </c>
      <c r="K5" s="8" t="inlineStr">
        <is>
          <t>call 8-5 ET</t>
        </is>
      </c>
      <c r="L5" s="12" t="inlineStr">
        <is>
          <t>Can you run a 75 in wide blank in one piece, and can you stitch a double-wall RSC at 36 in depth?</t>
        </is>
      </c>
      <c r="M5" s="11" t="inlineStr">
        <is>
          <t>250 - 500</t>
        </is>
      </c>
      <c r="N5" s="13">
        <f>'Cost Model'!$I$6/1000*230.0</f>
        <v>9.904375</v>
      </c>
      <c r="O5" s="13">
        <f>'Cost Model'!$I$7/1000*230.0</f>
        <v>20.5143229167</v>
      </c>
      <c r="P5" s="14" t="n"/>
      <c r="Q5" s="14" t="n"/>
      <c r="R5" s="14" t="n"/>
      <c r="S5" s="15" t="n"/>
      <c r="T5" s="15" t="n"/>
      <c r="U5" s="15" t="n"/>
      <c r="V5" s="14" t="n"/>
      <c r="W5" s="14" t="n"/>
      <c r="X5" s="14" t="n"/>
    </row>
    <row r="6" ht="62" customHeight="1">
      <c r="A6" s="4" t="n">
        <v>2</v>
      </c>
      <c r="B6" s="5" t="inlineStr">
        <is>
          <t>PHONE + EMAIL</t>
        </is>
      </c>
      <c r="C6" s="6" t="inlineStr">
        <is>
          <t>Atlas Container Corp.</t>
        </is>
      </c>
      <c r="D6" s="7" t="inlineStr">
        <is>
          <t>(410) 551-6300</t>
        </is>
      </c>
      <c r="E6" s="8" t="inlineStr">
        <is>
          <t>Inside sales. Christine Beeler (cbeeler@atlascontainer.com) is a named rep.</t>
        </is>
      </c>
      <c r="F6" s="9" t="inlineStr">
        <is>
          <t>info@atlascontainer.com</t>
        </is>
      </c>
      <c r="G6" s="8" t="inlineStr">
        <is>
          <t>atlascontainer.com</t>
        </is>
      </c>
      <c r="H6" s="10" t="inlineStr">
        <is>
          <t>Not yet verified</t>
        </is>
      </c>
      <c r="I6" s="10" t="inlineStr">
        <is>
          <t>Not yet verified</t>
        </is>
      </c>
      <c r="J6" s="11" t="n">
        <v>62</v>
      </c>
      <c r="K6" s="8" t="inlineStr">
        <is>
          <t>call 8-5 ET</t>
        </is>
      </c>
      <c r="L6" s="12" t="inlineStr">
        <is>
          <t>Your site says orders as small as 100 - does that hold for a 46 x 39 x 36 double-wall box, and does a 75 in wide blank run on your equipment?</t>
        </is>
      </c>
      <c r="M6" s="11" t="inlineStr">
        <is>
          <t>100</t>
        </is>
      </c>
      <c r="N6" s="13">
        <f>'Cost Model'!$I$6/1000*230.0</f>
        <v>9.904375</v>
      </c>
      <c r="O6" s="13">
        <f>'Cost Model'!$I$7/1000*230.0</f>
        <v>20.5143229167</v>
      </c>
      <c r="P6" s="14" t="n"/>
      <c r="Q6" s="14" t="n"/>
      <c r="R6" s="14" t="n"/>
      <c r="S6" s="15" t="n"/>
      <c r="T6" s="15" t="n"/>
      <c r="U6" s="15" t="n"/>
      <c r="V6" s="14" t="n"/>
      <c r="W6" s="14" t="n"/>
      <c r="X6" s="14" t="n"/>
    </row>
    <row r="7" ht="62" customHeight="1">
      <c r="A7" s="4" t="n">
        <v>3</v>
      </c>
      <c r="B7" s="5" t="inlineStr">
        <is>
          <t>EMAIL / FORM then PHONE</t>
        </is>
      </c>
      <c r="C7" s="6" t="inlineStr">
        <is>
          <t>Green Bay Packaging - Baltimore Division</t>
        </is>
      </c>
      <c r="D7" s="7" t="inlineStr">
        <is>
          <t>(410) 785-2233</t>
        </is>
      </c>
      <c r="E7" s="8" t="inlineStr">
        <is>
          <t>Baltimore division inside sales</t>
        </is>
      </c>
      <c r="F7" s="9" t="inlineStr">
        <is>
          <t>-- none published --</t>
        </is>
      </c>
      <c r="G7" s="8" t="inlineStr">
        <is>
          <t>gbp.com/locations/baltimore</t>
        </is>
      </c>
      <c r="H7" s="10" t="inlineStr">
        <is>
          <t>Not yet verified</t>
        </is>
      </c>
      <c r="I7" s="10" t="inlineStr">
        <is>
          <t>Not yet verified</t>
        </is>
      </c>
      <c r="J7" s="11" t="n">
        <v>72</v>
      </c>
      <c r="K7" s="8" t="inlineStr">
        <is>
          <t>call 8-5 ET</t>
        </is>
      </c>
      <c r="L7" s="12" t="inlineStr">
        <is>
          <t>Can you certify a BCT figure for a 46.5 x 39.5 x 36.5 in box in 48ECT DW, and run ISTA on it in your on-site lab?</t>
        </is>
      </c>
      <c r="M7" s="11" t="inlineStr">
        <is>
          <t>1,000 - 2,500</t>
        </is>
      </c>
      <c r="N7" s="13">
        <f>'Cost Model'!$I$6/1000*195.0</f>
        <v>8.3971875</v>
      </c>
      <c r="O7" s="13">
        <f>'Cost Model'!$I$7/1000*195.0</f>
        <v>17.392578125</v>
      </c>
      <c r="P7" s="14" t="n"/>
      <c r="Q7" s="14" t="n"/>
      <c r="R7" s="14" t="n"/>
      <c r="S7" s="15" t="n"/>
      <c r="T7" s="15" t="n"/>
      <c r="U7" s="15" t="n"/>
      <c r="V7" s="14" t="n"/>
      <c r="W7" s="14" t="n"/>
      <c r="X7" s="14" t="n"/>
    </row>
    <row r="8" ht="62" customHeight="1">
      <c r="A8" s="4" t="n">
        <v>4</v>
      </c>
      <c r="B8" s="5" t="inlineStr">
        <is>
          <t>EMAIL then PHONE</t>
        </is>
      </c>
      <c r="C8" s="6" t="inlineStr">
        <is>
          <t>Columbia Container Corp.</t>
        </is>
      </c>
      <c r="D8" s="7" t="inlineStr">
        <is>
          <t>(410) 467-1400</t>
        </is>
      </c>
      <c r="E8" s="8" t="inlineStr">
        <is>
          <t>Quotes desk</t>
        </is>
      </c>
      <c r="F8" s="9" t="inlineStr">
        <is>
          <t>quotes@columbiacontainer.net</t>
        </is>
      </c>
      <c r="G8" s="8" t="inlineStr">
        <is>
          <t>columbiacontainer.net</t>
        </is>
      </c>
      <c r="H8" s="10" t="inlineStr">
        <is>
          <t>Not yet verified</t>
        </is>
      </c>
      <c r="I8" s="10" t="inlineStr">
        <is>
          <t>Not yet verified</t>
        </is>
      </c>
      <c r="J8" s="11" t="n">
        <v>65</v>
      </c>
      <c r="K8" s="8" t="inlineStr">
        <is>
          <t>call 8-5 ET</t>
        </is>
      </c>
      <c r="L8" s="12" t="inlineStr">
        <is>
          <t>You advertise custom flute and liner combinations - which build would you use to hit 48ECT DW, and what caliper does it come out at?</t>
        </is>
      </c>
      <c r="M8" s="11" t="inlineStr">
        <is>
          <t>250 - 500</t>
        </is>
      </c>
      <c r="N8" s="13">
        <f>'Cost Model'!$I$6/1000*240.0</f>
        <v>10.335</v>
      </c>
      <c r="O8" s="13">
        <f>'Cost Model'!$I$7/1000*240.0</f>
        <v>21.40625</v>
      </c>
      <c r="P8" s="14" t="n"/>
      <c r="Q8" s="14" t="n"/>
      <c r="R8" s="14" t="n"/>
      <c r="S8" s="15" t="n"/>
      <c r="T8" s="15" t="n"/>
      <c r="U8" s="15" t="n"/>
      <c r="V8" s="14" t="n"/>
      <c r="W8" s="14" t="n"/>
      <c r="X8" s="14" t="n"/>
    </row>
    <row r="9" ht="62" customHeight="1">
      <c r="A9" s="4" t="n">
        <v>5</v>
      </c>
      <c r="B9" s="5" t="inlineStr">
        <is>
          <t>PHONE (site was flaky)</t>
        </is>
      </c>
      <c r="C9" s="6" t="inlineStr">
        <is>
          <t>Packaging Services Industries, Inc. (PSI)</t>
        </is>
      </c>
      <c r="D9" s="7" t="inlineStr">
        <is>
          <t>(301) 223-8726</t>
        </is>
      </c>
      <c r="E9" s="8" t="inlineStr">
        <is>
          <t>Northern Virginia / Manassas territory rep</t>
        </is>
      </c>
      <c r="F9" s="9" t="inlineStr">
        <is>
          <t>info@psimd.com</t>
        </is>
      </c>
      <c r="G9" s="8" t="inlineStr">
        <is>
          <t>psimd.com</t>
        </is>
      </c>
      <c r="H9" s="10" t="inlineStr">
        <is>
          <t>Not yet verified</t>
        </is>
      </c>
      <c r="I9" s="10" t="inlineStr">
        <is>
          <t>Not yet verified</t>
        </is>
      </c>
      <c r="J9" s="11" t="n">
        <v>62</v>
      </c>
      <c r="K9" s="8" t="inlineStr">
        <is>
          <t>call 8-5 ET</t>
        </is>
      </c>
      <c r="L9" s="12" t="inlineStr">
        <is>
          <t>Will you hold a blanket order with monthly releases, and can your engineered-foam side quote dunnage for a 6 in clearance envelope?</t>
        </is>
      </c>
      <c r="M9" s="11" t="inlineStr">
        <is>
          <t>500 - 1,000</t>
        </is>
      </c>
      <c r="N9" s="13">
        <f>'Cost Model'!$I$6/1000*210.0</f>
        <v>9.043125</v>
      </c>
      <c r="O9" s="13">
        <f>'Cost Model'!$I$7/1000*210.0</f>
        <v>18.73046875</v>
      </c>
      <c r="P9" s="14" t="n"/>
      <c r="Q9" s="14" t="n"/>
      <c r="R9" s="14" t="n"/>
      <c r="S9" s="15" t="n"/>
      <c r="T9" s="15" t="n"/>
      <c r="U9" s="15" t="n"/>
      <c r="V9" s="14" t="n"/>
      <c r="W9" s="14" t="n"/>
      <c r="X9" s="14" t="n"/>
    </row>
    <row r="10" ht="62" customHeight="1">
      <c r="A10" s="4" t="n">
        <v>6</v>
      </c>
      <c r="B10" s="16" t="inlineStr">
        <is>
          <t>PHONE</t>
        </is>
      </c>
      <c r="C10" s="6" t="inlineStr">
        <is>
          <t>Keystone Sheets (Buckeye Corrugated / Corrugated Partners Group)</t>
        </is>
      </c>
      <c r="D10" s="7" t="inlineStr">
        <is>
          <t>(717) 287-1764</t>
        </is>
      </c>
      <c r="E10" s="8" t="inlineStr">
        <is>
          <t>Inside sales</t>
        </is>
      </c>
      <c r="F10" s="9" t="inlineStr">
        <is>
          <t>-- none published --</t>
        </is>
      </c>
      <c r="G10" s="8" t="inlineStr">
        <is>
          <t>keystonesheets.com</t>
        </is>
      </c>
      <c r="H10" s="10" t="inlineStr">
        <is>
          <t>Not yet verified</t>
        </is>
      </c>
      <c r="I10" s="10" t="inlineStr">
        <is>
          <t>Not yet verified</t>
        </is>
      </c>
      <c r="J10" s="11" t="n">
        <v>78</v>
      </c>
      <c r="K10" s="8" t="inlineStr">
        <is>
          <t>call 8-5 ET</t>
        </is>
      </c>
      <c r="L10" s="12" t="inlineStr">
        <is>
          <t>Can you supply 48ECT double wall in 75 in wide sheets, and what is your minimum run?</t>
        </is>
      </c>
      <c r="M10" s="11" t="inlineStr">
        <is>
          <t>Skid / bundle minimum</t>
        </is>
      </c>
      <c r="N10" s="17" t="inlineStr">
        <is>
          <t>n/a</t>
        </is>
      </c>
      <c r="O10" s="17" t="inlineStr">
        <is>
          <t>n/a</t>
        </is>
      </c>
      <c r="P10" s="14" t="n"/>
      <c r="Q10" s="14" t="n"/>
      <c r="R10" s="14" t="n"/>
      <c r="S10" s="15" t="n"/>
      <c r="T10" s="15" t="n"/>
      <c r="U10" s="15" t="n"/>
      <c r="V10" s="14" t="n"/>
      <c r="W10" s="14" t="n"/>
      <c r="X10" s="14" t="n"/>
    </row>
    <row r="11" ht="62" customHeight="1">
      <c r="A11" s="4" t="n">
        <v>7</v>
      </c>
      <c r="B11" s="16" t="inlineStr">
        <is>
          <t>CORPORATE FORM</t>
        </is>
      </c>
      <c r="C11" s="6" t="inlineStr">
        <is>
          <t>Smurfit Westrock - Baltimore South Box Plant</t>
        </is>
      </c>
      <c r="D11" s="18" t="inlineStr">
        <is>
          <t>-- none published --</t>
        </is>
      </c>
      <c r="E11" s="8" t="inlineStr">
        <is>
          <t>Mid-Atlantic corrugated account team</t>
        </is>
      </c>
      <c r="F11" s="9" t="inlineStr">
        <is>
          <t>WEB FORM ONLY</t>
        </is>
      </c>
      <c r="G11" s="8" t="inlineStr">
        <is>
          <t>us.smurfitwestrock.com/locations</t>
        </is>
      </c>
      <c r="H11" s="10" t="inlineStr">
        <is>
          <t>Not yet verified</t>
        </is>
      </c>
      <c r="I11" s="10" t="inlineStr">
        <is>
          <t>Not yet verified</t>
        </is>
      </c>
      <c r="J11" s="11" t="n">
        <v>62</v>
      </c>
      <c r="K11" s="8" t="inlineStr">
        <is>
          <t>call 8-5 ET</t>
        </is>
      </c>
      <c r="L11" s="12" t="inlineStr">
        <is>
          <t>Is this plant still running, and will you quote 500-5,000/yr at all?</t>
        </is>
      </c>
      <c r="M11" s="11" t="inlineStr">
        <is>
          <t>2,500 - 5,000+</t>
        </is>
      </c>
      <c r="N11" s="13">
        <f>'Cost Model'!$I$6/1000*185.0</f>
        <v>7.9665625</v>
      </c>
      <c r="O11" s="13">
        <f>'Cost Model'!$I$7/1000*185.0</f>
        <v>16.5006510417</v>
      </c>
      <c r="P11" s="14" t="n"/>
      <c r="Q11" s="14" t="n"/>
      <c r="R11" s="14" t="n"/>
      <c r="S11" s="15" t="n"/>
      <c r="T11" s="15" t="n"/>
      <c r="U11" s="15" t="n"/>
      <c r="V11" s="14" t="n"/>
      <c r="W11" s="14" t="n"/>
      <c r="X11" s="14" t="n"/>
    </row>
    <row r="12" ht="62" customHeight="1">
      <c r="A12" s="4" t="n">
        <v>8</v>
      </c>
      <c r="B12" s="19" t="inlineStr">
        <is>
          <t>PHONE - or just drive over</t>
        </is>
      </c>
      <c r="C12" s="6" t="inlineStr">
        <is>
          <t>Craters &amp; Freighters Northern Virginia</t>
        </is>
      </c>
      <c r="D12" s="7" t="inlineStr">
        <is>
          <t>(703) 796-0180</t>
        </is>
      </c>
      <c r="E12" s="8" t="inlineStr">
        <is>
          <t>Sterling branch</t>
        </is>
      </c>
      <c r="F12" s="9" t="inlineStr">
        <is>
          <t>-- none published --</t>
        </is>
      </c>
      <c r="G12" s="8" t="inlineStr">
        <is>
          <t>cratersandfreightersnorthernvirginia.com</t>
        </is>
      </c>
      <c r="H12" s="10" t="inlineStr">
        <is>
          <t>Not yet verified</t>
        </is>
      </c>
      <c r="I12" s="10" t="inlineStr">
        <is>
          <t>Not yet verified</t>
        </is>
      </c>
      <c r="J12" s="11" t="n">
        <v>4</v>
      </c>
      <c r="K12" s="8" t="inlineStr">
        <is>
          <t>8:30am-5:00pm ET Mon-Fri</t>
        </is>
      </c>
      <c r="L12" s="12" t="inlineStr">
        <is>
          <t>Can you build me one of each as a fit-check prototype this week, and what would that cost?</t>
        </is>
      </c>
      <c r="M12" s="11" t="inlineStr">
        <is>
          <t>1</t>
        </is>
      </c>
      <c r="N12" s="17" t="inlineStr">
        <is>
          <t>n/a</t>
        </is>
      </c>
      <c r="O12" s="17" t="inlineStr">
        <is>
          <t>n/a</t>
        </is>
      </c>
      <c r="P12" s="14" t="n"/>
      <c r="Q12" s="14" t="n"/>
      <c r="R12" s="14" t="n"/>
      <c r="S12" s="15" t="n"/>
      <c r="T12" s="15" t="n"/>
      <c r="U12" s="15" t="n"/>
      <c r="V12" s="14" t="n"/>
      <c r="W12" s="14" t="n"/>
      <c r="X12" s="14" t="n"/>
    </row>
    <row r="13" ht="62" customHeight="1">
      <c r="A13" s="4" t="n">
        <v>9</v>
      </c>
      <c r="B13" s="20" t="inlineStr">
        <is>
          <t>PHONE</t>
        </is>
      </c>
      <c r="C13" s="6" t="inlineStr">
        <is>
          <t>Atlantic Corrugated Box Company, Inc.</t>
        </is>
      </c>
      <c r="D13" s="7" t="inlineStr">
        <is>
          <t>(804) 231-4050</t>
        </is>
      </c>
      <c r="E13" s="8" t="inlineStr">
        <is>
          <t>Inside sales</t>
        </is>
      </c>
      <c r="F13" s="9" t="inlineStr">
        <is>
          <t>-- none published --</t>
        </is>
      </c>
      <c r="G13" s="8" t="inlineStr">
        <is>
          <t>acbc-inc.com</t>
        </is>
      </c>
      <c r="H13" s="10" t="inlineStr">
        <is>
          <t>Not yet verified</t>
        </is>
      </c>
      <c r="I13" s="10" t="inlineStr">
        <is>
          <t>Not yet verified</t>
        </is>
      </c>
      <c r="J13" s="11" t="n">
        <v>110</v>
      </c>
      <c r="K13" s="8" t="inlineStr">
        <is>
          <t>call 8-5 ET</t>
        </is>
      </c>
      <c r="L13" s="12" t="inlineStr">
        <is>
          <t>Can you run a 75 in wide double-wall blank, and what does freight to Sterling VA 20166 add per box?</t>
        </is>
      </c>
      <c r="M13" s="11" t="inlineStr">
        <is>
          <t>250 - 500</t>
        </is>
      </c>
      <c r="N13" s="13">
        <f>'Cost Model'!$I$6/1000*240.0</f>
        <v>10.335</v>
      </c>
      <c r="O13" s="13">
        <f>'Cost Model'!$I$7/1000*240.0</f>
        <v>21.40625</v>
      </c>
      <c r="P13" s="14" t="n"/>
      <c r="Q13" s="14" t="n"/>
      <c r="R13" s="14" t="n"/>
      <c r="S13" s="15" t="n"/>
      <c r="T13" s="15" t="n"/>
      <c r="U13" s="15" t="n"/>
      <c r="V13" s="14" t="n"/>
      <c r="W13" s="14" t="n"/>
      <c r="X13" s="14" t="n"/>
    </row>
    <row r="14" ht="62" customHeight="1">
      <c r="A14" s="4" t="n">
        <v>10</v>
      </c>
      <c r="B14" s="20" t="inlineStr">
        <is>
          <t>PHONE</t>
        </is>
      </c>
      <c r="C14" s="6" t="inlineStr">
        <is>
          <t>Richmond Corrugated Box Co., Inc.</t>
        </is>
      </c>
      <c r="D14" s="7" t="inlineStr">
        <is>
          <t>(804) 222-1300</t>
        </is>
      </c>
      <c r="E14" s="8" t="inlineStr">
        <is>
          <t>Inside sales</t>
        </is>
      </c>
      <c r="F14" s="9" t="inlineStr">
        <is>
          <t>-- none published --</t>
        </is>
      </c>
      <c r="G14" s="8" t="inlineStr">
        <is>
          <t>richmondcorrugated.com</t>
        </is>
      </c>
      <c r="H14" s="10" t="inlineStr">
        <is>
          <t>Not yet verified</t>
        </is>
      </c>
      <c r="I14" s="10" t="inlineStr">
        <is>
          <t>Not yet verified</t>
        </is>
      </c>
      <c r="J14" s="11" t="n">
        <v>112</v>
      </c>
      <c r="K14" s="8" t="inlineStr">
        <is>
          <t>8:00am-5:00pm</t>
        </is>
      </c>
      <c r="L14" s="12" t="inlineStr">
        <is>
          <t>Do you run double wall, and what is the widest blank your equipment takes?</t>
        </is>
      </c>
      <c r="M14" s="11" t="inlineStr">
        <is>
          <t>250 - 500</t>
        </is>
      </c>
      <c r="N14" s="13">
        <f>'Cost Model'!$I$6/1000*240.0</f>
        <v>10.335</v>
      </c>
      <c r="O14" s="13">
        <f>'Cost Model'!$I$7/1000*240.0</f>
        <v>21.40625</v>
      </c>
      <c r="P14" s="14" t="n"/>
      <c r="Q14" s="14" t="n"/>
      <c r="R14" s="14" t="n"/>
      <c r="S14" s="15" t="n"/>
      <c r="T14" s="15" t="n"/>
      <c r="U14" s="15" t="n"/>
      <c r="V14" s="14" t="n"/>
      <c r="W14" s="14" t="n"/>
      <c r="X14" s="14" t="n"/>
    </row>
    <row r="15" ht="62" customHeight="1">
      <c r="A15" s="4" t="n">
        <v>11</v>
      </c>
      <c r="B15" s="20" t="inlineStr">
        <is>
          <t>CORPORATE FORM</t>
        </is>
      </c>
      <c r="C15" s="6" t="inlineStr">
        <is>
          <t>Smurfit Westrock - Richmond Box Plant</t>
        </is>
      </c>
      <c r="D15" s="18" t="inlineStr">
        <is>
          <t>-- none published --</t>
        </is>
      </c>
      <c r="E15" s="8" t="inlineStr">
        <is>
          <t>Mid-Atlantic corrugated account team</t>
        </is>
      </c>
      <c r="F15" s="9" t="inlineStr">
        <is>
          <t>WEB FORM ONLY</t>
        </is>
      </c>
      <c r="G15" s="8" t="inlineStr">
        <is>
          <t>us.smurfitwestrock.com/locations</t>
        </is>
      </c>
      <c r="H15" s="10" t="inlineStr">
        <is>
          <t>Not yet verified</t>
        </is>
      </c>
      <c r="I15" s="10" t="inlineStr">
        <is>
          <t>Not yet verified</t>
        </is>
      </c>
      <c r="J15" s="11" t="n">
        <v>112</v>
      </c>
      <c r="K15" s="8" t="inlineStr">
        <is>
          <t>call 8-5 ET</t>
        </is>
      </c>
      <c r="L15" s="12" t="inlineStr">
        <is>
          <t>Same as Baltimore South - will you quote at 500-5,000/yr?</t>
        </is>
      </c>
      <c r="M15" s="11" t="inlineStr">
        <is>
          <t>2,500 - 5,000+</t>
        </is>
      </c>
      <c r="N15" s="13">
        <f>'Cost Model'!$I$6/1000*185.0</f>
        <v>7.9665625</v>
      </c>
      <c r="O15" s="13">
        <f>'Cost Model'!$I$7/1000*185.0</f>
        <v>16.5006510417</v>
      </c>
      <c r="P15" s="14" t="n"/>
      <c r="Q15" s="14" t="n"/>
      <c r="R15" s="14" t="n"/>
      <c r="S15" s="15" t="n"/>
      <c r="T15" s="15" t="n"/>
      <c r="U15" s="15" t="n"/>
      <c r="V15" s="14" t="n"/>
      <c r="W15" s="14" t="n"/>
      <c r="X15" s="14" t="n"/>
    </row>
    <row r="17">
      <c r="A17" s="21" t="inlineStr">
        <is>
          <t>DO NOT CALL</t>
        </is>
      </c>
      <c r="B17" s="22" t="n"/>
      <c r="C17" s="22" t="n"/>
      <c r="D17" s="22" t="n"/>
      <c r="E17" s="22" t="n"/>
      <c r="F17" s="22" t="n"/>
      <c r="G17" s="22" t="n"/>
      <c r="H17" s="22" t="n"/>
      <c r="I17" s="22" t="n"/>
      <c r="J17" s="22" t="n"/>
      <c r="K17" s="22" t="n"/>
      <c r="L17" s="22" t="n"/>
      <c r="M17" s="22" t="n"/>
      <c r="N17" s="22" t="n"/>
      <c r="O17" s="22" t="n"/>
      <c r="P17" s="22" t="n"/>
      <c r="Q17" s="22" t="n"/>
      <c r="R17" s="22" t="n"/>
      <c r="S17" s="22" t="n"/>
      <c r="T17" s="22" t="n"/>
      <c r="U17" s="22" t="n"/>
      <c r="V17" s="22" t="n"/>
      <c r="W17" s="22" t="n"/>
      <c r="X17" s="23" t="n"/>
    </row>
    <row r="18" ht="58" customHeight="1">
      <c r="A18" s="24" t="n"/>
      <c r="B18" s="24" t="n"/>
      <c r="C18" s="25" t="inlineStr">
        <is>
          <t>Packaging Corp. of America (PCA) - Richmond Full-Line Plant</t>
        </is>
      </c>
      <c r="D18" s="26" t="inlineStr">
        <is>
          <t>2000 Richmond Hwy, Richmond, VA 23224</t>
        </is>
      </c>
      <c r="E18" s="24" t="n"/>
      <c r="F18" s="26" t="inlineStr">
        <is>
          <t>DO NOT CALL - PCA announced permanent closure of this corrugated plant. Listed so it does not resurface from a stale directory.</t>
        </is>
      </c>
      <c r="G18" s="24" t="n"/>
      <c r="H18" s="24" t="n"/>
      <c r="I18" s="24" t="n"/>
      <c r="J18" s="24" t="n"/>
      <c r="K18" s="24" t="n"/>
      <c r="L18" s="24" t="n"/>
      <c r="M18" s="24" t="n"/>
      <c r="N18" s="24" t="n"/>
      <c r="O18" s="24" t="n"/>
      <c r="P18" s="24" t="n"/>
      <c r="Q18" s="24" t="n"/>
      <c r="R18" s="24" t="n"/>
      <c r="S18" s="24" t="n"/>
      <c r="T18" s="24" t="n"/>
      <c r="U18" s="24" t="n"/>
      <c r="V18" s="24" t="n"/>
      <c r="W18" s="24" t="n"/>
      <c r="X18" s="24" t="n"/>
    </row>
    <row r="19" ht="58" customHeight="1">
      <c r="A19" s="24" t="n"/>
      <c r="B19" s="24" t="n"/>
      <c r="C19" s="25" t="inlineStr">
        <is>
          <t>Kelly Box &amp; Packaging</t>
        </is>
      </c>
      <c r="D19" s="26" t="inlineStr">
        <is>
          <t>Fort Wayne, IN - 570 miles</t>
        </is>
      </c>
      <c r="E19" s="24" t="n"/>
      <c r="F19" s="26" t="inlineStr">
        <is>
          <t>REMOVED. It was on the earlier list purely as a die-cut specialist with an ISTA lab for the bridge panel. With the bridge out of scope there is no die-cutting on this job, and Green Bay Packaging provides an ISTA lab inside the radius.</t>
        </is>
      </c>
      <c r="G19" s="24" t="n"/>
      <c r="H19" s="24" t="n"/>
      <c r="I19" s="24" t="n"/>
      <c r="J19" s="24" t="n"/>
      <c r="K19" s="24" t="n"/>
      <c r="L19" s="24" t="n"/>
      <c r="M19" s="24" t="n"/>
      <c r="N19" s="24" t="n"/>
      <c r="O19" s="24" t="n"/>
      <c r="P19" s="24" t="n"/>
      <c r="Q19" s="24" t="n"/>
      <c r="R19" s="24" t="n"/>
      <c r="S19" s="24" t="n"/>
      <c r="T19" s="24" t="n"/>
      <c r="U19" s="24" t="n"/>
      <c r="V19" s="24" t="n"/>
      <c r="W19" s="24" t="n"/>
      <c r="X19" s="24" t="n"/>
    </row>
    <row r="20" ht="58" customHeight="1">
      <c r="A20" s="24" t="n"/>
      <c r="B20" s="24" t="n"/>
      <c r="C20" s="25" t="inlineStr">
        <is>
          <t>Uline / packagingprice.com and other catalogue distributors</t>
        </is>
      </c>
      <c r="D20" s="26" t="inlineStr">
        <is>
          <t>No Virginia plant</t>
        </is>
      </c>
      <c r="E20" s="24" t="n"/>
      <c r="F20" s="26" t="inlineStr">
        <is>
          <t>NOT SUPPLIERS for this job - your sizes are non-stock. They ARE the price benchmark: the Cost Model tab back-calculates $/MSF from their published 48ECT and 275 lb test double-wall prices. Beat those numbers.</t>
        </is>
      </c>
      <c r="G20" s="24" t="n"/>
      <c r="H20" s="24" t="n"/>
      <c r="I20" s="24" t="n"/>
      <c r="J20" s="24" t="n"/>
      <c r="K20" s="24" t="n"/>
      <c r="L20" s="24" t="n"/>
      <c r="M20" s="24" t="n"/>
      <c r="N20" s="24" t="n"/>
      <c r="O20" s="24" t="n"/>
      <c r="P20" s="24" t="n"/>
      <c r="Q20" s="24" t="n"/>
      <c r="R20" s="24" t="n"/>
      <c r="S20" s="24" t="n"/>
      <c r="T20" s="24" t="n"/>
      <c r="U20" s="24" t="n"/>
      <c r="V20" s="24" t="n"/>
      <c r="W20" s="24" t="n"/>
      <c r="X20" s="24" t="n"/>
    </row>
    <row r="21" ht="58" customHeight="1">
      <c r="A21" s="24" t="n"/>
      <c r="B21" s="24" t="n"/>
      <c r="C21" s="25" t="inlineStr">
        <is>
          <t>SEO reseller / offshore broker sites (CustomBoxesZone, BoxLark, Branded Boxes, OXO, PakFactory)</t>
        </is>
      </c>
      <c r="D21" s="26" t="inlineStr">
        <is>
          <t>No plant</t>
        </is>
      </c>
      <c r="E21" s="24" t="n"/>
      <c r="F21" s="26" t="inlineStr">
        <is>
          <t>EXCLUDED. They dominate search results for 'corrugated boxes Sterling/Ashburn/Dulles VA' but hold no converting asset in Virginia, will not certify 48ECT DW board, and cannot support first-article approval.</t>
        </is>
      </c>
      <c r="G21" s="24" t="n"/>
      <c r="H21" s="24" t="n"/>
      <c r="I21" s="24" t="n"/>
      <c r="J21" s="24" t="n"/>
      <c r="K21" s="24" t="n"/>
      <c r="L21" s="24" t="n"/>
      <c r="M21" s="24" t="n"/>
      <c r="N21" s="24" t="n"/>
      <c r="O21" s="24" t="n"/>
      <c r="P21" s="24" t="n"/>
      <c r="Q21" s="24" t="n"/>
      <c r="R21" s="24" t="n"/>
      <c r="S21" s="24" t="n"/>
      <c r="T21" s="24" t="n"/>
      <c r="U21" s="24" t="n"/>
      <c r="V21" s="24" t="n"/>
      <c r="W21" s="24" t="n"/>
      <c r="X21" s="24" t="n"/>
    </row>
  </sheetData>
  <autoFilter ref="A4:X15"/>
  <mergeCells count="7">
    <mergeCell ref="A2:X2"/>
    <mergeCell ref="F21:L21"/>
    <mergeCell ref="A1:X1"/>
    <mergeCell ref="F20:L20"/>
    <mergeCell ref="F18:L18"/>
    <mergeCell ref="F19:L19"/>
    <mergeCell ref="A17:X17"/>
  </mergeCells>
  <dataValidations count="1">
    <dataValidation sqref="R5:R15" showDropDown="0" showInputMessage="0" showErrorMessage="0" allowBlank="1" type="list">
      <formula1>"Left voicemail,Spoke - quoting,Spoke - declined,Cannot run 75in blank,Quote received,Sample requested,No answer,Disqualified"</formula1>
    </dataValidation>
  </dataValidations>
  <pageMargins left="0.75" right="0.75" top="1" bottom="1" header="0.5" footer="0.5"/>
  <legacyDrawing r:id="anysvml"/>
</worksheet>
</file>

<file path=xl/worksheets/sheet2.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4" customWidth="1" min="1" max="1"/>
    <col width="88" customWidth="1" min="2" max="2"/>
    <col width="34" customWidth="1" min="3" max="3"/>
  </cols>
  <sheetData>
    <row r="1" ht="22" customHeight="1">
      <c r="A1" s="1" t="inlineStr">
        <is>
          <t>Outreach Scripts - paste-ready</t>
        </is>
      </c>
    </row>
    <row r="2" ht="40" customHeight="1">
      <c r="A2" s="2" t="inlineStr">
        <is>
          <t>Phone opener, follow-up questions, voicemail, and a complete RFQ email. Fill the [BRACKETED] placeholders. The email body is deliberately a more complete spec than the drawings are - see the note on attachments below.</t>
        </is>
      </c>
    </row>
    <row r="4" ht="20" customHeight="1">
      <c r="A4" s="27" t="inlineStr">
        <is>
          <t>PHONE - open with this</t>
        </is>
      </c>
      <c r="B4" s="22" t="n"/>
      <c r="C4" s="23" t="n"/>
    </row>
    <row r="5" ht="62.5" customHeight="1">
      <c r="A5" s="28" t="inlineStr">
        <is>
          <t>"Hi - I'm sourcing two heavy-duty double-wall corrugated boxes, and I have one qualifying question before I take up your time. The larger box needs a blank roughly 171 by 75 inches. Can you run a 75-inch-wide blank in one piece?"
WHY THIS OPENER: it is the single most likely disqualifier on this job, it takes ten seconds to answer, and it signals immediately that you know what you are buying. If the answer is no, thank them and move on - you have saved twenty minutes. If yes, continue with Q2-Q5 below.</t>
        </is>
      </c>
      <c r="B5" s="22" t="n"/>
      <c r="C5" s="23" t="n"/>
    </row>
    <row r="7" ht="20" customHeight="1">
      <c r="A7" s="27" t="inlineStr">
        <is>
          <t>PHONE - then work through these</t>
        </is>
      </c>
      <c r="B7" s="22" t="n"/>
      <c r="C7" s="23" t="n"/>
    </row>
    <row r="8" ht="212.5" customHeight="1">
      <c r="A8" s="28" t="inlineStr">
        <is>
          <t xml:space="preserve">Q2  BOARD    "Can you do 48ECT kraft in heavy-duty double wall at that width, and will you
             certify actual ECT on a cert of compliance? Do you corrugate in house or buy sheets?"
Q3  DIMS     "Both boxes call out a not-to-exceed OUTSIDE dimension only half an inch over the
             INSIDE dimension. With your actual double-wall caliper, can you hold both at once?
             If not, which would you relax?"     &lt;- listen carefully, answers will differ
Q4  MOQ      "What's your minimum order quantity per SKU, and per release against a blanket order?"
             (Atlas Container publishes 100 - use that as your benchmark.)
Q5  CLOSURE  "At 46-1/2 by 39-1/2 by 36-1/2 in double wall, do you recommend taped, glued or
             stitched? Can you stitch at that depth?"
THEN         "What's your $/MSF, and can you quote freight to Sterling VA 20166 as a separate line?"
</t>
        </is>
      </c>
      <c r="B8" s="22" t="n"/>
      <c r="C8" s="23" t="n"/>
    </row>
    <row r="10" ht="20" customHeight="1">
      <c r="A10" s="27" t="inlineStr">
        <is>
          <t>VOICEMAIL - if you get the machine</t>
        </is>
      </c>
      <c r="B10" s="22" t="n"/>
      <c r="C10" s="23" t="n"/>
    </row>
    <row r="11" ht="150" customHeight="1">
      <c r="A11" s="28" t="inlineStr">
        <is>
          <t>"Hi, this is [YOUR NAME] from [YOUR COMPANY], phone [YOUR NUMBER].
I'm sourcing two heavy-duty double-wall corrugated boxes - 48ECT, plain RSCs, no printing -
at roughly 500 to 5,000 pieces a year each. The larger one needs a 75-inch-wide blank.
I'd like to find out whether that runs on your equipment and get a quote. Best number is
[YOUR NUMBER], or I can email the full spec over. Thanks very much."
Keep it under 25 seconds. Leaving the 75-inch detail in the voicemail means whoever calls
back has already checked, which saves you a round trip.</t>
        </is>
      </c>
      <c r="B11" s="22" t="n"/>
      <c r="C11" s="23" t="n"/>
    </row>
    <row r="13" ht="20" customHeight="1">
      <c r="A13" s="27" t="inlineStr">
        <is>
          <t>EMAIL - subject line</t>
        </is>
      </c>
      <c r="B13" s="22" t="n"/>
      <c r="C13" s="23" t="n"/>
    </row>
    <row r="14" ht="37.5" customHeight="1">
      <c r="A14" s="28" t="inlineStr">
        <is>
          <t>RFQ - two 48ECT double-wall RSCs, 500-5,000/yr - [YOUR COMPANY]</t>
        </is>
      </c>
      <c r="B14" s="22" t="n"/>
      <c r="C14" s="23" t="n"/>
    </row>
    <row r="16" ht="20" customHeight="1">
      <c r="A16" s="27" t="inlineStr">
        <is>
          <t>EMAIL - body, paste as-is</t>
        </is>
      </c>
      <c r="B16" s="22" t="n"/>
      <c r="C16" s="23" t="n"/>
    </row>
    <row r="17" ht="780" customHeight="1">
      <c r="A17" s="28" t="inlineStr">
        <is>
          <t xml:space="preserve">Hello,
We are sourcing two corrugated shipping boxes and would like to request a quote. Both are
plain RSCs - no inserts, no die-cutting, no printing.
SKU 1
  Style ................ RSC
  Board ................ 48ECT kraft, heavy-duty double wall
  Inside dimensions .... 39 x 20 x 32 in
  Outside dimensions ... NOT TO EXCEED 39.5 x 20.5 x 32.5 in
  Approx. blank ........ 119 x 52 in
SKU 2
  Style ................ RSC
  Board ................ 48ECT kraft, heavy-duty double wall
  Inside dimensions .... 46 x 39 x 36 in
  Outside dimensions ... NOT TO EXCEED 46.5 x 39.5 x 36.5 in
  Approx. blank ........ 171 x 75 in  &lt;-- please confirm you can run a 75 in wide blank
                                          in one piece, unspliced
Annual volume: please quote price breaks at 500 / 1,000 / 2,500 / 5,000 pcs per year, per SKU.
Please include in your response:
  1.  Unit price at each volume break, and your $/MSF so the two sizes can be compared on the
      same basis.
  2.  IMPORTANT - both boxes allow only 0.5 in total between the inside and the not-to-exceed
      outside dimensions. On an RSC the outside dimension is the inside plus two board
      thicknesses, so heavy-duty double wall at 0.28-0.31 in caliper would overrun the callout.
      With YOUR actual caliper, can you hold both constraints at once? If not, what do you
      propose to relax, and by how much?
  3.  Board build (liner weights and flute combination), certified ECT, and caliper.
  4.  Minimum order quantity per SKU, and minimum per release against a blanket order.
  5.  Recommended closure at the SKU 2 size - taped, glued or stitched - and whether you can
      stitch at 36 in depth.
  6.  Setup and any tooling charges, broken out separately from unit price.
  7.  Freight to Sterling, VA 20166 as a separate line item, plus boxes per pallet, pallet size,
      and pallets per truck. Both SKUs knock down to oversized flats (SKU 2 is roughly 86 x 75 in
      flat), so we need to compare on landed cost rather than unit price.
  8.  Lead time for first article and for repeat production, and how long the quote holds.
  9.  Certifications held (ISO 9001, FSC or SFI, BRCGS), and whether you have an in-house ISTA
      lab and can certify a BCT figure for each SKU.
 10.  We are open to equivalent alternatives. If a different flute combination, ECT or
      construction meets the same stacking performance for less at our volume, please quote that
      alongside and show the cost delta.
We would also like one physical sample of each SKU before any first production run.
Thank you - happy to answer any questions by phone.
[YOUR NAME]
[TITLE]
[YOUR COMPANY]
[PHONE]  |  [EMAIL]
</t>
        </is>
      </c>
      <c r="B17" s="22" t="n"/>
      <c r="C17" s="23" t="n"/>
    </row>
    <row r="19" ht="20" customHeight="1">
      <c r="A19" s="27" t="inlineStr">
        <is>
          <t>EMAIL - follow-up if no reply in 3-4 days</t>
        </is>
      </c>
      <c r="B19" s="22" t="n"/>
      <c r="C19" s="23" t="n"/>
    </row>
    <row r="20" ht="212.5" customHeight="1">
      <c r="A20" s="28" t="inlineStr">
        <is>
          <t xml:space="preserve">Subject: Following up - RFQ, two 48ECT double-wall RSCs
Hello,
Following up on the RFQ I sent on [DATE] for two heavy-duty double-wall RSCs
(39 x 20 x 32 and 46 x 39 x 36 inside, 500-5,000/yr each).
If it helps narrow things down, the one question that matters most is whether you can run the
larger blank - roughly 171 x 75 in - in one piece. A quick yes or no on that is genuinely
useful even if a full quote takes longer.
Happy to jump on a call if that is easier.
[YOUR NAME]  |  [PHONE]
</t>
        </is>
      </c>
      <c r="B20" s="22" t="n"/>
      <c r="C20" s="23" t="n"/>
    </row>
    <row r="22" ht="20" customHeight="1">
      <c r="A22" s="27" t="inlineStr">
        <is>
          <t>HOW TO RUN THE OUTREACH</t>
        </is>
      </c>
      <c r="B22" s="22" t="n"/>
      <c r="C22" s="23" t="n"/>
    </row>
    <row r="23" ht="60" customHeight="1">
      <c r="A23" s="29" t="inlineStr">
        <is>
          <t>Before you send anything</t>
        </is>
      </c>
      <c r="B23" s="8" t="inlineStr">
        <is>
          <t>Fill in the bracketed placeholders, and decide what you will say about volume. Quoting the full 500-5,000 range invites the top of it to be priced. If you have a realistic first-year number, give that as the committed volume and the rest as an option - you will get a keener price on a firm quantity than on a range.</t>
        </is>
      </c>
      <c r="C23" s="30" t="n"/>
    </row>
    <row r="24" ht="60" customHeight="1">
      <c r="A24" s="29" t="inlineStr">
        <is>
          <t>Attach or don't attach the drawings?</t>
        </is>
      </c>
      <c r="B24" s="8" t="inlineStr">
        <is>
          <t>If you attach the Rev C sheets, ANNOTATE THEM FIRST. Both sheets are titled BRIDGE and dimension a part you are no longer buying; only notes 2, 2.1 and 2.2 apply. Unannotated, you will get bridge pricing back and a confused estimator. Honestly, for two plain RSCs the email body above is a more complete spec than the drawings are - consider sending text only.</t>
        </is>
      </c>
      <c r="C24" s="30" t="n"/>
    </row>
    <row r="25" ht="60" customHeight="1">
      <c r="A25" s="29" t="inlineStr">
        <is>
          <t>Call or email?</t>
        </is>
      </c>
      <c r="B25" s="8" t="inlineStr">
        <is>
          <t>Call the independents (Commercial-Wagner, Atlas, Columbia, Richmond, Atlantic). Small sheet plants respond to a human voice and often quote same-week; an email into a general inbox can sit. Email the larger shops (Green Bay Packaging, PSI, Smurfit Westrock) where a written spec gets routed to an estimator. Where only a web form exists, submit the form AND call.</t>
        </is>
      </c>
      <c r="C25" s="30" t="n"/>
    </row>
    <row r="26" ht="60" customHeight="1">
      <c r="A26" s="29" t="inlineStr">
        <is>
          <t>Sequence them, don't blast them</t>
        </is>
      </c>
      <c r="B26" s="8" t="inlineStr">
        <is>
          <t>Call the top three first and get one real quote in hand before contacting the rest. A single concrete number transforms every later conversation, because you can ask the next shop to beat something specific rather than quote into a vacuum.</t>
        </is>
      </c>
      <c r="C26" s="30" t="n"/>
    </row>
    <row r="27" ht="60" customHeight="1">
      <c r="A27" s="29" t="inlineStr">
        <is>
          <t>What a good quote looks like</t>
        </is>
      </c>
      <c r="B27" s="8" t="inlineStr">
        <is>
          <t>Unit price AND $/MSF, freight separated, ECT certified on a CoC, MOQ stated plainly, and a direct answer on the dimensional conflict. A quote with a single unit price and no $/MSF, no freight line and no caliper answer is not comparable to anything - go back and ask.</t>
        </is>
      </c>
      <c r="C27" s="30" t="n"/>
    </row>
    <row r="28" ht="60" customHeight="1">
      <c r="A28" s="29" t="inlineStr">
        <is>
          <t>The number to beat</t>
        </is>
      </c>
      <c r="B28" s="8" t="inlineStr">
        <is>
          <t>Uline sells a comparable 275 lb test (= 48 ECT) double-wall box at about $370/MSF at 1,000 pcs. That is retail, off the shelf, no minimum. Any converter quoting above that for a custom size at your volume is not trying. See the Cost Model tab.</t>
        </is>
      </c>
      <c r="C28" s="30" t="n"/>
    </row>
  </sheetData>
  <mergeCells count="21">
    <mergeCell ref="B25:C25"/>
    <mergeCell ref="B27:C27"/>
    <mergeCell ref="A2:C2"/>
    <mergeCell ref="A5:C5"/>
    <mergeCell ref="A8:C8"/>
    <mergeCell ref="A14:C14"/>
    <mergeCell ref="A22:C22"/>
    <mergeCell ref="A17:C17"/>
    <mergeCell ref="B23:C23"/>
    <mergeCell ref="A4:C4"/>
    <mergeCell ref="A20:C20"/>
    <mergeCell ref="A10:C10"/>
    <mergeCell ref="A13:C13"/>
    <mergeCell ref="A19:C19"/>
    <mergeCell ref="B28:C28"/>
    <mergeCell ref="B24:C24"/>
    <mergeCell ref="A11:C11"/>
    <mergeCell ref="A1:C1"/>
    <mergeCell ref="B26:C26"/>
    <mergeCell ref="A7:C7"/>
    <mergeCell ref="A16:C1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15"/>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15" customWidth="1" min="2" max="2"/>
    <col width="30" customWidth="1" min="3" max="3"/>
    <col width="28" customWidth="1" min="4" max="4"/>
    <col width="22" customWidth="1" min="5" max="5"/>
    <col width="13" customWidth="1" min="6" max="6"/>
    <col width="7" customWidth="1" min="7" max="7"/>
    <col width="8" customWidth="1" min="8" max="8"/>
    <col width="9" customWidth="1" min="9" max="9"/>
    <col width="11" customWidth="1" min="10" max="10"/>
    <col width="18" customWidth="1" min="11" max="11"/>
    <col width="17" customWidth="1" min="12" max="12"/>
    <col width="24" customWidth="1" min="13" max="13"/>
    <col width="17" customWidth="1" min="14" max="14"/>
    <col width="26" customWidth="1" min="15" max="15"/>
    <col width="30" customWidth="1" min="16" max="16"/>
    <col width="16" customWidth="1" min="17" max="17"/>
    <col width="12" customWidth="1" min="18" max="18"/>
    <col width="16" customWidth="1" min="19" max="19"/>
    <col width="12" customWidth="1" min="20" max="20"/>
    <col width="12" customWidth="1" min="21" max="21"/>
    <col width="12" customWidth="1" min="22" max="22"/>
    <col width="15" customWidth="1" min="23" max="23"/>
    <col width="40" customWidth="1" min="24" max="24"/>
    <col width="62" customWidth="1" min="25" max="25"/>
    <col width="50" customWidth="1" min="26" max="26"/>
  </cols>
  <sheetData>
    <row r="1" ht="22" customHeight="1">
      <c r="A1" s="1" t="inlineStr">
        <is>
          <t>Supplier Detail - the full research record</t>
        </is>
      </c>
    </row>
    <row r="2" ht="40" customHeight="1">
      <c r="A2" s="2" t="inlineStr">
        <is>
          <t>The Call Sheet is what you work from; this is the evidence behind it. Every capability claim traces to the 'Sources' tab, and every contact field to 'Verification Log'. Estimated prices are live formulas off the 'Cost Model' tab.</t>
        </is>
      </c>
    </row>
    <row r="4" ht="58" customHeight="1">
      <c r="A4" s="3" t="inlineStr">
        <is>
          <t>#</t>
        </is>
      </c>
      <c r="B4" s="3" t="inlineStr">
        <is>
          <t>Tier</t>
        </is>
      </c>
      <c r="C4" s="3" t="inlineStr">
        <is>
          <t>Company</t>
        </is>
      </c>
      <c r="D4" s="3" t="inlineStr">
        <is>
          <t>Business model</t>
        </is>
      </c>
      <c r="E4" s="3" t="inlineStr">
        <is>
          <t>Street address</t>
        </is>
      </c>
      <c r="F4" s="3" t="inlineStr">
        <is>
          <t>City</t>
        </is>
      </c>
      <c r="G4" s="3" t="inlineStr">
        <is>
          <t>State</t>
        </is>
      </c>
      <c r="H4" s="3" t="inlineStr">
        <is>
          <t>ZIP</t>
        </is>
      </c>
      <c r="I4" s="3" t="inlineStr">
        <is>
          <t>Miles from IAD</t>
        </is>
      </c>
      <c r="J4" s="3" t="inlineStr">
        <is>
          <t>Drive time</t>
        </is>
      </c>
      <c r="K4" s="3" t="inlineStr">
        <is>
          <t>Phone</t>
        </is>
      </c>
      <c r="L4" s="3" t="inlineStr">
        <is>
          <t>Phone checked?</t>
        </is>
      </c>
      <c r="M4" s="3" t="inlineStr">
        <is>
          <t>Email</t>
        </is>
      </c>
      <c r="N4" s="3" t="inlineStr">
        <is>
          <t>Email checked?</t>
        </is>
      </c>
      <c r="O4" s="3" t="inlineStr">
        <is>
          <t>Website</t>
        </is>
      </c>
      <c r="P4" s="3" t="inlineStr">
        <is>
          <t>Named contacts found</t>
        </is>
      </c>
      <c r="Q4" s="3" t="inlineStr">
        <is>
          <t>Handles 75in blank (SKU 2)</t>
        </is>
      </c>
      <c r="R4" s="3" t="inlineStr">
        <is>
          <t>Est. MOQ</t>
        </is>
      </c>
      <c r="S4" s="3" t="inlineStr">
        <is>
          <t>MOQ reliability</t>
        </is>
      </c>
      <c r="T4" s="3" t="inlineStr">
        <is>
          <t>Est. $/MSF</t>
        </is>
      </c>
      <c r="U4" s="3" t="inlineStr">
        <is>
          <t>Est. $/box SKU 1</t>
        </is>
      </c>
      <c r="V4" s="3" t="inlineStr">
        <is>
          <t>Est. $/box SKU 2</t>
        </is>
      </c>
      <c r="W4" s="3" t="inlineStr">
        <is>
          <t>Price reliability</t>
        </is>
      </c>
      <c r="X4" s="3" t="inlineStr">
        <is>
          <t>Capability facts found</t>
        </is>
      </c>
      <c r="Y4" s="3" t="inlineStr">
        <is>
          <t>Why they fit</t>
        </is>
      </c>
      <c r="Z4" s="3" t="inlineStr">
        <is>
          <t>Watch-outs</t>
        </is>
      </c>
    </row>
    <row r="5" ht="130" customHeight="1">
      <c r="A5" s="31" t="n">
        <v>1</v>
      </c>
      <c r="B5" s="32" t="inlineStr">
        <is>
          <t>A - Call first</t>
        </is>
      </c>
      <c r="C5" s="33" t="inlineStr">
        <is>
          <t>Commercial-Wagner, Inc.</t>
        </is>
      </c>
      <c r="D5" s="8" t="inlineStr">
        <is>
          <t>Independent sheet plant - 17 box-making machines, own truck fleet</t>
        </is>
      </c>
      <c r="E5" s="8" t="inlineStr">
        <is>
          <t>4101 Ashland Ave</t>
        </is>
      </c>
      <c r="F5" s="8" t="inlineStr">
        <is>
          <t>Baltimore</t>
        </is>
      </c>
      <c r="G5" s="8" t="inlineStr">
        <is>
          <t>MD</t>
        </is>
      </c>
      <c r="H5" s="8" t="inlineStr">
        <is>
          <t>21205</t>
        </is>
      </c>
      <c r="I5" s="8" t="n">
        <v>65</v>
      </c>
      <c r="J5" s="8" t="inlineStr">
        <is>
          <t>1 hr 15 min</t>
        </is>
      </c>
      <c r="K5" s="8" t="inlineStr">
        <is>
          <t>(410) 522-0900</t>
        </is>
      </c>
      <c r="L5" s="34" t="inlineStr">
        <is>
          <t>Not yet verified</t>
        </is>
      </c>
      <c r="M5" s="8" t="inlineStr">
        <is>
          <t>none published</t>
        </is>
      </c>
      <c r="N5" s="34" t="inlineStr">
        <is>
          <t>Not yet verified</t>
        </is>
      </c>
      <c r="O5" s="8" t="inlineStr">
        <is>
          <t>commercialwagner.com</t>
        </is>
      </c>
      <c r="P5" s="8" t="inlineStr">
        <is>
          <t>None found</t>
        </is>
      </c>
      <c r="Q5" s="8" t="inlineStr">
        <is>
          <t>Likely - only shop advertising it</t>
        </is>
      </c>
      <c r="R5" s="8" t="inlineStr">
        <is>
          <t>250 - 500</t>
        </is>
      </c>
      <c r="S5" s="35" t="inlineStr">
        <is>
          <t>Inferred (plant class)</t>
        </is>
      </c>
      <c r="T5" s="8" t="inlineStr">
        <is>
          <t>200 - 260</t>
        </is>
      </c>
      <c r="U5" s="36">
        <f>'Cost Model'!$I$6/1000*230.0</f>
        <v>9.904375</v>
      </c>
      <c r="V5" s="36">
        <f>'Cost Model'!$I$7/1000*230.0</f>
        <v>20.5143229167</v>
      </c>
      <c r="W5" s="35" t="inlineStr">
        <is>
          <t>Estimate (modelled)</t>
        </is>
      </c>
      <c r="X5" s="8" t="inlineStr">
        <is>
          <t>See Qualification Matrix</t>
        </is>
      </c>
      <c r="Y5" s="8" t="inlineStr">
        <is>
          <t>Top pick. With the bridge gone the hardest requirement is SIZE: the SKU 2 blank is roughly 171 x 75 in, and Commercial-Wagner is the only shop here that explicitly advertises EXTRA-LARGE boxes plus taped, glued AND stitched construction. Stitching is the normal closure for a heavy-duty double-wall RSC at 46.5 x 39.5 x 36.5 in. 17 box-making machines means two very different SKUs route efficiently. They run their own fleet into Northern Virginia, which matters more than ever given Spec Flag SF-4 - these ship as oversized flats and freight is a top-3 cost driver.</t>
        </is>
      </c>
      <c r="Z5" s="8" t="inlineStr">
        <is>
          <t>No published email - RFQ web portal only, so this one is a phone call. No published certifications. Two sites (production + warehouse/fulfillment) so confirm which ships you.</t>
        </is>
      </c>
    </row>
    <row r="6" ht="130" customHeight="1">
      <c r="A6" s="31" t="n">
        <v>2</v>
      </c>
      <c r="B6" s="32" t="inlineStr">
        <is>
          <t>A - Call first</t>
        </is>
      </c>
      <c r="C6" s="33" t="inlineStr">
        <is>
          <t>Atlas Container Corp.</t>
        </is>
      </c>
      <c r="D6" s="8" t="inlineStr">
        <is>
          <t>Independent converter (ESOP-reported), rotary + flatbed die cutting</t>
        </is>
      </c>
      <c r="E6" s="8" t="inlineStr">
        <is>
          <t>8140 Telegraph Rd</t>
        </is>
      </c>
      <c r="F6" s="8" t="inlineStr">
        <is>
          <t>Severn</t>
        </is>
      </c>
      <c r="G6" s="8" t="inlineStr">
        <is>
          <t>MD</t>
        </is>
      </c>
      <c r="H6" s="8" t="inlineStr">
        <is>
          <t>21144</t>
        </is>
      </c>
      <c r="I6" s="8" t="n">
        <v>62</v>
      </c>
      <c r="J6" s="8" t="inlineStr">
        <is>
          <t>1 hr 15 min</t>
        </is>
      </c>
      <c r="K6" s="8" t="inlineStr">
        <is>
          <t>(410) 551-6300</t>
        </is>
      </c>
      <c r="L6" s="34" t="inlineStr">
        <is>
          <t>Not yet verified</t>
        </is>
      </c>
      <c r="M6" s="8" t="inlineStr">
        <is>
          <t>info@atlascontainer.com</t>
        </is>
      </c>
      <c r="N6" s="34" t="inlineStr">
        <is>
          <t>Not yet verified</t>
        </is>
      </c>
      <c r="O6" s="8" t="inlineStr">
        <is>
          <t>atlascontainer.com</t>
        </is>
      </c>
      <c r="P6" s="8" t="inlineStr">
        <is>
          <t>None found</t>
        </is>
      </c>
      <c r="Q6" s="8" t="inlineStr">
        <is>
          <t>MUST CONFIRM - potential disqualifier</t>
        </is>
      </c>
      <c r="R6" s="8" t="inlineStr">
        <is>
          <t>100</t>
        </is>
      </c>
      <c r="S6" s="37" t="inlineStr">
        <is>
          <t>PUBLISHED on their site</t>
        </is>
      </c>
      <c r="T6" s="8" t="inlineStr">
        <is>
          <t>200 - 260</t>
        </is>
      </c>
      <c r="U6" s="36">
        <f>'Cost Model'!$I$6/1000*230.0</f>
        <v>9.904375</v>
      </c>
      <c r="V6" s="36">
        <f>'Cost Model'!$I$7/1000*230.0</f>
        <v>20.5143229167</v>
      </c>
      <c r="W6" s="35" t="inlineStr">
        <is>
          <t>Estimate (modelled)</t>
        </is>
      </c>
      <c r="X6" s="8" t="inlineStr">
        <is>
          <t>See Qualification Matrix</t>
        </is>
      </c>
      <c r="Y6" s="8" t="inlineStr">
        <is>
          <t>The only supplier here with a PUBLISHED minimum - 'orders as small as 100 Qty' - a genuine advantage at the 500/yr end, and it lets you buy in small frequent releases instead of sitting on a year of inventory. Free custom design and physical samples means a no-cost first article. Founded 1968, easy single-truck run to Dulles.</t>
        </is>
      </c>
      <c r="Z6" s="8" t="inlineStr">
        <is>
          <t>Their advertised strengths were die-cutting-centric and that edge no longer applies. The real question is whether their press and folder-gluer take a 75 in wide blank - ask FIRST, it is potentially disqualifying for SKU 2 even though SKU 1 is comfortable anywhere.</t>
        </is>
      </c>
    </row>
    <row r="7" ht="130" customHeight="1">
      <c r="A7" s="31" t="n">
        <v>3</v>
      </c>
      <c r="B7" s="32" t="inlineStr">
        <is>
          <t>A - Call first</t>
        </is>
      </c>
      <c r="C7" s="33" t="inlineStr">
        <is>
          <t>Green Bay Packaging - Baltimore Division</t>
        </is>
      </c>
      <c r="D7" s="8" t="inlineStr">
        <is>
          <t>Integrated mill-backed converter with in-house corrugator</t>
        </is>
      </c>
      <c r="E7" s="8" t="inlineStr">
        <is>
          <t>11000 Gilroy Rd</t>
        </is>
      </c>
      <c r="F7" s="8" t="inlineStr">
        <is>
          <t>Hunt Valley</t>
        </is>
      </c>
      <c r="G7" s="8" t="inlineStr">
        <is>
          <t>MD</t>
        </is>
      </c>
      <c r="H7" s="8" t="inlineStr">
        <is>
          <t>21031</t>
        </is>
      </c>
      <c r="I7" s="8" t="n">
        <v>72</v>
      </c>
      <c r="J7" s="8" t="inlineStr">
        <is>
          <t>1 hr 20 min</t>
        </is>
      </c>
      <c r="K7" s="8" t="inlineStr">
        <is>
          <t>(410) 785-2233</t>
        </is>
      </c>
      <c r="L7" s="34" t="inlineStr">
        <is>
          <t>Not yet verified</t>
        </is>
      </c>
      <c r="M7" s="8" t="inlineStr">
        <is>
          <t>none published</t>
        </is>
      </c>
      <c r="N7" s="34" t="inlineStr">
        <is>
          <t>Not yet verified</t>
        </is>
      </c>
      <c r="O7" s="8" t="inlineStr">
        <is>
          <t>gbp.com/locations/baltimore</t>
        </is>
      </c>
      <c r="P7" s="8" t="inlineStr">
        <is>
          <t>None found</t>
        </is>
      </c>
      <c r="Q7" s="8" t="inlineStr">
        <is>
          <t>Yes - in-house corrugator</t>
        </is>
      </c>
      <c r="R7" s="8" t="inlineStr">
        <is>
          <t>1,000 - 2,500</t>
        </is>
      </c>
      <c r="S7" s="35" t="inlineStr">
        <is>
          <t>Inferred (mill-backed)</t>
        </is>
      </c>
      <c r="T7" s="8" t="inlineStr">
        <is>
          <t>170 - 220</t>
        </is>
      </c>
      <c r="U7" s="36">
        <f>'Cost Model'!$I$6/1000*195.0</f>
        <v>8.3971875</v>
      </c>
      <c r="V7" s="36">
        <f>'Cost Model'!$I$7/1000*195.0</f>
        <v>17.392578125</v>
      </c>
      <c r="W7" s="35" t="inlineStr">
        <is>
          <t>Estimate (modelled)</t>
        </is>
      </c>
      <c r="X7" s="8" t="inlineStr">
        <is>
          <t>See Qualification Matrix</t>
        </is>
      </c>
      <c r="Y7" s="8" t="inlineStr">
        <is>
          <t>Promoted sharply by the scope change. Without a bridge, this job IS board and stacking strength, and GBP is the only shop in radius that controls both. In-house corrugator (they make the board rather than buy sheets, so a 75 in wide 48ECT double-wall sheet is a scheduling question not a special order), explicit DOUBLE WALL offering, in-house structural design, and an ON-SITE ISTA LABORATORY. BRCGS and SFI certified. For a 46.5 in box that gets stacked on pallets, documented ECT and BCT data is the deliverable that de-risks the programme. Likely the best $/MSF too.</t>
        </is>
      </c>
      <c r="Z7" s="8" t="inlineStr">
        <is>
          <t>Expect MOQ pressure and a push toward an annual contract - that is the trade for the best board price and the test lab. Ask whether they will hold finished goods and release monthly. FSC and ISO not listed (they hold SFI + BRCGS).</t>
        </is>
      </c>
    </row>
    <row r="8" ht="130" customHeight="1">
      <c r="A8" s="31" t="n">
        <v>4</v>
      </c>
      <c r="B8" s="32" t="inlineStr">
        <is>
          <t>A - Call first</t>
        </is>
      </c>
      <c r="C8" s="33" t="inlineStr">
        <is>
          <t>Columbia Container Corp.</t>
        </is>
      </c>
      <c r="D8" s="8" t="inlineStr">
        <is>
          <t>Independent full-service converter, single Baltimore plant, 40+ yrs</t>
        </is>
      </c>
      <c r="E8" s="8" t="inlineStr">
        <is>
          <t>4311 Erdman Ave</t>
        </is>
      </c>
      <c r="F8" s="8" t="inlineStr">
        <is>
          <t>Baltimore</t>
        </is>
      </c>
      <c r="G8" s="8" t="inlineStr">
        <is>
          <t>MD</t>
        </is>
      </c>
      <c r="H8" s="8" t="inlineStr">
        <is>
          <t>21213</t>
        </is>
      </c>
      <c r="I8" s="8" t="n">
        <v>65</v>
      </c>
      <c r="J8" s="8" t="inlineStr">
        <is>
          <t>1 hr 15 min</t>
        </is>
      </c>
      <c r="K8" s="8" t="inlineStr">
        <is>
          <t>(410) 467-1400</t>
        </is>
      </c>
      <c r="L8" s="34" t="inlineStr">
        <is>
          <t>Not yet verified</t>
        </is>
      </c>
      <c r="M8" s="8" t="inlineStr">
        <is>
          <t>quotes@columbiacontainer.net</t>
        </is>
      </c>
      <c r="N8" s="34" t="inlineStr">
        <is>
          <t>Not yet verified</t>
        </is>
      </c>
      <c r="O8" s="8" t="inlineStr">
        <is>
          <t>columbiacontainer.net</t>
        </is>
      </c>
      <c r="P8" s="8" t="inlineStr">
        <is>
          <t>None found</t>
        </is>
      </c>
      <c r="Q8" s="8" t="inlineStr">
        <is>
          <t>MUST CONFIRM</t>
        </is>
      </c>
      <c r="R8" s="8" t="inlineStr">
        <is>
          <t>250 - 500</t>
        </is>
      </c>
      <c r="S8" s="35" t="inlineStr">
        <is>
          <t>Inferred (plant class)</t>
        </is>
      </c>
      <c r="T8" s="8" t="inlineStr">
        <is>
          <t>210 - 270</t>
        </is>
      </c>
      <c r="U8" s="36">
        <f>'Cost Model'!$I$6/1000*240.0</f>
        <v>10.335</v>
      </c>
      <c r="V8" s="36">
        <f>'Cost Model'!$I$7/1000*240.0</f>
        <v>21.40625</v>
      </c>
      <c r="W8" s="35" t="inlineStr">
        <is>
          <t>Estimate (modelled)</t>
        </is>
      </c>
      <c r="X8" s="8" t="inlineStr">
        <is>
          <t>See Qualification Matrix</t>
        </is>
      </c>
      <c r="Y8" s="8" t="inlineStr">
        <is>
          <t>The best partner for the 'equivalent alternative' path you left open. They advertise custom FLUTE AND LINER COMBINATIONS, which is exactly the lever that decides whether you hit 48ECT cheaply, and - per Spec Flag SF-1 - which caliper you land on decides whether the not-to-exceed outside dimensions are achievable at all. Fastest published turnaround here (most orders in 3-5 business days). Their product list includes UN-rated boxes, and a shop doing UN work has the test discipline to certify ECT on a CoC.</t>
        </is>
      </c>
      <c r="Z8" s="8" t="inlineStr">
        <is>
          <t>Single plant = single point of failure; ask about contingency. Confirm max blank width for SKU 2. Certifications not published.</t>
        </is>
      </c>
    </row>
    <row r="9" ht="130" customHeight="1">
      <c r="A9" s="31" t="n">
        <v>5</v>
      </c>
      <c r="B9" s="32" t="inlineStr">
        <is>
          <t>A - Call first</t>
        </is>
      </c>
      <c r="C9" s="33" t="inlineStr">
        <is>
          <t>Packaging Services Industries, Inc. (PSI)</t>
        </is>
      </c>
      <c r="D9" s="8" t="inlineStr">
        <is>
          <t>Integrated regional converter - 3 production plants + 1 dedicated corrugation plant</t>
        </is>
      </c>
      <c r="E9" s="8" t="inlineStr">
        <is>
          <t>16461 Elliott Pkwy</t>
        </is>
      </c>
      <c r="F9" s="8" t="inlineStr">
        <is>
          <t>Williamsport</t>
        </is>
      </c>
      <c r="G9" s="8" t="inlineStr">
        <is>
          <t>MD</t>
        </is>
      </c>
      <c r="H9" s="8" t="inlineStr">
        <is>
          <t>21795</t>
        </is>
      </c>
      <c r="I9" s="8" t="n">
        <v>62</v>
      </c>
      <c r="J9" s="8" t="inlineStr">
        <is>
          <t>1 hr 10 min</t>
        </is>
      </c>
      <c r="K9" s="8" t="inlineStr">
        <is>
          <t>(301) 223-8726</t>
        </is>
      </c>
      <c r="L9" s="34" t="inlineStr">
        <is>
          <t>Not yet verified</t>
        </is>
      </c>
      <c r="M9" s="8" t="inlineStr">
        <is>
          <t>info@psimd.com</t>
        </is>
      </c>
      <c r="N9" s="34" t="inlineStr">
        <is>
          <t>Not yet verified</t>
        </is>
      </c>
      <c r="O9" s="8" t="inlineStr">
        <is>
          <t>psimd.com</t>
        </is>
      </c>
      <c r="P9" s="8" t="inlineStr">
        <is>
          <t>None found</t>
        </is>
      </c>
      <c r="Q9" s="8" t="inlineStr">
        <is>
          <t>Likely - dedicated corrugation plant</t>
        </is>
      </c>
      <c r="R9" s="8" t="inlineStr">
        <is>
          <t>500 - 1,000</t>
        </is>
      </c>
      <c r="S9" s="35" t="inlineStr">
        <is>
          <t>Inferred (multi-plant)</t>
        </is>
      </c>
      <c r="T9" s="8" t="inlineStr">
        <is>
          <t>180 - 240</t>
        </is>
      </c>
      <c r="U9" s="36">
        <f>'Cost Model'!$I$6/1000*210.0</f>
        <v>9.043125</v>
      </c>
      <c r="V9" s="36">
        <f>'Cost Model'!$I$7/1000*210.0</f>
        <v>18.73046875</v>
      </c>
      <c r="W9" s="35" t="inlineStr">
        <is>
          <t>Estimate (modelled)</t>
        </is>
      </c>
      <c r="X9" s="8" t="inlineStr">
        <is>
          <t>See Qualification Matrix</t>
        </is>
      </c>
      <c r="Y9" s="8" t="inlineStr">
        <is>
          <t>Best combination of scale and proximity: 282,000 sq ft HQ, four plants including a dedicated corrugation plant, roughly 40 million sq ft of board per month, and they actively market into Manassas/NoVA. Two specific reasons they matter: they can hold a blanket order and release against it (smoothing 500-5,000/yr without inventory risk), and their engineered-foam capability covers the dunnage question in Spec Flag SF-2 - the boxes have a 6 in clearance envelope all round and nothing fills it.</t>
        </is>
      </c>
      <c r="Z9" s="8" t="inlineStr">
        <is>
          <t>Big-shop minimums are less flexible than Atlas on a 500-piece first run - get the MOQ explicitly. psimd.com returned HTTP 500 during research, so lead with the phone.</t>
        </is>
      </c>
    </row>
    <row r="10" ht="130" customHeight="1">
      <c r="A10" s="31" t="n">
        <v>6</v>
      </c>
      <c r="B10" s="38" t="inlineStr">
        <is>
          <t>B - Board supply</t>
        </is>
      </c>
      <c r="C10" s="33" t="inlineStr">
        <is>
          <t>Keystone Sheets (Buckeye Corrugated / Corrugated Partners Group)</t>
        </is>
      </c>
      <c r="D10" s="8" t="inlineStr">
        <is>
          <t>SHEET FEEDER - sells corrugated sheets, not finished boxes</t>
        </is>
      </c>
      <c r="E10" s="8" t="inlineStr">
        <is>
          <t>1465 Nitterhouse Dr</t>
        </is>
      </c>
      <c r="F10" s="8" t="inlineStr">
        <is>
          <t>Chambersburg</t>
        </is>
      </c>
      <c r="G10" s="8" t="inlineStr">
        <is>
          <t>PA</t>
        </is>
      </c>
      <c r="H10" s="8" t="inlineStr">
        <is>
          <t>17201</t>
        </is>
      </c>
      <c r="I10" s="8" t="n">
        <v>78</v>
      </c>
      <c r="J10" s="8" t="inlineStr">
        <is>
          <t>1 hr 30 min</t>
        </is>
      </c>
      <c r="K10" s="8" t="inlineStr">
        <is>
          <t>(717) 287-1764</t>
        </is>
      </c>
      <c r="L10" s="34" t="inlineStr">
        <is>
          <t>Not yet verified</t>
        </is>
      </c>
      <c r="M10" s="8" t="inlineStr">
        <is>
          <t>none published</t>
        </is>
      </c>
      <c r="N10" s="34" t="inlineStr">
        <is>
          <t>Not yet verified</t>
        </is>
      </c>
      <c r="O10" s="8" t="inlineStr">
        <is>
          <t>keystonesheets.com</t>
        </is>
      </c>
      <c r="P10" s="8" t="inlineStr">
        <is>
          <t>None found</t>
        </is>
      </c>
      <c r="Q10" s="8" t="inlineStr">
        <is>
          <t>Yes - 132 in corrugator</t>
        </is>
      </c>
      <c r="R10" s="8" t="inlineStr">
        <is>
          <t>Skid / bundle minimum</t>
        </is>
      </c>
      <c r="S10" s="35" t="inlineStr">
        <is>
          <t>Inferred (sheet feeder)</t>
        </is>
      </c>
      <c r="T10" s="8" t="inlineStr">
        <is>
          <t>Board only / n/a</t>
        </is>
      </c>
      <c r="U10" s="8" t="n"/>
      <c r="V10" s="8" t="n"/>
      <c r="W10" s="34" t="inlineStr">
        <is>
          <t>n/a - board only</t>
        </is>
      </c>
      <c r="X10" s="8" t="inlineStr">
        <is>
          <t>See Qualification Matrix</t>
        </is>
      </c>
      <c r="Y10" s="8" t="inlineStr">
        <is>
          <t>Strategic leverage, not a direct supplier - DO NOT expect a box price from them. Runs a 132 in BHS corrugator, reportedly the widest in the country capable of triple wall. Your SKU 2 blank needs a 75 in wide sheet in 48ECT double wall, wide enough that some sheet plants will call it a special order and price it accordingly. Naming Keystone as an approved board source in your RFQ removes that excuse. They are also your route to triple wall if Spec Flag SF-3 bites.</t>
        </is>
      </c>
      <c r="Z10" s="8" t="inlineStr">
        <is>
          <t>THEY DO NOT MAKE BOXES - you still need a converter to score, slot and stitch. Founded late 2023 so no long track record as this entity. ECT ranges and certifications not published.</t>
        </is>
      </c>
    </row>
    <row r="11" ht="130" customHeight="1">
      <c r="A11" s="31" t="n">
        <v>7</v>
      </c>
      <c r="B11" s="38" t="inlineStr">
        <is>
          <t>B - Price benchmark</t>
        </is>
      </c>
      <c r="C11" s="33" t="inlineStr">
        <is>
          <t>Smurfit Westrock - Baltimore South Box Plant</t>
        </is>
      </c>
      <c r="D11" s="8" t="inlineStr">
        <is>
          <t>Integrated full-line box plant (global #1 by scale)</t>
        </is>
      </c>
      <c r="E11" s="8" t="inlineStr">
        <is>
          <t>725 Pittman Rd</t>
        </is>
      </c>
      <c r="F11" s="8" t="inlineStr">
        <is>
          <t>Baltimore</t>
        </is>
      </c>
      <c r="G11" s="8" t="inlineStr">
        <is>
          <t>MD</t>
        </is>
      </c>
      <c r="H11" s="8" t="inlineStr">
        <is>
          <t>21226</t>
        </is>
      </c>
      <c r="I11" s="8" t="n">
        <v>62</v>
      </c>
      <c r="J11" s="8" t="inlineStr">
        <is>
          <t>1 hr 15 min</t>
        </is>
      </c>
      <c r="K11" s="8" t="inlineStr">
        <is>
          <t>none published</t>
        </is>
      </c>
      <c r="L11" s="34" t="inlineStr">
        <is>
          <t>Not yet verified</t>
        </is>
      </c>
      <c r="M11" s="8" t="inlineStr">
        <is>
          <t>none published</t>
        </is>
      </c>
      <c r="N11" s="34" t="inlineStr">
        <is>
          <t>Not yet verified</t>
        </is>
      </c>
      <c r="O11" s="8" t="inlineStr">
        <is>
          <t>us.smurfitwestrock.com/locations</t>
        </is>
      </c>
      <c r="P11" s="8" t="inlineStr">
        <is>
          <t>None found</t>
        </is>
      </c>
      <c r="Q11" s="8" t="inlineStr">
        <is>
          <t>Yes</t>
        </is>
      </c>
      <c r="R11" s="8" t="inlineStr">
        <is>
          <t>2,500 - 5,000+</t>
        </is>
      </c>
      <c r="S11" s="35" t="inlineStr">
        <is>
          <t>Inferred (integrated)</t>
        </is>
      </c>
      <c r="T11" s="8" t="inlineStr">
        <is>
          <t>160 - 210</t>
        </is>
      </c>
      <c r="U11" s="36">
        <f>'Cost Model'!$I$6/1000*185.0</f>
        <v>7.9665625</v>
      </c>
      <c r="V11" s="36">
        <f>'Cost Model'!$I$7/1000*185.0</f>
        <v>16.5006510417</v>
      </c>
      <c r="W11" s="35" t="inlineStr">
        <is>
          <t>Estimate (modelled)</t>
        </is>
      </c>
      <c r="X11" s="8" t="inlineStr">
        <is>
          <t>See Qualification Matrix</t>
        </is>
      </c>
      <c r="Y11" s="8" t="inlineStr">
        <is>
          <t>Quote them as your price floor reference. Full-line integrated plant with deep heavy-duty double-wall experience and real package-testing resources. At the 5,000/yr end they become genuinely competitive, and their number keeps the independents honest even if you never place the order.</t>
        </is>
      </c>
      <c r="Z11" s="8" t="inlineStr">
        <is>
          <t>VERIFY THE PLANT IS OPEN BEFORE INVESTING TIME - see the Verification Log tab. Least flexible option at 500/yr; expect long lead times and little interest in a small first run.</t>
        </is>
      </c>
    </row>
    <row r="12" ht="130" customHeight="1">
      <c r="A12" s="31" t="n">
        <v>8</v>
      </c>
      <c r="B12" s="39" t="inlineStr">
        <is>
          <t>C - Prototype only</t>
        </is>
      </c>
      <c r="C12" s="33" t="inlineStr">
        <is>
          <t>Craters &amp; Freighters Northern Virginia</t>
        </is>
      </c>
      <c r="D12" s="8" t="inlineStr">
        <is>
          <t>Local custom container fabricator + crating (not a corrugated plant)</t>
        </is>
      </c>
      <c r="E12" s="8" t="inlineStr">
        <is>
          <t>113 Executive Dr, Ste. 131</t>
        </is>
      </c>
      <c r="F12" s="8" t="inlineStr">
        <is>
          <t>Sterling</t>
        </is>
      </c>
      <c r="G12" s="8" t="inlineStr">
        <is>
          <t>VA</t>
        </is>
      </c>
      <c r="H12" s="8" t="inlineStr">
        <is>
          <t>20166</t>
        </is>
      </c>
      <c r="I12" s="8" t="n">
        <v>4</v>
      </c>
      <c r="J12" s="8" t="inlineStr">
        <is>
          <t>10 min</t>
        </is>
      </c>
      <c r="K12" s="8" t="inlineStr">
        <is>
          <t>(703) 796-0180</t>
        </is>
      </c>
      <c r="L12" s="34" t="inlineStr">
        <is>
          <t>Not yet verified</t>
        </is>
      </c>
      <c r="M12" s="8" t="inlineStr">
        <is>
          <t>none published</t>
        </is>
      </c>
      <c r="N12" s="34" t="inlineStr">
        <is>
          <t>Not yet verified</t>
        </is>
      </c>
      <c r="O12" s="8" t="inlineStr">
        <is>
          <t>cratersandfreightersnorthernvirginia.com</t>
        </is>
      </c>
      <c r="P12" s="8" t="inlineStr">
        <is>
          <t>None found</t>
        </is>
      </c>
      <c r="Q12" s="8" t="inlineStr">
        <is>
          <t>Yes - hand built</t>
        </is>
      </c>
      <c r="R12" s="8" t="inlineStr">
        <is>
          <t>1</t>
        </is>
      </c>
      <c r="S12" s="37" t="inlineStr">
        <is>
          <t>PUBLISHED (one-off model)</t>
        </is>
      </c>
      <c r="T12" s="8" t="inlineStr">
        <is>
          <t>Board only / n/a</t>
        </is>
      </c>
      <c r="U12" s="8" t="n"/>
      <c r="V12" s="8" t="n"/>
      <c r="W12" s="40" t="inlineStr">
        <is>
          <t>Not comparable - hand built</t>
        </is>
      </c>
      <c r="X12" s="8" t="inlineStr">
        <is>
          <t>See Qualification Matrix</t>
        </is>
      </c>
      <c r="Y12" s="8" t="inlineStr">
        <is>
          <t>The only genuine fabricator essentially AT Dulles - about 4 miles from IAD. Builds to a minimum 350 lb double-wall standard, sized per item, with strapping and palletizing. Use for exactly one thing: a same-day physical prototype so you can resolve Spec Flag SF-1 with a real box in your hands before any converter quotes hard numbers. Call them IN PARALLEL with the others, not after.</t>
        </is>
      </c>
      <c r="Z12" s="8" t="inlineStr">
        <is>
          <t>NOT a production source - per-unit cost is roughly an order of magnitude above a converter. 350 lb DW is a basis-weight spec, not an ECT spec, so it does not by itself satisfy 48ECT.</t>
        </is>
      </c>
    </row>
    <row r="13" ht="130" customHeight="1">
      <c r="A13" s="31" t="n">
        <v>9</v>
      </c>
      <c r="B13" s="41" t="inlineStr">
        <is>
          <t>D - Price check</t>
        </is>
      </c>
      <c r="C13" s="33" t="inlineStr">
        <is>
          <t>Atlantic Corrugated Box Company, Inc.</t>
        </is>
      </c>
      <c r="D13" s="8" t="inlineStr">
        <is>
          <t>Independent sheet plant (est. 1985) - packaging + displays</t>
        </is>
      </c>
      <c r="E13" s="8" t="inlineStr">
        <is>
          <t>1701 Ruffin Rd</t>
        </is>
      </c>
      <c r="F13" s="8" t="inlineStr">
        <is>
          <t>Richmond</t>
        </is>
      </c>
      <c r="G13" s="8" t="inlineStr">
        <is>
          <t>VA</t>
        </is>
      </c>
      <c r="H13" s="8" t="inlineStr">
        <is>
          <t>23234</t>
        </is>
      </c>
      <c r="I13" s="8" t="n">
        <v>110</v>
      </c>
      <c r="J13" s="8" t="inlineStr">
        <is>
          <t>2 hr 0 min</t>
        </is>
      </c>
      <c r="K13" s="8" t="inlineStr">
        <is>
          <t>(804) 231-4050</t>
        </is>
      </c>
      <c r="L13" s="34" t="inlineStr">
        <is>
          <t>Not yet verified</t>
        </is>
      </c>
      <c r="M13" s="8" t="inlineStr">
        <is>
          <t>none published</t>
        </is>
      </c>
      <c r="N13" s="34" t="inlineStr">
        <is>
          <t>Not yet verified</t>
        </is>
      </c>
      <c r="O13" s="8" t="inlineStr">
        <is>
          <t>acbc-inc.com</t>
        </is>
      </c>
      <c r="P13" s="8" t="inlineStr">
        <is>
          <t>None found</t>
        </is>
      </c>
      <c r="Q13" s="8" t="inlineStr">
        <is>
          <t>MUST CONFIRM</t>
        </is>
      </c>
      <c r="R13" s="8" t="inlineStr">
        <is>
          <t>250 - 500</t>
        </is>
      </c>
      <c r="S13" s="35" t="inlineStr">
        <is>
          <t>Inferred (plant class)</t>
        </is>
      </c>
      <c r="T13" s="8" t="inlineStr">
        <is>
          <t>210 - 270</t>
        </is>
      </c>
      <c r="U13" s="36">
        <f>'Cost Model'!$I$6/1000*240.0</f>
        <v>10.335</v>
      </c>
      <c r="V13" s="36">
        <f>'Cost Model'!$I$7/1000*240.0</f>
        <v>21.40625</v>
      </c>
      <c r="W13" s="35" t="inlineStr">
        <is>
          <t>Estimate (modelled)</t>
        </is>
      </c>
      <c r="X13" s="8" t="inlineStr">
        <is>
          <t>See Qualification Matrix</t>
        </is>
      </c>
      <c r="Y13" s="8" t="inlineStr">
        <is>
          <t>Strongest of the Richmond cluster and Virginia-based, which matters if in-state sourcing carries weight. Sheet plant with design services, serving medical, food and beverage and tobacco - regulated industries that demand consistent certified board. Adds real price competition against the Baltimore group.</t>
        </is>
      </c>
      <c r="Z13" s="8" t="inlineStr">
        <is>
          <t>About 110 miles, past your stated radius - and freight is a larger share of landed cost on oversized flats than on a normal box, so the distance penalty is real, not nominal. Get freight quoted separately or the comparison is meaningless.</t>
        </is>
      </c>
    </row>
    <row r="14" ht="130" customHeight="1">
      <c r="A14" s="31" t="n">
        <v>10</v>
      </c>
      <c r="B14" s="41" t="inlineStr">
        <is>
          <t>D - Price check</t>
        </is>
      </c>
      <c r="C14" s="33" t="inlineStr">
        <is>
          <t>Richmond Corrugated Box Co., Inc.</t>
        </is>
      </c>
      <c r="D14" s="8" t="inlineStr">
        <is>
          <t>Independent converter, family-run since 1971</t>
        </is>
      </c>
      <c r="E14" s="8" t="inlineStr">
        <is>
          <t>5301 Corrugated Rd</t>
        </is>
      </c>
      <c r="F14" s="8" t="inlineStr">
        <is>
          <t>Sandston</t>
        </is>
      </c>
      <c r="G14" s="8" t="inlineStr">
        <is>
          <t>VA</t>
        </is>
      </c>
      <c r="H14" s="8" t="inlineStr">
        <is>
          <t>23150</t>
        </is>
      </c>
      <c r="I14" s="8" t="n">
        <v>112</v>
      </c>
      <c r="J14" s="8" t="inlineStr">
        <is>
          <t>2 hr 0 min</t>
        </is>
      </c>
      <c r="K14" s="8" t="inlineStr">
        <is>
          <t>(804) 222-1300</t>
        </is>
      </c>
      <c r="L14" s="34" t="inlineStr">
        <is>
          <t>Not yet verified</t>
        </is>
      </c>
      <c r="M14" s="8" t="inlineStr">
        <is>
          <t>none published</t>
        </is>
      </c>
      <c r="N14" s="34" t="inlineStr">
        <is>
          <t>Not yet verified</t>
        </is>
      </c>
      <c r="O14" s="8" t="inlineStr">
        <is>
          <t>richmondcorrugated.com</t>
        </is>
      </c>
      <c r="P14" s="8" t="inlineStr">
        <is>
          <t>None found</t>
        </is>
      </c>
      <c r="Q14" s="8" t="inlineStr">
        <is>
          <t>MUST CONFIRM</t>
        </is>
      </c>
      <c r="R14" s="8" t="inlineStr">
        <is>
          <t>250 - 500</t>
        </is>
      </c>
      <c r="S14" s="40" t="inlineStr">
        <is>
          <t>Guess (no data)</t>
        </is>
      </c>
      <c r="T14" s="8" t="inlineStr">
        <is>
          <t>200 - 280</t>
        </is>
      </c>
      <c r="U14" s="36">
        <f>'Cost Model'!$I$6/1000*240.0</f>
        <v>10.335</v>
      </c>
      <c r="V14" s="36">
        <f>'Cost Model'!$I$7/1000*240.0</f>
        <v>21.40625</v>
      </c>
      <c r="W14" s="40" t="inlineStr">
        <is>
          <t>Low confidence</t>
        </is>
      </c>
      <c r="X14" s="8" t="inlineStr">
        <is>
          <t>See Qualification Matrix</t>
        </is>
      </c>
      <c r="Y14" s="8" t="inlineStr">
        <is>
          <t>Long-established Virginia independent (54+ yrs). Small family converters are often the most accommodating on awkward low-volume work and can surprise you on price because they are not optimising a corrugator schedule around you. Worth one call as a price and flexibility check.</t>
        </is>
      </c>
      <c r="Z14" s="8" t="inlineStr">
        <is>
          <t>Least documented supplier here - almost no published capability data, so both MOQ and price are genuinely guesses. Verify double-wall capability and max blank width on the first call before spending more time.</t>
        </is>
      </c>
    </row>
    <row r="15" ht="130" customHeight="1">
      <c r="A15" s="31" t="n">
        <v>11</v>
      </c>
      <c r="B15" s="41" t="inlineStr">
        <is>
          <t>D - Price check</t>
        </is>
      </c>
      <c r="C15" s="33" t="inlineStr">
        <is>
          <t>Smurfit Westrock - Richmond Box Plant</t>
        </is>
      </c>
      <c r="D15" s="8" t="inlineStr">
        <is>
          <t>Integrated full-line box plant</t>
        </is>
      </c>
      <c r="E15" s="8" t="inlineStr">
        <is>
          <t>5710 S Laburnum Ave</t>
        </is>
      </c>
      <c r="F15" s="8" t="inlineStr">
        <is>
          <t>Richmond</t>
        </is>
      </c>
      <c r="G15" s="8" t="inlineStr">
        <is>
          <t>VA</t>
        </is>
      </c>
      <c r="H15" s="8" t="inlineStr">
        <is>
          <t>23231</t>
        </is>
      </c>
      <c r="I15" s="8" t="n">
        <v>112</v>
      </c>
      <c r="J15" s="8" t="inlineStr">
        <is>
          <t>2 hr 0 min</t>
        </is>
      </c>
      <c r="K15" s="8" t="inlineStr">
        <is>
          <t>none published</t>
        </is>
      </c>
      <c r="L15" s="34" t="inlineStr">
        <is>
          <t>Not yet verified</t>
        </is>
      </c>
      <c r="M15" s="8" t="inlineStr">
        <is>
          <t>none published</t>
        </is>
      </c>
      <c r="N15" s="34" t="inlineStr">
        <is>
          <t>Not yet verified</t>
        </is>
      </c>
      <c r="O15" s="8" t="inlineStr">
        <is>
          <t>us.smurfitwestrock.com/locations</t>
        </is>
      </c>
      <c r="P15" s="8" t="inlineStr">
        <is>
          <t>None found</t>
        </is>
      </c>
      <c r="Q15" s="8" t="inlineStr">
        <is>
          <t>Yes</t>
        </is>
      </c>
      <c r="R15" s="8" t="inlineStr">
        <is>
          <t>2,500 - 5,000+</t>
        </is>
      </c>
      <c r="S15" s="35" t="inlineStr">
        <is>
          <t>Inferred (integrated)</t>
        </is>
      </c>
      <c r="T15" s="8" t="inlineStr">
        <is>
          <t>160 - 210</t>
        </is>
      </c>
      <c r="U15" s="36">
        <f>'Cost Model'!$I$6/1000*185.0</f>
        <v>7.9665625</v>
      </c>
      <c r="V15" s="36">
        <f>'Cost Model'!$I$7/1000*185.0</f>
        <v>16.5006510417</v>
      </c>
      <c r="W15" s="35" t="inlineStr">
        <is>
          <t>Estimate (modelled)</t>
        </is>
      </c>
      <c r="X15" s="8" t="inlineStr">
        <is>
          <t>See Qualification Matrix</t>
        </is>
      </c>
      <c r="Y15" s="8" t="inlineStr">
        <is>
          <t>Second integrated benchmark and the in-Virginia alternative to their Baltimore plant. Useful if Baltimore South turns out to be closed.</t>
        </is>
      </c>
      <c r="Z15" s="8" t="inlineStr">
        <is>
          <t>Same caveats as Baltimore South: low interest at your volume, slow setup, consolidation risk.</t>
        </is>
      </c>
    </row>
  </sheetData>
  <autoFilter ref="A4:Z15"/>
  <mergeCells count="2">
    <mergeCell ref="A1:Z1"/>
    <mergeCell ref="A2:Z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6"/>
  <sheetViews>
    <sheetView showGridLines="0" workbookViewId="0">
      <selection activeCell="A1" sqref="A1"/>
    </sheetView>
  </sheetViews>
  <sheetFormatPr baseColWidth="8" defaultRowHeight="15"/>
  <cols>
    <col width="40" customWidth="1" min="1" max="1"/>
    <col width="14" customWidth="1" min="2" max="2"/>
    <col width="13" customWidth="1" min="3" max="3"/>
    <col width="13" customWidth="1" min="4" max="4"/>
    <col width="15" customWidth="1" min="5" max="5"/>
    <col width="16" customWidth="1" min="6" max="6"/>
    <col width="46" customWidth="1" min="7" max="7"/>
    <col width="15" customWidth="1" min="8" max="8"/>
    <col width="17" customWidth="1" min="9" max="9"/>
    <col width="52" customWidth="1" min="10" max="10"/>
  </cols>
  <sheetData>
    <row r="1" ht="22" customHeight="1">
      <c r="A1" s="1" t="inlineStr">
        <is>
          <t>Cost Model - where the price estimates come from</t>
        </is>
      </c>
    </row>
    <row r="2" ht="50" customHeight="1">
      <c r="A2" s="2" t="inlineStr">
        <is>
          <t>Corrugated is priced per MSF (thousand square feet of board), so unit price tracks blank area almost linearly. This tab computes your blank areas, back-calculates real $/MSF from PUBLISHED prices for 48ECT (and 275 lb test, its burst-basis equivalent) double wall, then applies a converter-direct discount. Blue cells are inputs; everything else is a live formula. Treat outputs as +/- 30% until a supplier quotes.</t>
        </is>
      </c>
    </row>
    <row r="4" ht="20" customHeight="1">
      <c r="A4" s="27" t="inlineStr">
        <is>
          <t>1.  RSC blank geometry - the driver of everything below</t>
        </is>
      </c>
      <c r="B4" s="22" t="n"/>
      <c r="C4" s="22" t="n"/>
      <c r="D4" s="22" t="n"/>
      <c r="E4" s="22" t="n"/>
      <c r="F4" s="22" t="n"/>
      <c r="G4" s="22" t="n"/>
      <c r="H4" s="22" t="n"/>
      <c r="I4" s="22" t="n"/>
      <c r="J4" s="23" t="n"/>
    </row>
    <row r="5" ht="32" customHeight="1">
      <c r="A5" s="3" t="inlineStr">
        <is>
          <t>SKU</t>
        </is>
      </c>
      <c r="B5" s="3" t="inlineStr">
        <is>
          <t>Inside L (in)</t>
        </is>
      </c>
      <c r="C5" s="3" t="inlineStr">
        <is>
          <t>Inside W (in)</t>
        </is>
      </c>
      <c r="D5" s="3" t="inlineStr">
        <is>
          <t>Inside D (in)</t>
        </is>
      </c>
      <c r="E5" s="3" t="inlineStr">
        <is>
          <t>Glue tab (in)</t>
        </is>
      </c>
      <c r="F5" s="3" t="inlineStr">
        <is>
          <t>Blank length (in)</t>
        </is>
      </c>
      <c r="G5" s="3" t="inlineStr">
        <is>
          <t>Blank width (in)</t>
        </is>
      </c>
      <c r="H5" s="3" t="inlineStr">
        <is>
          <t>Blank area (sq in)</t>
        </is>
      </c>
      <c r="I5" s="3" t="inlineStr">
        <is>
          <t>Board sq ft per box</t>
        </is>
      </c>
      <c r="J5" s="3" t="inlineStr">
        <is>
          <t>Knocked-down flat footprint (in)</t>
        </is>
      </c>
    </row>
    <row r="6">
      <c r="A6" s="42" t="inlineStr">
        <is>
          <t>SKU 1  (39 x 20 x 32 ID)</t>
        </is>
      </c>
      <c r="B6" s="43" t="n">
        <v>39</v>
      </c>
      <c r="C6" s="43" t="n">
        <v>20</v>
      </c>
      <c r="D6" s="43" t="n">
        <v>32</v>
      </c>
      <c r="E6" s="44" t="n">
        <v>1.25</v>
      </c>
      <c r="F6" s="45">
        <f>2*(B6+C6)+E6</f>
        <v>119.25</v>
      </c>
      <c r="G6" s="45">
        <f>D6+C6</f>
        <v>52.0</v>
      </c>
      <c r="H6" s="45">
        <f>F6*G6</f>
        <v>6201.0</v>
      </c>
      <c r="I6" s="46">
        <f>H6/144</f>
        <v>43.0625</v>
      </c>
      <c r="J6" s="47" t="str">
        <f>TEXT(B6+C6+E6,"0.0")&amp;" x "&amp;TEXT(D6+C6,"0.0")</f>
        <v>60.2 x 52.0</v>
      </c>
    </row>
    <row r="7">
      <c r="A7" s="42" t="inlineStr">
        <is>
          <t>SKU 2  (46 x 39 x 36 ID)</t>
        </is>
      </c>
      <c r="B7" s="43" t="n">
        <v>46</v>
      </c>
      <c r="C7" s="43" t="n">
        <v>39</v>
      </c>
      <c r="D7" s="43" t="n">
        <v>36</v>
      </c>
      <c r="E7" s="44" t="n">
        <v>1.25</v>
      </c>
      <c r="F7" s="45">
        <f>2*(B7+C7)+E7</f>
        <v>171.25</v>
      </c>
      <c r="G7" s="45">
        <f>D7+C7</f>
        <v>75.0</v>
      </c>
      <c r="H7" s="45">
        <f>F7*G7</f>
        <v>12843.75</v>
      </c>
      <c r="I7" s="46">
        <f>H7/144</f>
        <v>89.1927083333</v>
      </c>
      <c r="J7" s="47" t="str">
        <f>TEXT(B7+C7+E7,"0.0")&amp;" x "&amp;TEXT(D7+C7,"0.0")</f>
        <v>86.2 x 75.0</v>
      </c>
    </row>
    <row r="8" ht="30" customHeight="1">
      <c r="A8" s="2" t="inlineStr">
        <is>
          <t>Blank length = 2 x (L + W) + glue tab.  Blank width = depth + width (top and bottom flaps together equal one box width).  The knocked-down flat footprint is what actually gets palletised - see Spec Flag SF-4: both SKUs overhang a standard 48 x 40 in pallet.</t>
        </is>
      </c>
    </row>
    <row r="10" ht="20" customHeight="1">
      <c r="A10" s="27" t="inlineStr">
        <is>
          <t>2.  Calibration - $/MSF back-calculated from REAL published prices (48ECT DW, or 275 lb test DW which is its equivalent)</t>
        </is>
      </c>
      <c r="B10" s="22" t="n"/>
      <c r="C10" s="22" t="n"/>
      <c r="D10" s="22" t="n"/>
      <c r="E10" s="22" t="n"/>
      <c r="F10" s="22" t="n"/>
      <c r="G10" s="22" t="n"/>
      <c r="H10" s="22" t="n"/>
      <c r="I10" s="22" t="n"/>
      <c r="J10" s="23" t="n"/>
    </row>
    <row r="11" ht="32" customHeight="1">
      <c r="A11" s="3" t="inlineStr">
        <is>
          <t>Source (published price)</t>
        </is>
      </c>
      <c r="B11" s="3" t="inlineStr">
        <is>
          <t>Size L x W x D (in)</t>
        </is>
      </c>
      <c r="C11" s="3" t="inlineStr">
        <is>
          <t>L</t>
        </is>
      </c>
      <c r="D11" s="3" t="inlineStr">
        <is>
          <t>W</t>
        </is>
      </c>
      <c r="E11" s="3" t="inlineStr">
        <is>
          <t>D</t>
        </is>
      </c>
      <c r="F11" s="3" t="inlineStr">
        <is>
          <t>Qty break</t>
        </is>
      </c>
      <c r="G11" s="3" t="inlineStr">
        <is>
          <t>Published $/box</t>
        </is>
      </c>
      <c r="H11" s="3" t="inlineStr">
        <is>
          <t>Blank sq ft (calc)</t>
        </is>
      </c>
      <c r="I11" s="3" t="inlineStr">
        <is>
          <t>Implied $/MSF (calc)</t>
        </is>
      </c>
      <c r="J11" s="3" t="inlineStr">
        <is>
          <t>Note</t>
        </is>
      </c>
    </row>
    <row r="12" ht="32" customHeight="1">
      <c r="A12" s="8" t="inlineStr">
        <is>
          <t>packagingprice.com, 48ECT DW C-flute kraft</t>
        </is>
      </c>
      <c r="B12" s="48" t="inlineStr">
        <is>
          <t>20 x 20 x 12</t>
        </is>
      </c>
      <c r="C12" s="49" t="n">
        <v>20</v>
      </c>
      <c r="D12" s="49" t="n">
        <v>20</v>
      </c>
      <c r="E12" s="49" t="n">
        <v>12</v>
      </c>
      <c r="F12" s="48" t="inlineStr">
        <is>
          <t>bundle of 10</t>
        </is>
      </c>
      <c r="G12" s="50" t="n">
        <v>6.57</v>
      </c>
      <c r="H12" s="46">
        <f>(2*(C12+D12)+1.25)*(E12+D12)/144</f>
        <v>18.0555555556</v>
      </c>
      <c r="I12" s="51">
        <f>G12/H12*1000</f>
        <v>363.8769230769</v>
      </c>
      <c r="J12" s="8" t="inlineStr">
        <is>
          <t>Stated 48 ECT double wall - exactly your spec. Small-bundle retail.</t>
        </is>
      </c>
    </row>
    <row r="13" ht="32" customHeight="1">
      <c r="A13" s="8" t="inlineStr">
        <is>
          <t>packagingprice.com, 48ECT DW C-flute kraft</t>
        </is>
      </c>
      <c r="B13" s="48" t="inlineStr">
        <is>
          <t>24 x 16 x 16</t>
        </is>
      </c>
      <c r="C13" s="49" t="n">
        <v>24</v>
      </c>
      <c r="D13" s="49" t="n">
        <v>16</v>
      </c>
      <c r="E13" s="49" t="n">
        <v>16</v>
      </c>
      <c r="F13" s="48" t="inlineStr">
        <is>
          <t>bundle of 10</t>
        </is>
      </c>
      <c r="G13" s="50" t="n">
        <v>6.57</v>
      </c>
      <c r="H13" s="46">
        <f>(2*(C13+D13)+1.25)*(E13+D13)/144</f>
        <v>18.0555555556</v>
      </c>
      <c r="I13" s="51">
        <f>G13/H13*1000</f>
        <v>363.8769230769</v>
      </c>
      <c r="J13" s="8" t="inlineStr">
        <is>
          <t>Same board area as the row above and the same price - confirms the blank-area method.</t>
        </is>
      </c>
    </row>
    <row r="14" ht="32" customHeight="1">
      <c r="A14" s="8" t="inlineStr">
        <is>
          <t>packagingprice.com, 48ECT DW C-flute kraft</t>
        </is>
      </c>
      <c r="B14" s="48" t="inlineStr">
        <is>
          <t>20 x 12 x 12</t>
        </is>
      </c>
      <c r="C14" s="49" t="n">
        <v>20</v>
      </c>
      <c r="D14" s="49" t="n">
        <v>12</v>
      </c>
      <c r="E14" s="49" t="n">
        <v>12</v>
      </c>
      <c r="F14" s="48" t="inlineStr">
        <is>
          <t>bundle of 15</t>
        </is>
      </c>
      <c r="G14" s="50" t="n">
        <v>4.01</v>
      </c>
      <c r="H14" s="46">
        <f>(2*(C14+D14)+1.25)*(E14+D14)/144</f>
        <v>10.875</v>
      </c>
      <c r="I14" s="51">
        <f>G14/H14*1000</f>
        <v>368.7356321839</v>
      </c>
      <c r="J14" s="8" t="inlineStr">
        <is>
          <t>Third independent check landing on the same $/MSF.</t>
        </is>
      </c>
    </row>
    <row r="15" ht="32" customHeight="1">
      <c r="A15" s="8" t="inlineStr">
        <is>
          <t>Uline S-19776, 275 lb test DW</t>
        </is>
      </c>
      <c r="B15" s="48" t="inlineStr">
        <is>
          <t>40 x 30 x 30</t>
        </is>
      </c>
      <c r="C15" s="49" t="n">
        <v>40</v>
      </c>
      <c r="D15" s="49" t="n">
        <v>30</v>
      </c>
      <c r="E15" s="49" t="n">
        <v>30</v>
      </c>
      <c r="F15" s="48" t="inlineStr">
        <is>
          <t>5</t>
        </is>
      </c>
      <c r="G15" s="50" t="n">
        <v>26.15</v>
      </c>
      <c r="H15" s="46">
        <f>(2*(C15+D15)+1.25)*(E15+D15)/144</f>
        <v>58.8541666667</v>
      </c>
      <c r="I15" s="51">
        <f>G15/H15*1000</f>
        <v>444.3185840708</v>
      </c>
      <c r="J15" s="8" t="inlineStr">
        <is>
          <t>275 lb burst DW = 48 ECT DW on the standard equivalence tables. Nearest published size to your SKUs.</t>
        </is>
      </c>
    </row>
    <row r="16" ht="32" customHeight="1">
      <c r="A16" s="8" t="inlineStr">
        <is>
          <t>Uline S-19776, 275 lb test DW</t>
        </is>
      </c>
      <c r="B16" s="48" t="inlineStr">
        <is>
          <t>40 x 30 x 30</t>
        </is>
      </c>
      <c r="C16" s="49" t="n">
        <v>40</v>
      </c>
      <c r="D16" s="49" t="n">
        <v>30</v>
      </c>
      <c r="E16" s="49" t="n">
        <v>30</v>
      </c>
      <c r="F16" s="48" t="inlineStr">
        <is>
          <t>500</t>
        </is>
      </c>
      <c r="G16" s="50" t="n">
        <v>22.5</v>
      </c>
      <c r="H16" s="46">
        <f>(2*(C16+D16)+1.25)*(E16+D16)/144</f>
        <v>58.8541666667</v>
      </c>
      <c r="I16" s="51">
        <f>G16/H16*1000</f>
        <v>382.3008849558</v>
      </c>
      <c r="J16" s="8" t="inlineStr">
        <is>
          <t>Same box at 500 pcs - shows how little catalogue pricing moves with volume.</t>
        </is>
      </c>
    </row>
    <row r="17" ht="32" customHeight="1">
      <c r="A17" s="8" t="inlineStr">
        <is>
          <t>Uline S-19776, 275 lb test DW</t>
        </is>
      </c>
      <c r="B17" s="48" t="inlineStr">
        <is>
          <t>40 x 30 x 30</t>
        </is>
      </c>
      <c r="C17" s="49" t="n">
        <v>40</v>
      </c>
      <c r="D17" s="49" t="n">
        <v>30</v>
      </c>
      <c r="E17" s="49" t="n">
        <v>30</v>
      </c>
      <c r="F17" s="48" t="inlineStr">
        <is>
          <t>1,000+</t>
        </is>
      </c>
      <c r="G17" s="50" t="n">
        <v>21.79</v>
      </c>
      <c r="H17" s="46">
        <f>(2*(C17+D17)+1.25)*(E17+D17)/144</f>
        <v>58.8541666667</v>
      </c>
      <c r="I17" s="51">
        <f>G17/H17*1000</f>
        <v>370.2371681416</v>
      </c>
      <c r="J17" s="8" t="inlineStr">
        <is>
          <t>Uline's best price. This is your RETAIL CEILING - any converter quote above it is not competitive.</t>
        </is>
      </c>
    </row>
    <row r="18">
      <c r="A18" s="52" t="inlineStr">
        <is>
          <t>Mean implied $/MSF across all published benchmarks (the retail level):</t>
        </is>
      </c>
      <c r="I18" s="53">
        <f>AVERAGE(I12:I17)</f>
        <v>382.2243525843</v>
      </c>
    </row>
    <row r="19" ht="40" customHeight="1">
      <c r="A19" s="2" t="inlineStr">
        <is>
          <t>Every benchmark lands in a tight band, which is the useful result: retail 48ECT double wall prices out around $360-450/MSF. Buying custom sizes direct from a converter at 500-5,000/yr should come in well under that - a distributor's margin on corrugated is commonly 40-100% over converter-direct.</t>
        </is>
      </c>
    </row>
    <row r="21" ht="20" customHeight="1">
      <c r="A21" s="27" t="inlineStr">
        <is>
          <t>3.  Indicative unit price for YOUR two SKUs</t>
        </is>
      </c>
      <c r="B21" s="22" t="n"/>
      <c r="C21" s="22" t="n"/>
      <c r="D21" s="22" t="n"/>
      <c r="E21" s="22" t="n"/>
      <c r="F21" s="22" t="n"/>
      <c r="G21" s="22" t="n"/>
      <c r="H21" s="22" t="n"/>
      <c r="I21" s="22" t="n"/>
      <c r="J21" s="23" t="n"/>
    </row>
    <row r="22" ht="32" customHeight="1">
      <c r="A22" s="3" t="inlineStr">
        <is>
          <t>Scenario</t>
        </is>
      </c>
      <c r="B22" s="3" t="inlineStr">
        <is>
          <t>$/MSF</t>
        </is>
      </c>
      <c r="C22" s="3" t="inlineStr">
        <is>
          <t>SKU 1 $/box</t>
        </is>
      </c>
      <c r="D22" s="3" t="inlineStr">
        <is>
          <t>SKU 2 $/box</t>
        </is>
      </c>
      <c r="E22" s="3" t="inlineStr">
        <is>
          <t>Combined $ per set</t>
        </is>
      </c>
      <c r="F22" s="3" t="inlineStr">
        <is>
          <t>vs retail ceiling</t>
        </is>
      </c>
      <c r="G22" s="3" t="inlineStr">
        <is>
          <t>Who this looks like</t>
        </is>
      </c>
    </row>
    <row r="23" ht="34" customHeight="1">
      <c r="A23" s="8" t="inlineStr">
        <is>
          <t>Retail ceiling (catalogue, do not pay this)</t>
        </is>
      </c>
      <c r="B23" s="54" t="n">
        <v>410</v>
      </c>
      <c r="C23" s="55">
        <f>$I$6/1000*B23</f>
        <v>17.655625</v>
      </c>
      <c r="D23" s="55">
        <f>$I$7/1000*B23</f>
        <v>36.5690104167</v>
      </c>
      <c r="E23" s="55">
        <f>C23+D23</f>
        <v>54.2246354167</v>
      </c>
      <c r="F23" s="56">
        <f>B23/$B$23-1</f>
        <v>0.0</v>
      </c>
      <c r="G23" s="8" t="inlineStr">
        <is>
          <t>Uline / packagingprice.com level - the number to beat.</t>
        </is>
      </c>
    </row>
    <row r="24" ht="34" customHeight="1">
      <c r="A24" s="8" t="inlineStr">
        <is>
          <t>Distributor / broker</t>
        </is>
      </c>
      <c r="B24" s="54" t="n">
        <v>320</v>
      </c>
      <c r="C24" s="55">
        <f>$I$6/1000*B24</f>
        <v>13.78</v>
      </c>
      <c r="D24" s="55">
        <f>$I$7/1000*B24</f>
        <v>28.5416666667</v>
      </c>
      <c r="E24" s="55">
        <f>C24+D24</f>
        <v>42.3216666667</v>
      </c>
      <c r="F24" s="56">
        <f>B24/$B$23-1</f>
        <v>-0.2195121951</v>
      </c>
      <c r="G24" s="8" t="inlineStr">
        <is>
          <t>A packaging distributor reselling a converter's box. Still too high at your volume.</t>
        </is>
      </c>
    </row>
    <row r="25" ht="34" customHeight="1">
      <c r="A25" s="8" t="inlineStr">
        <is>
          <t>Converter direct - conservative</t>
        </is>
      </c>
      <c r="B25" s="54" t="n">
        <v>260</v>
      </c>
      <c r="C25" s="55">
        <f>$I$6/1000*B25</f>
        <v>11.19625</v>
      </c>
      <c r="D25" s="55">
        <f>$I$7/1000*B25</f>
        <v>23.1901041667</v>
      </c>
      <c r="E25" s="55">
        <f>C25+D25</f>
        <v>34.3863541667</v>
      </c>
      <c r="F25" s="56">
        <f>B25/$B$23-1</f>
        <v>-0.3658536585</v>
      </c>
      <c r="G25" s="8" t="inlineStr">
        <is>
          <t>A small independent sheet plant at the 500/yr end, non-stock size, no commitment.</t>
        </is>
      </c>
    </row>
    <row r="26" ht="34" customHeight="1">
      <c r="A26" s="57" t="inlineStr">
        <is>
          <t>Converter direct - expected (USE THIS)</t>
        </is>
      </c>
      <c r="B26" s="54" t="n">
        <v>220</v>
      </c>
      <c r="C26" s="58">
        <f>$I$6/1000*B26</f>
        <v>9.47375</v>
      </c>
      <c r="D26" s="58">
        <f>$I$7/1000*B26</f>
        <v>19.6223958333</v>
      </c>
      <c r="E26" s="58">
        <f>C26+D26</f>
        <v>29.0961458333</v>
      </c>
      <c r="F26" s="59">
        <f>B26/$B$23-1</f>
        <v>-0.4634146341</v>
      </c>
      <c r="G26" s="32" t="inlineStr">
        <is>
          <t>Most likely landing zone: an independent at 1,000-2,500/yr on a blanket order. Basis for the green price cells.</t>
        </is>
      </c>
    </row>
    <row r="27" ht="34" customHeight="1">
      <c r="A27" s="8" t="inlineStr">
        <is>
          <t>Converter direct - aggressive</t>
        </is>
      </c>
      <c r="B27" s="54" t="n">
        <v>180</v>
      </c>
      <c r="C27" s="55">
        <f>$I$6/1000*B27</f>
        <v>7.75125</v>
      </c>
      <c r="D27" s="55">
        <f>$I$7/1000*B27</f>
        <v>16.0546875</v>
      </c>
      <c r="E27" s="55">
        <f>C27+D27</f>
        <v>23.8059375</v>
      </c>
      <c r="F27" s="56">
        <f>B27/$B$23-1</f>
        <v>-0.5609756098</v>
      </c>
      <c r="G27" s="8" t="inlineStr">
        <is>
          <t>Mill-backed (GBP) or integrated (Smurfit Westrock) at 5,000/yr on contract.</t>
        </is>
      </c>
    </row>
    <row r="29" ht="20" customHeight="1">
      <c r="A29" s="27" t="inlineStr">
        <is>
          <t>4.  Indicative annual spend at the expected converter-direct rate (row 26)</t>
        </is>
      </c>
      <c r="B29" s="22" t="n"/>
      <c r="C29" s="22" t="n"/>
      <c r="D29" s="22" t="n"/>
      <c r="E29" s="22" t="n"/>
      <c r="F29" s="22" t="n"/>
      <c r="G29" s="22" t="n"/>
      <c r="H29" s="22" t="n"/>
      <c r="I29" s="22" t="n"/>
      <c r="J29" s="23" t="n"/>
    </row>
    <row r="30" ht="32" customHeight="1">
      <c r="A30" s="3" t="inlineStr">
        <is>
          <t>Annual volume per SKU</t>
        </is>
      </c>
      <c r="B30" s="3" t="inlineStr">
        <is>
          <t>SKU 1 annual $</t>
        </is>
      </c>
      <c r="C30" s="3" t="inlineStr">
        <is>
          <t>SKU 2 annual $</t>
        </is>
      </c>
      <c r="D30" s="3" t="inlineStr">
        <is>
          <t>Combined annual $</t>
        </is>
      </c>
      <c r="E30" s="3" t="inlineStr">
        <is>
          <t>Board sq ft per yr</t>
        </is>
      </c>
      <c r="F30" s="3" t="inlineStr">
        <is>
          <t>Note</t>
        </is>
      </c>
    </row>
    <row r="31" ht="34" customHeight="1">
      <c r="A31" s="60" t="n">
        <v>500</v>
      </c>
      <c r="B31" s="51">
        <f>A31*$C$26</f>
        <v>4736.875</v>
      </c>
      <c r="C31" s="51">
        <f>A31*$D$26</f>
        <v>9811.1979166667</v>
      </c>
      <c r="D31" s="51">
        <f>B31+C31</f>
        <v>14548.0729166667</v>
      </c>
      <c r="E31" s="61">
        <f>A31*($I$6+$I$7)</f>
        <v>66127.6041666667</v>
      </c>
      <c r="F31" s="8" t="inlineStr">
        <is>
          <t>Bottom of your range. Setup weighs heavily per unit; Atlas Container's published 100-piece minimum matters most here.</t>
        </is>
      </c>
    </row>
    <row r="32" ht="34" customHeight="1">
      <c r="A32" s="60" t="n">
        <v>1000</v>
      </c>
      <c r="B32" s="51">
        <f>A32*$C$26</f>
        <v>9473.75</v>
      </c>
      <c r="C32" s="51">
        <f>A32*$D$26</f>
        <v>19622.3958333333</v>
      </c>
      <c r="D32" s="51">
        <f>B32+C32</f>
        <v>29096.1458333333</v>
      </c>
      <c r="E32" s="61">
        <f>A32*($I$6+$I$7)</f>
        <v>132255.2083333333</v>
      </c>
      <c r="F32" s="8" t="inlineStr">
        <is>
          <t>Setup starts to amortise. Independents competitive.</t>
        </is>
      </c>
    </row>
    <row r="33" ht="34" customHeight="1">
      <c r="A33" s="60" t="n">
        <v>2500</v>
      </c>
      <c r="B33" s="51">
        <f>A33*$C$26</f>
        <v>23684.375</v>
      </c>
      <c r="C33" s="51">
        <f>A33*$D$26</f>
        <v>49055.9895833333</v>
      </c>
      <c r="D33" s="51">
        <f>B33+C33</f>
        <v>72740.3645833333</v>
      </c>
      <c r="E33" s="61">
        <f>A33*($I$6+$I$7)</f>
        <v>330638.0208333333</v>
      </c>
      <c r="F33" s="8" t="inlineStr">
        <is>
          <t>Sweet spot for the independents - and where a blanket order with monthly releases pays off.</t>
        </is>
      </c>
    </row>
    <row r="34" ht="34" customHeight="1">
      <c r="A34" s="60" t="n">
        <v>5000</v>
      </c>
      <c r="B34" s="51">
        <f>A34*$C$26</f>
        <v>47368.75</v>
      </c>
      <c r="C34" s="51">
        <f>A34*$D$26</f>
        <v>98111.9791666667</v>
      </c>
      <c r="D34" s="51">
        <f>B34+C34</f>
        <v>145480.7291666667</v>
      </c>
      <c r="E34" s="61">
        <f>A34*($I$6+$I$7)</f>
        <v>661276.0416666666</v>
      </c>
      <c r="F34" s="8" t="inlineStr">
        <is>
          <t>Mill-backed and integrated plants become genuinely competitive; revisit GBP and Smurfit Westrock.</t>
        </is>
      </c>
    </row>
    <row r="36" ht="62" customHeight="1">
      <c r="A36" s="2" t="inlineStr">
        <is>
          <t>EXCLUDED FROM THESE NUMBERS, and each is material: (1) FREIGHT - both SKUs ship as oversized flats that overhang a 48 x 40 in pallet, so freight is a top-3 cost driver, not a rounding error. Always get it quoted as a separate line. (2) SETUP - a plain unprinted RSC usually needs no die, but expect a setup charge per run; ask for it broken out. (3) BOARD PRICE MOVES - PCA announced a $70/ton containerboard increase effective 1 March 2026 with mixed reception, and paper can shift 10-20% in a quarter. Ask how long each quote holds and whether there is an index clause.</t>
        </is>
      </c>
    </row>
  </sheetData>
  <mergeCells count="10">
    <mergeCell ref="A18:H18"/>
    <mergeCell ref="A1:J1"/>
    <mergeCell ref="A36:J36"/>
    <mergeCell ref="A8:J8"/>
    <mergeCell ref="A21:J21"/>
    <mergeCell ref="A29:J29"/>
    <mergeCell ref="A4:J4"/>
    <mergeCell ref="A2:J2"/>
    <mergeCell ref="A10:J10"/>
    <mergeCell ref="A19:J1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4" customWidth="1" min="1" max="1"/>
    <col width="18"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20" customWidth="1" min="18" max="18"/>
    <col width="26" customWidth="1" min="19" max="19"/>
  </cols>
  <sheetData>
    <row r="1" ht="22" customHeight="1">
      <c r="A1" s="1" t="inlineStr">
        <is>
          <t>Qualification Matrix</t>
        </is>
      </c>
    </row>
    <row r="2" ht="44" customHeight="1">
      <c r="A2" s="2" t="inlineStr">
        <is>
          <t>Legend:  C = confirmed on a public source  |  L = likely / industry-typical for this class of plant but NOT stated  |  A = must ASK on the call  |  N = no / not applicable  |  n/a = not relevant.   Nothing marked L or A is a capability until a supplier confirms it. Column G is the one that ends conversations - ask it first.</t>
        </is>
      </c>
    </row>
    <row r="4" ht="104" customHeight="1">
      <c r="A4" s="3" t="inlineStr">
        <is>
          <t>Company</t>
        </is>
      </c>
      <c r="B4" s="3" t="inlineStr">
        <is>
          <t>City, State</t>
        </is>
      </c>
      <c r="C4" s="62" t="inlineStr">
        <is>
          <t>In-house corrugator (vs. buys sheets)</t>
        </is>
      </c>
      <c r="D4" s="62" t="inlineStr">
        <is>
          <t>Double wall / heavy duty confirmed</t>
        </is>
      </c>
      <c r="E4" s="62" t="inlineStr">
        <is>
          <t>48ECT specifically confirmed</t>
        </is>
      </c>
      <c r="F4" s="62" t="inlineStr">
        <is>
          <t>Triple wall available (fallback)</t>
        </is>
      </c>
      <c r="G4" s="62" t="inlineStr">
        <is>
          <t>Takes 75in wide blank (SKU 2)</t>
        </is>
      </c>
      <c r="H4" s="62" t="inlineStr">
        <is>
          <t>Extra-large box experience</t>
        </is>
      </c>
      <c r="I4" s="62" t="inlineStr">
        <is>
          <t>Stitched closure available</t>
        </is>
      </c>
      <c r="J4" s="62" t="inlineStr">
        <is>
          <t>MOQ 500 or below</t>
        </is>
      </c>
      <c r="K4" s="62" t="inlineStr">
        <is>
          <t>Structural design + physical samples</t>
        </is>
      </c>
      <c r="L4" s="62" t="inlineStr">
        <is>
          <t>In-house ISTA / package test lab</t>
        </is>
      </c>
      <c r="M4" s="62" t="inlineStr">
        <is>
          <t>Certifies ECT / BCT on a CoC</t>
        </is>
      </c>
      <c r="N4" s="62" t="inlineStr">
        <is>
          <t>FSC or SFI chain of custody</t>
        </is>
      </c>
      <c r="O4" s="62" t="inlineStr">
        <is>
          <t>ISO 9001 / BRCGS / other QMS</t>
        </is>
      </c>
      <c r="P4" s="62" t="inlineStr">
        <is>
          <t>Own delivery fleet into NoVA</t>
        </is>
      </c>
      <c r="Q4" s="62" t="inlineStr">
        <is>
          <t>Holds stock / blanket releases</t>
        </is>
      </c>
      <c r="R4" s="3" t="inlineStr">
        <is>
          <t>Overall confidence</t>
        </is>
      </c>
      <c r="S4" s="3" t="inlineStr">
        <is>
          <t>Priority</t>
        </is>
      </c>
    </row>
    <row r="5" ht="30" customHeight="1">
      <c r="A5" s="33" t="inlineStr">
        <is>
          <t>Commercial-Wagner, Inc.</t>
        </is>
      </c>
      <c r="B5" s="8" t="inlineStr">
        <is>
          <t>Baltimore, MD</t>
        </is>
      </c>
      <c r="C5" s="63" t="inlineStr">
        <is>
          <t>A</t>
        </is>
      </c>
      <c r="D5" s="64" t="inlineStr">
        <is>
          <t>L</t>
        </is>
      </c>
      <c r="E5" s="63" t="inlineStr">
        <is>
          <t>A</t>
        </is>
      </c>
      <c r="F5" s="64" t="inlineStr">
        <is>
          <t>L</t>
        </is>
      </c>
      <c r="G5" s="64" t="inlineStr">
        <is>
          <t>L</t>
        </is>
      </c>
      <c r="H5" s="65" t="inlineStr">
        <is>
          <t>C</t>
        </is>
      </c>
      <c r="I5" s="65" t="inlineStr">
        <is>
          <t>C</t>
        </is>
      </c>
      <c r="J5" s="64" t="inlineStr">
        <is>
          <t>L</t>
        </is>
      </c>
      <c r="K5" s="63" t="inlineStr">
        <is>
          <t>A</t>
        </is>
      </c>
      <c r="L5" s="63" t="inlineStr">
        <is>
          <t>A</t>
        </is>
      </c>
      <c r="M5" s="63" t="inlineStr">
        <is>
          <t>A</t>
        </is>
      </c>
      <c r="N5" s="63" t="inlineStr">
        <is>
          <t>A</t>
        </is>
      </c>
      <c r="O5" s="63" t="inlineStr">
        <is>
          <t>A</t>
        </is>
      </c>
      <c r="P5" s="65" t="inlineStr">
        <is>
          <t>C</t>
        </is>
      </c>
      <c r="Q5" s="65" t="inlineStr">
        <is>
          <t>C</t>
        </is>
      </c>
      <c r="R5" s="8" t="inlineStr">
        <is>
          <t>Medium</t>
        </is>
      </c>
      <c r="S5" s="8" t="inlineStr">
        <is>
          <t>1 - Call first</t>
        </is>
      </c>
    </row>
    <row r="6" ht="30" customHeight="1">
      <c r="A6" s="33" t="inlineStr">
        <is>
          <t>Atlas Container Corp.</t>
        </is>
      </c>
      <c r="B6" s="8" t="inlineStr">
        <is>
          <t>Severn, MD</t>
        </is>
      </c>
      <c r="C6" s="63" t="inlineStr">
        <is>
          <t>A</t>
        </is>
      </c>
      <c r="D6" s="63" t="inlineStr">
        <is>
          <t>A</t>
        </is>
      </c>
      <c r="E6" s="63" t="inlineStr">
        <is>
          <t>A</t>
        </is>
      </c>
      <c r="F6" s="63" t="inlineStr">
        <is>
          <t>A</t>
        </is>
      </c>
      <c r="G6" s="63" t="inlineStr">
        <is>
          <t>A</t>
        </is>
      </c>
      <c r="H6" s="64" t="inlineStr">
        <is>
          <t>L</t>
        </is>
      </c>
      <c r="I6" s="64" t="inlineStr">
        <is>
          <t>L</t>
        </is>
      </c>
      <c r="J6" s="65" t="inlineStr">
        <is>
          <t>C</t>
        </is>
      </c>
      <c r="K6" s="65" t="inlineStr">
        <is>
          <t>C</t>
        </is>
      </c>
      <c r="L6" s="63" t="inlineStr">
        <is>
          <t>A</t>
        </is>
      </c>
      <c r="M6" s="63" t="inlineStr">
        <is>
          <t>A</t>
        </is>
      </c>
      <c r="N6" s="63" t="inlineStr">
        <is>
          <t>A</t>
        </is>
      </c>
      <c r="O6" s="63" t="inlineStr">
        <is>
          <t>A</t>
        </is>
      </c>
      <c r="P6" s="63" t="inlineStr">
        <is>
          <t>A</t>
        </is>
      </c>
      <c r="Q6" s="64" t="inlineStr">
        <is>
          <t>L</t>
        </is>
      </c>
      <c r="R6" s="8" t="inlineStr">
        <is>
          <t>Medium</t>
        </is>
      </c>
      <c r="S6" s="8" t="inlineStr">
        <is>
          <t>2 - Call first</t>
        </is>
      </c>
    </row>
    <row r="7" ht="30" customHeight="1">
      <c r="A7" s="33" t="inlineStr">
        <is>
          <t>Green Bay Packaging - Baltimore Division</t>
        </is>
      </c>
      <c r="B7" s="8" t="inlineStr">
        <is>
          <t>Hunt Valley, MD</t>
        </is>
      </c>
      <c r="C7" s="65" t="inlineStr">
        <is>
          <t>C</t>
        </is>
      </c>
      <c r="D7" s="65" t="inlineStr">
        <is>
          <t>C</t>
        </is>
      </c>
      <c r="E7" s="63" t="inlineStr">
        <is>
          <t>A</t>
        </is>
      </c>
      <c r="F7" s="64" t="inlineStr">
        <is>
          <t>L</t>
        </is>
      </c>
      <c r="G7" s="65" t="inlineStr">
        <is>
          <t>C</t>
        </is>
      </c>
      <c r="H7" s="64" t="inlineStr">
        <is>
          <t>L</t>
        </is>
      </c>
      <c r="I7" s="64" t="inlineStr">
        <is>
          <t>L</t>
        </is>
      </c>
      <c r="J7" s="66" t="inlineStr">
        <is>
          <t>N</t>
        </is>
      </c>
      <c r="K7" s="65" t="inlineStr">
        <is>
          <t>C</t>
        </is>
      </c>
      <c r="L7" s="65" t="inlineStr">
        <is>
          <t>C</t>
        </is>
      </c>
      <c r="M7" s="65" t="inlineStr">
        <is>
          <t>C</t>
        </is>
      </c>
      <c r="N7" s="64" t="inlineStr">
        <is>
          <t>L</t>
        </is>
      </c>
      <c r="O7" s="65" t="inlineStr">
        <is>
          <t>C</t>
        </is>
      </c>
      <c r="P7" s="64" t="inlineStr">
        <is>
          <t>L</t>
        </is>
      </c>
      <c r="Q7" s="63" t="inlineStr">
        <is>
          <t>A</t>
        </is>
      </c>
      <c r="R7" s="8" t="inlineStr">
        <is>
          <t>High</t>
        </is>
      </c>
      <c r="S7" s="8" t="inlineStr">
        <is>
          <t>3 - Best board + test data</t>
        </is>
      </c>
    </row>
    <row r="8" ht="30" customHeight="1">
      <c r="A8" s="33" t="inlineStr">
        <is>
          <t>Columbia Container Corp.</t>
        </is>
      </c>
      <c r="B8" s="8" t="inlineStr">
        <is>
          <t>Baltimore, MD</t>
        </is>
      </c>
      <c r="C8" s="63" t="inlineStr">
        <is>
          <t>A</t>
        </is>
      </c>
      <c r="D8" s="65" t="inlineStr">
        <is>
          <t>C</t>
        </is>
      </c>
      <c r="E8" s="63" t="inlineStr">
        <is>
          <t>A</t>
        </is>
      </c>
      <c r="F8" s="63" t="inlineStr">
        <is>
          <t>A</t>
        </is>
      </c>
      <c r="G8" s="63" t="inlineStr">
        <is>
          <t>A</t>
        </is>
      </c>
      <c r="H8" s="64" t="inlineStr">
        <is>
          <t>L</t>
        </is>
      </c>
      <c r="I8" s="64" t="inlineStr">
        <is>
          <t>L</t>
        </is>
      </c>
      <c r="J8" s="64" t="inlineStr">
        <is>
          <t>L</t>
        </is>
      </c>
      <c r="K8" s="65" t="inlineStr">
        <is>
          <t>C</t>
        </is>
      </c>
      <c r="L8" s="63" t="inlineStr">
        <is>
          <t>A</t>
        </is>
      </c>
      <c r="M8" s="64" t="inlineStr">
        <is>
          <t>L</t>
        </is>
      </c>
      <c r="N8" s="63" t="inlineStr">
        <is>
          <t>A</t>
        </is>
      </c>
      <c r="O8" s="63" t="inlineStr">
        <is>
          <t>A</t>
        </is>
      </c>
      <c r="P8" s="63" t="inlineStr">
        <is>
          <t>A</t>
        </is>
      </c>
      <c r="Q8" s="63" t="inlineStr">
        <is>
          <t>A</t>
        </is>
      </c>
      <c r="R8" s="8" t="inlineStr">
        <is>
          <t>Medium</t>
        </is>
      </c>
      <c r="S8" s="8" t="inlineStr">
        <is>
          <t>4 - Call first</t>
        </is>
      </c>
    </row>
    <row r="9" ht="30" customHeight="1">
      <c r="A9" s="33" t="inlineStr">
        <is>
          <t>Packaging Services Industries, Inc. (PSI)</t>
        </is>
      </c>
      <c r="B9" s="8" t="inlineStr">
        <is>
          <t>Williamsport, MD</t>
        </is>
      </c>
      <c r="C9" s="65" t="inlineStr">
        <is>
          <t>C</t>
        </is>
      </c>
      <c r="D9" s="64" t="inlineStr">
        <is>
          <t>L</t>
        </is>
      </c>
      <c r="E9" s="63" t="inlineStr">
        <is>
          <t>A</t>
        </is>
      </c>
      <c r="F9" s="63" t="inlineStr">
        <is>
          <t>A</t>
        </is>
      </c>
      <c r="G9" s="64" t="inlineStr">
        <is>
          <t>L</t>
        </is>
      </c>
      <c r="H9" s="64" t="inlineStr">
        <is>
          <t>L</t>
        </is>
      </c>
      <c r="I9" s="64" t="inlineStr">
        <is>
          <t>L</t>
        </is>
      </c>
      <c r="J9" s="63" t="inlineStr">
        <is>
          <t>A</t>
        </is>
      </c>
      <c r="K9" s="65" t="inlineStr">
        <is>
          <t>C</t>
        </is>
      </c>
      <c r="L9" s="63" t="inlineStr">
        <is>
          <t>A</t>
        </is>
      </c>
      <c r="M9" s="63" t="inlineStr">
        <is>
          <t>A</t>
        </is>
      </c>
      <c r="N9" s="63" t="inlineStr">
        <is>
          <t>A</t>
        </is>
      </c>
      <c r="O9" s="63" t="inlineStr">
        <is>
          <t>A</t>
        </is>
      </c>
      <c r="P9" s="65" t="inlineStr">
        <is>
          <t>C</t>
        </is>
      </c>
      <c r="Q9" s="64" t="inlineStr">
        <is>
          <t>L</t>
        </is>
      </c>
      <c r="R9" s="8" t="inlineStr">
        <is>
          <t>Medium</t>
        </is>
      </c>
      <c r="S9" s="8" t="inlineStr">
        <is>
          <t>5 - Call first</t>
        </is>
      </c>
    </row>
    <row r="10" ht="30" customHeight="1">
      <c r="A10" s="33" t="inlineStr">
        <is>
          <t>Keystone Sheets (Buckeye Corrugated / Corrugated Partners Group)</t>
        </is>
      </c>
      <c r="B10" s="8" t="inlineStr">
        <is>
          <t>Chambersburg, PA</t>
        </is>
      </c>
      <c r="C10" s="65" t="inlineStr">
        <is>
          <t>C</t>
        </is>
      </c>
      <c r="D10" s="65" t="inlineStr">
        <is>
          <t>C</t>
        </is>
      </c>
      <c r="E10" s="63" t="inlineStr">
        <is>
          <t>A</t>
        </is>
      </c>
      <c r="F10" s="65" t="inlineStr">
        <is>
          <t>C</t>
        </is>
      </c>
      <c r="G10" s="65" t="inlineStr">
        <is>
          <t>C</t>
        </is>
      </c>
      <c r="H10" s="67" t="inlineStr">
        <is>
          <t>n/a</t>
        </is>
      </c>
      <c r="I10" s="67" t="inlineStr">
        <is>
          <t>n/a</t>
        </is>
      </c>
      <c r="J10" s="67" t="inlineStr">
        <is>
          <t>n/a</t>
        </is>
      </c>
      <c r="K10" s="67" t="inlineStr">
        <is>
          <t>n/a</t>
        </is>
      </c>
      <c r="L10" s="63" t="inlineStr">
        <is>
          <t>A</t>
        </is>
      </c>
      <c r="M10" s="63" t="inlineStr">
        <is>
          <t>A</t>
        </is>
      </c>
      <c r="N10" s="63" t="inlineStr">
        <is>
          <t>A</t>
        </is>
      </c>
      <c r="O10" s="63" t="inlineStr">
        <is>
          <t>A</t>
        </is>
      </c>
      <c r="P10" s="66" t="inlineStr">
        <is>
          <t>N</t>
        </is>
      </c>
      <c r="Q10" s="63" t="inlineStr">
        <is>
          <t>A</t>
        </is>
      </c>
      <c r="R10" s="8" t="inlineStr">
        <is>
          <t>Medium</t>
        </is>
      </c>
      <c r="S10" s="8" t="inlineStr">
        <is>
          <t>6 - Board source only</t>
        </is>
      </c>
    </row>
    <row r="11" ht="30" customHeight="1">
      <c r="A11" s="33" t="inlineStr">
        <is>
          <t>Smurfit Westrock - Baltimore South Box Plant</t>
        </is>
      </c>
      <c r="B11" s="8" t="inlineStr">
        <is>
          <t>Baltimore, MD</t>
        </is>
      </c>
      <c r="C11" s="65" t="inlineStr">
        <is>
          <t>C</t>
        </is>
      </c>
      <c r="D11" s="65" t="inlineStr">
        <is>
          <t>C</t>
        </is>
      </c>
      <c r="E11" s="63" t="inlineStr">
        <is>
          <t>A</t>
        </is>
      </c>
      <c r="F11" s="65" t="inlineStr">
        <is>
          <t>C</t>
        </is>
      </c>
      <c r="G11" s="65" t="inlineStr">
        <is>
          <t>C</t>
        </is>
      </c>
      <c r="H11" s="65" t="inlineStr">
        <is>
          <t>C</t>
        </is>
      </c>
      <c r="I11" s="65" t="inlineStr">
        <is>
          <t>C</t>
        </is>
      </c>
      <c r="J11" s="66" t="inlineStr">
        <is>
          <t>N</t>
        </is>
      </c>
      <c r="K11" s="65" t="inlineStr">
        <is>
          <t>C</t>
        </is>
      </c>
      <c r="L11" s="65" t="inlineStr">
        <is>
          <t>C</t>
        </is>
      </c>
      <c r="M11" s="65" t="inlineStr">
        <is>
          <t>C</t>
        </is>
      </c>
      <c r="N11" s="65" t="inlineStr">
        <is>
          <t>C</t>
        </is>
      </c>
      <c r="O11" s="65" t="inlineStr">
        <is>
          <t>C</t>
        </is>
      </c>
      <c r="P11" s="65" t="inlineStr">
        <is>
          <t>C</t>
        </is>
      </c>
      <c r="Q11" s="65" t="inlineStr">
        <is>
          <t>C</t>
        </is>
      </c>
      <c r="R11" s="8" t="inlineStr">
        <is>
          <t>Low - verify open</t>
        </is>
      </c>
      <c r="S11" s="8" t="inlineStr">
        <is>
          <t>7 - Price floor</t>
        </is>
      </c>
    </row>
    <row r="12" ht="30" customHeight="1">
      <c r="A12" s="33" t="inlineStr">
        <is>
          <t>Craters &amp; Freighters Northern Virginia</t>
        </is>
      </c>
      <c r="B12" s="8" t="inlineStr">
        <is>
          <t>Sterling, VA</t>
        </is>
      </c>
      <c r="C12" s="66" t="inlineStr">
        <is>
          <t>N</t>
        </is>
      </c>
      <c r="D12" s="65" t="inlineStr">
        <is>
          <t>C</t>
        </is>
      </c>
      <c r="E12" s="66" t="inlineStr">
        <is>
          <t>N</t>
        </is>
      </c>
      <c r="F12" s="66" t="inlineStr">
        <is>
          <t>N</t>
        </is>
      </c>
      <c r="G12" s="65" t="inlineStr">
        <is>
          <t>C</t>
        </is>
      </c>
      <c r="H12" s="65" t="inlineStr">
        <is>
          <t>C</t>
        </is>
      </c>
      <c r="I12" s="66" t="inlineStr">
        <is>
          <t>N</t>
        </is>
      </c>
      <c r="J12" s="65" t="inlineStr">
        <is>
          <t>C</t>
        </is>
      </c>
      <c r="K12" s="63" t="inlineStr">
        <is>
          <t>A</t>
        </is>
      </c>
      <c r="L12" s="66" t="inlineStr">
        <is>
          <t>N</t>
        </is>
      </c>
      <c r="M12" s="66" t="inlineStr">
        <is>
          <t>N</t>
        </is>
      </c>
      <c r="N12" s="63" t="inlineStr">
        <is>
          <t>A</t>
        </is>
      </c>
      <c r="O12" s="63" t="inlineStr">
        <is>
          <t>A</t>
        </is>
      </c>
      <c r="P12" s="65" t="inlineStr">
        <is>
          <t>C</t>
        </is>
      </c>
      <c r="Q12" s="66" t="inlineStr">
        <is>
          <t>N</t>
        </is>
      </c>
      <c r="R12" s="8" t="inlineStr">
        <is>
          <t>Medium</t>
        </is>
      </c>
      <c r="S12" s="8" t="inlineStr">
        <is>
          <t>8 - Prototypes only</t>
        </is>
      </c>
    </row>
    <row r="13" ht="30" customHeight="1">
      <c r="A13" s="33" t="inlineStr">
        <is>
          <t>Atlantic Corrugated Box Company, Inc.</t>
        </is>
      </c>
      <c r="B13" s="8" t="inlineStr">
        <is>
          <t>Richmond, VA</t>
        </is>
      </c>
      <c r="C13" s="63" t="inlineStr">
        <is>
          <t>A</t>
        </is>
      </c>
      <c r="D13" s="63" t="inlineStr">
        <is>
          <t>A</t>
        </is>
      </c>
      <c r="E13" s="63" t="inlineStr">
        <is>
          <t>A</t>
        </is>
      </c>
      <c r="F13" s="63" t="inlineStr">
        <is>
          <t>A</t>
        </is>
      </c>
      <c r="G13" s="63" t="inlineStr">
        <is>
          <t>A</t>
        </is>
      </c>
      <c r="H13" s="63" t="inlineStr">
        <is>
          <t>A</t>
        </is>
      </c>
      <c r="I13" s="63" t="inlineStr">
        <is>
          <t>A</t>
        </is>
      </c>
      <c r="J13" s="64" t="inlineStr">
        <is>
          <t>L</t>
        </is>
      </c>
      <c r="K13" s="65" t="inlineStr">
        <is>
          <t>C</t>
        </is>
      </c>
      <c r="L13" s="63" t="inlineStr">
        <is>
          <t>A</t>
        </is>
      </c>
      <c r="M13" s="63" t="inlineStr">
        <is>
          <t>A</t>
        </is>
      </c>
      <c r="N13" s="63" t="inlineStr">
        <is>
          <t>A</t>
        </is>
      </c>
      <c r="O13" s="63" t="inlineStr">
        <is>
          <t>A</t>
        </is>
      </c>
      <c r="P13" s="63" t="inlineStr">
        <is>
          <t>A</t>
        </is>
      </c>
      <c r="Q13" s="63" t="inlineStr">
        <is>
          <t>A</t>
        </is>
      </c>
      <c r="R13" s="8" t="inlineStr">
        <is>
          <t>Low</t>
        </is>
      </c>
      <c r="S13" s="8" t="inlineStr">
        <is>
          <t>9 - Price check</t>
        </is>
      </c>
    </row>
    <row r="14" ht="30" customHeight="1">
      <c r="A14" s="33" t="inlineStr">
        <is>
          <t>Richmond Corrugated Box Co., Inc.</t>
        </is>
      </c>
      <c r="B14" s="8" t="inlineStr">
        <is>
          <t>Sandston, VA</t>
        </is>
      </c>
      <c r="C14" s="63" t="inlineStr">
        <is>
          <t>A</t>
        </is>
      </c>
      <c r="D14" s="63" t="inlineStr">
        <is>
          <t>A</t>
        </is>
      </c>
      <c r="E14" s="63" t="inlineStr">
        <is>
          <t>A</t>
        </is>
      </c>
      <c r="F14" s="63" t="inlineStr">
        <is>
          <t>A</t>
        </is>
      </c>
      <c r="G14" s="63" t="inlineStr">
        <is>
          <t>A</t>
        </is>
      </c>
      <c r="H14" s="63" t="inlineStr">
        <is>
          <t>A</t>
        </is>
      </c>
      <c r="I14" s="63" t="inlineStr">
        <is>
          <t>A</t>
        </is>
      </c>
      <c r="J14" s="63" t="inlineStr">
        <is>
          <t>A</t>
        </is>
      </c>
      <c r="K14" s="63" t="inlineStr">
        <is>
          <t>A</t>
        </is>
      </c>
      <c r="L14" s="63" t="inlineStr">
        <is>
          <t>A</t>
        </is>
      </c>
      <c r="M14" s="63" t="inlineStr">
        <is>
          <t>A</t>
        </is>
      </c>
      <c r="N14" s="63" t="inlineStr">
        <is>
          <t>A</t>
        </is>
      </c>
      <c r="O14" s="63" t="inlineStr">
        <is>
          <t>A</t>
        </is>
      </c>
      <c r="P14" s="63" t="inlineStr">
        <is>
          <t>A</t>
        </is>
      </c>
      <c r="Q14" s="63" t="inlineStr">
        <is>
          <t>A</t>
        </is>
      </c>
      <c r="R14" s="8" t="inlineStr">
        <is>
          <t>Low</t>
        </is>
      </c>
      <c r="S14" s="8" t="inlineStr">
        <is>
          <t>10 - Price check</t>
        </is>
      </c>
    </row>
    <row r="15" ht="30" customHeight="1">
      <c r="A15" s="33" t="inlineStr">
        <is>
          <t>Smurfit Westrock - Richmond Box Plant</t>
        </is>
      </c>
      <c r="B15" s="8" t="inlineStr">
        <is>
          <t>Richmond, VA</t>
        </is>
      </c>
      <c r="C15" s="65" t="inlineStr">
        <is>
          <t>C</t>
        </is>
      </c>
      <c r="D15" s="65" t="inlineStr">
        <is>
          <t>C</t>
        </is>
      </c>
      <c r="E15" s="63" t="inlineStr">
        <is>
          <t>A</t>
        </is>
      </c>
      <c r="F15" s="65" t="inlineStr">
        <is>
          <t>C</t>
        </is>
      </c>
      <c r="G15" s="65" t="inlineStr">
        <is>
          <t>C</t>
        </is>
      </c>
      <c r="H15" s="65" t="inlineStr">
        <is>
          <t>C</t>
        </is>
      </c>
      <c r="I15" s="65" t="inlineStr">
        <is>
          <t>C</t>
        </is>
      </c>
      <c r="J15" s="66" t="inlineStr">
        <is>
          <t>N</t>
        </is>
      </c>
      <c r="K15" s="65" t="inlineStr">
        <is>
          <t>C</t>
        </is>
      </c>
      <c r="L15" s="65" t="inlineStr">
        <is>
          <t>C</t>
        </is>
      </c>
      <c r="M15" s="65" t="inlineStr">
        <is>
          <t>C</t>
        </is>
      </c>
      <c r="N15" s="65" t="inlineStr">
        <is>
          <t>C</t>
        </is>
      </c>
      <c r="O15" s="65" t="inlineStr">
        <is>
          <t>C</t>
        </is>
      </c>
      <c r="P15" s="65" t="inlineStr">
        <is>
          <t>C</t>
        </is>
      </c>
      <c r="Q15" s="65" t="inlineStr">
        <is>
          <t>C</t>
        </is>
      </c>
      <c r="R15" s="8" t="inlineStr">
        <is>
          <t>Low - verify open</t>
        </is>
      </c>
      <c r="S15" s="8" t="inlineStr">
        <is>
          <t>11 - Price check</t>
        </is>
      </c>
    </row>
    <row r="17" ht="40" customHeight="1">
      <c r="A17" s="2" t="inlineStr">
        <is>
          <t>Note how much red there is. Mid-Atlantic sheet plants almost never publish ECT grades, blank widths, MOQs or certifications - that is normal for the industry rather than a signal about these particular shops, but it does mean the phone call, not this spreadsheet, is where suppliers get qualified.</t>
        </is>
      </c>
    </row>
  </sheetData>
  <mergeCells count="3">
    <mergeCell ref="A2:S2"/>
    <mergeCell ref="A1:S1"/>
    <mergeCell ref="A17:S1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
  <sheetViews>
    <sheetView showGridLines="0" workbookViewId="0">
      <pane ySplit="4" topLeftCell="A5" activePane="bottomLeft" state="frozen"/>
      <selection pane="bottomLeft" activeCell="A1" sqref="A1"/>
    </sheetView>
  </sheetViews>
  <sheetFormatPr baseColWidth="8" defaultRowHeight="15"/>
  <cols>
    <col width="8" customWidth="1" min="1" max="1"/>
    <col width="11" customWidth="1" min="2" max="2"/>
    <col width="46" customWidth="1" min="3" max="3"/>
    <col width="74" customWidth="1" min="4" max="4"/>
    <col width="78" customWidth="1" min="5" max="5"/>
  </cols>
  <sheetData>
    <row r="1" ht="22" customHeight="1">
      <c r="A1" s="1" t="inlineStr">
        <is>
          <t>Spec Flags - issues that will affect quoting</t>
        </is>
      </c>
    </row>
    <row r="2" ht="32" customHeight="1">
      <c r="A2" s="2" t="inlineStr">
        <is>
          <t>Boxes only. Raise SF-1 with every supplier (it is question 3 in the RFQ email) - it may decide the award, and it is far cheaper to resolve before tooling than after.</t>
        </is>
      </c>
    </row>
    <row r="4" ht="22" customHeight="1">
      <c r="A4" s="3" t="inlineStr">
        <is>
          <t>Flag</t>
        </is>
      </c>
      <c r="B4" s="3" t="inlineStr">
        <is>
          <t>Severity</t>
        </is>
      </c>
      <c r="C4" s="3" t="inlineStr">
        <is>
          <t>Issue</t>
        </is>
      </c>
      <c r="D4" s="3" t="inlineStr">
        <is>
          <t>What the drawings say</t>
        </is>
      </c>
      <c r="E4" s="3" t="inlineStr">
        <is>
          <t>Recommended action</t>
        </is>
      </c>
    </row>
    <row r="5" ht="138" customHeight="1">
      <c r="A5" s="68" t="inlineStr">
        <is>
          <t>SF-1</t>
        </is>
      </c>
      <c r="B5" s="69" t="inlineStr">
        <is>
          <t>HIGH</t>
        </is>
      </c>
      <c r="C5" s="33" t="inlineStr">
        <is>
          <t>The not-to-exceed outside dimensions conflict with the stated inside dimensions in double wall</t>
        </is>
      </c>
      <c r="D5" s="8" t="inlineStr">
        <is>
          <t>Both boxes allow exactly 0.5 in total between inside and outside (39 -&gt; 39.5, 20 -&gt; 20.5, 32 -&gt; 32.5; and 46 -&gt; 46.5, 39 -&gt; 39.5, 36 -&gt; 36.5). On an RSC the outside dimension is the inside plus TWO board thicknesses. Heavy-duty 48ECT double wall typically runs 0.28-0.31 in caliper, so outside = inside + roughly 0.56-0.62 in. That overruns every not-to-exceed callout by about 0.06-0.12 in. A 0.5 in allowance implies 0.25 in board, which is light double wall, not heavy duty.</t>
        </is>
      </c>
      <c r="E5" s="8" t="inlineStr">
        <is>
          <t>THE MOST IMPORTANT ITEM HERE. Decide which constraint governs. If the max OD is hard - Rev C says it was added for pallet fit - either drop the inside dimensions about 0.1 in each or accept a lighter caliper. If the ID is hard because of the payload, raise the OD callout to inside + 0.65 in. Ask every supplier and COMPARE THEIR CALIPERS; the answers will differ and that difference is a real selection criterion.</t>
        </is>
      </c>
    </row>
    <row r="6" ht="138" customHeight="1">
      <c r="A6" s="68" t="inlineStr">
        <is>
          <t>SF-2</t>
        </is>
      </c>
      <c r="B6" s="70" t="inlineStr">
        <is>
          <t>MEDIUM</t>
        </is>
      </c>
      <c r="C6" s="33" t="inlineStr">
        <is>
          <t>Nothing locates the payload inside a 6 in clearance envelope</t>
        </is>
      </c>
      <c r="D6" s="8" t="inlineStr">
        <is>
          <t>SKU 1: payload 33 x 14 x 26 in inside a 39 x 20 x 32 in box. SKU 2: payload 40 x 33 x 30 in inside 46 x 39 x 36 in. Both leave a deliberate, consistent 6 in of clearance on every axis. The bridge was the only part in the drawing set that occupied any of it.</t>
        </is>
      </c>
      <c r="E6" s="8" t="inlineStr">
        <is>
          <t>Either there is a dunnage or cushioning part not on the drawings that needs specifying and sourcing, or the 6 in envelope is no longer needed and both boxes should shrink. The second option is worth real money: price tracks blank area almost linearly, so a smaller box is cheaper twice over - less board AND less freight. Resolve before committing to 5,000 of anything. PSI has in-house engineered foam if dunnage is required.</t>
        </is>
      </c>
    </row>
    <row r="7" ht="138" customHeight="1">
      <c r="A7" s="68" t="inlineStr">
        <is>
          <t>SF-3</t>
        </is>
      </c>
      <c r="B7" s="70" t="inlineStr">
        <is>
          <t>MEDIUM</t>
        </is>
      </c>
      <c r="C7" s="33" t="inlineStr">
        <is>
          <t>Stacking strength, not edge crush, is the real requirement - and it is unspecified</t>
        </is>
      </c>
      <c r="D7" s="8" t="inlineStr">
        <is>
          <t>The drawings specify 48ECT but say nothing about stack height, pallet pattern, warehouse humidity or storage duration. ECT is a board property; what governs whether a 46.5 x 39.5 x 36.5 in box survives is BCT (box compression), which falls sharply with box size, humidity and time under load. A large box at 48ECT is a very different risk from a small one at the same grade.</t>
        </is>
      </c>
      <c r="E7" s="8" t="inlineStr">
        <is>
          <t>Give suppliers the stack height, pallet pattern and storage environment, and ask them to certify a BCT figure (RFQ item 9). This is the flag most likely to justify Green Bay Packaging's ISTA lab, or a move to triple wall via Keystone Sheets. Getting it wrong shows up as crushed boxes in a warehouse six months after award, not at first article.</t>
        </is>
      </c>
    </row>
    <row r="8" ht="138" customHeight="1">
      <c r="A8" s="68" t="inlineStr">
        <is>
          <t>SF-4</t>
        </is>
      </c>
      <c r="B8" s="70" t="inlineStr">
        <is>
          <t>MEDIUM</t>
        </is>
      </c>
      <c r="C8" s="33" t="inlineStr">
        <is>
          <t>Both boxes ship as oversized flats that overhang a standard pallet - freight is a top-3 cost driver</t>
        </is>
      </c>
      <c r="D8" s="8" t="inlineStr">
        <is>
          <t>Knocked down flat, SKU 1 is roughly 60 x 52 in and SKU 2 roughly 86 x 75 in (calculated on the Cost Model tab). A standard GMA pallet is 48 x 40 in. SKU 2's flat overhangs it on both axes by a wide margin, so it ships on an oversized skid or floor-loaded, and a truck holds far fewer than board area alone suggests.</t>
        </is>
      </c>
      <c r="E8" s="8" t="inlineStr">
        <is>
          <t>This is why Commercial-Wagner's own fleet into Northern Virginia put them at #1, and why the 110-mile Richmond options carry a real rather than nominal penalty. Get freight quoted as a separate line (RFQ item 7), ask for boxes per pallet and pallets per truck, and re-rank on LANDED cost. On low-density freight a cheaper box from further away frequently loses.</t>
        </is>
      </c>
    </row>
    <row r="9" ht="138" customHeight="1">
      <c r="A9" s="68" t="inlineStr">
        <is>
          <t>SF-5</t>
        </is>
      </c>
      <c r="B9" s="71" t="inlineStr">
        <is>
          <t>LOW</t>
        </is>
      </c>
      <c r="C9" s="33" t="inlineStr">
        <is>
          <t>'48ECT' plus 'heavy-duty double wall' is an ambiguous pairing worth pinning down</t>
        </is>
      </c>
      <c r="D9" s="8" t="inlineStr">
        <is>
          <t>48ECT is a legitimate double-wall edge-crush grade, but 'heavy duty' is a marketing term, not a spec. Different shops hit 48ECT with different liner and medium combinations at different cost and different caliper - which feeds straight back into SF-1. Useful reference: 275 lb burst test double wall is the burst-basis equivalent of 48 ECT, which is why Uline's 275 lb boxes are valid price benchmarks on the Cost Model tab.</t>
        </is>
      </c>
      <c r="E9" s="8" t="inlineStr">
        <is>
          <t>Require each supplier to state the actual board build (liner weights and flute combination), certified ECT and caliper. Since you are open to equivalents, ask each to also quote their nearest standard grade - standardising on something a plant already runs is usually the largest single cost lever available.</t>
        </is>
      </c>
    </row>
    <row r="10" ht="138" customHeight="1">
      <c r="A10" s="68" t="inlineStr">
        <is>
          <t>SF-6</t>
        </is>
      </c>
      <c r="B10" s="71" t="inlineStr">
        <is>
          <t>LOW</t>
        </is>
      </c>
      <c r="C10" s="33" t="inlineStr">
        <is>
          <t>The drawing set does not contain a box drawing</t>
        </is>
      </c>
      <c r="D10" s="8" t="inlineStr">
        <is>
          <t>Both sheets are titled BRIDGE and dimension only the bridge panel. The box appears solely as text in notes 2, 2.1 and 2.2. There is no flap detail, no closure method, no print or part-marking spec, and no tolerance block.</t>
        </is>
      </c>
      <c r="E10" s="8" t="inlineStr">
        <is>
          <t>An RSC can be quoted from ID/OD plus board grade, so this is not a blocker - the RFQ email on the 'Outreach Scripts' tab is a more complete spec than the drawings are. But before first article you need a written spec covering closure method, any part marking, and a dimensional tolerance; without a tolerance you have no basis to reject a shipment. And if you attach the drawings, ANNOTATE the bridge views as out of scope or you will get bridge pricing back.</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2" customWidth="1" min="1" max="1"/>
    <col width="20" customWidth="1" min="2" max="2"/>
    <col width="20" customWidth="1" min="3" max="3"/>
    <col width="15" customWidth="1" min="4" max="4"/>
    <col width="26" customWidth="1" min="5" max="5"/>
    <col width="18" customWidth="1" min="6" max="6"/>
    <col width="15" customWidth="1" min="7" max="7"/>
    <col width="44" customWidth="1" min="8" max="8"/>
    <col width="76" customWidth="1" min="9" max="9"/>
  </cols>
  <sheetData>
    <row r="1" ht="22" customHeight="1">
      <c r="A1" s="1" t="inlineStr">
        <is>
          <t>Verification Log - what was checked, and how hard</t>
        </is>
      </c>
    </row>
    <row r="2" ht="54" customHeight="1">
      <c r="A2" s="2" t="inlineStr">
        <is>
          <t>Each supplier's contact record was researched against the company's own website plus independent directories, then handed to a SECOND independent checker instructed to try to REFUTE it - to search the phone number itself, confirm the email appears on a real source rather than being pattern-guessed, and hunt for closure news. UNVERIFIABLE below is an honest answer, not a failure: it means dial with mild suspicion. Verified 26 Aug 2026.</t>
        </is>
      </c>
    </row>
    <row r="4" ht="40" customHeight="1">
      <c r="A4" s="3" t="inlineStr">
        <is>
          <t>Company</t>
        </is>
      </c>
      <c r="B4" s="3" t="inlineStr">
        <is>
          <t>Phone on file</t>
        </is>
      </c>
      <c r="C4" s="3" t="inlineStr">
        <is>
          <t>Phone source grade</t>
        </is>
      </c>
      <c r="D4" s="3" t="inlineStr">
        <is>
          <t>Challenge verdict</t>
        </is>
      </c>
      <c r="E4" s="3" t="inlineStr">
        <is>
          <t>Email on file</t>
        </is>
      </c>
      <c r="F4" s="3" t="inlineStr">
        <is>
          <t>Email source grade</t>
        </is>
      </c>
      <c r="G4" s="3" t="inlineStr">
        <is>
          <t>Email challenge</t>
        </is>
      </c>
      <c r="H4" s="3" t="inlineStr">
        <is>
          <t>Plant operating?</t>
        </is>
      </c>
      <c r="I4" s="3" t="inlineStr">
        <is>
          <t>Discrepancies and notes</t>
        </is>
      </c>
    </row>
    <row r="5" ht="76" customHeight="1">
      <c r="A5" s="33" t="inlineStr">
        <is>
          <t>Commercial-Wagner, Inc.</t>
        </is>
      </c>
      <c r="B5" s="8" t="inlineStr">
        <is>
          <t>(410) 522-0900</t>
        </is>
      </c>
      <c r="C5" s="10" t="inlineStr">
        <is>
          <t>Not yet verified</t>
        </is>
      </c>
      <c r="D5" s="10" t="inlineStr">
        <is>
          <t>Not yet run</t>
        </is>
      </c>
      <c r="E5" s="8" t="inlineStr">
        <is>
          <t>none published</t>
        </is>
      </c>
      <c r="F5" s="10" t="inlineStr">
        <is>
          <t>Not yet verified</t>
        </is>
      </c>
      <c r="G5" s="10" t="inlineStr">
        <is>
          <t>Not yet run</t>
        </is>
      </c>
      <c r="H5" s="72" t="inlineStr">
        <is>
          <t>Not yet verified</t>
        </is>
      </c>
      <c r="I5" s="8" t="inlineStr">
        <is>
          <t>No discrepancies found.</t>
        </is>
      </c>
    </row>
    <row r="6" ht="76" customHeight="1">
      <c r="A6" s="33" t="inlineStr">
        <is>
          <t>Atlas Container Corp.</t>
        </is>
      </c>
      <c r="B6" s="8" t="inlineStr">
        <is>
          <t>(410) 551-6300</t>
        </is>
      </c>
      <c r="C6" s="10" t="inlineStr">
        <is>
          <t>Not yet verified</t>
        </is>
      </c>
      <c r="D6" s="10" t="inlineStr">
        <is>
          <t>Not yet run</t>
        </is>
      </c>
      <c r="E6" s="8" t="inlineStr">
        <is>
          <t>info@atlascontainer.com</t>
        </is>
      </c>
      <c r="F6" s="10" t="inlineStr">
        <is>
          <t>Not yet verified</t>
        </is>
      </c>
      <c r="G6" s="10" t="inlineStr">
        <is>
          <t>Not yet run</t>
        </is>
      </c>
      <c r="H6" s="72" t="inlineStr">
        <is>
          <t>Not yet verified</t>
        </is>
      </c>
      <c r="I6" s="8" t="inlineStr">
        <is>
          <t>No discrepancies found.</t>
        </is>
      </c>
    </row>
    <row r="7" ht="76" customHeight="1">
      <c r="A7" s="33" t="inlineStr">
        <is>
          <t>Green Bay Packaging - Baltimore Division</t>
        </is>
      </c>
      <c r="B7" s="8" t="inlineStr">
        <is>
          <t>(410) 785-2233</t>
        </is>
      </c>
      <c r="C7" s="10" t="inlineStr">
        <is>
          <t>Not yet verified</t>
        </is>
      </c>
      <c r="D7" s="10" t="inlineStr">
        <is>
          <t>Not yet run</t>
        </is>
      </c>
      <c r="E7" s="8" t="inlineStr">
        <is>
          <t>none published</t>
        </is>
      </c>
      <c r="F7" s="10" t="inlineStr">
        <is>
          <t>Not yet verified</t>
        </is>
      </c>
      <c r="G7" s="10" t="inlineStr">
        <is>
          <t>Not yet run</t>
        </is>
      </c>
      <c r="H7" s="72" t="inlineStr">
        <is>
          <t>Not yet verified</t>
        </is>
      </c>
      <c r="I7" s="8" t="inlineStr">
        <is>
          <t>No discrepancies found.</t>
        </is>
      </c>
    </row>
    <row r="8" ht="76" customHeight="1">
      <c r="A8" s="33" t="inlineStr">
        <is>
          <t>Columbia Container Corp.</t>
        </is>
      </c>
      <c r="B8" s="8" t="inlineStr">
        <is>
          <t>(410) 467-1400</t>
        </is>
      </c>
      <c r="C8" s="10" t="inlineStr">
        <is>
          <t>Not yet verified</t>
        </is>
      </c>
      <c r="D8" s="10" t="inlineStr">
        <is>
          <t>Not yet run</t>
        </is>
      </c>
      <c r="E8" s="8" t="inlineStr">
        <is>
          <t>quotes@columbiacontainer.net</t>
        </is>
      </c>
      <c r="F8" s="10" t="inlineStr">
        <is>
          <t>Not yet verified</t>
        </is>
      </c>
      <c r="G8" s="10" t="inlineStr">
        <is>
          <t>Not yet run</t>
        </is>
      </c>
      <c r="H8" s="72" t="inlineStr">
        <is>
          <t>Not yet verified</t>
        </is>
      </c>
      <c r="I8" s="8" t="inlineStr">
        <is>
          <t>No discrepancies found.</t>
        </is>
      </c>
    </row>
    <row r="9" ht="76" customHeight="1">
      <c r="A9" s="33" t="inlineStr">
        <is>
          <t>Packaging Services Industries, Inc. (PSI)</t>
        </is>
      </c>
      <c r="B9" s="8" t="inlineStr">
        <is>
          <t>(301) 223-8726</t>
        </is>
      </c>
      <c r="C9" s="10" t="inlineStr">
        <is>
          <t>Not yet verified</t>
        </is>
      </c>
      <c r="D9" s="10" t="inlineStr">
        <is>
          <t>Not yet run</t>
        </is>
      </c>
      <c r="E9" s="8" t="inlineStr">
        <is>
          <t>info@psimd.com</t>
        </is>
      </c>
      <c r="F9" s="10" t="inlineStr">
        <is>
          <t>Not yet verified</t>
        </is>
      </c>
      <c r="G9" s="10" t="inlineStr">
        <is>
          <t>Not yet run</t>
        </is>
      </c>
      <c r="H9" s="72" t="inlineStr">
        <is>
          <t>Not yet verified</t>
        </is>
      </c>
      <c r="I9" s="8" t="inlineStr">
        <is>
          <t>No discrepancies found.</t>
        </is>
      </c>
    </row>
    <row r="10" ht="76" customHeight="1">
      <c r="A10" s="33" t="inlineStr">
        <is>
          <t>Keystone Sheets (Buckeye Corrugated / Corrugated Partners Group)</t>
        </is>
      </c>
      <c r="B10" s="8" t="inlineStr">
        <is>
          <t>(717) 287-1764</t>
        </is>
      </c>
      <c r="C10" s="10" t="inlineStr">
        <is>
          <t>Not yet verified</t>
        </is>
      </c>
      <c r="D10" s="10" t="inlineStr">
        <is>
          <t>Not yet run</t>
        </is>
      </c>
      <c r="E10" s="8" t="inlineStr">
        <is>
          <t>none published</t>
        </is>
      </c>
      <c r="F10" s="10" t="inlineStr">
        <is>
          <t>Not yet verified</t>
        </is>
      </c>
      <c r="G10" s="10" t="inlineStr">
        <is>
          <t>Not yet run</t>
        </is>
      </c>
      <c r="H10" s="72" t="inlineStr">
        <is>
          <t>Not yet verified</t>
        </is>
      </c>
      <c r="I10" s="8" t="inlineStr">
        <is>
          <t>No discrepancies found.</t>
        </is>
      </c>
    </row>
    <row r="11" ht="76" customHeight="1">
      <c r="A11" s="33" t="inlineStr">
        <is>
          <t>Smurfit Westrock - Baltimore South Box Plant</t>
        </is>
      </c>
      <c r="B11" s="8" t="inlineStr">
        <is>
          <t>none published</t>
        </is>
      </c>
      <c r="C11" s="10" t="inlineStr">
        <is>
          <t>Not yet verified</t>
        </is>
      </c>
      <c r="D11" s="10" t="inlineStr">
        <is>
          <t>Not yet run</t>
        </is>
      </c>
      <c r="E11" s="8" t="inlineStr">
        <is>
          <t>none published</t>
        </is>
      </c>
      <c r="F11" s="10" t="inlineStr">
        <is>
          <t>Not yet verified</t>
        </is>
      </c>
      <c r="G11" s="10" t="inlineStr">
        <is>
          <t>Not yet run</t>
        </is>
      </c>
      <c r="H11" s="72" t="inlineStr">
        <is>
          <t>Not yet verified</t>
        </is>
      </c>
      <c r="I11" s="8" t="inlineStr">
        <is>
          <t>No discrepancies found.</t>
        </is>
      </c>
    </row>
    <row r="12" ht="76" customHeight="1">
      <c r="A12" s="33" t="inlineStr">
        <is>
          <t>Craters &amp; Freighters Northern Virginia</t>
        </is>
      </c>
      <c r="B12" s="8" t="inlineStr">
        <is>
          <t>(703) 796-0180</t>
        </is>
      </c>
      <c r="C12" s="10" t="inlineStr">
        <is>
          <t>Not yet verified</t>
        </is>
      </c>
      <c r="D12" s="10" t="inlineStr">
        <is>
          <t>Not yet run</t>
        </is>
      </c>
      <c r="E12" s="8" t="inlineStr">
        <is>
          <t>none published</t>
        </is>
      </c>
      <c r="F12" s="10" t="inlineStr">
        <is>
          <t>Not yet verified</t>
        </is>
      </c>
      <c r="G12" s="10" t="inlineStr">
        <is>
          <t>Not yet run</t>
        </is>
      </c>
      <c r="H12" s="72" t="inlineStr">
        <is>
          <t>Not yet verified</t>
        </is>
      </c>
      <c r="I12" s="8" t="inlineStr">
        <is>
          <t>No discrepancies found.</t>
        </is>
      </c>
    </row>
    <row r="13" ht="76" customHeight="1">
      <c r="A13" s="33" t="inlineStr">
        <is>
          <t>Atlantic Corrugated Box Company, Inc.</t>
        </is>
      </c>
      <c r="B13" s="8" t="inlineStr">
        <is>
          <t>(804) 231-4050</t>
        </is>
      </c>
      <c r="C13" s="10" t="inlineStr">
        <is>
          <t>Not yet verified</t>
        </is>
      </c>
      <c r="D13" s="10" t="inlineStr">
        <is>
          <t>Not yet run</t>
        </is>
      </c>
      <c r="E13" s="8" t="inlineStr">
        <is>
          <t>none published</t>
        </is>
      </c>
      <c r="F13" s="10" t="inlineStr">
        <is>
          <t>Not yet verified</t>
        </is>
      </c>
      <c r="G13" s="10" t="inlineStr">
        <is>
          <t>Not yet run</t>
        </is>
      </c>
      <c r="H13" s="72" t="inlineStr">
        <is>
          <t>Not yet verified</t>
        </is>
      </c>
      <c r="I13" s="8" t="inlineStr">
        <is>
          <t>No discrepancies found.</t>
        </is>
      </c>
    </row>
    <row r="14" ht="76" customHeight="1">
      <c r="A14" s="33" t="inlineStr">
        <is>
          <t>Richmond Corrugated Box Co., Inc.</t>
        </is>
      </c>
      <c r="B14" s="8" t="inlineStr">
        <is>
          <t>(804) 222-1300</t>
        </is>
      </c>
      <c r="C14" s="10" t="inlineStr">
        <is>
          <t>Not yet verified</t>
        </is>
      </c>
      <c r="D14" s="10" t="inlineStr">
        <is>
          <t>Not yet run</t>
        </is>
      </c>
      <c r="E14" s="8" t="inlineStr">
        <is>
          <t>none published</t>
        </is>
      </c>
      <c r="F14" s="10" t="inlineStr">
        <is>
          <t>Not yet verified</t>
        </is>
      </c>
      <c r="G14" s="10" t="inlineStr">
        <is>
          <t>Not yet run</t>
        </is>
      </c>
      <c r="H14" s="72" t="inlineStr">
        <is>
          <t>Not yet verified</t>
        </is>
      </c>
      <c r="I14" s="8" t="inlineStr">
        <is>
          <t>No discrepancies found.</t>
        </is>
      </c>
    </row>
    <row r="15" ht="76" customHeight="1">
      <c r="A15" s="33" t="inlineStr">
        <is>
          <t>Smurfit Westrock - Richmond Box Plant</t>
        </is>
      </c>
      <c r="B15" s="8" t="inlineStr">
        <is>
          <t>none published</t>
        </is>
      </c>
      <c r="C15" s="10" t="inlineStr">
        <is>
          <t>Not yet verified</t>
        </is>
      </c>
      <c r="D15" s="10" t="inlineStr">
        <is>
          <t>Not yet run</t>
        </is>
      </c>
      <c r="E15" s="8" t="inlineStr">
        <is>
          <t>none published</t>
        </is>
      </c>
      <c r="F15" s="10" t="inlineStr">
        <is>
          <t>Not yet verified</t>
        </is>
      </c>
      <c r="G15" s="10" t="inlineStr">
        <is>
          <t>Not yet run</t>
        </is>
      </c>
      <c r="H15" s="72" t="inlineStr">
        <is>
          <t>Not yet verified</t>
        </is>
      </c>
      <c r="I15" s="8" t="inlineStr">
        <is>
          <t>No discrepancies found.</t>
        </is>
      </c>
    </row>
  </sheetData>
  <mergeCells count="2">
    <mergeCell ref="A1:I1"/>
    <mergeCell ref="A2:I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0"/>
  <sheetViews>
    <sheetView showGridLines="0" workbookViewId="0">
      <pane ySplit="4" topLeftCell="A5" activePane="bottomLeft" state="frozen"/>
      <selection pane="bottomLeft" activeCell="A1" sqref="A1"/>
    </sheetView>
  </sheetViews>
  <sheetFormatPr baseColWidth="8" defaultRowHeight="15"/>
  <cols>
    <col width="36" customWidth="1" min="1" max="1"/>
    <col width="46" customWidth="1" min="2" max="2"/>
    <col width="108" customWidth="1" min="3" max="3"/>
  </cols>
  <sheetData>
    <row r="1" ht="22" customHeight="1">
      <c r="A1" s="1" t="inlineStr">
        <is>
          <t>Sources and method</t>
        </is>
      </c>
    </row>
    <row r="2" ht="34" customHeight="1">
      <c r="A2" s="2" t="inlineStr">
        <is>
          <t>Capability, MOQ and price provenance. Contact-detail provenance is on the 'Verification Log' tab. All of this is public marketing, directory or catalogue data - none of it is a supplier commitment.</t>
        </is>
      </c>
    </row>
    <row r="4" ht="22" customHeight="1">
      <c r="A4" s="3" t="inlineStr">
        <is>
          <t>Supplier / topic</t>
        </is>
      </c>
      <c r="B4" s="3" t="inlineStr">
        <is>
          <t>Source</t>
        </is>
      </c>
      <c r="C4" s="3" t="inlineStr">
        <is>
          <t>What was taken from it</t>
        </is>
      </c>
    </row>
    <row r="5" ht="84" customHeight="1">
      <c r="A5" s="73" t="inlineStr">
        <is>
          <t>MOQ data - reliability</t>
        </is>
      </c>
      <c r="B5" s="39" t="inlineStr">
        <is>
          <t>Supplier websites + industry norms</t>
        </is>
      </c>
      <c r="C5" s="39" t="inlineStr">
        <is>
          <t>Only TWO MOQs here are published by the supplier: Atlas Container's 'orders as small as 100 Qty' and Craters &amp; Freighters' one-off model. Every other MOQ is INFERRED from plant class (small independent sheet plant 250-500; multi-plant regional 500-1,000; mill-backed 1,000-2,500; integrated 2,500+), and Richmond Corrugated is a straight guess because no capability data exists publicly. Mid-Atlantic sheet plants essentially never publish minimums. Treat every non-green MOQ as a hypothesis to test on the call.</t>
        </is>
      </c>
    </row>
    <row r="6" ht="84" customHeight="1">
      <c r="A6" s="73" t="inlineStr">
        <is>
          <t>Price data - method</t>
        </is>
      </c>
      <c r="B6" s="39" t="inlineStr">
        <is>
          <t>Cost Model tab; Uline; packagingprice.com</t>
        </is>
      </c>
      <c r="C6" s="39" t="inlineStr">
        <is>
          <t>No supplier here publishes prices, so prices are MODELLED, not found. Method: compute RSC blank area from the given inside dimensions; back-calculate $/MSF from real published prices for 48ECT double wall (packagingprice.com, three sizes, all landing within $5/MSF of each other - which validates the method) and 275 lb test double wall (Uline S-19776, five quantity breaks, $26.15 down to $21.79); then discount for converter-direct purchasing. 275 lb burst DW is the equivalent of 48 ECT DW on the standard tables, which is what makes the Uline series a valid comparator. Outputs are +/- 30%.</t>
        </is>
      </c>
    </row>
    <row r="7" ht="84" customHeight="1">
      <c r="A7" s="73" t="inlineStr">
        <is>
          <t>Price data - market context</t>
        </is>
      </c>
      <c r="B7" s="39" t="inlineStr">
        <is>
          <t>CorrugatedNews containerboard guide; Green Markets Box Report; corrugatedboxsuppliers.com cost guide</t>
        </is>
      </c>
      <c r="C7" s="39" t="inlineStr">
        <is>
          <t>PCA announced a $70/ton containerboard increase effective 1 March 2026, with mixed reception and flat demand. Box shipments closed 2025 down 1.5-2.0% year on year, ~1.6% growth forecast 2026-27. Corrugated pricing can move 10-20% in a quarter. A soft demand market is a good time to be buying - and a reason to ask how long each quote holds.</t>
        </is>
      </c>
    </row>
    <row r="8" ht="84" customHeight="1">
      <c r="A8" s="33" t="inlineStr">
        <is>
          <t>Commercial-Wagner</t>
        </is>
      </c>
      <c r="B8" s="8" t="inlineStr">
        <is>
          <t>commercialwagner.com; Thomasnet; directory listings</t>
        </is>
      </c>
      <c r="C8" s="8" t="inlineStr">
        <is>
          <t>17 box-making machines, rotary and flatbed die cutting, EXTRA-LARGE boxes, taped/glued/stitched construction, hand assembly and fulfillment, own fleet serving Northern Virginia, two sites. The extra-large and stitched claims are why they rank first.</t>
        </is>
      </c>
    </row>
    <row r="9" ht="84" customHeight="1">
      <c r="A9" s="33" t="inlineStr">
        <is>
          <t>Atlas Container</t>
        </is>
      </c>
      <c r="B9" s="8" t="inlineStr">
        <is>
          <t>atlascontainer.com and /central-pa-packaging-solutions</t>
        </is>
      </c>
      <c r="C9" s="8" t="inlineStr">
        <is>
          <t>Founded 1968, rotary + flatbed die cutting, 'orders as small as 100 Qty' - the only published MOQ on this list - free custom designs and samples, named regional rep, service region.</t>
        </is>
      </c>
    </row>
    <row r="10" ht="84" customHeight="1">
      <c r="A10" s="33" t="inlineStr">
        <is>
          <t>Green Bay Packaging - Baltimore</t>
        </is>
      </c>
      <c r="B10" s="8" t="inlineStr">
        <is>
          <t>gbp.com/locations/baltimore</t>
        </is>
      </c>
      <c r="C10" s="8" t="inlineStr">
        <is>
          <t>IN-HOUSE CORRUGATOR, B/C/E flute plus explicit double wall for heavy products and long-distance shipping, in-house graphic and structural design, ON-SITE ISTA LAB, BRCGS and SFI certifications, MD/DE/PA/NJ/VA/WV.</t>
        </is>
      </c>
    </row>
    <row r="11" ht="84" customHeight="1">
      <c r="A11" s="33" t="inlineStr">
        <is>
          <t>Columbia Container</t>
        </is>
      </c>
      <c r="B11" s="8" t="inlineStr">
        <is>
          <t>columbiacontainer.net</t>
        </is>
      </c>
      <c r="C11" s="8" t="inlineStr">
        <is>
          <t>40+ years, DE/MD/PA/VA/DC region, 3-5 business day turnaround claim, custom flute and liner combinations, die cut / Gaylord / UN-rated / anti-static product list.</t>
        </is>
      </c>
    </row>
    <row r="12" ht="84" customHeight="1">
      <c r="A12" s="33" t="inlineStr">
        <is>
          <t>Packaging Services Industries (PSI)</t>
        </is>
      </c>
      <c r="B12" s="8" t="inlineStr">
        <is>
          <t>psimd.com; Buzzfile; Facebook business listing</t>
        </is>
      </c>
      <c r="C12" s="8" t="inlineStr">
        <is>
          <t>282,000 sq ft HQ, three production facilities plus one dedicated corrugation plant, ~40 million sq ft board/month, engineered foam and displays, Manassas VA marketing page. psimd.com returned HTTP 500 during research - lead with the phone.</t>
        </is>
      </c>
    </row>
    <row r="13" ht="84" customHeight="1">
      <c r="A13" s="33" t="inlineStr">
        <is>
          <t>Keystone Sheets</t>
        </is>
      </c>
      <c r="B13" s="8" t="inlineStr">
        <is>
          <t>keystonesheets.com; bcipkg.com; cpgteam.com</t>
        </is>
      </c>
      <c r="C13" s="8" t="inlineStr">
        <is>
          <t>132 in BHS corrugator described as the widest in the country capable of triple wall, single/double/triple wall SHEETS only, next-day delivery, founded late 2023, parent Corrugated Partners Group / Buckeye Corrugated with 16 plants. Relevant for 75 in wide double-wall sheet supply and as the triple-wall fallback for SF-3.</t>
        </is>
      </c>
    </row>
    <row r="14" ht="84" customHeight="1">
      <c r="A14" s="33" t="inlineStr">
        <is>
          <t>Smurfit Westrock</t>
        </is>
      </c>
      <c r="B14" s="8" t="inlineStr">
        <is>
          <t>westrock.com/locations; us.smurfitwestrock.com/locations; Packaging Dive and Manufacturing Dive closure reporting</t>
        </is>
      </c>
      <c r="C14" s="8" t="inlineStr">
        <is>
          <t>Baltimore South (725 Pittman Rd, 21226) and Richmond (5710 S Laburnum Ave, 23231) box plant addresses. Operating status was independently re-checked - see the Verification Log tab for the verdict.</t>
        </is>
      </c>
    </row>
    <row r="15" ht="84" customHeight="1">
      <c r="A15" s="33" t="inlineStr">
        <is>
          <t>Craters &amp; Freighters Northern Virginia</t>
        </is>
      </c>
      <c r="B15" s="8" t="inlineStr">
        <is>
          <t>cratersandfreightersnorthernvirginia.com</t>
        </is>
      </c>
      <c r="C15" s="8" t="inlineStr">
        <is>
          <t>113 Executive Dr Ste 131, Sterling VA 20166; minimum 350 lb double-wall corrugated fiberboard standard; custom-sized containers; strapping, banding, palletizing.</t>
        </is>
      </c>
    </row>
    <row r="16" ht="84" customHeight="1">
      <c r="A16" s="33" t="inlineStr">
        <is>
          <t>Atlantic Corrugated Box Co.</t>
        </is>
      </c>
      <c r="B16" s="8" t="inlineStr">
        <is>
          <t>acbc-inc.com; directory listings</t>
        </is>
      </c>
      <c r="C16" s="8" t="inlineStr">
        <is>
          <t>Established 1985, sheet plant, packaging and display products, design services, industries served.</t>
        </is>
      </c>
    </row>
    <row r="17" ht="84" customHeight="1">
      <c r="A17" s="33" t="inlineStr">
        <is>
          <t>Richmond Corrugated Box Co.</t>
        </is>
      </c>
      <c r="B17" s="8" t="inlineStr">
        <is>
          <t>Yellow Pages, BBB, Blue Book Services, CMac listings</t>
        </is>
      </c>
      <c r="C17" s="8" t="inlineStr">
        <is>
          <t>Started 1971. No manufacturer-published capability data found - the lowest-confidence entry, and the only one whose MOQ and price are flagged as guesses.</t>
        </is>
      </c>
    </row>
    <row r="18" ht="84" customHeight="1">
      <c r="A18" s="33" t="inlineStr">
        <is>
          <t>PCA Richmond (excluded)</t>
        </is>
      </c>
      <c r="B18" s="8" t="inlineStr">
        <is>
          <t>packagingcorp.com; closure reporting</t>
        </is>
      </c>
      <c r="C18" s="8" t="inlineStr">
        <is>
          <t>2000 Richmond Hwy full-line plant serving VA/MD/southeastern PA/eastern NC. PCA announced permanent closure. Listed as excluded so it is not re-sourced from a stale directory.</t>
        </is>
      </c>
    </row>
    <row r="19" ht="84" customHeight="1">
      <c r="A19" s="33" t="inlineStr">
        <is>
          <t>Method - why local search results mislead</t>
        </is>
      </c>
      <c r="B19" s="8" t="inlineStr">
        <is>
          <t>-</t>
        </is>
      </c>
      <c r="C19" s="8" t="inlineStr">
        <is>
          <t>Searches for 'corrugated boxes Sterling/Ashburn/Dulles VA' return almost entirely SEO reseller and offshore broker sites. All were excluded: none holds a converting asset in Virginia, none can certify 48ECT DW board, and none can support first-article approval on a 46.5 in double-wall box. The real converting capacity nearest Dulles sits in the Baltimore-Hagerstown-Chambersburg arc, roughly 60-80 miles out.</t>
        </is>
      </c>
    </row>
    <row r="20" ht="84" customHeight="1">
      <c r="A20" s="33" t="inlineStr">
        <is>
          <t>Limitation - the honest answer on 'near Dulles'</t>
        </is>
      </c>
      <c r="B20" s="8" t="inlineStr">
        <is>
          <t>-</t>
        </is>
      </c>
      <c r="C20" s="8" t="inlineStr">
        <is>
          <t>There is no corrugated converting plant in Loudoun County. The closest genuine fabricator to IAD is Craters &amp; Freighters in Sterling at about 4 miles, and it is a one-off crating shop, not a production converter. If 'near Dulles' is a hard requirement rather than a preference, 60 miles to Severn, Baltimore or Williamsport is as close as real production capacity gets - and given SF-4, proximity is worth paying for on this job.</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2026-08-26T14:53:19Z</dcterms:created>
  <dcterms:modified xsi:type="dcterms:W3CDTF">2026-08-26T14:53:20Z</dcterms:modified>
</cp:coreProperties>
</file>