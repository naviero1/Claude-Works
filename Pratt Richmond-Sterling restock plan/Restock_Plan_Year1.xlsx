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-1 Schedule" sheetId="1" state="visible" r:id="rId1"/>
    <sheet name="Cadence &amp; Triggers" sheetId="2" state="visible" r:id="rId2"/>
    <sheet name="Quote &amp; Assumptions" sheetId="3" state="visible" r:id="rId3"/>
    <sheet name="Costs" sheetId="4" state="visible" r:id="rId4"/>
  </sheets>
  <definedNames>
    <definedName name="_xlnm._FilterDatabase" localSheetId="0" hidden="1">'Year-1 Schedule'!$A$4:$I$40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color rgb="00202823"/>
      <sz val="14"/>
    </font>
    <font>
      <i val="1"/>
      <color rgb="005D6963"/>
      <sz val="10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2E7A4E"/>
      </patternFill>
    </fill>
    <fill>
      <patternFill patternType="solid">
        <fgColor rgb="00E9F2EC"/>
      </patternFill>
    </fill>
    <fill>
      <patternFill patternType="solid">
        <fgColor rgb="00F7EFE0"/>
      </patternFill>
    </fill>
  </fills>
  <borders count="2">
    <border>
      <left/>
      <right/>
      <top/>
      <bottom/>
      <diagonal/>
    </border>
    <border>
      <bottom style="thin">
        <color rgb="00D9DE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right"/>
    </xf>
    <xf numFmtId="0" fontId="4" fillId="3" borderId="1" pivotButton="0" quotePrefix="0" xfId="0"/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8" customWidth="1" min="3" max="3"/>
    <col width="8" customWidth="1" min="4" max="4"/>
    <col width="8" customWidth="1" min="5" max="5"/>
    <col width="13" customWidth="1" min="6" max="6"/>
    <col width="15" customWidth="1" min="7" max="7"/>
    <col width="15" customWidth="1" min="8" max="8"/>
    <col width="52" customWidth="1" min="9" max="9"/>
  </cols>
  <sheetData>
    <row r="1">
      <c r="A1" s="1" t="inlineStr">
        <is>
          <t>Pratt Richmond → KWE Sterling — Year-1 Restock Schedule</t>
        </is>
      </c>
    </row>
    <row r="2">
      <c r="A2" s="2" t="inlineStr">
        <is>
          <t>Every PO and delivery, Jul 2026 – Jul 2027, from the validated daily inventory simulation (100 boxes/month usage). Highlighted rows = Pratt MOQ POs / go-live.</t>
        </is>
      </c>
    </row>
    <row r="3"/>
    <row r="4">
      <c r="A4" s="3" t="inlineStr">
        <is>
          <t>Date</t>
        </is>
      </c>
      <c r="B4" s="3" t="inlineStr">
        <is>
          <t>Event</t>
        </is>
      </c>
      <c r="C4" s="3" t="inlineStr">
        <is>
          <t>Part A</t>
        </is>
      </c>
      <c r="D4" s="3" t="inlineStr">
        <is>
          <t>Part B</t>
        </is>
      </c>
      <c r="E4" s="3" t="inlineStr">
        <is>
          <t>Boxes</t>
        </is>
      </c>
      <c r="F4" s="3" t="inlineStr">
        <is>
          <t>Pallets to KWE</t>
        </is>
      </c>
      <c r="G4" s="3" t="inlineStr">
        <is>
          <t>Richmond A after</t>
        </is>
      </c>
      <c r="H4" s="3" t="inlineStr">
        <is>
          <t>Richmond B after</t>
        </is>
      </c>
      <c r="I4" s="3" t="inlineStr">
        <is>
          <t>Notes</t>
        </is>
      </c>
    </row>
    <row r="5">
      <c r="A5" s="4" t="inlineStr">
        <is>
          <t>2026-07-08</t>
        </is>
      </c>
      <c r="B5" s="4" t="inlineStr">
        <is>
          <t>Pratt PO-1 placed</t>
        </is>
      </c>
      <c r="C5" s="5" t="n">
        <v>500</v>
      </c>
      <c r="D5" s="5" t="n">
        <v>450</v>
      </c>
      <c r="E5" s="5" t="n">
        <v>175</v>
      </c>
      <c r="F5" s="5" t="n"/>
      <c r="G5" s="5" t="n"/>
      <c r="H5" s="5" t="n"/>
      <c r="I5" s="4" t="inlineStr">
        <is>
          <t>MOQ 15 plt held in Richmond + first box order; in stock 2026-07-22</t>
        </is>
      </c>
    </row>
    <row r="6">
      <c r="A6" s="4" t="inlineStr">
        <is>
          <t>2026-07-22</t>
        </is>
      </c>
      <c r="B6" s="4" t="inlineStr">
        <is>
          <t>Go-live delivery to KWE</t>
        </is>
      </c>
      <c r="C6" s="5" t="n">
        <v>100</v>
      </c>
      <c r="D6" s="5" t="n">
        <v>90</v>
      </c>
      <c r="E6" s="5" t="n">
        <v>175</v>
      </c>
      <c r="F6" s="5" t="n">
        <v>5</v>
      </c>
      <c r="G6" s="5" t="n">
        <v>400</v>
      </c>
      <c r="H6" s="5" t="n">
        <v>360</v>
      </c>
      <c r="I6" s="4" t="inlineStr">
        <is>
          <t>2 plt A + 1 plt B + 2 plt boxes</t>
        </is>
      </c>
    </row>
    <row r="7">
      <c r="A7" s="6" t="inlineStr">
        <is>
          <t>2026-08-19</t>
        </is>
      </c>
      <c r="B7" s="6" t="inlineStr">
        <is>
          <t>Truck delivery to KWE</t>
        </is>
      </c>
      <c r="C7" s="7" t="n">
        <v>50</v>
      </c>
      <c r="D7" s="7" t="n">
        <v>90</v>
      </c>
      <c r="E7" s="7" t="n"/>
      <c r="F7" s="7" t="n">
        <v>2</v>
      </c>
      <c r="G7" s="7" t="n">
        <v>350</v>
      </c>
      <c r="H7" s="7" t="n">
        <v>270</v>
      </c>
      <c r="I7" s="6" t="n"/>
    </row>
    <row r="8">
      <c r="A8" s="6" t="inlineStr">
        <is>
          <t>2026-08-19</t>
        </is>
      </c>
      <c r="B8" s="6" t="inlineStr">
        <is>
          <t>Box PO placed</t>
        </is>
      </c>
      <c r="C8" s="7" t="n"/>
      <c r="D8" s="7" t="n"/>
      <c r="E8" s="7" t="n">
        <v>175</v>
      </c>
      <c r="F8" s="7" t="n"/>
      <c r="G8" s="7" t="n"/>
      <c r="H8" s="7" t="n"/>
      <c r="I8" s="6" t="inlineStr">
        <is>
          <t>2-week lead; arrives on truck 2026-09-02</t>
        </is>
      </c>
    </row>
    <row r="9">
      <c r="A9" s="6" t="inlineStr">
        <is>
          <t>2026-09-02</t>
        </is>
      </c>
      <c r="B9" s="6" t="inlineStr">
        <is>
          <t>Truck delivery to KWE</t>
        </is>
      </c>
      <c r="C9" s="7" t="n">
        <v>50</v>
      </c>
      <c r="D9" s="7" t="n">
        <v>90</v>
      </c>
      <c r="E9" s="7" t="n">
        <v>175</v>
      </c>
      <c r="F9" s="7" t="n">
        <v>4</v>
      </c>
      <c r="G9" s="7" t="n">
        <v>300</v>
      </c>
      <c r="H9" s="7" t="n">
        <v>180</v>
      </c>
      <c r="I9" s="6" t="n"/>
    </row>
    <row r="10">
      <c r="A10" s="4" t="inlineStr">
        <is>
          <t>2026-09-02</t>
        </is>
      </c>
      <c r="B10" s="4" t="inlineStr">
        <is>
          <t>Pratt PO-2 placed</t>
        </is>
      </c>
      <c r="C10" s="5" t="n">
        <v>450</v>
      </c>
      <c r="D10" s="5" t="n">
        <v>540</v>
      </c>
      <c r="E10" s="5" t="n"/>
      <c r="F10" s="5" t="n"/>
      <c r="G10" s="5" t="n"/>
      <c r="H10" s="5" t="n"/>
      <c r="I10" s="4" t="inlineStr">
        <is>
          <t>MOQ 15 plt for Richmond hold; in stock 2026-09-30</t>
        </is>
      </c>
    </row>
    <row r="11">
      <c r="A11" s="6" t="inlineStr">
        <is>
          <t>2026-09-16</t>
        </is>
      </c>
      <c r="B11" s="6" t="inlineStr">
        <is>
          <t>Truck delivery to KWE</t>
        </is>
      </c>
      <c r="C11" s="7" t="n">
        <v>50</v>
      </c>
      <c r="D11" s="7" t="n"/>
      <c r="E11" s="7" t="n"/>
      <c r="F11" s="7" t="n">
        <v>1</v>
      </c>
      <c r="G11" s="7" t="n">
        <v>250</v>
      </c>
      <c r="H11" s="7" t="n">
        <v>180</v>
      </c>
      <c r="I11" s="6" t="n"/>
    </row>
    <row r="12">
      <c r="A12" s="6" t="inlineStr">
        <is>
          <t>2026-09-30</t>
        </is>
      </c>
      <c r="B12" s="6" t="inlineStr">
        <is>
          <t>Truck delivery to KWE</t>
        </is>
      </c>
      <c r="C12" s="7" t="n">
        <v>50</v>
      </c>
      <c r="D12" s="7" t="n">
        <v>90</v>
      </c>
      <c r="E12" s="7" t="n"/>
      <c r="F12" s="7" t="n">
        <v>2</v>
      </c>
      <c r="G12" s="7" t="n">
        <v>650</v>
      </c>
      <c r="H12" s="7" t="n">
        <v>630</v>
      </c>
      <c r="I12" s="6" t="n"/>
    </row>
    <row r="13">
      <c r="A13" s="6" t="inlineStr">
        <is>
          <t>2026-10-14</t>
        </is>
      </c>
      <c r="B13" s="6" t="inlineStr">
        <is>
          <t>Truck delivery to KWE</t>
        </is>
      </c>
      <c r="C13" s="7" t="n">
        <v>50</v>
      </c>
      <c r="D13" s="7" t="n"/>
      <c r="E13" s="7" t="n"/>
      <c r="F13" s="7" t="n">
        <v>1</v>
      </c>
      <c r="G13" s="7" t="n">
        <v>600</v>
      </c>
      <c r="H13" s="7" t="n">
        <v>630</v>
      </c>
      <c r="I13" s="6" t="n"/>
    </row>
    <row r="14">
      <c r="A14" s="6" t="inlineStr">
        <is>
          <t>2026-10-14</t>
        </is>
      </c>
      <c r="B14" s="6" t="inlineStr">
        <is>
          <t>Box PO placed</t>
        </is>
      </c>
      <c r="C14" s="7" t="n"/>
      <c r="D14" s="7" t="n"/>
      <c r="E14" s="7" t="n">
        <v>175</v>
      </c>
      <c r="F14" s="7" t="n"/>
      <c r="G14" s="7" t="n"/>
      <c r="H14" s="7" t="n"/>
      <c r="I14" s="6" t="inlineStr">
        <is>
          <t>2-week lead; arrives on truck 2026-10-28</t>
        </is>
      </c>
    </row>
    <row r="15">
      <c r="A15" s="6" t="inlineStr">
        <is>
          <t>2026-10-28</t>
        </is>
      </c>
      <c r="B15" s="6" t="inlineStr">
        <is>
          <t>Truck delivery to KWE</t>
        </is>
      </c>
      <c r="C15" s="7" t="n"/>
      <c r="D15" s="7" t="n">
        <v>90</v>
      </c>
      <c r="E15" s="7" t="n">
        <v>175</v>
      </c>
      <c r="F15" s="7" t="n">
        <v>3</v>
      </c>
      <c r="G15" s="7" t="n">
        <v>600</v>
      </c>
      <c r="H15" s="7" t="n">
        <v>540</v>
      </c>
      <c r="I15" s="6" t="n"/>
    </row>
    <row r="16">
      <c r="A16" s="6" t="inlineStr">
        <is>
          <t>2026-11-11</t>
        </is>
      </c>
      <c r="B16" s="6" t="inlineStr">
        <is>
          <t>Truck delivery to KWE</t>
        </is>
      </c>
      <c r="C16" s="7" t="n">
        <v>100</v>
      </c>
      <c r="D16" s="7" t="n"/>
      <c r="E16" s="7" t="n"/>
      <c r="F16" s="7" t="n">
        <v>2</v>
      </c>
      <c r="G16" s="7" t="n">
        <v>500</v>
      </c>
      <c r="H16" s="7" t="n">
        <v>540</v>
      </c>
      <c r="I16" s="6" t="n"/>
    </row>
    <row r="17">
      <c r="A17" s="6" t="inlineStr">
        <is>
          <t>2026-11-25</t>
        </is>
      </c>
      <c r="B17" s="6" t="inlineStr">
        <is>
          <t>Truck delivery to KWE</t>
        </is>
      </c>
      <c r="C17" s="7" t="n"/>
      <c r="D17" s="7" t="n">
        <v>90</v>
      </c>
      <c r="E17" s="7" t="n"/>
      <c r="F17" s="7" t="n">
        <v>1</v>
      </c>
      <c r="G17" s="7" t="n">
        <v>500</v>
      </c>
      <c r="H17" s="7" t="n">
        <v>450</v>
      </c>
      <c r="I17" s="6" t="n"/>
    </row>
    <row r="18">
      <c r="A18" s="6" t="inlineStr">
        <is>
          <t>2026-12-09</t>
        </is>
      </c>
      <c r="B18" s="6" t="inlineStr">
        <is>
          <t>Truck delivery to KWE</t>
        </is>
      </c>
      <c r="C18" s="7" t="n">
        <v>100</v>
      </c>
      <c r="D18" s="7" t="n"/>
      <c r="E18" s="7" t="n"/>
      <c r="F18" s="7" t="n">
        <v>2</v>
      </c>
      <c r="G18" s="7" t="n">
        <v>400</v>
      </c>
      <c r="H18" s="7" t="n">
        <v>450</v>
      </c>
      <c r="I18" s="6" t="n"/>
    </row>
    <row r="19">
      <c r="A19" s="6" t="inlineStr">
        <is>
          <t>2026-12-09</t>
        </is>
      </c>
      <c r="B19" s="6" t="inlineStr">
        <is>
          <t>Box PO placed</t>
        </is>
      </c>
      <c r="C19" s="7" t="n"/>
      <c r="D19" s="7" t="n"/>
      <c r="E19" s="7" t="n">
        <v>175</v>
      </c>
      <c r="F19" s="7" t="n"/>
      <c r="G19" s="7" t="n"/>
      <c r="H19" s="7" t="n"/>
      <c r="I19" s="6" t="inlineStr">
        <is>
          <t>2-week lead; arrives on truck 2026-12-23</t>
        </is>
      </c>
    </row>
    <row r="20">
      <c r="A20" s="6" t="inlineStr">
        <is>
          <t>2026-12-23</t>
        </is>
      </c>
      <c r="B20" s="6" t="inlineStr">
        <is>
          <t>Truck delivery to KWE</t>
        </is>
      </c>
      <c r="C20" s="7" t="n"/>
      <c r="D20" s="7" t="n">
        <v>90</v>
      </c>
      <c r="E20" s="7" t="n">
        <v>175</v>
      </c>
      <c r="F20" s="7" t="n">
        <v>3</v>
      </c>
      <c r="G20" s="7" t="n">
        <v>400</v>
      </c>
      <c r="H20" s="7" t="n">
        <v>360</v>
      </c>
      <c r="I20" s="6" t="n"/>
    </row>
    <row r="21">
      <c r="A21" s="6" t="inlineStr">
        <is>
          <t>2027-01-06</t>
        </is>
      </c>
      <c r="B21" s="6" t="inlineStr">
        <is>
          <t>Truck delivery to KWE</t>
        </is>
      </c>
      <c r="C21" s="7" t="n">
        <v>50</v>
      </c>
      <c r="D21" s="7" t="n"/>
      <c r="E21" s="7" t="n"/>
      <c r="F21" s="7" t="n">
        <v>1</v>
      </c>
      <c r="G21" s="7" t="n">
        <v>350</v>
      </c>
      <c r="H21" s="7" t="n">
        <v>360</v>
      </c>
      <c r="I21" s="6" t="n"/>
    </row>
    <row r="22">
      <c r="A22" s="6" t="inlineStr">
        <is>
          <t>2027-01-20</t>
        </is>
      </c>
      <c r="B22" s="6" t="inlineStr">
        <is>
          <t>Truck delivery to KWE</t>
        </is>
      </c>
      <c r="C22" s="7" t="n">
        <v>50</v>
      </c>
      <c r="D22" s="7" t="n">
        <v>90</v>
      </c>
      <c r="E22" s="7" t="n"/>
      <c r="F22" s="7" t="n">
        <v>2</v>
      </c>
      <c r="G22" s="7" t="n">
        <v>300</v>
      </c>
      <c r="H22" s="7" t="n">
        <v>270</v>
      </c>
      <c r="I22" s="6" t="n"/>
    </row>
    <row r="23">
      <c r="A23" s="6" t="inlineStr">
        <is>
          <t>2027-01-20</t>
        </is>
      </c>
      <c r="B23" s="6" t="inlineStr">
        <is>
          <t>Box PO placed</t>
        </is>
      </c>
      <c r="C23" s="7" t="n"/>
      <c r="D23" s="7" t="n"/>
      <c r="E23" s="7" t="n">
        <v>175</v>
      </c>
      <c r="F23" s="7" t="n"/>
      <c r="G23" s="7" t="n"/>
      <c r="H23" s="7" t="n"/>
      <c r="I23" s="6" t="inlineStr">
        <is>
          <t>2-week lead; arrives on truck 2027-02-03</t>
        </is>
      </c>
    </row>
    <row r="24">
      <c r="A24" s="6" t="inlineStr">
        <is>
          <t>2027-02-03</t>
        </is>
      </c>
      <c r="B24" s="6" t="inlineStr">
        <is>
          <t>Truck delivery to KWE</t>
        </is>
      </c>
      <c r="C24" s="7" t="n">
        <v>50</v>
      </c>
      <c r="D24" s="7" t="n"/>
      <c r="E24" s="7" t="n">
        <v>175</v>
      </c>
      <c r="F24" s="7" t="n">
        <v>3</v>
      </c>
      <c r="G24" s="7" t="n">
        <v>250</v>
      </c>
      <c r="H24" s="7" t="n">
        <v>270</v>
      </c>
      <c r="I24" s="6" t="n"/>
    </row>
    <row r="25">
      <c r="A25" s="6" t="inlineStr">
        <is>
          <t>2027-02-17</t>
        </is>
      </c>
      <c r="B25" s="6" t="inlineStr">
        <is>
          <t>Truck delivery to KWE</t>
        </is>
      </c>
      <c r="C25" s="7" t="n">
        <v>50</v>
      </c>
      <c r="D25" s="7" t="n">
        <v>90</v>
      </c>
      <c r="E25" s="7" t="n"/>
      <c r="F25" s="7" t="n">
        <v>2</v>
      </c>
      <c r="G25" s="7" t="n">
        <v>200</v>
      </c>
      <c r="H25" s="7" t="n">
        <v>180</v>
      </c>
      <c r="I25" s="6" t="n"/>
    </row>
    <row r="26">
      <c r="A26" s="4" t="inlineStr">
        <is>
          <t>2027-02-17</t>
        </is>
      </c>
      <c r="B26" s="4" t="inlineStr">
        <is>
          <t>Pratt PO-3 placed</t>
        </is>
      </c>
      <c r="C26" s="5" t="n">
        <v>500</v>
      </c>
      <c r="D26" s="5" t="n">
        <v>450</v>
      </c>
      <c r="E26" s="5" t="n"/>
      <c r="F26" s="5" t="n"/>
      <c r="G26" s="5" t="n"/>
      <c r="H26" s="5" t="n"/>
      <c r="I26" s="4" t="inlineStr">
        <is>
          <t>MOQ 15 plt for Richmond hold; in stock 2027-03-17</t>
        </is>
      </c>
    </row>
    <row r="27">
      <c r="A27" s="6" t="inlineStr">
        <is>
          <t>2027-03-03</t>
        </is>
      </c>
      <c r="B27" s="6" t="inlineStr">
        <is>
          <t>Truck delivery to KWE</t>
        </is>
      </c>
      <c r="C27" s="7" t="n">
        <v>50</v>
      </c>
      <c r="D27" s="7" t="n"/>
      <c r="E27" s="7" t="n"/>
      <c r="F27" s="7" t="n">
        <v>1</v>
      </c>
      <c r="G27" s="7" t="n">
        <v>150</v>
      </c>
      <c r="H27" s="7" t="n">
        <v>180</v>
      </c>
      <c r="I27" s="6" t="n"/>
    </row>
    <row r="28">
      <c r="A28" s="6" t="inlineStr">
        <is>
          <t>2027-03-17</t>
        </is>
      </c>
      <c r="B28" s="6" t="inlineStr">
        <is>
          <t>Truck delivery to KWE</t>
        </is>
      </c>
      <c r="C28" s="7" t="n">
        <v>50</v>
      </c>
      <c r="D28" s="7" t="n">
        <v>90</v>
      </c>
      <c r="E28" s="7" t="n"/>
      <c r="F28" s="7" t="n">
        <v>2</v>
      </c>
      <c r="G28" s="7" t="n">
        <v>600</v>
      </c>
      <c r="H28" s="7" t="n">
        <v>540</v>
      </c>
      <c r="I28" s="6" t="n"/>
    </row>
    <row r="29">
      <c r="A29" s="6" t="inlineStr">
        <is>
          <t>2027-03-17</t>
        </is>
      </c>
      <c r="B29" s="6" t="inlineStr">
        <is>
          <t>Box PO placed</t>
        </is>
      </c>
      <c r="C29" s="7" t="n"/>
      <c r="D29" s="7" t="n"/>
      <c r="E29" s="7" t="n">
        <v>175</v>
      </c>
      <c r="F29" s="7" t="n"/>
      <c r="G29" s="7" t="n"/>
      <c r="H29" s="7" t="n"/>
      <c r="I29" s="6" t="inlineStr">
        <is>
          <t>2-week lead; arrives on truck 2027-03-31</t>
        </is>
      </c>
    </row>
    <row r="30">
      <c r="A30" s="6" t="inlineStr">
        <is>
          <t>2027-03-31</t>
        </is>
      </c>
      <c r="B30" s="6" t="inlineStr">
        <is>
          <t>Truck delivery to KWE</t>
        </is>
      </c>
      <c r="C30" s="7" t="n">
        <v>50</v>
      </c>
      <c r="D30" s="7" t="n"/>
      <c r="E30" s="7" t="n">
        <v>175</v>
      </c>
      <c r="F30" s="7" t="n">
        <v>3</v>
      </c>
      <c r="G30" s="7" t="n">
        <v>550</v>
      </c>
      <c r="H30" s="7" t="n">
        <v>540</v>
      </c>
      <c r="I30" s="6" t="n"/>
    </row>
    <row r="31">
      <c r="A31" s="6" t="inlineStr">
        <is>
          <t>2027-04-14</t>
        </is>
      </c>
      <c r="B31" s="6" t="inlineStr">
        <is>
          <t>Truck delivery to KWE</t>
        </is>
      </c>
      <c r="C31" s="7" t="n">
        <v>50</v>
      </c>
      <c r="D31" s="7" t="n">
        <v>90</v>
      </c>
      <c r="E31" s="7" t="n"/>
      <c r="F31" s="7" t="n">
        <v>2</v>
      </c>
      <c r="G31" s="7" t="n">
        <v>500</v>
      </c>
      <c r="H31" s="7" t="n">
        <v>450</v>
      </c>
      <c r="I31" s="6" t="n"/>
    </row>
    <row r="32">
      <c r="A32" s="6" t="inlineStr">
        <is>
          <t>2027-05-12</t>
        </is>
      </c>
      <c r="B32" s="6" t="inlineStr">
        <is>
          <t>Truck delivery to KWE</t>
        </is>
      </c>
      <c r="C32" s="7" t="n">
        <v>100</v>
      </c>
      <c r="D32" s="7" t="n">
        <v>90</v>
      </c>
      <c r="E32" s="7" t="n"/>
      <c r="F32" s="7" t="n">
        <v>3</v>
      </c>
      <c r="G32" s="7" t="n">
        <v>400</v>
      </c>
      <c r="H32" s="7" t="n">
        <v>360</v>
      </c>
      <c r="I32" s="6" t="n"/>
    </row>
    <row r="33">
      <c r="A33" s="6" t="inlineStr">
        <is>
          <t>2027-05-12</t>
        </is>
      </c>
      <c r="B33" s="6" t="inlineStr">
        <is>
          <t>Box PO placed</t>
        </is>
      </c>
      <c r="C33" s="7" t="n"/>
      <c r="D33" s="7" t="n"/>
      <c r="E33" s="7" t="n">
        <v>175</v>
      </c>
      <c r="F33" s="7" t="n"/>
      <c r="G33" s="7" t="n"/>
      <c r="H33" s="7" t="n"/>
      <c r="I33" s="6" t="inlineStr">
        <is>
          <t>2-week lead; arrives on truck 2027-05-26</t>
        </is>
      </c>
    </row>
    <row r="34">
      <c r="A34" s="6" t="inlineStr">
        <is>
          <t>2027-05-26</t>
        </is>
      </c>
      <c r="B34" s="6" t="inlineStr">
        <is>
          <t>Truck delivery to KWE</t>
        </is>
      </c>
      <c r="C34" s="7" t="n"/>
      <c r="D34" s="7" t="n"/>
      <c r="E34" s="7" t="n">
        <v>175</v>
      </c>
      <c r="F34" s="7" t="n">
        <v>2</v>
      </c>
      <c r="G34" s="7" t="n">
        <v>400</v>
      </c>
      <c r="H34" s="7" t="n">
        <v>360</v>
      </c>
      <c r="I34" s="6" t="n"/>
    </row>
    <row r="35">
      <c r="A35" s="6" t="inlineStr">
        <is>
          <t>2027-06-09</t>
        </is>
      </c>
      <c r="B35" s="6" t="inlineStr">
        <is>
          <t>Truck delivery to KWE</t>
        </is>
      </c>
      <c r="C35" s="7" t="n">
        <v>50</v>
      </c>
      <c r="D35" s="7" t="n">
        <v>90</v>
      </c>
      <c r="E35" s="7" t="n"/>
      <c r="F35" s="7" t="n">
        <v>2</v>
      </c>
      <c r="G35" s="7" t="n">
        <v>350</v>
      </c>
      <c r="H35" s="7" t="n">
        <v>270</v>
      </c>
      <c r="I35" s="6" t="n"/>
    </row>
    <row r="36">
      <c r="A36" s="6" t="inlineStr">
        <is>
          <t>2027-06-23</t>
        </is>
      </c>
      <c r="B36" s="6" t="inlineStr">
        <is>
          <t>Truck delivery to KWE</t>
        </is>
      </c>
      <c r="C36" s="7" t="n">
        <v>50</v>
      </c>
      <c r="D36" s="7" t="n"/>
      <c r="E36" s="7" t="n"/>
      <c r="F36" s="7" t="n">
        <v>1</v>
      </c>
      <c r="G36" s="7" t="n">
        <v>300</v>
      </c>
      <c r="H36" s="7" t="n">
        <v>270</v>
      </c>
      <c r="I36" s="6" t="n"/>
    </row>
    <row r="37">
      <c r="A37" s="6" t="inlineStr">
        <is>
          <t>2027-07-07</t>
        </is>
      </c>
      <c r="B37" s="6" t="inlineStr">
        <is>
          <t>Truck delivery to KWE</t>
        </is>
      </c>
      <c r="C37" s="7" t="n">
        <v>50</v>
      </c>
      <c r="D37" s="7" t="n">
        <v>90</v>
      </c>
      <c r="E37" s="7" t="n"/>
      <c r="F37" s="7" t="n">
        <v>2</v>
      </c>
      <c r="G37" s="7" t="n">
        <v>250</v>
      </c>
      <c r="H37" s="7" t="n">
        <v>180</v>
      </c>
      <c r="I37" s="6" t="n"/>
    </row>
    <row r="38">
      <c r="A38" s="6" t="inlineStr">
        <is>
          <t>2027-07-07</t>
        </is>
      </c>
      <c r="B38" s="6" t="inlineStr">
        <is>
          <t>Box PO placed</t>
        </is>
      </c>
      <c r="C38" s="7" t="n"/>
      <c r="D38" s="7" t="n"/>
      <c r="E38" s="7" t="n">
        <v>175</v>
      </c>
      <c r="F38" s="7" t="n"/>
      <c r="G38" s="7" t="n"/>
      <c r="H38" s="7" t="n"/>
      <c r="I38" s="6" t="inlineStr">
        <is>
          <t>2-week lead; arrives on truck 2027-07-21</t>
        </is>
      </c>
    </row>
    <row r="39">
      <c r="A39" s="4" t="inlineStr">
        <is>
          <t>2027-07-07</t>
        </is>
      </c>
      <c r="B39" s="4" t="inlineStr">
        <is>
          <t>Pratt PO-4 placed</t>
        </is>
      </c>
      <c r="C39" s="5" t="n">
        <v>450</v>
      </c>
      <c r="D39" s="5" t="n">
        <v>540</v>
      </c>
      <c r="E39" s="5" t="n"/>
      <c r="F39" s="5" t="n"/>
      <c r="G39" s="5" t="n"/>
      <c r="H39" s="5" t="n"/>
      <c r="I39" s="4" t="inlineStr">
        <is>
          <t>MOQ 15 plt for Richmond hold; in stock 2027-08-04</t>
        </is>
      </c>
    </row>
    <row r="40">
      <c r="A40" s="6" t="inlineStr">
        <is>
          <t>2027-07-21</t>
        </is>
      </c>
      <c r="B40" s="6" t="inlineStr">
        <is>
          <t>Truck delivery to KWE</t>
        </is>
      </c>
      <c r="C40" s="7" t="n">
        <v>50</v>
      </c>
      <c r="D40" s="7" t="n"/>
      <c r="E40" s="7" t="n">
        <v>175</v>
      </c>
      <c r="F40" s="7" t="n">
        <v>3</v>
      </c>
      <c r="G40" s="7" t="n">
        <v>200</v>
      </c>
      <c r="H40" s="7" t="n">
        <v>180</v>
      </c>
      <c r="I40" s="6" t="n"/>
    </row>
  </sheetData>
  <autoFilter ref="A4:I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  <col width="18" customWidth="1" min="3" max="3"/>
    <col width="42" customWidth="1" min="4" max="4"/>
  </cols>
  <sheetData>
    <row r="1">
      <c r="A1" s="1" t="inlineStr">
        <is>
          <t>Operating Rules — Reorder Triggers</t>
        </is>
      </c>
    </row>
    <row r="2">
      <c r="A2" s="2" t="inlineStr">
        <is>
          <t>A truck runs Richmond → Sterling every 2 weeks; the load is decided by on-hand stock at KWE on truck day. MOQ mix ask: alternate 10A/5B → 9A/6B so parts stay balanced at 1:1 usage.</t>
        </is>
      </c>
    </row>
    <row r="3"/>
    <row r="4">
      <c r="A4" s="3" t="inlineStr">
        <is>
          <t>Part</t>
        </is>
      </c>
      <c r="B4" s="3" t="inlineStr">
        <is>
          <t>Add to truck when Sterling on-hand is…</t>
        </is>
      </c>
      <c r="C4" s="3" t="inlineStr">
        <is>
          <t>Quantity</t>
        </is>
      </c>
      <c r="D4" s="3" t="inlineStr">
        <is>
          <t>Effective cadence</t>
        </is>
      </c>
    </row>
    <row r="5">
      <c r="A5" s="8" t="inlineStr">
        <is>
          <t>Part A</t>
        </is>
      </c>
      <c r="B5" s="8" t="inlineStr">
        <is>
          <t>≤ 60 units (≤ 25 → send 2 pallets)</t>
        </is>
      </c>
      <c r="C5" s="8" t="inlineStr">
        <is>
          <t>1 pallet (50 units)</t>
        </is>
      </c>
      <c r="D5" s="8" t="inlineStr">
        <is>
          <t>~every biweekly truck · 2 plt/month · 24 plt/year</t>
        </is>
      </c>
    </row>
    <row r="6">
      <c r="A6" s="8" t="inlineStr">
        <is>
          <t>Part B</t>
        </is>
      </c>
      <c r="B6" s="8" t="inlineStr">
        <is>
          <t>≤ 75 units</t>
        </is>
      </c>
      <c r="C6" s="8" t="inlineStr">
        <is>
          <t>1 pallet (90 units)</t>
        </is>
      </c>
      <c r="D6" s="8" t="inlineStr">
        <is>
          <t>~every other truck · ~13–14 plt/year</t>
        </is>
      </c>
    </row>
    <row r="7">
      <c r="A7" s="8" t="inlineStr">
        <is>
          <t>Boxes</t>
        </is>
      </c>
      <c r="B7" s="8" t="inlineStr">
        <is>
          <t>Projected ≤ 90 at next truck (≈ on-hand ≤ 135 today) → place PO now (2-week lead)</t>
        </is>
      </c>
      <c r="C7" s="8" t="inlineStr">
        <is>
          <t>175 (2 pallets)</t>
        </is>
      </c>
      <c r="D7" s="8" t="inlineStr">
        <is>
          <t>every ~7½ weeks · 7 POs/year</t>
        </is>
      </c>
    </row>
    <row r="8">
      <c r="A8" s="9" t="inlineStr">
        <is>
          <t>New Pratt MOQ PO</t>
        </is>
      </c>
      <c r="B8" s="9" t="inlineStr">
        <is>
          <t>Richmond hold ≤ 180 units of Part B (2 pallets)</t>
        </is>
      </c>
      <c r="C8" s="9" t="inlineStr">
        <is>
          <t>MOQ 15 pallets</t>
        </is>
      </c>
      <c r="D8" s="9" t="inlineStr">
        <is>
          <t>every ~4.5–5 months · ~3/year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66" customWidth="1" min="3" max="3"/>
  </cols>
  <sheetData>
    <row r="1">
      <c r="A1" s="1" t="inlineStr">
        <is>
          <t>Pratt Quote &amp; Model Assumptions</t>
        </is>
      </c>
    </row>
    <row r="2">
      <c r="A2" s="2" t="inlineStr">
        <is>
          <t>Source: Pratt Industries quote (Chillin Liners / MP Global 2″ recycled-paper insulation).</t>
        </is>
      </c>
    </row>
    <row r="3"/>
    <row r="4">
      <c r="A4" s="3" t="inlineStr">
        <is>
          <t>Item</t>
        </is>
      </c>
      <c r="B4" s="3" t="inlineStr">
        <is>
          <t>Value</t>
        </is>
      </c>
      <c r="C4" s="3" t="inlineStr">
        <is>
          <t>Notes</t>
        </is>
      </c>
    </row>
    <row r="5">
      <c r="A5" s="8" t="inlineStr">
        <is>
          <t>Custom box OD 24x16x18</t>
        </is>
      </c>
      <c r="B5" s="8" t="inlineStr">
        <is>
          <t>$5.50 each</t>
        </is>
      </c>
      <c r="C5" s="8" t="inlineStr">
        <is>
          <t>Order qty 175 = 2 pallets; 2-week lead; Pratt will NOT hold boxes</t>
        </is>
      </c>
    </row>
    <row r="6">
      <c r="A6" s="8" t="inlineStr">
        <is>
          <t>Insulation set (A+B)</t>
        </is>
      </c>
      <c r="B6" s="8" t="inlineStr">
        <is>
          <t>$11.60 / set</t>
        </is>
      </c>
      <c r="C6" s="8" t="inlineStr">
        <is>
          <t>Confirm: 1 set = one Part A + one Part B</t>
        </is>
      </c>
    </row>
    <row r="7">
      <c r="A7" s="8" t="inlineStr">
        <is>
          <t>Insulation MOQ</t>
        </is>
      </c>
      <c r="B7" s="8" t="inlineStr">
        <is>
          <t>15 pallets</t>
        </is>
      </c>
      <c r="C7" s="8" t="inlineStr">
        <is>
          <t>10 plt Part A (500 units) + 5 plt Part B (450 units); Pratt holds in Richmond</t>
        </is>
      </c>
    </row>
    <row r="8">
      <c r="A8" s="8" t="inlineStr">
        <is>
          <t>Sub-MOQ option</t>
        </is>
      </c>
      <c r="B8" s="8" t="inlineStr">
        <is>
          <t>+$400 / order</t>
        </is>
      </c>
      <c r="C8" s="8" t="inlineStr">
        <is>
          <t>Min 4 plt A (200) + 3 plt B (270) — fallback only</t>
        </is>
      </c>
    </row>
    <row r="9">
      <c r="A9" s="8" t="inlineStr">
        <is>
          <t>Box pack-out</t>
        </is>
      </c>
      <c r="B9" s="8" t="inlineStr">
        <is>
          <t>~80–90 / pallet</t>
        </is>
      </c>
      <c r="C9" s="8" t="inlineStr">
        <is>
          <t>175 boxes = 2 pallets</t>
        </is>
      </c>
    </row>
    <row r="10">
      <c r="A10" s="8" t="inlineStr">
        <is>
          <t>Part A pack-out</t>
        </is>
      </c>
      <c r="B10" s="8" t="inlineStr">
        <is>
          <t>50 / pallet</t>
        </is>
      </c>
      <c r="C10" s="8" t="inlineStr"/>
    </row>
    <row r="11">
      <c r="A11" s="8" t="inlineStr">
        <is>
          <t>Part B pack-out</t>
        </is>
      </c>
      <c r="B11" s="8" t="inlineStr">
        <is>
          <t>90 / pallet</t>
        </is>
      </c>
      <c r="C11" s="8" t="inlineStr"/>
    </row>
    <row r="12">
      <c r="A12" s="8" t="inlineStr">
        <is>
          <t>Usage rate</t>
        </is>
      </c>
      <c r="B12" s="8" t="inlineStr">
        <is>
          <t>100 boxes / month</t>
        </is>
      </c>
      <c r="C12" s="8">
        <f> 100 boxes + 100 Part A + 100 Part B (assumed 1:1:1)</f>
        <v/>
      </c>
    </row>
    <row r="13">
      <c r="A13" s="10" t="inlineStr">
        <is>
          <t>KWE Sterling capacity</t>
        </is>
      </c>
      <c r="B13" s="10" t="inlineStr">
        <is>
          <t>~6 pallets</t>
        </is>
      </c>
      <c r="C13" s="10" t="inlineStr">
        <is>
          <t>UNCONFIRMED — user guess; confirm with KWE</t>
        </is>
      </c>
    </row>
    <row r="14">
      <c r="A14" s="10" t="inlineStr">
        <is>
          <t>Pratt holding fee (insulation)</t>
        </is>
      </c>
      <c r="B14" s="10" t="inlineStr">
        <is>
          <t>TBD</t>
        </is>
      </c>
      <c r="C14" s="10" t="inlineStr">
        <is>
          <t>Requested 7/7 — chase</t>
        </is>
      </c>
    </row>
    <row r="15">
      <c r="A15" s="10" t="inlineStr">
        <is>
          <t>Freight Richmond → Sterling</t>
        </is>
      </c>
      <c r="B15" s="10" t="inlineStr">
        <is>
          <t>TBD</t>
        </is>
      </c>
      <c r="C15" s="10" t="inlineStr">
        <is>
          <t>Not yet shared; decides biweekly vs monthly trucks</t>
        </is>
      </c>
    </row>
    <row r="16">
      <c r="A16" s="10" t="inlineStr">
        <is>
          <t>Insulation production lead</t>
        </is>
      </c>
      <c r="B16" s="10" t="inlineStr">
        <is>
          <t>4 weeks (assumed)</t>
        </is>
      </c>
      <c r="C16" s="10" t="inlineStr">
        <is>
          <t>Unconfirmed; boxes quoted at 2 weeks</t>
        </is>
      </c>
    </row>
    <row r="17">
      <c r="A17" s="10" t="inlineStr">
        <is>
          <t>Richmond release notice</t>
        </is>
      </c>
      <c r="B17" s="10" t="inlineStr">
        <is>
          <t>≤ 2 weeks (assumed)</t>
        </is>
      </c>
      <c r="C17" s="10" t="inlineStr">
        <is>
          <t>Confirm with Pratt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44" customWidth="1" min="4" max="4"/>
  </cols>
  <sheetData>
    <row r="1">
      <c r="A1" s="1" t="inlineStr">
        <is>
          <t>Materials Spend — excludes freight &amp; Pratt holding fee (both TBD)</t>
        </is>
      </c>
    </row>
    <row r="2">
      <c r="A2" s="2" t="inlineStr">
        <is>
          <t>Sub-MOQ fallback: using the +$400 option ~5–6×/year adds ~$2,000–2,400 (≈17% on insulation spend).</t>
        </is>
      </c>
    </row>
    <row r="3"/>
    <row r="4">
      <c r="A4" s="3" t="inlineStr">
        <is>
          <t>Line</t>
        </is>
      </c>
      <c r="B4" s="3" t="inlineStr">
        <is>
          <t>Monthly</t>
        </is>
      </c>
      <c r="C4" s="3" t="inlineStr">
        <is>
          <t>Annual</t>
        </is>
      </c>
      <c r="D4" s="3" t="inlineStr">
        <is>
          <t>Per PO</t>
        </is>
      </c>
    </row>
    <row r="5">
      <c r="A5" s="6" t="inlineStr">
        <is>
          <t>Boxes — 100 × $5.50</t>
        </is>
      </c>
      <c r="B5" s="11" t="n">
        <v>550</v>
      </c>
      <c r="C5" s="11" t="n">
        <v>6600</v>
      </c>
      <c r="D5" s="6" t="inlineStr">
        <is>
          <t>$962.50 per 175-box PO</t>
        </is>
      </c>
    </row>
    <row r="6">
      <c r="A6" s="6" t="inlineStr">
        <is>
          <t>Insulation — 100 sets × $11.60</t>
        </is>
      </c>
      <c r="B6" s="11" t="n">
        <v>1160</v>
      </c>
      <c r="C6" s="11" t="n">
        <v>13920</v>
      </c>
      <c r="D6" s="6" t="inlineStr">
        <is>
          <t>~$5,220–5,800 per MOQ PO (billing basis TBC)</t>
        </is>
      </c>
    </row>
    <row r="7">
      <c r="A7" s="12" t="inlineStr">
        <is>
          <t>Total materials (≈ $17.10 per shipped box)</t>
        </is>
      </c>
      <c r="B7" s="13" t="n">
        <v>1710</v>
      </c>
      <c r="C7" s="13" t="n">
        <v>20520</v>
      </c>
      <c r="D7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2026-07-10T14:52:21Z</dcterms:created>
  <dcterms:modified xsi:type="dcterms:W3CDTF">2026-07-10T14:52:21Z</dcterms:modified>
</cp:coreProperties>
</file>