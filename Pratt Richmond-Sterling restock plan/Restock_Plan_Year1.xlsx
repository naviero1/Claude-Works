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very Options" sheetId="1" state="visible" r:id="rId1"/>
    <sheet name="Year-1 Schedule (Opt 1)" sheetId="2" state="visible" r:id="rId2"/>
    <sheet name="Cadence &amp; Triggers" sheetId="3" state="visible" r:id="rId3"/>
    <sheet name="Quote &amp; Assumptions" sheetId="4" state="visible" r:id="rId4"/>
    <sheet name="Costs" sheetId="5" state="visible" r:id="rId5"/>
  </sheets>
  <definedNames>
    <definedName name="_xlnm._FilterDatabase" localSheetId="1" hidden="1">'Year-1 Schedule (Opt 1)'!$A$4:$G$36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202823"/>
      <sz val="14"/>
    </font>
    <font>
      <i val="1"/>
      <color rgb="005D6963"/>
      <sz val="10"/>
    </font>
    <font>
      <b val="1"/>
      <color rgb="00FFFFFF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2E7A4E"/>
      </patternFill>
    </fill>
    <fill>
      <patternFill patternType="solid">
        <fgColor rgb="00F7EFE0"/>
      </patternFill>
    </fill>
    <fill>
      <patternFill patternType="solid">
        <fgColor rgb="00E9F2EC"/>
      </patternFill>
    </fill>
  </fills>
  <borders count="2">
    <border>
      <left/>
      <right/>
      <top/>
      <bottom/>
      <diagonal/>
    </border>
    <border>
      <bottom style="thin">
        <color rgb="00D9DE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4" borderId="1" pivotButton="0" quotePrefix="0" xfId="0"/>
    <xf numFmtId="0" fontId="0" fillId="4" borderId="1" applyAlignment="1" pivotButton="0" quotePrefix="0" xfId="0">
      <alignment horizontal="right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right"/>
    </xf>
    <xf numFmtId="0" fontId="4" fillId="4" borderId="1" pivotButton="0" quotePrefix="0" xfId="0"/>
    <xf numFmtId="164" fontId="4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</cols>
  <sheetData>
    <row r="1">
      <c r="A1" s="1" t="inlineStr">
        <is>
          <t>Delivery Options to KWE — Rev B (Jul 9)</t>
        </is>
      </c>
    </row>
    <row r="2">
      <c r="A2" s="2" t="inlineStr">
        <is>
          <t>KWE space is UNKNOWN. Decision gate: what KWE can give us. If only ~6 positions: ask Pratt for 2-pallet (100-unit) Part A drops + stagger deliveries -&gt; need falls to ~6-7. Recommendation: Option 1 unless KWE space is generous AND freight is per-trip.</t>
        </is>
      </c>
    </row>
    <row r="3"/>
    <row r="4">
      <c r="A4" s="3" t="inlineStr"/>
      <c r="B4" s="3" t="inlineStr">
        <is>
          <t>Option 1 — as quoted</t>
        </is>
      </c>
      <c r="C4" s="3" t="inlineStr">
        <is>
          <t>Option 2 — adjusted</t>
        </is>
      </c>
    </row>
    <row r="5">
      <c r="A5" s="4" t="inlineStr">
        <is>
          <t>Box drop</t>
        </is>
      </c>
      <c r="B5" s="4" t="inlineStr">
        <is>
          <t>175 boxes (2 pallets)</t>
        </is>
      </c>
      <c r="C5" s="4" t="inlineStr">
        <is>
          <t>250 boxes (3 pallets)</t>
        </is>
      </c>
    </row>
    <row r="6">
      <c r="A6" s="4" t="inlineStr">
        <is>
          <t>Part A drop</t>
        </is>
      </c>
      <c r="B6" s="4" t="inlineStr">
        <is>
          <t>200 units (4 pallets of 50)</t>
        </is>
      </c>
      <c r="C6" s="4" t="inlineStr">
        <is>
          <t>250 units (5 pallets of 50)</t>
        </is>
      </c>
    </row>
    <row r="7">
      <c r="A7" s="4" t="inlineStr">
        <is>
          <t>Part B drop</t>
        </is>
      </c>
      <c r="B7" s="4" t="inlineStr">
        <is>
          <t>180 units (2 pallets of 90)</t>
        </is>
      </c>
      <c r="C7" s="4" t="inlineStr">
        <is>
          <t>270 units (3 pallets of 90)</t>
        </is>
      </c>
    </row>
    <row r="8">
      <c r="A8" s="4" t="inlineStr">
        <is>
          <t>Insulation MOQ</t>
        </is>
      </c>
      <c r="B8" s="4" t="inlineStr">
        <is>
          <t>500 A / 450 B (last release partial)</t>
        </is>
      </c>
      <c r="C8" s="4" t="inlineStr">
        <is>
          <t>500 A / 540 B (= 2 full drops each)</t>
        </is>
      </c>
    </row>
    <row r="9">
      <c r="A9" s="4" t="inlineStr">
        <is>
          <t>Cadence per part @100/mo</t>
        </is>
      </c>
      <c r="B9" s="4" t="inlineStr">
        <is>
          <t>A ~2 mo · B ~1.8 mo · boxes ~7.5 wks</t>
        </is>
      </c>
      <c r="C9" s="4" t="inlineStr">
        <is>
          <t>each part every ~2.5–2.7 months</t>
        </is>
      </c>
    </row>
    <row r="10">
      <c r="A10" s="4" t="inlineStr">
        <is>
          <t>Deliveries, year 1</t>
        </is>
      </c>
      <c r="B10" s="4" t="inlineStr">
        <is>
          <t>~21 (7 A + 7 B + 7 box; combinable)</t>
        </is>
      </c>
      <c r="C10" s="4" t="inlineStr">
        <is>
          <t>~12 (4 + 4 + 4)</t>
        </is>
      </c>
    </row>
    <row r="11">
      <c r="A11" s="4" t="inlineStr">
        <is>
          <t>Go-live footprint</t>
        </is>
      </c>
      <c r="B11" s="4" t="inlineStr">
        <is>
          <t>8 pallet positions</t>
        </is>
      </c>
      <c r="C11" s="4" t="inlineStr">
        <is>
          <t>11 pallet positions</t>
        </is>
      </c>
    </row>
    <row r="12">
      <c r="A12" s="4" t="inlineStr">
        <is>
          <t>Avg standing occupancy</t>
        </is>
      </c>
      <c r="B12" s="4" t="inlineStr">
        <is>
          <t>~7 positions</t>
        </is>
      </c>
      <c r="C12" s="4" t="inlineStr">
        <is>
          <t>~9 positions</t>
        </is>
      </c>
    </row>
    <row r="13">
      <c r="A13" s="4" t="inlineStr">
        <is>
          <t>Worst receipt-day peak</t>
        </is>
      </c>
      <c r="B13" s="4" t="inlineStr">
        <is>
          <t>11 positions</t>
        </is>
      </c>
      <c r="C13" s="4" t="inlineStr">
        <is>
          <t>14 positions</t>
        </is>
      </c>
    </row>
    <row r="14">
      <c r="A14" s="5" t="inlineStr">
        <is>
          <t>ASK KWE FOR</t>
        </is>
      </c>
      <c r="B14" s="5" t="inlineStr">
        <is>
          <t>~8 standing / 11 on receipt days</t>
        </is>
      </c>
      <c r="C14" s="5" t="inlineStr">
        <is>
          <t>~11 standing / 14 on receipt days</t>
        </is>
      </c>
    </row>
    <row r="15">
      <c r="A15" s="4" t="inlineStr">
        <is>
          <t>Pratt MOQ POs, year 1</t>
        </is>
      </c>
      <c r="B15" s="4" t="inlineStr">
        <is>
          <t>3 — Jul 8, ~Oct 28, ~Mar 14</t>
        </is>
      </c>
      <c r="C15" s="4" t="inlineStr">
        <is>
          <t>3 — Jul 8, ~Nov 13, ~Apr 14</t>
        </is>
      </c>
    </row>
    <row r="16">
      <c r="A16" s="4" t="inlineStr">
        <is>
          <t>Mix balance vs 1:1 usage</t>
        </is>
      </c>
      <c r="B16" s="4" t="inlineStr">
        <is>
          <t>+50 A per MOQ (A piles up)</t>
        </is>
      </c>
      <c r="C16" s="4" t="inlineStr">
        <is>
          <t>+40 B per MOQ (near balanced)</t>
        </is>
      </c>
    </row>
    <row r="17">
      <c r="A17" s="4" t="inlineStr">
        <is>
          <t>Stockouts in 12-mo simulation</t>
        </is>
      </c>
      <c r="B17" s="4" t="inlineStr">
        <is>
          <t>None</t>
        </is>
      </c>
      <c r="C17" s="4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8" customWidth="1" min="3" max="3"/>
    <col width="8" customWidth="1" min="4" max="4"/>
    <col width="8" customWidth="1" min="5" max="5"/>
    <col width="13" customWidth="1" min="6" max="6"/>
    <col width="56" customWidth="1" min="7" max="7"/>
  </cols>
  <sheetData>
    <row r="1">
      <c r="A1" s="1" t="inlineStr">
        <is>
          <t>Year-1 Restock Schedule — Option 1 baseline</t>
        </is>
      </c>
    </row>
    <row r="2">
      <c r="A2" s="2" t="inlineStr">
        <is>
          <t>Every PO, release and delivery, Jul 2026 – Jul 2027, from the daily inventory simulation (100 boxes/month). Highlighted rows = Pratt MOQ POs / go-live. Dates shift if kickoff slips.</t>
        </is>
      </c>
    </row>
    <row r="3"/>
    <row r="4">
      <c r="A4" s="3" t="inlineStr">
        <is>
          <t>Date</t>
        </is>
      </c>
      <c r="B4" s="3" t="inlineStr">
        <is>
          <t>Event</t>
        </is>
      </c>
      <c r="C4" s="3" t="inlineStr">
        <is>
          <t>Part A</t>
        </is>
      </c>
      <c r="D4" s="3" t="inlineStr">
        <is>
          <t>Part B</t>
        </is>
      </c>
      <c r="E4" s="3" t="inlineStr">
        <is>
          <t>Boxes</t>
        </is>
      </c>
      <c r="F4" s="3" t="inlineStr">
        <is>
          <t>Pallets to KWE</t>
        </is>
      </c>
      <c r="G4" s="3" t="inlineStr">
        <is>
          <t>Notes</t>
        </is>
      </c>
    </row>
    <row r="5">
      <c r="A5" s="6" t="inlineStr">
        <is>
          <t>2026-07-08</t>
        </is>
      </c>
      <c r="B5" s="6" t="inlineStr">
        <is>
          <t>Pratt PO-1 placed</t>
        </is>
      </c>
      <c r="C5" s="7" t="n">
        <v>500</v>
      </c>
      <c r="D5" s="7" t="n">
        <v>450</v>
      </c>
      <c r="E5" s="7" t="n">
        <v>175</v>
      </c>
      <c r="F5" s="7" t="n"/>
      <c r="G5" s="6" t="inlineStr">
        <is>
          <t>MOQ held in Richmond + first box order; in stock 2026-07-22</t>
        </is>
      </c>
    </row>
    <row r="6">
      <c r="A6" s="6" t="inlineStr">
        <is>
          <t>2026-07-22</t>
        </is>
      </c>
      <c r="B6" s="6" t="inlineStr">
        <is>
          <t>Go-live delivery to KWE</t>
        </is>
      </c>
      <c r="C6" s="7" t="n">
        <v>200</v>
      </c>
      <c r="D6" s="7" t="n">
        <v>180</v>
      </c>
      <c r="E6" s="7" t="n">
        <v>175</v>
      </c>
      <c r="F6" s="7" t="n">
        <v>8</v>
      </c>
      <c r="G6" s="6" t="inlineStr">
        <is>
          <t>First release of every part together — peak footprint</t>
        </is>
      </c>
    </row>
    <row r="7">
      <c r="A7" s="8" t="inlineStr">
        <is>
          <t>2026-08-26</t>
        </is>
      </c>
      <c r="B7" s="8" t="inlineStr">
        <is>
          <t>Box PO placed</t>
        </is>
      </c>
      <c r="C7" s="9" t="n"/>
      <c r="D7" s="9" t="n"/>
      <c r="E7" s="9" t="n">
        <v>175</v>
      </c>
      <c r="F7" s="9" t="n"/>
      <c r="G7" s="8" t="inlineStr">
        <is>
          <t>2-week lead; arrives 2026-09-09</t>
        </is>
      </c>
    </row>
    <row r="8">
      <c r="A8" s="8" t="inlineStr">
        <is>
          <t>2026-09-09</t>
        </is>
      </c>
      <c r="B8" s="8" t="inlineStr">
        <is>
          <t>Box delivery to KWE</t>
        </is>
      </c>
      <c r="C8" s="9" t="n"/>
      <c r="D8" s="9" t="n"/>
      <c r="E8" s="9" t="n">
        <v>175</v>
      </c>
      <c r="F8" s="9" t="n">
        <v>2</v>
      </c>
      <c r="G8" s="8" t="n"/>
    </row>
    <row r="9">
      <c r="A9" s="8" t="inlineStr">
        <is>
          <t>2026-09-10</t>
        </is>
      </c>
      <c r="B9" s="8" t="inlineStr">
        <is>
          <t>Part B release to KWE</t>
        </is>
      </c>
      <c r="C9" s="9" t="n"/>
      <c r="D9" s="9" t="n">
        <v>180</v>
      </c>
      <c r="E9" s="9" t="n"/>
      <c r="F9" s="9" t="n">
        <v>2</v>
      </c>
      <c r="G9" s="8" t="inlineStr">
        <is>
          <t>Richmond B after: 90</t>
        </is>
      </c>
    </row>
    <row r="10">
      <c r="A10" s="8" t="inlineStr">
        <is>
          <t>2026-09-16</t>
        </is>
      </c>
      <c r="B10" s="8" t="inlineStr">
        <is>
          <t>Part A release to KWE</t>
        </is>
      </c>
      <c r="C10" s="9" t="n">
        <v>200</v>
      </c>
      <c r="D10" s="9" t="n"/>
      <c r="E10" s="9" t="n"/>
      <c r="F10" s="9" t="n">
        <v>4</v>
      </c>
      <c r="G10" s="8" t="inlineStr">
        <is>
          <t>Richmond A after: 100</t>
        </is>
      </c>
    </row>
    <row r="11">
      <c r="A11" s="8" t="inlineStr">
        <is>
          <t>2026-10-18</t>
        </is>
      </c>
      <c r="B11" s="8" t="inlineStr">
        <is>
          <t>Box PO placed</t>
        </is>
      </c>
      <c r="C11" s="9" t="n"/>
      <c r="D11" s="9" t="n"/>
      <c r="E11" s="9" t="n">
        <v>175</v>
      </c>
      <c r="F11" s="9" t="n"/>
      <c r="G11" s="8" t="inlineStr">
        <is>
          <t>2-week lead; arrives 2026-11-01</t>
        </is>
      </c>
    </row>
    <row r="12">
      <c r="A12" s="6" t="inlineStr">
        <is>
          <t>2026-10-28</t>
        </is>
      </c>
      <c r="B12" s="6" t="inlineStr">
        <is>
          <t>Pratt PO-2 placed</t>
        </is>
      </c>
      <c r="C12" s="7" t="n">
        <v>500</v>
      </c>
      <c r="D12" s="7" t="n">
        <v>450</v>
      </c>
      <c r="E12" s="7" t="n"/>
      <c r="F12" s="7" t="n"/>
      <c r="G12" s="6" t="inlineStr">
        <is>
          <t>MOQ for Richmond hold; in stock 2026-11-25</t>
        </is>
      </c>
    </row>
    <row r="13">
      <c r="A13" s="8" t="inlineStr">
        <is>
          <t>2026-11-01</t>
        </is>
      </c>
      <c r="B13" s="8" t="inlineStr">
        <is>
          <t>Box delivery to KWE</t>
        </is>
      </c>
      <c r="C13" s="9" t="n"/>
      <c r="D13" s="9" t="n"/>
      <c r="E13" s="9" t="n">
        <v>175</v>
      </c>
      <c r="F13" s="9" t="n">
        <v>2</v>
      </c>
      <c r="G13" s="8" t="n"/>
    </row>
    <row r="14">
      <c r="A14" s="8" t="inlineStr">
        <is>
          <t>2026-11-04</t>
        </is>
      </c>
      <c r="B14" s="8" t="inlineStr">
        <is>
          <t>Part B release to KWE</t>
        </is>
      </c>
      <c r="C14" s="9" t="n"/>
      <c r="D14" s="9" t="n">
        <v>90</v>
      </c>
      <c r="E14" s="9" t="n"/>
      <c r="F14" s="9" t="n">
        <v>1</v>
      </c>
      <c r="G14" s="8" t="inlineStr">
        <is>
          <t>Richmond B after: 0 (partial)</t>
        </is>
      </c>
    </row>
    <row r="15">
      <c r="A15" s="8" t="inlineStr">
        <is>
          <t>2026-11-16</t>
        </is>
      </c>
      <c r="B15" s="8" t="inlineStr">
        <is>
          <t>Part A release to KWE</t>
        </is>
      </c>
      <c r="C15" s="9" t="n">
        <v>100</v>
      </c>
      <c r="D15" s="9" t="n"/>
      <c r="E15" s="9" t="n"/>
      <c r="F15" s="9" t="n">
        <v>2</v>
      </c>
      <c r="G15" s="8" t="inlineStr">
        <is>
          <t>Richmond A after: 0 (partial)</t>
        </is>
      </c>
    </row>
    <row r="16">
      <c r="A16" s="8" t="inlineStr">
        <is>
          <t>2026-12-09</t>
        </is>
      </c>
      <c r="B16" s="8" t="inlineStr">
        <is>
          <t>Part B release to KWE</t>
        </is>
      </c>
      <c r="C16" s="9" t="n"/>
      <c r="D16" s="9" t="n">
        <v>180</v>
      </c>
      <c r="E16" s="9" t="n"/>
      <c r="F16" s="9" t="n">
        <v>2</v>
      </c>
      <c r="G16" s="8" t="inlineStr">
        <is>
          <t>Richmond B after: 270</t>
        </is>
      </c>
    </row>
    <row r="17">
      <c r="A17" s="8" t="inlineStr">
        <is>
          <t>2026-12-10</t>
        </is>
      </c>
      <c r="B17" s="8" t="inlineStr">
        <is>
          <t>Box PO placed</t>
        </is>
      </c>
      <c r="C17" s="9" t="n"/>
      <c r="D17" s="9" t="n"/>
      <c r="E17" s="9" t="n">
        <v>175</v>
      </c>
      <c r="F17" s="9" t="n"/>
      <c r="G17" s="8" t="inlineStr">
        <is>
          <t>2-week lead; arrives 2026-12-24</t>
        </is>
      </c>
    </row>
    <row r="18">
      <c r="A18" s="8" t="inlineStr">
        <is>
          <t>2026-12-16</t>
        </is>
      </c>
      <c r="B18" s="8" t="inlineStr">
        <is>
          <t>Part A release to KWE</t>
        </is>
      </c>
      <c r="C18" s="9" t="n">
        <v>200</v>
      </c>
      <c r="D18" s="9" t="n"/>
      <c r="E18" s="9" t="n"/>
      <c r="F18" s="9" t="n">
        <v>4</v>
      </c>
      <c r="G18" s="8" t="inlineStr">
        <is>
          <t>Richmond A after: 300</t>
        </is>
      </c>
    </row>
    <row r="19">
      <c r="A19" s="8" t="inlineStr">
        <is>
          <t>2026-12-24</t>
        </is>
      </c>
      <c r="B19" s="8" t="inlineStr">
        <is>
          <t>Box delivery to KWE</t>
        </is>
      </c>
      <c r="C19" s="9" t="n"/>
      <c r="D19" s="9" t="n"/>
      <c r="E19" s="9" t="n">
        <v>175</v>
      </c>
      <c r="F19" s="9" t="n">
        <v>2</v>
      </c>
      <c r="G19" s="8" t="n"/>
    </row>
    <row r="20">
      <c r="A20" s="8" t="inlineStr">
        <is>
          <t>2027-01-25</t>
        </is>
      </c>
      <c r="B20" s="8" t="inlineStr">
        <is>
          <t>Part B release to KWE</t>
        </is>
      </c>
      <c r="C20" s="9" t="n"/>
      <c r="D20" s="9" t="n">
        <v>180</v>
      </c>
      <c r="E20" s="9" t="n"/>
      <c r="F20" s="9" t="n">
        <v>2</v>
      </c>
      <c r="G20" s="8" t="inlineStr">
        <is>
          <t>Richmond B after: 90</t>
        </is>
      </c>
    </row>
    <row r="21">
      <c r="A21" s="8" t="inlineStr">
        <is>
          <t>2027-02-01</t>
        </is>
      </c>
      <c r="B21" s="8" t="inlineStr">
        <is>
          <t>Box PO placed</t>
        </is>
      </c>
      <c r="C21" s="9" t="n"/>
      <c r="D21" s="9" t="n"/>
      <c r="E21" s="9" t="n">
        <v>175</v>
      </c>
      <c r="F21" s="9" t="n"/>
      <c r="G21" s="8" t="inlineStr">
        <is>
          <t>2-week lead; arrives 2027-02-15</t>
        </is>
      </c>
    </row>
    <row r="22">
      <c r="A22" s="8" t="inlineStr">
        <is>
          <t>2027-02-15</t>
        </is>
      </c>
      <c r="B22" s="8" t="inlineStr">
        <is>
          <t>Part A release to KWE</t>
        </is>
      </c>
      <c r="C22" s="9" t="n">
        <v>200</v>
      </c>
      <c r="D22" s="9" t="n"/>
      <c r="E22" s="9" t="n"/>
      <c r="F22" s="9" t="n">
        <v>4</v>
      </c>
      <c r="G22" s="8" t="inlineStr">
        <is>
          <t>Richmond A after: 100</t>
        </is>
      </c>
    </row>
    <row r="23">
      <c r="A23" s="8" t="inlineStr">
        <is>
          <t>2027-02-15</t>
        </is>
      </c>
      <c r="B23" s="8" t="inlineStr">
        <is>
          <t>Box delivery to KWE</t>
        </is>
      </c>
      <c r="C23" s="9" t="n"/>
      <c r="D23" s="9" t="n"/>
      <c r="E23" s="9" t="n">
        <v>175</v>
      </c>
      <c r="F23" s="9" t="n">
        <v>2</v>
      </c>
      <c r="G23" s="8" t="n"/>
    </row>
    <row r="24">
      <c r="A24" s="6" t="inlineStr">
        <is>
          <t>2027-03-14</t>
        </is>
      </c>
      <c r="B24" s="6" t="inlineStr">
        <is>
          <t>Pratt PO-3 placed</t>
        </is>
      </c>
      <c r="C24" s="7" t="n">
        <v>500</v>
      </c>
      <c r="D24" s="7" t="n">
        <v>450</v>
      </c>
      <c r="E24" s="7" t="n"/>
      <c r="F24" s="7" t="n"/>
      <c r="G24" s="6" t="inlineStr">
        <is>
          <t>MOQ for Richmond hold; in stock 2027-04-11</t>
        </is>
      </c>
    </row>
    <row r="25">
      <c r="A25" s="8" t="inlineStr">
        <is>
          <t>2027-03-21</t>
        </is>
      </c>
      <c r="B25" s="8" t="inlineStr">
        <is>
          <t>Part B release to KWE</t>
        </is>
      </c>
      <c r="C25" s="9" t="n"/>
      <c r="D25" s="9" t="n">
        <v>90</v>
      </c>
      <c r="E25" s="9" t="n"/>
      <c r="F25" s="9" t="n">
        <v>1</v>
      </c>
      <c r="G25" s="8" t="inlineStr">
        <is>
          <t>Richmond B after: 0 (partial)</t>
        </is>
      </c>
    </row>
    <row r="26">
      <c r="A26" s="8" t="inlineStr">
        <is>
          <t>2027-03-27</t>
        </is>
      </c>
      <c r="B26" s="8" t="inlineStr">
        <is>
          <t>Box PO placed</t>
        </is>
      </c>
      <c r="C26" s="9" t="n"/>
      <c r="D26" s="9" t="n"/>
      <c r="E26" s="9" t="n">
        <v>175</v>
      </c>
      <c r="F26" s="9" t="n"/>
      <c r="G26" s="8" t="inlineStr">
        <is>
          <t>2-week lead; arrives 2027-04-10</t>
        </is>
      </c>
    </row>
    <row r="27">
      <c r="A27" s="8" t="inlineStr">
        <is>
          <t>2027-04-10</t>
        </is>
      </c>
      <c r="B27" s="8" t="inlineStr">
        <is>
          <t>Box delivery to KWE</t>
        </is>
      </c>
      <c r="C27" s="9" t="n"/>
      <c r="D27" s="9" t="n"/>
      <c r="E27" s="9" t="n">
        <v>175</v>
      </c>
      <c r="F27" s="9" t="n">
        <v>2</v>
      </c>
      <c r="G27" s="8" t="n"/>
    </row>
    <row r="28">
      <c r="A28" s="8" t="inlineStr">
        <is>
          <t>2027-04-17</t>
        </is>
      </c>
      <c r="B28" s="8" t="inlineStr">
        <is>
          <t>Part A release to KWE</t>
        </is>
      </c>
      <c r="C28" s="9" t="n">
        <v>100</v>
      </c>
      <c r="D28" s="9" t="n"/>
      <c r="E28" s="9" t="n"/>
      <c r="F28" s="9" t="n">
        <v>2</v>
      </c>
      <c r="G28" s="8" t="inlineStr">
        <is>
          <t>Richmond A after: 500 (partial)</t>
        </is>
      </c>
    </row>
    <row r="29">
      <c r="A29" s="8" t="inlineStr">
        <is>
          <t>2027-04-25</t>
        </is>
      </c>
      <c r="B29" s="8" t="inlineStr">
        <is>
          <t>Part B release to KWE</t>
        </is>
      </c>
      <c r="C29" s="9" t="n"/>
      <c r="D29" s="9" t="n">
        <v>180</v>
      </c>
      <c r="E29" s="9" t="n"/>
      <c r="F29" s="9" t="n">
        <v>2</v>
      </c>
      <c r="G29" s="8" t="inlineStr">
        <is>
          <t>Richmond B after: 270</t>
        </is>
      </c>
    </row>
    <row r="30">
      <c r="A30" s="8" t="inlineStr">
        <is>
          <t>2027-05-18</t>
        </is>
      </c>
      <c r="B30" s="8" t="inlineStr">
        <is>
          <t>Part A release to KWE</t>
        </is>
      </c>
      <c r="C30" s="9" t="n">
        <v>200</v>
      </c>
      <c r="D30" s="9" t="n"/>
      <c r="E30" s="9" t="n"/>
      <c r="F30" s="9" t="n">
        <v>4</v>
      </c>
      <c r="G30" s="8" t="inlineStr">
        <is>
          <t>Richmond A after: 300</t>
        </is>
      </c>
    </row>
    <row r="31">
      <c r="A31" s="8" t="inlineStr">
        <is>
          <t>2027-05-19</t>
        </is>
      </c>
      <c r="B31" s="8" t="inlineStr">
        <is>
          <t>Box PO placed</t>
        </is>
      </c>
      <c r="C31" s="9" t="n"/>
      <c r="D31" s="9" t="n"/>
      <c r="E31" s="9" t="n">
        <v>175</v>
      </c>
      <c r="F31" s="9" t="n"/>
      <c r="G31" s="8" t="inlineStr">
        <is>
          <t>2-week lead; arrives 2027-06-02</t>
        </is>
      </c>
    </row>
    <row r="32">
      <c r="A32" s="8" t="inlineStr">
        <is>
          <t>2027-06-02</t>
        </is>
      </c>
      <c r="B32" s="8" t="inlineStr">
        <is>
          <t>Box delivery to KWE</t>
        </is>
      </c>
      <c r="C32" s="9" t="n"/>
      <c r="D32" s="9" t="n"/>
      <c r="E32" s="9" t="n">
        <v>175</v>
      </c>
      <c r="F32" s="9" t="n">
        <v>2</v>
      </c>
      <c r="G32" s="8" t="n"/>
    </row>
    <row r="33">
      <c r="A33" s="8" t="inlineStr">
        <is>
          <t>2027-06-11</t>
        </is>
      </c>
      <c r="B33" s="8" t="inlineStr">
        <is>
          <t>Part B release to KWE</t>
        </is>
      </c>
      <c r="C33" s="9" t="n"/>
      <c r="D33" s="9" t="n">
        <v>180</v>
      </c>
      <c r="E33" s="9" t="n"/>
      <c r="F33" s="9" t="n">
        <v>2</v>
      </c>
      <c r="G33" s="8" t="inlineStr">
        <is>
          <t>Richmond B after: 90</t>
        </is>
      </c>
    </row>
    <row r="34">
      <c r="A34" s="8" t="inlineStr">
        <is>
          <t>2027-07-11</t>
        </is>
      </c>
      <c r="B34" s="8" t="inlineStr">
        <is>
          <t>Box PO placed</t>
        </is>
      </c>
      <c r="C34" s="9" t="n"/>
      <c r="D34" s="9" t="n"/>
      <c r="E34" s="9" t="n">
        <v>175</v>
      </c>
      <c r="F34" s="9" t="n"/>
      <c r="G34" s="8" t="inlineStr">
        <is>
          <t>2-week lead; arrives 2027-07-25</t>
        </is>
      </c>
    </row>
    <row r="35">
      <c r="A35" s="8" t="inlineStr">
        <is>
          <t>2027-07-18</t>
        </is>
      </c>
      <c r="B35" s="8" t="inlineStr">
        <is>
          <t>Part A release to KWE</t>
        </is>
      </c>
      <c r="C35" s="9" t="n">
        <v>200</v>
      </c>
      <c r="D35" s="9" t="n"/>
      <c r="E35" s="9" t="n"/>
      <c r="F35" s="9" t="n">
        <v>4</v>
      </c>
      <c r="G35" s="8" t="inlineStr">
        <is>
          <t>Richmond A after: 100</t>
        </is>
      </c>
    </row>
    <row r="36">
      <c r="A36" s="8" t="inlineStr">
        <is>
          <t>2027-07-25</t>
        </is>
      </c>
      <c r="B36" s="8" t="inlineStr">
        <is>
          <t>Box delivery to KWE</t>
        </is>
      </c>
      <c r="C36" s="9" t="n"/>
      <c r="D36" s="9" t="n"/>
      <c r="E36" s="9" t="n">
        <v>175</v>
      </c>
      <c r="F36" s="9" t="n">
        <v>2</v>
      </c>
      <c r="G36" s="8" t="n"/>
    </row>
  </sheetData>
  <autoFilter ref="A4:G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2" customWidth="1" min="2" max="2"/>
    <col width="20" customWidth="1" min="3" max="3"/>
    <col width="30" customWidth="1" min="4" max="4"/>
  </cols>
  <sheetData>
    <row r="1">
      <c r="A1" s="1" t="inlineStr">
        <is>
          <t>Operating Rules — Reorder Triggers (Rev B, per-part drops)</t>
        </is>
      </c>
    </row>
    <row r="2">
      <c r="A2" s="2" t="inlineStr">
        <is>
          <t>Each part rides its own cadence. Ask Pratt to combine drops onto one truck when dates land close. Ask to true up the A-heavy MOQ mix every 2nd-3rd PO (Opt 1 accrues +50 A per MOQ vs 1:1 usage).</t>
        </is>
      </c>
    </row>
    <row r="3"/>
    <row r="4">
      <c r="A4" s="3" t="inlineStr">
        <is>
          <t>Part</t>
        </is>
      </c>
      <c r="B4" s="3" t="inlineStr">
        <is>
          <t>Order / release when…</t>
        </is>
      </c>
      <c r="C4" s="3" t="inlineStr">
        <is>
          <t>Drop size (Opt 1)</t>
        </is>
      </c>
      <c r="D4" s="3" t="inlineStr">
        <is>
          <t>Effective cadence (Opt 1)</t>
        </is>
      </c>
    </row>
    <row r="5">
      <c r="A5" s="4" t="inlineStr">
        <is>
          <t>Part A</t>
        </is>
      </c>
      <c r="B5" s="4" t="inlineStr">
        <is>
          <t>On-hand ≤ ~96 units (≈ 50 left at arrival, 2-week release lead)</t>
        </is>
      </c>
      <c r="C5" s="4" t="inlineStr">
        <is>
          <t>200 units (4 pallets)</t>
        </is>
      </c>
      <c r="D5" s="4" t="inlineStr">
        <is>
          <t>every ~2 months</t>
        </is>
      </c>
    </row>
    <row r="6">
      <c r="A6" s="4" t="inlineStr">
        <is>
          <t>Part B</t>
        </is>
      </c>
      <c r="B6" s="4" t="inlineStr">
        <is>
          <t>On-hand ≤ ~96 units</t>
        </is>
      </c>
      <c r="C6" s="4" t="inlineStr">
        <is>
          <t>180 units (2 pallets)</t>
        </is>
      </c>
      <c r="D6" s="4" t="inlineStr">
        <is>
          <t>every ~1.8 months</t>
        </is>
      </c>
    </row>
    <row r="7">
      <c r="A7" s="4" t="inlineStr">
        <is>
          <t>Boxes</t>
        </is>
      </c>
      <c r="B7" s="4" t="inlineStr">
        <is>
          <t>On-hand ≤ ~96 units → place PO (2-week production lead)</t>
        </is>
      </c>
      <c r="C7" s="4" t="inlineStr">
        <is>
          <t>175 (2 pallets)</t>
        </is>
      </c>
      <c r="D7" s="4" t="inlineStr">
        <is>
          <t>every ~7.5 weeks</t>
        </is>
      </c>
    </row>
    <row r="8">
      <c r="A8" s="10" t="inlineStr">
        <is>
          <t>New Pratt MOQ PO</t>
        </is>
      </c>
      <c r="B8" s="10" t="inlineStr">
        <is>
          <t>Total A or B runway (Sterling + Richmond hold) ≤ ~7 weeks</t>
        </is>
      </c>
      <c r="C8" s="10" t="inlineStr">
        <is>
          <t>MOQ 500 A / 450 B</t>
        </is>
      </c>
      <c r="D8" s="10" t="inlineStr">
        <is>
          <t>every ~4.5 months · ~3/year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62" customWidth="1" min="3" max="3"/>
  </cols>
  <sheetData>
    <row r="1">
      <c r="A1" s="1" t="inlineStr">
        <is>
          <t>Pratt Quote &amp; Model Assumptions — Rev B (Jul 9)</t>
        </is>
      </c>
    </row>
    <row r="2">
      <c r="A2" s="2" t="inlineStr">
        <is>
          <t>Source: Pratt Industries quote + Jul 9 delivery-options clarification.</t>
        </is>
      </c>
    </row>
    <row r="3"/>
    <row r="4">
      <c r="A4" s="3" t="inlineStr">
        <is>
          <t>Item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Custom box 24x16x18 ID</t>
        </is>
      </c>
      <c r="B5" s="4" t="inlineStr">
        <is>
          <t>$5.50 each</t>
        </is>
      </c>
      <c r="C5" s="4" t="inlineStr">
        <is>
          <t>Pratt will NOT hold boxes; 2-week production lead</t>
        </is>
      </c>
    </row>
    <row r="6">
      <c r="A6" s="11" t="inlineStr">
        <is>
          <t>Box pallet count</t>
        </is>
      </c>
      <c r="B6" s="11" t="inlineStr">
        <is>
          <t>83/pallet per Pratt</t>
        </is>
      </c>
      <c r="C6" s="11" t="inlineStr">
        <is>
          <t>CONFIRM: 2 plt x 83 = 166 but quoted as '175 total' (Opt 2: 3 x 83 = 249 vs '250')</t>
        </is>
      </c>
    </row>
    <row r="7">
      <c r="A7" s="4" t="inlineStr">
        <is>
          <t>Insulation set (A+B)</t>
        </is>
      </c>
      <c r="B7" s="4" t="inlineStr">
        <is>
          <t>$11.60 / set</t>
        </is>
      </c>
      <c r="C7" s="4" t="inlineStr">
        <is>
          <t>Confirm billing when A and B ship separately</t>
        </is>
      </c>
    </row>
    <row r="8">
      <c r="A8" s="4" t="inlineStr">
        <is>
          <t>Insulation MOQ — Opt 1</t>
        </is>
      </c>
      <c r="B8" s="4" t="inlineStr">
        <is>
          <t>500 A / 450 B (15 plt)</t>
        </is>
      </c>
      <c r="C8" s="4" t="inlineStr">
        <is>
          <t>Pratt holds in Richmond, releases in fixed drops</t>
        </is>
      </c>
    </row>
    <row r="9">
      <c r="A9" s="4" t="inlineStr">
        <is>
          <t>Insulation MOQ — Opt 2</t>
        </is>
      </c>
      <c r="B9" s="4" t="inlineStr">
        <is>
          <t>500 A / 540 B</t>
        </is>
      </c>
      <c r="C9" s="4">
        <f> exactly 2 drops of each part</f>
        <v/>
      </c>
    </row>
    <row r="10">
      <c r="A10" s="4" t="inlineStr">
        <is>
          <t>Sub-MOQ option</t>
        </is>
      </c>
      <c r="B10" s="4" t="inlineStr">
        <is>
          <t>+$400 / order</t>
        </is>
      </c>
      <c r="C10" s="4" t="inlineStr">
        <is>
          <t>Min 4 plt A (200) + 3 plt B (270) — fallback only</t>
        </is>
      </c>
    </row>
    <row r="11">
      <c r="A11" s="4" t="inlineStr">
        <is>
          <t>Part A pack-out</t>
        </is>
      </c>
      <c r="B11" s="4" t="inlineStr">
        <is>
          <t>50 / pallet</t>
        </is>
      </c>
      <c r="C11" s="4" t="inlineStr">
        <is>
          <t>Space hog: a 200-unit drop = 4 positions</t>
        </is>
      </c>
    </row>
    <row r="12">
      <c r="A12" s="4" t="inlineStr">
        <is>
          <t>Part B pack-out</t>
        </is>
      </c>
      <c r="B12" s="4" t="inlineStr">
        <is>
          <t>90 / pallet</t>
        </is>
      </c>
      <c r="C12" s="4" t="inlineStr"/>
    </row>
    <row r="13">
      <c r="A13" s="4" t="inlineStr">
        <is>
          <t>Usage rate</t>
        </is>
      </c>
      <c r="B13" s="4" t="inlineStr">
        <is>
          <t>100 boxes / month</t>
        </is>
      </c>
      <c r="C13" s="4">
        <f> 100 boxes + 100 A + 100 B (assumed 1:1:1)</f>
        <v/>
      </c>
    </row>
    <row r="14">
      <c r="A14" s="11" t="inlineStr">
        <is>
          <t>KWE Sterling space</t>
        </is>
      </c>
      <c r="B14" s="11" t="inlineStr">
        <is>
          <t>UNKNOWN</t>
        </is>
      </c>
      <c r="C14" s="11" t="inlineStr">
        <is>
          <t>Not yet negotiated — the gating question. Rev A's ~6 was our guess.</t>
        </is>
      </c>
    </row>
    <row r="15">
      <c r="A15" s="11" t="inlineStr">
        <is>
          <t>Pratt holding fee (insulation)</t>
        </is>
      </c>
      <c r="B15" s="11" t="inlineStr">
        <is>
          <t>TBD</t>
        </is>
      </c>
      <c r="C15" s="11" t="inlineStr">
        <is>
          <t>Requested 7/7 — chase</t>
        </is>
      </c>
    </row>
    <row r="16">
      <c r="A16" s="11" t="inlineStr">
        <is>
          <t>Freight Richmond → Sterling</t>
        </is>
      </c>
      <c r="B16" s="11" t="inlineStr">
        <is>
          <t>TBD</t>
        </is>
      </c>
      <c r="C16" s="11" t="inlineStr">
        <is>
          <t>Decides Option 1 (21 drops/yr) vs Option 2 (12 drops/yr)</t>
        </is>
      </c>
    </row>
    <row r="17">
      <c r="A17" s="11" t="inlineStr">
        <is>
          <t>Insulation production lead</t>
        </is>
      </c>
      <c r="B17" s="11" t="inlineStr">
        <is>
          <t>4 weeks (assumed)</t>
        </is>
      </c>
      <c r="C17" s="11" t="inlineStr">
        <is>
          <t>Unconfirmed</t>
        </is>
      </c>
    </row>
    <row r="18">
      <c r="A18" s="11" t="inlineStr">
        <is>
          <t>Release notice from hold</t>
        </is>
      </c>
      <c r="B18" s="11" t="inlineStr">
        <is>
          <t>2 weeks (assumed)</t>
        </is>
      </c>
      <c r="C18" s="11" t="inlineStr">
        <is>
          <t>Confirm with Pratt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8" customWidth="1" min="4" max="4"/>
  </cols>
  <sheetData>
    <row r="1">
      <c r="A1" s="1" t="inlineStr">
        <is>
          <t>Materials Spend — excludes freight &amp; Pratt holding fee (both TBD)</t>
        </is>
      </c>
    </row>
    <row r="2">
      <c r="A2" s="2" t="inlineStr">
        <is>
          <t>Unit economics identical across options; they differ in freight trips (21 vs 12/yr), space (8/11 vs 11/14 positions) and inventory on hand (~2 vs ~2.6 months).</t>
        </is>
      </c>
    </row>
    <row r="3"/>
    <row r="4">
      <c r="A4" s="3" t="inlineStr">
        <is>
          <t>Line</t>
        </is>
      </c>
      <c r="B4" s="3" t="inlineStr">
        <is>
          <t>Monthly</t>
        </is>
      </c>
      <c r="C4" s="3" t="inlineStr">
        <is>
          <t>Annual</t>
        </is>
      </c>
      <c r="D4" s="3" t="inlineStr">
        <is>
          <t>Per order</t>
        </is>
      </c>
    </row>
    <row r="5">
      <c r="A5" s="8" t="inlineStr">
        <is>
          <t>Boxes — 100 × $5.50</t>
        </is>
      </c>
      <c r="B5" s="12" t="n">
        <v>550</v>
      </c>
      <c r="C5" s="12" t="n">
        <v>6600</v>
      </c>
      <c r="D5" s="8" t="inlineStr">
        <is>
          <t>$962.50/drop (Opt 1) · $1,375/drop (Opt 2)</t>
        </is>
      </c>
    </row>
    <row r="6">
      <c r="A6" s="8" t="inlineStr">
        <is>
          <t>Insulation — 100 sets × $11.60</t>
        </is>
      </c>
      <c r="B6" s="12" t="n">
        <v>1160</v>
      </c>
      <c r="C6" s="12" t="n">
        <v>13920</v>
      </c>
      <c r="D6" s="8" t="inlineStr">
        <is>
          <t>~$5,220–5,800 per MOQ PO (billing basis TBC)</t>
        </is>
      </c>
    </row>
    <row r="7">
      <c r="A7" s="13" t="inlineStr">
        <is>
          <t>Total materials (≈ $17.10 per shipped box)</t>
        </is>
      </c>
      <c r="B7" s="14" t="n">
        <v>1710</v>
      </c>
      <c r="C7" s="14" t="n">
        <v>20520</v>
      </c>
      <c r="D7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2026-07-10T15:30:50Z</dcterms:created>
  <dcterms:modified xsi:type="dcterms:W3CDTF">2026-07-10T15:30:50Z</dcterms:modified>
</cp:coreProperties>
</file>