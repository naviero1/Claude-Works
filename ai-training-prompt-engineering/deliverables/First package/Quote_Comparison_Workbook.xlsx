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Extraction" sheetId="1" state="visible" r:id="rId3"/>
    <sheet name="Normalized Comparison" sheetId="2" state="visible" r:id="rId4"/>
  </sheets>
  <definedNames>
    <definedName function="false" hidden="true" localSheetId="0" name="_xlnm._FilterDatabase" vbProcedure="false">'Raw Extraction'!$A$1:$O$4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<sst xmlns="http://schemas.openxmlformats.org/spreadsheetml/2006/main" count="82" uniqueCount="69">
  <si>
    <t xml:space="preserve">Supplier</t>
  </si>
  <si>
    <t xml:space="preserve">Quoted scope</t>
  </si>
  <si>
    <t xml:space="preserve">Currency</t>
  </si>
  <si>
    <t xml:space="preserve">Quoted quantity basis</t>
  </si>
  <si>
    <t xml:space="preserve">Unit price (as stated)</t>
  </si>
  <si>
    <t xml:space="preserve">Tooling / one-time</t>
  </si>
  <si>
    <t xml:space="preserve">Freight</t>
  </si>
  <si>
    <t xml:space="preserve">Taxes</t>
  </si>
  <si>
    <t xml:space="preserve">Lead time</t>
  </si>
  <si>
    <t xml:space="preserve">Payment terms</t>
  </si>
  <si>
    <t xml:space="preserve">Quote validity</t>
  </si>
  <si>
    <t xml:space="preserve">Exclusions / notes</t>
  </si>
  <si>
    <t xml:space="preserve">Source file</t>
  </si>
  <si>
    <t xml:space="preserve">Source page</t>
  </si>
  <si>
    <t xml:space="preserve">Missing information</t>
  </si>
  <si>
    <t xml:space="preserve">Alpha Components Inc.</t>
  </si>
  <si>
    <t xml:space="preserve">Machined component, standard black anodizing included</t>
  </si>
  <si>
    <t xml:space="preserve">USD</t>
  </si>
  <si>
    <t xml:space="preserve">Tiered: 5,000 pcs and 10,000 pcs</t>
  </si>
  <si>
    <t xml:space="preserve">USD 13.90 / unit at 5,000 pcs · USD 12.60 / unit at 10,000 pcs</t>
  </si>
  <si>
    <t xml:space="preserve">USD 8,500 one-time (3 weeks)</t>
  </si>
  <si>
    <t xml:space="preserve">FOB Austin — buyer arranges freight; amount Not stated</t>
  </si>
  <si>
    <t xml:space="preserve">Not stated</t>
  </si>
  <si>
    <t xml:space="preserve">4 weeks after tooling approval</t>
  </si>
  <si>
    <t xml:space="preserve">Net 30</t>
  </si>
  <si>
    <t xml:space="preserve">60 days</t>
  </si>
  <si>
    <t xml:space="preserve">Expedite program available (+8%, lead time 2 weeks)</t>
  </si>
  <si>
    <t xml:space="preserve">Quote_Alpha_Components.pdf</t>
  </si>
  <si>
    <t xml:space="preserve">1</t>
  </si>
  <si>
    <t xml:space="preserve">Freight cost; tax treatment</t>
  </si>
  <si>
    <t xml:space="preserve">Bravo Plastics GmbH</t>
  </si>
  <si>
    <t xml:space="preserve">Molded component, surface per DIN standard</t>
  </si>
  <si>
    <t xml:space="preserve">EUR</t>
  </si>
  <si>
    <t xml:space="preserve">Per 1,000 units; tiers at 5,000 and 10,000 units</t>
  </si>
  <si>
    <t xml:space="preserve">EUR 11,900 per 1,000 units (5,000-unit tier) · EUR 10,950 per 1,000 units (10,000-unit tier)</t>
  </si>
  <si>
    <t xml:space="preserve">EUR 14,000 — not included in the prices above</t>
  </si>
  <si>
    <t xml:space="preserve">EXW Hamburg — buyer collects; freight and import duties not included; amounts Not stated</t>
  </si>
  <si>
    <t xml:space="preserve">Prices exclude VAT</t>
  </si>
  <si>
    <t xml:space="preserve">9 weeks including tooling</t>
  </si>
  <si>
    <t xml:space="preserve">Net 60</t>
  </si>
  <si>
    <t xml:space="preserve">30 days</t>
  </si>
  <si>
    <t xml:space="preserve">Color matching on request; quoted in euros</t>
  </si>
  <si>
    <t xml:space="preserve">Quote_Bravo_Plastics.pdf</t>
  </si>
  <si>
    <t xml:space="preserve">Freight and duty costs; EUR→USD conversion basis</t>
  </si>
  <si>
    <t xml:space="preserve">Cardinal Metals Ltd.</t>
  </si>
  <si>
    <t xml:space="preserve">Machined component incl. lot-level material certs and PPAP level 3</t>
  </si>
  <si>
    <t xml:space="preserve">USD 16.40 / unit at 5,000 pcs · USD 15.20 / unit at 10,000 pcs</t>
  </si>
  <si>
    <t xml:space="preserve">Waived for orders of 5,000 units or more</t>
  </si>
  <si>
    <t xml:space="preserve">DDP your dock — freight and duties included</t>
  </si>
  <si>
    <t xml:space="preserve">6 weeks, all-in</t>
  </si>
  <si>
    <t xml:space="preserve">Net 45</t>
  </si>
  <si>
    <t xml:space="preserve">90 days</t>
  </si>
  <si>
    <t xml:space="preserve">24-month warranty including anodizing defects</t>
  </si>
  <si>
    <t xml:space="preserve">Quote_Cardinal_Metals.pdf</t>
  </si>
  <si>
    <t xml:space="preserve">None material — most complete quote</t>
  </si>
  <si>
    <t xml:space="preserve">NORMALIZED COMPARISON — at the 5,000-unit tier</t>
  </si>
  <si>
    <t xml:space="preserve">Currencies are NOT converted: no EUR→USD conversion rule or basis is supplied with the quotes, so Bravo is compared in EUR and flagged. Original extracted values stay visible on the Raw Extraction sheet.</t>
  </si>
  <si>
    <t xml:space="preserve">Unit price @5,000</t>
  </si>
  <si>
    <t xml:space="preserve">Tooling amortized / unit (÷5,000)</t>
  </si>
  <si>
    <t xml:space="preserve">Comparable unit total (price + tooling)</t>
  </si>
  <si>
    <t xml:space="preserve">Freight in total?</t>
  </si>
  <si>
    <t xml:space="preserve">Scope differences to weigh</t>
  </si>
  <si>
    <t xml:space="preserve">No — FOB, freight Not stated</t>
  </si>
  <si>
    <t xml:space="preserve">Anodizing included; 12-month warranty; expedite option</t>
  </si>
  <si>
    <t xml:space="preserve">No — EXW, freight and duties Not stated</t>
  </si>
  <si>
    <t xml:space="preserve">Shortest warranty (6 months); VAT excluded; 5,000 MOQ</t>
  </si>
  <si>
    <t xml:space="preserve">Yes — DDP, freight and duties included</t>
  </si>
  <si>
    <t xml:space="preserve">Certs + PPAP included; 24-month warranty; tooling waived</t>
  </si>
  <si>
    <t xml:space="preserve">No best quote is identified: the comparison basis is incomplete. Blocking gaps — 1) EUR→USD conversion basis for Bravo; 2) freight (and, for Bravo, import duty) cost to destination for Alpha and Bravo; 3) tax treatment for Alpha and Cardinal. Resolve these, then compare like-for-like landed cost alongside warranty, lead time, and payment terms.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</si>
</sst>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3"/>
      <color rgb="FF0A5B5A"/>
      <name val="Arial"/>
      <family val="0"/>
      <charset val="1"/>
    </font>
    <font>
      <i val="true"/>
      <sz val="9"/>
      <color rgb="FF7A879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5B5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A5B5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79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5B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26"/>
    <col collapsed="false" customWidth="true" hidden="false" outlineLevel="0" max="13" min="13" style="0" width="24"/>
    <col collapsed="false" customWidth="true" hidden="false" outlineLevel="0" max="14" min="14" style="0" width="7"/>
    <col collapsed="false" customWidth="true" hidden="false" outlineLevel="0" max="15" min="15" style="0" width="2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63.75" hidden="false" customHeight="tru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customFormat="false" ht="63.75" hidden="false" customHeight="true" outlineLevel="0" collapsed="false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28</v>
      </c>
      <c r="O3" s="2" t="s">
        <v>43</v>
      </c>
    </row>
    <row r="4" customFormat="false" ht="63.75" hidden="false" customHeight="true" outlineLevel="0" collapsed="false">
      <c r="A4" s="2" t="s">
        <v>44</v>
      </c>
      <c r="B4" s="2" t="s">
        <v>45</v>
      </c>
      <c r="C4" s="2" t="s">
        <v>17</v>
      </c>
      <c r="D4" s="2" t="s">
        <v>18</v>
      </c>
      <c r="E4" s="2" t="s">
        <v>46</v>
      </c>
      <c r="F4" s="2" t="s">
        <v>47</v>
      </c>
      <c r="G4" s="2" t="s">
        <v>48</v>
      </c>
      <c r="H4" s="2" t="s">
        <v>22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28</v>
      </c>
      <c r="O4" s="2" t="s">
        <v>54</v>
      </c>
    </row>
  </sheetData>
  <autoFilter ref="A1:O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4"/>
    <col collapsed="false" customWidth="true" hidden="false" outlineLevel="0" max="7" min="7" style="0" width="34"/>
  </cols>
  <sheetData>
    <row r="1" customFormat="false" ht="16.15" hidden="false" customHeight="false" outlineLevel="0" collapsed="false">
      <c r="A1" s="3" t="s">
        <v>55</v>
      </c>
    </row>
    <row r="2" customFormat="false" ht="15" hidden="false" customHeight="true" outlineLevel="0" collapsed="false">
      <c r="A2" s="4" t="s">
        <v>56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5" customFormat="false" ht="23.85" hidden="false" customHeight="false" outlineLevel="0" collapsed="false">
      <c r="A5" s="1" t="s">
        <v>0</v>
      </c>
      <c r="B5" s="1" t="s">
        <v>2</v>
      </c>
      <c r="C5" s="1" t="s">
        <v>57</v>
      </c>
      <c r="D5" s="1" t="s">
        <v>58</v>
      </c>
      <c r="E5" s="1" t="s">
        <v>59</v>
      </c>
      <c r="F5" s="1" t="s">
        <v>60</v>
      </c>
      <c r="G5" s="1" t="s">
        <v>61</v>
      </c>
    </row>
    <row r="6" customFormat="false" ht="39.75" hidden="false" customHeight="true" outlineLevel="0" collapsed="false">
      <c r="A6" s="2" t="s">
        <v>15</v>
      </c>
      <c r="B6" s="2" t="s">
        <v>17</v>
      </c>
      <c r="C6" s="5" t="n">
        <v>13.9</v>
      </c>
      <c r="D6" s="5" t="n">
        <f aca="false">8500/5000</f>
        <v>1.7</v>
      </c>
      <c r="E6" s="5" t="n">
        <f aca="false">C6+D6</f>
        <v>15.6</v>
      </c>
      <c r="F6" s="2" t="s">
        <v>62</v>
      </c>
      <c r="G6" s="2" t="s">
        <v>63</v>
      </c>
    </row>
    <row r="7" customFormat="false" ht="39.75" hidden="false" customHeight="true" outlineLevel="0" collapsed="false">
      <c r="A7" s="2" t="s">
        <v>30</v>
      </c>
      <c r="B7" s="2" t="s">
        <v>32</v>
      </c>
      <c r="C7" s="5" t="n">
        <f aca="false">11900/1000</f>
        <v>11.9</v>
      </c>
      <c r="D7" s="5" t="n">
        <f aca="false">14000/5000</f>
        <v>2.8</v>
      </c>
      <c r="E7" s="5" t="n">
        <f aca="false">C7+D7</f>
        <v>14.7</v>
      </c>
      <c r="F7" s="2" t="s">
        <v>64</v>
      </c>
      <c r="G7" s="2" t="s">
        <v>65</v>
      </c>
    </row>
    <row r="8" customFormat="false" ht="39.75" hidden="false" customHeight="true" outlineLevel="0" collapsed="false">
      <c r="A8" s="2" t="s">
        <v>44</v>
      </c>
      <c r="B8" s="2" t="s">
        <v>17</v>
      </c>
      <c r="C8" s="5" t="n">
        <v>16.4</v>
      </c>
      <c r="D8" s="5" t="n">
        <v>0</v>
      </c>
      <c r="E8" s="5" t="n">
        <f aca="false">C8+D8</f>
        <v>16.4</v>
      </c>
      <c r="F8" s="2" t="s">
        <v>66</v>
      </c>
      <c r="G8" s="2" t="s">
        <v>67</v>
      </c>
    </row>
    <row r="10" customFormat="false" ht="15" hidden="false" customHeight="true" outlineLevel="0" collapsed="false">
      <c r="A10" s="4" t="s">
        <v>68</v>
      </c>
      <c r="B10" s="4"/>
      <c r="C10" s="4"/>
      <c r="D10" s="4"/>
      <c r="E10" s="4"/>
      <c r="F10" s="4"/>
      <c r="G10" s="4"/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</row>
  </sheetData>
  <mergeCells count="2">
    <mergeCell ref="A2:G3"/>
    <mergeCell ref="A10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2026-09-17T04:14:37Z</dcterms:created>
  <dc:creator>openpyxl</dc:creator>
  <dc:description/>
  <dc:language>en-US</dc:language>
  <cp:lastModifiedBy/>
  <dcterms:modified xsi:type="dcterms:W3CDTF">2026-09-17T04:14:37Z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