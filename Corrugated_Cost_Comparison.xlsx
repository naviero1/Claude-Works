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cenarios" sheetId="1" state="visible" r:id="rId1"/>
    <sheet name="Order Totals" sheetId="2" state="visible" r:id="rId2"/>
    <sheet name="Basis" sheetId="3" state="visible" r:id="rId3"/>
  </sheets>
  <definedNames/>
  <calcPr calcId="124519" fullCalcOnLoad="1"/>
</workbook>
</file>

<file path=xl/styles.xml><?xml version="1.0" encoding="utf-8"?>
<styleSheet xmlns="http://schemas.openxmlformats.org/spreadsheetml/2006/main">
  <numFmts count="3">
    <numFmt numFmtId="164" formatCode="$#,##0.00;($#,##0.00);-"/>
    <numFmt numFmtId="165" formatCode="+0%;-0%"/>
    <numFmt numFmtId="166" formatCode="$#,##0;($#,##0);-"/>
  </numFmts>
  <fonts count="13">
    <font>
      <name val="Calibri"/>
      <family val="2"/>
      <color theme="1"/>
      <sz val="11"/>
      <scheme val="minor"/>
    </font>
    <font>
      <name val="Arial"/>
      <b val="1"/>
      <color rgb="001F3864"/>
      <sz val="15"/>
    </font>
    <font>
      <name val="Arial"/>
      <i val="1"/>
      <color rgb="00595959"/>
      <sz val="9"/>
    </font>
    <font>
      <name val="Arial"/>
      <b val="1"/>
      <color rgb="00FFFFFF"/>
      <sz val="11"/>
    </font>
    <font>
      <name val="Arial"/>
      <b val="1"/>
      <color rgb="00FFFFFF"/>
      <sz val="10"/>
    </font>
    <font>
      <name val="Arial"/>
      <b val="1"/>
      <sz val="10"/>
    </font>
    <font>
      <name val="Arial"/>
      <b val="1"/>
      <color rgb="001F3864"/>
      <sz val="11"/>
    </font>
    <font>
      <name val="Arial"/>
      <sz val="10"/>
    </font>
    <font>
      <name val="Arial"/>
      <b val="1"/>
      <color rgb="004A3AA7"/>
      <sz val="11"/>
    </font>
    <font>
      <name val="Arial"/>
      <b val="1"/>
      <color rgb="001F3864"/>
      <sz val="10"/>
    </font>
    <font>
      <name val="Arial"/>
      <b val="1"/>
      <color rgb="004A3AA7"/>
      <sz val="10"/>
    </font>
    <font>
      <name val="Arial"/>
      <b val="1"/>
      <color rgb="00006100"/>
      <sz val="10"/>
    </font>
    <font>
      <name val="Arial"/>
      <b val="1"/>
      <color rgb="009C6500"/>
      <sz val="10"/>
    </font>
  </fonts>
  <fills count="10">
    <fill>
      <patternFill/>
    </fill>
    <fill>
      <patternFill patternType="gray125"/>
    </fill>
    <fill>
      <patternFill patternType="solid">
        <fgColor rgb="002E5C8A"/>
      </patternFill>
    </fill>
    <fill>
      <patternFill patternType="solid">
        <fgColor rgb="001F3864"/>
      </patternFill>
    </fill>
    <fill>
      <patternFill patternType="solid">
        <fgColor rgb="00E2EFDA"/>
      </patternFill>
    </fill>
    <fill>
      <patternFill patternType="solid">
        <fgColor rgb="00DCE6F1"/>
      </patternFill>
    </fill>
    <fill>
      <patternFill patternType="solid">
        <fgColor rgb="00C6EFCE"/>
      </patternFill>
    </fill>
    <fill>
      <patternFill patternType="solid">
        <fgColor rgb="00FFC7CE"/>
      </patternFill>
    </fill>
    <fill>
      <patternFill patternType="solid">
        <fgColor rgb="00FFEB9C"/>
      </patternFill>
    </fill>
    <fill>
      <patternFill patternType="solid">
        <fgColor rgb="00E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0" fontId="0" fillId="0" borderId="4" pivotButton="0" quotePrefix="0" xfId="0"/>
    <xf numFmtId="0" fontId="0" fillId="0" borderId="5" pivotButton="0" quotePrefix="0" xfId="0"/>
    <xf numFmtId="0" fontId="4" fillId="3" borderId="1" applyAlignment="1" pivotButton="0" quotePrefix="0" xfId="0">
      <alignment horizontal="center" vertical="center" wrapText="1"/>
    </xf>
    <xf numFmtId="0" fontId="5" fillId="0" borderId="1" applyAlignment="1" pivotButton="0" quotePrefix="0" xfId="0">
      <alignment vertical="top" wrapText="1"/>
    </xf>
    <xf numFmtId="164" fontId="6" fillId="4" borderId="1" applyAlignment="1" pivotButton="0" quotePrefix="0" xfId="0">
      <alignment horizontal="center" vertical="center" wrapText="1"/>
    </xf>
    <xf numFmtId="164" fontId="6" fillId="5" borderId="1" applyAlignment="1" pivotButton="0" quotePrefix="0" xfId="0">
      <alignment horizontal="center" vertical="center" wrapText="1"/>
    </xf>
    <xf numFmtId="0" fontId="7" fillId="0" borderId="1" applyAlignment="1" pivotButton="0" quotePrefix="0" xfId="0">
      <alignment vertical="top" wrapText="1"/>
    </xf>
    <xf numFmtId="165" fontId="0" fillId="0" borderId="1" applyAlignment="1" pivotButton="0" quotePrefix="0" xfId="0">
      <alignment horizontal="center" vertical="center" wrapText="1"/>
    </xf>
    <xf numFmtId="164" fontId="8" fillId="4" borderId="1" applyAlignment="1" pivotButton="0" quotePrefix="0" xfId="0">
      <alignment horizontal="center" vertical="center" wrapText="1"/>
    </xf>
    <xf numFmtId="164" fontId="8" fillId="5" borderId="1" applyAlignment="1" pivotButton="0" quotePrefix="0" xfId="0">
      <alignment horizontal="center" vertical="center" wrapText="1"/>
    </xf>
    <xf numFmtId="164" fontId="0" fillId="0" borderId="1" applyAlignment="1" pivotButton="0" quotePrefix="0" xfId="0">
      <alignment horizontal="center" vertical="center" wrapText="1"/>
    </xf>
    <xf numFmtId="164" fontId="6" fillId="0" borderId="1" applyAlignment="1" pivotButton="0" quotePrefix="0" xfId="0">
      <alignment horizontal="center" vertical="center" wrapText="1"/>
    </xf>
    <xf numFmtId="164" fontId="8" fillId="6" borderId="1" applyAlignment="1" pivotButton="0" quotePrefix="0" xfId="0">
      <alignment horizontal="center" vertical="center" wrapText="1"/>
    </xf>
    <xf numFmtId="164" fontId="0" fillId="7" borderId="1" applyAlignment="1" pivotButton="0" quotePrefix="0" xfId="0">
      <alignment horizontal="center" vertical="center" wrapText="1"/>
    </xf>
    <xf numFmtId="0" fontId="7" fillId="7" borderId="1" applyAlignment="1" pivotButton="0" quotePrefix="0" xfId="0">
      <alignment vertical="top" wrapText="1"/>
    </xf>
    <xf numFmtId="164" fontId="0" fillId="6" borderId="1" applyAlignment="1" pivotButton="0" quotePrefix="0" xfId="0">
      <alignment horizontal="center" vertical="center" wrapText="1"/>
    </xf>
    <xf numFmtId="0" fontId="7" fillId="6" borderId="1" applyAlignment="1" pivotButton="0" quotePrefix="0" xfId="0">
      <alignment vertical="top" wrapText="1"/>
    </xf>
    <xf numFmtId="0" fontId="9" fillId="0" borderId="1" applyAlignment="1" pivotButton="0" quotePrefix="0" xfId="0">
      <alignment vertical="top" wrapText="1"/>
    </xf>
    <xf numFmtId="0" fontId="0" fillId="0" borderId="1" applyAlignment="1" pivotButton="0" quotePrefix="0" xfId="0">
      <alignment vertical="top" wrapText="1"/>
    </xf>
    <xf numFmtId="0" fontId="5" fillId="4" borderId="1" applyAlignment="1" pivotButton="0" quotePrefix="0" xfId="0">
      <alignment horizontal="center" vertical="center" wrapText="1"/>
    </xf>
    <xf numFmtId="164" fontId="0" fillId="4" borderId="1" applyAlignment="1" pivotButton="0" quotePrefix="0" xfId="0">
      <alignment horizontal="center" vertical="center" wrapText="1"/>
    </xf>
    <xf numFmtId="166" fontId="0" fillId="4" borderId="1" applyAlignment="1" pivotButton="0" quotePrefix="0" xfId="0">
      <alignment horizontal="center" vertical="center" wrapText="1"/>
    </xf>
    <xf numFmtId="164" fontId="10" fillId="4" borderId="1" applyAlignment="1" pivotButton="0" quotePrefix="0" xfId="0">
      <alignment horizontal="center" vertical="center" wrapText="1"/>
    </xf>
    <xf numFmtId="0" fontId="5" fillId="0" borderId="1" applyAlignment="1" pivotButton="0" quotePrefix="0" xfId="0">
      <alignment horizontal="center" vertical="center" wrapText="1"/>
    </xf>
    <xf numFmtId="166" fontId="0" fillId="0" borderId="1" applyAlignment="1" pivotButton="0" quotePrefix="0" xfId="0">
      <alignment horizontal="center" vertical="center" wrapText="1"/>
    </xf>
    <xf numFmtId="164" fontId="10" fillId="0" borderId="1" applyAlignment="1" pivotButton="0" quotePrefix="0" xfId="0">
      <alignment horizontal="center" vertical="center" wrapText="1"/>
    </xf>
    <xf numFmtId="0" fontId="11" fillId="0" borderId="1" applyAlignment="1" pivotButton="0" quotePrefix="0" xfId="0">
      <alignment vertical="top" wrapText="1"/>
    </xf>
    <xf numFmtId="0" fontId="11" fillId="6" borderId="1" applyAlignment="1" pivotButton="0" quotePrefix="0" xfId="0">
      <alignment horizontal="center" vertical="center" wrapText="1"/>
    </xf>
    <xf numFmtId="0" fontId="9" fillId="5" borderId="1" applyAlignment="1" pivotButton="0" quotePrefix="0" xfId="0">
      <alignment horizontal="center" vertical="center" wrapText="1"/>
    </xf>
    <xf numFmtId="0" fontId="12" fillId="8" borderId="1" applyAlignment="1" pivotButton="0" quotePrefix="0" xfId="0">
      <alignment horizontal="center" vertical="center" wrapText="1"/>
    </xf>
    <xf numFmtId="0" fontId="12"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MEDIUM box - cost per box by order size (catalogue = midpoint of published range)</a:t>
            </a:r>
          </a:p>
        </rich>
      </tx>
    </title>
    <plotArea>
      <barChart>
        <barDir val="col"/>
        <grouping val="clustered"/>
        <ser>
          <idx val="0"/>
          <order val="0"/>
          <tx>
            <strRef>
              <f>'Scenarios'!A6</f>
            </strRef>
          </tx>
          <spPr>
            <a:pattFill prst="ltUpDiag">
              <a:fgClr>
                <a:srgbClr val="2A78D6"/>
              </a:fgClr>
              <a:bgClr>
                <a:srgbClr val="FFFFFF"/>
              </a:bgClr>
            </a:pattFill>
            <a:ln>
              <a:prstDash val="solid"/>
            </a:ln>
          </spPr>
          <dPt>
            <idx val="0"/>
            <spPr>
              <a:solidFill>
                <a:srgbClr val="2A78D6"/>
              </a:solidFill>
              <a:ln>
                <a:prstDash val="solid"/>
              </a:ln>
            </spPr>
          </dPt>
          <cat>
            <numRef>
              <f>'Scenarios'!$B$5:$D$5</f>
            </numRef>
          </cat>
          <val>
            <numRef>
              <f>'Scenarios'!$B$6:$D$6</f>
            </numRef>
          </val>
        </ser>
        <ser>
          <idx val="1"/>
          <order val="1"/>
          <tx>
            <strRef>
              <f>'Scenarios'!A7</f>
            </strRef>
          </tx>
          <spPr>
            <a:pattFill prst="ltUpDiag">
              <a:fgClr>
                <a:srgbClr val="4A3AA7"/>
              </a:fgClr>
              <a:bgClr>
                <a:srgbClr val="FFFFFF"/>
              </a:bgClr>
            </a:pattFill>
            <a:ln>
              <a:prstDash val="solid"/>
            </a:ln>
          </spPr>
          <dPt>
            <idx val="0"/>
            <spPr>
              <a:solidFill>
                <a:srgbClr val="4A3AA7"/>
              </a:solidFill>
              <a:ln>
                <a:prstDash val="solid"/>
              </a:ln>
            </spPr>
          </dPt>
          <cat>
            <numRef>
              <f>'Scenarios'!$B$5:$D$5</f>
            </numRef>
          </cat>
          <val>
            <numRef>
              <f>'Scenarios'!$B$7:$D$7</f>
            </numRef>
          </val>
        </ser>
        <ser>
          <idx val="2"/>
          <order val="2"/>
          <tx>
            <strRef>
              <f>'Scenarios'!A8</f>
            </strRef>
          </tx>
          <spPr>
            <a:pattFill prst="ltUpDiag">
              <a:fgClr>
                <a:srgbClr val="EB6834"/>
              </a:fgClr>
              <a:bgClr>
                <a:srgbClr val="FFFFFF"/>
              </a:bgClr>
            </a:pattFill>
            <a:ln>
              <a:prstDash val="solid"/>
            </a:ln>
          </spPr>
          <cat>
            <numRef>
              <f>'Scenarios'!$B$5:$D$5</f>
            </numRef>
          </cat>
          <val>
            <numRef>
              <f>'Scenarios'!$B$8:$D$8</f>
            </numRef>
          </val>
        </ser>
        <ser>
          <idx val="3"/>
          <order val="3"/>
          <tx>
            <strRef>
              <f>'Scenarios'!A9</f>
            </strRef>
          </tx>
          <spPr>
            <a:solidFill>
              <a:srgbClr val="1BAF7A"/>
            </a:solidFill>
            <a:ln>
              <a:prstDash val="solid"/>
            </a:ln>
          </spPr>
          <cat>
            <numRef>
              <f>'Scenarios'!$B$5:$D$5</f>
            </numRef>
          </cat>
          <val>
            <numRef>
              <f>'Scenarios'!$B$9:$D$9</f>
            </numRef>
          </val>
        </ser>
        <dLbls>
          <numFmt formatCode="$#,##0.00"/>
          <showLegendKey val="0"/>
          <showVal val="1"/>
          <showCatName val="0"/>
          <showSerName val="0"/>
          <showPercent val="0"/>
          <showBubbleSize val="0"/>
        </dLbls>
        <gapWidth val="80"/>
        <axId val="10"/>
        <axId val="100"/>
      </barChart>
      <catAx>
        <axId val="10"/>
        <scaling>
          <orientation val="minMax"/>
        </scaling>
        <axPos val="l"/>
        <title>
          <tx>
            <rich>
              <a:bodyPr/>
              <a:p>
                <a:pPr>
                  <a:defRPr/>
                </a:pPr>
                <a:r>
                  <a:t>Order size (each)</a:t>
                </a:r>
              </a:p>
            </rich>
          </tx>
        </title>
        <majorTickMark val="none"/>
        <minorTickMark val="none"/>
        <crossAx val="100"/>
        <lblOffset val="100"/>
      </catAx>
      <valAx>
        <axId val="100"/>
        <scaling>
          <orientation val="minMax"/>
        </scaling>
        <axPos val="l"/>
        <title>
          <tx>
            <rich>
              <a:bodyPr/>
              <a:p>
                <a:pPr>
                  <a:defRPr/>
                </a:pPr>
                <a:r>
                  <a:t>$ per box</a:t>
                </a:r>
              </a:p>
            </rich>
          </tx>
        </title>
        <numFmt formatCode="$#,##0" sourceLinked="0"/>
        <majorTickMark val="none"/>
        <minorTickMark val="none"/>
        <crossAx val="10"/>
      </valAx>
    </plotArea>
    <legend>
      <legendPos val="b"/>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LARGE box - cost per box by order size (catalogue = midpoint of published range)</a:t>
            </a:r>
          </a:p>
        </rich>
      </tx>
    </title>
    <plotArea>
      <barChart>
        <barDir val="col"/>
        <grouping val="clustered"/>
        <ser>
          <idx val="0"/>
          <order val="0"/>
          <tx>
            <strRef>
              <f>'Scenarios'!A39</f>
            </strRef>
          </tx>
          <spPr>
            <a:pattFill prst="ltUpDiag">
              <a:fgClr>
                <a:srgbClr val="2A78D6"/>
              </a:fgClr>
              <a:bgClr>
                <a:srgbClr val="FFFFFF"/>
              </a:bgClr>
            </a:pattFill>
            <a:ln>
              <a:prstDash val="solid"/>
            </a:ln>
          </spPr>
          <dPt>
            <idx val="0"/>
            <spPr>
              <a:solidFill>
                <a:srgbClr val="2A78D6"/>
              </a:solidFill>
              <a:ln>
                <a:prstDash val="solid"/>
              </a:ln>
            </spPr>
          </dPt>
          <cat>
            <numRef>
              <f>'Scenarios'!$B$38:$D$38</f>
            </numRef>
          </cat>
          <val>
            <numRef>
              <f>'Scenarios'!$B$39:$D$39</f>
            </numRef>
          </val>
        </ser>
        <ser>
          <idx val="1"/>
          <order val="1"/>
          <tx>
            <strRef>
              <f>'Scenarios'!A40</f>
            </strRef>
          </tx>
          <spPr>
            <a:pattFill prst="ltUpDiag">
              <a:fgClr>
                <a:srgbClr val="4A3AA7"/>
              </a:fgClr>
              <a:bgClr>
                <a:srgbClr val="FFFFFF"/>
              </a:bgClr>
            </a:pattFill>
            <a:ln>
              <a:prstDash val="solid"/>
            </a:ln>
          </spPr>
          <dPt>
            <idx val="0"/>
            <spPr>
              <a:solidFill>
                <a:srgbClr val="4A3AA7"/>
              </a:solidFill>
              <a:ln>
                <a:prstDash val="solid"/>
              </a:ln>
            </spPr>
          </dPt>
          <cat>
            <numRef>
              <f>'Scenarios'!$B$38:$D$38</f>
            </numRef>
          </cat>
          <val>
            <numRef>
              <f>'Scenarios'!$B$40:$D$40</f>
            </numRef>
          </val>
        </ser>
        <ser>
          <idx val="2"/>
          <order val="2"/>
          <tx>
            <strRef>
              <f>'Scenarios'!A41</f>
            </strRef>
          </tx>
          <spPr>
            <a:pattFill prst="ltUpDiag">
              <a:fgClr>
                <a:srgbClr val="EB6834"/>
              </a:fgClr>
              <a:bgClr>
                <a:srgbClr val="FFFFFF"/>
              </a:bgClr>
            </a:pattFill>
            <a:ln>
              <a:prstDash val="solid"/>
            </a:ln>
          </spPr>
          <cat>
            <numRef>
              <f>'Scenarios'!$B$38:$D$38</f>
            </numRef>
          </cat>
          <val>
            <numRef>
              <f>'Scenarios'!$B$41:$D$41</f>
            </numRef>
          </val>
        </ser>
        <ser>
          <idx val="3"/>
          <order val="3"/>
          <tx>
            <strRef>
              <f>'Scenarios'!A42</f>
            </strRef>
          </tx>
          <spPr>
            <a:solidFill>
              <a:srgbClr val="1BAF7A"/>
            </a:solidFill>
            <a:ln>
              <a:prstDash val="solid"/>
            </a:ln>
          </spPr>
          <cat>
            <numRef>
              <f>'Scenarios'!$B$38:$D$38</f>
            </numRef>
          </cat>
          <val>
            <numRef>
              <f>'Scenarios'!$B$42:$D$42</f>
            </numRef>
          </val>
        </ser>
        <dLbls>
          <numFmt formatCode="$#,##0.00"/>
          <showLegendKey val="0"/>
          <showVal val="1"/>
          <showCatName val="0"/>
          <showSerName val="0"/>
          <showPercent val="0"/>
          <showBubbleSize val="0"/>
        </dLbls>
        <gapWidth val="80"/>
        <axId val="10"/>
        <axId val="100"/>
      </barChart>
      <catAx>
        <axId val="10"/>
        <scaling>
          <orientation val="minMax"/>
        </scaling>
        <axPos val="l"/>
        <title>
          <tx>
            <rich>
              <a:bodyPr/>
              <a:p>
                <a:pPr>
                  <a:defRPr/>
                </a:pPr>
                <a:r>
                  <a:t>Order size (each)</a:t>
                </a:r>
              </a:p>
            </rich>
          </tx>
        </title>
        <majorTickMark val="none"/>
        <minorTickMark val="none"/>
        <crossAx val="100"/>
        <lblOffset val="100"/>
      </catAx>
      <valAx>
        <axId val="100"/>
        <scaling>
          <orientation val="minMax"/>
        </scaling>
        <axPos val="l"/>
        <title>
          <tx>
            <rich>
              <a:bodyPr/>
              <a:p>
                <a:pPr>
                  <a:defRPr/>
                </a:pPr>
                <a:r>
                  <a:t>$ per box</a:t>
                </a:r>
              </a:p>
            </rich>
          </tx>
        </title>
        <numFmt formatCode="$#,##0" sourceLinked="0"/>
        <majorTickMark val="none"/>
        <minorTickMark val="none"/>
        <crossAx val="10"/>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Acceptable range at 100 units - what we pay, and what OrCon quoted</a:t>
            </a:r>
          </a:p>
        </rich>
      </tx>
    </title>
    <plotArea>
      <barChart>
        <barDir val="col"/>
        <grouping val="clustered"/>
        <ser>
          <idx val="0"/>
          <order val="0"/>
          <tx>
            <strRef>
              <f>'Scenarios'!A72</f>
            </strRef>
          </tx>
          <spPr>
            <a:solidFill>
              <a:srgbClr val="2A78D6"/>
            </a:solidFill>
            <a:ln>
              <a:prstDash val="solid"/>
            </a:ln>
          </spPr>
          <cat>
            <numRef>
              <f>'Scenarios'!$B$71:$F$71</f>
            </numRef>
          </cat>
          <val>
            <numRef>
              <f>'Scenarios'!$B$72:$F$72</f>
            </numRef>
          </val>
        </ser>
        <ser>
          <idx val="1"/>
          <order val="1"/>
          <tx>
            <strRef>
              <f>'Scenarios'!A73</f>
            </strRef>
          </tx>
          <spPr>
            <a:solidFill>
              <a:srgbClr val="4A3AA7"/>
            </a:solidFill>
            <a:ln>
              <a:prstDash val="solid"/>
            </a:ln>
          </spPr>
          <cat>
            <numRef>
              <f>'Scenarios'!$B$71:$F$71</f>
            </numRef>
          </cat>
          <val>
            <numRef>
              <f>'Scenarios'!$B$73:$F$73</f>
            </numRef>
          </val>
        </ser>
        <dLbls>
          <numFmt formatCode="$#,##0.00"/>
          <showLegendKey val="0"/>
          <showVal val="1"/>
          <showCatName val="0"/>
          <showSerName val="0"/>
        </dLbls>
        <gapWidth val="70"/>
        <axId val="10"/>
        <axId val="100"/>
      </barChart>
      <catAx>
        <axId val="10"/>
        <scaling>
          <orientation val="minMax"/>
        </scaling>
        <axPos val="l"/>
        <majorTickMark val="none"/>
        <minorTickMark val="none"/>
        <crossAx val="100"/>
        <lblOffset val="100"/>
      </catAx>
      <valAx>
        <axId val="100"/>
        <scaling>
          <orientation val="minMax"/>
        </scaling>
        <axPos val="l"/>
        <title>
          <tx>
            <rich>
              <a:bodyPr/>
              <a:p>
                <a:pPr>
                  <a:defRPr/>
                </a:pPr>
                <a:r>
                  <a:t>$ per box</a:t>
                </a:r>
              </a:p>
            </rich>
          </tx>
        </title>
        <numFmt formatCode="$#,##0" sourceLinked="0"/>
        <majorTickMark val="none"/>
        <minorTickMark val="none"/>
        <crossAx val="10"/>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Total order cost - the fixed block is identical in all three</a:t>
            </a:r>
          </a:p>
        </rich>
      </tx>
    </title>
    <plotArea>
      <barChart>
        <barDir val="col"/>
        <grouping val="stacked"/>
        <ser>
          <idx val="0"/>
          <order val="0"/>
          <tx>
            <strRef>
              <f>'Order Totals'!F5</f>
            </strRef>
          </tx>
          <spPr>
            <a:solidFill>
              <a:srgbClr val="2A78D6"/>
            </a:solidFill>
            <a:ln>
              <a:prstDash val="solid"/>
            </a:ln>
          </spPr>
          <cat>
            <numRef>
              <f>'Order Totals'!$A$6:$A$8</f>
            </numRef>
          </cat>
          <val>
            <numRef>
              <f>'Order Totals'!$F$6:$F$8</f>
            </numRef>
          </val>
        </ser>
        <ser>
          <idx val="1"/>
          <order val="1"/>
          <tx>
            <strRef>
              <f>'Order Totals'!G5</f>
            </strRef>
          </tx>
          <spPr>
            <a:pattFill prst="ltUpDiag">
              <a:fgClr>
                <a:srgbClr val="EB6834"/>
              </a:fgClr>
              <a:bgClr>
                <a:srgbClr val="FFFFFF"/>
              </a:bgClr>
            </a:pattFill>
            <a:ln>
              <a:prstDash val="solid"/>
            </a:ln>
          </spPr>
          <cat>
            <numRef>
              <f>'Order Totals'!$A$6:$A$8</f>
            </numRef>
          </cat>
          <val>
            <numRef>
              <f>'Order Totals'!$G$6:$G$8</f>
            </numRef>
          </val>
        </ser>
        <dLbls>
          <numFmt formatCode="$#,##0"/>
          <showLegendKey val="0"/>
          <showVal val="1"/>
          <showCatName val="0"/>
          <showSerName val="0"/>
        </dLbls>
        <gapWidth val="90"/>
        <overlap val="100"/>
        <axId val="10"/>
        <axId val="100"/>
      </barChart>
      <catAx>
        <axId val="10"/>
        <scaling>
          <orientation val="minMax"/>
        </scaling>
        <axPos val="l"/>
        <title>
          <tx>
            <rich>
              <a:bodyPr/>
              <a:p>
                <a:pPr>
                  <a:defRPr/>
                </a:pPr>
                <a:r>
                  <a:t>Scenario</a:t>
                </a:r>
              </a:p>
            </rich>
          </tx>
        </title>
        <majorTickMark val="none"/>
        <minorTickMark val="none"/>
        <crossAx val="100"/>
        <lblOffset val="100"/>
      </catAx>
      <valAx>
        <axId val="100"/>
        <scaling>
          <orientation val="minMax"/>
        </scaling>
        <axPos val="l"/>
        <title>
          <tx>
            <rich>
              <a:bodyPr/>
              <a:p>
                <a:pPr>
                  <a:defRPr/>
                </a:pPr>
                <a:r>
                  <a:t>$ total order</a:t>
                </a:r>
              </a:p>
            </rich>
          </tx>
        </title>
        <numFmt formatCode="$#,##0" sourceLinked="0"/>
        <majorTickMark val="none"/>
        <minorTickMark val="none"/>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39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74</row>
      <rowOff>0</rowOff>
    </from>
    <ext cx="8640000" cy="360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9</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xmlns:r="http://schemas.openxmlformats.org/officeDocument/2006/relationships">
  <sheetPr>
    <outlinePr summaryBelow="1" summaryRight="1"/>
    <pageSetUpPr/>
  </sheetPr>
  <dimension ref="A1:H102"/>
  <sheetViews>
    <sheetView showGridLines="0" workbookViewId="0">
      <selection activeCell="A1" sqref="A1"/>
    </sheetView>
  </sheetViews>
  <sheetFormatPr baseColWidth="8" defaultRowHeight="15"/>
  <cols>
    <col width="30" customWidth="1" min="1" max="1"/>
    <col width="14" customWidth="1" min="2" max="2"/>
    <col width="14" customWidth="1" min="3" max="3"/>
    <col width="14" customWidth="1" min="4" max="4"/>
    <col width="22" customWidth="1" min="5" max="5"/>
    <col width="18" customWidth="1" min="6" max="6"/>
    <col width="20" customWidth="1" min="7" max="7"/>
    <col width="22" customWidth="1" min="8" max="8"/>
  </cols>
  <sheetData>
    <row r="1" ht="22" customHeight="1">
      <c r="A1" s="1" t="inlineStr">
        <is>
          <t>Cost per box across three order sizes</t>
        </is>
      </c>
    </row>
    <row r="2" ht="52" customHeight="1">
      <c r="A2" s="2" t="inlineStr">
        <is>
          <t>Three scenarios: 100, 250 and 1,000 of EACH box. Same board spec throughout (48ECT kraft double wall), cost per box, ex-freight. Within each scenario every figure is at the same quantity, so the comparison is like for like.   SOLID = a real price (what we are charged, or a published catalogue price).   HATCHED = not a real price (deduced or modelled).   Only ONE provider figure is an actual price: the 100-unit column. The 250 and 1,000 figures are deduced from it - see the Basis tab.</t>
        </is>
      </c>
    </row>
    <row r="4" ht="20" customHeight="1">
      <c r="A4" s="3" t="inlineStr">
        <is>
          <t>MEDIUM box  39 x 20 x 32 in  -  43.06 sq ft of board per box</t>
        </is>
      </c>
      <c r="B4" s="4" t="n"/>
      <c r="C4" s="4" t="n"/>
      <c r="D4" s="4" t="n"/>
      <c r="E4" s="4" t="n"/>
      <c r="F4" s="4" t="n"/>
      <c r="G4" s="4" t="n"/>
      <c r="H4" s="5" t="n"/>
    </row>
    <row r="5" ht="30" customHeight="1">
      <c r="A5" s="6" t="inlineStr">
        <is>
          <t>Cost per box</t>
        </is>
      </c>
      <c r="B5" s="6" t="inlineStr">
        <is>
          <t>100 each</t>
        </is>
      </c>
      <c r="C5" s="6" t="inlineStr">
        <is>
          <t>250 each</t>
        </is>
      </c>
      <c r="D5" s="6" t="inlineStr">
        <is>
          <t>1,000 each</t>
        </is>
      </c>
      <c r="E5" s="6" t="inlineStr">
        <is>
          <t>Basis at 100</t>
        </is>
      </c>
      <c r="F5" s="6" t="inlineStr">
        <is>
          <t>Change 100 -&gt; 1,000</t>
        </is>
      </c>
      <c r="G5" t="inlineStr"/>
      <c r="H5" t="inlineStr"/>
    </row>
    <row r="6" ht="24" customHeight="1">
      <c r="A6" s="7" t="inlineStr">
        <is>
          <t>PROVIDER - what we pay</t>
        </is>
      </c>
      <c r="B6" s="8" t="n">
        <v>30.22</v>
      </c>
      <c r="C6" s="9" t="n">
        <v>16.94</v>
      </c>
      <c r="D6" s="9" t="n">
        <v>10.31</v>
      </c>
      <c r="E6" s="10" t="inlineStr">
        <is>
          <t>ACTUAL invoice price</t>
        </is>
      </c>
      <c r="F6" s="11">
        <f>D6/B6-1</f>
        <v>-0.6589645225</v>
      </c>
    </row>
    <row r="7" ht="24" customHeight="1">
      <c r="A7" s="7" t="inlineStr">
        <is>
          <t>ORCON - competing quote</t>
        </is>
      </c>
      <c r="B7" s="12" t="n">
        <v>14.94</v>
      </c>
      <c r="C7" s="13" t="n">
        <v>14.8</v>
      </c>
      <c r="D7" s="13" t="n">
        <v>14.73</v>
      </c>
      <c r="E7" s="10" t="inlineStr">
        <is>
          <t>ACTUAL quote at 100</t>
        </is>
      </c>
      <c r="F7" s="11">
        <f>D7/B7-1</f>
        <v>-0.0137383677</v>
      </c>
    </row>
    <row r="8" ht="24" customHeight="1">
      <c r="A8" s="10" t="inlineStr">
        <is>
          <t>Independent estimate</t>
        </is>
      </c>
      <c r="B8" s="14" t="n">
        <v>13.99</v>
      </c>
      <c r="C8" s="14" t="n">
        <v>11.37</v>
      </c>
      <c r="D8" s="14" t="n">
        <v>7.9</v>
      </c>
      <c r="E8" s="10" t="inlineStr">
        <is>
          <t>Modelled from research</t>
        </is>
      </c>
      <c r="F8" s="11">
        <f>D8/B8-1</f>
        <v>-0.4351458827</v>
      </c>
    </row>
    <row r="9" ht="24" customHeight="1">
      <c r="A9" s="10" t="inlineStr">
        <is>
          <t>Retail catalogue - mid of range</t>
        </is>
      </c>
      <c r="B9" s="14" t="n">
        <v>17.99</v>
      </c>
      <c r="C9" s="14" t="n">
        <v>17.17</v>
      </c>
      <c r="D9" s="14" t="n">
        <v>15.92</v>
      </c>
      <c r="E9" s="10" t="inlineStr">
        <is>
          <t>Published, midpoint</t>
        </is>
      </c>
      <c r="F9" s="11">
        <f>D9/B9-1</f>
        <v>-0.1152538721</v>
      </c>
    </row>
    <row r="10" ht="24" customHeight="1">
      <c r="A10" s="10" t="inlineStr">
        <is>
          <t xml:space="preserve">   ...range low</t>
        </is>
      </c>
      <c r="B10" s="14" t="n">
        <v>17.17</v>
      </c>
      <c r="C10" s="14" t="n">
        <v>16.45</v>
      </c>
      <c r="D10" s="14" t="n">
        <v>15.2</v>
      </c>
      <c r="E10" s="10" t="inlineStr">
        <is>
          <t>Published, cheapest comp</t>
        </is>
      </c>
      <c r="F10" s="11">
        <f>D10/B10-1</f>
        <v>-0.1147730123</v>
      </c>
    </row>
    <row r="11" ht="24" customHeight="1">
      <c r="A11" s="10" t="inlineStr">
        <is>
          <t xml:space="preserve">   ...range high</t>
        </is>
      </c>
      <c r="B11" s="14" t="n">
        <v>18.81</v>
      </c>
      <c r="C11" s="14" t="n">
        <v>17.88</v>
      </c>
      <c r="D11" s="14" t="n">
        <v>16.63</v>
      </c>
      <c r="E11" s="10" t="inlineStr">
        <is>
          <t>Published, dearest comp</t>
        </is>
      </c>
      <c r="F11" s="11">
        <f>D11/B11-1</f>
        <v>-0.115692829</v>
      </c>
    </row>
    <row r="37" ht="20" customHeight="1">
      <c r="A37" s="3" t="inlineStr">
        <is>
          <t>LARGE box  46 x 39 x 36 in  -  89.19 sq ft of board per box</t>
        </is>
      </c>
      <c r="B37" s="4" t="n"/>
      <c r="C37" s="4" t="n"/>
      <c r="D37" s="4" t="n"/>
      <c r="E37" s="4" t="n"/>
      <c r="F37" s="4" t="n"/>
      <c r="G37" s="4" t="n"/>
      <c r="H37" s="5" t="n"/>
    </row>
    <row r="38" ht="30" customHeight="1">
      <c r="A38" s="6" t="inlineStr">
        <is>
          <t>Cost per box</t>
        </is>
      </c>
      <c r="B38" s="6" t="inlineStr">
        <is>
          <t>100 each</t>
        </is>
      </c>
      <c r="C38" s="6" t="inlineStr">
        <is>
          <t>250 each</t>
        </is>
      </c>
      <c r="D38" s="6" t="inlineStr">
        <is>
          <t>1,000 each</t>
        </is>
      </c>
      <c r="E38" s="6" t="inlineStr">
        <is>
          <t>Basis at 100</t>
        </is>
      </c>
      <c r="F38" s="6" t="inlineStr">
        <is>
          <t>Change 100 -&gt; 1,000</t>
        </is>
      </c>
      <c r="G38" t="inlineStr"/>
      <c r="H38" t="inlineStr"/>
    </row>
    <row r="39" ht="24" customHeight="1">
      <c r="A39" s="7" t="inlineStr">
        <is>
          <t>PROVIDER - what we pay</t>
        </is>
      </c>
      <c r="B39" s="8" t="n">
        <v>38.89</v>
      </c>
      <c r="C39" s="9" t="n">
        <v>25.61</v>
      </c>
      <c r="D39" s="9" t="n">
        <v>18.98</v>
      </c>
      <c r="E39" s="10" t="inlineStr">
        <is>
          <t>ACTUAL invoice price</t>
        </is>
      </c>
      <c r="F39" s="11">
        <f>D39/B39-1</f>
        <v>-0.5120572864</v>
      </c>
    </row>
    <row r="40" ht="24" customHeight="1">
      <c r="A40" s="7" t="inlineStr">
        <is>
          <t>ORCON - competing quote</t>
        </is>
      </c>
      <c r="B40" s="12" t="n">
        <v>30.7</v>
      </c>
      <c r="C40" s="13" t="n">
        <v>30.56</v>
      </c>
      <c r="D40" s="13" t="n">
        <v>30.49</v>
      </c>
      <c r="E40" s="10" t="inlineStr">
        <is>
          <t>ACTUAL quote at 100</t>
        </is>
      </c>
      <c r="F40" s="11">
        <f>D40/B40-1</f>
        <v>-0.0066857073</v>
      </c>
    </row>
    <row r="41" ht="24" customHeight="1">
      <c r="A41" s="10" t="inlineStr">
        <is>
          <t>Independent estimate</t>
        </is>
      </c>
      <c r="B41" s="14" t="n">
        <v>30.93</v>
      </c>
      <c r="C41" s="14" t="n">
        <v>26.02</v>
      </c>
      <c r="D41" s="14" t="n">
        <v>18.43</v>
      </c>
      <c r="E41" s="10" t="inlineStr">
        <is>
          <t>Modelled from research</t>
        </is>
      </c>
      <c r="F41" s="11">
        <f>D41/B41-1</f>
        <v>-0.4040619607</v>
      </c>
    </row>
    <row r="42" ht="24" customHeight="1">
      <c r="A42" s="10" t="inlineStr">
        <is>
          <t>Retail catalogue - mid of range</t>
        </is>
      </c>
      <c r="B42" s="14" t="n">
        <v>37.26</v>
      </c>
      <c r="C42" s="14" t="n">
        <v>35.56</v>
      </c>
      <c r="D42" s="14" t="n">
        <v>32.96</v>
      </c>
      <c r="E42" s="10" t="inlineStr">
        <is>
          <t>Published, midpoint</t>
        </is>
      </c>
      <c r="F42" s="11">
        <f>D42/B42-1</f>
        <v>-0.1152538721</v>
      </c>
    </row>
    <row r="43" ht="24" customHeight="1">
      <c r="A43" s="10" t="inlineStr">
        <is>
          <t xml:space="preserve">   ...range low</t>
        </is>
      </c>
      <c r="B43" s="14" t="n">
        <v>35.56</v>
      </c>
      <c r="C43" s="14" t="n">
        <v>34.07</v>
      </c>
      <c r="D43" s="14" t="n">
        <v>31.48</v>
      </c>
      <c r="E43" s="10" t="inlineStr">
        <is>
          <t>Published, cheapest comp</t>
        </is>
      </c>
      <c r="F43" s="11">
        <f>D43/B43-1</f>
        <v>-0.1147730123</v>
      </c>
    </row>
    <row r="44" ht="24" customHeight="1">
      <c r="A44" s="10" t="inlineStr">
        <is>
          <t xml:space="preserve">   ...range high</t>
        </is>
      </c>
      <c r="B44" s="14" t="n">
        <v>38.96</v>
      </c>
      <c r="C44" s="14" t="n">
        <v>37.04</v>
      </c>
      <c r="D44" s="14" t="n">
        <v>34.45</v>
      </c>
      <c r="E44" s="10" t="inlineStr">
        <is>
          <t>Published, dearest comp</t>
        </is>
      </c>
      <c r="F44" s="11">
        <f>D44/B44-1</f>
        <v>-0.115692829</v>
      </c>
    </row>
    <row r="70" ht="20" customHeight="1">
      <c r="A70" s="3" t="inlineStr">
        <is>
          <t>ACCEPTABLE PRICE AT 100 UNITS - and where we actually sit</t>
        </is>
      </c>
      <c r="B70" s="4" t="n"/>
      <c r="C70" s="4" t="n"/>
      <c r="D70" s="4" t="n"/>
      <c r="E70" s="4" t="n"/>
      <c r="F70" s="4" t="n"/>
      <c r="G70" s="4" t="n"/>
      <c r="H70" s="5" t="n"/>
    </row>
    <row r="71" ht="30" customHeight="1">
      <c r="A71" s="6" t="inlineStr">
        <is>
          <t>Box</t>
        </is>
      </c>
      <c r="B71" s="6" t="inlineStr">
        <is>
          <t>Floor</t>
        </is>
      </c>
      <c r="C71" s="6" t="inlineStr">
        <is>
          <t>Target</t>
        </is>
      </c>
      <c r="D71" s="6" t="inlineStr">
        <is>
          <t>Ceiling</t>
        </is>
      </c>
      <c r="E71" s="6" t="inlineStr">
        <is>
          <t>WE PAY</t>
        </is>
      </c>
      <c r="F71" s="6" t="inlineStr">
        <is>
          <t>ORCON</t>
        </is>
      </c>
      <c r="G71" s="6" t="inlineStr">
        <is>
          <t>vs ceiling</t>
        </is>
      </c>
      <c r="H71" s="6" t="inlineStr">
        <is>
          <t>Verdict</t>
        </is>
      </c>
    </row>
    <row r="72" ht="26" customHeight="1">
      <c r="A72" s="7" t="inlineStr">
        <is>
          <t>MEDIUM 39 x 20 x 32</t>
        </is>
      </c>
      <c r="B72" s="14" t="n">
        <v>13.99</v>
      </c>
      <c r="C72" s="14" t="n">
        <v>16.4</v>
      </c>
      <c r="D72" s="14" t="n">
        <v>18.81</v>
      </c>
      <c r="E72" s="15" t="n">
        <v>30.22</v>
      </c>
      <c r="F72" s="16" t="n">
        <v>14.94</v>
      </c>
      <c r="G72" s="17">
        <f>E72-D72</f>
        <v>11.4120225</v>
      </c>
      <c r="H72" s="18" t="inlineStr">
        <is>
          <t>OVER the ceiling. OrCon is $15.28 cheaper.</t>
        </is>
      </c>
    </row>
    <row r="73" ht="26" customHeight="1">
      <c r="A73" s="7" t="inlineStr">
        <is>
          <t>LARGE 46 x 39 x 36</t>
        </is>
      </c>
      <c r="B73" s="14" t="n">
        <v>30.93</v>
      </c>
      <c r="C73" s="14" t="n">
        <v>34.94</v>
      </c>
      <c r="D73" s="14" t="n">
        <v>38.96</v>
      </c>
      <c r="E73" s="15" t="n">
        <v>38.89</v>
      </c>
      <c r="F73" s="16" t="n">
        <v>30.7</v>
      </c>
      <c r="G73" s="19">
        <f>E73-D73</f>
        <v>-0.0658072917</v>
      </c>
      <c r="H73" s="20" t="inlineStr">
        <is>
          <t>Top of the range. OrCon is $8.19 cheaper.</t>
        </is>
      </c>
    </row>
    <row r="96" ht="56" customHeight="1">
      <c r="A96" s="2" t="inlineStr">
        <is>
          <t>HOW THE RANGE IS DEFINED. The FLOOR is the independent converter-direct estimate - below it is implausible for a custom job. The CEILING is the dearest comparable box anyone publishes: pay more than that and we are paying above retail for custom work, which is never defensible. TARGET is the midpoint. Bringing both boxes to the ceiling saves $1,141 on the current order (17%); to target, $1,777 (26%). Almost all of it is the medium box.</t>
        </is>
      </c>
    </row>
    <row r="98" ht="20" customHeight="1">
      <c r="A98" s="3" t="inlineStr">
        <is>
          <t>WHAT THE THREE SCENARIOS SHOW</t>
        </is>
      </c>
      <c r="B98" s="4" t="n"/>
      <c r="C98" s="4" t="n"/>
      <c r="D98" s="4" t="n"/>
      <c r="E98" s="4" t="n"/>
      <c r="F98" s="4" t="n"/>
      <c r="G98" s="4" t="n"/>
      <c r="H98" s="5" t="n"/>
    </row>
    <row r="99" ht="50" customHeight="1">
      <c r="A99" s="21" t="inlineStr">
        <is>
          <t>At 100 each - today</t>
        </is>
      </c>
      <c r="B99" s="22" t="n"/>
      <c r="C99" s="10" t="inlineStr">
        <is>
          <t>The MEDIUM box is the outlier: $30.22 against a catalogue price of $17.99 for a comparable stock box. We pay $12.23 more per box than we could buy one for. The LARGE box at $38.89 is already fractionally BELOW its catalogue equivalent, so there is no case to answer there.</t>
        </is>
      </c>
      <c r="D99" s="22" t="n"/>
      <c r="E99" s="22" t="n"/>
      <c r="F99" s="22" t="n"/>
      <c r="G99" s="22" t="n"/>
      <c r="H99" s="22" t="n"/>
    </row>
    <row r="100" ht="50" customHeight="1">
      <c r="A100" s="21" t="inlineStr">
        <is>
          <t>At 250 each - the crossover</t>
        </is>
      </c>
      <c r="B100" s="22" t="n"/>
      <c r="C100" s="10" t="inlineStr">
        <is>
          <t>The medium box drops to $16.94, inside its $16.45-$17.88 range. The large box at $25.61 falls clear BELOW its $34.07-$37.04 range. Both come good, and it takes only 150 more units of each to get here.</t>
        </is>
      </c>
      <c r="D100" s="22" t="n"/>
      <c r="E100" s="22" t="n"/>
      <c r="F100" s="22" t="n"/>
      <c r="G100" s="22" t="n"/>
      <c r="H100" s="22" t="n"/>
    </row>
    <row r="101" ht="50" customHeight="1">
      <c r="A101" s="21" t="inlineStr">
        <is>
          <t>At 1,000 each - clearly good value</t>
        </is>
      </c>
      <c r="B101" s="22" t="n"/>
      <c r="C101" s="10" t="inlineStr">
        <is>
          <t>Both boxes well below anything published: medium $10.31 vs $15.20-$16.63, large $18.98 vs $31.48-$34.45. Our price falls 66% and 51% from the 100-unit level while the published range moves only about 12% - retail discounts very little for volume, and that divergence is the whole argument.</t>
        </is>
      </c>
      <c r="D101" s="22" t="n"/>
      <c r="E101" s="22" t="n"/>
      <c r="F101" s="22" t="n"/>
      <c r="G101" s="22" t="n"/>
      <c r="H101" s="22" t="n"/>
    </row>
    <row r="102" ht="50" customHeight="1">
      <c r="A102" s="21" t="inlineStr">
        <is>
          <t>The conclusion</t>
        </is>
      </c>
      <c r="B102" s="22" t="n"/>
      <c r="C102" s="10" t="inlineStr">
        <is>
          <t>This is not a supplier problem, it is an order-size problem. Our provider's underlying board rate works out at about $188/MSF, which is competitive. What makes 100 units look expensive is roughly $2,213 per SKU of fixed cost spread over too few boxes - and it lands hardest on the smaller box, because fixed cost does not care how big the box is.</t>
        </is>
      </c>
      <c r="D102" s="22" t="n"/>
      <c r="E102" s="22" t="n"/>
      <c r="F102" s="22" t="n"/>
      <c r="G102" s="22" t="n"/>
      <c r="H102" s="22" t="n"/>
    </row>
  </sheetData>
  <mergeCells count="15">
    <mergeCell ref="A70:H70"/>
    <mergeCell ref="A4:H4"/>
    <mergeCell ref="A100:B100"/>
    <mergeCell ref="A101:B101"/>
    <mergeCell ref="C99:H99"/>
    <mergeCell ref="A96:H96"/>
    <mergeCell ref="A2:H2"/>
    <mergeCell ref="A99:B99"/>
    <mergeCell ref="C102:H102"/>
    <mergeCell ref="A98:H98"/>
    <mergeCell ref="C101:H101"/>
    <mergeCell ref="A102:B102"/>
    <mergeCell ref="A1:H1"/>
    <mergeCell ref="A37:H37"/>
    <mergeCell ref="C100:H100"/>
  </mergeCells>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sheetPr>
    <outlinePr summaryBelow="1" summaryRight="1"/>
    <pageSetUpPr/>
  </sheetPr>
  <dimension ref="A1:G39"/>
  <sheetViews>
    <sheetView showGridLines="0" workbookViewId="0">
      <selection activeCell="A1" sqref="A1"/>
    </sheetView>
  </sheetViews>
  <sheetFormatPr baseColWidth="8" defaultRowHeight="15"/>
  <cols>
    <col width="24" customWidth="1" min="1" max="1"/>
    <col width="16" customWidth="1" min="2" max="2"/>
    <col width="16" customWidth="1" min="3" max="3"/>
    <col width="16" customWidth="1" min="4" max="4"/>
    <col width="18" customWidth="1" min="5" max="5"/>
    <col width="18" customWidth="1" min="6" max="6"/>
    <col width="18" customWidth="1" min="7" max="7"/>
  </cols>
  <sheetData>
    <row r="1" ht="22" customHeight="1">
      <c r="A1" s="1" t="inlineStr">
        <is>
          <t>What each scenario costs in total</t>
        </is>
      </c>
    </row>
    <row r="2" ht="30" customHeight="1">
      <c r="A2" s="2" t="inlineStr">
        <is>
          <t>Same three scenarios, expressed as total spend rather than unit price. All provider figures; the 100 column is actual, the other two deduced. Ex-freight.</t>
        </is>
      </c>
    </row>
    <row r="4" ht="20" customHeight="1">
      <c r="A4" s="3" t="inlineStr">
        <is>
          <t>1.  TOTAL ORDER VALUE</t>
        </is>
      </c>
      <c r="B4" s="4" t="n"/>
      <c r="C4" s="4" t="n"/>
      <c r="D4" s="4" t="n"/>
      <c r="E4" s="4" t="n"/>
      <c r="F4" s="4" t="n"/>
      <c r="G4" s="5" t="n"/>
    </row>
    <row r="5" ht="32" customHeight="1">
      <c r="A5" s="6" t="inlineStr">
        <is>
          <t>Scenario</t>
        </is>
      </c>
      <c r="B5" s="6" t="inlineStr">
        <is>
          <t>Us $ per set</t>
        </is>
      </c>
      <c r="C5" s="6" t="inlineStr">
        <is>
          <t>Us TOTAL</t>
        </is>
      </c>
      <c r="D5" s="6" t="inlineStr">
        <is>
          <t>OrCon $ per set</t>
        </is>
      </c>
      <c r="E5" s="6" t="inlineStr">
        <is>
          <t>OrCon TOTAL</t>
        </is>
      </c>
      <c r="F5" s="6" t="inlineStr">
        <is>
          <t>of which board (us)</t>
        </is>
      </c>
      <c r="G5" s="6" t="inlineStr">
        <is>
          <t>of which fixed (us)</t>
        </is>
      </c>
    </row>
    <row r="6" ht="24" customHeight="1">
      <c r="A6" s="23" t="inlineStr">
        <is>
          <t>100 of each</t>
        </is>
      </c>
      <c r="B6" s="24" t="n">
        <v>69.11</v>
      </c>
      <c r="C6" s="25">
        <f>100*B6</f>
        <v>6911.0</v>
      </c>
      <c r="D6" s="26" t="n">
        <v>45.64</v>
      </c>
      <c r="E6" s="25">
        <f>100*D6</f>
        <v>4564.0</v>
      </c>
      <c r="F6" s="25" t="n">
        <v>2486</v>
      </c>
      <c r="G6" s="25" t="n">
        <v>4425</v>
      </c>
    </row>
    <row r="7" ht="24" customHeight="1">
      <c r="A7" s="27" t="inlineStr">
        <is>
          <t>250 of each</t>
        </is>
      </c>
      <c r="B7" s="14" t="n">
        <v>42.56</v>
      </c>
      <c r="C7" s="28">
        <f>250*B7</f>
        <v>10639.5307101727</v>
      </c>
      <c r="D7" s="29" t="n">
        <v>45.37</v>
      </c>
      <c r="E7" s="28">
        <f>250*D7</f>
        <v>11341.5829287569</v>
      </c>
      <c r="F7" s="28" t="n">
        <v>6214</v>
      </c>
      <c r="G7" s="28" t="n">
        <v>4425</v>
      </c>
    </row>
    <row r="8" ht="24" customHeight="1">
      <c r="A8" s="27" t="inlineStr">
        <is>
          <t>1000 of each</t>
        </is>
      </c>
      <c r="B8" s="14" t="n">
        <v>29.28</v>
      </c>
      <c r="C8" s="28">
        <f>1000*B8</f>
        <v>29282.1842610365</v>
      </c>
      <c r="D8" s="29" t="n">
        <v>45.23</v>
      </c>
      <c r="E8" s="28">
        <f>1000*D8</f>
        <v>45229.4975725415</v>
      </c>
      <c r="F8" s="28" t="n">
        <v>24857</v>
      </c>
      <c r="G8" s="28" t="n">
        <v>4425</v>
      </c>
    </row>
    <row r="34" ht="20" customHeight="1">
      <c r="A34" s="3" t="inlineStr">
        <is>
          <t>2.  WHAT THE EXTRA BOXES ACTUALLY COST</t>
        </is>
      </c>
      <c r="B34" s="4" t="n"/>
      <c r="C34" s="4" t="n"/>
      <c r="D34" s="4" t="n"/>
      <c r="E34" s="4" t="n"/>
      <c r="F34" s="4" t="n"/>
      <c r="G34" s="5" t="n"/>
    </row>
    <row r="35" ht="22" customHeight="1">
      <c r="A35" s="7" t="inlineStr">
        <is>
          <t>Going from 100 to 250 each</t>
        </is>
      </c>
      <c r="B35" s="22" t="n"/>
      <c r="C35" s="10" t="inlineStr">
        <is>
          <t>150 more sets, costing $3,729 more in total</t>
        </is>
      </c>
      <c r="D35" s="22" t="n"/>
      <c r="E35" s="30">
        <f> $24.86 per additional set</f>
        <v/>
      </c>
      <c r="F35" s="22" t="n"/>
      <c r="G35" s="22" t="n"/>
    </row>
    <row r="36" ht="22" customHeight="1">
      <c r="A36" s="7" t="inlineStr">
        <is>
          <t>Going from 250 to 1000 each</t>
        </is>
      </c>
      <c r="B36" s="22" t="n"/>
      <c r="C36" s="10" t="inlineStr">
        <is>
          <t>750 more sets, costing $18,643 more in total</t>
        </is>
      </c>
      <c r="D36" s="22" t="n"/>
      <c r="E36" s="30">
        <f> $24.86 per additional set</f>
        <v/>
      </c>
      <c r="F36" s="22" t="n"/>
      <c r="G36" s="22" t="n"/>
    </row>
    <row r="37" ht="22" customHeight="1">
      <c r="A37" s="7" t="inlineStr">
        <is>
          <t>Going from 100 to 1000 each</t>
        </is>
      </c>
      <c r="B37" s="22" t="n"/>
      <c r="C37" s="10" t="inlineStr">
        <is>
          <t>900 more sets, costing $22,371 more in total</t>
        </is>
      </c>
      <c r="D37" s="22" t="n"/>
      <c r="E37" s="30">
        <f> $24.86 per additional set</f>
        <v/>
      </c>
      <c r="F37" s="22" t="n"/>
      <c r="G37" s="22" t="n"/>
    </row>
    <row r="39" ht="52" customHeight="1">
      <c r="A39" s="2" t="inlineStr">
        <is>
          <t>THE SINGLE MOST USEFUL NUMBER HERE. Every additional set beyond the first order costs about $24.86, because the fixed charges are already paid. The first 100 sets cost $69.11 each only because they are carrying $4,425 of fixed cost between them. If there is any use at all for spare boxes - damage, a second run, buffer stock - the marginal ones are cheap in a way the headline price completely hides.</t>
        </is>
      </c>
    </row>
  </sheetData>
  <mergeCells count="14">
    <mergeCell ref="A1:G1"/>
    <mergeCell ref="E36:G36"/>
    <mergeCell ref="E37:G37"/>
    <mergeCell ref="A39:G39"/>
    <mergeCell ref="A34:G34"/>
    <mergeCell ref="A4:G4"/>
    <mergeCell ref="A37:B37"/>
    <mergeCell ref="C36:D36"/>
    <mergeCell ref="A36:B36"/>
    <mergeCell ref="A2:G2"/>
    <mergeCell ref="E35:G35"/>
    <mergeCell ref="C37:D37"/>
    <mergeCell ref="C35:D35"/>
    <mergeCell ref="A35:B35"/>
  </mergeCells>
  <pageMargins left="0.75" right="0.75" top="1" bottom="1" header="0.5" footer="0.5"/>
  <drawing r:id="rId1"/>
</worksheet>
</file>

<file path=xl/worksheets/sheet3.xml><?xml version="1.0" encoding="utf-8"?>
<worksheet xmlns="http://schemas.openxmlformats.org/spreadsheetml/2006/main">
  <sheetPr>
    <outlinePr summaryBelow="1" summaryRight="1"/>
    <pageSetUpPr/>
  </sheetPr>
  <dimension ref="A1:D17"/>
  <sheetViews>
    <sheetView showGridLines="0" workbookViewId="0">
      <selection activeCell="A1" sqref="A1"/>
    </sheetView>
  </sheetViews>
  <sheetFormatPr baseColWidth="8" defaultRowHeight="15"/>
  <cols>
    <col width="36" customWidth="1" min="1" max="1"/>
    <col width="26" customWidth="1" min="2" max="2"/>
    <col width="14" customWidth="1" min="3" max="3"/>
    <col width="96" customWidth="1" min="4" max="4"/>
  </cols>
  <sheetData>
    <row r="1" ht="22" customHeight="1">
      <c r="A1" s="1" t="inlineStr">
        <is>
          <t>Basis of every figure</t>
        </is>
      </c>
    </row>
    <row r="2" ht="28" customHeight="1">
      <c r="A2" s="2" t="inlineStr">
        <is>
          <t>Four categories. ACTUAL is a price we are charged. PUBLISHED is someone else's printed price. CALCULATED is arithmetic with no uncertainty. DEDUCED or MODELLED means we worked it out.</t>
        </is>
      </c>
    </row>
    <row r="4" ht="22" customHeight="1">
      <c r="A4" s="6" t="inlineStr">
        <is>
          <t>Figure</t>
        </is>
      </c>
      <c r="B4" s="6" t="inlineStr">
        <is>
          <t>Value</t>
        </is>
      </c>
      <c r="C4" s="6" t="inlineStr">
        <is>
          <t>Category</t>
        </is>
      </c>
      <c r="D4" s="6" t="inlineStr">
        <is>
          <t>Where it comes from</t>
        </is>
      </c>
    </row>
    <row r="5" ht="54" customHeight="1">
      <c r="A5" s="7" t="inlineStr">
        <is>
          <t>Provider price, MEDIUM, 100 each</t>
        </is>
      </c>
      <c r="B5" s="27" t="inlineStr">
        <is>
          <t>$30.22</t>
        </is>
      </c>
      <c r="C5" s="31" t="inlineStr">
        <is>
          <t>ACTUAL</t>
        </is>
      </c>
      <c r="D5" s="10" t="inlineStr">
        <is>
          <t>What we are charged today. Supplied by us.</t>
        </is>
      </c>
    </row>
    <row r="6" ht="54" customHeight="1">
      <c r="A6" s="7" t="inlineStr">
        <is>
          <t>Provider price, LARGE, 100 each</t>
        </is>
      </c>
      <c r="B6" s="27" t="inlineStr">
        <is>
          <t>$38.89</t>
        </is>
      </c>
      <c r="C6" s="31" t="inlineStr">
        <is>
          <t>ACTUAL</t>
        </is>
      </c>
      <c r="D6" s="10" t="inlineStr">
        <is>
          <t>What we are charged today. Supplied by us.</t>
        </is>
      </c>
    </row>
    <row r="7" ht="54" customHeight="1">
      <c r="A7" s="7" t="inlineStr">
        <is>
          <t>Board area per box</t>
        </is>
      </c>
      <c r="B7" s="27" t="inlineStr">
        <is>
          <t>43.06 / 89.19 sq ft</t>
        </is>
      </c>
      <c r="C7" s="32" t="inlineStr">
        <is>
          <t>CALCULATED</t>
        </is>
      </c>
      <c r="D7" s="10" t="inlineStr">
        <is>
          <t>From the drawings. Blank = (2 x (L+W) + 1.25) x (D+W), divided by 144. No uncertainty.</t>
        </is>
      </c>
    </row>
    <row r="8" ht="54" customHeight="1">
      <c r="A8" s="7" t="inlineStr">
        <is>
          <t>Catalogue RANGE, 100 / 250 / 1,000</t>
        </is>
      </c>
      <c r="B8" s="27" t="inlineStr">
        <is>
          <t>$399-437 / $382-415 / $353-386 per MSF</t>
        </is>
      </c>
      <c r="C8" s="31" t="inlineStr">
        <is>
          <t>PUBLISHED</t>
        </is>
      </c>
      <c r="D8" s="10" t="inlineStr">
        <is>
          <t>Low and high across FIVE comparable 275 lb test (= 48ECT) double wall RSCs priced at each quantity tier. Shown as a range rather than a median because the spread is real: two retailers list the SAME 48x40x36 double-wall box at $33.59 and $45.95, a 37%% gap. Note also how little the range improves with volume - retail barely discounts.</t>
        </is>
      </c>
    </row>
    <row r="9" ht="54" customHeight="1">
      <c r="A9" s="7" t="inlineStr">
        <is>
          <t>Independent estimate</t>
        </is>
      </c>
      <c r="B9" s="27" t="inlineStr">
        <is>
          <t>$290-$180 / $330-$205 per MSF</t>
        </is>
      </c>
      <c r="C9" s="33" t="inlineStr">
        <is>
          <t>MODELLED</t>
        </is>
      </c>
      <c r="D9" s="10" t="inlineStr">
        <is>
          <t>Two independent routes agreeing: discounting catalogue prices by a distributor margin, and adjusting a real public-contract converter rate for double wall. Plus $150 setup per SKU.</t>
        </is>
      </c>
    </row>
    <row r="10" ht="54" customHeight="1">
      <c r="A10" s="7" t="inlineStr">
        <is>
          <t>Provider marginal board rate</t>
        </is>
      </c>
      <c r="B10" s="27" t="inlineStr">
        <is>
          <t>$188 per MSF</t>
        </is>
      </c>
      <c r="C10" s="33" t="inlineStr">
        <is>
          <t>DEDUCED</t>
        </is>
      </c>
      <c r="D10" s="10" t="inlineStr">
        <is>
          <t>(large price - medium price) / (large area - medium area). Competitive - in line with what a 500-1,000 piece converter price should be, which is why this reads as an order-size problem rather than a supplier problem.</t>
        </is>
      </c>
    </row>
    <row r="11" ht="54" customHeight="1">
      <c r="A11" s="7" t="inlineStr">
        <is>
          <t>Provider fixed charge</t>
        </is>
      </c>
      <c r="B11" s="27" t="inlineStr">
        <is>
          <t>$2,213 per SKU</t>
        </is>
      </c>
      <c r="C11" s="33" t="inlineStr">
        <is>
          <t>DEDUCED</t>
        </is>
      </c>
      <c r="D11" s="10" t="inlineStr">
        <is>
          <t>What is left of the medium-box price once its board is paid for, times 100. ASSUMES both boxes carry the same fixed charge and the same board rate - the natural reading if one provider quotes both, but an assumption. Confirm by asking them to state setup separately on the next quote.</t>
        </is>
      </c>
    </row>
    <row r="12" ht="54" customHeight="1">
      <c r="A12" s="7" t="inlineStr">
        <is>
          <t>Provider prices at 250 and 1,000</t>
        </is>
      </c>
      <c r="B12" s="27" t="inlineStr">
        <is>
          <t>see Scenarios tab</t>
        </is>
      </c>
      <c r="C12" s="33" t="inlineStr">
        <is>
          <t>DEDUCED</t>
        </is>
      </c>
      <c r="D12" s="10" t="inlineStr">
        <is>
          <t>Board rate and fixed charge re-spread over the larger runs. Not quoted. Fitting two unknowns to two data points reproduces our actual prices by construction, so it is arithmetic rather than evidence - but the direction is not in doubt, because fixed cost provably does not scale with quantity.</t>
        </is>
      </c>
    </row>
    <row r="13" ht="54" customHeight="1">
      <c r="A13" s="7" t="inlineStr">
        <is>
          <t>OrCon quote, 100 each</t>
        </is>
      </c>
      <c r="B13" s="27" t="inlineStr">
        <is>
          <t>med $14.94 / lge $30.70</t>
        </is>
      </c>
      <c r="C13" s="31" t="inlineStr">
        <is>
          <t>ACTUAL</t>
        </is>
      </c>
      <c r="D13" s="10" t="inlineStr">
        <is>
          <t>A real competing quote for the identical spec - RSC, 48 ECT kraft double wall, 75/pallet, 100 each. Works out at $347 and $344 per MSF: the SAME rate on both boxes, which is what a quote looks like when it is board times area. Ours varies 61%% between the two, which is the fixed charge showing through.</t>
        </is>
      </c>
    </row>
    <row r="14" ht="54" customHeight="1">
      <c r="A14" s="7" t="inlineStr">
        <is>
          <t>OrCon pricing structure</t>
        </is>
      </c>
      <c r="B14" s="27" t="inlineStr">
        <is>
          <t>$342/MSF + ~$23 fixed per SKU</t>
        </is>
      </c>
      <c r="C14" s="33" t="inlineStr">
        <is>
          <t>DEDUCED</t>
        </is>
      </c>
      <c r="D14" s="10" t="inlineStr">
        <is>
          <t>Split the same way as ours. OrCon carries essentially NO setup charge but a higher board rate; we carry a low board rate and $2,213 of setup. Low volume favours no setup, high volume favours cheap board - so the two cross over near 215 units each. TREAT THAT CROSSOVER AS A QUESTION, NOT A FINDING: OrCon quoted one quantity only, and a supplier with no setup charge at 100 very likely discounts at volume, which the flat extrapolation ignores.</t>
        </is>
      </c>
    </row>
    <row r="15" ht="54" customHeight="1">
      <c r="A15" s="7" t="inlineStr">
        <is>
          <t>Estimate validated against OrCon</t>
        </is>
      </c>
      <c r="B15" s="27" t="inlineStr">
        <is>
          <t>within 7%% and 1%%</t>
        </is>
      </c>
      <c r="C15" s="31" t="inlineStr">
        <is>
          <t>CHECK</t>
        </is>
      </c>
      <c r="D15" s="10" t="inlineStr">
        <is>
          <t>The modelled converter-direct price was $13.99 and $30.93, produced BEFORE this quote existed. OrCon came in at $14.94 and $30.70. The large box matched to under 1%%. That is a genuine out-of-sample check on the method.</t>
        </is>
      </c>
    </row>
    <row r="16" ht="54" customHeight="1">
      <c r="A16" s="7" t="inlineStr">
        <is>
          <t>Acceptable range at 100</t>
        </is>
      </c>
      <c r="B16" s="27" t="inlineStr">
        <is>
          <t>med $13.99-$18.81 / lge $30.93-$38.96</t>
        </is>
      </c>
      <c r="C16" s="33" t="inlineStr">
        <is>
          <t>DERIVED</t>
        </is>
      </c>
      <c r="D16" s="10" t="inlineStr">
        <is>
          <t>Floor is the independent converter-direct estimate; ceiling is the dearest comparable PUBLISHED box at the same quantity. Both ends come from figures already in this workbook rather than a judgement call. The medium box sits $11.41 above its ceiling; the large box $0.07 below its own - inside, but by seven cents. OrCon lands in the good zone on the medium box and just below the modelled floor on the large one, which says the floor was set at a realistic level.</t>
        </is>
      </c>
    </row>
    <row r="17" ht="54" customHeight="1">
      <c r="A17" s="7" t="inlineStr">
        <is>
          <t>Freight</t>
        </is>
      </c>
      <c r="B17" s="27" t="inlineStr">
        <is>
          <t>excluded throughout</t>
        </is>
      </c>
      <c r="C17" s="34" t="inlineStr">
        <is>
          <t>n/a</t>
        </is>
      </c>
      <c r="D17" s="10" t="inlineStr">
        <is>
          <t>All figures are ex-freight so they compare cleanly. For reference, delivery to Sterling VA on a 100-of-each order works out at about $3.27 per medium box and $6.78 per large. Confirm whether the provider's price already includes delivery - if it does, they are better value than shown here.</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2026-09-03T17:47:53Z</dcterms:created>
  <dcterms:modified xsi:type="dcterms:W3CDTF">2026-09-03T17:47:53Z</dcterms:modified>
</cp:coreProperties>
</file>