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Order Totals" sheetId="2" state="visible" r:id="rId2"/>
    <sheet name="Ba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+0%;-0%"/>
    <numFmt numFmtId="166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b val="1"/>
      <color rgb="00006100"/>
      <sz val="10"/>
    </font>
    <font>
      <name val="Arial"/>
      <b val="1"/>
      <color rgb="009C6500"/>
      <sz val="10"/>
    </font>
  </fonts>
  <fills count="9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CE6F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6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MEDIUM box - cost per box by order size (catalogue = midpoint of published range)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'Scenarios'!A6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'Scenarios'!$B$5:$D$5</f>
            </numRef>
          </cat>
          <val>
            <numRef>
              <f>'Scenarios'!$B$6:$D$6</f>
            </numRef>
          </val>
        </ser>
        <ser>
          <idx val="1"/>
          <order val="1"/>
          <tx>
            <strRef>
              <f>'Scenarios'!A7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'Scenarios'!$B$7:$D$7</f>
            </numRef>
          </val>
        </ser>
        <ser>
          <idx val="2"/>
          <order val="2"/>
          <tx>
            <strRef>
              <f>'Scenarios'!A8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'Scenarios'!$B$8:$D$8</f>
            </numRef>
          </val>
        </ser>
        <dLbls>
          <numFmt formatCode="$#,##0.00"/>
          <showLegendKey val="0"/>
          <showVal val="1"/>
          <showCatName val="0"/>
          <showSerName val="0"/>
          <showPercent val="0"/>
          <showBubbleSize val="0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 box - cost per box by order size (catalogue = midpoint of published range)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'Scenarios'!A38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'Scenarios'!$B$37:$D$37</f>
            </numRef>
          </cat>
          <val>
            <numRef>
              <f>'Scenarios'!$B$38:$D$38</f>
            </numRef>
          </val>
        </ser>
        <ser>
          <idx val="1"/>
          <order val="1"/>
          <tx>
            <strRef>
              <f>'Scenarios'!A39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'Scenarios'!$B$37:$D$37</f>
            </numRef>
          </cat>
          <val>
            <numRef>
              <f>'Scenarios'!$B$39:$D$39</f>
            </numRef>
          </val>
        </ser>
        <ser>
          <idx val="2"/>
          <order val="2"/>
          <tx>
            <strRef>
              <f>'Scenarios'!A40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'Scenarios'!$B$37:$D$37</f>
            </numRef>
          </cat>
          <val>
            <numRef>
              <f>'Scenarios'!$B$40:$D$40</f>
            </numRef>
          </val>
        </ser>
        <dLbls>
          <numFmt formatCode="$#,##0.00"/>
          <showLegendKey val="0"/>
          <showVal val="1"/>
          <showCatName val="0"/>
          <showSerName val="0"/>
          <showPercent val="0"/>
          <showBubbleSize val="0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order cost - the fixed block is identical in all three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'Order Totals'!F5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Totals'!$F$6:$F$8</f>
            </numRef>
          </val>
        </ser>
        <ser>
          <idx val="1"/>
          <order val="1"/>
          <tx>
            <strRef>
              <f>'Order Totals'!G5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Totals'!$G$6:$G$8</f>
            </numRef>
          </val>
        </ser>
        <dLbls>
          <numFmt formatCode="$#,##0"/>
          <showLegendKey val="0"/>
          <showVal val="1"/>
          <showCatName val="0"/>
          <showSerName val="0"/>
        </dLbls>
        <gapWidth val="9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total order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93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2" customWidth="1" min="5" max="5"/>
    <col width="18" customWidth="1" min="6" max="6"/>
    <col width="20" customWidth="1" min="7" max="7"/>
    <col width="22" customWidth="1" min="8" max="8"/>
  </cols>
  <sheetData>
    <row r="1" ht="22" customHeight="1">
      <c r="A1" s="1" t="inlineStr">
        <is>
          <t>Cost per box across three order sizes</t>
        </is>
      </c>
    </row>
    <row r="2" ht="52" customHeight="1">
      <c r="A2" s="2" t="inlineStr">
        <is>
          <t>Three scenarios: 100, 250 and 1,000 of EACH box. Same board spec throughout (48ECT kraft double wall), cost per box, ex-freight. Within each scenario every figure is at the same quantity, so the comparison is like for like.   SOLID = a real price (what we are charged, or a published catalogue price).   HATCHED = not a real price (deduced or modelled).   Only ONE provider figure is an actual price: the 100-unit column. The 250 and 1,000 figures are deduced from it - see the Basis tab.</t>
        </is>
      </c>
    </row>
    <row r="4" ht="20" customHeight="1">
      <c r="A4" s="3" t="inlineStr">
        <is>
          <t>MEDIUM box  39 x 20 x 32 in  -  43.06 sq ft of board per box</t>
        </is>
      </c>
      <c r="B4" s="4" t="n"/>
      <c r="C4" s="4" t="n"/>
      <c r="D4" s="4" t="n"/>
      <c r="E4" s="4" t="n"/>
      <c r="F4" s="4" t="n"/>
      <c r="G4" s="4" t="n"/>
      <c r="H4" s="5" t="n"/>
    </row>
    <row r="5" ht="30" customHeight="1">
      <c r="A5" s="6" t="inlineStr">
        <is>
          <t>Cost per box</t>
        </is>
      </c>
      <c r="B5" s="6" t="inlineStr">
        <is>
          <t>100 each</t>
        </is>
      </c>
      <c r="C5" s="6" t="inlineStr">
        <is>
          <t>250 each</t>
        </is>
      </c>
      <c r="D5" s="6" t="inlineStr">
        <is>
          <t>1,000 each</t>
        </is>
      </c>
      <c r="E5" s="6" t="inlineStr">
        <is>
          <t>Basis at 100</t>
        </is>
      </c>
      <c r="F5" s="6" t="inlineStr">
        <is>
          <t>Change 100 -&gt; 1,000</t>
        </is>
      </c>
      <c r="G5" t="inlineStr"/>
      <c r="H5" t="inlineStr"/>
    </row>
    <row r="6" ht="24" customHeight="1">
      <c r="A6" s="7" t="inlineStr">
        <is>
          <t>PROVIDER - what we pay</t>
        </is>
      </c>
      <c r="B6" s="8" t="n">
        <v>30.22</v>
      </c>
      <c r="C6" s="9" t="n">
        <v>16.94</v>
      </c>
      <c r="D6" s="9" t="n">
        <v>10.31</v>
      </c>
      <c r="E6" s="10" t="inlineStr">
        <is>
          <t>ACTUAL invoice price</t>
        </is>
      </c>
      <c r="F6" s="11">
        <f>D6/B6-1</f>
        <v>-0.6589645225</v>
      </c>
    </row>
    <row r="7" ht="24" customHeight="1">
      <c r="A7" s="10" t="inlineStr">
        <is>
          <t>Independent estimate</t>
        </is>
      </c>
      <c r="B7" s="12" t="n">
        <v>13.99</v>
      </c>
      <c r="C7" s="12" t="n">
        <v>11.37</v>
      </c>
      <c r="D7" s="12" t="n">
        <v>7.9</v>
      </c>
      <c r="E7" s="10" t="inlineStr">
        <is>
          <t>Modelled from research</t>
        </is>
      </c>
      <c r="F7" s="11">
        <f>D7/B7-1</f>
        <v>-0.4351458827</v>
      </c>
    </row>
    <row r="8" ht="24" customHeight="1">
      <c r="A8" s="10" t="inlineStr">
        <is>
          <t>Retail catalogue - mid of range</t>
        </is>
      </c>
      <c r="B8" s="12" t="n">
        <v>17.99</v>
      </c>
      <c r="C8" s="12" t="n">
        <v>17.17</v>
      </c>
      <c r="D8" s="12" t="n">
        <v>15.92</v>
      </c>
      <c r="E8" s="10" t="inlineStr">
        <is>
          <t>Published, midpoint</t>
        </is>
      </c>
      <c r="F8" s="11">
        <f>D8/B8-1</f>
        <v>-0.1152538721</v>
      </c>
    </row>
    <row r="9" ht="24" customHeight="1">
      <c r="A9" s="10" t="inlineStr">
        <is>
          <t xml:space="preserve">   ...range low</t>
        </is>
      </c>
      <c r="B9" s="12" t="n">
        <v>17.17</v>
      </c>
      <c r="C9" s="12" t="n">
        <v>16.45</v>
      </c>
      <c r="D9" s="12" t="n">
        <v>15.2</v>
      </c>
      <c r="E9" s="10" t="inlineStr">
        <is>
          <t>Published, cheapest comp</t>
        </is>
      </c>
      <c r="F9" s="11">
        <f>D9/B9-1</f>
        <v>-0.1147730123</v>
      </c>
    </row>
    <row r="10" ht="24" customHeight="1">
      <c r="A10" s="10" t="inlineStr">
        <is>
          <t xml:space="preserve">   ...range high</t>
        </is>
      </c>
      <c r="B10" s="12" t="n">
        <v>18.81</v>
      </c>
      <c r="C10" s="12" t="n">
        <v>17.88</v>
      </c>
      <c r="D10" s="12" t="n">
        <v>16.63</v>
      </c>
      <c r="E10" s="10" t="inlineStr">
        <is>
          <t>Published, dearest comp</t>
        </is>
      </c>
      <c r="F10" s="11">
        <f>D10/B10-1</f>
        <v>-0.115692829</v>
      </c>
    </row>
    <row r="36" ht="20" customHeight="1">
      <c r="A36" s="3" t="inlineStr">
        <is>
          <t>LARGE box  46 x 39 x 36 in  -  89.19 sq ft of board per box</t>
        </is>
      </c>
      <c r="B36" s="4" t="n"/>
      <c r="C36" s="4" t="n"/>
      <c r="D36" s="4" t="n"/>
      <c r="E36" s="4" t="n"/>
      <c r="F36" s="4" t="n"/>
      <c r="G36" s="4" t="n"/>
      <c r="H36" s="5" t="n"/>
    </row>
    <row r="37" ht="30" customHeight="1">
      <c r="A37" s="6" t="inlineStr">
        <is>
          <t>Cost per box</t>
        </is>
      </c>
      <c r="B37" s="6" t="inlineStr">
        <is>
          <t>100 each</t>
        </is>
      </c>
      <c r="C37" s="6" t="inlineStr">
        <is>
          <t>250 each</t>
        </is>
      </c>
      <c r="D37" s="6" t="inlineStr">
        <is>
          <t>1,000 each</t>
        </is>
      </c>
      <c r="E37" s="6" t="inlineStr">
        <is>
          <t>Basis at 100</t>
        </is>
      </c>
      <c r="F37" s="6" t="inlineStr">
        <is>
          <t>Change 100 -&gt; 1,000</t>
        </is>
      </c>
      <c r="G37" t="inlineStr"/>
      <c r="H37" t="inlineStr"/>
    </row>
    <row r="38" ht="24" customHeight="1">
      <c r="A38" s="7" t="inlineStr">
        <is>
          <t>PROVIDER - what we pay</t>
        </is>
      </c>
      <c r="B38" s="8" t="n">
        <v>38.89</v>
      </c>
      <c r="C38" s="9" t="n">
        <v>25.61</v>
      </c>
      <c r="D38" s="9" t="n">
        <v>18.98</v>
      </c>
      <c r="E38" s="10" t="inlineStr">
        <is>
          <t>ACTUAL invoice price</t>
        </is>
      </c>
      <c r="F38" s="11">
        <f>D38/B38-1</f>
        <v>-0.5120572864</v>
      </c>
    </row>
    <row r="39" ht="24" customHeight="1">
      <c r="A39" s="10" t="inlineStr">
        <is>
          <t>Independent estimate</t>
        </is>
      </c>
      <c r="B39" s="12" t="n">
        <v>30.93</v>
      </c>
      <c r="C39" s="12" t="n">
        <v>26.02</v>
      </c>
      <c r="D39" s="12" t="n">
        <v>18.43</v>
      </c>
      <c r="E39" s="10" t="inlineStr">
        <is>
          <t>Modelled from research</t>
        </is>
      </c>
      <c r="F39" s="11">
        <f>D39/B39-1</f>
        <v>-0.4040619607</v>
      </c>
    </row>
    <row r="40" ht="24" customHeight="1">
      <c r="A40" s="10" t="inlineStr">
        <is>
          <t>Retail catalogue - mid of range</t>
        </is>
      </c>
      <c r="B40" s="12" t="n">
        <v>37.26</v>
      </c>
      <c r="C40" s="12" t="n">
        <v>35.56</v>
      </c>
      <c r="D40" s="12" t="n">
        <v>32.96</v>
      </c>
      <c r="E40" s="10" t="inlineStr">
        <is>
          <t>Published, midpoint</t>
        </is>
      </c>
      <c r="F40" s="11">
        <f>D40/B40-1</f>
        <v>-0.1152538721</v>
      </c>
    </row>
    <row r="41" ht="24" customHeight="1">
      <c r="A41" s="10" t="inlineStr">
        <is>
          <t xml:space="preserve">   ...range low</t>
        </is>
      </c>
      <c r="B41" s="12" t="n">
        <v>35.56</v>
      </c>
      <c r="C41" s="12" t="n">
        <v>34.07</v>
      </c>
      <c r="D41" s="12" t="n">
        <v>31.48</v>
      </c>
      <c r="E41" s="10" t="inlineStr">
        <is>
          <t>Published, cheapest comp</t>
        </is>
      </c>
      <c r="F41" s="11">
        <f>D41/B41-1</f>
        <v>-0.1147730123</v>
      </c>
    </row>
    <row r="42" ht="24" customHeight="1">
      <c r="A42" s="10" t="inlineStr">
        <is>
          <t xml:space="preserve">   ...range high</t>
        </is>
      </c>
      <c r="B42" s="12" t="n">
        <v>38.96</v>
      </c>
      <c r="C42" s="12" t="n">
        <v>37.04</v>
      </c>
      <c r="D42" s="12" t="n">
        <v>34.45</v>
      </c>
      <c r="E42" s="10" t="inlineStr">
        <is>
          <t>Published, dearest comp</t>
        </is>
      </c>
      <c r="F42" s="11">
        <f>D42/B42-1</f>
        <v>-0.115692829</v>
      </c>
    </row>
    <row r="68" ht="20" customHeight="1">
      <c r="A68" s="3" t="inlineStr">
        <is>
          <t>WHAT THE THREE SCENARIOS SHOW</t>
        </is>
      </c>
      <c r="B68" s="4" t="n"/>
      <c r="C68" s="4" t="n"/>
      <c r="D68" s="4" t="n"/>
      <c r="E68" s="4" t="n"/>
      <c r="F68" s="4" t="n"/>
      <c r="G68" s="4" t="n"/>
      <c r="H68" s="5" t="n"/>
    </row>
    <row r="69" ht="50" customHeight="1">
      <c r="A69" s="13" t="inlineStr">
        <is>
          <t>At 100 each - today</t>
        </is>
      </c>
      <c r="B69" s="14" t="n"/>
      <c r="C69" s="10" t="inlineStr">
        <is>
          <t>The MEDIUM box is the outlier: $30.22 against a catalogue price of $17.99 for a comparable stock box. We pay $12.23 more per box than we could buy one for. The LARGE box at $38.89 is already fractionally BELOW its catalogue equivalent, so there is no case to answer there.</t>
        </is>
      </c>
      <c r="D69" s="14" t="n"/>
      <c r="E69" s="14" t="n"/>
      <c r="F69" s="14" t="n"/>
      <c r="G69" s="14" t="n"/>
      <c r="H69" s="14" t="n"/>
    </row>
    <row r="70" ht="50" customHeight="1">
      <c r="A70" s="13" t="inlineStr">
        <is>
          <t>At 250 each - the crossover</t>
        </is>
      </c>
      <c r="B70" s="14" t="n"/>
      <c r="C70" s="10" t="inlineStr">
        <is>
          <t>The medium box drops to $16.94, inside its $16.45-$17.88 range. The large box at $25.61 falls clear BELOW its $34.07-$37.04 range. Both come good, and it takes only 150 more units of each to get here.</t>
        </is>
      </c>
      <c r="D70" s="14" t="n"/>
      <c r="E70" s="14" t="n"/>
      <c r="F70" s="14" t="n"/>
      <c r="G70" s="14" t="n"/>
      <c r="H70" s="14" t="n"/>
    </row>
    <row r="71" ht="50" customHeight="1">
      <c r="A71" s="13" t="inlineStr">
        <is>
          <t>At 1,000 each - clearly good value</t>
        </is>
      </c>
      <c r="B71" s="14" t="n"/>
      <c r="C71" s="10" t="inlineStr">
        <is>
          <t>Both boxes well below anything published: medium $10.31 vs $15.20-$16.63, large $18.98 vs $31.48-$34.45. Our price falls 66% and 51% from the 100-unit level while the published range moves only about 12% - retail discounts very little for volume, and that divergence is the whole argument.</t>
        </is>
      </c>
      <c r="D71" s="14" t="n"/>
      <c r="E71" s="14" t="n"/>
      <c r="F71" s="14" t="n"/>
      <c r="G71" s="14" t="n"/>
      <c r="H71" s="14" t="n"/>
    </row>
    <row r="72" ht="50" customHeight="1">
      <c r="A72" s="13" t="inlineStr">
        <is>
          <t>The conclusion</t>
        </is>
      </c>
      <c r="B72" s="14" t="n"/>
      <c r="C72" s="10" t="inlineStr">
        <is>
          <t>This is not a supplier problem, it is an order-size problem. Our provider's underlying board rate works out at about $188/MSF, which is competitive. What makes 100 units look expensive is roughly $2,213 per SKU of fixed cost spread over too few boxes - and it lands hardest on the smaller box, because fixed cost does not care how big the box is.</t>
        </is>
      </c>
      <c r="D72" s="14" t="n"/>
      <c r="E72" s="14" t="n"/>
      <c r="F72" s="14" t="n"/>
      <c r="G72" s="14" t="n"/>
      <c r="H72" s="14" t="n"/>
    </row>
  </sheetData>
  <mergeCells count="13">
    <mergeCell ref="A4:H4"/>
    <mergeCell ref="C71:H71"/>
    <mergeCell ref="A72:B72"/>
    <mergeCell ref="C72:H72"/>
    <mergeCell ref="A71:B71"/>
    <mergeCell ref="A2:H2"/>
    <mergeCell ref="C70:H70"/>
    <mergeCell ref="A68:H68"/>
    <mergeCell ref="A36:H36"/>
    <mergeCell ref="C69:H69"/>
    <mergeCell ref="A1:H1"/>
    <mergeCell ref="A70:B70"/>
    <mergeCell ref="A69:B69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2" customHeight="1">
      <c r="A1" s="1" t="inlineStr">
        <is>
          <t>What each scenario costs in total</t>
        </is>
      </c>
    </row>
    <row r="2" ht="30" customHeight="1">
      <c r="A2" s="2" t="inlineStr">
        <is>
          <t>Same three scenarios, expressed as total spend rather than unit price. All provider figures; the 100 column is actual, the other two deduced. Ex-freight.</t>
        </is>
      </c>
    </row>
    <row r="4" ht="20" customHeight="1">
      <c r="A4" s="3" t="inlineStr">
        <is>
          <t>1.  TOTAL ORDER VALUE</t>
        </is>
      </c>
      <c r="B4" s="4" t="n"/>
      <c r="C4" s="4" t="n"/>
      <c r="D4" s="4" t="n"/>
      <c r="E4" s="4" t="n"/>
      <c r="F4" s="4" t="n"/>
      <c r="G4" s="5" t="n"/>
    </row>
    <row r="5" ht="32" customHeight="1">
      <c r="A5" s="6" t="inlineStr">
        <is>
          <t>Scenario</t>
        </is>
      </c>
      <c r="B5" s="6" t="inlineStr">
        <is>
          <t>Medium $/box</t>
        </is>
      </c>
      <c r="C5" s="6" t="inlineStr">
        <is>
          <t>Large $/box</t>
        </is>
      </c>
      <c r="D5" s="6" t="inlineStr">
        <is>
          <t>$ per set</t>
        </is>
      </c>
      <c r="E5" s="6" t="inlineStr">
        <is>
          <t>TOTAL ORDER</t>
        </is>
      </c>
      <c r="F5" s="6" t="inlineStr">
        <is>
          <t>of which board</t>
        </is>
      </c>
      <c r="G5" s="6" t="inlineStr">
        <is>
          <t>of which fixed</t>
        </is>
      </c>
    </row>
    <row r="6" ht="24" customHeight="1">
      <c r="A6" s="15" t="inlineStr">
        <is>
          <t>100 of each</t>
        </is>
      </c>
      <c r="B6" s="16" t="n">
        <v>30.22</v>
      </c>
      <c r="C6" s="16" t="n">
        <v>38.89</v>
      </c>
      <c r="D6" s="16">
        <f>B6+C6</f>
        <v>69.11</v>
      </c>
      <c r="E6" s="17">
        <f>100*D6</f>
        <v>6911.0</v>
      </c>
      <c r="F6" s="17" t="n">
        <v>2486</v>
      </c>
      <c r="G6" s="17" t="n">
        <v>4425</v>
      </c>
    </row>
    <row r="7" ht="24" customHeight="1">
      <c r="A7" s="18" t="inlineStr">
        <is>
          <t>250 of each</t>
        </is>
      </c>
      <c r="B7" s="12" t="n">
        <v>16.94</v>
      </c>
      <c r="C7" s="12" t="n">
        <v>25.61</v>
      </c>
      <c r="D7" s="12">
        <f>B7+C7</f>
        <v>42.5581228407</v>
      </c>
      <c r="E7" s="19">
        <f>250*D7</f>
        <v>10639.5307101727</v>
      </c>
      <c r="F7" s="19" t="n">
        <v>6214</v>
      </c>
      <c r="G7" s="19" t="n">
        <v>4425</v>
      </c>
    </row>
    <row r="8" ht="24" customHeight="1">
      <c r="A8" s="18" t="inlineStr">
        <is>
          <t>1000 of each</t>
        </is>
      </c>
      <c r="B8" s="12" t="n">
        <v>10.31</v>
      </c>
      <c r="C8" s="12" t="n">
        <v>18.98</v>
      </c>
      <c r="D8" s="12">
        <f>B8+C8</f>
        <v>29.282184261</v>
      </c>
      <c r="E8" s="19">
        <f>1000*D8</f>
        <v>29282.1842610365</v>
      </c>
      <c r="F8" s="19" t="n">
        <v>24857</v>
      </c>
      <c r="G8" s="19" t="n">
        <v>4425</v>
      </c>
    </row>
    <row r="34" ht="20" customHeight="1">
      <c r="A34" s="3" t="inlineStr">
        <is>
          <t>2.  WHAT THE EXTRA BOXES ACTUALLY COST</t>
        </is>
      </c>
      <c r="B34" s="4" t="n"/>
      <c r="C34" s="4" t="n"/>
      <c r="D34" s="4" t="n"/>
      <c r="E34" s="4" t="n"/>
      <c r="F34" s="4" t="n"/>
      <c r="G34" s="5" t="n"/>
    </row>
    <row r="35" ht="22" customHeight="1">
      <c r="A35" s="7" t="inlineStr">
        <is>
          <t>Going from 100 to 250 each</t>
        </is>
      </c>
      <c r="B35" s="14" t="n"/>
      <c r="C35" s="10" t="inlineStr">
        <is>
          <t>150 more sets, costing $3,729 more in total</t>
        </is>
      </c>
      <c r="D35" s="14" t="n"/>
      <c r="E35" s="20">
        <f> $24.86 per additional set</f>
        <v/>
      </c>
      <c r="F35" s="14" t="n"/>
      <c r="G35" s="14" t="n"/>
    </row>
    <row r="36" ht="22" customHeight="1">
      <c r="A36" s="7" t="inlineStr">
        <is>
          <t>Going from 250 to 1000 each</t>
        </is>
      </c>
      <c r="B36" s="14" t="n"/>
      <c r="C36" s="10" t="inlineStr">
        <is>
          <t>750 more sets, costing $18,643 more in total</t>
        </is>
      </c>
      <c r="D36" s="14" t="n"/>
      <c r="E36" s="20">
        <f> $24.86 per additional set</f>
        <v/>
      </c>
      <c r="F36" s="14" t="n"/>
      <c r="G36" s="14" t="n"/>
    </row>
    <row r="37" ht="22" customHeight="1">
      <c r="A37" s="7" t="inlineStr">
        <is>
          <t>Going from 100 to 1000 each</t>
        </is>
      </c>
      <c r="B37" s="14" t="n"/>
      <c r="C37" s="10" t="inlineStr">
        <is>
          <t>900 more sets, costing $22,371 more in total</t>
        </is>
      </c>
      <c r="D37" s="14" t="n"/>
      <c r="E37" s="20">
        <f> $24.86 per additional set</f>
        <v/>
      </c>
      <c r="F37" s="14" t="n"/>
      <c r="G37" s="14" t="n"/>
    </row>
    <row r="39" ht="52" customHeight="1">
      <c r="A39" s="2" t="inlineStr">
        <is>
          <t>THE SINGLE MOST USEFUL NUMBER HERE. Every additional set beyond the first order costs about $24.86, because the fixed charges are already paid. The first 100 sets cost $69.11 each only because they are carrying $4,425 of fixed cost between them. If there is any use at all for spare boxes - damage, a second run, buffer stock - the marginal ones are cheap in a way the headline price completely hides.</t>
        </is>
      </c>
    </row>
  </sheetData>
  <mergeCells count="14">
    <mergeCell ref="A1:G1"/>
    <mergeCell ref="E36:G36"/>
    <mergeCell ref="E37:G37"/>
    <mergeCell ref="A39:G39"/>
    <mergeCell ref="A34:G34"/>
    <mergeCell ref="A4:G4"/>
    <mergeCell ref="A37:B37"/>
    <mergeCell ref="C36:D36"/>
    <mergeCell ref="A36:B36"/>
    <mergeCell ref="A2:G2"/>
    <mergeCell ref="E35:G35"/>
    <mergeCell ref="C37:D37"/>
    <mergeCell ref="C35:D35"/>
    <mergeCell ref="A35:B3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4" customWidth="1" min="3" max="3"/>
    <col width="96" customWidth="1" min="4" max="4"/>
  </cols>
  <sheetData>
    <row r="1" ht="22" customHeight="1">
      <c r="A1" s="1" t="inlineStr">
        <is>
          <t>Basis of every figure</t>
        </is>
      </c>
    </row>
    <row r="2" ht="28" customHeight="1">
      <c r="A2" s="2" t="inlineStr">
        <is>
          <t>Four categories. ACTUAL is a price we are charged. PUBLISHED is someone else's printed price. CALCULATED is arithmetic with no uncertainty. DEDUCED or MODELLED means we worked it out.</t>
        </is>
      </c>
    </row>
    <row r="4" ht="22" customHeight="1">
      <c r="A4" s="6" t="inlineStr">
        <is>
          <t>Figure</t>
        </is>
      </c>
      <c r="B4" s="6" t="inlineStr">
        <is>
          <t>Value</t>
        </is>
      </c>
      <c r="C4" s="6" t="inlineStr">
        <is>
          <t>Category</t>
        </is>
      </c>
      <c r="D4" s="6" t="inlineStr">
        <is>
          <t>Where it comes from</t>
        </is>
      </c>
    </row>
    <row r="5" ht="54" customHeight="1">
      <c r="A5" s="7" t="inlineStr">
        <is>
          <t>Provider price, MEDIUM, 100 each</t>
        </is>
      </c>
      <c r="B5" s="18" t="inlineStr">
        <is>
          <t>$30.22</t>
        </is>
      </c>
      <c r="C5" s="21" t="inlineStr">
        <is>
          <t>ACTUAL</t>
        </is>
      </c>
      <c r="D5" s="10" t="inlineStr">
        <is>
          <t>What we are charged today. Supplied by us.</t>
        </is>
      </c>
    </row>
    <row r="6" ht="54" customHeight="1">
      <c r="A6" s="7" t="inlineStr">
        <is>
          <t>Provider price, LARGE, 100 each</t>
        </is>
      </c>
      <c r="B6" s="18" t="inlineStr">
        <is>
          <t>$38.89</t>
        </is>
      </c>
      <c r="C6" s="21" t="inlineStr">
        <is>
          <t>ACTUAL</t>
        </is>
      </c>
      <c r="D6" s="10" t="inlineStr">
        <is>
          <t>What we are charged today. Supplied by us.</t>
        </is>
      </c>
    </row>
    <row r="7" ht="54" customHeight="1">
      <c r="A7" s="7" t="inlineStr">
        <is>
          <t>Board area per box</t>
        </is>
      </c>
      <c r="B7" s="18" t="inlineStr">
        <is>
          <t>43.06 / 89.19 sq ft</t>
        </is>
      </c>
      <c r="C7" s="22" t="inlineStr">
        <is>
          <t>CALCULATED</t>
        </is>
      </c>
      <c r="D7" s="10" t="inlineStr">
        <is>
          <t>From the drawings. Blank = (2 x (L+W) + 1.25) x (D+W), divided by 144. No uncertainty.</t>
        </is>
      </c>
    </row>
    <row r="8" ht="54" customHeight="1">
      <c r="A8" s="7" t="inlineStr">
        <is>
          <t>Catalogue RANGE, 100 / 250 / 1,000</t>
        </is>
      </c>
      <c r="B8" s="18" t="inlineStr">
        <is>
          <t>$399-437 / $382-415 / $353-386 per MSF</t>
        </is>
      </c>
      <c r="C8" s="21" t="inlineStr">
        <is>
          <t>PUBLISHED</t>
        </is>
      </c>
      <c r="D8" s="10" t="inlineStr">
        <is>
          <t>Low and high across FIVE comparable 275 lb test (= 48ECT) double wall RSCs priced at each quantity tier. Shown as a range rather than a median because the spread is real: two retailers list the SAME 48x40x36 double-wall box at $33.59 and $45.95, a 37%% gap. Note also how little the range improves with volume - retail barely discounts.</t>
        </is>
      </c>
    </row>
    <row r="9" ht="54" customHeight="1">
      <c r="A9" s="7" t="inlineStr">
        <is>
          <t>Independent estimate</t>
        </is>
      </c>
      <c r="B9" s="18" t="inlineStr">
        <is>
          <t>$290-$180 / $330-$205 per MSF</t>
        </is>
      </c>
      <c r="C9" s="23" t="inlineStr">
        <is>
          <t>MODELLED</t>
        </is>
      </c>
      <c r="D9" s="10" t="inlineStr">
        <is>
          <t>Two independent routes agreeing: discounting catalogue prices by a distributor margin, and adjusting a real public-contract converter rate for double wall. Plus $150 setup per SKU.</t>
        </is>
      </c>
    </row>
    <row r="10" ht="54" customHeight="1">
      <c r="A10" s="7" t="inlineStr">
        <is>
          <t>Provider marginal board rate</t>
        </is>
      </c>
      <c r="B10" s="18" t="inlineStr">
        <is>
          <t>$188 per MSF</t>
        </is>
      </c>
      <c r="C10" s="23" t="inlineStr">
        <is>
          <t>DEDUCED</t>
        </is>
      </c>
      <c r="D10" s="10" t="inlineStr">
        <is>
          <t>(large price - medium price) / (large area - medium area). Competitive - in line with what a 500-1,000 piece converter price should be, which is why this reads as an order-size problem rather than a supplier problem.</t>
        </is>
      </c>
    </row>
    <row r="11" ht="54" customHeight="1">
      <c r="A11" s="7" t="inlineStr">
        <is>
          <t>Provider fixed charge</t>
        </is>
      </c>
      <c r="B11" s="18" t="inlineStr">
        <is>
          <t>$2,213 per SKU</t>
        </is>
      </c>
      <c r="C11" s="23" t="inlineStr">
        <is>
          <t>DEDUCED</t>
        </is>
      </c>
      <c r="D11" s="10" t="inlineStr">
        <is>
          <t>What is left of the medium-box price once its board is paid for, times 100. ASSUMES both boxes carry the same fixed charge and the same board rate - the natural reading if one provider quotes both, but an assumption. Confirm by asking them to state setup separately on the next quote.</t>
        </is>
      </c>
    </row>
    <row r="12" ht="54" customHeight="1">
      <c r="A12" s="7" t="inlineStr">
        <is>
          <t>Provider prices at 250 and 1,000</t>
        </is>
      </c>
      <c r="B12" s="18" t="inlineStr">
        <is>
          <t>see Scenarios tab</t>
        </is>
      </c>
      <c r="C12" s="23" t="inlineStr">
        <is>
          <t>DEDUCED</t>
        </is>
      </c>
      <c r="D12" s="10" t="inlineStr">
        <is>
          <t>Board rate and fixed charge re-spread over the larger runs. Not quoted. Fitting two unknowns to two data points reproduces our actual prices by construction, so it is arithmetic rather than evidence - but the direction is not in doubt, because fixed cost provably does not scale with quantity.</t>
        </is>
      </c>
    </row>
    <row r="13" ht="54" customHeight="1">
      <c r="A13" s="7" t="inlineStr">
        <is>
          <t>Freight</t>
        </is>
      </c>
      <c r="B13" s="18" t="inlineStr">
        <is>
          <t>excluded throughout</t>
        </is>
      </c>
      <c r="C13" s="24" t="inlineStr">
        <is>
          <t>n/a</t>
        </is>
      </c>
      <c r="D13" s="10" t="inlineStr">
        <is>
          <t>All figures are ex-freight so they compare cleanly. For reference, delivery to Sterling VA on a 100-of-each order works out at about $3.27 per medium box and $6.78 per large. Confirm whether the provider's price already includes delivery - if it does, they are better value than shown here.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2026-09-01T18:39:37Z</dcterms:created>
  <dcterms:modified xsi:type="dcterms:W3CDTF">2026-09-01T18:39:37Z</dcterms:modified>
</cp:coreProperties>
</file>