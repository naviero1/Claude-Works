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st Comparison" sheetId="1" state="visible" r:id="rId1"/>
    <sheet name="Volume" sheetId="2" state="visible" r:id="rId2"/>
    <sheet name="Basis" sheetId="3" state="visible" r:id="rId3"/>
  </sheets>
  <definedNames/>
  <calcPr calcId="124519" fullCalcOnLoad="1"/>
</workbook>
</file>

<file path=xl/styles.xml><?xml version="1.0" encoding="utf-8"?>
<styleSheet xmlns="http://schemas.openxmlformats.org/spreadsheetml/2006/main">
  <numFmts count="3">
    <numFmt numFmtId="164" formatCode="$#,##0.00;($#,##0.00);-"/>
    <numFmt numFmtId="165" formatCode="$#,##0;($#,##0);-"/>
    <numFmt numFmtId="166" formatCode="+0%;-0%"/>
  </numFmts>
  <fonts count="16">
    <font>
      <name val="Calibri"/>
      <family val="2"/>
      <color theme="1"/>
      <sz val="11"/>
      <scheme val="minor"/>
    </font>
    <font>
      <name val="Arial"/>
      <b val="1"/>
      <color rgb="001F3864"/>
      <sz val="15"/>
    </font>
    <font>
      <name val="Arial"/>
      <i val="1"/>
      <color rgb="00595959"/>
      <sz val="9"/>
    </font>
    <font>
      <name val="Arial"/>
      <b val="1"/>
      <color rgb="00FFFFFF"/>
      <sz val="11"/>
    </font>
    <font>
      <name val="Arial"/>
      <b val="1"/>
      <color rgb="00FFFFFF"/>
      <sz val="10"/>
    </font>
    <font>
      <name val="Arial"/>
      <b val="1"/>
      <sz val="11"/>
    </font>
    <font>
      <name val="Arial"/>
      <b val="1"/>
      <color rgb="001F3864"/>
      <sz val="12"/>
    </font>
    <font>
      <name val="Arial"/>
      <sz val="10"/>
    </font>
    <font>
      <name val="Arial"/>
      <b val="1"/>
      <sz val="10"/>
    </font>
    <font>
      <name val="Arial"/>
      <b val="1"/>
      <color rgb="001F3864"/>
      <sz val="11"/>
    </font>
    <font>
      <name val="Arial"/>
      <b val="1"/>
      <color rgb="009C0006"/>
      <sz val="10"/>
    </font>
    <font>
      <name val="Arial"/>
      <b val="1"/>
      <color rgb="00006100"/>
      <sz val="9"/>
    </font>
    <font>
      <name val="Arial"/>
      <i val="1"/>
      <color rgb="009C6500"/>
      <sz val="9"/>
    </font>
    <font>
      <name val="Arial"/>
      <b val="1"/>
      <color rgb="00006100"/>
      <sz val="10"/>
    </font>
    <font>
      <name val="Arial"/>
      <b val="1"/>
      <color rgb="001F3864"/>
      <sz val="10"/>
    </font>
    <font>
      <name val="Arial"/>
      <b val="1"/>
      <color rgb="009C6500"/>
      <sz val="10"/>
    </font>
  </fonts>
  <fills count="10">
    <fill>
      <patternFill/>
    </fill>
    <fill>
      <patternFill patternType="gray125"/>
    </fill>
    <fill>
      <patternFill patternType="solid">
        <fgColor rgb="002E5C8A"/>
      </patternFill>
    </fill>
    <fill>
      <patternFill patternType="solid">
        <fgColor rgb="001F3864"/>
      </patternFill>
    </fill>
    <fill>
      <patternFill patternType="solid">
        <fgColor rgb="00DCE6F1"/>
      </patternFill>
    </fill>
    <fill>
      <patternFill patternType="solid">
        <fgColor rgb="00FFC7CE"/>
      </patternFill>
    </fill>
    <fill>
      <patternFill patternType="solid">
        <fgColor rgb="00C6EFCE"/>
      </patternFill>
    </fill>
    <fill>
      <patternFill patternType="solid">
        <fgColor rgb="00FFF2CC"/>
      </patternFill>
    </fill>
    <fill>
      <patternFill patternType="solid">
        <fgColor rgb="00E2EFDA"/>
      </patternFill>
    </fill>
    <fill>
      <patternFill patternType="solid">
        <fgColor rgb="00FFEB9C"/>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3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pivotButton="0" quotePrefix="0" xfId="0"/>
    <xf numFmtId="0" fontId="0" fillId="0" borderId="4" pivotButton="0" quotePrefix="0" xfId="0"/>
    <xf numFmtId="0" fontId="0" fillId="0" borderId="5" pivotButton="0" quotePrefix="0" xfId="0"/>
    <xf numFmtId="0" fontId="4" fillId="3" borderId="1" applyAlignment="1" pivotButton="0" quotePrefix="0" xfId="0">
      <alignment horizontal="center" vertical="center" wrapText="1"/>
    </xf>
    <xf numFmtId="0" fontId="5" fillId="0" borderId="1" applyAlignment="1" pivotButton="0" quotePrefix="0" xfId="0">
      <alignment vertical="top" wrapText="1"/>
    </xf>
    <xf numFmtId="2" fontId="0" fillId="0" borderId="1" applyAlignment="1" pivotButton="0" quotePrefix="0" xfId="0">
      <alignment horizontal="center" vertical="center" wrapText="1"/>
    </xf>
    <xf numFmtId="164" fontId="6" fillId="4" borderId="1" applyAlignment="1" pivotButton="0" quotePrefix="0" xfId="0">
      <alignment horizontal="center" vertical="center" wrapText="1"/>
    </xf>
    <xf numFmtId="164" fontId="0" fillId="0" borderId="1" applyAlignment="1" pivotButton="0" quotePrefix="0" xfId="0">
      <alignment horizontal="center" vertical="center" wrapText="1"/>
    </xf>
    <xf numFmtId="164" fontId="0" fillId="5" borderId="1" applyAlignment="1" pivotButton="0" quotePrefix="0" xfId="0">
      <alignment horizontal="center" vertical="center" wrapText="1"/>
    </xf>
    <xf numFmtId="0" fontId="7" fillId="0" borderId="1" applyAlignment="1" pivotButton="0" quotePrefix="0" xfId="0">
      <alignment vertical="top" wrapText="1"/>
    </xf>
    <xf numFmtId="0" fontId="8" fillId="0" borderId="1" applyAlignment="1" pivotButton="0" quotePrefix="0" xfId="0">
      <alignment vertical="top" wrapText="1"/>
    </xf>
    <xf numFmtId="165" fontId="9" fillId="0" borderId="1" applyAlignment="1" pivotButton="0" quotePrefix="0" xfId="0">
      <alignment horizontal="center" vertical="center" wrapText="1"/>
    </xf>
    <xf numFmtId="165" fontId="0" fillId="0" borderId="1" applyAlignment="1" pivotButton="0" quotePrefix="0" xfId="0">
      <alignment horizontal="center" vertical="center" wrapText="1"/>
    </xf>
    <xf numFmtId="166" fontId="0" fillId="5" borderId="1" applyAlignment="1" pivotButton="0" quotePrefix="0" xfId="0">
      <alignment horizontal="center" vertical="center" wrapText="1"/>
    </xf>
    <xf numFmtId="166" fontId="0" fillId="6" borderId="1" applyAlignment="1" pivotButton="0" quotePrefix="0" xfId="0">
      <alignment horizontal="center" vertical="center" wrapText="1"/>
    </xf>
    <xf numFmtId="0" fontId="10" fillId="7" borderId="1" pivotButton="0" quotePrefix="0" xfId="0"/>
    <xf numFmtId="0" fontId="0" fillId="7" borderId="1" pivotButton="0" quotePrefix="0" xfId="0"/>
    <xf numFmtId="0" fontId="7" fillId="7" borderId="1" pivotButton="0" quotePrefix="0" xfId="0"/>
    <xf numFmtId="0" fontId="0" fillId="0" borderId="1" applyAlignment="1" pivotButton="0" quotePrefix="0" xfId="0">
      <alignment vertical="top" wrapText="1"/>
    </xf>
    <xf numFmtId="3" fontId="0" fillId="8" borderId="1" applyAlignment="1" pivotButton="0" quotePrefix="0" xfId="0">
      <alignment horizontal="center" vertical="center" wrapText="1"/>
    </xf>
    <xf numFmtId="164" fontId="9" fillId="8" borderId="1" applyAlignment="1" pivotButton="0" quotePrefix="0" xfId="0">
      <alignment horizontal="center" vertical="center" wrapText="1"/>
    </xf>
    <xf numFmtId="164" fontId="0" fillId="8" borderId="1" applyAlignment="1" pivotButton="0" quotePrefix="0" xfId="0">
      <alignment horizontal="center" vertical="center" wrapText="1"/>
    </xf>
    <xf numFmtId="0" fontId="11" fillId="8" borderId="1" applyAlignment="1" pivotButton="0" quotePrefix="0" xfId="0">
      <alignment horizontal="center" vertical="center" wrapText="1"/>
    </xf>
    <xf numFmtId="165" fontId="0" fillId="8" borderId="1" applyAlignment="1" pivotButton="0" quotePrefix="0" xfId="0">
      <alignment horizontal="center" vertical="center" wrapText="1"/>
    </xf>
    <xf numFmtId="3" fontId="0" fillId="0" borderId="1" applyAlignment="1" pivotButton="0" quotePrefix="0" xfId="0">
      <alignment horizontal="center" vertical="center" wrapText="1"/>
    </xf>
    <xf numFmtId="164" fontId="0" fillId="4" borderId="1" applyAlignment="1" pivotButton="0" quotePrefix="0" xfId="0">
      <alignment horizontal="center" vertical="center" wrapText="1"/>
    </xf>
    <xf numFmtId="0" fontId="12" fillId="0" borderId="1" applyAlignment="1" pivotButton="0" quotePrefix="0" xfId="0">
      <alignment horizontal="center" vertical="center" wrapText="1"/>
    </xf>
    <xf numFmtId="0" fontId="13" fillId="0" borderId="1" applyAlignment="1" pivotButton="0" quotePrefix="0" xfId="0">
      <alignment vertical="top" wrapText="1"/>
    </xf>
    <xf numFmtId="0" fontId="5" fillId="0" borderId="1" applyAlignment="1" pivotButton="0" quotePrefix="0" xfId="0">
      <alignment horizontal="center" vertical="center" wrapText="1"/>
    </xf>
    <xf numFmtId="0" fontId="13" fillId="6" borderId="1" applyAlignment="1" pivotButton="0" quotePrefix="0" xfId="0">
      <alignment horizontal="center" vertical="center" wrapText="1"/>
    </xf>
    <xf numFmtId="0" fontId="14" fillId="4" borderId="1" applyAlignment="1" pivotButton="0" quotePrefix="0" xfId="0">
      <alignment horizontal="center" vertical="center" wrapText="1"/>
    </xf>
    <xf numFmtId="0" fontId="15" fillId="9"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harts/chart1.xml><?xml version="1.0" encoding="utf-8"?>
<chartSpace xmlns:a="http://schemas.openxmlformats.org/drawingml/2006/main" xmlns="http://schemas.openxmlformats.org/drawingml/2006/chart">
  <chart>
    <title>
      <tx>
        <rich>
          <a:bodyPr/>
          <a:p>
            <a:pPr>
              <a:defRPr/>
            </a:pPr>
            <a:r>
              <a:t>Cost per box at 100 units - actual vs references (same quantity, same spec)</a:t>
            </a:r>
          </a:p>
        </rich>
      </tx>
    </title>
    <plotArea>
      <barChart>
        <barDir val="col"/>
        <grouping val="clustered"/>
        <ser>
          <idx val="0"/>
          <order val="0"/>
          <tx>
            <strRef>
              <f>'Cost Comparison'!C5</f>
            </strRef>
          </tx>
          <spPr>
            <a:solidFill>
              <a:srgbClr val="2A78D6"/>
            </a:solidFill>
            <a:ln>
              <a:prstDash val="solid"/>
            </a:ln>
          </spPr>
          <cat>
            <numRef>
              <f>'Cost Comparison'!$A$6:$A$7</f>
            </numRef>
          </cat>
          <val>
            <numRef>
              <f>'Cost Comparison'!$C$6:$C$7</f>
            </numRef>
          </val>
        </ser>
        <ser>
          <idx val="1"/>
          <order val="1"/>
          <tx>
            <strRef>
              <f>'Cost Comparison'!D5</f>
            </strRef>
          </tx>
          <spPr>
            <a:pattFill prst="ltUpDiag">
              <a:fgClr>
                <a:srgbClr val="EB6834"/>
              </a:fgClr>
              <a:bgClr>
                <a:srgbClr val="FFFFFF"/>
              </a:bgClr>
            </a:pattFill>
            <a:ln>
              <a:prstDash val="solid"/>
            </a:ln>
          </spPr>
          <cat>
            <numRef>
              <f>'Cost Comparison'!$A$6:$A$7</f>
            </numRef>
          </cat>
          <val>
            <numRef>
              <f>'Cost Comparison'!$D$6:$D$7</f>
            </numRef>
          </val>
        </ser>
        <ser>
          <idx val="2"/>
          <order val="2"/>
          <tx>
            <strRef>
              <f>'Cost Comparison'!E5</f>
            </strRef>
          </tx>
          <spPr>
            <a:pattFill prst="ltUpDiag">
              <a:fgClr>
                <a:srgbClr val="1BAF7A"/>
              </a:fgClr>
              <a:bgClr>
                <a:srgbClr val="FFFFFF"/>
              </a:bgClr>
            </a:pattFill>
            <a:ln>
              <a:prstDash val="solid"/>
            </a:ln>
          </spPr>
          <cat>
            <numRef>
              <f>'Cost Comparison'!$A$6:$A$7</f>
            </numRef>
          </cat>
          <val>
            <numRef>
              <f>'Cost Comparison'!$E$6:$E$7</f>
            </numRef>
          </val>
        </ser>
        <dLbls>
          <showVal val="1"/>
        </dLbls>
        <gapWidth val="6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 per box</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MEDIUM box 39 x 20 x 32 - cost per box by volume</a:t>
            </a:r>
          </a:p>
        </rich>
      </tx>
    </title>
    <plotArea>
      <lineChart>
        <grouping val="standard"/>
        <ser>
          <idx val="0"/>
          <order val="0"/>
          <tx>
            <strRef>
              <f>'Volume'!B5</f>
            </strRef>
          </tx>
          <spPr>
            <a:ln w="28575">
              <a:solidFill>
                <a:srgbClr val="2A78D6"/>
              </a:solidFill>
              <a:prstDash val="dash"/>
            </a:ln>
          </spPr>
          <marker>
            <symbol val="circle"/>
            <size val="7"/>
            <spPr>
              <a:solidFill>
                <a:srgbClr val="2A78D6"/>
              </a:solidFill>
              <a:ln>
                <a:prstDash val="solid"/>
              </a:ln>
            </spPr>
          </marker>
          <cat>
            <numRef>
              <f>'Volume'!$A$6:$A$11</f>
            </numRef>
          </cat>
          <val>
            <numRef>
              <f>'Volume'!$B$6:$B$11</f>
            </numRef>
          </val>
          <smooth val="0"/>
        </ser>
        <ser>
          <idx val="1"/>
          <order val="1"/>
          <tx>
            <strRef>
              <f>'Volume'!C5</f>
            </strRef>
          </tx>
          <spPr>
            <a:ln w="28575">
              <a:solidFill>
                <a:srgbClr val="EB6834"/>
              </a:solidFill>
              <a:prstDash val="sysDot"/>
            </a:ln>
          </spPr>
          <marker>
            <symbol val="circle"/>
            <size val="7"/>
            <spPr>
              <a:solidFill>
                <a:srgbClr val="EB6834"/>
              </a:solidFill>
              <a:ln>
                <a:prstDash val="solid"/>
              </a:ln>
            </spPr>
          </marker>
          <cat>
            <numRef>
              <f>'Volume'!$A$6:$A$11</f>
            </numRef>
          </cat>
          <val>
            <numRef>
              <f>'Volume'!$C$6:$C$11</f>
            </numRef>
          </val>
          <smooth val="0"/>
        </ser>
        <dLbls>
          <showVal val="1"/>
        </dLbls>
        <axId val="10"/>
        <axId val="100"/>
      </lineChart>
      <catAx>
        <axId val="10"/>
        <scaling>
          <orientation val="minMax"/>
        </scaling>
        <axPos val="l"/>
        <title>
          <tx>
            <rich>
              <a:bodyPr/>
              <a:p>
                <a:pPr>
                  <a:defRPr/>
                </a:pPr>
                <a:r>
                  <a:t>Quantity ordered (each)</a:t>
                </a:r>
              </a:p>
            </rich>
          </tx>
        </title>
        <majorTickMark val="none"/>
        <minorTickMark val="none"/>
        <crossAx val="100"/>
        <lblOffset val="100"/>
      </catAx>
      <valAx>
        <axId val="100"/>
        <scaling>
          <orientation val="minMax"/>
        </scaling>
        <axPos val="l"/>
        <majorGridlines/>
        <title>
          <tx>
            <rich>
              <a:bodyPr/>
              <a:p>
                <a:pPr>
                  <a:defRPr/>
                </a:pPr>
                <a:r>
                  <a:t>$ per box</a:t>
                </a:r>
              </a:p>
            </rich>
          </tx>
        </title>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LARGE box 46 x 39 x 36 - cost per box by volume</a:t>
            </a:r>
          </a:p>
        </rich>
      </tx>
    </title>
    <plotArea>
      <lineChart>
        <grouping val="standard"/>
        <ser>
          <idx val="0"/>
          <order val="0"/>
          <tx>
            <strRef>
              <f>'Volume'!D5</f>
            </strRef>
          </tx>
          <spPr>
            <a:ln w="28575">
              <a:solidFill>
                <a:srgbClr val="2A78D6"/>
              </a:solidFill>
              <a:prstDash val="dash"/>
            </a:ln>
          </spPr>
          <marker>
            <symbol val="circle"/>
            <size val="7"/>
            <spPr>
              <a:solidFill>
                <a:srgbClr val="2A78D6"/>
              </a:solidFill>
              <a:ln>
                <a:prstDash val="solid"/>
              </a:ln>
            </spPr>
          </marker>
          <cat>
            <numRef>
              <f>'Volume'!$A$6:$A$11</f>
            </numRef>
          </cat>
          <val>
            <numRef>
              <f>'Volume'!$D$6:$D$11</f>
            </numRef>
          </val>
          <smooth val="0"/>
        </ser>
        <ser>
          <idx val="1"/>
          <order val="1"/>
          <tx>
            <strRef>
              <f>'Volume'!E5</f>
            </strRef>
          </tx>
          <spPr>
            <a:ln w="28575">
              <a:solidFill>
                <a:srgbClr val="EB6834"/>
              </a:solidFill>
              <a:prstDash val="sysDot"/>
            </a:ln>
          </spPr>
          <marker>
            <symbol val="circle"/>
            <size val="7"/>
            <spPr>
              <a:solidFill>
                <a:srgbClr val="EB6834"/>
              </a:solidFill>
              <a:ln>
                <a:prstDash val="solid"/>
              </a:ln>
            </spPr>
          </marker>
          <cat>
            <numRef>
              <f>'Volume'!$A$6:$A$11</f>
            </numRef>
          </cat>
          <val>
            <numRef>
              <f>'Volume'!$E$6:$E$11</f>
            </numRef>
          </val>
          <smooth val="0"/>
        </ser>
        <dLbls>
          <showVal val="1"/>
        </dLbls>
        <axId val="10"/>
        <axId val="100"/>
      </lineChart>
      <catAx>
        <axId val="10"/>
        <scaling>
          <orientation val="minMax"/>
        </scaling>
        <axPos val="l"/>
        <title>
          <tx>
            <rich>
              <a:bodyPr/>
              <a:p>
                <a:pPr>
                  <a:defRPr/>
                </a:pPr>
                <a:r>
                  <a:t>Quantity ordered (each)</a:t>
                </a:r>
              </a:p>
            </rich>
          </tx>
        </title>
        <majorTickMark val="none"/>
        <minorTickMark val="none"/>
        <crossAx val="100"/>
        <lblOffset val="100"/>
      </catAx>
      <valAx>
        <axId val="100"/>
        <scaling>
          <orientation val="minMax"/>
        </scaling>
        <axPos val="l"/>
        <majorGridlines/>
        <title>
          <tx>
            <rich>
              <a:bodyPr/>
              <a:p>
                <a:pPr>
                  <a:defRPr/>
                </a:pPr>
                <a:r>
                  <a:t>$ per box</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 Type="http://schemas.openxmlformats.org/officeDocument/2006/relationships/chart" Target="/xl/charts/chart3.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8</row>
      <rowOff>0</rowOff>
    </from>
    <ext cx="7920000" cy="37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12</row>
      <rowOff>0</rowOff>
    </from>
    <ext cx="7920000" cy="342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31</row>
      <rowOff>0</rowOff>
    </from>
    <ext cx="7920000" cy="34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xmlns:r="http://schemas.openxmlformats.org/officeDocument/2006/relationships">
  <sheetPr>
    <outlinePr summaryBelow="1" summaryRight="1"/>
    <pageSetUpPr/>
  </sheetPr>
  <dimension ref="A1:G39"/>
  <sheetViews>
    <sheetView showGridLines="0" workbookViewId="0">
      <selection activeCell="A1" sqref="A1"/>
    </sheetView>
  </sheetViews>
  <sheetFormatPr baseColWidth="8" defaultRowHeight="15"/>
  <cols>
    <col width="26" customWidth="1" min="1" max="1"/>
    <col width="15" customWidth="1" min="2" max="2"/>
    <col width="20" customWidth="1" min="3" max="3"/>
    <col width="20" customWidth="1" min="4" max="4"/>
    <col width="22" customWidth="1" min="5" max="5"/>
    <col width="20" customWidth="1" min="6" max="6"/>
    <col width="46" customWidth="1" min="7" max="7"/>
  </cols>
  <sheetData>
    <row r="1" ht="22" customHeight="1">
      <c r="A1" s="1" t="inlineStr">
        <is>
          <t>Cost per box - what we pay today vs what it should cost</t>
        </is>
      </c>
    </row>
    <row r="2" ht="42" customHeight="1">
      <c r="A2" s="2" t="inlineStr">
        <is>
          <t>Everything on this sheet is at the SAME quantity: 100 of each box. Same board spec (48ECT kraft double wall), same two sizes, cost per box. Nothing is compared across different volumes.   SOLID = actual price we are charged.   HATCHED = not an actual price (an estimate, or a published catalogue price for a comparable box).</t>
        </is>
      </c>
    </row>
    <row r="4" ht="20" customHeight="1">
      <c r="A4" s="3" t="inlineStr">
        <is>
          <t>1.  THE COMPARISON - 100 units of each, cost per box</t>
        </is>
      </c>
      <c r="B4" s="4" t="n"/>
      <c r="C4" s="4" t="n"/>
      <c r="D4" s="4" t="n"/>
      <c r="E4" s="4" t="n"/>
      <c r="F4" s="4" t="n"/>
      <c r="G4" s="5" t="n"/>
    </row>
    <row r="5" ht="40" customHeight="1">
      <c r="A5" s="6" t="inlineStr">
        <is>
          <t>Box</t>
        </is>
      </c>
      <c r="B5" s="6" t="inlineStr">
        <is>
          <t>Board per box</t>
        </is>
      </c>
      <c r="C5" s="6" t="inlineStr">
        <is>
          <t>PROVIDER  (actual)</t>
        </is>
      </c>
      <c r="D5" s="6" t="inlineStr">
        <is>
          <t>Independent estimate</t>
        </is>
      </c>
      <c r="E5" s="6" t="inlineStr">
        <is>
          <t>Retail catalogue, same qty</t>
        </is>
      </c>
      <c r="F5" s="6" t="inlineStr">
        <is>
          <t>Difference vs estimate</t>
        </is>
      </c>
      <c r="G5" s="6" t="inlineStr">
        <is>
          <t>Read</t>
        </is>
      </c>
    </row>
    <row r="6" ht="46" customHeight="1">
      <c r="A6" s="7" t="inlineStr">
        <is>
          <t>MEDIUM  39 x 20 x 32</t>
        </is>
      </c>
      <c r="B6" s="8" t="n">
        <v>43.06</v>
      </c>
      <c r="C6" s="9" t="n">
        <v>30.22</v>
      </c>
      <c r="D6" s="10" t="n">
        <v>13.99</v>
      </c>
      <c r="E6" s="10" t="n">
        <v>19.12</v>
      </c>
      <c r="F6" s="11">
        <f>C6-D6</f>
        <v>16.23</v>
      </c>
      <c r="G6" s="12" t="inlineStr">
        <is>
          <t>Materially above BOTH independent references. You can buy a comparable stock box off a catalogue shelf for less than we are charged for this one.</t>
        </is>
      </c>
    </row>
    <row r="7" ht="46" customHeight="1">
      <c r="A7" s="7" t="inlineStr">
        <is>
          <t>LARGE  46 x 39 x 36</t>
        </is>
      </c>
      <c r="B7" s="8" t="n">
        <v>89.19</v>
      </c>
      <c r="C7" s="9" t="n">
        <v>38.89</v>
      </c>
      <c r="D7" s="10" t="n">
        <v>30.93</v>
      </c>
      <c r="E7" s="10" t="n">
        <v>39.6</v>
      </c>
      <c r="F7" s="11">
        <f>C7-D7</f>
        <v>7.96</v>
      </c>
      <c r="G7" s="12" t="inlineStr">
        <is>
          <t>Sits between the estimate and the catalogue price - i.e. right where it should be. No issue here.</t>
        </is>
      </c>
    </row>
    <row r="30" ht="20" customHeight="1">
      <c r="A30" s="3" t="inlineStr">
        <is>
          <t>2.  SAME THING PER SQUARE FOOT - so the two box sizes can be compared to each other</t>
        </is>
      </c>
      <c r="B30" s="4" t="n"/>
      <c r="C30" s="4" t="n"/>
      <c r="D30" s="4" t="n"/>
      <c r="E30" s="4" t="n"/>
      <c r="F30" s="4" t="n"/>
      <c r="G30" s="5" t="n"/>
    </row>
    <row r="31" ht="34" customHeight="1">
      <c r="A31" s="6" t="inlineStr">
        <is>
          <t>Box</t>
        </is>
      </c>
      <c r="B31" s="6" t="inlineStr">
        <is>
          <t>PROVIDER $/MSF (actual)</t>
        </is>
      </c>
      <c r="C31" s="6" t="inlineStr">
        <is>
          <t>Estimate $/MSF</t>
        </is>
      </c>
      <c r="D31" s="6" t="inlineStr">
        <is>
          <t>Catalogue $/MSF</t>
        </is>
      </c>
      <c r="E31" s="6" t="inlineStr">
        <is>
          <t>Provider vs catalogue</t>
        </is>
      </c>
      <c r="F31" t="inlineStr"/>
      <c r="G31" t="inlineStr"/>
    </row>
    <row r="32" ht="24" customHeight="1">
      <c r="A32" s="13" t="inlineStr">
        <is>
          <t>MEDIUM  39 x 20 x 32</t>
        </is>
      </c>
      <c r="B32" s="14">
        <f>30.2200/43.062500*1000</f>
        <v>701.770682148</v>
      </c>
      <c r="C32" s="15">
        <f>13.9900/43.062500*1000</f>
        <v>324.8766328012</v>
      </c>
      <c r="D32" s="15" t="n">
        <v>444</v>
      </c>
      <c r="E32" s="16">
        <f>B32/D32-1</f>
        <v>0.5805645994</v>
      </c>
    </row>
    <row r="33" ht="24" customHeight="1">
      <c r="A33" s="13" t="inlineStr">
        <is>
          <t>LARGE  46 x 39 x 36</t>
        </is>
      </c>
      <c r="B33" s="14">
        <f>38.8900/89.192708*1000</f>
        <v>436.022189781</v>
      </c>
      <c r="C33" s="15">
        <f>30.9300/89.192708*1000</f>
        <v>346.7772262774</v>
      </c>
      <c r="D33" s="15" t="n">
        <v>444</v>
      </c>
      <c r="E33" s="17">
        <f>B33/D33-1</f>
        <v>-0.017968041</v>
      </c>
    </row>
    <row r="34" ht="34" customHeight="1">
      <c r="A34" s="2" t="inlineStr">
        <is>
          <t>Corrugated is sold by the MSF (thousand square feet of board), so this is the only fair way to compare a small box with a big one. The large box holds 2.07x the board of the medium but costs only 1.29x as much - which is why the two land so differently here.</t>
        </is>
      </c>
    </row>
    <row r="36" ht="20" customHeight="1">
      <c r="A36" s="3" t="inlineStr">
        <is>
          <t>3.  ONE THING TO CONFIRM BEFORE PRESENTING THIS</t>
        </is>
      </c>
      <c r="B36" s="4" t="n"/>
      <c r="C36" s="4" t="n"/>
      <c r="D36" s="4" t="n"/>
      <c r="E36" s="4" t="n"/>
      <c r="F36" s="4" t="n"/>
      <c r="G36" s="5" t="n"/>
    </row>
    <row r="37" ht="20" customHeight="1">
      <c r="A37" s="18" t="inlineStr">
        <is>
          <t>Does the provider's price include delivery?</t>
        </is>
      </c>
      <c r="B37" s="19" t="n"/>
      <c r="C37" s="20" t="inlineStr">
        <is>
          <t>It changes the LARGE box conclusion, though not the medium one:</t>
        </is>
      </c>
      <c r="D37" s="19" t="n"/>
      <c r="E37" s="19" t="n"/>
      <c r="F37" s="19" t="n"/>
      <c r="G37" s="19" t="n"/>
    </row>
    <row r="38" ht="22" customHeight="1">
      <c r="A38" s="12" t="inlineStr">
        <is>
          <t>If the price INCLUDES freight</t>
        </is>
      </c>
      <c r="B38" s="21" t="n"/>
      <c r="C38" s="12" t="inlineStr">
        <is>
          <t>Medium: $30.22 actual vs $17.26 estimate  (+75%)</t>
        </is>
      </c>
      <c r="D38" s="21" t="n"/>
      <c r="E38" s="12" t="inlineStr">
        <is>
          <t>Large: $38.89 actual vs $37.71 estimate  (+3%)</t>
        </is>
      </c>
      <c r="F38" s="21" t="n"/>
      <c r="G38" s="21" t="n"/>
    </row>
    <row r="39" ht="22" customHeight="1">
      <c r="A39" s="12" t="inlineStr">
        <is>
          <t>If the price EXCLUDES freight</t>
        </is>
      </c>
      <c r="B39" s="21" t="n"/>
      <c r="C39" s="12" t="inlineStr">
        <is>
          <t>Medium: $30.22 actual vs $13.99 estimate  (+116%)</t>
        </is>
      </c>
      <c r="D39" s="21" t="n"/>
      <c r="E39" s="12" t="inlineStr">
        <is>
          <t>Large: $38.89 actual vs $30.93 estimate  (+26%)</t>
        </is>
      </c>
      <c r="F39" s="21" t="n"/>
      <c r="G39" s="21" t="n"/>
    </row>
  </sheetData>
  <mergeCells count="14">
    <mergeCell ref="A36:G36"/>
    <mergeCell ref="A38:B38"/>
    <mergeCell ref="A1:G1"/>
    <mergeCell ref="C38:D38"/>
    <mergeCell ref="A34:G34"/>
    <mergeCell ref="E39:G39"/>
    <mergeCell ref="A4:G4"/>
    <mergeCell ref="A37:B37"/>
    <mergeCell ref="A30:G30"/>
    <mergeCell ref="A2:G2"/>
    <mergeCell ref="C37:G37"/>
    <mergeCell ref="C39:D39"/>
    <mergeCell ref="A39:B39"/>
    <mergeCell ref="E38:G38"/>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sheetPr>
    <outlinePr summaryBelow="1" summaryRight="1"/>
    <pageSetUpPr/>
  </sheetPr>
  <dimension ref="A1:G56"/>
  <sheetViews>
    <sheetView showGridLines="0" workbookViewId="0">
      <selection activeCell="A1" sqref="A1"/>
    </sheetView>
  </sheetViews>
  <sheetFormatPr baseColWidth="8" defaultRowHeight="15"/>
  <cols>
    <col width="24" customWidth="1" min="1" max="1"/>
    <col width="18" customWidth="1" min="2" max="2"/>
    <col width="18" customWidth="1" min="3" max="3"/>
    <col width="18" customWidth="1" min="4" max="4"/>
    <col width="18" customWidth="1" min="5" max="5"/>
    <col width="16" customWidth="1" min="6" max="6"/>
    <col width="20" customWidth="1" min="7" max="7"/>
  </cols>
  <sheetData>
    <row r="1" ht="22" customHeight="1">
      <c r="A1" s="1" t="inlineStr">
        <is>
          <t>How the comparison changes with volume</t>
        </is>
      </c>
    </row>
    <row r="2" ht="40" customHeight="1">
      <c r="A2" s="2" t="inlineStr">
        <is>
          <t>Only ONE row here is an actual price: the provider at 100 units. Every other provider figure is DEDUCED from those two actual prices, and every estimate figure is MODELLED from public research. Both are labelled and drawn hatched or dashed so they are never mistaken for a quote. All figures ex-freight.</t>
        </is>
      </c>
    </row>
    <row r="4" ht="20" customHeight="1">
      <c r="A4" s="3" t="inlineStr">
        <is>
          <t>1.  COST PER BOX BY VOLUME</t>
        </is>
      </c>
      <c r="B4" s="4" t="n"/>
      <c r="C4" s="4" t="n"/>
      <c r="D4" s="4" t="n"/>
      <c r="E4" s="4" t="n"/>
      <c r="F4" s="4" t="n"/>
      <c r="G4" s="5" t="n"/>
    </row>
    <row r="5" ht="40" customHeight="1">
      <c r="A5" s="6" t="inlineStr">
        <is>
          <t>Qty each</t>
        </is>
      </c>
      <c r="B5" s="6" t="inlineStr">
        <is>
          <t>MEDIUM - provider</t>
        </is>
      </c>
      <c r="C5" s="6" t="inlineStr">
        <is>
          <t>MEDIUM - estimate</t>
        </is>
      </c>
      <c r="D5" s="6" t="inlineStr">
        <is>
          <t>LARGE - provider</t>
        </is>
      </c>
      <c r="E5" s="6" t="inlineStr">
        <is>
          <t>LARGE - estimate</t>
        </is>
      </c>
      <c r="F5" s="6" t="inlineStr">
        <is>
          <t>Provider basis</t>
        </is>
      </c>
      <c r="G5" s="6" t="inlineStr">
        <is>
          <t>Order total, provider</t>
        </is>
      </c>
    </row>
    <row r="6" ht="22" customHeight="1">
      <c r="A6" s="22" t="n">
        <v>100</v>
      </c>
      <c r="B6" s="23" t="n">
        <v>30.22</v>
      </c>
      <c r="C6" s="24" t="n">
        <v>13.99</v>
      </c>
      <c r="D6" s="23" t="n">
        <v>38.89</v>
      </c>
      <c r="E6" s="24" t="n">
        <v>30.93</v>
      </c>
      <c r="F6" s="25" t="inlineStr">
        <is>
          <t>ACTUAL QUOTE</t>
        </is>
      </c>
      <c r="G6" s="26">
        <f>A6*(B6+D6)</f>
        <v>6911.0</v>
      </c>
    </row>
    <row r="7" ht="22" customHeight="1">
      <c r="A7" s="27" t="n">
        <v>250</v>
      </c>
      <c r="B7" s="28" t="n">
        <v>16.94</v>
      </c>
      <c r="C7" s="10" t="n">
        <v>11.37</v>
      </c>
      <c r="D7" s="28" t="n">
        <v>25.61</v>
      </c>
      <c r="E7" s="10" t="n">
        <v>26.02</v>
      </c>
      <c r="F7" s="29" t="inlineStr">
        <is>
          <t>deduced</t>
        </is>
      </c>
      <c r="G7" s="15">
        <f>A7*(B7+D7)</f>
        <v>10639.5307101727</v>
      </c>
    </row>
    <row r="8" ht="22" customHeight="1">
      <c r="A8" s="27" t="n">
        <v>500</v>
      </c>
      <c r="B8" s="28" t="n">
        <v>12.52</v>
      </c>
      <c r="C8" s="10" t="n">
        <v>9.56</v>
      </c>
      <c r="D8" s="28" t="n">
        <v>21.19</v>
      </c>
      <c r="E8" s="10" t="n">
        <v>22.15</v>
      </c>
      <c r="F8" s="29" t="inlineStr">
        <is>
          <t>deduced</t>
        </is>
      </c>
      <c r="G8" s="15">
        <f>A8*(B8+D8)</f>
        <v>16853.7485604607</v>
      </c>
    </row>
    <row r="9" ht="22" customHeight="1">
      <c r="A9" s="27" t="n">
        <v>1000</v>
      </c>
      <c r="B9" s="28" t="n">
        <v>10.31</v>
      </c>
      <c r="C9" s="10" t="n">
        <v>7.9</v>
      </c>
      <c r="D9" s="28" t="n">
        <v>18.98</v>
      </c>
      <c r="E9" s="10" t="n">
        <v>18.43</v>
      </c>
      <c r="F9" s="29" t="inlineStr">
        <is>
          <t>deduced</t>
        </is>
      </c>
      <c r="G9" s="15">
        <f>A9*(B9+D9)</f>
        <v>29282.1842610365</v>
      </c>
    </row>
    <row r="10" ht="22" customHeight="1">
      <c r="A10" s="27" t="n">
        <v>2500</v>
      </c>
      <c r="B10" s="28" t="n">
        <v>8.98</v>
      </c>
      <c r="C10" s="10" t="n">
        <v>6.73</v>
      </c>
      <c r="D10" s="28" t="n">
        <v>17.65</v>
      </c>
      <c r="E10" s="10" t="n">
        <v>15.94</v>
      </c>
      <c r="F10" s="29" t="inlineStr">
        <is>
          <t>deduced</t>
        </is>
      </c>
      <c r="G10" s="15">
        <f>A10*(B10+D10)</f>
        <v>66567.4913627639</v>
      </c>
    </row>
    <row r="11" ht="22" customHeight="1">
      <c r="A11" s="27" t="n">
        <v>5000</v>
      </c>
      <c r="B11" s="28" t="n">
        <v>8.539999999999999</v>
      </c>
      <c r="C11" s="10" t="n">
        <v>6.06</v>
      </c>
      <c r="D11" s="28" t="n">
        <v>17.21</v>
      </c>
      <c r="E11" s="10" t="n">
        <v>14.3</v>
      </c>
      <c r="F11" s="29" t="inlineStr">
        <is>
          <t>deduced</t>
        </is>
      </c>
      <c r="G11" s="15">
        <f>A11*(B11+D11)</f>
        <v>128709.669865643</v>
      </c>
    </row>
    <row r="51" ht="58" customHeight="1">
      <c r="A51" s="2" t="inlineStr">
        <is>
          <t>WHY BOTH LINES ARE DASHED. The only hard number on these charts is the provider's leftmost point - 100 units, the price we actually pay. The rest of the provider line is deduced by splitting those two actual prices into a board rate ($188/MSF) and a fixed charge ($2,213 per SKU), then re-spreading the fixed charge over larger runs. That split fits two unknowns to two data points, so it matches our prices exactly by construction - it is arithmetic, not evidence. Ask the provider to confirm their setup charge and the line becomes real.</t>
        </is>
      </c>
    </row>
    <row r="53" ht="20" customHeight="1">
      <c r="A53" s="3" t="inlineStr">
        <is>
          <t>2.  WHAT THE VOLUME CONVERSATION IS WORTH</t>
        </is>
      </c>
      <c r="B53" s="4" t="n"/>
      <c r="C53" s="4" t="n"/>
      <c r="D53" s="4" t="n"/>
      <c r="E53" s="4" t="n"/>
      <c r="F53" s="4" t="n"/>
      <c r="G53" s="5" t="n"/>
    </row>
    <row r="54" ht="22" customHeight="1">
      <c r="A54" s="13" t="inlineStr">
        <is>
          <t>At 250 each instead of 100</t>
        </is>
      </c>
      <c r="B54" s="21" t="n"/>
      <c r="C54" s="12" t="inlineStr">
        <is>
          <t>Set drops from $69.11 to $42.56</t>
        </is>
      </c>
      <c r="D54" s="21" t="n"/>
      <c r="E54" s="30" t="inlineStr">
        <is>
          <t>38% less per unit</t>
        </is>
      </c>
      <c r="F54" s="21" t="n"/>
      <c r="G54" s="21" t="n"/>
    </row>
    <row r="55" ht="22" customHeight="1">
      <c r="A55" s="13" t="inlineStr">
        <is>
          <t>At 500 each instead of 100</t>
        </is>
      </c>
      <c r="B55" s="21" t="n"/>
      <c r="C55" s="12" t="inlineStr">
        <is>
          <t>Set drops from $69.11 to $33.71</t>
        </is>
      </c>
      <c r="D55" s="21" t="n"/>
      <c r="E55" s="30" t="inlineStr">
        <is>
          <t>51% less per unit</t>
        </is>
      </c>
      <c r="F55" s="21" t="n"/>
      <c r="G55" s="21" t="n"/>
    </row>
    <row r="56" ht="22" customHeight="1">
      <c r="A56" s="13" t="inlineStr">
        <is>
          <t>At 1000 each instead of 100</t>
        </is>
      </c>
      <c r="B56" s="21" t="n"/>
      <c r="C56" s="12" t="inlineStr">
        <is>
          <t>Set drops from $69.11 to $29.28</t>
        </is>
      </c>
      <c r="D56" s="21" t="n"/>
      <c r="E56" s="30" t="inlineStr">
        <is>
          <t>58% less per unit</t>
        </is>
      </c>
      <c r="F56" s="21" t="n"/>
      <c r="G56" s="21" t="n"/>
    </row>
  </sheetData>
  <mergeCells count="14">
    <mergeCell ref="E55:G55"/>
    <mergeCell ref="A54:B54"/>
    <mergeCell ref="A1:G1"/>
    <mergeCell ref="C54:D54"/>
    <mergeCell ref="A53:G53"/>
    <mergeCell ref="A4:G4"/>
    <mergeCell ref="C55:D55"/>
    <mergeCell ref="A2:G2"/>
    <mergeCell ref="E56:G56"/>
    <mergeCell ref="A56:B56"/>
    <mergeCell ref="C56:D56"/>
    <mergeCell ref="A51:G51"/>
    <mergeCell ref="A55:B55"/>
    <mergeCell ref="E54:G54"/>
  </mergeCells>
  <pageMargins left="0.75" right="0.75" top="1" bottom="1" header="0.5" footer="0.5"/>
  <drawing r:id="rId1"/>
</worksheet>
</file>

<file path=xl/worksheets/sheet3.xml><?xml version="1.0" encoding="utf-8"?>
<worksheet xmlns="http://schemas.openxmlformats.org/spreadsheetml/2006/main">
  <sheetPr>
    <outlinePr summaryBelow="1" summaryRight="1"/>
    <pageSetUpPr/>
  </sheetPr>
  <dimension ref="A1:D15"/>
  <sheetViews>
    <sheetView showGridLines="0" workbookViewId="0">
      <selection activeCell="A1" sqref="A1"/>
    </sheetView>
  </sheetViews>
  <sheetFormatPr baseColWidth="8" defaultRowHeight="15"/>
  <cols>
    <col width="38" customWidth="1" min="1" max="1"/>
    <col width="18" customWidth="1" min="2" max="2"/>
    <col width="15" customWidth="1" min="3" max="3"/>
    <col width="98" customWidth="1" min="4" max="4"/>
  </cols>
  <sheetData>
    <row r="1" ht="22" customHeight="1">
      <c r="A1" s="1" t="inlineStr">
        <is>
          <t>Basis of every figure - what is real and what is not</t>
        </is>
      </c>
    </row>
    <row r="2" ht="30" customHeight="1">
      <c r="A2" s="2" t="inlineStr">
        <is>
          <t>Three categories only. ACTUAL means a price we are charged. PUBLISHED means someone else's price, printed and fetchable. DEDUCED or MODELLED means we worked it out and it carries uncertainty.</t>
        </is>
      </c>
    </row>
    <row r="4" ht="22" customHeight="1">
      <c r="A4" s="6" t="inlineStr">
        <is>
          <t>Figure</t>
        </is>
      </c>
      <c r="B4" s="6" t="inlineStr">
        <is>
          <t>Value</t>
        </is>
      </c>
      <c r="C4" s="6" t="inlineStr">
        <is>
          <t>Category</t>
        </is>
      </c>
      <c r="D4" s="6" t="inlineStr">
        <is>
          <t>Where it comes from</t>
        </is>
      </c>
    </row>
    <row r="5" ht="50" customHeight="1">
      <c r="A5" s="13" t="inlineStr">
        <is>
          <t>Provider price, MEDIUM box, 100 units</t>
        </is>
      </c>
      <c r="B5" s="31" t="inlineStr">
        <is>
          <t>$30.22</t>
        </is>
      </c>
      <c r="C5" s="32" t="inlineStr">
        <is>
          <t>ACTUAL</t>
        </is>
      </c>
      <c r="D5" s="12" t="inlineStr">
        <is>
          <t>What we are charged today. Supplied by us, not researched.</t>
        </is>
      </c>
    </row>
    <row r="6" ht="50" customHeight="1">
      <c r="A6" s="13" t="inlineStr">
        <is>
          <t>Provider price, LARGE box, 100 units</t>
        </is>
      </c>
      <c r="B6" s="31" t="inlineStr">
        <is>
          <t>$38.89</t>
        </is>
      </c>
      <c r="C6" s="32" t="inlineStr">
        <is>
          <t>ACTUAL</t>
        </is>
      </c>
      <c r="D6" s="12" t="inlineStr">
        <is>
          <t>What we are charged today. Supplied by us, not researched.</t>
        </is>
      </c>
    </row>
    <row r="7" ht="50" customHeight="1">
      <c r="A7" s="13" t="inlineStr">
        <is>
          <t>Board area, MEDIUM box</t>
        </is>
      </c>
      <c r="B7" s="31" t="inlineStr">
        <is>
          <t>43.06 sq ft</t>
        </is>
      </c>
      <c r="C7" s="33" t="inlineStr">
        <is>
          <t>CALCULATED</t>
        </is>
      </c>
      <c r="D7" s="12" t="inlineStr">
        <is>
          <t>From the drawing: blank = (2 x (39+20) + 1.25) x (32+20), divided by 144. Arithmetic, no uncertainty.</t>
        </is>
      </c>
    </row>
    <row r="8" ht="50" customHeight="1">
      <c r="A8" s="13" t="inlineStr">
        <is>
          <t>Board area, LARGE box</t>
        </is>
      </c>
      <c r="B8" s="31" t="inlineStr">
        <is>
          <t>89.19 sq ft</t>
        </is>
      </c>
      <c r="C8" s="33" t="inlineStr">
        <is>
          <t>CALCULATED</t>
        </is>
      </c>
      <c r="D8" s="12" t="inlineStr">
        <is>
          <t>Same method: (2 x (46+39) + 1.25) x (36+39) / 144.</t>
        </is>
      </c>
    </row>
    <row r="9" ht="50" customHeight="1">
      <c r="A9" s="13" t="inlineStr">
        <is>
          <t>Retail catalogue price, 100 units</t>
        </is>
      </c>
      <c r="B9" s="31" t="inlineStr">
        <is>
          <t>$444/MSF</t>
        </is>
      </c>
      <c r="C9" s="32" t="inlineStr">
        <is>
          <t>PUBLISHED</t>
        </is>
      </c>
      <c r="D9" s="12" t="inlineStr">
        <is>
          <t>Median of 21 published catalogue prices for 275 lb test (= 48ECT) double wall boxes at a quantity of 100. 275 lb burst double wall is the equivalent grade to 48ECT on the standard tables, so these are comparable.</t>
        </is>
      </c>
    </row>
    <row r="10" ht="50" customHeight="1">
      <c r="A10" s="13" t="inlineStr">
        <is>
          <t>Independent estimate, MEDIUM</t>
        </is>
      </c>
      <c r="B10" s="31" t="inlineStr">
        <is>
          <t>$13.99</t>
        </is>
      </c>
      <c r="C10" s="34" t="inlineStr">
        <is>
          <t>MODELLED</t>
        </is>
      </c>
      <c r="D10" s="12" t="inlineStr">
        <is>
          <t>Board at $290/MSF plus $150 setup over 100 units. The $290 comes from two independent routes agreeing - discounting catalogue prices by a distributor margin, and adjusting a real public-contract rate for double wall.</t>
        </is>
      </c>
    </row>
    <row r="11" ht="50" customHeight="1">
      <c r="A11" s="13" t="inlineStr">
        <is>
          <t>Independent estimate, LARGE</t>
        </is>
      </c>
      <c r="B11" s="31" t="inlineStr">
        <is>
          <t>$30.93</t>
        </is>
      </c>
      <c r="C11" s="34" t="inlineStr">
        <is>
          <t>MODELLED</t>
        </is>
      </c>
      <c r="D11" s="12" t="inlineStr">
        <is>
          <t>Same method at $330/MSF - the large box carries a premium for its 75 in blank width.</t>
        </is>
      </c>
    </row>
    <row r="12" ht="50" customHeight="1">
      <c r="A12" s="13" t="inlineStr">
        <is>
          <t>Provider marginal board rate</t>
        </is>
      </c>
      <c r="B12" s="31" t="inlineStr">
        <is>
          <t>$188/MSF</t>
        </is>
      </c>
      <c r="C12" s="34" t="inlineStr">
        <is>
          <t>DEDUCED</t>
        </is>
      </c>
      <c r="D12" s="12" t="inlineStr">
        <is>
          <t>(large price - medium price) / (large area - medium area). Notably competitive - it is in line with what a 500-1,000 piece converter price should look like, which is why the volume conversation matters more than switching supplier.</t>
        </is>
      </c>
    </row>
    <row r="13" ht="50" customHeight="1">
      <c r="A13" s="13" t="inlineStr">
        <is>
          <t>Provider fixed charge per SKU</t>
        </is>
      </c>
      <c r="B13" s="31" t="inlineStr">
        <is>
          <t>$2,213</t>
        </is>
      </c>
      <c r="C13" s="34" t="inlineStr">
        <is>
          <t>DEDUCED</t>
        </is>
      </c>
      <c r="D13" s="12" t="inlineStr">
        <is>
          <t>What remains of the medium-box price after its board is paid for, times 100. Assumes both boxes carry the same fixed charge and the same board rate - the natural reading if one provider quotes both, but an assumption. Confirm it by asking them to state setup separately.</t>
        </is>
      </c>
    </row>
    <row r="14" ht="50" customHeight="1">
      <c r="A14" s="13" t="inlineStr">
        <is>
          <t>Provider prices at 250 units and above</t>
        </is>
      </c>
      <c r="B14" s="31" t="inlineStr">
        <is>
          <t>see Volume tab</t>
        </is>
      </c>
      <c r="C14" s="34" t="inlineStr">
        <is>
          <t>DEDUCED</t>
        </is>
      </c>
      <c r="D14" s="12" t="inlineStr">
        <is>
          <t>Board rate and fixed charge re-spread over larger runs. Not quoted, not confirmed.</t>
        </is>
      </c>
    </row>
    <row r="15" ht="50" customHeight="1">
      <c r="A15" s="13" t="inlineStr">
        <is>
          <t>Freight, if applicable</t>
        </is>
      </c>
      <c r="B15" s="31" t="inlineStr">
        <is>
          <t>$3.27 med / $6.78 lge</t>
        </is>
      </c>
      <c r="C15" s="34" t="inlineStr">
        <is>
          <t>MODELLED</t>
        </is>
      </c>
      <c r="D15" s="12" t="inlineStr">
        <is>
          <t>Published Estes LTL tariff plus marketplace lane rates, Baltimore/Hagerstown to Sterling VA, for a shipment of 100 of each. The overlength surcharge does not apply - our longest flat piece is 85.6 in against a 96 in threshold.</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2026-09-01T18:22:59Z</dcterms:created>
  <dcterms:modified xsi:type="dcterms:W3CDTF">2026-09-01T18:22:59Z</dcterms:modified>
</cp:coreProperties>
</file>