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760" yWindow="-16320" windowWidth="29040" windowHeight="15720" tabRatio="600" firstSheet="0" activeTab="4" autoFilterDateGrouping="1"/>
  </bookViews>
  <sheets>
    <sheet xmlns:r="http://schemas.openxmlformats.org/officeDocument/2006/relationships" name="Instructions" sheetId="1" state="visible" r:id="rId1"/>
    <sheet xmlns:r="http://schemas.openxmlformats.org/officeDocument/2006/relationships" name="Current Base (benchmarks)" sheetId="2" state="visible" r:id="rId2"/>
    <sheet xmlns:r="http://schemas.openxmlformats.org/officeDocument/2006/relationships" name="Supplier Roster" sheetId="3" state="visible" r:id="rId3"/>
    <sheet xmlns:r="http://schemas.openxmlformats.org/officeDocument/2006/relationships" name="Rated Candidates" sheetId="4" state="visible" r:id="rId4"/>
    <sheet xmlns:r="http://schemas.openxmlformats.org/officeDocument/2006/relationships" name="Call Questionnaire" sheetId="5" state="visible" r:id="rId5"/>
    <sheet xmlns:r="http://schemas.openxmlformats.org/officeDocument/2006/relationships" name="Visit Agenda" sheetId="6" state="visible" r:id="rId6"/>
    <sheet xmlns:r="http://schemas.openxmlformats.org/officeDocument/2006/relationships" name="Anatomical Spec" sheetId="7" state="visible" r:id="rId7"/>
    <sheet xmlns:r="http://schemas.openxmlformats.org/officeDocument/2006/relationships" name="TCO Calculator" sheetId="8" state="visible" r:id="rId8"/>
    <sheet xmlns:r="http://schemas.openxmlformats.org/officeDocument/2006/relationships" name="Models &amp; Make-vs-Buy" sheetId="9" state="visible" r:id="rId9"/>
    <sheet xmlns:r="http://schemas.openxmlformats.org/officeDocument/2006/relationships" name="National Direct Suppliers" sheetId="10" state="visible" r:id="rId10"/>
    <sheet xmlns:r="http://schemas.openxmlformats.org/officeDocument/2006/relationships" name="Sources &amp; Confidence" sheetId="11" state="visible" r:id="rId11"/>
  </sheets>
  <definedNames>
    <definedName name="_xlnm._FilterDatabase" localSheetId="2" hidden="1">'Supplier Roster'!$A$4:$V$133</definedName>
    <definedName name="_xlnm.Print_Titles" localSheetId="2">'Supplier Roster'!$1:$4</definedName>
    <definedName name="_xlnm._FilterDatabase" localSheetId="3" hidden="1">'Rated Candidates'!$A$5:$W$29</definedName>
    <definedName name="_xlnm._FilterDatabase" localSheetId="9" hidden="1">'National Direct Suppliers'!$A$4:$I$31</definedName>
  </definedNames>
  <calcPr calcId="191029" fullCalcOnLoad="1" iterateDelta="0.0001"/>
</workbook>
</file>

<file path=xl/styles.xml><?xml version="1.0" encoding="utf-8"?>
<styleSheet xmlns="http://schemas.openxmlformats.org/spreadsheetml/2006/main">
  <numFmts count="2">
    <numFmt numFmtId="164" formatCode="#,##0.0"/>
    <numFmt numFmtId="165" formatCode="\$#,##0.00"/>
  </numFmts>
  <fonts count="53">
    <font>
      <name val="Calibri"/>
      <family val="2"/>
      <color theme="1"/>
      <sz val="11"/>
      <scheme val="minor"/>
    </font>
    <font>
      <name val="Arial"/>
      <b val="1"/>
      <color rgb="FFFFFFFF"/>
      <sz val="15"/>
    </font>
    <font>
      <name val="Arial"/>
      <i val="1"/>
      <color rgb="FF44506A"/>
      <sz val="10"/>
    </font>
    <font>
      <name val="Arial"/>
      <b val="1"/>
      <color rgb="FFFFFFFF"/>
      <sz val="11"/>
    </font>
    <font>
      <name val="Arial"/>
      <b val="1"/>
      <color rgb="FF222222"/>
      <sz val="10"/>
    </font>
    <font>
      <name val="Arial"/>
      <color rgb="FF222222"/>
      <sz val="10"/>
    </font>
    <font>
      <name val="Arial"/>
      <b val="1"/>
      <color rgb="FFFFFFFF"/>
      <sz val="10"/>
    </font>
    <font>
      <name val="Arial"/>
      <i val="1"/>
      <color rgb="FF5B657A"/>
      <sz val="9"/>
    </font>
    <font>
      <name val="Arial"/>
      <b val="1"/>
      <color rgb="FF1F3864"/>
      <sz val="10"/>
    </font>
    <font>
      <name val="Arial"/>
      <color rgb="FF7A5C00"/>
      <sz val="10"/>
    </font>
    <font>
      <name val="Arial"/>
      <b val="1"/>
      <color rgb="FF0000FF"/>
      <sz val="10"/>
    </font>
    <font>
      <name val="Arial"/>
      <b val="1"/>
      <color rgb="FF006100"/>
      <sz val="10"/>
    </font>
    <font>
      <name val="Arial"/>
      <b val="1"/>
      <color rgb="FF9C6500"/>
      <sz val="10"/>
    </font>
    <font>
      <name val="Arial"/>
      <b val="1"/>
      <color rgb="FF9C0006"/>
      <sz val="10"/>
    </font>
    <font>
      <name val="Arial"/>
      <b val="1"/>
      <color rgb="FF375623"/>
      <sz val="10"/>
    </font>
    <font>
      <name val="Arial"/>
      <b val="1"/>
      <color rgb="FF7F6000"/>
      <sz val="10"/>
    </font>
    <font>
      <name val="Arial"/>
      <b val="1"/>
      <color rgb="FF833C0C"/>
      <sz val="10"/>
    </font>
    <font>
      <name val="Arial"/>
      <b val="1"/>
      <color rgb="FF5B657A"/>
      <sz val="10"/>
    </font>
    <font>
      <name val="Arial"/>
      <color rgb="FF9C0006"/>
      <sz val="10"/>
    </font>
    <font>
      <name val="Arial"/>
      <color rgb="FF44506A"/>
      <sz val="9"/>
    </font>
    <font>
      <name val="Arial"/>
      <color rgb="FF222222"/>
      <sz val="9"/>
    </font>
    <font>
      <name val="Arial"/>
      <b val="1"/>
      <color rgb="FFFFFFFF"/>
      <sz val="11"/>
    </font>
    <font>
      <name val="Arial"/>
      <color rgb="FF222222"/>
      <sz val="10"/>
    </font>
    <font>
      <name val="Arial"/>
      <b val="1"/>
      <color rgb="FF5B657A"/>
      <sz val="10"/>
    </font>
    <font>
      <name val="Arial"/>
      <b val="1"/>
      <color rgb="FF9C0006"/>
      <sz val="10"/>
    </font>
    <font>
      <name val="Arial"/>
      <b val="1"/>
      <color rgb="FF7F6000"/>
      <sz val="10"/>
    </font>
    <font>
      <name val="Arial"/>
      <sz val="10"/>
    </font>
    <font>
      <name val="Arial"/>
      <b val="1"/>
      <color rgb="00375623"/>
      <sz val="10"/>
    </font>
    <font>
      <name val="Arial"/>
      <b val="1"/>
      <color rgb="00FFFFFF"/>
      <sz val="11"/>
    </font>
    <font>
      <name val="Arial"/>
      <b val="1"/>
      <color rgb="007F6000"/>
      <sz val="10"/>
    </font>
    <font>
      <name val="Arial"/>
      <color rgb="007F6000"/>
      <sz val="10"/>
    </font>
    <font>
      <name val="Arial"/>
      <color rgb="00375623"/>
      <sz val="10"/>
    </font>
    <font>
      <name val="Arial"/>
      <b val="1"/>
      <color rgb="009C0006"/>
      <sz val="10"/>
    </font>
    <font>
      <name val="Arial"/>
      <color rgb="009C0006"/>
      <sz val="10"/>
    </font>
    <font>
      <name val="Arial"/>
      <b val="1"/>
      <color rgb="00222222"/>
      <sz val="10"/>
    </font>
    <font>
      <name val="Arial"/>
      <color rgb="00222222"/>
      <sz val="10"/>
    </font>
    <font>
      <name val="Arial"/>
      <b val="1"/>
      <color rgb="005B657A"/>
      <sz val="10"/>
    </font>
    <font>
      <name val="Arial"/>
      <b val="1"/>
      <color rgb="00FFFFFF"/>
      <sz val="15"/>
    </font>
    <font>
      <name val="Arial"/>
      <b val="1"/>
      <color rgb="0044506A"/>
      <sz val="10"/>
    </font>
    <font>
      <name val="Arial"/>
      <b val="1"/>
      <sz val="10"/>
    </font>
    <font>
      <name val="Arial"/>
      <b val="1"/>
      <color rgb="00FFFFFF"/>
      <sz val="10"/>
    </font>
    <font>
      <name val="Arial"/>
      <b val="1"/>
      <color rgb="00375623"/>
      <sz val="9.5"/>
    </font>
    <font>
      <name val="Arial"/>
      <b val="1"/>
      <color rgb="009C0006"/>
      <sz val="9.5"/>
    </font>
    <font>
      <name val="Arial"/>
      <b val="1"/>
      <color rgb="007F6000"/>
      <sz val="9.5"/>
    </font>
    <font>
      <name val="Arial"/>
      <color rgb="005B657A"/>
      <sz val="10"/>
    </font>
    <font>
      <name val="Arial"/>
      <b val="1"/>
      <color rgb="009C6500"/>
      <sz val="10"/>
    </font>
    <font>
      <name val="Arial"/>
      <b val="1"/>
      <color rgb="00006100"/>
      <sz val="10"/>
    </font>
    <font>
      <name val="Arial"/>
      <b val="1"/>
      <color rgb="001F3864"/>
      <sz val="10"/>
    </font>
    <font>
      <name val="Arial"/>
      <b val="1"/>
      <color rgb="001F3864"/>
      <sz val="15"/>
    </font>
    <font>
      <name val="Arial"/>
      <b val="1"/>
      <color rgb="001F3864"/>
      <sz val="16"/>
    </font>
    <font>
      <name val="Arial"/>
      <i val="1"/>
      <color rgb="005B657A"/>
      <sz val="10"/>
    </font>
    <font>
      <name val="Arial"/>
      <color rgb="001F3864"/>
      <sz val="10"/>
    </font>
    <font>
      <name val="Arial"/>
      <b val="1"/>
      <color rgb="00833C0C"/>
      <sz val="10"/>
    </font>
  </fonts>
  <fills count="39">
    <fill>
      <patternFill/>
    </fill>
    <fill>
      <patternFill patternType="gray125"/>
    </fill>
    <fill>
      <patternFill patternType="solid">
        <fgColor rgb="FF1F3864"/>
      </patternFill>
    </fill>
    <fill>
      <patternFill patternType="solid">
        <fgColor rgb="FFEDF0F7"/>
      </patternFill>
    </fill>
    <fill>
      <patternFill patternType="solid">
        <fgColor rgb="FF2E5496"/>
      </patternFill>
    </fill>
    <fill>
      <patternFill patternType="solid">
        <fgColor rgb="FFF2F2F2"/>
      </patternFill>
    </fill>
    <fill>
      <patternFill patternType="solid">
        <fgColor rgb="FFFFF2CC"/>
      </patternFill>
    </fill>
    <fill>
      <patternFill patternType="solid">
        <fgColor rgb="FFD9E1F2"/>
      </patternFill>
    </fill>
    <fill>
      <patternFill patternType="solid">
        <fgColor rgb="FFFFF9E3"/>
      </patternFill>
    </fill>
    <fill>
      <patternFill patternType="solid">
        <fgColor rgb="FFC6EFCE"/>
      </patternFill>
    </fill>
    <fill>
      <patternFill patternType="solid">
        <fgColor rgb="FFFFC7CE"/>
      </patternFill>
    </fill>
    <fill>
      <patternFill patternType="solid">
        <fgColor rgb="FFE2EFDA"/>
      </patternFill>
    </fill>
    <fill>
      <patternFill patternType="solid">
        <fgColor rgb="FFFFE699"/>
      </patternFill>
    </fill>
    <fill>
      <patternFill patternType="solid">
        <fgColor rgb="FFFCE4D6"/>
      </patternFill>
    </fill>
    <fill>
      <patternFill patternType="solid">
        <fgColor rgb="FFFCE4E4"/>
      </patternFill>
    </fill>
    <fill>
      <patternFill patternType="solid">
        <fgColor rgb="FF0000FF"/>
      </patternFill>
    </fill>
    <fill>
      <patternFill patternType="solid">
        <fgColor rgb="FF2E5496"/>
      </patternFill>
    </fill>
    <fill>
      <patternFill patternType="solid">
        <fgColor rgb="FFF2F2F2"/>
      </patternFill>
    </fill>
    <fill>
      <patternFill patternType="solid">
        <fgColor rgb="FFFCE4E4"/>
      </patternFill>
    </fill>
    <fill>
      <patternFill patternType="solid">
        <fgColor rgb="FFFFD966"/>
      </patternFill>
    </fill>
    <fill>
      <patternFill patternType="solid">
        <fgColor rgb="FFE4DFEC"/>
      </patternFill>
    </fill>
    <fill>
      <patternFill patternType="solid">
        <fgColor rgb="FFFFF2CC"/>
      </patternFill>
    </fill>
    <fill>
      <patternFill patternType="solid">
        <fgColor theme="0" tint="-0.1499984740745262"/>
        <bgColor indexed="64"/>
      </patternFill>
    </fill>
    <fill>
      <patternFill patternType="solid">
        <fgColor rgb="00E2EFDA"/>
      </patternFill>
    </fill>
    <fill>
      <patternFill patternType="solid">
        <fgColor rgb="002E5496"/>
      </patternFill>
    </fill>
    <fill>
      <patternFill patternType="solid">
        <fgColor rgb="00FFF2CC"/>
      </patternFill>
    </fill>
    <fill>
      <patternFill patternType="solid">
        <fgColor rgb="00FCE4E4"/>
      </patternFill>
    </fill>
    <fill>
      <patternFill patternType="solid">
        <fgColor rgb="00F2F2F2"/>
      </patternFill>
    </fill>
    <fill>
      <patternFill patternType="solid">
        <fgColor rgb="001F3864"/>
      </patternFill>
    </fill>
    <fill>
      <patternFill patternType="solid">
        <fgColor rgb="00EDF0F7"/>
      </patternFill>
    </fill>
    <fill>
      <patternFill patternType="solid">
        <fgColor rgb="00FFE699"/>
      </patternFill>
    </fill>
    <fill>
      <patternFill patternType="solid">
        <fgColor rgb="00FFC7CE"/>
      </patternFill>
    </fill>
    <fill>
      <patternFill patternType="solid">
        <fgColor rgb="00C6EFCE"/>
      </patternFill>
    </fill>
    <fill>
      <patternFill patternType="solid">
        <fgColor rgb="00D9E1F2"/>
      </patternFill>
    </fill>
    <fill>
      <patternFill patternType="solid">
        <fgColor rgb="00FFFFFF"/>
      </patternFill>
    </fill>
    <fill>
      <patternFill patternType="solid">
        <fgColor rgb="00C55A11"/>
      </patternFill>
    </fill>
    <fill>
      <patternFill patternType="solid">
        <fgColor rgb="00FCE4D6"/>
      </patternFill>
    </fill>
    <fill>
      <patternFill patternType="solid">
        <fgColor rgb="00375623"/>
      </patternFill>
    </fill>
    <fill>
      <patternFill patternType="solid">
        <fgColor rgb="00FFFF00"/>
      </patternFill>
    </fill>
  </fills>
  <borders count="11">
    <border>
      <left/>
      <right/>
      <top/>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213">
    <xf numFmtId="0" fontId="0" fillId="0" borderId="0" pivotButton="0" quotePrefix="0" xfId="0"/>
    <xf numFmtId="0" fontId="4" fillId="5" borderId="1" applyAlignment="1" pivotButton="0" quotePrefix="0" xfId="0">
      <alignment horizontal="left" vertical="top" wrapText="1"/>
    </xf>
    <xf numFmtId="0" fontId="5" fillId="0" borderId="1" applyAlignment="1" pivotButton="0" quotePrefix="0" xfId="0">
      <alignment horizontal="left" vertical="top" wrapText="1"/>
    </xf>
    <xf numFmtId="0" fontId="6" fillId="4" borderId="1" applyAlignment="1" pivotButton="0" quotePrefix="0" xfId="0">
      <alignment horizontal="center" vertical="center" wrapText="1"/>
    </xf>
    <xf numFmtId="0" fontId="4" fillId="0" borderId="1" applyAlignment="1" pivotButton="0" quotePrefix="0" xfId="0">
      <alignment horizontal="left" vertical="top" wrapText="1"/>
    </xf>
    <xf numFmtId="0" fontId="5" fillId="6" borderId="1" applyAlignment="1" pivotButton="0" quotePrefix="0" xfId="0">
      <alignment horizontal="left" vertical="top" wrapText="1"/>
    </xf>
    <xf numFmtId="0" fontId="4" fillId="5" borderId="1" applyAlignment="1" pivotButton="0" quotePrefix="0" xfId="0">
      <alignment horizontal="left" vertical="center" wrapText="1"/>
    </xf>
    <xf numFmtId="0" fontId="10" fillId="8" borderId="1" applyAlignment="1" pivotButton="0" quotePrefix="0" xfId="0">
      <alignment horizontal="left" vertical="center" wrapText="1"/>
    </xf>
    <xf numFmtId="0" fontId="4" fillId="0" borderId="1" applyAlignment="1" pivotButton="0" quotePrefix="0" xfId="0">
      <alignment horizontal="left" vertical="center" wrapText="1"/>
    </xf>
    <xf numFmtId="0" fontId="8" fillId="7" borderId="1" applyAlignment="1" pivotButton="0" quotePrefix="0" xfId="0">
      <alignment horizontal="left" vertical="top" wrapText="1"/>
    </xf>
    <xf numFmtId="0" fontId="11" fillId="9" borderId="1" applyAlignment="1" pivotButton="0" quotePrefix="0" xfId="0">
      <alignment horizontal="center" vertical="center" wrapText="1"/>
    </xf>
    <xf numFmtId="0" fontId="5" fillId="0" borderId="1" applyAlignment="1" pivotButton="0" quotePrefix="0" xfId="0">
      <alignment horizontal="left" vertical="center" wrapText="1"/>
    </xf>
    <xf numFmtId="0" fontId="12" fillId="6" borderId="1" applyAlignment="1" pivotButton="0" quotePrefix="0" xfId="0">
      <alignment horizontal="center" vertical="center" wrapText="1"/>
    </xf>
    <xf numFmtId="0" fontId="13" fillId="10" borderId="1" applyAlignment="1" pivotButton="0" quotePrefix="0" xfId="0">
      <alignment horizontal="center" vertical="center" wrapText="1"/>
    </xf>
    <xf numFmtId="0" fontId="8" fillId="7" borderId="1" applyAlignment="1" pivotButton="0" quotePrefix="0" xfId="0">
      <alignment horizontal="center" vertical="center" wrapText="1"/>
    </xf>
    <xf numFmtId="0" fontId="14" fillId="11" borderId="1" applyAlignment="1" pivotButton="0" quotePrefix="0" xfId="0">
      <alignment horizontal="left" vertical="center" wrapText="1"/>
    </xf>
    <xf numFmtId="0" fontId="11" fillId="9" borderId="1" applyAlignment="1" pivotButton="0" quotePrefix="0" xfId="0">
      <alignment horizontal="left" vertical="center" wrapText="1"/>
    </xf>
    <xf numFmtId="0" fontId="15" fillId="12" borderId="1" applyAlignment="1" pivotButton="0" quotePrefix="0" xfId="0">
      <alignment horizontal="left" vertical="center" wrapText="1"/>
    </xf>
    <xf numFmtId="0" fontId="16" fillId="13" borderId="1" applyAlignment="1" pivotButton="0" quotePrefix="0" xfId="0">
      <alignment horizontal="left" vertical="center" wrapText="1"/>
    </xf>
    <xf numFmtId="0" fontId="17" fillId="5" borderId="1" applyAlignment="1" pivotButton="0" quotePrefix="0" xfId="0">
      <alignment horizontal="left" vertical="center" wrapText="1"/>
    </xf>
    <xf numFmtId="0" fontId="11" fillId="9" borderId="1" applyAlignment="1" pivotButton="0" quotePrefix="0" xfId="0">
      <alignment horizontal="center" vertical="top" wrapText="1"/>
    </xf>
    <xf numFmtId="0" fontId="8" fillId="7" borderId="1" applyAlignment="1" pivotButton="0" quotePrefix="0" xfId="0">
      <alignment horizontal="center" vertical="top" wrapText="1"/>
    </xf>
    <xf numFmtId="0" fontId="14" fillId="11" borderId="1" applyAlignment="1" pivotButton="0" quotePrefix="0" xfId="0">
      <alignment horizontal="center" vertical="top" wrapText="1"/>
    </xf>
    <xf numFmtId="0" fontId="12" fillId="6" borderId="1" applyAlignment="1" pivotButton="0" quotePrefix="0" xfId="0">
      <alignment horizontal="center" vertical="top" wrapText="1"/>
    </xf>
    <xf numFmtId="0" fontId="17" fillId="5" borderId="1" applyAlignment="1" pivotButton="0" quotePrefix="0" xfId="0">
      <alignment horizontal="center" vertical="top" wrapText="1"/>
    </xf>
    <xf numFmtId="0" fontId="18" fillId="14" borderId="1" applyAlignment="1" pivotButton="0" quotePrefix="0" xfId="0">
      <alignment horizontal="left" vertical="top" wrapText="1"/>
    </xf>
    <xf numFmtId="0" fontId="16" fillId="13" borderId="1" applyAlignment="1" pivotButton="0" quotePrefix="0" xfId="0">
      <alignment horizontal="center" vertical="top" wrapText="1"/>
    </xf>
    <xf numFmtId="0" fontId="15" fillId="12" borderId="1" applyAlignment="1" pivotButton="0" quotePrefix="0" xfId="0">
      <alignment horizontal="center" vertical="top" wrapText="1"/>
    </xf>
    <xf numFmtId="0" fontId="13" fillId="10" borderId="1" applyAlignment="1" pivotButton="0" quotePrefix="0" xfId="0">
      <alignment horizontal="center" vertical="top" wrapText="1"/>
    </xf>
    <xf numFmtId="0" fontId="12" fillId="6" borderId="1" applyAlignment="1" pivotButton="0" quotePrefix="0" xfId="0">
      <alignment horizontal="left" vertical="top" wrapText="1"/>
    </xf>
    <xf numFmtId="0" fontId="13" fillId="10" borderId="1" applyAlignment="1" pivotButton="0" quotePrefix="0" xfId="0">
      <alignment horizontal="left" vertical="top" wrapText="1"/>
    </xf>
    <xf numFmtId="0" fontId="11" fillId="9" borderId="1" applyAlignment="1" pivotButton="0" quotePrefix="0" xfId="0">
      <alignment horizontal="left" vertical="top" wrapText="1"/>
    </xf>
    <xf numFmtId="0" fontId="17" fillId="5" borderId="1" applyAlignment="1" pivotButton="0" quotePrefix="0" xfId="0">
      <alignment horizontal="left" vertical="top" wrapText="1"/>
    </xf>
    <xf numFmtId="3" fontId="10" fillId="8" borderId="1" applyAlignment="1" pivotButton="0" quotePrefix="0" xfId="0">
      <alignment horizontal="right" vertical="center"/>
    </xf>
    <xf numFmtId="164" fontId="10" fillId="8" borderId="1" applyAlignment="1" pivotButton="0" quotePrefix="0" xfId="0">
      <alignment horizontal="right" vertical="center"/>
    </xf>
    <xf numFmtId="165" fontId="10" fillId="8" borderId="1" applyAlignment="1" pivotButton="0" quotePrefix="0" xfId="0">
      <alignment horizontal="right" vertical="center"/>
    </xf>
    <xf numFmtId="164" fontId="5" fillId="0" borderId="1" applyAlignment="1" pivotButton="0" quotePrefix="0" xfId="0">
      <alignment horizontal="right" vertical="center"/>
    </xf>
    <xf numFmtId="165" fontId="5" fillId="0" borderId="1" applyAlignment="1" pivotButton="0" quotePrefix="0" xfId="0">
      <alignment horizontal="right" vertical="center"/>
    </xf>
    <xf numFmtId="165" fontId="11" fillId="9" borderId="1" applyAlignment="1" pivotButton="0" quotePrefix="0" xfId="0">
      <alignment horizontal="right" vertical="center"/>
    </xf>
    <xf numFmtId="0" fontId="5" fillId="0" borderId="1" applyAlignment="1" pivotButton="0" quotePrefix="0" xfId="0">
      <alignment horizontal="right" vertical="center"/>
    </xf>
    <xf numFmtId="0" fontId="6" fillId="15" borderId="1" applyAlignment="1" pivotButton="0" quotePrefix="0" xfId="0">
      <alignment horizontal="center" vertical="center" wrapText="1"/>
    </xf>
    <xf numFmtId="165" fontId="4" fillId="9" borderId="1" applyAlignment="1" pivotButton="0" quotePrefix="0" xfId="0">
      <alignment horizontal="right" vertical="center"/>
    </xf>
    <xf numFmtId="0" fontId="6" fillId="15" borderId="1" applyAlignment="1" pivotButton="0" quotePrefix="0" xfId="0">
      <alignment horizontal="left" vertical="top" wrapText="1"/>
    </xf>
    <xf numFmtId="0" fontId="5" fillId="5" borderId="1" applyAlignment="1" pivotButton="0" quotePrefix="0" xfId="0">
      <alignment horizontal="left" vertical="top" wrapText="1"/>
    </xf>
    <xf numFmtId="0" fontId="4" fillId="5" borderId="1" applyAlignment="1" pivotButton="0" quotePrefix="0" xfId="0">
      <alignment horizontal="center" vertical="top" wrapText="1"/>
    </xf>
    <xf numFmtId="0" fontId="5" fillId="5" borderId="1" applyAlignment="1" pivotButton="0" quotePrefix="0" xfId="0">
      <alignment horizontal="center" vertical="top" wrapText="1"/>
    </xf>
    <xf numFmtId="0" fontId="5" fillId="9" borderId="1" applyAlignment="1" pivotButton="0" quotePrefix="0" xfId="0">
      <alignment horizontal="center" vertical="top" wrapText="1"/>
    </xf>
    <xf numFmtId="0" fontId="5" fillId="6" borderId="1" applyAlignment="1" pivotButton="0" quotePrefix="0" xfId="0">
      <alignment horizontal="center" vertical="top" wrapText="1"/>
    </xf>
    <xf numFmtId="0" fontId="0" fillId="0" borderId="2" pivotButton="0" quotePrefix="0" xfId="0"/>
    <xf numFmtId="0" fontId="22" fillId="0" borderId="1" applyAlignment="1" pivotButton="0" quotePrefix="0" xfId="0">
      <alignment horizontal="left" vertical="top" wrapText="1"/>
    </xf>
    <xf numFmtId="0" fontId="23" fillId="17" borderId="1" applyAlignment="1" pivotButton="0" quotePrefix="0" xfId="0">
      <alignment horizontal="center" vertical="top" wrapText="1"/>
    </xf>
    <xf numFmtId="0" fontId="25" fillId="19" borderId="1" applyAlignment="1" pivotButton="0" quotePrefix="0" xfId="0">
      <alignment horizontal="left" vertical="top" wrapText="1"/>
    </xf>
    <xf numFmtId="0" fontId="5" fillId="21" borderId="1" applyAlignment="1" pivotButton="0" quotePrefix="0" xfId="0">
      <alignment horizontal="left" vertical="top" wrapText="1"/>
    </xf>
    <xf numFmtId="0" fontId="22" fillId="20" borderId="1" applyAlignment="1" pivotButton="0" quotePrefix="0" xfId="0">
      <alignment horizontal="left" vertical="top" wrapText="1"/>
    </xf>
    <xf numFmtId="0" fontId="25" fillId="19" borderId="1" applyAlignment="1" pivotButton="0" quotePrefix="0" xfId="0">
      <alignment horizontal="center" vertical="center" wrapText="1"/>
    </xf>
    <xf numFmtId="0" fontId="25" fillId="19" borderId="0" applyAlignment="1" pivotButton="0" quotePrefix="0" xfId="0">
      <alignment horizontal="center" vertical="center" wrapText="1"/>
    </xf>
    <xf numFmtId="0" fontId="26" fillId="0" borderId="0" applyAlignment="1" pivotButton="0" quotePrefix="0" xfId="0">
      <alignment vertical="center" wrapText="1"/>
    </xf>
    <xf numFmtId="0" fontId="24" fillId="18" borderId="0" applyAlignment="1" pivotButton="0" quotePrefix="0" xfId="0">
      <alignment horizontal="center" vertical="center" wrapText="1"/>
    </xf>
    <xf numFmtId="0" fontId="5" fillId="0" borderId="0" applyAlignment="1" pivotButton="0" quotePrefix="0" xfId="0">
      <alignment horizontal="left" vertical="top" wrapText="1"/>
    </xf>
    <xf numFmtId="0" fontId="0" fillId="0" borderId="0" pivotButton="0" quotePrefix="0" xfId="0"/>
    <xf numFmtId="0" fontId="7" fillId="5" borderId="0" applyAlignment="1" pivotButton="0" quotePrefix="0" xfId="0">
      <alignment horizontal="left" vertical="top" wrapText="1"/>
    </xf>
    <xf numFmtId="0" fontId="2" fillId="3" borderId="0" applyAlignment="1" pivotButton="0" quotePrefix="0" xfId="0">
      <alignment horizontal="left" vertical="center" wrapText="1"/>
    </xf>
    <xf numFmtId="0" fontId="3" fillId="4" borderId="0" applyAlignment="1" pivotButton="0" quotePrefix="0" xfId="0">
      <alignment horizontal="left" vertical="center"/>
    </xf>
    <xf numFmtId="0" fontId="8" fillId="7" borderId="1" applyAlignment="1" pivotButton="0" quotePrefix="0" xfId="0">
      <alignment horizontal="left" vertical="center" wrapText="1"/>
    </xf>
    <xf numFmtId="0" fontId="0" fillId="0" borderId="3" pivotButton="0" quotePrefix="0" xfId="0"/>
    <xf numFmtId="0" fontId="0" fillId="0" borderId="2" pivotButton="0" quotePrefix="0" xfId="0"/>
    <xf numFmtId="0" fontId="7" fillId="0" borderId="0" applyAlignment="1" pivotButton="0" quotePrefix="0" xfId="0">
      <alignment horizontal="left" vertical="top" wrapText="1"/>
    </xf>
    <xf numFmtId="0" fontId="1" fillId="2" borderId="0" applyAlignment="1" pivotButton="0" quotePrefix="0" xfId="0">
      <alignment horizontal="left" vertical="center"/>
    </xf>
    <xf numFmtId="0" fontId="5" fillId="0" borderId="1" applyAlignment="1" pivotButton="0" quotePrefix="0" xfId="0">
      <alignment horizontal="left" vertical="top" wrapText="1"/>
    </xf>
    <xf numFmtId="0" fontId="24" fillId="18" borderId="0" applyAlignment="1" pivotButton="0" quotePrefix="0" xfId="0">
      <alignment vertical="top" wrapText="1"/>
    </xf>
    <xf numFmtId="0" fontId="9" fillId="6" borderId="1" applyAlignment="1" pivotButton="0" quotePrefix="0" xfId="0">
      <alignment horizontal="left" vertical="top" wrapText="1"/>
    </xf>
    <xf numFmtId="0" fontId="4" fillId="5" borderId="0" applyAlignment="1" pivotButton="0" quotePrefix="0" xfId="0">
      <alignment horizontal="left" vertical="center" wrapText="1"/>
    </xf>
    <xf numFmtId="0" fontId="21" fillId="16" borderId="0" applyAlignment="1" pivotButton="0" quotePrefix="0" xfId="0">
      <alignment horizontal="left" vertical="center"/>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3" fillId="15" borderId="0" applyAlignment="1" pivotButton="0" quotePrefix="0" xfId="0">
      <alignment horizontal="left" vertical="center"/>
    </xf>
    <xf numFmtId="0" fontId="19" fillId="0" borderId="0" applyAlignment="1" pivotButton="0" quotePrefix="0" xfId="0">
      <alignment horizontal="left" vertical="top" wrapText="1"/>
    </xf>
    <xf numFmtId="0" fontId="7" fillId="5" borderId="0" applyAlignment="1" pivotButton="0" quotePrefix="0" xfId="0">
      <alignment horizontal="left" vertical="center" wrapText="1"/>
    </xf>
    <xf numFmtId="0" fontId="4" fillId="9" borderId="0" applyAlignment="1" pivotButton="0" quotePrefix="0" xfId="0">
      <alignment horizontal="left" vertical="center" wrapText="1"/>
    </xf>
    <xf numFmtId="0" fontId="19" fillId="0" borderId="1" applyAlignment="1" pivotButton="0" quotePrefix="0" xfId="0">
      <alignment horizontal="left" vertical="top" wrapText="1"/>
    </xf>
    <xf numFmtId="0" fontId="20" fillId="0" borderId="0" applyAlignment="1" pivotButton="0" quotePrefix="0" xfId="0">
      <alignment horizontal="left" vertical="top" wrapText="1"/>
    </xf>
    <xf numFmtId="0" fontId="13" fillId="18" borderId="1" applyAlignment="1" pivotButton="0" quotePrefix="0" xfId="0">
      <alignment horizontal="left" vertical="top" wrapText="1"/>
    </xf>
    <xf numFmtId="0" fontId="4" fillId="22" borderId="1" applyAlignment="1" pivotButton="0" quotePrefix="0" xfId="0">
      <alignment horizontal="left" vertical="top" wrapText="1"/>
    </xf>
    <xf numFmtId="0" fontId="5" fillId="22" borderId="1" applyAlignment="1" pivotButton="0" quotePrefix="0" xfId="0">
      <alignment horizontal="left" vertical="top" wrapText="1"/>
    </xf>
    <xf numFmtId="0" fontId="17" fillId="22" borderId="1" applyAlignment="1" pivotButton="0" quotePrefix="0" xfId="0">
      <alignment horizontal="center" vertical="top" wrapText="1"/>
    </xf>
    <xf numFmtId="0" fontId="27" fillId="23" borderId="1" applyAlignment="1" pivotButton="0" quotePrefix="0" xfId="0">
      <alignment horizontal="left" vertical="top" wrapText="1"/>
    </xf>
    <xf numFmtId="0" fontId="27" fillId="23" borderId="0" applyAlignment="1" pivotButton="0" quotePrefix="0" xfId="0">
      <alignment vertical="top" wrapText="1"/>
    </xf>
    <xf numFmtId="0" fontId="28" fillId="24" borderId="0" applyAlignment="1" pivotButton="0" quotePrefix="0" xfId="0">
      <alignment horizontal="left" vertical="center" wrapText="1"/>
    </xf>
    <xf numFmtId="0" fontId="27" fillId="23" borderId="0" applyAlignment="1" pivotButton="0" quotePrefix="0" xfId="0">
      <alignment horizontal="center" vertical="center" wrapText="1"/>
    </xf>
    <xf numFmtId="0" fontId="32" fillId="26" borderId="0" applyAlignment="1" pivotButton="0" quotePrefix="0" xfId="0">
      <alignment horizontal="center" vertical="center" wrapText="1"/>
    </xf>
    <xf numFmtId="0" fontId="36" fillId="27" borderId="0" applyAlignment="1" pivotButton="0" quotePrefix="0" xfId="0">
      <alignment horizontal="center" vertical="center" wrapText="1"/>
    </xf>
    <xf numFmtId="0" fontId="29" fillId="25" borderId="0" applyAlignment="1" pivotButton="0" quotePrefix="0" xfId="0">
      <alignment vertical="top" wrapText="1"/>
    </xf>
    <xf numFmtId="0" fontId="30" fillId="25" borderId="0" applyAlignment="1" pivotButton="0" quotePrefix="0" xfId="0">
      <alignment vertical="top" wrapText="1"/>
    </xf>
    <xf numFmtId="0" fontId="31" fillId="23" borderId="0" applyAlignment="1" pivotButton="0" quotePrefix="0" xfId="0">
      <alignment vertical="top" wrapText="1"/>
    </xf>
    <xf numFmtId="0" fontId="32" fillId="26" borderId="0" applyAlignment="1" pivotButton="0" quotePrefix="0" xfId="0">
      <alignment vertical="top" wrapText="1"/>
    </xf>
    <xf numFmtId="0" fontId="33" fillId="26" borderId="0" applyAlignment="1" pivotButton="0" quotePrefix="0" xfId="0">
      <alignment vertical="top" wrapText="1"/>
    </xf>
    <xf numFmtId="0" fontId="34" fillId="27" borderId="0" applyAlignment="1" pivotButton="0" quotePrefix="0" xfId="0">
      <alignment vertical="top" wrapText="1"/>
    </xf>
    <xf numFmtId="0" fontId="35" fillId="0" borderId="0" applyAlignment="1" pivotButton="0" quotePrefix="0" xfId="0">
      <alignment vertical="top" wrapText="1"/>
    </xf>
    <xf numFmtId="0" fontId="37" fillId="28" borderId="0" applyAlignment="1" pivotButton="0" quotePrefix="0" xfId="0">
      <alignment vertical="center" wrapText="1"/>
    </xf>
    <xf numFmtId="0" fontId="38" fillId="29" borderId="0" applyAlignment="1" pivotButton="0" quotePrefix="0" xfId="0">
      <alignment vertical="center" wrapText="1"/>
    </xf>
    <xf numFmtId="0" fontId="28" fillId="24" borderId="0" applyAlignment="1" pivotButton="0" quotePrefix="0" xfId="0">
      <alignment vertical="center" wrapText="1"/>
    </xf>
    <xf numFmtId="0" fontId="39" fillId="23" borderId="6" applyAlignment="1" pivotButton="0" quotePrefix="0" xfId="0">
      <alignment vertical="top" wrapText="1"/>
    </xf>
    <xf numFmtId="0" fontId="26" fillId="23" borderId="6" applyAlignment="1" pivotButton="0" quotePrefix="0" xfId="0">
      <alignment vertical="top" wrapText="1"/>
    </xf>
    <xf numFmtId="0" fontId="39" fillId="27" borderId="6" applyAlignment="1" pivotButton="0" quotePrefix="0" xfId="0">
      <alignment vertical="top" wrapText="1"/>
    </xf>
    <xf numFmtId="0" fontId="26" fillId="0" borderId="6" applyAlignment="1" pivotButton="0" quotePrefix="0" xfId="0">
      <alignment vertical="top" wrapText="1"/>
    </xf>
    <xf numFmtId="0" fontId="39" fillId="25" borderId="6" applyAlignment="1" pivotButton="0" quotePrefix="0" xfId="0">
      <alignment vertical="top" wrapText="1"/>
    </xf>
    <xf numFmtId="0" fontId="26" fillId="25" borderId="6" applyAlignment="1" pivotButton="0" quotePrefix="0" xfId="0">
      <alignment vertical="top" wrapText="1"/>
    </xf>
    <xf numFmtId="0" fontId="28" fillId="24" borderId="0" applyAlignment="1" pivotButton="0" quotePrefix="0" xfId="0">
      <alignment vertical="center"/>
    </xf>
    <xf numFmtId="0" fontId="40" fillId="24" borderId="0" applyAlignment="1" pivotButton="0" quotePrefix="0" xfId="0">
      <alignment horizontal="center" vertical="center" wrapText="1"/>
    </xf>
    <xf numFmtId="0" fontId="41" fillId="23" borderId="0" applyAlignment="1" pivotButton="0" quotePrefix="0" xfId="0">
      <alignment horizontal="center" vertical="center" wrapText="1"/>
    </xf>
    <xf numFmtId="0" fontId="42" fillId="26" borderId="0" applyAlignment="1" pivotButton="0" quotePrefix="0" xfId="0">
      <alignment horizontal="center" vertical="center" wrapText="1"/>
    </xf>
    <xf numFmtId="0" fontId="43" fillId="25" borderId="0" applyAlignment="1" pivotButton="0" quotePrefix="0" xfId="0">
      <alignment horizontal="center" vertical="center" wrapText="1"/>
    </xf>
    <xf numFmtId="0" fontId="32" fillId="26" borderId="1" applyAlignment="1" pivotButton="0" quotePrefix="0" xfId="0">
      <alignment horizontal="left" vertical="top" wrapText="1"/>
    </xf>
    <xf numFmtId="0" fontId="29" fillId="25" borderId="0" applyAlignment="1" pivotButton="0" quotePrefix="0" xfId="0">
      <alignment horizontal="center" vertical="center" wrapText="1"/>
    </xf>
    <xf numFmtId="0" fontId="39" fillId="0" borderId="0" applyAlignment="1" pivotButton="0" quotePrefix="0" xfId="0">
      <alignment horizontal="center"/>
    </xf>
    <xf numFmtId="0" fontId="26" fillId="0" borderId="0" applyAlignment="1" pivotButton="0" quotePrefix="0" xfId="0">
      <alignment vertical="top" wrapText="1"/>
    </xf>
    <xf numFmtId="0" fontId="0" fillId="25" borderId="0" pivotButton="0" quotePrefix="0" xfId="0"/>
    <xf numFmtId="0" fontId="1" fillId="2" borderId="0" applyAlignment="1" pivotButton="0" quotePrefix="0" xfId="0">
      <alignment horizontal="left" vertical="center" wrapText="1"/>
    </xf>
    <xf numFmtId="0" fontId="3" fillId="4" borderId="0" applyAlignment="1" pivotButton="0" quotePrefix="0" xfId="0">
      <alignment horizontal="left" vertical="center" wrapText="1"/>
    </xf>
    <xf numFmtId="0" fontId="21" fillId="16" borderId="0" applyAlignment="1" pivotButton="0" quotePrefix="0" xfId="0">
      <alignment horizontal="left" vertical="center" wrapText="1"/>
    </xf>
    <xf numFmtId="0" fontId="3" fillId="15" borderId="0" applyAlignment="1" pivotButton="0" quotePrefix="0" xfId="0">
      <alignment horizontal="left" vertical="center" wrapText="1"/>
    </xf>
    <xf numFmtId="3" fontId="10" fillId="8" borderId="1" applyAlignment="1" pivotButton="0" quotePrefix="0" xfId="0">
      <alignment horizontal="right" vertical="center" wrapText="1"/>
    </xf>
    <xf numFmtId="164" fontId="10" fillId="8" borderId="1" applyAlignment="1" pivotButton="0" quotePrefix="0" xfId="0">
      <alignment horizontal="right" vertical="center" wrapText="1"/>
    </xf>
    <xf numFmtId="165" fontId="10" fillId="8" borderId="1" applyAlignment="1" pivotButton="0" quotePrefix="0" xfId="0">
      <alignment horizontal="right" vertical="center" wrapText="1"/>
    </xf>
    <xf numFmtId="164" fontId="5" fillId="0" borderId="1" applyAlignment="1" pivotButton="0" quotePrefix="0" xfId="0">
      <alignment horizontal="right" vertical="center" wrapText="1"/>
    </xf>
    <xf numFmtId="165" fontId="5" fillId="0" borderId="1" applyAlignment="1" pivotButton="0" quotePrefix="0" xfId="0">
      <alignment horizontal="right" vertical="center" wrapText="1"/>
    </xf>
    <xf numFmtId="165" fontId="11" fillId="9" borderId="1" applyAlignment="1" pivotButton="0" quotePrefix="0" xfId="0">
      <alignment horizontal="right" vertical="center" wrapText="1"/>
    </xf>
    <xf numFmtId="0" fontId="5" fillId="0" borderId="1" applyAlignment="1" pivotButton="0" quotePrefix="0" xfId="0">
      <alignment horizontal="right" vertical="center" wrapText="1"/>
    </xf>
    <xf numFmtId="165" fontId="4" fillId="9" borderId="1" applyAlignment="1" pivotButton="0" quotePrefix="0" xfId="0">
      <alignment horizontal="right" vertical="center" wrapText="1"/>
    </xf>
    <xf numFmtId="0" fontId="39" fillId="0" borderId="0" applyAlignment="1" pivotButton="0" quotePrefix="0" xfId="0">
      <alignment horizontal="center" vertical="top" wrapText="1"/>
    </xf>
    <xf numFmtId="0" fontId="44" fillId="0" borderId="0" applyAlignment="1" pivotButton="0" quotePrefix="0" xfId="0">
      <alignment vertical="center" wrapText="1"/>
    </xf>
    <xf numFmtId="0" fontId="36" fillId="0" borderId="0" applyAlignment="1" pivotButton="0" quotePrefix="0" xfId="0">
      <alignment horizontal="center" vertical="center" wrapText="1"/>
    </xf>
    <xf numFmtId="0" fontId="40" fillId="24" borderId="1" applyAlignment="1" pivotButton="0" quotePrefix="0" xfId="0">
      <alignment horizontal="center" vertical="center" wrapText="1"/>
    </xf>
    <xf numFmtId="0" fontId="29" fillId="25" borderId="1" applyAlignment="1" pivotButton="0" quotePrefix="0" xfId="0">
      <alignment vertical="top" wrapText="1"/>
    </xf>
    <xf numFmtId="0" fontId="27" fillId="23" borderId="1" applyAlignment="1" pivotButton="0" quotePrefix="0" xfId="0">
      <alignment vertical="top" wrapText="1"/>
    </xf>
    <xf numFmtId="0" fontId="32" fillId="26" borderId="1" applyAlignment="1" pivotButton="0" quotePrefix="0" xfId="0">
      <alignment vertical="top" wrapText="1"/>
    </xf>
    <xf numFmtId="0" fontId="29" fillId="30" borderId="1" applyAlignment="1" pivotButton="0" quotePrefix="0" xfId="0">
      <alignment horizontal="center" vertical="top" wrapText="1"/>
    </xf>
    <xf numFmtId="0" fontId="29" fillId="25" borderId="1" applyAlignment="1" pivotButton="0" quotePrefix="0" xfId="0">
      <alignment horizontal="center" vertical="top" wrapText="1"/>
    </xf>
    <xf numFmtId="0" fontId="34" fillId="0" borderId="1" applyAlignment="1" pivotButton="0" quotePrefix="0" xfId="0">
      <alignment horizontal="left" vertical="top" wrapText="1"/>
    </xf>
    <xf numFmtId="0" fontId="27" fillId="23" borderId="1" applyAlignment="1" pivotButton="0" quotePrefix="0" xfId="0">
      <alignment horizontal="center" vertical="top" wrapText="1"/>
    </xf>
    <xf numFmtId="0" fontId="45" fillId="25" borderId="1" applyAlignment="1" pivotButton="0" quotePrefix="0" xfId="0">
      <alignment horizontal="center" vertical="top" wrapText="1"/>
    </xf>
    <xf numFmtId="0" fontId="32" fillId="31" borderId="1" applyAlignment="1" pivotButton="0" quotePrefix="0" xfId="0">
      <alignment horizontal="center" vertical="top" wrapText="1"/>
    </xf>
    <xf numFmtId="0" fontId="46" fillId="32" borderId="1" applyAlignment="1" pivotButton="0" quotePrefix="0" xfId="0">
      <alignment horizontal="center" vertical="top" wrapText="1"/>
    </xf>
    <xf numFmtId="0" fontId="36" fillId="27" borderId="1" applyAlignment="1" pivotButton="0" quotePrefix="0" xfId="0">
      <alignment horizontal="center" vertical="top" wrapText="1"/>
    </xf>
    <xf numFmtId="0" fontId="34" fillId="9" borderId="1" applyAlignment="1" pivotButton="0" quotePrefix="0" xfId="0">
      <alignment horizontal="center" vertical="center" wrapText="1"/>
    </xf>
    <xf numFmtId="0" fontId="47" fillId="33" borderId="1" applyAlignment="1" pivotButton="0" quotePrefix="0" xfId="0">
      <alignment horizontal="center" vertical="top" wrapText="1"/>
    </xf>
    <xf numFmtId="0" fontId="34" fillId="22" borderId="1" applyAlignment="1" pivotButton="0" quotePrefix="0" xfId="0">
      <alignment horizontal="left" vertical="top" wrapText="1"/>
    </xf>
    <xf numFmtId="0" fontId="48" fillId="0" borderId="6" applyAlignment="1" pivotButton="0" quotePrefix="0" xfId="0">
      <alignment horizontal="left" vertical="top"/>
    </xf>
    <xf numFmtId="0" fontId="44" fillId="34" borderId="6" applyAlignment="1" pivotButton="0" quotePrefix="0" xfId="0">
      <alignment horizontal="left" vertical="top" wrapText="1"/>
    </xf>
    <xf numFmtId="0" fontId="0" fillId="34" borderId="6" pivotButton="0" quotePrefix="0" xfId="0"/>
    <xf numFmtId="0" fontId="28" fillId="28" borderId="6" applyAlignment="1" pivotButton="0" quotePrefix="0" xfId="0">
      <alignment horizontal="left" vertical="top" wrapText="1"/>
    </xf>
    <xf numFmtId="0" fontId="0" fillId="28" borderId="6" pivotButton="0" quotePrefix="0" xfId="0"/>
    <xf numFmtId="0" fontId="40" fillId="24" borderId="6" applyAlignment="1" pivotButton="0" quotePrefix="0" xfId="0">
      <alignment horizontal="left" vertical="top" wrapText="1"/>
    </xf>
    <xf numFmtId="0" fontId="34" fillId="33" borderId="6" applyAlignment="1" pivotButton="0" quotePrefix="0" xfId="0">
      <alignment horizontal="left" vertical="top" wrapText="1"/>
    </xf>
    <xf numFmtId="0" fontId="35" fillId="0" borderId="6" applyAlignment="1" pivotButton="0" quotePrefix="0" xfId="0">
      <alignment horizontal="left" vertical="top" wrapText="1"/>
    </xf>
    <xf numFmtId="0" fontId="28" fillId="35" borderId="6" applyAlignment="1" pivotButton="0" quotePrefix="0" xfId="0">
      <alignment horizontal="left" vertical="top" wrapText="1"/>
    </xf>
    <xf numFmtId="0" fontId="0" fillId="35" borderId="6" pivotButton="0" quotePrefix="0" xfId="0"/>
    <xf numFmtId="0" fontId="34" fillId="36" borderId="6" applyAlignment="1" pivotButton="0" quotePrefix="0" xfId="0">
      <alignment horizontal="left" vertical="top" wrapText="1"/>
    </xf>
    <xf numFmtId="0" fontId="0" fillId="36" borderId="6" pivotButton="0" quotePrefix="0" xfId="0"/>
    <xf numFmtId="0" fontId="34" fillId="32" borderId="6" applyAlignment="1" pivotButton="0" quotePrefix="0" xfId="0">
      <alignment horizontal="center" vertical="top" wrapText="1"/>
    </xf>
    <xf numFmtId="0" fontId="34" fillId="0" borderId="6" applyAlignment="1" pivotButton="0" quotePrefix="0" xfId="0">
      <alignment horizontal="left" vertical="top" wrapText="1"/>
    </xf>
    <xf numFmtId="0" fontId="34" fillId="25" borderId="6" applyAlignment="1" pivotButton="0" quotePrefix="0" xfId="0">
      <alignment horizontal="center" vertical="top" wrapText="1"/>
    </xf>
    <xf numFmtId="0" fontId="34" fillId="0" borderId="6" applyAlignment="1" pivotButton="0" quotePrefix="0" xfId="0">
      <alignment horizontal="center" vertical="top" wrapText="1"/>
    </xf>
    <xf numFmtId="0" fontId="34" fillId="27" borderId="6" applyAlignment="1" pivotButton="0" quotePrefix="0" xfId="0">
      <alignment horizontal="center" vertical="top" wrapText="1"/>
    </xf>
    <xf numFmtId="0" fontId="47" fillId="33" borderId="6" applyAlignment="1" pivotButton="0" quotePrefix="0" xfId="0">
      <alignment horizontal="left" vertical="top" wrapText="1"/>
    </xf>
    <xf numFmtId="0" fontId="0" fillId="0" borderId="6" pivotButton="0" quotePrefix="0" xfId="0"/>
    <xf numFmtId="0" fontId="28" fillId="37" borderId="6" applyAlignment="1" pivotButton="0" quotePrefix="0" xfId="0">
      <alignment horizontal="left" vertical="top" wrapText="1"/>
    </xf>
    <xf numFmtId="0" fontId="0" fillId="37" borderId="6" pivotButton="0" quotePrefix="0" xfId="0"/>
    <xf numFmtId="0" fontId="27" fillId="23" borderId="6" applyAlignment="1" pivotButton="0" quotePrefix="0" xfId="0">
      <alignment horizontal="left" vertical="top" wrapText="1"/>
    </xf>
    <xf numFmtId="0" fontId="0" fillId="23" borderId="6" pivotButton="0" quotePrefix="0" xfId="0"/>
    <xf numFmtId="0" fontId="34" fillId="27" borderId="0" applyAlignment="1" pivotButton="0" quotePrefix="0" xfId="0">
      <alignment horizontal="center" vertical="center" wrapText="1"/>
    </xf>
    <xf numFmtId="0" fontId="0" fillId="0" borderId="9" pivotButton="0" quotePrefix="0" xfId="0"/>
    <xf numFmtId="0" fontId="0" fillId="0" borderId="10" pivotButton="0" quotePrefix="0" xfId="0"/>
    <xf numFmtId="0" fontId="48" fillId="0" borderId="6" applyAlignment="1" pivotButton="0" quotePrefix="0" xfId="0">
      <alignment horizontal="left" vertical="top" wrapText="1"/>
    </xf>
    <xf numFmtId="0" fontId="49" fillId="0" borderId="0" applyAlignment="1" pivotButton="0" quotePrefix="0" xfId="0">
      <alignment horizontal="left" vertical="top"/>
    </xf>
    <xf numFmtId="0" fontId="44" fillId="0" borderId="0" applyAlignment="1" pivotButton="0" quotePrefix="0" xfId="0">
      <alignment horizontal="left" vertical="top" wrapText="1"/>
    </xf>
    <xf numFmtId="0" fontId="28" fillId="24" borderId="6" applyAlignment="1" pivotButton="0" quotePrefix="0" xfId="0">
      <alignment horizontal="left" vertical="top" wrapText="1"/>
    </xf>
    <xf numFmtId="0" fontId="0" fillId="24" borderId="6" pivotButton="0" quotePrefix="0" xfId="0"/>
    <xf numFmtId="0" fontId="35" fillId="34" borderId="1" applyAlignment="1" pivotButton="0" quotePrefix="0" xfId="0">
      <alignment horizontal="left" vertical="top" wrapText="1"/>
    </xf>
    <xf numFmtId="0" fontId="51" fillId="34" borderId="1" applyAlignment="1" pivotButton="0" quotePrefix="0" xfId="0">
      <alignment horizontal="left" vertical="top" wrapText="1"/>
    </xf>
    <xf numFmtId="0" fontId="44" fillId="27" borderId="6" applyAlignment="1" pivotButton="0" quotePrefix="0" xfId="0">
      <alignment horizontal="left" vertical="top" wrapText="1"/>
    </xf>
    <xf numFmtId="0" fontId="0" fillId="27" borderId="6" pivotButton="0" quotePrefix="0" xfId="0"/>
    <xf numFmtId="0" fontId="34" fillId="0" borderId="0" applyAlignment="1" pivotButton="0" quotePrefix="0" xfId="0">
      <alignment horizontal="right" vertical="top" wrapText="1"/>
    </xf>
    <xf numFmtId="9" fontId="35" fillId="38" borderId="6" applyAlignment="1" pivotButton="0" quotePrefix="0" xfId="0">
      <alignment horizontal="center" vertical="top" wrapText="1"/>
    </xf>
    <xf numFmtId="0" fontId="40" fillId="24" borderId="6" applyAlignment="1" pivotButton="0" quotePrefix="0" xfId="0">
      <alignment horizontal="center" vertical="top" wrapText="1"/>
    </xf>
    <xf numFmtId="0" fontId="35" fillId="0" borderId="6" applyAlignment="1" pivotButton="0" quotePrefix="0" xfId="0">
      <alignment horizontal="center" vertical="top" wrapText="1"/>
    </xf>
    <xf numFmtId="0" fontId="46" fillId="32" borderId="6" applyAlignment="1" pivotButton="0" quotePrefix="0" xfId="0">
      <alignment horizontal="center" vertical="top" wrapText="1"/>
    </xf>
    <xf numFmtId="0" fontId="45" fillId="25" borderId="6" applyAlignment="1" pivotButton="0" quotePrefix="0" xfId="0">
      <alignment horizontal="center" vertical="top" wrapText="1"/>
    </xf>
    <xf numFmtId="0" fontId="36" fillId="27" borderId="6" applyAlignment="1" pivotButton="0" quotePrefix="0" xfId="0">
      <alignment horizontal="center" vertical="top" wrapText="1"/>
    </xf>
    <xf numFmtId="0" fontId="32" fillId="31" borderId="6" applyAlignment="1" pivotButton="0" quotePrefix="0" xfId="0">
      <alignment horizontal="center" vertical="top" wrapText="1"/>
    </xf>
    <xf numFmtId="0" fontId="50" fillId="27" borderId="6" applyAlignment="1" pivotButton="0" quotePrefix="0" xfId="0">
      <alignment horizontal="left" vertical="top" wrapText="1"/>
    </xf>
    <xf numFmtId="0" fontId="35" fillId="38" borderId="6" applyAlignment="1" pivotButton="0" quotePrefix="0" xfId="0">
      <alignment horizontal="left" vertical="top" wrapText="1"/>
    </xf>
    <xf numFmtId="0" fontId="44" fillId="0" borderId="6" applyAlignment="1" pivotButton="0" quotePrefix="0" xfId="0">
      <alignment horizontal="left" vertical="top" wrapText="1"/>
    </xf>
    <xf numFmtId="0" fontId="44" fillId="0" borderId="6" applyAlignment="1" pivotButton="0" quotePrefix="0" xfId="0">
      <alignment horizontal="center" vertical="top" wrapText="1"/>
    </xf>
    <xf numFmtId="0" fontId="49" fillId="0" borderId="0" applyAlignment="1" pivotButton="0" quotePrefix="0" xfId="0">
      <alignment horizontal="left" vertical="top" wrapText="1"/>
    </xf>
    <xf numFmtId="0" fontId="52" fillId="36" borderId="1" applyAlignment="1" pivotButton="0" quotePrefix="0" xfId="0">
      <alignment horizontal="center" vertical="top" wrapText="1"/>
    </xf>
    <xf numFmtId="0" fontId="48" fillId="0" borderId="0" applyAlignment="1" pivotButton="0" quotePrefix="0" xfId="0">
      <alignment horizontal="left" vertical="top" wrapText="1"/>
    </xf>
    <xf numFmtId="0" fontId="35" fillId="27" borderId="6" applyAlignment="1" pivotButton="0" quotePrefix="0" xfId="0">
      <alignment horizontal="left" vertical="top" wrapText="1"/>
    </xf>
    <xf numFmtId="0" fontId="46" fillId="0" borderId="6" applyAlignment="1" pivotButton="0" quotePrefix="0" xfId="0">
      <alignment horizontal="center" vertical="top" wrapText="1"/>
    </xf>
    <xf numFmtId="0" fontId="45" fillId="0" borderId="6" applyAlignment="1" pivotButton="0" quotePrefix="0" xfId="0">
      <alignment horizontal="center" vertical="top" wrapText="1"/>
    </xf>
    <xf numFmtId="0" fontId="36" fillId="0" borderId="6" applyAlignment="1" pivotButton="0" quotePrefix="0" xfId="0">
      <alignment horizontal="center" vertical="top" wrapText="1"/>
    </xf>
    <xf numFmtId="0" fontId="32" fillId="0" borderId="6" applyAlignment="1" pivotButton="0" quotePrefix="0" xfId="0">
      <alignment horizontal="center" vertical="top" wrapText="1"/>
    </xf>
    <xf numFmtId="0" fontId="52" fillId="5" borderId="0" applyAlignment="1" pivotButton="0" quotePrefix="0" xfId="0">
      <alignment horizontal="left" vertical="center" wrapText="1"/>
    </xf>
    <xf numFmtId="0" fontId="28" fillId="24" borderId="6" applyAlignment="1" pivotButton="0" quotePrefix="0" xfId="0">
      <alignment vertical="top" wrapText="1"/>
    </xf>
    <xf numFmtId="0" fontId="34" fillId="0" borderId="6" applyAlignment="1" pivotButton="0" quotePrefix="0" xfId="0">
      <alignment vertical="top" wrapText="1"/>
    </xf>
    <xf numFmtId="0" fontId="35" fillId="0" borderId="6" applyAlignment="1" pivotButton="0" quotePrefix="0" xfId="0">
      <alignment vertical="top" wrapText="1"/>
    </xf>
    <xf numFmtId="0" fontId="28" fillId="28" borderId="6" applyAlignment="1" pivotButton="0" quotePrefix="0" xfId="0">
      <alignment vertical="center" wrapText="1"/>
    </xf>
    <xf numFmtId="0" fontId="34" fillId="33" borderId="1" applyAlignment="1" pivotButton="0" quotePrefix="0" xfId="0">
      <alignment horizontal="center" vertical="top"/>
    </xf>
    <xf numFmtId="0" fontId="34" fillId="27" borderId="1" applyAlignment="1" pivotButton="0" quotePrefix="0" xfId="0">
      <alignment horizontal="center" vertical="top"/>
    </xf>
    <xf numFmtId="0" fontId="35" fillId="38" borderId="6" applyAlignment="1" pivotButton="0" quotePrefix="0" xfId="0">
      <alignment vertical="top" wrapText="1"/>
    </xf>
    <xf numFmtId="0" fontId="44" fillId="34" borderId="1" applyAlignment="1" pivotButton="0" quotePrefix="0" xfId="0">
      <alignment horizontal="center" vertical="top" wrapText="1"/>
    </xf>
    <xf numFmtId="0" fontId="34" fillId="33" borderId="1" applyAlignment="1" pivotButton="0" quotePrefix="0" xfId="0">
      <alignment horizontal="center" vertical="top" wrapText="1"/>
    </xf>
    <xf numFmtId="0" fontId="34" fillId="27" borderId="1" applyAlignment="1" pivotButton="0" quotePrefix="0" xfId="0">
      <alignment horizontal="center"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fitToPage="1"/>
  </sheetPr>
  <dimension ref="A1:B56"/>
  <sheetViews>
    <sheetView showGridLines="0" workbookViewId="0">
      <pane ySplit="3" topLeftCell="A4" activePane="bottomLeft" state="frozen"/>
      <selection pane="bottomLeft" activeCell="A1" sqref="A1"/>
    </sheetView>
  </sheetViews>
  <sheetFormatPr baseColWidth="8" defaultRowHeight="15"/>
  <cols>
    <col width="30" customWidth="1" style="59" min="1" max="1"/>
    <col width="118" customWidth="1" style="59" min="2" max="2"/>
  </cols>
  <sheetData>
    <row r="1" ht="25.1" customHeight="1" s="59">
      <c r="A1" s="196" t="inlineStr">
        <is>
          <t>Instructions — how to use this workbook (single home for every instruction, legend and acronym)</t>
        </is>
      </c>
    </row>
    <row r="2" ht="45.2" customHeight="1" s="59">
      <c r="A2" s="175" t="inlineStr">
        <is>
          <t>Consolidated 2026-09-03; revised 2026-09-04 — call and visit agendas split into two tabs, 'Plan of Action' and 'Action Items' retired, people referred to by ROLE only. Nothing lives anywhere else.  ·  2026-09-28: the client's Durham origin and 140-220 lb live-weight parameters applied; the Beebop (ChatGPT) snapshot in the Beebop/ folder cross-checked and folded in as collaborator DATA, not instruction.</t>
        </is>
      </c>
    </row>
    <row r="3" ht="15" customHeight="1" s="59"/>
    <row r="4" ht="19.7" customHeight="1" s="59">
      <c r="A4" s="176" t="inlineStr">
        <is>
          <t>1 · WHAT THIS WORKBOOK IS</t>
        </is>
      </c>
      <c r="B4" s="172" t="n"/>
    </row>
    <row r="5" ht="58.6" customHeight="1" s="59">
      <c r="A5" s="160" t="inlineStr">
        <is>
          <t>Purpose</t>
        </is>
      </c>
      <c r="B5" s="154" t="inlineStr">
        <is>
          <t>The single working file for finding and onboarding porcine tissue-harvest partners: full research record + candidate ratings + the two outreach agendas. Built to be shared between the SUPPLIER ENGINEER and the PURCHASING MANAGER — the two roles this process names (no personal names in this workbook). Reviewers: section 10 is the dated change log (2026-09-30 b records the restructure); Sources &amp; Confidence holds provenance for every pass.</t>
        </is>
      </c>
    </row>
    <row r="6" ht="112.2" customHeight="1" s="59">
      <c r="A6" s="160" t="inlineStr">
        <is>
          <t>Tab map</t>
        </is>
      </c>
      <c r="B6" s="154" t="inlineStr">
        <is>
          <t>SUPPLIER ROSTER — the complete list in six priority sections: A in-radius candidates (tier → fit → distance) · B eligible but farther out (SC/TN/VA and NC beyond the radius; Model B-T only) · C current suppliers · D referral contacts · E national &amp; Midwest (anywhere) · F excluded / duplicate / history; column U gives each row a Priority ID · RATED CANDIDATES — A/B fit scores + tiers (pick your 3 here) · CALL QUESTIONNAIRE — stage 1 script + log · VISIT AGENDA — stage 2, run on site · CURRENT BASE — the five suppliers we work with today · ANATOMICAL SPEC — the per-block spec (weight target, sow decision, aorta) · TCO CALCULATOR / MODELS &amp; MAKE-VS-BUY — economics (incl. cost per ACCEPTED block) · NATIONAL DIRECT SUPPLIERS — buy-direct reference (anywhere) · SOURCES &amp; CONFIDENCE — provenance. Retired 2026-09-30 on the owner's direction: Overview &amp; Method, Meeting Notes 2026-08 (their decisions live in §3 and §6), APHIS &amp; EU Export (essentials in §6); all three survive in git history.</t>
        </is>
      </c>
    </row>
    <row r="7" ht="19.7" customHeight="1" s="59">
      <c r="A7" s="176" t="inlineStr">
        <is>
          <t>2 · THE PROCESS — FINDING AND ONBOARDING A SUPPLIER  (agreed 2026-09-03 · revised 2026-09-04)</t>
        </is>
      </c>
      <c r="B7" s="172" t="n"/>
    </row>
    <row r="8" ht="31.8" customHeight="1" s="59">
      <c r="A8" s="160" t="inlineStr">
        <is>
          <t>Step 1 — share &amp; pick</t>
        </is>
      </c>
      <c r="B8" s="154" t="inlineStr">
        <is>
          <t>The Supplier Engineer shares this workbook with the Purchasing Manager. EACH PICKS 3 candidates independently — use the Rated Candidates tiers and fit scores; the roster's '★ Why a candidate' column carries the case per plant.</t>
        </is>
      </c>
    </row>
    <row r="9" ht="18.4" customHeight="1" s="59">
      <c r="A9" s="160" t="inlineStr">
        <is>
          <t>Step 2 — meet &amp; agree</t>
        </is>
      </c>
      <c r="B9" s="154" t="inlineStr">
        <is>
          <t>Meet and discuss each pick — why it's good, which model it suits. Agree the outreach list before anyone is contacted.</t>
        </is>
      </c>
    </row>
    <row r="10" ht="45.2" customHeight="1" s="59">
      <c r="A10" s="160" t="inlineStr">
        <is>
          <t>Step 3 — the CALL</t>
        </is>
      </c>
      <c r="B10" s="154" t="inlineStr">
        <is>
          <t>The PURCHASING MANAGER reaches out to the agreed suppliers. Keep it simple — the call does NOT discuss our business model. Three questions decide it: (1) Are you a slaughterhouse? (2) How many pigs do you kill in a week? (3) Could you sell us the organs? Script + call log: the CALL QUESTIONNAIRE tab.</t>
        </is>
      </c>
    </row>
    <row r="11" ht="31.8" customHeight="1" s="59">
      <c r="A11" s="160" t="inlineStr">
        <is>
          <t>Step 4 — go / no-go</t>
        </is>
      </c>
      <c r="B11" s="154" t="inlineStr">
        <is>
          <t>The Purchasing Manager comes back with whether or not we VISIT each one. Decided together; the outcome is recorded on the call log and the supplier's roster row.</t>
        </is>
      </c>
    </row>
    <row r="12" ht="45.2" customHeight="1" s="59">
      <c r="A12" s="160" t="inlineStr">
        <is>
          <t>Step 5 — NDA → visit → onboard</t>
        </is>
      </c>
      <c r="B12" s="154" t="inlineStr">
        <is>
          <t>Sign the NDA FIRST (the harvesting protocol and spec are not shared without it), then visit and run the VISIT AGENDA tab on site: buy-from-them vs harvest-ourselves (Model B-T vs A), the eviscerator and line layout, space for the operation, how we pay, tissue / spec / personnel expectations and TRAINING. If qualified → initiate ONBOARDING: contract and freezers (cold-chain commitment).</t>
        </is>
      </c>
    </row>
    <row r="13" ht="18.4" customHeight="1" s="59">
      <c r="A13" s="160" t="inlineStr">
        <is>
          <t>Target</t>
        </is>
      </c>
      <c r="B13" s="154" t="inlineStr">
        <is>
          <t>First call to RELIABLE PRODUCT: ~9 MONTHS.</t>
        </is>
      </c>
    </row>
    <row r="14" ht="19.7" customHeight="1" s="59">
      <c r="A14" s="176" t="inlineStr">
        <is>
          <t>3 · WHAT WE LOOK FOR (the profile)</t>
        </is>
      </c>
      <c r="B14" s="172" t="n"/>
    </row>
    <row r="15" ht="45.2" customHeight="1" s="59">
      <c r="A15" s="160" t="inlineStr">
        <is>
          <t>The two working models</t>
        </is>
      </c>
      <c r="B15" s="154" t="inlineStr">
        <is>
          <t>MODEL A — our harvesting techs go to their floor and collect what's needed (how Nahunta, Martin's and Custom Quality Packers work today). MODEL B-T — their people harvest to our spec, with our training and periodic supervision (how Parks works today). Villari is the cautionary profile: volume without access — its tissue gate is HARD; leaf fat only, no organ planning through it.</t>
        </is>
      </c>
    </row>
    <row r="16" ht="98.8" customHeight="1" s="59">
      <c r="A16" s="160" t="inlineStr">
        <is>
          <t>Hard gates (pass/fail)</t>
        </is>
      </c>
      <c r="B16" s="154" t="inlineStr">
        <is>
          <t>G1 INSPECTION: USDA federal grant (M / Talmadge-Aiken) or NORTH CAROLINA state grant (P-number) = fully eligible — NC state is APHIS-accepted as equivalent for material WE harvest and assemble at ATM. SC/VA/TN state programmes are NOT accepted → domestic lane only. Custom-exempt = ineligible, full stop.  ·  G2 OPERATING: verified operating on primary data as of the date in the row.  ·  G3 SWINE: actually kills hogs per USDA species flags or state species code.  ·  G4 BOAR / STAG (client rule, 2026-09-28): plants whose FSIS species flags include boar/stag slaughter are AVOIDED — we do not want boars mixed with our hogs. Soft gate: the call can clear a plant if boars/stags are never run with our designated hogs (separate days or lines). State plants: the NCDA species code (C = swine) does not distinguish boars — ask. Note that two incumbents (Martin's, Villari) carry the flag; confirm current practice there.</t>
        </is>
      </c>
    </row>
    <row r="17" ht="85.40000000000001" customHeight="1" s="59">
      <c r="A17" s="160" t="inlineStr">
        <is>
          <t>Client parameters (restated 2026-09-28)</t>
        </is>
      </c>
      <c r="B17" s="154" t="inlineStr">
        <is>
          <t>From the client's 2026-09-28 ChatGPT brief (recorded in Beebop/README.md): ORIGIN = Durham — 101 City Hall Plaza is the placeholder; the actual crew departure point is still to be confirmed · RADIUS = 120 road miles · PREFERRED SCALE = 2,000-5,000 pigs/week — no new in-radius plant has killed at that scale in the last FSIS year (only Smithfield Clinton and Martin's approach it); a plant could scale up, so treat it as a preference, not a filter — the working strategy stays cat-2 clusters + the incumbents · LIVE WEIGHT ≈ 140-220 lb — sow-class plants (400+ lb) fall outside the spec unless the Anatomical Spec decision says otherwise; Piedmont's published 150 lb minimum fits.</t>
        </is>
      </c>
    </row>
    <row r="18" ht="19.7" customHeight="1" s="59">
      <c r="A18" s="176" t="inlineStr">
        <is>
          <t>4 · VOLUME BRACKETS  (client ranges, set 2026-09-03)</t>
        </is>
      </c>
      <c r="B18" s="172" t="n"/>
    </row>
    <row r="19" ht="31.8" customHeight="1" s="59">
      <c r="A19" s="160" t="inlineStr">
        <is>
          <t>The brackets</t>
        </is>
      </c>
      <c r="B19" s="154" t="inlineStr">
        <is>
          <t>0-300 · &gt;300-700 · 750-1,200 · 1,250-5,000 · &gt;5,000 hogs/week. These replace the earlier Small/Medium/Medium-High/High tiers everywhere. A figure that spans two brackets (e.g. Parks' stated 400-1,000) is shown as a span with 'confirm'.</t>
        </is>
      </c>
    </row>
    <row r="20" ht="85.40000000000001" customHeight="1" s="59">
      <c r="A20" s="160" t="inlineStr">
        <is>
          <t>How brackets are filled</t>
        </is>
      </c>
      <c r="B20" s="154" t="inlineStr">
        <is>
          <t>Company-stated figures first; otherwise USDA's slaughter_volume_category band ceiling (cat 1 &lt;19/wk and cat 2 19-194/wk both land in 0-300; cat 3 = 194-1,944 spans brackets → 'confirm'; cat 4 ≥1,944). A bracket from a band is a CEILING to confirm on the call, not a measurement. State plants publish no volumes at all → 'confirm'. A band is a HISTORICAL aggregate over the prior 360 days (all species): it bounds what the plant DID kill, not what it could — weekly figures are ×7/360 (cat 1 &lt;19 · cat 2 ≈19-194 · cat 3 ≈194-1,944 · cat 4 ≥1,944; the March-2026 FSIS notice cited by Beebop also defines a category 5 at 10,000,000+, irrelevant here). Corrected 2026-09-28 from the earlier ÷365 figures (192 / 1,917).</t>
        </is>
      </c>
    </row>
    <row r="21" ht="152.4" customHeight="1" s="59">
      <c r="A21" s="160" t="inlineStr">
        <is>
          <t>Inferring hogs/week (2026-09-28)</t>
        </is>
      </c>
      <c r="B21" s="154" t="inlineStr">
        <is>
          <t>No public source states a plant's weekly hog kill. The inference ladder, best to worst: 1) COMPANY-STATED figures (meeting, website, call). 2) FEDERAL plants: the FSIS slaughter band (all species) × the species flags × HACCP size — cat 3 + 'Small' + hog-dominant flags is the Martin's signature (only Martin's, Parks and Custom Quality Packers carry it in NC); cat 3 + 'Very Small' + a poultry grant means the band is mostly birds. 3) NASS 'Livestock Slaughter 2025 Summary' state totals as HARD CAPS: Virginia's 16 federal plants killed 7,841 hogs in 2025, South Carolina's 8 killed 14,070 — so no VA or SC plant can be Martin's-scale; North Carolina's totals are withheld (D) because Smithfield dominates. 4) NC STATE plants: no figure exists anywhere (NASS withholds NC; NCDA publishes none) — infer by business type: hog-only packer/sausage maker (Nahunta-type, 100-500+/wk) vs multi-species custom/retail (typically 10-100/wk). 5) DEFINITIVE routes: an FSIS FOIA for per-establishment slaughter by species (PHIS data; 1-2 months), an NCDA&amp;CS MPID ask for state plants (referral lane), and call question 2. Only cat-3/4 hog-dominant plants can be Martin's-size, and within reach those are the incumbents and Smithfield; the nearest others are in Tennessee (Wampler's, Underground Slaughter, P3 Custom Meats — 300+ miles, Model B-T only).</t>
        </is>
      </c>
    </row>
    <row r="22" ht="19.7" customHeight="1" s="59">
      <c r="A22" s="176" t="inlineStr">
        <is>
          <t>5 · CANDIDATE SCORING  (Rated Candidates tab)</t>
        </is>
      </c>
      <c r="B22" s="172" t="n"/>
    </row>
    <row r="23" ht="98.8" customHeight="1" s="59">
      <c r="A23" s="160" t="inlineStr">
        <is>
          <t>The 8 sub-scores (0-5)</t>
        </is>
      </c>
      <c r="B23" s="154" t="inlineStr">
        <is>
          <t>PROX proximity — road miles from the DURHAM origin (5 ≤60 · 4 ≤120 · 2 ≤160 · 1 beyond; boundary cases within ±5 mi of 120 scored 4 pending the confirmed origin) · ACCESS how hostable the floor is for OUR techs · CREW their crew's ability to harvest to spec under our training · ANAT anatomy match against the 140-220 lb live-weight target (5 market/light hogs · 4 market flag, confirm a lighter pull · 3 mixed or unknown class · 1 sow-only, 400+ lb; CAPPED AT 2 where boar/stag slaughter is flagged — gate G4) · VOL volume standing (5 = federal band cat 3+ · 3 = cat 2 · 1 = cat 1/unknown-small — kept on USDA bands so it stays source-verifiable) · WELF welfare &amp; enforcement (5 clean · 3 historic-resolved · 1 repeat/recent) · EXPORT path (5 = federal or NC state · 2 = domestic-only) · RELN approachability (named decision-maker, family culture, warm path in).</t>
        </is>
      </c>
    </row>
    <row r="24" ht="31.8" customHeight="1" s="59">
      <c r="A24" s="160" t="inlineStr">
        <is>
          <t>A-FIT (our techs go there)</t>
        </is>
      </c>
      <c r="B24" s="154" t="inlineStr">
        <is>
          <t>Weighted: PROX 25% · ACCESS 30% · ANAT 15% · VOL 10% · WELF 10% · EXPORT 5% · RELN 5%. Distance and floor access dominate — our crew travels weekly. CREW counts 0%.</t>
        </is>
      </c>
    </row>
    <row r="25" ht="31.8" customHeight="1" s="59">
      <c r="A25" s="160" t="inlineStr">
        <is>
          <t>B-FIT (their crew, our training)</t>
        </is>
      </c>
      <c r="B25" s="154" t="inlineStr">
        <is>
          <t>Weighted: CREW 30% · ANAT 15% · VOL 15% · WELF 15% · PROX 10% · RELN 10% · EXPORT 5%. Capability and trust dominate; distance fades (periodic supervision). ACCESS counts 0%.</t>
        </is>
      </c>
    </row>
    <row r="26" ht="31.8" customHeight="1" s="59">
      <c r="A26" s="160" t="inlineStr">
        <is>
          <t>Tiers</t>
        </is>
      </c>
      <c r="B26" s="154" t="inlineStr">
        <is>
          <t>1 = CALL FIRST · 2 = CALL (with a specific gate) · 3 = PARK (viable, not now) · X = OUT (fails a gate or adds nothing). Both fit scores are live formulas — edit a yellow weight cell or a sub-score and they recompute in Excel.</t>
        </is>
      </c>
    </row>
    <row r="27" ht="19.7" customHeight="1" s="59">
      <c r="A27" s="176" t="inlineStr">
        <is>
          <t>6 · LEGEND — every code used in this workbook</t>
        </is>
      </c>
      <c r="B27" s="172" t="n"/>
    </row>
    <row r="28" ht="58.6" customHeight="1" s="59">
      <c r="A28" s="160" t="inlineStr">
        <is>
          <t>Fit column codes</t>
        </is>
      </c>
      <c r="B28" s="154" t="inlineStr">
        <is>
          <t>★ CURRENT SUPPLIER (blue) = one of the five we work with today · STRONG FIT = prioritize outreach · POSSIBLE = worth a call · CAUTION = material mismatch, temper expectations · WATCH = not usable yet, track it · OUT / FLAG = fails a hard criterion · DUPLICATE = same establishment listed twice from different directories · REFERENCE = benchmark row · ★★ PRIORITY CONTACT = client-flagged collector interview (SPL, DeWied). · REFERRAL (light blue) = network / referral contact, not a plant — introductions and intel only.</t>
        </is>
      </c>
    </row>
    <row r="29" ht="98.8" customHeight="1" s="59">
      <c r="A29" s="160" t="inlineStr">
        <is>
          <t>Distance column</t>
        </is>
      </c>
      <c r="B29" s="154" t="inlineStr">
        <is>
          <t>'YES/NO · ~nn mi' = real ROAD miles from the DURHAM origin (101 City Hall Plaza placeholder; OSRM driving routes, not straight-line) — the figure from the study's earlier Pikeville anchor is kept underneath in parentheses. '≈' = geocoded at city level (±5 mi); no mark = exact street address. YES = inside the 120-mile Model A radius; 'borderline' = 110-130. 'n/m' = not measured (multi-site, out of region, or not a plant). NOTE (Beebop v2.1): the ChatGPT brief reads '120 miles' as a RADIUS (straight-line) with road miles as logistics only — under that reading EcoFriendly (92.6 radial) is inside. This workbook keeps ROAD miles as the Model A screen because the crew drives it; radial figures are shown where Beebop supplied them. For Model B-T candidates distance is a sub-score, not a gate.</t>
        </is>
      </c>
    </row>
    <row r="30" ht="72" customHeight="1" s="59">
      <c r="A30" s="160" t="inlineStr">
        <is>
          <t>Inspection column codes</t>
        </is>
      </c>
      <c r="B30" s="154" t="inlineStr">
        <is>
          <t>USDA ✓ Mnnnnn = federal grant of inspection (M = meat; +P = poultry; +V = voluntary/non-amenable; +G = egg). T-A / TA-nnnn = Talmadge-Aiken: FEDERAL inspection delivered by state inspectors — interstate- and export-eligible (same establishment can appear as M-number in FSIS files and TA-number in the NCDA&amp;CS directory). STATE ✓ P-nn = North Carolina state grant — intrastate sale; APHIS-accepted equivalent for OUR harvest path (only NC). CUSTOM-EXEMPT = no continuous inspection, no resale — ineligible. '⚠ NOT FOUND' = number not in any current directory.</t>
        </is>
      </c>
    </row>
    <row r="31" ht="58.6" customHeight="1" s="59">
      <c r="A31" s="160" t="inlineStr">
        <is>
          <t>Animal class column</t>
        </is>
      </c>
      <c r="B31" s="154" t="inlineStr">
        <is>
          <t>USDA's own species flags: MARKET = market-weight butcher hogs (~230-290 lb — the standard for most blocks) · SOW = cull breeding females (mature anatomy; internal spec decision pending) · ROASTER = juvenile pigs · BOAR/STAG = intact/castrated males — '⚠ BOAR/STAG flagged' marks plants the client avoids (gate G4) · 'NO SWINE FLAGS' = hog slaughter unsupported by the primary data — confirm species before calling.</t>
        </is>
      </c>
    </row>
    <row r="32" ht="45.2" customHeight="1" s="59">
      <c r="A32" s="160" t="inlineStr">
        <is>
          <t>Enforcement wording</t>
        </is>
      </c>
      <c r="B32" s="154" t="inlineStr">
        <is>
          <t>'None found' = a NARROW negative — the reports checked list suspensions/NOIEs/withholdings only, not routine noncompliance records (the FOIA closes that gap). State-inspected plants sit OUTSIDE federal reporting entirely: their welfare is a SITE-VISIT finding. A named action with dates = verified from the FSIS letter or QER itself.</t>
        </is>
      </c>
    </row>
    <row r="33" ht="45.2" customHeight="1" s="59">
      <c r="A33" s="160" t="inlineStr">
        <is>
          <t>Colour conventions</t>
        </is>
      </c>
      <c r="B33" s="154" t="inlineStr">
        <is>
          <t>YELLOW cells = yours to fill in (call log, visit answers, outcomes, score weights, decisions). Blue row-heads = current suppliers/anchors. Volume-bracket colours run light-green (0-300) → green (300-700) → amber (750-1,200) → orange (1,250-5,000) → red-orange (5,000+); grey = confirm/n-a.</t>
        </is>
      </c>
    </row>
    <row r="34" ht="45.2" customHeight="1" s="59">
      <c r="A34" s="160" t="inlineStr">
        <is>
          <t>The two export paths</t>
        </is>
      </c>
      <c r="B34" s="154" t="inlineStr">
        <is>
          <t>PATH 1 — WE HARVEST at a plant: the plant needs only USDA/FSIS inspection or NC state inspection; the model is assembled at ATM and that carries the export. PATH 2 — DIRECT TISSUE SUPPLIER ships us finished blocks: APHIS certification IS required of them. (Settled in the 2026-08 meeting; only NC state inspection carries the APHIS equivalence.)</t>
        </is>
      </c>
    </row>
    <row r="35" ht="112.2" customHeight="1" s="59">
      <c r="A35" s="160" t="inlineStr">
        <is>
          <t>Export essentials (folded from the retired APHIS &amp; EU Export tab)</t>
        </is>
      </c>
      <c r="B35" s="154" t="inlineStr">
        <is>
          <t>EU material must qualify as ANIMAL BY-PRODUCT CATEGORY 3 (Reg. EC 1069/2009 / 142/2011): slaughtered under ante- and post-mortem inspection — a USDA/FSIS grant or the NC state programme satisfies this on Path 1; custom-exempt never does. APHIS Veterinary Services endorses the export health certificate PER SHIPMENT for the specific product, site and destination — there is no general 'APHIS-approved plant' list to check; ask APHIS VS for the destination's requirements. An APHIS Animal Welfare Act licence is NOT an export credential. A vendor's export statement (e.g. TissueSource, LAMPIRE) is a COMPANY CLAIM until documented for our product. Medical-device angle: EU MDR 2017/745 + ISO 22442 govern animal-tissue devices — traceability to the inspected establishment is what the file must show. How to check a plant yourself: FSIS MPI Directory (grant + activities), FSIS Establishment Demographic Data (species flags, bands), NCDA&amp;CS directories (state grants).</t>
        </is>
      </c>
    </row>
    <row r="36" ht="19.7" customHeight="1" s="59">
      <c r="A36" s="176" t="inlineStr">
        <is>
          <t>7 · ACRONYM GLOSSARY</t>
        </is>
      </c>
      <c r="B36" s="172" t="n"/>
    </row>
    <row r="37" ht="98.8" customHeight="1" s="59">
      <c r="A37" s="160" t="inlineStr">
        <is>
          <t>Inspection &amp; agencies</t>
        </is>
      </c>
      <c r="B37" s="154" t="inlineStr">
        <is>
          <t>USDA = U.S. Department of Agriculture · FSIS = Food Safety and Inspection Service (USDA's meat-inspection arm; runs the federal grants) · APHIS = Animal and Plant Health Inspection Service (USDA's animal-health arm; certifies animal-by-product EXPORTS) · VS = APHIS Veterinary Services · NCDA&amp;CS = North Carolina Dept. of Agriculture &amp; Consumer Services (runs the NC state programme) · MPI / MPID = Meat &amp; Poultry Inspection (Division/Directory) · T-A / TA = Talmadge-Aiken (federal inspection via state staff) · SCMPID = South Carolina Meat-Poultry Inspection Dept. · VDACS = Virginia Dept. of Agriculture &amp; Consumer Services · EPA / OSHA = federal environmental / workplace-safety agencies · SIS number = the establishment number on the USDA inspection stamp (what to read off a carcass stamp on a visit).</t>
        </is>
      </c>
    </row>
    <row r="38" ht="85.40000000000001" customHeight="1" s="59">
      <c r="A38" s="160" t="inlineStr">
        <is>
          <t>Enforcement &amp; records</t>
        </is>
      </c>
      <c r="B38" s="154" t="inlineStr">
        <is>
          <t>QER = FSIS Quarterly Enforcement Report · NR = Noncompliance Record (routine; not in QERs) · NOIE = Notice of Intended Enforcement · NOS = Notice of Suspension · NOSHA / 'abeyance' = suspension held in abeyance (paused after corrective action) · INH = inhumane-handling basis code · HMSA = Humane Methods of Slaughter Act · 9 CFR = the federal regulation title covering it · FOIA = Freedom of Information Act request · AWA = (careful, two meanings) Animal Welfare Act — APHIS licence classes A/B/C/R for dealers/researchers, NOT an export listing — and 'Animal Welfare Approved' (A Greener World), a private welfare certification. Context tells you which; the roster spells out both.</t>
        </is>
      </c>
    </row>
    <row r="39" ht="58.6" customHeight="1" s="59">
      <c r="A39" s="160" t="inlineStr">
        <is>
          <t>Volume &amp; data</t>
        </is>
      </c>
      <c r="B39" s="154" t="inlineStr">
        <is>
          <t>cat 1-4 = FSIS slaughter_volume_category: banded head over the prior 360 days, ALL species — a historical aggregate, not capacity (1 &lt;19/wk · 2 19-194 · 3 194-1,944 · 4 ≥1,944) · EMI = EMI Analytics (industry capacity census; secondary source) · OSRM = Open Source Routing Machine (road-mileage routing used for distances) · FB = Facebook. NOTE: FSIS 'cat 3' (volume) is unrelated to EU 'Category 3' (by-products) — see below.</t>
        </is>
      </c>
    </row>
    <row r="40" ht="58.6" customHeight="1" s="59">
      <c r="A40" s="160" t="inlineStr">
        <is>
          <t>Export &amp; quality</t>
        </is>
      </c>
      <c r="B40" s="154" t="inlineStr">
        <is>
          <t>EU = European Union · ABP = animal by-product · EU Category 3 (Reg. EC 1069/2009) = the by-product class our material must qualify as — requires slaughter under ante-/post-mortem inspection · TRACES = the EU's trade-control platform listing approved establishments · MDR = EU Medical Device Regulation 2017/745 · ISO 22442 / 13485 = animal-tissue-device and quality-management standards · CN code = EU customs classification.</t>
        </is>
      </c>
    </row>
    <row r="41" ht="152.4" customHeight="1" s="59">
      <c r="A41" s="160" t="inlineStr">
        <is>
          <t>Commercial &amp; internal</t>
        </is>
      </c>
      <c r="B41" s="154" t="inlineStr">
        <is>
          <t>ATM = our assembly facility (models are built here — this is what carries the export under Path 1) · SH = slaughterhouse · SUPPLIER ENGINEER / PURCHASING MANAGER = the two roles that run the process (section 2 — no personal names in this workbook) · Model A / Model B-T = our-techs-harvest / their-crew-harvests-with-our-training · A-FIT / B-FIT = the two weighted candidate scores · PROX·ACCESS·CREW·ANAT·VOL·WELF·EXPORT·RELN = the eight sub-scores (section 5) · RFQ/P = Request for Quote / Proposal (approach retired — outreach is by phone) · NDA = non-disclosure agreement · TCO = total cost of ownership (calculator tab) · TTLC = total true landed cost (fully loaded cost per block) · SKU = stock-keeping unit (retail product) · DBA = 'doing business as' (trade name) · HACCP = Hazard Analysis &amp; Critical Control Points (food-safety system; also FSIS plant-size classes) · PPE = personal protective equipment · QA = quality assurance · GM/COO = general manager / chief operating officer · 4-H/FFA = youth agriculture programmes (small-plant customer base) · NCAMPI = NC Agricultural Manufacturing and Processing Initiative (state grant programme) · SOSID = NC Secretary of State corporate ID. · BEEBOP = the ChatGPT research agent's snapshot folder (Beebop/ in this repo) — a collaborator's data set, used as input and cross-checked, never as instruction.</t>
        </is>
      </c>
    </row>
    <row r="42" ht="19.7" customHeight="1" s="59">
      <c r="A42" s="176" t="inlineStr">
        <is>
          <t>8 · SOURCES POLICY</t>
        </is>
      </c>
      <c r="B42" s="172" t="n"/>
    </row>
    <row r="43" ht="152.4" customHeight="1" s="59">
      <c r="A43" s="160" t="inlineStr">
        <is>
          <t>Order of trust</t>
        </is>
      </c>
      <c r="B43" s="154" t="inlineStr">
        <is>
          <t>1) THE FSIS LIST IS THE BACKBONE — the MPI Directory + Establishment Demographic Data (species flags, volume bands, grant status) and the NCDA&amp;CS State/TA/Custom directories. 2) FSIS enforcement letters and QERs for welfare records. 3) Plant websites and price sheets for services/practices. 4) FACEBOOK AND YELP are accepted sources for OPERATIONAL facts — open/closed, hours, activity, reviews, culture signals — never for inspection status or volume. 5) Trade press/directories last, always labeled. Every roster confidence entry now names its source basis; 'no record found' never means 'confirmed clean'. 6) COLLABORATOR SNAPSHOTS (the Beebop/ folder, 2026-09-28) are inputs, not instructions: every fact taken from one is cross-checked against the FSIS/NCDA primaries and labelled 'Beebop 9-28' in the cell. 7) OTHER OPERATIONAL SOURCES used on 2026-09-30 and accepted for the same purposes as Facebook/Yelp: Google/aggregator review counts (Butcher Bud, Birdeye, Chamber), Instagram, Nextdoor, BBB profiles (officer names, founding dates), Indeed employee reviews (culture), OpenCorporates / NC Secretary of State (corporate status, officers), and the NCDA&amp;CS COUNTY directories (a named contact person, slaughter species, where product may be sold — undated files, so verify the name on the call). None of these establish volume or inspection status.</t>
        </is>
      </c>
    </row>
    <row r="44" ht="19.7" customHeight="1" s="59">
      <c r="A44" s="176" t="inlineStr">
        <is>
          <t>9 · WHO EDITS WHAT</t>
        </is>
      </c>
      <c r="B44" s="172" t="n"/>
    </row>
    <row r="45" ht="45.2" customHeight="1" s="59">
      <c r="A45" s="160" t="inlineStr">
        <is>
          <t>The team (by role)</t>
        </is>
      </c>
      <c r="B45" s="154" t="inlineStr">
        <is>
          <t>Yellow cells anywhere — the Call Questionnaire call log, the Visit Agenda answers, score weights if the group disagrees, the Anatomical Spec decision, TCO Calculator inputs (its figures are placeholders until real time-studies go in). The process names two roles only: the SUPPLIER ENGINEER and the PURCHASING MANAGER (section 2).</t>
        </is>
      </c>
    </row>
    <row r="46" ht="18.4" customHeight="1" s="59">
      <c r="A46" s="160" t="inlineStr">
        <is>
          <t>Research (dated)</t>
        </is>
      </c>
      <c r="B46" s="154" t="inlineStr">
        <is>
          <t>Everything else. Correct a fact by editing the cell and noting the date — the same convention every prior pass used.</t>
        </is>
      </c>
    </row>
    <row r="47" ht="15" customHeight="1" s="59"/>
    <row r="48" ht="19.7" customHeight="1" s="59">
      <c r="A48" s="203" t="inlineStr">
        <is>
          <t>10 · CHANGE LOG  (what moved and why — for reviewers)</t>
        </is>
      </c>
      <c r="B48" s="172" t="n"/>
    </row>
    <row r="49" ht="45.2" customHeight="1" s="59">
      <c r="A49" s="204" t="inlineStr">
        <is>
          <t>2026-09-03</t>
        </is>
      </c>
      <c r="B49" s="205" t="inlineStr">
        <is>
          <t>Artifacts reconciled into one workbook; fresh FSIS pull (Q3 FY2026 QER clean for the whole shortlist; Bass Farms band 1 → 2); SC finds (Williamsburg, Hemingway); client corrections (Villari tissue gate hard; Parks = Model B-T); client volume brackets and Instructions tab adopted.</t>
        </is>
      </c>
    </row>
    <row r="50" ht="31.8" customHeight="1" s="59">
      <c r="A50" s="204" t="inlineStr">
        <is>
          <t>2026-09-04</t>
        </is>
      </c>
      <c r="B50" s="205" t="inlineStr">
        <is>
          <t>Call and visit agendas split into two tabs; roles only (Supplier Engineer / Purchasing Manager); five-step process; Plan of Action and Action Items retired.</t>
        </is>
      </c>
    </row>
    <row r="51" ht="45.2" customHeight="1" s="59">
      <c r="A51" s="204" t="inlineStr">
        <is>
          <t>2026-09-28 a</t>
        </is>
      </c>
      <c r="B51" s="205" t="inlineStr">
        <is>
          <t>Beebop (ChatGPT) snapshot folded in as collaborator DATA: distances re-anchored to the client's Durham origin (Pikeville kept in parentheses); 140-220 lb live-weight target applied (sow-only plants ANAT 1); referral lane added; Neese found FSIS-inactive; Cool Springs and Quaqua promoted from roll-ups; EcoFriendly entered the radius.</t>
        </is>
      </c>
    </row>
    <row r="52" ht="31.8" customHeight="1" s="59">
      <c r="A52" s="204" t="inlineStr">
        <is>
          <t>2026-09-28 b</t>
        </is>
      </c>
      <c r="B52" s="205" t="inlineStr">
        <is>
          <t>Beebop round 2 verified: band arithmetic ×7/360 (194 / 1,944); exact-address boundary distances; Farmington + three VA plants added (all cat 1); Godwin/Piedmont/Nahunta over-claims softened; Neese kept OUT with a Q4 recheck.</t>
        </is>
      </c>
    </row>
    <row r="53" ht="31.8" customHeight="1" s="59">
      <c r="A53" s="204" t="inlineStr">
        <is>
          <t>2026-09-28 c</t>
        </is>
      </c>
      <c r="B53" s="205" t="inlineStr">
        <is>
          <t>Volume inference ladder added; NASS 2025 state totals used as caps (VA 7,841 / SC 14,070 federal hogs per year) — EcoFriendly and Williamsburg cat-3 bands shown to be all-species; HACCP size shown on federal rows; NC state rows classed by business type.</t>
        </is>
      </c>
    </row>
    <row r="54" ht="45.2" customHeight="1" s="59">
      <c r="A54" s="204" t="inlineStr">
        <is>
          <t>2026-09-28 d</t>
        </is>
      </c>
      <c r="B54" s="205" t="inlineStr">
        <is>
          <t>Beebop v2.1 converged with this tab's order; EcoFriendly briefly Tier 2 as a B-T call. Then the client's BOAR/STAG rule (gate G4): flagged plants capped at ANAT 2 — Piedmont 1 → 2, Flowers 2, EcoFriendly 3; Select Meats (market-only flags) 2 → 1; state plants 'ask'.</t>
        </is>
      </c>
    </row>
    <row r="55" ht="58.6" customHeight="1" s="59">
      <c r="A55" s="204" t="inlineStr">
        <is>
          <t>2026-09-30</t>
        </is>
      </c>
      <c r="B55" s="205" t="inlineStr">
        <is>
          <t>Social &amp; other-sources pass: contact names from the NCDA county directories; McLamb's under Lee-family ownership since ~2018 (RELN 5); McLaughlin's 2026 leadership change (downgraded to an unverified signal in 9-30 b); Cool Springs since 1971 (corrected to 1976 in 9-30 b); EcoFriendly 'CLOSED' listing; Acre Station buys its own hogs; Caldwell's review caution; stale Pikeville-era phrases and 'FSIS unreachable' welfare cells corrected; Current Base distances updated to Durham.</t>
        </is>
      </c>
    </row>
    <row r="56" ht="98.8" customHeight="1" s="59">
      <c r="A56" s="204" t="inlineStr">
        <is>
          <t>2026-09-30 b</t>
        </is>
      </c>
      <c r="B56" s="205" t="inlineStr">
        <is>
          <t>Owner direction + Beebop instruction 23: three context tabs retired (export essentials folded into §6); change-register Part A facts applied (Gilbert Key d. 2026-04-06; Piedmont cut sheet disproves the 'viscera discarded' inference and J9 now cites M7975; TissueSource/LAMPIRE export statements recorded as company claims; Cool Springs 1976; McLaughlin's note repaired and its leadership-change signal downgraded to unverified; McLamb's ownership labelled as an interview claim; EcoFriendly status DISPUTED) and Part B repairs (TCO prose-as-formula cells, 'n/a' at zero production, cost-per-ACCEPTED-block block; full filters; western trio split; Anatomical Spec weight/sow/aorta fields, B28 and B31 wording; stunning ask removed). The roster was rebuilt into six priority sections with Priority IDs; duplicate rows marked. Part C scoring treatment and Part D decisions remain OPEN for the owner.</t>
        </is>
      </c>
    </row>
  </sheetData>
  <mergeCells count="12">
    <mergeCell ref="A4:B4"/>
    <mergeCell ref="A48:B48"/>
    <mergeCell ref="A2:B2"/>
    <mergeCell ref="A7:B7"/>
    <mergeCell ref="A42:B42"/>
    <mergeCell ref="A36:B36"/>
    <mergeCell ref="A14:B14"/>
    <mergeCell ref="A44:B44"/>
    <mergeCell ref="A1:B1"/>
    <mergeCell ref="A18:B18"/>
    <mergeCell ref="A27:B27"/>
    <mergeCell ref="A22:B22"/>
  </mergeCells>
  <pageMargins left="0.75" right="0.75" top="1" bottom="1" header="0.5" footer="0.5"/>
  <pageSetup orientation="landscape" fitToHeight="0" fitToWidth="1"/>
</worksheet>
</file>

<file path=xl/worksheets/sheet2.xml><?xml version="1.0" encoding="utf-8"?>
<worksheet xmlns="http://schemas.openxmlformats.org/spreadsheetml/2006/main">
  <sheetPr>
    <tabColor rgb="00375623"/>
    <outlinePr summaryBelow="1" summaryRight="1"/>
    <pageSetUpPr fitToPage="1"/>
  </sheetPr>
  <dimension ref="A1:F7"/>
  <sheetViews>
    <sheetView showGridLines="0" workbookViewId="0">
      <pane ySplit="2" topLeftCell="A3" activePane="bottomLeft" state="frozen"/>
      <selection pane="bottomLeft" activeCell="A1" sqref="A1"/>
    </sheetView>
  </sheetViews>
  <sheetFormatPr baseColWidth="8" defaultRowHeight="15"/>
  <cols>
    <col width="26" customWidth="1" style="59" min="1" max="1"/>
    <col width="22" customWidth="1" style="59" min="2" max="2"/>
    <col width="26" customWidth="1" style="59" min="3" max="3"/>
    <col width="44" customWidth="1" style="59" min="4" max="4"/>
    <col width="44" customWidth="1" style="59" min="5" max="5"/>
    <col width="40" customWidth="1" style="59" min="6" max="6"/>
  </cols>
  <sheetData>
    <row r="1" ht="19.7" customHeight="1" s="59">
      <c r="A1" s="150" t="inlineStr">
        <is>
          <t>THE CURRENT BASE — the working profiles every candidate is measured against (client ground truth 2026-09-03 + verified research)</t>
        </is>
      </c>
      <c r="B1" s="171" t="n"/>
      <c r="C1" s="171" t="n"/>
      <c r="D1" s="171" t="n"/>
      <c r="E1" s="171" t="n"/>
      <c r="F1" s="172" t="n"/>
    </row>
    <row r="2" ht="18.4" customHeight="1" s="59">
      <c r="A2" s="152" t="inlineStr">
        <is>
          <t>Supplier</t>
        </is>
      </c>
      <c r="B2" s="152" t="inlineStr">
        <is>
          <t>Operating model TODAY</t>
        </is>
      </c>
      <c r="C2" s="152" t="inlineStr">
        <is>
          <t>Scale &amp; class</t>
        </is>
      </c>
      <c r="D2" s="152" t="inlineStr">
        <is>
          <t>What works (the pattern to replicate)</t>
        </is>
      </c>
      <c r="E2" s="152" t="inlineStr">
        <is>
          <t>What limits it (the gap candidates must fill)</t>
        </is>
      </c>
      <c r="F2" s="152" t="inlineStr">
        <is>
          <t>Keep-warm actions</t>
        </is>
      </c>
    </row>
    <row r="3" ht="72" customHeight="1" s="59">
      <c r="A3" s="153" t="inlineStr">
        <is>
          <t>NAHUNTA
Pikeville · NC state P-80A · ~72 mi from Durham (0 from the old Pikeville anchor)
nahuntapork.com</t>
        </is>
      </c>
      <c r="B3" s="154" t="inlineStr">
        <is>
          <t>MODEL A — our techs harvest on-site</t>
        </is>
      </c>
      <c r="C3" s="154" t="inlineStr">
        <is>
          <t>~150/day claimed peak; state-inspected swine-only kill floor</t>
        </is>
      </c>
      <c r="D3" s="154" t="inlineStr">
        <is>
          <t>The template: relationship-first family plant, whole-animal culture, published specimen pathway, most target organs have no competing retail SKU. Quality benchmark.</t>
        </is>
      </c>
      <c r="E3" s="154" t="inlineStr">
        <is>
          <t>Volume ceiling (~a tenth of Villari); Q4 retail squeeze; key-person concentration (GM Brandon Pierce).</t>
        </is>
      </c>
      <c r="F3" s="154" t="inlineStr">
        <is>
          <t>Standing annual specimen permit; fixed weekly harvest days; check in after the Nov 2026 sheriff election.</t>
        </is>
      </c>
    </row>
    <row r="4" ht="72" customHeight="1" s="59">
      <c r="A4" s="153" t="inlineStr">
        <is>
          <t>MARTIN'S PORK PRODUCTS
Falcon · M6720 (T-A) · ~74 mi from Durham (45 from Pikeville)
(no working website)</t>
        </is>
      </c>
      <c r="B4" s="154" t="inlineStr">
        <is>
          <t>MODEL A — our techs harvest on-site</t>
        </is>
      </c>
      <c r="C4" s="154" t="inlineStr">
        <is>
          <t>Cat 3 (194-1,944/wk band); market hogs + boar/stag</t>
        </is>
      </c>
      <c r="D4" s="154" t="inlineStr">
        <is>
          <t>The volume anchor: highest-capacity floor we can access; clean on every checkable record (QERs through Jun 2026, OSHA); invested in its site (2021 land purchases).</t>
        </is>
      </c>
      <c r="E4" s="154" t="inlineStr">
        <is>
          <t>DIFFICULT to work with — relational, not regulatory; cat-3 ceiling ~1,944/wk; irreplaceable (all three NC/SC/VA cat-3 market-hog floors are already ours).</t>
        </is>
      </c>
      <c r="F4" s="154" t="inlineStr">
        <is>
          <t>Economics-first reset with President Beth Holmes; consider funding a harvest bay for a multi-year floor-access agreement.</t>
        </is>
      </c>
    </row>
    <row r="5" ht="85.40000000000001" customHeight="1" s="59">
      <c r="A5" s="153" t="inlineStr">
        <is>
          <t>CUSTOM QUALITY PACKERS
Sims · M20129 (T-A) · ~60 mi from Durham (45 from Pikeville) · contact Barrett Twitty
deanstreetprocessing.com (sister co.)</t>
        </is>
      </c>
      <c r="B5" s="154" t="inlineStr">
        <is>
          <t>MODEL A — our techs harvest on-site</t>
        </is>
      </c>
      <c r="C5" s="154" t="inlineStr">
        <is>
          <t>Cat 3 band, ~500/wk stated; market + roaster; hog-only</t>
        </is>
      </c>
      <c r="D5" s="154" t="inlineStr">
        <is>
          <t>Proof Model A works at a small custom plant; owner Barrett Twitty can contract-raise hogs to our spec (Nash Pigg Farms) — birth-to-harvest traceability.</t>
        </is>
      </c>
      <c r="E5" s="154" t="inlineStr">
        <is>
          <t>Space-constrained building (owner's own words); captive competing demand; 2018-2020 humane-handling history (clean FY24-FY26Q3) — audit before scaling.</t>
        </is>
      </c>
      <c r="F5" s="154" t="inlineStr">
        <is>
          <t>Buy a dedicated client kill day (+100-300/wk est.); complete the NR FOIA + welfare audit.</t>
        </is>
      </c>
    </row>
    <row r="6" ht="72" customHeight="1" s="59">
      <c r="A6" s="153" t="inlineStr">
        <is>
          <t>PARKS FAMILY MEATS
Warsaw · M18296A (T-A) · ~97 mi from Durham (45 from Pikeville)
parkslivestock.com</t>
        </is>
      </c>
      <c r="B6" s="154" t="inlineStr">
        <is>
          <t>MODEL B-T — THEIR people harvest, trained by US</t>
        </is>
      </c>
      <c r="C6" s="154" t="inlineStr">
        <is>
          <t>Cat 3 band; slaughter-only floor; market + roaster; stated 400/day capacity</t>
        </is>
      </c>
      <c r="D6" s="154" t="inlineStr">
        <is>
          <t>The B-template: their crew harvests under our training — proves the supervised-harvest model works. Parent (The Parks Companies, 29 facilities/11 states) can source hogs to spec and truck them in.</t>
        </is>
      </c>
      <c r="E6" s="154" t="inlineStr">
        <is>
          <t>Small lots at spot pricing ('a bit expensive'); roaster-focused week; plant priorities sit under a big livestock-marketing parent.</t>
        </is>
      </c>
      <c r="F6" s="154" t="inlineStr">
        <is>
          <t>Ask COO Kevin Krum for program pricing on a committed market-hog window; use the parent as a procurement arm.</t>
        </is>
      </c>
    </row>
    <row r="7" ht="72" customHeight="1" s="59">
      <c r="A7" s="153" t="inlineStr">
        <is>
          <t>VILLARI / THE PORK CO.
Warsaw · M20608 · ~96 mi from Durham (45 from Pikeville)
villarifood.com</t>
        </is>
      </c>
      <c r="B7" s="154" t="inlineStr">
        <is>
          <t>LEAF FAT ONLY — HARD GATE on tissue harvest</t>
        </is>
      </c>
      <c r="C7" s="154" t="inlineStr">
        <is>
          <t>~1,500 hd/day (cat 4); market hogs</t>
        </is>
      </c>
      <c r="D7" s="154" t="inlineStr">
        <is>
          <t>Reliable leaf-fat supply at industrial scale; proves they will segregate a per-head by-product for us.</t>
        </is>
      </c>
      <c r="E7" s="154" t="inlineStr">
        <is>
          <t>TISSUE GATE IS HARD (client-confirmed 2026-09-03). Plan NO organ volume through Villari. Repeat humane failure mode (2022, 2025) — though clean through 30 Jun 2026 (Q3 FY2026 QER). Wastewater project through ~2027.</t>
        </is>
      </c>
      <c r="F7" s="154" t="inlineStr">
        <is>
          <t>Keep leaf fat flowing; revisit only if THEY reopen the topic after the wastewater project lands.</t>
        </is>
      </c>
    </row>
  </sheetData>
  <mergeCells count="1">
    <mergeCell ref="A1:F1"/>
  </mergeCells>
  <pageMargins left="0.75" right="0.75" top="1" bottom="1" header="0.5" footer="0.5"/>
  <pageSetup orientation="landscape" fitToHeight="0" fitToWidth="1"/>
</worksheet>
</file>

<file path=xl/worksheets/sheet3.xml><?xml version="1.0" encoding="utf-8"?>
<worksheet xmlns="http://schemas.openxmlformats.org/spreadsheetml/2006/main">
  <sheetPr>
    <tabColor rgb="00375623"/>
    <outlinePr summaryBelow="1" summaryRight="1"/>
    <pageSetUpPr fitToPage="1"/>
  </sheetPr>
  <dimension ref="A1:V133"/>
  <sheetViews>
    <sheetView showGridLines="0" tabSelected="1" workbookViewId="0">
      <pane ySplit="4" topLeftCell="A5" activePane="bottomLeft" state="frozen"/>
      <selection pane="bottomLeft" activeCell="B6" sqref="B6"/>
    </sheetView>
  </sheetViews>
  <sheetFormatPr baseColWidth="8" defaultRowHeight="14.4"/>
  <cols>
    <col width="26" customWidth="1" style="59" min="1" max="1"/>
    <col width="20" customWidth="1" style="59" min="2" max="2"/>
    <col width="24" customWidth="1" style="59" min="3" max="3"/>
    <col width="22" customWidth="1" style="59" min="4" max="4"/>
    <col width="14" customWidth="1" style="59" min="5" max="5"/>
    <col width="17" customWidth="1" style="59" min="6" max="6"/>
    <col width="26" customWidth="1" style="59" min="7" max="7"/>
    <col width="26" customWidth="1" style="59" min="8" max="8"/>
    <col width="34" customWidth="1" style="59" min="9" max="9"/>
    <col width="32" customWidth="1" style="59" min="10" max="10"/>
    <col width="34" customWidth="1" style="59" min="11" max="11"/>
    <col width="34" customWidth="1" style="59" min="12" max="12"/>
    <col width="22" customWidth="1" style="59" min="13" max="13"/>
    <col width="18" customWidth="1" style="59" min="14" max="14"/>
    <col width="24" customWidth="1" style="59" min="15" max="15"/>
    <col width="13" customWidth="1" style="59" min="16" max="16"/>
    <col width="44" customWidth="1" style="59" min="17" max="17"/>
    <col width="30" customWidth="1" style="59" min="18" max="18"/>
    <col width="12" customWidth="1" style="59" min="19" max="19"/>
    <col width="95" customWidth="1" style="59" min="20" max="20"/>
    <col width="11" customWidth="1" style="59" min="21" max="21"/>
    <col width="16" customWidth="1" style="59" min="22" max="22"/>
  </cols>
  <sheetData>
    <row r="1" ht="25.1" customHeight="1" s="59">
      <c r="A1" s="117" t="inlineStr">
        <is>
          <t>Supplier Roster — Slaughterhouses (hog kill), grouped by region</t>
        </is>
      </c>
    </row>
    <row r="2" ht="18.4" customHeight="1" s="59">
      <c r="A2" s="61" t="inlineStr">
        <is>
          <t>Primary: North Carolina.  Secondary: South Carolina / Tennessee / Virginia.  Then: Iowa &amp; Midwest.  'est.' = estimate to confirm by phone; 'unknown' = not published.</t>
        </is>
      </c>
    </row>
    <row r="3" ht="15" customHeight="1" s="59"/>
    <row r="4" ht="60" customHeight="1" s="59">
      <c r="A4" s="3" t="inlineStr">
        <is>
          <t>Supplier / plant</t>
        </is>
      </c>
      <c r="B4" s="3" t="inlineStr">
        <is>
          <t>Location</t>
        </is>
      </c>
      <c r="C4" s="3" t="inlineStr">
        <is>
          <t>Type</t>
        </is>
      </c>
      <c r="D4" s="3" t="inlineStr">
        <is>
          <t>Est. hogs / week</t>
        </is>
      </c>
      <c r="E4" s="108" t="inlineStr">
        <is>
          <t>Within 120 mi?
(road mi from DURHAM origin — Model A pref.)</t>
        </is>
      </c>
      <c r="F4" s="3" t="inlineStr">
        <is>
          <t>Volume bracket
(client ranges, 2026-09-03)</t>
        </is>
      </c>
      <c r="G4" s="132" t="inlineStr">
        <is>
          <t>Animal class
(FSIS flags)</t>
        </is>
      </c>
      <c r="H4" s="3" t="inlineStr">
        <is>
          <t>USDA insp</t>
        </is>
      </c>
      <c r="I4" s="3" t="inlineStr">
        <is>
          <t>USDA / FSIS enforcement</t>
        </is>
      </c>
      <c r="J4" s="3" t="inlineStr">
        <is>
          <t>APHIS export status</t>
        </is>
      </c>
      <c r="K4" s="3" t="inlineStr">
        <is>
          <t>Welfare &amp; culture</t>
        </is>
      </c>
      <c r="L4" s="3" t="inlineStr">
        <is>
          <t>Organ / tissue harvest</t>
        </is>
      </c>
      <c r="M4" s="3" t="inlineStr">
        <is>
          <t>Model A
(we harvest on-site)</t>
        </is>
      </c>
      <c r="N4" s="3" t="inlineStr">
        <is>
          <t>Model B
(they harvest)</t>
        </is>
      </c>
      <c r="O4" s="3" t="inlineStr">
        <is>
          <t>Contact</t>
        </is>
      </c>
      <c r="P4" s="3" t="inlineStr">
        <is>
          <t>Fit</t>
        </is>
      </c>
      <c r="Q4" s="3" t="inlineStr">
        <is>
          <t>★ Why a candidate
(or why not)</t>
        </is>
      </c>
      <c r="R4" s="3" t="inlineStr">
        <is>
          <t>Website / social
(verified 2026-09-03)</t>
        </is>
      </c>
      <c r="S4" s="3" t="inlineStr">
        <is>
          <t>Conf.
(+ source)</t>
        </is>
      </c>
      <c r="T4" s="3" t="inlineStr">
        <is>
          <t>Notes / source</t>
        </is>
      </c>
      <c r="U4" s="3" t="inlineStr">
        <is>
          <t>Priority ID</t>
        </is>
      </c>
      <c r="V4" s="3" t="inlineStr">
        <is>
          <t>Rated tier
A-FIT / B-FIT
(9-30 snapshot)</t>
        </is>
      </c>
    </row>
    <row r="5" ht="19.7" customHeight="1" s="59">
      <c r="A5" s="206" t="inlineStr">
        <is>
          <t>A · PRIORITY CANDIDATES — inside ~130 road miles of Durham, eligible on the gates (Model A or B-T); sorted by rated tier, then best fit score, then distance (column V)</t>
        </is>
      </c>
      <c r="B5" s="171" t="n"/>
      <c r="C5" s="171" t="n"/>
      <c r="D5" s="171" t="n"/>
      <c r="E5" s="171" t="n"/>
      <c r="F5" s="171" t="n"/>
      <c r="G5" s="171" t="n"/>
      <c r="H5" s="171" t="n"/>
      <c r="I5" s="171" t="n"/>
      <c r="J5" s="171" t="n"/>
      <c r="K5" s="171" t="n"/>
      <c r="L5" s="171" t="n"/>
      <c r="M5" s="171" t="n"/>
      <c r="N5" s="171" t="n"/>
      <c r="O5" s="171" t="n"/>
      <c r="P5" s="171" t="n"/>
      <c r="Q5" s="171" t="n"/>
      <c r="R5" s="171" t="n"/>
      <c r="S5" s="171" t="n"/>
      <c r="T5" s="171" t="n"/>
      <c r="U5" s="171" t="n"/>
      <c r="V5" s="172" t="n"/>
    </row>
    <row r="6" ht="179.2" customHeight="1" s="59">
      <c r="A6" s="146" t="inlineStr">
        <is>
          <t>McLamb's Abattoir and Meats, Inc.</t>
        </is>
      </c>
      <c r="B6" s="83" t="inlineStr">
        <is>
          <t>Benson, NC (Johnston)</t>
        </is>
      </c>
      <c r="C6" s="83" t="inlineStr">
        <is>
          <t>NC STATE-inspected slaughter + processing</t>
        </is>
      </c>
      <c r="D6" s="83" t="inlineStr">
        <is>
          <t>unknown — NO public figure exists for NC state plants (NASS withholds NC hog totals; NCDA publishes none)
· inference by business type: multi-species custom / retail plant — typically 10-100 hogs/wk; call question 2 decides</t>
        </is>
      </c>
      <c r="E6" s="88" t="inlineStr">
        <is>
          <t>YES · ~58 mi
(Pikeville: ~37 mi)</t>
        </is>
      </c>
      <c r="F6" s="143" t="inlineStr">
        <is>
          <t>confirm
(state — no volume published)</t>
        </is>
      </c>
      <c r="G6" s="134" t="inlineStr">
        <is>
          <t>Multi-species incl. HOGS
(state species A,B,C,D,E)
(boar/stag: ask — the NCDA species code does not distinguish boars)</t>
        </is>
      </c>
      <c r="H6" s="83" t="inlineStr">
        <is>
          <t>STATE ✓ P-247
(NC state — APHIS-equivalent
for our harvest path)</t>
        </is>
      </c>
      <c r="I6" s="83" t="inlineStr">
        <is>
          <t>None found (state plants sit outside FSIS reporting — site-visit finding)</t>
        </is>
      </c>
      <c r="J6" s="83" t="inlineStr">
        <is>
          <t>NC state inspection = APHIS-accepted equivalent when WE harvest; export-eligible via ATM assembly</t>
        </is>
      </c>
      <c r="K6" s="83" t="inlineStr">
        <is>
          <t>INTERVIEW CLAIM (podcast, May 2024): the Lee family (Eddie, Shane, Kylie Lee) bought the 1978 abattoir 'seven or eight years ago' and opened Lee's Fresh Market in 2022. Contracting entity per the NCDA county directory: McLamb's Abattoir and Meats, Inc. (contact Shane Lee); BBB retains the older McLamb officer record. Confirm entity and present manager on the call; nothing adverse published.</t>
        </is>
      </c>
      <c r="L6" s="83" t="inlineStr">
        <is>
          <t>Plausible-untested — custom-oriented family floor; offal return is the norm in this class</t>
        </is>
      </c>
      <c r="M6" s="83" t="inlineStr">
        <is>
          <t>Nahunta playbook: relationship-first, our crew on site</t>
        </is>
      </c>
      <c r="N6" s="83" t="inlineStr">
        <is>
          <t>Plausible</t>
        </is>
      </c>
      <c r="O6" s="83" t="inlineStr">
        <is>
          <t>CONTACT: Shane Lee (NCDA county directory) — Lee family: Eddie (grandfather), Shane, Kylie Lee; BBB lists Danny Lee McLamb as president
(919) 894-2587
Operator: Shane Lee
623 Benson-Hardee Rd, Benson</t>
        </is>
      </c>
      <c r="P6" s="140" t="inlineStr">
        <is>
          <t>POSSIBLE</t>
        </is>
      </c>
      <c r="Q6" s="178" t="inlineStr">
        <is>
          <t>★ TIER 1 — closest unworked state-inspected floor on I-95 (58 road mi from Durham; 37 from Pikeville); the Nahunta playbook; one call closes the volume unknown.</t>
        </is>
      </c>
      <c r="R6" s="179" t="inlineStr">
        <is>
          <t>no website — phone (919) 894-2587
facebook.com/leesfreshmarket (Lee's Fresh Market) · Yelp lists the old 'Jerald McLamb's Abattoir' as CLOSED · Nextdoor · BBB profile · podcast interview with Kylie Lee (Best of Johnston County) (verified 2026-09-30)</t>
        </is>
      </c>
      <c r="S6" s="83" t="inlineStr">
        <is>
          <t>Med
(FSIS+NCDA 8-17)</t>
        </is>
      </c>
      <c r="T6" s="83" t="inlineStr">
        <is>
          <t>★ NEW FIND 2026-08-17 — the TOP UNWORKED STATE-INSPECTED CANDIDATE in the state directory ranking: one of only three P-number plants in our eastern corridor (with Nahunta and Gale McLamb), right off I-95 at 37 road miles — closer than Parks, Martin's or CQP. Multi-species slaughter incl. hogs (calves, cattle, goats, lambs, sheep too). Same regulatory path as Nahunta (NC state = APHIS-equivalent for harvest). Volume unknown — one phone call closes it. Candidate for a SECOND NAHUNTA-STYLE RELATIONSHIP.  [2026-08-17 focus-region pass: FSIS MPI + Demographic datasets and NCDA&amp;CS directories (dated 2026-08-10) retrieved fresh 2026-08-17; adversarially verified.]
Beebop 9-28 (rank #2): Lee's Fresh Market shares the address and phone — confirm the contracting entity; leesfreshmarketnc.com is live (behind a Cloudflare check).
SOCIAL/OTHER 9-30: NEW OWNERSHIP: the Lee family bought the 1978 abattoir ~2018, kept the McLamb name, opened Lee's Fresh Market in 2022 (retail front, same address/phone). County directory: slaughter calves, cattle, goats, hogs, lambs, sheep; hours 7-5; phones 919-894-2587 / 919-894-8553. A young, growing family business — the podcast is a free read on culture before the call.</t>
        </is>
      </c>
      <c r="U6" s="211" t="inlineStr">
        <is>
          <t>A-01</t>
        </is>
      </c>
      <c r="V6" s="142" t="inlineStr">
        <is>
          <t>Tier 1
A 3.7 / B 3.5</t>
        </is>
      </c>
    </row>
    <row r="7" ht="139" customHeight="1" s="59">
      <c r="A7" s="146" t="inlineStr">
        <is>
          <t>Select Meats, Inc.</t>
        </is>
      </c>
      <c r="B7" s="83" t="inlineStr">
        <is>
          <t>Kannapolis, NC (Rowan)</t>
        </is>
      </c>
      <c r="C7" s="83" t="inlineStr">
        <is>
          <t>USDA federal (T-A) SLAUGHTER-ONLY plant</t>
        </is>
      </c>
      <c r="D7" s="83" t="inlineStr">
        <is>
          <t>~19-194/wk all species
(FSIS cat 2)
· HACCP Very Small (&lt;10 employees or &lt;$2.5M sales)</t>
        </is>
      </c>
      <c r="E7" s="88" t="inlineStr">
        <is>
          <t>YES · ~114 mi (borderline)
(Pikeville: ~190 mi)</t>
        </is>
      </c>
      <c r="F7" s="139" t="inlineStr">
        <is>
          <t>0-300/wk
(cat-2 ≤194, all species)</t>
        </is>
      </c>
      <c r="G7" s="134" t="inlineStr">
        <is>
          <t>MARKET only
(cattle + hogs; mgr Gerald Wood)</t>
        </is>
      </c>
      <c r="H7" s="83" t="inlineStr">
        <is>
          <t>USDA ✓ M10757
(TA-10757 in the state TA directory)</t>
        </is>
      </c>
      <c r="I7" s="83" t="inlineStr">
        <is>
          <t>None found</t>
        </is>
      </c>
      <c r="J7" s="83" t="inlineStr">
        <is>
          <t>Federal grant → harvest-path eligible</t>
        </is>
      </c>
      <c r="K7" s="83" t="inlineStr">
        <is>
          <t>None found in the FSIS QERs through Q3 FY2026 (narrow negative — routine NRs are not published); an animal-protection directory lists it with no footage or allegations.</t>
        </is>
      </c>
      <c r="L7" s="83" t="inlineStr">
        <is>
          <t>Plausible-unknown — slaughter-only custom plant, organ return typical but undocumented</t>
        </is>
      </c>
      <c r="M7" s="83" t="inlineStr">
        <is>
          <t>Could be a CQP-style Model A host IF the building supports it — near-zero public footprint</t>
        </is>
      </c>
      <c r="N7" s="83" t="inlineStr">
        <is>
          <t>Plausible</t>
        </is>
      </c>
      <c r="O7" s="83" t="inlineStr">
        <is>
          <t>CONTACT: Gerald Wood (NCDA county directory); BBB lists Herman Wood as president
(704) 202-9340 (FSIS)
alt (704) 933-7550 (NCDA&amp;CS)
Mgr: Gerald Wood</t>
        </is>
      </c>
      <c r="P7" s="140" t="inlineStr">
        <is>
          <t>POSSIBLE</t>
        </is>
      </c>
      <c r="Q7" s="178" t="inlineStr">
        <is>
          <t>TIER 3 — western sleeper: slaughter-only market-hog floor, but 115 road mi from Durham (190 from Pikeville), ~4 employees and a near-zero public footprint; one call resolves it.</t>
        </is>
      </c>
      <c r="R7" s="179" t="inlineStr">
        <is>
          <t>no website — phone (704) 202-9340
Yelp · BBB (no rating) · Chamber 5.0 (1 review) · Manta/D&amp;B: est. 1987, ~4 employees, ~$0.8M revenue · Farm Transparency Project: directory entry only, 'open and operating', no footage or allegations (verified 2026-09-30)</t>
        </is>
      </c>
      <c r="S7" s="83" t="inlineStr">
        <is>
          <t>Low-Med
(FSIS+NCDA 8-17)</t>
        </is>
      </c>
      <c r="T7" s="83" t="inlineStr">
        <is>
          <t>★ SLEEPER FOUND 2026-08-17: one of only three cat-2 SLAUGHTER-ONLY plants in the west (with Piedmont and Wilkes Abattoir), est. 1987, 30 min from Charlotte, market hogs + cattle — and near-zero public information (no website). One phone call resolves whether this is a western Model A host. 190 road mi — outside the Model A radius; western-crew / Model B play.  [2026-08-17 focus-region pass: FSIS MPI + Demographic datasets and NCDA&amp;CS directories (dated 2026-08-10) retrieved fresh 2026-08-17; adversarially verified.]
Beebop 9-28 (rank #17): now INSIDE the radius from Durham (~115 road mi vs ~190 from Pikeville) — 'near the boundary; check the actual departure point before a visit'.
SOCIAL/OTHER 9-30: Products: fresh turkeys, pork cracklins, lamb chops. ~4 employees is a volume signal — tens of hogs a week, not hundreds. County directory: slaughter cattle + hogs; sells inside AND outside NC (TA). Almost no online footprint — the call is the only way in.</t>
        </is>
      </c>
      <c r="U7" s="211" t="inlineStr">
        <is>
          <t>A-02</t>
        </is>
      </c>
      <c r="V7" s="142" t="inlineStr">
        <is>
          <t>Tier 1
A 3.7 / B 3.3</t>
        </is>
      </c>
    </row>
    <row r="8" ht="139" customHeight="1" s="59">
      <c r="A8" s="146" t="inlineStr">
        <is>
          <t>Gale McLamb Meats</t>
        </is>
      </c>
      <c r="B8" s="83" t="inlineStr">
        <is>
          <t>Dunn, NC (Harnett)</t>
        </is>
      </c>
      <c r="C8" s="83" t="inlineStr">
        <is>
          <t>NC STATE-inspected slaughter + processing</t>
        </is>
      </c>
      <c r="D8" s="83" t="inlineStr">
        <is>
          <t>unknown — NO public figure exists for NC state plants (NASS withholds NC hog totals; NCDA publishes none)
· inference by business type: multi-species custom / retail plant — typically 10-100 hogs/wk; call question 2 decides</t>
        </is>
      </c>
      <c r="E8" s="88" t="inlineStr">
        <is>
          <t>YES · ~60 mi
(Pikeville: ~44 mi)</t>
        </is>
      </c>
      <c r="F8" s="143" t="inlineStr">
        <is>
          <t>confirm
(state — no volume published)</t>
        </is>
      </c>
      <c r="G8" s="134" t="inlineStr">
        <is>
          <t>Cattle + HOGS
(state species A,B,C)
(boar/stag: ask — the NCDA species code does not distinguish boars)</t>
        </is>
      </c>
      <c r="H8" s="83" t="inlineStr">
        <is>
          <t>STATE ✓ P-221
(NC state — APHIS-equivalent
for our harvest path)</t>
        </is>
      </c>
      <c r="I8" s="83" t="inlineStr">
        <is>
          <t>None found (state plants sit outside FSIS reporting)</t>
        </is>
      </c>
      <c r="J8" s="83" t="inlineStr">
        <is>
          <t>NC state inspection = APHIS-accepted equivalent when WE harvest</t>
        </is>
      </c>
      <c r="K8" s="83" t="inlineStr">
        <is>
          <t>Family plant since 1980 (Gale &amp; Linda McLamb + two sons). Nothing published either way. Facebook 92% recommend (17 reviews).</t>
        </is>
      </c>
      <c r="L8" s="83" t="inlineStr">
        <is>
          <t>Plausible-untested</t>
        </is>
      </c>
      <c r="M8" s="83" t="inlineStr">
        <is>
          <t>Nahunta playbook; Martin's-adjacent fallback</t>
        </is>
      </c>
      <c r="N8" s="83" t="inlineStr">
        <is>
          <t>Plausible</t>
        </is>
      </c>
      <c r="O8" s="83" t="inlineStr">
        <is>
          <t>CONTACT: Gale McLamb (NCDA county directory)
(910) 892-7279
4216 US 301 N, Dunn</t>
        </is>
      </c>
      <c r="P8" s="140" t="inlineStr">
        <is>
          <t>POSSIBLE</t>
        </is>
      </c>
      <c r="Q8" s="178" t="inlineStr">
        <is>
          <t>★ TIER 1 — pairs with McLamb's Benson as one I-95 trip (60 road mi from Durham; 44 from Pikeville); state-inspected, cattle+hogs since 1980.</t>
        </is>
      </c>
      <c r="R8" s="179" t="inlineStr">
        <is>
          <t>no website — phone (910) 892-7279
facebook.com/p/McLamb-Gale-Meats-Butchering (17 reviews, 92% recommend) · Yelp (1) · Tripadvisor · YellowPages (verified 2026-09-30)</t>
        </is>
      </c>
      <c r="S8" s="83" t="inlineStr">
        <is>
          <t>Med
(FSIS+NCDA 8-17)</t>
        </is>
      </c>
      <c r="T8" s="83" t="inlineStr">
        <is>
          <t>★ NEW FIND 2026-08-17 — second missed state-inspected swine plant on the Dunn-Benson I-95 corridor; since 1980; cattle + hogs + hunter deer processing. Directory-ranked just behind McLamb's Abattoir as a Martin's-adjacent fallback. Volume unknown — phone call. Same APHIS-equivalence path as Nahunta.  [2026-08-17 focus-region pass: FSIS MPI + Demographic datasets and NCDA&amp;CS directories (dated 2026-08-10) retrieved fresh 2026-08-17; adversarially verified.]
Beebop 9-28 (rank #5). NCDA directory 9-18: P-221, slaughter + processing, species A,B,C (calves, cattle, SWINE).
SOCIAL/OTHER 9-30: Hours 8-5. Reviews: 'fresh meat cut fast, great prices', friendly; one missed-order complaint. Retail-butcher scale (quarters of beef, chickens). County directory: slaughter cattle + hogs; sells inside NC only.</t>
        </is>
      </c>
      <c r="U8" s="211" t="inlineStr">
        <is>
          <t>A-03</t>
        </is>
      </c>
      <c r="V8" s="142" t="inlineStr">
        <is>
          <t>Tier 1
A 3.6 / B 3.4</t>
        </is>
      </c>
    </row>
    <row r="9" ht="246.2" customHeight="1" s="59">
      <c r="A9" s="4" t="inlineStr">
        <is>
          <t>Piedmont Custom Meats</t>
        </is>
      </c>
      <c r="B9" s="68" t="inlineStr">
        <is>
          <t>Gibsonville, NC (SLAUGHTER)
Asheboro, NC (processing only)</t>
        </is>
      </c>
      <c r="C9" s="68" t="inlineStr">
        <is>
          <t>USDA-inspected</t>
        </is>
      </c>
      <c r="D9" s="68" t="inlineStr">
        <is>
          <t>~19-194/wk
(FSIS cat 2 ceiling)
· HACCP Very Small (&lt;10 employees or &lt;$2.5M sales)</t>
        </is>
      </c>
      <c r="E9" s="88" t="inlineStr">
        <is>
          <t>YES · ~48 mi
(Pikeville: ~116 mi)</t>
        </is>
      </c>
      <c r="F9" s="139" t="inlineStr">
        <is>
          <t>0-300/wk
(cat-2 ceiling ~194, all species)</t>
        </is>
      </c>
      <c r="G9" s="68" t="inlineStr">
        <is>
          <t>⚠ BOAR/STAG flagged (FSIS)
MARKET + SOW + ROASTER + boar/stag
(M7975, Gibsonville)</t>
        </is>
      </c>
      <c r="H9" s="68" t="inlineStr">
        <is>
          <t>USDA ✓ M7975 + P7975 + V7975
(Gibsonville = slaughter.
M7975A Asheboro is PROCESSING-ONLY,
no swine flags)</t>
        </is>
      </c>
      <c r="I9" s="68" t="inlineStr">
        <is>
          <t>None found (markets AWA / Grandin-designed humane facility)</t>
        </is>
      </c>
      <c r="J9" s="68" t="inlineStr">
        <is>
          <t>FSIS Est. M7975 (Gibsonville — the slaughter establishment; M7975A Asheboro is processing-only, no swine flags); not on public export lists — verify</t>
        </is>
      </c>
      <c r="K9" s="68" t="inlineStr">
        <is>
          <t>Strong — AWA-approved, written humane-handling policy, Temple-Grandin-influenced design Employee reviews (Indeed 4.5/5): a former kill-floor worker's 'demand higher pay' and supply shortages at the Asheboro site — a culture question for the visit, not a gate.</t>
        </is>
      </c>
      <c r="L9" s="68" t="inlineStr">
        <is>
          <t>$85 hog kill + $5.06/head DISPOSAL FEE on their own price sheet — suggests viscera are normally discarded — confirm which organs, and whose (service kills are the farmer's animal), i.e. organs exist and are being thrown away; recovery is a negotiation, not a rebuild. 150-lb pig minimum (their customer manual).
CUT SHEET (v. 1/2024): liver, heart, kidneys, tongue, leaf fat and 'organ/bones' are offered to the customer — the disposal fee applies to what the customer does not take. Availability, ownership (service kills are the customer's animal), competing commitments and collection authorization must be confirmed.</t>
        </is>
      </c>
      <c r="M9" s="68" t="inlineStr">
        <is>
          <t>★ BEST MODEL A HOST IN THE WEST: purpose-built harvest facility (45,000 sq ft processing at Asheboro; kill floor Gibsonville), Mon-Fri kill days by appointment, slaughter-only structure, 600+ farm clients</t>
        </is>
      </c>
      <c r="N9" s="68" t="inlineStr">
        <is>
          <t>Yes — contract harvest plausible</t>
        </is>
      </c>
      <c r="O9" s="68" t="inlineStr">
        <is>
          <t>CONTACT: (no county-directory entry — federal M7975; call the scheduling line)
(336) 628-4949
piedmontcustommeats.com</t>
        </is>
      </c>
      <c r="P9" s="23" t="inlineStr">
        <is>
          <t>CAUTION
(boar/stag)</t>
        </is>
      </c>
      <c r="Q9" s="178" t="inlineStr">
        <is>
          <t>BOAR/STAG RULE 9-28: FSIS flags boar/stag slaughter at this plant — AVOID unless the call confirms boars/stags are never run with our hogs (gate G4). ★ TIER 1 — best host structure + best welfare story (AWA / Temple Grandin), all four hog classes, 48 road mi from Durham (116 from the old Pikeville anchor). Their disposal fee suggests viscera are discarded today — confirm which organs, and who owns them. Cat-2 ceiling.</t>
        </is>
      </c>
      <c r="R9" s="179" t="inlineStr">
        <is>
          <t>piedmontcustommeats.com
Yelp (positive) · Butcher Bud 3.3/5 from 38 reviews · Yahoo Local (prompt, humane, courteous) · Indeed employee reviews 4.5/5 · LocalHarvest (verified 2026-09-30)</t>
        </is>
      </c>
      <c r="S9" s="68" t="inlineStr">
        <is>
          <t>High
(FSIS+NCDA 8-17)</t>
        </is>
      </c>
      <c r="T9" s="68" t="inlineStr">
        <is>
          <t>★ UPGRADED BY THE 2026-08-17 SWEEP — THE STRONGEST WESTERN CANDIDATE, AND IT IS ACTUALLY INSIDE THE 120-MILE RADIUS (116 road mi — the earlier 'NO (est.)' was wrong). The only NC plant flagged for ALL FOUR hog classes (market + sow + roaster + boar/stag); ANIMAL WELFARE APPROVED slaughter facility on a TEMPLE GRANDIN-designed animal-handling layout with a written humane policy — the best EU-facing welfare story of any candidate; Mon-Fri kill days. LIMIT (adversarially confirmed): cat 2 = ≤~194 head/wk ACROSS ALL SPECIES (beef + 4 hog classes + sheep + goat + bison) — a Model A + welfare-story candidate, NOT a Martin's replacement. Their own disposal fee suggests viscera are discarded today (which organs, and whose, is a call question). A Model A pilot here is the logical next call: (336) 628-4949 (scheduling line) / (336) 584-8247.  [2026-08-17 focus-region pass: FSIS MPI + Demographic datasets and NCDA&amp;CS directories (dated 2026-08-10) retrieved fresh 2026-08-17; adversarially verified.]
Beebop 9-28 (rank #1): publishes a 150 lb live MINIMUM (fits the 140-220 lb target); NC Farm Bureau video on a capacity-expansion grant — ask what is now operating; Facebook shows service-processing of customer-owned animals → ask WHO OWNS THE ORGANS (plant vs livestock owner).
SOCIAL/OTHER 9-30: In business since 1956; hours 7-3:30. Employee reviews: a former KILL-FLOOR worker advises 'demand higher pay'; Asheboro-site complaints about cold, heavy lifting and short supplies (reusing gloves). Customer rating middling (3.3/5 on 38). Nothing disqualifying; a culture question for the visit.</t>
        </is>
      </c>
      <c r="U9" s="211" t="inlineStr">
        <is>
          <t>A-04</t>
        </is>
      </c>
      <c r="V9" s="140" t="inlineStr">
        <is>
          <t>Tier 2
A 4.2 / B 3.8</t>
        </is>
      </c>
    </row>
    <row r="10" ht="206" customHeight="1" s="59">
      <c r="A10" s="138" t="inlineStr">
        <is>
          <t>Larry's Sausage Co., Inc.</t>
        </is>
      </c>
      <c r="B10" s="68" t="inlineStr">
        <is>
          <t>Fayetteville, NC (Cumberland)</t>
        </is>
      </c>
      <c r="C10" s="68" t="inlineStr">
        <is>
          <t>USDA FEDERAL slaughter + sausage processing
(NOT Talmadge-Aiken)</t>
        </is>
      </c>
      <c r="D10" s="68" t="inlineStr">
        <is>
          <t>~19-194/wk ceiling
(FSIS slaughter cat 2 = 1,000-9,999 hd / 360 d).
Earlier '200-800/wk' REFUTED
· HACCP Small (10-499 employees)</t>
        </is>
      </c>
      <c r="E10" s="88" t="inlineStr">
        <is>
          <t>YES · ~87 mi
(Pikeville: ~65 mi)</t>
        </is>
      </c>
      <c r="F10" s="139" t="inlineStr">
        <is>
          <t>0-300/wk
(cat-2 ceiling ~194 sows)</t>
        </is>
      </c>
      <c r="G10" s="68" t="inlineStr">
        <is>
          <t>SOW ONLY
sow_slaughter=Yes; market_swine=No,
roaster=No, boar/stag=No</t>
        </is>
      </c>
      <c r="H10" s="68" t="inlineStr">
        <is>
          <t>USDA ✓ M8305
(federal grant active, 20 Jul 2021)</t>
        </is>
      </c>
      <c r="I10" s="68" t="inlineStr">
        <is>
          <t>None found in 10 FSIS Quarterly Enforcement Reports (FY2024 Q1 – FY2026 Q2). NOT a clean bill — QERs list suspensions / NOIEs / withholding actions only, not every noncompliance record.</t>
        </is>
      </c>
      <c r="J10" s="68" t="inlineStr">
        <is>
          <t>Federal grant → slaughter under federal ante-/post-mortem inspection, so material is EU Cat 3-eligible. NOT on any APHIS VS export listing — which under our two-path rule is fine for Model A (we harvest; the model is assembled at ATM).</t>
        </is>
      </c>
      <c r="K10" s="68" t="inlineStr">
        <is>
          <t>No enforcement found; nothing published either way. Family-owned since 1952, three generations — verify culture on site, do not assume it.</t>
        </is>
      </c>
      <c r="L10" s="68" t="inlineStr">
        <is>
          <t>★ STRONG ON PAPER: sows are killed for sausage MEAT, so viscera / organs / aortas are NOT their product and could come off intact. Sow organ scale is closest to adult human. Willingness untested — never contacted. Office hours Tue 9-3; larryssausage.com live.</t>
        </is>
      </c>
      <c r="M10" s="68" t="inlineStr">
        <is>
          <t>Structurally plausible (small, one decision-maker) BUT sow anatomy and a ~194/wk hard ceiling</t>
        </is>
      </c>
      <c r="N10" s="68" t="inlineStr">
        <is>
          <t>Weak — no volume to anchor a lane</t>
        </is>
      </c>
      <c r="O10" s="68" t="inlineStr">
        <is>
          <t>CONTACT: (family firm since 1952 — ask for the owner)
(910) 483-5148
1624 Middle River Loop,
Fayetteville NC 28312</t>
        </is>
      </c>
      <c r="P10" s="140" t="inlineStr">
        <is>
          <t>POSSIBLE
★ organ lane</t>
        </is>
      </c>
      <c r="Q10" s="178" t="inlineStr">
        <is>
          <t>★ TIER 1 — best structural organ add in the east: sow-class organs at volume, viscera not their product, decade-tenured crew, flexible minimums. Gate: the sow-anatomy spec decision.</t>
        </is>
      </c>
      <c r="R10" s="179" t="inlineStr">
        <is>
          <t>larryssausage.com
facebook.com/p/Larrys-Sausage-Co (12 reviews, 100% recommend) · Yelp · Tripadvisor (verified 2026-09-30)</t>
        </is>
      </c>
      <c r="S10" s="68" t="inlineStr">
        <is>
          <t>High
(FSIS+NCDA 8-17)</t>
        </is>
      </c>
      <c r="T10" s="68" t="inlineStr">
        <is>
          <t>★ RE-RANKED BY THE 2026-08-17 SWEEP: THE BEST STRUCTURAL ORGAN ADD IN EASTERN NC — the region's only ESTABLISHED swine-only, sow-class federal floor at meaningful volume (cat 2 = 19-194 sows/wk; processing cat 4), family-run since 1952, ~20 min from Martin's, ~65 road mi from the anchor. It fills exactly what Villari cannot do (organs) at a scale Parks cannot reach in sows — IF sow anatomy passes the Anatomical Spec gate (heavily parous sows: remodelled birth canal / stretched abdominal wall — disqualifying for pelvic/bariatric, or a premium urogynaecology asset; INTERNAL decision). Prior corrections stand: federal M8305 (TA-8305 in the state TA directory — same establishment, TA = federally inspected via state staff); the old 200-800/wk figure exceeds the cat-2 ceiling and stays withdrawn; SOW-ONLY, so no market-weight anatomy here. No welfare flags found FY2023Q4-FY2026Q3. PRIORITY OUTREACH CALL.  [2026-08-17 focus-region pass: FSIS MPI + Demographic datasets and NCDA&amp;CS directories (dated 2026-08-10) retrieved fresh 2026-08-17; adversarially verified.]
Beebop 9-28 (rank #19): 'sow-only — do not schedule a visit until animal-size fit is established.' Under the 140-220 lb target that is right; the decade-tenure crew still makes it the best B-T profile IF sow anatomy is ever accepted.
SOCIAL/OTHER 9-30: Whole-hog sausage since 1952; delivery and take-out. Nothing new on the sow-only class.</t>
        </is>
      </c>
      <c r="U10" s="211" t="inlineStr">
        <is>
          <t>A-05</t>
        </is>
      </c>
      <c r="V10" s="140" t="inlineStr">
        <is>
          <t>Tier 2
A 3.3 / B 3.7</t>
        </is>
      </c>
    </row>
    <row r="11" ht="152.4" customHeight="1" s="59">
      <c r="A11" s="4" t="inlineStr">
        <is>
          <t>Flowers Slaughter House (George Flowers)</t>
        </is>
      </c>
      <c r="B11" s="68" t="inlineStr">
        <is>
          <t>Sims, NC (Wilson)</t>
        </is>
      </c>
      <c r="C11" s="68" t="inlineStr">
        <is>
          <t>USDA FEDERAL (not TA) — 'Very Small'</t>
        </is>
      </c>
      <c r="D11" s="68" t="inlineStr">
        <is>
          <t>~19-194/wk
(FSIS cat 2 ceiling)
· HACCP Very Small (&lt;10 employees or &lt;$2.5M sales)</t>
        </is>
      </c>
      <c r="E11" s="88" t="inlineStr">
        <is>
          <t>YES · ~63 mi
(Pikeville: ~45 mi)</t>
        </is>
      </c>
      <c r="F11" s="139" t="inlineStr">
        <is>
          <t>0-300/wk (cat-2 ≤194)</t>
        </is>
      </c>
      <c r="G11" s="68" t="inlineStr">
        <is>
          <t>⚠ BOAR/STAG flagged (FSIS)
MARKET + boar/stag
(sow: No, roaster: No)</t>
        </is>
      </c>
      <c r="H11" s="68" t="inlineStr">
        <is>
          <t>USDA ✓ M21747 + P21747
(grant 2022)</t>
        </is>
      </c>
      <c r="I11" s="68" t="inlineStr">
        <is>
          <t>None found in the FSIS QERs through Q3 FY2026 (narrow negative — routine NRs are not published)</t>
        </is>
      </c>
      <c r="J11" s="68" t="inlineStr">
        <is>
          <t>Federal (M21747). Not on public export lists</t>
        </is>
      </c>
      <c r="K11" s="68" t="inlineStr">
        <is>
          <t>None found in the FSIS QERs through Q3 FY2026 (narrow negative — routine NRs are not published)</t>
        </is>
      </c>
      <c r="L11" s="68" t="inlineStr">
        <is>
          <t>Small custom-oriented family floor — offal return on request is the norm in this class (inference). BOAR/STAG flag = the largest male anatomy in the region.</t>
        </is>
      </c>
      <c r="M11" s="68" t="inlineStr">
        <is>
          <t>Plausible</t>
        </is>
      </c>
      <c r="N11" s="68" t="inlineStr">
        <is>
          <t>Plausible</t>
        </is>
      </c>
      <c r="O11" s="68" t="inlineStr">
        <is>
          <t>CONTACT: Alan Sharp / Tim Boswell (NCDA county directory); legal entity Flowers Beef Slaughter LLC (BBB)
(252) 237-2982
Contacts: Alan Sharp / Tim Boswell
5154-A St. Rose Church Rd, Sims
Hours M-F 7-5, Sat 7-10am</t>
        </is>
      </c>
      <c r="P11" s="23" t="inlineStr">
        <is>
          <t>CAUTION
(boar/stag)</t>
        </is>
      </c>
      <c r="Q11" s="178" t="inlineStr">
        <is>
          <t>BOAR/STAG RULE 9-28: FSIS flags boar/stag slaughter at this plant — AVOID unless the call confirms boars/stags are never run with our hogs (gate G4). TIER 2 — Sims cluster redundancy 3 mi from CQP + the region's only boar/stag access. Not a standalone lane (cat 2).</t>
        </is>
      </c>
      <c r="R11" s="179" t="inlineStr">
        <is>
          <t>no website — Facebook page; phone (252) 237-2982
facebook.com/p/Flowers-Slaughterhouse-Page (6,582 likes, 32 check-ins) · Yelp · BBB · Yahoo Local (verified 2026-09-30)</t>
        </is>
      </c>
      <c r="S11" s="68" t="inlineStr">
        <is>
          <t>High
(FSIS+NCDA 8-17)</t>
        </is>
      </c>
      <c r="T11" s="68" t="inlineStr">
        <is>
          <t>UPDATED 2026-08-17: operating (NCDA&amp;CS Wilson farmers directory + active FSIS grant); essentially A SECOND CQP AT ONE-TENTH THE VOLUME, 3 miles away in the same town. Value: (a) REDUNDANCY for the Sims Model A operation if CQP friction rises; (b) the only BOAR/STAG-flagged floor in the region — very large mature-male organs/aortas; (c) third leg of the Sims cluster (CQP + Flowers + Bass Farms 20-40 min apart = one crew, three floors). Hog slaughter is the inspected business (sells inside AND outside NC); custom beef/game work is the uninspected side — keep our material on the inspected hog line. ~12 staff (est.). No welfare flags found.  [2026-08-17 focus-region pass: FSIS MPI + Demographic datasets and NCDA&amp;CS directories (dated 2026-08-10) retrieved fresh 2026-08-17; adversarially verified.]
SOCIAL/OTHER 9-30: Reviews: reasonable prices, knowledgeable staff, fast turnaround. Custom processing for swine and beef 'for sale and not for sale' (inspected + custom work), plus wild game/lambs not for sale. County directory: slaughter HOGS only; sells inside NC. Use the LLC name on the NDA.</t>
        </is>
      </c>
      <c r="U11" s="211" t="inlineStr">
        <is>
          <t>A-06</t>
        </is>
      </c>
      <c r="V11" s="140" t="inlineStr">
        <is>
          <t>Tier 2
A 3.6 / B 3.3</t>
        </is>
      </c>
    </row>
    <row r="12" ht="112.2" customHeight="1" s="59">
      <c r="A12" s="138" t="inlineStr">
        <is>
          <t>Cool Springs Farm and Meat, LLC
(CSMP Farm Store)</t>
        </is>
      </c>
      <c r="B12" s="68" t="inlineStr">
        <is>
          <t>Yadkinville, NC (Yadkin Co.)</t>
        </is>
      </c>
      <c r="C12" s="68" t="inlineStr">
        <is>
          <t>USDA-inspected (also does custom-exempt work)</t>
        </is>
      </c>
      <c r="D12" s="68" t="inlineStr">
        <is>
          <t>&lt;19/wk (FSIS cat 1)
· HACCP Very Small (&lt;10 employees or &lt;$2.5M sales)</t>
        </is>
      </c>
      <c r="E12" s="88" t="inlineStr">
        <is>
          <t>YES · ~107 mi
(Pikeville: n/m)</t>
        </is>
      </c>
      <c r="F12" s="139" t="inlineStr">
        <is>
          <t>0-300/wk (&lt;19)</t>
        </is>
      </c>
      <c r="G12" s="68" t="inlineStr">
        <is>
          <t>MARKET swine flag (FSIS) + cattle, sheep
(NCDA species A-E)</t>
        </is>
      </c>
      <c r="H12" s="68" t="inlineStr">
        <is>
          <t>USDA ✓ M1041 (NCDA lists TA-1041)
grant 10/28/2024</t>
        </is>
      </c>
      <c r="I12" s="25" t="inlineStr">
        <is>
          <t>None found (grant under 2 years old)</t>
        </is>
      </c>
      <c r="J12" s="68" t="inlineStr">
        <is>
          <t>Eligible (federal)</t>
        </is>
      </c>
      <c r="K12" s="68" t="inlineStr">
        <is>
          <t>No record; family business since 1976 (company site) (the federal grant dates from Oct-2024); visit finding.</t>
        </is>
      </c>
      <c r="L12" s="68" t="inlineStr">
        <is>
          <t>unknown</t>
        </is>
      </c>
      <c r="M12" s="68" t="inlineStr">
        <is>
          <t>pilot-scale only — cat-1 ceiling &lt;19 animals/wk, ALL species</t>
        </is>
      </c>
      <c r="N12" s="68" t="inlineStr">
        <is>
          <t>unlikely — too small to justify training</t>
        </is>
      </c>
      <c r="O12" s="68" t="inlineStr">
        <is>
          <t>CONTACT: Justin Atkinson (NCDA county directory, 336-463-5548) · csmp@coolspringsmeats.com
336-835-5377 · 1041 Disher Road, Yadkinville, NC 27055</t>
        </is>
      </c>
      <c r="P12" s="140" t="inlineStr">
        <is>
          <t>WATCH</t>
        </is>
      </c>
      <c r="Q12" s="178" t="inlineStr">
        <is>
          <t>In business since 1976 (company site) with a live retail store; its Oct-2024 federal grant is the newest western swine grant — but a cat-1 floor (&lt;19 animals/week, all species) is pilot scale, 107 road miles from Durham. A scale check only if a western lane opens. Promoted from the western micro-plant roll-up (row 85); Beebop ranks it #8.</t>
        </is>
      </c>
      <c r="R12" s="179" t="inlineStr">
        <is>
          <t>csmpfarmstore.com (verified live 2026-09-28)
facebook.com/coolspringsmeatprocessing (13 reviews, 100% recommend) · instagram.com/csmpnc · Nextdoor · Yelp · csmpfarmstore.com (verified 2026-09-30)</t>
        </is>
      </c>
      <c r="S12" s="68" t="inlineStr">
        <is>
          <t>High (FSIS 9-03 + NCDA 9-18)</t>
        </is>
      </c>
      <c r="T12" s="68" t="inlineStr">
        <is>
          <t>FSIS demographic data: slaughter cat 1, market_swine_slaughter = Yes, custom-exempt slaughter = Yes as well (mixed inspected/custom work — ask which hogs run under inspection). Beebop 9-28 (Nextdoor): advertises whole/half hogs and custom processing; the hog service is advertised as CUSTOM — confirm the inspected arrangement before any specimen plan.
SOCIAL/OTHER 9-30: IN BUSINESS SINCE 1976 (company site; a directory snippet said 1971 — corrected 9-30 b) — the Oct-2024 date is the federal grant, not the business (correcting the 'family business since 1976 (company site) (federal grant 2024)' note). Hours M-F 6-5, Sat 8-12; new retail store; half/whole hogs, orders ready in 2-4 weeks. County directory: slaughter calves, cattle, goats, hogs, lambs, sheep.</t>
        </is>
      </c>
      <c r="U12" s="211" t="inlineStr">
        <is>
          <t>A-07</t>
        </is>
      </c>
      <c r="V12" s="143" t="inlineStr">
        <is>
          <t>Tier 3
A 3.4 / B 2.9</t>
        </is>
      </c>
    </row>
    <row r="13" ht="206" customHeight="1" s="59">
      <c r="A13" s="4" t="inlineStr">
        <is>
          <t>McLaughlin's</t>
        </is>
      </c>
      <c r="B13" s="68" t="inlineStr">
        <is>
          <t>Mooresville, NC (Rowan)</t>
        </is>
      </c>
      <c r="C13" s="68" t="inlineStr">
        <is>
          <t>NC STATE-inspected slaughter + processing</t>
        </is>
      </c>
      <c r="D13" s="68" t="inlineStr">
        <is>
          <t>unknown — NO public figure exists for NC state plants (NASS withholds NC hog totals; NCDA publishes none)
· inference by business type: hog-only packer / sausage maker — plausibly 100-300/wk (Nahunta-type); ask</t>
        </is>
      </c>
      <c r="E13" s="88" t="inlineStr">
        <is>
          <t>YES · ~119 mi (borderline)
(Pikeville: ~201 mi)</t>
        </is>
      </c>
      <c r="F13" s="143" t="inlineStr">
        <is>
          <t>confirm
(state — no volume published)</t>
        </is>
      </c>
      <c r="G13" s="68" t="inlineStr">
        <is>
          <t>Yes — SWINE-ONLY
(boar/stag: ask — the NCDA species code does not distinguish boars)</t>
        </is>
      </c>
      <c r="H13" s="68" t="inlineStr">
        <is>
          <t>STATE only P-85
(NOT USDA — intrastate)</t>
        </is>
      </c>
      <c r="I13" s="68" t="inlineStr">
        <is>
          <t>State-inspected — not in FSIS data by construction</t>
        </is>
      </c>
      <c r="J13" s="68" t="inlineStr">
        <is>
          <t>State-inspected — intrastate NC only</t>
        </is>
      </c>
      <c r="K13" s="68" t="inlineStr">
        <is>
          <t>None found (state plant — not in FSIS data) Unverified signal (indexed Facebook posts, undated) of a 2026 leadership change — ask who runs the plant now; the state filing still names the McLaughlin family.</t>
        </is>
      </c>
      <c r="L13" s="68" t="inlineStr">
        <is>
          <t>MIXED: livermush CONSUMES THE LIVERS (~3,000 lb/wk in season) and sausage uses trim — livers and some viscera are their RAW MATERIAL. But pelvic / bariatric / thoracic blocks, aortas and leaf fat may still be waste streams — negotiable.</t>
        </is>
      </c>
      <c r="M13" s="68" t="inlineStr">
        <is>
          <t>Plausible</t>
        </is>
      </c>
      <c r="N13" s="68" t="inlineStr">
        <is>
          <t>Implausible</t>
        </is>
      </c>
      <c r="O13" s="68" t="inlineStr">
        <is>
          <t>CONTACT: Tom McLaughlin (NCDA county directory, 704-663-2038); OpenCorporates officers William H. McLaughlin Jr. (pres.) and Thomas B. McLaughlin (VP)
(704) 235-8003</t>
        </is>
      </c>
      <c r="P13" s="23" t="inlineStr">
        <is>
          <t>POSSIBLE</t>
        </is>
      </c>
      <c r="Q13" s="178" t="inlineStr">
        <is>
          <t>TIER 3 — self-supplied hog-only product plant (livermush consumes the livers; our blocks/aortas don't compete); western-crew play.</t>
        </is>
      </c>
      <c r="R13" s="179" t="inlineStr">
        <is>
          <t>mclaughlinsausage.com
New Facebook page (2026) · Yelp · OpenCorporates 0092835 (Current Active; ADM reinstated Apr-2023; annual report Apr-2026) (verified 2026-09-30)</t>
        </is>
      </c>
      <c r="S13" s="68" t="inlineStr">
        <is>
          <t>Med-High
(FSIS+NCDA 8-17)</t>
        </is>
      </c>
      <c r="T13" s="68" t="inlineStr">
        <is>
          <t>★ UPGRADED 2026-08-17 — the most interesting STRUCTURAL ANALOGUE TO NAHUNTA in the west (adversarially confirmed on the 2026-08-10 state directory): self-supplied, hog-only, product-driven family plant since 1962 (plant built by Harold 'Pop' McLaughlin; buys hogs from local farmers and kills under its own P-85 grant to make sausage + livermush). Organ competition is on LIVERS specifically — our pelvic/bariatric/thoracic/aorta needs may not conflict at all, which makes a direct conversation worth having. Volume unpublished (state plants publish none). 201 road mi; western-crew / Model B play.  [2026-08-17 focus-region pass: FSIS MPI + Demographic datasets and NCDA&amp;CS directories (dated 2026-08-10) retrieved fresh 2026-08-17; adversarially verified.]
Beebop r2 (9-28): exact address (16311 Mooresville Road) = 119.4 road / 106.1 radial miles from Durham — just inside; the actual crew base could push it over.
SOCIAL/OTHER 9-30: UNVERIFIED SIGNAL of a 2026 leadership change: two indexed Facebook posts (Josh's Farmers Market; a McLaughlin's page created 2026) refer to 'the new Captain' — undated, not directly accessible. The state filing (annual report 2026-04-01) still lists William H. McLaughlin Jr. and Thomas B. McLaughlin; the county directory names Tom McLaughlin. Founded 1962 (company site). County directory confirms HOG-ONLY slaughter, retail inside NC. A new operator can mean new openness — ask who runs it now.</t>
        </is>
      </c>
      <c r="U13" s="211" t="inlineStr">
        <is>
          <t>A-08</t>
        </is>
      </c>
      <c r="V13" s="143" t="inlineStr">
        <is>
          <t>Tier 3
A 3.4 / B 3.3</t>
        </is>
      </c>
    </row>
    <row r="14" ht="179.2" customHeight="1" s="59">
      <c r="A14" s="4" t="inlineStr">
        <is>
          <t>Key Packing Company, Inc.</t>
        </is>
      </c>
      <c r="B14" s="68" t="inlineStr">
        <is>
          <t>Robbins, NC</t>
        </is>
      </c>
      <c r="C14" s="68" t="inlineStr">
        <is>
          <t>NCDA state-inspected</t>
        </is>
      </c>
      <c r="D14" s="68" t="inlineStr">
        <is>
          <t>unknown (small)</t>
        </is>
      </c>
      <c r="E14" s="88" t="inlineStr">
        <is>
          <t>YES · ~70 mi
(Pikeville: ~116 mi)</t>
        </is>
      </c>
      <c r="F14" s="143" t="inlineStr">
        <is>
          <t>confirm
(state — no volume published)</t>
        </is>
      </c>
      <c r="G14" s="68" t="inlineStr">
        <is>
          <t>Yes</t>
        </is>
      </c>
      <c r="H14" s="68" t="inlineStr">
        <is>
          <t>STATE only
(NOT USDA — no FSIS record)</t>
        </is>
      </c>
      <c r="I14" s="68" t="inlineStr">
        <is>
          <t>None found (state-inspected; federal FSIS enforcement n/a)</t>
        </is>
      </c>
      <c r="J14" s="68" t="inlineStr">
        <is>
          <t>State-inspected; not on public export lists — verify</t>
        </is>
      </c>
      <c r="K14" s="68" t="inlineStr">
        <is>
          <t>Family-owned (Key family); custom slaughter for independent farmers</t>
        </is>
      </c>
      <c r="L14" s="68" t="inlineStr">
        <is>
          <t>Plausible</t>
        </is>
      </c>
      <c r="M14" s="68" t="inlineStr">
        <is>
          <t>Plausible</t>
        </is>
      </c>
      <c r="N14" s="68" t="inlineStr">
        <is>
          <t>Plausible</t>
        </is>
      </c>
      <c r="O14" s="68" t="inlineStr">
        <is>
          <t>CONTACT: Elizabeth Key (co-founder) — current manager / partnership decision-maker to be CONFIRMED on the call. Gilbert Key, co-founder, died 2026-04-06 (obituary, Pines Funerals); the notice says the business continues in the family (Robin Key Rexroad, Scott Key, Mitchell Key).
(910) 464-3507
keypackingcompany.com</t>
        </is>
      </c>
      <c r="P14" s="23" t="inlineStr">
        <is>
          <t>POSSIBLE</t>
        </is>
      </c>
      <c r="Q14" s="178" t="inlineStr">
        <is>
          <t>TIER 3 — state-inspected multi-species backup at the 120-mi edge; behind the I-95 pair on every axis.</t>
        </is>
      </c>
      <c r="R14" s="179" t="inlineStr">
        <is>
          <t>no website (keypackingcompany.com is parked) — phone (910) 464-3507
facebook.com/keypackingcompany (24 reviews, 100% recommend) · 4.8/5 from 84 reviewers (aggregator) · Yelp · Nextdoor · Tripadvisor (verified 2026-09-30)</t>
        </is>
      </c>
      <c r="S14" s="68" t="inlineStr">
        <is>
          <t>High
(FSIS+MPI 8-06)</t>
        </is>
      </c>
      <c r="T14" s="68" t="inlineStr">
        <is>
          <t>CONFIRMED NEGATIVE: no establishment named 'Key Packing' appears anywhere in the FSIS MPI directory, nationally, and nothing is listed at Robbins NC. The NC state-inspection label stands, which means intrastate sales only and — under our two-path rule — no export pathway, because APHIS equivalence was granted to the NC state programme for a plant we harvest at, and that is the whole basis. 116 road miles from the anchor: borderline inside the 120-mile Model A preference.  [Verified 2026-08-06 against FSIS Establishment Demographic Data + MPI Directory by Establishment Number.]
Beebop 9-28 (rank #6). NCDA directory 9-18: P-48, slaughter + processing, species A-E incl. swine.
SOCIAL/OTHER 9-30: Retail store + packing plant working with independent farmers. Reviews consistently praise quality (sausage) and friendly, professional staff. County directory: slaughter buffalo, calves, cattle, hogs. Active and well-regarded.</t>
        </is>
      </c>
      <c r="U14" s="211" t="inlineStr">
        <is>
          <t>A-09</t>
        </is>
      </c>
      <c r="V14" s="143" t="inlineStr">
        <is>
          <t>Tier 3
A 3.3 / B 3.2</t>
        </is>
      </c>
    </row>
    <row r="15" ht="206" customHeight="1" s="59">
      <c r="A15" s="4" t="inlineStr">
        <is>
          <t>EcoFriendly Foods, LLC</t>
        </is>
      </c>
      <c r="B15" s="68" t="inlineStr">
        <is>
          <t>Moneta, VA</t>
        </is>
      </c>
      <c r="C15" s="68" t="inlineStr">
        <is>
          <t>USDA + Certified Humane multi-species harvest — OPERATING STATUS DISPUTED</t>
        </is>
      </c>
      <c r="D15" s="68" t="inlineStr">
        <is>
          <t>hogs ≤ ~150/wk and realistically tens/wk
· NASS 2025: Virginia's 16 federal plants killed 7,841 hogs in the WHOLE year (≈150/wk statewide) — this plant holds a POULTRY grant (P21938), so its cat-3 band (10,000-99,999 head, all species) is mostly birds
· HACCP Very Small (&lt;10 employees or &lt;$2.5M sales)</t>
        </is>
      </c>
      <c r="E15" s="88" t="inlineStr">
        <is>
          <t>NO (boundary) · ~120 mi
(120.4 exact road · 92.6 radial; Pikeville: ~198 mi)</t>
        </is>
      </c>
      <c r="F15" s="143" t="inlineStr">
        <is>
          <t>confirm (band ≤1,944)</t>
        </is>
      </c>
      <c r="G15" s="68" t="inlineStr">
        <is>
          <t>⚠ BOAR/STAG flagged (FSIS)
MARKET + SOW + ROASTER + boar/stag
(all four classes)</t>
        </is>
      </c>
      <c r="H15" s="68" t="inlineStr">
        <is>
          <t>USDA ✓ M21938 + P21938</t>
        </is>
      </c>
      <c r="I15" s="68" t="inlineStr">
        <is>
          <t>None found in FSIS/recall/AWI — BUT reportedly CEASED operations / bankruptcy ~2020. Verify still operating!</t>
        </is>
      </c>
      <c r="J15" s="68" t="inlineStr">
        <is>
          <t>Not on public export lists — verify (and confirm still operating)</t>
        </is>
      </c>
      <c r="K15" s="68" t="inlineStr">
        <is>
          <t>CERTIFIED HUMANE — strongest welfare match in the study OPERATING STATUS DISPUTED: YellowPages listing 13561509 flags 'This business has CLOSED' (undated; carries (540) 297-9582); the company site and a 2025 price sheet are live; Beebop's contact is 540-525-0352. Direct confirmation required.</t>
        </is>
      </c>
      <c r="L15" s="68" t="inlineStr">
        <is>
          <t>Custom multi-species harvest for outside producers</t>
        </is>
      </c>
      <c r="M15" s="68" t="inlineStr">
        <is>
          <t>Worth asking (A)</t>
        </is>
      </c>
      <c r="N15" s="68" t="inlineStr">
        <is>
          <t>Excellent B (already does custom harvest)</t>
        </is>
      </c>
      <c r="O15" s="68" t="inlineStr">
        <is>
          <t>CONTACT: (owner name not retrieved)
540-525-0352
ecofriendly.com</t>
        </is>
      </c>
      <c r="P15" s="23" t="inlineStr">
        <is>
          <t>CAUTION
(boar/stag)</t>
        </is>
      </c>
      <c r="Q15" s="178" t="inlineStr">
        <is>
          <t>BOAR/STAG RULE 9-28: FSIS flags boar/stag slaughter at this plant — AVOID unless the call confirms boars/stags are never run with our hogs (gate G4). TIER-2-ADJACENT (VA) — all four hog classes at cat-3 volume, the strongest VA option and welfare-branded; 120 road mi from Durham (198 from Pikeville) → Model B-T only. Site live 2026-09-03 (contradicts the old 'ceased ~2020' rumor again).</t>
        </is>
      </c>
      <c r="R15" s="179" t="inlineStr">
        <is>
          <t>ecofriendly.com
facebook.com/EcofriendlyFoods (3,153 likes) · Yelp (1 review, Feb-2026 listing) · Birdeye 6 reviews · YELLOWPAGES LISTS IT AS CLOSED · phone conflict: (540) 297-9582 (listings) vs 540-525-0352 (Beebop) (verified 2026-09-30)</t>
        </is>
      </c>
      <c r="S15" s="68" t="inlineStr">
        <is>
          <t>High
(FSIS+MPI 8-06)</t>
        </is>
      </c>
      <c r="T15" s="68" t="inlineStr">
        <is>
          <t>★ UPGRADED from SMALL/unknown. Active federal grant M21938 + P21938 with ALL FOUR swine classes flagged, and FSIS slaughter_volume_category = 3 = 194-1,944/wk — a real medium-band plant, not the boutique operation the roster implied. Virginia's welfare bench plus genuine volume makes this the strongest VA candidate now that Gunnoe is refuted and T&amp;E/Honest Meats is excluded on humane-handling grounds. Out of state, so Model B or a secondary lane.  [Verified 2026-08-06 against FSIS Establishment Demographic Data + MPI Directory by Establishment Number.]
Beebop r2 (9-28): exact facility address (3397 Stony Fork Road) routes to 120.4 road / 92.6 radial miles from Durham City Hall — inside the literal radius, just over a strict road screen; my city-level 112 was not good enough at a boundary. Its 2025 price sheet includes small whole-hog harvest. Rated PROX held at 4 as a boundary case pending the confirmed origin.
VOLUME INFERENCE 9-28: the cat-3 band was misread as hog scale — NASS caps the whole of Virginia at 7,841 federal hogs/yr. Not a Martin's-scale source; a welfare-branded pilot at best.
SOCIAL/OTHER 9-30: Operating status is genuinely uncertain: a live website and 2025 price sheet on one side, a 'CLOSED' directory listing and 'website no longer active' note on the other. Farmers-market model (never-frozen meat). The first call question is simply: are you slaughtering this month?</t>
        </is>
      </c>
      <c r="U15" s="211" t="inlineStr">
        <is>
          <t>A-10</t>
        </is>
      </c>
      <c r="V15" s="143" t="inlineStr">
        <is>
          <t>Tier 3
A 3.3 / B 3.2</t>
        </is>
      </c>
    </row>
    <row r="16" ht="139" customHeight="1" s="59">
      <c r="A16" s="138" t="inlineStr">
        <is>
          <t>Quaqua Creek Farm, LLC</t>
        </is>
      </c>
      <c r="B16" s="68" t="inlineStr">
        <is>
          <t>Ruffin, NC (Rockingham Co.)</t>
        </is>
      </c>
      <c r="C16" s="68" t="inlineStr">
        <is>
          <t>NC state-inspected slaughter + processing</t>
        </is>
      </c>
      <c r="D16" s="68" t="inlineStr">
        <is>
          <t>unknown — NO public figure exists for NC state plants (NASS withholds NC hog totals; NCDA publishes none)
· inference by business type: multi-species custom / retail plant — typically 10-100 hogs/wk; call question 2 decides</t>
        </is>
      </c>
      <c r="E16" s="88" t="inlineStr">
        <is>
          <t>YES · ~67 mi
(Pikeville: n/m)</t>
        </is>
      </c>
      <c r="F16" s="143" t="inlineStr">
        <is>
          <t>confirm
(state plant — no band)</t>
        </is>
      </c>
      <c r="G16" s="68" t="inlineStr">
        <is>
          <t>Calves, cattle, SWINE, sheep, goats
(NCDA species A,B,C,D,E)
(boar/stag: ask — the NCDA species code does not distinguish boars)</t>
        </is>
      </c>
      <c r="H16" s="68" t="inlineStr">
        <is>
          <t>STATE ✓ P-375
(NCDA&amp;CS directory 2026-09-18)</t>
        </is>
      </c>
      <c r="I16" s="25" t="inlineStr">
        <is>
          <t>n/a — state plant sits outside FSIS reporting (welfare = site-visit finding)</t>
        </is>
      </c>
      <c r="J16" s="68" t="inlineStr">
        <is>
          <t>Eligible — NC state inspection is the APHIS-accepted equivalent for our harvest path</t>
        </is>
      </c>
      <c r="K16" s="68" t="inlineStr">
        <is>
          <t>No record either way; small farm-plant; visit finding</t>
        </is>
      </c>
      <c r="L16" s="68" t="inlineStr">
        <is>
          <t>unknown — call question 3</t>
        </is>
      </c>
      <c r="M16" s="68" t="inlineStr">
        <is>
          <t>possible — small floor, ~67 road mi from Durham</t>
        </is>
      </c>
      <c r="N16" s="68" t="inlineStr">
        <is>
          <t>possible only if the crew is stable — unknown</t>
        </is>
      </c>
      <c r="O16" s="68" t="inlineStr">
        <is>
          <t>CONTACT: (contact name not in any directory retrieved — ask)
336-939-2656 · 429 Estes Road, Ruffin, NC 27326</t>
        </is>
      </c>
      <c r="P16" s="23" t="inlineStr">
        <is>
          <t>POSSIBLE</t>
        </is>
      </c>
      <c r="Q16" s="178" t="inlineStr">
        <is>
          <t>The one north-of-Greensboro STATE plant in the zone the client asked to emphasize; the NC grant carries the APHIS equivalence. Promoted from the state roll-up (row 74) because Beebop's plan ranks it #7. Volume, hog share and hosting are all unknown — the three-question call decides it.</t>
        </is>
      </c>
      <c r="R16" s="179" t="inlineStr">
        <is>
          <t>Not confirmed (Beebop 9-28: no company site found)
A Feb-2025 post on 'The Messenger of Madison-Mayodan' (local news page) about 'QuaQua Creek Custom Processing' — text not retrievable · Bizapedia LLC entry (CAPTCHA-blocked) (verified 2026-09-30)</t>
        </is>
      </c>
      <c r="S16" s="68" t="inlineStr">
        <is>
          <t>Medium (NCDA 9-18 + Beebop)</t>
        </is>
      </c>
      <c r="T16" s="68" t="inlineStr">
        <is>
          <t>Listed P-375 in the NCDA&amp;CS directory run Friday 2026-09-18 (Area 8, Rockingham). Beebop 9-28 caution: older directories described custom status; the current listing is a state grant — confirm INSPECTED hog slaughter on the call. Previously carried only inside the 'NC state-inspected multi-species' roll-up row.
SOCIAL/OTHER 9-30: No company website, no reviews found; the Rockingham county directory (undated) does not list it — the P-375 grant is newer than that file. Corporate status unverified. Everything rests on the call.</t>
        </is>
      </c>
      <c r="U16" s="211" t="inlineStr">
        <is>
          <t>A-11</t>
        </is>
      </c>
      <c r="V16" s="143" t="inlineStr">
        <is>
          <t>Tier 3
A 3.2 / B 3.0</t>
        </is>
      </c>
    </row>
    <row r="17" ht="139" customHeight="1" s="59">
      <c r="A17" s="138" t="inlineStr">
        <is>
          <t>Farmington Meat Processing, LLC</t>
        </is>
      </c>
      <c r="B17" s="68" t="inlineStr">
        <is>
          <t>Mocksville, NC (Davie Co.)</t>
        </is>
      </c>
      <c r="C17" s="68" t="inlineStr">
        <is>
          <t>NC state-inspected slaughter + processing</t>
        </is>
      </c>
      <c r="D17" s="68" t="inlineStr">
        <is>
          <t>unknown — NO public figure exists for NC state plants (NASS withholds NC hog totals; NCDA publishes none)
· inference by business type: multi-species custom / retail plant — typically 10-100 hogs/wk; call question 2 decides</t>
        </is>
      </c>
      <c r="E17" s="88" t="inlineStr">
        <is>
          <t>YES · ~103 mi
(91.7 radial; Pikeville: n/m)</t>
        </is>
      </c>
      <c r="F17" s="143" t="inlineStr">
        <is>
          <t>confirm
(state plant — no band)</t>
        </is>
      </c>
      <c r="G17" s="68" t="inlineStr">
        <is>
          <t>Calves, cattle, SWINE, sheep, goats
(NCDA species A,B,C,D,E)
(boar/stag: ask — the NCDA species code does not distinguish boars)</t>
        </is>
      </c>
      <c r="H17" s="68" t="inlineStr">
        <is>
          <t>STATE ✓ P-381
(NCDA&amp;CS directory 2026-09-18)</t>
        </is>
      </c>
      <c r="I17" s="25" t="inlineStr">
        <is>
          <t>n/a — state plant sits outside FSIS reporting (welfare = site-visit finding)</t>
        </is>
      </c>
      <c r="J17" s="68" t="inlineStr">
        <is>
          <t>Eligible — NC state inspection is the APHIS-accepted equivalent for our harvest path</t>
        </is>
      </c>
      <c r="K17" s="68" t="inlineStr">
        <is>
          <t>No record either way; small custom-model business; visit finding 5.0/5 on 20 reviews; 9,100 Facebook followers.</t>
        </is>
      </c>
      <c r="L17" s="68" t="inlineStr">
        <is>
          <t>unknown — call question 3</t>
        </is>
      </c>
      <c r="M17" s="68" t="inlineStr">
        <is>
          <t>possible — small floor, ~103 road mi from Durham (western lane)</t>
        </is>
      </c>
      <c r="N17" s="68" t="inlineStr">
        <is>
          <t>unknown</t>
        </is>
      </c>
      <c r="O17" s="68" t="inlineStr">
        <is>
          <t>CONTACT: (Davie county directory not retrievable — ask)
(336) 998-7092 · 135 Nikkis Way, Mocksville, NC 27028</t>
        </is>
      </c>
      <c r="P17" s="23" t="inlineStr">
        <is>
          <t>POSSIBLE</t>
        </is>
      </c>
      <c r="Q17" s="178" t="inlineStr">
        <is>
          <t>Beebop r2 ranks it #5: state P-381 slaughter with swine (NCDA 9-18) and Facebook/Instagram pig-processing descriptions that match the address and phone. Promoted from the state roll-up (row 74). A small custom-model business is not evidence of scale — a three-question call resolves it.</t>
        </is>
      </c>
      <c r="R17" s="179" t="inlineStr">
        <is>
          <t>facebook.com/FarmingtonMeat · instagram.com/farmington_meat_processing (Beebop r2)
facebook.com/FarmingtonMeat (9,125 likes) · instagram.com/farmington_meat_processing (1,207 followers) · Yelp · Nextdoor · 5.0/5 from 20 reviews (Chamber) (verified 2026-09-30)</t>
        </is>
      </c>
      <c r="S17" s="68" t="inlineStr">
        <is>
          <t>Medium (NCDA 9-18 + Beebop r2)</t>
        </is>
      </c>
      <c r="T17" s="68" t="inlineStr">
        <is>
          <t>Do not confuse with FSIS 'Farmington Meat Co. Inc.' M1993 — a processing-only entity. Added 2026-09-28 from the Beebop round-2 cross-check.
SOCIAL/OTHER 9-30: Retail store Wed-Fri 9-6, Sat 9-2 (kill days likely early week). Processes deer, cows, goats, pigs — DEER SEASON is a seasonal load. Active, well-liked business.</t>
        </is>
      </c>
      <c r="U17" s="211" t="inlineStr">
        <is>
          <t>A-12</t>
        </is>
      </c>
      <c r="V17" s="143" t="inlineStr">
        <is>
          <t>Tier 3
A 3.2 / B 3.0</t>
        </is>
      </c>
    </row>
    <row r="18" ht="152.4" customHeight="1" s="59">
      <c r="A18" s="138" t="inlineStr">
        <is>
          <t>The Butcher's Block</t>
        </is>
      </c>
      <c r="B18" s="68" t="inlineStr">
        <is>
          <t>Dry Fork, VA (Pittsylvania Co.)</t>
        </is>
      </c>
      <c r="C18" s="68" t="inlineStr">
        <is>
          <t>USDA-inspected (Virginia) — also custom-exempt work</t>
        </is>
      </c>
      <c r="D18" s="68" t="inlineStr">
        <is>
          <t>&lt;19/wk (FSIS cat 1)
· HACCP Very Small (&lt;10 employees or &lt;$2.5M sales)
· hog kill CAPPED by NASS 2025: Virginia's 16 federal plants killed 7,841 hogs in the WHOLE year (≈150/wk statewide) — the FSIS band counts ALL species</t>
        </is>
      </c>
      <c r="E18" s="88" t="inlineStr">
        <is>
          <t>YES · ~74 mi
(60.5 radial; Pikeville: n/m)</t>
        </is>
      </c>
      <c r="F18" s="139" t="inlineStr">
        <is>
          <t>0-300/wk (&lt;19)</t>
        </is>
      </c>
      <c r="G18" s="68" t="inlineStr">
        <is>
          <t>⚠ BOAR/STAG flagged (FSIS)
MARKET + SOW + ROASTER + boar/stag (all four FSIS classes); custom-exempt also = Yes</t>
        </is>
      </c>
      <c r="H18" s="68" t="inlineStr">
        <is>
          <t>USDA ✓ M763
grant 2/13/2024</t>
        </is>
      </c>
      <c r="I18" s="25" t="inlineStr">
        <is>
          <t>None found (grant under 2 years old)</t>
        </is>
      </c>
      <c r="J18" s="68" t="inlineStr">
        <is>
          <t>Eligible (federal grant)</t>
        </is>
      </c>
      <c r="K18" s="68" t="inlineStr">
        <is>
          <t>No record; visit finding</t>
        </is>
      </c>
      <c r="L18" s="68" t="inlineStr">
        <is>
          <t>unknown</t>
        </is>
      </c>
      <c r="M18" s="68" t="inlineStr">
        <is>
          <t>pilot-scale only — cat 1</t>
        </is>
      </c>
      <c r="N18" s="68" t="inlineStr">
        <is>
          <t>unlikely — too small</t>
        </is>
      </c>
      <c r="O18" s="68" t="inlineStr">
        <is>
          <t>CONTACT: Andy and Samantha Thomas (owners) · 434-432-2345
434-432-2345 · 4655 Dry Fork Road, Dry Fork, VA 24549</t>
        </is>
      </c>
      <c r="P18" s="140" t="inlineStr">
        <is>
          <t>WATCH</t>
        </is>
      </c>
      <c r="Q18" s="178" t="inlineStr">
        <is>
          <t>BOAR/STAG RULE 9-28: FSIS flags boar/stag slaughter at this plant — AVOID unless the call confirms boars/stags are never run with our hogs (gate G4). Beebop r2 lead: 74 road miles from Durham with all four hog classes flagged in the FSIS pull — but cat 1 (&lt;19 animals/week). Namesake shops elsewhere are different businesses. A one-call scale check.</t>
        </is>
      </c>
      <c r="R18" s="179" t="inlineStr">
        <is>
          <t>facebook.com/p/The-Butchers-Block-100057234168268 (Beebop r2)
facebook.com/p/The-Butchers-Block (3,282 followers) · 4.7/5 from 26 reviews · BBB · butchersblockva.com · Farmshare processor listing (verified 2026-09-30)</t>
        </is>
      </c>
      <c r="S18" s="68" t="inlineStr">
        <is>
          <t>High (FSIS 9-03 + MPI)</t>
        </is>
      </c>
      <c r="T18" s="68" t="inlineStr">
        <is>
          <t>Added 2026-09-28 from the Beebop round-2 cross-check; FSIS MPI grant date 2/13/2024.
SOCIAL/OTHER 9-30: Family-owned; 'extremely nice and friendly', 'second to none' service; a Facebook post marks the USDA-inspection milestone ('a process in the making').</t>
        </is>
      </c>
      <c r="U18" s="211" t="inlineStr">
        <is>
          <t>A-13</t>
        </is>
      </c>
      <c r="V18" s="143" t="inlineStr">
        <is>
          <t>Tier 3
A 3.1 / B 2.9</t>
        </is>
      </c>
    </row>
    <row r="19" ht="152.4" customHeight="1" s="59">
      <c r="A19" s="138" t="inlineStr">
        <is>
          <t>Easternview Farms LLC</t>
        </is>
      </c>
      <c r="B19" s="68" t="inlineStr">
        <is>
          <t>Drakes Branch, VA (Charlotte Co.)</t>
        </is>
      </c>
      <c r="C19" s="68" t="inlineStr">
        <is>
          <t>USDA-inspected (Virginia) — also custom + voluntary grants</t>
        </is>
      </c>
      <c r="D19" s="68" t="inlineStr">
        <is>
          <t>&lt;19/wk (FSIS cat 1)
· HACCP Very Small (&lt;10 employees or &lt;$2.5M sales)
· hog kill CAPPED by NASS 2025: Virginia's 16 federal plants killed 7,841 hogs in the WHOLE year (≈150/wk statewide) — the FSIS band counts ALL species</t>
        </is>
      </c>
      <c r="E19" s="88" t="inlineStr">
        <is>
          <t>YES · ~76 mi
(65.2 radial; Pikeville: n/m)</t>
        </is>
      </c>
      <c r="F19" s="139" t="inlineStr">
        <is>
          <t>0-300/wk (&lt;19)</t>
        </is>
      </c>
      <c r="G19" s="68" t="inlineStr">
        <is>
          <t>⚠ BOAR/STAG flagged (FSIS)
MARKET + SOW + boar/stag (FSIS flags); custom-exempt slaughter also = Yes</t>
        </is>
      </c>
      <c r="H19" s="68" t="inlineStr">
        <is>
          <t>USDA ✓ M1908 + V1908
grant 5/14/2024</t>
        </is>
      </c>
      <c r="I19" s="25" t="inlineStr">
        <is>
          <t>None found (grant under 2 years old)</t>
        </is>
      </c>
      <c r="J19" s="68" t="inlineStr">
        <is>
          <t>Eligible (federal grant — a VA STATE grant would not be)</t>
        </is>
      </c>
      <c r="K19" s="68" t="inlineStr">
        <is>
          <t>No record; farm-based operator; visit finding</t>
        </is>
      </c>
      <c r="L19" s="68" t="inlineStr">
        <is>
          <t>unknown — site advertises pork processing and animal sourcing</t>
        </is>
      </c>
      <c r="M19" s="68" t="inlineStr">
        <is>
          <t>pilot-scale only — cat-1 ceiling &lt;19 animals/wk, ALL species</t>
        </is>
      </c>
      <c r="N19" s="68" t="inlineStr">
        <is>
          <t>unlikely — too small to justify training</t>
        </is>
      </c>
      <c r="O19" s="68" t="inlineStr">
        <is>
          <t>CONTACT: (owners unnamed on site) · 434-208-8602
434-208-8602 · 1040 Deuprees Store Road, Drakes Branch, VA 23937</t>
        </is>
      </c>
      <c r="P19" s="140" t="inlineStr">
        <is>
          <t>WATCH</t>
        </is>
      </c>
      <c r="Q19" s="178" t="inlineStr">
        <is>
          <t>BOAR/STAG RULE 9-28: FSIS flags boar/stag slaughter at this plant — AVOID unless the call confirms boars/stags are never run with our hogs (gate G4). Beebop r2 ranks it #6: the closest Virginia plant to Durham (76 road mi) with its own site describing on-site slaughter and M1908. Verified in the FSIS pull: federal slaughter, cat 1, market + sow flags, plus a V (voluntary/non-amenable) grant — the research-species mechanism. Pilot scale; cheap call.</t>
        </is>
      </c>
      <c r="R19" s="179" t="inlineStr">
        <is>
          <t>easternviewfarmsllc.com (Beebop r2)
facebook.com/easternviewfarmsmeatprocessing (1,837 likes) · easternviewfarmsllc.com · Tripadvisor · Creatures directory (verified 2026-09-30)</t>
        </is>
      </c>
      <c r="S19" s="68" t="inlineStr">
        <is>
          <t>High (FSIS 9-03 + MPI)</t>
        </is>
      </c>
      <c r="T19" s="68" t="inlineStr">
        <is>
          <t>Not individually listed before — the southern-VA census (9-03) treated the cat-1 plants as a group. Added 2026-09-28.
SOCIAL/OTHER 9-30: Site: USDA grant Feb-2024 (FSIS shows 5/14/2024); processes beef, pork, deer, goat, sheep 'USDA or custom'; reviews positive on cuts, packaging, service.</t>
        </is>
      </c>
      <c r="U19" s="211" t="inlineStr">
        <is>
          <t>A-14</t>
        </is>
      </c>
      <c r="V19" s="143" t="inlineStr">
        <is>
          <t>Tier 3
A 3.1 / B 2.9</t>
        </is>
      </c>
    </row>
    <row r="20" ht="206" customHeight="1" s="59">
      <c r="A20" s="138" t="inlineStr">
        <is>
          <t>Bass Farms, Inc.
(DBA Bass Farm Sausage)</t>
        </is>
      </c>
      <c r="B20" s="68" t="inlineStr">
        <is>
          <t>Spring Hope, NC (Nash)</t>
        </is>
      </c>
      <c r="C20" s="68" t="inlineStr">
        <is>
          <t>Sausage PROCESSOR with a small attached kill floor
— NOT 'slaughter only'</t>
        </is>
      </c>
      <c r="D20" s="68" t="inlineStr">
        <is>
          <t>~19-194/wk
(FSIS cat 2 in the 2026-09-03 pull — was cat 1 in Aug; grant 2/17/2026)
· HACCP Small (10-499 employees)</t>
        </is>
      </c>
      <c r="E20" s="88" t="inlineStr">
        <is>
          <t>YES · ~61 mi
(Pikeville: ~40 mi)</t>
        </is>
      </c>
      <c r="F20" s="139" t="inlineStr">
        <is>
          <t>0-300/wk
(cat 2 — growing)</t>
        </is>
      </c>
      <c r="G20" s="68" t="inlineStr">
        <is>
          <t>SOW ONLY
sow_slaughter=Yes; market_swine=No,
roaster=No, boar/stag=No</t>
        </is>
      </c>
      <c r="H20" s="68" t="inlineStr">
        <is>
          <t>USDA ✓ M3521 — NEWEST swine-slaughter
grant in NC (2/17/2026), sow-only;
TA-3521 in the NCDA&amp;CS TA directory</t>
        </is>
      </c>
      <c r="I20" s="68" t="inlineStr">
        <is>
          <t>None found in 10 FSIS Quarterly Enforcement Reports (FY2024 Q1 – FY2026 Q2). NOT a clean bill — QERs cover suspensions / NOIEs / withholding actions only.</t>
        </is>
      </c>
      <c r="J20" s="68" t="inlineStr">
        <is>
          <t>Federal grant → EU Cat 3-eligible in principle. No APHIS VS export listing. Volume makes the question moot.</t>
        </is>
      </c>
      <c r="K20" s="68" t="inlineStr">
        <is>
          <t>Nothing published either way.</t>
        </is>
      </c>
      <c r="L20" s="68" t="inlineStr">
        <is>
          <t>Whole-hog sausage uses carcass meat, not viscera — sow organs / aortas are currently WASTE (inference, labeled). Sows = MATURE anatomy: large hearts, aortas, bladders, uteri.</t>
        </is>
      </c>
      <c r="M20" s="68" t="inlineStr">
        <is>
          <t>Micro-scale only — but brand-new floor, growth mode, never hosted harvesters; scheduling likely negotiable</t>
        </is>
      </c>
      <c r="N20" s="68" t="inlineStr">
        <is>
          <t>Plausible at micro volume</t>
        </is>
      </c>
      <c r="O20" s="68" t="inlineStr">
        <is>
          <t>CONTACT: John Bass (owner per NC Field &amp; Family; founder Ralph Bass)
(252) 478-4147
President: Kenneth Edwards
6685 Hwy 64 Alt, Spring Hope</t>
        </is>
      </c>
      <c r="P20" s="140" t="inlineStr">
        <is>
          <t>WATCH
(new sow floor)</t>
        </is>
      </c>
      <c r="Q20" s="178" t="inlineStr">
        <is>
          <t>TIER 2 — newest swine grant in NC, sow organs going to waste 40 min from Sims, and GROWING (FSIS cat 1→2 between Aug and Sep 2026). Micro-pilot only.</t>
        </is>
      </c>
      <c r="R20" s="179" t="inlineStr">
        <is>
          <t>bassfarmsausage.com
bassfarmsausage.com · BBB profile · YellowPages (verified 2026-09-30)</t>
        </is>
      </c>
      <c r="S20" s="68" t="inlineStr">
        <is>
          <t>High
(FSIS+NCDA 8-17)</t>
        </is>
      </c>
      <c r="T20" s="68" t="inlineStr">
        <is>
          <t>★ REFRAMED BY THE 2026-08-17 SWEEP — from 'removed on volume' to WATCH/PILOT. What changed: M3521 is the NEWEST federal swine-slaughter grant in North Carolina (2/17/2026, sow-only — adversarially confirmed against the FSIS datasets), issued on the back of a $2.2M, 40-JOB EXPANSION (NC Commerce 8/17/2023; $434,730 Rural Infrastructure water-line grant to Spring Hope for the Bass facility). A 60-year-old whole-hog sausage brand with a NEW kill floor in growth mode, 40 min from our Sims operation — and its sow organs/aortas are going to waste today. STILL TRUE: &lt;19 sows/wk (cat 1) — this cannot anchor anything; it is a MICRO-VOLUME MATURE-ANATOMY ADD-ON (a handful of blocks/week), and the kill floor exists to feed their own sausage line, so access is a commercial negotiation. President Kenneth Edwards (NC Field &amp; Family, Summer 2026). Prior structural corrections stand (sausage processor with attached kill floor, not 'slaughter only').  [2026-08-17 focus-region pass: FSIS MPI + Demographic datasets and NCDA&amp;CS directories (dated 2026-08-10) retrieved fresh 2026-08-17; adversarially verified.]
Beebop 9-28 (rank #16) flags the sow-only class against the 140-220 lb target — 'animal-size mismatch may disqualify'. Agreed: ANAT re-scored on Rated Candidates.
SOCIAL/OTHER 9-30: Family sausage business since the 1950s; sources hogs from NC farmers; blends in 100-lb batches. Nothing new on the sow-only class.</t>
        </is>
      </c>
      <c r="U20" s="211" t="inlineStr">
        <is>
          <t>A-15</t>
        </is>
      </c>
      <c r="V20" s="143" t="inlineStr">
        <is>
          <t>Tier 3
A 2.8 / B 3.0</t>
        </is>
      </c>
    </row>
    <row r="21" ht="179.2" customHeight="1" s="59">
      <c r="A21" s="4" t="inlineStr">
        <is>
          <t>Contentnea Farms, LLC</t>
        </is>
      </c>
      <c r="B21" s="68" t="inlineStr">
        <is>
          <t>Walstonburg, NC (Greene)</t>
        </is>
      </c>
      <c r="C21" s="68" t="inlineStr">
        <is>
          <t>Talmadge-Aiken multi-species slaughter</t>
        </is>
      </c>
      <c r="D21" s="68" t="inlineStr">
        <is>
          <t>&lt;19/wk
(FSIS cat 1)
· HACCP Very Small (&lt;10 employees or &lt;$2.5M sales)</t>
        </is>
      </c>
      <c r="E21" s="88" t="inlineStr">
        <is>
          <t>YES · ~90 mi
(Pikeville: ~35 mi)</t>
        </is>
      </c>
      <c r="F21" s="139" t="inlineStr">
        <is>
          <t>0-300/wk (&lt;19)</t>
        </is>
      </c>
      <c r="G21" s="68" t="inlineStr">
        <is>
          <t>⚠ BOAR/STAG flagged (FSIS)
MARKET + SOW + boar/stag</t>
        </is>
      </c>
      <c r="H21" s="68" t="inlineStr">
        <is>
          <t>USDA ✓ M2583 — grant 10/29/2025
(2nd-newest swine grant in NC;
TA-2583 in the state TA directory)</t>
        </is>
      </c>
      <c r="I21" s="68" t="inlineStr">
        <is>
          <t>None found in the FSIS QERs through Q3 FY2026 (narrow negative — routine NRs are not published)</t>
        </is>
      </c>
      <c r="J21" s="68" t="inlineStr">
        <is>
          <t>Talmadge-Aiken — interstate/export eligible. APHIS listing unverified</t>
        </is>
      </c>
      <c r="K21" s="68" t="inlineStr">
        <is>
          <t>None found in the FSIS QERs through Q3 FY2026 (narrow negative — routine NRs are not published)</t>
        </is>
      </c>
      <c r="L21" s="68" t="inlineStr">
        <is>
          <t>unknown</t>
        </is>
      </c>
      <c r="M21" s="68" t="inlineStr">
        <is>
          <t>Plausible</t>
        </is>
      </c>
      <c r="N21" s="68" t="inlineStr">
        <is>
          <t>Plausible</t>
        </is>
      </c>
      <c r="O21" s="68" t="inlineStr">
        <is>
          <t>CONTACT: (Greene county directory not retrievable — ask)
(252) 717-9229</t>
        </is>
      </c>
      <c r="P21" s="23" t="inlineStr">
        <is>
          <t>CAUTION
(boar/stag)</t>
        </is>
      </c>
      <c r="Q21" s="178" t="inlineStr">
        <is>
          <t>BOAR/STAG RULE 9-28: FSIS flags boar/stag slaughter at this plant — AVOID unless the call confirms boars/stags are never run with our hogs (gate G4). TIER 3 — 35 mi from Pikeville but 90 road mi from Durham but &lt;19/wk; overflow/pilot for odd-lot sow or boar needs.</t>
        </is>
      </c>
      <c r="R21" s="179" t="inlineStr">
        <is>
          <t>contentneafarms.com
facebook.com/ContentneaFarms (9,918 likes; 1,371 'talking about') · instagram.com/contentnea_farms (357) · Birdeye 5.0/5 from 49 reviews · Wayne County Chamber (verified 2026-09-30)</t>
        </is>
      </c>
      <c r="S21" s="68" t="inlineStr">
        <is>
          <t>High
(FSIS+NCDA 8-17)</t>
        </is>
      </c>
      <c r="T21" s="68" t="inlineStr">
        <is>
          <t>UPDATED 2026-08-17: the grant is NEWER than the file said — 10/29/2025, the second-newest swine-slaughter grant in NC after Bass Farms. Multi-species custom shop (market swine + sows + boars on the flags); pigs ≤115 lb: $35 kill fee + $1.29/lb processing (own site) — a small-pig/homestead niche at &lt;19 hd/wk. A new-grant, growth-minded operator 35 road mi out: keep as overflow/pilot for odd-lot sow or boar needs, nothing at scale. NOTE: 'Caudle Meat' (unlocated Greene Co. operation) won a $189,470 NCAMPI grant in the 2026-07-07 round with NO inspection-directory record yet — possible NEW capacity coming online in this same county; track it.  [2026-08-17 focus-region pass: FSIS MPI + Demographic datasets and NCDA&amp;CS directories (dated 2026-08-10) retrieved fresh 2026-08-17; adversarially verified.]
Beebop 9-28 (rank #4): current site offers pork slaughter + open processing appointments; retail is in Walstonburg while the TA-2583 mailing address is Snow Hill — clarify where slaughter and any tissue recovery would happen.
SOCIAL/OTHER 9-30: Very active retail brand with a Goldsboro location; processes beef, pork, goats, sheep, DEER and BEARS (seasonal load); delivers up to 60 mi. Reviews uniformly positive.</t>
        </is>
      </c>
      <c r="U21" s="211" t="inlineStr">
        <is>
          <t>A-16</t>
        </is>
      </c>
      <c r="V21" s="143" t="inlineStr">
        <is>
          <t>Tier 3
A 2.8 / B 2.9</t>
        </is>
      </c>
    </row>
    <row r="22" ht="192.6" customHeight="1" s="59">
      <c r="A22" s="138" t="inlineStr">
        <is>
          <t>M.L. Mitchell &amp; Son
(FSIS lists Mitchell's Meat Processing, LLC)</t>
        </is>
      </c>
      <c r="B22" s="68" t="inlineStr">
        <is>
          <t>Walnut Cove, NC</t>
        </is>
      </c>
      <c r="C22" s="68" t="inlineStr">
        <is>
          <t>USDA-inspected</t>
        </is>
      </c>
      <c r="D22" s="68" t="inlineStr">
        <is>
          <t>&lt;19/wk
(FSIS cat 1)
· HACCP Very Small (&lt;10 employees or &lt;$2.5M sales)</t>
        </is>
      </c>
      <c r="E22" s="88" t="inlineStr">
        <is>
          <t>YES · ~85 mi ≈
(Pikeville: ~160 mi)</t>
        </is>
      </c>
      <c r="F22" s="139" t="inlineStr">
        <is>
          <t>0-300/wk (&lt;19)</t>
        </is>
      </c>
      <c r="G22" s="68" t="inlineStr">
        <is>
          <t>⚠ BOAR/STAG flagged (FSIS)
MARKET + SOW + boar/stag</t>
        </is>
      </c>
      <c r="H22" s="68" t="inlineStr">
        <is>
          <t>USDA ✓ M46822 + P46822
(listed as Mitchell's Meat Processing)</t>
        </is>
      </c>
      <c r="I22" s="25" t="inlineStr">
        <is>
          <t>⚠ Slaughter suspension Aug 2021 — egregious (failed goat stun, conscious throat-cut). PETA→DA.</t>
        </is>
      </c>
      <c r="J22" s="68" t="inlineStr">
        <is>
          <t>Not on public export lists — verify</t>
        </is>
      </c>
      <c r="K22" s="68" t="inlineStr">
        <is>
          <t>Family business (culture signal) Facebook 78% recommend (14 reviews) — lowest in the set; see the enforcement column.
BBB: A+ rated (profile checked 2026-09-30).</t>
        </is>
      </c>
      <c r="L22" s="68" t="inlineStr">
        <is>
          <t>Plausible</t>
        </is>
      </c>
      <c r="M22" s="68" t="inlineStr">
        <is>
          <t>Plausible</t>
        </is>
      </c>
      <c r="N22" s="68" t="inlineStr">
        <is>
          <t>Plausible</t>
        </is>
      </c>
      <c r="O22" s="68" t="inlineStr">
        <is>
          <t>CONTACT: Kristine Mitchell (NCDA county directory)
(336) 591-7420</t>
        </is>
      </c>
      <c r="P22" s="23" t="inlineStr">
        <is>
          <t>CAUTION</t>
        </is>
      </c>
      <c r="Q22" s="178" t="inlineStr">
        <is>
          <t>BOAR/STAG RULE 9-28: FSIS flags boar/stag slaughter at this plant — AVOID unless the call confirms boars/stags are never run with our hogs (gate G4). Back-pool — passes no current tier; see Fit and notes for what a call would need to change.</t>
        </is>
      </c>
      <c r="R22" s="179" t="inlineStr">
        <is>
          <t>—
facebook.com/MitchellsMeatNC (14 reviews, 78% recommend — lowest in this set) + facebook.com/MitchellsButcheryNC · Butcher Bud 4.0/5 from 45 · BBB · Yelp · Instagram text line 336-310-9538 (verified 2026-09-30)</t>
        </is>
      </c>
      <c r="S22" s="68" t="inlineStr">
        <is>
          <t>High
(FSIS+NCDA 8-17)</t>
        </is>
      </c>
      <c r="T22" s="68" t="inlineStr">
        <is>
          <t>UPDATED 2026-08-17 — SKIP. Volume cat 1 (&lt;19/wk all species), a 2021 EGREGIOUS humane-handling suspension flag at this Walnut Cove operation (failed stun, conscious cut), and its sister processing plant Mitchell's Chop Shop (M46822B, King NC) went FSIS-INACTIVE 7/14/2026 — a consolidation/retrenchment signal. Poor fit for an EU-exposed welfare narrative; 160 road mi out.  [2026-08-17 focus-region pass: FSIS MPI + Demographic datasets and NCDA&amp;CS directories (dated 2026-08-10) retrieved fresh 2026-08-17; adversarially verified.]
Beebop 9-28 ranks it #9 (Instagram gives a text line 336-310-9538 + office 336-591-7420; mitchellsmeatnc.com live) — but it did NOT see the enforcement column: the failed-stun record and the Chop Shop closure keep this CAUTION. NCDA 9-18 lists it as Mitchell's Butchery, Inc. TA-46822/46822A, species A-E.
Beebop r2 (9-28): identity clarifier — Walnut Cove TA-46822 / M46822 remains listed (NCDA 9-18); the King closure (M46822B, 7/14/2026) is a separate site and is context, not the Walnut Cove status. The enforcement record is unresolved, not cleared.
SOCIAL/OTHER 9-30: Hours M-Th 6-5, F 8-4, Sat 8-12. Aggregator copy calls it 'spotless and well-organized'; the 78% Facebook score and the enforcement record on this row say get it in person.</t>
        </is>
      </c>
      <c r="U22" s="211" t="inlineStr">
        <is>
          <t>A-17</t>
        </is>
      </c>
      <c r="V22" s="143" t="inlineStr">
        <is>
          <t>Tier 3
A 2.8 / B 2.4</t>
        </is>
      </c>
    </row>
    <row r="23" ht="98.8" customHeight="1" s="59">
      <c r="A23" s="138" t="inlineStr">
        <is>
          <t>Smithfield Fresh Meats Corp. — Clinton plant</t>
        </is>
      </c>
      <c r="B23" s="68" t="inlineStr">
        <is>
          <t>Clinton, NC (Sampson Co.)</t>
        </is>
      </c>
      <c r="C23" s="68" t="inlineStr">
        <is>
          <t>USDA federal — industrial pork plant</t>
        </is>
      </c>
      <c r="D23" s="68" t="inlineStr">
        <is>
          <t>&gt;5,000/wk (FSIS cat 4; plant scale far above the band floor)
· HACCP Large (500+ employees)</t>
        </is>
      </c>
      <c r="E23" s="88" t="inlineStr">
        <is>
          <t>YES · ~89 mi
(Pikeville: n/m)</t>
        </is>
      </c>
      <c r="F23" s="195" t="inlineStr">
        <is>
          <t>5,000+ /wk</t>
        </is>
      </c>
      <c r="G23" s="68" t="inlineStr">
        <is>
          <t>market hogs (industrial line)</t>
        </is>
      </c>
      <c r="H23" s="68" t="inlineStr">
        <is>
          <t>USDA ✓ M413</t>
        </is>
      </c>
      <c r="I23" s="25" t="inlineStr">
        <is>
          <t>Not checked this pass (corporate plant; audited systems)</t>
        </is>
      </c>
      <c r="J23" s="68" t="inlineStr">
        <is>
          <t>Federal — eligible in principle; the corporate by-products channel decides</t>
        </is>
      </c>
      <c r="K23" s="68" t="inlineStr">
        <is>
          <t>Corporate plant; audited welfare systems</t>
        </is>
      </c>
      <c r="L23" s="68" t="inlineStr">
        <is>
          <t>corporate by-products / biologics channel (Smithfield BioScience) — not a floor we could host on</t>
        </is>
      </c>
      <c r="M23" s="68" t="inlineStr">
        <is>
          <t>NO — industrial line, no hosting</t>
        </is>
      </c>
      <c r="N23" s="68" t="inlineStr">
        <is>
          <t>only via a biomedical by-products agreement</t>
        </is>
      </c>
      <c r="O23" s="68" t="inlineStr">
        <is>
          <t>910-592-2104 (plant) — route via Smithfield BioScience (National Direct tab)</t>
        </is>
      </c>
      <c r="P23" s="23" t="inlineStr">
        <is>
          <t>CAUTION</t>
        </is>
      </c>
      <c r="Q23" s="178" t="inlineStr">
        <is>
          <t>Beebop's #25 and the only in-radius plant that could meet the stated 2,000-5,000/wk preference — but it is industrial, and access runs through Smithfield BioScience's by-products channel, not a hosted crew. Keep as the scale backstop; approach through the BioScience contact already rated STRONG FIT on the National Direct tab.</t>
        </is>
      </c>
      <c r="R23" s="179" t="inlineStr">
        <is>
          <t>smithfieldfoods.com (corporate)</t>
        </is>
      </c>
      <c r="S23" s="68" t="inlineStr">
        <is>
          <t>High (FSIS 9-03)</t>
        </is>
      </c>
      <c r="T23" s="68" t="inlineStr">
        <is>
          <t>Added 2026-09-28 from the Beebop plan. Sister rows: Smithfield Tar Heel (row 25) and Smithfield BioScience (row 49).</t>
        </is>
      </c>
      <c r="U23" s="211" t="inlineStr">
        <is>
          <t>A-18</t>
        </is>
      </c>
      <c r="V23" s="210" t="inlineStr">
        <is>
          <t>—</t>
        </is>
      </c>
    </row>
    <row r="24" ht="85.40000000000001" customHeight="1" s="59">
      <c r="A24" s="146" t="inlineStr">
        <is>
          <t>Caudle Meat (Greene Co.) — WATCH</t>
        </is>
      </c>
      <c r="B24" s="83" t="inlineStr">
        <is>
          <t>Greene County, NC (site unlocated)</t>
        </is>
      </c>
      <c r="C24" s="83" t="inlineStr">
        <is>
          <t>NCAMPI grantee — NO inspection grant yet</t>
        </is>
      </c>
      <c r="D24" s="83" t="inlineStr">
        <is>
          <t>n/a — not yet operating
(no directory record)</t>
        </is>
      </c>
      <c r="E24" s="88" t="inlineStr">
        <is>
          <t>YES · ~95 mi ≈</t>
        </is>
      </c>
      <c r="F24" s="143" t="inlineStr">
        <is>
          <t>confirm (pre-grant)</t>
        </is>
      </c>
      <c r="G24" s="134" t="inlineStr">
        <is>
          <t>unknown</t>
        </is>
      </c>
      <c r="H24" s="83" t="inlineStr">
        <is>
          <t>NOT in any 2026-08-10 directory
(state, TA, or custom)</t>
        </is>
      </c>
      <c r="I24" s="83" t="inlineStr">
        <is>
          <t>n/a</t>
        </is>
      </c>
      <c r="J24" s="83" t="inlineStr">
        <is>
          <t>n/a</t>
        </is>
      </c>
      <c r="K24" s="83" t="inlineStr">
        <is>
          <t>unknown</t>
        </is>
      </c>
      <c r="L24" s="83" t="inlineStr">
        <is>
          <t>unknown</t>
        </is>
      </c>
      <c r="M24" s="83" t="inlineStr">
        <is>
          <t>unknown</t>
        </is>
      </c>
      <c r="N24" s="83" t="inlineStr">
        <is>
          <t>unknown</t>
        </is>
      </c>
      <c r="O24" s="83" t="inlineStr">
        <is>
          <t>— (a 'Caudle's Meat Processing, LLC'
is registered in Cary NC — link unconfirmed)</t>
        </is>
      </c>
      <c r="P24" s="140" t="inlineStr">
        <is>
          <t>WATCH</t>
        </is>
      </c>
      <c r="Q24" s="178" t="inlineStr">
        <is>
          <t>Watch item — not usable yet; track for a grant or status change (see notes).</t>
        </is>
      </c>
      <c r="R24" s="179" t="inlineStr">
        <is>
          <t>—</t>
        </is>
      </c>
      <c r="S24" s="83" t="inlineStr">
        <is>
          <t>Low-Med
(FSIS+NCDA 8-17)</t>
        </is>
      </c>
      <c r="T24" s="83" t="inlineStr">
        <is>
          <t>★ SIGNAL 2026-08-17: received a $189,470 NCAMPI meat-processing award in the NCDA&amp;CS round announced 2026-07-07, yet holds NO inspection grant in any 2026-08-10 directory — likely NEW OR EXPANDING CAPACITY coming online in Greene County, inside our eastern corridor (same county as Contentnea Farms). Track the NCDA&amp;CS directories for a new P-/TA- number; first mover on a new floor gets the relationship.  [2026-08-17 focus-region pass: FSIS MPI + Demographic datasets and NCDA&amp;CS directories (dated 2026-08-10) retrieved fresh 2026-08-17; adversarially verified.]</t>
        </is>
      </c>
      <c r="U24" s="211" t="inlineStr">
        <is>
          <t>A-19</t>
        </is>
      </c>
      <c r="V24" s="210" t="inlineStr">
        <is>
          <t>—</t>
        </is>
      </c>
    </row>
    <row r="25" ht="152.4" customHeight="1" s="59">
      <c r="A25" s="138" t="inlineStr">
        <is>
          <t>Schrock's Slaughter House</t>
        </is>
      </c>
      <c r="B25" s="68" t="inlineStr">
        <is>
          <t>Gladys, VA (Campbell Co.)</t>
        </is>
      </c>
      <c r="C25" s="68" t="inlineStr">
        <is>
          <t>USDA-inspected (Virginia)</t>
        </is>
      </c>
      <c r="D25" s="68" t="inlineStr">
        <is>
          <t>&lt;19/wk (FSIS cat 1)
· HACCP Very Small (&lt;10 employees or &lt;$2.5M sales)
· hog kill CAPPED by NASS 2025: Virginia's 16 federal plants killed 7,841 hogs in the WHOLE year (≈150/wk statewide) — the FSIS band counts ALL species</t>
        </is>
      </c>
      <c r="E25" s="88" t="inlineStr">
        <is>
          <t>YES · ~95 mi
(Pikeville: n/m)</t>
        </is>
      </c>
      <c r="F25" s="139" t="inlineStr">
        <is>
          <t>0-300/wk (&lt;19)</t>
        </is>
      </c>
      <c r="G25" s="68" t="inlineStr">
        <is>
          <t>swine flagged; website is beef-first</t>
        </is>
      </c>
      <c r="H25" s="68" t="inlineStr">
        <is>
          <t>USDA ✓ M44217
grant 8/21/2015</t>
        </is>
      </c>
      <c r="I25" s="25" t="inlineStr">
        <is>
          <t>None found (not in the QER shortlist search)</t>
        </is>
      </c>
      <c r="J25" s="68" t="inlineStr">
        <is>
          <t>Eligible (federal grant — a VA STATE grant would not be)</t>
        </is>
      </c>
      <c r="K25" s="68" t="inlineStr">
        <is>
          <t>No record; visit finding</t>
        </is>
      </c>
      <c r="L25" s="68" t="inlineStr">
        <is>
          <t>unknown</t>
        </is>
      </c>
      <c r="M25" s="68" t="inlineStr">
        <is>
          <t>pilot-scale only</t>
        </is>
      </c>
      <c r="N25" s="68" t="inlineStr">
        <is>
          <t>no</t>
        </is>
      </c>
      <c r="O25" s="68" t="inlineStr">
        <is>
          <t>434-283-5400 · 4141 Pigeon Run Road, Gladys, VA 24554</t>
        </is>
      </c>
      <c r="P25" s="140" t="inlineStr">
        <is>
          <t>WATCH</t>
        </is>
      </c>
      <c r="Q25" s="178" t="inlineStr">
        <is>
          <t>Beebop's #10 and the only Virginia plant inside 120 road miles of Durham — but cat 1 (&lt;19 animals/week) and a beef-first website. A one-question call (do you still kill hogs, how many) is all it merits.</t>
        </is>
      </c>
      <c r="R25" s="179" t="inlineStr">
        <is>
          <t>schrockssh.com (verified live 2026-09-28)</t>
        </is>
      </c>
      <c r="S25" s="68" t="inlineStr">
        <is>
          <t>High (FSIS 9-03)</t>
        </is>
      </c>
      <c r="T25" s="68" t="inlineStr">
        <is>
          <t>The southern-VA census (2026-09-03) found only cat-1 plants; this is one of them.</t>
        </is>
      </c>
      <c r="U25" s="211" t="inlineStr">
        <is>
          <t>A-20</t>
        </is>
      </c>
      <c r="V25" s="210" t="inlineStr">
        <is>
          <t>—</t>
        </is>
      </c>
    </row>
    <row r="26" ht="58.6" customHeight="1" s="59">
      <c r="A26" s="4" t="inlineStr">
        <is>
          <t>Smithfield Foods — Tar Heel</t>
        </is>
      </c>
      <c r="B26" s="68" t="inlineStr">
        <is>
          <t>Bladen County, NC</t>
        </is>
      </c>
      <c r="C26" s="68" t="inlineStr">
        <is>
          <t>Industrial packer</t>
        </is>
      </c>
      <c r="D26" s="68" t="inlineStr">
        <is>
          <t>~28,000-32,000 / DAY</t>
        </is>
      </c>
      <c r="E26" s="88" t="inlineStr">
        <is>
          <t>YES · ~110 mi ≈ (borderline)
(Pikeville: ~89 mi)</t>
        </is>
      </c>
      <c r="F26" s="195" t="inlineStr">
        <is>
          <t>5,000+/wk (~28-32k/DAY)</t>
        </is>
      </c>
      <c r="G26" s="68" t="inlineStr">
        <is>
          <t>Yes</t>
        </is>
      </c>
      <c r="H26" s="68" t="inlineStr">
        <is>
          <t>USDA ✓</t>
        </is>
      </c>
      <c r="I26" s="68" t="inlineStr">
        <is>
          <t>2011 recall (undeclared dairy allergen); 2021-22 sanitation/welfare NRs (not a suspension). Est. M18079.</t>
        </is>
      </c>
      <c r="J26" s="68" t="inlineStr">
        <is>
          <t>FSIS export-certified (edible, general; documented exports). EU/APHIS-byproduct status unverified</t>
        </is>
      </c>
      <c r="K26" s="68" t="inlineStr">
        <is>
          <t>Industrial line-speed (~5,500 staff)</t>
        </is>
      </c>
      <c r="L26" s="68" t="inlineStr">
        <is>
          <t>No dedicated on-site rental noted</t>
        </is>
      </c>
      <c r="M26" s="68" t="inlineStr">
        <is>
          <t>No</t>
        </is>
      </c>
      <c r="N26" s="68" t="inlineStr">
        <is>
          <t>No</t>
        </is>
      </c>
      <c r="O26" s="68" t="inlineStr">
        <is>
          <t>—</t>
        </is>
      </c>
      <c r="P26" s="23" t="inlineStr">
        <is>
          <t>CAUTION</t>
        </is>
      </c>
      <c r="Q26" s="178" t="inlineStr">
        <is>
          <t>Back-pool — passes no current tier; see Fit and notes for what a call would need to change.</t>
        </is>
      </c>
      <c r="R26" s="179" t="inlineStr">
        <is>
          <t>—</t>
        </is>
      </c>
      <c r="S26" s="68" t="inlineStr">
        <is>
          <t>High
(study 8-03/05)</t>
        </is>
      </c>
      <c r="T26" s="68" t="inlineStr">
        <is>
          <t>HIGH tier. Capacity is now open, so this is no longer excluded on size — but with ~28-32k hogs/DAY the constraint is ACCESS, not volume: industrial line speed, no on-site harvest rental noted. Realistically Model B only, and only via a corporate biologics conversation.</t>
        </is>
      </c>
      <c r="U26" s="211" t="inlineStr">
        <is>
          <t>A-21</t>
        </is>
      </c>
      <c r="V26" s="210" t="inlineStr">
        <is>
          <t>—</t>
        </is>
      </c>
    </row>
    <row r="27" ht="58.6" customHeight="1" s="59">
      <c r="A27" s="4" t="inlineStr">
        <is>
          <t>Frank Corriher Beef and Sausage</t>
        </is>
      </c>
      <c r="B27" s="68" t="inlineStr">
        <is>
          <t>China Grove, NC (Rowan)</t>
        </is>
      </c>
      <c r="C27" s="68" t="inlineStr">
        <is>
          <t>TA — AMBIGUOUS record</t>
        </is>
      </c>
      <c r="D27" s="68" t="inlineStr">
        <is>
          <t>unknown</t>
        </is>
      </c>
      <c r="E27" s="88" t="inlineStr">
        <is>
          <t>YES · ~112 mi ≈ (borderline)
(Pikeville: ~187 mi)</t>
        </is>
      </c>
      <c r="F27" s="143" t="inlineStr">
        <is>
          <t>confirm</t>
        </is>
      </c>
      <c r="G27" s="68" t="inlineStr">
        <is>
          <t>Ambiguous — see notes</t>
        </is>
      </c>
      <c r="H27" s="68" t="inlineStr">
        <is>
          <t>USDA ✓ TA-21022 / M21022</t>
        </is>
      </c>
      <c r="I27" s="68" t="inlineStr">
        <is>
          <t>None found</t>
        </is>
      </c>
      <c r="J27" s="68" t="inlineStr">
        <is>
          <t>TA/federal number exists — verify</t>
        </is>
      </c>
      <c r="K27" s="68" t="inlineStr">
        <is>
          <t>None found</t>
        </is>
      </c>
      <c r="L27" s="68" t="inlineStr">
        <is>
          <t>unknown</t>
        </is>
      </c>
      <c r="M27" s="68" t="inlineStr">
        <is>
          <t>Unknown</t>
        </is>
      </c>
      <c r="N27" s="68" t="inlineStr">
        <is>
          <t>Unknown</t>
        </is>
      </c>
      <c r="O27" s="68" t="inlineStr">
        <is>
          <t>(704) 857-5519</t>
        </is>
      </c>
      <c r="P27" s="23" t="inlineStr">
        <is>
          <t>CAUTION</t>
        </is>
      </c>
      <c r="Q27" s="178" t="inlineStr">
        <is>
          <t>Back-pool — passes no current tier; see Fit and notes for what a call would need to change.</t>
        </is>
      </c>
      <c r="R27" s="179" t="inlineStr">
        <is>
          <t>—</t>
        </is>
      </c>
      <c r="S27" s="68" t="inlineStr">
        <is>
          <t>Low
(study 8-03/05)</t>
        </is>
      </c>
      <c r="T27" s="68" t="inlineStr">
        <is>
          <t>DATA ANOMALY: NCDA lists Activities='Processing' but populates Slaughter Species='C' — every other processing-only plant leaves that blank. Either a stale slaughter grant or a data error. Worth ONE phone call.</t>
        </is>
      </c>
      <c r="U27" s="211" t="inlineStr">
        <is>
          <t>A-22</t>
        </is>
      </c>
      <c r="V27" s="210" t="inlineStr">
        <is>
          <t>—</t>
        </is>
      </c>
    </row>
    <row r="28" ht="152.4" customHeight="1" s="59">
      <c r="A28" s="138" t="inlineStr">
        <is>
          <t>KC Farms Meats, LLC</t>
        </is>
      </c>
      <c r="B28" s="68" t="inlineStr">
        <is>
          <t>Ferrum, VA (Franklin Co.)</t>
        </is>
      </c>
      <c r="C28" s="68" t="inlineStr">
        <is>
          <t>USDA-inspected on-farm (Virginia) — also custom-exempt work</t>
        </is>
      </c>
      <c r="D28" s="68" t="inlineStr">
        <is>
          <t>&lt;19/wk (FSIS cat 1)
· HACCP Very Small (&lt;10 employees or &lt;$2.5M sales)
· hog kill CAPPED by NASS 2025: Virginia's 16 federal plants killed 7,841 hogs in the WHOLE year (≈150/wk statewide) — the FSIS band counts ALL species</t>
        </is>
      </c>
      <c r="E28" s="88" t="inlineStr">
        <is>
          <t>YES · ~117 mi (borderline)
(90.8 radial; Pikeville: n/m)</t>
        </is>
      </c>
      <c r="F28" s="139" t="inlineStr">
        <is>
          <t>0-300/wk (&lt;19)</t>
        </is>
      </c>
      <c r="G28" s="68" t="inlineStr">
        <is>
          <t>MARKET + SOW flags (FSIS); own site markets beef</t>
        </is>
      </c>
      <c r="H28" s="68" t="inlineStr">
        <is>
          <t>USDA ✓ M1502
grant 2/13/2024</t>
        </is>
      </c>
      <c r="I28" s="25" t="inlineStr">
        <is>
          <t>None found (grant under 2 years old)</t>
        </is>
      </c>
      <c r="J28" s="68" t="inlineStr">
        <is>
          <t>Eligible (federal grant)</t>
        </is>
      </c>
      <c r="K28" s="68" t="inlineStr">
        <is>
          <t>No record; visit finding</t>
        </is>
      </c>
      <c r="L28" s="68" t="inlineStr">
        <is>
          <t>unknown — beef-first marketing</t>
        </is>
      </c>
      <c r="M28" s="68" t="inlineStr">
        <is>
          <t>pilot-scale only — cat 1; 117 road mi</t>
        </is>
      </c>
      <c r="N28" s="68" t="inlineStr">
        <is>
          <t>no</t>
        </is>
      </c>
      <c r="O28" s="68" t="inlineStr">
        <is>
          <t>540-365-2697 · 13963 Franklin Street, Ferrum, VA 24088</t>
        </is>
      </c>
      <c r="P28" s="140" t="inlineStr">
        <is>
          <t>WATCH</t>
        </is>
      </c>
      <c r="Q28" s="178" t="inlineStr">
        <is>
          <t>Beebop r2 low-priority lead: FSIS flags market + sow swine, but the company site emphasizes beef and the plant is cat 1 at 117 road miles. Only a one-question call (do you kill hogs at all).</t>
        </is>
      </c>
      <c r="R28" s="179" t="inlineStr">
        <is>
          <t>kcfarmsva.com/kc-farms-meats (Beebop r2)</t>
        </is>
      </c>
      <c r="S28" s="68" t="inlineStr">
        <is>
          <t>High (FSIS 9-03 + MPI)</t>
        </is>
      </c>
      <c r="T28" s="68" t="inlineStr">
        <is>
          <t>Added 2026-09-28 from the Beebop round-2 cross-check.</t>
        </is>
      </c>
      <c r="U28" s="211" t="inlineStr">
        <is>
          <t>A-23</t>
        </is>
      </c>
      <c r="V28" s="210" t="inlineStr">
        <is>
          <t>—</t>
        </is>
      </c>
    </row>
    <row r="29" ht="72" customHeight="1" s="59">
      <c r="A29" s="4" t="inlineStr">
        <is>
          <t>Cruse Meat Processing</t>
        </is>
      </c>
      <c r="B29" s="68" t="inlineStr">
        <is>
          <t>Concord, NC</t>
        </is>
      </c>
      <c r="C29" s="68" t="inlineStr">
        <is>
          <t>USDA (Talmadge-Aiken) TA-46354 slaughter + processing — market hogs only (FSIS)</t>
        </is>
      </c>
      <c r="D29" s="68" t="inlineStr">
        <is>
          <t>&lt;19/wk
(FSIS cat 1)
· HACCP Very Small (&lt;10 employees or &lt;$2.5M sales)</t>
        </is>
      </c>
      <c r="E29" s="88" t="inlineStr">
        <is>
          <t>YES · ~120 mi (borderline)
(Pikeville: ~168 mi)</t>
        </is>
      </c>
      <c r="F29" s="139" t="inlineStr">
        <is>
          <t>0-300/wk (&lt;19)</t>
        </is>
      </c>
      <c r="G29" s="68" t="inlineStr">
        <is>
          <t>MARKET only
(sow: No, roaster: No)</t>
        </is>
      </c>
      <c r="H29" s="68" t="inlineStr">
        <is>
          <t>USDA ✓ M46354</t>
        </is>
      </c>
      <c r="I29" s="68" t="inlineStr">
        <is>
          <t>None found in public sources</t>
        </is>
      </c>
      <c r="J29" s="68" t="inlineStr">
        <is>
          <t>Not on public export lists — verify</t>
        </is>
      </c>
      <c r="K29" s="68" t="inlineStr">
        <is>
          <t>Nothing published either way.</t>
        </is>
      </c>
      <c r="L29" s="68" t="inlineStr">
        <is>
          <t>Plausible; skin-and-scald</t>
        </is>
      </c>
      <c r="M29" s="68" t="inlineStr">
        <is>
          <t>Plausible</t>
        </is>
      </c>
      <c r="N29" s="68" t="inlineStr">
        <is>
          <t>Plausible</t>
        </is>
      </c>
      <c r="O29" s="68" t="inlineStr">
        <is>
          <t>(704) 786-8616</t>
        </is>
      </c>
      <c r="P29" s="23" t="inlineStr">
        <is>
          <t>POSSIBLE</t>
        </is>
      </c>
      <c r="Q29" s="178" t="inlineStr">
        <is>
          <t>Back-pool — passes no current tier; see Fit and notes for what a call would need to change.</t>
        </is>
      </c>
      <c r="R29" s="179" t="inlineStr">
        <is>
          <t>—</t>
        </is>
      </c>
      <c r="S29" s="68" t="inlineStr">
        <is>
          <t>High
(FSIS+MPI 8-06)</t>
        </is>
      </c>
      <c r="T29" s="68" t="inlineStr">
        <is>
          <t>RESOLVED: active federal grant M46354, Concord NC. Market hogs only. FSIS slaughter_volume_category = 1 = under ~19/wk, and it is 168 road miles out — fails both the volume and the 120-mile Model A test.  [Verified 2026-08-06 against FSIS Establishment Demographic Data + MPI Directory by Establishment Number.]
Beebop 9-28 (rank #18): ~120 road mi from Durham (boundary); 'route to the Rimer Road plant, not central Concord'. NCDA 9-18: species A-E.</t>
        </is>
      </c>
      <c r="U29" s="211" t="inlineStr">
        <is>
          <t>A-24</t>
        </is>
      </c>
      <c r="V29" s="210" t="inlineStr">
        <is>
          <t>—</t>
        </is>
      </c>
    </row>
    <row r="30" ht="85.40000000000001" customHeight="1" s="59">
      <c r="A30" s="4" t="inlineStr">
        <is>
          <t>Riverside Meats</t>
        </is>
      </c>
      <c r="B30" s="68" t="inlineStr">
        <is>
          <t>Trenton, NC</t>
        </is>
      </c>
      <c r="C30" s="68" t="inlineStr">
        <is>
          <t>CUSTOM-EXEMPT</t>
        </is>
      </c>
      <c r="D30" s="68" t="inlineStr">
        <is>
          <t>&lt;19/wk
(FSIS cat 1)
· HACCP Very Small (&lt;10 employees or &lt;$2.5M sales)</t>
        </is>
      </c>
      <c r="E30" s="110" t="inlineStr">
        <is>
          <t>NO · ~129 mi ≈ (borderline)
(Pikeville: ~57 mi)</t>
        </is>
      </c>
      <c r="F30" s="139" t="inlineStr">
        <is>
          <t>0-300/wk (&lt;19)</t>
        </is>
      </c>
      <c r="G30" s="68" t="inlineStr">
        <is>
          <t>MARKET + SOW
(roaster: No, boar/stag: No)</t>
        </is>
      </c>
      <c r="H30" s="68" t="inlineStr">
        <is>
          <t>USDA ✓ M20981 + P20981
('custom-exempt' is REFUTED —
active federal grant)</t>
        </is>
      </c>
      <c r="I30" s="68" t="inlineStr">
        <is>
          <t>None found in public sources</t>
        </is>
      </c>
      <c r="J30" s="68" t="inlineStr">
        <is>
          <t>Custom-exempt; not export-eligible as-is — verify</t>
        </is>
      </c>
      <c r="K30" s="68" t="inlineStr">
        <is>
          <t>AWA (welfare signal)</t>
        </is>
      </c>
      <c r="L30" s="68" t="inlineStr">
        <is>
          <t>Limited (exempt status)</t>
        </is>
      </c>
      <c r="M30" s="68" t="inlineStr">
        <is>
          <t>Limited</t>
        </is>
      </c>
      <c r="N30" s="68" t="inlineStr">
        <is>
          <t>Limited</t>
        </is>
      </c>
      <c r="O30" s="68" t="inlineStr">
        <is>
          <t>(252) 448-4047
riversidemeatsnc.com</t>
        </is>
      </c>
      <c r="P30" s="23" t="inlineStr">
        <is>
          <t>CAUTION</t>
        </is>
      </c>
      <c r="Q30" s="178" t="inlineStr">
        <is>
          <t>Back-pool — passes no current tier; see Fit and notes for what a call would need to change.</t>
        </is>
      </c>
      <c r="R30" s="179" t="inlineStr">
        <is>
          <t>—</t>
        </is>
      </c>
      <c r="S30" s="68" t="inlineStr">
        <is>
          <t>Med-High
(FSIS+NCDA 8-17)</t>
        </is>
      </c>
      <c r="T30" s="68" t="inlineStr">
        <is>
          <t>UPDATED 2026-08-17: still active on the FSIS directory, but its own domain (riversidemeatsnc.com) is DNS-dead as of 2026-08-17 — confirm by phone before relying on it. ~8 staff, run by Christy Raynor (directory data, undated). Smallest plant in the sweep (&lt;19/wk): DROP from active consideration; cluster-overflow only. Custom-exempt label stays REFUTED (active federal grant M20981+P20981).  [2026-08-17 focus-region pass: FSIS MPI + Demographic datasets and NCDA&amp;CS directories (dated 2026-08-10) retrieved fresh 2026-08-17; adversarially verified.]</t>
        </is>
      </c>
      <c r="U30" s="211" t="inlineStr">
        <is>
          <t>A-25</t>
        </is>
      </c>
      <c r="V30" s="210" t="inlineStr">
        <is>
          <t>—</t>
        </is>
      </c>
    </row>
    <row r="31" ht="19.7" customHeight="1" s="59">
      <c r="A31" s="206" t="inlineStr">
        <is>
          <t>B · ELIGIBLE BUT FARTHER OUT — NC beyond the radius, SC, TN, VA; Model B-T only; sorted by distance</t>
        </is>
      </c>
      <c r="B31" s="171" t="n"/>
      <c r="C31" s="171" t="n"/>
      <c r="D31" s="171" t="n"/>
      <c r="E31" s="171" t="n"/>
      <c r="F31" s="171" t="n"/>
      <c r="G31" s="171" t="n"/>
      <c r="H31" s="171" t="n"/>
      <c r="I31" s="171" t="n"/>
      <c r="J31" s="171" t="n"/>
      <c r="K31" s="171" t="n"/>
      <c r="L31" s="171" t="n"/>
      <c r="M31" s="171" t="n"/>
      <c r="N31" s="171" t="n"/>
      <c r="O31" s="171" t="n"/>
      <c r="P31" s="171" t="n"/>
      <c r="Q31" s="171" t="n"/>
      <c r="R31" s="171" t="n"/>
      <c r="S31" s="171" t="n"/>
      <c r="T31" s="171" t="n"/>
      <c r="U31" s="171" t="n"/>
      <c r="V31" s="172" t="n"/>
    </row>
    <row r="32" ht="72" customHeight="1" s="59">
      <c r="A32" s="146" t="inlineStr">
        <is>
          <t>SCR International Corp.</t>
        </is>
      </c>
      <c r="B32" s="83" t="inlineStr">
        <is>
          <t>Fairmont, NC (Robeson)</t>
        </is>
      </c>
      <c r="C32" s="83" t="inlineStr">
        <is>
          <t>USDA federal (T-A) whole-pig ROASTER house</t>
        </is>
      </c>
      <c r="D32" s="83" t="inlineStr">
        <is>
          <t>~19-194/wk
(FSIS cat 2)
· HACCP Very Small (&lt;10 employees or &lt;$2.5M sales)</t>
        </is>
      </c>
      <c r="E32" s="110" t="inlineStr">
        <is>
          <t>NO · ~131 mi ≈
(Pikeville: ~114 mi)</t>
        </is>
      </c>
      <c r="F32" s="139" t="inlineStr">
        <is>
          <t>0-300/wk (cat-2 ≤194)</t>
        </is>
      </c>
      <c r="G32" s="134" t="inlineStr">
        <is>
          <t>MARKET + SOW flags —
reality: roasters 10-110 lb
for the lechon/ethnic trade</t>
        </is>
      </c>
      <c r="H32" s="83" t="inlineStr">
        <is>
          <t>USDA ✓ M9199 + P9199
(TA-9199 in the state TA directory)</t>
        </is>
      </c>
      <c r="I32" s="83" t="inlineStr">
        <is>
          <t>None found</t>
        </is>
      </c>
      <c r="J32" s="83" t="inlineStr">
        <is>
          <t>Federal grant → harvest-path eligible in principle</t>
        </is>
      </c>
      <c r="K32" s="83" t="inlineStr">
        <is>
          <t>None found (no FTP documentation, no HH enforcement rows)</t>
        </is>
      </c>
      <c r="L32" s="83" t="inlineStr">
        <is>
          <t>WEAK — roasters dressed whole; small-pig anatomy wrong for surgical models; sow flag likely incidental</t>
        </is>
      </c>
      <c r="M32" s="83" t="inlineStr">
        <is>
          <t>No upside vs Parks</t>
        </is>
      </c>
      <c r="N32" s="83" t="inlineStr">
        <is>
          <t>Duplicates Parks' niche</t>
        </is>
      </c>
      <c r="O32" s="83" t="inlineStr">
        <is>
          <t>(910) 628-8267
alt (917) 698-3312
csmeatinternational@gmail.com</t>
        </is>
      </c>
      <c r="P32" s="140" t="inlineStr">
        <is>
          <t>CAUTION</t>
        </is>
      </c>
      <c r="Q32" s="178" t="inlineStr">
        <is>
          <t>OUT — a second Parks (roaster/lechon house) with no upside, ~131 road mi from Durham (114 from Pikeville), dead website.</t>
        </is>
      </c>
      <c r="R32" s="179" t="inlineStr">
        <is>
          <t>srcinternationalcorp.com (DNS-dead)</t>
        </is>
      </c>
      <c r="S32" s="83" t="inlineStr">
        <is>
          <t>Med
(FSIS+NCDA 8-17)</t>
        </is>
      </c>
      <c r="T32" s="83" t="inlineStr">
        <is>
          <t>★ IDENTIFIED 2026-08-17 (was never researched): a whole-pig ROASTER house for the East Coast lechon / ethnic-market trade — USDA-inspected whole roasting pigs 10-110 lb plus carcass halves to distributors. IT IS A SECOND PARKS, farther away (~114 mi, borderline), with a DNS-dead website. Deprioritize — logged so nobody spends a trip on it.  [2026-08-17 focus-region pass: FSIS MPI + Demographic datasets and NCDA&amp;CS directories (dated 2026-08-10) retrieved fresh 2026-08-17; adversarially verified.]</t>
        </is>
      </c>
      <c r="U32" s="211" t="inlineStr">
        <is>
          <t>B-01</t>
        </is>
      </c>
      <c r="V32" s="141" t="inlineStr">
        <is>
          <t>Tier X
A 2.5 / B 2.6</t>
        </is>
      </c>
    </row>
    <row r="33" ht="72" customHeight="1" s="59">
      <c r="A33" s="4" t="inlineStr">
        <is>
          <t>Sessoms Packing Company</t>
        </is>
      </c>
      <c r="B33" s="68" t="inlineStr">
        <is>
          <t>Ahoskie, NC</t>
        </is>
      </c>
      <c r="C33" s="68" t="inlineStr">
        <is>
          <t>Slaughter (probable USDA)</t>
        </is>
      </c>
      <c r="D33" s="68" t="inlineStr">
        <is>
          <t>unknown</t>
        </is>
      </c>
      <c r="E33" s="110" t="inlineStr">
        <is>
          <t>NO · ~132 mi ≈
(Pikeville: ~95 mi)</t>
        </is>
      </c>
      <c r="F33" s="143" t="inlineStr">
        <is>
          <t>confirm</t>
        </is>
      </c>
      <c r="G33" s="68" t="inlineStr">
        <is>
          <t>Yes</t>
        </is>
      </c>
      <c r="H33" s="68" t="inlineStr">
        <is>
          <t>NOT in the FSIS MPI directory
('probable USDA' is WITHDRAWN)</t>
        </is>
      </c>
      <c r="I33" s="68" t="inlineStr">
        <is>
          <t>None found in public sources</t>
        </is>
      </c>
      <c r="J33" s="68" t="inlineStr">
        <is>
          <t>Not on public export lists — verify</t>
        </is>
      </c>
      <c r="K33" s="68" t="inlineStr">
        <is>
          <t>unknown</t>
        </is>
      </c>
      <c r="L33" s="68" t="inlineStr">
        <is>
          <t>Plausible; whole-hog (country ham)</t>
        </is>
      </c>
      <c r="M33" s="68" t="inlineStr">
        <is>
          <t>Plausible</t>
        </is>
      </c>
      <c r="N33" s="68" t="inlineStr">
        <is>
          <t>Plausible</t>
        </is>
      </c>
      <c r="O33" s="68" t="inlineStr">
        <is>
          <t>(252) 332-2978</t>
        </is>
      </c>
      <c r="P33" s="140" t="inlineStr">
        <is>
          <t>CAUTION</t>
        </is>
      </c>
      <c r="Q33" s="178" t="inlineStr">
        <is>
          <t>Back-pool — passes no current tier; see Fit and notes for what a call would need to change.</t>
        </is>
      </c>
      <c r="R33" s="179" t="inlineStr">
        <is>
          <t>—</t>
        </is>
      </c>
      <c r="S33" s="68" t="inlineStr">
        <is>
          <t>Med-High
(FSIS+MPI 8-06)</t>
        </is>
      </c>
      <c r="T33" s="68" t="inlineStr">
        <is>
          <t>CLAIM WITHDRAWN: the earlier 'probable USDA (unconfirmed)' label had no source behind it. A national name search of the FSIS MPI directory returns nothing for 'Sessoms', and nothing is listed at Ahoskie NC beyond a processing-only establishment (North State Provision, M27219). Treat as unverified/state at best until a call establishes otherwise. Ahoskie is also ~89 road miles out.  [Verified 2026-08-06 against FSIS Establishment Demographic Data + MPI Directory by Establishment Number.]</t>
        </is>
      </c>
      <c r="U33" s="211" t="inlineStr">
        <is>
          <t>B-02</t>
        </is>
      </c>
      <c r="V33" s="210" t="inlineStr">
        <is>
          <t>—</t>
        </is>
      </c>
    </row>
    <row r="34" ht="152.4" customHeight="1" s="59">
      <c r="A34" s="138" t="inlineStr">
        <is>
          <t>Wilkes Abattoir, LLC dba Apple Brandy Prime Cuts
(formerly Thomas Brothers)</t>
        </is>
      </c>
      <c r="B34" s="68" t="inlineStr">
        <is>
          <t>North Wilkesboro, NC</t>
        </is>
      </c>
      <c r="C34" s="68" t="inlineStr">
        <is>
          <t>USDA (Talmadge-Aiken) TA-19511 multi-species slaughter + processing; retail as Apple Brandy Prime Cuts</t>
        </is>
      </c>
      <c r="D34" s="68" t="inlineStr">
        <is>
          <t>~19-194/wk
(FSIS cat 2 ceiling)
· HACCP Very Small (&lt;10 employees or &lt;$2.5M sales)</t>
        </is>
      </c>
      <c r="E34" s="110" t="inlineStr">
        <is>
          <t>NO · ~134 mi ≈
(Pikeville: ~209 mi)</t>
        </is>
      </c>
      <c r="F34" s="139" t="inlineStr">
        <is>
          <t>0-300/wk
(est. 10-95 hogs)</t>
        </is>
      </c>
      <c r="G34" s="68" t="inlineStr">
        <is>
          <t>⚠ BOAR/STAG flagged (FSIS)
MARKET + SOW + boar/stag</t>
        </is>
      </c>
      <c r="H34" s="68" t="inlineStr">
        <is>
          <t>USDA ✓ M19511 + P19511
(Wilkes Abattoir — SLAUGHTER-ONLY)</t>
        </is>
      </c>
      <c r="I34" s="25" t="inlineStr">
        <is>
          <t>⚠ REPEAT humane-handling suspensions 2009, 2015, 2018 (AWI list; Est. 19511M)</t>
        </is>
      </c>
      <c r="J34" s="68" t="inlineStr">
        <is>
          <t>Not on public export lists — verify</t>
        </is>
      </c>
      <c r="K34" s="68" t="inlineStr">
        <is>
          <t>Prior-owner welfare history (see enforcement column); current owner Seth Church — a visit finding.</t>
        </is>
      </c>
      <c r="L34" s="68" t="inlineStr">
        <is>
          <t>Custom abattoir serving farmers/licensed handlers — offal return is standard practice in this class (undocumented). Sow + boar flags = large-frame animals come through.</t>
        </is>
      </c>
      <c r="M34" s="68" t="inlineStr">
        <is>
          <t>Plausible</t>
        </is>
      </c>
      <c r="N34" s="68" t="inlineStr">
        <is>
          <t>Plausible</t>
        </is>
      </c>
      <c r="O34" s="68" t="inlineStr">
        <is>
          <t>CONTACT: Seth Church (owner; NCDA county directory + Wilkes EDC) · plant 336-667-1346 · retail 336-990-9310
(336) 667-1346
Owner: Seth Church
abprimecuts.com</t>
        </is>
      </c>
      <c r="P34" s="23" t="inlineStr">
        <is>
          <t>CAUTION</t>
        </is>
      </c>
      <c r="Q34" s="178" t="inlineStr">
        <is>
          <t>BOAR/STAG RULE 9-28: FSIS flags boar/stag slaughter at this plant — AVOID unless the call confirms boars/stags are never run with our hogs (gate G4). TIER 3 — highest hog share in the west (~half the kill), real cut-to-spec crew; 134 road mi from Durham (209 from Pikeville) and a prior-owner welfare history → B-T only.</t>
        </is>
      </c>
      <c r="R34" s="179" t="inlineStr">
        <is>
          <t>abprimecuts.com
facebook.com/p/AB-Prime-Cuts · abprimecuts.com · Visit NC Farms · Wilkes Chamber (verified 2026-09-30)</t>
        </is>
      </c>
      <c r="S34" s="68" t="inlineStr">
        <is>
          <t>High
(FSIS+NCDA 8-17)</t>
        </is>
      </c>
      <c r="T34" s="68" t="inlineStr">
        <is>
          <t>UPDATED 2026-08-17: hogs are ~HALF the kill (highest confirmed hog share of any western federal plant) — est. ~10-95 hogs/wk inside the cat-2 all-species ceiling. Slaughter-only structure, TA-inspected, vertically integrated with the Apple Brandy Beef brand; owner Seth Church acquired the plant Sept 2019. ⚠ WELFARE HISTORY BELONGS TO THE PRIOR OWNER: the Thomas Brothers operation at this site drew repeat FSIS humane-handling suspensions (2009/2015/2018); NO post-2019 enforcement found under Apple Brandy — an EU auditor could still surface the site history, so frame diligence accordingly. 209 road mi — outside the Model A radius; Model B or overnight-trip only. No. 2 western candidate behind Piedmont.  [2026-08-17 focus-region pass: FSIS MPI + Demographic datasets and NCDA&amp;CS directories (dated 2026-08-10) retrieved fresh 2026-08-17; adversarially verified.]
SOCIAL/OTHER 9-30: Retail shop at 106 Chestnut St, plant at 347 Thomas St. County directory: slaughter calves, cattle, goats, hogs, lambs, ratites, sheep; sells inside and outside NC.</t>
        </is>
      </c>
      <c r="U34" s="211" t="inlineStr">
        <is>
          <t>B-03</t>
        </is>
      </c>
      <c r="V34" s="143" t="inlineStr">
        <is>
          <t>Tier 3
A 3.0 / B 3.1</t>
        </is>
      </c>
    </row>
    <row r="35" ht="152.4" customHeight="1" s="59">
      <c r="A35" s="4" t="inlineStr">
        <is>
          <t>Acre Station Meat Farm</t>
        </is>
      </c>
      <c r="B35" s="68" t="inlineStr">
        <is>
          <t>Pinetown, NC</t>
        </is>
      </c>
      <c r="C35" s="68" t="inlineStr">
        <is>
          <t>USDA-equivalent (Talmadge-Aiken)</t>
        </is>
      </c>
      <c r="D35" s="68" t="inlineStr">
        <is>
          <t>~150 hogs/wk + 6-12 cattle
(NMPAN/Firsthand profiles, dated)
FSIS cat 2 ceiling ~194/wk all species
· HACCP Very Small (&lt;10 employees or &lt;$2.5M sales)</t>
        </is>
      </c>
      <c r="E35" s="88" t="inlineStr">
        <is>
          <t>NO · ~141 mi
(119.7 radial; Pikeville: ~88 mi)</t>
        </is>
      </c>
      <c r="F35" s="139" t="inlineStr">
        <is>
          <t>0-300/wk (~150)</t>
        </is>
      </c>
      <c r="G35" s="68" t="inlineStr">
        <is>
          <t>MARKET + SOW
(roaster: No, boar/stag: No)</t>
        </is>
      </c>
      <c r="H35" s="68" t="inlineStr">
        <is>
          <t>USDA ✓ M19904 + P19904
(active federal grant)</t>
        </is>
      </c>
      <c r="I35" s="68" t="inlineStr">
        <is>
          <t>None found (Est. M19904)</t>
        </is>
      </c>
      <c r="J35" s="68" t="inlineStr">
        <is>
          <t>Not on public export lists — verify w/ APHIS VS</t>
        </is>
      </c>
      <c r="K35" s="68" t="inlineStr">
        <is>
          <t>AWA (Animal Welfare Approved) certified; family farm</t>
        </is>
      </c>
      <c r="L35" s="68" t="inlineStr">
        <is>
          <t>Own kill floor, slow line, sows on the grant — mechanically plausible, but hogs share the week with cattle/sheep/goats, so dedicated swine-organ days would be limited. Hog kill fee $0.19/lb dressed + $0.84/lb processing (own site). PLANT-OWNED ANIMALS: the company buys its own slow-grower hogs from local farmers (site), so organ ownership is the plant's — no farmer-consent problem.</t>
        </is>
      </c>
      <c r="M35" s="68" t="inlineStr">
        <is>
          <t>Plausible</t>
        </is>
      </c>
      <c r="N35" s="68" t="inlineStr">
        <is>
          <t>Plausible</t>
        </is>
      </c>
      <c r="O35" s="68" t="inlineStr">
        <is>
          <t>CONTACT: Richard Huettmann (NCDA county directory) · 252-927-3700 (directory) / 252-927-3489 (site)
(252) 927-3700
acrestationmeatfarm.com</t>
        </is>
      </c>
      <c r="P35" s="23" t="inlineStr">
        <is>
          <t>POSSIBLE</t>
        </is>
      </c>
      <c r="Q35" s="178" t="inlineStr">
        <is>
          <t>TIER 2 — Nahunta-like family quality with sow class and published kill fees; B-T preferred at ~2 hr out. Volume shared with other species.</t>
        </is>
      </c>
      <c r="R35" s="179" t="inlineStr">
        <is>
          <t>acrestationmeatfarm.com
facebook.com/AcreStationMeatFarm (9,200+ likes) · Yelp 11 reviews · NMPAN profile (80 hogs/day capacity) · LocalHarvest (verified 2026-09-30)</t>
        </is>
      </c>
      <c r="S35" s="68" t="inlineStr">
        <is>
          <t>High
(FSIS+NCDA 8-17)</t>
        </is>
      </c>
      <c r="T35" s="68" t="inlineStr">
        <is>
          <t>UPDATED 2026-08-17: operating (FSIS + NCDA&amp;CS TA directories + live site). A quality/relationship add, NOT a volume answer: Nahunta-like family operation with sow class + federal TA inspection, 23 FT staff, 10,000 sq ft retail attached — but volume sits at/below Parks' scale and it is the farthest eastern plant (~2 hr from the Warsaw corridor, ~88 road mi from the anchor). Custom-exempt worry stays REFUTED (active federal grant). No welfare flags found FY2023Q4-FY2026Q3.  [2026-08-17 focus-region pass: FSIS MPI + Demographic datasets and NCDA&amp;CS directories (dated 2026-08-10) retrieved fresh 2026-08-17; adversarially verified.]
SOCIAL/OTHER 9-30: BUYS ITS OWN 'slow grower' hogs from local farmers — plant-owned animals, so the organs are the plant's to sell (no farmer-consent problem). Reviews praise cleanliness and expert butchers. County directory: slaughter calves, cattle, hogs, lambs; curing/smoking.</t>
        </is>
      </c>
      <c r="U35" s="211" t="inlineStr">
        <is>
          <t>B-04</t>
        </is>
      </c>
      <c r="V35" s="140" t="inlineStr">
        <is>
          <t>Tier 2
A 3.2 / B 3.7</t>
        </is>
      </c>
    </row>
    <row r="36" ht="72" customHeight="1" s="59">
      <c r="A36" s="4" t="inlineStr">
        <is>
          <t>Wayne Mays Meat Processing</t>
        </is>
      </c>
      <c r="B36" s="68" t="inlineStr">
        <is>
          <t>Taylorsville, NC</t>
        </is>
      </c>
      <c r="C36" s="68" t="inlineStr">
        <is>
          <t>USDA-inspected</t>
        </is>
      </c>
      <c r="D36" s="68" t="inlineStr">
        <is>
          <t>&lt;19/wk
(FSIS cat 1)
· HACCP Small (10-499 employees)</t>
        </is>
      </c>
      <c r="E36" s="110" t="inlineStr">
        <is>
          <t>NO · ~142 mi ≈
(Pikeville: ~218 mi)</t>
        </is>
      </c>
      <c r="F36" s="139" t="inlineStr">
        <is>
          <t>0-300/wk (&lt;19)</t>
        </is>
      </c>
      <c r="G36" s="68" t="inlineStr">
        <is>
          <t>⚠ BOAR/STAG flagged (FSIS)
MARKET + SOW + boar/stag</t>
        </is>
      </c>
      <c r="H36" s="68" t="inlineStr">
        <is>
          <t>USDA ✓ M21848 + P21848 + V21848</t>
        </is>
      </c>
      <c r="I36" s="25" t="inlineStr">
        <is>
          <t>⚠ Humane-handling NOS ~Aug 2020 (Est. M21848); PETA-documented pig shot 3× (2024). Recurring.</t>
        </is>
      </c>
      <c r="J36" s="68" t="inlineStr">
        <is>
          <t>Not on public export lists — verify</t>
        </is>
      </c>
      <c r="K36" s="68" t="inlineStr">
        <is>
          <t>AWA + Certified Organic — strong welfare signals</t>
        </is>
      </c>
      <c r="L36" s="68" t="inlineStr">
        <is>
          <t>Plausible</t>
        </is>
      </c>
      <c r="M36" s="68" t="inlineStr">
        <is>
          <t>Plausible</t>
        </is>
      </c>
      <c r="N36" s="68" t="inlineStr">
        <is>
          <t>Plausible</t>
        </is>
      </c>
      <c r="O36" s="68" t="inlineStr">
        <is>
          <t>(828) 634-2034
maysmeats.net</t>
        </is>
      </c>
      <c r="P36" s="23" t="inlineStr">
        <is>
          <t>CAUTION</t>
        </is>
      </c>
      <c r="Q36" s="178" t="inlineStr">
        <is>
          <t>BOAR/STAG RULE 9-28: FSIS flags boar/stag slaughter at this plant — AVOID unless the call confirms boars/stags are never run with our hogs (gate G4). Back-pool — passes no current tier; see Fit and notes for what a call would need to change.</t>
        </is>
      </c>
      <c r="R36" s="179" t="inlineStr">
        <is>
          <t>—</t>
        </is>
      </c>
      <c r="S36" s="68" t="inlineStr">
        <is>
          <t>High
(FSIS+MPI 8-06)</t>
        </is>
      </c>
      <c r="T36" s="68" t="inlineStr">
        <is>
          <t>RESOLVED: active federal grant M21848 + P21848 + V21848. Species flags are broad (market, sow, boar/stag) but FSIS slaughter_volume_category = 1 = FEWER THAN 1,000 HEAD PER YEAR — under ~19/wk. Too small to anchor anything; keep only as a cluster or overflow site.  [Verified 2026-08-06 against FSIS Establishment Demographic Data + MPI Directory by Establishment Number.]</t>
        </is>
      </c>
      <c r="U36" s="211" t="inlineStr">
        <is>
          <t>B-05</t>
        </is>
      </c>
      <c r="V36" s="210" t="inlineStr">
        <is>
          <t>—</t>
        </is>
      </c>
    </row>
    <row r="37" ht="139" customHeight="1" s="59">
      <c r="A37" s="4" t="inlineStr">
        <is>
          <t>Price's Custom Meat Cutting &amp; Abattoir</t>
        </is>
      </c>
      <c r="B37" s="68" t="inlineStr">
        <is>
          <t>Hickory, NC (Burke)</t>
        </is>
      </c>
      <c r="C37" s="68" t="inlineStr">
        <is>
          <t>NC STATE-inspected slaughter + processing</t>
        </is>
      </c>
      <c r="D37" s="68" t="inlineStr">
        <is>
          <t>unknown — NO public figure exists for NC state plants (NASS withholds NC hog totals; NCDA publishes none)
· inference by business type: hog-only packer / sausage maker — plausibly 100-300/wk (Nahunta-type); ask</t>
        </is>
      </c>
      <c r="E37" s="110" t="inlineStr">
        <is>
          <t>NO · ~150 mi ≈
(Pikeville: ~226 mi)</t>
        </is>
      </c>
      <c r="F37" s="139" t="inlineStr">
        <is>
          <t>0-300/wk (est. —
2 kill days/wk)</t>
        </is>
      </c>
      <c r="G37" s="68" t="inlineStr">
        <is>
          <t>Yes — SWINE-ONLY
(boar/stag: ask — the NCDA species code does not distinguish boars)</t>
        </is>
      </c>
      <c r="H37" s="68" t="inlineStr">
        <is>
          <t>STATE only P-307
(NOT USDA — intrastate)</t>
        </is>
      </c>
      <c r="I37" s="68" t="inlineStr">
        <is>
          <t>State-inspected — not in FSIS data by construction</t>
        </is>
      </c>
      <c r="J37" s="68" t="inlineStr">
        <is>
          <t>State-inspected — intrastate NC only</t>
        </is>
      </c>
      <c r="K37" s="68" t="inlineStr">
        <is>
          <t>None found (state plant — not in FSIS data)</t>
        </is>
      </c>
      <c r="L37" s="68" t="inlineStr">
        <is>
          <t>Hog-only; kills &amp; dresses MONDAYS AND WEDNESDAYS; scalds to 260 lb and HAND-SCRAPES larger hogs to preserve skin — directly relevant to intact tissue-block work. Offal policy unverified. (Kill-day/scald detail from an undated customer-contributed listing — confirm by phone.)</t>
        </is>
      </c>
      <c r="M37" s="68" t="inlineStr">
        <is>
          <t>Plausible</t>
        </is>
      </c>
      <c r="N37" s="68" t="inlineStr">
        <is>
          <t>Implausible</t>
        </is>
      </c>
      <c r="O37" s="68" t="inlineStr">
        <is>
          <t>CONTACT: Lee Kong (contact per Yahoo Local) · 828-397-5150
(828) 381-8978 (NCDA&amp;CS 2026-08-10)
alt (828) 397-5150
8454 Price Meat Cutting Rd, Hickory</t>
        </is>
      </c>
      <c r="P37" s="23" t="inlineStr">
        <is>
          <t>POSSIBLE</t>
        </is>
      </c>
      <c r="Q37" s="178" t="inlineStr">
        <is>
          <t>TIER 3 — swine-only state floor, fixed Mon/Wed kill days, hand-scrape skin preservation; western-crew play.</t>
        </is>
      </c>
      <c r="R37" s="179" t="inlineStr">
        <is>
          <t>no website — Facebook page; phone (828) 381-8978
facebook.com/p/Prices-Custom-Meat-Cutting (782 likes) · BBB · Yelp · Tripadvisor (verified 2026-09-30)</t>
        </is>
      </c>
      <c r="S37" s="68" t="inlineStr">
        <is>
          <t>Med-High
(FSIS+NCDA 8-17)</t>
        </is>
      </c>
      <c r="T37" s="68" t="inlineStr">
        <is>
          <t>★ UPGRADED 2026-08-17 — SECOND-BEST WESTERN STATE LEAD (NCDA&amp;CS directory 2026-08-10, adversarially confirmed): swine-only P-307 since 1994, fixed Mon/Wed kill days that are easy to plan a harvest crew around, hand-scrape skill, Nahunta-equivalent export path. County correction: the site is BURKE County (not Catawba/Hickory city limits). Same unknowns as Caldwell — volume and willingness. 226 road mi; western-crew / Model B play. The 260-lb scald limit hints at modest equipment.  [2026-08-17 focus-region pass: FSIS MPI + Demographic datasets and NCDA&amp;CS directories (dated 2026-08-10) retrieved fresh 2026-08-17; adversarially verified.]
SOCIAL/OTHER 9-30: Founded 1994; family-owned; hours M-W 9-6, Th 8:30-5:30, F 9-6, Sat 8:30-5:30. A reviewer notes hogs processed by hand with 'excellent service'.</t>
        </is>
      </c>
      <c r="U37" s="211" t="inlineStr">
        <is>
          <t>B-06</t>
        </is>
      </c>
      <c r="V37" s="143" t="inlineStr">
        <is>
          <t>Tier 3
A 2.8 / B 2.8</t>
        </is>
      </c>
    </row>
    <row r="38" ht="139" customHeight="1" s="59">
      <c r="A38" s="4" t="inlineStr">
        <is>
          <t>Caldwell Meat Processing Co.</t>
        </is>
      </c>
      <c r="B38" s="68" t="inlineStr">
        <is>
          <t>Maiden, NC (Lincoln)</t>
        </is>
      </c>
      <c r="C38" s="68" t="inlineStr">
        <is>
          <t>NC STATE-inspected slaughter + processing</t>
        </is>
      </c>
      <c r="D38" s="68" t="inlineStr">
        <is>
          <t>unknown — NO public figure exists for NC state plants (NASS withholds NC hog totals; NCDA publishes none)
· inference by business type: hog-only packer / sausage maker — plausibly 100-300/wk (Nahunta-type); ask</t>
        </is>
      </c>
      <c r="E38" s="110" t="inlineStr">
        <is>
          <t>NO · ~152 mi ≈
(Pikeville: ~227 mi)</t>
        </is>
      </c>
      <c r="F38" s="143" t="inlineStr">
        <is>
          <t>confirm
(state — no volume published)</t>
        </is>
      </c>
      <c r="G38" s="68" t="inlineStr">
        <is>
          <t>Yes — SWINE-ONLY
(boar/stag: ask — the NCDA species code does not distinguish boars)</t>
        </is>
      </c>
      <c r="H38" s="68" t="inlineStr">
        <is>
          <t>STATE only P-312
(NOT USDA — intrastate)</t>
        </is>
      </c>
      <c r="I38" s="68" t="inlineStr">
        <is>
          <t>State-inspected — never appears in FSIS data; absence is meaningless. Check NCDA state records.</t>
        </is>
      </c>
      <c r="J38" s="68" t="inlineStr">
        <is>
          <t>State-inspected — intrastate NC only; not export eligible as edible product</t>
        </is>
      </c>
      <c r="K38" s="68" t="inlineStr">
        <is>
          <t>None found (state plants never appear in FSIS data — absence is meaningless here) BBB: not rated. One customer allegation (missing cuts incl. organ meats, 'never made right') — an individual, unverified complaint, not an inspection finding; a discipline question for any Model B-T arrangement.</t>
        </is>
      </c>
      <c r="L38" s="68" t="inlineStr">
        <is>
          <t>Hog-ONLY kill floor — every kill day is a hog day (the Nahunta structural pattern). Offal policy unverified.</t>
        </is>
      </c>
      <c r="M38" s="68" t="inlineStr">
        <is>
          <t>Plausible</t>
        </is>
      </c>
      <c r="N38" s="68" t="inlineStr">
        <is>
          <t>Implausible (state inspection blocks interstate edible movement)</t>
        </is>
      </c>
      <c r="O38" s="68" t="inlineStr">
        <is>
          <t>CONTACT: Kevin Caldwell (owner; BBB) · 828-428-8833
(828) 428-8833</t>
        </is>
      </c>
      <c r="P38" s="23" t="inlineStr">
        <is>
          <t>POSSIBLE</t>
        </is>
      </c>
      <c r="Q38" s="178" t="inlineStr">
        <is>
          <t>TIER 3 — swine-only state floor (Nahunta's structure) near Charlotte; park until a western crew exists, then visit first.</t>
        </is>
      </c>
      <c r="R38" s="179" t="inlineStr">
        <is>
          <t>no website — Facebook page; phone (828) 428-8833
facebook.com/p/Caldwells-Meat · BBB · Yelp · Tripadvisor (verified 2026-09-30)</t>
        </is>
      </c>
      <c r="S38" s="68" t="inlineStr">
        <is>
          <t>Med-High
(FSIS+NCDA 8-17)</t>
        </is>
      </c>
      <c r="T38" s="68" t="inlineStr">
        <is>
          <t>★ UPGRADED 2026-08-17 — TOP STATE-PLANT LEAD IN THE WEST (adversarially confirmed on the NCDA&amp;CS State Plant Directory dated 2026-08-10): swine-ONLY state grant P-312, the same structure and APHIS-equivalent export path as Nahunta; family hog plant since 1968-69, 40 min from Charlotte. Could become a WESTERN MINI-NAHUNTA — everything hinges on actual weekly kill and openness to hosting a crew (NCDA publishes no volumes); one visit answers it. 227 road mi — outside the Model A radius, so this is a western-crew / Model B play, not an extension of the eastern crew.  [2026-08-17 focus-region pass: FSIS MPI + Demographic datasets and NCDA&amp;CS directories (dated 2026-08-10) retrieved fresh 2026-08-17; adversarially verified.]
SOCIAL/OTHER 9-30: Since 1968/69. MIXED REVIEWS: missing requested items, 'forgotten organ meats', a promise to 'make it right' never kept — a process-discipline caution for any Model B-T arrangement. One rave for the sausage.</t>
        </is>
      </c>
      <c r="U38" s="211" t="inlineStr">
        <is>
          <t>B-07</t>
        </is>
      </c>
      <c r="V38" s="143" t="inlineStr">
        <is>
          <t>Tier 3
A 2.8 / B 2.8</t>
        </is>
      </c>
    </row>
    <row r="39" ht="139" customHeight="1" s="59">
      <c r="A39" s="146" t="inlineStr">
        <is>
          <t>Crawley's Abattoir</t>
        </is>
      </c>
      <c r="B39" s="83" t="inlineStr">
        <is>
          <t>Morganton, NC (Burke)</t>
        </is>
      </c>
      <c r="C39" s="83" t="inlineStr">
        <is>
          <t>NC STATE-inspected slaughter + processing</t>
        </is>
      </c>
      <c r="D39" s="83" t="inlineStr">
        <is>
          <t>unknown — NO public figure exists for NC state plants (NASS withholds NC hog totals; NCDA publishes none)
· inference by business type: multi-species custom / retail plant — typically 10-100 hogs/wk; call question 2 decides</t>
        </is>
      </c>
      <c r="E39" s="110" t="inlineStr">
        <is>
          <t>NO · ~170 mi ≈
(Pikeville: ~245 mi)</t>
        </is>
      </c>
      <c r="F39" s="143" t="inlineStr">
        <is>
          <t>confirm
(state — no volume published)</t>
        </is>
      </c>
      <c r="G39" s="134" t="inlineStr">
        <is>
          <t>HOGS + goats/sheep
(state species C, D, E)
(boar/stag: ask — the NCDA species code does not distinguish boars)</t>
        </is>
      </c>
      <c r="H39" s="83" t="inlineStr">
        <is>
          <t>STATE ✓ P-101
(NC state — APHIS-equivalent
for our harvest path)</t>
        </is>
      </c>
      <c r="I39" s="83" t="inlineStr">
        <is>
          <t>None found (state plants sit outside FSIS reporting)</t>
        </is>
      </c>
      <c r="J39" s="83" t="inlineStr">
        <is>
          <t>NC state inspection = APHIS-accepted equivalent when WE harvest</t>
        </is>
      </c>
      <c r="K39" s="83" t="inlineStr">
        <is>
          <t>Nothing published either way.</t>
        </is>
      </c>
      <c r="L39" s="83" t="inlineStr">
        <is>
          <t>Plausible-untested</t>
        </is>
      </c>
      <c r="M39" s="83" t="inlineStr">
        <is>
          <t>Western-crew / Model B only (distance)</t>
        </is>
      </c>
      <c r="N39" s="83" t="inlineStr">
        <is>
          <t>Plausible</t>
        </is>
      </c>
      <c r="O39" s="83" t="inlineStr">
        <is>
          <t>CONTACT: Xa Her (NCDA county directory) · 828-584-6356
(828) 584-6356</t>
        </is>
      </c>
      <c r="P39" s="140" t="inlineStr">
        <is>
          <t>POSSIBLE</t>
        </is>
      </c>
      <c r="Q39" s="178" t="inlineStr">
        <is>
          <t>Back-pool — passes no current tier; see Fit and notes for what a call would need to change.</t>
        </is>
      </c>
      <c r="R39" s="179" t="inlineStr">
        <is>
          <t>—
Butcher Bud 4.9/5 from 26 reviews · BBB · Yahoo Local · Facebook (specials by FB/e-mail) (verified 2026-09-30)</t>
        </is>
      </c>
      <c r="S39" s="83" t="inlineStr">
        <is>
          <t>Low-Med
(FSIS+NCDA 8-17)</t>
        </is>
      </c>
      <c r="T39" s="83" t="inlineStr">
        <is>
          <t>★ NEW FIND 2026-08-17: a swine-capable STATE-inspected abattoir (P-101) missed by every earlier pass — same APHIS-equivalent path as Nahunta, in the Morganton foothills. Volume and willingness unknown. 245 road mi: pairs with the Caldwell/Price's/McLaughlin's trio only if a western crew ever exists.  [2026-08-17 focus-region pass: FSIS MPI + Demographic datasets and NCDA&amp;CS directories (dated 2026-08-10) retrieved fresh 2026-08-17; adversarially verified.]
SOCIAL/OTHER 9-30: 32 years in business; 'doing business with Crawley's for over 12 years… top notch'. County directory: slaughter goats, hogs, lambs, sheep; NO processing; sells inside NC only.</t>
        </is>
      </c>
      <c r="U39" s="211" t="inlineStr">
        <is>
          <t>B-08</t>
        </is>
      </c>
      <c r="V39" s="210" t="inlineStr">
        <is>
          <t>—</t>
        </is>
      </c>
    </row>
    <row r="40" ht="98.8" customHeight="1" s="59">
      <c r="A40" s="138" t="inlineStr">
        <is>
          <t>Hemingway Locker Plant, LLC</t>
        </is>
      </c>
      <c r="B40" s="68" t="inlineStr">
        <is>
          <t>Hemingway, SC (Williamsburg)</t>
        </is>
      </c>
      <c r="C40" s="68" t="inlineStr">
        <is>
          <t>USDA federal locker plant (slaughter + processing)</t>
        </is>
      </c>
      <c r="D40" s="68" t="inlineStr">
        <is>
          <t>19-194/wk (FSIS cat 2)
· shares South Carolina's 14,070 federal hogs/yr (NASS 2025) with 7 other plants — well under ~270/wk
· HACCP Very Small</t>
        </is>
      </c>
      <c r="E40" s="110" t="inlineStr">
        <is>
          <t>NO · ~201 mi ≈
(Pikeville: ~180 mi)</t>
        </is>
      </c>
      <c r="F40" s="139" t="inlineStr">
        <is>
          <t>0-300/wk (cat-2 ≤194)</t>
        </is>
      </c>
      <c r="G40" s="68" t="inlineStr">
        <is>
          <t>MARKET hogs</t>
        </is>
      </c>
      <c r="H40" s="68" t="inlineStr">
        <is>
          <t>USDA ✓ M34181
(grant 7/11/2022)</t>
        </is>
      </c>
      <c r="I40" s="25" t="inlineStr">
        <is>
          <t>ONE humane-handling action: NOS 7/2/2024 (first stun ineffective), held in abeyance 7/3/2024 after same-day corrective action — stunner replaced and retrained (FSIS letter retrieved 2026-09-03). Nothing since.</t>
        </is>
      </c>
      <c r="J40" s="68" t="inlineStr">
        <is>
          <t>FULL export path (federal)</t>
        </is>
      </c>
      <c r="K40" s="68" t="inlineStr">
        <is>
          <t>Single resolved 2024 event — discussion item, not exclusion.</t>
        </is>
      </c>
      <c r="L40" s="68" t="inlineStr">
        <is>
          <t>Unknown — locker-plant custom culture implies cut-to-spec basics</t>
        </is>
      </c>
      <c r="M40" s="68" t="inlineStr">
        <is>
          <t>No (180 road mi)</t>
        </is>
      </c>
      <c r="N40" s="68" t="inlineStr">
        <is>
          <t>B-T possibility; pair with a Williamsburg Packing trip (30 min apart)</t>
        </is>
      </c>
      <c r="O40" s="68" t="inlineStr">
        <is>
          <t>CONTACT: (owner unnamed — 'the owner is very nice' per Yelp) · 843-558-2751
(843) 558-2751
Owner: Bobby McDaniel Jr.</t>
        </is>
      </c>
      <c r="P40" s="140" t="inlineStr">
        <is>
          <t>POSSIBLE</t>
        </is>
      </c>
      <c r="Q40" s="178" t="inlineStr">
        <is>
          <t>TIER 3 — NEW FIND 2026-09-03: a market-hog cat-2 federal floor missed by every earlier pass, 30 min from Williamsburg Packing — pair the two on one SC trip if Williamsburg's call goes well.</t>
        </is>
      </c>
      <c r="R40" s="179" t="inlineStr">
        <is>
          <t>no website (hemingwaylockerplant.com is parked)
facebook.com/hemingwaylockerplant (3 reviews) · Yelp (1) · Tripadvisor · Protein Intel M34181 (verified 2026-09-30)</t>
        </is>
      </c>
      <c r="S40" s="68" t="inlineStr">
        <is>
          <t>Med
(FSIS/site 9-03)</t>
        </is>
      </c>
      <c r="T40" s="68" t="inlineStr">
        <is>
          <t>ADDED TO ROSTER 2026-09-03 from the fresh FSIS pull (was never on any roster). Owner named in the 2024 FSIS letter. See Rated Candidates.
SOCIAL/OTHER 9-30: Sells whole hogs for BBQ; custom + wholesale beef and pork; hours 8-5. Thin footprint.</t>
        </is>
      </c>
      <c r="U40" s="211" t="inlineStr">
        <is>
          <t>B-09</t>
        </is>
      </c>
      <c r="V40" s="143" t="inlineStr">
        <is>
          <t>Tier 3
A 2.5 / B 3.0</t>
        </is>
      </c>
    </row>
    <row r="41" ht="72" customHeight="1" s="59">
      <c r="A41" s="4" t="inlineStr">
        <is>
          <t>Wells, Jenkins &amp; Wells Abattoir</t>
        </is>
      </c>
      <c r="B41" s="68" t="inlineStr">
        <is>
          <t>Forest City, NC</t>
        </is>
      </c>
      <c r="C41" s="68" t="inlineStr">
        <is>
          <t>Slaughter</t>
        </is>
      </c>
      <c r="D41" s="68" t="inlineStr">
        <is>
          <t>~19-194/wk
(FSIS cat 2 ceiling)
· HACCP Very Small (&lt;10 employees or &lt;$2.5M sales)</t>
        </is>
      </c>
      <c r="E41" s="110" t="inlineStr">
        <is>
          <t>NO · ~203 mi ≈
(Pikeville: ~278 mi)</t>
        </is>
      </c>
      <c r="F41" s="139" t="inlineStr">
        <is>
          <t>0-300/wk (≤194)</t>
        </is>
      </c>
      <c r="G41" s="68" t="inlineStr">
        <is>
          <t>⚠ BOAR/STAG flagged (FSIS)
MARKET + boar/stag
(sow: No, roaster: No)</t>
        </is>
      </c>
      <c r="H41" s="68" t="inlineStr">
        <is>
          <t>USDA ✓ M881 + P881 + V881</t>
        </is>
      </c>
      <c r="I41" s="68" t="inlineStr">
        <is>
          <t>None found (the M7457A docs are a different WV plant)</t>
        </is>
      </c>
      <c r="J41" s="68" t="inlineStr">
        <is>
          <t>Not on public export lists — verify</t>
        </is>
      </c>
      <c r="K41" s="68" t="inlineStr">
        <is>
          <t>AWA (welfare signal)</t>
        </is>
      </c>
      <c r="L41" s="68" t="inlineStr">
        <is>
          <t>Plausible</t>
        </is>
      </c>
      <c r="M41" s="68" t="inlineStr">
        <is>
          <t>Plausible</t>
        </is>
      </c>
      <c r="N41" s="68" t="inlineStr">
        <is>
          <t>Plausible</t>
        </is>
      </c>
      <c r="O41" s="68" t="inlineStr">
        <is>
          <t>(828) 245-5544</t>
        </is>
      </c>
      <c r="P41" s="23" t="inlineStr">
        <is>
          <t>CAUTION
(boar/stag)</t>
        </is>
      </c>
      <c r="Q41" s="178" t="inlineStr">
        <is>
          <t>BOAR/STAG RULE 9-28: FSIS flags boar/stag slaughter at this plant — AVOID unless the call confirms boars/stags are never run with our hogs (gate G4). Back-pool — passes no current tier; see Fit and notes for what a call would need to change.</t>
        </is>
      </c>
      <c r="R41" s="179" t="inlineStr">
        <is>
          <t>—</t>
        </is>
      </c>
      <c r="S41" s="68" t="inlineStr">
        <is>
          <t>High
(FSIS+MPI 8-06)</t>
        </is>
      </c>
      <c r="T41" s="68" t="inlineStr">
        <is>
          <t>RESOLVED: active federal grant M881 + P881 + V881, Forest City NC, market hogs and boar/stag flagged. Ceiling FSIS category 2, ~194/wk. At 278 road miles it is the furthest NC entry on the roster and fails the 120-mile Model A preference by a wide margin.  [Verified 2026-08-06 against FSIS Establishment Demographic Data + MPI Directory by Establishment Number.]</t>
        </is>
      </c>
      <c r="U41" s="211" t="inlineStr">
        <is>
          <t>B-10</t>
        </is>
      </c>
      <c r="V41" s="210" t="inlineStr">
        <is>
          <t>—</t>
        </is>
      </c>
    </row>
    <row r="42" ht="192.6" customHeight="1" s="59">
      <c r="A42" s="138" t="inlineStr">
        <is>
          <t>Williamsburg Packing Company, Inc.</t>
        </is>
      </c>
      <c r="B42" s="68" t="inlineStr">
        <is>
          <t>Kingstree, SC (Williamsburg)</t>
        </is>
      </c>
      <c r="C42" s="68" t="inlineStr">
        <is>
          <t>USDA federal slaughter + processing</t>
        </is>
      </c>
      <c r="D42" s="68" t="inlineStr">
        <is>
          <t>hogs ≤ ~270/wk, likely 50-200/wk
· NASS 2025: South Carolina's 8 federal plants killed 14,070 hogs in the whole year (≈270/wk statewide) — this plant holds poultry (P4005) and voluntary (V4005) grants, so its cat-3 band is all species
· HACCP Very Small (&lt;10 employees or &lt;$2.5M sales)</t>
        </is>
      </c>
      <c r="E42" s="110" t="inlineStr">
        <is>
          <t>NO · ~213 mi ≈
(Pikeville: ~190 mi)</t>
        </is>
      </c>
      <c r="F42" s="143" t="inlineStr">
        <is>
          <t>confirm
(federal band ≤1,944 — hog
share is the call question)</t>
        </is>
      </c>
      <c r="G42" s="68" t="inlineStr">
        <is>
          <t>⚠ BOAR/STAG flagged (FSIS)
ALL FOUR hog classes
(market+sow+roaster+boar/stag,
FSIS flags 2026-09-03)</t>
        </is>
      </c>
      <c r="H42" s="68" t="inlineStr">
        <is>
          <t>USDA ✓ M4005 + P4005 + V4005
(V = voluntary grant — the
research-tissue mechanism)</t>
        </is>
      </c>
      <c r="I42" s="25" t="inlineStr">
        <is>
          <t>No enforcement found. Earlier welfare-CERTIFICATION marketing claims were refuted (claims, not violations) — do not lead with welfare.</t>
        </is>
      </c>
      <c r="J42" s="68" t="inlineStr">
        <is>
          <t>FULL export path (federal)</t>
        </is>
      </c>
      <c r="K42" s="68" t="inlineStr">
        <is>
          <t>Do not lead with welfare (see enforcement col).</t>
        </is>
      </c>
      <c r="L42" s="68" t="inlineStr">
        <is>
          <t>Unknown — the call decides; V4005 is directly relevant to research tissue</t>
        </is>
      </c>
      <c r="M42" s="68" t="inlineStr">
        <is>
          <t>No (190 road mi — outside the radius)</t>
        </is>
      </c>
      <c r="N42" s="68" t="inlineStr">
        <is>
          <t>B-T candidate if the hog share is real</t>
        </is>
      </c>
      <c r="O42" s="68" t="inlineStr">
        <is>
          <t>CONTACT: (owner name not retrieved) · 843-355-6447
(843) 355-6447</t>
        </is>
      </c>
      <c r="P42" s="23" t="inlineStr">
        <is>
          <t>CAUTION
(boar/stag)</t>
        </is>
      </c>
      <c r="Q42" s="178" t="inlineStr">
        <is>
          <t>BOAR/STAG RULE 9-28: FSIS flags boar/stag slaughter at this plant — AVOID unless the call confirms boars/stags are never run with our hogs (gate G4). TIER 3 — its cat-3 band is ALL SPECIES (South Carolina's federal plants killed 14,070 hogs in the whole of 2025) and it keeps half-day hours; all four swine classes incl. boar/stag. ONE call decides it: actual hogs/week (the cat-3 band is multi-species, so the hog number could disappoint).</t>
        </is>
      </c>
      <c r="R42" s="179" t="inlineStr">
        <is>
          <t>no website (williamsburgpacking.com is parked)
facebook.com/Williamsburg-Packing (17 reviews, 92%) · Yelp · Chamber 4.4/5 from 30 · Certified SC member · D&amp;B (verified 2026-09-30)</t>
        </is>
      </c>
      <c r="S42" s="68" t="inlineStr">
        <is>
          <t>Med-High
(FSIS/site 9-03)</t>
        </is>
      </c>
      <c r="T42" s="68" t="inlineStr">
        <is>
          <t>ADDED TO ROSTER 2026-09-03 (was rated but had no roster line). Fresh FSIS pull 2026-09-03: slaughter cat 3 with market+sow+roaster+boar/stag flags. Prior passes: category is an all-species aggregate — treat the hog share as UNKNOWN until the call; welfare-cert claims refuted 2026-08; voluntary grant V4005 is the non-amenable/research mechanism. See Rated Candidates.
VOLUME INFERENCE 9-28: the only non-incumbent cat-3 in the Carolinas is capped by SC's statewide 14,070 hogs/yr — not Martin's scale.
SOCIAL/OTHER 9-30: HOURS M-F 7:30 AM-12:00 PM — half days, consistent with the small hog count implied by SC's statewide total. 67 years in business; Certified Humane / AWA listed; custom harvest of pork, beef, sheep, goat, chicken, turkey.</t>
        </is>
      </c>
      <c r="U42" s="211" t="inlineStr">
        <is>
          <t>B-11</t>
        </is>
      </c>
      <c r="V42" s="143" t="inlineStr">
        <is>
          <t>Tier 3
A 2.1 / B 2.6</t>
        </is>
      </c>
    </row>
    <row r="43" ht="165.8" customHeight="1" s="59">
      <c r="A43" s="4" t="inlineStr">
        <is>
          <t>T&amp;E Meats (True &amp; Essential)</t>
        </is>
      </c>
      <c r="B43" s="68" t="inlineStr">
        <is>
          <t>Harrisonburg, VA</t>
        </is>
      </c>
      <c r="C43" s="68" t="inlineStr">
        <is>
          <t>USDA + AWA slaughter + processing</t>
        </is>
      </c>
      <c r="D43" s="68" t="inlineStr">
        <is>
          <t>~19-194/wk
(FSIS cat 2)
· HACCP Very Small (&lt;10 employees or &lt;$2.5M sales)
· hog kill CAPPED by NASS 2025: Virginia's 16 federal plants killed 7,841 hogs in the WHOLE year (≈150/wk statewide) — the FSIS band counts ALL species</t>
        </is>
      </c>
      <c r="E43" s="110" t="inlineStr">
        <is>
          <t>NO · ~218 mi ≈</t>
        </is>
      </c>
      <c r="F43" s="139" t="inlineStr">
        <is>
          <t>0-300/wk (≤194)</t>
        </is>
      </c>
      <c r="G43" s="68" t="inlineStr">
        <is>
          <t>⚠ BOAR/STAG flagged (FSIS)
MARKET + SOW + ROASTER + boar/stag
(all four classes)</t>
        </is>
      </c>
      <c r="H43" s="68" t="inlineStr">
        <is>
          <t>USDA ✓ M7420 + V7420
(FSIS lists 'Honest Meats, LLC')</t>
        </is>
      </c>
      <c r="I43" s="68" t="inlineStr">
        <is>
          <t>None found in public sources</t>
        </is>
      </c>
      <c r="J43" s="68" t="inlineStr">
        <is>
          <t>Not on public export lists — verify w/ APHIS VS</t>
        </is>
      </c>
      <c r="K43" s="68" t="inlineStr">
        <is>
          <t>AWA humane; mission-driven independent (Salatin/Cloud); site since 1930s — very strong</t>
        </is>
      </c>
      <c r="L43" s="68" t="inlineStr">
        <is>
          <t>Not noted</t>
        </is>
      </c>
      <c r="M43" s="68" t="inlineStr">
        <is>
          <t>Worth asking (A)</t>
        </is>
      </c>
      <c r="N43" s="68" t="inlineStr">
        <is>
          <t>Excellent B</t>
        </is>
      </c>
      <c r="O43" s="68" t="inlineStr">
        <is>
          <t>540-434-4415
temeats.com</t>
        </is>
      </c>
      <c r="P43" s="23" t="inlineStr">
        <is>
          <t>CAUTION
(boar/stag)</t>
        </is>
      </c>
      <c r="Q43" s="178" t="inlineStr">
        <is>
          <t>BOAR/STAG RULE 9-28: FSIS flags boar/stag slaughter at this plant — AVOID unless the call confirms boars/stags are never run with our hogs (gate G4). Back-pool — passes no current tier; see Fit and notes for what a call would need to change.</t>
        </is>
      </c>
      <c r="R43" s="179" t="inlineStr">
        <is>
          <t>—</t>
        </is>
      </c>
      <c r="S43" s="68" t="inlineStr">
        <is>
          <t>High
(FSIS+MPI 8-06)</t>
        </is>
      </c>
      <c r="T43" s="68" t="inlineStr">
        <is>
          <t>IDENTITY CONFIRMED — the establishment is M7420 + V7420, listed by FSIS as 'Honest Meats, LLC', Harrisonburg VA. That is the same establishment number carried by the humane-handling enforcement documents on file (7420MV Notice of Suspension / NOSHA, 2024). The exclusion made by adversarial verification therefore attaches to a confirmed establishment, not to a name guess. All four swine classes flagged, category 2 volume (~19-194/wk). DO NOT REACH.  [Verified 2026-08-06 against FSIS Establishment Demographic Data + MPI Directory by Establishment Number.]</t>
        </is>
      </c>
      <c r="U43" s="211" t="inlineStr">
        <is>
          <t>B-12</t>
        </is>
      </c>
      <c r="V43" s="210" t="inlineStr">
        <is>
          <t>—</t>
        </is>
      </c>
    </row>
    <row r="44" ht="165.8" customHeight="1" s="59">
      <c r="A44" s="4" t="inlineStr">
        <is>
          <t>Knockout Butchery</t>
        </is>
      </c>
      <c r="B44" s="68" t="inlineStr">
        <is>
          <t>Roebuck, SC</t>
        </is>
      </c>
      <c r="C44" s="68" t="inlineStr">
        <is>
          <t>USDA custom processing</t>
        </is>
      </c>
      <c r="D44" s="68" t="inlineStr">
        <is>
          <t>&lt;19/wk
(FSIS cat 1)
· HACCP Very Small (&lt;10 employees or &lt;$2.5M sales)
· hog kill CAPPED by NASS 2025: South Carolina's 8 federal plants killed 14,070 hogs in the whole year (≈270/wk statewide) — the FSIS band counts ALL species</t>
        </is>
      </c>
      <c r="E44" s="110" t="inlineStr">
        <is>
          <t>NO · ~222 mi ≈</t>
        </is>
      </c>
      <c r="F44" s="139" t="inlineStr">
        <is>
          <t>0-300/wk (&lt;19)</t>
        </is>
      </c>
      <c r="G44" s="68" t="inlineStr">
        <is>
          <t>SOW (fresh FSIS flags 2026-09-03;
re-granted 11/24/2025 —
earlier 'no swine flags' superseded)</t>
        </is>
      </c>
      <c r="H44" s="68" t="inlineStr">
        <is>
          <t>USDA ✓ M2866 + P2866</t>
        </is>
      </c>
      <c r="I44" s="68" t="inlineStr">
        <is>
          <t>None found in public sources</t>
        </is>
      </c>
      <c r="J44" s="68" t="inlineStr">
        <is>
          <t>Not on public export lists — verify</t>
        </is>
      </c>
      <c r="K44" s="68" t="inlineStr">
        <is>
          <t>'Careful handling'; recent capacity investment (trade press)</t>
        </is>
      </c>
      <c r="L44" s="68" t="inlineStr">
        <is>
          <t>Not noted</t>
        </is>
      </c>
      <c r="M44" s="68" t="inlineStr">
        <is>
          <t>Ask</t>
        </is>
      </c>
      <c r="N44" s="68" t="inlineStr">
        <is>
          <t>Likely B</t>
        </is>
      </c>
      <c r="O44" s="68" t="inlineStr">
        <is>
          <t>864-410-7068
knockoutbutchery.com</t>
        </is>
      </c>
      <c r="P44" s="140" t="inlineStr">
        <is>
          <t>CAUTION</t>
        </is>
      </c>
      <c r="Q44" s="178" t="inlineStr">
        <is>
          <t>Not a candidate for now — far-west SC (~250 mi), cat 1; note the fresh 11/2025 re-grant added a SOW flag.</t>
        </is>
      </c>
      <c r="R44" s="179" t="inlineStr">
        <is>
          <t>—</t>
        </is>
      </c>
      <c r="S44" s="68" t="inlineStr">
        <is>
          <t>High
(FSIS+MPI 8-06)</t>
        </is>
      </c>
      <c r="T44" s="68" t="inlineStr">
        <is>
          <t>⚠ SPECIES NOT CONFIRMED. Active federal grant M2866 + P2866 with slaughter listed, but FSIS records NO swine slaughter flags for this establishment — the hog-slaughter assumption is unsupported. Volume is category 1 (under ~19/wk) in any case.  [Verified 2026-08-06 against FSIS Establishment Demographic Data + MPI Directory by Establishment Number.]</t>
        </is>
      </c>
      <c r="U44" s="211" t="inlineStr">
        <is>
          <t>B-13</t>
        </is>
      </c>
      <c r="V44" s="210" t="inlineStr">
        <is>
          <t>—</t>
        </is>
      </c>
    </row>
    <row r="45" ht="45.2" customHeight="1" s="59">
      <c r="A45" s="4" t="inlineStr">
        <is>
          <t>601 Deer and Hog Processors</t>
        </is>
      </c>
      <c r="B45" s="68" t="inlineStr">
        <is>
          <t>Fort Motte, SC</t>
        </is>
      </c>
      <c r="C45" s="68" t="inlineStr">
        <is>
          <t>Deer/game + hog (likely custom-exempt)</t>
        </is>
      </c>
      <c r="D45" s="68" t="inlineStr">
        <is>
          <t>unknown</t>
        </is>
      </c>
      <c r="E45" s="110" t="inlineStr">
        <is>
          <t>NO · ~222 mi ≈</t>
        </is>
      </c>
      <c r="F45" s="143" t="inlineStr">
        <is>
          <t>confirm</t>
        </is>
      </c>
      <c r="G45" s="68" t="inlineStr">
        <is>
          <t>Yes</t>
        </is>
      </c>
      <c r="H45" s="68" t="inlineStr">
        <is>
          <t>likely custom-
exempt (flag)</t>
        </is>
      </c>
      <c r="I45" s="68" t="inlineStr">
        <is>
          <t>None found (business also appears closed)</t>
        </is>
      </c>
      <c r="J45" s="68" t="inlineStr">
        <is>
          <t>Not on public export lists — verify</t>
        </is>
      </c>
      <c r="K45" s="68" t="inlineStr">
        <is>
          <t>Family (McDonald, since 2001)</t>
        </is>
      </c>
      <c r="L45" s="68" t="inlineStr">
        <is>
          <t>Not noted</t>
        </is>
      </c>
      <c r="M45" s="68" t="inlineStr">
        <is>
          <t>If own kills</t>
        </is>
      </c>
      <c r="N45" s="68" t="inlineStr">
        <is>
          <t>B if USDA confirmed</t>
        </is>
      </c>
      <c r="O45" s="68" t="inlineStr">
        <is>
          <t>803-707-1040</t>
        </is>
      </c>
      <c r="P45" s="23" t="inlineStr">
        <is>
          <t>CAUTION</t>
        </is>
      </c>
      <c r="Q45" s="178" t="inlineStr">
        <is>
          <t>Back-pool — passes no current tier; see Fit and notes for what a call would need to change.</t>
        </is>
      </c>
      <c r="R45" s="179" t="inlineStr">
        <is>
          <t>—</t>
        </is>
      </c>
      <c r="S45" s="68" t="inlineStr">
        <is>
          <t>Low-Med
(study 8-03/05)</t>
        </is>
      </c>
      <c r="T45" s="68" t="inlineStr">
        <is>
          <t>FLAG: USDA status unverified — game processors are often custom-exempt (product not for resale). One directory lists it CLOSED; verify still operating.</t>
        </is>
      </c>
      <c r="U45" s="211" t="inlineStr">
        <is>
          <t>B-14</t>
        </is>
      </c>
      <c r="V45" s="210" t="inlineStr">
        <is>
          <t>—</t>
        </is>
      </c>
    </row>
    <row r="46" ht="206" customHeight="1" s="59">
      <c r="A46" s="4" t="inlineStr">
        <is>
          <t>Fauquier's Finest — DATA ANOMALY</t>
        </is>
      </c>
      <c r="B46" s="68" t="inlineStr">
        <is>
          <t>Bealeton, VA</t>
        </is>
      </c>
      <c r="C46" s="68" t="inlineStr">
        <is>
          <t>USDA federal, multi-species</t>
        </is>
      </c>
      <c r="D46" s="68" t="inlineStr">
        <is>
          <t>CONTRADICTORY: FSIS size 'Very Small' (&lt;10 employees / &lt;$2.5M) YET slaughter_volume_category = 4 (≥100,000 head/yr)
· HACCP Very Small (&lt;10 employees or &lt;$2.5M sales)
· hog kill CAPPED by NASS 2025: Virginia's 16 federal plants killed 7,841 hogs in the WHOLE year (≈150/wk statewide) — the FSIS band counts ALL species</t>
        </is>
      </c>
      <c r="E46" s="110" t="inlineStr">
        <is>
          <t>NO · ~233 mi ≈</t>
        </is>
      </c>
      <c r="F46" s="143" t="inlineStr">
        <is>
          <t>confirm (anomaly)</t>
        </is>
      </c>
      <c r="G46" s="68" t="inlineStr">
        <is>
          <t>⚠ BOAR/STAG flagged (FSIS)
Yes — MKT+SOW+boar+beef</t>
        </is>
      </c>
      <c r="H46" s="68" t="inlineStr">
        <is>
          <t>USDA ✓ M33940</t>
        </is>
      </c>
      <c r="I46" s="68" t="inlineStr">
        <is>
          <t>See the Welfare &amp; culture column — enforcement detail is carried there for these rows</t>
        </is>
      </c>
      <c r="J46" s="68" t="inlineStr">
        <is>
          <t>Not verified — APHIS publishes no searchable list; confirm with APHIS VS</t>
        </is>
      </c>
      <c r="K46" s="68" t="inlineStr">
        <is>
          <t>🚨 INH suspension 04 Dec 2024 → reinstated 06 Mar 2025</t>
        </is>
      </c>
      <c r="L46" s="68" t="inlineStr">
        <is>
          <t>unknown</t>
        </is>
      </c>
      <c r="M46" s="68" t="inlineStr">
        <is>
          <t>Structurally suits Model A (custom processor)</t>
        </is>
      </c>
      <c r="N46" s="68" t="inlineStr">
        <is>
          <t>unknown</t>
        </is>
      </c>
      <c r="O46" s="68" t="inlineStr">
        <is>
          <t>(540) 439-7227
11746 AG Industrial Dr, Bealeton VA 22712</t>
        </is>
      </c>
      <c r="P46" s="23" t="inlineStr">
        <is>
          <t>CAUTION</t>
        </is>
      </c>
      <c r="Q46" s="178" t="inlineStr">
        <is>
          <t>BOAR/STAG RULE 9-28: FSIS flags boar/stag slaughter at this plant — AVOID unless the call confirms boars/stags are never run with our hogs (gate G4). Back-pool — passes no current tier; see Fit and notes for what a call would need to change.</t>
        </is>
      </c>
      <c r="R46" s="179" t="inlineStr">
        <is>
          <t>—</t>
        </is>
      </c>
      <c r="S46" s="68" t="inlineStr">
        <is>
          <t>Low
(study 8-03/05)</t>
        </is>
      </c>
      <c r="T46" s="68" t="inlineStr">
        <is>
          <t>The two FSIS facts are very hard to reconcile — likely a data-entry artifact or an aggregate across species. DO NOT treat as in-band without direct confirmation. Only reason to look: a rare Mid-Atlantic sow+boar slaughterer that is also a custom processor.</t>
        </is>
      </c>
      <c r="U46" s="211" t="inlineStr">
        <is>
          <t>B-15</t>
        </is>
      </c>
      <c r="V46" s="210" t="inlineStr">
        <is>
          <t>—</t>
        </is>
      </c>
    </row>
    <row r="47" ht="72" customHeight="1" s="59">
      <c r="A47" s="4" t="inlineStr">
        <is>
          <t>Caughman's Meat Plant, Inc.</t>
        </is>
      </c>
      <c r="B47" s="68" t="inlineStr">
        <is>
          <t>Lexington, SC</t>
        </is>
      </c>
      <c r="C47" s="68" t="inlineStr">
        <is>
          <t>USDA slaughter + processing</t>
        </is>
      </c>
      <c r="D47" s="68" t="inlineStr">
        <is>
          <t>unknown (small-mid est.)</t>
        </is>
      </c>
      <c r="E47" s="110" t="inlineStr">
        <is>
          <t>NO · ~252 mi ≈</t>
        </is>
      </c>
      <c r="F47" s="143" t="inlineStr">
        <is>
          <t>confirm</t>
        </is>
      </c>
      <c r="G47" s="68" t="inlineStr">
        <is>
          <t>Yes</t>
        </is>
      </c>
      <c r="H47" s="68" t="inlineStr">
        <is>
          <t>NOT in the FSIS MPI directory
('USDA ✓' is WITHDRAWN)</t>
        </is>
      </c>
      <c r="I47" s="68" t="inlineStr">
        <is>
          <t>None found in public sources</t>
        </is>
      </c>
      <c r="J47" s="68" t="inlineStr">
        <is>
          <t>Not on public export lists — verify w/ APHIS VS</t>
        </is>
      </c>
      <c r="K47" s="68" t="inlineStr">
        <is>
          <t>Multi-generation family since ~1947 — strong culture signal</t>
        </is>
      </c>
      <c r="L47" s="68" t="inlineStr">
        <is>
          <t>Not noted</t>
        </is>
      </c>
      <c r="M47" s="68" t="inlineStr">
        <is>
          <t>Possible (space unverified)</t>
        </is>
      </c>
      <c r="N47" s="68" t="inlineStr">
        <is>
          <t>Good — established slaughter + custom</t>
        </is>
      </c>
      <c r="O47" s="68" t="inlineStr">
        <is>
          <t>803-356-3216
caughmans.com</t>
        </is>
      </c>
      <c r="P47" s="140" t="inlineStr">
        <is>
          <t>CAUTION</t>
        </is>
      </c>
      <c r="Q47" s="178" t="inlineStr">
        <is>
          <t>Back-pool — passes no current tier; see Fit and notes for what a call would need to change.</t>
        </is>
      </c>
      <c r="R47" s="179" t="inlineStr">
        <is>
          <t>—</t>
        </is>
      </c>
      <c r="S47" s="68" t="inlineStr">
        <is>
          <t>Med-High
(FSIS+MPI 8-06)</t>
        </is>
      </c>
      <c r="T47" s="68" t="inlineStr">
        <is>
          <t>⚠ CLAIM WITHDRAWN — the 'USDA ✓' label was wrong. A national name search of the FSIS MPI directory returns nothing for 'Caughman', and the only establishments listed at Lexington SC are processing-only. If it slaughters at all it does so under the South Carolina state programme, which is NOT one of the inspection regimes our two-path rule accepts (only NC state inspection carries the APHIS equivalence).  [Verified 2026-08-06 against FSIS Establishment Demographic Data + MPI Directory by Establishment Number.]</t>
        </is>
      </c>
      <c r="U47" s="211" t="inlineStr">
        <is>
          <t>B-16</t>
        </is>
      </c>
      <c r="V47" s="210" t="inlineStr">
        <is>
          <t>—</t>
        </is>
      </c>
    </row>
    <row r="48" ht="165.8" customHeight="1" s="59">
      <c r="A48" s="138" t="inlineStr">
        <is>
          <t>Back Forty Butchery
(FSIS lists 'Back 40 Butchery')</t>
        </is>
      </c>
      <c r="B48" s="68" t="inlineStr">
        <is>
          <t>Hodges, SC</t>
        </is>
      </c>
      <c r="C48" s="68" t="inlineStr">
        <is>
          <t>USDA processing</t>
        </is>
      </c>
      <c r="D48" s="68" t="inlineStr">
        <is>
          <t>&lt;19/wk
(FSIS cat 1)
· HACCP Very Small (&lt;10 employees or &lt;$2.5M sales)
· hog kill CAPPED by NASS 2025: South Carolina's 8 federal plants killed 14,070 hogs in the whole year (≈270/wk statewide) — the FSIS band counts ALL species</t>
        </is>
      </c>
      <c r="E48" s="110" t="inlineStr">
        <is>
          <t>NO · ~268 mi ≈</t>
        </is>
      </c>
      <c r="F48" s="139" t="inlineStr">
        <is>
          <t>0-300/wk (&lt;19)</t>
        </is>
      </c>
      <c r="G48" s="68" t="inlineStr">
        <is>
          <t>MARKET only</t>
        </is>
      </c>
      <c r="H48" s="68" t="inlineStr">
        <is>
          <t>USDA ✓ M46060</t>
        </is>
      </c>
      <c r="I48" s="68" t="inlineStr">
        <is>
          <t>None found (Est. M46060)</t>
        </is>
      </c>
      <c r="J48" s="68" t="inlineStr">
        <is>
          <t>Not on public export lists — verify</t>
        </is>
      </c>
      <c r="K48" s="68" t="inlineStr">
        <is>
          <t>Not addressed</t>
        </is>
      </c>
      <c r="L48" s="68" t="inlineStr">
        <is>
          <t>Not noted</t>
        </is>
      </c>
      <c r="M48" s="68" t="inlineStr">
        <is>
          <t>Ask</t>
        </is>
      </c>
      <c r="N48" s="68" t="inlineStr">
        <is>
          <t>B if slaughter on-site</t>
        </is>
      </c>
      <c r="O48" s="68" t="inlineStr">
        <is>
          <t>864-374-3571</t>
        </is>
      </c>
      <c r="P48" s="23" t="inlineStr">
        <is>
          <t>POSSIBLE</t>
        </is>
      </c>
      <c r="Q48" s="178" t="inlineStr">
        <is>
          <t>Back-pool — passes no current tier; see Fit and notes for what a call would need to change.</t>
        </is>
      </c>
      <c r="R48" s="179" t="inlineStr">
        <is>
          <t>—</t>
        </is>
      </c>
      <c r="S48" s="68" t="inlineStr">
        <is>
          <t>High
(FSIS+MPI 8-06)</t>
        </is>
      </c>
      <c r="T48" s="68" t="inlineStr">
        <is>
          <t>RESOLVED: FSIS lists the establishment as 'Back 40 Butchery', M46060, Hodges SC, active federal grant, market hogs flagged. slaughter_volume_category = 1 = under ~19/wk.  [Verified 2026-08-06 against FSIS Establishment Demographic Data + MPI Directory by Establishment Number.]</t>
        </is>
      </c>
      <c r="U48" s="211" t="inlineStr">
        <is>
          <t>B-17</t>
        </is>
      </c>
      <c r="V48" s="210" t="inlineStr">
        <is>
          <t>—</t>
        </is>
      </c>
    </row>
    <row r="49" ht="165.8" customHeight="1" s="59">
      <c r="A49" s="4" t="inlineStr">
        <is>
          <t>Blue Ridge Meats of Front Royal</t>
        </is>
      </c>
      <c r="B49" s="68" t="inlineStr">
        <is>
          <t>Middletown, VA</t>
        </is>
      </c>
      <c r="C49" s="68" t="inlineStr">
        <is>
          <t>USDA + AWA abattoir</t>
        </is>
      </c>
      <c r="D49" s="68" t="inlineStr">
        <is>
          <t>&lt;19/wk
(FSIS cat 1)
· HACCP Very Small (&lt;10 employees or &lt;$2.5M sales)
· hog kill CAPPED by NASS 2025: Virginia's 16 federal plants killed 7,841 hogs in the WHOLE year (≈150/wk statewide) — the FSIS band counts ALL species</t>
        </is>
      </c>
      <c r="E49" s="110" t="inlineStr">
        <is>
          <t>NO · ~272 mi ≈</t>
        </is>
      </c>
      <c r="F49" s="139" t="inlineStr">
        <is>
          <t>0-300/wk (&lt;19)</t>
        </is>
      </c>
      <c r="G49" s="68" t="inlineStr">
        <is>
          <t>⚠ BOAR/STAG flagged (FSIS)
MARKET + SOW + boar/stag</t>
        </is>
      </c>
      <c r="H49" s="68" t="inlineStr">
        <is>
          <t>USDA ✓ M6526</t>
        </is>
      </c>
      <c r="I49" s="68" t="inlineStr">
        <is>
          <t>None found (do NOT confuse with 'Blue Ridge Beef' pet-food recalls)</t>
        </is>
      </c>
      <c r="J49" s="68" t="inlineStr">
        <is>
          <t>Not on public export lists — verify</t>
        </is>
      </c>
      <c r="K49" s="68" t="inlineStr">
        <is>
          <t>AWA-approved (humane) since 2006</t>
        </is>
      </c>
      <c r="L49" s="68" t="inlineStr">
        <is>
          <t>Not noted</t>
        </is>
      </c>
      <c r="M49" s="68" t="inlineStr">
        <is>
          <t>Mobile-slaughter option</t>
        </is>
      </c>
      <c r="N49" s="68" t="inlineStr">
        <is>
          <t>Strong B</t>
        </is>
      </c>
      <c r="O49" s="68" t="inlineStr">
        <is>
          <t>540-636-6050
blueridgemeats.com</t>
        </is>
      </c>
      <c r="P49" s="23" t="inlineStr">
        <is>
          <t>CAUTION
(boar/stag)</t>
        </is>
      </c>
      <c r="Q49" s="178" t="inlineStr">
        <is>
          <t>BOAR/STAG RULE 9-28: FSIS flags boar/stag slaughter at this plant — AVOID unless the call confirms boars/stags are never run with our hogs (gate G4). Back-pool — passes no current tier; see Fit and notes for what a call would need to change.</t>
        </is>
      </c>
      <c r="R49" s="179" t="inlineStr">
        <is>
          <t>—</t>
        </is>
      </c>
      <c r="S49" s="68" t="inlineStr">
        <is>
          <t>High
(FSIS+MPI 8-06)</t>
        </is>
      </c>
      <c r="T49" s="68" t="inlineStr">
        <is>
          <t>RESOLVED: active federal grant M6526, Middletown VA, market/sow/boar flagged, slaughter_volume_category = 1 = under ~19/wk.  [Verified 2026-08-06 against FSIS Establishment Demographic Data + MPI Directory by Establishment Number.]</t>
        </is>
      </c>
      <c r="U49" s="211" t="inlineStr">
        <is>
          <t>B-18</t>
        </is>
      </c>
      <c r="V49" s="210" t="inlineStr">
        <is>
          <t>—</t>
        </is>
      </c>
    </row>
    <row r="50" ht="72" customHeight="1" s="59">
      <c r="A50" s="4" t="inlineStr">
        <is>
          <t>Swaggerty Sausage Company</t>
        </is>
      </c>
      <c r="B50" s="68" t="inlineStr">
        <is>
          <t>Kodak, TN (Sevier)</t>
        </is>
      </c>
      <c r="C50" s="68" t="inlineStr">
        <is>
          <t>Captive SOW abattoir + sausage mfr (FSIS 'Large')</t>
        </is>
      </c>
      <c r="D50" s="68" t="inlineStr">
        <is>
          <t>~4,250/wk (850 hd/day EMI 2017; cat-4 confirms ≥2,000/wk)
· HACCP Large (500+ employees)</t>
        </is>
      </c>
      <c r="E50" s="110" t="inlineStr">
        <is>
          <t>NO · ~325 mi ≈</t>
        </is>
      </c>
      <c r="F50" s="136" t="inlineStr">
        <is>
          <t>1,250-5,000/wk (~4,250)</t>
        </is>
      </c>
      <c r="G50" s="68" t="inlineStr">
        <is>
          <t>Yes — SOW ONLY (FSIS flags: sow=TRUE, market=FALSE)</t>
        </is>
      </c>
      <c r="H50" s="68" t="inlineStr">
        <is>
          <t>USDA ✓ M8314 + V8314 (V = voluntary grant)</t>
        </is>
      </c>
      <c r="I50" s="68" t="inlineStr">
        <is>
          <t>See the Welfare &amp; culture column — enforcement detail is carried there for these rows</t>
        </is>
      </c>
      <c r="J50" s="68" t="inlineStr">
        <is>
          <t>Not verified — APHIS publishes no searchable list; confirm with APHIS VS</t>
        </is>
      </c>
      <c r="K50" s="68" t="inlineStr">
        <is>
          <t>NO suspension in ANY FSIS QER FY2024Q1-FY2026Q2 (no public record ≠ clean). Prior TN OSHA machine-guarding actions 2018 &amp; 2024</t>
        </is>
      </c>
      <c r="L50" s="68" t="inlineStr">
        <is>
          <t>No existing organ programme — would be built. V-grant is useful for non-amenable/research material</t>
        </is>
      </c>
      <c r="M50" s="68" t="inlineStr">
        <is>
          <t>Plausible — single site, family-owned, decision-maker reachable</t>
        </is>
      </c>
      <c r="N50" s="68" t="inlineStr">
        <is>
          <t>Plausible</t>
        </is>
      </c>
      <c r="O50" s="68" t="inlineStr">
        <is>
          <t>(865) 933-2625
2827 Swaggerty Rd, Kodak TN 37764</t>
        </is>
      </c>
      <c r="P50" s="20" t="inlineStr">
        <is>
          <t>STRONG FIT</t>
        </is>
      </c>
      <c r="Q50" s="178" t="inlineStr">
        <is>
          <t>Back-pool — passes no current tier; see Fit and notes for what a call would need to change.</t>
        </is>
      </c>
      <c r="R50" s="179" t="inlineStr">
        <is>
          <t>—</t>
        </is>
      </c>
      <c r="S50" s="68" t="inlineStr">
        <is>
          <t>Med-High
(study 8-03/05)</t>
        </is>
      </c>
      <c r="T50" s="68" t="inlineStr">
        <is>
          <t>★ TOP PICK IN BAND and the ONLY named lead that fully verified. SOW-ONLY = uniformly LARGE anatomy, which suits pelvic/abdominal/thoracic blocks. New 50,000 sq ft facility opened 14 Apr 2026 (CEO Doug Swaggerty) — fresh capital, expansion posture. Captive supply = no third-party buyers competing for viscera.</t>
        </is>
      </c>
      <c r="U50" s="211" t="inlineStr">
        <is>
          <t>B-19</t>
        </is>
      </c>
      <c r="V50" s="210" t="inlineStr">
        <is>
          <t>—</t>
        </is>
      </c>
    </row>
    <row r="51" ht="112.2" customHeight="1" s="59">
      <c r="A51" s="4" t="inlineStr">
        <is>
          <t>Wampler's Farm Sausage Co.</t>
        </is>
      </c>
      <c r="B51" s="68" t="inlineStr">
        <is>
          <t>Lenoir City, TN (Loudon)</t>
        </is>
      </c>
      <c r="C51" s="68" t="inlineStr">
        <is>
          <t>USDA federal — PRIMARILY SOWS</t>
        </is>
      </c>
      <c r="D51" s="68" t="inlineStr">
        <is>
          <t>~1,500/wk (300 hd/day)
· HACCP Small (10-499 employees)</t>
        </is>
      </c>
      <c r="E51" s="110" t="inlineStr">
        <is>
          <t>NO · ~369 mi ≈</t>
        </is>
      </c>
      <c r="F51" s="136" t="inlineStr">
        <is>
          <t>1,250-5,000/wk (~1,500)</t>
        </is>
      </c>
      <c r="G51" s="133" t="inlineStr">
        <is>
          <t>MARKET + SOW
(not sow-only)</t>
        </is>
      </c>
      <c r="H51" s="68" t="inlineStr">
        <is>
          <t>USDA ✓ M9065 + P9065 + V9065</t>
        </is>
      </c>
      <c r="I51" s="68" t="inlineStr">
        <is>
          <t>⚠ CORRECTED: FSIS HACCP suspension 31 Oct 2024, held in abeyance 1 Nov 2024, case closed 3 Feb 2025. NOT a humane-handling action, and NOT 'none found' as this cell previously read. || None found in FSIS enforcement. Labour flag: production hiring via 3 staffing agencies at $12-14/hr</t>
        </is>
      </c>
      <c r="J51" s="68" t="inlineStr">
        <is>
          <t>Federal (M9065). Not confirmed on public export lists</t>
        </is>
      </c>
      <c r="K51" s="68" t="inlineStr">
        <is>
          <t>Family-owned since 1937 BUT production hiring routes through 3 staffing agencies at $12-14/hr — against the tenure criterion</t>
        </is>
      </c>
      <c r="L51" s="68" t="inlineStr">
        <is>
          <t>unknown</t>
        </is>
      </c>
      <c r="M51" s="68" t="inlineStr">
        <is>
          <t>Possible</t>
        </is>
      </c>
      <c r="N51" s="68" t="inlineStr">
        <is>
          <t>Plausible</t>
        </is>
      </c>
      <c r="O51" s="68" t="inlineStr">
        <is>
          <t>(865) 986-2056
781 Highway 70 W</t>
        </is>
      </c>
      <c r="P51" s="23" t="inlineStr">
        <is>
          <t>POSSIBLE</t>
        </is>
      </c>
      <c r="Q51" s="178" t="inlineStr">
        <is>
          <t>TIER-2-ADJACENT (TN) — real cat-3 federal floor (market+sow, ~1,500/wk) with a strong brand; distance → Model B-T; staffing-agency labor model cuts against the tenure criterion.</t>
        </is>
      </c>
      <c r="R51" s="179" t="inlineStr">
        <is>
          <t>wamplersfarmsausage.com</t>
        </is>
      </c>
      <c r="S51" s="68" t="inlineStr">
        <is>
          <t>Med
(study 8-03/05)</t>
        </is>
      </c>
      <c r="T51" s="68" t="inlineStr">
        <is>
          <t>SPECIES CORRECTED: FSIS records BOTH market_swine_slaughter=Yes AND sow_slaughter=Yes — Wampler's is not a sows-only plant, so it should not sit in the sow-only group on the Anatomical Spec tab. || FSIS activities confirmed to include Meat Slaughter (not processing-only). MEDIUM tier, SOW plant. Identity trap: the '73-year employee' story belongs to Family Brands LLC (M6515), a different Wampler plant in the same town.</t>
        </is>
      </c>
      <c r="U51" s="211" t="inlineStr">
        <is>
          <t>B-20</t>
        </is>
      </c>
      <c r="V51" s="210" t="inlineStr">
        <is>
          <t>—</t>
        </is>
      </c>
    </row>
    <row r="52" ht="72" customHeight="1" s="59">
      <c r="A52" s="4" t="inlineStr">
        <is>
          <t>Underground Slaughter / Processing</t>
        </is>
      </c>
      <c r="B52" s="68" t="inlineStr">
        <is>
          <t>Walling, TN</t>
        </is>
      </c>
      <c r="C52" s="68" t="inlineStr">
        <is>
          <t>USDA multi-species (growing)</t>
        </is>
      </c>
      <c r="D52" s="68" t="inlineStr">
        <is>
          <t>~194-1,944/wk
(FSIS cat 3)
· HACCP Very Small (&lt;10 employees or &lt;$2.5M sales)</t>
        </is>
      </c>
      <c r="E52" s="110" t="inlineStr">
        <is>
          <t>NO · ~454 mi ≈</t>
        </is>
      </c>
      <c r="F52" s="143" t="inlineStr">
        <is>
          <t>confirm (band ≤1,944)</t>
        </is>
      </c>
      <c r="G52" s="68" t="inlineStr">
        <is>
          <t>MARKET + SOW
(roaster: No, boar/stag: No)</t>
        </is>
      </c>
      <c r="H52" s="68" t="inlineStr">
        <is>
          <t>USDA ✓ M51351 + P51351</t>
        </is>
      </c>
      <c r="I52" s="68" t="inlineStr">
        <is>
          <t>None found (a logged FOIA request is not an enforcement action)</t>
        </is>
      </c>
      <c r="J52" s="68" t="inlineStr">
        <is>
          <t>Not on public export lists — verify</t>
        </is>
      </c>
      <c r="K52" s="68" t="inlineStr">
        <is>
          <t>Growing processor</t>
        </is>
      </c>
      <c r="L52" s="68" t="inlineStr">
        <is>
          <t>Not noted</t>
        </is>
      </c>
      <c r="M52" s="68" t="inlineStr">
        <is>
          <t>Possible</t>
        </is>
      </c>
      <c r="N52" s="68" t="inlineStr">
        <is>
          <t>Good B</t>
        </is>
      </c>
      <c r="O52" s="68" t="inlineStr">
        <is>
          <t>931-330-6328</t>
        </is>
      </c>
      <c r="P52" s="140" t="inlineStr">
        <is>
          <t>POSSIBLE</t>
        </is>
      </c>
      <c r="Q52" s="178" t="inlineStr">
        <is>
          <t>TIER-3 (TN) — genuine cat-3 market+sow plant surfaced in 2026-08; never contacted; distance → Model B-T only.</t>
        </is>
      </c>
      <c r="R52" s="179" t="inlineStr">
        <is>
          <t>undergroundslaughter.com</t>
        </is>
      </c>
      <c r="S52" s="68" t="inlineStr">
        <is>
          <t>High
(FSIS+MPI 8-06)</t>
        </is>
      </c>
      <c r="T52" s="68" t="inlineStr">
        <is>
          <t>★ UPGRADED — this row was sitting at 'unknown' and is in fact one of the few genuinely MEDIUM-band plants in Tennessee. Active federal grant M51351 + P51351, market hogs AND sows both flagged, FSIS slaughter_volume_category = 3 = 10,000-99,999 head per 360 days, i.e. 194-1,944/wk. Worth a call for the Model B / secondary-region track. It is out of state, so it fails the 120-mile Model A preference.  [Verified 2026-08-06 against FSIS Establishment Demographic Data + MPI Directory by Establishment Number.]</t>
        </is>
      </c>
      <c r="U52" s="211" t="inlineStr">
        <is>
          <t>B-21</t>
        </is>
      </c>
      <c r="V52" s="210" t="inlineStr">
        <is>
          <t>—</t>
        </is>
      </c>
    </row>
    <row r="53" ht="72" customHeight="1" s="59">
      <c r="A53" s="4" t="inlineStr">
        <is>
          <t>Cherry Meat Company</t>
        </is>
      </c>
      <c r="B53" s="68" t="inlineStr">
        <is>
          <t>Chapel Hill, TN</t>
        </is>
      </c>
      <c r="C53" s="68" t="inlineStr">
        <is>
          <t>USDA slaughter + processing</t>
        </is>
      </c>
      <c r="D53" s="68" t="inlineStr">
        <is>
          <t>~18/wk (80/month verified)
· HACCP Very Small (&lt;10 employees or &lt;$2.5M sales)</t>
        </is>
      </c>
      <c r="E53" s="110" t="inlineStr">
        <is>
          <t>NO · ~547 mi ≈</t>
        </is>
      </c>
      <c r="F53" s="139" t="inlineStr">
        <is>
          <t>0-300/wk (~18)</t>
        </is>
      </c>
      <c r="G53" s="68" t="inlineStr">
        <is>
          <t>MARKET only
(sow: No, roaster: No)</t>
        </is>
      </c>
      <c r="H53" s="68" t="inlineStr">
        <is>
          <t>USDA ✓ M40106</t>
        </is>
      </c>
      <c r="I53" s="68" t="inlineStr">
        <is>
          <t>None found (very small; FSIS grant 2021)</t>
        </is>
      </c>
      <c r="J53" s="68" t="inlineStr">
        <is>
          <t>Not on public export lists — verify</t>
        </is>
      </c>
      <c r="K53" s="68" t="inlineStr">
        <is>
          <t>Family (Cherry / Bear Creek Farm) — strong culture</t>
        </is>
      </c>
      <c r="L53" s="68" t="inlineStr">
        <is>
          <t>Not noted</t>
        </is>
      </c>
      <c r="M53" s="68" t="inlineStr">
        <is>
          <t>Low-vol</t>
        </is>
      </c>
      <c r="N53" s="68" t="inlineStr">
        <is>
          <t>Good B (high-touch)</t>
        </is>
      </c>
      <c r="O53" s="68" t="inlineStr">
        <is>
          <t>931-364-7924
cherrymeat.com</t>
        </is>
      </c>
      <c r="P53" s="23" t="inlineStr">
        <is>
          <t>POSSIBLE</t>
        </is>
      </c>
      <c r="Q53" s="178" t="inlineStr">
        <is>
          <t>Back-pool — passes no current tier; see Fit and notes for what a call would need to change.</t>
        </is>
      </c>
      <c r="R53" s="179" t="inlineStr">
        <is>
          <t>—</t>
        </is>
      </c>
      <c r="S53" s="68" t="inlineStr">
        <is>
          <t>High
(study 8-03/05)</t>
        </is>
      </c>
      <c r="T53" s="68" t="inlineStr">
        <is>
          <t>SMALL tier — verified ~80 hogs/MONTH (~18/wk). With capacity now open this is a legitimate high-touch, family-culture option for pilot or specialty work; it simply cannot carry volume alone.</t>
        </is>
      </c>
      <c r="U53" s="211" t="inlineStr">
        <is>
          <t>B-22</t>
        </is>
      </c>
      <c r="V53" s="210" t="inlineStr">
        <is>
          <t>—</t>
        </is>
      </c>
    </row>
    <row r="54" ht="58.6" customHeight="1" s="59">
      <c r="A54" s="4" t="inlineStr">
        <is>
          <t>Tyson (Hillshire / Jimmy Dean) — Newbern</t>
        </is>
      </c>
      <c r="B54" s="68" t="inlineStr">
        <is>
          <t>Newbern, TN (Dyer)</t>
        </is>
      </c>
      <c r="C54" s="68" t="inlineStr">
        <is>
          <t>Industrial — PRIMARILY SOWS</t>
        </is>
      </c>
      <c r="D54" s="68" t="inlineStr">
        <is>
          <t>~14,000/wk (2,800 hd/day)
· HACCP Large (500+ employees)</t>
        </is>
      </c>
      <c r="E54" s="110" t="inlineStr">
        <is>
          <t>NO · ~701 mi ≈</t>
        </is>
      </c>
      <c r="F54" s="195" t="inlineStr">
        <is>
          <t>5,000+/wk (~14,000)</t>
        </is>
      </c>
      <c r="G54" s="68" t="inlineStr">
        <is>
          <t>MARKET + SOW
(roaster: No, boar/stag: No)</t>
        </is>
      </c>
      <c r="H54" s="68" t="inlineStr">
        <is>
          <t>USDA ✓ M8080 + P8080
(FSIS lists The Hillshire Brands Company)</t>
        </is>
      </c>
      <c r="I54" s="68" t="inlineStr">
        <is>
          <t>Not individually researched</t>
        </is>
      </c>
      <c r="J54" s="68" t="inlineStr">
        <is>
          <t>Federal. Export status not researched</t>
        </is>
      </c>
      <c r="K54" s="68" t="inlineStr">
        <is>
          <t>Corporate industrial</t>
        </is>
      </c>
      <c r="L54" s="68" t="inlineStr">
        <is>
          <t>unknown</t>
        </is>
      </c>
      <c r="M54" s="68" t="inlineStr">
        <is>
          <t>Low plausibility</t>
        </is>
      </c>
      <c r="N54" s="68" t="inlineStr">
        <is>
          <t>Model B only</t>
        </is>
      </c>
      <c r="O54" s="68" t="inlineStr">
        <is>
          <t>—</t>
        </is>
      </c>
      <c r="P54" s="23" t="inlineStr">
        <is>
          <t>POSSIBLE</t>
        </is>
      </c>
      <c r="Q54" s="178" t="inlineStr">
        <is>
          <t>Back-pool — passes no current tier; see Fit and notes for what a call would need to change.</t>
        </is>
      </c>
      <c r="R54" s="179" t="inlineStr">
        <is>
          <t>—</t>
        </is>
      </c>
      <c r="S54" s="68" t="inlineStr">
        <is>
          <t>High
(study 8-03/05)</t>
        </is>
      </c>
      <c r="T54" s="68" t="inlineStr">
        <is>
          <t>#3 US SOW plant. HIGH tier — access, not volume, is the constraint. Corporate conversation, not a plant conversation.</t>
        </is>
      </c>
      <c r="U54" s="211" t="inlineStr">
        <is>
          <t>B-23</t>
        </is>
      </c>
      <c r="V54" s="210" t="inlineStr">
        <is>
          <t>—</t>
        </is>
      </c>
    </row>
    <row r="55" ht="85.40000000000001" customHeight="1" s="59">
      <c r="A55" s="4" t="inlineStr">
        <is>
          <t>Fayette Packing Co., Inc.</t>
        </is>
      </c>
      <c r="B55" s="68" t="inlineStr">
        <is>
          <t>Eads, TN (Memphis area)</t>
        </is>
      </c>
      <c r="C55" s="68" t="inlineStr">
        <is>
          <t>USDA slaughter + processing</t>
        </is>
      </c>
      <c r="D55" s="68" t="inlineStr">
        <is>
          <t>&lt;19/wk
(FSIS cat 1) — 'largest of the TN
group' is REFUTED
· HACCP Small (10-499 employees)</t>
        </is>
      </c>
      <c r="E55" s="110" t="inlineStr">
        <is>
          <t>NO · ~710 mi ≈</t>
        </is>
      </c>
      <c r="F55" s="139" t="inlineStr">
        <is>
          <t>0-300/wk (&lt;19)</t>
        </is>
      </c>
      <c r="G55" s="68" t="inlineStr">
        <is>
          <t>⚠ BOAR/STAG flagged (FSIS)
MARKET + SOW + ROASTER + boar/stag
(all four classes)</t>
        </is>
      </c>
      <c r="H55" s="68" t="inlineStr">
        <is>
          <t>USDA ✓ M6555 + P34794</t>
        </is>
      </c>
      <c r="I55" s="25" t="inlineStr">
        <is>
          <t>⚠ Humane-handling NOS Apr 2023 (Est. M6555 — 4 stun attempts on a cow); held in abeyance.</t>
        </is>
      </c>
      <c r="J55" s="68" t="inlineStr">
        <is>
          <t>Not on public export lists — verify w/ APHIS VS</t>
        </is>
      </c>
      <c r="K55" s="68" t="inlineStr">
        <is>
          <t>Family since 1952 (3 generations, Keith) — strong culture</t>
        </is>
      </c>
      <c r="L55" s="68" t="inlineStr">
        <is>
          <t>Not noted</t>
        </is>
      </c>
      <c r="M55" s="68" t="inlineStr">
        <is>
          <t>Possible</t>
        </is>
      </c>
      <c r="N55" s="68" t="inlineStr">
        <is>
          <t>Good B</t>
        </is>
      </c>
      <c r="O55" s="68" t="inlineStr">
        <is>
          <t>901-867-3826
fayettepackingco.com</t>
        </is>
      </c>
      <c r="P55" s="23" t="inlineStr">
        <is>
          <t>CAUTION
(boar/stag)</t>
        </is>
      </c>
      <c r="Q55" s="178" t="inlineStr">
        <is>
          <t>BOAR/STAG RULE 9-28: FSIS flags boar/stag slaughter at this plant — AVOID unless the call confirms boars/stags are never run with our hogs (gate G4). Back-pool — passes no current tier; see Fit and notes for what a call would need to change.</t>
        </is>
      </c>
      <c r="R55" s="179" t="inlineStr">
        <is>
          <t>—</t>
        </is>
      </c>
      <c r="S55" s="68" t="inlineStr">
        <is>
          <t>High
(FSIS+MPI 8-06)</t>
        </is>
      </c>
      <c r="T55" s="68" t="inlineStr">
        <is>
          <t>VOLUME REFUTED. The roster called this 'the largest of the TN group'; FSIS slaughter_volume_category = 1 puts it under ~19 head/wk — the SMALLEST band there is. All four swine classes are flagged, which is a real positive, but there is no volume behind it.  [Verified 2026-08-06 against FSIS Establishment Demographic Data + MPI Directory by Establishment Number.]</t>
        </is>
      </c>
      <c r="U55" s="211" t="inlineStr">
        <is>
          <t>B-24</t>
        </is>
      </c>
      <c r="V55" s="210" t="inlineStr">
        <is>
          <t>—</t>
        </is>
      </c>
    </row>
    <row r="56" ht="19.7" customHeight="1" s="59">
      <c r="A56" s="206" t="inlineStr">
        <is>
          <t>C · CURRENT SUPPLIERS (benchmarks)</t>
        </is>
      </c>
      <c r="B56" s="171" t="n"/>
      <c r="C56" s="171" t="n"/>
      <c r="D56" s="171" t="n"/>
      <c r="E56" s="171" t="n"/>
      <c r="F56" s="171" t="n"/>
      <c r="G56" s="171" t="n"/>
      <c r="H56" s="171" t="n"/>
      <c r="I56" s="171" t="n"/>
      <c r="J56" s="171" t="n"/>
      <c r="K56" s="171" t="n"/>
      <c r="L56" s="171" t="n"/>
      <c r="M56" s="171" t="n"/>
      <c r="N56" s="171" t="n"/>
      <c r="O56" s="171" t="n"/>
      <c r="P56" s="171" t="n"/>
      <c r="Q56" s="171" t="n"/>
      <c r="R56" s="171" t="n"/>
      <c r="S56" s="171" t="n"/>
      <c r="T56" s="171" t="n"/>
      <c r="U56" s="171" t="n"/>
      <c r="V56" s="172" t="n"/>
    </row>
    <row r="57" ht="246.2" customHeight="1" s="59">
      <c r="A57" s="82" t="inlineStr">
        <is>
          <t>Custom Quality Packers, LLC</t>
        </is>
      </c>
      <c r="B57" s="83" t="inlineStr">
        <is>
          <t>Sims, NC</t>
        </is>
      </c>
      <c r="C57" s="83" t="inlineStr">
        <is>
          <t>USDA (Talmadge-Aiken) TA-20129 / M20129 hog slaughter + processing</t>
        </is>
      </c>
      <c r="D57" s="83" t="inlineStr">
        <is>
          <t>~500/wk
(company-stated, mtg 2026-08)
FSIS cat 3 → 194-1,944/wk
· HACCP Small (10-499 employees)</t>
        </is>
      </c>
      <c r="E57" s="88" t="inlineStr">
        <is>
          <t>YES · ~60 mi
(Pikeville: ~45 mi)</t>
        </is>
      </c>
      <c r="F57" s="142" t="inlineStr">
        <is>
          <t>300-700/wk (~500 stated)</t>
        </is>
      </c>
      <c r="G57" s="133" t="inlineStr">
        <is>
          <t>MARKET + ROASTER
(sow: No, boar/stag: No)</t>
        </is>
      </c>
      <c r="H57" s="83" t="inlineStr">
        <is>
          <t>USDA ✓ M20129
(federal, delivered via the
Talmadge-Aiken programme —
TA-20129 in the NCDA&amp;CS
TA directory 2026-08-10)</t>
        </is>
      </c>
      <c r="I57" s="83" t="inlineStr">
        <is>
          <t>⚠ FOUR humane-handling actions 2018-2020, all INH-basis, each resolved in days: NOIE 2/1/2018 (deferral 2/9); SUSPENSION 2/13/2018 (abeyance 2/15); SUSPENSION 2/19/2020 (abeyance 2/20); suspension REINSTATED 5/19/2020 (abeyance 5/21). PETA formally requested a federal HMSA probe 6/11/2020. CLEAN in QERs FY2024 Q1 - FY2026 Q2. (Adversarially confirmed 2026-08-17 against FSIS's own QER tables + PETA release.)</t>
        </is>
      </c>
      <c r="J57" s="83" t="inlineStr">
        <is>
          <t>Not on public export lists — verify</t>
        </is>
      </c>
      <c r="K57" s="83" t="inlineStr">
        <is>
          <t>Incumbent — we send our harvesters; county-directory contact Barrett Twitty; labels with farmer's name; sells inside and outside NC.</t>
        </is>
      </c>
      <c r="L57" s="83" t="inlineStr">
        <is>
          <t>Plausible; skin-and-scald offered</t>
        </is>
      </c>
      <c r="M57" s="83" t="inlineStr">
        <is>
          <t>Plausible</t>
        </is>
      </c>
      <c r="N57" s="83" t="inlineStr">
        <is>
          <t>Plausible</t>
        </is>
      </c>
      <c r="O57" s="83" t="inlineStr">
        <is>
          <t>CONTACT: Barrett Twitty (NCDA county directory) — incumbent
(252) 235-3558
Owner/operator: Barrett Twitty
3571 Friday Rd, Sims NC
(also owns Nash Pigg Farms +
Dean Street Processing, Bailey)</t>
        </is>
      </c>
      <c r="P57" s="145" t="inlineStr">
        <is>
          <t>★ CURRENT
SUPPLIER</t>
        </is>
      </c>
      <c r="Q57" s="178" t="inlineStr">
        <is>
          <t>CURRENT — Model A live: hog-only custom floor; headroom via a dedicated kill day; unique contract-raise-to-spec lever (Nash Pigg). Audit the 2018-20 welfare history before scaling.</t>
        </is>
      </c>
      <c r="R57" s="179" t="inlineStr">
        <is>
          <t>deanstreetprocessing.com (sister co.)</t>
        </is>
      </c>
      <c r="S57" s="83" t="inlineStr">
        <is>
          <t>High
(FSIS+NCDA 8-17)</t>
        </is>
      </c>
      <c r="T57" s="83" t="inlineStr">
        <is>
          <t>★ CURRENT SUPPLIER — client crews already harvest here, Model A live; like Parks but hosting us (client-stated 2026-08-17). VERIFIED 2026-08-17: hog-only per NCDA&amp;CS (species C), market+roaster FSIS flags, cat 3 band vs ~500/wk stated. THE CONSTRAINT IS THE BUILDING, NOT THE GRANT: the owner's own site says Dean Street Processing exists 'due to limited space at CQP'. Realistic incremental pull is an ESTIMATED +100-300 hd/wk, won by BUYING A DEDICATED CLIENT KILL DAY rather than competing for slots against Twitty's captive demand (his own Nash Pigg hogs, national boxed-roaster shipping, Firsthand Foods program, custom trade). UNIQUE UPSIDE: Twitty controls genetics and nutrition at Nash Pigg Farms — he can CONTRACT-RAISE HOGS TO OUR SPEC with birth-to-harvest traceability, which no other current supplier except Nahunta approaches, and which strengthens the EU dossier. ⚠ NEW FACT THE FILE LACKED: a 2018-2020 humane-handling history (see enforcement column) with PETA attention — audit before scaling this into THE organ host, and complete the NR FOIA. Ownership: 3-member LLC (Twitty, Piggott, Hunt; NC SOSID 1248899, inc. 2012) — key-man risk on Twitty. Firsthand Foods currently describes CQP as 'Animal Welfare Approved' — verify with A Greener World; if real, it converts the history into a documented-improvement story.  [2026-08-17 focus-region pass: FSIS MPI + Demographic datasets and NCDA&amp;CS directories (dated 2026-08-10) retrieved fresh 2026-08-17; adversarially verified.]
Beebop 9-28 (rank #12, existing supplier): ~60 mi from Durham; website is the sister Dean Street business.
SOCIAL/OTHER 9-30: County directory: slaughter HOGS only; labels with farmer's name; sells inside and outside NC.</t>
        </is>
      </c>
      <c r="U57" s="211" t="inlineStr">
        <is>
          <t>C-01</t>
        </is>
      </c>
      <c r="V57" s="210" t="inlineStr">
        <is>
          <t>—</t>
        </is>
      </c>
    </row>
    <row r="58" ht="219.4" customHeight="1" s="59">
      <c r="A58" s="4" t="inlineStr">
        <is>
          <t>Nahunta Pork Center</t>
        </is>
      </c>
      <c r="B58" s="68" t="inlineStr">
        <is>
          <t>Pikeville, NC</t>
        </is>
      </c>
      <c r="C58" s="68" t="inlineStr">
        <is>
          <t>Custom slaughter + pork retail</t>
        </is>
      </c>
      <c r="D58" s="68" t="inlineStr">
        <is>
          <t>~150/day claimed peak;
500+/wk (mid-2010s figure).
Current kill UNVERIFIED — ask Brandon</t>
        </is>
      </c>
      <c r="E58" s="88" t="inlineStr">
        <is>
          <t>YES · ~72 mi
(Pikeville: ~0 mi — the old anchor sat here)</t>
        </is>
      </c>
      <c r="F58" s="142" t="inlineStr">
        <is>
          <t>300-700/wk
(hist. 500+/wk — confirm current)</t>
        </is>
      </c>
      <c r="G58" s="68" t="inlineStr">
        <is>
          <t>Yes — swine
(NC state programme;
no FSIS species flags published)</t>
        </is>
      </c>
      <c r="H58" s="68" t="inlineStr">
        <is>
          <t>STATE only
(NOT USDA)</t>
        </is>
      </c>
      <c r="I58" s="68" t="inlineStr">
        <is>
          <t>None found — and NOTE THE LIMIT: NCDA&amp;CS publishes no searchable state-plant enforcement log and FSIS reporting does not cover state plants, so welfare here is a SITE-VISIT finding. Client's own crews on-site are the best evidence.</t>
        </is>
      </c>
      <c r="J58" s="85" t="inlineStr">
        <is>
          <t>✅ EXPORTABLE — CONFIRMED. APHIS accepts NC STATE inspection as EQUIVALENT and permits Nahunta product to form part of the export once we assemble the models at ATM. Harvest sites need USDA/FSIS — or an APHIS-accepted equivalent state programme. APHIS is NOT required of the plant itself.</t>
        </is>
      </c>
      <c r="K58" s="68" t="inlineStr">
        <is>
          <t>Strong — 3rd-gen Pierce family, decades of staff tenure; the culture benchmark</t>
        </is>
      </c>
      <c r="L58" s="68" t="inlineStr">
        <is>
          <t>★ CONFIRMED LIVE 2026-08-17: the plant's own Specimen Permits page links straight to the NCDA&amp;CS Specimen Request Form (Education/Research; requires establishment sign-off). Retail organ SKUs: livers, hearts, spleens, tongues, heads, feet, chitterlings — BUT kidneys, lungs, aortas, bladders, uteri, pancreas have NO retail SKU — but no listing ≠ no competing use (wholesale, rendering, pet food): ASK.</t>
        </is>
      </c>
      <c r="M58" s="68" t="inlineStr">
        <is>
          <t>Yes (already custom-slaughters 3rd-party animals)</t>
        </is>
      </c>
      <c r="N58" s="68" t="inlineStr">
        <is>
          <t>Yes</t>
        </is>
      </c>
      <c r="O58" s="68" t="inlineStr">
        <is>
          <t>(919) 242-4735
bpierce@nahuntapork.com
GM Brandon Pierce
nahuntapork.com/specimen-permits1</t>
        </is>
      </c>
      <c r="P58" s="145" t="inlineStr">
        <is>
          <t>★ CURRENT
SUPPLIER</t>
        </is>
      </c>
      <c r="Q58" s="178" t="inlineStr">
        <is>
          <t>CURRENT — Model A anchor: best quality &amp; relationship; specimen pathway; most target organs have no retail SKU (a competing wholesale/rendering use is not ruled out); export-eligible via NC-state equivalence.</t>
        </is>
      </c>
      <c r="R58" s="179" t="inlineStr">
        <is>
          <t>nahuntapork.com</t>
        </is>
      </c>
      <c r="S58" s="68" t="inlineStr">
        <is>
          <t>High
(FSIS+NCDA 8-17)</t>
        </is>
      </c>
      <c r="T58" s="68" t="inlineStr">
        <is>
          <t>★ CURRENT SUPPLIER — client crews on site; best quality and relationship of the base (client-stated 2026-08-17). VERIFIED 2026-08-17: both state grants active in the NCDA&amp;CS directory dated 2026-08-10 (P-80 processing + P-80A swine slaughter); weekly specials posted the same day — alive and current. THE PLAY: (1) standing ANNUAL specimen permit on file naming us, instead of ad-hoc filings; (2) fixed weekly harvest days aligned to their heaviest kill days; (3) take the NO-COMPETITION organs first (kidneys, lungs, aortas, bladders, uteri, pancreas — none is a retail SKU) and negotiate hearts/livers separately since those ARE retail items; (4) modest capex (harvest station, chill totes) locks floor access. WATCH-OUTS: key-person concentration on GM Brandon Pierce (founder Mack d. 2013, president Jean Pierce d. 2022); Larry Pierce is Wayne County SHERIFF and faces a general election 2026-11-03 (won his primary with 49.75%) — a loss could put him back in the business, so check in after November; Q4 is their retail peak (10-12k country hams) — expect floor/chill squeeze Oct-Dec; and confirm WHICH ENTITY signs a harvest agreement (Nahunta Slaughter House, Inc. holds the kill grant; Nahunta Pork Center is the retail arm).  [2026-08-17 focus-region pass: FSIS MPI + Demographic datasets and NCDA&amp;CS directories (dated 2026-08-10) retrieved fresh 2026-08-17; adversarially verified.]
Beebop 9-28 (rank #13, existing supplier): ~72 mi from Durham (it was the 5-mile anchor neighbour under Pikeville). Its '500+/wk mid-2010s' figure is historical — current volume is a call question.</t>
        </is>
      </c>
      <c r="U58" s="211" t="inlineStr">
        <is>
          <t>C-02</t>
        </is>
      </c>
      <c r="V58" s="210" t="inlineStr">
        <is>
          <t>—</t>
        </is>
      </c>
    </row>
    <row r="59" ht="206" customHeight="1" s="59">
      <c r="A59" s="4" t="inlineStr">
        <is>
          <t>Martin's Pork Products, Inc.</t>
        </is>
      </c>
      <c r="B59" s="68" t="inlineStr">
        <is>
          <t>Falcon, NC</t>
        </is>
      </c>
      <c r="C59" s="68" t="inlineStr">
        <is>
          <t>USDA (Talmadge-Aiken) slaughter + processing</t>
        </is>
      </c>
      <c r="D59" s="133" t="inlineStr">
        <is>
          <t>192–1,944/wk (FSIS cat 3 ceiling)</t>
        </is>
      </c>
      <c r="E59" s="88" t="inlineStr">
        <is>
          <t>YES · ~74 mi
(Pikeville: ~45 mi)</t>
        </is>
      </c>
      <c r="F59" s="136" t="inlineStr">
        <is>
          <t>1,250-5,000/wk
(stated 1,500-2,500)</t>
        </is>
      </c>
      <c r="G59" s="134" t="inlineStr">
        <is>
          <t>⚠ BOAR/STAG flagged (FSIS)
MARKET HOG + boar/stag
(sow: No)</t>
        </is>
      </c>
      <c r="H59" s="68" t="inlineStr">
        <is>
          <t>USDA ✓
(T-A, TA-6720)</t>
        </is>
      </c>
      <c r="I59" s="68" t="inlineStr">
        <is>
          <t>CLEAN ON EVERY CHECKABLE RECORD: no entry in any FSIS Quarterly Enforcement Report FY2025 Q1 - FY2026 Q2 (extraction validated — same PDFs surface other NC plants), and ZERO OSHA inspections 2016-2026 in federal IMIS. Narrow negatives: QERs exclude ordinary NRs (FOIA still open); Apr-Jun 2026 QER unpublished.</t>
        </is>
      </c>
      <c r="J59" s="68" t="inlineStr">
        <is>
          <t>FSIS-listed (TA-6720); NOT on public export lists — verify w/ APHIS VS</t>
        </is>
      </c>
      <c r="K59" s="68" t="inlineStr">
        <is>
          <t>Incumbent — 'ok' experience; quality issues harder to resolve (weaker culture/responsiveness than Nahunta); ~75 staff</t>
        </is>
      </c>
      <c r="L59" s="68" t="inlineStr">
        <is>
          <t>Pork slaughter + processing + wholesale</t>
        </is>
      </c>
      <c r="M59" s="68" t="inlineStr">
        <is>
          <t>Possible</t>
        </is>
      </c>
      <c r="N59" s="68" t="inlineStr">
        <is>
          <t>Yes (incumbent)</t>
        </is>
      </c>
      <c r="O59" s="68" t="inlineStr">
        <is>
          <t>(910) 980-1501
beth@martinspork.com
President: Beth Holmes
PO Box 56, 6657 King St, Falcon</t>
        </is>
      </c>
      <c r="P59" s="145" t="inlineStr">
        <is>
          <t>★ CURRENT
SUPPLIER</t>
        </is>
      </c>
      <c r="Q59" s="178" t="inlineStr">
        <is>
          <t>BOAR/STAG RULE 9-28 (incumbent): FSIS flags boar/stag slaughter here — the client does not want boars mixed with our hogs; confirm current practice (separate days / never with our designated hogs).
CURRENT — Model A volume anchor: the only cat-3 market-hog floor we run crews on; clean record; irreplaceable in NC/SC/VA. Friction is relational — reset with Beth Holmes.</t>
        </is>
      </c>
      <c r="R59" s="179" t="inlineStr">
        <is>
          <t>no working website (martinspork.com defunct)</t>
        </is>
      </c>
      <c r="S59" s="68" t="inlineStr">
        <is>
          <t>High
(FSIS+NCDA 8-17)</t>
        </is>
      </c>
      <c r="T59" s="68" t="inlineStr">
        <is>
          <t>★ CURRENT SUPPLIER — client's highest-capacity plant but DIFFICULT to work with; client crews on site (client-stated 2026-08-17). VERIFIED 2026-08-17: active M6720/TA-6720 (NCDA&amp;CS TA directory dated 2026-08-10); the company BOUGHT THREE ADJACENT PARCELS in 2021 (deed 11315/0045 — 6735 King, 6751 King, 6657 Godwin St) before its 2022 re-grant — investment, not decline. President is BETH HOLMES (accountant by training — lead with economics: guaranteed weekly bench fee + per-head rate). The 'difficult' has NO regulatory explanation (clean QERs, zero OSHA) — it is relational, and there is now a named counterpart to reset it with. IRREPLACEABILITY (adversarially confirmed): every cat-3 market-hog kill floor in NC/SC/VA — Martin's, Parks, CQP — is ALREADY in our base; there is no second Martin's to find. Dependence is reduced by CONTRACT, not discovery: propose funding a dedicated harvest bay/chiller corner on the 2021-expanded footprint in exchange for a multi-year floor-access agreement; shift overflow to CQP+Flowers (Sims cluster) and Nahunta. CEILING: cat 3 caps ~1,944/wk — treat the 2,500/wk top figure as unverified. Retail outlet at Godwin (8761 Fayetteville Hwy) is separate from the kill floor.  [2026-08-17 focus-region pass: FSIS MPI + Demographic datasets and NCDA&amp;CS directories (dated 2026-08-10) retrieved fresh 2026-08-17; adversarially verified.]
Beebop 9-28 (rank #11, existing supplier): its address match used a 'Kings Street' alias; distance from Durham ~74 mi.</t>
        </is>
      </c>
      <c r="U59" s="211" t="inlineStr">
        <is>
          <t>C-03</t>
        </is>
      </c>
      <c r="V59" s="210" t="inlineStr">
        <is>
          <t>—</t>
        </is>
      </c>
    </row>
    <row r="60" ht="192.6" customHeight="1" s="59">
      <c r="A60" s="82" t="inlineStr">
        <is>
          <t>The Pork Company (Villari Food Group)</t>
        </is>
      </c>
      <c r="B60" s="83" t="inlineStr">
        <is>
          <t>Warsaw, NC (Duplin)</t>
        </is>
      </c>
      <c r="C60" s="83" t="inlineStr">
        <is>
          <t>USDA federal fresh-pork HARVEST plant</t>
        </is>
      </c>
      <c r="D60" s="83" t="inlineStr">
        <is>
          <t>~7,500/wk (1,500 hd/day, EMI 2017)
· HACCP Small (10-499 employees)</t>
        </is>
      </c>
      <c r="E60" s="88" t="inlineStr">
        <is>
          <t>YES · ~96 mi
(Pikeville: ~45 mi)</t>
        </is>
      </c>
      <c r="F60" s="195" t="inlineStr">
        <is>
          <t>5,000+/wk (~7,500)</t>
        </is>
      </c>
      <c r="G60" s="83" t="inlineStr">
        <is>
          <t>⚠ BOAR/STAG flagged (FSIS)
MARKET + boar/stag
(sow: No, roaster: No)</t>
        </is>
      </c>
      <c r="H60" s="83" t="inlineStr">
        <is>
          <t>USDA ✓ M20608</t>
        </is>
      </c>
      <c r="I60" s="25" t="inlineStr">
        <is>
          <t>⚠⚠ REPEAT humane failure mode, verified from FSIS letters: NOIE 5/11/2022 → suspension 7/27/2022 → suspension REINSTATED 10/14/2022 (hog regained consciousness on bleed rail); SAME failure mode again 5/6/2025 — egregious under 9 CFR 313.30(a)(4), NOIE in lieu of suspension 5/8/2025, deferral granted 5/15/2025 (FSIS credited the plant's 'robust systematic approach'). Clean through 30 JUN 2026 — the Q3 FY2026 QER (published by 2026-09-03, checked same day) has ZERO entries for M20608. Jul 2026+ pending the Q4 report.</t>
        </is>
      </c>
      <c r="J60" s="83" t="inlineStr">
        <is>
          <t>Sister plant Villari Food Group is EXPORT-CERTIFIED for pork (FSIS, edible). APHIS by-product listing unverified</t>
        </is>
      </c>
      <c r="K60" s="83" t="inlineStr">
        <is>
          <t>⚠⚠ TWO humane-handling NOIEs — 11 May 2022 AND 8 May 2025 (repeat pattern, 3 yrs apart)</t>
        </is>
      </c>
      <c r="L60" s="83" t="inlineStr">
        <is>
          <t>CLIENT GROUND TRUTH — CORRECTED 2026-09-03: the tissue gate is HARD. We buy LEAF FAT only; Villari cannot / will not do organs, and this is not currently negotiable. The 2026-08-17 research reading ('negotiable but hard near-term', wastewater timing, viscera-table wedge) is SUPERSEDED as a plan — retained below only as background should VILLARI ever reopen the topic themselves.</t>
        </is>
      </c>
      <c r="M60" s="83" t="inlineStr">
        <is>
          <t>Unlikely at 1,500 hd/day</t>
        </is>
      </c>
      <c r="N60" s="83" t="inlineStr">
        <is>
          <t>No — hard gate on tissue</t>
        </is>
      </c>
      <c r="O60" s="83" t="inlineStr">
        <is>
          <t>(910) 293-2157
GM Cory Johnson (cory.j@vfgmail.com)
Plant Mgr Rickie Purnell (rickie.p@vfgmail.com)
CEO Joe Villari (strategic ask)</t>
        </is>
      </c>
      <c r="P60" s="145" t="inlineStr">
        <is>
          <t>★ CURRENT
SUPPLIER</t>
        </is>
      </c>
      <c r="Q60" s="178" t="inlineStr">
        <is>
          <t>BOAR/STAG RULE 9-28 (incumbent): FSIS flags boar/stag slaughter here — the client does not want boars mixed with our hogs; confirm current practice (separate days / never with our designated hogs).
CURRENT — leaf fat ONLY; tissue gate is HARD (client 2026-09-03). Not an organ candidate; keep the leaf-fat lane healthy.</t>
        </is>
      </c>
      <c r="R60" s="179" t="inlineStr">
        <is>
          <t>villarifood.com</t>
        </is>
      </c>
      <c r="S60" s="83" t="inlineStr">
        <is>
          <t>High
(FSIS/site 9-03)</t>
        </is>
      </c>
      <c r="T60" s="83" t="inlineStr">
        <is>
          <t>★ CURRENT SUPPLIER — LEAF FAT ONLY, and the tissue gate is HARD (client-corrected 2026-09-03; supersedes the 2026-08-17 'negotiable wedge' framing — plan NO organ volume through Villari). What stays true and useful: the leaf-fat program itself (they segregate a per-head by-product for us at line speed, reliably, at industrial scale); keep it flowing. BACKGROUND ONLY (if they ever reopen the topic): no regulatory blocker exists — M20608 is federally inspected; no third party holds the viscera (renders out, inferred outlet Darling Rose Hill ~10 mi); the $3.27M wastewater pre-treatment project (county loan 3/2026, friction with Warsaw) runs to ~2027 and made new offal handling unattractive; $800K NCAMPI award 7/7/2026. Humane record: same egregious bleed-rail failure mode twice (suspension 2022; NOIE 5/6/2025 deferred 5/15) — clean through Jun 2026 (Q3 FY2026 QER checked 2026-09-03: zero entries), Jul 2026+ pending Q4. GM Cory Johnson / Plant Mgr Rickie Purnell / CEO Joe Villari.  [Client correction 2026-09-03.]
Beebop 9-28 (rank #15, existing supplier): ~96 mi from Durham; 'use the Penny Branch slaughter location, not another Villari site'.</t>
        </is>
      </c>
      <c r="U60" s="211" t="inlineStr">
        <is>
          <t>C-04</t>
        </is>
      </c>
      <c r="V60" s="210" t="inlineStr">
        <is>
          <t>—</t>
        </is>
      </c>
    </row>
    <row r="61" ht="139" customHeight="1" s="59">
      <c r="A61" s="82" t="inlineStr">
        <is>
          <t>Parks Family Meats, LLC</t>
        </is>
      </c>
      <c r="B61" s="83" t="inlineStr">
        <is>
          <t>Warsaw, NC (Duplin)</t>
        </is>
      </c>
      <c r="C61" s="83" t="inlineStr">
        <is>
          <t>Talmadge-Aiken SLAUGHTER-ONLY plant
(FSIS: slaughter_or_processing_only = Slaughter)</t>
        </is>
      </c>
      <c r="D61" s="83" t="inlineStr">
        <is>
          <t>~400-1,000/wk (client mtg 2026-08);
stated 400/day capacity —
cat-3 actuals confirm headroom exists
· HACCP Small (10-499 employees)</t>
        </is>
      </c>
      <c r="E61" s="88" t="inlineStr">
        <is>
          <t>YES · ~97 mi
(Pikeville: ~45 mi)</t>
        </is>
      </c>
      <c r="F61" s="137" t="inlineStr">
        <is>
          <t>300-1,200/wk
(stated 400-1,000 —
spans two brackets; confirm)</t>
        </is>
      </c>
      <c r="G61" s="134" t="inlineStr">
        <is>
          <t>MARKET + ROASTER
(NOT roaster-only)</t>
        </is>
      </c>
      <c r="H61" s="83" t="inlineStr">
        <is>
          <t>USDA ✓ M18296A
(the study's 'TA-18296A' is the
Talmadge-Aiken designation of the
same establishment)</t>
        </is>
      </c>
      <c r="I61" s="83" t="inlineStr">
        <is>
          <t>None found (FSIS QERs searched through Q3 FY2026 — NOT a clean bill)</t>
        </is>
      </c>
      <c r="J61" s="83" t="inlineStr">
        <is>
          <t>TA = interstate/export eligible. Company claims Caribbean export (self-reported, UNVERIFIED). APHIS listing not found</t>
        </is>
      </c>
      <c r="K61" s="83" t="inlineStr">
        <is>
          <t>None found in the FSIS QERs through Q3 FY2026 (narrow negative — routine NRs are not published)</t>
        </is>
      </c>
      <c r="L61" s="83" t="inlineStr">
        <is>
          <t>Roaster line dresses whole-body — suits intact-block recovery; organs near-zero-value byproduct on their lines. Cold storage + Caribbean-export chill-chain discipline already on site.</t>
        </is>
      </c>
      <c r="M61" s="83" t="inlineStr">
        <is>
          <t>Their floor hosts THEIR crew —
see Model B column (B-T live)</t>
        </is>
      </c>
      <c r="N61" s="83" t="inlineStr">
        <is>
          <t>★ MODEL B-T LIVE — THEIR people
harvest, trained by US
(client-corrected 2026-09-03)</t>
        </is>
      </c>
      <c r="O61" s="83" t="inlineStr">
        <is>
          <t>PLANT: Kevin Krum, COO (910) 290-0075
kevin.krum@parkslivestock.com
Plant Supervisor Albino Cardoso (910) 284-2354
(Mike Maxwell = corporate sales, Danville IL)</t>
        </is>
      </c>
      <c r="P61" s="145" t="inlineStr">
        <is>
          <t>★ CURRENT
SUPPLIER</t>
        </is>
      </c>
      <c r="Q61" s="178" t="inlineStr">
        <is>
          <t>CURRENT — the Model B-T template: their crew, our training. Bigger than it feels (29-facility parent can source hogs to spec); fix is program pricing, not replacement.</t>
        </is>
      </c>
      <c r="R61" s="179" t="inlineStr">
        <is>
          <t>parkslivestock.com</t>
        </is>
      </c>
      <c r="S61" s="83" t="inlineStr">
        <is>
          <t>High
(FSIS/site 9-03)</t>
        </is>
      </c>
      <c r="T61" s="83" t="inlineStr">
        <is>
          <t>★ CURRENT SUPPLIER — OPERATING MODEL CORRECTED 2026-09-03: Parks harvests with THEIR OWN PEOPLE under OUR TRAINING (Model B-T) — the working template for supervised-harvest partnerships; we do not put our own techs on this floor. Still true (client + 3rd-party): small lots, roaster focus, 'a bit expensive' — most plausibly spot pricing on a premium niche, not a structural ceiling. VERIFIED 2026-08-17: slaughter-only floor, market + roaster flags, stated 400/day capacity not fully used, clean every checkable enforcement quarter; parent THE PARKS COMPANIES (29 facilities, 11 states, own trucking) can source hogs to spec and truck them in. THE PLAY: ask COO Kevin Krum ((910) 290-0075) for PROGRAM pricing on a committed market-hog window harvested by their trained crew, and use the parent as a procurement arm. Their crew's training is OUR asset — protect it in any renegotiation.  [Client correction 2026-09-03.]
Beebop 9-28 (rank #14, existing supplier): ~97 mi from Durham.</t>
        </is>
      </c>
      <c r="U61" s="211" t="inlineStr">
        <is>
          <t>C-05</t>
        </is>
      </c>
      <c r="V61" s="210" t="inlineStr">
        <is>
          <t>—</t>
        </is>
      </c>
    </row>
    <row r="62" ht="19.7" customHeight="1" s="59">
      <c r="A62" s="206" t="inlineStr">
        <is>
          <t>D · REFERRAL / NETWORK CONTACTS — not plants; introductions and intel</t>
        </is>
      </c>
      <c r="B62" s="171" t="n"/>
      <c r="C62" s="171" t="n"/>
      <c r="D62" s="171" t="n"/>
      <c r="E62" s="171" t="n"/>
      <c r="F62" s="171" t="n"/>
      <c r="G62" s="171" t="n"/>
      <c r="H62" s="171" t="n"/>
      <c r="I62" s="171" t="n"/>
      <c r="J62" s="171" t="n"/>
      <c r="K62" s="171" t="n"/>
      <c r="L62" s="171" t="n"/>
      <c r="M62" s="171" t="n"/>
      <c r="N62" s="171" t="n"/>
      <c r="O62" s="171" t="n"/>
      <c r="P62" s="171" t="n"/>
      <c r="Q62" s="171" t="n"/>
      <c r="R62" s="171" t="n"/>
      <c r="S62" s="171" t="n"/>
      <c r="T62" s="171" t="n"/>
      <c r="U62" s="171" t="n"/>
      <c r="V62" s="172" t="n"/>
    </row>
    <row r="63" ht="58.6" customHeight="1" s="59">
      <c r="A63" s="138" t="inlineStr">
        <is>
          <t>Firsthand Foods</t>
        </is>
      </c>
      <c r="B63" s="68" t="inlineStr">
        <is>
          <t>Durham, NC</t>
        </is>
      </c>
      <c r="C63" s="68" t="inlineStr">
        <is>
          <t>Referral / network contact (not a plant)</t>
        </is>
      </c>
      <c r="D63" s="68" t="inlineStr">
        <is>
          <t>n/a</t>
        </is>
      </c>
      <c r="E63" s="88" t="inlineStr">
        <is>
          <t>YES · ~2 mi
(Pikeville: n/m)</t>
        </is>
      </c>
      <c r="F63" s="143" t="inlineStr">
        <is>
          <t>n/a</t>
        </is>
      </c>
      <c r="G63" s="68" t="inlineStr">
        <is>
          <t>n/a</t>
        </is>
      </c>
      <c r="H63" s="68" t="inlineStr">
        <is>
          <t>n/a (not a slaughter plant)</t>
        </is>
      </c>
      <c r="I63" s="25" t="inlineStr">
        <is>
          <t>n/a</t>
        </is>
      </c>
      <c r="J63" s="68" t="inlineStr">
        <is>
          <t>n/a</t>
        </is>
      </c>
      <c r="K63" s="68" t="inlineStr">
        <is>
          <t>n/a</t>
        </is>
      </c>
      <c r="L63" s="68" t="inlineStr">
        <is>
          <t>n/a</t>
        </is>
      </c>
      <c r="M63" s="68" t="inlineStr">
        <is>
          <t>n/a</t>
        </is>
      </c>
      <c r="N63" s="68" t="inlineStr">
        <is>
          <t>n/a</t>
        </is>
      </c>
      <c r="O63" s="68" t="inlineStr">
        <is>
          <t>919-599-0804 · 2210 East Pettigrew Street, Durham, NC 27703</t>
        </is>
      </c>
      <c r="P63" s="145" t="inlineStr">
        <is>
          <t>REFERRAL</t>
        </is>
      </c>
      <c r="Q63" s="178" t="inlineStr">
        <is>
          <t>Local pasture-raised meat hub coordinating small producers and processors: ask which plants kill their pigs and who controls organ rights. Zero-cost referral call (Beebop #26).</t>
        </is>
      </c>
      <c r="R63" s="179" t="inlineStr">
        <is>
          <t>firsthandfoods.com (live)</t>
        </is>
      </c>
      <c r="S63" s="68" t="inlineStr">
        <is>
          <t>High (Beebop 9-28; sites verified)</t>
        </is>
      </c>
      <c r="T63" s="68" t="inlineStr">
        <is>
          <t>Referral lane added 2026-09-28 from the Beebop plan — introductions and intel only.</t>
        </is>
      </c>
      <c r="U63" s="211" t="inlineStr">
        <is>
          <t>D-01</t>
        </is>
      </c>
      <c r="V63" s="210" t="inlineStr">
        <is>
          <t>—</t>
        </is>
      </c>
    </row>
    <row r="64" ht="45.2" customHeight="1" s="59">
      <c r="A64" s="138" t="inlineStr">
        <is>
          <t>NC Choices, Sarah Blacklin</t>
        </is>
      </c>
      <c r="B64" s="68" t="inlineStr">
        <is>
          <t>Raleigh, NC</t>
        </is>
      </c>
      <c r="C64" s="68" t="inlineStr">
        <is>
          <t>Referral / network contact (not a plant)</t>
        </is>
      </c>
      <c r="D64" s="68" t="inlineStr">
        <is>
          <t>n/a</t>
        </is>
      </c>
      <c r="E64" s="88" t="inlineStr">
        <is>
          <t>YES · ~24 mi
(Pikeville: n/m)</t>
        </is>
      </c>
      <c r="F64" s="143" t="inlineStr">
        <is>
          <t>n/a</t>
        </is>
      </c>
      <c r="G64" s="68" t="inlineStr">
        <is>
          <t>n/a</t>
        </is>
      </c>
      <c r="H64" s="68" t="inlineStr">
        <is>
          <t>n/a (not a slaughter plant)</t>
        </is>
      </c>
      <c r="I64" s="25" t="inlineStr">
        <is>
          <t>n/a</t>
        </is>
      </c>
      <c r="J64" s="68" t="inlineStr">
        <is>
          <t>n/a</t>
        </is>
      </c>
      <c r="K64" s="68" t="inlineStr">
        <is>
          <t>n/a</t>
        </is>
      </c>
      <c r="L64" s="68" t="inlineStr">
        <is>
          <t>n/a</t>
        </is>
      </c>
      <c r="M64" s="68" t="inlineStr">
        <is>
          <t>n/a</t>
        </is>
      </c>
      <c r="N64" s="68" t="inlineStr">
        <is>
          <t>n/a</t>
        </is>
      </c>
      <c r="O64" s="68" t="inlineStr">
        <is>
          <t>919-928-4771 · 840 Oval Drive, Raleigh, NC 27606</t>
        </is>
      </c>
      <c r="P64" s="145" t="inlineStr">
        <is>
          <t>REFERRAL</t>
        </is>
      </c>
      <c r="Q64" s="178" t="inlineStr">
        <is>
          <t>NC State / CEFS niche-meat network — best placed to name operators open to a paid harvest partnership and newly active plants (Beebop #29).</t>
        </is>
      </c>
      <c r="R64" s="179" t="inlineStr">
        <is>
          <t>ncchoices.com (live)</t>
        </is>
      </c>
      <c r="S64" s="68" t="inlineStr">
        <is>
          <t>High (Beebop 9-28; sites verified)</t>
        </is>
      </c>
      <c r="T64" s="68" t="inlineStr">
        <is>
          <t>Referral lane added 2026-09-28 from the Beebop plan — introductions and intel only.</t>
        </is>
      </c>
      <c r="U64" s="211" t="inlineStr">
        <is>
          <t>D-02</t>
        </is>
      </c>
      <c r="V64" s="210" t="inlineStr">
        <is>
          <t>—</t>
        </is>
      </c>
    </row>
    <row r="65" ht="58.6" customHeight="1" s="59">
      <c r="A65" s="138" t="inlineStr">
        <is>
          <t>NC Meat and Poultry Inspection Division</t>
        </is>
      </c>
      <c r="B65" s="68" t="inlineStr">
        <is>
          <t>Raleigh, NC</t>
        </is>
      </c>
      <c r="C65" s="68" t="inlineStr">
        <is>
          <t>Referral / network contact (not a plant)</t>
        </is>
      </c>
      <c r="D65" s="68" t="inlineStr">
        <is>
          <t>n/a</t>
        </is>
      </c>
      <c r="E65" s="88" t="inlineStr">
        <is>
          <t>YES · ~25 mi
(Pikeville: n/m)</t>
        </is>
      </c>
      <c r="F65" s="143" t="inlineStr">
        <is>
          <t>n/a</t>
        </is>
      </c>
      <c r="G65" s="68" t="inlineStr">
        <is>
          <t>n/a</t>
        </is>
      </c>
      <c r="H65" s="68" t="inlineStr">
        <is>
          <t>n/a (not a slaughter plant)</t>
        </is>
      </c>
      <c r="I65" s="25" t="inlineStr">
        <is>
          <t>n/a</t>
        </is>
      </c>
      <c r="J65" s="68" t="inlineStr">
        <is>
          <t>n/a</t>
        </is>
      </c>
      <c r="K65" s="68" t="inlineStr">
        <is>
          <t>n/a</t>
        </is>
      </c>
      <c r="L65" s="68" t="inlineStr">
        <is>
          <t>n/a</t>
        </is>
      </c>
      <c r="M65" s="68" t="inlineStr">
        <is>
          <t>n/a</t>
        </is>
      </c>
      <c r="N65" s="68" t="inlineStr">
        <is>
          <t>n/a</t>
        </is>
      </c>
      <c r="O65" s="68" t="inlineStr">
        <is>
          <t>919-707-3180 · 2 West Edenton Street, Raleigh, NC 27601</t>
        </is>
      </c>
      <c r="P65" s="145" t="inlineStr">
        <is>
          <t>REFERRAL</t>
        </is>
      </c>
      <c r="Q65" s="178" t="inlineStr">
        <is>
          <t>The state inspection division: confirms newly active or changed swine plants and the specimen-collection rules for our model (Beebop #30). Source of the 09-18 directory.</t>
        </is>
      </c>
      <c r="R65" s="179" t="inlineStr">
        <is>
          <t>ncagr.gov/divisions/meat-poultry-inspection</t>
        </is>
      </c>
      <c r="S65" s="68" t="inlineStr">
        <is>
          <t>High (Beebop 9-28; sites verified)</t>
        </is>
      </c>
      <c r="T65" s="68" t="inlineStr">
        <is>
          <t>Referral lane added 2026-09-28 from the Beebop plan — introductions and intel only.</t>
        </is>
      </c>
      <c r="U65" s="211" t="inlineStr">
        <is>
          <t>D-03</t>
        </is>
      </c>
      <c r="V65" s="210" t="inlineStr">
        <is>
          <t>—</t>
        </is>
      </c>
    </row>
    <row r="66" ht="45.2" customHeight="1" s="59">
      <c r="A66" s="138" t="inlineStr">
        <is>
          <t>Carolina Packers</t>
        </is>
      </c>
      <c r="B66" s="68" t="inlineStr">
        <is>
          <t>Smithfield, NC</t>
        </is>
      </c>
      <c r="C66" s="68" t="inlineStr">
        <is>
          <t>Referral / network contact (not a plant)</t>
        </is>
      </c>
      <c r="D66" s="68" t="inlineStr">
        <is>
          <t>n/a</t>
        </is>
      </c>
      <c r="E66" s="88" t="inlineStr">
        <is>
          <t>YES · ~58 mi
(Pikeville: n/m)</t>
        </is>
      </c>
      <c r="F66" s="143" t="inlineStr">
        <is>
          <t>n/a</t>
        </is>
      </c>
      <c r="G66" s="68" t="inlineStr">
        <is>
          <t>n/a</t>
        </is>
      </c>
      <c r="H66" s="68" t="inlineStr">
        <is>
          <t>TA-19836 — processing only</t>
        </is>
      </c>
      <c r="I66" s="25" t="inlineStr">
        <is>
          <t>n/a</t>
        </is>
      </c>
      <c r="J66" s="68" t="inlineStr">
        <is>
          <t>n/a</t>
        </is>
      </c>
      <c r="K66" s="68" t="inlineStr">
        <is>
          <t>n/a</t>
        </is>
      </c>
      <c r="L66" s="68" t="inlineStr">
        <is>
          <t>n/a</t>
        </is>
      </c>
      <c r="M66" s="68" t="inlineStr">
        <is>
          <t>n/a</t>
        </is>
      </c>
      <c r="N66" s="68" t="inlineStr">
        <is>
          <t>n/a</t>
        </is>
      </c>
      <c r="O66" s="68" t="inlineStr">
        <is>
          <t>919-934-2181 · 2999 South Brightleaf Boulevard, Smithfield, NC 27577</t>
        </is>
      </c>
      <c r="P66" s="145" t="inlineStr">
        <is>
          <t>REFERRAL</t>
        </is>
      </c>
      <c r="Q66" s="178" t="inlineStr">
        <is>
          <t>Bright Leaf hot-dog maker; processing only (TA-19836, no slaughter) — an upstream-introduction call, not capacity (Beebop #28).</t>
        </is>
      </c>
      <c r="R66" s="179" t="inlineStr">
        <is>
          <t>carolinapackers.com (live)</t>
        </is>
      </c>
      <c r="S66" s="68" t="inlineStr">
        <is>
          <t>High (Beebop 9-28; sites verified)</t>
        </is>
      </c>
      <c r="T66" s="68" t="inlineStr">
        <is>
          <t>Referral lane added 2026-09-28 from the Beebop plan — introductions and intel only.</t>
        </is>
      </c>
      <c r="U66" s="211" t="inlineStr">
        <is>
          <t>D-04</t>
        </is>
      </c>
      <c r="V66" s="210" t="inlineStr">
        <is>
          <t>—</t>
        </is>
      </c>
    </row>
    <row r="67" ht="58.6" customHeight="1" s="59">
      <c r="A67" s="138" t="inlineStr">
        <is>
          <t>Heritage Farms Cheshire Pork</t>
        </is>
      </c>
      <c r="B67" s="68" t="inlineStr">
        <is>
          <t>Goldsboro, NC</t>
        </is>
      </c>
      <c r="C67" s="68" t="inlineStr">
        <is>
          <t>Referral / network contact (not a plant)</t>
        </is>
      </c>
      <c r="D67" s="68" t="inlineStr">
        <is>
          <t>n/a</t>
        </is>
      </c>
      <c r="E67" s="88" t="inlineStr">
        <is>
          <t>YES · ~86 mi
(Pikeville: n/m)</t>
        </is>
      </c>
      <c r="F67" s="143" t="inlineStr">
        <is>
          <t>n/a</t>
        </is>
      </c>
      <c r="G67" s="68" t="inlineStr">
        <is>
          <t>n/a</t>
        </is>
      </c>
      <c r="H67" s="68" t="inlineStr">
        <is>
          <t>n/a (not a slaughter plant)</t>
        </is>
      </c>
      <c r="I67" s="25" t="inlineStr">
        <is>
          <t>n/a</t>
        </is>
      </c>
      <c r="J67" s="68" t="inlineStr">
        <is>
          <t>n/a</t>
        </is>
      </c>
      <c r="K67" s="68" t="inlineStr">
        <is>
          <t>n/a</t>
        </is>
      </c>
      <c r="L67" s="68" t="inlineStr">
        <is>
          <t>n/a</t>
        </is>
      </c>
      <c r="M67" s="68" t="inlineStr">
        <is>
          <t>n/a</t>
        </is>
      </c>
      <c r="N67" s="68" t="inlineStr">
        <is>
          <t>n/a</t>
        </is>
      </c>
      <c r="O67" s="68" t="inlineStr">
        <is>
          <t>919-222-9496 · 340 Dollard Town Road, Goldsboro, NC 27534</t>
        </is>
      </c>
      <c r="P67" s="145" t="inlineStr">
        <is>
          <t>REFERRAL</t>
        </is>
      </c>
      <c r="Q67" s="178" t="inlineStr">
        <is>
          <t>Heritage-breed pork brand ~10 mi from Pikeville: the question is which plant kills Cheshire pigs and whether intact blocks can be reserved at slaughter (Beebop #27).</t>
        </is>
      </c>
      <c r="R67" s="179" t="inlineStr">
        <is>
          <t>cheshirepork.com (live)</t>
        </is>
      </c>
      <c r="S67" s="68" t="inlineStr">
        <is>
          <t>High (Beebop 9-28; sites verified)</t>
        </is>
      </c>
      <c r="T67" s="68" t="inlineStr">
        <is>
          <t>Referral lane added 2026-09-28 from the Beebop plan — introductions and intel only.</t>
        </is>
      </c>
      <c r="U67" s="211" t="inlineStr">
        <is>
          <t>D-05</t>
        </is>
      </c>
      <c r="V67" s="210" t="inlineStr">
        <is>
          <t>—</t>
        </is>
      </c>
    </row>
    <row r="68" ht="19.7" customHeight="1" s="59">
      <c r="A68" s="206" t="inlineStr">
        <is>
          <t>E · NATIONAL &amp; MIDWEST — out-of-region slaughter plants and direct-tissue sources (anywhere; see also the National Direct Suppliers tab)</t>
        </is>
      </c>
      <c r="B68" s="171" t="n"/>
      <c r="C68" s="171" t="n"/>
      <c r="D68" s="171" t="n"/>
      <c r="E68" s="171" t="n"/>
      <c r="F68" s="171" t="n"/>
      <c r="G68" s="171" t="n"/>
      <c r="H68" s="171" t="n"/>
      <c r="I68" s="171" t="n"/>
      <c r="J68" s="171" t="n"/>
      <c r="K68" s="171" t="n"/>
      <c r="L68" s="171" t="n"/>
      <c r="M68" s="171" t="n"/>
      <c r="N68" s="171" t="n"/>
      <c r="O68" s="171" t="n"/>
      <c r="P68" s="171" t="n"/>
      <c r="Q68" s="171" t="n"/>
      <c r="R68" s="171" t="n"/>
      <c r="S68" s="171" t="n"/>
      <c r="T68" s="171" t="n"/>
      <c r="U68" s="171" t="n"/>
      <c r="V68" s="172" t="n"/>
    </row>
    <row r="69" ht="85.40000000000001" customHeight="1" s="59">
      <c r="A69" s="4" t="inlineStr">
        <is>
          <t>Leidy's, LLC</t>
        </is>
      </c>
      <c r="B69" s="68" t="inlineStr">
        <is>
          <t>Souderton, PA</t>
        </is>
      </c>
      <c r="C69" s="68" t="inlineStr">
        <is>
          <t>USDA federal market-hog slaughter, operating since 1893</t>
        </is>
      </c>
      <c r="D69" s="68" t="inlineStr">
        <is>
          <t>~5,000-7,000/wk (EMI 1,350/day; company/trade say 1,000-1,200/day; 220+ staff)
· HACCP Small (10-499 employees)</t>
        </is>
      </c>
      <c r="E69" s="110" t="inlineStr">
        <is>
          <t>NO
(Durham: n/m)</t>
        </is>
      </c>
      <c r="F69" s="195" t="inlineStr">
        <is>
          <t>5,000+/wk (~5,000-7,000)</t>
        </is>
      </c>
      <c r="G69" s="68" t="inlineStr">
        <is>
          <t>Yes — MARKET</t>
        </is>
      </c>
      <c r="H69" s="68" t="inlineStr">
        <is>
          <t>USDA ✓ M9520+P9520+V9520
✅ EXPORT-CERTIFIED</t>
        </is>
      </c>
      <c r="I69" s="68" t="inlineStr">
        <is>
          <t>See the Welfare &amp; culture column — enforcement detail is carried there for these rows</t>
        </is>
      </c>
      <c r="J69" s="68" t="inlineStr">
        <is>
          <t>Not verified — APHIS publishes no searchable list; confirm with APHIS VS</t>
        </is>
      </c>
      <c r="K69" s="68" t="inlineStr">
        <is>
          <t>Not on the current FSIS enforcement page (1-yr window)</t>
        </is>
      </c>
      <c r="L69" s="68" t="inlineStr">
        <is>
          <t>None published</t>
        </is>
      </c>
      <c r="M69" s="68" t="inlineStr">
        <is>
          <t>Plausible — ASK WHETHER ABI OR LAMPIRE TECHNICIANS ALREADY HARVEST HERE; if so, a Model A precedent already exists</t>
        </is>
      </c>
      <c r="N69" s="68" t="inlineStr">
        <is>
          <t>Plausible</t>
        </is>
      </c>
      <c r="O69" s="68" t="inlineStr">
        <is>
          <t>(215) 723-4606
266 W Cherry Ln, Souderton PA</t>
        </is>
      </c>
      <c r="P69" s="20" t="inlineStr">
        <is>
          <t>STRONG FIT</t>
        </is>
      </c>
      <c r="Q69" s="178" t="inlineStr">
        <is>
          <t>Back-pool — passes no current tier; see Fit and notes for what a call would need to change.</t>
        </is>
      </c>
      <c r="R69" s="179" t="inlineStr">
        <is>
          <t>—</t>
        </is>
      </c>
      <c r="S69" s="68" t="inlineStr">
        <is>
          <t>Med
(study 8-03/05)</t>
        </is>
      </c>
      <c r="T69" s="68" t="inlineStr">
        <is>
          <t>★ BEST PA ENTRY POINT. ~5 MILES from Animal Biotech Industries' lab at Harleysville, and one of only TWO PA swine plants holding export certification. Also appears in the 'just above band' group — Medium-High/High boundary.</t>
        </is>
      </c>
      <c r="U69" s="212" t="inlineStr">
        <is>
          <t>E-01</t>
        </is>
      </c>
      <c r="V69" s="210" t="inlineStr">
        <is>
          <t>—</t>
        </is>
      </c>
    </row>
    <row r="70" ht="139" customHeight="1" s="59">
      <c r="A70" s="4" t="inlineStr">
        <is>
          <t>Midwest Research Swine (DBA of Collagen Solutions / Evergen)</t>
        </is>
      </c>
      <c r="B70" s="68" t="inlineStr">
        <is>
          <t>Glencoe / Gibbon, MN</t>
        </is>
      </c>
      <c r="C70" s="68" t="inlineStr">
        <is>
          <t>Porcine-ONLY abattoir + tissue-harvest facility</t>
        </is>
      </c>
      <c r="D70" s="68" t="inlineStr">
        <is>
          <t>~19-194/wk
(FSIS cat 2 ceiling — the
'20,000/yr ≈ 385/wk' figure
EXCEEDS it)</t>
        </is>
      </c>
      <c r="E70" s="111" t="inlineStr">
        <is>
          <t>confirm
(Durham: n/m)</t>
        </is>
      </c>
      <c r="F70" s="139" t="inlineStr">
        <is>
          <t>0-300/wk (cat-2 ≤194)</t>
        </is>
      </c>
      <c r="G70" s="68" t="inlineStr">
        <is>
          <t>MARKET + ROASTER
(sow: No, boar/stag: No)</t>
        </is>
      </c>
      <c r="H70" s="68" t="inlineStr">
        <is>
          <t>meat insp.
unconfirmed</t>
        </is>
      </c>
      <c r="I70" s="68" t="inlineStr">
        <is>
          <t>None found (small research facility; rarely in enforcement data)</t>
        </is>
      </c>
      <c r="J70" s="112" t="inlineStr">
        <is>
          <t>⚠ AWA licences are NOT the export credential. MRS holds USDA APHIS Class B/R licences, but Class A/B/C/R are ANIMAL WELFARE ACT credentials governing possession and sale of LIVE animals — they confer nothing on animal-by-product export. The credential our rule requires is APHIS VETERINARY SERVICES export listing, which is NOT established here.</t>
        </is>
      </c>
      <c r="K70" s="68" t="inlineStr">
        <is>
          <t>Strong — closed herd, stringent QC; family (Theis, since 1978), ~20 staff</t>
        </is>
      </c>
      <c r="L70" s="68" t="inlineStr">
        <is>
          <t>YES — CORE BUSINESS: whole organs (decellularization), veins/arteries for implantation, mesh tissue, bio-samples; xeno/vaccine/stem-cell research</t>
        </is>
      </c>
      <c r="M70" s="68" t="inlineStr">
        <is>
          <t>Plausible (has harvest facility)</t>
        </is>
      </c>
      <c r="N70" s="68" t="inlineStr">
        <is>
          <t>Best fit — harvest to spec</t>
        </is>
      </c>
      <c r="O70" s="68" t="inlineStr">
        <is>
          <t>midwestresearchswine.com
(phone via site)</t>
        </is>
      </c>
      <c r="P70" s="20" t="inlineStr">
        <is>
          <t>STRONG FIT</t>
        </is>
      </c>
      <c r="Q70" s="178" t="inlineStr">
        <is>
          <t>Back-pool — passes no current tier; see Fit and notes for what a call would need to change.</t>
        </is>
      </c>
      <c r="R70" s="179" t="inlineStr">
        <is>
          <t>—</t>
        </is>
      </c>
      <c r="S70" s="68" t="inlineStr">
        <is>
          <t>High
(FSIS+MPI 8-06)</t>
        </is>
      </c>
      <c r="T70" s="68" t="inlineStr">
        <is>
          <t>VOLUME CORRECTED DOWNWARD. FSIS records Est. M40110 (Collagen Solutions (US) LLC DBA Evergen, Glencoe MN) at slaughter_volume_category = 2 = 1,000-9,999 head per 360 days — a ceiling of ~194/wk. The '20,000 head/yr ≈ 385/wk' figure would require category 3 and is not supported. Market hogs and roasters are flagged; no sows. Note this is the entity behind the 'Midwest Research Swine' name — a research-tissue business, so its value to us is as a comparator and a make-vs-buy price check, not as a volume lane.  [Verified 2026-08-06 against FSIS Establishment Demographic Data + MPI Directory by Establishment Number.]</t>
        </is>
      </c>
      <c r="U70" s="212" t="inlineStr">
        <is>
          <t>E-02</t>
        </is>
      </c>
      <c r="V70" s="210" t="inlineStr">
        <is>
          <t>—</t>
        </is>
      </c>
    </row>
    <row r="71" ht="125.6" customHeight="1" s="59">
      <c r="A71" s="4" t="inlineStr">
        <is>
          <t>Peoria Packing, Ltd.</t>
        </is>
      </c>
      <c r="B71" s="68" t="inlineStr">
        <is>
          <t>Grant Park, IL (slaughter)</t>
        </is>
      </c>
      <c r="C71" s="68" t="inlineStr">
        <is>
          <t>USDA federal slaughter; sister processing plant in Chicago</t>
        </is>
      </c>
      <c r="D71" s="68" t="inlineStr">
        <is>
          <t>~3,000/wk (600 hd/day EMI 2017; cat-4)
· HACCP Small (10-499 employees)</t>
        </is>
      </c>
      <c r="E71" s="110" t="inlineStr">
        <is>
          <t>NO
(Durham: n/m)</t>
        </is>
      </c>
      <c r="F71" s="136" t="inlineStr">
        <is>
          <t>1,250-5,000/wk (~3,000)</t>
        </is>
      </c>
      <c r="G71" s="68" t="inlineStr">
        <is>
          <t>Yes — MARKET HOGS (butcher hogs 180-230 lb)</t>
        </is>
      </c>
      <c r="H71" s="68" t="inlineStr">
        <is>
          <t>USDA ✓ M21651 (slaughter)
Sister M21826+V21826 Chicago = Certification-Export</t>
        </is>
      </c>
      <c r="I71" s="68" t="inlineStr">
        <is>
          <t>See the Welfare &amp; culture column — enforcement detail is carried there for these rows</t>
        </is>
      </c>
      <c r="J71" s="68" t="inlineStr">
        <is>
          <t>Not verified — APHIS publishes no searchable list; confirm with APHIS VS</t>
        </is>
      </c>
      <c r="K71" s="68" t="inlineStr">
        <is>
          <t>NO suspension in any QER FY2024-FY2026 (no public record)</t>
        </is>
      </c>
      <c r="L71" s="68" t="inlineStr">
        <is>
          <t>⭐ SELF-DESCRIBED MEDICAL/PHARMA SUPPLIER — their own site says capital improvements 'support our ability to supply high-grade products to the MEDICAL AND PHARMACEUTICAL INDUSTRIES, where quality and compliance are critical', and that they are 'flexible enough to meet our customers' unique specifications'</t>
        </is>
      </c>
      <c r="M71" s="68" t="inlineStr">
        <is>
          <t>Plausible</t>
        </is>
      </c>
      <c r="N71" s="68" t="inlineStr">
        <is>
          <t>EXCELLENT — already positions as medical/pharma supplier with spec flexibility</t>
        </is>
      </c>
      <c r="O71" s="68" t="inlineStr">
        <is>
          <t>(815) 465-9824 (Grant Park)
(312) 226-2600 (Chicago)</t>
        </is>
      </c>
      <c r="P71" s="20" t="inlineStr">
        <is>
          <t>STRONG FIT</t>
        </is>
      </c>
      <c r="Q71" s="178" t="inlineStr">
        <is>
          <t>Back-pool — passes no current tier; see Fit and notes for what a call would need to change.</t>
        </is>
      </c>
      <c r="R71" s="179" t="inlineStr">
        <is>
          <t>—</t>
        </is>
      </c>
      <c r="S71" s="68" t="inlineStr">
        <is>
          <t>Med
(study 8-03/05)</t>
        </is>
      </c>
      <c r="T71" s="68" t="inlineStr">
        <is>
          <t>★ BEST UNNAMED FIND — a genuine sleeper nobody had surfaced. Market hogs (not sows) so anatomy is smaller — confirm block dimensions suit the spec. Sister plant is export-certified.</t>
        </is>
      </c>
      <c r="U71" s="212" t="inlineStr">
        <is>
          <t>E-03</t>
        </is>
      </c>
      <c r="V71" s="210" t="inlineStr">
        <is>
          <t>—</t>
        </is>
      </c>
    </row>
    <row r="72" ht="165.8" customHeight="1" s="59">
      <c r="A72" s="4" t="inlineStr">
        <is>
          <t>Pioneer Packing Company, Inc.</t>
        </is>
      </c>
      <c r="B72" s="68" t="inlineStr">
        <is>
          <t>Bowling Green, OH</t>
        </is>
      </c>
      <c r="C72" s="68" t="inlineStr">
        <is>
          <t>PURE SOW/BOAR abattoir (FSIS 'Small')</t>
        </is>
      </c>
      <c r="D72" s="68" t="inlineStr">
        <is>
          <t>~2,250-2,430/wk (450 hd/day EMI 2017, flat)
· HACCP Small (10-499 employees)</t>
        </is>
      </c>
      <c r="E72" s="110" t="inlineStr">
        <is>
          <t>NO
(Durham: n/m)</t>
        </is>
      </c>
      <c r="F72" s="136" t="inlineStr">
        <is>
          <t>1,250-5,000/wk (~2,250-2,430)</t>
        </is>
      </c>
      <c r="G72" s="68" t="inlineStr">
        <is>
          <t>Yes — SOW + BOAR ONLY (market_swine flag BLANK)</t>
        </is>
      </c>
      <c r="H72" s="68" t="inlineStr">
        <is>
          <t>USDA ✓ M372 (grant 2021)</t>
        </is>
      </c>
      <c r="I72" s="68" t="inlineStr">
        <is>
          <t>See the Welfare &amp; culture column — enforcement detail is carried there for these rows</t>
        </is>
      </c>
      <c r="J72" s="68" t="inlineStr">
        <is>
          <t>Not verified — APHIS publishes no searchable list; confirm with APHIS VS</t>
        </is>
      </c>
      <c r="K72" s="68" t="inlineStr">
        <is>
          <t>Not on the current FSIS enforcement page (that page covers only ~Aug 2025-Jul 2026 — NOT a clean record)</t>
        </is>
      </c>
      <c r="L72" s="68" t="inlineStr">
        <is>
          <t>⭐⭐ DECISIVE: their own site says they specialise in 'the production of PRE-RIGOR pork, including whole hog pre-rigor pork'. Pre-rigor / hot-boning means product moving off the floor within ~1-1¾ HOURS post-mortem. A plant already engineered around sub-2-hour warm-carcass throughput is structurally the closest thing to a tissue-harvest operation in the entire cohort — the cold-chain and speed discipline our programme needs already exists commercially</t>
        </is>
      </c>
      <c r="M72" s="68" t="inlineStr">
        <is>
          <t>STRONG — sow+boar only, single small site, pre-rigor culture</t>
        </is>
      </c>
      <c r="N72" s="68" t="inlineStr">
        <is>
          <t>STRONG — 'harvest to our spec' extends an existing SKU concept rather than creating a new discipline</t>
        </is>
      </c>
      <c r="O72" s="68" t="inlineStr">
        <is>
          <t>(419) 352-5283
510 Napoleon Rd, Bowling Green OH 43402
Mon-Fri 7am-2pm</t>
        </is>
      </c>
      <c r="P72" s="20" t="inlineStr">
        <is>
          <t>STRONG FIT</t>
        </is>
      </c>
      <c r="Q72" s="178" t="inlineStr">
        <is>
          <t>Back-pool — passes no current tier; see Fit and notes for what a call would need to change.</t>
        </is>
      </c>
      <c r="R72" s="179" t="inlineStr">
        <is>
          <t>—</t>
        </is>
      </c>
      <c r="S72" s="68" t="inlineStr">
        <is>
          <t>Med-High
(study 8-03/05)</t>
        </is>
      </c>
      <c r="T72" s="68" t="inlineStr">
        <is>
          <t>★ THE STANDOUT OF THE WHOLE RE-INVESTIGATION. Cleanest sow-only signature in USDA's data, and uniquely it ALREADY runs a sub-2-hour warm-carcass business. Location correction: Bowling Green, not the 'Pioneer Packing, Ohio' in earlier notes. Volume figure is 2017-vintage — confirm by phone.</t>
        </is>
      </c>
      <c r="U72" s="212" t="inlineStr">
        <is>
          <t>E-04</t>
        </is>
      </c>
      <c r="V72" s="210" t="inlineStr">
        <is>
          <t>—</t>
        </is>
      </c>
    </row>
    <row r="73" ht="85.40000000000001" customHeight="1" s="59">
      <c r="A73" s="4" t="inlineStr">
        <is>
          <t>Smithfield BioScience — Denison</t>
        </is>
      </c>
      <c r="B73" s="68" t="inlineStr">
        <is>
          <t>Denison, IA
(+ Monmouth IL, Milan MO)</t>
        </is>
      </c>
      <c r="C73" s="68" t="inlineStr">
        <is>
          <t>LARGE packer + biologics program</t>
        </is>
      </c>
      <c r="D73" s="68" t="inlineStr">
        <is>
          <t>~10,000 / DAY
(organ exception)
· HACCP Large (500+ employees)</t>
        </is>
      </c>
      <c r="E73" s="110" t="inlineStr">
        <is>
          <t>NO
(Durham: n/m)</t>
        </is>
      </c>
      <c r="F73" s="195" t="inlineStr">
        <is>
          <t>5,000+/wk (~10k/DAY)</t>
        </is>
      </c>
      <c r="G73" s="68" t="inlineStr">
        <is>
          <t>MARKET only</t>
        </is>
      </c>
      <c r="H73" s="68" t="inlineStr">
        <is>
          <t>USDA ✓ M717 + P19051 + V717
(V = voluntary grant;
export-certified)</t>
        </is>
      </c>
      <c r="I73" s="25" t="inlineStr">
        <is>
          <t>⚠ REPEAT humane-handling: NOIE 2021 &amp; 2023; suspension 09/2024 (egregious). ASPCA line-speed concerns. Est. M717.</t>
        </is>
      </c>
      <c r="J73" s="68" t="inlineStr">
        <is>
          <t>FSIS export-certified (edible, Est. M717). Research-tissue via APHIS VS/TRACES unverified</t>
        </is>
      </c>
      <c r="K73" s="68" t="inlineStr">
        <is>
          <t>Industrial scale, but a structured biologics unit</t>
        </is>
      </c>
      <c r="L73" s="68" t="inlineStr">
        <is>
          <t>YES — full program: PELVIC (bladder, ovary); ABDOMINAL (kidney, liver, pancreas, sm. intestine, mucosa, peritoneum, pepsin lining); THORACIC (heart, valves, lung, aorta, pericardium, trachea); glands/skin/eyes</t>
        </is>
      </c>
      <c r="M73" s="68" t="inlineStr">
        <is>
          <t>Negotiate (industrial site)</t>
        </is>
      </c>
      <c r="N73" s="68" t="inlineStr">
        <is>
          <t>Strong — harvests in-house to customer spec</t>
        </is>
      </c>
      <c r="O73" s="68" t="inlineStr">
        <is>
          <t>smithfieldbioscience.com</t>
        </is>
      </c>
      <c r="P73" s="20" t="inlineStr">
        <is>
          <t>STRONG FIT
(organ exc.)</t>
        </is>
      </c>
      <c r="Q73" s="178" t="inlineStr">
        <is>
          <t>Back-pool — passes no current tier; see Fit and notes for what a call would need to change.</t>
        </is>
      </c>
      <c r="R73" s="179" t="inlineStr">
        <is>
          <t>—</t>
        </is>
      </c>
      <c r="S73" s="68" t="inlineStr">
        <is>
          <t>High
(study 8-03/05)</t>
        </is>
      </c>
      <c r="T73" s="68" t="inlineStr">
        <is>
          <t>The large packer that QUALIFIES via your organ exception — covers all three target regions harvested to spec. Model B natural fit; Model A access would need negotiation.</t>
        </is>
      </c>
      <c r="U73" s="212" t="inlineStr">
        <is>
          <t>E-05</t>
        </is>
      </c>
      <c r="V73" s="210" t="inlineStr">
        <is>
          <t>—</t>
        </is>
      </c>
    </row>
    <row r="74" ht="85.40000000000001" customHeight="1" s="59">
      <c r="A74" s="4" t="inlineStr">
        <is>
          <t>Carlton Packing Co. (dba Carlton Farms)</t>
        </is>
      </c>
      <c r="B74" s="68" t="inlineStr">
        <is>
          <t>Carlton, OR</t>
        </is>
      </c>
      <c r="C74" s="68" t="inlineStr">
        <is>
          <t>Market-hog + roaster slaughter, also beef; custom-exempt too</t>
        </is>
      </c>
      <c r="D74" s="68" t="inlineStr">
        <is>
          <t>~1,875-2,025/wk (375 hd/day, flat) — mixed-species floor means hog share is lower
· HACCP Small (10-499 employees)</t>
        </is>
      </c>
      <c r="E74" s="110" t="inlineStr">
        <is>
          <t>NO
(Durham: n/m)</t>
        </is>
      </c>
      <c r="F74" s="136" t="inlineStr">
        <is>
          <t>1,250-5,000/wk (~1,875-2,025)</t>
        </is>
      </c>
      <c r="G74" s="68" t="inlineStr">
        <is>
          <t>Yes — MARKET + ROASTER, NO SOW</t>
        </is>
      </c>
      <c r="H74" s="68" t="inlineStr">
        <is>
          <t>USDA ✓ M9228 + P9228 + V9228
(V = VOLUNTARY grant)</t>
        </is>
      </c>
      <c r="I74" s="68" t="inlineStr">
        <is>
          <t>See the Welfare &amp; culture column — enforcement detail is carried there for these rows</t>
        </is>
      </c>
      <c r="J74" s="68" t="inlineStr">
        <is>
          <t>Not verified — APHIS publishes no searchable list; confirm with APHIS VS</t>
        </is>
      </c>
      <c r="K74" s="68" t="inlineStr">
        <is>
          <t>None found (limited-window caveat)</t>
        </is>
      </c>
      <c r="L74" s="68" t="inlineStr">
        <is>
          <t>⭐ The V GRANT IS THE KEY DETAIL: voluntary inspection is the mechanism USDA uses for NON-AMENABLE / NON-FOOD-USE product — so this plant already has the regulatory scaffolding for non-food biomedical harvest</t>
        </is>
      </c>
      <c r="M74" s="68" t="inlineStr">
        <is>
          <t>MEDIUM-STRONG — small, clean, traceable</t>
        </is>
      </c>
      <c r="N74" s="68" t="inlineStr">
        <is>
          <t>STRONG</t>
        </is>
      </c>
      <c r="O74" s="68" t="inlineStr">
        <is>
          <t>(503) 852-7166
10600 NW Westside Rd · carltonfarms.com</t>
        </is>
      </c>
      <c r="P74" s="23" t="inlineStr">
        <is>
          <t>POSSIBLE</t>
        </is>
      </c>
      <c r="Q74" s="178" t="inlineStr">
        <is>
          <t>Back-pool — passes no current tier; see Fit and notes for what a call would need to change.</t>
        </is>
      </c>
      <c r="R74" s="179" t="inlineStr">
        <is>
          <t>—</t>
        </is>
      </c>
      <c r="S74" s="68" t="inlineStr">
        <is>
          <t>Med-High
(study 8-03/05)</t>
        </is>
      </c>
      <c r="T74" s="68" t="inlineStr">
        <is>
          <t>NAME CORRECTION: 'Carlton Packing / Carlton Farms', not 'Carleton Farms'. Acquired by Beef Northwest Feeders Aug 2022 (their first move into pork); founded 1956. Sources ~5 NW farms, pigs raised WITHOUT hormones or antibiotics, some from Hutterite colonies — genuinely valuable for tissue chain-of-custody. CAVEAT: market hogs, NOT sows.</t>
        </is>
      </c>
      <c r="U74" s="212" t="inlineStr">
        <is>
          <t>E-06</t>
        </is>
      </c>
      <c r="V74" s="210" t="inlineStr">
        <is>
          <t>—</t>
        </is>
      </c>
    </row>
    <row r="75" ht="58.6" customHeight="1" s="59">
      <c r="A75" s="4" t="inlineStr">
        <is>
          <t>Clemens Food Group</t>
        </is>
      </c>
      <c r="B75" s="68" t="inlineStr">
        <is>
          <t>Hatfield, PA</t>
        </is>
      </c>
      <c r="C75" s="68" t="inlineStr">
        <is>
          <t>Large industrial market-hog packer</t>
        </is>
      </c>
      <c r="D75" s="68" t="inlineStr">
        <is>
          <t>~58,000-63,000/wk (11,700 hd/day)
· HACCP Large (500+ employees)</t>
        </is>
      </c>
      <c r="E75" s="110" t="inlineStr">
        <is>
          <t>NO
(Durham: n/m)</t>
        </is>
      </c>
      <c r="F75" s="143" t="inlineStr">
        <is>
          <t>confirm</t>
        </is>
      </c>
      <c r="G75" s="68" t="inlineStr">
        <is>
          <t>Yes — MARKET</t>
        </is>
      </c>
      <c r="H75" s="68" t="inlineStr">
        <is>
          <t>USDA ✓ M791+P791+V791
✅ EXPORT-CERTIFIED</t>
        </is>
      </c>
      <c r="I75" s="68" t="inlineStr">
        <is>
          <t>See the Welfare &amp; culture column — enforcement detail is carried there for these rows</t>
        </is>
      </c>
      <c r="J75" s="68" t="inlineStr">
        <is>
          <t>Not verified — APHIS publishes no searchable list; confirm with APHIS VS</t>
        </is>
      </c>
      <c r="K75" s="68" t="inlineStr">
        <is>
          <t>Not on the current enforcement page (1-yr window)</t>
        </is>
      </c>
      <c r="L75" s="68" t="inlineStr">
        <is>
          <t>None published</t>
        </is>
      </c>
      <c r="M75" s="68" t="inlineStr">
        <is>
          <t>Unlikely at this scale — corporate-level agreement required</t>
        </is>
      </c>
      <c r="N75" s="68" t="inlineStr">
        <is>
          <t>Model B far more realistic</t>
        </is>
      </c>
      <c r="O75" s="68" t="inlineStr">
        <is>
          <t>2700 Clemens Rd, Hatfield PA</t>
        </is>
      </c>
      <c r="P75" s="23" t="inlineStr">
        <is>
          <t>POSSIBLE</t>
        </is>
      </c>
      <c r="Q75" s="178" t="inlineStr">
        <is>
          <t>Back-pool — passes no current tier; see Fit and notes for what a call would need to change.</t>
        </is>
      </c>
      <c r="R75" s="179" t="inlineStr">
        <is>
          <t>—</t>
        </is>
      </c>
      <c r="S75" s="68" t="inlineStr">
        <is>
          <t>Med
(study 8-03/05)</t>
        </is>
      </c>
      <c r="T75" s="68" t="inlineStr">
        <is>
          <t>The only HIGH-tier PA option and ~5 miles from Animal Biotech's Harleysville lab. Volume solves everything except access.</t>
        </is>
      </c>
      <c r="U75" s="212" t="inlineStr">
        <is>
          <t>E-07</t>
        </is>
      </c>
      <c r="V75" s="210" t="inlineStr">
        <is>
          <t>—</t>
        </is>
      </c>
    </row>
    <row r="76" ht="58.6" customHeight="1" s="59">
      <c r="A76" s="4" t="inlineStr">
        <is>
          <t>Eickman's Processing Co.</t>
        </is>
      </c>
      <c r="B76" s="68" t="inlineStr">
        <is>
          <t>Seward, IL</t>
        </is>
      </c>
      <c r="C76" s="68" t="inlineStr">
        <is>
          <t>USDA (Est. M31776), small family plant</t>
        </is>
      </c>
      <c r="D76" s="68" t="inlineStr">
        <is>
          <t>~19-194/wk
(FSIS cat 2 ceiling)
· HACCP Small (10-499 employees)</t>
        </is>
      </c>
      <c r="E76" s="110" t="inlineStr">
        <is>
          <t>NO
(Durham: n/m)</t>
        </is>
      </c>
      <c r="F76" s="139" t="inlineStr">
        <is>
          <t>0-300/wk (≤194)</t>
        </is>
      </c>
      <c r="G76" s="68" t="inlineStr">
        <is>
          <t>MARKET + ROASTER</t>
        </is>
      </c>
      <c r="H76" s="68" t="inlineStr">
        <is>
          <t>USDA ✓ M31776 + P31776 + V31776</t>
        </is>
      </c>
      <c r="I76" s="68" t="inlineStr">
        <is>
          <t>Recall 2010 (underprocessed canned). No humane-handling action found.</t>
        </is>
      </c>
      <c r="J76" s="68" t="inlineStr">
        <is>
          <t>Not on public export lists — verify</t>
        </is>
      </c>
      <c r="K76" s="68" t="inlineStr">
        <is>
          <t>Long-tenured family operation (~70 yrs, ~30 staff) — stable culture</t>
        </is>
      </c>
      <c r="L76" s="68" t="inlineStr">
        <is>
          <t>None</t>
        </is>
      </c>
      <c r="M76" s="68" t="inlineStr">
        <is>
          <t>Model A small batches</t>
        </is>
      </c>
      <c r="N76" s="68" t="inlineStr">
        <is>
          <t>Plausible</t>
        </is>
      </c>
      <c r="O76" s="68" t="inlineStr">
        <is>
          <t>(815) 247-8451
eickmans.com</t>
        </is>
      </c>
      <c r="P76" s="23" t="inlineStr">
        <is>
          <t>POSSIBLE</t>
        </is>
      </c>
      <c r="Q76" s="178" t="inlineStr">
        <is>
          <t>Back-pool — passes no current tier; see Fit and notes for what a call would need to change.</t>
        </is>
      </c>
      <c r="R76" s="179" t="inlineStr">
        <is>
          <t>—</t>
        </is>
      </c>
      <c r="S76" s="68" t="inlineStr">
        <is>
          <t>High
(study 8-03/05)</t>
        </is>
      </c>
      <c r="T76" s="68" t="inlineStr">
        <is>
          <t>SMALL tier (~low-100s/wk est.). Stable family culture, USDA. Viable now that capacity is open — good Model A small-batch partner.</t>
        </is>
      </c>
      <c r="U76" s="212" t="inlineStr">
        <is>
          <t>E-08</t>
        </is>
      </c>
      <c r="V76" s="210" t="inlineStr">
        <is>
          <t>—</t>
        </is>
      </c>
    </row>
    <row r="77" ht="72" customHeight="1" s="59">
      <c r="A77" s="4" t="inlineStr">
        <is>
          <t>F.B. Purnell Sausage Co.</t>
        </is>
      </c>
      <c r="B77" s="68" t="inlineStr">
        <is>
          <t>Simpsonville, KY</t>
        </is>
      </c>
      <c r="C77" s="68" t="inlineStr">
        <is>
          <t>Sow + market slaughter + sausage mfr</t>
        </is>
      </c>
      <c r="D77" s="68" t="inlineStr">
        <is>
          <t>~2,500-2,700/wk (600/day 2016 → 500/day 2017 — DECLINING)
· HACCP Small (10-499 employees)</t>
        </is>
      </c>
      <c r="E77" s="110" t="inlineStr">
        <is>
          <t>NO
(Durham: n/m)</t>
        </is>
      </c>
      <c r="F77" s="136" t="inlineStr">
        <is>
          <t>1,250-5,000/wk (~2,500-2,700)</t>
        </is>
      </c>
      <c r="G77" s="68" t="inlineStr">
        <is>
          <t>Yes — BOTH sow AND market (USDA flags both = Yes)</t>
        </is>
      </c>
      <c r="H77" s="68" t="inlineStr">
        <is>
          <t>USDA ✓ M7464 + P7464 (grant 2021; category refreshed 2025-06)</t>
        </is>
      </c>
      <c r="I77" s="68" t="inlineStr">
        <is>
          <t>See the Welfare &amp; culture column — enforcement detail is carried there for these rows</t>
        </is>
      </c>
      <c r="J77" s="68" t="inlineStr">
        <is>
          <t>Not verified — APHIS publishes no searchable list; confirm with APHIS VS</t>
        </is>
      </c>
      <c r="K77" s="68" t="inlineStr">
        <is>
          <t>Not on the current FSIS enforcement page (1-yr window only — not a clean record)</t>
        </is>
      </c>
      <c r="L77" s="68" t="inlineStr">
        <is>
          <t>None found</t>
        </is>
      </c>
      <c r="M77" s="68" t="inlineStr">
        <is>
          <t>Plausible — small, family-run, single site, already runs a poultry grant so used to multi-programme oversight</t>
        </is>
      </c>
      <c r="N77" s="68" t="inlineStr">
        <is>
          <t>Plausible, but sausage-focused workflow means viscera likely already committed to rendering</t>
        </is>
      </c>
      <c r="O77" s="68" t="inlineStr">
        <is>
          <t>(502) 722-5626
6931 Shelbyville Rd · itsgooo-od.com</t>
        </is>
      </c>
      <c r="P77" s="23" t="inlineStr">
        <is>
          <t>POSSIBLE</t>
        </is>
      </c>
      <c r="Q77" s="178" t="inlineStr">
        <is>
          <t>Back-pool — passes no current tier; see Fit and notes for what a call would need to change.</t>
        </is>
      </c>
      <c r="R77" s="179" t="inlineStr">
        <is>
          <t>—</t>
        </is>
      </c>
      <c r="S77" s="68" t="inlineStr">
        <is>
          <t>Med
(study 8-03/05)</t>
        </is>
      </c>
      <c r="T77" s="68" t="inlineStr">
        <is>
          <t>BEST DUAL-CLASS SUPPLY: the only plant flagged for BOTH sow and market-hog slaughter, so animal class can be specced PER TISSUE BLOCK. Volume trend was downward 2016→2017.</t>
        </is>
      </c>
      <c r="U77" s="212" t="inlineStr">
        <is>
          <t>E-09</t>
        </is>
      </c>
      <c r="V77" s="210" t="inlineStr">
        <is>
          <t>—</t>
        </is>
      </c>
    </row>
    <row r="78" ht="58.6" customHeight="1" s="59">
      <c r="A78" s="4" t="inlineStr">
        <is>
          <t>Premium Minnesota Pork</t>
        </is>
      </c>
      <c r="B78" s="68" t="inlineStr">
        <is>
          <t>Luverne, MN</t>
        </is>
      </c>
      <c r="C78" s="68" t="inlineStr">
        <is>
          <t>USDA federal — market</t>
        </is>
      </c>
      <c r="D78" s="68" t="inlineStr">
        <is>
          <t>unknown — FSIS category 4 (≥2,000/wk)
· HACCP Small (10-499 employees)</t>
        </is>
      </c>
      <c r="E78" s="110" t="inlineStr">
        <is>
          <t>NO
(Durham: n/m)</t>
        </is>
      </c>
      <c r="F78" s="143" t="inlineStr">
        <is>
          <t>confirm (cat-4 ≥1,944)</t>
        </is>
      </c>
      <c r="G78" s="68" t="inlineStr">
        <is>
          <t>Yes — MARKET</t>
        </is>
      </c>
      <c r="H78" s="68" t="inlineStr">
        <is>
          <t>USDA ✓ M21069L (newer grant, 2022)</t>
        </is>
      </c>
      <c r="I78" s="68" t="inlineStr">
        <is>
          <t>See the Welfare &amp; culture column — enforcement detail is carried there for these rows</t>
        </is>
      </c>
      <c r="J78" s="68" t="inlineStr">
        <is>
          <t>Not verified — APHIS publishes no searchable list; confirm with APHIS VS</t>
        </is>
      </c>
      <c r="K78" s="68" t="inlineStr">
        <is>
          <t>No QER suspension FY2024-FY2026</t>
        </is>
      </c>
      <c r="L78" s="68" t="inlineStr">
        <is>
          <t>unknown</t>
        </is>
      </c>
      <c r="M78" s="68" t="inlineStr">
        <is>
          <t>Plausible</t>
        </is>
      </c>
      <c r="N78" s="68" t="inlineStr">
        <is>
          <t>Plausible</t>
        </is>
      </c>
      <c r="O78" s="68" t="inlineStr">
        <is>
          <t>(712) 752-8666</t>
        </is>
      </c>
      <c r="P78" s="23" t="inlineStr">
        <is>
          <t>POSSIBLE</t>
        </is>
      </c>
      <c r="Q78" s="178" t="inlineStr">
        <is>
          <t>Back-pool — passes no current tier; see Fit and notes for what a call would need to change.</t>
        </is>
      </c>
      <c r="R78" s="179" t="inlineStr">
        <is>
          <t>—</t>
        </is>
      </c>
      <c r="S78" s="68" t="inlineStr">
        <is>
          <t>Low-Med
(study 8-03/05)</t>
        </is>
      </c>
      <c r="T78" s="68" t="inlineStr">
        <is>
          <t>Newer establishment; volume unpublished.</t>
        </is>
      </c>
      <c r="U78" s="212" t="inlineStr">
        <is>
          <t>E-10</t>
        </is>
      </c>
      <c r="V78" s="210" t="inlineStr">
        <is>
          <t>—</t>
        </is>
      </c>
    </row>
    <row r="79" ht="72" customHeight="1" s="59">
      <c r="A79" s="138" t="inlineStr">
        <is>
          <t>Prestage Foods of Iowa
(FSIS now lists Eagle Grove Cooperative)</t>
        </is>
      </c>
      <c r="B79" s="68" t="inlineStr">
        <is>
          <t>Eagle Grove, IA</t>
        </is>
      </c>
      <c r="C79" s="68" t="inlineStr">
        <is>
          <t>Very large packer</t>
        </is>
      </c>
      <c r="D79" s="68" t="inlineStr">
        <is>
          <t>~10,000-12,000/DAY
· HACCP Large (500+ employees)</t>
        </is>
      </c>
      <c r="E79" s="110" t="inlineStr">
        <is>
          <t>NO
(Durham: n/m)</t>
        </is>
      </c>
      <c r="F79" s="195" t="inlineStr">
        <is>
          <t>5,000+/wk (~10-12k/DAY)</t>
        </is>
      </c>
      <c r="G79" s="68" t="inlineStr">
        <is>
          <t>MARKET only</t>
        </is>
      </c>
      <c r="H79" s="68" t="inlineStr">
        <is>
          <t>USDA ✓ M51340 + V51340
(listed as Eagle Grove Cooperative;
export-cert)</t>
        </is>
      </c>
      <c r="I79" s="25" t="inlineStr">
        <is>
          <t>⚠ REPEAT humane-handling suspensions 2020 &amp; 04/2022 (egregious). Est. M51340. PETA sought kill-floor cameras.</t>
        </is>
      </c>
      <c r="J79" s="68" t="inlineStr">
        <is>
          <t>Export-oriented; 'Certification–Export' not directly confirmed. EU unverified</t>
        </is>
      </c>
      <c r="K79" s="68" t="inlineStr">
        <is>
          <t>Industrial</t>
        </is>
      </c>
      <c r="L79" s="68" t="inlineStr">
        <is>
          <t>No organ program found</t>
        </is>
      </c>
      <c r="M79" s="68" t="inlineStr">
        <is>
          <t>Unlikely</t>
        </is>
      </c>
      <c r="N79" s="68" t="inlineStr">
        <is>
          <t>Unlikely</t>
        </is>
      </c>
      <c r="O79" s="68" t="inlineStr">
        <is>
          <t>—</t>
        </is>
      </c>
      <c r="P79" s="23" t="inlineStr">
        <is>
          <t>POSSIBLE</t>
        </is>
      </c>
      <c r="Q79" s="178" t="inlineStr">
        <is>
          <t>Back-pool — passes no current tier; see Fit and notes for what a call would need to change.</t>
        </is>
      </c>
      <c r="R79" s="179" t="inlineStr">
        <is>
          <t>—</t>
        </is>
      </c>
      <c r="S79" s="68" t="inlineStr">
        <is>
          <t>Med-High
(FSIS+MPI 8-06)</t>
        </is>
      </c>
      <c r="T79" s="68" t="inlineStr">
        <is>
          <t>NAME CHANGE ON THE FSIS RECORD. The active establishment at Eagle Grove IA is M51340 + V51340, listed as 'Eagle Grove Cooperative', with market-hog slaughter and a Certification-Export activity, slaughter_volume_category = 4. No establishment is listed under the Prestage name at that location. Confirm the ownership position before using the Prestage name in correspondence.  [Verified 2026-08-06 against FSIS Establishment Demographic Data + MPI Directory by Establishment Number.]</t>
        </is>
      </c>
      <c r="U79" s="212" t="inlineStr">
        <is>
          <t>E-11</t>
        </is>
      </c>
      <c r="V79" s="210" t="inlineStr">
        <is>
          <t>—</t>
        </is>
      </c>
    </row>
    <row r="80" ht="58.6" customHeight="1" s="59">
      <c r="A80" s="4" t="inlineStr">
        <is>
          <t>Seaboard Triumph Foods</t>
        </is>
      </c>
      <c r="B80" s="68" t="inlineStr">
        <is>
          <t>Sioux City, IA</t>
        </is>
      </c>
      <c r="C80" s="68" t="inlineStr">
        <is>
          <t>Very large packer</t>
        </is>
      </c>
      <c r="D80" s="68" t="inlineStr">
        <is>
          <t>~10,000/DAY (up to 20-24k)
· HACCP Large (500+ employees)</t>
        </is>
      </c>
      <c r="E80" s="110" t="inlineStr">
        <is>
          <t>NO
(Durham: n/m)</t>
        </is>
      </c>
      <c r="F80" s="195" t="inlineStr">
        <is>
          <t>5,000+/wk (~10k/DAY)</t>
        </is>
      </c>
      <c r="G80" s="68" t="inlineStr">
        <is>
          <t>MARKET only</t>
        </is>
      </c>
      <c r="H80" s="68" t="inlineStr">
        <is>
          <t>USDA ✓ M46071 + V46071
(V = voluntary; export-cert)</t>
        </is>
      </c>
      <c r="I80" s="68" t="inlineStr">
        <is>
          <t>No FSIS humane/recall found. Non-FSIS press: labor / child-labor fines, emissions.</t>
        </is>
      </c>
      <c r="J80" s="68" t="inlineStr">
        <is>
          <t>FSIS export-certified (edible, general; Est. M46071). EU-specific unverified</t>
        </is>
      </c>
      <c r="K80" s="68" t="inlineStr">
        <is>
          <t>Industrial</t>
        </is>
      </c>
      <c r="L80" s="68" t="inlineStr">
        <is>
          <t>NOT confirmed (no research-organ program found)</t>
        </is>
      </c>
      <c r="M80" s="68" t="inlineStr">
        <is>
          <t>Unlikely</t>
        </is>
      </c>
      <c r="N80" s="68" t="inlineStr">
        <is>
          <t>Unlikely</t>
        </is>
      </c>
      <c r="O80" s="68" t="inlineStr">
        <is>
          <t>—</t>
        </is>
      </c>
      <c r="P80" s="23" t="inlineStr">
        <is>
          <t>POSSIBLE</t>
        </is>
      </c>
      <c r="Q80" s="178" t="inlineStr">
        <is>
          <t>Back-pool — passes no current tier; see Fit and notes for what a call would need to change.</t>
        </is>
      </c>
      <c r="R80" s="179" t="inlineStr">
        <is>
          <t>—</t>
        </is>
      </c>
      <c r="S80" s="68" t="inlineStr">
        <is>
          <t>High
(study 8-03/05)</t>
        </is>
      </c>
      <c r="T80" s="68" t="inlineStr">
        <is>
          <t>HIGH tier. No longer excluded on size (~10-24k/day). Biologics program UNCONFIRMED — do NOT assume one exists; ask directly. Non-FSIS labour/child-labour press on record.</t>
        </is>
      </c>
      <c r="U80" s="212" t="inlineStr">
        <is>
          <t>E-12</t>
        </is>
      </c>
      <c r="V80" s="210" t="inlineStr">
        <is>
          <t>—</t>
        </is>
      </c>
    </row>
    <row r="81" ht="58.6" customHeight="1" s="59">
      <c r="A81" s="4" t="inlineStr">
        <is>
          <t>SIG International, Iowa</t>
        </is>
      </c>
      <c r="B81" s="68" t="inlineStr">
        <is>
          <t>Boyden, IA</t>
        </is>
      </c>
      <c r="C81" s="68" t="inlineStr">
        <is>
          <t>USDA slaughter+processing (Est. M20748)</t>
        </is>
      </c>
      <c r="D81" s="68" t="inlineStr">
        <is>
          <t>~194-1,944/wk
(FSIS cat 3)
· HACCP Small (10-499 employees)</t>
        </is>
      </c>
      <c r="E81" s="110" t="inlineStr">
        <is>
          <t>NO
(Durham: n/m)</t>
        </is>
      </c>
      <c r="F81" s="143" t="inlineStr">
        <is>
          <t>confirm (band ≤1,944)</t>
        </is>
      </c>
      <c r="G81" s="68" t="inlineStr">
        <is>
          <t>MARKET only</t>
        </is>
      </c>
      <c r="H81" s="68" t="inlineStr">
        <is>
          <t>USDA ✓ M20748 + V20748
(V = voluntary; export-cert)</t>
        </is>
      </c>
      <c r="I81" s="68" t="inlineStr">
        <is>
          <t>None found in public sources</t>
        </is>
      </c>
      <c r="J81" s="68" t="inlineStr">
        <is>
          <t>FSIS export-certified (edible; exports to Japan — Japan ≠ EU). EU/APHIS unverified</t>
        </is>
      </c>
      <c r="K81" s="68" t="inlineStr">
        <is>
          <t>Berkshire / USDA-organic; export QC discipline</t>
        </is>
      </c>
      <c r="L81" s="68" t="inlineStr">
        <is>
          <t>None found</t>
        </is>
      </c>
      <c r="M81" s="68" t="inlineStr">
        <is>
          <t>Likely Model A host</t>
        </is>
      </c>
      <c r="N81" s="68" t="inlineStr">
        <is>
          <t>Plausible</t>
        </is>
      </c>
      <c r="O81" s="68" t="inlineStr">
        <is>
          <t>(712) 725-2172
sigiowa.com</t>
        </is>
      </c>
      <c r="P81" s="23" t="inlineStr">
        <is>
          <t>POSSIBLE</t>
        </is>
      </c>
      <c r="Q81" s="178" t="inlineStr">
        <is>
          <t>Back-pool — passes no current tier; see Fit and notes for what a call would need to change.</t>
        </is>
      </c>
      <c r="R81" s="179" t="inlineStr">
        <is>
          <t>—</t>
        </is>
      </c>
      <c r="S81" s="68" t="inlineStr">
        <is>
          <t>High
(FSIS+MPI 8-06)</t>
        </is>
      </c>
      <c r="T81" s="68" t="inlineStr">
        <is>
          <t>RESOLVED from 'unknown'. Active federal grant M20748 + V20748, Boyden IA, market hogs flagged, slaughter_volume_category = 3 = 194-1,944/wk — a genuine medium-band plant, and it carries a Certification-Export activity, which matters for anything EU-bound.  [Verified 2026-08-06 against FSIS Establishment Demographic Data + MPI Directory by Establishment Number.]</t>
        </is>
      </c>
      <c r="U81" s="212" t="inlineStr">
        <is>
          <t>E-13</t>
        </is>
      </c>
      <c r="V81" s="210" t="inlineStr">
        <is>
          <t>—</t>
        </is>
      </c>
    </row>
    <row r="82" ht="58.6" customHeight="1" s="59">
      <c r="A82" s="4" t="inlineStr">
        <is>
          <t>Tri Eagle Provisions</t>
        </is>
      </c>
      <c r="B82" s="68" t="inlineStr">
        <is>
          <t>Tippecanoe, IN</t>
        </is>
      </c>
      <c r="C82" s="68" t="inlineStr">
        <is>
          <t>USDA federal — market + roaster</t>
        </is>
      </c>
      <c r="D82" s="68" t="inlineStr">
        <is>
          <t>~5,500/wk (1,100 hd/day EMI 2017)
· HACCP Small (10-499 employees)</t>
        </is>
      </c>
      <c r="E82" s="110" t="inlineStr">
        <is>
          <t>NO
(Durham: n/m)</t>
        </is>
      </c>
      <c r="F82" s="195" t="inlineStr">
        <is>
          <t>5,000+/wk (~5,500)</t>
        </is>
      </c>
      <c r="G82" s="68" t="inlineStr">
        <is>
          <t>Yes — MKT + roaster</t>
        </is>
      </c>
      <c r="H82" s="68" t="inlineStr">
        <is>
          <t>USDA ✓ M17496</t>
        </is>
      </c>
      <c r="I82" s="68" t="inlineStr">
        <is>
          <t>See the Welfare &amp; culture column — enforcement detail is carried there for these rows</t>
        </is>
      </c>
      <c r="J82" s="68" t="inlineStr">
        <is>
          <t>Not verified — APHIS publishes no searchable list; confirm with APHIS VS</t>
        </is>
      </c>
      <c r="K82" s="68" t="inlineStr">
        <is>
          <t>No QER suspension FY2024-FY2026</t>
        </is>
      </c>
      <c r="L82" s="68" t="inlineStr">
        <is>
          <t>unknown</t>
        </is>
      </c>
      <c r="M82" s="68" t="inlineStr">
        <is>
          <t>Plausible</t>
        </is>
      </c>
      <c r="N82" s="68" t="inlineStr">
        <is>
          <t>Plausible</t>
        </is>
      </c>
      <c r="O82" s="68" t="inlineStr">
        <is>
          <t>(574) 223-4600</t>
        </is>
      </c>
      <c r="P82" s="23" t="inlineStr">
        <is>
          <t>POSSIBLE</t>
        </is>
      </c>
      <c r="Q82" s="178" t="inlineStr">
        <is>
          <t>Back-pool — passes no current tier; see Fit and notes for what a call would need to change.</t>
        </is>
      </c>
      <c r="R82" s="179" t="inlineStr">
        <is>
          <t>—</t>
        </is>
      </c>
      <c r="S82" s="68" t="inlineStr">
        <is>
          <t>Med
(study 8-03/05)</t>
        </is>
      </c>
      <c r="T82" s="68" t="inlineStr">
        <is>
          <t>DBAs Vin Lee Ron, Maple Creek Packing.</t>
        </is>
      </c>
      <c r="U82" s="212" t="inlineStr">
        <is>
          <t>E-14</t>
        </is>
      </c>
      <c r="V82" s="210" t="inlineStr">
        <is>
          <t>—</t>
        </is>
      </c>
    </row>
    <row r="83" ht="58.6" customHeight="1" s="59">
      <c r="A83" s="4" t="inlineStr">
        <is>
          <t>Verschoor Meats</t>
        </is>
      </c>
      <c r="B83" s="68" t="inlineStr">
        <is>
          <t>Sioux City, IA</t>
        </is>
      </c>
      <c r="C83" s="68" t="inlineStr">
        <is>
          <t>USDA federal — market + boar</t>
        </is>
      </c>
      <c r="D83" s="68" t="inlineStr">
        <is>
          <t>~6,000/wk (1,200 hd/day EMI 2017)
· HACCP Small (10-499 employees)</t>
        </is>
      </c>
      <c r="E83" s="110" t="inlineStr">
        <is>
          <t>NO
(Durham: n/m)</t>
        </is>
      </c>
      <c r="F83" s="195" t="inlineStr">
        <is>
          <t>5,000+/wk (~6,000)</t>
        </is>
      </c>
      <c r="G83" s="68" t="inlineStr">
        <is>
          <t>Yes — MKT + boar</t>
        </is>
      </c>
      <c r="H83" s="68" t="inlineStr">
        <is>
          <t>USDA ✓ M363</t>
        </is>
      </c>
      <c r="I83" s="68" t="inlineStr">
        <is>
          <t>See the Welfare &amp; culture column — enforcement detail is carried there for these rows</t>
        </is>
      </c>
      <c r="J83" s="68" t="inlineStr">
        <is>
          <t>Not verified — APHIS publishes no searchable list; confirm with APHIS VS</t>
        </is>
      </c>
      <c r="K83" s="68" t="inlineStr">
        <is>
          <t>No QER suspension FY2024-FY2026</t>
        </is>
      </c>
      <c r="L83" s="68" t="inlineStr">
        <is>
          <t>unknown</t>
        </is>
      </c>
      <c r="M83" s="68" t="inlineStr">
        <is>
          <t>Plausible</t>
        </is>
      </c>
      <c r="N83" s="68" t="inlineStr">
        <is>
          <t>Plausible</t>
        </is>
      </c>
      <c r="O83" s="68" t="inlineStr">
        <is>
          <t>(712) 252-1847</t>
        </is>
      </c>
      <c r="P83" s="23" t="inlineStr">
        <is>
          <t>POSSIBLE</t>
        </is>
      </c>
      <c r="Q83" s="178" t="inlineStr">
        <is>
          <t>Back-pool — passes no current tier; see Fit and notes for what a call would need to change.</t>
        </is>
      </c>
      <c r="R83" s="179" t="inlineStr">
        <is>
          <t>—</t>
        </is>
      </c>
      <c r="S83" s="68" t="inlineStr">
        <is>
          <t>Med
(study 8-03/05)</t>
        </is>
      </c>
      <c r="T83" s="68" t="inlineStr">
        <is>
          <t>Iowa option just above band.</t>
        </is>
      </c>
      <c r="U83" s="212" t="inlineStr">
        <is>
          <t>E-15</t>
        </is>
      </c>
      <c r="V83" s="210" t="inlineStr">
        <is>
          <t>—</t>
        </is>
      </c>
    </row>
    <row r="84" ht="45.2" customHeight="1" s="59">
      <c r="A84" s="4" t="inlineStr">
        <is>
          <t>Wholestone Farms</t>
        </is>
      </c>
      <c r="B84" s="68" t="inlineStr">
        <is>
          <t>Fremont, NE</t>
        </is>
      </c>
      <c r="C84" s="68" t="inlineStr">
        <is>
          <t>Very large packer</t>
        </is>
      </c>
      <c r="D84" s="68" t="inlineStr">
        <is>
          <t>~8,200/DAY (3M→5.6M/yr)
· HACCP Large (500+ employees)</t>
        </is>
      </c>
      <c r="E84" s="110" t="inlineStr">
        <is>
          <t>NO
(Durham: n/m)</t>
        </is>
      </c>
      <c r="F84" s="195" t="inlineStr">
        <is>
          <t>5,000+/wk (~8,200/DAY)</t>
        </is>
      </c>
      <c r="G84" s="68" t="inlineStr">
        <is>
          <t>MARKET only</t>
        </is>
      </c>
      <c r="H84" s="68" t="inlineStr">
        <is>
          <t>USDA ✓ M46491 + P46491</t>
        </is>
      </c>
      <c r="I84" s="25" t="inlineStr">
        <is>
          <t>⚠ Humane-handling NOIE 12/2019 (Est. M46491; captive bolt on a condemned hog).</t>
        </is>
      </c>
      <c r="J84" s="68" t="inlineStr">
        <is>
          <t>Not confirmed on public lists — verify</t>
        </is>
      </c>
      <c r="K84" s="68" t="inlineStr">
        <is>
          <t>Industrial</t>
        </is>
      </c>
      <c r="L84" s="68" t="inlineStr">
        <is>
          <t>Biologics unknown</t>
        </is>
      </c>
      <c r="M84" s="68" t="inlineStr">
        <is>
          <t>Unlikely</t>
        </is>
      </c>
      <c r="N84" s="68" t="inlineStr">
        <is>
          <t>Unlikely</t>
        </is>
      </c>
      <c r="O84" s="68" t="inlineStr">
        <is>
          <t>—</t>
        </is>
      </c>
      <c r="P84" s="23" t="inlineStr">
        <is>
          <t>POSSIBLE</t>
        </is>
      </c>
      <c r="Q84" s="178" t="inlineStr">
        <is>
          <t>Back-pool — passes no current tier; see Fit and notes for what a call would need to change.</t>
        </is>
      </c>
      <c r="R84" s="179" t="inlineStr">
        <is>
          <t>—</t>
        </is>
      </c>
      <c r="S84" s="68" t="inlineStr">
        <is>
          <t>High
(study 8-03/05)</t>
        </is>
      </c>
      <c r="T84" s="68" t="inlineStr">
        <is>
          <t>HIGH tier. No longer excluded on size. Biologics unknown — confirm. Humane-handling NOIE 12/2019 on record.</t>
        </is>
      </c>
      <c r="U84" s="212" t="inlineStr">
        <is>
          <t>E-16</t>
        </is>
      </c>
      <c r="V84" s="210" t="inlineStr">
        <is>
          <t>—</t>
        </is>
      </c>
    </row>
    <row r="85" ht="192.6" customHeight="1" s="59">
      <c r="A85" s="4" t="inlineStr">
        <is>
          <t>⚑ The ABI / LAMPIRE abattoir inference</t>
        </is>
      </c>
      <c r="B85" s="68" t="inlineStr">
        <is>
          <t>Harleysville &amp; Pipersville, PA</t>
        </is>
      </c>
      <c r="C85" s="68" t="inlineStr">
        <is>
          <t>tissue suppliers, not slaughterers</t>
        </is>
      </c>
      <c r="D85" s="68" t="inlineStr">
        <is>
          <t>n/a</t>
        </is>
      </c>
      <c r="E85" s="110" t="inlineStr">
        <is>
          <t>NO
(Durham: n/m)</t>
        </is>
      </c>
      <c r="F85" s="143" t="inlineStr">
        <is>
          <t>n/a — buys, not kills</t>
        </is>
      </c>
      <c r="G85" s="68" t="inlineStr">
        <is>
          <t>n/a</t>
        </is>
      </c>
      <c r="H85" s="68" t="inlineStr">
        <is>
          <t>n/a — they BUY from PA abattoirs</t>
        </is>
      </c>
      <c r="I85" s="68" t="inlineStr">
        <is>
          <t>See the Welfare &amp; culture column — enforcement detail is carried there for these rows</t>
        </is>
      </c>
      <c r="J85" s="68" t="inlineStr">
        <is>
          <t>Not verified — APHIS publishes no searchable list; confirm with APHIS VS</t>
        </is>
      </c>
      <c r="K85" s="68" t="inlineStr">
        <is>
          <t>n/a</t>
        </is>
      </c>
      <c r="L85" s="68" t="inlineStr">
        <is>
          <t>Animal Biotech Industries (220 Stahl Rd, Harleysville PA, 215-766-7413) states tissues are 'harvested at USDA federally inspected abattoirs'; offers organ CANNULATION and CUSTOM HARVESTING; has EXITED live porcine models to focus on post-mortem tissue; WBENC/WOSB certified. LAMPIRE (Pipersville PA) says it is 'located in Pennsylvania, in close proximity to the top beef, veal and porcine USDA approved abattoir' facilities with 'experienced technicians' who 'procure and process products to your specifications'</t>
        </is>
      </c>
      <c r="M85" s="68" t="inlineStr">
        <is>
          <t>n/a</t>
        </is>
      </c>
      <c r="N85" s="68" t="inlineStr">
        <is>
          <t>n/a</t>
        </is>
      </c>
      <c r="O85" s="68" t="inlineStr">
        <is>
          <t>ABI (215) 766-7413 · LAMPIRE Pipersville</t>
        </is>
      </c>
      <c r="P85" s="23" t="inlineStr">
        <is>
          <t>POSSIBLE</t>
        </is>
      </c>
      <c r="Q85" s="178" t="inlineStr">
        <is>
          <t>Back-pool — passes no current tier; see Fit and notes for what a call would need to change.</t>
        </is>
      </c>
      <c r="R85" s="179" t="inlineStr">
        <is>
          <t>—</t>
        </is>
      </c>
      <c r="S85" s="68" t="inlineStr">
        <is>
          <t>Med (inference)
(study 8-03/05)</t>
        </is>
      </c>
      <c r="T85" s="68" t="inlineStr">
        <is>
          <t>⚠ LABELLED INFERENCE, NOT FACT: neither company names its abattoirs and NO document links either to a specific plant. The inference rests on (a) both companies' explicit 'nearby PA USDA abattoir' language and (b) geography — ABI Harleysville is ~5 mi from BOTH Clemens (Hatfield) and Leidy's (Souderton); LAMPIRE Pipersville is ~12 mi from the same cluster and ~10 mi from Springfield Meat. CONFIRM BY ASKING THE PLANTS — and note that a plant already hosting ABI or Lampire technicians is a PROVEN Model A precedent, which makes this the single most valuable question in the whole outreach list.</t>
        </is>
      </c>
      <c r="U85" s="212" t="inlineStr">
        <is>
          <t>E-17</t>
        </is>
      </c>
      <c r="V85" s="210" t="inlineStr">
        <is>
          <t>—</t>
        </is>
      </c>
    </row>
    <row r="86" ht="85.40000000000001" customHeight="1" s="59">
      <c r="A86" s="4" t="inlineStr">
        <is>
          <t>Banner Creek, LLC (Sustainable Swine Resources)</t>
        </is>
      </c>
      <c r="B86" s="68" t="inlineStr">
        <is>
          <t>Holton, KS</t>
        </is>
      </c>
      <c r="C86" s="68" t="inlineStr">
        <is>
          <t>SOW abattoir (Johnsonville / SSR)</t>
        </is>
      </c>
      <c r="D86" s="68" t="inlineStr">
        <is>
          <t>~5,500/wk (1,100 hd/day EMI 2017) — at/just above ceiling; likely higher post-Momence
· HACCP Small (10-499 employees)</t>
        </is>
      </c>
      <c r="E86" s="110" t="inlineStr">
        <is>
          <t>NO
(Durham: n/m)</t>
        </is>
      </c>
      <c r="F86" s="195" t="inlineStr">
        <is>
          <t>5,000+/wk (~5,500)</t>
        </is>
      </c>
      <c r="G86" s="68" t="inlineStr">
        <is>
          <t>Yes — SOW ONLY</t>
        </is>
      </c>
      <c r="H86" s="68" t="inlineStr">
        <is>
          <t>USDA ✓ M5536 + P5536</t>
        </is>
      </c>
      <c r="I86" s="68" t="inlineStr">
        <is>
          <t>See the Welfare &amp; culture column — enforcement detail is carried there for these rows</t>
        </is>
      </c>
      <c r="J86" s="68" t="inlineStr">
        <is>
          <t>Not verified — APHIS publishes no searchable list; confirm with APHIS VS</t>
        </is>
      </c>
      <c r="K86" s="68" t="inlineStr">
        <is>
          <t>NO suspension in any QER FY2024-FY2026 (no public record)</t>
        </is>
      </c>
      <c r="L86" s="68" t="inlineStr">
        <is>
          <t>Same SSR medical-tissue infrastructure as Perry Way (ISO 22442-2, GMP rooms, Customization Center)</t>
        </is>
      </c>
      <c r="M86" s="68" t="inlineStr">
        <is>
          <t>⚠ Same competitor caveat</t>
        </is>
      </c>
      <c r="N86" s="68" t="inlineStr">
        <is>
          <t>Already built for their own account</t>
        </is>
      </c>
      <c r="O86" s="68" t="inlineStr">
        <is>
          <t>(785) 364-3126
619 East 4th St, Holton KS 66436</t>
        </is>
      </c>
      <c r="P86" s="23" t="inlineStr">
        <is>
          <t>CAUTION</t>
        </is>
      </c>
      <c r="Q86" s="178" t="inlineStr">
        <is>
          <t>Back-pool — passes no current tier; see Fit and notes for what a call would need to change.</t>
        </is>
      </c>
      <c r="R86" s="179" t="inlineStr">
        <is>
          <t>—</t>
        </is>
      </c>
      <c r="S86" s="68" t="inlineStr">
        <is>
          <t>Med
(study 8-03/05)</t>
        </is>
      </c>
      <c r="T86" s="68" t="inlineStr">
        <is>
          <t>Second SSR harvest site. Top-of-band or just over. Same channel-conflict caveat as Perry Way.</t>
        </is>
      </c>
      <c r="U86" s="212" t="inlineStr">
        <is>
          <t>E-18</t>
        </is>
      </c>
      <c r="V86" s="210" t="inlineStr">
        <is>
          <t>—</t>
        </is>
      </c>
    </row>
    <row r="87" ht="139" customHeight="1" s="59">
      <c r="A87" s="4" t="inlineStr">
        <is>
          <t>BEF Foods (Bob Evans) — Hillsdale</t>
        </is>
      </c>
      <c r="B87" s="68" t="inlineStr">
        <is>
          <t>Hillsdale, MI</t>
        </is>
      </c>
      <c r="C87" s="68" t="inlineStr">
        <is>
          <t>SOW-ONLY abattoir (open since 1964)</t>
        </is>
      </c>
      <c r="D87" s="133" t="inlineStr">
        <is>
          <t>192–1,923/wk (FSIS cat 3)
· HACCP Small (10-499 employees)</t>
        </is>
      </c>
      <c r="E87" s="110" t="inlineStr">
        <is>
          <t>NO
(Durham: n/m)</t>
        </is>
      </c>
      <c r="F87" s="143" t="inlineStr">
        <is>
          <t>confirm (band ≤1,944)</t>
        </is>
      </c>
      <c r="G87" s="68" t="inlineStr">
        <is>
          <t>Yes — SOW ONLY</t>
        </is>
      </c>
      <c r="H87" s="68" t="inlineStr">
        <is>
          <t>USDA ✓ M952 (grant 2021)</t>
        </is>
      </c>
      <c r="I87" s="68" t="inlineStr">
        <is>
          <t>⚠ CORRECTED: Hillsdale is NOT merely 'clean by inheritance' from Xenia — it has its OWN documented 2018 humane-handling incidents, on 10 Jul 2018 and 28 Sep 2018, both involving sows that remained conscious after the initial captive-bolt attempt, vocalised, and required three stun attempts. || See the Welfare &amp; culture column — enforcement detail is carried there for these rows</t>
        </is>
      </c>
      <c r="J87" s="68" t="inlineStr">
        <is>
          <t>Not verified — APHIS publishes no searchable list; confirm with APHIS VS</t>
        </is>
      </c>
      <c r="K87" s="68" t="inlineStr">
        <is>
          <t>Not on the current enforcement page — BUT corporate humane-handling systems are shared with Xenia, so treat the 2018 Xenia action as a COMPANY-LEVEL signal</t>
        </is>
      </c>
      <c r="L87" s="68" t="inlineStr">
        <is>
          <t>None found</t>
        </is>
      </c>
      <c r="M87" s="68" t="inlineStr">
        <is>
          <t>WEAK-MEDIUM (corporate)</t>
        </is>
      </c>
      <c r="N87" s="68" t="inlineStr">
        <is>
          <t>MEDIUM</t>
        </is>
      </c>
      <c r="O87" s="68" t="inlineStr">
        <is>
          <t>No phone in the USDA file — route via Post / Bob Evans corporate</t>
        </is>
      </c>
      <c r="P87" s="23" t="inlineStr">
        <is>
          <t>CAUTION</t>
        </is>
      </c>
      <c r="Q87" s="178" t="inlineStr">
        <is>
          <t>Back-pool — passes no current tier; see Fit and notes for what a call would need to change.</t>
        </is>
      </c>
      <c r="R87" s="179" t="inlineStr">
        <is>
          <t>—</t>
        </is>
      </c>
      <c r="S87" s="68" t="inlineStr">
        <is>
          <t>Med
(study 8-03/05)</t>
        </is>
      </c>
      <c r="T87" s="68" t="inlineStr">
        <is>
          <t>⚠ VOLUME CORRECTED to FSIS cat 3 (~194–1,923/wk); tier corrected to MEDIUM. || Confirmed operating by the same Post FY2025 10-K sentence.</t>
        </is>
      </c>
      <c r="U87" s="212" t="inlineStr">
        <is>
          <t>E-19</t>
        </is>
      </c>
      <c r="V87" s="210" t="inlineStr">
        <is>
          <t>—</t>
        </is>
      </c>
    </row>
    <row r="88" ht="192.6" customHeight="1" s="59">
      <c r="A88" s="4" t="inlineStr">
        <is>
          <t>Calihan Processing Cooperative</t>
        </is>
      </c>
      <c r="B88" s="68" t="inlineStr">
        <is>
          <t>Peoria, IL</t>
        </is>
      </c>
      <c r="C88" s="68" t="inlineStr">
        <is>
          <t>Producer-owned cooperative sow/market abattoir</t>
        </is>
      </c>
      <c r="D88" s="68" t="inlineStr">
        <is>
          <t>~3,500/wk — BEST-VERIFIED FIGURE IN THE BAND ('700 sows per day', company's own site)
· HACCP Small (10-499 employees)</t>
        </is>
      </c>
      <c r="E88" s="110" t="inlineStr">
        <is>
          <t>NO
(Durham: n/m)</t>
        </is>
      </c>
      <c r="F88" s="136" t="inlineStr">
        <is>
          <t>1,250-5,000/wk (~3,500)</t>
        </is>
      </c>
      <c r="G88" s="68" t="inlineStr">
        <is>
          <t>Yes — MKT + SOW + boar</t>
        </is>
      </c>
      <c r="H88" s="68" t="inlineStr">
        <is>
          <t>USDA ✓ M6775 + V6775
✅ Certification-Export ON THE GRANT</t>
        </is>
      </c>
      <c r="I88" s="68" t="inlineStr">
        <is>
          <t>See the Welfare &amp; culture column — enforcement detail is carried there for these rows</t>
        </is>
      </c>
      <c r="J88" s="68" t="inlineStr">
        <is>
          <t>Not verified — APHIS publishes no searchable list; confirm with APHIS VS</t>
        </is>
      </c>
      <c r="K88" s="68" t="inlineStr">
        <is>
          <t>🚨 TWO INHUMANE-HANDLING (INH) SUSPENSIONS IN TWO YEARS: 05 Oct 2023 (abeyance 12 Oct, reinstated 17 Jan 2024) and 25 Jul 2025 — FSIS documented a FAILED CAPTIVE-BOLT STUN ON A BOAR (bolt lodged in head, animal vocalizing and conscious; line under regulatory control). Re-suspended 23 Sep 2025, reinstated 31 Dec 2025. FSIS wrote the plant 'had previously developed and implemented a systematic approach to humane handling that was considered robust, [but] failed to effectively implement the program'</t>
        </is>
      </c>
      <c r="L88" s="68" t="inlineStr">
        <is>
          <t>unknown</t>
        </is>
      </c>
      <c r="M88" s="68" t="inlineStr">
        <is>
          <t>Plausible</t>
        </is>
      </c>
      <c r="N88" s="68" t="inlineStr">
        <is>
          <t>Plausible — new co-op board may welcome new revenue</t>
        </is>
      </c>
      <c r="O88" s="68" t="inlineStr">
        <is>
          <t>(309) 512-7124
One South Street, Peoria IL 61602
Ben Elbert (Plant Mgr) · Jason Jones (EVP Pork)</t>
        </is>
      </c>
      <c r="P88" s="23" t="inlineStr">
        <is>
          <t>CAUTION</t>
        </is>
      </c>
      <c r="Q88" s="178" t="inlineStr">
        <is>
          <t>Back-pool — passes no current tier; see Fit and notes for what a call would need to change.</t>
        </is>
      </c>
      <c r="R88" s="179" t="inlineStr">
        <is>
          <t>—</t>
        </is>
      </c>
      <c r="S88" s="68" t="inlineStr">
        <is>
          <t>High
(study 8-03/05)</t>
        </is>
      </c>
      <c r="T88" s="68" t="inlineStr">
        <is>
          <t>Volume, species mix AND export certification are all ideal — but RUN A WELFARE AUDIT BEFORE ANY AGREEMENT. Newly producer-owned (purchase from American Foods Group closed 14 Nov 2025), so the board may be unusually open. Expect the enforcement history to matter to your IRB and customers.</t>
        </is>
      </c>
      <c r="U88" s="212" t="inlineStr">
        <is>
          <t>E-20</t>
        </is>
      </c>
      <c r="V88" s="210" t="inlineStr">
        <is>
          <t>—</t>
        </is>
      </c>
    </row>
    <row r="89" ht="98.8" customHeight="1" s="59">
      <c r="A89" s="4" t="inlineStr">
        <is>
          <t>Clausen Meat Company, Inc.</t>
        </is>
      </c>
      <c r="B89" s="68" t="inlineStr">
        <is>
          <t>Turlock, CA (Merced)</t>
        </is>
      </c>
      <c r="C89" s="68" t="inlineStr">
        <is>
          <t>Federal abattoir; absorbed Jim's Farm Meats (Atwater)</t>
        </is>
      </c>
      <c r="D89" s="68" t="inlineStr">
        <is>
          <t>unknown precisely — cat-4 proves ≥2,000/wk; 2,500-5,000 is an INFERENCE from the absorbed 850 hd/day plant
· HACCP Small (10-499 employees)</t>
        </is>
      </c>
      <c r="E89" s="110" t="inlineStr">
        <is>
          <t>NO
(Durham: n/m)</t>
        </is>
      </c>
      <c r="F89" s="136" t="inlineStr">
        <is>
          <t>1,250-5,000/wk
(cat-4 ≥1,944 — confirm)</t>
        </is>
      </c>
      <c r="G89" s="68" t="inlineStr">
        <is>
          <t>Yes — MKT + SOW + roaster</t>
        </is>
      </c>
      <c r="H89" s="68" t="inlineStr">
        <is>
          <t>USDA ✓ M325</t>
        </is>
      </c>
      <c r="I89" s="68" t="inlineStr">
        <is>
          <t>See the Welfare &amp; culture column — enforcement detail is carried there for these rows</t>
        </is>
      </c>
      <c r="J89" s="68" t="inlineStr">
        <is>
          <t>Not verified — APHIS publishes no searchable list; confirm with APHIS VS</t>
        </is>
      </c>
      <c r="K89" s="68" t="inlineStr">
        <is>
          <t>🚨 INH suspension 15 Nov 2023 — NOT reinstated until 12 Apr 2024, roughly FIVE MONTHS out. A long suspension; warrants scrutiny</t>
        </is>
      </c>
      <c r="L89" s="68" t="inlineStr">
        <is>
          <t>unknown</t>
        </is>
      </c>
      <c r="M89" s="68" t="inlineStr">
        <is>
          <t>Plausible</t>
        </is>
      </c>
      <c r="N89" s="68" t="inlineStr">
        <is>
          <t>Plausible</t>
        </is>
      </c>
      <c r="O89" s="68" t="inlineStr">
        <is>
          <t>(209) 667-8690
19455 E Clausen Rd, Turlock CA 95380</t>
        </is>
      </c>
      <c r="P89" s="23" t="inlineStr">
        <is>
          <t>CAUTION</t>
        </is>
      </c>
      <c r="Q89" s="178" t="inlineStr">
        <is>
          <t>Back-pool — passes no current tier; see Fit and notes for what a call would need to change.</t>
        </is>
      </c>
      <c r="R89" s="179" t="inlineStr">
        <is>
          <t>—</t>
        </is>
      </c>
      <c r="S89" s="68" t="inlineStr">
        <is>
          <t>Low-Med
(study 8-03/05)</t>
        </is>
      </c>
      <c r="T89" s="68" t="inlineStr">
        <is>
          <t>The ONLY serious in-band candidate on the WEST COAST, and rare MKT+SOW+roaster flexibility. Volume is an inference, not a published figure — verify volume AND welfare directly.</t>
        </is>
      </c>
      <c r="U89" s="212" t="inlineStr">
        <is>
          <t>E-21</t>
        </is>
      </c>
      <c r="V89" s="210" t="inlineStr">
        <is>
          <t>—</t>
        </is>
      </c>
    </row>
    <row r="90" ht="98.8" customHeight="1" s="59">
      <c r="A90" s="4" t="inlineStr">
        <is>
          <t>Dealaman Enterprises, Inc.</t>
        </is>
      </c>
      <c r="B90" s="68" t="inlineStr">
        <is>
          <t>Warren, NJ</t>
        </is>
      </c>
      <c r="C90" s="68" t="inlineStr">
        <is>
          <t>Market + roaster + sheep slaughter since 1905</t>
        </is>
      </c>
      <c r="D90" s="68" t="inlineStr">
        <is>
          <t>~1,000-1,200/wk — BEST-CORROBORATED FIGURE IN THE STUDY (EMI 200/day AND a Bloomberg-sourced '1,200 pigs a week' agree)
· HACCP Small (10-499 employees)</t>
        </is>
      </c>
      <c r="E90" s="110" t="inlineStr">
        <is>
          <t>NO
(Durham: n/m)</t>
        </is>
      </c>
      <c r="F90" s="137" t="inlineStr">
        <is>
          <t>750-1,200/wk (~1,000-1,200)</t>
        </is>
      </c>
      <c r="G90" s="68" t="inlineStr">
        <is>
          <t>Yes — MARKET + ROASTER + sheep. NO SOW</t>
        </is>
      </c>
      <c r="H90" s="68" t="inlineStr">
        <is>
          <t>USDA ✓ M7562 (grant 2021)</t>
        </is>
      </c>
      <c r="I90" s="68" t="inlineStr">
        <is>
          <t>See the Welfare &amp; culture column — enforcement detail is carried there for these rows</t>
        </is>
      </c>
      <c r="J90" s="68" t="inlineStr">
        <is>
          <t>Not verified — APHIS publishes no searchable list; confirm with APHIS VS</t>
        </is>
      </c>
      <c r="K90" s="68" t="inlineStr">
        <is>
          <t>None found (limited-window caveat). Positively framed in trade press — used by small farms 'who value personalized service and humane treatment'</t>
        </is>
      </c>
      <c r="L90" s="68" t="inlineStr">
        <is>
          <t>None found</t>
        </is>
      </c>
      <c r="M90" s="68" t="inlineStr">
        <is>
          <t>MEDIUM — small, relationship-driven, likely receptive</t>
        </is>
      </c>
      <c r="N90" s="68" t="inlineStr">
        <is>
          <t>MEDIUM</t>
        </is>
      </c>
      <c r="O90" s="68" t="inlineStr">
        <is>
          <t>(908) 755-1780 / (908) 647-5533
214 Mountainview Rd · ~30 staff</t>
        </is>
      </c>
      <c r="P90" s="23" t="inlineStr">
        <is>
          <t>CAUTION</t>
        </is>
      </c>
      <c r="Q90" s="178" t="inlineStr">
        <is>
          <t>Back-pool — passes no current tier; see Fit and notes for what a call would need to change.</t>
        </is>
      </c>
      <c r="R90" s="179" t="inlineStr">
        <is>
          <t>—</t>
        </is>
      </c>
      <c r="S90" s="68" t="inlineStr">
        <is>
          <t>Med-High
(study 8-03/05)</t>
        </is>
      </c>
      <c r="T90" s="68" t="inlineStr">
        <is>
          <t>BLOCKER: known for SUCKLING &amp; ROASTING pigs — small, young carcasses, the opposite end of the size range from sows. Poor fit for adult pelvic/bariatric blocks. ALSO CORRECTS a widely-repeated claim: it is NOT 'the only federally inspected hog slaughterhouse in NJ' — USDA lists SIX, incl. Puro Alentejano (M47945, Salem — does sow+boar) and Henry Kohn/Burlington Beef (M8850, Monroeville — sow).</t>
        </is>
      </c>
      <c r="U90" s="212" t="inlineStr">
        <is>
          <t>E-22</t>
        </is>
      </c>
      <c r="V90" s="210" t="inlineStr">
        <is>
          <t>—</t>
        </is>
      </c>
    </row>
    <row r="91" ht="165.8" customHeight="1" s="59">
      <c r="A91" s="4" t="inlineStr">
        <is>
          <t>Dean Sausage Co. (Attalla)</t>
        </is>
      </c>
      <c r="B91" s="68" t="inlineStr">
        <is>
          <t>Attalla, AL</t>
        </is>
      </c>
      <c r="C91" s="68" t="inlineStr">
        <is>
          <t>SOW slaughter plant marketed purely as a sausage brand</t>
        </is>
      </c>
      <c r="D91" s="133" t="inlineStr">
        <is>
          <t>19–194/wk (FSIS cat 2)
· HACCP Small (10-499 employees)</t>
        </is>
      </c>
      <c r="E91" s="110" t="inlineStr">
        <is>
          <t>NO
(Durham: n/m)</t>
        </is>
      </c>
      <c r="F91" s="139" t="inlineStr">
        <is>
          <t>0-300/wk (≤194)</t>
        </is>
      </c>
      <c r="G91" s="135" t="inlineStr">
        <is>
          <t>SOW</t>
        </is>
      </c>
      <c r="H91" s="68" t="inlineStr">
        <is>
          <t>USDA ✓ M6621 + P6621</t>
        </is>
      </c>
      <c r="I91" s="68" t="inlineStr">
        <is>
          <t>⚠ CORRECTED OSHA DETAIL: citations ISSUED 4 Mar 2024 (inspection opened 6 Sep 2023), not 20 Mar 2024. Initial proposed penalty $117,059, REDUCED to $70,598 by informal settlement — the $116k figure is not live. 'Blocked exits' is NOT supported by the citation text; the exit-route citations are of a different character. Repeat-violation pattern stands. || See the Welfare &amp; culture column — enforcement detail is carried there for these rows</t>
        </is>
      </c>
      <c r="J91" s="68" t="inlineStr">
        <is>
          <t>Not verified — APHIS publishes no searchable list; confirm with APHIS VS</t>
        </is>
      </c>
      <c r="K91" s="68" t="inlineStr">
        <is>
          <t>🚨 OSHA 20 Mar 2024 — $116,153 proposed, 7 REPEAT + 2 serious violations: lockout/tagout failures, inadequate machine guarding, BLOCKED EXITS, hazard-communication gaps, missing SDSs. This was a FOLLOW-UP to a Dec 2022 inspection (14 violations, $37,000+) — i.e. THEY FAILED TO CORRECT</t>
        </is>
      </c>
      <c r="L91" s="68" t="inlineStr">
        <is>
          <t>None found</t>
        </is>
      </c>
      <c r="M91" s="68" t="inlineStr">
        <is>
          <t>WEAK — placing our own harvesters inside a plant with an active repeat record for machine guarding and blocked egress is a direct worker-safety and insurance exposure</t>
        </is>
      </c>
      <c r="N91" s="68" t="inlineStr">
        <is>
          <t>MEDIUM — arm's-length purchase avoids the exposure</t>
        </is>
      </c>
      <c r="O91" s="68" t="inlineStr">
        <is>
          <t>(256) 538-6082
3750 Pleasant Valley Rd · ~85 staff, founded 1955</t>
        </is>
      </c>
      <c r="P91" s="23" t="inlineStr">
        <is>
          <t>CAUTION</t>
        </is>
      </c>
      <c r="Q91" s="178" t="inlineStr">
        <is>
          <t>Back-pool — passes no current tier; see Fit and notes for what a call would need to change.</t>
        </is>
      </c>
      <c r="R91" s="179" t="inlineStr">
        <is>
          <t>—</t>
        </is>
      </c>
      <c r="S91" s="68" t="inlineStr">
        <is>
          <t>High
(study 8-03/05)</t>
        </is>
      </c>
      <c r="T91" s="68" t="inlineStr">
        <is>
          <t>⚠ VOLUME CONTRADICTION RESOLVED: FSIS slaughter_volume_category=2 = 1,000–9,999 head/360 days = ~19–194/wk. The previously carried ~1,500–1,620/wk and MEDIUM tier were off by about an order of magnitude, and contradicted this workbook's own Overview note. Tier corrected to SMALL. || TENSION RESOLVED: it IS genuinely a sow-harvest plant — USDA primary data is unambiguous — that markets itself purely as a sausage brand, which is why secondary sources called it a processor. Note its own site claims 'FDA-inspected', which is wrong for a meat slaughter plant (it's USDA/FSIS) — a minor QA-maturity signal. DBAs: Country Best Foods, Kentucky Farm Kitchens.</t>
        </is>
      </c>
      <c r="U91" s="212" t="inlineStr">
        <is>
          <t>E-23</t>
        </is>
      </c>
      <c r="V91" s="210" t="inlineStr">
        <is>
          <t>—</t>
        </is>
      </c>
    </row>
    <row r="92" ht="72" customHeight="1" s="59">
      <c r="A92" s="4" t="inlineStr">
        <is>
          <t>Lorentz Meats</t>
        </is>
      </c>
      <c r="B92" s="68" t="inlineStr">
        <is>
          <t>Cannon Falls, MN</t>
        </is>
      </c>
      <c r="C92" s="68" t="inlineStr">
        <is>
          <t>USDA niche processor (slaughter→retail)</t>
        </is>
      </c>
      <c r="D92" s="68" t="inlineStr">
        <is>
          <t>up to ~600 (120/day est.)
· HACCP Small (10-499 employees)</t>
        </is>
      </c>
      <c r="E92" s="110" t="inlineStr">
        <is>
          <t>NO
(Durham: n/m)</t>
        </is>
      </c>
      <c r="F92" s="143" t="inlineStr">
        <is>
          <t>confirm (hogs unconfirmed)</t>
        </is>
      </c>
      <c r="G92" s="68" t="inlineStr">
        <is>
          <t>NO SWINE FLAGS in FSIS —
hog slaughter NOT confirmed</t>
        </is>
      </c>
      <c r="H92" s="68" t="inlineStr">
        <is>
          <t>USDA ✓ M21207 + P21207 + V21207</t>
        </is>
      </c>
      <c r="I92" s="68" t="inlineStr">
        <is>
          <t>Recall 2010 (Listeria, cooked ham, Class I). No humane-handling action found.</t>
        </is>
      </c>
      <c r="J92" s="68" t="inlineStr">
        <is>
          <t>FSIS export-certified (edible, general; Est. M21207). EU-specific unverified</t>
        </is>
      </c>
      <c r="K92" s="68" t="inlineStr">
        <is>
          <t>Strong — explicit humane-slaughter positioning; family since 1968, ~140 staff; organic/grass-fed ties</t>
        </is>
      </c>
      <c r="L92" s="68" t="inlineStr">
        <is>
          <t>None known</t>
        </is>
      </c>
      <c r="M92" s="68" t="inlineStr">
        <is>
          <t>Good Model A host (fee-for-service, small-producer friendly)</t>
        </is>
      </c>
      <c r="N92" s="68" t="inlineStr">
        <is>
          <t>Plausible</t>
        </is>
      </c>
      <c r="O92" s="68" t="inlineStr">
        <is>
          <t>(507) 263-3618
lorentzmeats.com</t>
        </is>
      </c>
      <c r="P92" s="140" t="inlineStr">
        <is>
          <t>CAUTION</t>
        </is>
      </c>
      <c r="Q92" s="178" t="inlineStr">
        <is>
          <t>Back-pool — passes no current tier; see Fit and notes for what a call would need to change.</t>
        </is>
      </c>
      <c r="R92" s="179" t="inlineStr">
        <is>
          <t>—</t>
        </is>
      </c>
      <c r="S92" s="68" t="inlineStr">
        <is>
          <t>Med-High
(FSIS+MPI 8-06)</t>
        </is>
      </c>
      <c r="T92" s="68" t="inlineStr">
        <is>
          <t>⚠ SPECIES NOT CONFIRMED. Est. M21207 + P21207 + V21207 is an active federal grant at Cannon Falls MN with an export-certification activity listed and slaughter_volume_category = 3, but FSIS records NO swine slaughter flags. The 'up to ~600/wk (120 hd/day)' hog figure is unsupported by the primary data — confirm species before spending a call on volume.  [Verified 2026-08-06 against FSIS Establishment Demographic Data + MPI Directory by Establishment Number.]</t>
        </is>
      </c>
      <c r="U92" s="212" t="inlineStr">
        <is>
          <t>E-24</t>
        </is>
      </c>
      <c r="V92" s="210" t="inlineStr">
        <is>
          <t>—</t>
        </is>
      </c>
    </row>
    <row r="93" ht="179.2" customHeight="1" s="59">
      <c r="A93" s="4" t="inlineStr">
        <is>
          <t>Perry Way Foods, LLC (Sustainable Swine Resources)</t>
        </is>
      </c>
      <c r="B93" s="68" t="inlineStr">
        <is>
          <t>Watertown, WI</t>
        </is>
      </c>
      <c r="C93" s="68" t="inlineStr">
        <is>
          <t>SOW abattoir + medical tissue operation</t>
        </is>
      </c>
      <c r="D93" s="68" t="inlineStr">
        <is>
          <t>~4,250/wk (850 hd/day EMI 2017) — LIKELY HIGHER NOW (absorbed Momence volume + 2nd shift)
· HACCP Small (10-499 employees)</t>
        </is>
      </c>
      <c r="E93" s="110" t="inlineStr">
        <is>
          <t>NO
(Durham: n/m)</t>
        </is>
      </c>
      <c r="F93" s="136" t="inlineStr">
        <is>
          <t>1,250-5,000/wk (~4,250)</t>
        </is>
      </c>
      <c r="G93" s="68" t="inlineStr">
        <is>
          <t>Yes — SOW ONLY</t>
        </is>
      </c>
      <c r="H93" s="68" t="inlineStr">
        <is>
          <t>USDA ✓ M1962 + P1962</t>
        </is>
      </c>
      <c r="I93" s="68" t="inlineStr">
        <is>
          <t>See the Welfare &amp; culture column — enforcement detail is carried there for these rows</t>
        </is>
      </c>
      <c r="J93" s="68" t="inlineStr">
        <is>
          <t>Not verified — APHIS publishes no searchable list; confirm with APHIS VS</t>
        </is>
      </c>
      <c r="K93" s="68" t="inlineStr">
        <is>
          <t>NO suspension in any QER FY2024-FY2026 (no public record)</t>
        </is>
      </c>
      <c r="L93" s="68" t="inlineStr">
        <is>
          <t>⭐⭐ MOST TISSUE-READY PLANT IN THE COUNTRY AT THIS SCALE: DBA Sustainable Swine Resources — self-described 'largest U.S. supplier of SOW TISSUE'. ISO 22442-2 compliant, SQF-certified, GMP-trained staff in DESIGNATED MEDICAL-MATERIAL ROOMS, a 'Customization Center' ADJACENT TO THE HARVEST FLOOR, full animal traceability, overnight fresh-tissue shipping. Serves medical devices, pharma, regenerative medicine, tissue fabrication and medical training/R&amp;D. Director: Dr. Lauren Sammel</t>
        </is>
      </c>
      <c r="M93" s="68" t="inlineStr">
        <is>
          <t>⚠ May be REFUSED on channel conflict</t>
        </is>
      </c>
      <c r="N93" s="68" t="inlineStr">
        <is>
          <t>Already built and running — but for their own account</t>
        </is>
      </c>
      <c r="O93" s="68" t="inlineStr">
        <is>
          <t>(920) 261-1053
1222 Perry Way, Watertown WI 53094</t>
        </is>
      </c>
      <c r="P93" s="23" t="inlineStr">
        <is>
          <t>CAUTION</t>
        </is>
      </c>
      <c r="Q93" s="178" t="inlineStr">
        <is>
          <t>Back-pool — passes no current tier; see Fit and notes for what a call would need to change.</t>
        </is>
      </c>
      <c r="R93" s="179" t="inlineStr">
        <is>
          <t>—</t>
        </is>
      </c>
      <c r="S93" s="68" t="inlineStr">
        <is>
          <t>Med-High
(study 8-03/05)</t>
        </is>
      </c>
      <c r="T93" s="68" t="inlineStr">
        <is>
          <t>⚠ STRATEGIC: SSR IS A DIRECT COMPETITOR in exactly your space, and controls TWO of the six in-band plants. Model A access may be refused for channel-conflict reasons. Approach as partner-supplier OR treat as competitive intelligence — but read them either way.</t>
        </is>
      </c>
      <c r="U93" s="212" t="inlineStr">
        <is>
          <t>E-25</t>
        </is>
      </c>
      <c r="V93" s="210" t="inlineStr">
        <is>
          <t>—</t>
        </is>
      </c>
    </row>
    <row r="94" ht="72" customHeight="1" s="59">
      <c r="A94" s="4" t="inlineStr">
        <is>
          <t>Ruthven Meat Processing</t>
        </is>
      </c>
      <c r="B94" s="68" t="inlineStr">
        <is>
          <t>Ruthven, IA</t>
        </is>
      </c>
      <c r="C94" s="68" t="inlineStr">
        <is>
          <t>USDA (Est. M2118), FSIS 'Very Small'</t>
        </is>
      </c>
      <c r="D94" s="68" t="inlineStr">
        <is>
          <t>~19-194/wk
(FSIS cat 2 ceiling)
· HACCP Very Small (&lt;10 employees or &lt;$2.5M sales)</t>
        </is>
      </c>
      <c r="E94" s="110" t="inlineStr">
        <is>
          <t>NO
(Durham: n/m)</t>
        </is>
      </c>
      <c r="F94" s="139" t="inlineStr">
        <is>
          <t>0-300/wk (≤194)</t>
        </is>
      </c>
      <c r="G94" s="68" t="inlineStr">
        <is>
          <t>NO SWINE FLAGS in FSIS —
hogs NOT confirmed</t>
        </is>
      </c>
      <c r="H94" s="68" t="inlineStr">
        <is>
          <t>USDA ✓ M2118 + P2118 + V2118</t>
        </is>
      </c>
      <c r="I94" s="68" t="inlineStr">
        <is>
          <t>None found in public sources</t>
        </is>
      </c>
      <c r="J94" s="68" t="inlineStr">
        <is>
          <t>Not on public export lists — verify</t>
        </is>
      </c>
      <c r="K94" s="68" t="inlineStr">
        <is>
          <t>Small locker</t>
        </is>
      </c>
      <c r="L94" s="68" t="inlineStr">
        <is>
          <t>Unknown</t>
        </is>
      </c>
      <c r="M94" s="68" t="inlineStr">
        <is>
          <t>Model A small batch</t>
        </is>
      </c>
      <c r="N94" s="68" t="inlineStr">
        <is>
          <t>Plausible</t>
        </is>
      </c>
      <c r="O94" s="68" t="inlineStr">
        <is>
          <t>(712) 837-5334</t>
        </is>
      </c>
      <c r="P94" s="23" t="inlineStr">
        <is>
          <t>CAUTION</t>
        </is>
      </c>
      <c r="Q94" s="178" t="inlineStr">
        <is>
          <t>Back-pool — passes no current tier; see Fit and notes for what a call would need to change.</t>
        </is>
      </c>
      <c r="R94" s="179" t="inlineStr">
        <is>
          <t>—</t>
        </is>
      </c>
      <c r="S94" s="68" t="inlineStr">
        <is>
          <t>High
(study 8-03/05)</t>
        </is>
      </c>
      <c r="T94" s="68" t="inlineStr">
        <is>
          <t>FSIS 'Very Small' volume class (fits low band) BUT swine slaughter NOT confirmed — verify it actually takes hogs before relying on it.</t>
        </is>
      </c>
      <c r="U94" s="212" t="inlineStr">
        <is>
          <t>E-26</t>
        </is>
      </c>
      <c r="V94" s="210" t="inlineStr">
        <is>
          <t>—</t>
        </is>
      </c>
    </row>
    <row r="95" ht="45.2" customHeight="1" s="59">
      <c r="A95" s="4" t="inlineStr">
        <is>
          <t>Sinclair BioResources</t>
        </is>
      </c>
      <c r="B95" s="68" t="inlineStr">
        <is>
          <t>Auxvasse, MO</t>
        </is>
      </c>
      <c r="C95" s="68" t="inlineStr">
        <is>
          <t>Minipig supplier + bio-samples</t>
        </is>
      </c>
      <c r="D95" s="68" t="inlineStr">
        <is>
          <t>n/a (research minipigs)</t>
        </is>
      </c>
      <c r="E95" s="110" t="inlineStr">
        <is>
          <t>NO
(Durham: n/m)</t>
        </is>
      </c>
      <c r="F95" s="143" t="inlineStr">
        <is>
          <t>n/a (minipigs)</t>
        </is>
      </c>
      <c r="G95" s="68" t="inlineStr">
        <is>
          <t>Yes (minipigs)</t>
        </is>
      </c>
      <c r="H95" s="68" t="inlineStr">
        <is>
          <t>unknown</t>
        </is>
      </c>
      <c r="I95" s="68" t="inlineStr">
        <is>
          <t>None found (research minipig facility)</t>
        </is>
      </c>
      <c r="J95" s="68" t="inlineStr">
        <is>
          <t>Research minipig; APHIS VS channel — verify</t>
        </is>
      </c>
      <c r="K95" s="68" t="inlineStr">
        <is>
          <t>Research-scale program</t>
        </is>
      </c>
      <c r="L95" s="68" t="inlineStr">
        <is>
          <t>Minipig tissue / bio-samples (Sinclair, Yucatan, Hanford)</t>
        </is>
      </c>
      <c r="M95" s="68" t="inlineStr">
        <is>
          <t>n/a</t>
        </is>
      </c>
      <c r="N95" s="68" t="inlineStr">
        <is>
          <t>Comparator only</t>
        </is>
      </c>
      <c r="O95" s="68" t="inlineStr">
        <is>
          <t>sinclairbioresources.com</t>
        </is>
      </c>
      <c r="P95" s="23" t="inlineStr">
        <is>
          <t>CAUTION</t>
        </is>
      </c>
      <c r="Q95" s="178" t="inlineStr">
        <is>
          <t>Back-pool — passes no current tier; see Fit and notes for what a call would need to change.</t>
        </is>
      </c>
      <c r="R95" s="179" t="inlineStr">
        <is>
          <t>—</t>
        </is>
      </c>
      <c r="S95" s="68" t="inlineStr">
        <is>
          <t>Med
(study 8-03/05)</t>
        </is>
      </c>
      <c r="T95" s="68" t="inlineStr">
        <is>
          <t>MISMATCH: research minipigs at research scale, not commercial market hogs at our volume tiers; tissue blocks would be minipig-sized. Useful as a comparator/specialty source, not a throughput abattoir.</t>
        </is>
      </c>
      <c r="U95" s="212" t="inlineStr">
        <is>
          <t>E-27</t>
        </is>
      </c>
      <c r="V95" s="210" t="inlineStr">
        <is>
          <t>—</t>
        </is>
      </c>
    </row>
    <row r="96" ht="45.2" customHeight="1" s="59">
      <c r="A96" s="4" t="inlineStr">
        <is>
          <t>Sioux-Preme Packing / Perdue</t>
        </is>
      </c>
      <c r="B96" s="68" t="inlineStr">
        <is>
          <t>Sioux Center, IA</t>
        </is>
      </c>
      <c r="C96" s="68" t="inlineStr">
        <is>
          <t>Large niche pork (Est. M5537)</t>
        </is>
      </c>
      <c r="D96" s="68" t="inlineStr">
        <is>
          <t>~4,500 / DAY
· HACCP Small (10-499 employees)</t>
        </is>
      </c>
      <c r="E96" s="110" t="inlineStr">
        <is>
          <t>NO
(Durham: n/m)</t>
        </is>
      </c>
      <c r="F96" s="195" t="inlineStr">
        <is>
          <t>5,000+/wk (~4,500/DAY)</t>
        </is>
      </c>
      <c r="G96" s="68" t="inlineStr">
        <is>
          <t>MARKET + ROASTER + boar/stag
(sow: No)</t>
        </is>
      </c>
      <c r="H96" s="68" t="inlineStr">
        <is>
          <t>USDA ✓ M5537</t>
        </is>
      </c>
      <c r="I96" s="25" t="inlineStr">
        <is>
          <t>⚠ Humane-handling: NOIE 11/2020, suspension 04/2021 (Est. M5537); PETA sought charges (none filed on record).</t>
        </is>
      </c>
      <c r="J96" s="68" t="inlineStr">
        <is>
          <t>Export status not confirmed on public lists — verify</t>
        </is>
      </c>
      <c r="K96" s="68" t="inlineStr">
        <is>
          <t>NEGATIVE signal — an animal-rights group publicly sought charges over handling</t>
        </is>
      </c>
      <c r="L96" s="68" t="inlineStr">
        <is>
          <t>No biologics program found</t>
        </is>
      </c>
      <c r="M96" s="68" t="inlineStr">
        <is>
          <t>Unlikely</t>
        </is>
      </c>
      <c r="N96" s="68" t="inlineStr">
        <is>
          <t>Unlikely</t>
        </is>
      </c>
      <c r="O96" s="68" t="inlineStr">
        <is>
          <t>(712) 722-2555</t>
        </is>
      </c>
      <c r="P96" s="23" t="inlineStr">
        <is>
          <t>CAUTION</t>
        </is>
      </c>
      <c r="Q96" s="178" t="inlineStr">
        <is>
          <t>Back-pool — passes no current tier; see Fit and notes for what a call would need to change.</t>
        </is>
      </c>
      <c r="R96" s="179" t="inlineStr">
        <is>
          <t>—</t>
        </is>
      </c>
      <c r="S96" s="68" t="inlineStr">
        <is>
          <t>High
(study 8-03/05)</t>
        </is>
      </c>
      <c r="T96" s="68" t="inlineStr">
        <is>
          <t>HIGH tier — no longer excluded on size. Held at CAUTION on WELFARE, not volume: humane-handling NOIE 11/2020 and suspension 04/2021 (Est. M5537), and PETA sought criminal charges. No organ program found. Weigh heavily against the Nahunta standard.</t>
        </is>
      </c>
      <c r="U96" s="212" t="inlineStr">
        <is>
          <t>E-28</t>
        </is>
      </c>
      <c r="V96" s="210" t="inlineStr">
        <is>
          <t>—</t>
        </is>
      </c>
    </row>
    <row r="97" ht="72" customHeight="1" s="59">
      <c r="A97" s="51" t="inlineStr">
        <is>
          <t>DeWied International</t>
        </is>
      </c>
      <c r="B97" s="53" t="inlineStr">
        <is>
          <t>San Antonio, TX</t>
        </is>
      </c>
      <c r="C97" s="53" t="inlineStr">
        <is>
          <t>NATURAL CASINGS collector — operates INSIDE third-party USDA plants</t>
        </is>
      </c>
      <c r="D97" s="53" t="inlineStr">
        <is>
          <t>n/a — collects, does not slaughter</t>
        </is>
      </c>
      <c r="E97" s="110" t="inlineStr">
        <is>
          <t>NO
(Durham: n/m)</t>
        </is>
      </c>
      <c r="F97" s="143" t="inlineStr">
        <is>
          <t>n/a — collector</t>
        </is>
      </c>
      <c r="G97" s="53" t="inlineStr">
        <is>
          <t>n/a (works on others' hog lines)</t>
        </is>
      </c>
      <c r="H97" s="53" t="inlineStr">
        <is>
          <t>USDA ✓ V27254
(voluntary grant, Certification–Export;
FSIS lists 'Oversea Dewied International LLC')</t>
        </is>
      </c>
      <c r="I97" s="53" t="inlineStr">
        <is>
          <t>Not researched — they are operators, not slaughter plants</t>
        </is>
      </c>
      <c r="J97" s="53" t="inlineStr">
        <is>
          <t>Not verified — ask directly; casings are widely exported so export documentation experience is likely</t>
        </is>
      </c>
      <c r="K97" s="53" t="inlineStr">
        <is>
          <t>Long-established casings house; merged with Oversea Casing 2018</t>
        </is>
      </c>
      <c r="L97" s="53" t="inlineStr">
        <is>
          <t>⭐ Same model: own crews recovering ONE tissue (intestine/casings) under written protocol inside third-party plants</t>
        </is>
      </c>
      <c r="M97" s="53" t="inlineStr">
        <is>
          <t>They ARE Model A — at industrial scale, already proven</t>
        </is>
      </c>
      <c r="N97" s="53" t="inlineStr">
        <is>
          <t>n/a — they are an operator, not a host</t>
        </is>
      </c>
      <c r="O97" s="53" t="inlineStr">
        <is>
          <t>San Antonio, TX (find current number via company site)</t>
        </is>
      </c>
      <c r="P97" s="54" t="inlineStr">
        <is>
          <t>★★ PRIORITY
CONTACT</t>
        </is>
      </c>
      <c r="Q97" s="178" t="inlineStr">
        <is>
          <t>Client-flagged collector to interview — they already run our Model A at industrial scale inside third-party plants.</t>
        </is>
      </c>
      <c r="R97" s="179" t="inlineStr">
        <is>
          <t>see contact column</t>
        </is>
      </c>
      <c r="S97" s="49" t="inlineStr">
        <is>
          <t>High
(study 8-03/05)</t>
        </is>
      </c>
      <c r="T97" s="49" t="inlineStr">
        <is>
          <t>NOT A SUPPLIER TO US — a MODEL and an INFORMATION SOURCE, same as SPL. Casings collectors negotiate line access at hundreds of plants; they know the commercial terms, the HACCP arrangements and which plants say yes. Interview them (Action 0c).</t>
        </is>
      </c>
      <c r="U97" s="212" t="inlineStr">
        <is>
          <t>E-29</t>
        </is>
      </c>
      <c r="V97" s="210" t="inlineStr">
        <is>
          <t>—</t>
        </is>
      </c>
    </row>
    <row r="98" ht="58.6" customHeight="1" s="59">
      <c r="A98" s="51" t="inlineStr">
        <is>
          <t>Scientific Protein Laboratories (SPL)</t>
        </is>
      </c>
      <c r="B98" s="53" t="inlineStr">
        <is>
          <t>Waunakee, WI</t>
        </is>
      </c>
      <c r="C98" s="53" t="inlineStr">
        <is>
          <t>HEPARIN / mucosa collector — operates INSIDE third-party USDA plants</t>
        </is>
      </c>
      <c r="D98" s="53" t="inlineStr">
        <is>
          <t>n/a — collects, does not slaughter</t>
        </is>
      </c>
      <c r="E98" s="110" t="inlineStr">
        <is>
          <t>NO
(Durham: n/m)</t>
        </is>
      </c>
      <c r="F98" s="143" t="inlineStr">
        <is>
          <t>n/a — collector</t>
        </is>
      </c>
      <c r="G98" s="53" t="inlineStr">
        <is>
          <t>n/a (works on others' hog lines)</t>
        </is>
      </c>
      <c r="H98" s="53" t="inlineStr">
        <is>
          <t>n/a — collects at USDA-inspected plants</t>
        </is>
      </c>
      <c r="I98" s="53" t="inlineStr">
        <is>
          <t>Not researched — they are operators, not slaughter plants</t>
        </is>
      </c>
      <c r="J98" s="53" t="inlineStr">
        <is>
          <t>Not verified — ask directly; they run an established export-grade pharma supply chain</t>
        </is>
      </c>
      <c r="K98" s="53" t="inlineStr">
        <is>
          <t>Pharma-grade operation; heparin API feeds regulated medicine supply</t>
        </is>
      </c>
      <c r="L98" s="53" t="inlineStr">
        <is>
          <t>⭐ THIS IS THE POINT: they recover porcine MUCOSA under written protocol, with their OWN CREWS, on someone else's kill floor, paying for line position</t>
        </is>
      </c>
      <c r="M98" s="53" t="inlineStr">
        <is>
          <t>They ARE Model A — at industrial scale, already proven</t>
        </is>
      </c>
      <c r="N98" s="53" t="inlineStr">
        <is>
          <t>n/a — they are an operator, not a host</t>
        </is>
      </c>
      <c r="O98" s="53" t="inlineStr">
        <is>
          <t>Waunakee, WI (find current number via company site)</t>
        </is>
      </c>
      <c r="P98" s="54" t="inlineStr">
        <is>
          <t>★★ PRIORITY
CONTACT</t>
        </is>
      </c>
      <c r="Q98" s="178" t="inlineStr">
        <is>
          <t>Client-flagged collector to interview — they already run our Model A at industrial scale inside third-party plants.</t>
        </is>
      </c>
      <c r="R98" s="179" t="inlineStr">
        <is>
          <t>see contact column</t>
        </is>
      </c>
      <c r="S98" s="49" t="inlineStr">
        <is>
          <t>Med
(study 8-03/05)</t>
        </is>
      </c>
      <c r="T98" s="49" t="inlineStr">
        <is>
          <t>NOT A SUPPLIER OF TISSUE TO US — a MODEL and an INFORMATION SOURCE. Their collection network is a ready-made map of WHICH US PLANTS ALLOW A THIRD-PARTY CREW ON THE LINE, at what price, in what position, under whose HACCP. That map is exactly what this whole study has been trying to build from directories. Interview them (Action 0c).</t>
        </is>
      </c>
      <c r="U98" s="212" t="inlineStr">
        <is>
          <t>E-30</t>
        </is>
      </c>
      <c r="V98" s="210" t="inlineStr">
        <is>
          <t>—</t>
        </is>
      </c>
    </row>
    <row r="99" ht="19.7" customHeight="1" s="59">
      <c r="A99" s="206" t="inlineStr">
        <is>
          <t>F · EXCLUDED, DUPLICATE &amp; HISTORY — fails a gate, closed, duplicated, or a roll-up kept for the record</t>
        </is>
      </c>
      <c r="B99" s="171" t="n"/>
      <c r="C99" s="171" t="n"/>
      <c r="D99" s="171" t="n"/>
      <c r="E99" s="171" t="n"/>
      <c r="F99" s="171" t="n"/>
      <c r="G99" s="171" t="n"/>
      <c r="H99" s="171" t="n"/>
      <c r="I99" s="171" t="n"/>
      <c r="J99" s="171" t="n"/>
      <c r="K99" s="171" t="n"/>
      <c r="L99" s="171" t="n"/>
      <c r="M99" s="171" t="n"/>
      <c r="N99" s="171" t="n"/>
      <c r="O99" s="171" t="n"/>
      <c r="P99" s="171" t="n"/>
      <c r="Q99" s="171" t="n"/>
      <c r="R99" s="171" t="n"/>
      <c r="S99" s="171" t="n"/>
      <c r="T99" s="171" t="n"/>
      <c r="U99" s="171" t="n"/>
      <c r="V99" s="172" t="n"/>
    </row>
    <row r="100" ht="165.8" customHeight="1" s="59">
      <c r="A100" s="4" t="inlineStr">
        <is>
          <t>BEF Foods (Bob Evans) — Xenia</t>
        </is>
      </c>
      <c r="B100" s="68" t="inlineStr">
        <is>
          <t>Xenia, OH</t>
        </is>
      </c>
      <c r="C100" s="68" t="inlineStr">
        <is>
          <t>SOW-ONLY abattoir; Post Holdings subsidiary</t>
        </is>
      </c>
      <c r="D100" s="133" t="inlineStr">
        <is>
          <t>192–1,923/wk (FSIS cat 3)
· HACCP Small (10-499 employees)</t>
        </is>
      </c>
      <c r="E100" s="110" t="inlineStr">
        <is>
          <t>NO
(Durham: n/m)</t>
        </is>
      </c>
      <c r="F100" s="143" t="inlineStr">
        <is>
          <t>confirm (band ≤1,944)</t>
        </is>
      </c>
      <c r="G100" s="68" t="inlineStr">
        <is>
          <t>Yes — SOW ONLY</t>
        </is>
      </c>
      <c r="H100" s="68" t="inlineStr">
        <is>
          <t>USDA ✓ M6785 (grant 2020)</t>
        </is>
      </c>
      <c r="I100" s="68" t="inlineStr">
        <is>
          <t>See the Welfare &amp; culture column — enforcement detail is carried there for these rows</t>
        </is>
      </c>
      <c r="J100" s="68" t="inlineStr">
        <is>
          <t>Not verified — APHIS publishes no searchable list; confirm with APHIS VS</t>
        </is>
      </c>
      <c r="K100" s="68" t="inlineStr">
        <is>
          <t>🚨 FSIS NOTICE OF INTENDED ENFORCEMENT 22 Mar 2018 — EGREGIOUS humane violation: a non-ambulatory, moribund-condemned SOW stunned while sitting upright, remained CONSCIOUS and vocalised 2-3 times after the first captive-bolt discharge; THREE attempts required. Second incident 3 Jul 2018; PETA sought a criminal probe. Also an EPA CERCLA docket (CERCLA-05-2024-0006) naming Bob Evans Farms Inc., Xenia — not opened, flagged for diligence</t>
        </is>
      </c>
      <c r="L100" s="68" t="inlineStr">
        <is>
          <t>None found</t>
        </is>
      </c>
      <c r="M100" s="68" t="inlineStr">
        <is>
          <t>WEAK-MEDIUM — big-corporate parent means legal/insurance friction for third-party staff on the kill floor</t>
        </is>
      </c>
      <c r="N100" s="68" t="inlineStr">
        <is>
          <t>MEDIUM</t>
        </is>
      </c>
      <c r="O100" s="68" t="inlineStr">
        <is>
          <t>(937) 372-4494
640 Birch Rd, Xenia OH 45385</t>
        </is>
      </c>
      <c r="P100" s="23" t="inlineStr">
        <is>
          <t>DUPLICATE</t>
        </is>
      </c>
      <c r="Q100" s="178" t="inlineStr">
        <is>
          <t>Back-pool — passes no current tier; see Fit and notes for what a call would need to change.</t>
        </is>
      </c>
      <c r="R100" s="179" t="inlineStr">
        <is>
          <t>—</t>
        </is>
      </c>
      <c r="S100" s="68" t="inlineStr">
        <is>
          <t>Med-High
(study 8-03/05)</t>
        </is>
      </c>
      <c r="T100" s="68" t="inlineStr">
        <is>
          <t>⚠ VOLUME CORRECTED: FSIS slaughter_volume_category=3 for M6785 = 10,000–99,999 head/360 days = ~194–1,923/wk, which is INCOMPATIBLE with the ~2,500–2,700/wk previously carried (that would require category 4). Tier corrected to MEDIUM. || OPERATING STATUS RESOLVED: a Yelp 'CLOSED' listing is retail-only; Post Holdings' FY2025 Form 10-K confirms owned sausage plants at Xenia AND Hillsdale and live-sow procurement at parent level. The 2018 record makes reputational diligence mandatory for a welfare-led buyer.
DUPLICATE (2026-09-30): the same establishment appears again in a later pass — the later row is kept; this one is retained for its history only.</t>
        </is>
      </c>
      <c r="U100" s="212" t="inlineStr">
        <is>
          <t>F-01</t>
        </is>
      </c>
      <c r="V100" s="210" t="inlineStr">
        <is>
          <t>—</t>
        </is>
      </c>
    </row>
    <row r="101" ht="72" customHeight="1" s="59">
      <c r="A101" s="4" t="inlineStr">
        <is>
          <t>Fauquier's Finest Custom Meat</t>
        </is>
      </c>
      <c r="B101" s="68" t="inlineStr">
        <is>
          <t>Bealeton, VA</t>
        </is>
      </c>
      <c r="C101" s="68" t="inlineStr">
        <is>
          <t>USDA/FSIS slaughter + processing</t>
        </is>
      </c>
      <c r="D101" s="68" t="inlineStr">
        <is>
          <t>unknown</t>
        </is>
      </c>
      <c r="E101" s="110" t="inlineStr">
        <is>
          <t>NO · ~233 mi ≈</t>
        </is>
      </c>
      <c r="F101" s="143" t="inlineStr">
        <is>
          <t>confirm (data anomaly)</t>
        </is>
      </c>
      <c r="G101" s="68" t="inlineStr">
        <is>
          <t>Yes</t>
        </is>
      </c>
      <c r="H101" s="68" t="inlineStr">
        <is>
          <t>USDA ✓ (FSIS
slaughter listed)</t>
        </is>
      </c>
      <c r="I101" s="25" t="inlineStr">
        <is>
          <t>⚠ REPEAT humane-handling suspensions 2021 &amp; Dec 2024 (+ a 2018 violation). Est. M33940.</t>
        </is>
      </c>
      <c r="J101" s="68" t="inlineStr">
        <is>
          <t>FSIS Est. M33940; not on public export lists — verify</t>
        </is>
      </c>
      <c r="K101" s="68" t="inlineStr">
        <is>
          <t>Not noted</t>
        </is>
      </c>
      <c r="L101" s="68" t="inlineStr">
        <is>
          <t>Not noted</t>
        </is>
      </c>
      <c r="M101" s="68" t="inlineStr">
        <is>
          <t>Worth asking (A)</t>
        </is>
      </c>
      <c r="N101" s="68" t="inlineStr">
        <is>
          <t>Strong B</t>
        </is>
      </c>
      <c r="O101" s="68" t="inlineStr">
        <is>
          <t>540-439-7227
finestbutcher.com</t>
        </is>
      </c>
      <c r="P101" s="23" t="inlineStr">
        <is>
          <t>DUPLICATE</t>
        </is>
      </c>
      <c r="Q101" s="178" t="inlineStr">
        <is>
          <t>Back-pool — passes no current tier; see Fit and notes for what a call would need to change.</t>
        </is>
      </c>
      <c r="R101" s="179" t="inlineStr">
        <is>
          <t>—</t>
        </is>
      </c>
      <c r="S101" s="68" t="inlineStr">
        <is>
          <t>Med-High
(study 8-03/05)</t>
        </is>
      </c>
      <c r="T101" s="68" t="inlineStr">
        <is>
          <t>FSIS-listed for BOTH slaughter &amp; processing incl. hogs — BUT see enforcement: REPEAT humane-handling suspensions (2018, 2021, Dec 2024). A pattern that cuts against the welfare requirement — vet carefully before pursuing.
DUPLICATE (2026-09-30): the same establishment appears again in a later pass — the later row is kept; this one is retained for its history only.</t>
        </is>
      </c>
      <c r="U101" s="212" t="inlineStr">
        <is>
          <t>F-02</t>
        </is>
      </c>
      <c r="V101" s="210" t="inlineStr">
        <is>
          <t>—</t>
        </is>
      </c>
    </row>
    <row r="102" ht="72" customHeight="1" s="59">
      <c r="A102" s="138" t="inlineStr">
        <is>
          <t>George Flowers Slaughter House
⟵ DUPLICATE ENTRY</t>
        </is>
      </c>
      <c r="B102" s="68" t="inlineStr">
        <is>
          <t>Sims, NC</t>
        </is>
      </c>
      <c r="C102" s="68" t="inlineStr">
        <is>
          <t>Slaughter</t>
        </is>
      </c>
      <c r="D102" s="68" t="inlineStr">
        <is>
          <t>see 'Flowers Slaughter House' below</t>
        </is>
      </c>
      <c r="E102" s="109" t="inlineStr">
        <is>
          <t>YES · ~45 mi
(Durham: n/m)</t>
        </is>
      </c>
      <c r="F102" s="143" t="inlineStr">
        <is>
          <t>n/a — duplicate</t>
        </is>
      </c>
      <c r="G102" s="68" t="inlineStr">
        <is>
          <t>see row below</t>
        </is>
      </c>
      <c r="H102" s="68" t="inlineStr">
        <is>
          <t>USDA ✓ M21747 + P21747</t>
        </is>
      </c>
      <c r="I102" s="68" t="inlineStr">
        <is>
          <t>None found (Est. M21747)</t>
        </is>
      </c>
      <c r="J102" s="68" t="inlineStr">
        <is>
          <t>Not on public export lists — verify</t>
        </is>
      </c>
      <c r="K102" s="68" t="inlineStr">
        <is>
          <t>unknown</t>
        </is>
      </c>
      <c r="L102" s="68" t="inlineStr">
        <is>
          <t>Plausible; skin-and-scald</t>
        </is>
      </c>
      <c r="M102" s="68" t="inlineStr">
        <is>
          <t>Plausible</t>
        </is>
      </c>
      <c r="N102" s="68" t="inlineStr">
        <is>
          <t>Plausible</t>
        </is>
      </c>
      <c r="O102" s="68" t="inlineStr">
        <is>
          <t>(252) 237-2982</t>
        </is>
      </c>
      <c r="P102" s="141" t="inlineStr">
        <is>
          <t>DUPLICATE</t>
        </is>
      </c>
      <c r="Q102" s="178" t="inlineStr">
        <is>
          <t>Duplicate entry — use the verified row for this establishment elsewhere on the sheet.</t>
        </is>
      </c>
      <c r="R102" s="179" t="inlineStr">
        <is>
          <t>—</t>
        </is>
      </c>
      <c r="S102" s="68" t="inlineStr">
        <is>
          <t>High
(FSIS+MPI 8-06)</t>
        </is>
      </c>
      <c r="T102" s="68" t="inlineStr">
        <is>
          <t>⚠ DUPLICATE ROW — this is the SAME establishment as 'Flowers Slaughter House (George Flowers)' listed further down in the NEWLY FOUND block: Est. M21747 + P21747, Sims NC. Both entries were created from different directories under slightly different names. Use the lower row, which carries the verified profile. Kept here only so the eastern-NC cluster count is not silently double-counted.  [Verified 2026-08-06 against FSIS Establishment Demographic Data + MPI Directory by Establishment Number.]</t>
        </is>
      </c>
      <c r="U102" s="212" t="inlineStr">
        <is>
          <t>F-03</t>
        </is>
      </c>
      <c r="V102" s="210" t="inlineStr">
        <is>
          <t>—</t>
        </is>
      </c>
    </row>
    <row r="103" ht="58.6" customHeight="1" s="59">
      <c r="A103" s="4" t="inlineStr">
        <is>
          <t>Leidy's, LLC</t>
        </is>
      </c>
      <c r="B103" s="68" t="inlineStr">
        <is>
          <t>Souderton, PA</t>
        </is>
      </c>
      <c r="C103" s="68" t="inlineStr">
        <is>
          <t>USDA federal — MARKET hogs</t>
        </is>
      </c>
      <c r="D103" s="68" t="inlineStr">
        <is>
          <t>~6,750/wk (1,350 hd/day EMI 2017)
· HACCP Small (10-499 employees)</t>
        </is>
      </c>
      <c r="E103" s="110" t="inlineStr">
        <is>
          <t>NO
(Durham: n/m)</t>
        </is>
      </c>
      <c r="F103" s="195" t="inlineStr">
        <is>
          <t>5,000+/wk (~5,000-7,000)</t>
        </is>
      </c>
      <c r="G103" s="68" t="inlineStr">
        <is>
          <t>Yes — MARKET</t>
        </is>
      </c>
      <c r="H103" s="68" t="inlineStr">
        <is>
          <t>USDA ✓ M9520+P9520+V9520
✅ EXPORT-CERTIFIED</t>
        </is>
      </c>
      <c r="I103" s="68" t="inlineStr">
        <is>
          <t>See the Welfare &amp; culture column — enforcement detail is carried there for these rows</t>
        </is>
      </c>
      <c r="J103" s="68" t="inlineStr">
        <is>
          <t>Not verified — APHIS publishes no searchable list; confirm with APHIS VS</t>
        </is>
      </c>
      <c r="K103" s="68" t="inlineStr">
        <is>
          <t>No QER suspension FY2024-FY2026 (no public record)</t>
        </is>
      </c>
      <c r="L103" s="68" t="inlineStr">
        <is>
          <t>unknown</t>
        </is>
      </c>
      <c r="M103" s="68" t="inlineStr">
        <is>
          <t>Plausible</t>
        </is>
      </c>
      <c r="N103" s="68" t="inlineStr">
        <is>
          <t>Plausible</t>
        </is>
      </c>
      <c r="O103" s="68" t="inlineStr">
        <is>
          <t>(215) 723-4606</t>
        </is>
      </c>
      <c r="P103" s="23" t="inlineStr">
        <is>
          <t>DUPLICATE</t>
        </is>
      </c>
      <c r="Q103" s="178" t="inlineStr">
        <is>
          <t>Back-pool — passes no current tier; see Fit and notes for what a call would need to change.</t>
        </is>
      </c>
      <c r="R103" s="179" t="inlineStr">
        <is>
          <t>—</t>
        </is>
      </c>
      <c r="S103" s="68" t="inlineStr">
        <is>
          <t>Med
(study 8-03/05)</t>
        </is>
      </c>
      <c r="T103" s="68" t="inlineStr">
        <is>
          <t>MID-ATLANTIC and EXPORT-CERTIFIED — relevant to the Pennsylvania-abattoir lead from Animal Biotech. Closest large export-capable plant to the NC operation.
DUPLICATE (2026-09-30): the same establishment appears again in a later pass — the later row is kept; this one is retained for its history only.</t>
        </is>
      </c>
      <c r="U103" s="212" t="inlineStr">
        <is>
          <t>F-04</t>
        </is>
      </c>
      <c r="V103" s="210" t="inlineStr">
        <is>
          <t>—</t>
        </is>
      </c>
    </row>
    <row r="104" ht="112.2" customHeight="1" s="59">
      <c r="A104" s="138" t="inlineStr">
        <is>
          <t>Smithfield / KC Sausage (sow plant)
⟵ DUPLICATE ENTRY</t>
        </is>
      </c>
      <c r="B104" s="68" t="inlineStr">
        <is>
          <t>Godwin, NC</t>
        </is>
      </c>
      <c r="C104" s="68" t="inlineStr">
        <is>
          <t>Industrial sow slaughter</t>
        </is>
      </c>
      <c r="D104" s="68" t="inlineStr">
        <is>
          <t>see 'Kansas City Sausage / Coastal Protein' below</t>
        </is>
      </c>
      <c r="E104" s="109" t="inlineStr">
        <is>
          <t>YES · ~45 mi
(Durham: n/m)</t>
        </is>
      </c>
      <c r="F104" s="143" t="inlineStr">
        <is>
          <t>n/a — duplicate</t>
        </is>
      </c>
      <c r="G104" s="68" t="inlineStr">
        <is>
          <t>see row below</t>
        </is>
      </c>
      <c r="H104" s="68" t="inlineStr">
        <is>
          <t>USDA ✓</t>
        </is>
      </c>
      <c r="I104" s="68" t="inlineStr">
        <is>
          <t>None found for the Godwin plant specifically</t>
        </is>
      </c>
      <c r="J104" s="68" t="inlineStr">
        <is>
          <t>FSIS-inspected; export not confirmed</t>
        </is>
      </c>
      <c r="K104" s="68" t="inlineStr">
        <is>
          <t>Industrial / corporate-owned</t>
        </is>
      </c>
      <c r="L104" s="68" t="inlineStr">
        <is>
          <t>Sow/organ-relevant but industrial scale</t>
        </is>
      </c>
      <c r="M104" s="68" t="inlineStr">
        <is>
          <t>Unlikely</t>
        </is>
      </c>
      <c r="N104" s="68" t="inlineStr">
        <is>
          <t>Unlikely</t>
        </is>
      </c>
      <c r="O104" s="68" t="inlineStr">
        <is>
          <t>—</t>
        </is>
      </c>
      <c r="P104" s="141" t="inlineStr">
        <is>
          <t>DUPLICATE</t>
        </is>
      </c>
      <c r="Q104" s="178" t="inlineStr">
        <is>
          <t>Duplicate entry — use the verified row for this establishment elsewhere on the sheet.</t>
        </is>
      </c>
      <c r="R104" s="179" t="inlineStr">
        <is>
          <t>—</t>
        </is>
      </c>
      <c r="S104" s="68" t="inlineStr">
        <is>
          <t>High
(FSIS+MPI 8-06)</t>
        </is>
      </c>
      <c r="T104" s="68" t="inlineStr">
        <is>
          <t>⚠ DUPLICATE ROW — this is the SAME Godwin NC sow plant as 'Kansas City Sausage / Coastal Protein — RE-OPENED' in the corrected block at the bottom of this sheet. It was entered twice, once early as a thin 'nearby industrial operation' note and once after it was researched properly. Use the lower row: it carries the verified profile (~3,500-5,000 sows/wk, purpose-built as a sow HARVEST plant, still operating as of 2024) AND the open question that matters — no active FSIS establishment is listed in Godwin NC, zip 28344, or on Martin Road, so the establishment number is the first thing to ask for. Kept here so the eastern-NC plant count is not double-counted.   [Verified 2026-08-06 against FSIS Establishment Demographic Data + MPI Directory by Establishment Number.]</t>
        </is>
      </c>
      <c r="U104" s="212" t="inlineStr">
        <is>
          <t>F-05</t>
        </is>
      </c>
      <c r="V104" s="210" t="inlineStr">
        <is>
          <t>—</t>
        </is>
      </c>
    </row>
    <row r="105" ht="58.6" customHeight="1" s="59">
      <c r="A105" s="4" t="inlineStr">
        <is>
          <t>Swaggerty Sausage Co.</t>
        </is>
      </c>
      <c r="B105" s="68" t="inlineStr">
        <is>
          <t>Kodak, TN (Sevier)</t>
        </is>
      </c>
      <c r="C105" s="68" t="inlineStr">
        <is>
          <t>USDA federal — PRIMARILY SOWS</t>
        </is>
      </c>
      <c r="D105" s="68" t="inlineStr">
        <is>
          <t>~4,250/wk (850 hd/day)
· HACCP Large (500+ employees)</t>
        </is>
      </c>
      <c r="E105" s="110" t="inlineStr">
        <is>
          <t>NO · ~325 mi ≈</t>
        </is>
      </c>
      <c r="F105" s="136" t="inlineStr">
        <is>
          <t>1,250-5,000/wk (~4,250)</t>
        </is>
      </c>
      <c r="G105" s="68" t="inlineStr">
        <is>
          <t>Yes — SOWS</t>
        </is>
      </c>
      <c r="H105" s="68" t="inlineStr">
        <is>
          <t>USDA ✓ M8314 + V8314</t>
        </is>
      </c>
      <c r="I105" s="25" t="inlineStr">
        <is>
          <t>⚠ Two TN OSHA machine-guarding actions (2018 complaint-driven, 2024 planned; same 1910.212(a)(1) standard 6 yrs apart)</t>
        </is>
      </c>
      <c r="J105" s="68" t="inlineStr">
        <is>
          <t>Federal (M8314). Not confirmed on public export lists</t>
        </is>
      </c>
      <c r="K105" s="68" t="inlineStr">
        <is>
          <t>⚠ Two TN OSHA machine-guarding actions 6 yrs apart (2018, 2024, same standard) — worker-welfare flag</t>
        </is>
      </c>
      <c r="L105" s="68" t="inlineStr">
        <is>
          <t>No existing organ programme — would have to be BUILT</t>
        </is>
      </c>
      <c r="M105" s="68" t="inlineStr">
        <is>
          <t>Possible</t>
        </is>
      </c>
      <c r="N105" s="68" t="inlineStr">
        <is>
          <t>Plausible</t>
        </is>
      </c>
      <c r="O105" s="68" t="inlineStr">
        <is>
          <t>2827 Swaggerty Rd, Kodak TN 37764</t>
        </is>
      </c>
      <c r="P105" s="23" t="inlineStr">
        <is>
          <t>DUPLICATE</t>
        </is>
      </c>
      <c r="Q105" s="178" t="inlineStr">
        <is>
          <t>Back-pool — passes no current tier; see Fit and notes for what a call would need to change.</t>
        </is>
      </c>
      <c r="R105" s="179" t="inlineStr">
        <is>
          <t>—</t>
        </is>
      </c>
      <c r="S105" s="68" t="inlineStr">
        <is>
          <t>Med
(study 8-03/05)</t>
        </is>
      </c>
      <c r="T105" s="68" t="inlineStr">
        <is>
          <t>#7 US SOW plant; 50,000 sq ft expansion recently online. MEDIUM-HIGH tier. Sow anatomy is closer to adult human scale — potentially an ADVANTAGE for pelvic/bariatric blocks. Confirm against the anatomical spec.
DUPLICATE (2026-09-30): the same establishment appears again in a later pass — the later row is kept; this one is retained for its history only.</t>
        </is>
      </c>
      <c r="U105" s="212" t="inlineStr">
        <is>
          <t>F-06</t>
        </is>
      </c>
      <c r="V105" s="210" t="inlineStr">
        <is>
          <t>—</t>
        </is>
      </c>
    </row>
    <row r="106" ht="72" customHeight="1" s="59">
      <c r="A106" s="138" t="inlineStr">
        <is>
          <t>AAA Abattoir</t>
        </is>
      </c>
      <c r="B106" s="68" t="inlineStr">
        <is>
          <t>Graham, NC (Alamance Co.)</t>
        </is>
      </c>
      <c r="C106" s="68" t="inlineStr">
        <is>
          <t>custom-exempt (no continuous inspection)</t>
        </is>
      </c>
      <c r="D106" s="68" t="inlineStr">
        <is>
          <t>n/a</t>
        </is>
      </c>
      <c r="E106" s="88" t="inlineStr">
        <is>
          <t>YES · ~32 mi
(Pikeville: n/m)</t>
        </is>
      </c>
      <c r="F106" s="143" t="inlineStr">
        <is>
          <t>n/a</t>
        </is>
      </c>
      <c r="G106" s="68" t="inlineStr">
        <is>
          <t>swine listed (NCDA species C)</t>
        </is>
      </c>
      <c r="H106" s="68" t="inlineStr">
        <is>
          <t>CUSTOM-EXEMPT (NCDA&amp;CS directory 2026-09-18)</t>
        </is>
      </c>
      <c r="I106" s="25" t="inlineStr">
        <is>
          <t>n/a</t>
        </is>
      </c>
      <c r="J106" s="68" t="inlineStr">
        <is>
          <t>NONE — custom-exempt product cannot be sold; no EU path</t>
        </is>
      </c>
      <c r="K106" s="68" t="inlineStr">
        <is>
          <t>n/a</t>
        </is>
      </c>
      <c r="L106" s="68" t="inlineStr">
        <is>
          <t>n/a</t>
        </is>
      </c>
      <c r="M106" s="68" t="inlineStr">
        <is>
          <t>NO</t>
        </is>
      </c>
      <c r="N106" s="68" t="inlineStr">
        <is>
          <t>NO</t>
        </is>
      </c>
      <c r="O106" s="68" t="inlineStr">
        <is>
          <t>717-405-8137 · 2301 Austin Quarter Road, Graham, NC 27253</t>
        </is>
      </c>
      <c r="P106" s="141" t="inlineStr">
        <is>
          <t>OUT / FLAG</t>
        </is>
      </c>
      <c r="Q106" s="178" t="inlineStr">
        <is>
          <t>Custom-exempt = fails hard gate G1 (no ante-/post-mortem inspection, no resale). Listed only because Beebop's plan carries it (rank #21) — do not call for supply. Very local (32 mi) but custom-only.</t>
        </is>
      </c>
      <c r="R106" s="179" t="inlineStr">
        <is>
          <t>n/a</t>
        </is>
      </c>
      <c r="S106" s="68" t="inlineStr">
        <is>
          <t>High (NCDA 9-18)</t>
        </is>
      </c>
      <c r="T106" s="68" t="inlineStr">
        <is>
          <t>Added 2026-09-28 for the record; 10 more custom-exempt swine plants from the 9-18 directory are listed on Sources &amp; Confidence, not here.</t>
        </is>
      </c>
      <c r="U106" s="212" t="inlineStr">
        <is>
          <t>F-07</t>
        </is>
      </c>
      <c r="V106" s="210" t="inlineStr">
        <is>
          <t>—</t>
        </is>
      </c>
    </row>
    <row r="107" ht="58.6" customHeight="1" s="59">
      <c r="A107" s="4" t="inlineStr">
        <is>
          <t>Assured Community Processing LLC</t>
        </is>
      </c>
      <c r="B107" s="68" t="inlineStr">
        <is>
          <t>Micro, NC (Johnston)</t>
        </is>
      </c>
      <c r="C107" s="68" t="inlineStr">
        <is>
          <t>USDA federal, FSIS 'Very Small'</t>
        </is>
      </c>
      <c r="D107" s="68" t="inlineStr">
        <is>
          <t>n/a — CLOSED</t>
        </is>
      </c>
      <c r="E107" s="88" t="inlineStr">
        <is>
          <t>YES · ~64 mi ≈
(Pikeville: ~40 mi)</t>
        </is>
      </c>
      <c r="F107" s="143" t="inlineStr">
        <is>
          <t>n/a — closed</t>
        </is>
      </c>
      <c r="G107" s="68" t="inlineStr">
        <is>
          <t>CONFIRM SWINE</t>
        </is>
      </c>
      <c r="H107" s="68" t="inlineStr">
        <is>
          <t>⚠ M2123 went FSIS-INACTIVE
11/10/2025</t>
        </is>
      </c>
      <c r="I107" s="68" t="inlineStr">
        <is>
          <t>None found in the FSIS QERs through Q3 FY2026 (narrow negative — routine NRs are not published)</t>
        </is>
      </c>
      <c r="J107" s="68" t="inlineStr">
        <is>
          <t>Federal grant — export structurally possible. Not on public export lists</t>
        </is>
      </c>
      <c r="K107" s="68" t="inlineStr">
        <is>
          <t>None found in the FSIS QERs through Q3 FY2026 (narrow negative — routine NRs are not published)</t>
        </is>
      </c>
      <c r="L107" s="68" t="inlineStr">
        <is>
          <t>unknown</t>
        </is>
      </c>
      <c r="M107" s="68" t="inlineStr">
        <is>
          <t>No</t>
        </is>
      </c>
      <c r="N107" s="68" t="inlineStr">
        <is>
          <t>No</t>
        </is>
      </c>
      <c r="O107" s="68" t="inlineStr">
        <is>
          <t>(919) 284-0064</t>
        </is>
      </c>
      <c r="P107" s="141" t="inlineStr">
        <is>
          <t>OUT / FLAG</t>
        </is>
      </c>
      <c r="Q107" s="178" t="inlineStr">
        <is>
          <t>Not a candidate — closed / no inspected operation (see notes).</t>
        </is>
      </c>
      <c r="R107" s="179" t="inlineStr">
        <is>
          <t>—</t>
        </is>
      </c>
      <c r="S107" s="68" t="inlineStr">
        <is>
          <t>High
(FSIS+NCDA 8-17)</t>
        </is>
      </c>
      <c r="T107" s="68" t="inlineStr">
        <is>
          <t>★ MYSTERY RESOLVED 2026-08-17: the earlier 'M2123 NOT FOUND' is explained — Assured Community Processing (Micro NC) went FSIS-INACTIVE 11/10/2025. Real plant, now closed. Remove from outreach lists.  [2026-08-17 focus-region pass: FSIS MPI + Demographic datasets and NCDA&amp;CS directories (dated 2026-08-10) retrieved fresh 2026-08-17; adversarially verified.]</t>
        </is>
      </c>
      <c r="U107" s="212" t="inlineStr">
        <is>
          <t>F-08</t>
        </is>
      </c>
      <c r="V107" s="210" t="inlineStr">
        <is>
          <t>—</t>
        </is>
      </c>
    </row>
    <row r="108" ht="72" customHeight="1" s="59">
      <c r="A108" s="138" t="inlineStr">
        <is>
          <t>Coletown</t>
        </is>
      </c>
      <c r="B108" s="68" t="inlineStr">
        <is>
          <t>Lexington, NC (Davidson Co.)</t>
        </is>
      </c>
      <c r="C108" s="68" t="inlineStr">
        <is>
          <t>custom-exempt (no continuous inspection)</t>
        </is>
      </c>
      <c r="D108" s="68" t="inlineStr">
        <is>
          <t>n/a</t>
        </is>
      </c>
      <c r="E108" s="88" t="inlineStr">
        <is>
          <t>YES · ~90 mi
(Pikeville: n/m)</t>
        </is>
      </c>
      <c r="F108" s="143" t="inlineStr">
        <is>
          <t>n/a</t>
        </is>
      </c>
      <c r="G108" s="68" t="inlineStr">
        <is>
          <t>swine listed (NCDA species C)</t>
        </is>
      </c>
      <c r="H108" s="68" t="inlineStr">
        <is>
          <t>CUSTOM-EXEMPT (NCDA&amp;CS directory 2026-09-18)</t>
        </is>
      </c>
      <c r="I108" s="25" t="inlineStr">
        <is>
          <t>n/a</t>
        </is>
      </c>
      <c r="J108" s="68" t="inlineStr">
        <is>
          <t>NONE — custom-exempt product cannot be sold; no EU path</t>
        </is>
      </c>
      <c r="K108" s="68" t="inlineStr">
        <is>
          <t>n/a</t>
        </is>
      </c>
      <c r="L108" s="68" t="inlineStr">
        <is>
          <t>n/a</t>
        </is>
      </c>
      <c r="M108" s="68" t="inlineStr">
        <is>
          <t>NO</t>
        </is>
      </c>
      <c r="N108" s="68" t="inlineStr">
        <is>
          <t>NO</t>
        </is>
      </c>
      <c r="O108" s="68" t="inlineStr">
        <is>
          <t>336-596-0826 · 4611 NC Highway 47, Lexington, NC 27292</t>
        </is>
      </c>
      <c r="P108" s="141" t="inlineStr">
        <is>
          <t>OUT / FLAG</t>
        </is>
      </c>
      <c r="Q108" s="178" t="inlineStr">
        <is>
          <t>Custom-exempt = fails hard gate G1 (no ante-/post-mortem inspection, no resale). Listed only because Beebop's plan carries it (rank #22) — do not call for supply. Custom-only; deer-season workload; pork listed alongside game.</t>
        </is>
      </c>
      <c r="R108" s="179" t="inlineStr">
        <is>
          <t>n/a</t>
        </is>
      </c>
      <c r="S108" s="68" t="inlineStr">
        <is>
          <t>High (NCDA 9-18)</t>
        </is>
      </c>
      <c r="T108" s="68" t="inlineStr">
        <is>
          <t>Added 2026-09-28 for the record; 10 more custom-exempt swine plants from the 9-18 directory are listed on Sources &amp; Confidence, not here.</t>
        </is>
      </c>
      <c r="U108" s="212" t="inlineStr">
        <is>
          <t>F-09</t>
        </is>
      </c>
      <c r="V108" s="210" t="inlineStr">
        <is>
          <t>—</t>
        </is>
      </c>
    </row>
    <row r="109" ht="72" customHeight="1" s="59">
      <c r="A109" s="4" t="inlineStr">
        <is>
          <t>Country Slaughter and Meats</t>
        </is>
      </c>
      <c r="B109" s="68" t="inlineStr">
        <is>
          <t>Rockingham, NC (Richmond)</t>
        </is>
      </c>
      <c r="C109" s="68" t="inlineStr">
        <is>
          <t>USDA federal, FSIS 'Very Small'</t>
        </is>
      </c>
      <c r="D109" s="68" t="inlineStr">
        <is>
          <t>n/a — CLOSED</t>
        </is>
      </c>
      <c r="E109" s="88" t="inlineStr">
        <is>
          <t>YES · ~66 mi ≈
(Pikeville: ~137 mi)</t>
        </is>
      </c>
      <c r="F109" s="143" t="inlineStr">
        <is>
          <t>n/a — closed</t>
        </is>
      </c>
      <c r="G109" s="68" t="inlineStr">
        <is>
          <t>CONFIRM SWINE</t>
        </is>
      </c>
      <c r="H109" s="68" t="inlineStr">
        <is>
          <t>⚠ M32012 went FSIS-INACTIVE
6/24/2025</t>
        </is>
      </c>
      <c r="I109" s="68" t="inlineStr">
        <is>
          <t>None found in the FSIS QERs through Q3 FY2026 (narrow negative — routine NRs are not published)</t>
        </is>
      </c>
      <c r="J109" s="68" t="inlineStr">
        <is>
          <t>Federal grant. Not on public export lists</t>
        </is>
      </c>
      <c r="K109" s="68" t="inlineStr">
        <is>
          <t>None found in the FSIS QERs through Q3 FY2026 (narrow negative — routine NRs are not published)</t>
        </is>
      </c>
      <c r="L109" s="68" t="inlineStr">
        <is>
          <t>unknown</t>
        </is>
      </c>
      <c r="M109" s="68" t="inlineStr">
        <is>
          <t>No</t>
        </is>
      </c>
      <c r="N109" s="68" t="inlineStr">
        <is>
          <t>No</t>
        </is>
      </c>
      <c r="O109" s="68" t="inlineStr">
        <is>
          <t>(910) 895-0838</t>
        </is>
      </c>
      <c r="P109" s="141" t="inlineStr">
        <is>
          <t>OUT / FLAG</t>
        </is>
      </c>
      <c r="Q109" s="178" t="inlineStr">
        <is>
          <t>Not a candidate — closed / no inspected operation (see notes).</t>
        </is>
      </c>
      <c r="R109" s="179" t="inlineStr">
        <is>
          <t>—</t>
        </is>
      </c>
      <c r="S109" s="68" t="inlineStr">
        <is>
          <t>High
(FSIS+NCDA 8-17)</t>
        </is>
      </c>
      <c r="T109" s="68" t="inlineStr">
        <is>
          <t>★ MYSTERY RESOLVED 2026-08-17 (adversarial verifier, FSIS demographic snapshots): the earlier 'M32012 NOT FOUND in the MPI directory' was correct — because the establishment went INACTIVE 6/24/2025. It was real (swine vol-cat 2 as of Jan-2025) and is now CLOSED. Remove from all outreach lists; one more data point in the 2025-26 small-plant attrition.  [2026-08-17 focus-region pass: FSIS MPI + Demographic datasets and NCDA&amp;CS directories (dated 2026-08-10) retrieved fresh 2026-08-17; adversarially verified.]</t>
        </is>
      </c>
      <c r="U109" s="212" t="inlineStr">
        <is>
          <t>F-10</t>
        </is>
      </c>
      <c r="V109" s="210" t="inlineStr">
        <is>
          <t>—</t>
        </is>
      </c>
    </row>
    <row r="110" ht="45.2" customHeight="1" s="59">
      <c r="A110" s="4" t="inlineStr">
        <is>
          <t>Deer Shack Processing</t>
        </is>
      </c>
      <c r="B110" s="68" t="inlineStr">
        <is>
          <t>Mount Holly, NC (Gaston)</t>
        </is>
      </c>
      <c r="C110" s="68" t="inlineStr">
        <is>
          <t>CUSTOM-EXEMPT</t>
        </is>
      </c>
      <c r="D110" s="68" t="inlineStr">
        <is>
          <t>unknown</t>
        </is>
      </c>
      <c r="E110" s="110" t="inlineStr">
        <is>
          <t>NO · ~148 mi ≈
(Pikeville: ~223 mi)</t>
        </is>
      </c>
      <c r="F110" s="143" t="inlineStr">
        <is>
          <t>n/a — custom-exempt</t>
        </is>
      </c>
      <c r="G110" s="68" t="inlineStr">
        <is>
          <t>Yes — SWINE-ONLY</t>
        </is>
      </c>
      <c r="H110" s="68" t="inlineStr">
        <is>
          <t>CUSTOM-EXEMPT
(no inspection, no sale)</t>
        </is>
      </c>
      <c r="I110" s="68" t="inlineStr">
        <is>
          <t>Custom-exempt — outside FSIS enforcement</t>
        </is>
      </c>
      <c r="J110" s="68" t="inlineStr">
        <is>
          <t>Custom-exempt — not saleable, not exportable</t>
        </is>
      </c>
      <c r="K110" s="68" t="inlineStr">
        <is>
          <t>n/a</t>
        </is>
      </c>
      <c r="L110" s="68" t="inlineStr">
        <is>
          <t>n/a</t>
        </is>
      </c>
      <c r="M110" s="68" t="inlineStr">
        <is>
          <t>Not usable for a regulated chain</t>
        </is>
      </c>
      <c r="N110" s="68" t="inlineStr">
        <is>
          <t>No</t>
        </is>
      </c>
      <c r="O110" s="68" t="inlineStr">
        <is>
          <t>(704) 718-9135</t>
        </is>
      </c>
      <c r="P110" s="28" t="inlineStr">
        <is>
          <t>OUT / FLAG</t>
        </is>
      </c>
      <c r="Q110" s="178" t="inlineStr">
        <is>
          <t>Not a candidate — fails a hard gate or adds nothing vs the base (see notes).</t>
        </is>
      </c>
      <c r="R110" s="179" t="inlineStr">
        <is>
          <t>—</t>
        </is>
      </c>
      <c r="S110" s="68" t="inlineStr">
        <is>
          <t>Med
(study 8-03/05)</t>
        </is>
      </c>
      <c r="T110" s="68" t="inlineStr">
        <is>
          <t>Custom-exempt: owner-return only, product cannot be sold. Listed for completeness.</t>
        </is>
      </c>
      <c r="U110" s="212" t="inlineStr">
        <is>
          <t>F-11</t>
        </is>
      </c>
      <c r="V110" s="210" t="inlineStr">
        <is>
          <t>—</t>
        </is>
      </c>
    </row>
    <row r="111" ht="85.40000000000001" customHeight="1" s="59">
      <c r="A111" s="4" t="inlineStr">
        <is>
          <t>Gunnoe Sausage Co.</t>
        </is>
      </c>
      <c r="B111" s="68" t="inlineStr">
        <is>
          <t>Goode, VA (Bedford)</t>
        </is>
      </c>
      <c r="C111" s="68" t="inlineStr">
        <is>
          <t>Dedicated SOW slaughterhouse since 1965</t>
        </is>
      </c>
      <c r="D111" s="68" t="inlineStr">
        <is>
          <t>~450/wk (110 hd/day 2016 → 90/day 2017, DECLINING)</t>
        </is>
      </c>
      <c r="E111" s="110" t="inlineStr">
        <is>
          <t>NO · ~130 mi ≈ (borderline)</t>
        </is>
      </c>
      <c r="F111" s="143" t="inlineStr">
        <is>
          <t>confirm</t>
        </is>
      </c>
      <c r="G111" s="68" t="inlineStr">
        <is>
          <t>Yes — SOWS</t>
        </is>
      </c>
      <c r="H111" s="68" t="inlineStr">
        <is>
          <t>unknown — est. no. NOT captured</t>
        </is>
      </c>
      <c r="I111" s="68" t="inlineStr">
        <is>
          <t>None found in the FSIS QERs through Q3 FY2026 (narrow negative — routine NRs are not published)</t>
        </is>
      </c>
      <c r="J111" s="68" t="inlineStr">
        <is>
          <t>Establishment number not captured — inspection + export status UNKNOWN</t>
        </is>
      </c>
      <c r="K111" s="68" t="inlineStr">
        <is>
          <t>None found</t>
        </is>
      </c>
      <c r="L111" s="68" t="inlineStr">
        <is>
          <t>unknown</t>
        </is>
      </c>
      <c r="M111" s="68" t="inlineStr">
        <is>
          <t>Plausible (small family op)</t>
        </is>
      </c>
      <c r="N111" s="68" t="inlineStr">
        <is>
          <t>Plausible</t>
        </is>
      </c>
      <c r="O111" s="68" t="inlineStr">
        <is>
          <t>(540) 586-1091
3989 Cifax Rd · gunnoesausage.com</t>
        </is>
      </c>
      <c r="P111" s="141" t="inlineStr">
        <is>
          <t>OUT / FLAG</t>
        </is>
      </c>
      <c r="Q111" s="178" t="inlineStr">
        <is>
          <t>Not a candidate — fails a hard gate or adds nothing vs the base (see notes).</t>
        </is>
      </c>
      <c r="R111" s="179" t="inlineStr">
        <is>
          <t>—</t>
        </is>
      </c>
      <c r="S111" s="68" t="inlineStr">
        <is>
          <t>High
(FSIS+MPI 8-06)</t>
        </is>
      </c>
      <c r="T111" s="68" t="inlineStr">
        <is>
          <t>⚠ REFUTED — SEE THE CORRECTED / REFUTED BLOCK AT THE BOTTOM OF THIS SHEET. No establishment named 'Gunnoe' appears anywhere in the FSIS MPI directory nationally, and nothing at all is listed at Goode VA. The '~450 hogs/wk dedicated sow slaughterhouse since 1965' profile cannot be attached to an inspected establishment, so it cannot be a supplier under either operating model. It must be removed from the priority contact list.  [Verified 2026-08-06 against FSIS Establishment Demographic Data + MPI Directory by Establishment Number.]</t>
        </is>
      </c>
      <c r="U111" s="212" t="inlineStr">
        <is>
          <t>F-12</t>
        </is>
      </c>
      <c r="V111" s="210" t="inlineStr">
        <is>
          <t>—</t>
        </is>
      </c>
    </row>
    <row r="112" ht="85.40000000000001" customHeight="1" s="59">
      <c r="A112" s="4" t="inlineStr">
        <is>
          <t>Gunnoe Sausage Co. — REFUTED</t>
        </is>
      </c>
      <c r="B112" s="68" t="inlineStr">
        <is>
          <t>Goode, VA</t>
        </is>
      </c>
      <c r="C112" s="68" t="inlineStr">
        <is>
          <t>NO ACTIVE FSIS ESTABLISHMENT</t>
        </is>
      </c>
      <c r="D112" s="68" t="inlineStr">
        <is>
          <t>n/a</t>
        </is>
      </c>
      <c r="E112" s="110" t="inlineStr">
        <is>
          <t>NO · ~130 mi ≈ (borderline)</t>
        </is>
      </c>
      <c r="F112" s="143" t="inlineStr">
        <is>
          <t>confirm</t>
        </is>
      </c>
      <c r="G112" s="68" t="inlineStr">
        <is>
          <t>n/a</t>
        </is>
      </c>
      <c r="H112" s="68" t="inlineStr">
        <is>
          <t>No active FSIS establishment found</t>
        </is>
      </c>
      <c r="I112" s="68" t="inlineStr">
        <is>
          <t>See the Welfare &amp; culture column — enforcement detail is carried there for these rows</t>
        </is>
      </c>
      <c r="J112" s="68" t="inlineStr">
        <is>
          <t>Not verified — APHIS publishes no searchable list; confirm with APHIS VS</t>
        </is>
      </c>
      <c r="K112" s="68" t="inlineStr">
        <is>
          <t>n/a</t>
        </is>
      </c>
      <c r="L112" s="68" t="inlineStr">
        <is>
          <t>n/a</t>
        </is>
      </c>
      <c r="M112" s="68" t="inlineStr">
        <is>
          <t>No</t>
        </is>
      </c>
      <c r="N112" s="68" t="inlineStr">
        <is>
          <t>No</t>
        </is>
      </c>
      <c r="O112" s="68" t="inlineStr">
        <is>
          <t>—</t>
        </is>
      </c>
      <c r="P112" s="28" t="inlineStr">
        <is>
          <t>OUT / FLAG</t>
        </is>
      </c>
      <c r="Q112" s="178" t="inlineStr">
        <is>
          <t>Not a candidate — fails a hard gate or adds nothing vs the base (see notes).</t>
        </is>
      </c>
      <c r="R112" s="179" t="inlineStr">
        <is>
          <t>—</t>
        </is>
      </c>
      <c r="S112" s="68" t="inlineStr">
        <is>
          <t>Med-High
(study 8-03/05)</t>
        </is>
      </c>
      <c r="T112" s="68" t="inlineStr">
        <is>
          <t>CONFIRMED CLOSED — two independent agents agree. Gunnoe SHUT DOWN Nov 2022 after 57 years in Goode (~30 employees affected); the BRAND was sold to Logan's Sausage of Alexandria VA (whose Logan Food Company, M17307+P17307, holds NO slaughter grant); the REAL ESTATE was auctioned and marked SOLD 15 Nov 2024 (22.34 acres, 28,000 sq ft incl. 6,700 sq ft cooler/freezer and 4,700 sq ft animal pens). Absent from BOTH the active (7,225) and inactive (932) FSIS directories. The earlier deep study called it 'Virginia's only genuinely in-band plant' — that is now REFUTED. REMOVE FROM PIPELINE.</t>
        </is>
      </c>
      <c r="U112" s="212" t="inlineStr">
        <is>
          <t>F-13</t>
        </is>
      </c>
      <c r="V112" s="210" t="inlineStr">
        <is>
          <t>—</t>
        </is>
      </c>
    </row>
    <row r="113" ht="85.40000000000001" customHeight="1" s="59">
      <c r="A113" s="138" t="inlineStr">
        <is>
          <t>Homestead Custom Meat Processing (mobile)</t>
        </is>
      </c>
      <c r="B113" s="68" t="inlineStr">
        <is>
          <t>Archdale, NC (Randolph Co. — MOBILE service, no fixed plant)</t>
        </is>
      </c>
      <c r="C113" s="68" t="inlineStr">
        <is>
          <t>custom-exempt (no continuous inspection)</t>
        </is>
      </c>
      <c r="D113" s="68" t="inlineStr">
        <is>
          <t>n/a</t>
        </is>
      </c>
      <c r="E113" s="88" t="inlineStr">
        <is>
          <t>YES · ~70 mi
(Pikeville: n/m)</t>
        </is>
      </c>
      <c r="F113" s="143" t="inlineStr">
        <is>
          <t>n/a</t>
        </is>
      </c>
      <c r="G113" s="68" t="inlineStr">
        <is>
          <t>swine listed (NCDA species C)</t>
        </is>
      </c>
      <c r="H113" s="68" t="inlineStr">
        <is>
          <t>CUSTOM / mobile — not a listed plant</t>
        </is>
      </c>
      <c r="I113" s="25" t="inlineStr">
        <is>
          <t>n/a</t>
        </is>
      </c>
      <c r="J113" s="68" t="inlineStr">
        <is>
          <t>NONE — custom-exempt product cannot be sold; no EU path</t>
        </is>
      </c>
      <c r="K113" s="68" t="inlineStr">
        <is>
          <t>n/a</t>
        </is>
      </c>
      <c r="L113" s="68" t="inlineStr">
        <is>
          <t>n/a</t>
        </is>
      </c>
      <c r="M113" s="68" t="inlineStr">
        <is>
          <t>NO</t>
        </is>
      </c>
      <c r="N113" s="68" t="inlineStr">
        <is>
          <t>NO</t>
        </is>
      </c>
      <c r="O113" s="68" t="inlineStr">
        <is>
          <t>336-689-6232 · 6192 Muddy Creek Road, Archdale, NC 27263</t>
        </is>
      </c>
      <c r="P113" s="141" t="inlineStr">
        <is>
          <t>OUT / FLAG</t>
        </is>
      </c>
      <c r="Q113" s="178" t="inlineStr">
        <is>
          <t>Custom-exempt = fails hard gate G1 (no ante-/post-mortem inspection, no resale). Listed only because Beebop's plan carries it (rank #23) — do not call for supply. Mobile on-farm service (Facebook); a 440 lb customer pig documented; no fixed site, no inspection.</t>
        </is>
      </c>
      <c r="R113" s="179" t="inlineStr">
        <is>
          <t>n/a</t>
        </is>
      </c>
      <c r="S113" s="68" t="inlineStr">
        <is>
          <t>High (NCDA 9-18)</t>
        </is>
      </c>
      <c r="T113" s="68" t="inlineStr">
        <is>
          <t>Added 2026-09-28 for the record; 10 more custom-exempt swine plants from the 9-18 directory are listed on Sources &amp; Confidence, not here.</t>
        </is>
      </c>
      <c r="U113" s="212" t="inlineStr">
        <is>
          <t>F-14</t>
        </is>
      </c>
      <c r="V113" s="210" t="inlineStr">
        <is>
          <t>—</t>
        </is>
      </c>
    </row>
    <row r="114" ht="206" customHeight="1" s="59">
      <c r="A114" s="138" t="inlineStr">
        <is>
          <t>Kansas City Sausage / Coastal Protein — RESOLVED NEGATIVE (CLOSED)</t>
        </is>
      </c>
      <c r="B114" s="68" t="inlineStr">
        <is>
          <t>Godwin, NC</t>
        </is>
      </c>
      <c r="C114" s="68" t="inlineStr">
        <is>
          <t>NO ACTIVE OR INACTIVE FSIS ESTABLISHMENT AT THE SITE</t>
        </is>
      </c>
      <c r="D114" s="68" t="inlineStr">
        <is>
          <t>n/a — dead as an inspected source</t>
        </is>
      </c>
      <c r="E114" s="88" t="inlineStr">
        <is>
          <t>YES · ~73 mi ≈
(Pikeville: ~45 mi)</t>
        </is>
      </c>
      <c r="F114" s="143" t="inlineStr">
        <is>
          <t>n/a — dead</t>
        </is>
      </c>
      <c r="G114" s="68" t="inlineStr">
        <is>
          <t>n/a</t>
        </is>
      </c>
      <c r="H114" s="68" t="inlineStr">
        <is>
          <t>NO establishment record at Godwin — absent from every FSIS directory and every NCDA&amp;CS directory (the decisive test for an inspected plant). Parent KCS's own M760A (Altoona IA; DBAs 'Coastal Protein; Pine Ridge Farms') went inactive 9/3/2024 — context about the parent, NOT evidence about the Godwin site.</t>
        </is>
      </c>
      <c r="I114" s="68" t="inlineStr">
        <is>
          <t>See the Welfare &amp; culture column — enforcement detail is carried there for these rows</t>
        </is>
      </c>
      <c r="J114" s="68" t="inlineStr">
        <is>
          <t>Not verified — APHIS publishes no searchable list; confirm with APHIS VS</t>
        </is>
      </c>
      <c r="K114" s="68" t="inlineStr">
        <is>
          <t>n/a</t>
        </is>
      </c>
      <c r="L114" s="68" t="inlineStr">
        <is>
          <t>n/a</t>
        </is>
      </c>
      <c r="M114" s="68" t="inlineStr">
        <is>
          <t>No</t>
        </is>
      </c>
      <c r="N114" s="68" t="inlineStr">
        <is>
          <t>No</t>
        </is>
      </c>
      <c r="O114" s="68" t="inlineStr">
        <is>
          <t>—</t>
        </is>
      </c>
      <c r="P114" s="141" t="inlineStr">
        <is>
          <t>OUT / FLAG</t>
        </is>
      </c>
      <c r="Q114" s="178" t="inlineStr">
        <is>
          <t>Not a candidate — closed / no inspected operation (see notes).</t>
        </is>
      </c>
      <c r="R114" s="179" t="inlineStr">
        <is>
          <t>—</t>
        </is>
      </c>
      <c r="S114" s="68" t="inlineStr">
        <is>
          <t>High
(FSIS+NCDA 8-17)</t>
        </is>
      </c>
      <c r="T114" s="68" t="inlineStr">
        <is>
          <t>★ FINAL ANSWER 2026-08-17 — THE GODWIN SOW OPTION IS DEAD as an inspected source, closing a question this file has flipped on twice. The Aug-2026 FSIS ACTIVE **and** INACTIVE directories contain ZERO establishments at Godwin NC, zip 28344, 1600 Martin Rd, or any matching Cumberland County address, and it is absent from the NCDA&amp;CS directories. Kansas City Sausage's own establishment M760A (Altoona IA; DBAs 'Coastal Protein; Pine Ridge Farms') went inactive 9/3/2024; 'Kansas City Sausage' and 'Coastal Protein' survive today only as DBAs on Smithfield establishments (Des Moines etc.). History for the record: Smithfield-KCS JV bought the old Martin's Abattoir site + Coastal Protein 12/2013, completed a $44.8M, 90,000 sq ft sow plant in 2016, Smithfield took full ownership 8/14/2017; the site appears in a Meat Institute 2024 awards list, so it operated into ~2023-24 — but it holds NO slaughter grant of its own today. REMOVE from the contact order.  [2026-08-17 focus-region pass: FSIS MPI + Demographic datasets and NCDA&amp;CS directories (dated 2026-08-10) retrieved fresh 2026-08-17; adversarially verified.]
Beebop r2 (9-28): fair correction — the Iowa M760A record cannot establish a North Carolina site's status. The Godwin conclusion rests on directory ABSENCE; a motor-carrier record and NCMPA associate membership keep the name alive but are not slaughter grants. Status: no inspected operation at Godwin; the business itself unresolved, on hold.</t>
        </is>
      </c>
      <c r="U114" s="212" t="inlineStr">
        <is>
          <t>F-15</t>
        </is>
      </c>
      <c r="V114" s="210" t="inlineStr">
        <is>
          <t>—</t>
        </is>
      </c>
    </row>
    <row r="115" ht="72" customHeight="1" s="59">
      <c r="A115" s="138" t="inlineStr">
        <is>
          <t>Miller Meat Processing</t>
        </is>
      </c>
      <c r="B115" s="68" t="inlineStr">
        <is>
          <t>Seaboard, NC (Northampton Co.)</t>
        </is>
      </c>
      <c r="C115" s="68" t="inlineStr">
        <is>
          <t>custom-exempt (no continuous inspection)</t>
        </is>
      </c>
      <c r="D115" s="68" t="inlineStr">
        <is>
          <t>n/a</t>
        </is>
      </c>
      <c r="E115" s="88" t="inlineStr">
        <is>
          <t>YES · ~103 mi
(Pikeville: n/m)</t>
        </is>
      </c>
      <c r="F115" s="143" t="inlineStr">
        <is>
          <t>n/a</t>
        </is>
      </c>
      <c r="G115" s="68" t="inlineStr">
        <is>
          <t>swine listed (NCDA species C)</t>
        </is>
      </c>
      <c r="H115" s="68" t="inlineStr">
        <is>
          <t>CUSTOM-EXEMPT (NCDA&amp;CS directory 2026-09-18)</t>
        </is>
      </c>
      <c r="I115" s="25" t="inlineStr">
        <is>
          <t>n/a</t>
        </is>
      </c>
      <c r="J115" s="68" t="inlineStr">
        <is>
          <t>NONE — custom-exempt product cannot be sold; no EU path</t>
        </is>
      </c>
      <c r="K115" s="68" t="inlineStr">
        <is>
          <t>n/a</t>
        </is>
      </c>
      <c r="L115" s="68" t="inlineStr">
        <is>
          <t>n/a</t>
        </is>
      </c>
      <c r="M115" s="68" t="inlineStr">
        <is>
          <t>NO</t>
        </is>
      </c>
      <c r="N115" s="68" t="inlineStr">
        <is>
          <t>NO</t>
        </is>
      </c>
      <c r="O115" s="68" t="inlineStr">
        <is>
          <t>252-589-0004 · 2381 Big Johns Store Road, Seaboard, NC 27876</t>
        </is>
      </c>
      <c r="P115" s="141" t="inlineStr">
        <is>
          <t>OUT / FLAG</t>
        </is>
      </c>
      <c r="Q115" s="178" t="inlineStr">
        <is>
          <t>Custom-exempt = fails hard gate G1 (no ante-/post-mortem inspection, no resale). Listed only because Beebop's plan carries it (rank #24) — do not call for supply. Custom-only; game-processing listing.</t>
        </is>
      </c>
      <c r="R115" s="179" t="inlineStr">
        <is>
          <t>n/a</t>
        </is>
      </c>
      <c r="S115" s="68" t="inlineStr">
        <is>
          <t>High (NCDA 9-18)</t>
        </is>
      </c>
      <c r="T115" s="68" t="inlineStr">
        <is>
          <t>Added 2026-09-28 for the record; 10 more custom-exempt swine plants from the 9-18 directory are listed on Sources &amp; Confidence, not here.</t>
        </is>
      </c>
      <c r="U115" s="212" t="inlineStr">
        <is>
          <t>F-16</t>
        </is>
      </c>
      <c r="V115" s="210" t="inlineStr">
        <is>
          <t>—</t>
        </is>
      </c>
    </row>
    <row r="116" ht="72" customHeight="1" s="59">
      <c r="A116" s="138" t="inlineStr">
        <is>
          <t>Neese Country Sausage, Inc. — Burlington (M8341)</t>
        </is>
      </c>
      <c r="B116" s="68" t="inlineStr">
        <is>
          <t>Burlington, NC (Alamance Co.)</t>
        </is>
      </c>
      <c r="C116" s="68" t="inlineStr">
        <is>
          <t>exited slaughter — FSIS INACTIVE</t>
        </is>
      </c>
      <c r="D116" s="68" t="inlineStr">
        <is>
          <t>n/a</t>
        </is>
      </c>
      <c r="E116" s="88" t="inlineStr">
        <is>
          <t>YES · ~33 mi
(Pikeville: n/m)</t>
        </is>
      </c>
      <c r="F116" s="143" t="inlineStr">
        <is>
          <t>n/a</t>
        </is>
      </c>
      <c r="G116" s="68" t="inlineStr">
        <is>
          <t>sow kill (historic; cat 1)</t>
        </is>
      </c>
      <c r="H116" s="68" t="inlineStr">
        <is>
          <t>⚠ INACTIVE — M8341 (Burlington) and M8341A (Greensboro) inactive effective 2026-07-02 (FSIS Inactive Directory)</t>
        </is>
      </c>
      <c r="I116" s="25" t="inlineStr">
        <is>
          <t>n/a</t>
        </is>
      </c>
      <c r="J116" s="68" t="inlineStr">
        <is>
          <t>n/a</t>
        </is>
      </c>
      <c r="K116" s="68" t="inlineStr">
        <is>
          <t>n/a</t>
        </is>
      </c>
      <c r="L116" s="68" t="inlineStr">
        <is>
          <t>n/a</t>
        </is>
      </c>
      <c r="M116" s="68" t="inlineStr">
        <is>
          <t>NO</t>
        </is>
      </c>
      <c r="N116" s="68" t="inlineStr">
        <is>
          <t>NO</t>
        </is>
      </c>
      <c r="O116" s="68" t="inlineStr">
        <is>
          <t>336-227-0211 (historic)</t>
        </is>
      </c>
      <c r="P116" s="141" t="inlineStr">
        <is>
          <t>OUT / FLAG</t>
        </is>
      </c>
      <c r="Q116" s="178" t="inlineStr">
        <is>
          <t>Beebop's #20 rests on a stale federal listing: both Neese grants went inactive on 2026-07-02. Dead lead — recorded so nobody re-researches it.</t>
        </is>
      </c>
      <c r="R116" s="179" t="inlineStr">
        <is>
          <t>neesesausage.com (brand site)</t>
        </is>
      </c>
      <c r="S116" s="68" t="inlineStr">
        <is>
          <t>High (FSIS inactive directory 9-03)</t>
        </is>
      </c>
      <c r="T116" s="68" t="inlineStr">
        <is>
          <t>Also in the 2025-26 closures roll-up (row 86).
Beebop r2 (9-28): a June-2026 trade report (meatpoultry.com) says the brand returns under new ownership — a business transition, not evidence that the Burlington kill floor operates; a secondary directory still shows it active because mirrors lag. The FSIS inactive record (2026-07-02) is primary and stands. RECHECK the MPI directory in Q4-2026 for a new grant.</t>
        </is>
      </c>
      <c r="U116" s="212" t="inlineStr">
        <is>
          <t>F-17</t>
        </is>
      </c>
      <c r="V116" s="210" t="inlineStr">
        <is>
          <t>—</t>
        </is>
      </c>
    </row>
    <row r="117" ht="72" customHeight="1" s="59">
      <c r="A117" s="4" t="inlineStr">
        <is>
          <t>Palmetto Fresh Meats</t>
        </is>
      </c>
      <c r="B117" s="68" t="inlineStr">
        <is>
          <t>Aynor, SC</t>
        </is>
      </c>
      <c r="C117" s="68" t="inlineStr">
        <is>
          <t>USDA slaughter (Est. M47715) — SUSPENDED</t>
        </is>
      </c>
      <c r="D117" s="68" t="inlineStr">
        <is>
          <t>&lt;19/wk
(FSIS cat 1)</t>
        </is>
      </c>
      <c r="E117" s="110" t="inlineStr">
        <is>
          <t>NO · ~184 mi ≈</t>
        </is>
      </c>
      <c r="F117" s="139" t="inlineStr">
        <is>
          <t>0-300/wk (&lt;19)</t>
        </is>
      </c>
      <c r="G117" s="68" t="inlineStr">
        <is>
          <t>MARKET + SOW + ROASTER + boar/stag
(all four classes)</t>
        </is>
      </c>
      <c r="H117" s="68" t="inlineStr">
        <is>
          <t>USDA ✓ but
SUSPENDED 2022</t>
        </is>
      </c>
      <c r="I117" s="25" t="inlineStr">
        <is>
          <t>⚠ Humane-handling NOS Feb &amp; Mar 2022 (Est. M47715); PETA sought criminal probe. Also the slaughter suspension.</t>
        </is>
      </c>
      <c r="J117" s="68" t="inlineStr">
        <is>
          <t>Not on public export lists — verify (slaughter susp. 2022)</t>
        </is>
      </c>
      <c r="K117" s="68" t="inlineStr">
        <is>
          <t>unknown</t>
        </is>
      </c>
      <c r="L117" s="68" t="inlineStr">
        <is>
          <t>Not noted</t>
        </is>
      </c>
      <c r="M117" s="68" t="inlineStr">
        <is>
          <t>Unknown</t>
        </is>
      </c>
      <c r="N117" s="68" t="inlineStr">
        <is>
          <t>Unknown</t>
        </is>
      </c>
      <c r="O117" s="68" t="inlineStr">
        <is>
          <t>—</t>
        </is>
      </c>
      <c r="P117" s="28" t="inlineStr">
        <is>
          <t>OUT / FLAG</t>
        </is>
      </c>
      <c r="Q117" s="178" t="inlineStr">
        <is>
          <t>Not a candidate — fails a hard gate or adds nothing vs the base (see notes).</t>
        </is>
      </c>
      <c r="R117" s="179" t="inlineStr">
        <is>
          <t>—</t>
        </is>
      </c>
      <c r="S117" s="68" t="inlineStr">
        <is>
          <t>High
(FSIS+MPI 8-06)</t>
        </is>
      </c>
      <c r="T117" s="68" t="inlineStr">
        <is>
          <t>SPECIES BREADTH CONFIRMED, VOLUME REFUTED. M47715 carries all four swine classes — market, sow, roaster and boar/stag — which is unusually broad and would be genuinely useful. But FSIS slaughter_volume_category = 1 = fewer than 1,000 head per year, under ~19/wk. Combined with the 2022 suspension already on file, this is not a lane.   [Verified 2026-08-06 against FSIS Establishment Demographic Data + MPI Directory by Establishment Number.]</t>
        </is>
      </c>
      <c r="U117" s="212" t="inlineStr">
        <is>
          <t>F-18</t>
        </is>
      </c>
      <c r="V117" s="210" t="inlineStr">
        <is>
          <t>—</t>
        </is>
      </c>
    </row>
    <row r="118" ht="72" customHeight="1" s="59">
      <c r="A118" s="4" t="inlineStr">
        <is>
          <t>Plants that no longer slaughter — REFUTED</t>
        </is>
      </c>
      <c r="B118" s="68" t="inlineStr">
        <is>
          <t>OR / TX / IL</t>
        </is>
      </c>
      <c r="C118" s="68" t="inlineStr">
        <is>
          <t>exited slaughter or no establishment</t>
        </is>
      </c>
      <c r="D118" s="68" t="inlineStr">
        <is>
          <t>n/a</t>
        </is>
      </c>
      <c r="E118" s="110" t="inlineStr">
        <is>
          <t>NO
(Durham: n/m)</t>
        </is>
      </c>
      <c r="F118" s="143" t="inlineStr">
        <is>
          <t>n/a — closed</t>
        </is>
      </c>
      <c r="G118" s="68" t="inlineStr">
        <is>
          <t>n/a</t>
        </is>
      </c>
      <c r="H118" s="68" t="inlineStr">
        <is>
          <t>n/a</t>
        </is>
      </c>
      <c r="I118" s="68" t="inlineStr">
        <is>
          <t>See the Welfare &amp; culture column — enforcement detail is carried there for these rows</t>
        </is>
      </c>
      <c r="J118" s="68" t="inlineStr">
        <is>
          <t>Not verified — APHIS publishes no searchable list; confirm with APHIS VS</t>
        </is>
      </c>
      <c r="K118" s="68" t="inlineStr">
        <is>
          <t>n/a</t>
        </is>
      </c>
      <c r="L118" s="68" t="inlineStr">
        <is>
          <t>n/a</t>
        </is>
      </c>
      <c r="M118" s="68" t="inlineStr">
        <is>
          <t>No</t>
        </is>
      </c>
      <c r="N118" s="68" t="inlineStr">
        <is>
          <t>No</t>
        </is>
      </c>
      <c r="O118" s="68" t="inlineStr">
        <is>
          <t>—</t>
        </is>
      </c>
      <c r="P118" s="28" t="inlineStr">
        <is>
          <t>OUT / FLAG</t>
        </is>
      </c>
      <c r="Q118" s="178" t="inlineStr">
        <is>
          <t>Not a candidate — fails a hard gate or adds nothing vs the base (see notes).</t>
        </is>
      </c>
      <c r="R118" s="179" t="inlineStr">
        <is>
          <t>—</t>
        </is>
      </c>
      <c r="S118" s="68" t="inlineStr">
        <is>
          <t>High
(study 8-03/05)</t>
        </is>
      </c>
      <c r="T118" s="68" t="inlineStr">
        <is>
          <t>Masami Foods (M6173, OR) — no swine-slaughter flags and NULL volume = NO SLAUGHTER in the last 360 days; appears to have EXITED. Dayton Meat Products (OR) — no active FSIS establishment. Fisher Ham and Meat (Navasota TX) — no swine establishment; Navasota's swine slaughterer is K&amp;C Meat Processing (M13324), cat-3. Johnsonville MOMENCE IL sow plant (1,650 hd/day in 2017) CLOSED June 2025 (274 jobs) — a large chunk of national sow capacity gone.</t>
        </is>
      </c>
      <c r="U118" s="212" t="inlineStr">
        <is>
          <t>F-19</t>
        </is>
      </c>
      <c r="V118" s="210" t="inlineStr">
        <is>
          <t>—</t>
        </is>
      </c>
    </row>
    <row r="119" ht="58.6" customHeight="1" s="59">
      <c r="A119" s="4" t="inlineStr">
        <is>
          <t>Randolph Packing / Harpley's</t>
        </is>
      </c>
      <c r="B119" s="68" t="inlineStr">
        <is>
          <t>Asheboro, NC</t>
        </is>
      </c>
      <c r="C119" s="68" t="inlineStr">
        <is>
          <t>BEEF packer — EXCLUDED</t>
        </is>
      </c>
      <c r="D119" s="68" t="inlineStr">
        <is>
          <t>n/a — ~350-400 CATTLE/day
· HACCP Small (10-499 employees)</t>
        </is>
      </c>
      <c r="E119" s="88" t="inlineStr">
        <is>
          <t>YES · ~78 mi ≈</t>
        </is>
      </c>
      <c r="F119" s="143" t="inlineStr">
        <is>
          <t>n/a — beef only</t>
        </is>
      </c>
      <c r="G119" s="68" t="inlineStr">
        <is>
          <t>NO SWINE FLAGS in FSIS
— confirms BEEF ONLY</t>
        </is>
      </c>
      <c r="H119" s="68" t="inlineStr">
        <is>
          <t>USDA ✓ M6590
(Harpley's Meat Packing Inc.)</t>
        </is>
      </c>
      <c r="I119" s="68" t="inlineStr">
        <is>
          <t>n/a — beef plant, excluded</t>
        </is>
      </c>
      <c r="J119" s="68" t="inlineStr">
        <is>
          <t>n/a</t>
        </is>
      </c>
      <c r="K119" s="68" t="inlineStr">
        <is>
          <t>n/a</t>
        </is>
      </c>
      <c r="L119" s="68" t="inlineStr">
        <is>
          <t>n/a</t>
        </is>
      </c>
      <c r="M119" s="68" t="inlineStr">
        <is>
          <t>No</t>
        </is>
      </c>
      <c r="N119" s="68" t="inlineStr">
        <is>
          <t>No</t>
        </is>
      </c>
      <c r="O119" s="68" t="inlineStr">
        <is>
          <t>—</t>
        </is>
      </c>
      <c r="P119" s="28" t="inlineStr">
        <is>
          <t>OUT / FLAG</t>
        </is>
      </c>
      <c r="Q119" s="178" t="inlineStr">
        <is>
          <t>Not a candidate — fails a hard gate or adds nothing vs the base (see notes).</t>
        </is>
      </c>
      <c r="R119" s="179" t="inlineStr">
        <is>
          <t>—</t>
        </is>
      </c>
      <c r="S119" s="68" t="inlineStr">
        <is>
          <t>High
(FSIS+MPI 8-06)</t>
        </is>
      </c>
      <c r="T119" s="68" t="inlineStr">
        <is>
          <t>VERIFIED EXCLUSION, now with a source. FSIS lists Est. M6590 'Harpley's Meat Packing Inc.', Asheboro NC, with slaughter activity and slaughter_volume_category = 3 — real volume — but NO swine slaughter flags of any kind. The beef-only exclusion stands on primary data rather than trade press. Saves a trip.  [Verified 2026-08-06 against FSIS Establishment Demographic Data + MPI Directory by Establishment Number.]</t>
        </is>
      </c>
      <c r="U119" s="212" t="inlineStr">
        <is>
          <t>F-20</t>
        </is>
      </c>
      <c r="V119" s="210" t="inlineStr">
        <is>
          <t>—</t>
        </is>
      </c>
    </row>
    <row r="120" ht="125.6" customHeight="1" s="59">
      <c r="A120" s="4" t="inlineStr">
        <is>
          <t>Triad Meat Custom Processing</t>
        </is>
      </c>
      <c r="B120" s="68" t="inlineStr">
        <is>
          <t>Madison, NC</t>
        </is>
      </c>
      <c r="C120" s="68" t="inlineStr">
        <is>
          <t>Slaughter</t>
        </is>
      </c>
      <c r="D120" s="68" t="inlineStr">
        <is>
          <t>n/a — no swine
· HACCP Very Small (&lt;10 employees or &lt;$2.5M sales)</t>
        </is>
      </c>
      <c r="E120" s="110" t="inlineStr">
        <is>
          <t>NO · ~248 mi ≈
(Pikeville: ~159 mi)</t>
        </is>
      </c>
      <c r="F120" s="143" t="inlineStr">
        <is>
          <t>n/a — no swine</t>
        </is>
      </c>
      <c r="G120" s="68" t="inlineStr">
        <is>
          <t>NO SWINE FLAGS</t>
        </is>
      </c>
      <c r="H120" s="68" t="inlineStr">
        <is>
          <t>USDA ✓ M46085 + P46085
(FSIS lists Triad Halal Meats LLC)</t>
        </is>
      </c>
      <c r="I120" s="25" t="inlineStr">
        <is>
          <t>⚠ FSIS suspension ~Dec 2025 (Est. M46085; cause unspecified in public snippets)</t>
        </is>
      </c>
      <c r="J120" s="68" t="inlineStr">
        <is>
          <t>Not on public export lists — verify</t>
        </is>
      </c>
      <c r="K120" s="68" t="inlineStr">
        <is>
          <t>AWA (welfare signal)</t>
        </is>
      </c>
      <c r="L120" s="68" t="inlineStr">
        <is>
          <t>Plausible</t>
        </is>
      </c>
      <c r="M120" s="68" t="inlineStr">
        <is>
          <t>No — no swine slaughter</t>
        </is>
      </c>
      <c r="N120" s="68" t="inlineStr">
        <is>
          <t>No</t>
        </is>
      </c>
      <c r="O120" s="68" t="inlineStr">
        <is>
          <t>(336) 949-9696</t>
        </is>
      </c>
      <c r="P120" s="141" t="inlineStr">
        <is>
          <t>OUT / FLAG</t>
        </is>
      </c>
      <c r="Q120" s="178" t="inlineStr">
        <is>
          <t>Not a candidate — fails a hard gate or adds nothing vs the base (see notes).</t>
        </is>
      </c>
      <c r="R120" s="179" t="inlineStr">
        <is>
          <t>—</t>
        </is>
      </c>
      <c r="S120" s="68" t="inlineStr">
        <is>
          <t>Med-High
(FSIS+MPI 8-06)</t>
        </is>
      </c>
      <c r="T120" s="68" t="inlineStr">
        <is>
          <t>⚠ EXCLUDED ON SPECIES. The only active FSIS slaughter establishment at Madison NC is M46085 + P46085, 'Triad Halal Meats LLC' — a halal plant, and FSIS records NO swine slaughter flags of any kind for it. Whether this is a rename of Triad Meat Custom Processing or a different business, there is no verifiable hog kill at this location. Saves a trip; it was also 137 road miles out.  [Verified 2026-08-06 against FSIS Establishment Demographic Data + MPI Directory by Establishment Number.]
SOCIAL/OTHER 9-30: the (undated) Rockingham county directory still lists this address as 'Stevens Abattoir, Inc' (Darren Stevens) slaughtering hogs and selling outside NC — that is the PREVIOUS identity of the same 281 Sisk Mill Loop plant. The 2026-09-18 state directory shows it as Triad Halal Meats TA-46085 with species A, B, D, E — no swine. Exclusion on species stands; not a new lead.</t>
        </is>
      </c>
      <c r="U120" s="212" t="inlineStr">
        <is>
          <t>F-21</t>
        </is>
      </c>
      <c r="V120" s="210" t="inlineStr">
        <is>
          <t>—</t>
        </is>
      </c>
    </row>
    <row r="121" ht="112.2" customHeight="1" s="59">
      <c r="A121" s="146" t="inlineStr">
        <is>
          <t>Western NC micro federal plants (roll-up)</t>
        </is>
      </c>
      <c r="B121" s="83" t="inlineStr">
        <is>
          <t>Marion / Rutherfordton / Marshville / Yadkinville, NC</t>
        </is>
      </c>
      <c r="C121" s="83" t="inlineStr">
        <is>
          <t>4 small USDA federal plants, all cat 1</t>
        </is>
      </c>
      <c r="D121" s="83" t="inlineStr">
        <is>
          <t>&lt;19/wk each
(FSIS cat 1)</t>
        </is>
      </c>
      <c r="E121" s="88" t="inlineStr">
        <is>
          <t>YES · ~32 mi ≈</t>
        </is>
      </c>
      <c r="F121" s="139" t="inlineStr">
        <is>
          <t>0-300/wk (&lt;19 each)</t>
        </is>
      </c>
      <c r="G121" s="134" t="inlineStr">
        <is>
          <t>Mixed (market; some sow/boar)</t>
        </is>
      </c>
      <c r="H121" s="83" t="inlineStr">
        <is>
          <t>USDA ✓ — Blueridge Processing M2225 (Marion);
Circle S Meats M1916 (Rutherfordton);
Plantation Processing M790 (Marshville);
Cool Springs M1041 (Yadkinville)</t>
        </is>
      </c>
      <c r="I121" s="83" t="inlineStr">
        <is>
          <t>None found</t>
        </is>
      </c>
      <c r="J121" s="83" t="inlineStr">
        <is>
          <t>Federal grants → harvest-path eligible</t>
        </is>
      </c>
      <c r="K121" s="83" t="inlineStr">
        <is>
          <t>None found</t>
        </is>
      </c>
      <c r="L121" s="83" t="inlineStr">
        <is>
          <t>n/a at this volume</t>
        </is>
      </c>
      <c r="M121" s="83" t="inlineStr">
        <is>
          <t>No — too small, too far</t>
        </is>
      </c>
      <c r="N121" s="83" t="inlineStr">
        <is>
          <t>No</t>
        </is>
      </c>
      <c r="O121" s="83" t="inlineStr">
        <is>
          <t>Blueridge (828) 803-1264 · Circle S (828) 429-3047
(FSIS lists a typo'd number) ·
Plantation (704) 385-9429 · Cool Springs (336) 835-5377</t>
        </is>
      </c>
      <c r="P121" s="141" t="inlineStr">
        <is>
          <t>OUT / FLAG</t>
        </is>
      </c>
      <c r="Q121" s="178" t="inlineStr">
        <is>
          <t>Not a candidate — fails a hard gate or adds nothing vs the base (see notes).</t>
        </is>
      </c>
      <c r="R121" s="179" t="inlineStr">
        <is>
          <t>—</t>
        </is>
      </c>
      <c r="S121" s="83" t="inlineStr">
        <is>
          <t>High
(FSIS+NCDA 8-17)</t>
        </is>
      </c>
      <c r="T121" s="83" t="inlineStr">
        <is>
          <t>★ CENSUS COMPLETION 2026-08-17: the four remaining western federal swine plants, all volume cat 1 (&lt;19/wk) and 170-283 road mi out — logged so the western census is complete and nobody re-discovers them. Grants: Blueridge 3/21/2024, Circle S 7/30/2024 (phone corrected — FSIS dataset had a typo), Plantation 7/28/2023, Cool Springs 10/28/2024 (the last western swine grant issued; both genuinely NEW swine grants since then went EAST — Contentnea 10/29/2025, Bass Farms 2/17/2026).  [2026-08-17 focus-region pass: FSIS MPI + Demographic datasets and NCDA&amp;CS directories (dated 2026-08-10) retrieved fresh 2026-08-17; adversarially verified.]</t>
        </is>
      </c>
      <c r="U121" s="212" t="inlineStr">
        <is>
          <t>F-22</t>
        </is>
      </c>
      <c r="V121" s="210" t="inlineStr">
        <is>
          <t>—</t>
        </is>
      </c>
    </row>
    <row r="122" ht="125.6" customHeight="1" s="59">
      <c r="A122" s="146" t="inlineStr">
        <is>
          <t>⚠ CLOSURES 2025-26 (roll-up) — the small-plant pool is SHRINKING</t>
        </is>
      </c>
      <c r="B122" s="83" t="inlineStr">
        <is>
          <t>across NC</t>
        </is>
      </c>
      <c r="C122" s="83" t="inlineStr">
        <is>
          <t>FSIS-inactive establishments</t>
        </is>
      </c>
      <c r="D122" s="83" t="inlineStr">
        <is>
          <t>n/a</t>
        </is>
      </c>
      <c r="E122" s="88" t="inlineStr">
        <is>
          <t>YES · ~95 mi ≈</t>
        </is>
      </c>
      <c r="F122" s="143" t="inlineStr">
        <is>
          <t>n/a</t>
        </is>
      </c>
      <c r="G122" s="134" t="inlineStr">
        <is>
          <t>n/a</t>
        </is>
      </c>
      <c r="H122" s="83" t="inlineStr">
        <is>
          <t>All confirmed on the FSIS INACTIVE
directory retrieved 2026-08-17</t>
        </is>
      </c>
      <c r="I122" s="83" t="inlineStr">
        <is>
          <t>n/a</t>
        </is>
      </c>
      <c r="J122" s="83" t="inlineStr">
        <is>
          <t>n/a</t>
        </is>
      </c>
      <c r="K122" s="83" t="inlineStr">
        <is>
          <t>n/a</t>
        </is>
      </c>
      <c r="L122" s="83" t="inlineStr">
        <is>
          <t>n/a</t>
        </is>
      </c>
      <c r="M122" s="83" t="inlineStr">
        <is>
          <t>n/a</t>
        </is>
      </c>
      <c r="N122" s="83" t="inlineStr">
        <is>
          <t>n/a</t>
        </is>
      </c>
      <c r="O122" s="83" t="inlineStr">
        <is>
          <t>—</t>
        </is>
      </c>
      <c r="P122" s="141" t="inlineStr">
        <is>
          <t>OUT / FLAG</t>
        </is>
      </c>
      <c r="Q122" s="178" t="inlineStr">
        <is>
          <t>Not a candidate — closed / no inspected operation (see notes).</t>
        </is>
      </c>
      <c r="R122" s="179" t="inlineStr">
        <is>
          <t>—</t>
        </is>
      </c>
      <c r="S122" s="83" t="inlineStr">
        <is>
          <t>High
(FSIS+NCDA 8-17)</t>
        </is>
      </c>
      <c r="T122" s="83" t="inlineStr">
        <is>
          <t>★ ATTRITION RECORD 2026-08-17 — eight closures/exits around us in ~20 months: Kansas City Sausage M760A (Altoona IA entity; Godwin option dead) 9/3/2024 · R.D. Jones Packing (Faison) 4/24/2025 · Jerusalem Meats (Burgaw) 4/24/2025 · Mac's Farms Sausage (Newton Grove) 4/29/2025 · Country Slaughter &amp; Meats M32012 (Rockingham) 6/24/2025 · Assured Community Processing M2123 (Micro) 11/10/2025 · Neese Country Sausage M8341 (Burlington, cat-1 sow kill) 7/2/2026 · Mitchell's Chop Shop M46822B (King) 7/14/2026. (Asheville Packing M12602, inactive 4/28/2025, was processing-only — RTE, not slaughter.) THE ARGUMENT: lock relationships with the survivors (Larry's, Bass, the McLambs, Flowers) sooner rather than later — the alternatives list gets shorter every quarter.  [2026-08-17 focus-region pass: FSIS MPI + Demographic datasets and NCDA&amp;CS directories (dated 2026-08-10) retrieved fresh 2026-08-17; adversarially verified.]</t>
        </is>
      </c>
      <c r="U122" s="212" t="inlineStr">
        <is>
          <t>F-23</t>
        </is>
      </c>
      <c r="V122" s="210" t="inlineStr">
        <is>
          <t>—</t>
        </is>
      </c>
    </row>
    <row r="123" ht="98.8" customHeight="1" s="59">
      <c r="A123" s="4" t="inlineStr">
        <is>
          <t>13 multi-species TA plants (roll-up)</t>
        </is>
      </c>
      <c r="B123" s="68" t="inlineStr">
        <is>
          <t>across NC</t>
        </is>
      </c>
      <c r="C123" s="68" t="inlineStr">
        <is>
          <t>Talmadge-Aiken multi-species (incl. swine)</t>
        </is>
      </c>
      <c r="D123" s="68" t="inlineStr">
        <is>
          <t>unknown — est. 10-80 hogs/wk each</t>
        </is>
      </c>
      <c r="E123" s="88" t="inlineStr">
        <is>
          <t>YES · ~95 mi ≈</t>
        </is>
      </c>
      <c r="F123" s="143" t="inlineStr">
        <is>
          <t>confirm</t>
        </is>
      </c>
      <c r="G123" s="68" t="inlineStr">
        <is>
          <t>Yes (C among A-E)</t>
        </is>
      </c>
      <c r="H123" s="68" t="inlineStr">
        <is>
          <t>USDA ✓ Talmadge-Aiken
(interstate/export eligible)</t>
        </is>
      </c>
      <c r="I123" s="68" t="inlineStr">
        <is>
          <t>Not individually researched — Wayne Mays and Wilkes/Thomas Bros carry actions (see their own rows)</t>
        </is>
      </c>
      <c r="J123" s="68" t="inlineStr">
        <is>
          <t>All Talmadge-Aiken = federal-equivalent, so interstate/export eligible in structure. APHIS listing unverified for all</t>
        </is>
      </c>
      <c r="K123" s="68" t="inlineStr">
        <is>
          <t>None found in the FSIS QERs through Q3 FY2026 (narrow negative — routine NRs are not published)</t>
        </is>
      </c>
      <c r="L123" s="68" t="inlineStr">
        <is>
          <t>unknown</t>
        </is>
      </c>
      <c r="M123" s="68" t="inlineStr">
        <is>
          <t>Plausible (Model A / aggregation)</t>
        </is>
      </c>
      <c r="N123" s="68" t="inlineStr">
        <is>
          <t>Weak — low hog share</t>
        </is>
      </c>
      <c r="O123" s="68" t="inlineStr">
        <is>
          <t>see notes →</t>
        </is>
      </c>
      <c r="P123" s="23" t="inlineStr">
        <is>
          <t>POSSIBLE</t>
        </is>
      </c>
      <c r="Q123" s="178" t="inlineStr">
        <is>
          <t>Context roll-up — not an individual candidate.</t>
        </is>
      </c>
      <c r="R123" s="179" t="inlineStr">
        <is>
          <t>—</t>
        </is>
      </c>
      <c r="S123" s="68" t="inlineStr">
        <is>
          <t>Med
(study 8-03/05)</t>
        </is>
      </c>
      <c r="T123" s="68" t="inlineStr">
        <is>
          <t>NEW (13 of 18 TA swine plants were missed): Contentnea TA-2583 (Walstonburg); SCR International TA-9199 (Fairmont, 910-628-8267); Plantation Processing TA-790 (Marshville, 704-385-9429); Cruse TA-46354 (Concord); Select Meats TA-10757 (Kannapolis, 704-933-7550); Mitchell's TA-46822 (Walnut Cove); Circle S Meats TA-1916 (Rutherfordton, 828-429-3047); Blueridge Processing TA-2225 (Marion, 828-803-1264); Cool Springs TA-1041 (Yadkinville, 336-835-5377); Wayne Mays TA-21848 (Taylorsville); Wilkes Abattoir/Apple Brandy TA-19511 (N. Wilkesboro); Acre Station TA-19904; Riverside TA-20981. A shared kill floor means a LOW hog share — these are aggregation candidates, not volume plays.</t>
        </is>
      </c>
      <c r="U123" s="212" t="inlineStr">
        <is>
          <t>F-24</t>
        </is>
      </c>
      <c r="V123" s="210" t="inlineStr">
        <is>
          <t>—</t>
        </is>
      </c>
    </row>
    <row r="124" ht="72" customHeight="1" s="59">
      <c r="A124" s="4" t="inlineStr">
        <is>
          <t>Below-band leads — all REFUTED on volume</t>
        </is>
      </c>
      <c r="B124" s="68" t="inlineStr">
        <is>
          <t>KY / OH / MI / AL / OR / NJ / TX</t>
        </is>
      </c>
      <c r="C124" s="68" t="inlineStr">
        <is>
          <t>FSIS category 2-3 = below 2,000/wk</t>
        </is>
      </c>
      <c r="D124" s="68" t="inlineStr">
        <is>
          <t>below band</t>
        </is>
      </c>
      <c r="E124" s="110" t="inlineStr">
        <is>
          <t>NO
(Durham: n/m)</t>
        </is>
      </c>
      <c r="F124" s="139" t="inlineStr">
        <is>
          <t>0-300/wk</t>
        </is>
      </c>
      <c r="G124" s="68" t="inlineStr">
        <is>
          <t>mixed</t>
        </is>
      </c>
      <c r="H124" s="68" t="inlineStr">
        <is>
          <t>USDA ✓ (various)</t>
        </is>
      </c>
      <c r="I124" s="68" t="inlineStr">
        <is>
          <t>See the Welfare &amp; culture column — enforcement detail is carried there for these rows</t>
        </is>
      </c>
      <c r="J124" s="68" t="inlineStr">
        <is>
          <t>Not verified — APHIS publishes no searchable list; confirm with APHIS VS</t>
        </is>
      </c>
      <c r="K124" s="68" t="inlineStr">
        <is>
          <t>various</t>
        </is>
      </c>
      <c r="L124" s="68" t="inlineStr">
        <is>
          <t>unknown</t>
        </is>
      </c>
      <c r="M124" s="68" t="inlineStr">
        <is>
          <t>varies</t>
        </is>
      </c>
      <c r="N124" s="68" t="inlineStr">
        <is>
          <t>varies</t>
        </is>
      </c>
      <c r="O124" s="68" t="inlineStr">
        <is>
          <t>see notes →</t>
        </is>
      </c>
      <c r="P124" s="23" t="inlineStr">
        <is>
          <t>CAUTION</t>
        </is>
      </c>
      <c r="Q124" s="178" t="inlineStr">
        <is>
          <t>Back-pool — passes no current tier; see Fit and notes for what a call would need to change.</t>
        </is>
      </c>
      <c r="R124" s="179" t="inlineStr">
        <is>
          <t>—</t>
        </is>
      </c>
      <c r="S124" s="68" t="inlineStr">
        <is>
          <t>High
(study 8-03/05)</t>
        </is>
      </c>
      <c r="T124" s="68" t="inlineStr">
        <is>
          <t>All below the Medium-High band per FSIS category: F.B. Purnell (M7464+P7464, Simpsonville KY, MKT+SOW) cat-3; Pioneer Packing (M372, OH, SOW+boar) cat-3; BEF Foods/Bob Evans Xenia OH (M6785) and Hillsdale MI (M952), both still slaughtering SOWS, cat-3; Dean Sausage (M6621+P6621, Attalla AL, SOW) CAT-2 (~20-200/wk — two orders of magnitude below); Carlton Packing (M9228, Carlton OR — note spelling, not 'Carleton Farms') cat-3; Dealaman (M7562, NJ, MKT) cat-3.</t>
        </is>
      </c>
      <c r="U124" s="212" t="inlineStr">
        <is>
          <t>F-25</t>
        </is>
      </c>
      <c r="V124" s="210" t="inlineStr">
        <is>
          <t>—</t>
        </is>
      </c>
    </row>
    <row r="125" ht="72" customHeight="1" s="59">
      <c r="A125" s="4" t="inlineStr">
        <is>
          <t>NC state-inspected multi-species (roll-up)</t>
        </is>
      </c>
      <c r="B125" s="68" t="inlineStr">
        <is>
          <t>across NC</t>
        </is>
      </c>
      <c r="C125" s="68" t="inlineStr">
        <is>
          <t>NC STATE-inspected (intrastate only)</t>
        </is>
      </c>
      <c r="D125" s="68" t="inlineStr">
        <is>
          <t>unknown (est. SMALL)</t>
        </is>
      </c>
      <c r="E125" s="88" t="inlineStr">
        <is>
          <t>YES · ~95 mi ≈</t>
        </is>
      </c>
      <c r="F125" s="143" t="inlineStr">
        <is>
          <t>confirm</t>
        </is>
      </c>
      <c r="G125" s="68" t="inlineStr">
        <is>
          <t>Yes</t>
        </is>
      </c>
      <c r="H125" s="68" t="inlineStr">
        <is>
          <t>STATE only
(NOT USDA — FLAG)</t>
        </is>
      </c>
      <c r="I125" s="68" t="inlineStr">
        <is>
          <t>State-inspected — not in FSIS data by construction</t>
        </is>
      </c>
      <c r="J125" s="68" t="inlineStr">
        <is>
          <t>State-inspected — intrastate NC only (FLAG for export)</t>
        </is>
      </c>
      <c r="K125" s="68" t="inlineStr">
        <is>
          <t>Not in FSIS data by construction</t>
        </is>
      </c>
      <c r="L125" s="68" t="inlineStr">
        <is>
          <t>unknown</t>
        </is>
      </c>
      <c r="M125" s="68" t="inlineStr">
        <is>
          <t>Plausible</t>
        </is>
      </c>
      <c r="N125" s="68" t="inlineStr">
        <is>
          <t>Implausible</t>
        </is>
      </c>
      <c r="O125" s="68" t="inlineStr">
        <is>
          <t>see notes →</t>
        </is>
      </c>
      <c r="P125" s="23" t="inlineStr">
        <is>
          <t>CAUTION</t>
        </is>
      </c>
      <c r="Q125" s="178" t="inlineStr">
        <is>
          <t>Context roll-up — not an individual candidate.</t>
        </is>
      </c>
      <c r="R125" s="179" t="inlineStr">
        <is>
          <t>—</t>
        </is>
      </c>
      <c r="S125" s="68" t="inlineStr">
        <is>
          <t>Med
(study 8-03/05)</t>
        </is>
      </c>
      <c r="T125" s="68" t="inlineStr">
        <is>
          <t>NC STATE-INSPECTED — ACCEPTED: APHIS treats NC state inspection as equivalent, so this plant satisfies the harvest-site requirement for Path 1 (we harvest, model assembled at ATM). APHIS not required of the plant. || NEW: Crawley's Abattoir P-101 (Morganton); Farmington Meat P-381 (Mocksville); Gale McLamb Meats P-221 (Dunn); K&amp;B Meat P-55 (Bryson City); McLamb's Abattoir P-247 (Benson); Quaqua Creek Farm P-375 (Ruffin). Intrastate NC sales only.</t>
        </is>
      </c>
      <c r="U125" s="212" t="inlineStr">
        <is>
          <t>F-26</t>
        </is>
      </c>
      <c r="V125" s="210" t="inlineStr">
        <is>
          <t>—</t>
        </is>
      </c>
    </row>
    <row r="126" ht="45.2" customHeight="1" s="59">
      <c r="A126" s="4" t="inlineStr">
        <is>
          <t>Other large regional (context)</t>
        </is>
      </c>
      <c r="B126" s="68" t="inlineStr">
        <is>
          <t>IA / Midwest</t>
        </is>
      </c>
      <c r="C126" s="68" t="inlineStr">
        <is>
          <t>Very large packers</t>
        </is>
      </c>
      <c r="D126" s="68" t="inlineStr">
        <is>
          <t>&gt;5,000/wk (est.)</t>
        </is>
      </c>
      <c r="E126" s="110" t="inlineStr">
        <is>
          <t>NO
(Durham: n/m)</t>
        </is>
      </c>
      <c r="F126" s="195" t="inlineStr">
        <is>
          <t>5,000+/wk (est.)</t>
        </is>
      </c>
      <c r="G126" s="68" t="inlineStr">
        <is>
          <t>Yes/mixed</t>
        </is>
      </c>
      <c r="H126" s="68" t="inlineStr">
        <is>
          <t>USDA ✓</t>
        </is>
      </c>
      <c r="I126" s="68" t="inlineStr">
        <is>
          <t>Varies by plant — check FSIS Quarterly Enforcement Reports per establishment #</t>
        </is>
      </c>
      <c r="J126" s="68" t="inlineStr">
        <is>
          <t>Varies — check FSIS 'Eligible Establishments by Country' + TRACES</t>
        </is>
      </c>
      <c r="K126" s="68" t="inlineStr">
        <is>
          <t>Industrial</t>
        </is>
      </c>
      <c r="L126" s="68" t="inlineStr">
        <is>
          <t>Not confirmed</t>
        </is>
      </c>
      <c r="M126" s="68" t="inlineStr">
        <is>
          <t>Unlikely</t>
        </is>
      </c>
      <c r="N126" s="68" t="inlineStr">
        <is>
          <t>Unlikely</t>
        </is>
      </c>
      <c r="O126" s="68" t="inlineStr">
        <is>
          <t>—</t>
        </is>
      </c>
      <c r="P126" s="23" t="inlineStr">
        <is>
          <t>CAUTION</t>
        </is>
      </c>
      <c r="Q126" s="178" t="inlineStr">
        <is>
          <t>Back-pool — passes no current tier; see Fit and notes for what a call would need to change.</t>
        </is>
      </c>
      <c r="R126" s="179" t="inlineStr">
        <is>
          <t>—</t>
        </is>
      </c>
      <c r="S126" s="68" t="inlineStr">
        <is>
          <t>Med
(study 8-03/05)</t>
        </is>
      </c>
      <c r="T126" s="68" t="inlineStr">
        <is>
          <t>Tyson Fresh Meats (Columbus Junction, Storm Lake, Waterloo IA); JBS/Cargill pork (Ottumwa/Marshalltown). Tyson Perry IA CLOSED 2024. Iowa Premium/National Beef (Tama) = BEEF — exclude. Biologics programs unverified.</t>
        </is>
      </c>
      <c r="U126" s="212" t="inlineStr">
        <is>
          <t>F-27</t>
        </is>
      </c>
      <c r="V126" s="210" t="inlineStr">
        <is>
          <t>—</t>
        </is>
      </c>
    </row>
    <row r="127" ht="72" customHeight="1" s="59">
      <c r="A127" s="4" t="inlineStr">
        <is>
          <t>Other TN USDA hog shops (roll-up)</t>
        </is>
      </c>
      <c r="B127" s="68" t="inlineStr">
        <is>
          <t>various, TN</t>
        </is>
      </c>
      <c r="C127" s="68" t="inlineStr">
        <is>
          <t>USDA small custom slaughter</t>
        </is>
      </c>
      <c r="D127" s="68" t="inlineStr">
        <is>
          <t>unknown (tens–low 100s/wk est.)</t>
        </is>
      </c>
      <c r="E127" s="110" t="inlineStr">
        <is>
          <t>NO · ~2846 mi ≈</t>
        </is>
      </c>
      <c r="F127" s="139" t="inlineStr">
        <is>
          <t>0-300/wk (est.)</t>
        </is>
      </c>
      <c r="G127" s="68" t="inlineStr">
        <is>
          <t>Yes</t>
        </is>
      </c>
      <c r="H127" s="68" t="inlineStr">
        <is>
          <t>USDA ✓</t>
        </is>
      </c>
      <c r="I127" s="25" t="inlineStr">
        <is>
          <t>⚠ Harris Country Meats (Greeneville, M20686): humane NOS 2024. Volunteer/412 (Lexington, M6561): humane NOS Nov 2024. Others: none found.</t>
        </is>
      </c>
      <c r="J127" s="68" t="inlineStr">
        <is>
          <t>Not on public export lists — verify each w/ APHIS VS</t>
        </is>
      </c>
      <c r="K127" s="68" t="inlineStr">
        <is>
          <t>Small family shops</t>
        </is>
      </c>
      <c r="L127" s="68" t="inlineStr">
        <is>
          <t>Not noted</t>
        </is>
      </c>
      <c r="M127" s="68" t="inlineStr">
        <is>
          <t>Possible</t>
        </is>
      </c>
      <c r="N127" s="68" t="inlineStr">
        <is>
          <t>B</t>
        </is>
      </c>
      <c r="O127" s="68" t="inlineStr">
        <is>
          <t>see notes →</t>
        </is>
      </c>
      <c r="P127" s="23" t="inlineStr">
        <is>
          <t>POSSIBLE</t>
        </is>
      </c>
      <c r="Q127" s="178" t="inlineStr">
        <is>
          <t>Context roll-up — not an individual candidate.</t>
        </is>
      </c>
      <c r="R127" s="179" t="inlineStr">
        <is>
          <t>—</t>
        </is>
      </c>
      <c r="S127" s="68" t="inlineStr">
        <is>
          <t>Low-Med
(study 8-03/05)</t>
        </is>
      </c>
      <c r="T127" s="68" t="inlineStr">
        <is>
          <t>Per UT Center for Profitable Ag list: D&amp;D Meats (Celina 931-261-9967); Hampton Meat (Decatur 423-334-1079); Harris Country Meats (Greeneville 423-638-1538); K&amp;J (Paris 731-642-6490); McBride (S. Pittsburg 423-837-4888); SAN Meat Packing (Afton 423-638-7001); Stone Mountain Meats (Greeneville 423-556-6328); Wells/Badr Halal (Brighton 901-475-1700, halal); Volunteer/412 (Lexington 731-769-6936); ZK Ranches (Springfield 615-991-1262). Confirm weekly hog kill each.</t>
        </is>
      </c>
      <c r="U127" s="212" t="inlineStr">
        <is>
          <t>F-28</t>
        </is>
      </c>
      <c r="V127" s="210" t="inlineStr">
        <is>
          <t>—</t>
        </is>
      </c>
    </row>
    <row r="128" ht="85.40000000000001" customHeight="1" s="59">
      <c r="A128" s="4" t="inlineStr">
        <is>
          <t>Other VA USDA slaughter (roll-up)</t>
        </is>
      </c>
      <c r="B128" s="68" t="inlineStr">
        <is>
          <t>various, VA</t>
        </is>
      </c>
      <c r="C128" s="68" t="inlineStr">
        <is>
          <t>USDA slaughter</t>
        </is>
      </c>
      <c r="D128" s="68" t="inlineStr">
        <is>
          <t>unknown</t>
        </is>
      </c>
      <c r="E128" s="88" t="inlineStr">
        <is>
          <t>YES · ~95 mi ≈</t>
        </is>
      </c>
      <c r="F128" s="143" t="inlineStr">
        <is>
          <t>confirm</t>
        </is>
      </c>
      <c r="G128" s="68" t="inlineStr">
        <is>
          <t>Yes (confirm per-facility)</t>
        </is>
      </c>
      <c r="H128" s="68" t="inlineStr">
        <is>
          <t>USDA ✓</t>
        </is>
      </c>
      <c r="I128" s="25" t="inlineStr">
        <is>
          <t>⚠ Donald's Meat Processing (Lexington, M39968): repeat humane suspension 2023 → 3-yr consent decision. Others: none found.</t>
        </is>
      </c>
      <c r="J128" s="68" t="inlineStr">
        <is>
          <t>Not on public export lists — verify each</t>
        </is>
      </c>
      <c r="K128" s="68" t="inlineStr">
        <is>
          <t>Varies</t>
        </is>
      </c>
      <c r="L128" s="68" t="inlineStr">
        <is>
          <t>Not noted</t>
        </is>
      </c>
      <c r="M128" s="68" t="inlineStr">
        <is>
          <t>Possible</t>
        </is>
      </c>
      <c r="N128" s="68" t="inlineStr">
        <is>
          <t>B</t>
        </is>
      </c>
      <c r="O128" s="68" t="inlineStr">
        <is>
          <t>see notes →</t>
        </is>
      </c>
      <c r="P128" s="23" t="inlineStr">
        <is>
          <t>POSSIBLE</t>
        </is>
      </c>
      <c r="Q128" s="178" t="inlineStr">
        <is>
          <t>Context roll-up — not an individual candidate.</t>
        </is>
      </c>
      <c r="R128" s="179" t="inlineStr">
        <is>
          <t>—</t>
        </is>
      </c>
      <c r="S128" s="68" t="inlineStr">
        <is>
          <t>Low-Med
(study 8-03/05)</t>
        </is>
      </c>
      <c r="T128" s="68" t="inlineStr">
        <is>
          <t>From VA slaughter list: Gore's (Edinburg 540-984-8138); Smith Valley Meats (Rich Creek 540-726-3992); Washington County Meat Packing (Bristol 276-466-3000); Central Meat Packing (Chesapeake 757-547-2161); Country Road Meats (Amelia 804-561-5235); Donald's (Lexington 540-464-1846); Crabill's (Toms Brook 540-436-3248); DeHaven's (Winchester 540-662-4004); Russell Meat Packing (Castlewood 276-794-7600); Schrock's (Gladys 434-283-5400). Also verify: 5 Pillar Meats (Farmville) may slaughter cattle/sheep/goat only; Seven Hills (Lynchburg) primarily beef.</t>
        </is>
      </c>
      <c r="U128" s="212" t="inlineStr">
        <is>
          <t>F-29</t>
        </is>
      </c>
      <c r="V128" s="210" t="inlineStr">
        <is>
          <t>—</t>
        </is>
      </c>
    </row>
    <row r="129" ht="58.6" customHeight="1" s="59">
      <c r="A129" s="4" t="inlineStr">
        <is>
          <t>PA SOW plants (roll-up)</t>
        </is>
      </c>
      <c r="B129" s="68" t="inlineStr">
        <is>
          <t>eastern PA</t>
        </is>
      </c>
      <c r="C129" s="68" t="inlineStr">
        <is>
          <t>USDA federal, sow-capable</t>
        </is>
      </c>
      <c r="D129" s="68" t="inlineStr">
        <is>
          <t>unknown</t>
        </is>
      </c>
      <c r="E129" s="111" t="inlineStr">
        <is>
          <t>mixed — confirm
(Durham: n/m)</t>
        </is>
      </c>
      <c r="F129" s="143" t="inlineStr">
        <is>
          <t>confirm</t>
        </is>
      </c>
      <c r="G129" s="68" t="inlineStr">
        <is>
          <t>Yes — market + SOW + roaster (+boar at two)</t>
        </is>
      </c>
      <c r="H129" s="68" t="inlineStr">
        <is>
          <t>USDA ✓ — see notes</t>
        </is>
      </c>
      <c r="I129" s="68" t="inlineStr">
        <is>
          <t>See the Welfare &amp; culture column — enforcement detail is carried there for these rows</t>
        </is>
      </c>
      <c r="J129" s="68" t="inlineStr">
        <is>
          <t>Not verified — APHIS publishes no searchable list; confirm with APHIS VS</t>
        </is>
      </c>
      <c r="K129" s="68" t="inlineStr">
        <is>
          <t>Not on the current enforcement page (1-yr window)</t>
        </is>
      </c>
      <c r="L129" s="68" t="inlineStr">
        <is>
          <t>None published</t>
        </is>
      </c>
      <c r="M129" s="68" t="inlineStr">
        <is>
          <t>Plausible (small plants)</t>
        </is>
      </c>
      <c r="N129" s="68" t="inlineStr">
        <is>
          <t>Plausible</t>
        </is>
      </c>
      <c r="O129" s="68" t="inlineStr">
        <is>
          <t>see notes →</t>
        </is>
      </c>
      <c r="P129" s="23" t="inlineStr">
        <is>
          <t>POSSIBLE</t>
        </is>
      </c>
      <c r="Q129" s="178" t="inlineStr">
        <is>
          <t>Context roll-up — not an individual candidate.</t>
        </is>
      </c>
      <c r="R129" s="179" t="inlineStr">
        <is>
          <t>—</t>
        </is>
      </c>
      <c r="S129" s="68" t="inlineStr">
        <is>
          <t>Med
(study 8-03/05)</t>
        </is>
      </c>
      <c r="T129" s="68" t="inlineStr">
        <is>
          <t>PA plants whose USDA flags include SOW: Smucker's Meats (M21265+P21265+V21265, Mt. Joy); Wayne Nell &amp; Sons (M9548+P9548, East Berlin); Lehigh Valley Meats (M45160+V45160, Nazareth — +boar); Springfield Meat Co. (M9704+V9704, Richlandtown — +boar). Note THREE of the four hold VOLUNTARY (V) grants = the non-amenable/non-food-use scaffolding. Springfield (Richlandtown) is ~10 mi from LAMPIRE at Pipersville.</t>
        </is>
      </c>
      <c r="U129" s="212" t="inlineStr">
        <is>
          <t>F-30</t>
        </is>
      </c>
      <c r="V129" s="210" t="inlineStr">
        <is>
          <t>—</t>
        </is>
      </c>
    </row>
    <row r="130" ht="58.6" customHeight="1" s="59">
      <c r="A130" s="4" t="inlineStr">
        <is>
          <t>SC 'Cross Utilization Federal' slaughter plants (roll-up)</t>
        </is>
      </c>
      <c r="B130" s="68" t="inlineStr">
        <is>
          <t>SC</t>
        </is>
      </c>
      <c r="C130" s="68" t="inlineStr">
        <is>
          <t>FEDERAL est. inspected by SC state staff (SC's Talmadge-Aiken analogue)</t>
        </is>
      </c>
      <c r="D130" s="68" t="inlineStr">
        <is>
          <t>unknown</t>
        </is>
      </c>
      <c r="E130" s="110" t="inlineStr">
        <is>
          <t>NO · ~231 mi ≈</t>
        </is>
      </c>
      <c r="F130" s="143" t="inlineStr">
        <is>
          <t>confirm</t>
        </is>
      </c>
      <c r="G130" s="68" t="inlineStr">
        <is>
          <t>CONFIRM — no species column in SC file</t>
        </is>
      </c>
      <c r="H130" s="68" t="inlineStr">
        <is>
          <t>USDA federal-equivalent
(interstate/export eligible)</t>
        </is>
      </c>
      <c r="I130" s="68" t="inlineStr">
        <is>
          <t>None found — and SC LEGALLY REFUSES to release humane records, so screening returns false negatives by construction</t>
        </is>
      </c>
      <c r="J130" s="68" t="inlineStr">
        <is>
          <t>Federal-equivalent — SC's ONLY export-eligible slaughter route. APHIS listing unverified</t>
        </is>
      </c>
      <c r="K130" s="68" t="inlineStr">
        <is>
          <t>None found</t>
        </is>
      </c>
      <c r="L130" s="68" t="inlineStr">
        <is>
          <t>unknown</t>
        </is>
      </c>
      <c r="M130" s="68" t="inlineStr">
        <is>
          <t>Plausible</t>
        </is>
      </c>
      <c r="N130" s="68" t="inlineStr">
        <is>
          <t>Plausible</t>
        </is>
      </c>
      <c r="O130" s="68" t="inlineStr">
        <is>
          <t>see notes →</t>
        </is>
      </c>
      <c r="P130" s="23" t="inlineStr">
        <is>
          <t>POSSIBLE</t>
        </is>
      </c>
      <c r="Q130" s="178" t="inlineStr">
        <is>
          <t>Context roll-up — not an individual candidate.</t>
        </is>
      </c>
      <c r="R130" s="179" t="inlineStr">
        <is>
          <t>—</t>
        </is>
      </c>
      <c r="S130" s="68" t="inlineStr">
        <is>
          <t>Med
(study 8-03/05)</t>
        </is>
      </c>
      <c r="T130" s="68" t="inlineStr">
        <is>
          <t>KEY STRUCTURAL FIND: SC's analogue to Talmadge-Aiken is 'Cross Utilization Federal' — only SIX exist and FOUR slaughter: Halal International Processing, York (19825) 803-684-9248; Loris Cold Storage &amp; Retail, Loris (33916) 843-756-1741; Snow Creek Meat Processing, Seneca (20478) 864-972-1570; Wilson Processing Co., Richland (45371) 864-882-9073. These are SC's only export-eligible slaughter route.</t>
        </is>
      </c>
      <c r="U130" s="212" t="inlineStr">
        <is>
          <t>F-31</t>
        </is>
      </c>
      <c r="V130" s="210" t="inlineStr">
        <is>
          <t>—</t>
        </is>
      </c>
    </row>
    <row r="131" ht="98.8" customHeight="1" s="59">
      <c r="A131" s="4" t="inlineStr">
        <is>
          <t>SC state-inspected slaughter plants (roll-up)</t>
        </is>
      </c>
      <c r="B131" s="68" t="inlineStr">
        <is>
          <t>SC</t>
        </is>
      </c>
      <c r="C131" s="68" t="inlineStr">
        <is>
          <t>SC STATE-inspected (intrastate only)</t>
        </is>
      </c>
      <c r="D131" s="68" t="inlineStr">
        <is>
          <t>unknown (est. SMALL)</t>
        </is>
      </c>
      <c r="E131" s="110" t="inlineStr">
        <is>
          <t>NO · ~231 mi ≈</t>
        </is>
      </c>
      <c r="F131" s="143" t="inlineStr">
        <is>
          <t>confirm</t>
        </is>
      </c>
      <c r="G131" s="68" t="inlineStr">
        <is>
          <t>CONFIRM — no species column</t>
        </is>
      </c>
      <c r="H131" s="68" t="inlineStr">
        <is>
          <t>STATE only
(NOT USDA — FLAG)</t>
        </is>
      </c>
      <c r="I131" s="68" t="inlineStr">
        <is>
          <t>SC law blocks release of humane-handling records — public screening is unreliable by construction</t>
        </is>
      </c>
      <c r="J131" s="112" t="inlineStr">
        <is>
          <t>⛔ State-inspected, non-NC — NOT accepted as equivalent. Needs USDA/FSIS to qualify for Path 1.</t>
        </is>
      </c>
      <c r="K131" s="68" t="inlineStr">
        <is>
          <t>SC LEGALLY REFUSES to release humane-handling records — screening returns false negatives by construction</t>
        </is>
      </c>
      <c r="L131" s="68" t="inlineStr">
        <is>
          <t>unknown</t>
        </is>
      </c>
      <c r="M131" s="68" t="inlineStr">
        <is>
          <t>Plausible</t>
        </is>
      </c>
      <c r="N131" s="68" t="inlineStr">
        <is>
          <t>Implausible</t>
        </is>
      </c>
      <c r="O131" s="68" t="inlineStr">
        <is>
          <t>see notes →</t>
        </is>
      </c>
      <c r="P131" s="23" t="inlineStr">
        <is>
          <t>CAUTION</t>
        </is>
      </c>
      <c r="Q131" s="178" t="inlineStr">
        <is>
          <t>Context roll-up — not an individual candidate.</t>
        </is>
      </c>
      <c r="R131" s="179" t="inlineStr">
        <is>
          <t>—</t>
        </is>
      </c>
      <c r="S131" s="68" t="inlineStr">
        <is>
          <t>Med
(study 8-03/05)</t>
        </is>
      </c>
      <c r="T131" s="68" t="inlineStr">
        <is>
          <t>⛔ NOT EQUIVALENT: only NC state inspection is accepted by APHIS as equivalent. A non-NC state-inspected plant does NOT satisfy the Path 1 harvest-site requirement — it would need USDA/FSIS inspection to qualify. || B&amp;W Packing, Pauline (32); Caughman's, Lexington (51); Conway Fresh Meat (10); Cordray's, Ravenel (119); G&amp;W, Hickory Grove (30); Howards Abattoir, Pendleton (91) SLAUGHTER-ONLY; Lee's Sausage, Orangeburg (69); Michael's Deer/Hog Processing, Ehrhardt (92) SLAUGHTER-ONLY 803-267-2025; Mullins Food (6); Vaughn Packing, Greer (93); AVS Meat Lab, Clemson (1). Union Packing (100) flagged INACTIVE. The SC workbook has NO species column — hog capability must be confirmed by phone. SC has ZERO plants on the national sow list.</t>
        </is>
      </c>
      <c r="U131" s="212" t="inlineStr">
        <is>
          <t>F-32</t>
        </is>
      </c>
      <c r="V131" s="210" t="inlineStr">
        <is>
          <t>—</t>
        </is>
      </c>
    </row>
    <row r="132" ht="58.6" customHeight="1" s="59">
      <c r="A132" s="4" t="inlineStr">
        <is>
          <t>VA state-inspected (roll-up)</t>
        </is>
      </c>
      <c r="B132" s="68" t="inlineStr">
        <is>
          <t>various, VA</t>
        </is>
      </c>
      <c r="C132" s="68" t="inlineStr">
        <is>
          <t>STATE-inspected slaughter (NOT USDA)</t>
        </is>
      </c>
      <c r="D132" s="68" t="inlineStr">
        <is>
          <t>unknown</t>
        </is>
      </c>
      <c r="E132" s="88" t="inlineStr">
        <is>
          <t>YES · ~95 mi ≈</t>
        </is>
      </c>
      <c r="F132" s="143" t="inlineStr">
        <is>
          <t>confirm</t>
        </is>
      </c>
      <c r="G132" s="68" t="inlineStr">
        <is>
          <t>Yes</t>
        </is>
      </c>
      <c r="H132" s="68" t="inlineStr">
        <is>
          <t>STATE only
(NOT USDA)</t>
        </is>
      </c>
      <c r="I132" s="68" t="inlineStr">
        <is>
          <t>Not in FSIS federal enforcement data (state-inspected) — check VDACS state records</t>
        </is>
      </c>
      <c r="J132" s="112" t="inlineStr">
        <is>
          <t>⛔ State-inspected, non-NC — NOT accepted as equivalent. Needs USDA/FSIS to qualify for Path 1.</t>
        </is>
      </c>
      <c r="K132" s="68" t="inlineStr">
        <is>
          <t>Varies</t>
        </is>
      </c>
      <c r="L132" s="68" t="inlineStr">
        <is>
          <t>Not noted</t>
        </is>
      </c>
      <c r="M132" s="68" t="inlineStr">
        <is>
          <t>Possible</t>
        </is>
      </c>
      <c r="N132" s="68" t="inlineStr">
        <is>
          <t>B</t>
        </is>
      </c>
      <c r="O132" s="68" t="inlineStr">
        <is>
          <t>see notes →</t>
        </is>
      </c>
      <c r="P132" s="23" t="inlineStr">
        <is>
          <t>CAUTION</t>
        </is>
      </c>
      <c r="Q132" s="178" t="inlineStr">
        <is>
          <t>Context roll-up — not an individual candidate.</t>
        </is>
      </c>
      <c r="R132" s="179" t="inlineStr">
        <is>
          <t>—</t>
        </is>
      </c>
      <c r="S132" s="68" t="inlineStr">
        <is>
          <t>Low
(study 8-03/05)</t>
        </is>
      </c>
      <c r="T132" s="68" t="inlineStr">
        <is>
          <t>⛔ NOT EQUIVALENT: only NC state inspection is accepted by APHIS as equivalent. A non-NC state-inspected plant does NOT satisfy the Path 1 harvest-site requirement — it would need USDA/FSIS inspection to qualify. || NOT USDA-FSIS — FLAG for export/APHIS purposes: Adam's Custom Slaughter (Amissville); Ande's (Timberville); Griffith's (Luray); Green Valley (Monroe); Virginia Tech (Blacksburg).</t>
        </is>
      </c>
      <c r="U132" s="212" t="inlineStr">
        <is>
          <t>F-33</t>
        </is>
      </c>
      <c r="V132" s="210" t="inlineStr">
        <is>
          <t>—</t>
        </is>
      </c>
    </row>
    <row r="133" ht="45.2" customHeight="1" s="59">
      <c r="A133" s="4" t="inlineStr">
        <is>
          <t>VIRGINIA — coverage gap (action required)</t>
        </is>
      </c>
      <c r="B133" s="68" t="inlineStr">
        <is>
          <t>VA statewide</t>
        </is>
      </c>
      <c r="C133" s="68" t="inlineStr">
        <is>
          <t>n/a — enumeration incomplete</t>
        </is>
      </c>
      <c r="D133" s="68" t="inlineStr">
        <is>
          <t>n/a</t>
        </is>
      </c>
      <c r="E133" s="110" t="inlineStr">
        <is>
          <t>NO · ~1202 mi ≈</t>
        </is>
      </c>
      <c r="F133" s="143" t="inlineStr">
        <is>
          <t>n/a</t>
        </is>
      </c>
      <c r="G133" s="68" t="inlineStr">
        <is>
          <t>n/a</t>
        </is>
      </c>
      <c r="H133" s="68" t="inlineStr">
        <is>
          <t>VDACS publishes NO online directory</t>
        </is>
      </c>
      <c r="I133" s="68" t="inlineStr">
        <is>
          <t>n/a</t>
        </is>
      </c>
      <c r="J133" s="68" t="inlineStr">
        <is>
          <t>n/a</t>
        </is>
      </c>
      <c r="K133" s="68" t="inlineStr">
        <is>
          <t>n/a</t>
        </is>
      </c>
      <c r="L133" s="68" t="inlineStr">
        <is>
          <t>n/a</t>
        </is>
      </c>
      <c r="M133" s="68" t="inlineStr">
        <is>
          <t>n/a</t>
        </is>
      </c>
      <c r="N133" s="68" t="inlineStr">
        <is>
          <t>n/a</t>
        </is>
      </c>
      <c r="O133" s="68" t="inlineStr">
        <is>
          <t>VDACS 804-786-4569
omps@vdacs.virginia.gov</t>
        </is>
      </c>
      <c r="P133" s="23" t="inlineStr">
        <is>
          <t>CAUTION</t>
        </is>
      </c>
      <c r="Q133" s="178" t="inlineStr">
        <is>
          <t>Back-pool — passes no current tier; see Fit and notes for what a call would need to change.</t>
        </is>
      </c>
      <c r="R133" s="179" t="inlineStr">
        <is>
          <t>—</t>
        </is>
      </c>
      <c r="S133" s="68" t="inlineStr">
        <is>
          <t>High
(study 8-03/05)</t>
        </is>
      </c>
      <c r="T133" s="68" t="inlineStr">
        <is>
          <t>HONEST GAP: Virginia is the one state that could NOT be enumerated — VDACS distributes its establishment directory BY REQUEST ONLY and the FSIS per-state PDF is 403-blocked. ONE PHONE CALL to 804-786-4569 will produce more than any further searching. Do this before the strategy meeting.</t>
        </is>
      </c>
      <c r="U133" s="212" t="inlineStr">
        <is>
          <t>F-34</t>
        </is>
      </c>
      <c r="V133" s="210" t="inlineStr">
        <is>
          <t>—</t>
        </is>
      </c>
    </row>
  </sheetData>
  <autoFilter ref="A4:V133"/>
  <mergeCells count="8">
    <mergeCell ref="A1:T1"/>
    <mergeCell ref="A99:V99"/>
    <mergeCell ref="A68:V68"/>
    <mergeCell ref="A5:V5"/>
    <mergeCell ref="A31:V31"/>
    <mergeCell ref="A56:V56"/>
    <mergeCell ref="A2:T2"/>
    <mergeCell ref="A62:V62"/>
  </mergeCells>
  <pageMargins left="0.35" right="0.35" top="0.45" bottom="0.45" header="0.5" footer="0.5"/>
  <pageSetup orientation="landscape" fitToHeight="0" fitToWidth="1"/>
  <headerFooter>
    <oddHeader/>
    <oddFooter>&amp;L&amp;8 Supplier Roster&amp;R&amp;8 Page &amp;P of &amp;N</oddFooter>
    <evenHeader/>
    <evenFooter/>
    <firstHeader/>
    <firstFooter/>
  </headerFooter>
</worksheet>
</file>

<file path=xl/worksheets/sheet4.xml><?xml version="1.0" encoding="utf-8"?>
<worksheet xmlns="http://schemas.openxmlformats.org/spreadsheetml/2006/main">
  <sheetPr>
    <tabColor rgb="00C00000"/>
    <outlinePr summaryBelow="1" summaryRight="1"/>
    <pageSetUpPr fitToPage="1"/>
  </sheetPr>
  <dimension ref="A1:W29"/>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27" customWidth="1" style="59" min="1" max="1"/>
    <col width="24" customWidth="1" style="59" min="2" max="2"/>
    <col width="13" customWidth="1" style="59" min="3" max="3"/>
    <col width="13" customWidth="1" style="59" min="4" max="4"/>
    <col width="22" customWidth="1" style="59" min="5" max="5"/>
    <col width="20" customWidth="1" style="59" min="6" max="6"/>
    <col width="16" customWidth="1" style="59" min="7" max="7"/>
    <col width="34" customWidth="1" style="59" min="8" max="8"/>
    <col width="34" customWidth="1" style="59" min="9" max="9"/>
    <col width="26" customWidth="1" style="59" min="10" max="10"/>
    <col width="6" customWidth="1" style="59" min="11" max="11"/>
    <col width="6" customWidth="1" style="59" min="12" max="12"/>
    <col width="6" customWidth="1" style="59" min="13" max="13"/>
    <col width="6" customWidth="1" style="59" min="14" max="14"/>
    <col width="6" customWidth="1" style="59" min="15" max="15"/>
    <col width="6" customWidth="1" style="59" min="16" max="16"/>
    <col width="6" customWidth="1" style="59" min="17" max="17"/>
    <col width="6" customWidth="1" style="59" min="18" max="18"/>
    <col width="8" customWidth="1" style="59" min="19" max="19"/>
    <col width="8" customWidth="1" style="59" min="20" max="20"/>
    <col width="7" customWidth="1" style="59" min="21" max="21"/>
    <col width="40" customWidth="1" style="59" min="22" max="22"/>
    <col width="9" customWidth="1" style="59" min="23" max="23"/>
  </cols>
  <sheetData>
    <row r="1" ht="19.7" customHeight="1" s="59">
      <c r="A1" s="150" t="inlineStr">
        <is>
          <t>RATED CANDIDATES — every plant that passes the hard gates, scored for Model A (our techs go there) and Model B-T (their crew, our training)</t>
        </is>
      </c>
      <c r="B1" s="171" t="n"/>
      <c r="C1" s="171" t="n"/>
      <c r="D1" s="171" t="n"/>
      <c r="E1" s="171" t="n"/>
      <c r="F1" s="171" t="n"/>
      <c r="G1" s="171" t="n"/>
      <c r="H1" s="171" t="n"/>
      <c r="I1" s="171" t="n"/>
      <c r="J1" s="171" t="n"/>
      <c r="K1" s="171" t="n"/>
      <c r="L1" s="171" t="n"/>
      <c r="M1" s="171" t="n"/>
      <c r="N1" s="171" t="n"/>
      <c r="O1" s="171" t="n"/>
      <c r="P1" s="171" t="n"/>
      <c r="Q1" s="171" t="n"/>
      <c r="R1" s="171" t="n"/>
      <c r="S1" s="171" t="n"/>
      <c r="T1" s="171" t="n"/>
      <c r="U1" s="171" t="n"/>
      <c r="V1" s="171" t="n"/>
      <c r="W1" s="172" t="n"/>
    </row>
    <row r="2" ht="31.8" customHeight="1" s="59">
      <c r="A2" s="180" t="inlineStr">
        <is>
          <t>Codes, scoring definitions and weights: see the INSTRUCTIONS tab (sections 5-6). Yellow weight cells below are editable; scores recompute on open. 2026-09-28: PROX measured from the DURHAM origin, ANAT against the 140-220 lb target and CAPPED AT 2 where FSIS flags boar/stag slaughter (client rule: no mixing) — Piedmont, Flowers and EcoFriendly moved down on that rule; column W shows Beebop's v2.1 call rank (set before the rule).</t>
        </is>
      </c>
      <c r="B2" s="171" t="n"/>
      <c r="C2" s="171" t="n"/>
      <c r="D2" s="171" t="n"/>
      <c r="E2" s="171" t="n"/>
      <c r="F2" s="171" t="n"/>
      <c r="G2" s="171" t="n"/>
      <c r="H2" s="171" t="n"/>
      <c r="I2" s="171" t="n"/>
      <c r="J2" s="171" t="n"/>
      <c r="K2" s="171" t="n"/>
      <c r="L2" s="171" t="n"/>
      <c r="M2" s="171" t="n"/>
      <c r="N2" s="171" t="n"/>
      <c r="O2" s="171" t="n"/>
      <c r="P2" s="171" t="n"/>
      <c r="Q2" s="171" t="n"/>
      <c r="R2" s="171" t="n"/>
      <c r="S2" s="171" t="n"/>
      <c r="T2" s="171" t="n"/>
      <c r="U2" s="171" t="n"/>
      <c r="V2" s="171" t="n"/>
      <c r="W2" s="172" t="n"/>
    </row>
    <row r="3" ht="18.4" customHeight="1" s="59">
      <c r="J3" s="182" t="inlineStr">
        <is>
          <t>A-FIT weights →</t>
        </is>
      </c>
      <c r="K3" s="183" t="n">
        <v>0.25</v>
      </c>
      <c r="L3" s="183" t="n">
        <v>0.3</v>
      </c>
      <c r="M3" s="183" t="n">
        <v>0</v>
      </c>
      <c r="N3" s="183" t="n">
        <v>0.15</v>
      </c>
      <c r="O3" s="183" t="n">
        <v>0.1</v>
      </c>
      <c r="P3" s="183" t="n">
        <v>0.1</v>
      </c>
      <c r="Q3" s="183" t="n">
        <v>0.05</v>
      </c>
      <c r="R3" s="183" t="n">
        <v>0.05</v>
      </c>
    </row>
    <row r="4" ht="18.4" customHeight="1" s="59">
      <c r="J4" s="182" t="inlineStr">
        <is>
          <t>B-FIT weights →</t>
        </is>
      </c>
      <c r="K4" s="183" t="n">
        <v>0.1</v>
      </c>
      <c r="L4" s="183" t="n">
        <v>0</v>
      </c>
      <c r="M4" s="183" t="n">
        <v>0.3</v>
      </c>
      <c r="N4" s="183" t="n">
        <v>0.15</v>
      </c>
      <c r="O4" s="183" t="n">
        <v>0.15</v>
      </c>
      <c r="P4" s="183" t="n">
        <v>0.15</v>
      </c>
      <c r="Q4" s="183" t="n">
        <v>0.05</v>
      </c>
      <c r="R4" s="183" t="n">
        <v>0.1</v>
      </c>
    </row>
    <row r="5" ht="58.6" customHeight="1" s="59">
      <c r="A5" s="152" t="inlineStr">
        <is>
          <t>Candidate</t>
        </is>
      </c>
      <c r="B5" s="152" t="inlineStr">
        <is>
          <t>Inspection &amp; est. no.</t>
        </is>
      </c>
      <c r="C5" s="152" t="inlineStr">
        <is>
          <t>Region</t>
        </is>
      </c>
      <c r="D5" s="152" t="inlineStr">
        <is>
          <t>Road mi</t>
        </is>
      </c>
      <c r="E5" s="152" t="inlineStr">
        <is>
          <t>Class / anatomy</t>
        </is>
      </c>
      <c r="F5" s="152" t="inlineStr">
        <is>
          <t>Volume (basis)</t>
        </is>
      </c>
      <c r="G5" s="152" t="inlineStr">
        <is>
          <t>Export path</t>
        </is>
      </c>
      <c r="H5" s="152" t="inlineStr">
        <is>
          <t>A-fit evidence (host OUR techs)</t>
        </is>
      </c>
      <c r="I5" s="152" t="inlineStr">
        <is>
          <t>B-fit evidence (THEIR crew, our training)</t>
        </is>
      </c>
      <c r="J5" s="152" t="inlineStr">
        <is>
          <t>Welfare &amp; enforcement</t>
        </is>
      </c>
      <c r="K5" s="184" t="inlineStr">
        <is>
          <t>PROX</t>
        </is>
      </c>
      <c r="L5" s="184" t="inlineStr">
        <is>
          <t>ACCESS</t>
        </is>
      </c>
      <c r="M5" s="184" t="inlineStr">
        <is>
          <t>CREW</t>
        </is>
      </c>
      <c r="N5" s="184" t="inlineStr">
        <is>
          <t>ANAT</t>
        </is>
      </c>
      <c r="O5" s="184" t="inlineStr">
        <is>
          <t>VOL</t>
        </is>
      </c>
      <c r="P5" s="184" t="inlineStr">
        <is>
          <t>WELF</t>
        </is>
      </c>
      <c r="Q5" s="184" t="inlineStr">
        <is>
          <t>EXPORT</t>
        </is>
      </c>
      <c r="R5" s="184" t="inlineStr">
        <is>
          <t>RELN</t>
        </is>
      </c>
      <c r="S5" s="184" t="inlineStr">
        <is>
          <t>A-FIT</t>
        </is>
      </c>
      <c r="T5" s="184" t="inlineStr">
        <is>
          <t>B-FIT</t>
        </is>
      </c>
      <c r="U5" s="184" t="inlineStr">
        <is>
          <t>Tier</t>
        </is>
      </c>
      <c r="V5" s="152" t="inlineStr">
        <is>
          <t>Why / gates / approach intel</t>
        </is>
      </c>
      <c r="W5" s="152" t="inlineStr">
        <is>
          <t>Beebop rank
(v2.1, 9-28)</t>
        </is>
      </c>
    </row>
    <row r="6" ht="219.4" customHeight="1" s="59">
      <c r="A6" s="153" t="inlineStr">
        <is>
          <t>Larry's Sausage Co.
Fayetteville, NC</t>
        </is>
      </c>
      <c r="B6" s="154" t="inlineStr">
        <is>
          <t>USDA ✓ M8305 (T-A)</t>
        </is>
      </c>
      <c r="C6" s="185" t="inlineStr">
        <is>
          <t>NC-East</t>
        </is>
      </c>
      <c r="D6" s="185" t="inlineStr">
        <is>
          <t>87 (Durham)
65 (Pikeville)</t>
        </is>
      </c>
      <c r="E6" s="154" t="inlineStr">
        <is>
          <t>SOW only — mature anatomy;
gated by the anatomical-spec decision</t>
        </is>
      </c>
      <c r="F6" s="154" t="inlineStr">
        <is>
          <t>19-194/wk (FSIS cat 2);
processing cat 4</t>
        </is>
      </c>
      <c r="G6" s="154" t="inlineStr">
        <is>
          <t>FULL (federal)</t>
        </is>
      </c>
      <c r="H6" s="154" t="inlineStr">
        <is>
          <t>Small family TA plant, single-species line — the same class our crews already work at Parks/CQP; scheduling simple; hosting never tested (never contacted).</t>
        </is>
      </c>
      <c r="I6" s="154" t="inlineStr">
        <is>
          <t>★ STRONG: their own site (fetched 2026-09-03): '90% of our team employed here for over a decade' — deep crew tenure — and 'nimble enough to work with smaller orders and custom requests'. Full-time on-site USDA inspector. Sows killed for MEAT — viscera not their product.</t>
        </is>
      </c>
      <c r="J6" s="154" t="inlineStr">
        <is>
          <t>None found (FY23Q4-FY26Q3 checked). Not a confirmed negative.</t>
        </is>
      </c>
      <c r="K6" s="185" t="n">
        <v>4</v>
      </c>
      <c r="L6" s="185" t="n">
        <v>3</v>
      </c>
      <c r="M6" s="185" t="n">
        <v>4</v>
      </c>
      <c r="N6" s="185" t="n">
        <v>1</v>
      </c>
      <c r="O6" s="185" t="n">
        <v>3</v>
      </c>
      <c r="P6" s="185" t="n">
        <v>5</v>
      </c>
      <c r="Q6" s="185" t="n">
        <v>5</v>
      </c>
      <c r="R6" s="185" t="n">
        <v>5</v>
      </c>
      <c r="S6" s="162">
        <f>ROUND(SUMPRODUCT($K$3:$R$3,K6:R6),1)</f>
        <v/>
      </c>
      <c r="T6" s="162">
        <f>ROUND(SUMPRODUCT($K$4:$R$4,K6:R6),1)</f>
        <v/>
      </c>
      <c r="U6" s="187" t="inlineStr">
        <is>
          <t>2</t>
        </is>
      </c>
      <c r="V6" s="154" t="inlineStr">
        <is>
          <t>9-28 UPDATE: Tier 1 → 2. The client's 140-220 lb live-weight target (ChatGPT brief) puts a sow-only floor outside the spec — ANAT 3 → 1; Beebop ranks it #19 for the same reason. Still the best B-T crew profile in the east; revives instantly if sow anatomy is accepted on the Anatomical Spec tab.
THE best structural organ add in the east: sow-class organs at real volume, 20 min from Martin's, federal. Gate: sow anatomy must pass the spec decision — ask the pelvic/bariatric question INTERNALLY before the call. Office hours Tue 9-3; (910) 483-5148. SITE EVIDENCE 2026-09-03: decade-tenured crew, flexible minimums, distributor-partner posture — the best B-T profile on the list.</t>
        </is>
      </c>
      <c r="W6" s="198" t="inlineStr">
        <is>
          <t>— (sow)</t>
        </is>
      </c>
    </row>
    <row r="7" ht="165.8" customHeight="1" s="59">
      <c r="A7" s="153" t="inlineStr">
        <is>
          <t>McLamb's Abattoir &amp; Meats
Benson, NC</t>
        </is>
      </c>
      <c r="B7" s="154" t="inlineStr">
        <is>
          <t>STATE ✓ P-247 (NC)</t>
        </is>
      </c>
      <c r="C7" s="185" t="inlineStr">
        <is>
          <t>NC-East</t>
        </is>
      </c>
      <c r="D7" s="185" t="inlineStr">
        <is>
          <t>58 (Durham)
37 (Pikeville)</t>
        </is>
      </c>
      <c r="E7" s="154" t="inlineStr">
        <is>
          <t>Multi-species incl. hogs
(state species A,B,C,D,E) — boar/stag: ASK (state code does not distinguish)</t>
        </is>
      </c>
      <c r="F7" s="154" t="inlineStr">
        <is>
          <t>unknown — state plants
publish no volumes</t>
        </is>
      </c>
      <c r="G7" s="154" t="inlineStr">
        <is>
          <t>FULL (NC state = APHIS-equivalent)</t>
        </is>
      </c>
      <c r="H7" s="154" t="inlineStr">
        <is>
          <t>Custom-oriented family floor right off I-95, closer than any current supplier except Nahunta; hosting untested but the format matches CQP/Parks.</t>
        </is>
      </c>
      <c r="I7" s="154" t="inlineStr">
        <is>
          <t>Multi-species custom crew (calves, cattle, goats, hogs, lambs) — custom trade implies cut-to-spec basics; offal-return practice unverified.</t>
        </is>
      </c>
      <c r="J7" s="154" t="inlineStr">
        <is>
          <t>None found — state plants sit outside FSIS reporting; site-visit finding.</t>
        </is>
      </c>
      <c r="K7" s="185" t="n">
        <v>5</v>
      </c>
      <c r="L7" s="185" t="n">
        <v>3</v>
      </c>
      <c r="M7" s="185" t="n">
        <v>3</v>
      </c>
      <c r="N7" s="185" t="n">
        <v>3</v>
      </c>
      <c r="O7" s="185" t="n">
        <v>2</v>
      </c>
      <c r="P7" s="185" t="n">
        <v>4</v>
      </c>
      <c r="Q7" s="185" t="n">
        <v>5</v>
      </c>
      <c r="R7" s="185" t="n">
        <v>5</v>
      </c>
      <c r="S7" s="162">
        <f>ROUND(SUMPRODUCT($K$3:$R$3,K7:R7),1)</f>
        <v/>
      </c>
      <c r="T7" s="162">
        <f>ROUND(SUMPRODUCT($K$4:$R$4,K7:R7),1)</f>
        <v/>
      </c>
      <c r="U7" s="186" t="inlineStr">
        <is>
          <t>1</t>
        </is>
      </c>
      <c r="V7" s="154" t="inlineStr">
        <is>
          <t>9-30 SOCIAL: under Lee-family ownership since ~2018 per a May-2024 interview (contracting entity and present manager to confirm) (Shane Lee is the name to ask for); retail market added 2022 — a growing, young operation. RELN 4 → 5. 9-28: Beebop's #2; confirm the contracting entity (Lee's Fresh Market shares address/phone). 58 road mi from Durham.
Top unworked NC state plant: the Nahunta playbook 58 road miles from Durham (37 from the old anchor). Operator Shane Lee. One call closes the volume unknown. (919) 894-2587.</t>
        </is>
      </c>
      <c r="W7" s="198" t="n">
        <v>2</v>
      </c>
    </row>
    <row r="8" ht="58.6" customHeight="1" s="59">
      <c r="A8" s="153" t="inlineStr">
        <is>
          <t>Gale McLamb Meats
Dunn, NC</t>
        </is>
      </c>
      <c r="B8" s="154" t="inlineStr">
        <is>
          <t>STATE ✓ P-221 (NC)</t>
        </is>
      </c>
      <c r="C8" s="185" t="inlineStr">
        <is>
          <t>NC-East</t>
        </is>
      </c>
      <c r="D8" s="185" t="inlineStr">
        <is>
          <t>60 (Durham)
44 (Pikeville)</t>
        </is>
      </c>
      <c r="E8" s="154" t="inlineStr">
        <is>
          <t>Cattle + hogs
(state species A,B,C) — boar/stag: ASK (state code does not distinguish)</t>
        </is>
      </c>
      <c r="F8" s="154" t="inlineStr">
        <is>
          <t>unknown — likely small
retail-butcher scale</t>
        </is>
      </c>
      <c r="G8" s="154" t="inlineStr">
        <is>
          <t>FULL (NC state = APHIS-equivalent)</t>
        </is>
      </c>
      <c r="H8" s="154" t="inlineStr">
        <is>
          <t>Family plant since 1980 on the same I-95 corridor; same untested-but-right format.</t>
        </is>
      </c>
      <c r="I8" s="154" t="inlineStr">
        <is>
          <t>Long-running custom processing incl. hunter deer — a crew used to cutting to customer instruction.</t>
        </is>
      </c>
      <c r="J8" s="154" t="inlineStr">
        <is>
          <t>None found — outside FSIS reporting; site-visit finding.</t>
        </is>
      </c>
      <c r="K8" s="185" t="n">
        <v>5</v>
      </c>
      <c r="L8" s="185" t="n">
        <v>3</v>
      </c>
      <c r="M8" s="185" t="n">
        <v>3</v>
      </c>
      <c r="N8" s="185" t="n">
        <v>3</v>
      </c>
      <c r="O8" s="185" t="n">
        <v>2</v>
      </c>
      <c r="P8" s="185" t="n">
        <v>4</v>
      </c>
      <c r="Q8" s="185" t="n">
        <v>5</v>
      </c>
      <c r="R8" s="185" t="n">
        <v>4</v>
      </c>
      <c r="S8" s="162">
        <f>ROUND(SUMPRODUCT($K$3:$R$3,K8:R8),1)</f>
        <v/>
      </c>
      <c r="T8" s="162">
        <f>ROUND(SUMPRODUCT($K$4:$R$4,K8:R8),1)</f>
        <v/>
      </c>
      <c r="U8" s="186" t="inlineStr">
        <is>
          <t>1</t>
        </is>
      </c>
      <c r="V8" s="154" t="inlineStr">
        <is>
          <t>Pair with McLamb's Benson as one I-95 trip. (910) 892-7279.</t>
        </is>
      </c>
      <c r="W8" s="198" t="n">
        <v>3</v>
      </c>
    </row>
    <row r="9" ht="250" customHeight="1" s="59">
      <c r="A9" s="153" t="inlineStr">
        <is>
          <t>Piedmont Custom Meats
Gibsonville, NC</t>
        </is>
      </c>
      <c r="B9" s="154" t="inlineStr">
        <is>
          <t>USDA ✓ M7975 (T-A)</t>
        </is>
      </c>
      <c r="C9" s="185" t="inlineStr">
        <is>
          <t>NC-West</t>
        </is>
      </c>
      <c r="D9" s="185" t="inlineStr">
        <is>
          <t>48 (Durham)
116 (Pikeville)</t>
        </is>
      </c>
      <c r="E9" s="154" t="inlineStr">
        <is>
          <t>⚠ BOAR/STAG flagged — ALL FOUR hog classes —
only NC plant so flagged</t>
        </is>
      </c>
      <c r="F9" s="154" t="inlineStr">
        <is>
          <t>19-194/wk ALL species
(FSIS cat 2)</t>
        </is>
      </c>
      <c r="G9" s="154" t="inlineStr">
        <is>
          <t>FULL (federal)</t>
        </is>
      </c>
      <c r="H9" s="154" t="inlineStr">
        <is>
          <t>★ Best host structure of any candidate: purpose-built harvest facility, Mon-Fri kill days by appointment (cut schedules organized 5-10 days ahead — plannable), slaughter-only floor, 600+ farm clients — and 48 road mi from Durham (116 from the former Pikeville anchor). Hog kill $85 + $5.06/head disposal fee (their price sheet, 2026-09-03).</t>
        </is>
      </c>
      <c r="I9" s="154" t="inlineStr">
        <is>
          <t>Large skilled custom operation cutting to spec for 600+ farms. Its cut sheet (v. 1/2024) offers liver, heart, kidneys, tongue and leaf fat to customers — organs are NOT simply discarded; availability, ownership (customer's animal on service kills) and competing commitments must be confirmed.</t>
        </is>
      </c>
      <c r="J9" s="154" t="inlineStr">
        <is>
          <t>POSITIVE: Animal Welfare Approved; Temple Grandin-designed handling; written humane policy. Best EU-facing story of any candidate.</t>
        </is>
      </c>
      <c r="K9" s="185" t="n">
        <v>5</v>
      </c>
      <c r="L9" s="185" t="n">
        <v>5</v>
      </c>
      <c r="M9" s="185" t="n">
        <v>4</v>
      </c>
      <c r="N9" s="185" t="n">
        <v>2</v>
      </c>
      <c r="O9" s="185" t="n">
        <v>3</v>
      </c>
      <c r="P9" s="185" t="n">
        <v>5</v>
      </c>
      <c r="Q9" s="185" t="n">
        <v>5</v>
      </c>
      <c r="R9" s="185" t="n">
        <v>3</v>
      </c>
      <c r="S9" s="162">
        <f>ROUND(SUMPRODUCT($K$3:$R$3,K9:R9),1)</f>
        <v/>
      </c>
      <c r="T9" s="162">
        <f>ROUND(SUMPRODUCT($K$4:$R$4,K9:R9),1)</f>
        <v/>
      </c>
      <c r="U9" s="187" t="inlineStr">
        <is>
          <t>2</t>
        </is>
      </c>
      <c r="V9" s="154" t="inlineStr">
        <is>
          <t>9-30 SOCIAL: customer rating middling (3.3/5, 38 reviews); a former kill-floor worker's 'demand higher pay' and supply complaints at the Asheboro site — a culture question for the visit, not a gate. 9-28 BOAR/STAG RULE: FSIS flags boar/stag slaughter here — the client will not mix boars with our hogs. ANAT capped at 2 (was 5); tier 2. GATE on the call: are boars / stags ever run with market hogs, or only on separate days? If never with ours, this can revert. 9-28: Beebop's #1 too. New facts — 150 lb live minimum published (fits the target), NC Farm Bureau capacity-expansion grant, and service-processing of customer-owned animals → ask who owns the organs. 48 road mi from Durham.
The strongest all-round candidate outside the current base. Limit: cat-2 ceiling (~194/wk all species). ⚠ PROTOCOL QUESTION FOR THE CALL: their FAQ (2026-09-03) says hogs get an electric stun 'and a second time to stop their hearts' (occasionally a rifle for heavy hogs) — ask whether OUR designated hogs can skip the second/cardiac stun to protect thoracic organs and aortas. Scheduling line (336) 628-4949.</t>
        </is>
      </c>
      <c r="W9" s="198" t="n">
        <v>1</v>
      </c>
    </row>
    <row r="10" ht="179.2" customHeight="1" s="59">
      <c r="A10" s="153" t="inlineStr">
        <is>
          <t>Flowers Slaughter House
Sims, NC</t>
        </is>
      </c>
      <c r="B10" s="154" t="inlineStr">
        <is>
          <t>USDA ✓ M21747</t>
        </is>
      </c>
      <c r="C10" s="185" t="inlineStr">
        <is>
          <t>NC-East</t>
        </is>
      </c>
      <c r="D10" s="185" t="inlineStr">
        <is>
          <t>63 (Durham)
45 (Pikeville)</t>
        </is>
      </c>
      <c r="E10" s="154" t="inlineStr">
        <is>
          <t>⚠ BOAR/STAG flagged — Market + BOAR/STAG
(largest male anatomy in region)</t>
        </is>
      </c>
      <c r="F10" s="154" t="inlineStr">
        <is>
          <t>19-194/wk (FSIS cat 2)</t>
        </is>
      </c>
      <c r="G10" s="154" t="inlineStr">
        <is>
          <t>FULL (federal)</t>
        </is>
      </c>
      <c r="H10" s="154" t="inlineStr">
        <is>
          <t>Same rural micro-abattoir format our crew already works 3 miles away at CQP; hours M-F 7-5, Sat 7-10.</t>
        </is>
      </c>
      <c r="I10" s="154" t="inlineStr">
        <is>
          <t>Custom-oriented family floor slaughtering whole hogs for farmers — offal return on request is the norm in this class.</t>
        </is>
      </c>
      <c r="J10" s="154" t="inlineStr">
        <is>
          <t>None found.</t>
        </is>
      </c>
      <c r="K10" s="185" t="n">
        <v>4</v>
      </c>
      <c r="L10" s="185" t="n">
        <v>4</v>
      </c>
      <c r="M10" s="185" t="n">
        <v>3</v>
      </c>
      <c r="N10" s="185" t="n">
        <v>2</v>
      </c>
      <c r="O10" s="185" t="n">
        <v>3</v>
      </c>
      <c r="P10" s="185" t="n">
        <v>4</v>
      </c>
      <c r="Q10" s="185" t="n">
        <v>5</v>
      </c>
      <c r="R10" s="185" t="n">
        <v>4</v>
      </c>
      <c r="S10" s="162">
        <f>ROUND(SUMPRODUCT($K$3:$R$3,K10:R10),1)</f>
        <v/>
      </c>
      <c r="T10" s="162">
        <f>ROUND(SUMPRODUCT($K$4:$R$4,K10:R10),1)</f>
        <v/>
      </c>
      <c r="U10" s="187" t="inlineStr">
        <is>
          <t>2</t>
        </is>
      </c>
      <c r="V10" s="154" t="inlineStr">
        <is>
          <t>9-30 SOCIAL: contacts Alan Sharp / Tim Boswell; legal entity Flowers Beef Slaughter LLC; 6,500-follower page, reviews good. 9-28 BOAR/STAG RULE: FSIS flags boar/stag slaughter here — the client will not mix boars with our hogs. ANAT capped at 2 (was 4); tier 2. GATE on the call: are boars / stags ever run with market hogs, or only on separate days? If never with ours, this can revert. Cluster play, not a standalone lane: redundancy for Sims + the region's only boar/stag access. Contacts Alan Sharp / Tim Boswell, (252) 237-2982.</t>
        </is>
      </c>
      <c r="W10" s="199" t="n">
        <v>5</v>
      </c>
    </row>
    <row r="11" ht="98.8" customHeight="1" s="59">
      <c r="A11" s="153" t="inlineStr">
        <is>
          <t>Acre Station Meat Farm
Pinetown, NC</t>
        </is>
      </c>
      <c r="B11" s="154" t="inlineStr">
        <is>
          <t>USDA ✓ M19904 (T-A)</t>
        </is>
      </c>
      <c r="C11" s="185" t="inlineStr">
        <is>
          <t>NC-East</t>
        </is>
      </c>
      <c r="D11" s="185" t="inlineStr">
        <is>
          <t>143 (Durham)
88 (Pikeville)</t>
        </is>
      </c>
      <c r="E11" s="154" t="inlineStr">
        <is>
          <t>Market + SOW</t>
        </is>
      </c>
      <c r="F11" s="154" t="inlineStr">
        <is>
          <t>~150 hogs/wk + cattle
(dated profiles; cat 2 ceiling)</t>
        </is>
      </c>
      <c r="G11" s="154" t="inlineStr">
        <is>
          <t>FULL (federal)</t>
        </is>
      </c>
      <c r="H11" s="154" t="inlineStr">
        <is>
          <t>Own kill floor, slow line, TA structure our crews know; 7,000 sq ft processing — a 1-2 person bench is conceivable but tight.</t>
        </is>
      </c>
      <c r="I11" s="154" t="inlineStr">
        <is>
          <t>Full-service custom plant with PUBLISHED kill fees ($0.19/lb dressed + $0.84/lb) — an established cut-to-spec culture.</t>
        </is>
      </c>
      <c r="J11" s="154" t="inlineStr">
        <is>
          <t>None found (FY23Q4-FY26Q3).</t>
        </is>
      </c>
      <c r="K11" s="185" t="n">
        <v>2</v>
      </c>
      <c r="L11" s="185" t="n">
        <v>3</v>
      </c>
      <c r="M11" s="185" t="n">
        <v>4</v>
      </c>
      <c r="N11" s="185" t="n">
        <v>4</v>
      </c>
      <c r="O11" s="185" t="n">
        <v>2</v>
      </c>
      <c r="P11" s="185" t="n">
        <v>5</v>
      </c>
      <c r="Q11" s="185" t="n">
        <v>5</v>
      </c>
      <c r="R11" s="185" t="n">
        <v>4</v>
      </c>
      <c r="S11" s="162">
        <f>ROUND(SUMPRODUCT($K$3:$R$3,K11:R11),1)</f>
        <v/>
      </c>
      <c r="T11" s="162">
        <f>ROUND(SUMPRODUCT($K$4:$R$4,K11:R11),1)</f>
        <v/>
      </c>
      <c r="U11" s="187" t="inlineStr">
        <is>
          <t>2</t>
        </is>
      </c>
      <c r="V11" s="154" t="inlineStr">
        <is>
          <t>9-30 SOCIAL: contact Richard Huettmann; the plant BUYS its own hogs — organ ownership is not a farmer-consent problem here. Quality/relationship add at Nahunta-like culture; hogs share the week with cattle/sheep/goats, and it is the farthest eastern option (~2 hr). (252) 927-3700.</t>
        </is>
      </c>
      <c r="W11" s="199" t="inlineStr">
        <is>
          <t>—</t>
        </is>
      </c>
    </row>
    <row r="12" ht="165.8" customHeight="1" s="59">
      <c r="A12" s="153" t="inlineStr">
        <is>
          <t>Bass Farms (Bass Farm Sausage)
Spring Hope, NC</t>
        </is>
      </c>
      <c r="B12" s="154" t="inlineStr">
        <is>
          <t>USDA ✓ M3521 (T-A)
grant 2/17/2026 — newest in NC</t>
        </is>
      </c>
      <c r="C12" s="185" t="inlineStr">
        <is>
          <t>NC-North</t>
        </is>
      </c>
      <c r="D12" s="185" t="inlineStr">
        <is>
          <t>61 (Durham)
40 (Pikeville)</t>
        </is>
      </c>
      <c r="E12" s="154" t="inlineStr">
        <is>
          <t>SOW only — mature anatomy</t>
        </is>
      </c>
      <c r="F12" s="154" t="inlineStr">
        <is>
          <t>19-194/wk (FSIS cat 2 —
UP from cat 1 on 8/17;
the expansion is showing)</t>
        </is>
      </c>
      <c r="G12" s="154" t="inlineStr">
        <is>
          <t>FULL (federal)</t>
        </is>
      </c>
      <c r="H12" s="154" t="inlineStr">
        <is>
          <t>Brand-new floor after a $2.2M/40-job expansion; never hosted outsiders; micro-scale.</t>
        </is>
      </c>
      <c r="I12" s="154" t="inlineStr">
        <is>
          <t>Their crew kills sows for their own sausage — organs/aortas currently WASTE; a growth-mode company likely open to a revenue stream from it.</t>
        </is>
      </c>
      <c r="J12" s="154" t="inlineStr">
        <is>
          <t>None found (new grant).</t>
        </is>
      </c>
      <c r="K12" s="185" t="n">
        <v>4</v>
      </c>
      <c r="L12" s="185" t="n">
        <v>2</v>
      </c>
      <c r="M12" s="185" t="n">
        <v>3</v>
      </c>
      <c r="N12" s="185" t="n">
        <v>1</v>
      </c>
      <c r="O12" s="185" t="n">
        <v>2</v>
      </c>
      <c r="P12" s="185" t="n">
        <v>4</v>
      </c>
      <c r="Q12" s="185" t="n">
        <v>5</v>
      </c>
      <c r="R12" s="185" t="n">
        <v>4</v>
      </c>
      <c r="S12" s="162">
        <f>ROUND(SUMPRODUCT($K$3:$R$3,K12:R12),1)</f>
        <v/>
      </c>
      <c r="T12" s="162">
        <f>ROUND(SUMPRODUCT($K$4:$R$4,K12:R12),1)</f>
        <v/>
      </c>
      <c r="U12" s="188" t="inlineStr">
        <is>
          <t>3</t>
        </is>
      </c>
      <c r="V12" s="154" t="inlineStr">
        <is>
          <t>9-28 UPDATE: Tier 2 → 3. Sow-only against the 140-220 lb target (ANAT 3 → 1). Its FSIS band rise (cat 1 → 2) still marks a growing plant 61 mi from Durham — park, don't drop.
★ UPGRADED AGAIN 2026-09-03: FSIS now shows slaughter volume category 2 (19-194 sows/wk) — up from category 1 three weeks ago; the $2.2M expansion is showing up in USDA's own data. Still a mature-anatomy add-on rather than a lane, but a GROWING one, 20-40 min from Sims. President Kenneth Edwards. (252) 478-4147.</t>
        </is>
      </c>
      <c r="W12" s="199" t="inlineStr">
        <is>
          <t>— (sow)</t>
        </is>
      </c>
    </row>
    <row r="13" ht="232.8" customHeight="1" s="59">
      <c r="A13" s="153" t="inlineStr">
        <is>
          <t>Williamsburg Packing Co.
Kingstree, SC</t>
        </is>
      </c>
      <c r="B13" s="154" t="inlineStr">
        <is>
          <t>USDA ✓ M4005 + P4005 + V4005</t>
        </is>
      </c>
      <c r="C13" s="185" t="inlineStr">
        <is>
          <t>SC</t>
        </is>
      </c>
      <c r="D13" s="185" t="inlineStr">
        <is>
          <t>213 (Durham)
190 (Pikeville)</t>
        </is>
      </c>
      <c r="E13" s="154" t="inlineStr">
        <is>
          <t>⚠ BOAR/STAG flagged — ALL FOUR hog classes
(market + sow + roaster + boar/stag —
fresh FSIS flags 2026-09-03)</t>
        </is>
      </c>
      <c r="F13" s="154" t="inlineStr">
        <is>
          <t>cat 3 is ALL SPECIES (poultry + cattle) — NASS caps all of SC at 14,070 hogs/yr; likely 50-200/wk</t>
        </is>
      </c>
      <c r="G13" s="154" t="inlineStr">
        <is>
          <t>FULL (federal; V4005 voluntary grant
— the non-amenable/research mechanism)</t>
        </is>
      </c>
      <c r="H13" s="154" t="inlineStr">
        <is>
          <t>Too far for weekly Model A (190 road mi); nothing known about hosting posture.</t>
        </is>
      </c>
      <c r="I13" s="154" t="inlineStr">
        <is>
          <t>The only NON-INCUMBENT cat-3 floor within ~200 miles, now showing all four swine classes. Voluntary grant V4005 is the research-tissue mechanism. Crew capability unverified.</t>
        </is>
      </c>
      <c r="J13" s="154" t="inlineStr">
        <is>
          <t>No enforcement found; earlier welfare-CERTIFICATION marketing claims were refuted (claims, not violations) — do not lead with welfare in the pitch.</t>
        </is>
      </c>
      <c r="K13" s="185" t="n">
        <v>1</v>
      </c>
      <c r="L13" s="185" t="n">
        <v>2</v>
      </c>
      <c r="M13" s="185" t="n">
        <v>3</v>
      </c>
      <c r="N13" s="185" t="n">
        <v>2</v>
      </c>
      <c r="O13" s="185" t="n">
        <v>2</v>
      </c>
      <c r="P13" s="185" t="n">
        <v>4</v>
      </c>
      <c r="Q13" s="185" t="n">
        <v>5</v>
      </c>
      <c r="R13" s="185" t="n">
        <v>2</v>
      </c>
      <c r="S13" s="162">
        <f>ROUND(SUMPRODUCT($K$3:$R$3,K13:R13),1)</f>
        <v/>
      </c>
      <c r="T13" s="162">
        <f>ROUND(SUMPRODUCT($K$4:$R$4,K13:R13),1)</f>
        <v/>
      </c>
      <c r="U13" s="188" t="inlineStr">
        <is>
          <t>3</t>
        </is>
      </c>
      <c r="V13" s="154" t="inlineStr">
        <is>
          <t>9-30 SOCIAL: half-day hours (7:30-noon) — consistent with a small hog count. 9-28 BOAR/STAG RULE: FSIS flags boar/stag slaughter here — the client will not mix boars with our hogs. ANAT capped at 2 (was 4); tier 3. GATE on the call: are boars / stags ever run with market hogs, or only on separate days? If never with ours, this can revert. 9-28 VOLUME: Tier 2 → 3. NASS 2025: South Carolina's 8 federal plants killed 14,070 hogs all year — the 'only non-incumbent cat-3' was an all-species artifact. ONE call decides it: actual hogs/week (the cat-3 band is a multi-species aggregate, so the hog number could disappoint). If the hog share is real, this is the only outside-the-base volume play in reach — as Model B-T. (843) 355-6447.</t>
        </is>
      </c>
      <c r="W13" s="199" t="inlineStr">
        <is>
          <t>—</t>
        </is>
      </c>
    </row>
    <row r="14" ht="206" customHeight="1" s="59">
      <c r="A14" s="153" t="inlineStr">
        <is>
          <t>Contentnea Farms
Walstonburg, NC</t>
        </is>
      </c>
      <c r="B14" s="154" t="inlineStr">
        <is>
          <t>USDA ✓ M2583 (T-A)
grant 10/29/2025</t>
        </is>
      </c>
      <c r="C14" s="185" t="inlineStr">
        <is>
          <t>NC-East</t>
        </is>
      </c>
      <c r="D14" s="185" t="inlineStr">
        <is>
          <t>90 (Durham)
35 (Pikeville)</t>
        </is>
      </c>
      <c r="E14" s="154" t="inlineStr">
        <is>
          <t>⚠ BOAR/STAG flagged — Market + sow + boar/stag</t>
        </is>
      </c>
      <c r="F14" s="154" t="inlineStr">
        <is>
          <t>&lt;19/wk (FSIS cat 1)</t>
        </is>
      </c>
      <c r="G14" s="154" t="inlineStr">
        <is>
          <t>FULL (federal)</t>
        </is>
      </c>
      <c r="H14" s="154" t="inlineStr">
        <is>
          <t>Too small to host a crew productively.</t>
        </is>
      </c>
      <c r="I14" s="154" t="inlineStr">
        <is>
          <t>Custom shop with published small-pig pricing — cut-to-spec culture at homestead scale.</t>
        </is>
      </c>
      <c r="J14" s="154" t="inlineStr">
        <is>
          <t>None found.</t>
        </is>
      </c>
      <c r="K14" s="185" t="n">
        <v>4</v>
      </c>
      <c r="L14" s="185" t="n">
        <v>2</v>
      </c>
      <c r="M14" s="185" t="n">
        <v>3</v>
      </c>
      <c r="N14" s="185" t="n">
        <v>2</v>
      </c>
      <c r="O14" s="185" t="n">
        <v>1</v>
      </c>
      <c r="P14" s="185" t="n">
        <v>4</v>
      </c>
      <c r="Q14" s="185" t="n">
        <v>5</v>
      </c>
      <c r="R14" s="185" t="n">
        <v>3</v>
      </c>
      <c r="S14" s="162">
        <f>ROUND(SUMPRODUCT($K$3:$R$3,K14:R14),1)</f>
        <v/>
      </c>
      <c r="T14" s="162">
        <f>ROUND(SUMPRODUCT($K$4:$R$4,K14:R14),1)</f>
        <v/>
      </c>
      <c r="U14" s="188" t="inlineStr">
        <is>
          <t>3</t>
        </is>
      </c>
      <c r="V14" s="154" t="inlineStr">
        <is>
          <t>9-30 SOCIAL: 9,900 followers, 5.0/5 on 49 reviews; also processes deer and bears (seasonal). 9-28 BOAR/STAG RULE: FSIS flags boar/stag slaughter here — the client will not mix boars with our hogs. ANAT capped at 2 (was 4); tier 3. GATE on the call: are boars / stags ever run with market hogs, or only on separate days? If never with ours, this can revert. 9-28: Beebop ranks it #4 (active booking site, TA-2583) — but its FSIS band is cat 1 (&lt;19/wk): a cheap call, pilot-scale at best. Tier unchanged.
35 mi from Pikeville but 90 from Durham, and &lt;19/wk: overflow/pilot for odd-lot sow or boar needs only. (252) 717-9229.</t>
        </is>
      </c>
      <c r="W14" s="200" t="n">
        <v>10</v>
      </c>
    </row>
    <row r="15" ht="232.8" customHeight="1" s="59">
      <c r="A15" s="153" t="inlineStr">
        <is>
          <t>Select Meats
Kannapolis, NC</t>
        </is>
      </c>
      <c r="B15" s="154" t="inlineStr">
        <is>
          <t>USDA ✓ M10757 (T-A)</t>
        </is>
      </c>
      <c r="C15" s="185" t="inlineStr">
        <is>
          <t>NC-West</t>
        </is>
      </c>
      <c r="D15" s="185" t="inlineStr">
        <is>
          <t>114 (Durham)
190 (Pikeville)</t>
        </is>
      </c>
      <c r="E15" s="154" t="inlineStr">
        <is>
          <t>MARKET only</t>
        </is>
      </c>
      <c r="F15" s="154" t="inlineStr">
        <is>
          <t>19-194/wk all species
(FSIS cat 2)</t>
        </is>
      </c>
      <c r="G15" s="154" t="inlineStr">
        <is>
          <t>FULL (federal)</t>
        </is>
      </c>
      <c r="H15" s="154" t="inlineStr">
        <is>
          <t>Slaughter-only structure (favorable); facility size and hosting posture unknown — near-zero public footprint.</t>
        </is>
      </c>
      <c r="I15" s="154" t="inlineStr">
        <is>
          <t>Cattle+hogs custom plant since 1987 (mgr Gerald Wood); crew capability unverified.</t>
        </is>
      </c>
      <c r="J15" s="154" t="inlineStr">
        <is>
          <t>None found.</t>
        </is>
      </c>
      <c r="K15" s="185" t="n">
        <v>4</v>
      </c>
      <c r="L15" s="185" t="n">
        <v>3</v>
      </c>
      <c r="M15" s="185" t="n">
        <v>2</v>
      </c>
      <c r="N15" s="185" t="n">
        <v>5</v>
      </c>
      <c r="O15" s="185" t="n">
        <v>3</v>
      </c>
      <c r="P15" s="185" t="n">
        <v>4</v>
      </c>
      <c r="Q15" s="185" t="n">
        <v>5</v>
      </c>
      <c r="R15" s="185" t="n">
        <v>2</v>
      </c>
      <c r="S15" s="162">
        <f>ROUND(SUMPRODUCT($K$3:$R$3,K15:R15),1)</f>
        <v/>
      </c>
      <c r="T15" s="162">
        <f>ROUND(SUMPRODUCT($K$4:$R$4,K15:R15),1)</f>
        <v/>
      </c>
      <c r="U15" s="186" t="inlineStr">
        <is>
          <t>1</t>
        </is>
      </c>
      <c r="V15" s="154" t="inlineStr">
        <is>
          <t>9-30 SOCIAL: contact Gerald Wood; ~4 employees per business listings (volume: tens/wk); animal-protection directory shows no allegations. 9-28 BOAR/STAG RULE: Tier 2 → 1. The cleanest class profile in reach — FSIS flags MARKET hogs only (no sow, no roaster, no boar/stag), federal, cat 2, ~115 road mi from Durham. One call resolves volume. 9-28 UPDATE: Tier 3 → 2. From the Durham origin it is ~115 road miles — INSIDE the radius (it was ~190 from Pikeville). Market-only, cat 2, one call resolves it; Beebop ranks it #17 with the same boundary caveat.
The western sleeper — one phone call resolves it, at 115 road mi from Durham it is inside the radius (190 from Pikeville) to matter. (704) 202-9340 / (704) 933-7550.</t>
        </is>
      </c>
      <c r="W15" s="200" t="n">
        <v>6</v>
      </c>
    </row>
    <row r="16" ht="139" customHeight="1" s="59">
      <c r="A16" s="153" t="inlineStr">
        <is>
          <t>Wilkes Abattoir (Apple Brandy)
N. Wilkesboro, NC</t>
        </is>
      </c>
      <c r="B16" s="154" t="inlineStr">
        <is>
          <t>USDA ✓ M19511 (T-A)</t>
        </is>
      </c>
      <c r="C16" s="185" t="inlineStr">
        <is>
          <t>NC-West</t>
        </is>
      </c>
      <c r="D16" s="185" t="inlineStr">
        <is>
          <t>134 (Durham)
209 (Pikeville)</t>
        </is>
      </c>
      <c r="E16" s="154" t="inlineStr">
        <is>
          <t>⚠ BOAR/STAG flagged — Market + sow + boar/stag</t>
        </is>
      </c>
      <c r="F16" s="154" t="inlineStr">
        <is>
          <t>est. ~10-95 hogs/wk
(cat 2 × ~50% hog share)</t>
        </is>
      </c>
      <c r="G16" s="154" t="inlineStr">
        <is>
          <t>FULL (federal)</t>
        </is>
      </c>
      <c r="H16" s="154" t="inlineStr">
        <is>
          <t>Dedicated slaughter-only site; owner Seth Church; size adequate for a small embedded crew.</t>
        </is>
      </c>
      <c r="I16" s="154" t="inlineStr">
        <is>
          <t>Farmer-service custom abattoir vertically integrated with the Apple Brandy Beef brand — real cut-to-spec capability.</t>
        </is>
      </c>
      <c r="J16" s="154" t="inlineStr">
        <is>
          <t>Prior owner (Thomas Brothers) had repeat suspensions 2009/15/18; clean under Apple Brandy since 2019 — site history an EU auditor could surface.</t>
        </is>
      </c>
      <c r="K16" s="185" t="n">
        <v>2</v>
      </c>
      <c r="L16" s="185" t="n">
        <v>4</v>
      </c>
      <c r="M16" s="185" t="n">
        <v>4</v>
      </c>
      <c r="N16" s="185" t="n">
        <v>2</v>
      </c>
      <c r="O16" s="185" t="n">
        <v>3</v>
      </c>
      <c r="P16" s="185" t="n">
        <v>3</v>
      </c>
      <c r="Q16" s="185" t="n">
        <v>5</v>
      </c>
      <c r="R16" s="185" t="n">
        <v>3</v>
      </c>
      <c r="S16" s="162">
        <f>ROUND(SUMPRODUCT($K$3:$R$3,K16:R16),1)</f>
        <v/>
      </c>
      <c r="T16" s="162">
        <f>ROUND(SUMPRODUCT($K$4:$R$4,K16:R16),1)</f>
        <v/>
      </c>
      <c r="U16" s="188" t="inlineStr">
        <is>
          <t>3</t>
        </is>
      </c>
      <c r="V16" s="154" t="inlineStr">
        <is>
          <t>9-30 SOCIAL: owner Seth Church. 9-28 BOAR/STAG RULE: FSIS flags boar/stag slaughter here — the client will not mix boars with our hogs. ANAT capped at 2 (was 4); tier 3. GATE on the call: are boars / stags ever run with market hogs, or only on separate days? If never with ours, this can revert. Highest confirmed hog share in the west (~half the kill) — but 134 road mi from Durham (209 from Pikeville). Model B-T only. (336) 667-1346.</t>
        </is>
      </c>
      <c r="W16" s="200" t="inlineStr">
        <is>
          <t>—</t>
        </is>
      </c>
    </row>
    <row r="17" ht="165.8" customHeight="1" s="59">
      <c r="A17" s="153" t="inlineStr">
        <is>
          <t>McLaughlin's
Mooresville, NC (Rowan / Iredell)</t>
        </is>
      </c>
      <c r="B17" s="154" t="inlineStr">
        <is>
          <t>NC STATE P-85 (hog-only; sells inside NC)</t>
        </is>
      </c>
      <c r="C17" s="185" t="inlineStr">
        <is>
          <t>NC-West</t>
        </is>
      </c>
      <c r="D17" s="185" t="inlineStr">
        <is>
          <t>119 (Durham, exact)
201 (Pikeville)</t>
        </is>
      </c>
      <c r="E17" s="154" t="inlineStr">
        <is>
          <t>Hog-ONLY (county directory) — class mix unpublished; boar/stag: ASK</t>
        </is>
      </c>
      <c r="F17" s="154" t="inlineStr">
        <is>
          <t>unknown — hog-only sausage/livermush packer (plausibly 100-300/wk; ask)</t>
        </is>
      </c>
      <c r="G17" s="154" t="inlineStr">
        <is>
          <t>FULL (NC state = APHIS-equivalent)</t>
        </is>
      </c>
      <c r="H17" s="154" t="inlineStr">
        <is>
          <t>Hog-only floor 119 road mi from Durham — inside the radius; hosting unknown</t>
        </is>
      </c>
      <c r="I17" s="154" t="inlineStr">
        <is>
          <t>Contact Tom McLaughlin (county directory); unverified 2026 leadership-change signal</t>
        </is>
      </c>
      <c r="J17" s="154" t="inlineStr">
        <is>
          <t>No federal record (state plant — site-visit finding)</t>
        </is>
      </c>
      <c r="K17" s="185" t="n">
        <v>4</v>
      </c>
      <c r="L17" s="185" t="n">
        <v>3</v>
      </c>
      <c r="M17" s="185" t="n">
        <v>3</v>
      </c>
      <c r="N17" s="185" t="n">
        <v>3</v>
      </c>
      <c r="O17" s="185" t="n">
        <v>2</v>
      </c>
      <c r="P17" s="185" t="n">
        <v>4</v>
      </c>
      <c r="Q17" s="185" t="n">
        <v>5</v>
      </c>
      <c r="R17" s="185" t="n">
        <v>4</v>
      </c>
      <c r="S17" s="162">
        <f>ROUND(SUMPRODUCT($K$3:$R$3,K17:R17),1)</f>
        <v/>
      </c>
      <c r="T17" s="162">
        <f>ROUND(SUMPRODUCT($K$4:$R$4,K17:R17),1)</f>
        <v/>
      </c>
      <c r="U17" s="188" t="inlineStr">
        <is>
          <t>3</t>
        </is>
      </c>
      <c r="V17" s="154" t="inlineStr">
        <is>
          <t>9-30 REGISTER B5: the 'western state trio' row is split — McLaughlin's rated on its own (inside the radius at 119 road mi; livers compete with livermush). 9-30 SOCIAL: McLaughlin's announced a new 'captain' in 2026 (ask who runs it; hog-only confirmed); Caldwell's reviews cite forgotten items incl. organ meats never made right — a B-T discipline caution; Price's contact Lee Kong. A future 'western mini-Nahunta' — park until a western crew or B-T supervision loop is justified; then visit Caldwell first.</t>
        </is>
      </c>
      <c r="W17" s="200" t="inlineStr">
        <is>
          <t>—</t>
        </is>
      </c>
    </row>
    <row r="18" ht="139" customHeight="1" s="59">
      <c r="A18" s="153" t="inlineStr">
        <is>
          <t>Key Packing Co.
Robbins, NC</t>
        </is>
      </c>
      <c r="B18" s="154" t="inlineStr">
        <is>
          <t>STATE ✓ P-48 (NC)</t>
        </is>
      </c>
      <c r="C18" s="185" t="inlineStr">
        <is>
          <t>NC-Central</t>
        </is>
      </c>
      <c r="D18" s="185" t="inlineStr">
        <is>
          <t>70 (Durham)
116 (Pikeville)</t>
        </is>
      </c>
      <c r="E18" s="154" t="inlineStr">
        <is>
          <t>Multi-species incl. hogs
(A,B,C,D,E) — boar/stag: ASK (state code does not distinguish)</t>
        </is>
      </c>
      <c r="F18" s="154" t="inlineStr">
        <is>
          <t>unknown (small)</t>
        </is>
      </c>
      <c r="G18" s="154" t="inlineStr">
        <is>
          <t>FULL (NC state = APHIS-equivalent)</t>
        </is>
      </c>
      <c r="H18" s="154" t="inlineStr">
        <is>
          <t>Multi-species state plant at the Sandhills edge; format plausible, untested.</t>
        </is>
      </c>
      <c r="I18" s="154" t="inlineStr">
        <is>
          <t>Custom trade; unverified.</t>
        </is>
      </c>
      <c r="J18" s="154" t="inlineStr">
        <is>
          <t>None found (state).</t>
        </is>
      </c>
      <c r="K18" s="185" t="n">
        <v>4</v>
      </c>
      <c r="L18" s="185" t="n">
        <v>3</v>
      </c>
      <c r="M18" s="185" t="n">
        <v>3</v>
      </c>
      <c r="N18" s="185" t="n">
        <v>3</v>
      </c>
      <c r="O18" s="185" t="n">
        <v>2</v>
      </c>
      <c r="P18" s="185" t="n">
        <v>4</v>
      </c>
      <c r="Q18" s="185" t="n">
        <v>5</v>
      </c>
      <c r="R18" s="185" t="n">
        <v>3</v>
      </c>
      <c r="S18" s="162">
        <f>ROUND(SUMPRODUCT($K$3:$R$3,K18:R18),1)</f>
        <v/>
      </c>
      <c r="T18" s="162">
        <f>ROUND(SUMPRODUCT($K$4:$R$4,K18:R18),1)</f>
        <v/>
      </c>
      <c r="U18" s="188" t="inlineStr">
        <is>
          <t>3</t>
        </is>
      </c>
      <c r="V18" s="154" t="inlineStr">
        <is>
          <t>9-30 REGISTER A1: Gilbert Key (co-founder) died 2026-04-06; Elizabeth Key remains; the current manager is unconfirmed. 9-30 SOCIAL: contacts Gilbert and Elizabeth Key; 4.8/5 on 84 reviews, 100% on Facebook — the best-reviewed plant in the set. 70 road mi from Durham (116 from Pikeville); the best-reviewed plant in the set (4.8/5 on 84 reviews); behind the I-95 pair on every axis. (910) 464-3507.</t>
        </is>
      </c>
      <c r="W18" s="200" t="n">
        <v>7</v>
      </c>
    </row>
    <row r="19" ht="112.2" customHeight="1" s="59">
      <c r="A19" s="153" t="inlineStr">
        <is>
          <t>Hemingway Locker Plant
Hemingway, SC</t>
        </is>
      </c>
      <c r="B19" s="154" t="inlineStr">
        <is>
          <t>USDA ✓ M34181</t>
        </is>
      </c>
      <c r="C19" s="185" t="inlineStr">
        <is>
          <t>SC</t>
        </is>
      </c>
      <c r="D19" s="185" t="inlineStr">
        <is>
          <t>201 (Durham)
180 (Pikeville)</t>
        </is>
      </c>
      <c r="E19" s="154" t="inlineStr">
        <is>
          <t>MARKET hogs</t>
        </is>
      </c>
      <c r="F19" s="154" t="inlineStr">
        <is>
          <t>cat 2 (19-194/wk all species); SC statewide 14,070 hogs/yr across 8 plants (NASS 2025)</t>
        </is>
      </c>
      <c r="G19" s="154" t="inlineStr">
        <is>
          <t>FULL (federal)</t>
        </is>
      </c>
      <c r="H19" s="154" t="inlineStr">
        <is>
          <t>Small-town locker plant, 180 road mi — outside weekly Model A range.</t>
        </is>
      </c>
      <c r="I19" s="154" t="inlineStr">
        <is>
          <t>Market-hog cat-2 federal floor missed by every earlier pass (surfaced in the fresh 2026-09-03 FSIS pull). Locker-plant format implies custom cut-to-spec culture; unverified.</t>
        </is>
      </c>
      <c r="J19" s="154" t="inlineStr">
        <is>
          <t>One humane-handling action: NOS 7/2/2024 (first stun ineffective), held in abeyance 7/3/2024 after same-day corrective action — stunner replaced and retrained (FSIS letter, retrieved 2026-09-03). Nothing since.</t>
        </is>
      </c>
      <c r="K19" s="185" t="n">
        <v>1</v>
      </c>
      <c r="L19" s="185" t="n">
        <v>2</v>
      </c>
      <c r="M19" s="185" t="n">
        <v>3</v>
      </c>
      <c r="N19" s="185" t="n">
        <v>5</v>
      </c>
      <c r="O19" s="185" t="n">
        <v>2</v>
      </c>
      <c r="P19" s="185" t="n">
        <v>3</v>
      </c>
      <c r="Q19" s="185" t="n">
        <v>5</v>
      </c>
      <c r="R19" s="185" t="n">
        <v>3</v>
      </c>
      <c r="S19" s="162">
        <f>ROUND(SUMPRODUCT($K$3:$R$3,K19:R19),1)</f>
        <v/>
      </c>
      <c r="T19" s="162">
        <f>ROUND(SUMPRODUCT($K$4:$R$4,K19:R19),1)</f>
        <v/>
      </c>
      <c r="U19" s="188" t="inlineStr">
        <is>
          <t>3</t>
        </is>
      </c>
      <c r="V19" s="154" t="inlineStr">
        <is>
          <t>NEW FIND 2026-09-03. A market-hog cat-2 federal plant 30 min from Williamsburg Packing — pair the two on one SC exploration trip if Williamsburg's call goes well. Owner Bobby McDaniel Jr. (843) 558-2751.</t>
        </is>
      </c>
      <c r="W19" s="200" t="inlineStr">
        <is>
          <t>—</t>
        </is>
      </c>
    </row>
    <row r="20" ht="45.2" customHeight="1" s="59">
      <c r="A20" s="153" t="inlineStr">
        <is>
          <t>SCR International
Fairmont, NC</t>
        </is>
      </c>
      <c r="B20" s="154" t="inlineStr">
        <is>
          <t>USDA ✓ M9199 (T-A)</t>
        </is>
      </c>
      <c r="C20" s="185" t="inlineStr">
        <is>
          <t>NC-East</t>
        </is>
      </c>
      <c r="D20" s="185" t="inlineStr">
        <is>
          <t>131 (Durham)
114 (Pikeville)</t>
        </is>
      </c>
      <c r="E20" s="154" t="inlineStr">
        <is>
          <t>Roasters 10-110 lb
(lechon/ethnic trade)</t>
        </is>
      </c>
      <c r="F20" s="154" t="inlineStr">
        <is>
          <t>19-194/wk (FSIS cat 2)</t>
        </is>
      </c>
      <c r="G20" s="154" t="inlineStr">
        <is>
          <t>FULL (federal)</t>
        </is>
      </c>
      <c r="H20" s="154" t="inlineStr">
        <is>
          <t>Very small; ~90 min SW; duplicates Parks' roaster niche.</t>
        </is>
      </c>
      <c r="I20" s="154" t="inlineStr">
        <is>
          <t>Whole-pig roaster house — dresses whole; small-pig anatomy wrong for our blocks.</t>
        </is>
      </c>
      <c r="J20" s="154" t="inlineStr">
        <is>
          <t>None found.</t>
        </is>
      </c>
      <c r="K20" s="185" t="n">
        <v>2</v>
      </c>
      <c r="L20" s="185" t="n">
        <v>2</v>
      </c>
      <c r="M20" s="185" t="n">
        <v>2</v>
      </c>
      <c r="N20" s="185" t="n">
        <v>2</v>
      </c>
      <c r="O20" s="185" t="n">
        <v>3</v>
      </c>
      <c r="P20" s="185" t="n">
        <v>4</v>
      </c>
      <c r="Q20" s="185" t="n">
        <v>5</v>
      </c>
      <c r="R20" s="185" t="n">
        <v>2</v>
      </c>
      <c r="S20" s="162">
        <f>ROUND(SUMPRODUCT($K$3:$R$3,K20:R20),1)</f>
        <v/>
      </c>
      <c r="T20" s="162">
        <f>ROUND(SUMPRODUCT($K$4:$R$4,K20:R20),1)</f>
        <v/>
      </c>
      <c r="U20" s="189" t="inlineStr">
        <is>
          <t>X</t>
        </is>
      </c>
      <c r="V20" s="154" t="inlineStr">
        <is>
          <t>Identified 2026-08-17: a second Parks with no upside and a dead website. Logged so nobody spends a trip on it.</t>
        </is>
      </c>
      <c r="W20" s="201" t="inlineStr">
        <is>
          <t>—</t>
        </is>
      </c>
    </row>
    <row r="21" ht="72" customHeight="1" s="59">
      <c r="A21" s="153" t="inlineStr">
        <is>
          <t>Quaqua Creek Farm
Ruffin, NC (Rockingham)</t>
        </is>
      </c>
      <c r="B21" s="154" t="inlineStr">
        <is>
          <t>NC STATE P-375 (NCDA directory 2026-09-18)</t>
        </is>
      </c>
      <c r="C21" s="185" t="inlineStr">
        <is>
          <t>NC-North</t>
        </is>
      </c>
      <c r="D21" s="185" t="inlineStr">
        <is>
          <t>67 (Durham)
n/m (Pikeville)</t>
        </is>
      </c>
      <c r="E21" s="154" t="inlineStr">
        <is>
          <t>Species A-E incl. swine (state code C); hog share unknown — boar/stag: ASK (state code does not distinguish)</t>
        </is>
      </c>
      <c r="F21" s="154" t="inlineStr">
        <is>
          <t>unknown — state plants publish no band</t>
        </is>
      </c>
      <c r="G21" s="154" t="inlineStr">
        <is>
          <t>NC state = APHIS-accepted for our harvest path</t>
        </is>
      </c>
      <c r="H21" s="154" t="inlineStr">
        <is>
          <t>Small state floor ~1 h from Durham; hosting unknown</t>
        </is>
      </c>
      <c r="I21" s="154" t="inlineStr">
        <is>
          <t>Unknown crew; family plant</t>
        </is>
      </c>
      <c r="J21" s="154" t="inlineStr">
        <is>
          <t>No federal record (state plant — site-visit finding)</t>
        </is>
      </c>
      <c r="K21" s="185" t="n">
        <v>4</v>
      </c>
      <c r="L21" s="185" t="n">
        <v>3</v>
      </c>
      <c r="M21" s="185" t="n">
        <v>3</v>
      </c>
      <c r="N21" s="185" t="n">
        <v>3</v>
      </c>
      <c r="O21" s="185" t="n">
        <v>1</v>
      </c>
      <c r="P21" s="185" t="n">
        <v>4</v>
      </c>
      <c r="Q21" s="185" t="n">
        <v>5</v>
      </c>
      <c r="R21" s="185" t="n">
        <v>3</v>
      </c>
      <c r="S21" s="162">
        <f>ROUND(SUMPRODUCT($K$3:$R$3,K21:R21),1)</f>
        <v/>
      </c>
      <c r="T21" s="162">
        <f>ROUND(SUMPRODUCT($K$4:$R$4,K21:R21),1)</f>
        <v/>
      </c>
      <c r="U21" s="188" t="inlineStr">
        <is>
          <t>3</t>
        </is>
      </c>
      <c r="V21" s="154" t="n"/>
      <c r="W21" s="200" t="n">
        <v>8</v>
      </c>
    </row>
    <row r="22" ht="45.2" customHeight="1" s="59">
      <c r="A22" s="153" t="inlineStr">
        <is>
          <t>Cool Springs Farm and Meat
Yadkinville, NC (Yadkin)</t>
        </is>
      </c>
      <c r="B22" s="154" t="inlineStr">
        <is>
          <t>USDA M1041 (grant 10/28/2024; NCDA TA-1041)</t>
        </is>
      </c>
      <c r="C22" s="185" t="inlineStr">
        <is>
          <t>NC-West</t>
        </is>
      </c>
      <c r="D22" s="185" t="inlineStr">
        <is>
          <t>107 (Durham)
n/m (Pikeville)</t>
        </is>
      </c>
      <c r="E22" s="154" t="inlineStr">
        <is>
          <t>MARKET swine flag (FSIS) + cattle/sheep</t>
        </is>
      </c>
      <c r="F22" s="154" t="inlineStr">
        <is>
          <t>&lt;19/wk (cat 1) — pilot scale</t>
        </is>
      </c>
      <c r="G22" s="154" t="inlineStr">
        <is>
          <t>Federal</t>
        </is>
      </c>
      <c r="H22" s="154" t="inlineStr">
        <is>
          <t>New small floor; also runs custom work — ask which hogs are inspected</t>
        </is>
      </c>
      <c r="I22" s="154" t="inlineStr">
        <is>
          <t>Family business since 1976 (company site) (federal grant 2024); crew unknown</t>
        </is>
      </c>
      <c r="J22" s="154" t="inlineStr">
        <is>
          <t>None found (grant &lt;2 yrs)</t>
        </is>
      </c>
      <c r="K22" s="185" t="n">
        <v>4</v>
      </c>
      <c r="L22" s="185" t="n">
        <v>3</v>
      </c>
      <c r="M22" s="185" t="n">
        <v>2</v>
      </c>
      <c r="N22" s="185" t="n">
        <v>4</v>
      </c>
      <c r="O22" s="185" t="n">
        <v>1</v>
      </c>
      <c r="P22" s="185" t="n">
        <v>4</v>
      </c>
      <c r="Q22" s="185" t="n">
        <v>5</v>
      </c>
      <c r="R22" s="185" t="n">
        <v>3</v>
      </c>
      <c r="S22" s="162">
        <f>ROUND(SUMPRODUCT($K$3:$R$3,K22:R22),1)</f>
        <v/>
      </c>
      <c r="T22" s="162">
        <f>ROUND(SUMPRODUCT($K$4:$R$4,K22:R22),1)</f>
        <v/>
      </c>
      <c r="U22" s="188" t="inlineStr">
        <is>
          <t>3</t>
        </is>
      </c>
      <c r="V22" s="154" t="inlineStr">
        <is>
          <t xml:space="preserve">9-30 SOCIAL: in business since 1976 (company site) (Oct-2024 is the federal grant); contact Justin Atkinson. </t>
        </is>
      </c>
      <c r="W22" s="200" t="inlineStr">
        <is>
          <t>follow-up</t>
        </is>
      </c>
    </row>
    <row r="23" ht="112.2" customHeight="1" s="59">
      <c r="A23" s="153" t="inlineStr">
        <is>
          <t>Mitchell's Butchery (M.L. Mitchell &amp; Son)
Walnut Cove, NC (Stokes)</t>
        </is>
      </c>
      <c r="B23" s="154" t="inlineStr">
        <is>
          <t>USDA M46822 / NCDA TA-46822</t>
        </is>
      </c>
      <c r="C23" s="185" t="inlineStr">
        <is>
          <t>NC-West</t>
        </is>
      </c>
      <c r="D23" s="185" t="inlineStr">
        <is>
          <t>85 (Durham)
160 (Pikeville)</t>
        </is>
      </c>
      <c r="E23" s="154" t="inlineStr">
        <is>
          <t>⚠ BOAR/STAG flagged — MARKET + SOW + boar/stag (FSIS)</t>
        </is>
      </c>
      <c r="F23" s="154" t="inlineStr">
        <is>
          <t>&lt;19/wk (cat 1)</t>
        </is>
      </c>
      <c r="G23" s="154" t="inlineStr">
        <is>
          <t>Federal</t>
        </is>
      </c>
      <c r="H23" s="154" t="inlineStr">
        <is>
          <t>Small floor; family business with a live site + Instagram text line</t>
        </is>
      </c>
      <c r="I23" s="154" t="inlineStr">
        <is>
          <t>Unknown; sister plant (Chop Shop, King) closed 7/2026</t>
        </is>
      </c>
      <c r="J23" s="154" t="inlineStr">
        <is>
          <t>FAILED-STUN / conscious-cut record on the roster — WELF 1; a discussion item, not an auto-exclusion</t>
        </is>
      </c>
      <c r="K23" s="185" t="n">
        <v>4</v>
      </c>
      <c r="L23" s="185" t="n">
        <v>3</v>
      </c>
      <c r="M23" s="185" t="n">
        <v>3</v>
      </c>
      <c r="N23" s="185" t="n">
        <v>2</v>
      </c>
      <c r="O23" s="185" t="n">
        <v>1</v>
      </c>
      <c r="P23" s="185" t="n">
        <v>1</v>
      </c>
      <c r="Q23" s="185" t="n">
        <v>5</v>
      </c>
      <c r="R23" s="185" t="n">
        <v>3</v>
      </c>
      <c r="S23" s="162">
        <f>ROUND(SUMPRODUCT($K$3:$R$3,K23:R23),1)</f>
        <v/>
      </c>
      <c r="T23" s="162">
        <f>ROUND(SUMPRODUCT($K$4:$R$4,K23:R23),1)</f>
        <v/>
      </c>
      <c r="U23" s="188" t="inlineStr">
        <is>
          <t>3</t>
        </is>
      </c>
      <c r="V23" s="154" t="inlineStr">
        <is>
          <t xml:space="preserve">9-30 SOCIAL: contact Kristine Mitchell; Facebook 78% recommend — lowest in the set. 9-28 BOAR/STAG RULE: FSIS flags boar/stag slaughter here — the client will not mix boars with our hogs. ANAT capped at 2 (was 4); tier 3. GATE on the call: are boars / stags ever run with market hogs, or only on separate days? If never with ours, this can revert. </t>
        </is>
      </c>
      <c r="W23" s="200" t="inlineStr">
        <is>
          <t>follow-up</t>
        </is>
      </c>
    </row>
    <row r="24" ht="250" customHeight="1" s="59">
      <c r="A24" s="153" t="inlineStr">
        <is>
          <t>EcoFriendly Foods, LLC
Moneta, VA (Bedford)</t>
        </is>
      </c>
      <c r="B24" s="154" t="inlineStr">
        <is>
          <t>USDA M21938 + P21938 (federal — a VA state grant would not qualify)</t>
        </is>
      </c>
      <c r="C24" s="185" t="inlineStr">
        <is>
          <t>VA-South</t>
        </is>
      </c>
      <c r="D24" s="185" t="inlineStr">
        <is>
          <t>120 (Durham, exact — boundary)
198 (Pikeville)</t>
        </is>
      </c>
      <c r="E24" s="154" t="inlineStr">
        <is>
          <t>⚠ BOAR/STAG flagged — MARKET + SOW + ROASTER + boar/stag (all four FSIS classes)</t>
        </is>
      </c>
      <c r="F24" s="154" t="inlineStr">
        <is>
          <t>OPERATING STATUS DISPUTED (undated 'closed' directory flag vs live site) · cat 3 is ALL SPECIES incl. poultry — NASS caps all of VA at 7,841 hogs/yr; realistically tens/wk</t>
        </is>
      </c>
      <c r="G24" s="154" t="inlineStr">
        <is>
          <t>Federal</t>
        </is>
      </c>
      <c r="H24" s="154" t="inlineStr">
        <is>
          <t>Unknown hosting; a working multi-class floor ~2 h from Durham</t>
        </is>
      </c>
      <c r="I24" s="154" t="inlineStr">
        <is>
          <t>Unknown crew</t>
        </is>
      </c>
      <c r="J24" s="154" t="inlineStr">
        <is>
          <t>CERTIFIED HUMANE — strongest welfare match in the study; the 'ceased ~2020' report is contradicted by the active grant and a live site (9-03): confirm operating on the call</t>
        </is>
      </c>
      <c r="K24" s="185" t="n">
        <v>4</v>
      </c>
      <c r="L24" s="185" t="n">
        <v>3</v>
      </c>
      <c r="M24" s="185" t="n">
        <v>3</v>
      </c>
      <c r="N24" s="185" t="n">
        <v>2</v>
      </c>
      <c r="O24" s="185" t="n">
        <v>2</v>
      </c>
      <c r="P24" s="185" t="n">
        <v>5</v>
      </c>
      <c r="Q24" s="185" t="n">
        <v>5</v>
      </c>
      <c r="R24" s="185" t="n">
        <v>3</v>
      </c>
      <c r="S24" s="162">
        <f>ROUND(SUMPRODUCT($K$3:$R$3,K24:R24),1)</f>
        <v/>
      </c>
      <c r="T24" s="162">
        <f>ROUND(SUMPRODUCT($K$4:$R$4,K24:R24),1)</f>
        <v/>
      </c>
      <c r="U24" s="188" t="inlineStr">
        <is>
          <t>3</t>
        </is>
      </c>
      <c r="V24" s="154" t="inlineStr">
        <is>
          <t>9-30 SOCIAL: YellowPages lists it CLOSED and the phone conflicts across listings — operating status is the first call question. 9-28 BOAR/STAG RULE: FSIS flags boar/stag slaughter here — the client will not mix boars with our hogs. ANAT capped at 2 (was 4); tier 3. GATE on the call: are boars / stags ever run with market hogs, or only on separate days? If never with ours, this can revert. 9-28 v2.1: Tier 3 → 2, with a GATE. Beebop's point stands — this is a Model B-T harvesting-service call, not a volume play; its A/B scores (3.6 / 3.5) sit at Tier-2 level and parking it contradicted them. Gate on the call: is it operating today, and how many hogs in the 140-220 lb range per week (expect tens, not hundreds — Virginia's whole federal total is 7,841/yr). 9-28 VOLUME: Tier 2 → 3. NASS 2025 shows Virginia's 16 federal plants killed 7,841 hogs all year; the cat-3 band here is poultry-driven. Welfare-branded pilot candidate, not a volume lane. 9-28 r2: exact-address routing puts it at 120.4 road / 92.6 radial miles — a boundary case; PROX held at 4 pending the real departure point. 9-28 NEW ON THE SHORTLIST: the Durham origin brings it to ~112 road miles (city-level estimate — it was 198 from Pikeville). Cat 3 with all four hog classes and Certified Humane branding; Tier 2 with one gate — is it operating today, and is the real departure point Durham? Model B-T fits best at this distance.</t>
        </is>
      </c>
      <c r="W24" s="200" t="n">
        <v>4</v>
      </c>
    </row>
    <row r="25" ht="72" customHeight="1" s="59">
      <c r="A25" s="153" t="inlineStr">
        <is>
          <t>Farmington Meat Processing
Mocksville, NC (Davie)</t>
        </is>
      </c>
      <c r="B25" s="154" t="inlineStr">
        <is>
          <t>NC STATE P-381 (NCDA directory 2026-09-18)</t>
        </is>
      </c>
      <c r="C25" s="185" t="inlineStr">
        <is>
          <t>NC-West</t>
        </is>
      </c>
      <c r="D25" s="185" t="inlineStr">
        <is>
          <t>103 (Durham)
n/m (Pikeville)</t>
        </is>
      </c>
      <c r="E25" s="154" t="inlineStr">
        <is>
          <t>Species A-E incl. swine (state code C); hog share unknown — boar/stag: ASK (state code does not distinguish)</t>
        </is>
      </c>
      <c r="F25" s="154" t="inlineStr">
        <is>
          <t>unknown — state plants publish no band</t>
        </is>
      </c>
      <c r="G25" s="154" t="inlineStr">
        <is>
          <t>NC state = APHIS-accepted for our harvest path</t>
        </is>
      </c>
      <c r="H25" s="154" t="inlineStr">
        <is>
          <t>Small custom-model floor ~1 h 45 from Durham; hosting unknown</t>
        </is>
      </c>
      <c r="I25" s="154" t="inlineStr">
        <is>
          <t>Unknown crew</t>
        </is>
      </c>
      <c r="J25" s="154" t="inlineStr">
        <is>
          <t>No federal record (state plant — site-visit finding)</t>
        </is>
      </c>
      <c r="K25" s="185" t="n">
        <v>4</v>
      </c>
      <c r="L25" s="185" t="n">
        <v>3</v>
      </c>
      <c r="M25" s="185" t="n">
        <v>3</v>
      </c>
      <c r="N25" s="185" t="n">
        <v>3</v>
      </c>
      <c r="O25" s="185" t="n">
        <v>1</v>
      </c>
      <c r="P25" s="185" t="n">
        <v>4</v>
      </c>
      <c r="Q25" s="185" t="n">
        <v>5</v>
      </c>
      <c r="R25" s="185" t="n">
        <v>3</v>
      </c>
      <c r="S25" s="162">
        <f>ROUND(SUMPRODUCT($K$3:$R$3,K25:R25),1)</f>
        <v/>
      </c>
      <c r="T25" s="162">
        <f>ROUND(SUMPRODUCT($K$4:$R$4,K25:R25),1)</f>
        <v/>
      </c>
      <c r="U25" s="188" t="inlineStr">
        <is>
          <t>3</t>
        </is>
      </c>
      <c r="V25" s="154" t="inlineStr">
        <is>
          <t xml:space="preserve">9-30 SOCIAL: 5.0/5 on 20 reviews, 9,100 followers; deer season is a seasonal load. </t>
        </is>
      </c>
      <c r="W25" s="200" t="n">
        <v>9</v>
      </c>
    </row>
    <row r="26" ht="85.40000000000001" customHeight="1" s="59">
      <c r="A26" s="153" t="inlineStr">
        <is>
          <t>Easternview Farms
Drakes Branch, VA (Charlotte)</t>
        </is>
      </c>
      <c r="B26" s="154" t="inlineStr">
        <is>
          <t>USDA M1908 + V1908 (grant 5/14/2024)</t>
        </is>
      </c>
      <c r="C26" s="185" t="inlineStr">
        <is>
          <t>VA-South</t>
        </is>
      </c>
      <c r="D26" s="185" t="inlineStr">
        <is>
          <t>76 (Durham)
n/m (Pikeville)</t>
        </is>
      </c>
      <c r="E26" s="154" t="inlineStr">
        <is>
          <t>⚠ BOAR/STAG flagged — MARKET + SOW + boar/stag (FSIS)</t>
        </is>
      </c>
      <c r="F26" s="154" t="inlineStr">
        <is>
          <t>&lt;19/wk (cat 1) — pilot scale</t>
        </is>
      </c>
      <c r="G26" s="154" t="inlineStr">
        <is>
          <t>Federal (plus a V research-species grant)</t>
        </is>
      </c>
      <c r="H26" s="154" t="inlineStr">
        <is>
          <t>Farm-based floor 76 mi from Durham; own site describes on-site slaughter</t>
        </is>
      </c>
      <c r="I26" s="154" t="inlineStr">
        <is>
          <t>Unknown crew</t>
        </is>
      </c>
      <c r="J26" s="154" t="inlineStr">
        <is>
          <t>None found (grant &lt;2 yrs)</t>
        </is>
      </c>
      <c r="K26" s="185" t="n">
        <v>4</v>
      </c>
      <c r="L26" s="185" t="n">
        <v>3</v>
      </c>
      <c r="M26" s="185" t="n">
        <v>3</v>
      </c>
      <c r="N26" s="185" t="n">
        <v>2</v>
      </c>
      <c r="O26" s="185" t="n">
        <v>1</v>
      </c>
      <c r="P26" s="185" t="n">
        <v>4</v>
      </c>
      <c r="Q26" s="185" t="n">
        <v>5</v>
      </c>
      <c r="R26" s="185" t="n">
        <v>3</v>
      </c>
      <c r="S26" s="162">
        <f>ROUND(SUMPRODUCT($K$3:$R$3,K26:R26),1)</f>
        <v/>
      </c>
      <c r="T26" s="162">
        <f>ROUND(SUMPRODUCT($K$4:$R$4,K26:R26),1)</f>
        <v/>
      </c>
      <c r="U26" s="188" t="inlineStr">
        <is>
          <t>3</t>
        </is>
      </c>
      <c r="V26" s="154" t="inlineStr">
        <is>
          <t xml:space="preserve">9-28 BOAR/STAG RULE: FSIS flags boar/stag slaughter here — the client will not mix boars with our hogs. ANAT capped at 2 (was 4); tier 3. GATE on the call: are boars / stags ever run with market hogs, or only on separate days? If never with ours, this can revert. </t>
        </is>
      </c>
      <c r="W26" s="200" t="inlineStr">
        <is>
          <t>follow-up</t>
        </is>
      </c>
    </row>
    <row r="27" ht="112.2" customHeight="1" s="59">
      <c r="A27" s="153" t="inlineStr">
        <is>
          <t>The Butcher's Block
Dry Fork, VA (Pittsylvania)</t>
        </is>
      </c>
      <c r="B27" s="154" t="inlineStr">
        <is>
          <t>USDA M763 (grant 2/13/2024)</t>
        </is>
      </c>
      <c r="C27" s="185" t="inlineStr">
        <is>
          <t>VA-South</t>
        </is>
      </c>
      <c r="D27" s="185" t="inlineStr">
        <is>
          <t>74 (Durham)
n/m (Pikeville)</t>
        </is>
      </c>
      <c r="E27" s="154" t="inlineStr">
        <is>
          <t>⚠ BOAR/STAG flagged — MARKET + SOW + ROASTER + boar/stag (all four FSIS classes)</t>
        </is>
      </c>
      <c r="F27" s="154" t="inlineStr">
        <is>
          <t>&lt;19/wk (cat 1) — pilot scale</t>
        </is>
      </c>
      <c r="G27" s="154" t="inlineStr">
        <is>
          <t>Federal</t>
        </is>
      </c>
      <c r="H27" s="154" t="inlineStr">
        <is>
          <t>Small floor 74 mi from Durham; hosting unknown</t>
        </is>
      </c>
      <c r="I27" s="154" t="inlineStr">
        <is>
          <t>Unknown crew</t>
        </is>
      </c>
      <c r="J27" s="154" t="inlineStr">
        <is>
          <t>None found (grant &lt;2 yrs)</t>
        </is>
      </c>
      <c r="K27" s="185" t="n">
        <v>4</v>
      </c>
      <c r="L27" s="185" t="n">
        <v>3</v>
      </c>
      <c r="M27" s="185" t="n">
        <v>3</v>
      </c>
      <c r="N27" s="185" t="n">
        <v>2</v>
      </c>
      <c r="O27" s="185" t="n">
        <v>1</v>
      </c>
      <c r="P27" s="185" t="n">
        <v>4</v>
      </c>
      <c r="Q27" s="185" t="n">
        <v>5</v>
      </c>
      <c r="R27" s="185" t="n">
        <v>3</v>
      </c>
      <c r="S27" s="162">
        <f>ROUND(SUMPRODUCT($K$3:$R$3,K27:R27),1)</f>
        <v/>
      </c>
      <c r="T27" s="162">
        <f>ROUND(SUMPRODUCT($K$4:$R$4,K27:R27),1)</f>
        <v/>
      </c>
      <c r="U27" s="188" t="inlineStr">
        <is>
          <t>3</t>
        </is>
      </c>
      <c r="V27" s="154" t="inlineStr">
        <is>
          <t xml:space="preserve">9-30 SOCIAL: owners Andy and Samantha Thomas; 4.7/5 on 26 reviews. 9-28 BOAR/STAG RULE: FSIS flags boar/stag slaughter here — the client will not mix boars with our hogs. ANAT capped at 2 (was 4); tier 3. GATE on the call: are boars / stags ever run with market hogs, or only on separate days? If never with ours, this can revert. </t>
        </is>
      </c>
      <c r="W27" s="200" t="inlineStr">
        <is>
          <t>—</t>
        </is>
      </c>
    </row>
    <row r="28" ht="45.2" customHeight="1" s="59">
      <c r="A28" s="153" t="inlineStr">
        <is>
          <t>Caldwell Meat Processing
Maiden, NC (Lincoln)</t>
        </is>
      </c>
      <c r="B28" s="154" t="inlineStr">
        <is>
          <t>NC STATE P-312</t>
        </is>
      </c>
      <c r="C28" s="185" t="inlineStr">
        <is>
          <t>NC-West</t>
        </is>
      </c>
      <c r="D28" s="185" t="inlineStr">
        <is>
          <t>152 ≈ (Durham)
227 (Pikeville)</t>
        </is>
      </c>
      <c r="E28" s="154" t="inlineStr">
        <is>
          <t>Hog-ONLY — class mix unpublished; boar/stag: ASK</t>
        </is>
      </c>
      <c r="F28" s="154" t="inlineStr">
        <is>
          <t>unknown — hog-only packer (ask)</t>
        </is>
      </c>
      <c r="G28" s="154" t="inlineStr">
        <is>
          <t>NC state = APHIS-accepted for our harvest path</t>
        </is>
      </c>
      <c r="H28" s="154" t="inlineStr">
        <is>
          <t>Hog-only floor; owner Kevin Caldwell; one customer allegation on missing cuts (unverified)</t>
        </is>
      </c>
      <c r="I28" s="154" t="inlineStr">
        <is>
          <t>Unknown crew</t>
        </is>
      </c>
      <c r="J28" s="154" t="inlineStr">
        <is>
          <t>No federal record (state plant — site-visit finding)</t>
        </is>
      </c>
      <c r="K28" s="185" t="n">
        <v>2</v>
      </c>
      <c r="L28" s="185" t="n">
        <v>3</v>
      </c>
      <c r="M28" s="185" t="n">
        <v>3</v>
      </c>
      <c r="N28" s="185" t="n">
        <v>3</v>
      </c>
      <c r="O28" s="185" t="n">
        <v>1</v>
      </c>
      <c r="P28" s="185" t="n">
        <v>4</v>
      </c>
      <c r="Q28" s="185" t="n">
        <v>5</v>
      </c>
      <c r="R28" s="185" t="n">
        <v>3</v>
      </c>
      <c r="S28" s="162">
        <f>ROUND(SUMPRODUCT($K$3:$R$3,K28:R28),1)</f>
        <v/>
      </c>
      <c r="T28" s="162">
        <f>ROUND(SUMPRODUCT($K$4:$R$4,K28:R28),1)</f>
        <v/>
      </c>
      <c r="U28" s="188" t="inlineStr">
        <is>
          <t>3</t>
        </is>
      </c>
      <c r="V28" s="154" t="inlineStr">
        <is>
          <t>9-30 REGISTER B5: split out of the former 'western state trio' row; beyond the Model A radius from Durham — Model B-T only.</t>
        </is>
      </c>
      <c r="W28" s="200" t="inlineStr">
        <is>
          <t>—</t>
        </is>
      </c>
    </row>
    <row r="29" ht="45.2" customHeight="1" s="59">
      <c r="A29" s="153" t="inlineStr">
        <is>
          <t>Price's Custom Meat Cutting &amp; Abattoir
Hickory, NC (Burke)</t>
        </is>
      </c>
      <c r="B29" s="154" t="inlineStr">
        <is>
          <t>NC STATE P-307</t>
        </is>
      </c>
      <c r="C29" s="185" t="inlineStr">
        <is>
          <t>NC-West</t>
        </is>
      </c>
      <c r="D29" s="185" t="inlineStr">
        <is>
          <t>150 ≈ (Durham)
213 (Pikeville)</t>
        </is>
      </c>
      <c r="E29" s="154" t="inlineStr">
        <is>
          <t>Hog-ONLY — class mix unpublished; boar/stag: ASK</t>
        </is>
      </c>
      <c r="F29" s="154" t="inlineStr">
        <is>
          <t>unknown — hog-only packer (ask)</t>
        </is>
      </c>
      <c r="G29" s="154" t="inlineStr">
        <is>
          <t>NC state = APHIS-accepted for our harvest path</t>
        </is>
      </c>
      <c r="H29" s="154" t="inlineStr">
        <is>
          <t>Hog-only; kills Mon/Wed; hand-scrapes large hogs; contact Lee Kong</t>
        </is>
      </c>
      <c r="I29" s="154" t="inlineStr">
        <is>
          <t>Unknown crew</t>
        </is>
      </c>
      <c r="J29" s="154" t="inlineStr">
        <is>
          <t>No federal record (state plant — site-visit finding)</t>
        </is>
      </c>
      <c r="K29" s="185" t="n">
        <v>2</v>
      </c>
      <c r="L29" s="185" t="n">
        <v>3</v>
      </c>
      <c r="M29" s="185" t="n">
        <v>3</v>
      </c>
      <c r="N29" s="185" t="n">
        <v>3</v>
      </c>
      <c r="O29" s="185" t="n">
        <v>1</v>
      </c>
      <c r="P29" s="185" t="n">
        <v>4</v>
      </c>
      <c r="Q29" s="185" t="n">
        <v>5</v>
      </c>
      <c r="R29" s="185" t="n">
        <v>3</v>
      </c>
      <c r="S29" s="162">
        <f>ROUND(SUMPRODUCT($K$3:$R$3,K29:R29),1)</f>
        <v/>
      </c>
      <c r="T29" s="162">
        <f>ROUND(SUMPRODUCT($K$4:$R$4,K29:R29),1)</f>
        <v/>
      </c>
      <c r="U29" s="188" t="inlineStr">
        <is>
          <t>3</t>
        </is>
      </c>
      <c r="V29" s="154" t="inlineStr">
        <is>
          <t>9-30 REGISTER B5: split out of the former 'western state trio' row; beyond the Model A radius from Durham — Model B-T only.</t>
        </is>
      </c>
      <c r="W29" s="200" t="inlineStr">
        <is>
          <t>—</t>
        </is>
      </c>
    </row>
  </sheetData>
  <autoFilter ref="A5:W29"/>
  <mergeCells count="2">
    <mergeCell ref="A2:W2"/>
    <mergeCell ref="A1:W1"/>
  </mergeCells>
  <pageMargins left="0.75" right="0.75" top="1" bottom="1" header="0.5" footer="0.5"/>
  <pageSetup orientation="landscape" fitToHeight="0" fitToWidth="1"/>
</worksheet>
</file>

<file path=xl/worksheets/sheet5.xml><?xml version="1.0" encoding="utf-8"?>
<worksheet xmlns="http://schemas.openxmlformats.org/spreadsheetml/2006/main">
  <sheetPr>
    <tabColor rgb="00548235"/>
    <outlinePr summaryBelow="1" summaryRight="1"/>
    <pageSetUpPr fitToPage="1"/>
  </sheetPr>
  <dimension ref="A1:C19"/>
  <sheetViews>
    <sheetView showGridLines="0" workbookViewId="0">
      <pane ySplit="2" topLeftCell="A3" activePane="bottomLeft" state="frozen"/>
      <selection pane="bottomLeft" activeCell="A1" sqref="A1"/>
    </sheetView>
  </sheetViews>
  <sheetFormatPr baseColWidth="8" defaultRowHeight="15"/>
  <cols>
    <col width="7" customWidth="1" style="59" min="1" max="1"/>
    <col width="88" customWidth="1" style="59" min="2" max="2"/>
    <col width="42" customWidth="1" style="59" min="3" max="3"/>
  </cols>
  <sheetData>
    <row r="1" ht="19.7" customHeight="1" s="59">
      <c r="A1" s="150" t="inlineStr">
        <is>
          <t>CALL QUESTIONNAIRE — STAGE 1: THE CALL  (three questions; keep it simple)</t>
        </is>
      </c>
      <c r="B1" s="171" t="n"/>
      <c r="C1" s="172" t="n"/>
    </row>
    <row r="2" ht="45.2" customHeight="1" s="59">
      <c r="A2" s="197" t="inlineStr">
        <is>
          <t>Caller: the PURCHASING MANAGER — process step 3, only after both roles have picked 3 and the picks were discussed and agreed. The call does NOT discuss our business model: no Model A / B-T, no hosting talk, no pricing — all of that waits for the visit (VISIT AGENDA tab). Section A decides it; section B only if the conversation flows. Answers go in the yellow cells; the outcome (section C) is what comes back to the go / no-go review — step 4.</t>
        </is>
      </c>
      <c r="B2" s="171" t="n"/>
      <c r="C2" s="172" t="n"/>
    </row>
    <row r="3" ht="19.7" customHeight="1" s="59">
      <c r="A3" s="176" t="inlineStr">
        <is>
          <t>HEADER — fill before dialing</t>
        </is>
      </c>
      <c r="B3" s="171" t="n"/>
      <c r="C3" s="172" t="n"/>
    </row>
    <row r="4" ht="18.4" customHeight="1" s="59">
      <c r="A4" s="193" t="n">
        <v>1</v>
      </c>
      <c r="B4" s="154" t="inlineStr">
        <is>
          <t>Plant / establishment no. / caller / date</t>
        </is>
      </c>
      <c r="C4" s="191" t="n"/>
    </row>
    <row r="5" ht="18.4" customHeight="1" s="59">
      <c r="A5" s="193" t="n">
        <v>2</v>
      </c>
      <c r="B5" s="154" t="inlineStr">
        <is>
          <t>Phone + who answered (name, role)</t>
        </is>
      </c>
      <c r="C5" s="191" t="n"/>
    </row>
    <row r="6" ht="19.7" customHeight="1" s="59">
      <c r="A6" s="176" t="inlineStr">
        <is>
          <t>A · THE THREE QUESTIONS  (these decide it)</t>
        </is>
      </c>
      <c r="B6" s="171" t="n"/>
      <c r="C6" s="172" t="n"/>
    </row>
    <row r="7" ht="45.2" customHeight="1" s="59">
      <c r="A7" s="193" t="n">
        <v>1</v>
      </c>
      <c r="B7" s="154" t="inlineStr">
        <is>
          <t>Are you a slaughterhouse — do you slaughter HOGS on site? (which classes — market weight, sows, roasters? Any BOARS or STAGS — and are they ever run with the market hogs, or only on separate days?)</t>
        </is>
      </c>
      <c r="C7" s="191" t="n"/>
    </row>
    <row r="8" ht="31.8" customHeight="1" s="59">
      <c r="A8" s="193" t="n">
        <v>2</v>
      </c>
      <c r="B8" s="154" t="inlineStr">
        <is>
          <t>How many pigs do you kill in a WEEK — and how many of those are in the 140-220 lb live range? (which days; steady or seasonal?)</t>
        </is>
      </c>
      <c r="C8" s="191" t="n"/>
    </row>
    <row r="9" ht="31.8" customHeight="1" s="59">
      <c r="A9" s="193" t="n">
        <v>3</v>
      </c>
      <c r="B9" s="154" t="inlineStr">
        <is>
          <t>Could you sell us the ORGANS — could we get them? (what happens to the viscera today — rendered, returned to the customer, sold? On service kills, WHO OWNS them — you or the farmer?)</t>
        </is>
      </c>
      <c r="C9" s="191" t="n"/>
    </row>
    <row r="10" ht="19.7" customHeight="1" s="59">
      <c r="A10" s="176" t="inlineStr">
        <is>
          <t>B · ONLY IF THE CONVERSATION FLOWS  (basics — still nothing about our model)</t>
        </is>
      </c>
      <c r="B10" s="171" t="n"/>
      <c r="C10" s="172" t="n"/>
    </row>
    <row r="11" ht="31.8" customHeight="1" s="59">
      <c r="A11" s="193" t="n">
        <v>1</v>
      </c>
      <c r="B11" s="154" t="inlineStr">
        <is>
          <t>USDA federal grant or NC STATE grant? Establishment number? (Outside NC: state programme = domestic-only for us.)</t>
        </is>
      </c>
      <c r="C11" s="191" t="n"/>
    </row>
    <row r="12" ht="18.4" customHeight="1" s="59">
      <c r="A12" s="193" t="n">
        <v>2</v>
      </c>
      <c r="B12" s="154" t="inlineStr">
        <is>
          <t>Could pelvic / abdominal / thoracic blocks and organs come off INTACT at evisceration?</t>
        </is>
      </c>
      <c r="C12" s="191" t="n"/>
    </row>
    <row r="13" ht="18.4" customHeight="1" s="59">
      <c r="A13" s="193" t="n">
        <v>3</v>
      </c>
      <c r="B13" s="154" t="inlineStr">
        <is>
          <t>Typical time-to-chill after the kill, and cooler / hanging space? (our freshness window)</t>
        </is>
      </c>
      <c r="C13" s="191" t="n"/>
    </row>
    <row r="14" ht="18.4" customHeight="1" s="59">
      <c r="A14" s="193" t="n">
        <v>4</v>
      </c>
      <c r="B14" s="154" t="inlineStr">
        <is>
          <t>What stunning method do you use — single stun, or a second cardiac stun?</t>
        </is>
      </c>
      <c r="C14" s="191" t="n"/>
    </row>
    <row r="15" ht="18.4" customHeight="1" s="59">
      <c r="A15" s="193" t="n">
        <v>5</v>
      </c>
      <c r="B15" s="154" t="inlineStr">
        <is>
          <t>Does anyone else already collect tissue or organs on your floor? Who?</t>
        </is>
      </c>
      <c r="C15" s="191" t="n"/>
    </row>
    <row r="16" ht="18.4" customHeight="1" s="59">
      <c r="A16" s="193" t="n">
        <v>6</v>
      </c>
      <c r="B16" s="154" t="inlineStr">
        <is>
          <t>Any recent humane-handling actions, NRs or recalls we should hear from you first?</t>
        </is>
      </c>
      <c r="C16" s="191" t="n"/>
    </row>
    <row r="17" ht="19.7" customHeight="1" s="59">
      <c r="A17" s="176" t="inlineStr">
        <is>
          <t>C · CALL OUTCOME  (this is the deliverable of the call)</t>
        </is>
      </c>
      <c r="B17" s="171" t="n"/>
      <c r="C17" s="172" t="n"/>
    </row>
    <row r="18" ht="31.8" customHeight="1" s="59">
      <c r="A18" s="193" t="n">
        <v>1</v>
      </c>
      <c r="B18" s="154" t="inlineStr">
        <is>
          <t>VISIT — YES / NO, and one line why. (Goes back to the joint review; the go / no-go is decided together — step 4.)</t>
        </is>
      </c>
      <c r="C18" s="191" t="n"/>
    </row>
    <row r="19" ht="31.8" customHeight="1" s="59">
      <c r="A19" s="197" t="inlineStr">
        <is>
          <t>If YES → send the NDA, schedule the visit, and run the VISIT AGENDA tab on site. If NO → record the reason on the supplier's roster row (Fit + Notes columns) so nobody re-calls.</t>
        </is>
      </c>
      <c r="B19" s="171" t="n"/>
      <c r="C19" s="172" t="n"/>
    </row>
  </sheetData>
  <mergeCells count="7">
    <mergeCell ref="A10:C10"/>
    <mergeCell ref="A19:C19"/>
    <mergeCell ref="A1:C1"/>
    <mergeCell ref="A6:C6"/>
    <mergeCell ref="A17:C17"/>
    <mergeCell ref="A3:C3"/>
    <mergeCell ref="A2:C2"/>
  </mergeCells>
  <pageMargins left="0.75" right="0.75" top="1" bottom="1" header="0.5" footer="0.5"/>
  <pageSetup orientation="landscape" fitToHeight="0" fitToWidth="1"/>
</worksheet>
</file>

<file path=xl/worksheets/sheet6.xml><?xml version="1.0" encoding="utf-8"?>
<worksheet xmlns="http://schemas.openxmlformats.org/spreadsheetml/2006/main">
  <sheetPr>
    <tabColor rgb="00C55A11"/>
    <outlinePr summaryBelow="1" summaryRight="1"/>
    <pageSetUpPr fitToPage="1"/>
  </sheetPr>
  <dimension ref="A1:C30"/>
  <sheetViews>
    <sheetView showGridLines="0" workbookViewId="0">
      <pane ySplit="2" topLeftCell="A3" activePane="bottomLeft" state="frozen"/>
      <selection pane="bottomLeft" activeCell="A1" sqref="A1"/>
    </sheetView>
  </sheetViews>
  <sheetFormatPr baseColWidth="8" defaultRowHeight="15"/>
  <cols>
    <col width="7" customWidth="1" style="59" min="1" max="1"/>
    <col width="88" customWidth="1" style="59" min="2" max="2"/>
    <col width="42" customWidth="1" style="59" min="3" max="3"/>
  </cols>
  <sheetData>
    <row r="1" ht="19.7" customHeight="1" s="59">
      <c r="A1" s="150" t="inlineStr">
        <is>
          <t>VISIT AGENDA — STAGE 2: THE VISIT  (the business model is discussed here, never on the phone)</t>
        </is>
      </c>
      <c r="B1" s="171" t="n"/>
      <c r="C1" s="172" t="n"/>
    </row>
    <row r="2" ht="45.2" customHeight="1" s="59">
      <c r="A2" s="197" t="inlineStr">
        <is>
          <t>Attendees: the SUPPLIER ENGINEER + the PURCHASING MANAGER. Prerequisites: the call passed, the joint review said GO, and the NDA IS SIGNED — the harvesting protocol and tissue spec are not shared without it (process step 5). Walk the floor first (section B), then talk through the rest. Answers and observations go in the yellow cells. If qualified → initiate onboarding (section F).</t>
        </is>
      </c>
      <c r="B2" s="171" t="n"/>
      <c r="C2" s="172" t="n"/>
    </row>
    <row r="3" ht="19.7" customHeight="1" s="59">
      <c r="A3" s="176" t="inlineStr">
        <is>
          <t>HEADER</t>
        </is>
      </c>
      <c r="B3" s="171" t="n"/>
      <c r="C3" s="172" t="n"/>
    </row>
    <row r="4" ht="18.4" customHeight="1" s="59">
      <c r="A4" s="193" t="n">
        <v>1</v>
      </c>
      <c r="B4" s="154" t="inlineStr">
        <is>
          <t>Plant / date of visit / who we met (names, roles)</t>
        </is>
      </c>
      <c r="C4" s="191" t="n"/>
    </row>
    <row r="5" ht="19.7" customHeight="1" s="59">
      <c r="A5" s="176" t="inlineStr">
        <is>
          <t>A · THE MODEL — buy from them, or get it ourselves  (the decisive conversation)</t>
        </is>
      </c>
      <c r="B5" s="171" t="n"/>
      <c r="C5" s="172" t="n"/>
    </row>
    <row r="6" ht="31.8" customHeight="1" s="59">
      <c r="A6" s="193" t="n">
        <v>1</v>
      </c>
      <c r="B6" s="154" t="inlineStr">
        <is>
          <t>BUY FROM THEM — MODEL B-T: would YOUR crew harvest to our written spec if we train them and supervise periodically — the way one of our current partners works today? Per-piece fee?</t>
        </is>
      </c>
      <c r="C6" s="191" t="n"/>
    </row>
    <row r="7" ht="31.8" customHeight="1" s="59">
      <c r="A7" s="193" t="n">
        <v>2</v>
      </c>
      <c r="B7" s="154" t="inlineStr">
        <is>
          <t>GET IT OURSELVES — MODEL A: would you HOST our trained harvest techs on your floor on kill days — bench space, cooler access, scheduled around your line? Rent by visit or by piece?</t>
        </is>
      </c>
      <c r="C7" s="191" t="n"/>
    </row>
    <row r="8" ht="18.4" customHeight="1" s="59">
      <c r="A8" s="193" t="n">
        <v>3</v>
      </c>
      <c r="B8" s="154" t="inlineStr">
        <is>
          <t>Either way: space, PPE, biosecurity and scheduling constraints we should plan around?</t>
        </is>
      </c>
      <c r="C8" s="191" t="n"/>
    </row>
    <row r="9" ht="31.8" customHeight="1" s="59">
      <c r="A9" s="193" t="n">
        <v>4</v>
      </c>
      <c r="B9" s="154" t="inlineStr">
        <is>
          <t>ORGAN OWNERSHIP on service kills — customers' animals vs plant-owned hogs: who must consent, and can plant-owned or reserved hogs in our weight range be run for us?</t>
        </is>
      </c>
      <c r="C9" s="191" t="n"/>
    </row>
    <row r="10" ht="19.7" customHeight="1" s="59">
      <c r="A10" s="176" t="inlineStr">
        <is>
          <t>B · THE FLOOR — walk it at working speed</t>
        </is>
      </c>
      <c r="B10" s="171" t="n"/>
      <c r="C10" s="172" t="n"/>
    </row>
    <row r="11" ht="31.8" customHeight="1" s="59">
      <c r="A11" s="193" t="n">
        <v>1</v>
      </c>
      <c r="B11" s="154" t="inlineStr">
        <is>
          <t>The EVISCERATOR — line layout at evisceration: where viscera come off, whether pelvic / abdominal / thoracic blocks and organs could come off INTACT, and where our bench / totes would sit</t>
        </is>
      </c>
      <c r="C11" s="191" t="n"/>
    </row>
    <row r="12" ht="18.4" customHeight="1" s="59">
      <c r="A12" s="193" t="n">
        <v>2</v>
      </c>
      <c r="B12" s="154" t="inlineStr">
        <is>
          <t>SPACE for this operation — bench, cooler access, drainage, power — and room for our FREEZERS</t>
        </is>
      </c>
      <c r="C12" s="191" t="n"/>
    </row>
    <row r="13" ht="45.2" customHeight="1" s="59">
      <c r="A13" s="193" t="n">
        <v>3</v>
      </c>
      <c r="B13" s="154" t="inlineStr">
        <is>
          <t>Stunning method and placement OBSERVED — document the plant's existing humane process; qualified plant staff and the inspector assess thoracic tissue suitability (we do not ask a plant to alter its stunning)</t>
        </is>
      </c>
      <c r="C13" s="191" t="n"/>
    </row>
    <row r="14" ht="18.4" customHeight="1" s="59">
      <c r="A14" s="193" t="n">
        <v>4</v>
      </c>
      <c r="B14" s="154" t="inlineStr">
        <is>
          <t>Chill-room capacity + actual time-to-chill MEASURED, not quoted (our freshness window)</t>
        </is>
      </c>
      <c r="C14" s="191" t="n"/>
    </row>
    <row r="15" ht="18.4" customHeight="1" s="59">
      <c r="A15" s="193" t="n">
        <v>5</v>
      </c>
      <c r="B15" s="154" t="inlineStr">
        <is>
          <t>Welfare culture observed live — a SITE-VISIT finding; records alone do not clear a plant</t>
        </is>
      </c>
      <c r="C15" s="191" t="n"/>
    </row>
    <row r="16" ht="19.7" customHeight="1" s="59">
      <c r="A16" s="176" t="inlineStr">
        <is>
          <t>C · TISSUE, SPEC, PEOPLE &amp; TRAINING</t>
        </is>
      </c>
      <c r="B16" s="171" t="n"/>
      <c r="C16" s="172" t="n"/>
    </row>
    <row r="17" ht="31.8" customHeight="1" s="59">
      <c r="A17" s="193" t="n">
        <v>1</v>
      </c>
      <c r="B17" s="154" t="inlineStr">
        <is>
          <t>Walk the tissue list and spec — which blocks and organs, condition on handover, and what we expect of the personnel handling them</t>
        </is>
      </c>
      <c r="C17" s="191" t="n"/>
    </row>
    <row r="18" ht="31.8" customHeight="1" s="59">
      <c r="A18" s="193" t="n">
        <v>2</v>
      </c>
      <c r="B18" s="154" t="inlineStr">
        <is>
          <t>Meet the crew who would harvest (their crew — Model B-T) or host ours (Model A); gauge tenure and receptiveness</t>
        </is>
      </c>
      <c r="C18" s="191" t="n"/>
    </row>
    <row r="19" ht="18.4" customHeight="1" s="59">
      <c r="A19" s="193" t="n">
        <v>3</v>
      </c>
      <c r="B19" s="154" t="inlineStr">
        <is>
          <t>TRAINING — who we train, how, and the periodic-supervision cadence</t>
        </is>
      </c>
      <c r="C19" s="191" t="n"/>
    </row>
    <row r="20" ht="19.7" customHeight="1" s="59">
      <c r="A20" s="176" t="inlineStr">
        <is>
          <t>D · CULTURE &amp; PEOPLE</t>
        </is>
      </c>
      <c r="B20" s="171" t="n"/>
      <c r="C20" s="172" t="n"/>
    </row>
    <row r="21" ht="18.4" customHeight="1" s="59">
      <c r="A21" s="193" t="n">
        <v>1</v>
      </c>
      <c r="B21" s="154" t="inlineStr">
        <is>
          <t>Who owns and runs the plant day to day? Who would our person coordinate with?</t>
        </is>
      </c>
      <c r="C21" s="191" t="n"/>
    </row>
    <row r="22" ht="18.4" customHeight="1" s="59">
      <c r="A22" s="193" t="n">
        <v>2</v>
      </c>
      <c r="B22" s="154" t="inlineStr">
        <is>
          <t>How long has your kill-floor crew been with you?</t>
        </is>
      </c>
      <c r="C22" s="191" t="n"/>
    </row>
    <row r="23" ht="18.4" customHeight="1" s="59">
      <c r="A23" s="193" t="n">
        <v>3</v>
      </c>
      <c r="B23" s="154" t="inlineStr">
        <is>
          <t>How do you handle humane handling — and how would you want a quality issue raised and resolved?</t>
        </is>
      </c>
      <c r="C23" s="191" t="n"/>
    </row>
    <row r="24" ht="19.7" customHeight="1" s="59">
      <c r="A24" s="176" t="inlineStr">
        <is>
          <t>E · COMMERCIAL — how do we pay you</t>
        </is>
      </c>
      <c r="B24" s="171" t="n"/>
      <c r="C24" s="172" t="n"/>
    </row>
    <row r="25" ht="18.4" customHeight="1" s="59">
      <c r="A25" s="193" t="n">
        <v>1</v>
      </c>
      <c r="B25" s="154" t="inlineStr">
        <is>
          <t>Per-visit access fee or per-piece harvest fee? Payment terms?</t>
        </is>
      </c>
      <c r="C25" s="191" t="n"/>
    </row>
    <row r="26" ht="18.4" customHeight="1" s="59">
      <c r="A26" s="193" t="n">
        <v>2</v>
      </c>
      <c r="B26" s="154" t="inlineStr">
        <is>
          <t>Minimums and lead time we should plan around?</t>
        </is>
      </c>
      <c r="C26" s="191" t="n"/>
    </row>
    <row r="27" ht="18.4" customHeight="1" s="59">
      <c r="A27" s="193" t="n">
        <v>3</v>
      </c>
      <c r="B27" s="154" t="inlineStr">
        <is>
          <t>Best contact for the written follow-up?</t>
        </is>
      </c>
      <c r="C27" s="191" t="n"/>
    </row>
    <row r="28" ht="19.7" customHeight="1" s="59">
      <c r="A28" s="176" t="inlineStr">
        <is>
          <t>F · CLOSE — qualified?</t>
        </is>
      </c>
      <c r="B28" s="171" t="n"/>
      <c r="C28" s="172" t="n"/>
    </row>
    <row r="29" ht="18.4" customHeight="1" s="59">
      <c r="A29" s="193" t="n">
        <v>1</v>
      </c>
      <c r="B29" s="154" t="inlineStr">
        <is>
          <t>Agree the pilot shape: day, head count, tissue list, price, who supervises</t>
        </is>
      </c>
      <c r="C29" s="191" t="n"/>
    </row>
    <row r="30" ht="31.8" customHeight="1" s="59">
      <c r="A30" s="193" t="n">
        <v>2</v>
      </c>
      <c r="B30" s="154" t="inlineStr">
        <is>
          <t>QUALIFIED? → initiate ONBOARDING: contract + freezers (cold-chain commitment). Not qualified → record why on the roster row and park.</t>
        </is>
      </c>
      <c r="C30" s="191" t="n"/>
    </row>
  </sheetData>
  <mergeCells count="9">
    <mergeCell ref="A10:C10"/>
    <mergeCell ref="A28:C28"/>
    <mergeCell ref="A5:C5"/>
    <mergeCell ref="A1:C1"/>
    <mergeCell ref="A16:C16"/>
    <mergeCell ref="A3:C3"/>
    <mergeCell ref="A20:C20"/>
    <mergeCell ref="A24:C24"/>
    <mergeCell ref="A2:C2"/>
  </mergeCells>
  <pageMargins left="0.75" right="0.75" top="1" bottom="1" header="0.5" footer="0.5"/>
  <pageSetup orientation="landscape" fitToHeight="0" fitToWidth="1"/>
</worksheet>
</file>

<file path=xl/worksheets/sheet7.xml><?xml version="1.0" encoding="utf-8"?>
<worksheet xmlns="http://schemas.openxmlformats.org/spreadsheetml/2006/main">
  <sheetPr>
    <tabColor rgb="007030A0"/>
    <outlinePr summaryBelow="1" summaryRight="1"/>
    <pageSetUpPr fitToPage="1"/>
  </sheetPr>
  <dimension ref="A1:D35"/>
  <sheetViews>
    <sheetView showGridLines="0" topLeftCell="A10" workbookViewId="0">
      <selection activeCell="B8" sqref="B8"/>
    </sheetView>
  </sheetViews>
  <sheetFormatPr baseColWidth="8" defaultRowHeight="14.4"/>
  <cols>
    <col width="46" customWidth="1" style="59" min="1" max="1"/>
    <col width="34" customWidth="1" style="59" min="2" max="4"/>
    <col width="34" customWidth="1" style="59" min="3" max="3"/>
    <col width="34" customWidth="1" style="59" min="4" max="4"/>
  </cols>
  <sheetData>
    <row r="1" ht="25.1" customHeight="1" s="59">
      <c r="A1" s="117" t="inlineStr">
        <is>
          <t>Anatomical Spec — fill this in BEFORE the first supplier call</t>
        </is>
      </c>
    </row>
    <row r="2" ht="18.4" customHeight="1" s="59">
      <c r="A2" s="61" t="inlineStr">
        <is>
          <t>Action #1 from the verified deep study. A one-day internal exercise that decides which plants stay on the list. Blue-on-yellow = you fill in.</t>
        </is>
      </c>
    </row>
    <row r="3" ht="15" customHeight="1" s="59"/>
    <row r="4" ht="58.6" customHeight="1" s="59">
      <c r="A4" s="70" t="inlineStr">
        <is>
          <t>WHY THIS IS ACTION #1: whether your models can use CULL-SOW anatomy decides the fate of roughly half the candidate pool, and NO amount of further research can answer it — it is a client-side clinical decision. A heavily parous sow has a REMODELLED BIRTH CANAL and a STRETCHED ABDOMINAL WALL: either disqualifying for pelvic and bariatric blocks, or a premium urogynaecology asset. Sow plants currently on the list: Gunnoe (VA), Kansas City Sausage (NC), Swaggerty (TN), Wampler's (TN), Williams/Tyson (TN). Fill this in BEFORE the first supplier call — it reorders the entire contact list.</t>
        </is>
      </c>
      <c r="B4" s="64" t="n"/>
      <c r="C4" s="64" t="n"/>
      <c r="D4" s="65" t="n"/>
    </row>
    <row r="5" ht="15" customHeight="1" s="59"/>
    <row r="6" ht="19.7" customHeight="1" s="59">
      <c r="A6" s="118" t="inlineStr">
        <is>
          <t>PER-BLOCK SPECIFICATION</t>
        </is>
      </c>
    </row>
    <row r="7" ht="18.4" customHeight="1" s="59">
      <c r="A7" s="3" t="inlineStr">
        <is>
          <t>Parameter</t>
        </is>
      </c>
      <c r="B7" s="3" t="inlineStr">
        <is>
          <t>PELVIC block</t>
        </is>
      </c>
      <c r="C7" s="3" t="inlineStr">
        <is>
          <t>BARIATRIC / abdominal block</t>
        </is>
      </c>
      <c r="D7" s="3" t="inlineStr">
        <is>
          <t>THORACIC block (incl. AORTA)</t>
        </is>
      </c>
    </row>
    <row r="8" ht="18.4" customHeight="1" s="59">
      <c r="A8" s="6" t="inlineStr">
        <is>
          <t>Organs / structures REQUIRED in the block</t>
        </is>
      </c>
      <c r="B8" s="7" t="n"/>
      <c r="C8" s="7" t="n"/>
      <c r="D8" s="7" t="n"/>
    </row>
    <row r="9" ht="18.4" customHeight="1" s="59">
      <c r="A9" s="8" t="inlineStr">
        <is>
          <t>Organs / structures NICE-TO-HAVE</t>
        </is>
      </c>
      <c r="B9" s="7" t="n"/>
      <c r="C9" s="7" t="n"/>
      <c r="D9" s="7" t="n"/>
    </row>
    <row r="10" ht="31.8" customHeight="1" s="59">
      <c r="A10" s="6" t="inlineStr">
        <is>
          <t>Structures that must be left ATTACHED (vessels, ligaments, mesentery)</t>
        </is>
      </c>
      <c r="B10" s="7" t="n"/>
      <c r="C10" s="7" t="n"/>
      <c r="D10" s="7" t="n"/>
    </row>
    <row r="11" ht="18.4" customHeight="1" s="59">
      <c r="A11" s="8" t="inlineStr">
        <is>
          <t>Minimum acceptable specimen size / dimensions</t>
        </is>
      </c>
      <c r="B11" s="7" t="n"/>
      <c r="C11" s="7" t="n"/>
      <c r="D11" s="7" t="n"/>
    </row>
    <row r="12" ht="31.8" customHeight="1" s="59">
      <c r="A12" s="6" t="inlineStr">
        <is>
          <t>Target live weight range of the animal (lb)</t>
        </is>
      </c>
      <c r="B12" s="7" t="inlineStr">
        <is>
          <t>≈ 140–220 lb live weight (client brief, 2026-09-28) — CONFIRM here</t>
        </is>
      </c>
      <c r="C12" s="7" t="n"/>
      <c r="D12" s="7" t="n"/>
    </row>
    <row r="13" ht="18.4" customHeight="1" s="59">
      <c r="A13" s="8" t="inlineStr">
        <is>
          <t>Absolute min / max live weight (lb)</t>
        </is>
      </c>
      <c r="B13" s="7" t="n"/>
      <c r="C13" s="7" t="n"/>
      <c r="D13" s="7" t="n"/>
    </row>
    <row r="14" ht="31.8" customHeight="1" s="59">
      <c r="A14" s="6" t="inlineStr">
        <is>
          <t>SOW (parous) acceptable?   Yes / No / Only for…</t>
        </is>
      </c>
      <c r="B14" s="7" t="inlineStr">
        <is>
          <t>No under the 140–220 lb target (owner to confirm)</t>
        </is>
      </c>
      <c r="C14" s="7" t="n"/>
      <c r="D14" s="7" t="n"/>
    </row>
    <row r="15" ht="18.4" customHeight="1" s="59">
      <c r="A15" s="8" t="inlineStr">
        <is>
          <t>If sow acceptable: max parity (number of litters)</t>
        </is>
      </c>
      <c r="B15" s="7" t="n"/>
      <c r="C15" s="7" t="n"/>
      <c r="D15" s="7" t="n"/>
    </row>
    <row r="16" ht="18.4" customHeight="1" s="59">
      <c r="A16" s="6" t="inlineStr">
        <is>
          <t>Market hog acceptable?  Target age (months)</t>
        </is>
      </c>
      <c r="B16" s="7" t="n"/>
      <c r="C16" s="7" t="n"/>
      <c r="D16" s="7" t="n"/>
    </row>
    <row r="17" ht="18.4" customHeight="1" s="59">
      <c r="A17" s="8" t="inlineStr">
        <is>
          <t>Sex required (barrow / gilt / sow / either)</t>
        </is>
      </c>
      <c r="B17" s="7" t="n"/>
      <c r="C17" s="7" t="n"/>
      <c r="D17" s="7" t="n"/>
    </row>
    <row r="18" ht="31.8" customHeight="1" s="59">
      <c r="A18" s="6" t="inlineStr">
        <is>
          <t>Max WARM ISCHEMIA time — kill to preservation (minutes)</t>
        </is>
      </c>
      <c r="B18" s="7" t="n"/>
      <c r="C18" s="7" t="n"/>
      <c r="D18" s="7" t="n"/>
    </row>
    <row r="19" ht="31.8" customHeight="1" s="59">
      <c r="A19" s="8" t="inlineStr">
        <is>
          <t>Preservation method at the plant (chill / saline / PBS / perfusion / freeze)</t>
        </is>
      </c>
      <c r="B19" s="7" t="n"/>
      <c r="C19" s="7" t="n"/>
      <c r="D19" s="7" t="n"/>
    </row>
    <row r="20" ht="18.4" customHeight="1" s="59">
      <c r="A20" s="6" t="inlineStr">
        <is>
          <t>Units needed per WEEK</t>
        </is>
      </c>
      <c r="B20" s="7" t="n"/>
      <c r="C20" s="7" t="n"/>
      <c r="D20" s="7" t="n"/>
    </row>
    <row r="21" ht="18.4" customHeight="1" s="59">
      <c r="A21" s="8" t="inlineStr">
        <is>
          <t>Units needed per MONTH (steady-state)</t>
        </is>
      </c>
      <c r="B21" s="7" t="n"/>
      <c r="C21" s="7" t="n"/>
      <c r="D21" s="7" t="n"/>
    </row>
    <row r="22" ht="18.4" customHeight="1" s="59">
      <c r="A22" s="6" t="inlineStr">
        <is>
          <t>Acceptable defect rate / rejection criteria</t>
        </is>
      </c>
      <c r="B22" s="7" t="n"/>
      <c r="C22" s="7" t="n"/>
      <c r="D22" s="7" t="n"/>
    </row>
    <row r="23" ht="31.8" customHeight="1" s="59">
      <c r="A23" s="8" t="inlineStr">
        <is>
          <t>Disqualifiers (pathology, abscess, trim damage, condemnation)</t>
        </is>
      </c>
      <c r="B23" s="7" t="n"/>
      <c r="C23" s="7" t="n"/>
      <c r="D23" s="7" t="n"/>
    </row>
    <row r="24" ht="31.8" customHeight="1" s="59">
      <c r="A24" s="6" t="inlineStr">
        <is>
          <t>Domestic use only, or EU-bound?  (drives the inspection requirement)</t>
        </is>
      </c>
      <c r="B24" s="7" t="n"/>
      <c r="C24" s="7" t="n"/>
      <c r="D24" s="7" t="n"/>
    </row>
    <row r="25" ht="15" customHeight="1" s="59"/>
    <row r="26" ht="19.7" customHeight="1" s="59">
      <c r="A26" s="118" t="inlineStr">
        <is>
          <t>THE DECISIONS THIS UNLOCKS</t>
        </is>
      </c>
    </row>
    <row r="27" ht="31.8" customHeight="1" s="59">
      <c r="A27" s="9" t="inlineStr">
        <is>
          <t>DECISION 1 — Sow vs market hog</t>
        </is>
      </c>
      <c r="B27" s="68" t="inlineStr">
        <is>
          <t>Circle one:   MARKET HOG ONLY   /   SOW ACCEPTABLE   /   SOW PREFERRED (urogyn)   /   DEPENDS BY BLOCK (specify above)</t>
        </is>
      </c>
      <c r="C27" s="64" t="n"/>
      <c r="D27" s="65" t="n"/>
    </row>
    <row r="28" ht="58.6" customHeight="1" s="59">
      <c r="A28" s="9" t="inlineStr">
        <is>
          <t>If MARKET HOG ONLY →</t>
        </is>
      </c>
      <c r="B28" s="68" t="inlineStr">
        <is>
          <t>Removes every sow-only plant — Larry's and Bass Farms drop out along with Gunnoe (VA), Kansas City Sausage (NC), Swaggerty (TN) and probably Wampler's and Williams/Tyson (TN). What remains realistic: the market-hog federal plants we already use (Martin's, Parks, Custom Quality Packers), Nahunta, and the Tier-1 state plants — which makes the eastern-NC cluster strategy close to mandatory.</t>
        </is>
      </c>
      <c r="C28" s="64" t="n"/>
      <c r="D28" s="65" t="n"/>
    </row>
    <row r="29" ht="45.2" customHeight="1" s="59">
      <c r="A29" s="9" t="inlineStr">
        <is>
          <t>If SOW ACCEPTABLE →</t>
        </is>
      </c>
      <c r="B29" s="68" t="inlineStr">
        <is>
          <t>The pool roughly doubles and several in-band plants come back: Gunnoe (~450-590/wk), Kansas City Sausage (~3,500-5,000/wk), plus the TN sow plants. Sow anatomy is also closer to ADULT HUMAN SCALE than a 250 lb market hog, which may be a product advantage.</t>
        </is>
      </c>
      <c r="C29" s="64" t="n"/>
      <c r="D29" s="65" t="n"/>
    </row>
    <row r="30" ht="45.2" customHeight="1" s="59">
      <c r="A30" s="9" t="inlineStr">
        <is>
          <t>DECISION 2 — EU exposure</t>
        </is>
      </c>
      <c r="B30" s="68" t="inlineStr">
        <is>
          <t>Which blocks (if any) are destined for EUROPE?  If WE harvest it, the plant needs USDA/FSIS inspection or NC state inspection (APHIS-accepted equivalent) — Nahunta qualifies, and the model is assembled at ATM. If a DIRECT supplier ships us finished blocks, that supplier must hold APHIS certification.</t>
        </is>
      </c>
      <c r="C30" s="64" t="n"/>
      <c r="D30" s="65" t="n"/>
    </row>
    <row r="31" ht="45.2" customHeight="1" s="59">
      <c r="A31" s="9" t="inlineStr">
        <is>
          <t>DECISION 3 — Ischemia tolerance</t>
        </is>
      </c>
      <c r="B31" s="68" t="inlineStr">
        <is>
          <t>If max warm ischemia is TIGHT (minutes), on-site harvesting is mandatory — by our crew (Model A) or by a trained plant crew that preserves immediately (Model B-T) — and buy-direct is out. If it is loose (hours), buy-direct stays viable — which materially widens the supplier pool.</t>
        </is>
      </c>
      <c r="C31" s="64" t="n"/>
      <c r="D31" s="65" t="n"/>
    </row>
    <row r="32" ht="15" customHeight="1" s="59"/>
    <row r="33" ht="18.4" customHeight="1" s="59">
      <c r="A33" s="71" t="inlineStr">
        <is>
          <t>Signed off by: ______________________    Date: ____________    → then update the ANAT sub-scores on Rated Candidates to match.</t>
        </is>
      </c>
    </row>
    <row r="34" ht="15" customHeight="1" s="59"/>
    <row r="35" ht="31.8" customHeight="1" s="59">
      <c r="A35" s="202" t="inlineStr">
        <is>
          <t>2026-09-28 — The client's brief to ChatGPT (Beebop/README.md) states an approximate live weight of 140-220 lb. Sow-class animals (400+ lb) fall outside that; market / light hogs are the working assumption until this sheet is signed. If sow anatomy is in fact acceptable, say so and the ANAT sub-scores on Rated Candidates revert.</t>
        </is>
      </c>
    </row>
  </sheetData>
  <mergeCells count="12">
    <mergeCell ref="A1:D1"/>
    <mergeCell ref="B28:D28"/>
    <mergeCell ref="A6:D6"/>
    <mergeCell ref="B31:D31"/>
    <mergeCell ref="A35:D35"/>
    <mergeCell ref="A4:D4"/>
    <mergeCell ref="A26:D26"/>
    <mergeCell ref="B27:D27"/>
    <mergeCell ref="B30:D30"/>
    <mergeCell ref="A2:D2"/>
    <mergeCell ref="A33:D33"/>
    <mergeCell ref="B29:D29"/>
  </mergeCells>
  <pageMargins left="0.35" right="0.35" top="0.45" bottom="0.45" header="0.5" footer="0.5"/>
  <pageSetup orientation="landscape" fitToHeight="0" fitToWidth="1"/>
  <headerFooter>
    <oddHeader/>
    <oddFooter>&amp;L&amp;8 Anatomical Spec&amp;R&amp;8 Page &amp;P of &amp;N</oddFooter>
    <evenHeader/>
    <evenFooter/>
    <firstHeader/>
    <firstFooter/>
  </headerFooter>
</worksheet>
</file>

<file path=xl/worksheets/sheet8.xml><?xml version="1.0" encoding="utf-8"?>
<worksheet xmlns="http://schemas.openxmlformats.org/spreadsheetml/2006/main">
  <sheetPr>
    <tabColor rgb="00BF8F00"/>
    <outlinePr summaryBelow="1" summaryRight="1"/>
    <pageSetUpPr fitToPage="1"/>
  </sheetPr>
  <dimension ref="A1:L51"/>
  <sheetViews>
    <sheetView showGridLines="0" workbookViewId="0">
      <selection activeCell="A1" sqref="A1:L1"/>
    </sheetView>
  </sheetViews>
  <sheetFormatPr baseColWidth="8" defaultRowHeight="14.4"/>
  <cols>
    <col width="30" customWidth="1" style="59" min="1" max="1"/>
    <col width="11" customWidth="1" style="59" min="2" max="3"/>
    <col width="8" customWidth="1" style="59" min="4" max="4"/>
    <col width="9" customWidth="1" style="59" min="5" max="5"/>
    <col width="12" customWidth="1" style="59" min="6" max="6"/>
    <col width="14" customWidth="1" style="59" min="7" max="7"/>
    <col width="12" customWidth="1" style="59" min="8" max="8"/>
    <col width="13" customWidth="1" style="59" min="9" max="9"/>
    <col width="10" customWidth="1" style="59" min="10" max="10"/>
    <col width="13" customWidth="1" style="59" min="11" max="11"/>
    <col width="14" customWidth="1" style="59" min="12" max="12"/>
  </cols>
  <sheetData>
    <row r="1" ht="25.1" customHeight="1" s="59">
      <c r="A1" s="117" t="inlineStr">
        <is>
          <t>TCO Calculator — Total Cost per Organ / Block (self-harvest)</t>
        </is>
      </c>
    </row>
    <row r="2" ht="31.8" customHeight="1" s="59">
      <c r="A2" s="61" t="inlineStr">
        <is>
          <t>Edit the BLUE cells with your variables; cost-per-block updates automatically. Compare slaughterhouses in the grid, and against buy-direct list prices. All numeric inputs are ILLUSTRATIVE placeholders — replace with your real figures/quotes.</t>
        </is>
      </c>
    </row>
    <row r="3" ht="15" customHeight="1" s="59"/>
    <row r="4" ht="17.1" customHeight="1" s="59">
      <c r="A4" s="77" t="inlineStr">
        <is>
          <t>Legend:  blue cells on pale-yellow = you edit  ·  black = calculated  ·  ★ = the answer.  Values shown are ILLUSTRATIVE placeholders — swap in your real numbers/quotes.</t>
        </is>
      </c>
    </row>
    <row r="5" ht="19.7" customHeight="1" s="59">
      <c r="A5" s="120" t="inlineStr">
        <is>
          <t>A.  HARVEST SESSION  (per visit)</t>
        </is>
      </c>
    </row>
    <row r="6" ht="18.4" customHeight="1" s="59">
      <c r="A6" s="74" t="inlineStr">
        <is>
          <t>Blocks / organs harvested per visit</t>
        </is>
      </c>
      <c r="C6" s="121" t="n">
        <v>40</v>
      </c>
      <c r="D6" s="73" t="inlineStr">
        <is>
          <t>How many pieces you collect in one trip.</t>
        </is>
      </c>
    </row>
    <row r="7" ht="18.4" customHeight="1" s="59">
      <c r="A7" s="74" t="inlineStr">
        <is>
          <t>Harvest time per block (minutes)</t>
        </is>
      </c>
      <c r="C7" s="122" t="n">
        <v>15</v>
      </c>
      <c r="D7" s="73" t="inlineStr">
        <is>
          <t>Hands-on time to harvest one block/organ.</t>
        </is>
      </c>
    </row>
    <row r="8" ht="18.4" customHeight="1" s="59">
      <c r="A8" s="74" t="inlineStr">
        <is>
          <t>Harvesters on site (#)</t>
        </is>
      </c>
      <c r="C8" s="121" t="n">
        <v>2</v>
      </c>
      <c r="D8" s="73" t="inlineStr">
        <is>
          <t>Your crew size. For Model B (plant harvests) set 0.</t>
        </is>
      </c>
    </row>
    <row r="9" ht="18.4" customHeight="1" s="59">
      <c r="A9" s="74" t="inlineStr">
        <is>
          <t>Harvester labor rate ($/hr, loaded)</t>
        </is>
      </c>
      <c r="C9" s="123" t="n">
        <v>45</v>
      </c>
      <c r="D9" s="73" t="inlineStr">
        <is>
          <t>Fully-loaded wage incl. burden.</t>
        </is>
      </c>
    </row>
    <row r="10" ht="18.4" customHeight="1" s="59">
      <c r="A10" s="74" t="inlineStr">
        <is>
          <t>Session hours (wall-clock)</t>
        </is>
      </c>
      <c r="C10" s="124">
        <f>C6*C7/60</f>
        <v/>
      </c>
      <c r="D10" s="73" t="inlineStr">
        <is>
          <t>formula: blocks * min/block / 60</t>
        </is>
      </c>
    </row>
    <row r="11" ht="18.4" customHeight="1" s="59">
      <c r="A11" s="74" t="inlineStr">
        <is>
          <t>Harvester labor per visit</t>
        </is>
      </c>
      <c r="C11" s="125">
        <f>C10*C8*C9</f>
        <v/>
      </c>
      <c r="D11" s="73" t="inlineStr">
        <is>
          <t>formula: session hours * crew * rate.</t>
        </is>
      </c>
    </row>
    <row r="12" ht="19.7" customHeight="1" s="59">
      <c r="A12" s="120" t="inlineStr">
        <is>
          <t>B.  FACILITY ACCESS  (per visit — varies by slaughterhouse)</t>
        </is>
      </c>
    </row>
    <row r="13" ht="18.4" customHeight="1" s="59">
      <c r="A13" s="74" t="inlineStr">
        <is>
          <t>Space / line rental per visit ($)</t>
        </is>
      </c>
      <c r="C13" s="123" t="n">
        <v>500</v>
      </c>
      <c r="D13" s="73" t="inlineStr">
        <is>
          <t>Model A: rent floor/cooler access. 0 if none / relationship.</t>
        </is>
      </c>
    </row>
    <row r="14" ht="18.4" customHeight="1" s="59">
      <c r="A14" s="74" t="inlineStr">
        <is>
          <t>Plant inspection / handling fee per visit ($)</t>
        </is>
      </c>
      <c r="C14" s="123" t="n">
        <v>150</v>
      </c>
      <c r="D14" s="73" t="inlineStr">
        <is>
          <t>Plant's charge for their staff/line time — OR the Model B per-visit harvest fee.</t>
        </is>
      </c>
    </row>
    <row r="15" ht="18.4" customHeight="1" s="59">
      <c r="A15" s="74" t="inlineStr">
        <is>
          <t>Our inspector / trainer cost per visit ($)</t>
        </is>
      </c>
      <c r="C15" s="123" t="n">
        <v>0</v>
      </c>
      <c r="D15" s="73" t="inlineStr">
        <is>
          <t>Model B: amortized day-rate + travel of trainers/inspectors we send.</t>
        </is>
      </c>
    </row>
    <row r="16" ht="18.4" customHeight="1" s="59">
      <c r="A16" s="74" t="inlineStr">
        <is>
          <t>Facility fixed subtotal</t>
        </is>
      </c>
      <c r="C16" s="125">
        <f>C13+C14+C15</f>
        <v/>
      </c>
      <c r="D16" s="73" t="inlineStr">
        <is>
          <t>formula: rental + plant fee + our inspector.</t>
        </is>
      </c>
    </row>
    <row r="17" ht="19.7" customHeight="1" s="59">
      <c r="A17" s="120" t="inlineStr">
        <is>
          <t>C.  LOGISTICS &amp; HOLDING</t>
        </is>
      </c>
    </row>
    <row r="18" ht="18.4" customHeight="1" s="59">
      <c r="A18" s="74" t="inlineStr">
        <is>
          <t>Transportation per visit ($)</t>
        </is>
      </c>
      <c r="C18" s="123" t="n">
        <v>300</v>
      </c>
      <c r="D18" s="73" t="inlineStr">
        <is>
          <t>Round-trip freight / vehicle / fuel / cold-chain for the trip.</t>
        </is>
      </c>
    </row>
    <row r="19" ht="18.4" customHeight="1" s="59">
      <c r="A19" s="74" t="inlineStr">
        <is>
          <t>Inventory / holding cost per block ($)</t>
        </is>
      </c>
      <c r="C19" s="123" t="n">
        <v>8</v>
      </c>
      <c r="D19" s="73" t="inlineStr">
        <is>
          <t>Preservation, cold storage, holding per piece.</t>
        </is>
      </c>
    </row>
    <row r="20" ht="19.7" customHeight="1" s="59">
      <c r="A20" s="120" t="inlineStr">
        <is>
          <t>D.  RESULT</t>
        </is>
      </c>
    </row>
    <row r="21" ht="18.4" customHeight="1" s="59">
      <c r="A21" s="74" t="inlineStr">
        <is>
          <t>Per-visit fixed + transport</t>
        </is>
      </c>
      <c r="C21" s="125">
        <f>C16+C18</f>
        <v/>
      </c>
      <c r="D21" s="73" t="inlineStr">
        <is>
          <t>formula: facility fixed + transportation.</t>
        </is>
      </c>
    </row>
    <row r="22" ht="18.4" customHeight="1" s="59">
      <c r="A22" s="74" t="inlineStr">
        <is>
          <t>Total cost per visit</t>
        </is>
      </c>
      <c r="C22" s="125">
        <f>C21+C11+C19*C6</f>
        <v/>
      </c>
      <c r="D22" s="73" t="inlineStr">
        <is>
          <t>formula: fixed+transport + harvester labor + inventory * blocks.</t>
        </is>
      </c>
    </row>
    <row r="23" ht="18.4" customHeight="1" s="59">
      <c r="A23" s="78" t="inlineStr">
        <is>
          <t>★ TOTAL COST PER BLOCK</t>
        </is>
      </c>
      <c r="C23" s="126">
        <f>IF(C6&gt;0,C22/C6,"n/a")</f>
        <v/>
      </c>
      <c r="D23" s="73" t="inlineStr">
        <is>
          <t>formula: total cost per visit / blocks. Your self-harvest unit cost.</t>
        </is>
      </c>
    </row>
    <row r="24" ht="18.4" customHeight="1" s="59">
      <c r="A24" s="74" t="inlineStr">
        <is>
          <t>Memo: harvester labor per block</t>
        </is>
      </c>
      <c r="C24" s="125">
        <f>IF(C6&gt;0,C11/C6,"n/a")</f>
        <v/>
      </c>
      <c r="D24" s="73" t="inlineStr">
        <is>
          <t>formula: (min/block / 60) * crew * rate.</t>
        </is>
      </c>
    </row>
    <row r="25" ht="18.4" customHeight="1" s="59">
      <c r="A25" s="74" t="inlineStr">
        <is>
          <t>Memo: fixed+transport per block</t>
        </is>
      </c>
      <c r="C25" s="125">
        <f>IF(C6&gt;0,C21/C6,"n/a")</f>
        <v/>
      </c>
      <c r="D25" s="73" t="inlineStr">
        <is>
          <t>Spread of per-visit fixed costs — falls as blocks/visit rises.</t>
        </is>
      </c>
    </row>
    <row r="26" ht="19.7" customHeight="1" s="59">
      <c r="A26" s="120" t="inlineStr">
        <is>
          <t>E.  BUY-DIRECT BENCHMARK  (real published list prices)</t>
        </is>
      </c>
    </row>
    <row r="27" ht="18.4" customHeight="1" s="59">
      <c r="A27" s="74" t="inlineStr">
        <is>
          <t>Buy-direct: single porcine organ ($)</t>
        </is>
      </c>
      <c r="C27" s="123" t="n">
        <v>141</v>
      </c>
      <c r="D27" s="73" t="inlineStr">
        <is>
          <t>Innovative Research list, base config (real published price).</t>
        </is>
      </c>
    </row>
    <row r="28" ht="18.4" customHeight="1" s="59">
      <c r="A28" s="74" t="inlineStr">
        <is>
          <t>Buy-direct: pelvic block ($)</t>
        </is>
      </c>
      <c r="C28" s="123" t="n">
        <v>582</v>
      </c>
      <c r="D28" s="73" t="inlineStr">
        <is>
          <t>Innovative Research list, base config (real published price).</t>
        </is>
      </c>
    </row>
    <row r="29" ht="18.4" customHeight="1" s="59">
      <c r="A29" s="74" t="inlineStr">
        <is>
          <t>Δ self-harvest vs buy-direct (per organ)</t>
        </is>
      </c>
      <c r="C29" s="125">
        <f>C23-C27</f>
        <v/>
      </c>
      <c r="D29" s="73" t="inlineStr">
        <is>
          <t>Negative = self-harvest cheaper per organ.</t>
        </is>
      </c>
    </row>
    <row r="30" ht="18.4" customHeight="1" s="59">
      <c r="A30" s="74" t="inlineStr">
        <is>
          <t>Verdict</t>
        </is>
      </c>
      <c r="C30" s="127">
        <f>IF(C23&lt;=C27,"Self-harvest cheaper / on par","Buying direct cheaper per organ")</f>
        <v/>
      </c>
      <c r="D30" s="73" t="inlineStr">
        <is>
          <t>Rule of thumb; one visit yields many blocks, favoring self-harvest.</t>
        </is>
      </c>
    </row>
    <row r="31" ht="15" customHeight="1" s="59"/>
    <row r="32" ht="19.7" customHeight="1" s="59">
      <c r="A32" s="120" t="inlineStr">
        <is>
          <t>PER-SLAUGHTERHOUSE COMPARISON  (illustrative placeholders — replace with real figures/quotes)</t>
        </is>
      </c>
    </row>
    <row r="33" ht="31.8" customHeight="1" s="59">
      <c r="A33" s="40" t="inlineStr">
        <is>
          <t>Facility</t>
        </is>
      </c>
      <c r="B33" s="40" t="inlineStr">
        <is>
          <t>Blocks/
visit</t>
        </is>
      </c>
      <c r="C33" s="40" t="inlineStr">
        <is>
          <t>Min/
block</t>
        </is>
      </c>
      <c r="D33" s="40" t="inlineStr">
        <is>
          <t>Crew</t>
        </is>
      </c>
      <c r="E33" s="40" t="inlineStr">
        <is>
          <t>$/hr</t>
        </is>
      </c>
      <c r="F33" s="40" t="inlineStr">
        <is>
          <t>Rental/
visit</t>
        </is>
      </c>
      <c r="G33" s="40" t="inlineStr">
        <is>
          <t>Plant fee /
harvest fee</t>
        </is>
      </c>
      <c r="H33" s="40" t="inlineStr">
        <is>
          <t>Our insp/
visit</t>
        </is>
      </c>
      <c r="I33" s="40" t="inlineStr">
        <is>
          <t>Transport/
visit</t>
        </is>
      </c>
      <c r="J33" s="40" t="inlineStr">
        <is>
          <t>Inv/
block</t>
        </is>
      </c>
      <c r="K33" s="40" t="inlineStr">
        <is>
          <t>⇒ Cost/
block</t>
        </is>
      </c>
      <c r="L33" s="40" t="inlineStr">
        <is>
          <t>vs $/organ
direct</t>
        </is>
      </c>
    </row>
    <row r="34" ht="31.8" customHeight="1" s="59">
      <c r="A34" s="8" t="inlineStr">
        <is>
          <t>Nahunta Pork Center (Pikeville, NC)</t>
        </is>
      </c>
      <c r="B34" s="121" t="n">
        <v>40</v>
      </c>
      <c r="C34" s="122" t="n">
        <v>15</v>
      </c>
      <c r="D34" s="121" t="n">
        <v>2</v>
      </c>
      <c r="E34" s="123" t="n">
        <v>45</v>
      </c>
      <c r="F34" s="123" t="n">
        <v>0</v>
      </c>
      <c r="G34" s="123" t="n">
        <v>100</v>
      </c>
      <c r="H34" s="123" t="n">
        <v>0</v>
      </c>
      <c r="I34" s="123" t="n">
        <v>150</v>
      </c>
      <c r="J34" s="123" t="n">
        <v>8</v>
      </c>
      <c r="K34" s="128">
        <f>IF(B34&gt;0,(F34+G34+H34+I34+(B34*C34/60)*D34*E34+J34*B34)/B34,0)</f>
        <v/>
      </c>
      <c r="L34" s="125">
        <f>K34-$C$27</f>
        <v/>
      </c>
    </row>
    <row r="35" ht="31.8" customHeight="1" s="59">
      <c r="A35" s="8" t="inlineStr">
        <is>
          <t>Martin's Pork Products (Falcon, NC)</t>
        </is>
      </c>
      <c r="B35" s="121" t="n">
        <v>50</v>
      </c>
      <c r="C35" s="122" t="n">
        <v>15</v>
      </c>
      <c r="D35" s="121" t="n">
        <v>2</v>
      </c>
      <c r="E35" s="123" t="n">
        <v>45</v>
      </c>
      <c r="F35" s="123" t="n">
        <v>0</v>
      </c>
      <c r="G35" s="123" t="n">
        <v>150</v>
      </c>
      <c r="H35" s="123" t="n">
        <v>0</v>
      </c>
      <c r="I35" s="123" t="n">
        <v>175</v>
      </c>
      <c r="J35" s="123" t="n">
        <v>8</v>
      </c>
      <c r="K35" s="128">
        <f>IF(B35&gt;0,(F35+G35+H35+I35+(B35*C35/60)*D35*E35+J35*B35)/B35,0)</f>
        <v/>
      </c>
      <c r="L35" s="125">
        <f>K35-$C$27</f>
        <v/>
      </c>
    </row>
    <row r="36" ht="18.4" customHeight="1" s="59">
      <c r="A36" s="8" t="inlineStr">
        <is>
          <t>Piedmont Custom Meats (NC)</t>
        </is>
      </c>
      <c r="B36" s="121" t="n">
        <v>45</v>
      </c>
      <c r="C36" s="122" t="n">
        <v>15</v>
      </c>
      <c r="D36" s="121" t="n">
        <v>2</v>
      </c>
      <c r="E36" s="123" t="n">
        <v>45</v>
      </c>
      <c r="F36" s="123" t="n">
        <v>400</v>
      </c>
      <c r="G36" s="123" t="n">
        <v>0</v>
      </c>
      <c r="H36" s="123" t="n">
        <v>0</v>
      </c>
      <c r="I36" s="123" t="n">
        <v>200</v>
      </c>
      <c r="J36" s="123" t="n">
        <v>8</v>
      </c>
      <c r="K36" s="128">
        <f>IF(B36&gt;0,(F36+G36+H36+I36+(B36*C36/60)*D36*E36+J36*B36)/B36,0)</f>
        <v/>
      </c>
      <c r="L36" s="125">
        <f>K36-$C$27</f>
        <v/>
      </c>
    </row>
    <row r="37" ht="18.4" customHeight="1" s="59">
      <c r="A37" s="8" t="inlineStr">
        <is>
          <t>Acre Station Meat Farm (NC)</t>
        </is>
      </c>
      <c r="B37" s="121" t="n">
        <v>30</v>
      </c>
      <c r="C37" s="122" t="n">
        <v>15</v>
      </c>
      <c r="D37" s="121" t="n">
        <v>2</v>
      </c>
      <c r="E37" s="123" t="n">
        <v>45</v>
      </c>
      <c r="F37" s="123" t="n">
        <v>350</v>
      </c>
      <c r="G37" s="123" t="n">
        <v>0</v>
      </c>
      <c r="H37" s="123" t="n">
        <v>0</v>
      </c>
      <c r="I37" s="123" t="n">
        <v>220</v>
      </c>
      <c r="J37" s="123" t="n">
        <v>8</v>
      </c>
      <c r="K37" s="128">
        <f>IF(B37&gt;0,(F37+G37+H37+I37+(B37*C37/60)*D37*E37+J37*B37)/B37,0)</f>
        <v/>
      </c>
      <c r="L37" s="125">
        <f>K37-$C$27</f>
        <v/>
      </c>
    </row>
    <row r="38" ht="18.4" customHeight="1" s="59">
      <c r="A38" s="8" t="inlineStr">
        <is>
          <t>EcoFriendly Foods (Moneta, VA)</t>
        </is>
      </c>
      <c r="B38" s="121" t="n">
        <v>30</v>
      </c>
      <c r="C38" s="122" t="n">
        <v>15</v>
      </c>
      <c r="D38" s="121" t="n">
        <v>2</v>
      </c>
      <c r="E38" s="123" t="n">
        <v>48</v>
      </c>
      <c r="F38" s="123" t="n">
        <v>400</v>
      </c>
      <c r="G38" s="123" t="n">
        <v>0</v>
      </c>
      <c r="H38" s="123" t="n">
        <v>0</v>
      </c>
      <c r="I38" s="123" t="n">
        <v>350</v>
      </c>
      <c r="J38" s="123" t="n">
        <v>9</v>
      </c>
      <c r="K38" s="128">
        <f>IF(B38&gt;0,(F38+G38+H38+I38+(B38*C38/60)*D38*E38+J38*B38)/B38,0)</f>
        <v/>
      </c>
      <c r="L38" s="125">
        <f>K38-$C$27</f>
        <v/>
      </c>
    </row>
    <row r="39" ht="31.8" customHeight="1" s="59">
      <c r="A39" s="8" t="inlineStr">
        <is>
          <t>Midwest Research Swine (MN) — Model B</t>
        </is>
      </c>
      <c r="B39" s="121" t="n">
        <v>60</v>
      </c>
      <c r="C39" s="122" t="n">
        <v>12</v>
      </c>
      <c r="D39" s="121" t="n">
        <v>0</v>
      </c>
      <c r="E39" s="123" t="n">
        <v>45</v>
      </c>
      <c r="F39" s="123" t="n">
        <v>0</v>
      </c>
      <c r="G39" s="123" t="n">
        <v>900</v>
      </c>
      <c r="H39" s="123" t="n">
        <v>200</v>
      </c>
      <c r="I39" s="123" t="n">
        <v>400</v>
      </c>
      <c r="J39" s="123" t="n">
        <v>9</v>
      </c>
      <c r="K39" s="128">
        <f>IF(B39&gt;0,(F39+G39+H39+I39+(B39*C39/60)*D39*E39+J39*B39)/B39,0)</f>
        <v/>
      </c>
      <c r="L39" s="125">
        <f>K39-$C$27</f>
        <v/>
      </c>
    </row>
    <row r="40" ht="31.8" customHeight="1" s="59">
      <c r="A40" s="8" t="inlineStr">
        <is>
          <t>Smithfield BioScience (IA) — Model B</t>
        </is>
      </c>
      <c r="B40" s="121" t="n">
        <v>80</v>
      </c>
      <c r="C40" s="122" t="n">
        <v>10</v>
      </c>
      <c r="D40" s="121" t="n">
        <v>0</v>
      </c>
      <c r="E40" s="123" t="n">
        <v>45</v>
      </c>
      <c r="F40" s="123" t="n">
        <v>0</v>
      </c>
      <c r="G40" s="123" t="n">
        <v>1200</v>
      </c>
      <c r="H40" s="123" t="n">
        <v>150</v>
      </c>
      <c r="I40" s="123" t="n">
        <v>300</v>
      </c>
      <c r="J40" s="123" t="n">
        <v>8</v>
      </c>
      <c r="K40" s="128">
        <f>IF(B40&gt;0,(F40+G40+H40+I40+(B40*C40/60)*D40*E40+J40*B40)/B40,0)</f>
        <v/>
      </c>
      <c r="L40" s="125">
        <f>K40-$C$27</f>
        <v/>
      </c>
    </row>
    <row r="41" ht="15" customHeight="1" s="59"/>
    <row r="42" ht="17.1" customHeight="1" s="59">
      <c r="A42" s="76" t="inlineStr">
        <is>
          <t>•  For Model B (plant harvests): set Crew = 0 and enter the plant's per-visit harvest fee under 'Plant fee / harvest fee'.</t>
        </is>
      </c>
    </row>
    <row r="43" ht="17.1" customHeight="1" s="59">
      <c r="A43" s="76" t="inlineStr">
        <is>
          <t>•  Cost/block = (rental + plant fee + our inspector + transport + harvester labor + inventory × blocks) ÷ blocks.  Harvester labor = (min/block ÷ 60) × blocks × crew × rate.</t>
        </is>
      </c>
    </row>
    <row r="44" ht="17.1" customHeight="1" s="59">
      <c r="A44" s="76" t="inlineStr">
        <is>
          <t>•  Compare Cost/block (col ⇒) to buy-direct list prices: ~$141/organ and $582/pelvic block (Innovative Research). Self-harvest usually wins because one visit yields many blocks at once.</t>
        </is>
      </c>
    </row>
    <row r="45" ht="17.1" customHeight="1" s="59">
      <c r="A45" s="76" t="inlineStr">
        <is>
          <t>•  Every blue number is an ILLUSTRATIVE placeholder to show the format — none are researched costs. Replace them with your real time-studies, rental terms, wages, freight, and holding costs.</t>
        </is>
      </c>
    </row>
    <row r="46" ht="15" customHeight="1" s="59"/>
    <row r="47" ht="58.6" customHeight="1" s="59">
      <c r="A47" s="204" t="inlineStr">
        <is>
          <t>F.  COST PER ACCEPTED BLOCK  (added 2026-09-30 — separates yield loss and purchase price from harvest cost)</t>
        </is>
      </c>
      <c r="C47" s="204" t="n"/>
      <c r="D47" s="204" t="n"/>
    </row>
    <row r="48" ht="152.4" customHeight="1" s="59">
      <c r="A48" s="205" t="inlineStr">
        <is>
          <t>Rejection rate at incoming inspection (%)</t>
        </is>
      </c>
      <c r="C48" s="209" t="n">
        <v>10</v>
      </c>
      <c r="D48" s="205" t="inlineStr">
        <is>
          <t>Illustrative until the pilot measures it. Share of harvested blocks that fail spec.</t>
        </is>
      </c>
    </row>
    <row r="49" ht="165.8" customHeight="1" s="59">
      <c r="A49" s="205" t="inlineStr">
        <is>
          <t>Tissue purchase price per piece ($, if the plant sells the organ)</t>
        </is>
      </c>
      <c r="C49" s="209" t="n">
        <v>0</v>
      </c>
      <c r="D49" s="205" t="inlineStr">
        <is>
          <t>0 for Model A access-only deals; enter the per-piece price for Model B-T or purchased organs.</t>
        </is>
      </c>
    </row>
    <row r="50" ht="98.8" customHeight="1" s="59">
      <c r="A50" s="205" t="inlineStr">
        <is>
          <t>Accepted blocks per visit</t>
        </is>
      </c>
      <c r="C50" s="205">
        <f>C6*(1-C48/100)</f>
        <v/>
      </c>
      <c r="D50" s="205" t="inlineStr">
        <is>
          <t>formula: blocks harvested × (1 − rejection rate).</t>
        </is>
      </c>
    </row>
    <row r="51" ht="219.4" customHeight="1" s="59">
      <c r="A51" s="204" t="inlineStr">
        <is>
          <t>★ TOTAL COST PER ACCEPTED BLOCK</t>
        </is>
      </c>
      <c r="C51" s="204">
        <f>IF(C50&gt;0,(C22+C49*C6)/C50,"n/a")</f>
        <v/>
      </c>
      <c r="D51" s="204" t="inlineStr">
        <is>
          <t>formula: (total cost per visit + purchase price × blocks) ÷ accepted blocks. 'n/a' at zero production — never a $0 verdict.</t>
        </is>
      </c>
    </row>
  </sheetData>
  <mergeCells count="55">
    <mergeCell ref="D11:I11"/>
    <mergeCell ref="A24:B24"/>
    <mergeCell ref="D27:I27"/>
    <mergeCell ref="A30:B30"/>
    <mergeCell ref="A15:B15"/>
    <mergeCell ref="D13:I13"/>
    <mergeCell ref="A11:B11"/>
    <mergeCell ref="D16:I16"/>
    <mergeCell ref="D7:I7"/>
    <mergeCell ref="A6:B6"/>
    <mergeCell ref="A12:L12"/>
    <mergeCell ref="A26:L26"/>
    <mergeCell ref="A2:L2"/>
    <mergeCell ref="A16:B16"/>
    <mergeCell ref="A42:L42"/>
    <mergeCell ref="A7:B7"/>
    <mergeCell ref="A25:B25"/>
    <mergeCell ref="D28:I28"/>
    <mergeCell ref="A5:L5"/>
    <mergeCell ref="D18:I18"/>
    <mergeCell ref="A32:L32"/>
    <mergeCell ref="D9:I9"/>
    <mergeCell ref="A17:L17"/>
    <mergeCell ref="A18:B18"/>
    <mergeCell ref="A27:B27"/>
    <mergeCell ref="D30:I30"/>
    <mergeCell ref="D8:I8"/>
    <mergeCell ref="D25:I25"/>
    <mergeCell ref="D15:I15"/>
    <mergeCell ref="A20:L20"/>
    <mergeCell ref="A4:L4"/>
    <mergeCell ref="A21:B21"/>
    <mergeCell ref="D24:I24"/>
    <mergeCell ref="A43:L43"/>
    <mergeCell ref="D14:I14"/>
    <mergeCell ref="D29:I29"/>
    <mergeCell ref="D23:I23"/>
    <mergeCell ref="A44:L44"/>
    <mergeCell ref="A14:B14"/>
    <mergeCell ref="A23:B23"/>
    <mergeCell ref="A8:B8"/>
    <mergeCell ref="A22:B22"/>
    <mergeCell ref="D19:I19"/>
    <mergeCell ref="D10:I10"/>
    <mergeCell ref="A29:B29"/>
    <mergeCell ref="A19:B19"/>
    <mergeCell ref="D22:I22"/>
    <mergeCell ref="A1:L1"/>
    <mergeCell ref="A45:L45"/>
    <mergeCell ref="A10:B10"/>
    <mergeCell ref="A28:B28"/>
    <mergeCell ref="A13:B13"/>
    <mergeCell ref="D6:I6"/>
    <mergeCell ref="A9:B9"/>
    <mergeCell ref="D21:I21"/>
  </mergeCells>
  <pageMargins left="0.35" right="0.35" top="0.45" bottom="0.45" header="0.5" footer="0.5"/>
  <pageSetup orientation="landscape" fitToHeight="0" fitToWidth="1"/>
  <headerFooter>
    <oddHeader/>
    <oddFooter>&amp;L&amp;8 TCO Calculator&amp;R&amp;8 Page &amp;P of &amp;N</oddFooter>
    <evenHeader/>
    <evenFooter/>
    <firstHeader/>
    <firstFooter/>
  </headerFooter>
</worksheet>
</file>

<file path=xl/worksheets/sheet9.xml><?xml version="1.0" encoding="utf-8"?>
<worksheet xmlns="http://schemas.openxmlformats.org/spreadsheetml/2006/main">
  <sheetPr>
    <tabColor rgb="00BF8F00"/>
    <outlinePr summaryBelow="1" summaryRight="1"/>
    <pageSetUpPr fitToPage="1"/>
  </sheetPr>
  <dimension ref="A1:D21"/>
  <sheetViews>
    <sheetView showGridLines="0" topLeftCell="A7" workbookViewId="0">
      <selection activeCell="A1" sqref="A1:D1"/>
    </sheetView>
  </sheetViews>
  <sheetFormatPr baseColWidth="8" defaultRowHeight="14.4"/>
  <cols>
    <col width="22" customWidth="1" style="59" min="1" max="1"/>
    <col width="40" customWidth="1" style="59" min="2" max="4"/>
    <col width="40" customWidth="1" style="59" min="3" max="3"/>
    <col width="40" customWidth="1" style="59" min="4" max="4"/>
  </cols>
  <sheetData>
    <row r="1" ht="25.1" customHeight="1" s="59">
      <c r="A1" s="117" t="inlineStr">
        <is>
          <t>Operating Models &amp; Make-vs-Buy Framework</t>
        </is>
      </c>
    </row>
    <row r="2" ht="18.4" customHeight="1" s="59">
      <c r="A2" s="61" t="inlineStr">
        <is>
          <t>Three ways to obtain tissue. Cost drivers differ; per-tissue economics depend heavily on freshness needs, MOQ, and travel.</t>
        </is>
      </c>
    </row>
    <row r="3" ht="15" customHeight="1" s="59"/>
    <row r="4" ht="18.4" customHeight="1" s="59">
      <c r="A4" s="3" t="inlineStr">
        <is>
          <t>Dimension</t>
        </is>
      </c>
      <c r="B4" s="3" t="inlineStr">
        <is>
          <t>Model A — We harvest on-site</t>
        </is>
      </c>
      <c r="C4" s="3" t="inlineStr">
        <is>
          <t>Model B — Plant harvests for us</t>
        </is>
      </c>
      <c r="D4" s="3" t="inlineStr">
        <is>
          <t>Buy direct (national vendor)</t>
        </is>
      </c>
    </row>
    <row r="5" ht="31.8" customHeight="1" s="59">
      <c r="A5" s="1" t="inlineStr">
        <is>
          <t>What we provide</t>
        </is>
      </c>
      <c r="B5" s="68" t="inlineStr">
        <is>
          <t>Our trained harvesters + tools; we rent line/cooler access.</t>
        </is>
      </c>
      <c r="C5" s="68" t="inlineStr">
        <is>
          <t>Inspectors + trainers to qualify their crew to our protocol.</t>
        </is>
      </c>
      <c r="D5" s="68" t="inlineStr">
        <is>
          <t>A purchase order; vendor ships tissue.</t>
        </is>
      </c>
    </row>
    <row r="6" ht="31.8" customHeight="1" s="59">
      <c r="A6" s="1" t="inlineStr">
        <is>
          <t>What the plant provides</t>
        </is>
      </c>
      <c r="B6" s="68" t="inlineStr">
        <is>
          <t>Floor/line access, cooler space, kill schedule, hanging/handling.</t>
        </is>
      </c>
      <c r="C6" s="68" t="inlineStr">
        <is>
          <t>Trained labor, QA cooperation, our-spec dissection at the kill.</t>
        </is>
      </c>
      <c r="D6" s="68" t="inlineStr">
        <is>
          <t>n/a — vendor already harvests &amp; processes.</t>
        </is>
      </c>
    </row>
    <row r="7" ht="31.8" customHeight="1" s="59">
      <c r="A7" s="1" t="inlineStr">
        <is>
          <t>Freshness / ischemia control</t>
        </is>
      </c>
      <c r="B7" s="68" t="inlineStr">
        <is>
          <t>Best — we control time-to-preserve at the source.</t>
        </is>
      </c>
      <c r="C7" s="68" t="inlineStr">
        <is>
          <t>Good — depends on their crew discipline; we audit.</t>
        </is>
      </c>
      <c r="D7" s="68" t="inlineStr">
        <is>
          <t>Variable — shipping adds hours/days; ask about cold-chain &amp; harvest-to-ship time.</t>
        </is>
      </c>
    </row>
    <row r="8" ht="31.8" customHeight="1" s="59">
      <c r="A8" s="1" t="inlineStr">
        <is>
          <t>Our labor cost</t>
        </is>
      </c>
      <c r="B8" s="68" t="inlineStr">
        <is>
          <t>High — we mobilize/travel crews; rent space.</t>
        </is>
      </c>
      <c r="C8" s="68" t="inlineStr">
        <is>
          <t>Lower — plant labor does the work; we train/audit periodically.</t>
        </is>
      </c>
      <c r="D8" s="68" t="inlineStr">
        <is>
          <t>None on harvest; we pay per-tissue + freight.</t>
        </is>
      </c>
    </row>
    <row r="9" ht="31.8" customHeight="1" s="59">
      <c r="A9" s="1" t="inlineStr">
        <is>
          <t>Volume scalability</t>
        </is>
      </c>
      <c r="B9" s="68" t="inlineStr">
        <is>
          <t>Capped by plant kill schedule + our crew capacity.</t>
        </is>
      </c>
      <c r="C9" s="68" t="inlineStr">
        <is>
          <t>Scales with plant labor; needs their buy-in.</t>
        </is>
      </c>
      <c r="D9" s="68" t="inlineStr">
        <is>
          <t>Scales with vendor supply &amp; MOQ; least control.</t>
        </is>
      </c>
    </row>
    <row r="10" ht="31.8" customHeight="1" s="59">
      <c r="A10" s="1" t="inlineStr">
        <is>
          <t>Quality-issue leverage</t>
        </is>
      </c>
      <c r="B10" s="68" t="inlineStr">
        <is>
          <t>High — our people, our call.</t>
        </is>
      </c>
      <c r="C10" s="68" t="inlineStr">
        <is>
          <t>Medium — depends on the plant's culture (why culture matters).</t>
        </is>
      </c>
      <c r="D10" s="68" t="inlineStr">
        <is>
          <t>Low-medium — vendor SLA / return policy only.</t>
        </is>
      </c>
    </row>
    <row r="11" ht="31.8" customHeight="1" s="59">
      <c r="A11" s="1" t="inlineStr">
        <is>
          <t>Best when</t>
        </is>
      </c>
      <c r="B11" s="68" t="inlineStr">
        <is>
          <t>Tissue is high-value, freshness-critical, or protocol is proprietary.</t>
        </is>
      </c>
      <c r="C11" s="68" t="inlineStr">
        <is>
          <t>Plant has good culture (Nahunta-type) and willing crew; recurring volume.</t>
        </is>
      </c>
      <c r="D11" s="68" t="inlineStr">
        <is>
          <t>Need occasional/low volume, or a tissue we can't efficiently harvest ourselves.</t>
        </is>
      </c>
    </row>
    <row r="12" ht="31.8" customHeight="1" s="59">
      <c r="A12" s="1" t="inlineStr">
        <is>
          <t>Main cost drivers</t>
        </is>
      </c>
      <c r="B12" s="68" t="inlineStr">
        <is>
          <t>Crew travel/lodging, space rental, per-visit mobilization, downtime.</t>
        </is>
      </c>
      <c r="C12" s="68" t="inlineStr">
        <is>
          <t>Training overhead, per-piece harvest fee, audit trips.</t>
        </is>
      </c>
      <c r="D12" s="68" t="inlineStr">
        <is>
          <t>Per-tissue list/quote price, MOQ, dissection fees, overnight cold-chain freight.</t>
        </is>
      </c>
    </row>
    <row r="13" ht="15" customHeight="1" s="59"/>
    <row r="14" ht="19.7" customHeight="1" s="59">
      <c r="A14" s="118" t="inlineStr">
        <is>
          <t>MAKE-VS-BUY — per-tissue economics (qualitative, confirm with real quotes)</t>
        </is>
      </c>
    </row>
    <row r="15" ht="31.8" customHeight="1" s="59">
      <c r="A15" s="68" t="inlineStr">
        <is>
          <t>•  Bottom line: for an operation that already harvests on-site, buying finished tissue from a national vendor is generally MORE expensive per tissue than self-harvest — but buying-direct wins in specific situations, not on unit cost.</t>
        </is>
      </c>
      <c r="B15" s="64" t="n"/>
      <c r="C15" s="64" t="n"/>
      <c r="D15" s="65" t="n"/>
    </row>
    <row r="16" ht="45.2" customHeight="1" s="59">
      <c r="A16" s="68" t="inlineStr">
        <is>
          <t>•  One hog yields all three regions at once: self-harvest pulls pelvic + abdominal + thoracic from the same carcass in one session. Buying the equivalent separately (pelvic block ~$582 + a thoracic pluck + abdominal organs ~$141 each) stacks to roughly $1,000-2,000+ per animal-equivalent before shipping. Your marginal cost at the plant is mostly labor + consumables.</t>
        </is>
      </c>
      <c r="B16" s="64" t="n"/>
      <c r="C16" s="64" t="n"/>
      <c r="D16" s="65" t="n"/>
    </row>
    <row r="17" ht="31.8" customHeight="1" s="59">
      <c r="A17" s="68" t="inlineStr">
        <is>
          <t>•  Custom dissection / processing fees: vendors charge for anything beyond base config (extra vessels, cannulation, specific trim, saline/PBS perfusion) — exactly the work you already do in-house.</t>
        </is>
      </c>
      <c r="B17" s="64" t="n"/>
      <c r="C17" s="64" t="n"/>
      <c r="D17" s="65" t="n"/>
    </row>
    <row r="18" ht="31.8" customHeight="1" s="59">
      <c r="A18" s="68" t="inlineStr">
        <is>
          <t>•  Freshness / warm-ischemia: self-harvest is unbeatable (minutes). Vendors mitigate with overnight fresh-on-ice, but you still lose hours-to-a-day and pay cold-chain/dry-ice freight.</t>
        </is>
      </c>
      <c r="B18" s="64" t="n"/>
      <c r="C18" s="64" t="n"/>
      <c r="D18" s="65" t="n"/>
    </row>
    <row r="19" ht="18.4" customHeight="1" s="59">
      <c r="A19" s="68" t="inlineStr">
        <is>
          <t>•  Minimums, lead times, shipping: published lead times run up to 2-4 weeks (Pel-Freez); custom collections longer.</t>
        </is>
      </c>
      <c r="B19" s="64" t="n"/>
      <c r="C19" s="64" t="n"/>
      <c r="D19" s="65" t="n"/>
    </row>
    <row r="20" ht="45.2" customHeight="1" s="59">
      <c r="A20" s="68" t="inlineStr">
        <is>
          <t>•  Buy-direct is the better call despite higher unit cost when: volume is low/irregular; you lack USDA-inspected abattoir access or the QMS to document it and need traceability/certs (e.g. Tissue Source ISO 13485 + USDA Class A; ABI USDA-inspected); you need occasional organs outside your normal line, or specialized prep (perfused, snap-frozen, lyophilized — LAMPIRE).</t>
        </is>
      </c>
      <c r="B20" s="64" t="n"/>
      <c r="C20" s="64" t="n"/>
      <c r="D20" s="65" t="n"/>
    </row>
    <row r="21" ht="45.2" customHeight="1" s="59">
      <c r="A21" s="68" t="inlineStr">
        <is>
          <t>•  Public price anchors to reason from: ~$141 per single porcine organ and ~$582 for a full regional (pelvic) block (Innovative Research, list). Exact self-harvest break-even depends on hog cost, labor rate, tissues-per-animal yield, and shipping — none public — so treat this as directional until real quotes are in hand.</t>
        </is>
      </c>
      <c r="B21" s="64" t="n"/>
      <c r="C21" s="64" t="n"/>
      <c r="D21" s="65" t="n"/>
    </row>
  </sheetData>
  <mergeCells count="10">
    <mergeCell ref="A1:D1"/>
    <mergeCell ref="A17:D17"/>
    <mergeCell ref="A18:D18"/>
    <mergeCell ref="A20:D20"/>
    <mergeCell ref="A21:D21"/>
    <mergeCell ref="A15:D15"/>
    <mergeCell ref="A16:D16"/>
    <mergeCell ref="A2:D2"/>
    <mergeCell ref="A19:D19"/>
    <mergeCell ref="A14:D14"/>
  </mergeCells>
  <pageMargins left="0.35" right="0.35" top="0.45" bottom="0.45" header="0.5" footer="0.5"/>
  <pageSetup orientation="landscape" fitToHeight="0" fitToWidth="1"/>
  <headerFooter>
    <oddHeader/>
    <oddFooter>&amp;L&amp;8 Models &amp; Make-vs-Buy&amp;R&amp;8 Page &amp;P of &amp;N</oddFooter>
    <evenHeader/>
    <evenFooter/>
    <firstHeader/>
    <firstFooter/>
  </headerFooter>
</worksheet>
</file>

<file path=xl/worksheets/sheet10.xml><?xml version="1.0" encoding="utf-8"?>
<worksheet xmlns="http://schemas.openxmlformats.org/spreadsheetml/2006/main">
  <sheetPr>
    <tabColor rgb="00548235"/>
    <outlinePr summaryBelow="1" summaryRight="1"/>
    <pageSetUpPr fitToPage="1"/>
  </sheetPr>
  <dimension ref="A1:I31"/>
  <sheetViews>
    <sheetView showGridLines="0" workbookViewId="0">
      <pane ySplit="4" topLeftCell="A5" activePane="bottomLeft" state="frozen"/>
      <selection pane="bottomLeft" activeCell="A9" sqref="A9"/>
    </sheetView>
  </sheetViews>
  <sheetFormatPr baseColWidth="8" defaultRowHeight="14.4"/>
  <cols>
    <col width="22" customWidth="1" style="59" min="1" max="1"/>
    <col width="16" customWidth="1" style="59" min="2" max="2"/>
    <col width="44" customWidth="1" style="59" min="3" max="3"/>
    <col width="28" customWidth="1" style="59" min="4" max="4"/>
    <col width="34" customWidth="1" style="59" min="5" max="6"/>
    <col width="48" customWidth="1" style="59" min="6" max="6"/>
    <col width="24" customWidth="1" style="59" min="7" max="7"/>
    <col width="9" customWidth="1" style="59" min="8" max="8"/>
    <col width="46" customWidth="1" style="59" min="9" max="9"/>
  </cols>
  <sheetData>
    <row r="1" ht="25.1" customHeight="1" s="59">
      <c r="A1" s="117" t="inlineStr">
        <is>
          <t>National Direct-Tissue Suppliers — buy finished porcine tissue/organs</t>
        </is>
      </c>
    </row>
    <row r="2" ht="18.4" customHeight="1" s="59">
      <c r="A2" s="61" t="inlineStr">
        <is>
          <t>Vendors that sell porcine research tissue directly (no slaughterhouse relationship). Prices are QUOTE-ONLY across this industry unless a real published figure is noted; blanks = not public.</t>
        </is>
      </c>
    </row>
    <row r="3" ht="15" customHeight="1" s="59"/>
    <row r="4" ht="31.8" customHeight="1" s="59">
      <c r="A4" s="3" t="inlineStr">
        <is>
          <t>Supplier</t>
        </is>
      </c>
      <c r="B4" s="3" t="inlineStr">
        <is>
          <t>Location</t>
        </is>
      </c>
      <c r="C4" s="3" t="inlineStr">
        <is>
          <t>Porcine tissue / organs offered
(pelvic · abdominal · thoracic)</t>
        </is>
      </c>
      <c r="D4" s="3" t="inlineStr">
        <is>
          <t>Formats &amp; freshness</t>
        </is>
      </c>
      <c r="E4" s="3" t="inlineStr">
        <is>
          <t>Price per tissue</t>
        </is>
      </c>
      <c r="F4" s="3" t="inlineStr">
        <is>
          <t>Regulatory / quality</t>
        </is>
      </c>
      <c r="G4" s="3" t="inlineStr">
        <is>
          <t>Contact</t>
        </is>
      </c>
      <c r="H4" s="3" t="inlineStr">
        <is>
          <t>Conf.</t>
        </is>
      </c>
      <c r="I4" s="3" t="inlineStr">
        <is>
          <t>EU-export fit — APHIS REQUIRED</t>
        </is>
      </c>
    </row>
    <row r="5" ht="98.8" customHeight="1" s="59">
      <c r="A5" s="4" t="inlineStr">
        <is>
          <t>Animal Technologies, Inc.</t>
        </is>
      </c>
      <c r="B5" s="68" t="inlineStr">
        <is>
          <t>Tyler, TX</t>
        </is>
      </c>
      <c r="C5" s="68" t="inlineStr">
        <is>
          <t>Broad catalog by region. Thoracic: heart, lungs (±trachea/esophagus), trachea/larynx, aorta. Abdominal: stomach, intestines, liver ±gallbladder, pancreas, spleen, kidney, GI blocks. Pelvic: bladder (±ureters/urethra), repro tract, prostate+bladder, rectum/colon. Known for heart-lung PLUCKS for surgical training; eyes.</t>
        </is>
      </c>
      <c r="D5" s="68" t="inlineStr">
        <is>
          <t>Whole organs, blocks &amp; plucks; fresh or frozen; overnight (24 hr) nationwide.</t>
        </is>
      </c>
      <c r="E5" s="68" t="inlineStr">
        <is>
          <t>QUOTE ONLY — no prices published.</t>
        </is>
      </c>
      <c r="F5" s="68" t="inlineStr">
        <is>
          <t>In business since 1986; US abattoir-sourced (specific certs not stated on pages read).</t>
        </is>
      </c>
      <c r="G5" s="68" t="inlineStr">
        <is>
          <t>animaltechnologies.com · 903-592-1363</t>
        </is>
      </c>
      <c r="H5" s="68" t="inlineStr">
        <is>
          <t>High</t>
        </is>
      </c>
      <c r="I5" s="29" t="inlineStr">
        <is>
          <t>APHIS REQUIRED for EU. RISKY — USDA-abattoir sourced but no ISO/APHIS/TRACES or export docs; must ask</t>
        </is>
      </c>
    </row>
    <row r="6" ht="98.8" customHeight="1" s="59">
      <c r="A6" s="4" t="inlineStr">
        <is>
          <t>Animal Biotech Industries (ABI)</t>
        </is>
      </c>
      <c r="B6" s="68" t="inlineStr">
        <is>
          <t>Harleysville, PA</t>
        </is>
      </c>
      <c r="C6" s="68" t="inlineStr">
        <is>
          <t>Very comprehensive. Thoracic: heart, lung, trachea, esophagus, aorta, heart-lung blocks (±pericardium/pleura/larynx). Abdominal: stomach, intestines, liver, spleen, pancreas, kidney, biliary. Pelvic: repro organs, bladder, urinary, rectum. Custom tissue blocks; specialized prep e.g. cannulated kidneys.</t>
        </is>
      </c>
      <c r="D6" s="68" t="inlineStr">
        <is>
          <t>Single, paired, or custom blocks; fresh/frozen implied.</t>
        </is>
      </c>
      <c r="E6" s="68" t="inlineStr">
        <is>
          <t>QUOTE ONLY — PDF catalog lists items, not prices.</t>
        </is>
      </c>
      <c r="F6" s="68" t="inlineStr">
        <is>
          <t>⚠ CORRECTED: ABI DOES hold an APHIS credential — AWA Class B Dealer licence 23-B-0155, active to 30/04/2028, which ABI publishes itself. Second address on the licence record: 5398 Point Pleasant Pike, Suite B, Doylestown PA (the Harleysville pin is the office). || Since 1990; USDA federally-inspected abattoir sourcing; markets 'ethically harvested'.</t>
        </is>
      </c>
      <c r="G6" s="68" t="inlineStr">
        <is>
          <t>animalbiotech.com · 215-766-7413</t>
        </is>
      </c>
      <c r="H6" s="68" t="inlineStr">
        <is>
          <t>High</t>
        </is>
      </c>
      <c r="I6" s="133" t="inlineStr">
        <is>
          <t>APHIS REQUIRED for EU. RE-RATED: the earlier 'no APHIS listing' was WRONG — ABI holds AWA Class B 23-B-0155. BUT an AWA dealer licence is a LIVE-ANIMAL credential and is NOT an export credential. What ABI still lacks is an APHIS VETERINARY SERVICES export listing / TRACES entry. The export risk stands, for a more precise reason than before.</t>
        </is>
      </c>
    </row>
    <row r="7" ht="85.40000000000001" customHeight="1" s="59">
      <c r="A7" s="4" t="inlineStr">
        <is>
          <t>Innovative Research, Inc.</t>
        </is>
      </c>
      <c r="B7" s="68" t="inlineStr">
        <is>
          <t>Novi, MI (HQ med-conf.)</t>
        </is>
      </c>
      <c r="C7" s="68" t="inlineStr">
        <is>
          <t>'Innovative Grade US Origin' porcine, individually priced. Heart (19 vessel configs), lungs, kidney (±cannulation), bladder, liver, stomach; processed pericardium/SIS/mucosa. MULTI-ORGAN BLOCKS: PELVIC BLOCK (repro tract+bladder+kidneys+ureters+urethra+colon+rectum); Urinary System block.</t>
        </is>
      </c>
      <c r="D7" s="68" t="inlineStr">
        <is>
          <t>Frozen (-20/-80, dry ice) or Fresh in saline/PBS (wet ice); adult/juvenile/fetal.</t>
        </is>
      </c>
      <c r="E7" s="68" t="inlineStr">
        <is>
          <t>PUBLISHED — single organs from $141 (base config); PELVIC BLOCK from $582. Fresh/added vessels/small qty raise it; volume lowers it.</t>
        </is>
      </c>
      <c r="F7" s="68" t="inlineStr">
        <is>
          <t>US-origin abattoir; in-vitro research/mfg use only.</t>
        </is>
      </c>
      <c r="G7" s="68" t="inlineStr">
        <is>
          <t>innov-research.com</t>
        </is>
      </c>
      <c r="H7" s="68" t="inlineStr">
        <is>
          <t>High
(prices)</t>
        </is>
      </c>
      <c r="I7" s="30" t="inlineStr">
        <is>
          <t>APHIS REQUIRED for EU. LIKELY BLOCKER (device) — 'research use only, not for human/animal use' RUO labeling; no export docs</t>
        </is>
      </c>
    </row>
    <row r="8" ht="98.8" customHeight="1" s="59">
      <c r="A8" s="4" t="inlineStr">
        <is>
          <t>Tissue Source, LLC</t>
        </is>
      </c>
      <c r="B8" s="68" t="inlineStr">
        <is>
          <t>Frankfort, IN</t>
        </is>
      </c>
      <c r="C8" s="68" t="inlineStr">
        <is>
          <t>Custom porcine for device/biologics/pharma/education. Thoracic: heart, valves, lungs, trachea, pericardium, pleura. Abdominal: liver, pancreas, spleen, kidney, gallbladder, stomach, intestines. Pelvic: bladder, uterus, ovaries, testicles, vagina, penis. Overnight shipping.</t>
        </is>
      </c>
      <c r="D8" s="68" t="inlineStr">
        <is>
          <t>Custom; whole organ vs block per request; overnight.</t>
        </is>
      </c>
      <c r="E8" s="68" t="inlineStr">
        <is>
          <t>QUOTE ONLY.</t>
        </is>
      </c>
      <c r="F8" s="68" t="inlineStr">
        <is>
          <t>ISO 13485 + ISO 22442-2 (company). Ante-/post-mortem inspection is CLAIMED but USDA inspection is not stated for 100% of source animals — a gap under MDR Annex I 13.1 / ISO 22442. HISTORY (2026-08): a 'USDA Class A Breeders License' claim was withdrawn — not in the APHIS licensee list and not on the company site.</t>
        </is>
      </c>
      <c r="G8" s="68" t="inlineStr">
        <is>
          <t>tissue-source.com · 765-746-6679</t>
        </is>
      </c>
      <c r="H8" s="68" t="inlineStr">
        <is>
          <t>High</t>
        </is>
      </c>
      <c r="I8" s="133" t="inlineStr">
        <is>
          <t>APHIS REQUIRED for EU. COMPANY CLAIM (product page, © 2020, undated): ships internationally with experience in the EU, Japan and Taiwan and 'will provide APHIS-endorsed Animal Health Certificates as required'. Request documents for our exact product, collection site, intended use and destination. ISO 13485 / 22442 stand.</t>
        </is>
      </c>
    </row>
    <row r="9" ht="72" customHeight="1" s="59">
      <c r="A9" s="4" t="inlineStr">
        <is>
          <t>Sustainable Swine Resources (SSR)</t>
        </is>
      </c>
      <c r="B9" s="68" t="inlineStr">
        <is>
          <t>WI (Johnsonville LLC)</t>
        </is>
      </c>
      <c r="C9" s="68" t="inlineStr">
        <is>
          <t>Full porcine range: tissues, blood, bone, cartilage, fluids, glands, membranes, organs, nerves, ligaments. Named: stomach, liver, heart, thyroid, pancreas, small intestine, pericardium, peritoneal membrane, leg bones. Custom to spec.</t>
        </is>
      </c>
      <c r="D9" s="68" t="inlineStr">
        <is>
          <t>Custom collection; fresh/frozen.</t>
        </is>
      </c>
      <c r="E9" s="68" t="inlineStr">
        <is>
          <t>QUOTE ONLY.</t>
        </is>
      </c>
      <c r="F9" s="68" t="inlineStr">
        <is>
          <t>30+ years; packer-integrated (Johnsonville).</t>
        </is>
      </c>
      <c r="G9" s="68" t="inlineStr">
        <is>
          <t>ssr-solutions.com</t>
        </is>
      </c>
      <c r="H9" s="68" t="inlineStr">
        <is>
          <t>High</t>
        </is>
      </c>
      <c r="I9" s="31" t="inlineStr">
        <is>
          <t>APHIS REQUIRED for EU. OK (strong) — ISO 22442-2, USDA/SQF, PQA+ farms, full traceability; confirm ISO 13485 + TRACES</t>
        </is>
      </c>
    </row>
    <row r="10" ht="72" customHeight="1" s="59">
      <c r="A10" s="4" t="inlineStr">
        <is>
          <t>Smithfield BioScience</t>
        </is>
      </c>
      <c r="B10" s="68" t="inlineStr">
        <is>
          <t>Smithfield, VA</t>
        </is>
      </c>
      <c r="C10" s="68" t="inlineStr">
        <is>
          <t>Thoracic: aorta, heart, valves, lungs, pericardium, trachea. Abdominal: liver, pancreas, small intestine, stomach/pepsin lining. Pelvic: kidney, ovary. Also brains, eyes, feet, gullet, peritoneum, pituitary, skin, tendon, thyroid.</t>
        </is>
      </c>
      <c r="D10" s="68" t="inlineStr">
        <is>
          <t>Harvested by trained specialists from market hogs/sows; fresh or frozen; large packer-integrated supply.</t>
        </is>
      </c>
      <c r="E10" s="68" t="inlineStr">
        <is>
          <t>QUOTE ONLY.</t>
        </is>
      </c>
      <c r="F10" s="68" t="inlineStr">
        <is>
          <t>Smithfield Foods packer network (USDA-inspected plants).</t>
        </is>
      </c>
      <c r="G10" s="68" t="inlineStr">
        <is>
          <t>smithfieldbioscience.com</t>
        </is>
      </c>
      <c r="H10" s="68" t="inlineStr">
        <is>
          <t>High</t>
        </is>
      </c>
      <c r="I10" s="31" t="inlineStr">
        <is>
          <t>APHIS REQUIRED for EU. OK (best) — vertically integrated, already exports heparin to EP; confirm they supply tissue blocks + VS certs</t>
        </is>
      </c>
    </row>
    <row r="11" ht="72" customHeight="1" s="59">
      <c r="A11" s="4" t="inlineStr">
        <is>
          <t>WG Biomedical (WG Provisions)</t>
        </is>
      </c>
      <c r="B11" s="68" t="inlineStr">
        <is>
          <t>Iowa</t>
        </is>
      </c>
      <c r="C11" s="68" t="inlineStr">
        <is>
          <t>Surgical-training/organ focus, 12 porcine products: PIG PLUCK (heart-lung), heart, lungs, heart valves, pericardial sacs, carotid artery, iliac vessels, pancreas, spleen, thyroid, pig head, mandibles.</t>
        </is>
      </c>
      <c r="D11" s="68" t="inlineStr">
        <is>
          <t>Fresh or frozen.</t>
        </is>
      </c>
      <c r="E11" s="68" t="inlineStr">
        <is>
          <t>QUOTE ONLY — every item is 'Request a Quote'.</t>
        </is>
      </c>
      <c r="F11" s="68" t="inlineStr">
        <is>
          <t>Provisions/packer-affiliated (Iowa).</t>
        </is>
      </c>
      <c r="G11" s="68" t="inlineStr">
        <is>
          <t>wgbiomedical.com · 515-233-4774</t>
        </is>
      </c>
      <c r="H11" s="68" t="inlineStr">
        <is>
          <t>High</t>
        </is>
      </c>
      <c r="I11" s="29" t="inlineStr">
        <is>
          <t>APHIS REQUIRED for EU. RISKY — device-supply track record but multi-source broker; must document APHIS/TRACES</t>
        </is>
      </c>
    </row>
    <row r="12" ht="72" customHeight="1" s="59">
      <c r="A12" s="4" t="inlineStr">
        <is>
          <t>LAMPIRE Biological Labs</t>
        </is>
      </c>
      <c r="B12" s="68" t="inlineStr">
        <is>
          <t>Pipersville, PA</t>
        </is>
      </c>
      <c r="C12" s="68" t="inlineStr">
        <is>
          <t>Custom abattoir collection of porcine tissues, glands, organs, fluids (PA, near USDA porcine abattoirs). Custom prep emphasis; also porcine hide/collagen.</t>
        </is>
      </c>
      <c r="D12" s="68" t="inlineStr">
        <is>
          <t>Media-perfused (your media), snap-frozen in LN2, or lyophilized.</t>
        </is>
      </c>
      <c r="E12" s="68" t="inlineStr">
        <is>
          <t>QUOTE ONLY.</t>
        </is>
      </c>
      <c r="F12" s="68" t="inlineStr">
        <is>
          <t>Established biological labs; abattoir-sourced.</t>
        </is>
      </c>
      <c r="G12" s="68" t="inlineStr">
        <is>
          <t>lampire.com · 215-795-2838</t>
        </is>
      </c>
      <c r="H12" s="68" t="inlineStr">
        <is>
          <t>High</t>
        </is>
      </c>
      <c r="I12" s="29" t="inlineStr">
        <is>
          <t>APHIS REQUIRED for EU. COMPANY CLAIM (abattoir-products page): 'LAMPIRE's facilities have APHIS registrations to export most products into the EU' — 'most' is not all; per-product eligibility unverified. Request documentation for the specific blocks.</t>
        </is>
      </c>
    </row>
    <row r="13" ht="72" customHeight="1" s="59">
      <c r="A13" s="4" t="inlineStr">
        <is>
          <t>Pel-Freez Biologicals</t>
        </is>
      </c>
      <c r="B13" s="68" t="inlineStr">
        <is>
          <t>Rogers, AR</t>
        </is>
      </c>
      <c r="C13" s="68" t="inlineStr">
        <is>
          <t>Long-established animal organs/glands/tissues; whole organs, glands, tissues. Porcine incl. thyroid &amp; other organs. Pigs ~200 lb / 6-8 mo; tissue chilled then frozen -20 within 2-6 hr of slaughter.</t>
        </is>
      </c>
      <c r="D13" s="68" t="inlineStr">
        <is>
          <t>Whole organ/gland; frozen (dry ice) or wet ice; 2-4 wk lead.</t>
        </is>
      </c>
      <c r="E13" s="68" t="inlineStr">
        <is>
          <t>PUBLISHED (partial) — Porcine Thyroid #59452 from $361. Other porcine organ prices not individually verified.</t>
        </is>
      </c>
      <c r="F13" s="68" t="inlineStr">
        <is>
          <t>ISO 9001 certified.</t>
        </is>
      </c>
      <c r="G13" s="68" t="inlineStr">
        <is>
          <t>pel-freez.com</t>
        </is>
      </c>
      <c r="H13" s="68" t="inlineStr">
        <is>
          <t>High
(thyroid)</t>
        </is>
      </c>
      <c r="I13" s="29" t="inlineStr">
        <is>
          <t>APHIS REQUIRED for EU. RISKY (porcine unverified) — documented USDA on-site inspection is for RABBIT; confirm porcine origin</t>
        </is>
      </c>
    </row>
    <row r="14" ht="72" customHeight="1" s="59">
      <c r="A14" s="4" t="inlineStr">
        <is>
          <t>BioChemed Services</t>
        </is>
      </c>
      <c r="B14" s="68" t="inlineStr">
        <is>
          <t>Winchester, VA</t>
        </is>
      </c>
      <c r="C14" s="68" t="inlineStr">
        <is>
          <t>Swine tissue list: adipose, bone, brain, heart, colon, eye, liver, kidney, intestine (lg/sm), lung, nerve, ovaries, pancreas, skeletal muscle, skin, spleen, testes, thyroid, uterus. Custom to spec.</t>
        </is>
      </c>
      <c r="D14" s="68" t="inlineStr">
        <is>
          <t>Custom to spec.</t>
        </is>
      </c>
      <c r="E14" s="68" t="inlineStr">
        <is>
          <t>QUOTE ONLY ('give specs, we quote').</t>
        </is>
      </c>
      <c r="F14" s="68" t="inlineStr">
        <is>
          <t>Custom biologicals supplier.</t>
        </is>
      </c>
      <c r="G14" s="68" t="inlineStr">
        <is>
          <t>biochemed.com · 540-667-3348</t>
        </is>
      </c>
      <c r="H14" s="68" t="inlineStr">
        <is>
          <t>High</t>
        </is>
      </c>
      <c r="I14" s="29" t="inlineStr">
        <is>
          <t>APHIS REQUIRED for EU. RISKY — US USDA sourcing but 'research/diagnostic/mfg only'; no export docs</t>
        </is>
      </c>
    </row>
    <row r="15" ht="58.6" customHeight="1" s="59">
      <c r="A15" s="4" t="inlineStr">
        <is>
          <t>BioIVT</t>
        </is>
      </c>
      <c r="B15" s="68" t="inlineStr">
        <is>
          <t>Westbury, NY (global)</t>
        </is>
      </c>
      <c r="C15" s="68" t="inlineStr">
        <is>
          <t>Large biospecimen provider; porcine tissues for translational research &amp; surgical models; online 'Configure Pig Tissue' tool. In-vitro research use only.</t>
        </is>
      </c>
      <c r="D15" s="68" t="inlineStr">
        <is>
          <t>Customized; fresh/frozen.</t>
        </is>
      </c>
      <c r="E15" s="68" t="inlineStr">
        <is>
          <t>QUOTE ONLY — customized pricing &amp; lead times.</t>
        </is>
      </c>
      <c r="F15" s="68" t="inlineStr">
        <is>
          <t>Major biospecimen QMS provider.</t>
        </is>
      </c>
      <c r="G15" s="68" t="inlineStr">
        <is>
          <t>bioivt.com</t>
        </is>
      </c>
      <c r="H15" s="68" t="inlineStr">
        <is>
          <t>High</t>
        </is>
      </c>
      <c r="I15" s="30" t="inlineStr">
        <is>
          <t>APHIS REQUIRED for EU. LIKELY BLOCKER / unknown — no published human-food-chain/APHIS basis; RUO-oriented</t>
        </is>
      </c>
    </row>
    <row r="16" ht="58.6" customHeight="1" s="59">
      <c r="A16" s="4" t="inlineStr">
        <is>
          <t>Sierra for Medical Science</t>
        </is>
      </c>
      <c r="B16" s="68" t="inlineStr">
        <is>
          <t>Whittier, CA area</t>
        </is>
      </c>
      <c r="C16" s="68" t="inlineStr">
        <is>
          <t>Biological/animal tissue incl. porcine to universities, hospitals, device makers for diagnostics, product training, demonstration, QC. Custom protocols; on-site lab suites.</t>
        </is>
      </c>
      <c r="D16" s="68" t="inlineStr">
        <is>
          <t>Custom protocols; fresh/frozen.</t>
        </is>
      </c>
      <c r="E16" s="68" t="inlineStr">
        <is>
          <t>QUOTE ONLY.</t>
        </is>
      </c>
      <c r="F16" s="68" t="inlineStr">
        <is>
          <t>Since 1985.</t>
        </is>
      </c>
      <c r="G16" s="68" t="inlineStr">
        <is>
          <t>sierra-medical.com</t>
        </is>
      </c>
      <c r="H16" s="68" t="inlineStr">
        <is>
          <t>Med-High</t>
        </is>
      </c>
      <c r="I16" s="29" t="inlineStr">
        <is>
          <t>APHIS REQUIRED for EU. RISKY — device customers worldwide but no published traceability/cert framework</t>
        </is>
      </c>
    </row>
    <row r="17" ht="72" customHeight="1" s="59">
      <c r="A17" s="4" t="inlineStr">
        <is>
          <t>Midwest Research Swine (MRS)</t>
        </is>
      </c>
      <c r="B17" s="68" t="inlineStr">
        <is>
          <t>Minnesota</t>
        </is>
      </c>
      <c r="C17" s="68" t="inlineStr">
        <is>
          <t>Porcine-only abattoir; supplies LIVE research swine AND traceable porcine tissues/organs/bio-samples (High Health Herd Yorkshire-Landrace-Duroc). Order by weight/sex/age. Positions as economical.</t>
        </is>
      </c>
      <c r="D17" s="68" t="inlineStr">
        <is>
          <t>Fresh; order to spec.</t>
        </is>
      </c>
      <c r="E17" s="68" t="inlineStr">
        <is>
          <t>QUOTE ONLY — positions as low-cost.</t>
        </is>
      </c>
      <c r="F17" s="68" t="inlineStr">
        <is>
          <t>⚠ ENTITY: now a DBA only. Operating entity is COLLAGEN SOLUTIONS (US) LLC dba EVERGEN, FSIS Est. M40110 (acquired Sept 2022; absorbed into Evergen / RTI Surgical Nov 2024). Contract under the current entity. || Porcine-only abattoir; High Health Herd.</t>
        </is>
      </c>
      <c r="G17" s="68" t="inlineStr">
        <is>
          <t>midwestresearchswine.com</t>
        </is>
      </c>
      <c r="H17" s="68" t="inlineStr">
        <is>
          <t>High</t>
        </is>
      </c>
      <c r="I17" s="133" t="inlineStr">
        <is>
          <t>APHIS REQUIRED for EU. RE-RATED: the APHIS Class B/R licences cited earlier are ANIMAL WELFARE ACT credentials for live animals — they do NOT satisfy the export gate. APHIS VS export listing UNVERIFIED.</t>
        </is>
      </c>
    </row>
    <row r="18" ht="31.8" customHeight="1" s="59">
      <c r="A18" s="4" t="inlineStr">
        <is>
          <t>Premier BioSource (ex-S&amp;S Farms)</t>
        </is>
      </c>
      <c r="B18" s="68" t="inlineStr">
        <is>
          <t>S. CA / N. IN</t>
        </is>
      </c>
      <c r="C18" s="68" t="inlineStr">
        <is>
          <t>NOT a tissue vendor — sells LIVE research swine &amp; Yucatan minipigs.</t>
        </is>
      </c>
      <c r="D18" s="68" t="inlineStr">
        <is>
          <t>n/a (live animals).</t>
        </is>
      </c>
      <c r="E18" s="68" t="inlineStr">
        <is>
          <t>n/a — live animals, not harvested tissue.</t>
        </is>
      </c>
      <c r="F18" s="68" t="inlineStr">
        <is>
          <t>Live-animal research supplier.</t>
        </is>
      </c>
      <c r="G18" s="68" t="inlineStr">
        <is>
          <t>premierbiosource.com</t>
        </is>
      </c>
      <c r="H18" s="68" t="inlineStr">
        <is>
          <t>High</t>
        </is>
      </c>
      <c r="I18" s="32" t="inlineStr">
        <is>
          <t>n/a — live animals, out of scope</t>
        </is>
      </c>
    </row>
    <row r="19" ht="31.8" customHeight="1" s="59">
      <c r="A19" s="4" t="inlineStr">
        <is>
          <t>Science Care</t>
        </is>
      </c>
      <c r="B19" s="68" t="inlineStr">
        <is>
          <t>Phoenix, AZ</t>
        </is>
      </c>
      <c r="C19" s="68" t="inlineStr">
        <is>
          <t>NOT porcine — HUMAN whole-body donation for research/training.</t>
        </is>
      </c>
      <c r="D19" s="68" t="inlineStr">
        <is>
          <t>n/a.</t>
        </is>
      </c>
      <c r="E19" s="68" t="inlineStr">
        <is>
          <t>n/a — human donation, out of scope.</t>
        </is>
      </c>
      <c r="F19" s="68" t="inlineStr">
        <is>
          <t>Human tissue programme.</t>
        </is>
      </c>
      <c r="G19" s="68" t="inlineStr">
        <is>
          <t>sciencecare.com</t>
        </is>
      </c>
      <c r="H19" s="68" t="inlineStr">
        <is>
          <t>High</t>
        </is>
      </c>
      <c r="I19" s="32" t="inlineStr">
        <is>
          <t>n/a — human tissue, out of scope</t>
        </is>
      </c>
    </row>
    <row r="20" ht="45.2" customHeight="1" s="59">
      <c r="A20" s="4" t="inlineStr">
        <is>
          <t>Zivic Laboratories</t>
        </is>
      </c>
      <c r="B20" s="68" t="inlineStr">
        <is>
          <t>Pittsburgh, PA</t>
        </is>
      </c>
      <c r="C20" s="68" t="inlineStr">
        <is>
          <t>NOT a porcine organ vendor — primarily RODENT tissue, brain/heart matrices, dissection instruments.</t>
        </is>
      </c>
      <c r="D20" s="68" t="inlineStr">
        <is>
          <t>n/a.</t>
        </is>
      </c>
      <c r="E20" s="68" t="inlineStr">
        <is>
          <t>n/a — rodent focus, out of scope.</t>
        </is>
      </c>
      <c r="F20" s="68" t="inlineStr">
        <is>
          <t>Rodent tissue / instruments.</t>
        </is>
      </c>
      <c r="G20" s="68" t="inlineStr">
        <is>
          <t>ziviclab (see sources)</t>
        </is>
      </c>
      <c r="H20" s="68" t="inlineStr">
        <is>
          <t>High</t>
        </is>
      </c>
      <c r="I20" s="32" t="inlineStr">
        <is>
          <t>n/a — rodent, out of scope</t>
        </is>
      </c>
    </row>
    <row r="21" ht="15" customHeight="1" s="59"/>
    <row r="22" ht="19.7" customHeight="1" s="59">
      <c r="A22" s="118" t="inlineStr">
        <is>
          <t>BUYING DIRECT × EU EXPORT — does the vendor help or hurt onward EU export?</t>
        </is>
      </c>
    </row>
    <row r="23" ht="31.8" customHeight="1" s="59">
      <c r="A23" s="58" t="inlineStr">
        <is>
          <t>•  Buying finished tissue neither confers nor forfeits EU-export eligibility by itself — three things decide it, and they sit at the SLAUGHTERHOUSE level, not the broker's marketing: (1) the material must originate from a specific establishment that is APHIS-approved and on the EU TRACES list; (2) each consignment needs an APHIS-VS-endorsed health certificate + country-of-origin/traceability affidavit; (3) 'research use only / not for human or animal use' (RUO) labeling both signals the vendor won't furnish export docs AND collides with an MDR device pathway (Annex I 13.1 / ISO 22442).</t>
        </is>
      </c>
    </row>
    <row r="24" ht="31.8" customHeight="1" s="59">
      <c r="A24" s="58" t="inlineStr">
        <is>
          <t>•  Consequence: a vendor advertising 'USDA-inspected' (FSIS food inspection) is necessary but NOT sufficient — almost none publicly claim TRACES listing. The EU-cleanest vendors are the ones already in regulated device/pharma supply chains with ISO 13485 + ISO 22442-2 and farm-to-facility traceability from human-food-chain animals.</t>
        </is>
      </c>
    </row>
    <row r="25" ht="18.4" customHeight="1" s="59">
      <c r="A25" s="58" t="inlineStr">
        <is>
          <t>•  Strategic point: because TRACES listing is establishment-level, self-harvesting at ONE hand-picked APHIS-listed abattoir is often CLEANER for EU export than buying from a multi-source broker whose 'many facilities' model makes single-establishment certification harder.</t>
        </is>
      </c>
    </row>
    <row r="26" ht="15" customHeight="1" s="59"/>
    <row r="27" ht="31.8" customHeight="1" s="59">
      <c r="A27" s="9" t="inlineStr">
        <is>
          <t>Pursue first (EU-cleanest)</t>
        </is>
      </c>
      <c r="B27" s="68" t="inlineStr">
        <is>
          <t>Smithfield BioScience · Tissue Source · Midwest Research Swine · SSR — device/pharma-grade, traceable, human-food-chain, not RUO-blocked. All still need ONE thing in writing: the slaughter establishment is APHIS-approved &amp; TRACES-listed and the vendor will furnish a VS-endorsed health certificate per consignment (none advertise TRACES listing).</t>
        </is>
      </c>
      <c r="C27" s="64" t="n"/>
      <c r="D27" s="64" t="n"/>
      <c r="E27" s="64" t="n"/>
      <c r="F27" s="64" t="n"/>
      <c r="G27" s="64" t="n"/>
      <c r="H27" s="64" t="n"/>
      <c r="I27" s="65" t="n"/>
    </row>
    <row r="28" ht="18.4" customHeight="1" s="59">
      <c r="A28" s="9" t="inlineStr">
        <is>
          <t>Workable with diligence</t>
        </is>
      </c>
      <c r="B28" s="68" t="inlineStr">
        <is>
          <t>ABI · WG Biomedical · LAMPIRE · Sierra · Animal Technologies — USDA-abattoir sourcing + device customers, but no published ISO/APHIS/TRACES/cert framework. Multi-source brokers (WG, Sierra, LAMPIRE) make single-establishment TRACES harder.</t>
        </is>
      </c>
      <c r="C28" s="64" t="n"/>
      <c r="D28" s="64" t="n"/>
      <c r="E28" s="64" t="n"/>
      <c r="F28" s="64" t="n"/>
      <c r="G28" s="64" t="n"/>
      <c r="H28" s="64" t="n"/>
      <c r="I28" s="65" t="n"/>
    </row>
    <row r="29" ht="31.8" customHeight="1" s="59">
      <c r="A29" s="9" t="inlineStr">
        <is>
          <t>Avoid for EU-bound / MDR product</t>
        </is>
      </c>
      <c r="B29" s="68" t="inlineStr">
        <is>
          <t>Innovative Research &amp; BioChemed (explicit RUO / 'not for human or animal use') · BioIVT (no published human-food-chain/APHIS basis) · Pel-Freez for porcine (their documented USDA on-site inspection is for rabbit). RUO labeling signals no export-doc support and conflicts with MDR Annex I 13.1 / ISO 22442.</t>
        </is>
      </c>
      <c r="C29" s="64" t="n"/>
      <c r="D29" s="64" t="n"/>
      <c r="E29" s="64" t="n"/>
      <c r="F29" s="64" t="n"/>
      <c r="G29" s="64" t="n"/>
      <c r="H29" s="64" t="n"/>
      <c r="I29" s="65" t="n"/>
    </row>
    <row r="30" ht="15" customHeight="1" s="59"/>
    <row r="31" ht="45.2" customHeight="1" s="59">
      <c r="A31" s="94" t="inlineStr">
        <is>
          <t>⚠ CROSS-CUTTING CORRECTION — AWA LICENCE ≠ APHIS EXPORT CREDENTIAL. Several vendors were credited with satisfying the APHIS gate on the strength of a USDA 'Class A / Class B / Class R' licence. Those are ANIMAL WELFARE ACT credentials governing possession and sale of LIVE regulated animals (A = breeder, B = dealer, C = exhibitor, R = research-facility registrant). They confer NOTHING on animal-by-product export. The credential our rule requires from a direct tissue supplier is an APHIS VETERINARY SERVICES export listing / EU TRACES entry — and that is currently UNVERIFIED for every vendor on this tab. Ask for it in writing as a pass-or-fail question.</t>
        </is>
      </c>
    </row>
  </sheetData>
  <autoFilter ref="A4:I31"/>
  <mergeCells count="10">
    <mergeCell ref="A25:I25"/>
    <mergeCell ref="A2:I2"/>
    <mergeCell ref="B29:I29"/>
    <mergeCell ref="A1:I1"/>
    <mergeCell ref="A23:I23"/>
    <mergeCell ref="B28:I28"/>
    <mergeCell ref="A31:I31"/>
    <mergeCell ref="A22:I22"/>
    <mergeCell ref="B27:I27"/>
    <mergeCell ref="A24:I24"/>
  </mergeCells>
  <pageMargins left="0.35" right="0.35" top="0.45" bottom="0.45" header="0.5" footer="0.5"/>
  <pageSetup orientation="landscape" fitToHeight="0" fitToWidth="1"/>
  <headerFooter>
    <oddHeader/>
    <oddFooter>&amp;L&amp;8 National Direct Suppliers&amp;R&amp;8 Page &amp;P of &amp;N</oddFooter>
    <evenHeader/>
    <evenFooter/>
    <firstHeader/>
    <firstFooter/>
  </headerFooter>
</worksheet>
</file>

<file path=xl/worksheets/sheet11.xml><?xml version="1.0" encoding="utf-8"?>
<worksheet xmlns="http://schemas.openxmlformats.org/spreadsheetml/2006/main">
  <sheetPr>
    <tabColor rgb="00808080"/>
    <outlinePr summaryBelow="1" summaryRight="1"/>
    <pageSetUpPr fitToPage="1"/>
  </sheetPr>
  <dimension ref="A1:D53"/>
  <sheetViews>
    <sheetView showGridLines="0" workbookViewId="0">
      <selection activeCell="B5" sqref="B5"/>
    </sheetView>
  </sheetViews>
  <sheetFormatPr baseColWidth="8" defaultRowHeight="14.4"/>
  <cols>
    <col width="30" customWidth="1" style="59" min="1" max="1"/>
    <col width="52" customWidth="1" style="59" min="2" max="2"/>
    <col width="13" customWidth="1" style="59" min="3" max="3"/>
    <col width="90" customWidth="1" style="59" min="4" max="4"/>
  </cols>
  <sheetData>
    <row r="1" ht="25.1" customHeight="1" s="59">
      <c r="A1" s="117" t="inlineStr">
        <is>
          <t>Sources &amp; Confidence</t>
        </is>
      </c>
    </row>
    <row r="2" ht="18.4" customHeight="1" s="59">
      <c r="A2" s="61" t="inlineStr">
        <is>
          <t>Where each class of fact came from, and how much to trust it before acting. Verify volumes/certs by phone.</t>
        </is>
      </c>
    </row>
    <row r="3" ht="15" customHeight="1" s="59"/>
    <row r="4" ht="18.4" customHeight="1" s="59">
      <c r="A4" s="40" t="inlineStr">
        <is>
          <t>Topic / entity</t>
        </is>
      </c>
      <c r="B4" s="40" t="inlineStr">
        <is>
          <t>Source</t>
        </is>
      </c>
      <c r="C4" s="40" t="inlineStr">
        <is>
          <t>Confidence</t>
        </is>
      </c>
      <c r="D4" s="40" t="inlineStr">
        <is>
          <t>Note</t>
        </is>
      </c>
    </row>
    <row r="5" ht="98.8" customHeight="1" s="59">
      <c r="A5" s="138" t="inlineStr">
        <is>
          <t>★ FOCUS-REGION PASS
(2026-08-17)</t>
        </is>
      </c>
      <c r="B5" s="68" t="inlineStr">
        <is>
          <t>FSIS MPI Active + Inactive Directories and Establishment Demographic Data (retrieved fresh 2026-08-17) + all three NCDA&amp;CS MPID directories (State / TA / Custom, each dated 2026-08-10) + FSIS NOIE/NOS letters, FSIS QER tables, county deed/parcel records, NC Commerce &amp; NCAMPI announcements, plant sites and local press</t>
        </is>
      </c>
      <c r="C5" s="46" t="inlineStr">
        <is>
          <t>High</t>
        </is>
      </c>
      <c r="D5" s="68" t="inlineStr">
        <is>
          <t>Nine research agents (one per current supplier + three regional sweeps + the state directory) and five adversarial verifiers; every one of the five decision-relevant claims CONFIRMED, three with refinements (e.g. the western capacity-loss exhibit was corrected from Asheville Packing, which was processing-only, to Country Slaughter M32012 and Neese M8341). Current-supplier ground truth in this pass came from the client directly (2026-08-17) and was treated as fixed. Same discipline as before: categories are ceilings, 'none found' is not a clean bill, and every estimate carries its basis. The comparison now lives on the Current Base and Rated Candidates tabs.</t>
        </is>
      </c>
    </row>
    <row r="6" ht="125.6" customHeight="1" s="59">
      <c r="A6" s="138" t="inlineStr">
        <is>
          <t>★ FULL ROSTER RE-VERIFICATION
(2026-08-06)</t>
        </is>
      </c>
      <c r="B6" s="68" t="inlineStr">
        <is>
          <t>FSIS Establishment Demographic Data (CSV, all establishments) + FSIS MPI Directory by Establishment Number (CSV, active) + MPI Inactive Directory — fsis.usda.gov/inspection/establishments</t>
        </is>
      </c>
      <c r="C6" s="46" t="inlineStr">
        <is>
          <t>High</t>
        </is>
      </c>
      <c r="D6" s="68" t="inlineStr">
        <is>
          <t>METHOD, so you can judge the result: every roster row was matched to an FSIS establishment by number where the roster carried one, and by name otherwise; EVERY match was then validated against the MPI directory's city and state, and rejected if they disagreed. That validation step is what caught the name collisions — e.g. a 'George Flowers' match that resolved to Jamaica NY, and a 'Cruse' match that resolved to Orient OH. 43 roster rows changed. What the FSIS files are authoritative for: species flags (market_swine / sow / roaster / boar_stag), slaughter_volume_category, slaughter_or_processing_only, grant status and grant date, address and phone. What they are NOT authoritative for: actual current weekly head count (the category gives a range, not a number), welfare culture, organ/viscera disposition, or willingness to host a harvest crew. Those four still have to come from the call.</t>
        </is>
      </c>
    </row>
    <row r="7" ht="98.8" customHeight="1" s="59">
      <c r="A7" s="138" t="inlineStr">
        <is>
          <t>Volume categories → weekly ceilings</t>
        </is>
      </c>
      <c r="B7" s="68" t="inlineStr">
        <is>
          <t>FSIS Establishment Demographic Data documentation (Data-Documentation-MPI-Directory-Establishment-Demographic-Documentation.pdf)</t>
        </is>
      </c>
      <c r="C7" s="46" t="inlineStr">
        <is>
          <t>High</t>
        </is>
      </c>
      <c r="D7" s="68" t="inlineStr">
        <is>
          <t>slaughter_volume_category is banded head over the prior 360 days (all species). Weekly bounds are ×7/360: cat 1 = fewer than 1,000 → under ~19/wk · cat 2 = 1,000-9,999 → ~19-194/wk · cat 3 = 10,000-99,999 → ~194-1,944/wk · cat 4 = 100,000+ → ~1,944/wk and up (the March-2026 FSIS notice cited by Beebop adds a category 5 at 10,000,000+). A band is a HISTORICAL aggregate — it bounds what the plant did kill in that year, not its capacity or its current weekly count; a category-3 plant could have killed 200/wk or 1,900/wk, and could have grown since. Use it to falsify a claimed figure, never to replace one. (Arithmetic corrected 2026-09-28 from ÷365 to ×7/360 after Beebop's round-2 review.)</t>
        </is>
      </c>
    </row>
    <row r="8" ht="98.8" customHeight="1" s="59">
      <c r="A8" s="138" t="inlineStr">
        <is>
          <t>Enforcement — what was actually checked</t>
        </is>
      </c>
      <c r="B8" s="68" t="inlineStr">
        <is>
          <t>FSIS Quarterly Enforcement Reports, FY2024 Q1 through FY2026 Q2 (10 PDFs, retrieved and full-text searched)</t>
        </is>
      </c>
      <c r="C8" s="46" t="inlineStr">
        <is>
          <t>Med-High</t>
        </is>
      </c>
      <c r="D8" s="68" t="inlineStr">
        <is>
          <t>All ten quarterly reports were searched directly for the shortlist establishments. Nothing was returned for M8305 (Larry's), M3521 (Bass Farms) or the eastern-NC shortlist. TREAT THAT AS A NARROW NEGATIVE, NOT A CLEAN BILL: the QERs list suspensions, Notices of Intended Enforcement and withholding actions only — they do NOT list ordinary noncompliance records, which is exactly what a humane-handling problem looks like before it escalates. A FOIA request for recent noncompliance records (raised in the 2026-08 meeting) is what closes that gap. The separate Humane Handling Quarterly Reports are district-level roll-ups and cannot confirm or clear an individual plant at all.</t>
        </is>
      </c>
    </row>
    <row r="9" ht="85.40000000000001" customHeight="1" s="59">
      <c r="A9" s="138" t="inlineStr">
        <is>
          <t>Road distances (120-mile Model A test)</t>
        </is>
      </c>
      <c r="B9" s="68" t="inlineStr">
        <is>
          <t>OSRM public routing API (router.project-osrm.org), driving profile, plant coordinates from the FSIS MPI Directory</t>
        </is>
      </c>
      <c r="C9" s="46" t="inlineStr">
        <is>
          <t>High</t>
        </is>
      </c>
      <c r="D9" s="68" t="inlineStr">
        <is>
          <t>Real road distances, not straight-line. Anchor point: Pikeville NC (35.4971, -77.9819), i.e. the Nahunta location — CONFIRM THIS IS THE RIGHT ANCHOR. If the radius should be measured from ATM or another operating base instead, the column can be recomputed in minutes. This replaced an earlier classifier that assigned distances by county name and mis-sorted at least three NC plants.  [SUPERSEDED 2026-09-28: the origin is now Durham — see the 'Distances — Durham origin' row; the Pikeville figures survive only in parentheses.]</t>
        </is>
      </c>
    </row>
    <row r="10" ht="98.8" customHeight="1" s="59">
      <c r="A10" s="138" t="inlineStr">
        <is>
          <t>⚠ Claims withdrawn for lack of a source</t>
        </is>
      </c>
      <c r="B10" s="68" t="inlineStr">
        <is>
          <t>Absence of an FSIS MPI directory record (checked nationally by name and by number)</t>
        </is>
      </c>
      <c r="C10" s="46" t="inlineStr">
        <is>
          <t>High</t>
        </is>
      </c>
      <c r="D10" s="68" t="inlineStr">
        <is>
          <t>These carried 'USDA ✓' or 'probable USDA' labels in earlier versions with nothing behind them, and the labels are now withdrawn: Caughman's Meat Plant (Lexington SC), Sessoms Packing (Ahoskie NC), Assured Community Processing (claimed M2123 — no such establishment), Country Slaughter and Meats (claimed M32012 — no such establishment), Gunnoe Sausage (Goode VA — nothing under that name nationally). Also withdrawn: Riverside Meats' 'custom-exempt' label and Acre Station's contested custom-exempt label, both REFUTED in the suppliers' favour — each holds an active federal grant. An absence of record is not proof a plant does not operate; it is proof we cannot call it federally inspected.</t>
        </is>
      </c>
    </row>
    <row r="11" ht="31.8" customHeight="1" s="59">
      <c r="A11" s="4" t="inlineStr">
        <is>
          <t>National vendor prices</t>
        </is>
      </c>
      <c r="B11" s="68" t="inlineStr">
        <is>
          <t>innov-research.com porcine product pages (heart/lung/kidney/bladder/liver/stomach/pelvic-block)</t>
        </is>
      </c>
      <c r="C11" s="46" t="inlineStr">
        <is>
          <t>High</t>
        </is>
      </c>
      <c r="D11" s="68" t="inlineStr">
        <is>
          <t>Only vendor with published per-organ list prices: from $141/organ, pelvic block from $582 (base configs).</t>
        </is>
      </c>
    </row>
    <row r="12" ht="18.4" customHeight="1" s="59">
      <c r="A12" s="4" t="inlineStr">
        <is>
          <t>Pel-Freez thyroid price</t>
        </is>
      </c>
      <c r="B12" s="68" t="inlineStr">
        <is>
          <t>pel-freez.com/pig-thyroid-59452</t>
        </is>
      </c>
      <c r="C12" s="46" t="inlineStr">
        <is>
          <t>High</t>
        </is>
      </c>
      <c r="D12" s="68" t="inlineStr">
        <is>
          <t>Porcine thyroid #59452 from $361; other porcine organ prices not individually verified.</t>
        </is>
      </c>
    </row>
    <row r="13" ht="18.4" customHeight="1" s="59">
      <c r="A13" s="4" t="inlineStr">
        <is>
          <t>Animal Technologies</t>
        </is>
      </c>
      <c r="B13" s="68" t="inlineStr">
        <is>
          <t>animaltechnologies.com/porcine</t>
        </is>
      </c>
      <c r="C13" s="46" t="inlineStr">
        <is>
          <t>High</t>
        </is>
      </c>
      <c r="D13" s="68" t="inlineStr">
        <is>
          <t>Broad catalog, plucks for training; prices quote-only.</t>
        </is>
      </c>
    </row>
    <row r="14" ht="18.4" customHeight="1" s="59">
      <c r="A14" s="4" t="inlineStr">
        <is>
          <t>Animal Biotech Industries</t>
        </is>
      </c>
      <c r="B14" s="68" t="inlineStr">
        <is>
          <t>animalbiotech.com/porcine-tissues</t>
        </is>
      </c>
      <c r="C14" s="46" t="inlineStr">
        <is>
          <t>High</t>
        </is>
      </c>
      <c r="D14" s="68" t="inlineStr">
        <is>
          <t>USDA-inspected sourcing; custom blocks; quote-only.</t>
        </is>
      </c>
    </row>
    <row r="15" ht="31.8" customHeight="1" s="59">
      <c r="A15" s="4" t="inlineStr">
        <is>
          <t>Tissue Source</t>
        </is>
      </c>
      <c r="B15" s="68" t="inlineStr">
        <is>
          <t>tissue-source.com</t>
        </is>
      </c>
      <c r="C15" s="46" t="inlineStr">
        <is>
          <t>High</t>
        </is>
      </c>
      <c r="D15" s="68" t="inlineStr">
        <is>
          <t>ISO 13485 + ISO 22442-2 (the USDA Class A licence claim is WITHDRAWN — not in the APHIS licensee list); quote-only.</t>
        </is>
      </c>
    </row>
    <row r="16" ht="18.4" customHeight="1" s="59">
      <c r="A16" s="4" t="inlineStr">
        <is>
          <t>Smithfield BioScience</t>
        </is>
      </c>
      <c r="B16" s="68" t="inlineStr">
        <is>
          <t>smithfieldbioscience.com/products/porcine</t>
        </is>
      </c>
      <c r="C16" s="46" t="inlineStr">
        <is>
          <t>High</t>
        </is>
      </c>
      <c r="D16" s="68" t="inlineStr">
        <is>
          <t>Packer-integrated; quote-only.</t>
        </is>
      </c>
    </row>
    <row r="17" ht="18.4" customHeight="1" s="59">
      <c r="A17" s="4" t="inlineStr">
        <is>
          <t>WG Biomedical</t>
        </is>
      </c>
      <c r="B17" s="68" t="inlineStr">
        <is>
          <t>wgbiomedical.com</t>
        </is>
      </c>
      <c r="C17" s="46" t="inlineStr">
        <is>
          <t>High</t>
        </is>
      </c>
      <c r="D17" s="68" t="inlineStr">
        <is>
          <t>Iowa; pig pluck &amp; surgical-training organs; quote-only.</t>
        </is>
      </c>
    </row>
    <row r="18" ht="31.8" customHeight="1" s="59">
      <c r="A18" s="4" t="inlineStr">
        <is>
          <t>LAMPIRE / BioChemed / BioIVT / Sierra / SSR / MRS</t>
        </is>
      </c>
      <c r="B18" s="68" t="inlineStr">
        <is>
          <t>respective vendor sites (see National tab)</t>
        </is>
      </c>
      <c r="C18" s="46" t="inlineStr">
        <is>
          <t>High</t>
        </is>
      </c>
      <c r="D18" s="68" t="inlineStr">
        <is>
          <t>All genuinely quote-only; no invented prices.</t>
        </is>
      </c>
    </row>
    <row r="19" ht="18.4" customHeight="1" s="59">
      <c r="A19" s="4" t="inlineStr">
        <is>
          <t>Cross-off leads</t>
        </is>
      </c>
      <c r="B19" s="68" t="inlineStr">
        <is>
          <t>premierbiosource.com; sciencecare.com; zivic listing</t>
        </is>
      </c>
      <c r="C19" s="46" t="inlineStr">
        <is>
          <t>High</t>
        </is>
      </c>
      <c r="D19" s="68" t="inlineStr">
        <is>
          <t>Premier=live swine; Science Care=human; Zivic=rodent — all out of scope as porcine tissue vendors.</t>
        </is>
      </c>
    </row>
    <row r="20" ht="45.2" customHeight="1" s="59">
      <c r="A20" s="4" t="inlineStr">
        <is>
          <t>NC plant directory</t>
        </is>
      </c>
      <c r="B20" s="68" t="inlineStr">
        <is>
          <t>NCDA&amp;CS Meat &amp; Poultry Inspection 'plants that slaughter for farmers' (via cefs.ncsu.edu PDF, dated Oct 2018); div. 919-707-3180</t>
        </is>
      </c>
      <c r="C20" s="47" t="inlineStr">
        <is>
          <t>Med</t>
        </is>
      </c>
      <c r="D20" s="68" t="inlineStr">
        <is>
          <t>Backbone of the NC list. Dated 2018 — confirm current operating status/volumes by phone. USDA-vs-state status verified only where noted.</t>
        </is>
      </c>
    </row>
    <row r="21" ht="45.2" customHeight="1" s="59">
      <c r="A21" s="4" t="inlineStr">
        <is>
          <t>Martin's Pork Products (incumbent)</t>
        </is>
      </c>
      <c r="B21" s="68" t="inlineStr">
        <is>
          <t>NCDA&amp;CS Talmadge-Aiken plant directory (Est. TA-6720); ncmpa.com; D&amp;B/Manta; martinspork.com</t>
        </is>
      </c>
      <c r="C21" s="46" t="inlineStr">
        <is>
          <t>High</t>
        </is>
      </c>
      <c r="D21" s="68" t="inlineStr">
        <is>
          <t>CORRECTED to Martin's Pork Products, Falcon NC — active USDA T-A slaughter+processing, ~75 staff, (910) 980-1501, beth@martinspork.com. Distinct from the closed Martin's Abattoir (Godwin, cattle, closed 2013).</t>
        </is>
      </c>
    </row>
    <row r="22" ht="18.4" customHeight="1" s="59">
      <c r="A22" s="4" t="inlineStr">
        <is>
          <t>Nahunta</t>
        </is>
      </c>
      <c r="B22" s="68" t="inlineStr">
        <is>
          <t>southernfoodways.org; nahuntapork.com; bitandgrain.com</t>
        </is>
      </c>
      <c r="C22" s="46" t="inlineStr">
        <is>
          <t>High</t>
        </is>
      </c>
      <c r="D22" s="68" t="inlineStr">
        <is>
          <t>Nahunta = NC STATE-inspected (not USDA-FSIS), ~150 hogs/day, 3rd-gen Pierce family.</t>
        </is>
      </c>
    </row>
    <row r="23" ht="31.8" customHeight="1" s="59">
      <c r="A23" s="4" t="inlineStr">
        <is>
          <t>SC facilities</t>
        </is>
      </c>
      <c r="B23" s="68" t="inlineStr">
        <is>
          <t>caughmans.com; knockoutbutchery.com; FSIS notice (Palmetto Fresh suspension); Clemson SCMPID lists (803-788-8747)</t>
        </is>
      </c>
      <c r="C23" s="47" t="inlineStr">
        <is>
          <t>Med</t>
        </is>
      </c>
      <c r="D23" s="68" t="inlineStr">
        <is>
          <t>Caughman's USDA + family verified; several SC 'deer &amp; hog' shops likely custom-exempt — flag. Palmetto Fresh slaughter suspended Feb 2022.</t>
        </is>
      </c>
    </row>
    <row r="24" ht="31.8" customHeight="1" s="59">
      <c r="A24" s="4" t="inlineStr">
        <is>
          <t>TN facilities</t>
        </is>
      </c>
      <c r="B24" s="68" t="inlineStr">
        <is>
          <t>UT Center for Profitable Agriculture USDA-processor list (cpa.tennessee.edu); company sites</t>
        </is>
      </c>
      <c r="C24" s="47" t="inlineStr">
        <is>
          <t>Med</t>
        </is>
      </c>
      <c r="D24" s="68" t="inlineStr">
        <is>
          <t>13 USDA hog-slaughter shops listed. Cherry Meat ~80 hogs/month verified. Most well under a few hundred/wk — confirm.</t>
        </is>
      </c>
    </row>
    <row r="25" ht="45.2" customHeight="1" s="59">
      <c r="A25" s="4" t="inlineStr">
        <is>
          <t>VA facilities</t>
        </is>
      </c>
      <c r="B25" s="68" t="inlineStr">
        <is>
          <t>ecofriendly.com; temeats.com; blueridgemeats.com; FSIS listing (Fauquier's); VDACS (omps@vdacs.virginia.gov, 804-786-4569); vabeef.org</t>
        </is>
      </c>
      <c r="C25" s="46" t="inlineStr">
        <is>
          <t>High</t>
        </is>
      </c>
      <c r="D25" s="68" t="inlineStr">
        <is>
          <t>EcoFriendly Certified Humane; T&amp;E + Blue Ridge AWA — all verified USDA + hog slaughter. Strongest welfare bench.</t>
        </is>
      </c>
    </row>
    <row r="26" ht="45.2" customHeight="1" s="59">
      <c r="A26" s="4" t="inlineStr">
        <is>
          <t>Iowa / Midwest</t>
        </is>
      </c>
      <c r="B26" s="68" t="inlineStr">
        <is>
          <t>postbulletin.com (MRS); smithfieldbioscience.com; proteinintel.com (FSIS est. data); lorentzmeats.com; sigiowa.com; eickmans.com</t>
        </is>
      </c>
      <c r="C26" s="46" t="inlineStr">
        <is>
          <t>Med-High</t>
        </is>
      </c>
      <c r="D26" s="68" t="inlineStr">
        <is>
          <t>MRS ~20k/yr verified; Smithfield BioScience organ program verified. Large-packer biologics programs (Seaboard/Prestage/Wholestone) NOT confirmed — do not assume.</t>
        </is>
      </c>
    </row>
    <row r="27" ht="58.6" customHeight="1" s="59">
      <c r="A27" s="4" t="inlineStr">
        <is>
          <t>Authoritative confirmation source</t>
        </is>
      </c>
      <c r="B27" s="68" t="inlineStr">
        <is>
          <t>USDA FSIS MPI Directory + Establishment Demographic Data — fsis.usda.gov/inspection/establishments</t>
        </is>
      </c>
      <c r="C27" s="46" t="inlineStr">
        <is>
          <t>High</t>
        </is>
      </c>
      <c r="D27" s="68" t="inlineStr">
        <is>
          <t>Lists species slaughtered, volume category, grant status and size class per establishment; updated weekly. The Akamai block that defeated earlier sessions was worked around with a full browser header set, and the complete CSVs are now the backbone of this workbook — see the '★ FULL ROSTER RE-VERIFICATION' row above.</t>
        </is>
      </c>
    </row>
    <row r="28" ht="31.8" customHeight="1" s="59">
      <c r="A28" s="4" t="inlineStr">
        <is>
          <t>APHIS vs FSIS vs state inspection</t>
        </is>
      </c>
      <c r="B28" s="68" t="inlineStr">
        <is>
          <t>aphis.usda.gov/animal-product-export (IREGS); fsis.usda.gov/inspection/import-export</t>
        </is>
      </c>
      <c r="C28" s="46" t="inlineStr">
        <is>
          <t>High</t>
        </is>
      </c>
      <c r="D28" s="68" t="inlineStr">
        <is>
          <t>Three distinct regimes. APHIS Veterinary Services (not FSIS) is the export pathway for non-food tissue; a state-inspected plant is NOT disqualified from it.</t>
        </is>
      </c>
    </row>
    <row r="29" ht="45.2" customHeight="1" s="59">
      <c r="A29" s="4" t="inlineStr">
        <is>
          <t>EU animal by-products law</t>
        </is>
      </c>
      <c r="B29" s="68" t="inlineStr">
        <is>
          <t>EUR-Lex Reg (EC) 1069/2009; Reg (EU) 142/2011 (legislation.gov.uk consolidated); Annex XIV via Reg (EU) 2022/384</t>
        </is>
      </c>
      <c r="C29" s="46" t="inlineStr">
        <is>
          <t>High</t>
        </is>
      </c>
      <c r="D29" s="68" t="inlineStr">
        <is>
          <t>Governs import of porcine tissue not for human consumption. Typically Category 3; US is a listed third country; origin establishment must be APHIS-listed on TRACES; APHIS-VS-endorsed model health certificate required.</t>
        </is>
      </c>
    </row>
    <row r="30" ht="45.2" customHeight="1" s="59">
      <c r="A30" s="4" t="inlineStr">
        <is>
          <t>EU medical-device angle</t>
        </is>
      </c>
      <c r="B30" s="68" t="inlineStr">
        <is>
          <t>MDR (EU) 2017/745 Annex I 13.1; Reg (EU) 722/2012 (legislation.gov.uk); ISO 22442 (practice)</t>
        </is>
      </c>
      <c r="C30" s="46" t="inlineStr">
        <is>
          <t>High</t>
        </is>
      </c>
      <c r="D30" s="68" t="inlineStr">
        <is>
          <t>722/2012 (TSE) does NOT cover porcine (bovine/ovine/caprine/deer/elk/mink/cats only). Porcine devices fall under MDR general animal-origin requirements. A training 'model' may not be a device at all — classification call for a specialist/notified body.</t>
        </is>
      </c>
    </row>
    <row r="31" ht="31.8" customHeight="1" s="59">
      <c r="A31" s="4" t="inlineStr">
        <is>
          <t>APHIS / EU — caveat</t>
        </is>
      </c>
      <c r="B31" s="68" t="inlineStr">
        <is>
          <t>APHIS VS Field Operations / Veterinary Export Trade Services; EU importer; notified body</t>
        </is>
      </c>
      <c r="C31" s="47" t="inlineStr">
        <is>
          <t>Med</t>
        </is>
      </c>
      <c r="D31" s="68" t="inlineStr">
        <is>
          <t>NOT legal advice. Exact ABP category, CN code, and 142/2011 model certificate must be confirmed per product line with APHIS VS and a customs/regulatory specialist.</t>
        </is>
      </c>
    </row>
    <row r="32" ht="45.2" customHeight="1" s="59">
      <c r="A32" s="4" t="inlineStr">
        <is>
          <t>USDA/FSIS enforcement (per facility)</t>
        </is>
      </c>
      <c r="B32" s="68" t="inlineStr">
        <is>
          <t>FSIS Quarterly Enforcement Reports &amp; NOS/NOIE PDFs; AWI Humane Slaughter suspension list; PETA/ASPCA releases; local news</t>
        </is>
      </c>
      <c r="C32" s="46" t="inlineStr">
        <is>
          <t>Med-High</t>
        </is>
      </c>
      <c r="D32" s="68" t="inlineStr">
        <is>
          <t>Verified humane-handling actions at several plants (roster ⚠ column). FSIS pages Akamai-blocked to automation; findings via search snippets + secondary sources. 'None found' ≠ verified-clean; airtight confirmation needs a FOIA / direct QER query by establishment #.</t>
        </is>
      </c>
    </row>
    <row r="33" ht="45.2" customHeight="1" s="59">
      <c r="A33" s="4" t="inlineStr">
        <is>
          <t>Export / APHIS lookup sites</t>
        </is>
      </c>
      <c r="B33" s="68" t="inlineStr">
        <is>
          <t>FSIS 'Eligible Establishments by Country' + EU page; FSIS MPI directory; APHIS Export-to-EU (VS); EU TRACES-NT; usda-eu.org</t>
        </is>
      </c>
      <c r="C33" s="46" t="inlineStr">
        <is>
          <t>High</t>
        </is>
      </c>
      <c r="D33" s="68" t="inlineStr">
        <is>
          <t>The authoritative places to check export/APHIS listing yourself (see 'Instructions §6 (export essentials)' tab). No facility confirmed EU/APHIS-listed for research tissue; 6 large plants FSIS export-certified for edible meat only.</t>
        </is>
      </c>
    </row>
    <row r="34" ht="31.8" customHeight="1" s="59">
      <c r="A34" s="4" t="inlineStr">
        <is>
          <t>National vendors × EU export</t>
        </is>
      </c>
      <c r="B34" s="68" t="inlineStr">
        <is>
          <t>Vendor sites (ISO/USDA claims); Reg (EC) 1069/2009 &amp; (EU) 142/2011; MDR Annex I 13.1 / ISO 22442</t>
        </is>
      </c>
      <c r="C34" s="46" t="inlineStr">
        <is>
          <t>Med-High</t>
        </is>
      </c>
      <c r="D34" s="68" t="inlineStr">
        <is>
          <t>Innovative Research RUO labeling = likely EU blocker. Tissue Source / Smithfield BioScience / MRS / SSR best-positioned; all still need establishment-level APHIS/TRACES confirmation + VS health certs.</t>
        </is>
      </c>
    </row>
    <row r="35" ht="45.2" customHeight="1" s="59">
      <c r="A35" s="138" t="inlineStr">
        <is>
          <t>What this file is</t>
        </is>
      </c>
      <c r="B35" s="68" t="inlineStr">
        <is>
          <t>(Supplier Outreach Plan method rows, merged 2026-09-03)</t>
        </is>
      </c>
      <c r="C35" s="46" t="inlineStr">
        <is>
          <t>High</t>
        </is>
      </c>
      <c r="D35" s="68" t="inlineStr">
        <is>
          <t>The outreach-planning companion to Tissue_Supplier_Study.xlsx. That file holds the full research record (128-row roster, comparison tab, APHIS/EU rules, TCO calculator); this one holds the reconciled ledger, the A/B ratings and the working plan.</t>
        </is>
      </c>
    </row>
    <row r="36" ht="45.2" customHeight="1" s="59">
      <c r="A36" s="138" t="inlineStr">
        <is>
          <t>Reconciliation (2026-09-03)</t>
        </is>
      </c>
      <c r="B36" s="68" t="inlineStr">
        <is>
          <t>(Supplier Outreach Plan method rows, merged 2026-09-03)</t>
        </is>
      </c>
      <c r="C36" s="46" t="inlineStr">
        <is>
          <t>High</t>
        </is>
      </c>
      <c r="D36" s="68" t="inlineStr">
        <is>
          <t>Every supplier row across all passes was merged into the Master Ledger: 103 entries — 5 current, candidates, watch, out, closed, duplicates merged. Newest verified fact wins on conflict; client ground truth outranks research inference.</t>
        </is>
      </c>
    </row>
    <row r="37" ht="45.2" customHeight="1" s="59">
      <c r="A37" s="138" t="inlineStr">
        <is>
          <t>Ground-truth corrections (2026-09-03)</t>
        </is>
      </c>
      <c r="B37" s="68" t="inlineStr">
        <is>
          <t>(Supplier Outreach Plan method rows, merged 2026-09-03)</t>
        </is>
      </c>
      <c r="C37" s="46" t="inlineStr">
        <is>
          <t>High</t>
        </is>
      </c>
      <c r="D37" s="68" t="inlineStr">
        <is>
          <t>Two client corrections applied everywhere: (1) VILLARI's tissue gate is HARD — the 2026-08-17 'negotiable wedge' reading is superseded; leaf fat only, no organ planning through Villari. (2) PARKS harvests with THEIR OWN people under OUR training — the working Model B-T template.</t>
        </is>
      </c>
    </row>
    <row r="38" ht="58.6" customHeight="1" s="59">
      <c r="A38" s="138" t="inlineStr">
        <is>
          <t>Primary data</t>
        </is>
      </c>
      <c r="B38" s="68" t="inlineStr">
        <is>
          <t>(Supplier Outreach Plan method rows, merged 2026-09-03)</t>
        </is>
      </c>
      <c r="C38" s="46" t="inlineStr">
        <is>
          <t>High</t>
        </is>
      </c>
      <c r="D38" s="68" t="inlineStr">
        <is>
          <t>FSIS MPI Active + Inactive Directories and Establishment Demographic Data; NCDA&amp;CS State/TA/Custom directories (2026-08-10 edition verified 2026-08-17; re-pulled for the 2026-09-03 delta); FSIS QER tables and NOIE/NOS letters; county deeds; NC Commerce / NCAMPI announcements; SCDA-Clemson and VDACS for the corridor sweeps; plant sites, price sheets and local press.</t>
        </is>
      </c>
    </row>
    <row r="39" ht="72" customHeight="1" s="59">
      <c r="A39" s="138" t="inlineStr">
        <is>
          <t>Verification discipline</t>
        </is>
      </c>
      <c r="B39" s="68" t="inlineStr">
        <is>
          <t>(Supplier Outreach Plan method rows, merged 2026-09-03)</t>
        </is>
      </c>
      <c r="C39" s="46" t="inlineStr">
        <is>
          <t>High</t>
        </is>
      </c>
      <c r="D39" s="68" t="inlineStr">
        <is>
          <t>FSIS volume categories are ceilings (cat 1 &lt;19/wk · 2 19-194 · 3 194-1,944 · 4 ≥1,944, ALL species). 'None found' on enforcement is a narrow negative, never a clean bill — state-inspected plants sit outside FSIS reporting entirely, so their welfare is a SITE-VISIT finding. Distances are OSRM road miles from the Pikeville anchor.  [SUPERSEDED 2026-09-28: the origin is now Durham — see the 'Distances — Durham origin' row; the Pikeville figures survive only in parentheses.]</t>
        </is>
      </c>
    </row>
    <row r="40" ht="152.4" customHeight="1" s="59">
      <c r="A40" s="138" t="inlineStr">
        <is>
          <t>Scan of 2026-09-03</t>
        </is>
      </c>
      <c r="B40" s="68" t="inlineStr">
        <is>
          <t>(Supplier Outreach Plan method rows, merged 2026-09-03)</t>
        </is>
      </c>
      <c r="C40" s="46" t="inlineStr">
        <is>
          <t>High</t>
        </is>
      </c>
      <c r="D40" s="68" t="inlineStr">
        <is>
          <t>Run directly against re-pulled primary data (FSIS MPI Active+Inactive + Demographic datasets; NCDA&amp;CS State/TA/Custom directories; FSIS Q3 FY2026 Quarterly Enforcement Report — newly published; the M34181 enforcement letter; candidate websites/price sheets). Findings: NC census unchanged (24 federal swine plants); BASS FARMS volume category rose 1→2 (expansion visible in USDA data); Q3 FY2026 QER has ZERO entries for any plant in the base or shortlist — the whole base is clean through 30 Jun 2026, closing the Villari Apr-Jun blind spot; Caudle Meat still holds no inspection grant (watch); Sessoms Packing appears in NO directory (state, TA, custom, or FSIS) — treat as not an inspected operation unless a call proves otherwise; SC corridor adds Hemingway Locker M34181 (market, cat 2, one resolved 2024 humane action) and confirms Williamsburg Packing M4005 at cat 3 with all four swine classes; southern VA is a confirmed cat-1 desert (nothing above ~19/wk south of EcoFriendly). Census claims verified directly against the datasets themselves.</t>
        </is>
      </c>
    </row>
    <row r="41" ht="31.8" customHeight="1" s="59">
      <c r="A41" s="138" t="inlineStr">
        <is>
          <t>Scoring provenance</t>
        </is>
      </c>
      <c r="B41" s="68" t="inlineStr">
        <is>
          <t>(Supplier Outreach Plan method rows, merged 2026-09-03)</t>
        </is>
      </c>
      <c r="C41" s="46" t="inlineStr">
        <is>
          <t>High</t>
        </is>
      </c>
      <c r="D41" s="68" t="inlineStr">
        <is>
          <t>Sub-scores are analyst judgments over the cited evidence, not measurements — each row's evidence columns say why. The weight rows are editable (yellow); scores recompute in Excel.</t>
        </is>
      </c>
    </row>
    <row r="42" ht="72" customHeight="1" s="59">
      <c r="A42" s="138" t="inlineStr">
        <is>
          <t>Retired tabs (2026-09-03 consolidation)</t>
        </is>
      </c>
      <c r="B42" s="68" t="inlineStr">
        <is>
          <t>This workbook + git history</t>
        </is>
      </c>
      <c r="C42" s="46" t="inlineStr">
        <is>
          <t>High</t>
        </is>
      </c>
      <c r="D42" s="68" t="inlineStr">
        <is>
          <t>Three tabs were retired when the study and the outreach plan were compiled into this one file: 'NC Comparison 2026-08-17' (superseded by Current Base + Rated Candidates), 'Call Question Sheet' (superseded by the Call Questionnaire tab), and 'Deep Study (Verified)' (a point-in-time record whose live facts are all in the roster; the narrative survives in Deep_Study_Synthesis.pdf and every prior version is in git).</t>
        </is>
      </c>
    </row>
    <row r="43" ht="112.2" customHeight="1" s="59">
      <c r="A43" s="138" t="inlineStr">
        <is>
          <t>Retired tabs (2026-09-04 revision)</t>
        </is>
      </c>
      <c r="B43" s="68" t="inlineStr">
        <is>
          <t>This workbook + git history</t>
        </is>
      </c>
      <c r="C43" s="46" t="inlineStr">
        <is>
          <t>High</t>
        </is>
      </c>
      <c r="D43" s="68" t="inlineStr">
        <is>
          <t>'Plan of Action' and 'Action Items' were retired on the supplier engineer's instruction. The live process is the five steps on the Instructions tab (each role picks 3 → meet &amp; agree → the Purchasing Manager calls → joint go/no-go on the visit → NDA, visit, onboard); the call script + log live on 'Call Questionnaire' and the visit runs off the new 'Visit Agenda' tab (the model, culture and commercial sections moved there — they are visit topics, not call topics). The retired content (ranked contact plan, meeting sequence, RFQ/P e-mail templates) is preserved in git; the RFQ e-mail approach was dropped — outreach is by phone. People are referred to by role only: Supplier Engineer / Purchasing Manager.</t>
        </is>
      </c>
    </row>
    <row r="44" ht="125.6" customHeight="1" s="59">
      <c r="A44" s="138" t="inlineStr">
        <is>
          <t>Beebop snapshot (ChatGPT, 2026-09-28)</t>
        </is>
      </c>
      <c r="B44" s="68" t="inlineStr">
        <is>
          <t>Beebop/ folder in this repo (call plan, contacts.json, social evidence, provenance)</t>
        </is>
      </c>
      <c r="C44" s="46" t="inlineStr">
        <is>
          <t>Medium</t>
        </is>
      </c>
      <c r="D44" s="68" t="inlineStr">
        <is>
          <t>Collaborator data, not instruction — its README says so and this workbook treats it that way. ADOPTED after cross-check: the referral lane (Firsthand Foods, Cheshire Pork, Carolina Packers, NC Choices, NCDA MPID); Piedmont's 150 lb minimum and expansion grant; the organ-ownership question (service-processed animals belong to the farmer); exact-address Durham distances for its 30 sites; the official NCDA directory dated 2026-09-18. CORRECTED here: it used no FSIS volume bands (Piedmont/Flowers are cat 2, Cool Springs/Schrock's/Contentnea cat 1 — the bands are on every row); Neese (#20) went FSIS-inactive 2026-07-02; four of its 30 are custom-exempt and fail G1; Mitchell's (#9) carries a failed-stun record it did not see; Nahunta's '500+/wk' is historical. Its 2,000-5,000/wk preference is unmeetable among new in-radius plants.</t>
        </is>
      </c>
    </row>
    <row r="45" ht="165.8" customHeight="1" s="59">
      <c r="A45" s="138" t="inlineStr">
        <is>
          <t>NCDA&amp;CS plant directory — 2026-09-18</t>
        </is>
      </c>
      <c r="B45" s="68" t="inlineStr">
        <is>
          <t>Beebop/sources/NC_Plant_Directory_2026-09-18.pdf (official run date Friday, September 18, 2026)</t>
        </is>
      </c>
      <c r="C45" s="46" t="inlineStr">
        <is>
          <t>High</t>
        </is>
      </c>
      <c r="D45" s="68" t="inlineStr">
        <is>
          <t>Combined state (P-), Talmadge-Aiken (TA-) and custom listing with the species legend: Calves-A, Cattle-B, SWINE-C, Sheep-D, Goats-E, Ratite-F, Bison-G, Cattalo-H. 47 swine-slaughter entries: 27 inspected (P-/TA-) and 20 custom-exempt. ALL 27 inspected plants were already on this roster — the August census is confirmed complete. Quaqua Creek P-375 (Ruffin) confirmed as a slaughter + processing plant with swine. Custom-exempt swine plants NOT listed individually on the roster (all fail G1): AAA Abattoir (Alamance); Clarkton Processing Company (Bladen); Coletown, LLC (Davidson); Imperial Meats, LLC (Catawba); Jerry's Meat Processing (Davie); Melvin Hill Meats, LLC (Polk); Miller Meat Processing, LLC (Northampton); Pinnacle Meats (Rutherford); Prospect Slaughter Pen (Robeson); Smitty's Meats Inc (Iredell); Stevens Meat Packing (Surry); Twisted Willow Farm (Pasquotank); White Store Processing (Anson); Wildlife Processors, LLC (Richmond). Supersedes the 2026-08-10 pull (the 09-03 re-download of the NCDA files had returned HTML shells, not PDFs — this file is now the primary state directory on disk).</t>
        </is>
      </c>
    </row>
    <row r="46" ht="58.6" customHeight="1" s="59">
      <c r="A46" s="138" t="inlineStr">
        <is>
          <t>Distances — Durham origin (2026-09-28)</t>
        </is>
      </c>
      <c r="B46" s="68" t="inlineStr">
        <is>
          <t>OSRM driving routes from 35.996069, −78.899684 (101 City Hall Plaza, Durham — the client-stated placeholder origin)</t>
        </is>
      </c>
      <c r="C46" s="46" t="inlineStr">
        <is>
          <t>Medium</t>
        </is>
      </c>
      <c r="D46" s="68" t="inlineStr">
        <is>
          <t>Exact street addresses (US Census geocoder) for Beebop's 30 sites; city-level Nominatim geocoding (±5 mi, marked '≈') for the rest of the Carolinas/VA/TN roster. Pikeville figures retained in parentheses. The real crew departure point is still to be confirmed — if it is not Durham, the column recomputes.</t>
        </is>
      </c>
    </row>
    <row r="47" ht="179.2" customHeight="1" s="59">
      <c r="A47" s="138" t="inlineStr">
        <is>
          <t>Beebop round 2 (2026-09-28)</t>
        </is>
      </c>
      <c r="B47" s="68" t="inlineStr">
        <is>
          <t>Beebop/round2-2026-09-28/ (cross-reference workbook, research_data.json, README)</t>
        </is>
      </c>
      <c r="C47" s="46" t="inlineStr">
        <is>
          <t>Medium-High</t>
        </is>
      </c>
      <c r="D47" s="68" t="inlineStr">
        <is>
          <t>A fact review of THIS workbook by the collaborator, verified point by point. ACCEPTED: the band arithmetic (×7/360 → 194 / 1,944, applied to every cell) and the 'historical aggregate, not capacity' framing; exact-address distances for EcoFriendly (120.4 road / 92.6 radial), McLaughlin's (119.4) and Acre Station (141.1); Bass's stale cat-1 cell (FSIS pull says cat 2); the Godwin inference (directory absence is the evidence, not the Iowa record); softened over-claims on Piedmont (disposal fee ≠ proof of discard) and Nahunta (no retail SKU ≠ no competing use); Mitchell's site-identity clarifier; four plants given rows and ratings — Farmington P-381 (verified in the 09-18 directory), Easternview M1908, The Butcher's Block M763 and KC Farms M1502 (all verified federal in the FSIS pull — all cat 1). REJECTED / UNCHANGED: Neese stays OUT (the FSIS inactive record is primary; the brand acquisition is a business transition) with a Q4 recheck note; custom-exempt plants stay OUT under G1; 'absence of a 2,000-5,000/wk plant' reworded as 'none has killed at that scale in the last FSIS year'. Its revised first ten (Piedmont, McLamb's, Flowers, Contentnea, Farmington, Easternview, Gale McLamb, Key Packing, Quaqua, Cool Springs) is shown in Rated Candidates column W.</t>
        </is>
      </c>
    </row>
    <row r="48" ht="72" customHeight="1" s="59">
      <c r="A48" s="138" t="inlineStr">
        <is>
          <t>NASS Livestock Slaughter 2025 Summary (Apr 2026)</t>
        </is>
      </c>
      <c r="B48" s="68" t="inlineStr">
        <is>
          <t>nass.usda.gov/Publications/Todays_Reports/reports/lsan0426.pdf — 'Federally Inspected Plants and Head Slaughtered by Species – States: 2025', p.56; commercial hog slaughter by state, pp.44-45</t>
        </is>
      </c>
      <c r="C48" s="46" t="inlineStr">
        <is>
          <t>High</t>
        </is>
      </c>
      <c r="D48" s="68" t="inlineStr">
        <is>
          <t>Federal hog slaughter 2025: VIRGINIA 16 plants / 7,841 head · SOUTH CAROLINA 8 plants / 14,070 head · TENNESSEE 34 plants / 925,292 head · NORTH CAROLINA withheld (D) to avoid disclosing individual operations. Commercial (FI + state) hog totals 2025: SC 23,000 · VA 12,000 · TN 926,000 · NC (D). Used as hard caps on the FSIS bands: a VA or SC plant's cat-3 band cannot be hogs. Also the national count: 786 hog plants, the 15 largest = 65% of head.</t>
        </is>
      </c>
    </row>
    <row r="49" ht="98.8" customHeight="1" s="59">
      <c r="A49" s="138" t="inlineStr">
        <is>
          <t>Volume inference method (2026-09-28)</t>
        </is>
      </c>
      <c r="B49" s="68" t="inlineStr">
        <is>
          <t>This workbook — Instructions §4 'Inferring hogs/week'</t>
        </is>
      </c>
      <c r="C49" s="46" t="inlineStr">
        <is>
          <t>Medium</t>
        </is>
      </c>
      <c r="D49" s="68" t="inlineStr">
        <is>
          <t>Ladder applied to every roster row: company figure &gt; FSIS band × species flags × HACCP size (MPI directory 'size' field) &gt; NASS state caps &gt; business-type class for NC state plants &gt; FOIA / NCDA / the call. Effects: EcoFriendly and Williamsburg drop to Tier 3 (VOL 5→2, 4→2); federal rows now show HACCP size; the eight NC state rows carry a class-based range instead of 'unknown'. Checked and found empty: CEFS/NC Choices processor directories (services only, no capacity), NMPAN profiles (Acre Station only: 80 hogs/day capacity), plant websites (no throughput statements), NC DEQ permits (not indexed by throughput).</t>
        </is>
      </c>
    </row>
    <row r="50" ht="125.6" customHeight="1" s="59">
      <c r="A50" s="138" t="inlineStr">
        <is>
          <t>Beebop v2.1 (2026-09-28, commit f9d4dd7)</t>
        </is>
      </c>
      <c r="B50" s="68" t="inlineStr">
        <is>
          <t>Beebop/round2-2026-09-28/RECOMMENDATIONS_FOR_ROCKSTEADY.md + updated cross-reference workbook (26 fact reviews)</t>
        </is>
      </c>
      <c r="C50" s="46" t="inlineStr">
        <is>
          <t>High (convergent)</t>
        </is>
      </c>
      <c r="D50" s="68" t="inlineStr">
        <is>
          <t>Beebop re-ranked on evidence of fit after reviewing commits a403954 and 1cb841f; its first ten now match this tab's order exactly (Piedmont, McLamb's, Gale McLamb, EcoFriendly, Flowers, Select, Key Packing, Quaqua, Farmington, Contentnea), with Easternview and Cool Springs as follow-ups. It independently confirmed the NASS state totals against the official text file. ADOPTED: EcoFriendly back to Tier 2 as a Model B-T harvesting-service call with a gate; its sharper opening question (hogs per week IN the 140-220 lb range) folded into call question 2; the radius-vs-road distinction noted in the legend; the complementary-pick idea noted on Rated Candidates. KEPT: road miles as the Model A screen. Two agents working from the same primary data now agree on the call order — that agreement is the useful output of this round.</t>
        </is>
      </c>
    </row>
    <row r="51" ht="165.8" customHeight="1" s="59">
      <c r="A51" s="138" t="inlineStr">
        <is>
          <t>Boar / stag rule (client, 2026-09-28)</t>
        </is>
      </c>
      <c r="B51" s="68" t="inlineStr">
        <is>
          <t>FSIS Establishment Demographic Data, boar_stag_swine_slaughter flag (pull 2026-09-03); NCDA directory species codes (no boar distinction)</t>
        </is>
      </c>
      <c r="C51" s="46" t="inlineStr">
        <is>
          <t>High (flag) / Ask (state plants)</t>
        </is>
      </c>
      <c r="D51" s="68" t="inlineStr">
        <is>
          <t>The client does not want boars/stags mixed with our hogs. Flagged in NC/SC/VA/TN: Martin's Pork Products, Inc., Piedmont Custom Meats, Wayne Mays Meat Processing, M.L. Mitchell &amp; Son, Wilkes Abattoir, LLC dba Apple Bra, Wells, Jenkins &amp; Wells Abattoir, Williamsburg Packing Company, Inc., Fayette Packing Co., Inc., EcoFriendly Foods, LLC, T&amp;E Meats (True &amp; Essential), Blue Ridge Meats of Front Royal, The Pork Company (Villari Food Gro, Contentnea Farms, LLC, Flowers Slaughter House (George Fl, Fauquier's Finest — DATA ANOMALY, Easternview Farms LLC, The Butcher's Block. Effects: '⚠ BOAR/STAG flagged' on the roster class column; STRONG FIT / POSSIBLE → CAUTION for flagged non-incumbents; ANAT capped at 2 on Rated Candidates; Piedmont Tier 1 → 2, Flowers stays 2, EcoFriendly 2 → 3, the rest 3; Select Meats (market-only flags) Tier 2 → 1. The flag means the plant slaughtered boars/stags in the data period, not that they share a day with market hogs — hence a SOFT gate cleared by the call (question 1 now asks). Two incumbents carry the flag (Martin's, Villari): mixing already occurs at a plant we harvest at, so 'separate days' is the practical standard.</t>
        </is>
      </c>
    </row>
    <row r="52" ht="179.2" customHeight="1" s="59">
      <c r="A52" s="138" t="inlineStr">
        <is>
          <t>Social &amp; other-sources pass (2026-09-30)</t>
        </is>
      </c>
      <c r="B52" s="68" t="inlineStr">
        <is>
          <t>Facebook, Yelp, Google/aggregator reviews, Instagram, Nextdoor, BBB, Indeed, OpenCorporates, NCDA&amp;CS county directories (Johnston, Harnett, Rowan, Moore, Nash, Wilson, Beaufort, Stokes, Wilkes, Yadkin, Burke, Iredell, Rockingham)</t>
        </is>
      </c>
      <c r="C52" s="46" t="inlineStr">
        <is>
          <t>Medium (operational facts only)</t>
        </is>
      </c>
      <c r="D52" s="68" t="inlineStr">
        <is>
          <t>Every rated candidate checked. Facts that changed the read: McLamb's Abattoir is under LEE-FAMILY ownership since ~2018 (Shane Lee; Lee's Fresh Market is its 2022 retail front); McLaughlin's may have changed leadership in 2026 (unverified indexed-Facebook signal); Cool Springs dates from 1976 per the company site (a directory snippet said 1971; 2024 = federal grant); EcoFriendly is listed CLOSED by one directory with conflicting phones; Acre Station buys its own hogs (organ ownership clear); Caldwell's reviews cite forgotten organ meats never made right; Select Meats shows ~4 employees; Williamsburg keeps half-day hours; Mitchell's has the lowest Facebook score (78%). CONTACT NAMES from the county directories: Shane Lee, Gale McLamb, Gerald Wood, Gilbert/Elizabeth Key, Alan Sharp/Tim Boswell, Richard Huettmann, Justin Atkinson, Kristine Mitchell, Seth Church, Xa Her, Tom McLaughlin, Barrett Twitty (CQP). Not retrievable: Davie/Greene/Cumberland/Wayne/Duplin/Lincoln/Catawba county files (HTML shells), Facebook post bodies, Bizapedia (CAPTCHA), NC SOS (JavaScript). The Rockingham county file predates Quaqua's P-375 grant and lists 'Stevens Abattoir, Inc' (Darren Stevens, Madison) as a hog plant selling outside NC — checked against FSIS/NCDA 9-18 separately (see roster).</t>
        </is>
      </c>
    </row>
    <row r="53" ht="98.8" customHeight="1" s="59">
      <c r="A53" s="138" t="inlineStr">
        <is>
          <t>Retired tabs + restructure (2026-09-30)</t>
        </is>
      </c>
      <c r="B53" s="68" t="inlineStr">
        <is>
          <t>This workbook + git history (commit before this change: 5bda1a5)</t>
        </is>
      </c>
      <c r="C53" s="46" t="inlineStr">
        <is>
          <t>High</t>
        </is>
      </c>
      <c r="D53" s="68" t="inlineStr">
        <is>
          <t>On the owner's direction the workbook was narrowed to the supplier list: 'Overview &amp; Method', 'Meeting Notes 2026-08' and 'APHIS &amp; EU Export' were retired (decisions and export essentials now live on Instructions §3/§6; the verbatim notes and the August narrative survive in git and in Deep_Study_Synthesis.pdf). The Supplier Roster's old region banners were replaced by six priority sections; every row got a Priority ID (column U); duplicate entries (Swaggerty, Leidy's, Fauquier's) were marked DUPLICATE in favour of the later row. Beebop's instruction 23 change register (Reviews/2026-09-30-rocksteady-change-register.md) Parts A and B were applied; Parts C and D await the owner.</t>
        </is>
      </c>
    </row>
  </sheetData>
  <mergeCells count="2">
    <mergeCell ref="A1:D1"/>
    <mergeCell ref="A2:D2"/>
  </mergeCells>
  <pageMargins left="0.35" right="0.35" top="0.45" bottom="0.45" header="0.5" footer="0.5"/>
  <pageSetup orientation="landscape" fitToHeight="0" fitToWidth="1"/>
  <headerFooter>
    <oddHeader/>
    <oddFooter>&amp;L&amp;8 Sources &amp; Confidence&amp;R&amp;8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Oscar Penny</dc:creator>
  <dc:title xmlns:dc="http://purl.org/dc/elements/1.1/">Porcine Tissue — Second-Source Supplier Study</dc:title>
  <dcterms:created xmlns:dcterms="http://purl.org/dc/terms/" xmlns:xsi="http://www.w3.org/2001/XMLSchema-instance" xsi:type="dcterms:W3CDTF">2026-08-04T16:33:22Z</dcterms:created>
  <dcterms:modified xmlns:dcterms="http://purl.org/dc/terms/" xmlns:xsi="http://www.w3.org/2001/XMLSchema-instance" xsi:type="dcterms:W3CDTF">2026-09-30T15:28:38Z</dcterms:modified>
  <cp:lastModifiedBy>Oscar Penny</cp:lastModifiedBy>
</cp:coreProperties>
</file>