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760" yWindow="-16320" windowWidth="29040" windowHeight="15720" tabRatio="600" firstSheet="0" activeTab="4" autoFilterDateGrouping="1"/>
  </bookViews>
  <sheets>
    <sheet name="Overview &amp; Method" sheetId="1" state="visible" r:id="rId1"/>
    <sheet name="Meeting Notes 2026-08" sheetId="2" state="visible" r:id="rId2"/>
    <sheet name="Action Items" sheetId="3" state="visible" r:id="rId3"/>
    <sheet name="Anatomical Spec" sheetId="4" state="visible" r:id="rId4"/>
    <sheet name="Legend &amp; Scoring" sheetId="5" state="visible" r:id="rId5"/>
    <sheet name="Supplier Roster" sheetId="6" state="visible" r:id="rId6"/>
    <sheet name="NC Comparison 2026-08-17" sheetId="7" state="visible" r:id="rId7"/>
    <sheet name="National Direct Suppliers" sheetId="8" state="visible" r:id="rId8"/>
    <sheet name="Models &amp; Make-vs-Buy" sheetId="9" state="visible" r:id="rId9"/>
    <sheet name="TCO Calculator" sheetId="10" state="visible" r:id="rId10"/>
    <sheet name="APHIS &amp; EU Export" sheetId="11" state="visible" r:id="rId11"/>
    <sheet name="Call Question Sheet" sheetId="12" state="visible" r:id="rId12"/>
    <sheet name="Sources &amp; Confidence" sheetId="13" state="visible" r:id="rId13"/>
    <sheet name="Deep Study (Verified)" sheetId="14" state="visible" r:id="rId14"/>
  </sheets>
  <definedNames>
    <definedName name="_xlnm._FilterDatabase" localSheetId="5" hidden="1">'Supplier Roster'!$A$4:$R$4</definedName>
    <definedName name="_xlnm.Print_Titles" localSheetId="5">'Supplier Roster'!$1:$4</definedName>
    <definedName name="_xlnm._FilterDatabase" localSheetId="7" hidden="1">'National Direct Suppliers'!$A$4:$I$4</definedName>
    <definedName name="_xlnm._FilterDatabase" localSheetId="13" hidden="1">'Deep Study (Verified)'!$A$43:$H$43</definedName>
  </definedNames>
  <calcPr calcId="191029" fullCalcOnLoad="1" iterateDelta="0.0001"/>
</workbook>
</file>

<file path=xl/styles.xml><?xml version="1.0" encoding="utf-8"?>
<styleSheet xmlns="http://schemas.openxmlformats.org/spreadsheetml/2006/main">
  <numFmts count="2">
    <numFmt numFmtId="164" formatCode="#,##0.0"/>
    <numFmt numFmtId="165" formatCode="\$#,##0.00"/>
  </numFmts>
  <fonts count="49">
    <font>
      <name val="Calibri"/>
      <family val="2"/>
      <color theme="1"/>
      <sz val="11"/>
      <scheme val="minor"/>
    </font>
    <font>
      <name val="Arial"/>
      <b val="1"/>
      <color rgb="FFFFFFFF"/>
      <sz val="15"/>
    </font>
    <font>
      <name val="Arial"/>
      <i val="1"/>
      <color rgb="FF44506A"/>
      <sz val="10"/>
    </font>
    <font>
      <name val="Arial"/>
      <b val="1"/>
      <color rgb="FFFFFFFF"/>
      <sz val="11"/>
    </font>
    <font>
      <name val="Arial"/>
      <b val="1"/>
      <color rgb="FF222222"/>
      <sz val="10"/>
    </font>
    <font>
      <name val="Arial"/>
      <color rgb="FF222222"/>
      <sz val="10"/>
    </font>
    <font>
      <name val="Arial"/>
      <b val="1"/>
      <color rgb="FFFFFFFF"/>
      <sz val="10"/>
    </font>
    <font>
      <name val="Arial"/>
      <i val="1"/>
      <color rgb="FF5B657A"/>
      <sz val="9"/>
    </font>
    <font>
      <name val="Arial"/>
      <b val="1"/>
      <color rgb="FF1F3864"/>
      <sz val="10"/>
    </font>
    <font>
      <name val="Arial"/>
      <color rgb="FF7A5C00"/>
      <sz val="10"/>
    </font>
    <font>
      <name val="Arial"/>
      <b val="1"/>
      <color rgb="FF0000FF"/>
      <sz val="10"/>
    </font>
    <font>
      <name val="Arial"/>
      <b val="1"/>
      <color rgb="FF006100"/>
      <sz val="10"/>
    </font>
    <font>
      <name val="Arial"/>
      <b val="1"/>
      <color rgb="FF9C6500"/>
      <sz val="10"/>
    </font>
    <font>
      <name val="Arial"/>
      <b val="1"/>
      <color rgb="FF9C0006"/>
      <sz val="10"/>
    </font>
    <font>
      <name val="Arial"/>
      <b val="1"/>
      <color rgb="FF375623"/>
      <sz val="10"/>
    </font>
    <font>
      <name val="Arial"/>
      <b val="1"/>
      <color rgb="FF7F6000"/>
      <sz val="10"/>
    </font>
    <font>
      <name val="Arial"/>
      <b val="1"/>
      <color rgb="FF833C0C"/>
      <sz val="10"/>
    </font>
    <font>
      <name val="Arial"/>
      <b val="1"/>
      <color rgb="FF5B657A"/>
      <sz val="10"/>
    </font>
    <font>
      <name val="Arial"/>
      <color rgb="FF9C0006"/>
      <sz val="10"/>
    </font>
    <font>
      <name val="Arial"/>
      <color rgb="FF44506A"/>
      <sz val="9"/>
    </font>
    <font>
      <name val="Arial"/>
      <color rgb="FF222222"/>
      <sz val="9"/>
    </font>
    <font>
      <name val="Arial"/>
      <b val="1"/>
      <color rgb="FFFFFFFF"/>
      <sz val="11"/>
    </font>
    <font>
      <name val="Arial"/>
      <color rgb="FF222222"/>
      <sz val="10"/>
    </font>
    <font>
      <name val="Arial"/>
      <b val="1"/>
      <color rgb="FF5B657A"/>
      <sz val="10"/>
    </font>
    <font>
      <name val="Arial"/>
      <b val="1"/>
      <color rgb="FF9C0006"/>
      <sz val="10"/>
    </font>
    <font>
      <name val="Arial"/>
      <b val="1"/>
      <color rgb="FF7F6000"/>
      <sz val="10"/>
    </font>
    <font>
      <name val="Arial"/>
      <sz val="10"/>
    </font>
    <font>
      <name val="Arial"/>
      <b val="1"/>
      <color rgb="00375623"/>
      <sz val="10"/>
    </font>
    <font>
      <name val="Arial"/>
      <b val="1"/>
      <color rgb="00FFFFFF"/>
      <sz val="11"/>
    </font>
    <font>
      <name val="Arial"/>
      <b val="1"/>
      <color rgb="007F6000"/>
      <sz val="10"/>
    </font>
    <font>
      <name val="Arial"/>
      <color rgb="007F6000"/>
      <sz val="10"/>
    </font>
    <font>
      <name val="Arial"/>
      <color rgb="00375623"/>
      <sz val="10"/>
    </font>
    <font>
      <name val="Arial"/>
      <b val="1"/>
      <color rgb="009C0006"/>
      <sz val="10"/>
    </font>
    <font>
      <name val="Arial"/>
      <color rgb="009C0006"/>
      <sz val="10"/>
    </font>
    <font>
      <name val="Arial"/>
      <b val="1"/>
      <color rgb="00222222"/>
      <sz val="10"/>
    </font>
    <font>
      <name val="Arial"/>
      <color rgb="00222222"/>
      <sz val="10"/>
    </font>
    <font>
      <name val="Arial"/>
      <b val="1"/>
      <color rgb="005B657A"/>
      <sz val="10"/>
    </font>
    <font>
      <name val="Arial"/>
      <b val="1"/>
      <color rgb="00FFFFFF"/>
      <sz val="15"/>
    </font>
    <font>
      <name val="Arial"/>
      <b val="1"/>
      <color rgb="0044506A"/>
      <sz val="10"/>
    </font>
    <font>
      <name val="Arial"/>
      <b val="1"/>
      <sz val="10"/>
    </font>
    <font>
      <name val="Arial"/>
      <b val="1"/>
      <color rgb="00FFFFFF"/>
      <sz val="10"/>
    </font>
    <font>
      <name val="Arial"/>
      <b val="1"/>
      <color rgb="00375623"/>
      <sz val="9.5"/>
    </font>
    <font>
      <name val="Arial"/>
      <b val="1"/>
      <color rgb="009C0006"/>
      <sz val="9.5"/>
    </font>
    <font>
      <name val="Arial"/>
      <b val="1"/>
      <color rgb="007F6000"/>
      <sz val="9.5"/>
    </font>
    <font>
      <name val="Arial"/>
      <color rgb="005B657A"/>
      <sz val="10"/>
    </font>
    <font>
      <name val="Arial"/>
      <b val="1"/>
      <color rgb="009C6500"/>
      <sz val="10"/>
    </font>
    <font>
      <name val="Arial"/>
      <b val="1"/>
      <color rgb="00006100"/>
      <sz val="10"/>
    </font>
    <font>
      <name val="Arial"/>
      <b val="1"/>
      <color rgb="001F3864"/>
      <sz val="10"/>
    </font>
    <font>
      <name val="Arial"/>
      <b val="1"/>
      <color rgb="001F3864"/>
      <sz val="15"/>
    </font>
  </fonts>
  <fills count="38">
    <fill>
      <patternFill/>
    </fill>
    <fill>
      <patternFill patternType="gray125"/>
    </fill>
    <fill>
      <patternFill patternType="solid">
        <fgColor rgb="FF1F3864"/>
      </patternFill>
    </fill>
    <fill>
      <patternFill patternType="solid">
        <fgColor rgb="FFEDF0F7"/>
      </patternFill>
    </fill>
    <fill>
      <patternFill patternType="solid">
        <fgColor rgb="FF2E5496"/>
      </patternFill>
    </fill>
    <fill>
      <patternFill patternType="solid">
        <fgColor rgb="FFF2F2F2"/>
      </patternFill>
    </fill>
    <fill>
      <patternFill patternType="solid">
        <fgColor rgb="FFFFF2CC"/>
      </patternFill>
    </fill>
    <fill>
      <patternFill patternType="solid">
        <fgColor rgb="FFD9E1F2"/>
      </patternFill>
    </fill>
    <fill>
      <patternFill patternType="solid">
        <fgColor rgb="FFFFF9E3"/>
      </patternFill>
    </fill>
    <fill>
      <patternFill patternType="solid">
        <fgColor rgb="FFC6EFCE"/>
      </patternFill>
    </fill>
    <fill>
      <patternFill patternType="solid">
        <fgColor rgb="FFFFC7CE"/>
      </patternFill>
    </fill>
    <fill>
      <patternFill patternType="solid">
        <fgColor rgb="FFE2EFDA"/>
      </patternFill>
    </fill>
    <fill>
      <patternFill patternType="solid">
        <fgColor rgb="FFFFE699"/>
      </patternFill>
    </fill>
    <fill>
      <patternFill patternType="solid">
        <fgColor rgb="FFFCE4D6"/>
      </patternFill>
    </fill>
    <fill>
      <patternFill patternType="solid">
        <fgColor rgb="FFFCE4E4"/>
      </patternFill>
    </fill>
    <fill>
      <patternFill patternType="solid">
        <fgColor rgb="FF0000FF"/>
      </patternFill>
    </fill>
    <fill>
      <patternFill patternType="solid">
        <fgColor rgb="FF2E5496"/>
      </patternFill>
    </fill>
    <fill>
      <patternFill patternType="solid">
        <fgColor rgb="FFF2F2F2"/>
      </patternFill>
    </fill>
    <fill>
      <patternFill patternType="solid">
        <fgColor rgb="FFFCE4E4"/>
      </patternFill>
    </fill>
    <fill>
      <patternFill patternType="solid">
        <fgColor rgb="FFFFD966"/>
      </patternFill>
    </fill>
    <fill>
      <patternFill patternType="solid">
        <fgColor rgb="FFE4DFEC"/>
      </patternFill>
    </fill>
    <fill>
      <patternFill patternType="solid">
        <fgColor rgb="FFFFF2CC"/>
      </patternFill>
    </fill>
    <fill>
      <patternFill patternType="solid">
        <fgColor theme="0" tint="-0.1499984740745262"/>
        <bgColor indexed="64"/>
      </patternFill>
    </fill>
    <fill>
      <patternFill patternType="solid">
        <fgColor rgb="00E2EFDA"/>
      </patternFill>
    </fill>
    <fill>
      <patternFill patternType="solid">
        <fgColor rgb="002E5496"/>
      </patternFill>
    </fill>
    <fill>
      <patternFill patternType="solid">
        <fgColor rgb="00FFF2CC"/>
      </patternFill>
    </fill>
    <fill>
      <patternFill patternType="solid">
        <fgColor rgb="00FCE4E4"/>
      </patternFill>
    </fill>
    <fill>
      <patternFill patternType="solid">
        <fgColor rgb="00F2F2F2"/>
      </patternFill>
    </fill>
    <fill>
      <patternFill patternType="solid">
        <fgColor rgb="001F3864"/>
      </patternFill>
    </fill>
    <fill>
      <patternFill patternType="solid">
        <fgColor rgb="00EDF0F7"/>
      </patternFill>
    </fill>
    <fill>
      <patternFill patternType="solid">
        <fgColor rgb="00FFE699"/>
      </patternFill>
    </fill>
    <fill>
      <patternFill patternType="solid">
        <fgColor rgb="00FFC7CE"/>
      </patternFill>
    </fill>
    <fill>
      <patternFill patternType="solid">
        <fgColor rgb="00C6EFCE"/>
      </patternFill>
    </fill>
    <fill>
      <patternFill patternType="solid">
        <fgColor rgb="00D9E1F2"/>
      </patternFill>
    </fill>
    <fill>
      <patternFill patternType="solid">
        <fgColor rgb="00FFFFFF"/>
      </patternFill>
    </fill>
    <fill>
      <patternFill patternType="solid">
        <fgColor rgb="00C55A11"/>
      </patternFill>
    </fill>
    <fill>
      <patternFill patternType="solid">
        <fgColor rgb="00FCE4D6"/>
      </patternFill>
    </fill>
    <fill>
      <patternFill patternType="solid">
        <fgColor rgb="00375623"/>
      </patternFill>
    </fill>
  </fills>
  <borders count="11">
    <border>
      <left/>
      <right/>
      <top/>
      <bottom/>
      <diagonal/>
    </border>
    <border>
      <left style="thin">
        <color rgb="FFBFBFBF"/>
      </left>
      <right style="thin">
        <color rgb="FFBFBFBF"/>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74">
    <xf numFmtId="0" fontId="0" fillId="0" borderId="0" pivotButton="0" quotePrefix="0" xfId="0"/>
    <xf numFmtId="0" fontId="4" fillId="5" borderId="1" applyAlignment="1" pivotButton="0" quotePrefix="0" xfId="0">
      <alignment horizontal="left" vertical="top" wrapText="1"/>
    </xf>
    <xf numFmtId="0" fontId="5" fillId="0" borderId="1" applyAlignment="1" pivotButton="0" quotePrefix="0" xfId="0">
      <alignment horizontal="left" vertical="top" wrapText="1"/>
    </xf>
    <xf numFmtId="0" fontId="6" fillId="4" borderId="1" applyAlignment="1" pivotButton="0" quotePrefix="0" xfId="0">
      <alignment horizontal="center" vertical="center" wrapText="1"/>
    </xf>
    <xf numFmtId="0" fontId="4" fillId="0" borderId="1" applyAlignment="1" pivotButton="0" quotePrefix="0" xfId="0">
      <alignment horizontal="left" vertical="top" wrapText="1"/>
    </xf>
    <xf numFmtId="0" fontId="5" fillId="6" borderId="1" applyAlignment="1" pivotButton="0" quotePrefix="0" xfId="0">
      <alignment horizontal="left" vertical="top" wrapText="1"/>
    </xf>
    <xf numFmtId="0" fontId="4" fillId="5" borderId="1" applyAlignment="1" pivotButton="0" quotePrefix="0" xfId="0">
      <alignment horizontal="left" vertical="center" wrapText="1"/>
    </xf>
    <xf numFmtId="0" fontId="10" fillId="8" borderId="1" applyAlignment="1" pivotButton="0" quotePrefix="0" xfId="0">
      <alignment horizontal="left" vertical="center" wrapText="1"/>
    </xf>
    <xf numFmtId="0" fontId="4" fillId="0" borderId="1" applyAlignment="1" pivotButton="0" quotePrefix="0" xfId="0">
      <alignment horizontal="left" vertical="center" wrapText="1"/>
    </xf>
    <xf numFmtId="0" fontId="8" fillId="7" borderId="1" applyAlignment="1" pivotButton="0" quotePrefix="0" xfId="0">
      <alignment horizontal="left" vertical="top" wrapText="1"/>
    </xf>
    <xf numFmtId="0" fontId="11" fillId="9" borderId="1" applyAlignment="1" pivotButton="0" quotePrefix="0" xfId="0">
      <alignment horizontal="center" vertical="center" wrapText="1"/>
    </xf>
    <xf numFmtId="0" fontId="5" fillId="0" borderId="1" applyAlignment="1" pivotButton="0" quotePrefix="0" xfId="0">
      <alignment horizontal="left" vertical="center" wrapText="1"/>
    </xf>
    <xf numFmtId="0" fontId="12" fillId="6" borderId="1" applyAlignment="1" pivotButton="0" quotePrefix="0" xfId="0">
      <alignment horizontal="center" vertical="center" wrapText="1"/>
    </xf>
    <xf numFmtId="0" fontId="13" fillId="10" borderId="1" applyAlignment="1" pivotButton="0" quotePrefix="0" xfId="0">
      <alignment horizontal="center" vertical="center" wrapText="1"/>
    </xf>
    <xf numFmtId="0" fontId="8" fillId="7" borderId="1" applyAlignment="1" pivotButton="0" quotePrefix="0" xfId="0">
      <alignment horizontal="center" vertical="center" wrapText="1"/>
    </xf>
    <xf numFmtId="0" fontId="14" fillId="11" borderId="1" applyAlignment="1" pivotButton="0" quotePrefix="0" xfId="0">
      <alignment horizontal="left" vertical="center" wrapText="1"/>
    </xf>
    <xf numFmtId="0" fontId="11" fillId="9" borderId="1" applyAlignment="1" pivotButton="0" quotePrefix="0" xfId="0">
      <alignment horizontal="left" vertical="center" wrapText="1"/>
    </xf>
    <xf numFmtId="0" fontId="15" fillId="12" borderId="1" applyAlignment="1" pivotButton="0" quotePrefix="0" xfId="0">
      <alignment horizontal="left" vertical="center" wrapText="1"/>
    </xf>
    <xf numFmtId="0" fontId="16" fillId="13" borderId="1" applyAlignment="1" pivotButton="0" quotePrefix="0" xfId="0">
      <alignment horizontal="left" vertical="center" wrapText="1"/>
    </xf>
    <xf numFmtId="0" fontId="17" fillId="5" borderId="1" applyAlignment="1" pivotButton="0" quotePrefix="0" xfId="0">
      <alignment horizontal="left" vertical="center" wrapText="1"/>
    </xf>
    <xf numFmtId="0" fontId="11" fillId="9" borderId="1" applyAlignment="1" pivotButton="0" quotePrefix="0" xfId="0">
      <alignment horizontal="center" vertical="top" wrapText="1"/>
    </xf>
    <xf numFmtId="0" fontId="8" fillId="7" borderId="1" applyAlignment="1" pivotButton="0" quotePrefix="0" xfId="0">
      <alignment horizontal="center" vertical="top" wrapText="1"/>
    </xf>
    <xf numFmtId="0" fontId="14" fillId="11" borderId="1" applyAlignment="1" pivotButton="0" quotePrefix="0" xfId="0">
      <alignment horizontal="center" vertical="top" wrapText="1"/>
    </xf>
    <xf numFmtId="0" fontId="12" fillId="6" borderId="1" applyAlignment="1" pivotButton="0" quotePrefix="0" xfId="0">
      <alignment horizontal="center" vertical="top" wrapText="1"/>
    </xf>
    <xf numFmtId="0" fontId="17" fillId="5" borderId="1" applyAlignment="1" pivotButton="0" quotePrefix="0" xfId="0">
      <alignment horizontal="center" vertical="top" wrapText="1"/>
    </xf>
    <xf numFmtId="0" fontId="18" fillId="14" borderId="1" applyAlignment="1" pivotButton="0" quotePrefix="0" xfId="0">
      <alignment horizontal="left" vertical="top" wrapText="1"/>
    </xf>
    <xf numFmtId="0" fontId="16" fillId="13" borderId="1" applyAlignment="1" pivotButton="0" quotePrefix="0" xfId="0">
      <alignment horizontal="center" vertical="top" wrapText="1"/>
    </xf>
    <xf numFmtId="0" fontId="15" fillId="12" borderId="1" applyAlignment="1" pivotButton="0" quotePrefix="0" xfId="0">
      <alignment horizontal="center" vertical="top" wrapText="1"/>
    </xf>
    <xf numFmtId="0" fontId="13" fillId="10" borderId="1" applyAlignment="1" pivotButton="0" quotePrefix="0" xfId="0">
      <alignment horizontal="center" vertical="top" wrapText="1"/>
    </xf>
    <xf numFmtId="0" fontId="12" fillId="6" borderId="1" applyAlignment="1" pivotButton="0" quotePrefix="0" xfId="0">
      <alignment horizontal="left" vertical="top" wrapText="1"/>
    </xf>
    <xf numFmtId="0" fontId="13" fillId="10" borderId="1" applyAlignment="1" pivotButton="0" quotePrefix="0" xfId="0">
      <alignment horizontal="left" vertical="top" wrapText="1"/>
    </xf>
    <xf numFmtId="0" fontId="11" fillId="9" borderId="1" applyAlignment="1" pivotButton="0" quotePrefix="0" xfId="0">
      <alignment horizontal="left" vertical="top" wrapText="1"/>
    </xf>
    <xf numFmtId="0" fontId="17" fillId="5" borderId="1" applyAlignment="1" pivotButton="0" quotePrefix="0" xfId="0">
      <alignment horizontal="left" vertical="top" wrapText="1"/>
    </xf>
    <xf numFmtId="3" fontId="10" fillId="8" borderId="1" applyAlignment="1" pivotButton="0" quotePrefix="0" xfId="0">
      <alignment horizontal="right" vertical="center"/>
    </xf>
    <xf numFmtId="164" fontId="10" fillId="8" borderId="1" applyAlignment="1" pivotButton="0" quotePrefix="0" xfId="0">
      <alignment horizontal="right" vertical="center"/>
    </xf>
    <xf numFmtId="165" fontId="10" fillId="8" borderId="1" applyAlignment="1" pivotButton="0" quotePrefix="0" xfId="0">
      <alignment horizontal="right" vertical="center"/>
    </xf>
    <xf numFmtId="164" fontId="5" fillId="0" borderId="1" applyAlignment="1" pivotButton="0" quotePrefix="0" xfId="0">
      <alignment horizontal="right" vertical="center"/>
    </xf>
    <xf numFmtId="165" fontId="5" fillId="0" borderId="1" applyAlignment="1" pivotButton="0" quotePrefix="0" xfId="0">
      <alignment horizontal="right" vertical="center"/>
    </xf>
    <xf numFmtId="165" fontId="11" fillId="9" borderId="1" applyAlignment="1" pivotButton="0" quotePrefix="0" xfId="0">
      <alignment horizontal="right" vertical="center"/>
    </xf>
    <xf numFmtId="0" fontId="5" fillId="0" borderId="1" applyAlignment="1" pivotButton="0" quotePrefix="0" xfId="0">
      <alignment horizontal="right" vertical="center"/>
    </xf>
    <xf numFmtId="0" fontId="6" fillId="15" borderId="1" applyAlignment="1" pivotButton="0" quotePrefix="0" xfId="0">
      <alignment horizontal="center" vertical="center" wrapText="1"/>
    </xf>
    <xf numFmtId="165" fontId="4" fillId="9" borderId="1" applyAlignment="1" pivotButton="0" quotePrefix="0" xfId="0">
      <alignment horizontal="right" vertical="center"/>
    </xf>
    <xf numFmtId="0" fontId="6" fillId="15" borderId="1" applyAlignment="1" pivotButton="0" quotePrefix="0" xfId="0">
      <alignment horizontal="left" vertical="top" wrapText="1"/>
    </xf>
    <xf numFmtId="0" fontId="5" fillId="5" borderId="1" applyAlignment="1" pivotButton="0" quotePrefix="0" xfId="0">
      <alignment horizontal="left" vertical="top" wrapText="1"/>
    </xf>
    <xf numFmtId="0" fontId="4" fillId="5" borderId="1" applyAlignment="1" pivotButton="0" quotePrefix="0" xfId="0">
      <alignment horizontal="center" vertical="top" wrapText="1"/>
    </xf>
    <xf numFmtId="0" fontId="5" fillId="5" borderId="1" applyAlignment="1" pivotButton="0" quotePrefix="0" xfId="0">
      <alignment horizontal="center" vertical="top" wrapText="1"/>
    </xf>
    <xf numFmtId="0" fontId="5" fillId="9" borderId="1" applyAlignment="1" pivotButton="0" quotePrefix="0" xfId="0">
      <alignment horizontal="center" vertical="top" wrapText="1"/>
    </xf>
    <xf numFmtId="0" fontId="5" fillId="6" borderId="1" applyAlignment="1" pivotButton="0" quotePrefix="0" xfId="0">
      <alignment horizontal="center" vertical="top" wrapText="1"/>
    </xf>
    <xf numFmtId="0" fontId="0" fillId="0" borderId="2" pivotButton="0" quotePrefix="0" xfId="0"/>
    <xf numFmtId="0" fontId="22" fillId="0" borderId="1" applyAlignment="1" pivotButton="0" quotePrefix="0" xfId="0">
      <alignment horizontal="left" vertical="top" wrapText="1"/>
    </xf>
    <xf numFmtId="0" fontId="23" fillId="17" borderId="1" applyAlignment="1" pivotButton="0" quotePrefix="0" xfId="0">
      <alignment horizontal="center" vertical="top" wrapText="1"/>
    </xf>
    <xf numFmtId="0" fontId="25" fillId="19" borderId="1" applyAlignment="1" pivotButton="0" quotePrefix="0" xfId="0">
      <alignment horizontal="left" vertical="top" wrapText="1"/>
    </xf>
    <xf numFmtId="0" fontId="5" fillId="21" borderId="1" applyAlignment="1" pivotButton="0" quotePrefix="0" xfId="0">
      <alignment horizontal="left" vertical="top" wrapText="1"/>
    </xf>
    <xf numFmtId="0" fontId="22" fillId="20" borderId="1" applyAlignment="1" pivotButton="0" quotePrefix="0" xfId="0">
      <alignment horizontal="left" vertical="top" wrapText="1"/>
    </xf>
    <xf numFmtId="0" fontId="25" fillId="19" borderId="1" applyAlignment="1" pivotButton="0" quotePrefix="0" xfId="0">
      <alignment horizontal="center" vertical="center" wrapText="1"/>
    </xf>
    <xf numFmtId="0" fontId="25" fillId="19" borderId="0" applyAlignment="1" pivotButton="0" quotePrefix="0" xfId="0">
      <alignment horizontal="center" vertical="center" wrapText="1"/>
    </xf>
    <xf numFmtId="0" fontId="26" fillId="0" borderId="0" applyAlignment="1" pivotButton="0" quotePrefix="0" xfId="0">
      <alignment vertical="center" wrapText="1"/>
    </xf>
    <xf numFmtId="0" fontId="24" fillId="18" borderId="0" applyAlignment="1" pivotButton="0" quotePrefix="0" xfId="0">
      <alignment horizontal="center" vertical="center" wrapText="1"/>
    </xf>
    <xf numFmtId="0" fontId="5" fillId="0" borderId="0" applyAlignment="1" pivotButton="0" quotePrefix="0" xfId="0">
      <alignment horizontal="left" vertical="top" wrapText="1"/>
    </xf>
    <xf numFmtId="0" fontId="0" fillId="0" borderId="0" pivotButton="0" quotePrefix="0" xfId="0"/>
    <xf numFmtId="0" fontId="7" fillId="5" borderId="0" applyAlignment="1" pivotButton="0" quotePrefix="0" xfId="0">
      <alignment horizontal="left" vertical="top" wrapText="1"/>
    </xf>
    <xf numFmtId="0" fontId="2" fillId="3" borderId="0" applyAlignment="1" pivotButton="0" quotePrefix="0" xfId="0">
      <alignment horizontal="left" vertical="center" wrapText="1"/>
    </xf>
    <xf numFmtId="0" fontId="3" fillId="4" borderId="0" applyAlignment="1" pivotButton="0" quotePrefix="0" xfId="0">
      <alignment horizontal="left" vertical="center"/>
    </xf>
    <xf numFmtId="0" fontId="8" fillId="7" borderId="1" applyAlignment="1" pivotButton="0" quotePrefix="0" xfId="0">
      <alignment horizontal="left" vertical="center" wrapText="1"/>
    </xf>
    <xf numFmtId="0" fontId="0" fillId="0" borderId="3" pivotButton="0" quotePrefix="0" xfId="0"/>
    <xf numFmtId="0" fontId="0" fillId="0" borderId="2" pivotButton="0" quotePrefix="0" xfId="0"/>
    <xf numFmtId="0" fontId="7" fillId="0" borderId="0" applyAlignment="1" pivotButton="0" quotePrefix="0" xfId="0">
      <alignment horizontal="left" vertical="top" wrapText="1"/>
    </xf>
    <xf numFmtId="0" fontId="1" fillId="2" borderId="0" applyAlignment="1" pivotButton="0" quotePrefix="0" xfId="0">
      <alignment horizontal="left" vertical="center"/>
    </xf>
    <xf numFmtId="0" fontId="5" fillId="0" borderId="1" applyAlignment="1" pivotButton="0" quotePrefix="0" xfId="0">
      <alignment horizontal="left" vertical="top" wrapText="1"/>
    </xf>
    <xf numFmtId="0" fontId="24" fillId="18" borderId="0" applyAlignment="1" pivotButton="0" quotePrefix="0" xfId="0">
      <alignment vertical="top" wrapText="1"/>
    </xf>
    <xf numFmtId="0" fontId="9" fillId="6" borderId="1" applyAlignment="1" pivotButton="0" quotePrefix="0" xfId="0">
      <alignment horizontal="left" vertical="top" wrapText="1"/>
    </xf>
    <xf numFmtId="0" fontId="4" fillId="5" borderId="0" applyAlignment="1" pivotButton="0" quotePrefix="0" xfId="0">
      <alignment horizontal="left" vertical="center" wrapText="1"/>
    </xf>
    <xf numFmtId="0" fontId="21" fillId="16" borderId="0" applyAlignment="1" pivotButton="0" quotePrefix="0" xfId="0">
      <alignment horizontal="left" vertical="center"/>
    </xf>
    <xf numFmtId="0" fontId="7" fillId="0" borderId="0" applyAlignment="1" pivotButton="0" quotePrefix="0" xfId="0">
      <alignment horizontal="left" vertical="center" wrapText="1"/>
    </xf>
    <xf numFmtId="0" fontId="4" fillId="0" borderId="0" applyAlignment="1" pivotButton="0" quotePrefix="0" xfId="0">
      <alignment horizontal="left" vertical="center" wrapText="1"/>
    </xf>
    <xf numFmtId="0" fontId="3" fillId="15" borderId="0" applyAlignment="1" pivotButton="0" quotePrefix="0" xfId="0">
      <alignment horizontal="left" vertical="center"/>
    </xf>
    <xf numFmtId="0" fontId="19" fillId="0" borderId="0" applyAlignment="1" pivotButton="0" quotePrefix="0" xfId="0">
      <alignment horizontal="left" vertical="top" wrapText="1"/>
    </xf>
    <xf numFmtId="0" fontId="7" fillId="5" borderId="0" applyAlignment="1" pivotButton="0" quotePrefix="0" xfId="0">
      <alignment horizontal="left" vertical="center" wrapText="1"/>
    </xf>
    <xf numFmtId="0" fontId="4" fillId="9" borderId="0" applyAlignment="1" pivotButton="0" quotePrefix="0" xfId="0">
      <alignment horizontal="left" vertical="center" wrapText="1"/>
    </xf>
    <xf numFmtId="0" fontId="19" fillId="0" borderId="1" applyAlignment="1" pivotButton="0" quotePrefix="0" xfId="0">
      <alignment horizontal="left" vertical="top" wrapText="1"/>
    </xf>
    <xf numFmtId="0" fontId="20" fillId="0" borderId="0" applyAlignment="1" pivotButton="0" quotePrefix="0" xfId="0">
      <alignment horizontal="left" vertical="top" wrapText="1"/>
    </xf>
    <xf numFmtId="0" fontId="13" fillId="18" borderId="1" applyAlignment="1" pivotButton="0" quotePrefix="0" xfId="0">
      <alignment horizontal="left" vertical="top" wrapText="1"/>
    </xf>
    <xf numFmtId="0" fontId="4" fillId="22" borderId="1" applyAlignment="1" pivotButton="0" quotePrefix="0" xfId="0">
      <alignment horizontal="left" vertical="top" wrapText="1"/>
    </xf>
    <xf numFmtId="0" fontId="5" fillId="22" borderId="1" applyAlignment="1" pivotButton="0" quotePrefix="0" xfId="0">
      <alignment horizontal="left" vertical="top" wrapText="1"/>
    </xf>
    <xf numFmtId="0" fontId="17" fillId="22" borderId="1" applyAlignment="1" pivotButton="0" quotePrefix="0" xfId="0">
      <alignment horizontal="center" vertical="top" wrapText="1"/>
    </xf>
    <xf numFmtId="0" fontId="27" fillId="23" borderId="1" applyAlignment="1" pivotButton="0" quotePrefix="0" xfId="0">
      <alignment horizontal="left" vertical="top" wrapText="1"/>
    </xf>
    <xf numFmtId="0" fontId="27" fillId="23" borderId="0" applyAlignment="1" pivotButton="0" quotePrefix="0" xfId="0">
      <alignment vertical="top" wrapText="1"/>
    </xf>
    <xf numFmtId="0" fontId="28" fillId="24" borderId="0" applyAlignment="1" pivotButton="0" quotePrefix="0" xfId="0">
      <alignment horizontal="left" vertical="center" wrapText="1"/>
    </xf>
    <xf numFmtId="0" fontId="27" fillId="23" borderId="0" applyAlignment="1" pivotButton="0" quotePrefix="0" xfId="0">
      <alignment horizontal="center" vertical="center" wrapText="1"/>
    </xf>
    <xf numFmtId="0" fontId="32" fillId="26" borderId="0" applyAlignment="1" pivotButton="0" quotePrefix="0" xfId="0">
      <alignment horizontal="center" vertical="center" wrapText="1"/>
    </xf>
    <xf numFmtId="0" fontId="36" fillId="27" borderId="0" applyAlignment="1" pivotButton="0" quotePrefix="0" xfId="0">
      <alignment horizontal="center" vertical="center" wrapText="1"/>
    </xf>
    <xf numFmtId="0" fontId="29" fillId="25" borderId="0" applyAlignment="1" pivotButton="0" quotePrefix="0" xfId="0">
      <alignment vertical="top" wrapText="1"/>
    </xf>
    <xf numFmtId="0" fontId="30" fillId="25" borderId="0" applyAlignment="1" pivotButton="0" quotePrefix="0" xfId="0">
      <alignment vertical="top" wrapText="1"/>
    </xf>
    <xf numFmtId="0" fontId="31" fillId="23" borderId="0" applyAlignment="1" pivotButton="0" quotePrefix="0" xfId="0">
      <alignment vertical="top" wrapText="1"/>
    </xf>
    <xf numFmtId="0" fontId="32" fillId="26" borderId="0" applyAlignment="1" pivotButton="0" quotePrefix="0" xfId="0">
      <alignment vertical="top" wrapText="1"/>
    </xf>
    <xf numFmtId="0" fontId="33" fillId="26" borderId="0" applyAlignment="1" pivotButton="0" quotePrefix="0" xfId="0">
      <alignment vertical="top" wrapText="1"/>
    </xf>
    <xf numFmtId="0" fontId="34" fillId="27" borderId="0" applyAlignment="1" pivotButton="0" quotePrefix="0" xfId="0">
      <alignment vertical="top" wrapText="1"/>
    </xf>
    <xf numFmtId="0" fontId="35" fillId="0" borderId="0" applyAlignment="1" pivotButton="0" quotePrefix="0" xfId="0">
      <alignment vertical="top" wrapText="1"/>
    </xf>
    <xf numFmtId="0" fontId="37" fillId="28" borderId="0" applyAlignment="1" pivotButton="0" quotePrefix="0" xfId="0">
      <alignment vertical="center" wrapText="1"/>
    </xf>
    <xf numFmtId="0" fontId="38" fillId="29" borderId="0" applyAlignment="1" pivotButton="0" quotePrefix="0" xfId="0">
      <alignment vertical="center" wrapText="1"/>
    </xf>
    <xf numFmtId="0" fontId="28" fillId="24" borderId="0" applyAlignment="1" pivotButton="0" quotePrefix="0" xfId="0">
      <alignment vertical="center" wrapText="1"/>
    </xf>
    <xf numFmtId="0" fontId="39" fillId="23" borderId="6" applyAlignment="1" pivotButton="0" quotePrefix="0" xfId="0">
      <alignment vertical="top" wrapText="1"/>
    </xf>
    <xf numFmtId="0" fontId="26" fillId="23" borderId="6" applyAlignment="1" pivotButton="0" quotePrefix="0" xfId="0">
      <alignment vertical="top" wrapText="1"/>
    </xf>
    <xf numFmtId="0" fontId="39" fillId="27" borderId="6" applyAlignment="1" pivotButton="0" quotePrefix="0" xfId="0">
      <alignment vertical="top" wrapText="1"/>
    </xf>
    <xf numFmtId="0" fontId="26" fillId="0" borderId="6" applyAlignment="1" pivotButton="0" quotePrefix="0" xfId="0">
      <alignment vertical="top" wrapText="1"/>
    </xf>
    <xf numFmtId="0" fontId="39" fillId="25" borderId="6" applyAlignment="1" pivotButton="0" quotePrefix="0" xfId="0">
      <alignment vertical="top" wrapText="1"/>
    </xf>
    <xf numFmtId="0" fontId="26" fillId="25" borderId="6" applyAlignment="1" pivotButton="0" quotePrefix="0" xfId="0">
      <alignment vertical="top" wrapText="1"/>
    </xf>
    <xf numFmtId="0" fontId="28" fillId="24" borderId="0" applyAlignment="1" pivotButton="0" quotePrefix="0" xfId="0">
      <alignment vertical="center"/>
    </xf>
    <xf numFmtId="0" fontId="40" fillId="24" borderId="0" applyAlignment="1" pivotButton="0" quotePrefix="0" xfId="0">
      <alignment horizontal="center" vertical="center" wrapText="1"/>
    </xf>
    <xf numFmtId="0" fontId="41" fillId="23" borderId="0" applyAlignment="1" pivotButton="0" quotePrefix="0" xfId="0">
      <alignment horizontal="center" vertical="center" wrapText="1"/>
    </xf>
    <xf numFmtId="0" fontId="42" fillId="26" borderId="0" applyAlignment="1" pivotButton="0" quotePrefix="0" xfId="0">
      <alignment horizontal="center" vertical="center" wrapText="1"/>
    </xf>
    <xf numFmtId="0" fontId="43" fillId="25" borderId="0" applyAlignment="1" pivotButton="0" quotePrefix="0" xfId="0">
      <alignment horizontal="center" vertical="center" wrapText="1"/>
    </xf>
    <xf numFmtId="0" fontId="32" fillId="26" borderId="1" applyAlignment="1" pivotButton="0" quotePrefix="0" xfId="0">
      <alignment horizontal="left" vertical="top" wrapText="1"/>
    </xf>
    <xf numFmtId="0" fontId="29" fillId="25" borderId="0" applyAlignment="1" pivotButton="0" quotePrefix="0" xfId="0">
      <alignment horizontal="center" vertical="center" wrapText="1"/>
    </xf>
    <xf numFmtId="0" fontId="39" fillId="0" borderId="0" applyAlignment="1" pivotButton="0" quotePrefix="0" xfId="0">
      <alignment horizontal="center"/>
    </xf>
    <xf numFmtId="0" fontId="26" fillId="0" borderId="0" applyAlignment="1" pivotButton="0" quotePrefix="0" xfId="0">
      <alignment vertical="top" wrapText="1"/>
    </xf>
    <xf numFmtId="0" fontId="0" fillId="25" borderId="0" pivotButton="0" quotePrefix="0" xfId="0"/>
    <xf numFmtId="0" fontId="1" fillId="2" borderId="0" applyAlignment="1" pivotButton="0" quotePrefix="0" xfId="0">
      <alignment horizontal="left" vertical="center" wrapText="1"/>
    </xf>
    <xf numFmtId="0" fontId="3" fillId="4" borderId="0" applyAlignment="1" pivotButton="0" quotePrefix="0" xfId="0">
      <alignment horizontal="left" vertical="center" wrapText="1"/>
    </xf>
    <xf numFmtId="0" fontId="21" fillId="16" borderId="0" applyAlignment="1" pivotButton="0" quotePrefix="0" xfId="0">
      <alignment horizontal="left" vertical="center" wrapText="1"/>
    </xf>
    <xf numFmtId="0" fontId="3" fillId="15" borderId="0" applyAlignment="1" pivotButton="0" quotePrefix="0" xfId="0">
      <alignment horizontal="left" vertical="center" wrapText="1"/>
    </xf>
    <xf numFmtId="3" fontId="10" fillId="8" borderId="1" applyAlignment="1" pivotButton="0" quotePrefix="0" xfId="0">
      <alignment horizontal="right" vertical="center" wrapText="1"/>
    </xf>
    <xf numFmtId="164" fontId="10" fillId="8" borderId="1" applyAlignment="1" pivotButton="0" quotePrefix="0" xfId="0">
      <alignment horizontal="right" vertical="center" wrapText="1"/>
    </xf>
    <xf numFmtId="165" fontId="10" fillId="8" borderId="1" applyAlignment="1" pivotButton="0" quotePrefix="0" xfId="0">
      <alignment horizontal="right" vertical="center" wrapText="1"/>
    </xf>
    <xf numFmtId="164" fontId="5" fillId="0" borderId="1" applyAlignment="1" pivotButton="0" quotePrefix="0" xfId="0">
      <alignment horizontal="right" vertical="center" wrapText="1"/>
    </xf>
    <xf numFmtId="165" fontId="5" fillId="0" borderId="1" applyAlignment="1" pivotButton="0" quotePrefix="0" xfId="0">
      <alignment horizontal="right" vertical="center" wrapText="1"/>
    </xf>
    <xf numFmtId="165" fontId="11" fillId="9" borderId="1" applyAlignment="1" pivotButton="0" quotePrefix="0" xfId="0">
      <alignment horizontal="right" vertical="center" wrapText="1"/>
    </xf>
    <xf numFmtId="0" fontId="5" fillId="0" borderId="1" applyAlignment="1" pivotButton="0" quotePrefix="0" xfId="0">
      <alignment horizontal="right" vertical="center" wrapText="1"/>
    </xf>
    <xf numFmtId="165" fontId="4" fillId="9" borderId="1" applyAlignment="1" pivotButton="0" quotePrefix="0" xfId="0">
      <alignment horizontal="right" vertical="center" wrapText="1"/>
    </xf>
    <xf numFmtId="0" fontId="39" fillId="0" borderId="0" applyAlignment="1" pivotButton="0" quotePrefix="0" xfId="0">
      <alignment horizontal="center" vertical="top" wrapText="1"/>
    </xf>
    <xf numFmtId="0" fontId="44" fillId="0" borderId="0" applyAlignment="1" pivotButton="0" quotePrefix="0" xfId="0">
      <alignment vertical="center" wrapText="1"/>
    </xf>
    <xf numFmtId="0" fontId="36" fillId="0" borderId="0" applyAlignment="1" pivotButton="0" quotePrefix="0" xfId="0">
      <alignment horizontal="center" vertical="center" wrapText="1"/>
    </xf>
    <xf numFmtId="0" fontId="40" fillId="24" borderId="1" applyAlignment="1" pivotButton="0" quotePrefix="0" xfId="0">
      <alignment horizontal="center" vertical="center" wrapText="1"/>
    </xf>
    <xf numFmtId="0" fontId="29" fillId="25" borderId="1" applyAlignment="1" pivotButton="0" quotePrefix="0" xfId="0">
      <alignment vertical="top" wrapText="1"/>
    </xf>
    <xf numFmtId="0" fontId="27" fillId="23" borderId="1" applyAlignment="1" pivotButton="0" quotePrefix="0" xfId="0">
      <alignment vertical="top" wrapText="1"/>
    </xf>
    <xf numFmtId="0" fontId="32" fillId="26" borderId="1" applyAlignment="1" pivotButton="0" quotePrefix="0" xfId="0">
      <alignment vertical="top" wrapText="1"/>
    </xf>
    <xf numFmtId="0" fontId="29" fillId="30" borderId="1" applyAlignment="1" pivotButton="0" quotePrefix="0" xfId="0">
      <alignment horizontal="center" vertical="top" wrapText="1"/>
    </xf>
    <xf numFmtId="0" fontId="29" fillId="25" borderId="1" applyAlignment="1" pivotButton="0" quotePrefix="0" xfId="0">
      <alignment horizontal="center" vertical="top" wrapText="1"/>
    </xf>
    <xf numFmtId="0" fontId="34" fillId="0" borderId="1" applyAlignment="1" pivotButton="0" quotePrefix="0" xfId="0">
      <alignment horizontal="left" vertical="top" wrapText="1"/>
    </xf>
    <xf numFmtId="0" fontId="27" fillId="23" borderId="1" applyAlignment="1" pivotButton="0" quotePrefix="0" xfId="0">
      <alignment horizontal="center" vertical="top" wrapText="1"/>
    </xf>
    <xf numFmtId="0" fontId="45" fillId="25" borderId="1" applyAlignment="1" pivotButton="0" quotePrefix="0" xfId="0">
      <alignment horizontal="center" vertical="top" wrapText="1"/>
    </xf>
    <xf numFmtId="0" fontId="32" fillId="31" borderId="1" applyAlignment="1" pivotButton="0" quotePrefix="0" xfId="0">
      <alignment horizontal="center" vertical="top" wrapText="1"/>
    </xf>
    <xf numFmtId="0" fontId="46" fillId="32" borderId="1" applyAlignment="1" pivotButton="0" quotePrefix="0" xfId="0">
      <alignment horizontal="center" vertical="top" wrapText="1"/>
    </xf>
    <xf numFmtId="0" fontId="36" fillId="27" borderId="1" applyAlignment="1" pivotButton="0" quotePrefix="0" xfId="0">
      <alignment horizontal="center" vertical="top" wrapText="1"/>
    </xf>
    <xf numFmtId="0" fontId="34" fillId="9" borderId="1" applyAlignment="1" pivotButton="0" quotePrefix="0" xfId="0">
      <alignment horizontal="center" vertical="center" wrapText="1"/>
    </xf>
    <xf numFmtId="0" fontId="47" fillId="33" borderId="1" applyAlignment="1" pivotButton="0" quotePrefix="0" xfId="0">
      <alignment horizontal="center" vertical="top" wrapText="1"/>
    </xf>
    <xf numFmtId="0" fontId="34" fillId="22" borderId="1" applyAlignment="1" pivotButton="0" quotePrefix="0" xfId="0">
      <alignment horizontal="left" vertical="top" wrapText="1"/>
    </xf>
    <xf numFmtId="0" fontId="48" fillId="0" borderId="6" applyAlignment="1" pivotButton="0" quotePrefix="0" xfId="0">
      <alignment horizontal="left" vertical="top"/>
    </xf>
    <xf numFmtId="0" fontId="44" fillId="34" borderId="6" applyAlignment="1" pivotButton="0" quotePrefix="0" xfId="0">
      <alignment horizontal="left" vertical="top" wrapText="1"/>
    </xf>
    <xf numFmtId="0" fontId="0" fillId="34" borderId="6" pivotButton="0" quotePrefix="0" xfId="0"/>
    <xf numFmtId="0" fontId="28" fillId="28" borderId="6" applyAlignment="1" pivotButton="0" quotePrefix="0" xfId="0">
      <alignment horizontal="left" vertical="top" wrapText="1"/>
    </xf>
    <xf numFmtId="0" fontId="0" fillId="28" borderId="6" pivotButton="0" quotePrefix="0" xfId="0"/>
    <xf numFmtId="0" fontId="40" fillId="24" borderId="6" applyAlignment="1" pivotButton="0" quotePrefix="0" xfId="0">
      <alignment horizontal="left" vertical="top" wrapText="1"/>
    </xf>
    <xf numFmtId="0" fontId="34" fillId="33" borderId="6" applyAlignment="1" pivotButton="0" quotePrefix="0" xfId="0">
      <alignment horizontal="left" vertical="top" wrapText="1"/>
    </xf>
    <xf numFmtId="0" fontId="35" fillId="0" borderId="6" applyAlignment="1" pivotButton="0" quotePrefix="0" xfId="0">
      <alignment horizontal="left" vertical="top" wrapText="1"/>
    </xf>
    <xf numFmtId="0" fontId="28" fillId="35" borderId="6" applyAlignment="1" pivotButton="0" quotePrefix="0" xfId="0">
      <alignment horizontal="left" vertical="top" wrapText="1"/>
    </xf>
    <xf numFmtId="0" fontId="0" fillId="35" borderId="6" pivotButton="0" quotePrefix="0" xfId="0"/>
    <xf numFmtId="0" fontId="34" fillId="36" borderId="6" applyAlignment="1" pivotButton="0" quotePrefix="0" xfId="0">
      <alignment horizontal="left" vertical="top" wrapText="1"/>
    </xf>
    <xf numFmtId="0" fontId="0" fillId="36" borderId="6" pivotButton="0" quotePrefix="0" xfId="0"/>
    <xf numFmtId="0" fontId="34" fillId="32" borderId="6" applyAlignment="1" pivotButton="0" quotePrefix="0" xfId="0">
      <alignment horizontal="center" vertical="top" wrapText="1"/>
    </xf>
    <xf numFmtId="0" fontId="34" fillId="0" borderId="6" applyAlignment="1" pivotButton="0" quotePrefix="0" xfId="0">
      <alignment horizontal="left" vertical="top" wrapText="1"/>
    </xf>
    <xf numFmtId="0" fontId="34" fillId="25" borderId="6" applyAlignment="1" pivotButton="0" quotePrefix="0" xfId="0">
      <alignment horizontal="center" vertical="top" wrapText="1"/>
    </xf>
    <xf numFmtId="0" fontId="34" fillId="0" borderId="6" applyAlignment="1" pivotButton="0" quotePrefix="0" xfId="0">
      <alignment horizontal="center" vertical="top" wrapText="1"/>
    </xf>
    <xf numFmtId="0" fontId="34" fillId="27" borderId="6" applyAlignment="1" pivotButton="0" quotePrefix="0" xfId="0">
      <alignment horizontal="center" vertical="top" wrapText="1"/>
    </xf>
    <xf numFmtId="0" fontId="47" fillId="33" borderId="6" applyAlignment="1" pivotButton="0" quotePrefix="0" xfId="0">
      <alignment horizontal="left" vertical="top" wrapText="1"/>
    </xf>
    <xf numFmtId="0" fontId="0" fillId="0" borderId="6" pivotButton="0" quotePrefix="0" xfId="0"/>
    <xf numFmtId="0" fontId="28" fillId="37" borderId="6" applyAlignment="1" pivotButton="0" quotePrefix="0" xfId="0">
      <alignment horizontal="left" vertical="top" wrapText="1"/>
    </xf>
    <xf numFmtId="0" fontId="0" fillId="37" borderId="6" pivotButton="0" quotePrefix="0" xfId="0"/>
    <xf numFmtId="0" fontId="27" fillId="23" borderId="6" applyAlignment="1" pivotButton="0" quotePrefix="0" xfId="0">
      <alignment horizontal="left" vertical="top" wrapText="1"/>
    </xf>
    <xf numFmtId="0" fontId="0" fillId="23" borderId="6" pivotButton="0" quotePrefix="0" xfId="0"/>
    <xf numFmtId="0" fontId="34" fillId="27" borderId="0" applyAlignment="1" pivotButton="0" quotePrefix="0" xfId="0">
      <alignment horizontal="center" vertical="center" wrapText="1"/>
    </xf>
    <xf numFmtId="0" fontId="0" fillId="0" borderId="9" pivotButton="0" quotePrefix="0" xfId="0"/>
    <xf numFmtId="0" fontId="0" fillId="0" borderId="10" pivotButton="0" quotePrefix="0" xfId="0"/>
    <xf numFmtId="0" fontId="48" fillId="0" borderId="6" applyAlignment="1" pivotButton="0" quotePrefix="0" xfId="0">
      <alignment horizontal="lef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3864"/>
    <outlinePr summaryBelow="1" summaryRight="1"/>
    <pageSetUpPr fitToPage="1"/>
  </sheetPr>
  <dimension ref="A1:B55"/>
  <sheetViews>
    <sheetView showGridLines="0" topLeftCell="A2" workbookViewId="0">
      <selection activeCell="A1" sqref="A1:B1"/>
    </sheetView>
  </sheetViews>
  <sheetFormatPr baseColWidth="8" defaultRowHeight="14.4"/>
  <cols>
    <col width="30" customWidth="1" style="59" min="1" max="1"/>
    <col width="108" customWidth="1" style="59" min="2" max="2"/>
  </cols>
  <sheetData>
    <row r="1" ht="25.1" customHeight="1" s="59">
      <c r="A1" s="117" t="inlineStr">
        <is>
          <t>Porcine Tissue — Second-Source Supplier Study</t>
        </is>
      </c>
    </row>
    <row r="2" ht="18.4" customHeight="1" s="59">
      <c r="A2" s="61" t="inlineStr">
        <is>
          <t>Slaughterhouse &amp; direct-tissue sourcing for pelvic / bariatric / thoracic tissue blocks and organ harvesting.  Prepared 2026-07-28.</t>
        </is>
      </c>
    </row>
    <row r="3" ht="15" customHeight="1" s="59"/>
    <row r="4" ht="19.7" customHeight="1" s="59">
      <c r="A4" s="118" t="inlineStr">
        <is>
          <t>PURPOSE</t>
        </is>
      </c>
    </row>
    <row r="5" ht="49.2" customHeight="1" s="59">
      <c r="A5" s="118" t="inlineStr">
        <is>
          <t>Identify and qualify additional slaughterhouse suppliers (and national direct-tissue vendors) to expand harvesting capacity beyond the current base of Nahunta (great culture, volume-limited) and Martin's (has volume, weaker culture/quality responsiveness). Findings feed a supplier roster and shortlist for outreach.</t>
        </is>
      </c>
    </row>
    <row r="6" ht="19.7" customHeight="1" s="59">
      <c r="A6" s="118" t="inlineStr">
        <is>
          <t>TARGET PROFILE (the spec)</t>
        </is>
      </c>
    </row>
    <row r="7" ht="58.6" customHeight="1" s="59">
      <c r="A7" s="1" t="inlineStr">
        <is>
          <t>Weekly kill volume — OPEN</t>
        </is>
      </c>
      <c r="B7" s="68" t="inlineStr">
        <is>
          <t>CAPACITY IS NOT A FILTER. No plant is excluded for being too small or too large; every supplier is listed and CLASSIFIED into a volume tier instead:  SMALL 0–300/wk  ·  MEDIUM 350–2,500/wk  ·  MEDIUM-HIGH 2,500–5,000/wk  ·  HIGH over 5,000/wk. Use the tier to decide the operating model and whether aggregation is needed — see 'Legend &amp; Scoring'. (301–349/wk is the Small/Medium boundary; 2,500/wk is the Medium / Medium-High hinge.)</t>
        </is>
      </c>
    </row>
    <row r="8" ht="18.4" customHeight="1" s="59">
      <c r="A8" s="1" t="inlineStr">
        <is>
          <t>Species</t>
        </is>
      </c>
      <c r="B8" s="68" t="inlineStr">
        <is>
          <t>Must slaughter HOGS (swine).  Cattle-only / other-species plants are out of scope.</t>
        </is>
      </c>
    </row>
    <row r="9" ht="31.8" customHeight="1" s="59">
      <c r="A9" s="1" t="inlineStr">
        <is>
          <t>Certification</t>
        </is>
      </c>
      <c r="B9" s="68" t="inlineStr">
        <is>
          <t>USDA-inspected and/or APHIS-certified strongly preferred.  Any plant that is NOT APHIS-certified or NOT USDA-inspected is explicitly FLAGGED in the roster (see the two certification columns).</t>
        </is>
      </c>
    </row>
    <row r="10" ht="31.8" customHeight="1" s="59">
      <c r="A10" s="1" t="inlineStr">
        <is>
          <t>Culture / welfare</t>
        </is>
      </c>
      <c r="B10" s="68" t="inlineStr">
        <is>
          <t>Humane handling of animals AND workers, stable long-tenured workforce, sound family-business culture — a real differentiator (the Nahunta standard). Weighs into fit, not a hard gate.</t>
        </is>
      </c>
    </row>
    <row r="11" ht="31.8" customHeight="1" s="59">
      <c r="A11" s="1" t="inlineStr">
        <is>
          <t>Tissue blocks of interest</t>
        </is>
      </c>
      <c r="B11" s="68" t="inlineStr">
        <is>
          <t>Pelvic, bariatric (abdominal), thoracic — including the ORGANS located in each region. Organ-harvesting capability is valuable; Nahunta already covers most organ needs at its volume.</t>
        </is>
      </c>
    </row>
    <row r="12" ht="19.7" customHeight="1" s="59">
      <c r="A12" s="118" t="inlineStr">
        <is>
          <t>TWO OPERATING MODELS (per supplier)</t>
        </is>
      </c>
    </row>
    <row r="13" ht="31.8" customHeight="1" s="59">
      <c r="A13" s="1" t="inlineStr">
        <is>
          <t>Model A — We harvest on-site</t>
        </is>
      </c>
      <c r="B13" s="68" t="inlineStr">
        <is>
          <t>We send OUR harvesters to the plant and rent space/line access; we collect our own tissue. Needs the plant to grant floor access, cooler space, and scheduling around the kill.</t>
        </is>
      </c>
    </row>
    <row r="14" ht="31.8" customHeight="1" s="59">
      <c r="A14" s="1" t="inlineStr">
        <is>
          <t>Model B — They harvest for us</t>
        </is>
      </c>
      <c r="B14" s="68" t="inlineStr">
        <is>
          <t>The plant does the harvesting to our protocol; we send inspectors/trainers to qualify and audit. Needs the plant to have (or build) trained labor and QA willingness.</t>
        </is>
      </c>
    </row>
    <row r="15" ht="31.8" customHeight="1" s="59">
      <c r="A15" s="1" t="inlineStr">
        <is>
          <t>Third path — Buy direct</t>
        </is>
      </c>
      <c r="B15" s="68" t="inlineStr">
        <is>
          <t>Buy finished porcine tissues/organs from a national research-tissue vendor (no slaughterhouse relationship). See the 'National Direct Suppliers' tab for who sells what, and price-per-tissue where obtainable.</t>
        </is>
      </c>
    </row>
    <row r="16" ht="19.7" customHeight="1" s="59">
      <c r="A16" s="118" t="inlineStr">
        <is>
          <t>HOW TO USE THIS WORKBOOK</t>
        </is>
      </c>
    </row>
    <row r="17" ht="31.8" customHeight="1" s="59">
      <c r="A17" s="1" t="inlineStr">
        <is>
          <t>1</t>
        </is>
      </c>
      <c r="B17" s="68" t="inlineStr">
        <is>
          <t>'Supplier Roster' is the master list — slaughterhouses grouped by region (NC primary; SC/TN/VA; Iowa/Midwest). Sort/filter to shortlist.</t>
        </is>
      </c>
    </row>
    <row r="18" ht="31.8" customHeight="1" s="59">
      <c r="A18" s="1" t="inlineStr">
        <is>
          <t>2</t>
        </is>
      </c>
      <c r="B18" s="68" t="inlineStr">
        <is>
          <t>'National Direct Suppliers' lists vendors selling tissue directly, with price-per-tissue where a real figure was obtainable.</t>
        </is>
      </c>
    </row>
    <row r="19" ht="18.4" customHeight="1" s="59">
      <c r="A19" s="1" t="inlineStr">
        <is>
          <t>3</t>
        </is>
      </c>
      <c r="B19" s="68" t="inlineStr">
        <is>
          <t>'Models &amp; Make-vs-Buy' frames the A / B / buy-direct decision and cost drivers.</t>
        </is>
      </c>
    </row>
    <row r="20" ht="31.8" customHeight="1" s="59">
      <c r="A20" s="1" t="inlineStr">
        <is>
          <t>4</t>
        </is>
      </c>
      <c r="B20" s="68" t="inlineStr">
        <is>
          <t>'Call Question Sheet' is the outreach script — mirror of the CJB agenda — to qualify each plant on volume, access, certs, welfare, and price.</t>
        </is>
      </c>
    </row>
    <row r="21" ht="18.4" customHeight="1" s="59">
      <c r="A21" s="1" t="inlineStr">
        <is>
          <t>5</t>
        </is>
      </c>
      <c r="B21" s="68" t="inlineStr">
        <is>
          <t>'Sources &amp; Confidence' lists every source URL and a confidence rating. Read it before acting on any single number.</t>
        </is>
      </c>
    </row>
    <row r="22" ht="19.7" customHeight="1" s="59">
      <c r="A22" s="118" t="inlineStr">
        <is>
          <t>DATA-QUALITY CAVEAT</t>
        </is>
      </c>
    </row>
    <row r="23" ht="49.2" customHeight="1" s="59">
      <c r="A23" s="118" t="inlineStr">
        <is>
          <t>Weekly hog volumes and certification status for private/custom plants are frequently NOT published. Figures marked 'est.' or 'unknown' MUST be confirmed by phone before commitments. Nothing here substitutes for a call. No number in this workbook was invented — unverifiable fields are left 'unknown' on purpose.</t>
        </is>
      </c>
    </row>
    <row r="24" ht="15" customHeight="1" s="59"/>
    <row r="25" ht="19.7" customHeight="1" s="59">
      <c r="A25" s="118" t="inlineStr">
        <is>
          <t>KEY FINDINGS (research summary)</t>
        </is>
      </c>
    </row>
    <row r="26" ht="58.6" customHeight="1" s="59">
      <c r="A26" s="86" t="inlineStr">
        <is>
          <t>★ MODEL A PROXIMITY — 120-MILE RADIUS PREFERRED (all slaughterhouses). Model A means our crew travels to the plant, so drive time is a recurring operating cost, not a one-off. A plant inside ~120 miles can be served on a same-day round trip and can share a crew with other plants in the radius; beyond that, Model A gets expensive and Model B (they harvest to our spec) becomes the sensible default.  ASSUMPTION TO CONFIRM: the radius is measured from our Eastern-NC operating base / ATM — tell us the exact anchor point and the roster column can be recomputed as real mileages.</t>
        </is>
      </c>
    </row>
    <row r="27" ht="31.8" customHeight="1" s="59">
      <c r="A27" s="94" t="inlineStr">
        <is>
          <t>★ STATE INSPECTION — ONLY NORTH CAROLINA COUNTS. APHIS accepts NC state inspection as equivalent to federal. State-inspected plants in OTHER states are NOT accepted and would need USDA/FSIS inspection to serve as a Path 1 harvest site.</t>
        </is>
      </c>
    </row>
    <row r="28" ht="45.2" customHeight="1" s="59">
      <c r="A28" s="86" t="inlineStr">
        <is>
          <t>★ APHIS RULE CORRECTED IN THE MEETING (2026-08) — APHIS is required of a DIRECT TISSUE SUPPLIER, not of a slaughterhouse we harvest at. A plant we harvest at needs only USDA/FSIS inspection; we assemble the model at ATM and that carries the export. CONSEQUENCE: Nahunta IS exportable — the earlier 'domestic-only' conclusion is withdrawn. Every DIRECT tissue supplier (pelvic / bariatric / thoracic / aortas) must be able to hold APHIS.</t>
        </is>
      </c>
    </row>
    <row r="29" ht="31.8" customHeight="1" s="59">
      <c r="A29" s="86" t="inlineStr">
        <is>
          <t>★ NAHUNTA IS EXPORTABLE (2026-08, client-confirmed). APHIS accepts NC STATE INSPECTION as equivalent to federal and permits Nahunta product to form part of the export once we assemble the models at ATM. Any earlier statement in this workbook that Nahunta is 'permanently domestic-only' is WITHDRAWN.</t>
        </is>
      </c>
    </row>
    <row r="30" ht="165.8" customHeight="1" s="59">
      <c r="A30" s="68" t="inlineStr">
        <is>
          <t>★ FOCUS-REGION PASS (2026-08-17, client-directed) — CURRENT BASE RE-VERIFIED + WEST / NORTH-OF-RALEIGH / EAST SWEPT. Ground truth recorded: we currently work with Nahunta and Martin's and CQP (our harvesters on site), Parks (small, BBQ pigs, a bit expensive) and Villari (LEAF FAT ONLY — no organs). Headlines: (1) all three cat-3 market-hog floors in NC/SC/VA are ALREADY ours (Martin's, Parks, CQP) — there is no second Martin's; dependence is reduced by contract, not discovery. (2) VILLARI — CORRECTED 2026-09-03: the tissue gate is HARD (client-stated); no organ planning through Villari; keep leaf fat flowing and revisit only if they reopen it (background: wastewater project to ~2027; $800K NCAMPI award 7/7/2026). (3) Larry's Sausage promoted to the #6 call: the east's only established sow-class organ lane. (4) NEW FINDS: McLamb's Abattoir (Benson P-247, 37 mi) and Gale McLamb (Dunn P-221, 44 mi) — unworked state-inspected floors closer than any current supplier except Nahunta. (5) North of Raleigh is a confirmed desert (3 kill floors in 13 counties — and they're our Sims cluster); the west has NO volume play but holds Piedmont (AWA/Temple Grandin, all four hog classes, actually INSIDE the radius at 116 mi) and three Nahunta-structure state plants. (6) CQP carries a 2018-2020 humane-handling history (PETA attention) the file lacked — audit before scaling. (7) Kansas City Sausage/Godwin is RESOLVED DEAD; 8 nearby closures in 20 months say: lock in survivors. See the 'NC Comparison 2026-08-17' tab. ★ ALSO CORRECTED 2026-09-03: PARKS harvests with THEIR OWN people under OUR training (Model B-T) — the base already runs both operating models, and candidate ratings now score A-fit (host our techs) and B-fit (their crew, our training) separately — see Supplier_Outreach_Plan.xlsx.</t>
        </is>
      </c>
      <c r="B30" s="65" t="n"/>
    </row>
    <row r="31" ht="139" customHeight="1" s="59">
      <c r="A31" s="68" t="inlineStr">
        <is>
          <t>★ FULL RE-VERIFICATION PASS (2026-08-06) — EVERY ROSTER ROW WAS CHECKED AGAINST USDA'S OWN FILES. Each supplier was matched to the FSIS Establishment Demographic Data and the MPI Directory by Establishment Number, with the match validated on city and state so name collisions could not slip through. 43 rows changed. The pattern in the errors is worth knowing, because it will recur on the calls: WEEKLY VOLUMES WERE SYSTEMATICALLY OVERSTATED. Figures inferred from head-per-day quotes, distribution footprint or trade press ran an order of magnitude above USDA's own volume category in several cases — Larry's Sausage (claimed 200-800/wk, capped at ~192), Acre Station (claimed ~400/wk, capped at ~192), Midwest Research Swine (claimed ~385/wk, capped at ~192), Bass Farms (described as a pure kill floor, actually under ~19/wk and a sausage processor). FIVE 'USDA-inspected' LABELS HAD NOTHING BEHIND THEM: Caughman's, Sessoms, Assured Community Processing (M2123) and Country Slaughter (M32012) have no matching FSIS record at all, and Triad Meat Custom Processing's location holds a halal plant with no swine flags. TWO ROWS WERE THE SAME PLANT listed twice (George Flowers / Flowers Slaughter House, both M21747). AND ONE PLANT WAS UNDERSOLD: Parks Family Meats is recorded by FSIS as slaughter-ONLY — a pure kill floor with market hogs and roasters flagged and category-3 volume, 45 road miles out. It is now the #2 contact. TREAT ANY WEEKLY VOLUME IN THIS WORKBOOK AS A CEILING TO BE CONFIRMED ON THE PHONE, NOT AS A FIGURE.</t>
        </is>
      </c>
      <c r="B31" s="65" t="n"/>
    </row>
    <row r="32" ht="58.6" customHeight="1" s="59">
      <c r="A32" s="68" t="inlineStr">
        <is>
          <t>•  RE-INVESTIGATION (capacity open, 4 tiers): roster expanded 44 → 91 facilities. An agent DEFEATED the FSIS Akamai block with full browser headers and pulled the PRIMARY datasets — MPI Directory (7,225 active establishments), Establishment Demographic Data (with explicit sow_slaughter / market_swine_slaughter / boar_stag flags = USDA's OWN answer on animal class), the Inactive Directory, and ten Quarterly Enforcement Reports. Most figures below are now source-of-truth rather than snippets.</t>
        </is>
      </c>
      <c r="B32" s="65" t="n"/>
    </row>
    <row r="33" ht="45.2" customHeight="1" s="59">
      <c r="A33" s="68" t="inlineStr">
        <is>
          <t>•  THE BAND IS ENUMERABLE: FSIS slaughter_volume_category 4 = 100,000-10,000,000 head/yr. Your 2,500-5,000/wk band (~125k-250k/yr) sits at the BOTTOM of category 4, and only 49 category-4 SWINE establishments exist nationally — all enumerated. A category-3 plant tops out around 2,000/wk and mathematically CANNOT be in the band. This makes Medium-High an exhaustive search, not an anecdotal one.</t>
        </is>
      </c>
      <c r="B33" s="65" t="n"/>
    </row>
    <row r="34" ht="58.6" customHeight="1" s="59">
      <c r="A34" s="68" t="inlineStr">
        <is>
          <t>•  ★ NEW TOP PICK — PIONEER PACKING (M372, Bowling Green OH): the cleanest SOW+BOAR-only signature in USDA's data (market_swine flag BLANK), ~2,250-2,430/wk, AND — decisively — their own site says they specialise in PRE-RIGOR pork including whole-hog pre-rigor. Pre-rigor/hot-boning means product off the floor within ~1-1¾ hours post-mortem. A plant already engineered around sub-2-hour warm-carcass throughput is structurally the closest thing to a tissue-harvest operation in the entire study — the speed and cold-chain discipline we need already exists commercially there.</t>
        </is>
      </c>
      <c r="B34" s="65" t="n"/>
    </row>
    <row r="35" ht="45.2" customHeight="1" s="59">
      <c r="A35" s="68" t="inlineStr">
        <is>
          <t>•  ★ BEST SLEEPER — PEORIA PACKING (M21651, Grant Park IL): nobody had surfaced it. Their own site states capital improvements 'support our ability to supply high-grade products to the MEDICAL AND PHARMACEUTICAL INDUSTRIES' and that they are 'flexible enough to meet our customers' unique specifications'. ~3,000/wk market hogs, no enforcement record, sister plant export-certified.</t>
        </is>
      </c>
      <c r="B35" s="65" t="n"/>
    </row>
    <row r="36" ht="58.6" customHeight="1" s="59">
      <c r="A36" s="68" t="inlineStr">
        <is>
          <t>•  ⚠ THE INCUMBENT IN OUR SPACE: Perry Way Foods (Watertown WI) and Banner Creek (Holton KS) are both DBAs of SUSTAINABLE SWINE RESOURCES — self-described 'largest U.S. supplier of sow tissue', running ISO 22442-2, SQF-certified, GMP medical-material rooms and a Customization Center ADJACENT TO THE HARVEST FLOOR. SSR is a DIRECT COMPETITOR and controls two of the six in-band plants. Model A access may be refused on channel conflict — engage as partner-supplier or read them as competitive intelligence.</t>
        </is>
      </c>
      <c r="B36" s="65" t="n"/>
    </row>
    <row r="37" ht="72" customHeight="1" s="59">
      <c r="A37" s="68" t="inlineStr">
        <is>
          <t>•  PENNSYLVANIA GAP CLOSED: all 73 PA federally-inspected swine-slaughter establishments enumerated. Animal Biotech Industries' lab (Harleysville) sits ~5 MILES from BOTH Clemens Food Group (Hatfield) and Leidy's (Souderton) — the two largest eastern-PA hog kills and the only two PA swine plants holding export certification; LAMPIRE (Pipersville) is ~12 mi from the same cluster. LABELLED INFERENCE, not fact — neither names its abattoirs. But asking those plants whether ABI or Lampire technicians already harvest there is the single most valuable question in the outreach list: a yes means a PROVEN Model A precedent.</t>
        </is>
      </c>
      <c r="B37" s="65" t="n"/>
    </row>
    <row r="38" ht="125.6" customHeight="1" s="59">
      <c r="A38" s="68" t="inlineStr">
        <is>
          <t>•  CORRECTIONS THAT KILL PRIOR FINDINGS: (1) GUNNOE SAUSAGE IS CLOSED — shut Nov 2022 after 57 years, brand sold to Logan's Sausage, real estate auctioned SOLD Nov 2024, absent from both active and inactive FSIS directories; a national name search of the MPI directory returns nothing for 'Gunnoe' and nothing is listed at Goode VA. The deep study called it 'Virginia's only genuinely in-band plant' — REFUTED, and it has been removed from the contact order. EcoFriendly Foods (M21938) replaces it as the Virginia entry. (2) KANSAS CITY SAUSAGE / COASTAL PROTEIN (Godwin NC) — THIS ONE WAS ITSELF OVERTURNED and is back in the pipeline. The plant was purpose-built as a sow HARVEST plant, described at announcement as harvesting 700-1,000 sows/day, and is still operating as of 2024; the claim that it merely consumes sows is not established. What remains genuinely unknown is its establishment number — no active FSIS establishment is listed in Godwin NC, zip 28344, or on Martin Road — so that is the first question on the call. (3) Masami exited slaughter; Dayton Meat has no federal grant; Fisher Ham Navasota does not exist (the establishment at Navasota TX is K&amp;C Meat Processing, M13324; the Spring TX operation is custom-exempt/state).</t>
        </is>
      </c>
      <c r="B38" s="65" t="n"/>
    </row>
    <row r="39" ht="58.6" customHeight="1" s="59">
      <c r="A39" s="68" t="inlineStr">
        <is>
          <t>•  MOST NAMED LEADS WERE BELOW BAND, not in it: F.B. Purnell, Pioneer, both Bob Evans plants and Carlton are FSIS category 3; Dean Sausage is category 2 (~20-200/wk, two orders of magnitude below its reputed 300 sows/day). The sow tier is also CONSOLIDATING FAST — Johnsonville's Momence IL plant (1,650 hd/day) CLOSED June 2025. Category-4 sow capacity now sits in roughly eleven establishments nationally, so Tier-1 relationships should be secured sooner rather than later.</t>
        </is>
      </c>
      <c r="B39" s="65" t="n"/>
    </row>
    <row r="40" ht="58.6" customHeight="1" s="59">
      <c r="A40" s="68" t="inlineStr">
        <is>
          <t>•  WELFARE FINDINGS THAT MATTER TO A WELFARE-LED BUYER: Calihan (Peoria IL) has TWO inhumane-handling suspensions in two years, including a failed captive-bolt stun on a conscious, vocalising boar — FSIS wrote its 'robust' humane programme 'failed to effectively implement'. Clausen (Turlock CA) was suspended ~5 months. Bob Evans Xenia has a 2018 EGREGIOUS NOIE (moribund sow, conscious after the first stun, three attempts). Masami was cited for a worker slitting a CONSCIOUS pig's throat. Dean Sausage has 7 REPEAT OSHA violations incl. blocked exits — which makes Model A a live worker-safety exposure there.</t>
        </is>
      </c>
      <c r="B40" s="65" t="n"/>
    </row>
    <row r="41" ht="45.2" customHeight="1" s="59">
      <c r="A41" s="68" t="inlineStr">
        <is>
          <t>•  DUAL-CLASS AND VOLUNTARY-GRANT PLANTS ARE THE HIDDEN VALUE: F.B. Purnell is flagged for BOTH sow and market slaughter, so animal class can be specced PER BLOCK. And several plants hold a VOLUNTARY (V) grant — Carlton, Swaggerty, Springfield Meat, Lehigh Valley, Smucker's — which is the mechanism USDA uses for NON-AMENABLE / NON-FOOD-USE product, i.e. the regulatory scaffolding for biomedical harvest is already in place at those establishments.</t>
        </is>
      </c>
      <c r="B41" s="65" t="n"/>
    </row>
    <row r="42" ht="85.40000000000001" customHeight="1" s="59">
      <c r="A42" s="68" t="inlineStr">
        <is>
          <t>•  BEST OVERALL FIT — REVISED. Midwest Research Swine (Glencoe MN) is a porcine-ONLY abattoir already harvesting whole organs and tissue for biomedical/xeno research, closed herd — structurally it is your exact operation. But two claims about it have been corrected. VOLUME: FSIS records the establishment (M40110, Collagen Solutions (US) LLC DBA Evergen) at slaughter_volume_category 2 = 1,000-9,999 head per 360 days, a ceiling of ~192/wk. The '~385 hogs/week' figure is not supported. LICENCE: the 'holds USDA APHIS licenses' claim conflates two different things — an APHIS Animal Welfare Act licence is not an APHIS Veterinary Services export listing, and only the latter matters for EU-bound product. Its real value to you is as a comparator and a make-vs-buy price check, not as a volume lane. The volume lane is in eastern North Carolina.</t>
        </is>
      </c>
      <c r="B42" s="65" t="n"/>
    </row>
    <row r="43" ht="45.2" customHeight="1" s="59">
      <c r="A43" s="68" t="inlineStr">
        <is>
          <t>•  LARGE-BUT-ACCEPTABLE via the organ exception — Smithfield BioScience (Denison, IA + Monmouth IL / Milan MO): ~10,000 hogs/day, but runs a full in-house porcine harvest program spanning all three of your target regions (pelvic, abdominal, thoracic) to customer spec. Natural Model B partner; the one giant packer that qualifies.</t>
        </is>
      </c>
      <c r="B43" s="65" t="n"/>
    </row>
    <row r="44" ht="98.8" customHeight="1" s="59">
      <c r="A44" s="68" t="inlineStr">
        <is>
          <t>•  NORTH CAROLINA best new fits — REVISED ON PRIMARY DATA. The two plants named here do not carry the volume the earlier pass assumed. PIEDMONT CUSTOM MEATS: the two sites are not interchangeable — FSIS records slaughter only at GIBSONVILLE (M7975, all four swine classes flagged, slaughter-only), while the Asheboro establishment M7975A is processing-only with no swine flags; and the Gibsonville ceiling is category 2, ~192/wk. ACRE STATION: category 2 as well, so ~192/wk, not the ~400/wk (80 hd/day) previously carried — though the contested 'custom exempt' worry is REFUTED, the federal grant M19904 + P19904 is active and market hogs and sows are both flagged. Neither is 'squarely in-band'. THE ACTUAL NC FINDS ARE PARKS FAMILY MEATS (M18296A, Warsaw — slaughter-only kill floor, market + roaster, category 3, 45 mi) and CUSTOM QUALITY PACKERS (M20129, Sims — market + roaster, category 3, ~500/wk, 45 mi), which with Flowers Slaughter House (M21747) in the same town makes a Wilson County cluster one crew can serve.</t>
        </is>
      </c>
      <c r="B44" s="65" t="n"/>
    </row>
    <row r="45" ht="45.2" customHeight="1" s="59">
      <c r="A45" s="68" t="inlineStr">
        <is>
          <t>•  BENCHMARK NOTES: (1) Your 'Martin's' incumbent is Martin's Pork Products, Falcon NC — an ACTIVE USDA Talmadge-Aiken slaughter+processing plant (Est. TA-6720, ~75 staff), NOT the unrelated Martin's Abattoir in Godwin (a cattle plant that closed 2013). It's federally FSIS-inspected; the APHIS export listing is separate and still to verify. (2) Nahunta is NC STATE-inspected, not USDA-FSIS — which ties directly to your APHIS/EU-export point below.</t>
        </is>
      </c>
      <c r="B45" s="65" t="n"/>
    </row>
    <row r="46" ht="98.8" customHeight="1" s="59">
      <c r="A46" s="68" t="inlineStr">
        <is>
          <t>•  VIRGINIA welfare bench — REVISED, AND THE TOP TWO PICKS ARE GONE. T&amp;E MEATS (Harrisonburg) is now confirmed as Est. M7420 + V7420, listed by FSIS as 'Honest Meats, LLC' — the same establishment number on the 2024 humane-handling Notice of Suspension documents on file. It is EXCLUDED, not recommended: a hog regained consciousness on the bleed rail, a repeat egregious event after corrections had been accepted. DO NOT REACH. BLUE RIDGE MEATS (Middletown, M6526) is real and humane but category 1 — under ~19 head/wk. ECOFRIENDLY FOODS is the reverse of what this line used to say: the 'ceased operations ~2020' report is refuted by an active federal grant M21938 + P21938, and it is category 3 (192-1,917/wk) with ALL FOUR swine classes flagged. It is now the strongest Virginia candidate and the state's entry in the contact order. Fauquier's Finest still has REPEAT humane-handling suspensions (2018/2021/2024) and stays at CAUTION.</t>
        </is>
      </c>
      <c r="B46" s="65" t="n"/>
    </row>
    <row r="47" ht="72" customHeight="1" s="59">
      <c r="A47" s="68" t="inlineStr">
        <is>
          <t>•  USDA/FSIS ENFORCEMENT (new roster column): several plants carry documented FSIS humane-handling actions — flagged with ⚠ and re-scored to CAUTION: Fauquier's Finest (VA, repeat), Thomas Brothers (NC, repeat), Wayne Mays (NC), M.L. Mitchell (NC), Triad Meat (NC), plus a single 2023 action at Fayette Packing (TN). Among large packers, Smithfield-Denison, Sioux-Preme/Perdue, Prestage and Wholestone all have humane-handling records. Given your 'Nahunta test', weigh these heavily. IMPORTANT: 'none found' for the small plants means no PUBLIC record — not a clean bill (FSIS data was only reachable via search snippets).</t>
        </is>
      </c>
      <c r="B47" s="65" t="n"/>
    </row>
    <row r="48" ht="58.6" customHeight="1" s="59">
      <c r="A48" s="68" t="inlineStr">
        <is>
          <t>•  BUY-DIRECT × EU EXPORT: buying finished tissue can HELP or HURT EU-export eligibility depending on the vendor. Your cheapest published-price vendor, Innovative Research, labels tissue 'research use only, not for human or animal use' — a LIKELY BLOCKER for EU device-bound product. EU-cleanest vendors (ISO 13485/22442, human-food-chain traceability): Tissue Source, Smithfield BioScience, Midwest Research Swine, SSR. See the 'EU-export fit' column on the National Direct Suppliers tab.</t>
        </is>
      </c>
      <c r="B48" s="65" t="n"/>
    </row>
    <row r="49" ht="45.2" customHeight="1" s="59">
      <c r="A49" s="68" t="inlineStr">
        <is>
          <t>•  HOW TO CHECK APHIS/EXPORT YOURSELF: no facility could be confirmed EU/APHIS-listed for research tissue; six large plants are FSIS export-certified for EDIBLE meat only (not the same thing). The 'APHIS &amp; EU Export' tab now lists the exact websites — FSIS 'Eligible Establishments by Country', the APHIS Export-to-EU page (research tissue goes through APHIS VS), and EU TRACES-NT.</t>
        </is>
      </c>
      <c r="B49" s="65" t="n"/>
    </row>
    <row r="50" ht="58.6" customHeight="1" s="59">
      <c r="A50" s="68" t="inlineStr">
        <is>
          <t>•  CAPACITY IS NOW OPEN — no plant is excluded on size. Every supplier is classified into a VOLUME TIER instead: SMALL 0-300/wk, MEDIUM 350-2,500/wk, HIGH over 2,500/wk. Current spread across the 44 roster entries: 13 SMALL, 4 MEDIUM, 8 HIGH, 18 still to confirm on the call. This brings back plants previously dropped on throughput (Piedmont, Acre Station, Cherry Meat, EcoFriendly, the small custom shops) and un-excludes the large packers — the constraint at HIGH tier is ACCESS, not volume.</t>
        </is>
      </c>
      <c r="B50" s="65" t="n"/>
    </row>
    <row r="51" ht="45.2" customHeight="1" s="59">
      <c r="A51" s="68" t="inlineStr">
        <is>
          <t>•  SC/TN/VA reality: there are essentially NO mid-industrial hog plants in these states — the pool is small custom/USDA shops (mostly SMALL tier, e.g. Cherry Meat TN ~18/wk). With capacity open these are legitimate high-touch Model A/B partners and AGGREGATION candidates; they simply cannot carry volume individually.</t>
        </is>
      </c>
      <c r="B51" s="65" t="n"/>
    </row>
    <row r="52" ht="72" customHeight="1" s="59">
      <c r="A52" s="68" t="inlineStr">
        <is>
          <t>•  APHIS / EU EXPORT (now investigated — see dedicated tab): the EU does NOT require suppliers to hand you a standalone 'APHIS certificate.' It requires the ORIGIN plant to be APHIS-approved and listed on the EU TRACES establishment list for the right animal-by-product category (typically Category 3 under Reg (EU) 142/2011), PLUS an APHIS Veterinary Services-endorsed health certificate that YOUR company carries as the exporter. A state-inspected plant (like Nahunta) CAN still qualify — APHIS listing, not an FSIS grant, is the key. No candidate plant's APHIS listing could be verified, so it is the top diligence item for every shortlist plant.</t>
        </is>
      </c>
      <c r="B52" s="65" t="n"/>
    </row>
    <row r="53" ht="45.2" customHeight="1" s="59">
      <c r="A53" s="68" t="inlineStr">
        <is>
          <t>•  NATIONAL DIRECT VENDORS are almost all QUOTE-ONLY. The only published price anchors: Innovative Research ~$141 per single porcine organ and $582 for a full pelvic block (list, base config); Pel-Freez porcine thyroid $361. Tissue Source and ABI stand out on regulatory pedigree (ISO 13485 / USDA-inspected sourcing) if you need EU-grade traceability.</t>
        </is>
      </c>
      <c r="B53" s="65" t="n"/>
    </row>
    <row r="54" ht="31.8" customHeight="1" s="59">
      <c r="A54" s="68" t="inlineStr">
        <is>
          <t>•  MAKE-VS-BUY: self-harvest is generally cheaper per tissue when you pull multiple blocks from one hog and already have labor + cold-chain + abattoir access; buying direct wins for low/irregular volume, or when you need certified traceability you can't yet document in-house (again, the EU-export angle).</t>
        </is>
      </c>
      <c r="B54" s="65" t="n"/>
    </row>
    <row r="55" ht="31.8" customHeight="1" s="59">
      <c r="A55" s="68" t="inlineStr">
        <is>
          <t>•  ALWAYS VERIFY BY PHONE: nearly every weekly-volume and certification figure for small/custom plants is unpublished. Use the 'Call Question Sheet' tab; the authoritative confirmation source is the USDA FSIS MPI Directory + Establishment Demographic Data (species slaughtered + size class per plant).</t>
        </is>
      </c>
      <c r="B55" s="65" t="n"/>
    </row>
  </sheetData>
  <mergeCells count="40">
    <mergeCell ref="A48:B48"/>
    <mergeCell ref="A30:B30"/>
    <mergeCell ref="A51:B51"/>
    <mergeCell ref="A49:B49"/>
    <mergeCell ref="A45:B45"/>
    <mergeCell ref="A36:B36"/>
    <mergeCell ref="A1:B1"/>
    <mergeCell ref="A6:B6"/>
    <mergeCell ref="A54:B54"/>
    <mergeCell ref="A16:B16"/>
    <mergeCell ref="A25:B25"/>
    <mergeCell ref="A41:B41"/>
    <mergeCell ref="A37:B37"/>
    <mergeCell ref="A46:B46"/>
    <mergeCell ref="A27:B27"/>
    <mergeCell ref="A55:B55"/>
    <mergeCell ref="A12:B12"/>
    <mergeCell ref="A50:B50"/>
    <mergeCell ref="A26:B26"/>
    <mergeCell ref="A2:B2"/>
    <mergeCell ref="A33:B33"/>
    <mergeCell ref="A47:B47"/>
    <mergeCell ref="A5:B5"/>
    <mergeCell ref="A42:B42"/>
    <mergeCell ref="A32:B32"/>
    <mergeCell ref="A23:B23"/>
    <mergeCell ref="A53:B53"/>
    <mergeCell ref="A22:B22"/>
    <mergeCell ref="A35:B35"/>
    <mergeCell ref="A4:B4"/>
    <mergeCell ref="A38:B38"/>
    <mergeCell ref="A29:B29"/>
    <mergeCell ref="A52:B52"/>
    <mergeCell ref="A43:B43"/>
    <mergeCell ref="A28:B28"/>
    <mergeCell ref="A44:B44"/>
    <mergeCell ref="A40:B40"/>
    <mergeCell ref="A31:B31"/>
    <mergeCell ref="A39:B39"/>
    <mergeCell ref="A34:B34"/>
  </mergeCells>
  <pageMargins left="0.35" right="0.35" top="0.45" bottom="0.45" header="0.5" footer="0.5"/>
  <pageSetup orientation="landscape" fitToHeight="0" fitToWidth="1"/>
  <headerFooter>
    <oddHeader/>
    <oddFooter>&amp;L&amp;8 Overview &amp; Method&amp;R&amp;8 Page &amp;P of &amp;N</oddFooter>
    <evenHeader/>
    <evenFooter/>
    <firstHeader/>
    <firstFooter/>
  </headerFooter>
</worksheet>
</file>

<file path=xl/worksheets/sheet2.xml><?xml version="1.0" encoding="utf-8"?>
<worksheet xmlns="http://schemas.openxmlformats.org/spreadsheetml/2006/main">
  <sheetPr>
    <tabColor rgb="002E5496"/>
    <outlinePr summaryBelow="1" summaryRight="1"/>
    <pageSetUpPr fitToPage="1"/>
  </sheetPr>
  <dimension ref="A1:B34"/>
  <sheetViews>
    <sheetView showGridLines="0" workbookViewId="0">
      <selection activeCell="A1" sqref="A1"/>
    </sheetView>
  </sheetViews>
  <sheetFormatPr baseColWidth="8" defaultRowHeight="15"/>
  <cols>
    <col width="34" customWidth="1" style="59" min="1" max="1"/>
    <col width="104" customWidth="1" style="59" min="2" max="2"/>
  </cols>
  <sheetData>
    <row r="1" ht="25.1" customHeight="1" s="59">
      <c r="A1" s="98" t="inlineStr">
        <is>
          <t>Meeting Notes — Supplier Strategy Session, August 2026</t>
        </is>
      </c>
    </row>
    <row r="2" ht="18.4" customHeight="1" s="59">
      <c r="A2" s="99" t="inlineStr">
        <is>
          <t>Captured verbatim from Oscar's annotations on the strategy deck. These are decisions and standing instructions, not proposals.</t>
        </is>
      </c>
    </row>
    <row r="3" ht="15" customHeight="1" s="59"/>
    <row r="4" ht="19.7" customHeight="1" s="59">
      <c r="A4" s="100" t="inlineStr">
        <is>
          <t>DECISIONS</t>
        </is>
      </c>
    </row>
    <row r="5" ht="45.2" customHeight="1" s="59">
      <c r="A5" s="101" t="inlineStr">
        <is>
          <t>APHIS — the corrected rule</t>
        </is>
      </c>
      <c r="B5" s="102" t="inlineStr">
        <is>
          <t>APHIS is required when a DIRECT TISSUE SUPPLIER provides the tissue block (pelvic, bariatric, thoracic, aortas, etc). When WE harvest at a slaughterhouse, the plant needs only to be USDA-inspected / FSIS-certified — APHIS is not required of it. ALL direct tissue suppliers should be able to hold APHIS.</t>
        </is>
      </c>
    </row>
    <row r="6" ht="31.8" customHeight="1" s="59">
      <c r="A6" s="101" t="inlineStr">
        <is>
          <t>Nahunta — correction</t>
        </is>
      </c>
      <c r="B6" s="102" t="inlineStr">
        <is>
          <t>Nahunta products CAN be international. We can export what we harvest there because we put it together into a model at ATM. Supersedes the earlier 'permanently domestic-only' position.</t>
        </is>
      </c>
    </row>
    <row r="7" ht="18.4" customHeight="1" s="59">
      <c r="A7" s="103" t="inlineStr">
        <is>
          <t>Certification wording</t>
        </is>
      </c>
      <c r="B7" s="104" t="inlineStr">
        <is>
          <t>'USDA or FSIS inspected' — it does NOT need to be APHIS certified (slide 3).</t>
        </is>
      </c>
    </row>
    <row r="8" ht="18.4" customHeight="1" s="59">
      <c r="A8" s="103" t="inlineStr">
        <is>
          <t>Humane culture</t>
        </is>
      </c>
      <c r="B8" s="104" t="inlineStr">
        <is>
          <t>No flagging — bring to discussion instead (slide 3).</t>
        </is>
      </c>
    </row>
    <row r="9" ht="31.8" customHeight="1" s="59">
      <c r="A9" s="103" t="inlineStr">
        <is>
          <t>Requirement gates — history</t>
        </is>
      </c>
      <c r="B9" s="104" t="inlineStr">
        <is>
          <t>This has always been dependent on the supplier. Before, LOCATION and VOLUME were the two first requirement gates (slide 5).</t>
        </is>
      </c>
    </row>
    <row r="10" ht="18.4" customHeight="1" s="59">
      <c r="A10" s="103" t="inlineStr">
        <is>
          <t>Regions</t>
        </is>
      </c>
      <c r="B10" s="104" t="inlineStr">
        <is>
          <t>Geographical weight to be applied (slide 4).</t>
        </is>
      </c>
    </row>
    <row r="11" ht="18.4" customHeight="1" s="59">
      <c r="A11" s="105" t="inlineStr">
        <is>
          <t>Current need</t>
        </is>
      </c>
      <c r="B11" s="106" t="inlineStr">
        <is>
          <t>PELVICS.</t>
        </is>
      </c>
    </row>
    <row r="12" ht="15" customHeight="1" s="59"/>
    <row r="13" ht="19.7" customHeight="1" s="59">
      <c r="A13" s="100" t="inlineStr">
        <is>
          <t>OUTREACH APPROACH — agreed</t>
        </is>
      </c>
    </row>
    <row r="14" ht="18.4" customHeight="1" s="59">
      <c r="A14" s="105" t="inlineStr">
        <is>
          <t>Do not lead with paperwork</t>
        </is>
      </c>
      <c r="B14" s="106" t="inlineStr">
        <is>
          <t>It will NOT be effective to send them information. Establish WILLINGNESS first, and go IN PERSON.</t>
        </is>
      </c>
    </row>
    <row r="15" ht="18.4" customHeight="1" s="59">
      <c r="A15" s="103" t="inlineStr">
        <is>
          <t>Team for visits</t>
        </is>
      </c>
      <c r="B15" s="104" t="inlineStr">
        <is>
          <t>SE, MCc, Ops manager. Use the Kindheart story.</t>
        </is>
      </c>
    </row>
    <row r="16" ht="15" customHeight="1" s="59"/>
    <row r="17" ht="19.7" customHeight="1" s="59">
      <c r="A17" s="100" t="inlineStr">
        <is>
          <t>PROCESS — lead to onboarded (as agreed in the room)</t>
        </is>
      </c>
    </row>
    <row r="18" ht="31.8" customHeight="1" s="59">
      <c r="A18" s="103" t="inlineStr">
        <is>
          <t>1 · Screening / criteria gate</t>
        </is>
      </c>
      <c r="B18" s="104" t="inlineStr">
        <is>
          <t>Phone call. Two questions decide it: how many pigs a week, and would you be able to harvest — or have us harvest — organs?</t>
        </is>
      </c>
    </row>
    <row r="19" ht="31.8" customHeight="1" s="59">
      <c r="A19" s="103" t="inlineStr">
        <is>
          <t>2 · In-person visit</t>
        </is>
      </c>
      <c r="B19" s="104" t="inlineStr">
        <is>
          <t>Go on site. Lead with the Intuitive story. A more thorough conversation about feasibility of operations than a call allows.</t>
        </is>
      </c>
    </row>
    <row r="20" ht="31.8" customHeight="1" s="59">
      <c r="A20" s="103" t="inlineStr">
        <is>
          <t>3 · Walk the areas</t>
        </is>
      </c>
      <c r="B20" s="104" t="inlineStr">
        <is>
          <t>Determine: their LABOR CAPACITY to harvest organs; SPACE for us to bring our own labor in; and what EQUIPMENT is needed to adapt the operation.</t>
        </is>
      </c>
    </row>
    <row r="21" ht="18.4" customHeight="1" s="59">
      <c r="A21" s="103" t="inlineStr">
        <is>
          <t>4 · NDA</t>
        </is>
      </c>
      <c r="B21" s="104" t="inlineStr"/>
    </row>
    <row r="22" ht="18.4" customHeight="1" s="59">
      <c r="A22" s="103" t="inlineStr">
        <is>
          <t>5 · Onboarding</t>
        </is>
      </c>
      <c r="B22" s="104" t="inlineStr">
        <is>
          <t>Put together the contract — they meet the requirements that we need to fulfil. Set them up in COUPA.</t>
        </is>
      </c>
    </row>
    <row r="23" ht="31.8" customHeight="1" s="59">
      <c r="A23" s="103" t="inlineStr">
        <is>
          <t>6 · Traceability</t>
        </is>
      </c>
      <c r="B23" s="104" t="inlineStr">
        <is>
          <t>Ante-mortem inspections — some records. Pen carts being signed in. Veterinary inspection. USDA stamps. SIS number on the stamps.</t>
        </is>
      </c>
    </row>
    <row r="24" ht="15" customHeight="1" s="59"/>
    <row r="25" ht="19.7" customHeight="1" s="59">
      <c r="A25" s="100" t="inlineStr">
        <is>
          <t>PARKING LOT</t>
        </is>
      </c>
    </row>
    <row r="26" ht="18.4" customHeight="1" s="59">
      <c r="A26" s="105" t="inlineStr">
        <is>
          <t>Canadian pigs</t>
        </is>
      </c>
      <c r="B26" s="106" t="inlineStr">
        <is>
          <t>Contracting — parked.</t>
        </is>
      </c>
    </row>
    <row r="27" ht="18.4" customHeight="1" s="59">
      <c r="A27" s="105" t="inlineStr">
        <is>
          <t>Questionnaire</t>
        </is>
      </c>
      <c r="B27" s="106" t="inlineStr">
        <is>
          <t>Revisit the supplier questionnaire.</t>
        </is>
      </c>
    </row>
    <row r="28" ht="15" customHeight="1" s="59"/>
    <row r="29" ht="19.7" customHeight="1" s="59">
      <c r="A29" s="100" t="inlineStr">
        <is>
          <t>FOLLOW-UP CONFIRMATION (after the meeting)</t>
        </is>
      </c>
    </row>
    <row r="30" ht="45.2" customHeight="1" s="59">
      <c r="A30" s="86" t="inlineStr">
        <is>
          <t>State inspection = equivalent</t>
        </is>
      </c>
      <c r="B30" s="93" t="inlineStr">
        <is>
          <t>APHIS says NC STATE INSPECTION is EQUIVALENT, and lets Nahunta product be part of the export when we put the models together. This closes the last open question: a harvest site qualifies on USDA/FSIS inspection OR an APHIS-accepted equivalent state programme.</t>
        </is>
      </c>
    </row>
    <row r="31" ht="15" customHeight="1" s="59"/>
    <row r="32" ht="19.7" customHeight="1" s="59">
      <c r="A32" s="100" t="inlineStr">
        <is>
          <t>FURTHER DIRECTION</t>
        </is>
      </c>
    </row>
    <row r="33" ht="31.8" customHeight="1" s="59">
      <c r="A33" s="94" t="inlineStr">
        <is>
          <t>State inspection — NC only</t>
        </is>
      </c>
      <c r="B33" s="95" t="inlineStr">
        <is>
          <t>Only NC state inspections count as equivalent. Other states' state-inspected plants do not qualify as Path 1 harvest sites.</t>
        </is>
      </c>
    </row>
    <row r="34" ht="31.8" customHeight="1" s="59">
      <c r="A34" s="86" t="inlineStr">
        <is>
          <t>Model A — 120-mile radius</t>
        </is>
      </c>
      <c r="B34" s="93" t="inlineStr">
        <is>
          <t>A 120-mile radius is PREFERABLE for Model A, and applies to ALL slaughterhouses. Anchor point to be confirmed so the roster column can carry real mileages.</t>
        </is>
      </c>
    </row>
  </sheetData>
  <mergeCells count="8">
    <mergeCell ref="A4:B4"/>
    <mergeCell ref="A2:B2"/>
    <mergeCell ref="A29:B29"/>
    <mergeCell ref="A25:B25"/>
    <mergeCell ref="A32:B32"/>
    <mergeCell ref="A13:B13"/>
    <mergeCell ref="A1:B1"/>
    <mergeCell ref="A17:B17"/>
  </mergeCells>
  <pageMargins left="0.35" right="0.35" top="0.45" bottom="0.45" header="0.5" footer="0.5"/>
  <pageSetup orientation="landscape" fitToHeight="0" fitToWidth="1"/>
  <headerFooter>
    <oddHeader/>
    <oddFooter>&amp;L&amp;8 Meeting Notes 2026-08&amp;R&amp;8 Page &amp;P of &amp;N</oddFooter>
    <evenHeader/>
    <evenFooter/>
    <firstHeader/>
    <firstFooter/>
  </headerFooter>
</worksheet>
</file>

<file path=xl/worksheets/sheet3.xml><?xml version="1.0" encoding="utf-8"?>
<worksheet xmlns="http://schemas.openxmlformats.org/spreadsheetml/2006/main">
  <sheetPr>
    <tabColor rgb="00C00000"/>
    <outlinePr summaryBelow="1" summaryRight="1"/>
    <pageSetUpPr fitToPage="1"/>
  </sheetPr>
  <dimension ref="A1:F62"/>
  <sheetViews>
    <sheetView showGridLines="0" topLeftCell="A33" workbookViewId="0">
      <selection activeCell="A13" sqref="A13"/>
    </sheetView>
  </sheetViews>
  <sheetFormatPr baseColWidth="8" defaultRowHeight="14.4"/>
  <cols>
    <col width="34" customWidth="1" style="59" min="1" max="1"/>
    <col width="88" customWidth="1" style="59" min="2" max="2"/>
    <col width="28" customWidth="1" style="59" min="3" max="3"/>
    <col width="18" customWidth="1" style="59" min="4" max="4"/>
    <col width="12" customWidth="1" style="59" min="5" max="6"/>
    <col width="12" customWidth="1" style="59" min="6" max="6"/>
  </cols>
  <sheetData>
    <row r="1" ht="25.1" customHeight="1" s="59">
      <c r="A1" s="117" t="inlineStr">
        <is>
          <t>Action Items — next steps to pick the slaughterhouse</t>
        </is>
      </c>
    </row>
    <row r="2" ht="18.4" customHeight="1" s="59">
      <c r="A2" s="61" t="inlineStr">
        <is>
          <t>Sequenced: hold the internal strategy meeting FIRST, then send RFQ/Ps to the priority plants. The reach-first list was re-reviewed against volume, welfare/enforcement, certifications, and model fit.</t>
        </is>
      </c>
    </row>
    <row r="3" ht="15" customHeight="1" s="59"/>
    <row r="4" ht="19.7" customHeight="1" s="59">
      <c r="A4" s="118" t="inlineStr">
        <is>
          <t>MEETINGS — hold in this order (nearest first)</t>
        </is>
      </c>
    </row>
    <row r="5" ht="18.4" customHeight="1" s="59">
      <c r="A5" s="3" t="inlineStr">
        <is>
          <t>Meeting / action</t>
        </is>
      </c>
      <c r="B5" s="3" t="inlineStr">
        <is>
          <t>Purpose — outcome</t>
        </is>
      </c>
      <c r="C5" s="3" t="inlineStr">
        <is>
          <t>Who</t>
        </is>
      </c>
      <c r="D5" s="3" t="inlineStr">
        <is>
          <t>When</t>
        </is>
      </c>
      <c r="E5" s="3" t="inlineStr">
        <is>
          <t>Owner</t>
        </is>
      </c>
      <c r="F5" s="3" t="inlineStr">
        <is>
          <t>Status</t>
        </is>
      </c>
    </row>
    <row r="6" ht="45.2" customHeight="1" s="59">
      <c r="A6" s="4" t="inlineStr">
        <is>
          <t>0a. WRITE THE ANATOMICAL SPEC  (do this FIRST)</t>
        </is>
      </c>
      <c r="B6" s="68" t="inlineStr">
        <is>
          <t>Live weight range, parity (sow vs market hog), age/sex, per block type. A ONE-DAY internal exercise that decides whether ~half the candidate pool stays on the list. No further research can answer it. Use the 'Anatomical Spec' tab.</t>
        </is>
      </c>
      <c r="C6" s="68" t="inlineStr">
        <is>
          <t>Technical / Harvest lead + clinical stakeholder</t>
        </is>
      </c>
      <c r="D6" s="68" t="inlineStr">
        <is>
          <t>Before any outreach</t>
        </is>
      </c>
      <c r="E6" s="5" t="n"/>
      <c r="F6" s="5" t="inlineStr">
        <is>
          <t>Not started</t>
        </is>
      </c>
    </row>
    <row r="7" ht="139" customHeight="1" s="59">
      <c r="A7" s="4" t="inlineStr">
        <is>
          <t>0b. EMAIL APHIS VS — settle the EU-export question</t>
        </is>
      </c>
      <c r="B7" s="68" t="inlineStr">
        <is>
          <t>STATUS: both parts are now ANSWERED. (b) APHIS accepts NC STATE INSPECTION as equivalent to federal, so Nahunta IS exportable — a harvest site qualifies on USDA/FSIS inspection OR NC state inspection. Only NC counts. (a) APHIS is required of DIRECT TISSUE SUPPLIERS, not of a slaughterhouse we harvest at.
REMAINING ASK (optional, for direct suppliers): confirm with APHIS VS (vs.export.product.facilities@usda.gov) exactly what establishment-level listing a DIRECT tissue supplier must hold for Category 3 porcine tissue used in research / surgical training, so we can put it in the RFQ/P as a pass-or-fail question.
Jargon: 'ABP' = ANIMAL BY-PRODUCT, the EU's term for animal material not for human consumption. 'Cat 3' = Category 3, the lowest-risk class under EU Regulation (EC) 1069/2009.</t>
        </is>
      </c>
      <c r="C7" s="68" t="inlineStr">
        <is>
          <t>Regulatory / QA</t>
        </is>
      </c>
      <c r="D7" s="68" t="inlineStr">
        <is>
          <t>This week</t>
        </is>
      </c>
      <c r="E7" s="5" t="n"/>
      <c r="F7" s="5" t="inlineStr">
        <is>
          <t>Not started</t>
        </is>
      </c>
    </row>
    <row r="8" ht="165.8" customHeight="1" s="59">
      <c r="A8" s="51" t="inlineStr">
        <is>
          <t>0c. ★★ INTERVIEW THE TISSUE COLLECTORS  (PRIORITY — client flagged)</t>
        </is>
      </c>
      <c r="B8" s="52" t="inlineStr">
        <is>
          <t>★★ HIGH PRIORITY — the client has flagged these two for outreach.
SCIENTIFIC PROTEIN LABORATORIES (SPL) — Waunakee, WI — heparin / porcine mucosa.
DeWIED INTERNATIONAL — San Antonio, TX — natural casings (merged with Oversea Casing, 2018).
WHY THEY MATTER: they are NOT tissue suppliers to us — they ALREADY RUN OUR MODEL A AT INDUSTRIAL SCALE. Their own crews work inside third-party USDA plants, recovering ONE tissue under written protocol, paying for line position. Their collection networks are a ready-made map of WHICH US PLANTS ALLOW A THIRD-PARTY CREW ON THE LINE, at what price, in what position, and under whose HACCP — exactly what this study has been reconstructing from directories.
ASK: (1) which plants host your crews, and how was access negotiated? (2) per-visit or per-piece commercial terms? (3) whose HACCP governs your people on the floor? (4) what did plants refuse, and why? (5) would you host or sub-let line position for a non-competing tissue (we want pelvic/thoracic/abdominal BLOCKS, not mucosa or casings — no channel conflict)?</t>
        </is>
      </c>
      <c r="C8" s="68" t="inlineStr">
        <is>
          <t>Harvest lead + Procurement</t>
        </is>
      </c>
      <c r="D8" s="68" t="inlineStr">
        <is>
          <t>PRIORITY — this week</t>
        </is>
      </c>
      <c r="E8" s="5" t="n"/>
      <c r="F8" s="5" t="inlineStr">
        <is>
          <t>Not started</t>
        </is>
      </c>
    </row>
    <row r="9" ht="58.6" customHeight="1" s="59">
      <c r="A9" s="4" t="inlineStr">
        <is>
          <t>1. Strategy &amp; requirements alignment  (COMPANY stakeholders — NOT slaughterhouses)</t>
        </is>
      </c>
      <c r="B9" s="68" t="inlineStr">
        <is>
          <t>Agree requirements + weighting, the operating model (A vs B), and regional priorities. Run off Supplier_Selection_Meeting_Agenda.md. NEW INPUT: the verified study says no single plant satisfies volume + culture + federal inspection + EU listing — bring the three-lane portfolio recommendation to this meeting.</t>
        </is>
      </c>
      <c r="C9" s="68" t="inlineStr">
        <is>
          <t>Leadership, Ops, QA, Procurement, Harvest / Technical lead</t>
        </is>
      </c>
      <c r="D9" s="68" t="inlineStr">
        <is>
          <t>ASAP — most proximate</t>
        </is>
      </c>
      <c r="E9" s="5" t="n"/>
      <c r="F9" s="5" t="inlineStr">
        <is>
          <t>Not started</t>
        </is>
      </c>
    </row>
    <row r="10" ht="58.6" customHeight="1" s="59">
      <c r="A10" s="4" t="inlineStr">
        <is>
          <t>2. Outreach kickoff</t>
        </is>
      </c>
      <c r="B10" s="68" t="inlineStr">
        <is>
          <t>Assign who contacts which plant; finalize the RFQ/P and NDA; set a return-by date. Call the FOUR eastern-NC federal plants INSIDE ONE WEEK — Parks Family Meats (M18296A), Martin's Pork Products (M6720), Custom Quality Packers (M20129) and Kansas City Sausage (Godwin) — and let actual weekly kill numbers pick the lane winner. All four are inside the 120-mile Model A radius.</t>
        </is>
      </c>
      <c r="C10" s="68" t="inlineStr">
        <is>
          <t>Procurement + Harvest lead</t>
        </is>
      </c>
      <c r="D10" s="68" t="inlineStr">
        <is>
          <t>Right after Mtg 1</t>
        </is>
      </c>
      <c r="E10" s="5" t="n"/>
      <c r="F10" s="5" t="inlineStr">
        <is>
          <t>Not started</t>
        </is>
      </c>
    </row>
    <row r="11" ht="58.6" customHeight="1" s="59">
      <c r="A11" s="4" t="inlineStr">
        <is>
          <t>3. Shortlist review &amp; scoring</t>
        </is>
      </c>
      <c r="B11" s="68" t="inlineStr">
        <is>
          <t>Compare returned weekly kill numbers / quotes; score against the agreed weighting; pick the Lane-2 winner. The decisive number is Martin's actual head count — the company-stated 1,500-2,500/wk tops out above the FSIS category-3 ceiling of ~1,917/wk, so it either confirms Martin's as the anchor or hands the lane to Parks. Budget ONE adversarial verification pass on whichever plant wins.</t>
        </is>
      </c>
      <c r="C11" s="68" t="inlineStr">
        <is>
          <t>Core team</t>
        </is>
      </c>
      <c r="D11" s="68" t="inlineStr">
        <is>
          <t>As RFQ/Ps return</t>
        </is>
      </c>
      <c r="E11" s="5" t="n"/>
      <c r="F11" s="5" t="inlineStr">
        <is>
          <t>Not started</t>
        </is>
      </c>
    </row>
    <row r="12" ht="112.2" customHeight="1" s="59">
      <c r="A12" s="4" t="inlineStr">
        <is>
          <t>4. FSIS FOIA on shortlist establishments</t>
        </is>
      </c>
      <c r="B12" s="68" t="inlineStr">
        <is>
          <t>File for humane-handling NRs / NOIEs / NOSs on the VERIFIED establishment numbers of the shortlist: M18296A (Parks), M6720 (Martin's), M20129 (Custom Quality Packers), M21747 (Flowers), M8305 (Larry's), M20608 (The Pork Company), M9065 (Wampler's), M21938 (EcoFriendly), M51351 (Underground Slaughter), M4005 (Williamsburg). The FSIS Quarterly Enforcement Reports FY2024 Q1 - FY2026 Q2 were checked directly and returned nothing for the NC shortlist, but those reports cover only suspensions, NOIEs and withholding actions — NOT ordinary noncompliance records, which is what the FOIA is for. Nahunta is state-inspected and sits outside FSIS reporting entirely, so for Nahunta this must be a site-visit finding. Budget 2-6 weeks; start in parallel with outreach.</t>
        </is>
      </c>
      <c r="C12" s="68" t="inlineStr">
        <is>
          <t>QA / Regulatory</t>
        </is>
      </c>
      <c r="D12" s="68" t="inlineStr">
        <is>
          <t>Start now (long lead)</t>
        </is>
      </c>
      <c r="E12" s="5" t="n"/>
      <c r="F12" s="5" t="inlineStr">
        <is>
          <t>Not started</t>
        </is>
      </c>
    </row>
    <row r="13" ht="45.2" customHeight="1" s="59">
      <c r="A13" s="4" t="inlineStr">
        <is>
          <t>5. Site visits / audits  (top 2-3)</t>
        </is>
      </c>
      <c r="B13" s="68" t="inlineStr">
        <is>
          <t>Verify facility, welfare and harvest access on-site. Welfare must be treated as a SITE-VISIT finding, not a records finding — especially for Nahunta, which as a state-inspected plant sits outside FSIS humane-handling reporting entirely.</t>
        </is>
      </c>
      <c r="C13" s="68" t="inlineStr">
        <is>
          <t>Technical + QA</t>
        </is>
      </c>
      <c r="D13" s="68" t="inlineStr">
        <is>
          <t>After scoring</t>
        </is>
      </c>
      <c r="E13" s="5" t="n"/>
      <c r="F13" s="5" t="inlineStr">
        <is>
          <t>Not started</t>
        </is>
      </c>
    </row>
    <row r="14" ht="15" customHeight="1" s="59"/>
    <row r="15" ht="19.7" customHeight="1" s="59">
      <c r="A15" s="118" t="inlineStr">
        <is>
          <t>PRIORITY SLAUGHTERHOUSES — reach these first</t>
        </is>
      </c>
    </row>
    <row r="16" ht="18.4" customHeight="1" s="59">
      <c r="A16" s="3" t="inlineStr">
        <is>
          <t>Supplier (verified contact order)</t>
        </is>
      </c>
      <c r="B16" s="3" t="inlineStr">
        <is>
          <t>Why reach first</t>
        </is>
      </c>
      <c r="C16" s="3" t="inlineStr">
        <is>
          <t>Contact</t>
        </is>
      </c>
      <c r="D16" s="3" t="inlineStr">
        <is>
          <t>RFQ/P to use</t>
        </is>
      </c>
      <c r="E16" s="3" t="inlineStr">
        <is>
          <t>Owner</t>
        </is>
      </c>
      <c r="F16" s="3" t="inlineStr">
        <is>
          <t>Status</t>
        </is>
      </c>
    </row>
    <row r="17" ht="72" customHeight="1" s="59">
      <c r="A17" s="4" t="inlineStr">
        <is>
          <t>1. Nahunta Slaughter House  (NC state P-80A)
Pikeville, NC</t>
        </is>
      </c>
      <c r="B17" s="68" t="inlineStr">
        <is>
          <t>LANE 1 — ANCHOR, AND NOW EXPORTABLE. APHIS accepts NC state inspection as equivalent, so product harvested here CAN form part of a model exported to the EU once it is assembled at ATM. Only candidate with a PUBLISHED research-specimen pathway, and fresh spleens/hearts/livers as retail SKUs — viscera leave the kill floor intact. Culture benchmark. 0 mi from the anchor.</t>
        </is>
      </c>
      <c r="C17" s="68" t="inlineStr">
        <is>
          <t>(919) 242-4735
bpierce@nahuntapork.com (GM Brandon Pierce)
nahuntapork.com/specimen-permits1</t>
        </is>
      </c>
      <c r="D17" s="68" t="inlineStr">
        <is>
          <t>Short site/call RFQ/P</t>
        </is>
      </c>
      <c r="E17" s="5" t="n"/>
      <c r="F17" s="5" t="inlineStr">
        <is>
          <t>Not started</t>
        </is>
      </c>
    </row>
    <row r="18" ht="72" customHeight="1" s="59">
      <c r="A18" s="4" t="inlineStr">
        <is>
          <t>2. Parks Family Meats, LLC  (M18296A, Talmadge-Aiken)
Warsaw, NC</t>
        </is>
      </c>
      <c r="B18" s="68" t="inlineStr">
        <is>
          <t>★★ NEW #2 — the strongest Model A structure verified in the state. FSIS records it slaughter_or_processing_only = SLAUGHTER: a pure kill floor, no processing attached. Market hogs AND roasters both flagged, so market-weight anatomy is available. 400-1,000/wk (company-stated), FSIS category 3. 20 staff, one 15,000 sq ft floor, ONE decision-maker. 45 road miles. Talmadge-Aiken = federal inspection, so interstate- and export-eligible.</t>
        </is>
      </c>
      <c r="C18" s="68" t="inlineStr">
        <is>
          <t>PLANT: Kevin Krum, COO (910) 290-0075
kevin.krum@parkslivestock.com
Plant Sup. Albino Cardoso (910) 284-2354</t>
        </is>
      </c>
      <c r="D18" s="68" t="inlineStr">
        <is>
          <t>Formatted email RFQ/P</t>
        </is>
      </c>
      <c r="E18" s="5" t="n"/>
      <c r="F18" s="5" t="inlineStr">
        <is>
          <t>Not started</t>
        </is>
      </c>
    </row>
    <row r="19" ht="58.6" customHeight="1" s="59">
      <c r="A19" s="4" t="inlineStr">
        <is>
          <t>3. Martin's Pork Products, Inc.  (M6720, Talmadge-Aiken)
Falcon, NC</t>
        </is>
      </c>
      <c r="B19" s="68" t="inlineStr">
        <is>
          <t>LANE 2 — the incumbent. Market hogs (plus boar/stag), federally inspected, export-structurally eligible, 45 road miles. ASK ON THE CALL: the company-stated 1,500-2,500/wk tops out ABOVE the FSIS category-3 ceiling of ~1,917/wk — get the actual head count, because that single number decides whether Martin's or Parks anchors the lane.</t>
        </is>
      </c>
      <c r="C19" s="68" t="inlineStr">
        <is>
          <t>(910) 980-1501
beth@martinspork.com
President: Beth Holmes</t>
        </is>
      </c>
      <c r="D19" s="68" t="inlineStr">
        <is>
          <t>Formatted email RFQ/P</t>
        </is>
      </c>
      <c r="E19" s="5" t="n"/>
      <c r="F19" s="5" t="inlineStr">
        <is>
          <t>Not started</t>
        </is>
      </c>
    </row>
    <row r="20" ht="112.2" customHeight="1" s="59">
      <c r="A20" s="4" t="inlineStr">
        <is>
          <t>4. Custom Quality Packers, LLC  (M20129)
Sims, NC</t>
        </is>
      </c>
      <c r="B20" s="68" t="inlineStr">
        <is>
          <t>PROMOTED from #9. All three 'unknown' fields are now closed: ACTIVE FEDERAL grant M20129 (TA-20129 in the NCDA&amp;CS TA directory — Talmadge-Aiken, i.e. federal inspection via state staff), market + roaster swine flagged, FSIS category 3 = 192-1,917/wk which brackets the ~500/wk company figure. 45 road miles. Anchors the WILSON COUNTY CLUSTER with Flowers Slaughter House (M21747) — aggregation only works if the plants share one crew, and these two do. ⚠ ADDED 2026-08-17: four humane-handling actions 2018-2020 (two suspensions; PETA HMSA probe request 6/11/2020; all abeyed within days; clean FY24-FY26Q2) — complete the NR FOIA and a welfare audit BEFORE scaling CQP into the organ host. Lever: Twitty can contract-raise hogs to our spec via Nash Pigg Farms.</t>
        </is>
      </c>
      <c r="C20" s="68" t="inlineStr">
        <is>
          <t>(252) 235-3558</t>
        </is>
      </c>
      <c r="D20" s="68" t="inlineStr">
        <is>
          <t>Short site/call RFQ/P</t>
        </is>
      </c>
      <c r="E20" s="5" t="n"/>
      <c r="F20" s="5" t="inlineStr">
        <is>
          <t>Not started</t>
        </is>
      </c>
    </row>
    <row r="21" ht="58.6" customHeight="1" s="59">
      <c r="A21" s="4" t="inlineStr">
        <is>
          <t>5. Smithfield BioScience
Tar Heel, NC (M18079) / Denison, IA (M717)</t>
        </is>
      </c>
      <c r="B21" s="68" t="inlineStr">
        <is>
          <t>LANE 3 — the ONLY verified organ programme in the study (aortas, valves, pericardium, peritoneum, mucosa, pancreas, pituitary, tendons) plus existing EU pharmaceutical trade and an export-certified voluntary grant. Approach as BOTH a supply option AND competitive intelligence. Price their blocks against our TTLC, not against our acquisition cost.</t>
        </is>
      </c>
      <c r="C21" s="68" t="inlineStr">
        <is>
          <t>smithfieldbioscience.com</t>
        </is>
      </c>
      <c r="D21" s="68" t="inlineStr">
        <is>
          <t>Short site RFQ/P</t>
        </is>
      </c>
      <c r="E21" s="5" t="n"/>
      <c r="F21" s="5" t="inlineStr">
        <is>
          <t>Not started</t>
        </is>
      </c>
    </row>
    <row r="22" ht="85.40000000000001" customHeight="1" s="59">
      <c r="A22" s="4" t="inlineStr">
        <is>
          <t>6. Larry's Sausage Co. (M8305)  ★ PROMOTED
Fayetteville, NC</t>
        </is>
      </c>
      <c r="B22" s="68" t="inlineStr">
        <is>
          <t>★ PROMOTED BY THE 2026-08-17 PASS — the best structural organ add in eastern NC: the region's only established swine-only, SOW-class federal floor at meaningful volume (cat 2 = 19-192 sows/wk), family-run since 1952, ~20 min from Martin's, 65 road mi. Sows are killed for sausage meat, so organs/aortas are NOT their product. GATE: the sow-vs-market-hog anatomical decision (still internal, still unanswered). Replaces Kansas City Sausage / Godwin, which is RESOLVED DEAD (M760A inactive 9/3/2024; zero establishments at the site in the active OR inactive FSIS directories).</t>
        </is>
      </c>
      <c r="C22" s="68" t="inlineStr">
        <is>
          <t>(910) 483-5148
office hours Tue 9-3
larryssausage.com</t>
        </is>
      </c>
      <c r="D22" s="68" t="inlineStr">
        <is>
          <t>Short site/call RFQ/P</t>
        </is>
      </c>
      <c r="E22" s="5" t="n"/>
      <c r="F22" s="5" t="inlineStr">
        <is>
          <t>Not started</t>
        </is>
      </c>
    </row>
    <row r="23" ht="58.6" customHeight="1" s="59">
      <c r="A23" s="4" t="inlineStr">
        <is>
          <t>7. Wampler's Farm Sausage Co.  (M9065)
Lenoir City, TN</t>
        </is>
      </c>
      <c r="B23" s="68" t="inlineStr">
        <is>
          <t>MODEL B — real federal grant, real kill floor, market hogs AND sows flagged, FSIS category 3, ~1,500/wk. Family-owned since 1937. Two caveats: production hiring routes through three staffing agencies at $12-14/hr, against your tenure criterion; and it is outside the 120-mile Model A radius, so treat as Model B or a secondary lane.</t>
        </is>
      </c>
      <c r="C23" s="68" t="inlineStr">
        <is>
          <t>(865) 986-2056  (plant line, NOT 1-800-SAUSAGE)</t>
        </is>
      </c>
      <c r="D23" s="68" t="inlineStr">
        <is>
          <t>Formatted email RFQ/P</t>
        </is>
      </c>
      <c r="E23" s="5" t="n"/>
      <c r="F23" s="5" t="inlineStr">
        <is>
          <t>Not started</t>
        </is>
      </c>
    </row>
    <row r="24" ht="58.6" customHeight="1" s="59">
      <c r="A24" s="4" t="inlineStr">
        <is>
          <t>8. EcoFriendly Foods, LLC  (M21938)
Moneta, VA</t>
        </is>
      </c>
      <c r="B24" s="68" t="inlineStr">
        <is>
          <t>REPLACES GUNNOE AS THE VIRGINIA ENTRY. Upgraded on primary data: ALL FOUR swine classes flagged (market, sow, roaster, boar/stag) and FSIS category 3 = 192-1,917/wk — a genuine medium-band plant, not the boutique operation the roster implied. With Gunnoe refuted and T&amp;E/Honest Meats excluded on humane-handling grounds, this is now the strongest VA candidate. Out of state, so Model B.</t>
        </is>
      </c>
      <c r="C24" s="68" t="inlineStr">
        <is>
          <t>Moneta, VA — Est. M21938 + P21938</t>
        </is>
      </c>
      <c r="D24" s="68" t="inlineStr">
        <is>
          <t>Short site/call RFQ/P</t>
        </is>
      </c>
      <c r="E24" s="5" t="n"/>
      <c r="F24" s="5" t="inlineStr">
        <is>
          <t>Not started</t>
        </is>
      </c>
    </row>
    <row r="25" ht="45.2" customHeight="1" s="59">
      <c r="A25" s="4" t="inlineStr">
        <is>
          <t>9. Underground Slaughter LLC  (M51351)
Walling, TN</t>
        </is>
      </c>
      <c r="B25" s="68" t="inlineStr">
        <is>
          <t>NEW — was sitting at 'unknown' on the roster and is in fact one of the few genuinely medium-band plants in Tennessee: active federal grant, market hogs AND sows flagged, FSIS category 3 = 192-1,917/wk. Never contacted. Worth one call on the Model B track.</t>
        </is>
      </c>
      <c r="C25" s="68" t="inlineStr">
        <is>
          <t>Walling, TN — Est. M51351 + P51351</t>
        </is>
      </c>
      <c r="D25" s="68" t="inlineStr">
        <is>
          <t>Short site/call RFQ/P</t>
        </is>
      </c>
      <c r="E25" s="5" t="n"/>
      <c r="F25" s="5" t="inlineStr">
        <is>
          <t>Not started</t>
        </is>
      </c>
    </row>
    <row r="26" ht="58.6" customHeight="1" s="59">
      <c r="A26" s="4" t="inlineStr">
        <is>
          <t>10. Flowers Slaughter House  (M21747)
Sims, NC</t>
        </is>
      </c>
      <c r="B26" s="68" t="inlineStr">
        <is>
          <t>CLUSTER PARTNER, not a standalone lane. Active federal grant, market hogs and boar/stag flagged, FSIS category 2 = ~19-192/wk. 45 road miles, in the same town as Custom Quality Packers — the two together are what makes a Wilson County crew day work. NOTE: the roster's separate 'George Flowers Slaughter House' entry is the SAME establishment, now marked as a duplicate.</t>
        </is>
      </c>
      <c r="C26" s="68" t="inlineStr">
        <is>
          <t>(252) 237-2982</t>
        </is>
      </c>
      <c r="D26" s="68" t="inlineStr">
        <is>
          <t>Short site/call RFQ/P</t>
        </is>
      </c>
      <c r="E26" s="5" t="n"/>
      <c r="F26" s="5" t="inlineStr">
        <is>
          <t>Not started</t>
        </is>
      </c>
    </row>
    <row r="27" ht="72" customHeight="1" s="59">
      <c r="A27" s="4" t="inlineStr">
        <is>
          <t>11. McLamb's Abattoir (P-247) + Gale McLamb Meats (P-221)
Benson + Dunn, NC — the I-95 state pair</t>
        </is>
      </c>
      <c r="B27" s="68" t="inlineStr">
        <is>
          <t>★ NEW FINDS 2026-08-17 — two state-inspected swine floors on the I-95 corridor that no pass had ever surfaced: McLamb's Abattoir (Benson, Johnston Co., operator Shane Lee, ~37 road mi) and Gale McLamb Meats (Dunn, Harnett Co., family plant since 1980, ~44 road mi). Closer than Parks, Martin's or CQP; same NC-state APHIS-equivalent path as Nahunta. Volumes unknown (state plants publish none) — one call each closes it. Play the Nahunta playbook: relationship-first, our crew on site.</t>
        </is>
      </c>
      <c r="C27" s="68" t="inlineStr">
        <is>
          <t>McLamb's: (919) 894-2587
Gale McLamb: (910) 892-7279</t>
        </is>
      </c>
      <c r="D27" s="68" t="inlineStr">
        <is>
          <t>Short site/call RFQ/P</t>
        </is>
      </c>
      <c r="E27" s="5" t="n"/>
      <c r="F27" s="5" t="inlineStr">
        <is>
          <t>Not started</t>
        </is>
      </c>
    </row>
    <row r="28" ht="45.2" customHeight="1" s="59">
      <c r="A28" s="4" t="inlineStr">
        <is>
          <t>12. Williamsburg Packing  (M4005)
Kingstree, SC</t>
        </is>
      </c>
      <c r="B28" s="68" t="inlineStr">
        <is>
          <t>ONE speculative call only, and last in the order. Its voluntary grant V4005 is the mechanism used for non-amenable species — directly relevant to research tissue, which is the entire reason to call. Welfare certifications were REFUTED, so do not lead with those. Out of the 120-mile radius.</t>
        </is>
      </c>
      <c r="C28" s="68" t="inlineStr">
        <is>
          <t>(843) 355-6447</t>
        </is>
      </c>
      <c r="D28" s="68" t="inlineStr">
        <is>
          <t>Short site/call RFQ/P</t>
        </is>
      </c>
      <c r="E28" s="5" t="n"/>
      <c r="F28" s="5" t="inlineStr">
        <is>
          <t>Not started</t>
        </is>
      </c>
    </row>
    <row r="29" ht="41.2" customHeight="1" s="59">
      <c r="A29" s="60" t="inlineStr">
        <is>
          <t>•  SECONDARY (parallel track): get 1-2 buy-direct BENCHMARK quotes to price-check self-harvest — Tissue Source and Smithfield BioScience. AVOID Innovative Research for EU-bound product (research-use-only labelling is a likely EU blocker). Note that MIDWEST RESEARCH SWINE resolves to Est. M40110, Collagen Solutions (US) LLC DBA Evergen, Glencoe MN — FSIS category 2, so a ~192/wk ceiling, not the ~385/wk the roster carried. Its value is as a comparator and a make-vs-buy price check, not as a volume lane. Also call SIG INTERNATIONAL (Boyden IA, M20748 + V20748) — market hogs, FSIS category 3, and it carries a Certification-Export activity, which matters for anything EU-bound.</t>
        </is>
      </c>
    </row>
    <row r="30" ht="89.40000000000001" customHeight="1" s="59">
      <c r="A30" s="60" t="inlineStr">
        <is>
          <t>•  REMOVED FROM THE CONTACT ORDER BY THE FSIS PRIMARY-DATA SWEEP (do NOT reach): GUNNOE SAUSAGE CO. (Goode VA) — was #5. No establishment named 'Gunnoe' exists anywhere in the FSIS MPI directory and nothing is listed at Goode VA; the '~450/wk dedicated sow slaughterhouse since 1965' profile cannot be attached to an inspected establishment. BASS FARMS, INC. (M3521, Spring Hope NC) — was #4. Three claims refuted: it is federal M3521 not 'TA-3521' (and the grant IS live, which closes that open question); it is NOT 'slaughter only' — FSIS records slaughter AND processing, processing category 4, DBA 'Bass Farm Sausage', i.e. a sausage business with a small kill floor, not the 'purest Model A structure in the state'; and slaughter_volume_category = 1 = FEWER THAN 1,000 HEAD PER YEAR, under ~19/wk. It is also sow-only. Its value, if any, is as a PROCESSOR. TRIAD MEAT CUSTOM PROCESSING (Madison NC) — the only FSIS slaughter establishment at Madison is Triad Halal Meats (M46085), with NO swine flags of any kind. CAUGHMAN'S MEAT PLANT (Lexington SC) and SESSOMS PACKING (Ahoskie NC) — both carried USDA labels with nothing behind them; neither appears in the FSIS MPI directory. ⚠ 2026-08-17 FINAL: the Godwin question is CLOSED — KCS's own establishment M760A went inactive 9/3/2024 and no establishment exists at the site in the active or inactive directories. Also closed: Country Slaughter &amp; Meats (M32012 inactive 6/24/2025) and Assured Community Processing (M2123 inactive 11/10/2025) — the earlier 'number not found' mysteries were both closures.</t>
        </is>
      </c>
    </row>
    <row r="31" ht="53.2" customHeight="1" s="59">
      <c r="A31" s="60" t="inlineStr">
        <is>
          <t>•  ALSO REMOVED BY ADVERSARIAL VERIFICATION (unchanged): T&amp;E MEATS / HONEST MEATS, Harrisonburg VA — now confirmed as Est. M7420 + V7420, the same establishment number on the 2024 humane-handling Notice of Suspension documents on file, so the exclusion attaches to a verified establishment rather than a name guess. A hog regained consciousness on the bleed rail; a repeat egregious event after corrections had been accepted. DO NOT REACH. PIEDMONT CUSTOM MEATS — FSIS category 2 at the Gibsonville slaughter site (~192/wk ceiling); the Asheboro establishment is processing-only with no swine flags. ACRE STATION — FSIS category 2 caps it at ~192/wk, not 400/wk; but note the 'custom exempt' worry is REFUTED, the federal grant M19904 + P19904 is active.</t>
        </is>
      </c>
    </row>
    <row r="32" ht="15" customHeight="1" s="59"/>
    <row r="33" ht="19.7" customHeight="1" s="59">
      <c r="A33" s="118" t="inlineStr">
        <is>
          <t>RFQ/P — EMAIL TEMPLATE  (copy-paste for email contacts; fill the [brackets])</t>
        </is>
      </c>
    </row>
    <row r="34" ht="18.4" customHeight="1" s="59">
      <c r="A34" s="63" t="inlineStr">
        <is>
          <t>Subject:  Request for Quote / Proposal — Recurring Porcine Tissue Harvesting Partnership</t>
        </is>
      </c>
      <c r="B34" s="64" t="n"/>
      <c r="C34" s="64" t="n"/>
      <c r="D34" s="64" t="n"/>
      <c r="E34" s="64" t="n"/>
      <c r="F34" s="65" t="n"/>
    </row>
    <row r="35" ht="18.4" customHeight="1" s="59">
      <c r="A35" s="58" t="inlineStr">
        <is>
          <t>Hello [Name],</t>
        </is>
      </c>
    </row>
    <row r="36" ht="31.8" customHeight="1" s="59">
      <c r="A36" s="58" t="inlineStr">
        <is>
          <t>We are a biomedical tissue company that harvests porcine tissue blocks — pelvic, abdominal, and thoracic, including the organs in those regions — for medical/research use. We are evaluating slaughterhouse partners for a recurring program and would like to request a quote/proposal.</t>
        </is>
      </c>
    </row>
    <row r="37" ht="18.4" customHeight="1" s="59">
      <c r="A37" s="58" t="inlineStr">
        <is>
          <t>We can structure the arrangement either way and would welcome your input:</t>
        </is>
      </c>
    </row>
    <row r="38" ht="18.4" customHeight="1" s="59">
      <c r="A38" s="58" t="inlineStr">
        <is>
          <t xml:space="preserve">   • Model A — our trained technicians harvest on-site; we rent line/cooler access (by visit or by piece).</t>
        </is>
      </c>
    </row>
    <row r="39" ht="18.4" customHeight="1" s="59">
      <c r="A39" s="58" t="inlineStr">
        <is>
          <t xml:space="preserve">   • Model B — your team harvests to our written protocol; we send trainers/inspectors to qualify and audit.</t>
        </is>
      </c>
    </row>
    <row r="40" ht="18.4" customHeight="1" s="59">
      <c r="A40" s="58" t="inlineStr">
        <is>
          <t>Could you please share:</t>
        </is>
      </c>
    </row>
    <row r="41" ht="18.4" customHeight="1" s="59">
      <c r="A41" s="58" t="inlineStr">
        <is>
          <t xml:space="preserve">   1. Approximate hogs slaughtered per week, and whether you can add head for us.</t>
        </is>
      </c>
    </row>
    <row r="42" ht="18.4" customHeight="1" s="59">
      <c r="A42" s="58" t="inlineStr">
        <is>
          <t xml:space="preserve">   2. USDA/FSIS inspection status (establishment #) and any APHIS export listing (we may export finished models to the EU).</t>
        </is>
      </c>
    </row>
    <row r="43" ht="18.4" customHeight="1" s="59">
      <c r="A43" s="58" t="inlineStr">
        <is>
          <t xml:space="preserve">   3. Which organs/tissues you currently harvest vs. send to rendering, and whether we can collect pelvic/abdominal/thoracic blocks at the kill.</t>
        </is>
      </c>
    </row>
    <row r="44" ht="18.4" customHeight="1" s="59">
      <c r="A44" s="58" t="inlineStr">
        <is>
          <t xml:space="preserve">   4. Pricing — Model A: per-visit access/rental or per-piece; Model B: per-piece harvest fee.</t>
        </is>
      </c>
    </row>
    <row r="45" ht="18.4" customHeight="1" s="59">
      <c r="A45" s="58" t="inlineStr">
        <is>
          <t xml:space="preserve">   5. Cooler/hanging space and typical time-to-chill after slaughter (freshness window).</t>
        </is>
      </c>
    </row>
    <row r="46" ht="18.4" customHeight="1" s="59">
      <c r="A46" s="58" t="inlineStr">
        <is>
          <t xml:space="preserve">   6. Your humane-handling program, and any recent USDA humane-handling actions.</t>
        </is>
      </c>
    </row>
    <row r="47" ht="18.4" customHeight="1" s="59">
      <c r="A47" s="58" t="inlineStr">
        <is>
          <t xml:space="preserve">   7. Lead time, minimum commitment, scheduling, and whether an NDA is needed before we share our protocol.</t>
        </is>
      </c>
    </row>
    <row r="48" ht="18.4" customHeight="1" s="59">
      <c r="A48" s="58" t="inlineStr">
        <is>
          <t>We are glad to sign an NDA and to set up a call or a site visit. Thank you — we look forward to your proposal.</t>
        </is>
      </c>
    </row>
    <row r="49" ht="18.4" customHeight="1" s="59">
      <c r="A49" s="58" t="inlineStr">
        <is>
          <t>Best regards,</t>
        </is>
      </c>
    </row>
    <row r="50" ht="18.4" customHeight="1" s="59">
      <c r="A50" s="58" t="inlineStr">
        <is>
          <t>[Your name] · [Title] · [Company] · [Phone] · [Email]</t>
        </is>
      </c>
    </row>
    <row r="51" ht="15" customHeight="1" s="59"/>
    <row r="52" ht="19.7" customHeight="1" s="59">
      <c r="A52" s="118" t="inlineStr">
        <is>
          <t>RFQ/P — SHORT SITE / CALL VERSION  (for phone or website inquiry forms)</t>
        </is>
      </c>
    </row>
    <row r="53" ht="18.4" customHeight="1" s="59">
      <c r="A53" s="58" t="inlineStr">
        <is>
          <t>•  Who we are: biomedical porcine-tissue harvester setting up a recurring program.</t>
        </is>
      </c>
    </row>
    <row r="54" ht="18.4" customHeight="1" s="59">
      <c r="A54" s="58" t="inlineStr">
        <is>
          <t>•  Hogs per week? Can you add head for us? Steady year-round?</t>
        </is>
      </c>
    </row>
    <row r="55" ht="18.4" customHeight="1" s="59">
      <c r="A55" s="58" t="inlineStr">
        <is>
          <t>•  USDA/FSIS establishment #? APHIS export listing (we may export to the EU)?</t>
        </is>
      </c>
    </row>
    <row r="56" ht="18.4" customHeight="1" s="59">
      <c r="A56" s="58" t="inlineStr">
        <is>
          <t>•  Which organs are saved vs. rendered? Can we collect pelvic / abdominal / thoracic blocks at the kill?</t>
        </is>
      </c>
    </row>
    <row r="57" ht="18.4" customHeight="1" s="59">
      <c r="A57" s="58" t="inlineStr">
        <is>
          <t>•  Would you HOST our harvesters (Model A — rent by visit or by piece) OR harvest to our spec (Model B)?</t>
        </is>
      </c>
    </row>
    <row r="58" ht="18.4" customHeight="1" s="59">
      <c r="A58" s="58" t="inlineStr">
        <is>
          <t>•  Ballpark pricing (per-visit rental or per-piece)?</t>
        </is>
      </c>
    </row>
    <row r="59" ht="18.4" customHeight="1" s="59">
      <c r="A59" s="58" t="inlineStr">
        <is>
          <t>•  Cooler space + time-to-chill after slaughter (freshness window)?</t>
        </is>
      </c>
    </row>
    <row r="60" ht="18.4" customHeight="1" s="59">
      <c r="A60" s="58" t="inlineStr">
        <is>
          <t>•  Lead time, minimum commitment, NDA needed?</t>
        </is>
      </c>
    </row>
    <row r="61" ht="18.4" customHeight="1" s="59">
      <c r="A61" s="58" t="inlineStr">
        <is>
          <t>•  Best contact name + email to send a written RFQ/P.</t>
        </is>
      </c>
    </row>
    <row r="62" ht="17.1" customHeight="1" s="59">
      <c r="A62" s="66" t="inlineStr">
        <is>
          <t>Once a plant responds, use the 'Call Question Sheet' tab to fully qualify them, and log key data back to the 'Supplier Roster'.</t>
        </is>
      </c>
    </row>
  </sheetData>
  <mergeCells count="36">
    <mergeCell ref="A41:F41"/>
    <mergeCell ref="A54:F54"/>
    <mergeCell ref="A46:F46"/>
    <mergeCell ref="A37:F37"/>
    <mergeCell ref="A56:F56"/>
    <mergeCell ref="A50:F50"/>
    <mergeCell ref="A55:F55"/>
    <mergeCell ref="A57:F57"/>
    <mergeCell ref="A33:F33"/>
    <mergeCell ref="A2:F2"/>
    <mergeCell ref="A47:F47"/>
    <mergeCell ref="A42:F42"/>
    <mergeCell ref="A35:F35"/>
    <mergeCell ref="A4:F4"/>
    <mergeCell ref="A62:F62"/>
    <mergeCell ref="A53:F53"/>
    <mergeCell ref="A29:F29"/>
    <mergeCell ref="A43:F43"/>
    <mergeCell ref="A38:F38"/>
    <mergeCell ref="A52:F52"/>
    <mergeCell ref="A44:F44"/>
    <mergeCell ref="A31:F31"/>
    <mergeCell ref="A58:F58"/>
    <mergeCell ref="A40:F40"/>
    <mergeCell ref="A34:F34"/>
    <mergeCell ref="A48:F48"/>
    <mergeCell ref="A30:F30"/>
    <mergeCell ref="A39:F39"/>
    <mergeCell ref="A15:F15"/>
    <mergeCell ref="A59:F59"/>
    <mergeCell ref="A49:F49"/>
    <mergeCell ref="A60:F60"/>
    <mergeCell ref="A36:F36"/>
    <mergeCell ref="A1:F1"/>
    <mergeCell ref="A45:F45"/>
    <mergeCell ref="A61:F61"/>
  </mergeCells>
  <pageMargins left="0.35" right="0.35" top="0.45" bottom="0.45" header="0.5" footer="0.5"/>
  <pageSetup orientation="landscape" fitToHeight="0" fitToWidth="1"/>
  <headerFooter>
    <oddHeader/>
    <oddFooter>&amp;L&amp;8 Action Items&amp;R&amp;8 Page &amp;P of &amp;N</oddFooter>
    <evenHeader/>
    <evenFooter/>
    <firstHeader/>
    <firstFooter/>
  </headerFooter>
</worksheet>
</file>

<file path=xl/worksheets/sheet4.xml><?xml version="1.0" encoding="utf-8"?>
<worksheet xmlns="http://schemas.openxmlformats.org/spreadsheetml/2006/main">
  <sheetPr>
    <tabColor rgb="007030A0"/>
    <outlinePr summaryBelow="1" summaryRight="1"/>
    <pageSetUpPr fitToPage="1"/>
  </sheetPr>
  <dimension ref="A1:D33"/>
  <sheetViews>
    <sheetView showGridLines="0" topLeftCell="A10" workbookViewId="0">
      <selection activeCell="B8" sqref="B8"/>
    </sheetView>
  </sheetViews>
  <sheetFormatPr baseColWidth="8" defaultRowHeight="14.4"/>
  <cols>
    <col width="46" customWidth="1" style="59" min="1" max="1"/>
    <col width="34" customWidth="1" style="59" min="2" max="4"/>
    <col width="34" customWidth="1" style="59" min="3" max="3"/>
    <col width="34" customWidth="1" style="59" min="4" max="4"/>
  </cols>
  <sheetData>
    <row r="1" ht="25.1" customHeight="1" s="59">
      <c r="A1" s="117" t="inlineStr">
        <is>
          <t>Anatomical Spec — fill this in BEFORE the first supplier call</t>
        </is>
      </c>
    </row>
    <row r="2" ht="18.4" customHeight="1" s="59">
      <c r="A2" s="61" t="inlineStr">
        <is>
          <t>Action #1 from the verified deep study. A one-day internal exercise that decides which plants stay on the list. Blue-on-yellow = you fill in.</t>
        </is>
      </c>
    </row>
    <row r="3" ht="15" customHeight="1" s="59"/>
    <row r="4" ht="58.6" customHeight="1" s="59">
      <c r="A4" s="70" t="inlineStr">
        <is>
          <t>WHY THIS IS ACTION #1: whether your models can use CULL-SOW anatomy decides the fate of roughly half the candidate pool, and NO amount of further research can answer it — it is a client-side clinical decision. A heavily parous sow has a REMODELLED BIRTH CANAL and a STRETCHED ABDOMINAL WALL: either disqualifying for pelvic and bariatric blocks, or a premium urogynaecology asset. Sow plants currently on the list: Gunnoe (VA), Kansas City Sausage (NC), Swaggerty (TN), Wampler's (TN), Williams/Tyson (TN). Fill this in BEFORE the first supplier call — it reorders the entire contact list.</t>
        </is>
      </c>
      <c r="B4" s="64" t="n"/>
      <c r="C4" s="64" t="n"/>
      <c r="D4" s="65" t="n"/>
    </row>
    <row r="5" ht="15" customHeight="1" s="59"/>
    <row r="6" ht="19.7" customHeight="1" s="59">
      <c r="A6" s="118" t="inlineStr">
        <is>
          <t>PER-BLOCK SPECIFICATION</t>
        </is>
      </c>
    </row>
    <row r="7" ht="18.4" customHeight="1" s="59">
      <c r="A7" s="3" t="inlineStr">
        <is>
          <t>Parameter</t>
        </is>
      </c>
      <c r="B7" s="3" t="inlineStr">
        <is>
          <t>PELVIC block</t>
        </is>
      </c>
      <c r="C7" s="3" t="inlineStr">
        <is>
          <t>BARIATRIC / abdominal block</t>
        </is>
      </c>
      <c r="D7" s="3" t="inlineStr">
        <is>
          <t>THORACIC block</t>
        </is>
      </c>
    </row>
    <row r="8" ht="18.4" customHeight="1" s="59">
      <c r="A8" s="6" t="inlineStr">
        <is>
          <t>Organs / structures REQUIRED in the block</t>
        </is>
      </c>
      <c r="B8" s="7" t="n"/>
      <c r="C8" s="7" t="n"/>
      <c r="D8" s="7" t="n"/>
    </row>
    <row r="9" ht="18.4" customHeight="1" s="59">
      <c r="A9" s="8" t="inlineStr">
        <is>
          <t>Organs / structures NICE-TO-HAVE</t>
        </is>
      </c>
      <c r="B9" s="7" t="n"/>
      <c r="C9" s="7" t="n"/>
      <c r="D9" s="7" t="n"/>
    </row>
    <row r="10" ht="31.8" customHeight="1" s="59">
      <c r="A10" s="6" t="inlineStr">
        <is>
          <t>Structures that must be left ATTACHED (vessels, ligaments, mesentery)</t>
        </is>
      </c>
      <c r="B10" s="7" t="n"/>
      <c r="C10" s="7" t="n"/>
      <c r="D10" s="7" t="n"/>
    </row>
    <row r="11" ht="18.4" customHeight="1" s="59">
      <c r="A11" s="8" t="inlineStr">
        <is>
          <t>Minimum acceptable specimen size / dimensions</t>
        </is>
      </c>
      <c r="B11" s="7" t="n"/>
      <c r="C11" s="7" t="n"/>
      <c r="D11" s="7" t="n"/>
    </row>
    <row r="12" ht="18.4" customHeight="1" s="59">
      <c r="A12" s="6" t="inlineStr">
        <is>
          <t>Target live weight range of the animal (lb)</t>
        </is>
      </c>
      <c r="B12" s="7" t="n"/>
      <c r="C12" s="7" t="n"/>
      <c r="D12" s="7" t="n"/>
    </row>
    <row r="13" ht="18.4" customHeight="1" s="59">
      <c r="A13" s="8" t="inlineStr">
        <is>
          <t>Absolute min / max live weight (lb)</t>
        </is>
      </c>
      <c r="B13" s="7" t="n"/>
      <c r="C13" s="7" t="n"/>
      <c r="D13" s="7" t="n"/>
    </row>
    <row r="14" ht="18.4" customHeight="1" s="59">
      <c r="A14" s="6" t="inlineStr">
        <is>
          <t>SOW (parous) acceptable?   Yes / No / Only for…</t>
        </is>
      </c>
      <c r="B14" s="7" t="n"/>
      <c r="C14" s="7" t="n"/>
      <c r="D14" s="7" t="n"/>
    </row>
    <row r="15" ht="18.4" customHeight="1" s="59">
      <c r="A15" s="8" t="inlineStr">
        <is>
          <t>If sow acceptable: max parity (number of litters)</t>
        </is>
      </c>
      <c r="B15" s="7" t="n"/>
      <c r="C15" s="7" t="n"/>
      <c r="D15" s="7" t="n"/>
    </row>
    <row r="16" ht="18.4" customHeight="1" s="59">
      <c r="A16" s="6" t="inlineStr">
        <is>
          <t>Market hog acceptable?  Target age (months)</t>
        </is>
      </c>
      <c r="B16" s="7" t="n"/>
      <c r="C16" s="7" t="n"/>
      <c r="D16" s="7" t="n"/>
    </row>
    <row r="17" ht="18.4" customHeight="1" s="59">
      <c r="A17" s="8" t="inlineStr">
        <is>
          <t>Sex required (barrow / gilt / sow / either)</t>
        </is>
      </c>
      <c r="B17" s="7" t="n"/>
      <c r="C17" s="7" t="n"/>
      <c r="D17" s="7" t="n"/>
    </row>
    <row r="18" ht="31.8" customHeight="1" s="59">
      <c r="A18" s="6" t="inlineStr">
        <is>
          <t>Max WARM ISCHEMIA time — kill to preservation (minutes)</t>
        </is>
      </c>
      <c r="B18" s="7" t="n"/>
      <c r="C18" s="7" t="n"/>
      <c r="D18" s="7" t="n"/>
    </row>
    <row r="19" ht="31.8" customHeight="1" s="59">
      <c r="A19" s="8" t="inlineStr">
        <is>
          <t>Preservation method at the plant (chill / saline / PBS / perfusion / freeze)</t>
        </is>
      </c>
      <c r="B19" s="7" t="n"/>
      <c r="C19" s="7" t="n"/>
      <c r="D19" s="7" t="n"/>
    </row>
    <row r="20" ht="18.4" customHeight="1" s="59">
      <c r="A20" s="6" t="inlineStr">
        <is>
          <t>Units needed per WEEK</t>
        </is>
      </c>
      <c r="B20" s="7" t="n"/>
      <c r="C20" s="7" t="n"/>
      <c r="D20" s="7" t="n"/>
    </row>
    <row r="21" ht="18.4" customHeight="1" s="59">
      <c r="A21" s="8" t="inlineStr">
        <is>
          <t>Units needed per MONTH (steady-state)</t>
        </is>
      </c>
      <c r="B21" s="7" t="n"/>
      <c r="C21" s="7" t="n"/>
      <c r="D21" s="7" t="n"/>
    </row>
    <row r="22" ht="18.4" customHeight="1" s="59">
      <c r="A22" s="6" t="inlineStr">
        <is>
          <t>Acceptable defect rate / rejection criteria</t>
        </is>
      </c>
      <c r="B22" s="7" t="n"/>
      <c r="C22" s="7" t="n"/>
      <c r="D22" s="7" t="n"/>
    </row>
    <row r="23" ht="31.8" customHeight="1" s="59">
      <c r="A23" s="8" t="inlineStr">
        <is>
          <t>Disqualifiers (pathology, abscess, trim damage, condemnation)</t>
        </is>
      </c>
      <c r="B23" s="7" t="n"/>
      <c r="C23" s="7" t="n"/>
      <c r="D23" s="7" t="n"/>
    </row>
    <row r="24" ht="31.8" customHeight="1" s="59">
      <c r="A24" s="6" t="inlineStr">
        <is>
          <t>Domestic use only, or EU-bound?  (drives the inspection requirement)</t>
        </is>
      </c>
      <c r="B24" s="7" t="n"/>
      <c r="C24" s="7" t="n"/>
      <c r="D24" s="7" t="n"/>
    </row>
    <row r="25" ht="15" customHeight="1" s="59"/>
    <row r="26" ht="19.7" customHeight="1" s="59">
      <c r="A26" s="118" t="inlineStr">
        <is>
          <t>THE DECISIONS THIS UNLOCKS</t>
        </is>
      </c>
    </row>
    <row r="27" ht="31.8" customHeight="1" s="59">
      <c r="A27" s="9" t="inlineStr">
        <is>
          <t>DECISION 1 — Sow vs market hog</t>
        </is>
      </c>
      <c r="B27" s="68" t="inlineStr">
        <is>
          <t>Circle one:   MARKET HOG ONLY   /   SOW ACCEPTABLE   /   SOW PREFERRED (urogyn)   /   DEPENDS BY BLOCK (specify above)</t>
        </is>
      </c>
      <c r="C27" s="64" t="n"/>
      <c r="D27" s="65" t="n"/>
    </row>
    <row r="28" ht="45.2" customHeight="1" s="59">
      <c r="A28" s="9" t="inlineStr">
        <is>
          <t>If MARKET HOG ONLY →</t>
        </is>
      </c>
      <c r="B28" s="68" t="inlineStr">
        <is>
          <t>Remove Gunnoe (VA), Kansas City Sausage (NC), Swaggerty (TN) and probably Wampler's and Williams/Tyson (TN) from the list. That leaves the NC Talmadge-Aiken swine plants (Martin's, Larry's, Bass Farms) plus Nahunta as essentially the entire realistic pool — and makes the eastern-NC cluster strategy close to mandatory.</t>
        </is>
      </c>
      <c r="C28" s="64" t="n"/>
      <c r="D28" s="65" t="n"/>
    </row>
    <row r="29" ht="45.2" customHeight="1" s="59">
      <c r="A29" s="9" t="inlineStr">
        <is>
          <t>If SOW ACCEPTABLE →</t>
        </is>
      </c>
      <c r="B29" s="68" t="inlineStr">
        <is>
          <t>The pool roughly doubles and several in-band plants come back: Gunnoe (~450-590/wk), Kansas City Sausage (~3,500-5,000/wk), plus the TN sow plants. Sow anatomy is also closer to ADULT HUMAN SCALE than a 250 lb market hog, which may be a product advantage.</t>
        </is>
      </c>
      <c r="C29" s="64" t="n"/>
      <c r="D29" s="65" t="n"/>
    </row>
    <row r="30" ht="45.2" customHeight="1" s="59">
      <c r="A30" s="9" t="inlineStr">
        <is>
          <t>DECISION 2 — EU exposure</t>
        </is>
      </c>
      <c r="B30" s="68" t="inlineStr">
        <is>
          <t>Which blocks (if any) are destined for EUROPE?  If WE harvest it, the plant needs USDA/FSIS inspection or NC state inspection (APHIS-accepted equivalent) — Nahunta qualifies, and the model is assembled at ATM. If a DIRECT supplier ships us finished blocks, that supplier must hold APHIS certification.</t>
        </is>
      </c>
      <c r="C30" s="64" t="n"/>
      <c r="D30" s="65" t="n"/>
    </row>
    <row r="31" ht="31.8" customHeight="1" s="59">
      <c r="A31" s="9" t="inlineStr">
        <is>
          <t>DECISION 3 — Ischemia tolerance</t>
        </is>
      </c>
      <c r="B31" s="68" t="inlineStr">
        <is>
          <t>If max warm ischemia is TIGHT (minutes), Model A on-site harvesting is effectively mandatory and buy-direct is out. If it is loose (hours), buy-direct and Model B both stay viable — which materially widens the supplier pool.</t>
        </is>
      </c>
      <c r="C31" s="64" t="n"/>
      <c r="D31" s="65" t="n"/>
    </row>
    <row r="32" ht="15" customHeight="1" s="59"/>
    <row r="33" ht="18.4" customHeight="1" s="59">
      <c r="A33" s="71" t="inlineStr">
        <is>
          <t>Signed off by: ______________________    Date: ____________    → then update the Action Items contact order to match.</t>
        </is>
      </c>
    </row>
  </sheetData>
  <mergeCells count="11">
    <mergeCell ref="A1:D1"/>
    <mergeCell ref="B28:D28"/>
    <mergeCell ref="A6:D6"/>
    <mergeCell ref="B31:D31"/>
    <mergeCell ref="A4:D4"/>
    <mergeCell ref="A26:D26"/>
    <mergeCell ref="B27:D27"/>
    <mergeCell ref="B30:D30"/>
    <mergeCell ref="A2:D2"/>
    <mergeCell ref="A33:D33"/>
    <mergeCell ref="B29:D29"/>
  </mergeCells>
  <pageMargins left="0.35" right="0.35" top="0.45" bottom="0.45" header="0.5" footer="0.5"/>
  <pageSetup orientation="landscape" fitToHeight="0" fitToWidth="1"/>
  <headerFooter>
    <oddHeader/>
    <oddFooter>&amp;L&amp;8 Anatomical Spec&amp;R&amp;8 Page &amp;P of &amp;N</oddFooter>
    <evenHeader/>
    <evenFooter/>
    <firstHeader/>
    <firstFooter/>
  </headerFooter>
</worksheet>
</file>

<file path=xl/worksheets/sheet5.xml><?xml version="1.0" encoding="utf-8"?>
<worksheet xmlns="http://schemas.openxmlformats.org/spreadsheetml/2006/main">
  <sheetPr>
    <tabColor rgb="00808080"/>
    <outlinePr summaryBelow="1" summaryRight="1"/>
    <pageSetUpPr fitToPage="1"/>
  </sheetPr>
  <dimension ref="A1:B63"/>
  <sheetViews>
    <sheetView showGridLines="0" workbookViewId="0">
      <selection activeCell="A1" sqref="A1:B1"/>
    </sheetView>
  </sheetViews>
  <sheetFormatPr baseColWidth="8" defaultRowHeight="14.4"/>
  <cols>
    <col width="26" customWidth="1" style="59" min="1" max="1"/>
    <col width="104" customWidth="1" style="59" min="2" max="2"/>
  </cols>
  <sheetData>
    <row r="1" ht="25.1" customHeight="1" s="59">
      <c r="A1" s="117" t="inlineStr">
        <is>
          <t>Legend, Status Codes &amp; Fit Scoring</t>
        </is>
      </c>
    </row>
    <row r="2" ht="15" customHeight="1" s="59"/>
    <row r="3" ht="19.7" customHeight="1" s="59">
      <c r="A3" s="118" t="inlineStr">
        <is>
          <t>STATUS / FIT CODES  (used in the roster 'Fit' column)</t>
        </is>
      </c>
    </row>
    <row r="4" ht="18.4" customHeight="1" s="59">
      <c r="A4" s="10" t="inlineStr">
        <is>
          <t>STRONG FIT</t>
        </is>
      </c>
      <c r="B4" s="11" t="inlineStr">
        <is>
          <t>Volume in band, hogs, USDA-inspected, welfare signal present, plausible for Model A or B. Prioritize outreach.</t>
        </is>
      </c>
    </row>
    <row r="5" ht="18.4" customHeight="1" s="59">
      <c r="A5" s="12" t="inlineStr">
        <is>
          <t>POSSIBLE</t>
        </is>
      </c>
      <c r="B5" s="11" t="inlineStr">
        <is>
          <t>Meets most criteria; one or more items unverified (usually volume or cert). Worth a call.</t>
        </is>
      </c>
    </row>
    <row r="6" ht="18.4" customHeight="1" s="59">
      <c r="A6" s="12" t="inlineStr">
        <is>
          <t>CAUTION</t>
        </is>
      </c>
      <c r="B6" s="11" t="inlineStr">
        <is>
          <t>A material mismatch (volume edge, cert gap, or culture concern) — call, but temper expectations.</t>
        </is>
      </c>
    </row>
    <row r="7" ht="31.8" customHeight="1" s="59">
      <c r="A7" s="13" t="inlineStr">
        <is>
          <t>OUT / FLAG</t>
        </is>
      </c>
      <c r="B7" s="11" t="inlineStr">
        <is>
          <t>Fails a hard criterion (wrong species, no hog slaughter, far outside volume band, or a certification gap that matters).</t>
        </is>
      </c>
    </row>
    <row r="8" ht="18.4" customHeight="1" s="59">
      <c r="A8" s="14" t="inlineStr">
        <is>
          <t>REFERENCE</t>
        </is>
      </c>
      <c r="B8" s="11" t="inlineStr">
        <is>
          <t>Existing/known supplier included as a benchmark (Nahunta, Martin's).</t>
        </is>
      </c>
    </row>
    <row r="9" ht="15" customHeight="1" s="59"/>
    <row r="10" ht="19.7" customHeight="1" s="59">
      <c r="A10" s="118" t="inlineStr">
        <is>
          <t>VOLUME TIERS  (capacity is OPEN — tier classifies, it does not exclude)</t>
        </is>
      </c>
    </row>
    <row r="11" ht="45.2" customHeight="1" s="59">
      <c r="A11" s="15" t="inlineStr">
        <is>
          <t>SMALL — 0-300 hogs/week</t>
        </is>
      </c>
      <c r="B11" s="11" t="inlineStr">
        <is>
          <t>High-touch, family-scale, often the best welfare culture and the easiest to negotiate bespoke access with. Best for Model A (our harvesters on their floor) and for pilot / low-volume tissue programs. Usually needs AGGREGATION across several nearby plants to reach meaningful volume — which only works if they are close enough to share one crew.</t>
        </is>
      </c>
    </row>
    <row r="12" ht="45.2" customHeight="1" s="59">
      <c r="A12" s="16" t="inlineStr">
        <is>
          <t>MEDIUM — 350-2,500 hogs/week</t>
        </is>
      </c>
      <c r="B12" s="11" t="inlineStr">
        <is>
          <t>The sweet spot for a recurring single-plant program: enough throughput to matter, small enough to stay relationship-driven and to accommodate a third-party harvest crew. Both Model A and Model B are realistic. Note this band is genuinely scarce in the US.</t>
        </is>
      </c>
    </row>
    <row r="13" ht="58.6" customHeight="1" s="59">
      <c r="A13" s="17" t="inlineStr">
        <is>
          <t>MEDIUM-HIGH — 2,500-5,000 hogs/week</t>
        </is>
      </c>
      <c r="B13" s="11" t="inlineStr">
        <is>
          <t>Regional packers and CULL-SOW plants cluster here (~500-1,000 head/day). Volume is comfortable and sow anatomy is closer to adult human scale — potentially a product advantage for pelvic and bariatric blocks. Access is negotiable but more structured than at Medium: expect a formal agreement, scheduled harvest windows and their HACCP governing the floor.</t>
        </is>
      </c>
    </row>
    <row r="14" ht="45.2" customHeight="1" s="59">
      <c r="A14" s="18" t="inlineStr">
        <is>
          <t>HIGH — over 5,000 hogs/week</t>
        </is>
      </c>
      <c r="B14" s="11" t="inlineStr">
        <is>
          <t>Industrial scale. Volume is never the constraint; ACCESS is. Realistically Model B (they harvest to our spec) or a dedicated biologics / organ program. Worth pursuing where a plant ALREADY runs organ or tissue harvesting — that existing programme, not the head count, is the reason to be there.</t>
        </is>
      </c>
    </row>
    <row r="15" ht="31.8" customHeight="1" s="59">
      <c r="A15" s="19" t="inlineStr">
        <is>
          <t>unknown (confirm)</t>
        </is>
      </c>
      <c r="B15" s="11" t="inlineStr">
        <is>
          <t>Weekly hog throughput is not published for most small and custom plants. Set the tier on the qualifying call — ask 'how many hogs did you kill LAST WEEK?', not capacity, and not head across all species.</t>
        </is>
      </c>
    </row>
    <row r="16" ht="45.2" customHeight="1" s="59">
      <c r="A16" s="19" t="inlineStr">
        <is>
          <t>NOTE — boundaries</t>
        </is>
      </c>
      <c r="B16" s="11" t="inlineStr">
        <is>
          <t>301-349/wk sits between Small and Medium, and 2,500/wk is the Medium / Medium-High hinge. Anything landing on a boundary is judged on its other merits (welfare, certification, organ capability, model fit) rather than forced into a band.</t>
        </is>
      </c>
    </row>
    <row r="17" ht="15" customHeight="1" s="59"/>
    <row r="18" ht="19.7" customHeight="1" s="59">
      <c r="A18" s="118" t="inlineStr">
        <is>
          <t>CERTIFICATION COLUMN CODES</t>
        </is>
      </c>
    </row>
    <row r="19" ht="18.4" customHeight="1" s="59">
      <c r="A19" s="6" t="inlineStr">
        <is>
          <t>USDA ✓</t>
        </is>
      </c>
      <c r="B19" s="11" t="inlineStr">
        <is>
          <t>Federally inspected (FSIS) slaughter — grant of inspection.</t>
        </is>
      </c>
    </row>
    <row r="20" ht="18.4" customHeight="1" s="59">
      <c r="A20" s="6" t="inlineStr">
        <is>
          <t>State ✓</t>
        </is>
      </c>
      <c r="B20" s="11" t="inlineStr">
        <is>
          <t>State meat-inspection program (equal-to FSIS for intrastate sale).</t>
        </is>
      </c>
    </row>
    <row r="21" ht="18.4" customHeight="1" s="59">
      <c r="A21" s="6" t="inlineStr">
        <is>
          <t>Custom-exempt</t>
        </is>
      </c>
      <c r="B21" s="11" t="inlineStr">
        <is>
          <t>Custom/exempt plant — NOT continuously inspected; product not for general commerce. FLAG for our use.</t>
        </is>
      </c>
    </row>
    <row r="22" ht="31.8" customHeight="1" s="59">
      <c r="A22" s="6" t="inlineStr">
        <is>
          <t>APHIS ✓ / n/a</t>
        </is>
      </c>
      <c r="B22" s="11" t="inlineStr">
        <is>
          <t>APHIS certification relates to animal-health/export programs; note where relevant. 'n/a' = not the applicable regime for this plant.</t>
        </is>
      </c>
    </row>
    <row r="23" ht="18.4" customHeight="1" s="59">
      <c r="A23" s="6" t="inlineStr">
        <is>
          <t>unknown</t>
        </is>
      </c>
      <c r="B23" s="11" t="inlineStr">
        <is>
          <t>Not published / not confirmed — MUST verify by phone.</t>
        </is>
      </c>
    </row>
    <row r="24" ht="15" customHeight="1" s="59"/>
    <row r="25" ht="19.7" customHeight="1" s="59">
      <c r="A25" s="118" t="inlineStr">
        <is>
          <t>HOW 'FIT' IS JUDGED  (weighting, not a hard formula)</t>
        </is>
      </c>
    </row>
    <row r="26" ht="18.4" customHeight="1" s="59">
      <c r="A26" s="6" t="inlineStr">
        <is>
          <t>Hog slaughter present</t>
        </is>
      </c>
      <c r="B26" s="11" t="inlineStr">
        <is>
          <t>Hard gate — no hogs, out of scope.</t>
        </is>
      </c>
    </row>
    <row r="27" ht="31.8" customHeight="1" s="59">
      <c r="A27" s="6" t="inlineStr">
        <is>
          <t>Weekly volume</t>
        </is>
      </c>
      <c r="B27" s="11" t="inlineStr">
        <is>
          <t>NOT a gate — capacity is open. Recorded as a TIER (Small / Medium / High) that shapes the operating model and whether aggregation is needed.</t>
        </is>
      </c>
    </row>
    <row r="28" ht="18.4" customHeight="1" s="59">
      <c r="A28" s="6" t="inlineStr">
        <is>
          <t>USDA / APHIS status</t>
        </is>
      </c>
      <c r="B28" s="11" t="inlineStr">
        <is>
          <t>Preferred; a gap is flagged, not always fatal (depends on our use + Model).</t>
        </is>
      </c>
    </row>
    <row r="29" ht="18.4" customHeight="1" s="59">
      <c r="A29" s="6" t="inlineStr">
        <is>
          <t>Welfare &amp; culture</t>
        </is>
      </c>
      <c r="B29" s="11" t="inlineStr">
        <is>
          <t>Strong tie-breaker — the Nahunta differentiator.</t>
        </is>
      </c>
    </row>
    <row r="30" ht="18.4" customHeight="1" s="59">
      <c r="A30" s="6" t="inlineStr">
        <is>
          <t>Model A or B feasible</t>
        </is>
      </c>
      <c r="B30" s="11" t="inlineStr">
        <is>
          <t>At least one operating model must be plausible.</t>
        </is>
      </c>
    </row>
    <row r="31" ht="18.4" customHeight="1" s="59">
      <c r="A31" s="6" t="inlineStr">
        <is>
          <t>Organ/tissue capability</t>
        </is>
      </c>
      <c r="B31" s="11" t="inlineStr">
        <is>
          <t>Bonus; especially valuable for pelvic/bariatric/thoracic blocks.</t>
        </is>
      </c>
    </row>
    <row r="32" ht="15" customHeight="1" s="59"/>
    <row r="33" ht="19.7" customHeight="1" s="59">
      <c r="A33" s="119" t="inlineStr">
        <is>
          <t>MARKERS ADDED AFTER CLIENT INPUT</t>
        </is>
      </c>
    </row>
    <row r="34" ht="45.2" customHeight="1" s="59">
      <c r="A34" s="55" t="inlineStr">
        <is>
          <t>★★ PRIORITY CONTACT</t>
        </is>
      </c>
      <c r="B34" s="56" t="inlineStr">
        <is>
          <t>Client-flagged for outreach. Currently the two tissue collectors (Scientific Protein Laboratories, DeWied International) — they are not tissue suppliers to us but already run our Model A at industrial scale, so their line-access networks are the map we need. See Action 0c.</t>
        </is>
      </c>
    </row>
    <row r="35" ht="45.2" customHeight="1" s="59">
      <c r="A35" s="170" t="inlineStr">
        <is>
          <t>★ CURRENT SUPPLIER</t>
        </is>
      </c>
      <c r="B35" s="130" t="inlineStr">
        <is>
          <t>Added 2026-08-17. One of the five plants the client works with today: Nahunta, Martin's, Custom Quality Packers (client harvesters on site at all three), Parks (low-quantity roaster work) and Villari (leaf fat only). Ground truth from the client, 2026-08-17; blue fill in the Fit column.</t>
        </is>
      </c>
    </row>
    <row r="36" ht="45.2" customHeight="1" s="59">
      <c r="A36" s="170" t="inlineStr">
        <is>
          <t>WATCH</t>
        </is>
      </c>
      <c r="B36" s="130" t="inlineStr">
        <is>
          <t>Added 2026-08-17. Not usable today but worth tracking — e.g. Bass Farms (brand-new sow-only grant, organs going to waste, micro volume) and Caudle Meat (NCAMPI grantee with no inspection grant yet — possible new Greene Co. capacity).</t>
        </is>
      </c>
    </row>
    <row r="37" ht="31.8" customHeight="1" s="59">
      <c r="A37" s="90" t="inlineStr">
        <is>
          <t>❌ DOMESTIC ONLY
(WITHDRAWN)</t>
        </is>
      </c>
      <c r="B37" s="130" t="inlineStr">
        <is>
          <t>NO LONGER IN USE. This marker was applied to Nahunta and state-inspected plants before APHIS confirmed that NC state inspection counts as equivalent. Nahunta output can go international. Disregard any domestic-only marking.</t>
        </is>
      </c>
    </row>
    <row r="38" ht="15" customHeight="1" s="59"/>
    <row r="39" ht="19.7" customHeight="1" s="59">
      <c r="A39" s="87" t="inlineStr">
        <is>
          <t>UPDATED AFTER THE MEETING (2026-08)</t>
        </is>
      </c>
    </row>
    <row r="40" ht="31.8" customHeight="1" s="59">
      <c r="A40" s="88" t="inlineStr">
        <is>
          <t>✅ Path 1 — WE HARVEST</t>
        </is>
      </c>
      <c r="B40" s="56" t="inlineStr">
        <is>
          <t>Slaughterhouse we harvest at. Needs USDA/FSIS inspection only; APHIS NOT required of the plant. Model assembled at ATM carries the export.</t>
        </is>
      </c>
    </row>
    <row r="41" ht="31.8" customHeight="1" s="59">
      <c r="A41" s="89" t="inlineStr">
        <is>
          <t>⛔ Path 2 — DIRECT SUPPLY</t>
        </is>
      </c>
      <c r="B41" s="56" t="inlineStr">
        <is>
          <t>Supplier ships us finished tissue blocks. APHIS certification IS REQUIRED — a gating requirement for every direct tissue supplier.</t>
        </is>
      </c>
    </row>
    <row r="42" ht="15" customHeight="1" s="59">
      <c r="A42" s="131" t="n"/>
      <c r="B42" s="56" t="n"/>
    </row>
    <row r="43" ht="15" customHeight="1" s="59"/>
    <row r="44" ht="19.7" customHeight="1" s="59">
      <c r="A44" s="100" t="inlineStr">
        <is>
          <t>MODEL A PROXIMITY &amp; STATE-INSPECTION SCOPE</t>
        </is>
      </c>
    </row>
    <row r="45" ht="31.8" customHeight="1" s="59">
      <c r="A45" s="88" t="inlineStr">
        <is>
          <t>YES (est.)</t>
        </is>
      </c>
      <c r="B45" s="56" t="inlineStr">
        <is>
          <t>Within ~120 miles — PREFERRED for Model A. Same-day round trip, and can share one crew with other plants in the radius.</t>
        </is>
      </c>
    </row>
    <row r="46" ht="18.4" customHeight="1" s="59">
      <c r="A46" s="89" t="inlineStr">
        <is>
          <t>NO / NO (est.)</t>
        </is>
      </c>
      <c r="B46" s="56" t="inlineStr">
        <is>
          <t>Outside ~120 miles. Model A becomes costly; treat Model B (they harvest to our spec) as the default for these.</t>
        </is>
      </c>
    </row>
    <row r="47" ht="31.8" customHeight="1" s="59">
      <c r="A47" s="113" t="inlineStr">
        <is>
          <t>mixed / confirm</t>
        </is>
      </c>
      <c r="B47" s="56" t="inlineStr">
        <is>
          <t>A roll-up spanning several locations, or a plant whose distance has not been measured. Resolve on the qualifying call.</t>
        </is>
      </c>
    </row>
    <row r="48" ht="31.8" customHeight="1" s="59">
      <c r="A48" s="88" t="inlineStr">
        <is>
          <t>NC state = equivalent</t>
        </is>
      </c>
      <c r="B48" s="56" t="inlineStr">
        <is>
          <t>APHIS accepts NC state inspection as equivalent to federal. ONLY NC — state inspection in any other state is NOT accepted.</t>
        </is>
      </c>
    </row>
    <row r="49" ht="15" customHeight="1" s="59"/>
    <row r="50" ht="19.7" customHeight="1" s="59">
      <c r="A50" s="118" t="inlineStr">
        <is>
          <t>ANIMAL CLASS (FSIS FLAGS) — read this column before anything else</t>
        </is>
      </c>
    </row>
    <row r="51" ht="58.6" customHeight="1" s="59">
      <c r="A51" s="144" t="inlineStr">
        <is>
          <t>Why it matters</t>
        </is>
      </c>
      <c r="B51" s="11" t="inlineStr">
        <is>
          <t>This column is USDA's OWN answer to 'what kind of pig does this plant kill', taken from the FSIS Establishment Demographic Data rather than inferred from a state activity code. It is the single most decision-relevant field in the roster, because a plant that kills only cull sows cannot give you market-weight anatomy no matter how good everything else about it looks — and roughly a third of the plants that survive the volume test are sow-only.</t>
        </is>
      </c>
    </row>
    <row r="52" ht="31.8" customHeight="1" s="59">
      <c r="A52" s="144" t="inlineStr">
        <is>
          <t>MARKET</t>
        </is>
      </c>
      <c r="B52" s="11" t="inlineStr">
        <is>
          <t>market_swine_slaughter = Yes. Standard market-weight butcher hogs, roughly 230-290 lb live. This is the class most pelvic / bariatric / thoracic block work assumes. If you only read one flag, read this one.</t>
        </is>
      </c>
    </row>
    <row r="53" ht="45.2" customHeight="1" s="59">
      <c r="A53" s="144" t="inlineStr">
        <is>
          <t>SOW</t>
        </is>
      </c>
      <c r="B53" s="11" t="inlineStr">
        <is>
          <t>sow_slaughter = Yes. Cull breeding females, much larger and older. A heavily parous sow has a remodelled birth canal and a stretched abdominal wall — either disqualifying for pelvic and bariatric blocks, or a premium urogynaecology asset. That call is INTERNAL and belongs in the Anatomical Spec tab; no amount of further research settles it.</t>
        </is>
      </c>
    </row>
    <row r="54" ht="31.8" customHeight="1" s="59">
      <c r="A54" s="144" t="inlineStr">
        <is>
          <t>ROASTER</t>
        </is>
      </c>
      <c r="B54" s="11" t="inlineStr">
        <is>
          <t>roaster_swine_slaughter = Yes. Juvenile/suckling hogs. Small anatomy; usually only useful for specific paediatric or small-scale training models.</t>
        </is>
      </c>
    </row>
    <row r="55" ht="31.8" customHeight="1" s="59">
      <c r="A55" s="144" t="inlineStr">
        <is>
          <t>boar/stag</t>
        </is>
      </c>
      <c r="B55" s="11" t="inlineStr">
        <is>
          <t>boar_stag_swine_slaughter = Yes. Intact or castrated males, usually a small side-line of a market-hog plant. Rarely the reason to pick a plant, but it tells you the floor can handle heavy carcasses.</t>
        </is>
      </c>
    </row>
    <row r="56" ht="45.2" customHeight="1" s="59">
      <c r="A56" s="144" t="inlineStr">
        <is>
          <t>NO SWINE FLAGS</t>
        </is>
      </c>
      <c r="B56" s="11" t="inlineStr">
        <is>
          <t>FSIS records slaughter at this establishment but NO swine class at all. The hog-slaughter assumption is unsupported — confirm species before spending a call on volume. This is what excluded Randolph Packing / Harpley's and Triad Halal Meats, and what put Knockout Butchery, Lorentz Meats and Ruthven Meat Processing back into 'confirm first'.</t>
        </is>
      </c>
    </row>
    <row r="57" ht="19.7" customHeight="1" s="59">
      <c r="A57" s="118" t="inlineStr">
        <is>
          <t>VOLUME — HOW THE WEEKLY CEILINGS WERE DERIVED</t>
        </is>
      </c>
    </row>
    <row r="58" ht="45.2" customHeight="1" s="59">
      <c r="A58" s="144" t="inlineStr">
        <is>
          <t>The mapping</t>
        </is>
      </c>
      <c r="B58" s="11" t="inlineStr">
        <is>
          <t>FSIS publishes slaughter_volume_category, a banded head count per 360 days, not a weekly figure. It converts to hard weekly ceilings:   category 1 = fewer than 1,000 head → UNDER ~19/wk   ·   category 2 = 1,000-9,999 → ~19-192/wk   ·   category 3 = 10,000-99,999 → ~192-1,917/wk   ·   category 4 = 100,000 or more → ~1,917/wk and up.</t>
        </is>
      </c>
    </row>
    <row r="59" ht="72" customHeight="1" s="59">
      <c r="A59" s="144" t="inlineStr">
        <is>
          <t>How to use it</t>
        </is>
      </c>
      <c r="B59" s="11" t="inlineStr">
        <is>
          <t>A category is a CEILING and a floor, not an estimate — a category-3 plant might be killing 200/wk or 1,900/wk. Use it to FALSIFY a claimed figure, never to replace one. That is exactly how the 2026-08-06 pass overturned the volumes for Larry's Sausage, Acre Station, Midwest Research Swine, Fayette Packing and Bass Farms: each carried a figure that sat above its own USDA category ceiling. Treat every weekly volume in this workbook as a number to confirm on the phone.</t>
        </is>
      </c>
    </row>
    <row r="60" ht="19.7" customHeight="1" s="59">
      <c r="A60" s="118" t="inlineStr">
        <is>
          <t>OTHER CODES ADDED IN THE 2026-08-06 VERIFICATION PASS</t>
        </is>
      </c>
    </row>
    <row r="61" ht="45.2" customHeight="1" s="59">
      <c r="A61" s="144" t="inlineStr">
        <is>
          <t>DUPLICATE</t>
        </is>
      </c>
      <c r="B61" s="11" t="inlineStr">
        <is>
          <t>Fit column. The row is the same establishment as another row elsewhere on the roster, entered twice from two different directories under slightly different names. Kept so the regional counts are not silently double-counted. Use the row the note points to.</t>
        </is>
      </c>
    </row>
    <row r="62" ht="45.2" customHeight="1" s="59">
      <c r="A62" s="144" t="inlineStr">
        <is>
          <t>YES / NO · ~nn mi</t>
        </is>
      </c>
      <c r="B62" s="11" t="inlineStr">
        <is>
          <t>Distance column. Real ROAD miles from the Pikeville NC anchor (35.4971, -77.9819), routed with OSRM, not straight-line and not estimated from county. CONFIRM THE ANCHOR: if the 120-mile radius should be measured from ATM or another operating base, say so and the whole column can be recomputed.</t>
        </is>
      </c>
    </row>
    <row r="63" ht="45.2" customHeight="1" s="59">
      <c r="A63" s="144" t="inlineStr">
        <is>
          <t>⚠ Mnnnnn NOT FOUND</t>
        </is>
      </c>
      <c r="B63" s="11" t="inlineStr">
        <is>
          <t>Certification column. The roster previously carried this establishment number but no such establishment exists in the FSIS MPI directory. It is not proof the plant does not operate — it is proof we cannot call it federally inspected. Get the number on the call before anything else.</t>
        </is>
      </c>
    </row>
  </sheetData>
  <mergeCells count="11">
    <mergeCell ref="A25:B25"/>
    <mergeCell ref="A60:B60"/>
    <mergeCell ref="A57:B57"/>
    <mergeCell ref="A33:B33"/>
    <mergeCell ref="A10:B10"/>
    <mergeCell ref="A44:B44"/>
    <mergeCell ref="A1:B1"/>
    <mergeCell ref="A18:B18"/>
    <mergeCell ref="A3:B3"/>
    <mergeCell ref="A39:B39"/>
    <mergeCell ref="A50:B50"/>
  </mergeCells>
  <pageMargins left="0.35" right="0.35" top="0.45" bottom="0.45" header="0.5" footer="0.5"/>
  <pageSetup orientation="landscape" fitToHeight="0" fitToWidth="1"/>
  <headerFooter>
    <oddHeader/>
    <oddFooter>&amp;L&amp;8 Legend &amp; Scoring&amp;R&amp;8 Page &amp;P of &amp;N</oddFooter>
    <evenHeader/>
    <evenFooter/>
    <firstHeader/>
    <firstFooter/>
  </headerFooter>
</worksheet>
</file>

<file path=xl/worksheets/sheet6.xml><?xml version="1.0" encoding="utf-8"?>
<worksheet xmlns="http://schemas.openxmlformats.org/spreadsheetml/2006/main">
  <sheetPr>
    <tabColor rgb="00375623"/>
    <outlinePr summaryBelow="1" summaryRight="1"/>
    <pageSetUpPr fitToPage="1"/>
  </sheetPr>
  <dimension ref="A1:R128"/>
  <sheetViews>
    <sheetView showGridLines="0" tabSelected="1" workbookViewId="0">
      <pane ySplit="4" topLeftCell="A5" activePane="bottomLeft" state="frozen"/>
      <selection pane="bottomLeft" activeCell="B6" sqref="B6"/>
    </sheetView>
  </sheetViews>
  <sheetFormatPr baseColWidth="8" defaultRowHeight="14.4"/>
  <cols>
    <col width="26" customWidth="1" style="59" min="1" max="1"/>
    <col width="20" customWidth="1" style="59" min="2" max="2"/>
    <col width="24" customWidth="1" style="59" min="3" max="3"/>
    <col width="22" customWidth="1" style="59" min="4" max="4"/>
    <col width="15" customWidth="1" style="59" min="5" max="5"/>
    <col width="26" customWidth="1" style="59" min="6" max="6"/>
    <col width="26" customWidth="1" style="59" min="7" max="7"/>
    <col width="34" customWidth="1" style="59" min="8" max="8"/>
    <col width="32" customWidth="1" style="59" min="9" max="9"/>
    <col width="34" customWidth="1" style="59" min="10" max="10"/>
    <col width="34" customWidth="1" style="59" min="11" max="11"/>
    <col width="22" customWidth="1" style="59" min="12" max="12"/>
    <col width="14" customWidth="1" style="59" min="13" max="13"/>
    <col width="18" customWidth="1" style="59" min="14" max="14"/>
    <col width="24" customWidth="1" style="59" min="15" max="15"/>
    <col width="13" customWidth="1" style="59" min="16" max="16"/>
    <col width="9" customWidth="1" style="59" min="17" max="17"/>
    <col width="95" customWidth="1" style="59" min="18" max="18"/>
  </cols>
  <sheetData>
    <row r="1" ht="25.1" customHeight="1" s="59">
      <c r="A1" s="117" t="inlineStr">
        <is>
          <t>Supplier Roster — Slaughterhouses (hog kill), grouped by region</t>
        </is>
      </c>
    </row>
    <row r="2" ht="18.4" customHeight="1" s="59">
      <c r="A2" s="61" t="inlineStr">
        <is>
          <t>Primary: North Carolina.  Secondary: South Carolina / Tennessee / Virginia.  Then: Iowa &amp; Midwest.  'est.' = estimate to confirm by phone; 'unknown' = not published.</t>
        </is>
      </c>
    </row>
    <row r="3" ht="15" customHeight="1" s="59"/>
    <row r="4" ht="44" customHeight="1" s="59">
      <c r="A4" s="3" t="inlineStr">
        <is>
          <t>Supplier / plant</t>
        </is>
      </c>
      <c r="B4" s="3" t="inlineStr">
        <is>
          <t>Location</t>
        </is>
      </c>
      <c r="C4" s="3" t="inlineStr">
        <is>
          <t>Type</t>
        </is>
      </c>
      <c r="D4" s="3" t="inlineStr">
        <is>
          <t>Est. hogs / week</t>
        </is>
      </c>
      <c r="E4" s="3" t="inlineStr">
        <is>
          <t>Volume tier</t>
        </is>
      </c>
      <c r="F4" s="132" t="inlineStr">
        <is>
          <t>Animal class
(FSIS flags)</t>
        </is>
      </c>
      <c r="G4" s="3" t="inlineStr">
        <is>
          <t>USDA insp.</t>
        </is>
      </c>
      <c r="H4" s="3" t="inlineStr">
        <is>
          <t>USDA / FSIS enforcement</t>
        </is>
      </c>
      <c r="I4" s="3" t="inlineStr">
        <is>
          <t>APHIS export status</t>
        </is>
      </c>
      <c r="J4" s="3" t="inlineStr">
        <is>
          <t>Welfare &amp; culture</t>
        </is>
      </c>
      <c r="K4" s="3" t="inlineStr">
        <is>
          <t>Organ / tissue harvest</t>
        </is>
      </c>
      <c r="L4" s="3" t="inlineStr">
        <is>
          <t>Model A
(we harvest on-site)</t>
        </is>
      </c>
      <c r="M4" s="108" t="inlineStr">
        <is>
          <t>Within 120 mi?
(Model A pref.)</t>
        </is>
      </c>
      <c r="N4" s="3" t="inlineStr">
        <is>
          <t>Model B
(they harvest)</t>
        </is>
      </c>
      <c r="O4" s="3" t="inlineStr">
        <is>
          <t>Contact</t>
        </is>
      </c>
      <c r="P4" s="3" t="inlineStr">
        <is>
          <t>Fit</t>
        </is>
      </c>
      <c r="Q4" s="3" t="inlineStr">
        <is>
          <t>Conf.</t>
        </is>
      </c>
      <c r="R4" s="3" t="inlineStr">
        <is>
          <t>Notes / source</t>
        </is>
      </c>
    </row>
    <row r="5" ht="19.7" customHeight="1" s="59">
      <c r="A5" s="118" t="inlineStr">
        <is>
          <t>REFERENCE — existing / benchmark suppliers</t>
        </is>
      </c>
    </row>
    <row r="6" ht="192.6" customHeight="1" s="59">
      <c r="A6" s="4" t="inlineStr">
        <is>
          <t>Nahunta Pork Center</t>
        </is>
      </c>
      <c r="B6" s="68" t="inlineStr">
        <is>
          <t>Pikeville, NC</t>
        </is>
      </c>
      <c r="C6" s="68" t="inlineStr">
        <is>
          <t>Custom slaughter + pork retail</t>
        </is>
      </c>
      <c r="D6" s="68" t="inlineStr">
        <is>
          <t>~150/day claimed peak;
500+/wk (mid-2010s figure).
Current kill UNVERIFIED — ask Brandon</t>
        </is>
      </c>
      <c r="E6" s="20" t="inlineStr">
        <is>
          <t>MEDIUM
(350-2,500/wk)</t>
        </is>
      </c>
      <c r="F6" s="68" t="inlineStr">
        <is>
          <t>Yes — swine
(NC state programme;
no FSIS species flags published)</t>
        </is>
      </c>
      <c r="G6" s="68" t="inlineStr">
        <is>
          <t>STATE only
(NOT USDA)</t>
        </is>
      </c>
      <c r="H6" s="68" t="inlineStr">
        <is>
          <t>None found — and NOTE THE LIMIT: NCDA&amp;CS publishes no searchable state-plant enforcement log and FSIS reporting does not cover state plants, so welfare here is a SITE-VISIT finding. Client's own crews on-site are the best evidence.</t>
        </is>
      </c>
      <c r="I6" s="85" t="inlineStr">
        <is>
          <t>✅ EXPORTABLE — CONFIRMED. APHIS accepts NC STATE inspection as EQUIVALENT and permits Nahunta product to form part of the export once we assemble the models at ATM. Harvest sites need USDA/FSIS — or an APHIS-accepted equivalent state programme. APHIS is NOT required of the plant itself.</t>
        </is>
      </c>
      <c r="J6" s="68" t="inlineStr">
        <is>
          <t>Strong — 3rd-gen Pierce family, decades of staff tenure; the culture benchmark</t>
        </is>
      </c>
      <c r="K6" s="68" t="inlineStr">
        <is>
          <t>★ CONFIRMED LIVE 2026-08-17: the plant's own Specimen Permits page links straight to the NCDA&amp;CS Specimen Request Form (Education/Research; requires establishment sign-off). Retail organ SKUs: livers, hearts, spleens, tongues, heads, feet, chitterlings — BUT kidneys, lungs, aortas, bladders, uteri, pancreas have NO retail SKU = no competing use.</t>
        </is>
      </c>
      <c r="L6" s="68" t="inlineStr">
        <is>
          <t>Yes (already custom-slaughters 3rd-party animals)</t>
        </is>
      </c>
      <c r="M6" s="109" t="inlineStr">
        <is>
          <t>YES · ~0 mi</t>
        </is>
      </c>
      <c r="N6" s="68" t="inlineStr">
        <is>
          <t>Yes</t>
        </is>
      </c>
      <c r="O6" s="68" t="inlineStr">
        <is>
          <t>(919) 242-4735
bpierce@nahuntapork.com
GM Brandon Pierce
nahuntapork.com/specimen-permits1</t>
        </is>
      </c>
      <c r="P6" s="145" t="inlineStr">
        <is>
          <t>★ CURRENT
SUPPLIER</t>
        </is>
      </c>
      <c r="Q6" s="68" t="inlineStr">
        <is>
          <t>High</t>
        </is>
      </c>
      <c r="R6" s="68" t="inlineStr">
        <is>
          <t>★ CURRENT SUPPLIER — client crews on site; best quality and relationship of the base (client-stated 2026-08-17). VERIFIED 2026-08-17: both state grants active in the NCDA&amp;CS directory dated 2026-08-10 (P-80 processing + P-80A swine slaughter); weekly specials posted the same day — alive and current. THE PLAY: (1) standing ANNUAL specimen permit on file naming us, instead of ad-hoc filings; (2) fixed weekly harvest days aligned to their heaviest kill days; (3) take the NO-COMPETITION organs first (kidneys, lungs, aortas, bladders, uteri, pancreas — none is a retail SKU) and negotiate hearts/livers separately since those ARE retail items; (4) modest capex (harvest station, chill totes) locks floor access. WATCH-OUTS: key-person concentration on GM Brandon Pierce (founder Mack d. 2013, president Jean Pierce d. 2022); Larry Pierce is Wayne County SHERIFF and faces a general election 2026-11-03 (won his primary with 49.75%) — a loss could put him back in the business, so check in after November; Q4 is their retail peak (10-12k country hams) — expect floor/chill squeeze Oct-Dec; and confirm WHICH ENTITY signs a harvest agreement (Nahunta Slaughter House, Inc. holds the kill grant; Nahunta Pork Center is the retail arm).  [2026-08-17 focus-region pass: FSIS MPI + Demographic datasets and NCDA&amp;CS directories (dated 2026-08-10) retrieved fresh 2026-08-17; adversarially verified.]</t>
        </is>
      </c>
    </row>
    <row r="7" ht="179.2" customHeight="1" s="59">
      <c r="A7" s="4" t="inlineStr">
        <is>
          <t>Martin's Pork Products, Inc.</t>
        </is>
      </c>
      <c r="B7" s="68" t="inlineStr">
        <is>
          <t>Falcon, NC</t>
        </is>
      </c>
      <c r="C7" s="68" t="inlineStr">
        <is>
          <t>USDA (Talmadge-Aiken) slaughter + processing</t>
        </is>
      </c>
      <c r="D7" s="133" t="inlineStr">
        <is>
          <t>192–1,917/wk (FSIS cat 3 ceiling)</t>
        </is>
      </c>
      <c r="E7" s="133" t="inlineStr">
        <is>
          <t>MEDIUM
(350-2,500/wk)</t>
        </is>
      </c>
      <c r="F7" s="134" t="inlineStr">
        <is>
          <t>MARKET HOG + boar/stag
(sow: No)</t>
        </is>
      </c>
      <c r="G7" s="68" t="inlineStr">
        <is>
          <t>USDA ✓
(T-A, TA-6720)</t>
        </is>
      </c>
      <c r="H7" s="68" t="inlineStr">
        <is>
          <t>CLEAN ON EVERY CHECKABLE RECORD: no entry in any FSIS Quarterly Enforcement Report FY2025 Q1 - FY2026 Q2 (extraction validated — same PDFs surface other NC plants), and ZERO OSHA inspections 2016-2026 in federal IMIS. Narrow negatives: QERs exclude ordinary NRs (FOIA still open); Apr-Jun 2026 QER unpublished.</t>
        </is>
      </c>
      <c r="I7" s="68" t="inlineStr">
        <is>
          <t>FSIS-listed (TA-6720); NOT on public export lists — verify w/ APHIS VS</t>
        </is>
      </c>
      <c r="J7" s="68" t="inlineStr">
        <is>
          <t>Incumbent — 'ok' experience; quality issues harder to resolve (weaker culture/responsiveness than Nahunta); ~75 staff</t>
        </is>
      </c>
      <c r="K7" s="68" t="inlineStr">
        <is>
          <t>Pork slaughter + processing + wholesale</t>
        </is>
      </c>
      <c r="L7" s="68" t="inlineStr">
        <is>
          <t>Possible</t>
        </is>
      </c>
      <c r="M7" s="109" t="inlineStr">
        <is>
          <t>YES · ~45 mi</t>
        </is>
      </c>
      <c r="N7" s="68" t="inlineStr">
        <is>
          <t>Yes (incumbent)</t>
        </is>
      </c>
      <c r="O7" s="68" t="inlineStr">
        <is>
          <t>(910) 980-1501
beth@martinspork.com
President: Beth Holmes
PO Box 56, 6657 King St, Falcon</t>
        </is>
      </c>
      <c r="P7" s="145" t="inlineStr">
        <is>
          <t>★ CURRENT
SUPPLIER</t>
        </is>
      </c>
      <c r="Q7" s="68" t="inlineStr">
        <is>
          <t>High</t>
        </is>
      </c>
      <c r="R7" s="68" t="inlineStr">
        <is>
          <t>★ CURRENT SUPPLIER — client's highest-capacity plant but DIFFICULT to work with; client crews on site (client-stated 2026-08-17). VERIFIED 2026-08-17: active M6720/TA-6720 (NCDA&amp;CS TA directory dated 2026-08-10); the company BOUGHT THREE ADJACENT PARCELS in 2021 (deed 11315/0045 — 6735 King, 6751 King, 6657 Godwin St) before its 2022 re-grant — investment, not decline. President is BETH HOLMES (accountant by training — lead with economics: guaranteed weekly bench fee + per-head rate). The 'difficult' has NO regulatory explanation (clean QERs, zero OSHA) — it is relational, and there is now a named counterpart to reset it with. IRREPLACEABILITY (adversarially confirmed): every cat-3 market-hog kill floor in NC/SC/VA — Martin's, Parks, CQP — is ALREADY in our base; there is no second Martin's to find. Dependence is reduced by CONTRACT, not discovery: propose funding a dedicated harvest bay/chiller corner on the 2021-expanded footprint in exchange for a multi-year floor-access agreement; shift overflow to CQP+Flowers (Sims cluster) and Nahunta. CEILING: cat 3 caps ~1,917/wk — treat the 2,500/wk top figure as unverified. Retail outlet at Godwin (8761 Fayetteville Hwy) is separate from the kill floor.  [2026-08-17 focus-region pass: FSIS MPI + Demographic datasets and NCDA&amp;CS directories (dated 2026-08-10) retrieved fresh 2026-08-17; adversarially verified.]</t>
        </is>
      </c>
    </row>
    <row r="8" ht="19.7" customHeight="1" s="59">
      <c r="A8" s="118" t="inlineStr">
        <is>
          <t>NORTH CAROLINA — candidate slaughterhouses (primary region)</t>
        </is>
      </c>
    </row>
    <row r="9" ht="125.6" customHeight="1" s="59">
      <c r="A9" s="4" t="inlineStr">
        <is>
          <t>Piedmont Custom Meats</t>
        </is>
      </c>
      <c r="B9" s="68" t="inlineStr">
        <is>
          <t>Gibsonville, NC (SLAUGHTER)
Asheboro, NC (processing only)</t>
        </is>
      </c>
      <c r="C9" s="68" t="inlineStr">
        <is>
          <t>USDA-inspected</t>
        </is>
      </c>
      <c r="D9" s="68" t="inlineStr">
        <is>
          <t>~19-192/wk
(FSIS cat 2 ceiling)</t>
        </is>
      </c>
      <c r="E9" s="139" t="inlineStr">
        <is>
          <t>SMALL
(0-300/wk)</t>
        </is>
      </c>
      <c r="F9" s="68" t="inlineStr">
        <is>
          <t>MARKET + SOW + ROASTER + boar/stag
(M7975, Gibsonville)</t>
        </is>
      </c>
      <c r="G9" s="68" t="inlineStr">
        <is>
          <t>USDA ✓ M7975 + P7975 + V7975
(Gibsonville = slaughter.
M7975A Asheboro is PROCESSING-ONLY,
no swine flags)</t>
        </is>
      </c>
      <c r="H9" s="68" t="inlineStr">
        <is>
          <t>None found (markets AWA / Grandin-designed humane facility)</t>
        </is>
      </c>
      <c r="I9" s="68" t="inlineStr">
        <is>
          <t>FSIS Est. M7975A; not on public export lists — verify</t>
        </is>
      </c>
      <c r="J9" s="68" t="inlineStr">
        <is>
          <t>Strong — AWA-approved, written humane-handling policy, Temple-Grandin-influenced design</t>
        </is>
      </c>
      <c r="K9" s="68" t="inlineStr">
        <is>
          <t>$85 hog kill + $5.06/head DISPOSAL FEE on their own price sheet — viscera are normally discarded, i.e. organs exist and are being thrown away; recovery is a negotiation, not a rebuild. 150-lb pig minimum (their customer manual).</t>
        </is>
      </c>
      <c r="L9" s="68" t="inlineStr">
        <is>
          <t>★ BEST MODEL A HOST IN THE WEST: purpose-built harvest facility (45,000 sq ft processing at Asheboro; kill floor Gibsonville), Mon-Fri kill days by appointment, slaughter-only structure, 600+ farm clients</t>
        </is>
      </c>
      <c r="M9" s="88" t="inlineStr">
        <is>
          <t>YES · ~116 mi
(borderline)</t>
        </is>
      </c>
      <c r="N9" s="68" t="inlineStr">
        <is>
          <t>Yes — contract harvest plausible</t>
        </is>
      </c>
      <c r="O9" s="68" t="inlineStr">
        <is>
          <t>(336) 628-4949
piedmontcustommeats.com</t>
        </is>
      </c>
      <c r="P9" s="20" t="inlineStr">
        <is>
          <t>STRONG FIT</t>
        </is>
      </c>
      <c r="Q9" s="68" t="inlineStr">
        <is>
          <t>High</t>
        </is>
      </c>
      <c r="R9" s="68" t="inlineStr">
        <is>
          <t>★ UPGRADED BY THE 2026-08-17 SWEEP — THE STRONGEST WESTERN CANDIDATE, AND IT IS ACTUALLY INSIDE THE 120-MILE RADIUS (116 road mi — the earlier 'NO (est.)' was wrong). The only NC plant flagged for ALL FOUR hog classes (market + sow + roaster + boar/stag); ANIMAL WELFARE APPROVED slaughter facility on a TEMPLE GRANDIN-designed animal-handling layout with a written humane policy — the best EU-facing welfare story of any candidate; Mon-Fri kill days. LIMIT (adversarially confirmed): cat 2 = ≤~192 head/wk ACROSS ALL SPECIES (beef + 4 hog classes + sheep + goat + bison) — a Model A + welfare-story candidate, NOT a Martin's replacement. Their own disposal fee shows viscera are discarded today. A Model A pilot here is the logical next call: (336) 628-4949 (scheduling line) / (336) 584-8247.  [2026-08-17 focus-region pass: FSIS MPI + Demographic datasets and NCDA&amp;CS directories (dated 2026-08-10) retrieved fresh 2026-08-17; adversarially verified.]</t>
        </is>
      </c>
    </row>
    <row r="10" ht="98.8" customHeight="1" s="59">
      <c r="A10" s="4" t="inlineStr">
        <is>
          <t>Acre Station Meat Farm</t>
        </is>
      </c>
      <c r="B10" s="68" t="inlineStr">
        <is>
          <t>Pinetown, NC</t>
        </is>
      </c>
      <c r="C10" s="68" t="inlineStr">
        <is>
          <t>USDA-equivalent (Talmadge-Aiken)</t>
        </is>
      </c>
      <c r="D10" s="68" t="inlineStr">
        <is>
          <t>~150 hogs/wk + 6-12 cattle
(NMPAN/Firsthand profiles, dated)
FSIS cat 2 ceiling ~192/wk all species</t>
        </is>
      </c>
      <c r="E10" s="139" t="inlineStr">
        <is>
          <t>SMALL
(0-300/wk)</t>
        </is>
      </c>
      <c r="F10" s="68" t="inlineStr">
        <is>
          <t>MARKET + SOW
(roaster: No, boar/stag: No)</t>
        </is>
      </c>
      <c r="G10" s="68" t="inlineStr">
        <is>
          <t>USDA ✓ M19904 + P19904
(active federal grant)</t>
        </is>
      </c>
      <c r="H10" s="68" t="inlineStr">
        <is>
          <t>None found (Est. M19904)</t>
        </is>
      </c>
      <c r="I10" s="68" t="inlineStr">
        <is>
          <t>Not on public export lists — verify w/ APHIS VS</t>
        </is>
      </c>
      <c r="J10" s="68" t="inlineStr">
        <is>
          <t>AWA (Animal Welfare Approved) certified; family farm</t>
        </is>
      </c>
      <c r="K10" s="68" t="inlineStr">
        <is>
          <t>Own kill floor, slow line, sows on the grant — mechanically plausible, but hogs share the week with cattle/sheep/goats, so dedicated swine-organ days would be limited. Hog kill fee $0.19/lb dressed + $0.84/lb processing (own site).</t>
        </is>
      </c>
      <c r="L10" s="68" t="inlineStr">
        <is>
          <t>Plausible</t>
        </is>
      </c>
      <c r="M10" s="109" t="inlineStr">
        <is>
          <t>YES · ~88 mi</t>
        </is>
      </c>
      <c r="N10" s="68" t="inlineStr">
        <is>
          <t>Plausible</t>
        </is>
      </c>
      <c r="O10" s="68" t="inlineStr">
        <is>
          <t>(252) 927-3700
acrestationmeatfarm.com</t>
        </is>
      </c>
      <c r="P10" s="23" t="inlineStr">
        <is>
          <t>POSSIBLE</t>
        </is>
      </c>
      <c r="Q10" s="68" t="inlineStr">
        <is>
          <t>High</t>
        </is>
      </c>
      <c r="R10" s="68" t="inlineStr">
        <is>
          <t>UPDATED 2026-08-17: operating (FSIS + NCDA&amp;CS TA directories + live site). A quality/relationship add, NOT a volume answer: Nahunta-like family operation with sow class + federal TA inspection, 23 FT staff, 10,000 sq ft retail attached — but volume sits at/below Parks' scale and it is the farthest eastern plant (~2 hr from the Warsaw corridor, ~88 road mi from the anchor). Custom-exempt worry stays REFUTED (active federal grant). No welfare flags found FY2023Q4-FY2026Q3.  [2026-08-17 focus-region pass: FSIS MPI + Demographic datasets and NCDA&amp;CS directories (dated 2026-08-10) retrieved fresh 2026-08-17; adversarially verified.]</t>
        </is>
      </c>
    </row>
    <row r="11" ht="206" customHeight="1" s="59">
      <c r="A11" s="82" t="inlineStr">
        <is>
          <t>Custom Quality Packers, LLC</t>
        </is>
      </c>
      <c r="B11" s="83" t="inlineStr">
        <is>
          <t>Sims, NC</t>
        </is>
      </c>
      <c r="C11" s="83" t="inlineStr">
        <is>
          <t>Slaughter (USDA/NCDA unclear)</t>
        </is>
      </c>
      <c r="D11" s="83" t="inlineStr">
        <is>
          <t>~500/wk
(company-stated, mtg 2026-08)
FSIS cat 3 → 192-1,917/wk</t>
        </is>
      </c>
      <c r="E11" s="142" t="inlineStr">
        <is>
          <t>MEDIUM
(350-2,500/wk)</t>
        </is>
      </c>
      <c r="F11" s="133" t="inlineStr">
        <is>
          <t>MARKET + ROASTER
(sow: No, boar/stag: No)</t>
        </is>
      </c>
      <c r="G11" s="83" t="inlineStr">
        <is>
          <t>USDA ✓ M20129
(federal, delivered via the
Talmadge-Aiken programme —
TA-20129 in the NCDA&amp;CS
TA directory 2026-08-10)</t>
        </is>
      </c>
      <c r="H11" s="83" t="inlineStr">
        <is>
          <t>⚠ FOUR humane-handling actions 2018-2020, all INH-basis, each resolved in days: NOIE 2/1/2018 (deferral 2/9); SUSPENSION 2/13/2018 (abeyance 2/15); SUSPENSION 2/19/2020 (abeyance 2/20); suspension REINSTATED 5/19/2020 (abeyance 5/21). PETA formally requested a federal HMSA probe 6/11/2020. CLEAN in QERs FY2024 Q1 - FY2026 Q2. (Adversarially confirmed 2026-08-17 against FSIS's own QER tables + PETA release.)</t>
        </is>
      </c>
      <c r="I11" s="83" t="inlineStr">
        <is>
          <t>Not on public export lists — verify</t>
        </is>
      </c>
      <c r="J11" s="83" t="inlineStr">
        <is>
          <t>unknown</t>
        </is>
      </c>
      <c r="K11" s="83" t="inlineStr">
        <is>
          <t>Plausible; skin-and-scald offered</t>
        </is>
      </c>
      <c r="L11" s="83" t="inlineStr">
        <is>
          <t>Plausible</t>
        </is>
      </c>
      <c r="M11" s="109" t="inlineStr">
        <is>
          <t>YES · ~45 mi</t>
        </is>
      </c>
      <c r="N11" s="83" t="inlineStr">
        <is>
          <t>Plausible</t>
        </is>
      </c>
      <c r="O11" s="83" t="inlineStr">
        <is>
          <t>(252) 235-3558
Owner/operator: Barrett Twitty
3571 Friday Rd, Sims NC
(also owns Nash Pigg Farms +
Dean Street Processing, Bailey)</t>
        </is>
      </c>
      <c r="P11" s="145" t="inlineStr">
        <is>
          <t>★ CURRENT
SUPPLIER</t>
        </is>
      </c>
      <c r="Q11" s="83" t="inlineStr">
        <is>
          <t>High</t>
        </is>
      </c>
      <c r="R11" s="83" t="inlineStr">
        <is>
          <t>★ CURRENT SUPPLIER — client crews already harvest here, Model A live; like Parks but hosting us (client-stated 2026-08-17). VERIFIED 2026-08-17: hog-only per NCDA&amp;CS (species C), market+roaster FSIS flags, cat 3 band vs ~500/wk stated. THE CONSTRAINT IS THE BUILDING, NOT THE GRANT: the owner's own site says Dean Street Processing exists 'due to limited space at CQP'. Realistic incremental pull is an ESTIMATED +100-300 hd/wk, won by BUYING A DEDICATED CLIENT KILL DAY rather than competing for slots against Twitty's captive demand (his own Nash Pigg hogs, national boxed-roaster shipping, Firsthand Foods program, custom trade). UNIQUE UPSIDE: Twitty controls genetics and nutrition at Nash Pigg Farms — he can CONTRACT-RAISE HOGS TO OUR SPEC with birth-to-harvest traceability, which no other current supplier except Nahunta approaches, and which strengthens the EU dossier. ⚠ NEW FACT THE FILE LACKED: a 2018-2020 humane-handling history (see enforcement column) with PETA attention — audit before scaling this into THE organ host, and complete the NR FOIA. Ownership: 3-member LLC (Twitty, Piggott, Hunt; NC SOSID 1248899, inc. 2012) — key-man risk on Twitty. Firsthand Foods currently describes CQP as 'Animal Welfare Approved' — verify with A Greener World; if real, it converts the history into a documented-improvement story.  [2026-08-17 focus-region pass: FSIS MPI + Demographic datasets and NCDA&amp;CS directories (dated 2026-08-10) retrieved fresh 2026-08-17; adversarially verified.]</t>
        </is>
      </c>
    </row>
    <row r="12" ht="72" customHeight="1" s="59">
      <c r="A12" s="138" t="inlineStr">
        <is>
          <t>George Flowers Slaughter House
⟵ DUPLICATE ENTRY</t>
        </is>
      </c>
      <c r="B12" s="68" t="inlineStr">
        <is>
          <t>Sims, NC</t>
        </is>
      </c>
      <c r="C12" s="68" t="inlineStr">
        <is>
          <t>Slaughter</t>
        </is>
      </c>
      <c r="D12" s="68" t="inlineStr">
        <is>
          <t>see 'Flowers Slaughter House' below</t>
        </is>
      </c>
      <c r="E12" s="143" t="inlineStr">
        <is>
          <t>n/a</t>
        </is>
      </c>
      <c r="F12" s="68" t="inlineStr">
        <is>
          <t>see row below</t>
        </is>
      </c>
      <c r="G12" s="68" t="inlineStr">
        <is>
          <t>USDA ✓ M21747 + P21747</t>
        </is>
      </c>
      <c r="H12" s="68" t="inlineStr">
        <is>
          <t>None found (Est. M21747)</t>
        </is>
      </c>
      <c r="I12" s="68" t="inlineStr">
        <is>
          <t>Not on public export lists — verify</t>
        </is>
      </c>
      <c r="J12" s="68" t="inlineStr">
        <is>
          <t>unknown</t>
        </is>
      </c>
      <c r="K12" s="68" t="inlineStr">
        <is>
          <t>Plausible; skin-and-scald</t>
        </is>
      </c>
      <c r="L12" s="68" t="inlineStr">
        <is>
          <t>Plausible</t>
        </is>
      </c>
      <c r="M12" s="109" t="inlineStr">
        <is>
          <t>YES · ~45 mi</t>
        </is>
      </c>
      <c r="N12" s="68" t="inlineStr">
        <is>
          <t>Plausible</t>
        </is>
      </c>
      <c r="O12" s="68" t="inlineStr">
        <is>
          <t>(252) 237-2982</t>
        </is>
      </c>
      <c r="P12" s="141" t="inlineStr">
        <is>
          <t>DUPLICATE</t>
        </is>
      </c>
      <c r="Q12" s="68" t="inlineStr">
        <is>
          <t>High</t>
        </is>
      </c>
      <c r="R12" s="68" t="inlineStr">
        <is>
          <t>⚠ DUPLICATE ROW — this is the SAME establishment as 'Flowers Slaughter House (George Flowers)' listed further down in the NEWLY FOUND block: Est. M21747 + P21747, Sims NC. Both entries were created from different directories under slightly different names. Use the lower row, which carries the verified profile. Kept here only so the eastern-NC cluster count is not silently double-counted.  [Verified 2026-08-06 against FSIS Establishment Demographic Data + MPI Directory by Establishment Number.]</t>
        </is>
      </c>
    </row>
    <row r="13" ht="58.6" customHeight="1" s="59">
      <c r="A13" s="4" t="inlineStr">
        <is>
          <t>Wayne Mays Meat Processing</t>
        </is>
      </c>
      <c r="B13" s="68" t="inlineStr">
        <is>
          <t>Taylorsville, NC</t>
        </is>
      </c>
      <c r="C13" s="68" t="inlineStr">
        <is>
          <t>USDA-inspected</t>
        </is>
      </c>
      <c r="D13" s="68" t="inlineStr">
        <is>
          <t>&lt;19/wk
(FSIS cat 1)</t>
        </is>
      </c>
      <c r="E13" s="139" t="inlineStr">
        <is>
          <t>SMALL
(0-300/wk)</t>
        </is>
      </c>
      <c r="F13" s="68" t="inlineStr">
        <is>
          <t>MARKET + SOW + boar/stag</t>
        </is>
      </c>
      <c r="G13" s="68" t="inlineStr">
        <is>
          <t>USDA ✓ M21848 + P21848 + V21848</t>
        </is>
      </c>
      <c r="H13" s="25" t="inlineStr">
        <is>
          <t>⚠ Humane-handling NOS ~Aug 2020 (Est. M21848); PETA-documented pig shot 3× (2024). Recurring.</t>
        </is>
      </c>
      <c r="I13" s="68" t="inlineStr">
        <is>
          <t>Not on public export lists — verify</t>
        </is>
      </c>
      <c r="J13" s="68" t="inlineStr">
        <is>
          <t>AWA + Certified Organic — strong welfare signals</t>
        </is>
      </c>
      <c r="K13" s="68" t="inlineStr">
        <is>
          <t>Plausible</t>
        </is>
      </c>
      <c r="L13" s="68" t="inlineStr">
        <is>
          <t>Plausible</t>
        </is>
      </c>
      <c r="M13" s="110" t="inlineStr">
        <is>
          <t>NO · ~218 mi</t>
        </is>
      </c>
      <c r="N13" s="68" t="inlineStr">
        <is>
          <t>Plausible</t>
        </is>
      </c>
      <c r="O13" s="68" t="inlineStr">
        <is>
          <t>(828) 634-2034
maysmeats.net</t>
        </is>
      </c>
      <c r="P13" s="23" t="inlineStr">
        <is>
          <t>CAUTION</t>
        </is>
      </c>
      <c r="Q13" s="68" t="inlineStr">
        <is>
          <t>High</t>
        </is>
      </c>
      <c r="R13" s="68" t="inlineStr">
        <is>
          <t>RESOLVED: active federal grant M21848 + P21848 + V21848. Species flags are broad (market, sow, boar/stag) but FSIS slaughter_volume_category = 1 = FEWER THAN 1,000 HEAD PER YEAR — under ~19/wk. Too small to anchor anything; keep only as a cluster or overflow site.  [Verified 2026-08-06 against FSIS Establishment Demographic Data + MPI Directory by Establishment Number.]</t>
        </is>
      </c>
    </row>
    <row r="14" ht="85.40000000000001" customHeight="1" s="59">
      <c r="A14" s="138" t="inlineStr">
        <is>
          <t>M.L. Mitchell &amp; Son
(FSIS lists Mitchell's Meat Processing, LLC)</t>
        </is>
      </c>
      <c r="B14" s="68" t="inlineStr">
        <is>
          <t>Walnut Cove, NC</t>
        </is>
      </c>
      <c r="C14" s="68" t="inlineStr">
        <is>
          <t>USDA-inspected</t>
        </is>
      </c>
      <c r="D14" s="68" t="inlineStr">
        <is>
          <t>&lt;19/wk
(FSIS cat 1)</t>
        </is>
      </c>
      <c r="E14" s="139" t="inlineStr">
        <is>
          <t>SMALL
(0-300/wk)</t>
        </is>
      </c>
      <c r="F14" s="68" t="inlineStr">
        <is>
          <t>MARKET + SOW + boar/stag</t>
        </is>
      </c>
      <c r="G14" s="68" t="inlineStr">
        <is>
          <t>USDA ✓ M46822 + P46822
(listed as Mitchell's Meat Processing)</t>
        </is>
      </c>
      <c r="H14" s="25" t="inlineStr">
        <is>
          <t>⚠ Slaughter suspension Aug 2021 — egregious (failed goat stun, conscious throat-cut). PETA→DA.</t>
        </is>
      </c>
      <c r="I14" s="68" t="inlineStr">
        <is>
          <t>Not on public export lists — verify</t>
        </is>
      </c>
      <c r="J14" s="68" t="inlineStr">
        <is>
          <t>Family business (culture signal)</t>
        </is>
      </c>
      <c r="K14" s="68" t="inlineStr">
        <is>
          <t>Plausible</t>
        </is>
      </c>
      <c r="L14" s="68" t="inlineStr">
        <is>
          <t>Plausible</t>
        </is>
      </c>
      <c r="M14" s="110" t="inlineStr">
        <is>
          <t>NO · ~160 mi</t>
        </is>
      </c>
      <c r="N14" s="68" t="inlineStr">
        <is>
          <t>Plausible</t>
        </is>
      </c>
      <c r="O14" s="68" t="inlineStr">
        <is>
          <t>(336) 591-7420</t>
        </is>
      </c>
      <c r="P14" s="23" t="inlineStr">
        <is>
          <t>CAUTION</t>
        </is>
      </c>
      <c r="Q14" s="68" t="inlineStr">
        <is>
          <t>High</t>
        </is>
      </c>
      <c r="R14" s="68" t="inlineStr">
        <is>
          <t>UPDATED 2026-08-17 — SKIP. Volume cat 1 (&lt;19/wk all species), a 2021 EGREGIOUS humane-handling suspension flag at this Walnut Cove operation (failed stun, conscious cut), and its sister processing plant Mitchell's Chop Shop (M46822B, King NC) went FSIS-INACTIVE 7/14/2026 — a consolidation/retrenchment signal. Poor fit for an EU-exposed welfare narrative; 160 road mi out.  [2026-08-17 focus-region pass: FSIS MPI + Demographic datasets and NCDA&amp;CS directories (dated 2026-08-10) retrieved fresh 2026-08-17; adversarially verified.]</t>
        </is>
      </c>
    </row>
    <row r="15" ht="85.40000000000001" customHeight="1" s="59">
      <c r="A15" s="4" t="inlineStr">
        <is>
          <t>Key Packing Company, Inc.</t>
        </is>
      </c>
      <c r="B15" s="68" t="inlineStr">
        <is>
          <t>Robbins, NC</t>
        </is>
      </c>
      <c r="C15" s="68" t="inlineStr">
        <is>
          <t>NCDA state-inspected</t>
        </is>
      </c>
      <c r="D15" s="68" t="inlineStr">
        <is>
          <t>unknown (small)</t>
        </is>
      </c>
      <c r="E15" s="22" t="inlineStr">
        <is>
          <t>SMALL
(0-300/wk)</t>
        </is>
      </c>
      <c r="F15" s="68" t="inlineStr">
        <is>
          <t>Yes</t>
        </is>
      </c>
      <c r="G15" s="68" t="inlineStr">
        <is>
          <t>STATE only
(NOT USDA — no FSIS record)</t>
        </is>
      </c>
      <c r="H15" s="68" t="inlineStr">
        <is>
          <t>None found (state-inspected; federal FSIS enforcement n/a)</t>
        </is>
      </c>
      <c r="I15" s="68" t="inlineStr">
        <is>
          <t>State-inspected; not on public export lists — verify</t>
        </is>
      </c>
      <c r="J15" s="68" t="inlineStr">
        <is>
          <t>Family-owned (Key family); custom slaughter for independent farmers</t>
        </is>
      </c>
      <c r="K15" s="68" t="inlineStr">
        <is>
          <t>Plausible</t>
        </is>
      </c>
      <c r="L15" s="68" t="inlineStr">
        <is>
          <t>Plausible</t>
        </is>
      </c>
      <c r="M15" s="109" t="inlineStr">
        <is>
          <t>YES · ~116 mi</t>
        </is>
      </c>
      <c r="N15" s="68" t="inlineStr">
        <is>
          <t>Plausible</t>
        </is>
      </c>
      <c r="O15" s="68" t="inlineStr">
        <is>
          <t>(910) 464-3507
keypackingcompany.com</t>
        </is>
      </c>
      <c r="P15" s="23" t="inlineStr">
        <is>
          <t>POSSIBLE</t>
        </is>
      </c>
      <c r="Q15" s="68" t="inlineStr">
        <is>
          <t>High</t>
        </is>
      </c>
      <c r="R15" s="68" t="inlineStr">
        <is>
          <t>CONFIRMED NEGATIVE: no establishment named 'Key Packing' appears anywhere in the FSIS MPI directory, nationally, and nothing is listed at Robbins NC. The NC state-inspection label stands, which means intrastate sales only and — under our two-path rule — no export pathway, because APHIS equivalence was granted to the NC state programme for a plant we harvest at, and that is the whole basis. 116 road miles from the anchor: borderline inside the 120-mile Model A preference.  [Verified 2026-08-06 against FSIS Establishment Demographic Data + MPI Directory by Establishment Number.]</t>
        </is>
      </c>
    </row>
    <row r="16" ht="72" customHeight="1" s="59">
      <c r="A16" s="4" t="inlineStr">
        <is>
          <t>Sessoms Packing Company</t>
        </is>
      </c>
      <c r="B16" s="68" t="inlineStr">
        <is>
          <t>Ahoskie, NC</t>
        </is>
      </c>
      <c r="C16" s="68" t="inlineStr">
        <is>
          <t>Slaughter (probable USDA)</t>
        </is>
      </c>
      <c r="D16" s="68" t="inlineStr">
        <is>
          <t>unknown</t>
        </is>
      </c>
      <c r="E16" s="24" t="inlineStr">
        <is>
          <t>unknown
(confirm)</t>
        </is>
      </c>
      <c r="F16" s="68" t="inlineStr">
        <is>
          <t>Yes</t>
        </is>
      </c>
      <c r="G16" s="68" t="inlineStr">
        <is>
          <t>NOT in the FSIS MPI directory
('probable USDA' is WITHDRAWN)</t>
        </is>
      </c>
      <c r="H16" s="68" t="inlineStr">
        <is>
          <t>None found in public sources</t>
        </is>
      </c>
      <c r="I16" s="68" t="inlineStr">
        <is>
          <t>Not on public export lists — verify</t>
        </is>
      </c>
      <c r="J16" s="68" t="inlineStr">
        <is>
          <t>unknown</t>
        </is>
      </c>
      <c r="K16" s="68" t="inlineStr">
        <is>
          <t>Plausible; whole-hog (country ham)</t>
        </is>
      </c>
      <c r="L16" s="68" t="inlineStr">
        <is>
          <t>Plausible</t>
        </is>
      </c>
      <c r="M16" s="109" t="inlineStr">
        <is>
          <t>YES · ~95 mi</t>
        </is>
      </c>
      <c r="N16" s="68" t="inlineStr">
        <is>
          <t>Plausible</t>
        </is>
      </c>
      <c r="O16" s="68" t="inlineStr">
        <is>
          <t>(252) 332-2978</t>
        </is>
      </c>
      <c r="P16" s="140" t="inlineStr">
        <is>
          <t>CAUTION</t>
        </is>
      </c>
      <c r="Q16" s="68" t="inlineStr">
        <is>
          <t>Med-High</t>
        </is>
      </c>
      <c r="R16" s="68" t="inlineStr">
        <is>
          <t>CLAIM WITHDRAWN: the earlier 'probable USDA (unconfirmed)' label had no source behind it. A national name search of the FSIS MPI directory returns nothing for 'Sessoms', and nothing is listed at Ahoskie NC beyond a processing-only establishment (North State Provision, M27219). Treat as unverified/state at best until a call establishes otherwise. Ahoskie is also ~89 road miles out.  [Verified 2026-08-06 against FSIS Establishment Demographic Data + MPI Directory by Establishment Number.]</t>
        </is>
      </c>
    </row>
    <row r="17" ht="125.6" customHeight="1" s="59">
      <c r="A17" s="138" t="inlineStr">
        <is>
          <t>Wilkes Abattoir, LLC dba Apple Brandy Prime Cuts
(formerly Thomas Brothers)</t>
        </is>
      </c>
      <c r="B17" s="68" t="inlineStr">
        <is>
          <t>North Wilkesboro, NC</t>
        </is>
      </c>
      <c r="C17" s="68" t="inlineStr">
        <is>
          <t>Slaughter</t>
        </is>
      </c>
      <c r="D17" s="68" t="inlineStr">
        <is>
          <t>~19-192/wk
(FSIS cat 2 ceiling)</t>
        </is>
      </c>
      <c r="E17" s="139" t="inlineStr">
        <is>
          <t>SMALL
(0-300/wk)</t>
        </is>
      </c>
      <c r="F17" s="68" t="inlineStr">
        <is>
          <t>MARKET + SOW + boar/stag</t>
        </is>
      </c>
      <c r="G17" s="68" t="inlineStr">
        <is>
          <t>USDA ✓ M19511 + P19511
(Wilkes Abattoir — SLAUGHTER-ONLY)</t>
        </is>
      </c>
      <c r="H17" s="25" t="inlineStr">
        <is>
          <t>⚠ REPEAT humane-handling suspensions 2009, 2015, 2018 (AWI list; Est. 19511M)</t>
        </is>
      </c>
      <c r="I17" s="68" t="inlineStr">
        <is>
          <t>Not on public export lists — verify</t>
        </is>
      </c>
      <c r="J17" s="68" t="inlineStr">
        <is>
          <t>unknown</t>
        </is>
      </c>
      <c r="K17" s="68" t="inlineStr">
        <is>
          <t>Custom abattoir serving farmers/licensed handlers — offal return is standard practice in this class (undocumented). Sow + boar flags = large-frame animals come through.</t>
        </is>
      </c>
      <c r="L17" s="68" t="inlineStr">
        <is>
          <t>Plausible</t>
        </is>
      </c>
      <c r="M17" s="110" t="inlineStr">
        <is>
          <t>NO · ~209 mi</t>
        </is>
      </c>
      <c r="N17" s="68" t="inlineStr">
        <is>
          <t>Plausible</t>
        </is>
      </c>
      <c r="O17" s="68" t="inlineStr">
        <is>
          <t>(336) 667-1346
Owner: Seth Church
abprimecuts.com</t>
        </is>
      </c>
      <c r="P17" s="23" t="inlineStr">
        <is>
          <t>CAUTION</t>
        </is>
      </c>
      <c r="Q17" s="68" t="inlineStr">
        <is>
          <t>High</t>
        </is>
      </c>
      <c r="R17" s="68" t="inlineStr">
        <is>
          <t>UPDATED 2026-08-17: hogs are ~HALF the kill (highest confirmed hog share of any western federal plant) — est. ~10-95 hogs/wk inside the cat-2 all-species ceiling. Slaughter-only structure, TA-inspected, vertically integrated with the Apple Brandy Beef brand; owner Seth Church acquired the plant Sept 2019. ⚠ WELFARE HISTORY BELONGS TO THE PRIOR OWNER: the Thomas Brothers operation at this site drew repeat FSIS humane-handling suspensions (2009/2015/2018); NO post-2019 enforcement found under Apple Brandy — an EU auditor could still surface the site history, so frame diligence accordingly. 209 road mi — outside the Model A radius; Model B or overnight-trip only. No. 2 western candidate behind Piedmont.  [2026-08-17 focus-region pass: FSIS MPI + Demographic datasets and NCDA&amp;CS directories (dated 2026-08-10) retrieved fresh 2026-08-17; adversarially verified.]</t>
        </is>
      </c>
    </row>
    <row r="18" ht="45.2" customHeight="1" s="59">
      <c r="A18" s="4" t="inlineStr">
        <is>
          <t>Cruse Meat Processing</t>
        </is>
      </c>
      <c r="B18" s="68" t="inlineStr">
        <is>
          <t>Concord, NC</t>
        </is>
      </c>
      <c r="C18" s="68" t="inlineStr">
        <is>
          <t>Slaughter</t>
        </is>
      </c>
      <c r="D18" s="68" t="inlineStr">
        <is>
          <t>&lt;19/wk
(FSIS cat 1)</t>
        </is>
      </c>
      <c r="E18" s="139" t="inlineStr">
        <is>
          <t>SMALL
(0-300/wk)</t>
        </is>
      </c>
      <c r="F18" s="68" t="inlineStr">
        <is>
          <t>MARKET only
(sow: No, roaster: No)</t>
        </is>
      </c>
      <c r="G18" s="68" t="inlineStr">
        <is>
          <t>USDA ✓ M46354</t>
        </is>
      </c>
      <c r="H18" s="68" t="inlineStr">
        <is>
          <t>None found in public sources</t>
        </is>
      </c>
      <c r="I18" s="68" t="inlineStr">
        <is>
          <t>Not on public export lists — verify</t>
        </is>
      </c>
      <c r="J18" s="68" t="inlineStr">
        <is>
          <t>unknown</t>
        </is>
      </c>
      <c r="K18" s="68" t="inlineStr">
        <is>
          <t>Plausible; skin-and-scald</t>
        </is>
      </c>
      <c r="L18" s="68" t="inlineStr">
        <is>
          <t>Plausible</t>
        </is>
      </c>
      <c r="M18" s="110" t="inlineStr">
        <is>
          <t>NO · ~168 mi</t>
        </is>
      </c>
      <c r="N18" s="68" t="inlineStr">
        <is>
          <t>Plausible</t>
        </is>
      </c>
      <c r="O18" s="68" t="inlineStr">
        <is>
          <t>(704) 786-8616</t>
        </is>
      </c>
      <c r="P18" s="23" t="inlineStr">
        <is>
          <t>POSSIBLE</t>
        </is>
      </c>
      <c r="Q18" s="68" t="inlineStr">
        <is>
          <t>High</t>
        </is>
      </c>
      <c r="R18" s="68" t="inlineStr">
        <is>
          <t>RESOLVED: active federal grant M46354, Concord NC. Market hogs only. FSIS slaughter_volume_category = 1 = under ~19/wk, and it is 168 road miles out — fails both the volume and the 120-mile Model A test.  [Verified 2026-08-06 against FSIS Establishment Demographic Data + MPI Directory by Establishment Number.]</t>
        </is>
      </c>
    </row>
    <row r="19" ht="72" customHeight="1" s="59">
      <c r="A19" s="4" t="inlineStr">
        <is>
          <t>Triad Meat Custom Processing</t>
        </is>
      </c>
      <c r="B19" s="68" t="inlineStr">
        <is>
          <t>Madison, NC</t>
        </is>
      </c>
      <c r="C19" s="68" t="inlineStr">
        <is>
          <t>Slaughter</t>
        </is>
      </c>
      <c r="D19" s="68" t="inlineStr">
        <is>
          <t>n/a — no swine</t>
        </is>
      </c>
      <c r="E19" s="143" t="inlineStr">
        <is>
          <t>n/a</t>
        </is>
      </c>
      <c r="F19" s="68" t="inlineStr">
        <is>
          <t>NO SWINE FLAGS</t>
        </is>
      </c>
      <c r="G19" s="68" t="inlineStr">
        <is>
          <t>USDA ✓ M46085 + P46085
(FSIS lists Triad Halal Meats LLC)</t>
        </is>
      </c>
      <c r="H19" s="25" t="inlineStr">
        <is>
          <t>⚠ FSIS suspension ~Dec 2025 (Est. M46085; cause unspecified in public snippets)</t>
        </is>
      </c>
      <c r="I19" s="68" t="inlineStr">
        <is>
          <t>Not on public export lists — verify</t>
        </is>
      </c>
      <c r="J19" s="68" t="inlineStr">
        <is>
          <t>AWA (welfare signal)</t>
        </is>
      </c>
      <c r="K19" s="68" t="inlineStr">
        <is>
          <t>Plausible</t>
        </is>
      </c>
      <c r="L19" s="68" t="inlineStr">
        <is>
          <t>No — no swine slaughter</t>
        </is>
      </c>
      <c r="M19" s="110" t="inlineStr">
        <is>
          <t>NO · ~159 mi</t>
        </is>
      </c>
      <c r="N19" s="68" t="inlineStr">
        <is>
          <t>No</t>
        </is>
      </c>
      <c r="O19" s="68" t="inlineStr">
        <is>
          <t>(336) 949-9696</t>
        </is>
      </c>
      <c r="P19" s="141" t="inlineStr">
        <is>
          <t>OUT / FLAG</t>
        </is>
      </c>
      <c r="Q19" s="68" t="inlineStr">
        <is>
          <t>Med-High</t>
        </is>
      </c>
      <c r="R19" s="68" t="inlineStr">
        <is>
          <t>⚠ EXCLUDED ON SPECIES. The only active FSIS slaughter establishment at Madison NC is M46085 + P46085, 'Triad Halal Meats LLC' — a halal plant, and FSIS records NO swine slaughter flags of any kind for it. Whether this is a rename of Triad Meat Custom Processing or a different business, there is no verifiable hog kill at this location. Saves a trip; it was also 137 road miles out.  [Verified 2026-08-06 against FSIS Establishment Demographic Data + MPI Directory by Establishment Number.]</t>
        </is>
      </c>
    </row>
    <row r="20" ht="58.6" customHeight="1" s="59">
      <c r="A20" s="4" t="inlineStr">
        <is>
          <t>Wells, Jenkins &amp; Wells Abattoir</t>
        </is>
      </c>
      <c r="B20" s="68" t="inlineStr">
        <is>
          <t>Forest City, NC</t>
        </is>
      </c>
      <c r="C20" s="68" t="inlineStr">
        <is>
          <t>Slaughter</t>
        </is>
      </c>
      <c r="D20" s="68" t="inlineStr">
        <is>
          <t>~19-192/wk
(FSIS cat 2 ceiling)</t>
        </is>
      </c>
      <c r="E20" s="139" t="inlineStr">
        <is>
          <t>SMALL
(0-300/wk)</t>
        </is>
      </c>
      <c r="F20" s="68" t="inlineStr">
        <is>
          <t>MARKET + boar/stag
(sow: No, roaster: No)</t>
        </is>
      </c>
      <c r="G20" s="68" t="inlineStr">
        <is>
          <t>USDA ✓ M881 + P881 + V881</t>
        </is>
      </c>
      <c r="H20" s="68" t="inlineStr">
        <is>
          <t>None found (the M7457A docs are a different WV plant)</t>
        </is>
      </c>
      <c r="I20" s="68" t="inlineStr">
        <is>
          <t>Not on public export lists — verify</t>
        </is>
      </c>
      <c r="J20" s="68" t="inlineStr">
        <is>
          <t>AWA (welfare signal)</t>
        </is>
      </c>
      <c r="K20" s="68" t="inlineStr">
        <is>
          <t>Plausible</t>
        </is>
      </c>
      <c r="L20" s="68" t="inlineStr">
        <is>
          <t>Plausible</t>
        </is>
      </c>
      <c r="M20" s="110" t="inlineStr">
        <is>
          <t>NO · ~278 mi</t>
        </is>
      </c>
      <c r="N20" s="68" t="inlineStr">
        <is>
          <t>Plausible</t>
        </is>
      </c>
      <c r="O20" s="68" t="inlineStr">
        <is>
          <t>(828) 245-5544</t>
        </is>
      </c>
      <c r="P20" s="23" t="inlineStr">
        <is>
          <t>POSSIBLE</t>
        </is>
      </c>
      <c r="Q20" s="68" t="inlineStr">
        <is>
          <t>High</t>
        </is>
      </c>
      <c r="R20" s="68" t="inlineStr">
        <is>
          <t>RESOLVED: active federal grant M881 + P881 + V881, Forest City NC, market hogs and boar/stag flagged. Ceiling FSIS category 2, ~192/wk. At 278 road miles it is the furthest NC entry on the roster and fails the 120-mile Model A preference by a wide margin.  [Verified 2026-08-06 against FSIS Establishment Demographic Data + MPI Directory by Establishment Number.]</t>
        </is>
      </c>
    </row>
    <row r="21" ht="85.40000000000001" customHeight="1" s="59">
      <c r="A21" s="4" t="inlineStr">
        <is>
          <t>Riverside Meats</t>
        </is>
      </c>
      <c r="B21" s="68" t="inlineStr">
        <is>
          <t>Trenton, NC</t>
        </is>
      </c>
      <c r="C21" s="68" t="inlineStr">
        <is>
          <t>CUSTOM-EXEMPT</t>
        </is>
      </c>
      <c r="D21" s="68" t="inlineStr">
        <is>
          <t>&lt;19/wk
(FSIS cat 1)</t>
        </is>
      </c>
      <c r="E21" s="139" t="inlineStr">
        <is>
          <t>SMALL
(0-300/wk)</t>
        </is>
      </c>
      <c r="F21" s="68" t="inlineStr">
        <is>
          <t>MARKET + SOW
(roaster: No, boar/stag: No)</t>
        </is>
      </c>
      <c r="G21" s="68" t="inlineStr">
        <is>
          <t>USDA ✓ M20981 + P20981
('custom-exempt' is REFUTED —
active federal grant)</t>
        </is>
      </c>
      <c r="H21" s="68" t="inlineStr">
        <is>
          <t>None found in public sources</t>
        </is>
      </c>
      <c r="I21" s="68" t="inlineStr">
        <is>
          <t>Custom-exempt; not export-eligible as-is — verify</t>
        </is>
      </c>
      <c r="J21" s="68" t="inlineStr">
        <is>
          <t>AWA (welfare signal)</t>
        </is>
      </c>
      <c r="K21" s="68" t="inlineStr">
        <is>
          <t>Limited (exempt status)</t>
        </is>
      </c>
      <c r="L21" s="68" t="inlineStr">
        <is>
          <t>Limited</t>
        </is>
      </c>
      <c r="M21" s="109" t="inlineStr">
        <is>
          <t>YES · ~57 mi</t>
        </is>
      </c>
      <c r="N21" s="68" t="inlineStr">
        <is>
          <t>Limited</t>
        </is>
      </c>
      <c r="O21" s="68" t="inlineStr">
        <is>
          <t>(252) 448-4047
riversidemeatsnc.com</t>
        </is>
      </c>
      <c r="P21" s="23" t="inlineStr">
        <is>
          <t>CAUTION</t>
        </is>
      </c>
      <c r="Q21" s="68" t="inlineStr">
        <is>
          <t>Med-High</t>
        </is>
      </c>
      <c r="R21" s="68" t="inlineStr">
        <is>
          <t>UPDATED 2026-08-17: still active on the FSIS directory, but its own domain (riversidemeatsnc.com) is DNS-dead as of 2026-08-17 — confirm by phone before relying on it. ~8 staff, run by Christy Raynor (directory data, undated). Smallest plant in the sweep (&lt;19/wk): DROP from active consideration; cluster-overflow only. Custom-exempt label stays REFUTED (active federal grant M20981+P20981).  [2026-08-17 focus-region pass: FSIS MPI + Demographic datasets and NCDA&amp;CS directories (dated 2026-08-10) retrieved fresh 2026-08-17; adversarially verified.]</t>
        </is>
      </c>
    </row>
    <row r="22" ht="152.4" customHeight="1" s="59">
      <c r="A22" s="138" t="inlineStr">
        <is>
          <t>Larry's Sausage Co., Inc.</t>
        </is>
      </c>
      <c r="B22" s="68" t="inlineStr">
        <is>
          <t>Fayetteville, NC (Cumberland)</t>
        </is>
      </c>
      <c r="C22" s="68" t="inlineStr">
        <is>
          <t>USDA FEDERAL slaughter + sausage processing
(NOT Talmadge-Aiken)</t>
        </is>
      </c>
      <c r="D22" s="68" t="inlineStr">
        <is>
          <t>~19-192/wk ceiling
(FSIS slaughter cat 2 = 1,000-9,999 hd / 360 d).
Earlier '200-800/wk' REFUTED</t>
        </is>
      </c>
      <c r="E22" s="139" t="inlineStr">
        <is>
          <t>SMALL
(0-300/wk)</t>
        </is>
      </c>
      <c r="F22" s="68" t="inlineStr">
        <is>
          <t>SOW ONLY
sow_slaughter=Yes; market_swine=No,
roaster=No, boar/stag=No</t>
        </is>
      </c>
      <c r="G22" s="68" t="inlineStr">
        <is>
          <t>USDA ✓ M8305
(federal grant active, 20 Jul 2021)</t>
        </is>
      </c>
      <c r="H22" s="68" t="inlineStr">
        <is>
          <t>None found in 10 FSIS Quarterly Enforcement Reports (FY2024 Q1 – FY2026 Q2). NOT a clean bill — QERs list suspensions / NOIEs / withholding actions only, not every noncompliance record.</t>
        </is>
      </c>
      <c r="I22" s="68" t="inlineStr">
        <is>
          <t>Federal grant → slaughter under federal ante-/post-mortem inspection, so material is EU Cat 3-eligible. NOT on any APHIS VS export listing — which under our two-path rule is fine for Model A (we harvest; the model is assembled at ATM).</t>
        </is>
      </c>
      <c r="J22" s="68" t="inlineStr">
        <is>
          <t>No enforcement found; nothing published either way. Family-owned since 1952, three generations — verify culture on site, do not assume it.</t>
        </is>
      </c>
      <c r="K22" s="68" t="inlineStr">
        <is>
          <t>★ STRONG ON PAPER: sows are killed for sausage MEAT, so viscera / organs / aortas are NOT their product and could come off intact. Sow organ scale is closest to adult human. Willingness untested — never contacted. Office hours Tue 9-3; larryssausage.com live.</t>
        </is>
      </c>
      <c r="L22" s="68" t="inlineStr">
        <is>
          <t>Structurally plausible (small, one decision-maker) BUT sow anatomy and a ~192/wk hard ceiling</t>
        </is>
      </c>
      <c r="M22" s="88" t="inlineStr">
        <is>
          <t>YES · ~65 mi</t>
        </is>
      </c>
      <c r="N22" s="68" t="inlineStr">
        <is>
          <t>Weak — no volume to anchor a lane</t>
        </is>
      </c>
      <c r="O22" s="68" t="inlineStr">
        <is>
          <t>(910) 483-5148
1624 Middle River Loop,
Fayetteville NC 28312</t>
        </is>
      </c>
      <c r="P22" s="140" t="inlineStr">
        <is>
          <t>POSSIBLE
★ organ lane</t>
        </is>
      </c>
      <c r="Q22" s="68" t="inlineStr">
        <is>
          <t>High</t>
        </is>
      </c>
      <c r="R22" s="68" t="inlineStr">
        <is>
          <t>★ RE-RANKED BY THE 2026-08-17 SWEEP: THE BEST STRUCTURAL ORGAN ADD IN EASTERN NC — the region's only ESTABLISHED swine-only, sow-class federal floor at meaningful volume (cat 2 = 19-192 sows/wk; processing cat 4), family-run since 1952, ~20 min from Martin's, ~65 road mi from the anchor. It fills exactly what Villari cannot do (organs) at a scale Parks cannot reach in sows — IF sow anatomy passes the Anatomical Spec gate (heavily parous sows: remodelled birth canal / stretched abdominal wall — disqualifying for pelvic/bariatric, or a premium urogynaecology asset; INTERNAL decision). Prior corrections stand: federal M8305 (TA-8305 in the state TA directory — same establishment, TA = federally inspected via state staff); the old 200-800/wk figure exceeds the cat-2 ceiling and stays withdrawn; SOW-ONLY, so no market-weight anatomy here. No welfare flags found FY2023Q4-FY2026Q3. PRIORITY OUTREACH CALL.  [2026-08-17 focus-region pass: FSIS MPI + Demographic datasets and NCDA&amp;CS directories (dated 2026-08-10) retrieved fresh 2026-08-17; adversarially verified.]</t>
        </is>
      </c>
    </row>
    <row r="23" ht="152.4" customHeight="1" s="59">
      <c r="A23" s="138" t="inlineStr">
        <is>
          <t>Bass Farms, Inc.
(DBA Bass Farm Sausage)</t>
        </is>
      </c>
      <c r="B23" s="68" t="inlineStr">
        <is>
          <t>Spring Hope, NC (Nash)</t>
        </is>
      </c>
      <c r="C23" s="68" t="inlineStr">
        <is>
          <t>Sausage PROCESSOR with a small attached kill floor
— NOT 'slaughter only'</t>
        </is>
      </c>
      <c r="D23" s="68" t="inlineStr">
        <is>
          <t>&lt;19/wk today
(FSIS cat 1) — but the GRANT IS
BRAND NEW (2/17/2026) and the
company just expanded</t>
        </is>
      </c>
      <c r="E23" s="139" t="inlineStr">
        <is>
          <t>SMALL
(0-300/wk)</t>
        </is>
      </c>
      <c r="F23" s="68" t="inlineStr">
        <is>
          <t>SOW ONLY
sow_slaughter=Yes; market_swine=No,
roaster=No, boar/stag=No</t>
        </is>
      </c>
      <c r="G23" s="68" t="inlineStr">
        <is>
          <t>USDA ✓ M3521 — NEWEST swine-slaughter
grant in NC (2/17/2026), sow-only;
TA-3521 in the NCDA&amp;CS TA directory</t>
        </is>
      </c>
      <c r="H23" s="68" t="inlineStr">
        <is>
          <t>None found in 10 FSIS Quarterly Enforcement Reports (FY2024 Q1 – FY2026 Q2). NOT a clean bill — QERs cover suspensions / NOIEs / withholding actions only.</t>
        </is>
      </c>
      <c r="I23" s="68" t="inlineStr">
        <is>
          <t>Federal grant → EU Cat 3-eligible in principle. No APHIS VS export listing. Volume makes the question moot.</t>
        </is>
      </c>
      <c r="J23" s="68" t="inlineStr">
        <is>
          <t>Nothing published either way.</t>
        </is>
      </c>
      <c r="K23" s="68" t="inlineStr">
        <is>
          <t>Whole-hog sausage uses carcass meat, not viscera — sow organs / aortas are currently WASTE (inference, labeled). Sows = MATURE anatomy: large hearts, aortas, bladders, uteri.</t>
        </is>
      </c>
      <c r="L23" s="68" t="inlineStr">
        <is>
          <t>Micro-scale only — but brand-new floor, growth mode, never hosted harvesters; scheduling likely negotiable</t>
        </is>
      </c>
      <c r="M23" s="88" t="inlineStr">
        <is>
          <t>YES · ~40 mi</t>
        </is>
      </c>
      <c r="N23" s="68" t="inlineStr">
        <is>
          <t>Plausible at micro volume</t>
        </is>
      </c>
      <c r="O23" s="68" t="inlineStr">
        <is>
          <t>(252) 478-4147
President: Kenneth Edwards
6685 Hwy 64 Alt, Spring Hope</t>
        </is>
      </c>
      <c r="P23" s="140" t="inlineStr">
        <is>
          <t>WATCH
(new sow floor)</t>
        </is>
      </c>
      <c r="Q23" s="68" t="inlineStr">
        <is>
          <t>High</t>
        </is>
      </c>
      <c r="R23" s="68" t="inlineStr">
        <is>
          <t>★ REFRAMED BY THE 2026-08-17 SWEEP — from 'removed on volume' to WATCH/PILOT. What changed: M3521 is the NEWEST federal swine-slaughter grant in North Carolina (2/17/2026, sow-only — adversarially confirmed against the FSIS datasets), issued on the back of a $2.2M, 40-JOB EXPANSION (NC Commerce 8/17/2023; $434,730 Rural Infrastructure water-line grant to Spring Hope for the Bass facility). A 60-year-old whole-hog sausage brand with a NEW kill floor in growth mode, 40 min from our Sims operation — and its sow organs/aortas are going to waste today. STILL TRUE: &lt;19 sows/wk (cat 1) — this cannot anchor anything; it is a MICRO-VOLUME MATURE-ANATOMY ADD-ON (a handful of blocks/week), and the kill floor exists to feed their own sausage line, so access is a commercial negotiation. President Kenneth Edwards (NC Field &amp; Family, Summer 2026). Prior structural corrections stand (sausage processor with attached kill floor, not 'slaughter only').  [2026-08-17 focus-region pass: FSIS MPI + Demographic datasets and NCDA&amp;CS directories (dated 2026-08-10) retrieved fresh 2026-08-17; adversarially verified.]</t>
        </is>
      </c>
    </row>
    <row r="24" ht="19.7" customHeight="1" s="59">
      <c r="A24" s="118" t="inlineStr">
        <is>
          <t>NORTH CAROLINA — large plants (context / ceiling, generally excluded)</t>
        </is>
      </c>
    </row>
    <row r="25" ht="45.2" customHeight="1" s="59">
      <c r="A25" s="4" t="inlineStr">
        <is>
          <t>Smithfield Foods — Tar Heel</t>
        </is>
      </c>
      <c r="B25" s="68" t="inlineStr">
        <is>
          <t>Bladen County, NC</t>
        </is>
      </c>
      <c r="C25" s="68" t="inlineStr">
        <is>
          <t>Industrial packer</t>
        </is>
      </c>
      <c r="D25" s="68" t="inlineStr">
        <is>
          <t>~28,000-32,000 / DAY</t>
        </is>
      </c>
      <c r="E25" s="26" t="inlineStr">
        <is>
          <t>HIGH
(&gt;5,000/wk)</t>
        </is>
      </c>
      <c r="F25" s="68" t="inlineStr">
        <is>
          <t>Yes</t>
        </is>
      </c>
      <c r="G25" s="68" t="inlineStr">
        <is>
          <t>USDA ✓</t>
        </is>
      </c>
      <c r="H25" s="68" t="inlineStr">
        <is>
          <t>2011 recall (undeclared dairy allergen); 2021-22 sanitation/welfare NRs (not a suspension). Est. M18079.</t>
        </is>
      </c>
      <c r="I25" s="68" t="inlineStr">
        <is>
          <t>FSIS export-certified (edible, general; documented exports). EU/APHIS-byproduct status unverified</t>
        </is>
      </c>
      <c r="J25" s="68" t="inlineStr">
        <is>
          <t>Industrial line-speed (~5,500 staff)</t>
        </is>
      </c>
      <c r="K25" s="68" t="inlineStr">
        <is>
          <t>No dedicated on-site rental noted</t>
        </is>
      </c>
      <c r="L25" s="68" t="inlineStr">
        <is>
          <t>No</t>
        </is>
      </c>
      <c r="M25" s="109" t="inlineStr">
        <is>
          <t>YES · ~89 mi</t>
        </is>
      </c>
      <c r="N25" s="68" t="inlineStr">
        <is>
          <t>No</t>
        </is>
      </c>
      <c r="O25" s="68" t="inlineStr">
        <is>
          <t>—</t>
        </is>
      </c>
      <c r="P25" s="23" t="inlineStr">
        <is>
          <t>CAUTION</t>
        </is>
      </c>
      <c r="Q25" s="68" t="inlineStr">
        <is>
          <t>High</t>
        </is>
      </c>
      <c r="R25" s="68" t="inlineStr">
        <is>
          <t>HIGH tier. Capacity is now open, so this is no longer excluded on size — but with ~28-32k hogs/DAY the constraint is ACCESS, not volume: industrial line speed, no on-site harvest rental noted. Realistically Model B only, and only via a corporate biologics conversation.</t>
        </is>
      </c>
    </row>
    <row r="26" ht="112.2" customHeight="1" s="59">
      <c r="A26" s="138" t="inlineStr">
        <is>
          <t>Smithfield / KC Sausage (sow plant)
⟵ DUPLICATE ENTRY</t>
        </is>
      </c>
      <c r="B26" s="68" t="inlineStr">
        <is>
          <t>Godwin, NC</t>
        </is>
      </c>
      <c r="C26" s="68" t="inlineStr">
        <is>
          <t>Industrial sow slaughter</t>
        </is>
      </c>
      <c r="D26" s="68" t="inlineStr">
        <is>
          <t>see 'Kansas City Sausage / Coastal Protein' below</t>
        </is>
      </c>
      <c r="E26" s="143" t="inlineStr">
        <is>
          <t>n/a</t>
        </is>
      </c>
      <c r="F26" s="68" t="inlineStr">
        <is>
          <t>see row below</t>
        </is>
      </c>
      <c r="G26" s="68" t="inlineStr">
        <is>
          <t>USDA ✓</t>
        </is>
      </c>
      <c r="H26" s="68" t="inlineStr">
        <is>
          <t>None found for the Godwin plant specifically</t>
        </is>
      </c>
      <c r="I26" s="68" t="inlineStr">
        <is>
          <t>FSIS-inspected; export not confirmed</t>
        </is>
      </c>
      <c r="J26" s="68" t="inlineStr">
        <is>
          <t>Industrial / corporate-owned</t>
        </is>
      </c>
      <c r="K26" s="68" t="inlineStr">
        <is>
          <t>Sow/organ-relevant but industrial scale</t>
        </is>
      </c>
      <c r="L26" s="68" t="inlineStr">
        <is>
          <t>Unlikely</t>
        </is>
      </c>
      <c r="M26" s="109" t="inlineStr">
        <is>
          <t>YES · ~45 mi</t>
        </is>
      </c>
      <c r="N26" s="68" t="inlineStr">
        <is>
          <t>Unlikely</t>
        </is>
      </c>
      <c r="O26" s="68" t="inlineStr">
        <is>
          <t>—</t>
        </is>
      </c>
      <c r="P26" s="141" t="inlineStr">
        <is>
          <t>DUPLICATE</t>
        </is>
      </c>
      <c r="Q26" s="68" t="inlineStr">
        <is>
          <t>High</t>
        </is>
      </c>
      <c r="R26" s="68" t="inlineStr">
        <is>
          <t>⚠ DUPLICATE ROW — this is the SAME Godwin NC sow plant as 'Kansas City Sausage / Coastal Protein — RE-OPENED' in the corrected block at the bottom of this sheet. It was entered twice, once early as a thin 'nearby industrial operation' note and once after it was researched properly. Use the lower row: it carries the verified profile (~3,500-5,000 sows/wk, purpose-built as a sow HARVEST plant, still operating as of 2024) AND the open question that matters — no active FSIS establishment is listed in Godwin NC, zip 28344, or on Martin Road, so the establishment number is the first thing to ask for. Kept here so the eastern-NC plant count is not double-counted.   [Verified 2026-08-06 against FSIS Establishment Demographic Data + MPI Directory by Establishment Number.]</t>
        </is>
      </c>
    </row>
    <row r="27" ht="19.7" customHeight="1" s="59">
      <c r="A27" s="118" t="inlineStr">
        <is>
          <t>SOUTH CAROLINA — candidate slaughterhouses</t>
        </is>
      </c>
    </row>
    <row r="28" ht="72" customHeight="1" s="59">
      <c r="A28" s="4" t="inlineStr">
        <is>
          <t>Caughman's Meat Plant, Inc.</t>
        </is>
      </c>
      <c r="B28" s="68" t="inlineStr">
        <is>
          <t>Lexington, SC</t>
        </is>
      </c>
      <c r="C28" s="68" t="inlineStr">
        <is>
          <t>USDA slaughter + processing</t>
        </is>
      </c>
      <c r="D28" s="68" t="inlineStr">
        <is>
          <t>unknown (small-mid est.)</t>
        </is>
      </c>
      <c r="E28" s="24" t="inlineStr">
        <is>
          <t>unknown
(confirm)</t>
        </is>
      </c>
      <c r="F28" s="68" t="inlineStr">
        <is>
          <t>Yes</t>
        </is>
      </c>
      <c r="G28" s="68" t="inlineStr">
        <is>
          <t>NOT in the FSIS MPI directory
('USDA ✓' is WITHDRAWN)</t>
        </is>
      </c>
      <c r="H28" s="68" t="inlineStr">
        <is>
          <t>None found in public sources</t>
        </is>
      </c>
      <c r="I28" s="68" t="inlineStr">
        <is>
          <t>Not on public export lists — verify w/ APHIS VS</t>
        </is>
      </c>
      <c r="J28" s="68" t="inlineStr">
        <is>
          <t>Multi-generation family since ~1947 — strong culture signal</t>
        </is>
      </c>
      <c r="K28" s="68" t="inlineStr">
        <is>
          <t>Not noted</t>
        </is>
      </c>
      <c r="L28" s="68" t="inlineStr">
        <is>
          <t>Possible (space unverified)</t>
        </is>
      </c>
      <c r="M28" s="110" t="inlineStr">
        <is>
          <t>NO</t>
        </is>
      </c>
      <c r="N28" s="68" t="inlineStr">
        <is>
          <t>Good — established slaughter + custom</t>
        </is>
      </c>
      <c r="O28" s="68" t="inlineStr">
        <is>
          <t>803-356-3216
caughmans.com</t>
        </is>
      </c>
      <c r="P28" s="140" t="inlineStr">
        <is>
          <t>CAUTION</t>
        </is>
      </c>
      <c r="Q28" s="68" t="inlineStr">
        <is>
          <t>Med-High</t>
        </is>
      </c>
      <c r="R28" s="68" t="inlineStr">
        <is>
          <t>⚠ CLAIM WITHDRAWN — the 'USDA ✓' label was wrong. A national name search of the FSIS MPI directory returns nothing for 'Caughman', and the only establishments listed at Lexington SC are processing-only. If it slaughters at all it does so under the South Carolina state programme, which is NOT one of the inspection regimes our two-path rule accepts (only NC state inspection carries the APHIS equivalence).  [Verified 2026-08-06 against FSIS Establishment Demographic Data + MPI Directory by Establishment Number.]</t>
        </is>
      </c>
    </row>
    <row r="29" ht="58.6" customHeight="1" s="59">
      <c r="A29" s="4" t="inlineStr">
        <is>
          <t>Knockout Butchery</t>
        </is>
      </c>
      <c r="B29" s="68" t="inlineStr">
        <is>
          <t>Roebuck, SC</t>
        </is>
      </c>
      <c r="C29" s="68" t="inlineStr">
        <is>
          <t>USDA custom processing</t>
        </is>
      </c>
      <c r="D29" s="68" t="inlineStr">
        <is>
          <t>&lt;19/wk
(FSIS cat 1)</t>
        </is>
      </c>
      <c r="E29" s="139" t="inlineStr">
        <is>
          <t>SMALL
(0-300/wk)</t>
        </is>
      </c>
      <c r="F29" s="68" t="inlineStr">
        <is>
          <t>NO SWINE FLAGS in FSIS</t>
        </is>
      </c>
      <c r="G29" s="68" t="inlineStr">
        <is>
          <t>USDA ✓ M2866 + P2866</t>
        </is>
      </c>
      <c r="H29" s="68" t="inlineStr">
        <is>
          <t>None found in public sources</t>
        </is>
      </c>
      <c r="I29" s="68" t="inlineStr">
        <is>
          <t>Not on public export lists — verify</t>
        </is>
      </c>
      <c r="J29" s="68" t="inlineStr">
        <is>
          <t>'Careful handling'; recent capacity investment (trade press)</t>
        </is>
      </c>
      <c r="K29" s="68" t="inlineStr">
        <is>
          <t>Not noted</t>
        </is>
      </c>
      <c r="L29" s="68" t="inlineStr">
        <is>
          <t>Ask</t>
        </is>
      </c>
      <c r="M29" s="110" t="inlineStr">
        <is>
          <t>NO</t>
        </is>
      </c>
      <c r="N29" s="68" t="inlineStr">
        <is>
          <t>Likely B</t>
        </is>
      </c>
      <c r="O29" s="68" t="inlineStr">
        <is>
          <t>864-410-7068
knockoutbutchery.com</t>
        </is>
      </c>
      <c r="P29" s="140" t="inlineStr">
        <is>
          <t>CAUTION</t>
        </is>
      </c>
      <c r="Q29" s="68" t="inlineStr">
        <is>
          <t>High</t>
        </is>
      </c>
      <c r="R29" s="68" t="inlineStr">
        <is>
          <t>⚠ SPECIES NOT CONFIRMED. Active federal grant M2866 + P2866 with slaughter listed, but FSIS records NO swine slaughter flags for this establishment — the hog-slaughter assumption is unsupported. Volume is category 1 (under ~19/wk) in any case.  [Verified 2026-08-06 against FSIS Establishment Demographic Data + MPI Directory by Establishment Number.]</t>
        </is>
      </c>
    </row>
    <row r="30" ht="45.2" customHeight="1" s="59">
      <c r="A30" s="138" t="inlineStr">
        <is>
          <t>Back Forty Butchery
(FSIS lists 'Back 40 Butchery')</t>
        </is>
      </c>
      <c r="B30" s="68" t="inlineStr">
        <is>
          <t>Hodges, SC</t>
        </is>
      </c>
      <c r="C30" s="68" t="inlineStr">
        <is>
          <t>USDA processing</t>
        </is>
      </c>
      <c r="D30" s="68" t="inlineStr">
        <is>
          <t>&lt;19/wk
(FSIS cat 1)</t>
        </is>
      </c>
      <c r="E30" s="22" t="inlineStr">
        <is>
          <t>SMALL
(0-300/wk)</t>
        </is>
      </c>
      <c r="F30" s="68" t="inlineStr">
        <is>
          <t>MARKET only</t>
        </is>
      </c>
      <c r="G30" s="68" t="inlineStr">
        <is>
          <t>USDA ✓ M46060</t>
        </is>
      </c>
      <c r="H30" s="68" t="inlineStr">
        <is>
          <t>None found (Est. M46060)</t>
        </is>
      </c>
      <c r="I30" s="68" t="inlineStr">
        <is>
          <t>Not on public export lists — verify</t>
        </is>
      </c>
      <c r="J30" s="68" t="inlineStr">
        <is>
          <t>Not addressed</t>
        </is>
      </c>
      <c r="K30" s="68" t="inlineStr">
        <is>
          <t>Not noted</t>
        </is>
      </c>
      <c r="L30" s="68" t="inlineStr">
        <is>
          <t>Ask</t>
        </is>
      </c>
      <c r="M30" s="110" t="inlineStr">
        <is>
          <t>NO</t>
        </is>
      </c>
      <c r="N30" s="68" t="inlineStr">
        <is>
          <t>B if slaughter on-site</t>
        </is>
      </c>
      <c r="O30" s="68" t="inlineStr">
        <is>
          <t>864-374-3571</t>
        </is>
      </c>
      <c r="P30" s="23" t="inlineStr">
        <is>
          <t>POSSIBLE</t>
        </is>
      </c>
      <c r="Q30" s="68" t="inlineStr">
        <is>
          <t>High</t>
        </is>
      </c>
      <c r="R30" s="68" t="inlineStr">
        <is>
          <t>RESOLVED: FSIS lists the establishment as 'Back 40 Butchery', M46060, Hodges SC, active federal grant, market hogs flagged. slaughter_volume_category = 1 = under ~19/wk.  [Verified 2026-08-06 against FSIS Establishment Demographic Data + MPI Directory by Establishment Number.]</t>
        </is>
      </c>
    </row>
    <row r="31" ht="31.8" customHeight="1" s="59">
      <c r="A31" s="4" t="inlineStr">
        <is>
          <t>601 Deer and Hog Processors</t>
        </is>
      </c>
      <c r="B31" s="68" t="inlineStr">
        <is>
          <t>Fort Motte, SC</t>
        </is>
      </c>
      <c r="C31" s="68" t="inlineStr">
        <is>
          <t>Deer/game + hog (likely custom-exempt)</t>
        </is>
      </c>
      <c r="D31" s="68" t="inlineStr">
        <is>
          <t>unknown</t>
        </is>
      </c>
      <c r="E31" s="22" t="inlineStr">
        <is>
          <t>SMALL
(0-300/wk)</t>
        </is>
      </c>
      <c r="F31" s="68" t="inlineStr">
        <is>
          <t>Yes</t>
        </is>
      </c>
      <c r="G31" s="68" t="inlineStr">
        <is>
          <t>likely custom-
exempt (flag)</t>
        </is>
      </c>
      <c r="H31" s="68" t="inlineStr">
        <is>
          <t>None found (business also appears closed)</t>
        </is>
      </c>
      <c r="I31" s="68" t="inlineStr">
        <is>
          <t>Not on public export lists — verify</t>
        </is>
      </c>
      <c r="J31" s="68" t="inlineStr">
        <is>
          <t>Family (McDonald, since 2001)</t>
        </is>
      </c>
      <c r="K31" s="68" t="inlineStr">
        <is>
          <t>Not noted</t>
        </is>
      </c>
      <c r="L31" s="68" t="inlineStr">
        <is>
          <t>If own kills</t>
        </is>
      </c>
      <c r="M31" s="110" t="inlineStr">
        <is>
          <t>NO</t>
        </is>
      </c>
      <c r="N31" s="68" t="inlineStr">
        <is>
          <t>B if USDA confirmed</t>
        </is>
      </c>
      <c r="O31" s="68" t="inlineStr">
        <is>
          <t>803-707-1040</t>
        </is>
      </c>
      <c r="P31" s="23" t="inlineStr">
        <is>
          <t>CAUTION</t>
        </is>
      </c>
      <c r="Q31" s="68" t="inlineStr">
        <is>
          <t>Low-Med</t>
        </is>
      </c>
      <c r="R31" s="68" t="inlineStr">
        <is>
          <t>FLAG: USDA status unverified — game processors are often custom-exempt (product not for resale). One directory lists it CLOSED; verify still operating.</t>
        </is>
      </c>
    </row>
    <row r="32" ht="72" customHeight="1" s="59">
      <c r="A32" s="4" t="inlineStr">
        <is>
          <t>Palmetto Fresh Meats</t>
        </is>
      </c>
      <c r="B32" s="68" t="inlineStr">
        <is>
          <t>Aynor, SC</t>
        </is>
      </c>
      <c r="C32" s="68" t="inlineStr">
        <is>
          <t>USDA slaughter (Est. M47715) — SUSPENDED</t>
        </is>
      </c>
      <c r="D32" s="68" t="inlineStr">
        <is>
          <t>&lt;19/wk
(FSIS cat 1)</t>
        </is>
      </c>
      <c r="E32" s="139" t="inlineStr">
        <is>
          <t>SMALL
(0-300/wk)</t>
        </is>
      </c>
      <c r="F32" s="68" t="inlineStr">
        <is>
          <t>MARKET + SOW + ROASTER + boar/stag
(all four classes)</t>
        </is>
      </c>
      <c r="G32" s="68" t="inlineStr">
        <is>
          <t>USDA ✓ but
SUSPENDED 2022</t>
        </is>
      </c>
      <c r="H32" s="25" t="inlineStr">
        <is>
          <t>⚠ Humane-handling NOS Feb &amp; Mar 2022 (Est. M47715); PETA sought criminal probe. Also the slaughter suspension.</t>
        </is>
      </c>
      <c r="I32" s="68" t="inlineStr">
        <is>
          <t>Not on public export lists — verify (slaughter susp. 2022)</t>
        </is>
      </c>
      <c r="J32" s="68" t="inlineStr">
        <is>
          <t>unknown</t>
        </is>
      </c>
      <c r="K32" s="68" t="inlineStr">
        <is>
          <t>Not noted</t>
        </is>
      </c>
      <c r="L32" s="68" t="inlineStr">
        <is>
          <t>Unknown</t>
        </is>
      </c>
      <c r="M32" s="110" t="inlineStr">
        <is>
          <t>NO</t>
        </is>
      </c>
      <c r="N32" s="68" t="inlineStr">
        <is>
          <t>Unknown</t>
        </is>
      </c>
      <c r="O32" s="68" t="inlineStr">
        <is>
          <t>—</t>
        </is>
      </c>
      <c r="P32" s="28" t="inlineStr">
        <is>
          <t>OUT / FLAG</t>
        </is>
      </c>
      <c r="Q32" s="68" t="inlineStr">
        <is>
          <t>High</t>
        </is>
      </c>
      <c r="R32" s="68" t="inlineStr">
        <is>
          <t>SPECIES BREADTH CONFIRMED, VOLUME REFUTED. M47715 carries all four swine classes — market, sow, roaster and boar/stag — which is unusually broad and would be genuinely useful. But FSIS slaughter_volume_category = 1 = fewer than 1,000 head per year, under ~19/wk. Combined with the 2022 suspension already on file, this is not a lane.   [Verified 2026-08-06 against FSIS Establishment Demographic Data + MPI Directory by Establishment Number.]</t>
        </is>
      </c>
    </row>
    <row r="33" ht="19.7" customHeight="1" s="59">
      <c r="A33" s="118" t="inlineStr">
        <is>
          <t>TENNESSEE — USDA-inspected hog-slaughter shops (small custom; Model B)</t>
        </is>
      </c>
    </row>
    <row r="34" ht="58.6" customHeight="1" s="59">
      <c r="A34" s="4" t="inlineStr">
        <is>
          <t>Fayette Packing Co., Inc.</t>
        </is>
      </c>
      <c r="B34" s="68" t="inlineStr">
        <is>
          <t>Eads, TN (Memphis area)</t>
        </is>
      </c>
      <c r="C34" s="68" t="inlineStr">
        <is>
          <t>USDA slaughter + processing</t>
        </is>
      </c>
      <c r="D34" s="68" t="inlineStr">
        <is>
          <t>&lt;19/wk
(FSIS cat 1) — 'largest of the TN
group' is REFUTED</t>
        </is>
      </c>
      <c r="E34" s="139" t="inlineStr">
        <is>
          <t>SMALL
(0-300/wk)</t>
        </is>
      </c>
      <c r="F34" s="68" t="inlineStr">
        <is>
          <t>MARKET + SOW + ROASTER + boar/stag
(all four classes)</t>
        </is>
      </c>
      <c r="G34" s="68" t="inlineStr">
        <is>
          <t>USDA ✓ M6555 + P34794</t>
        </is>
      </c>
      <c r="H34" s="25" t="inlineStr">
        <is>
          <t>⚠ Humane-handling NOS Apr 2023 (Est. M6555 — 4 stun attempts on a cow); held in abeyance.</t>
        </is>
      </c>
      <c r="I34" s="68" t="inlineStr">
        <is>
          <t>Not on public export lists — verify w/ APHIS VS</t>
        </is>
      </c>
      <c r="J34" s="68" t="inlineStr">
        <is>
          <t>Family since 1952 (3 generations, Keith) — strong culture</t>
        </is>
      </c>
      <c r="K34" s="68" t="inlineStr">
        <is>
          <t>Not noted</t>
        </is>
      </c>
      <c r="L34" s="68" t="inlineStr">
        <is>
          <t>Possible</t>
        </is>
      </c>
      <c r="M34" s="110" t="inlineStr">
        <is>
          <t>NO</t>
        </is>
      </c>
      <c r="N34" s="68" t="inlineStr">
        <is>
          <t>Good B</t>
        </is>
      </c>
      <c r="O34" s="68" t="inlineStr">
        <is>
          <t>901-867-3826
fayettepackingco.com</t>
        </is>
      </c>
      <c r="P34" s="23" t="inlineStr">
        <is>
          <t>POSSIBLE</t>
        </is>
      </c>
      <c r="Q34" s="68" t="inlineStr">
        <is>
          <t>High</t>
        </is>
      </c>
      <c r="R34" s="68" t="inlineStr">
        <is>
          <t>VOLUME REFUTED. The roster called this 'the largest of the TN group'; FSIS slaughter_volume_category = 1 puts it under ~19 head/wk — the SMALLEST band there is. All four swine classes are flagged, which is a real positive, but there is no volume behind it.  [Verified 2026-08-06 against FSIS Establishment Demographic Data + MPI Directory by Establishment Number.]</t>
        </is>
      </c>
    </row>
    <row r="35" ht="72" customHeight="1" s="59">
      <c r="A35" s="4" t="inlineStr">
        <is>
          <t>Underground Slaughter / Processing</t>
        </is>
      </c>
      <c r="B35" s="68" t="inlineStr">
        <is>
          <t>Walling, TN</t>
        </is>
      </c>
      <c r="C35" s="68" t="inlineStr">
        <is>
          <t>USDA multi-species (growing)</t>
        </is>
      </c>
      <c r="D35" s="68" t="inlineStr">
        <is>
          <t>~192-1,917/wk
(FSIS cat 3)</t>
        </is>
      </c>
      <c r="E35" s="142" t="inlineStr">
        <is>
          <t>MEDIUM
(350-2,500/wk)</t>
        </is>
      </c>
      <c r="F35" s="68" t="inlineStr">
        <is>
          <t>MARKET + SOW
(roaster: No, boar/stag: No)</t>
        </is>
      </c>
      <c r="G35" s="68" t="inlineStr">
        <is>
          <t>USDA ✓ M51351 + P51351</t>
        </is>
      </c>
      <c r="H35" s="68" t="inlineStr">
        <is>
          <t>None found (a logged FOIA request is not an enforcement action)</t>
        </is>
      </c>
      <c r="I35" s="68" t="inlineStr">
        <is>
          <t>Not on public export lists — verify</t>
        </is>
      </c>
      <c r="J35" s="68" t="inlineStr">
        <is>
          <t>Growing processor</t>
        </is>
      </c>
      <c r="K35" s="68" t="inlineStr">
        <is>
          <t>Not noted</t>
        </is>
      </c>
      <c r="L35" s="68" t="inlineStr">
        <is>
          <t>Possible</t>
        </is>
      </c>
      <c r="M35" s="110" t="inlineStr">
        <is>
          <t>NO</t>
        </is>
      </c>
      <c r="N35" s="68" t="inlineStr">
        <is>
          <t>Good B</t>
        </is>
      </c>
      <c r="O35" s="68" t="inlineStr">
        <is>
          <t>931-330-6328</t>
        </is>
      </c>
      <c r="P35" s="140" t="inlineStr">
        <is>
          <t>POSSIBLE</t>
        </is>
      </c>
      <c r="Q35" s="68" t="inlineStr">
        <is>
          <t>High</t>
        </is>
      </c>
      <c r="R35" s="68" t="inlineStr">
        <is>
          <t>★ UPGRADED — this row was sitting at 'unknown' and is in fact one of the few genuinely MEDIUM-band plants in Tennessee. Active federal grant M51351 + P51351, market hogs AND sows both flagged, FSIS slaughter_volume_category = 3 = 10,000-99,999 head per 360 days, i.e. 192-1,917/wk. Worth a call for the Model B / secondary-region track. It is out of state, so it fails the 120-mile Model A preference.  [Verified 2026-08-06 against FSIS Establishment Demographic Data + MPI Directory by Establishment Number.]</t>
        </is>
      </c>
    </row>
    <row r="36" ht="31.8" customHeight="1" s="59">
      <c r="A36" s="4" t="inlineStr">
        <is>
          <t>Cherry Meat Company</t>
        </is>
      </c>
      <c r="B36" s="68" t="inlineStr">
        <is>
          <t>Chapel Hill, TN</t>
        </is>
      </c>
      <c r="C36" s="68" t="inlineStr">
        <is>
          <t>USDA slaughter + processing</t>
        </is>
      </c>
      <c r="D36" s="68" t="inlineStr">
        <is>
          <t>~18/wk (80/month verified)</t>
        </is>
      </c>
      <c r="E36" s="22" t="inlineStr">
        <is>
          <t>SMALL
(0-300/wk)</t>
        </is>
      </c>
      <c r="F36" s="68" t="inlineStr">
        <is>
          <t>MARKET only
(sow: No, roaster: No)</t>
        </is>
      </c>
      <c r="G36" s="68" t="inlineStr">
        <is>
          <t>USDA ✓ M40106</t>
        </is>
      </c>
      <c r="H36" s="68" t="inlineStr">
        <is>
          <t>None found (very small; FSIS grant 2021)</t>
        </is>
      </c>
      <c r="I36" s="68" t="inlineStr">
        <is>
          <t>Not on public export lists — verify</t>
        </is>
      </c>
      <c r="J36" s="68" t="inlineStr">
        <is>
          <t>Family (Cherry / Bear Creek Farm) — strong culture</t>
        </is>
      </c>
      <c r="K36" s="68" t="inlineStr">
        <is>
          <t>Not noted</t>
        </is>
      </c>
      <c r="L36" s="68" t="inlineStr">
        <is>
          <t>Low-vol</t>
        </is>
      </c>
      <c r="M36" s="110" t="inlineStr">
        <is>
          <t>NO</t>
        </is>
      </c>
      <c r="N36" s="68" t="inlineStr">
        <is>
          <t>Good B (high-touch)</t>
        </is>
      </c>
      <c r="O36" s="68" t="inlineStr">
        <is>
          <t>931-364-7924
cherrymeat.com</t>
        </is>
      </c>
      <c r="P36" s="23" t="inlineStr">
        <is>
          <t>POSSIBLE</t>
        </is>
      </c>
      <c r="Q36" s="68" t="inlineStr">
        <is>
          <t>High</t>
        </is>
      </c>
      <c r="R36" s="68" t="inlineStr">
        <is>
          <t>SMALL tier — verified ~80 hogs/MONTH (~18/wk). With capacity now open this is a legitimate high-touch, family-culture option for pilot or specialty work; it simply cannot carry volume alone.</t>
        </is>
      </c>
    </row>
    <row r="37" ht="72" customHeight="1" s="59">
      <c r="A37" s="4" t="inlineStr">
        <is>
          <t>Other TN USDA hog shops (roll-up)</t>
        </is>
      </c>
      <c r="B37" s="68" t="inlineStr">
        <is>
          <t>various, TN</t>
        </is>
      </c>
      <c r="C37" s="68" t="inlineStr">
        <is>
          <t>USDA small custom slaughter</t>
        </is>
      </c>
      <c r="D37" s="68" t="inlineStr">
        <is>
          <t>unknown (tens–low 100s/wk est.)</t>
        </is>
      </c>
      <c r="E37" s="22" t="inlineStr">
        <is>
          <t>SMALL
(0-300/wk)</t>
        </is>
      </c>
      <c r="F37" s="68" t="inlineStr">
        <is>
          <t>Yes</t>
        </is>
      </c>
      <c r="G37" s="68" t="inlineStr">
        <is>
          <t>USDA ✓</t>
        </is>
      </c>
      <c r="H37" s="25" t="inlineStr">
        <is>
          <t>⚠ Harris Country Meats (Greeneville, M20686): humane NOS 2024. Volunteer/412 (Lexington, M6561): humane NOS Nov 2024. Others: none found.</t>
        </is>
      </c>
      <c r="I37" s="68" t="inlineStr">
        <is>
          <t>Not on public export lists — verify each w/ APHIS VS</t>
        </is>
      </c>
      <c r="J37" s="68" t="inlineStr">
        <is>
          <t>Small family shops</t>
        </is>
      </c>
      <c r="K37" s="68" t="inlineStr">
        <is>
          <t>Not noted</t>
        </is>
      </c>
      <c r="L37" s="68" t="inlineStr">
        <is>
          <t>Possible</t>
        </is>
      </c>
      <c r="M37" s="111" t="inlineStr">
        <is>
          <t>mixed — confirm</t>
        </is>
      </c>
      <c r="N37" s="68" t="inlineStr">
        <is>
          <t>B</t>
        </is>
      </c>
      <c r="O37" s="68" t="inlineStr">
        <is>
          <t>see notes →</t>
        </is>
      </c>
      <c r="P37" s="23" t="inlineStr">
        <is>
          <t>POSSIBLE</t>
        </is>
      </c>
      <c r="Q37" s="68" t="inlineStr">
        <is>
          <t>Low-Med</t>
        </is>
      </c>
      <c r="R37" s="68" t="inlineStr">
        <is>
          <t>Per UT Center for Profitable Ag list: D&amp;D Meats (Celina 931-261-9967); Hampton Meat (Decatur 423-334-1079); Harris Country Meats (Greeneville 423-638-1538); K&amp;J (Paris 731-642-6490); McBride (S. Pittsburg 423-837-4888); SAN Meat Packing (Afton 423-638-7001); Stone Mountain Meats (Greeneville 423-556-6328); Wells/Badr Halal (Brighton 901-475-1700, halal); Volunteer/412 (Lexington 731-769-6936); ZK Ranches (Springfield 615-991-1262). Confirm weekly hog kill each.</t>
        </is>
      </c>
    </row>
    <row r="38" ht="19.7" customHeight="1" s="59">
      <c r="A38" s="118" t="inlineStr">
        <is>
          <t>VIRGINIA — strongest welfare bench (humane-certified USDA abattoirs; Model B)</t>
        </is>
      </c>
    </row>
    <row r="39" ht="85.40000000000001" customHeight="1" s="59">
      <c r="A39" s="4" t="inlineStr">
        <is>
          <t>EcoFriendly Foods, LLC</t>
        </is>
      </c>
      <c r="B39" s="68" t="inlineStr">
        <is>
          <t>Moneta, VA</t>
        </is>
      </c>
      <c r="C39" s="68" t="inlineStr">
        <is>
          <t>USDA + Certified Humane multi-species harvest</t>
        </is>
      </c>
      <c r="D39" s="68" t="inlineStr">
        <is>
          <t>~192-1,917/wk
(FSIS cat 3)</t>
        </is>
      </c>
      <c r="E39" s="142" t="inlineStr">
        <is>
          <t>MEDIUM
(350-2,500/wk)</t>
        </is>
      </c>
      <c r="F39" s="68" t="inlineStr">
        <is>
          <t>MARKET + SOW + ROASTER + boar/stag
(all four classes)</t>
        </is>
      </c>
      <c r="G39" s="68" t="inlineStr">
        <is>
          <t>USDA ✓ M21938 + P21938</t>
        </is>
      </c>
      <c r="H39" s="68" t="inlineStr">
        <is>
          <t>None found in FSIS/recall/AWI — BUT reportedly CEASED operations / bankruptcy ~2020. Verify still operating!</t>
        </is>
      </c>
      <c r="I39" s="68" t="inlineStr">
        <is>
          <t>Not on public export lists — verify (and confirm still operating)</t>
        </is>
      </c>
      <c r="J39" s="68" t="inlineStr">
        <is>
          <t>CERTIFIED HUMANE — strongest welfare match in the study</t>
        </is>
      </c>
      <c r="K39" s="68" t="inlineStr">
        <is>
          <t>Custom multi-species harvest for outside producers</t>
        </is>
      </c>
      <c r="L39" s="68" t="inlineStr">
        <is>
          <t>Worth asking (A)</t>
        </is>
      </c>
      <c r="M39" s="110" t="inlineStr">
        <is>
          <t>NO</t>
        </is>
      </c>
      <c r="N39" s="68" t="inlineStr">
        <is>
          <t>Excellent B (already does custom harvest)</t>
        </is>
      </c>
      <c r="O39" s="68" t="inlineStr">
        <is>
          <t>540-525-0352
ecofriendly.com</t>
        </is>
      </c>
      <c r="P39" s="140" t="inlineStr">
        <is>
          <t>POSSIBLE</t>
        </is>
      </c>
      <c r="Q39" s="68" t="inlineStr">
        <is>
          <t>High</t>
        </is>
      </c>
      <c r="R39" s="68" t="inlineStr">
        <is>
          <t>★ UPGRADED from SMALL/unknown. Active federal grant M21938 + P21938 with ALL FOUR swine classes flagged, and FSIS slaughter_volume_category = 3 = 192-1,917/wk — a real medium-band plant, not the boutique operation the roster implied. Virginia's welfare bench plus genuine volume makes this the strongest VA candidate now that Gunnoe is refuted and T&amp;E/Honest Meats is excluded on humane-handling grounds. Out of state, so Model B or a secondary lane.  [Verified 2026-08-06 against FSIS Establishment Demographic Data + MPI Directory by Establishment Number.]</t>
        </is>
      </c>
    </row>
    <row r="40" ht="85.40000000000001" customHeight="1" s="59">
      <c r="A40" s="4" t="inlineStr">
        <is>
          <t>T&amp;E Meats (True &amp; Essential)</t>
        </is>
      </c>
      <c r="B40" s="68" t="inlineStr">
        <is>
          <t>Harrisonburg, VA</t>
        </is>
      </c>
      <c r="C40" s="68" t="inlineStr">
        <is>
          <t>USDA + AWA slaughter + processing</t>
        </is>
      </c>
      <c r="D40" s="68" t="inlineStr">
        <is>
          <t>~19-192/wk
(FSIS cat 2)</t>
        </is>
      </c>
      <c r="E40" s="22" t="inlineStr">
        <is>
          <t>SMALL
(0-300/wk)</t>
        </is>
      </c>
      <c r="F40" s="68" t="inlineStr">
        <is>
          <t>MARKET + SOW + ROASTER + boar/stag
(all four classes)</t>
        </is>
      </c>
      <c r="G40" s="68" t="inlineStr">
        <is>
          <t>USDA ✓ M7420 + V7420
(FSIS lists 'Honest Meats, LLC')</t>
        </is>
      </c>
      <c r="H40" s="68" t="inlineStr">
        <is>
          <t>None found in public sources</t>
        </is>
      </c>
      <c r="I40" s="68" t="inlineStr">
        <is>
          <t>Not on public export lists — verify w/ APHIS VS</t>
        </is>
      </c>
      <c r="J40" s="68" t="inlineStr">
        <is>
          <t>AWA humane; mission-driven independent (Salatin/Cloud); site since 1930s — very strong</t>
        </is>
      </c>
      <c r="K40" s="68" t="inlineStr">
        <is>
          <t>Not noted</t>
        </is>
      </c>
      <c r="L40" s="68" t="inlineStr">
        <is>
          <t>Worth asking (A)</t>
        </is>
      </c>
      <c r="M40" s="110" t="inlineStr">
        <is>
          <t>NO</t>
        </is>
      </c>
      <c r="N40" s="68" t="inlineStr">
        <is>
          <t>Excellent B</t>
        </is>
      </c>
      <c r="O40" s="68" t="inlineStr">
        <is>
          <t>540-434-4415
temeats.com</t>
        </is>
      </c>
      <c r="P40" s="20" t="inlineStr">
        <is>
          <t>STRONG FIT</t>
        </is>
      </c>
      <c r="Q40" s="68" t="inlineStr">
        <is>
          <t>High</t>
        </is>
      </c>
      <c r="R40" s="68" t="inlineStr">
        <is>
          <t>IDENTITY CONFIRMED — the establishment is M7420 + V7420, listed by FSIS as 'Honest Meats, LLC', Harrisonburg VA. That is the same establishment number carried by the humane-handling enforcement documents on file (7420MV Notice of Suspension / NOSHA, 2024). The exclusion made by adversarial verification therefore attaches to a confirmed establishment, not to a name guess. All four swine classes flagged, category 2 volume (~19-192/wk). DO NOT REACH.  [Verified 2026-08-06 against FSIS Establishment Demographic Data + MPI Directory by Establishment Number.]</t>
        </is>
      </c>
    </row>
    <row r="41" ht="45.2" customHeight="1" s="59">
      <c r="A41" s="4" t="inlineStr">
        <is>
          <t>Blue Ridge Meats of Front Royal</t>
        </is>
      </c>
      <c r="B41" s="68" t="inlineStr">
        <is>
          <t>Middletown, VA</t>
        </is>
      </c>
      <c r="C41" s="68" t="inlineStr">
        <is>
          <t>USDA + AWA abattoir</t>
        </is>
      </c>
      <c r="D41" s="68" t="inlineStr">
        <is>
          <t>&lt;19/wk
(FSIS cat 1)</t>
        </is>
      </c>
      <c r="E41" s="139" t="inlineStr">
        <is>
          <t>SMALL
(0-300/wk)</t>
        </is>
      </c>
      <c r="F41" s="68" t="inlineStr">
        <is>
          <t>MARKET + SOW + boar/stag</t>
        </is>
      </c>
      <c r="G41" s="68" t="inlineStr">
        <is>
          <t>USDA ✓ M6526</t>
        </is>
      </c>
      <c r="H41" s="68" t="inlineStr">
        <is>
          <t>None found (do NOT confuse with 'Blue Ridge Beef' pet-food recalls)</t>
        </is>
      </c>
      <c r="I41" s="68" t="inlineStr">
        <is>
          <t>Not on public export lists — verify</t>
        </is>
      </c>
      <c r="J41" s="68" t="inlineStr">
        <is>
          <t>AWA-approved (humane) since 2006</t>
        </is>
      </c>
      <c r="K41" s="68" t="inlineStr">
        <is>
          <t>Not noted</t>
        </is>
      </c>
      <c r="L41" s="68" t="inlineStr">
        <is>
          <t>Mobile-slaughter option</t>
        </is>
      </c>
      <c r="M41" s="110" t="inlineStr">
        <is>
          <t>NO</t>
        </is>
      </c>
      <c r="N41" s="68" t="inlineStr">
        <is>
          <t>Strong B</t>
        </is>
      </c>
      <c r="O41" s="68" t="inlineStr">
        <is>
          <t>540-636-6050
blueridgemeats.com</t>
        </is>
      </c>
      <c r="P41" s="20" t="inlineStr">
        <is>
          <t>STRONG FIT</t>
        </is>
      </c>
      <c r="Q41" s="68" t="inlineStr">
        <is>
          <t>High</t>
        </is>
      </c>
      <c r="R41" s="68" t="inlineStr">
        <is>
          <t>RESOLVED: active federal grant M6526, Middletown VA, market/sow/boar flagged, slaughter_volume_category = 1 = under ~19/wk.  [Verified 2026-08-06 against FSIS Establishment Demographic Data + MPI Directory by Establishment Number.]</t>
        </is>
      </c>
    </row>
    <row r="42" ht="45.2" customHeight="1" s="59">
      <c r="A42" s="4" t="inlineStr">
        <is>
          <t>Fauquier's Finest Custom Meat</t>
        </is>
      </c>
      <c r="B42" s="68" t="inlineStr">
        <is>
          <t>Bealeton, VA</t>
        </is>
      </c>
      <c r="C42" s="68" t="inlineStr">
        <is>
          <t>USDA/FSIS slaughter + processing</t>
        </is>
      </c>
      <c r="D42" s="68" t="inlineStr">
        <is>
          <t>unknown</t>
        </is>
      </c>
      <c r="E42" s="24" t="inlineStr">
        <is>
          <t>unknown
(confirm)</t>
        </is>
      </c>
      <c r="F42" s="68" t="inlineStr">
        <is>
          <t>Yes</t>
        </is>
      </c>
      <c r="G42" s="68" t="inlineStr">
        <is>
          <t>USDA ✓ (FSIS
slaughter listed)</t>
        </is>
      </c>
      <c r="H42" s="25" t="inlineStr">
        <is>
          <t>⚠ REPEAT humane-handling suspensions 2021 &amp; Dec 2024 (+ a 2018 violation). Est. M33940.</t>
        </is>
      </c>
      <c r="I42" s="68" t="inlineStr">
        <is>
          <t>FSIS Est. M33940; not on public export lists — verify</t>
        </is>
      </c>
      <c r="J42" s="68" t="inlineStr">
        <is>
          <t>Not noted</t>
        </is>
      </c>
      <c r="K42" s="68" t="inlineStr">
        <is>
          <t>Not noted</t>
        </is>
      </c>
      <c r="L42" s="68" t="inlineStr">
        <is>
          <t>Worth asking (A)</t>
        </is>
      </c>
      <c r="M42" s="110" t="inlineStr">
        <is>
          <t>NO</t>
        </is>
      </c>
      <c r="N42" s="68" t="inlineStr">
        <is>
          <t>Strong B</t>
        </is>
      </c>
      <c r="O42" s="68" t="inlineStr">
        <is>
          <t>540-439-7227
finestbutcher.com</t>
        </is>
      </c>
      <c r="P42" s="23" t="inlineStr">
        <is>
          <t>CAUTION</t>
        </is>
      </c>
      <c r="Q42" s="68" t="inlineStr">
        <is>
          <t>Med-High</t>
        </is>
      </c>
      <c r="R42" s="68" t="inlineStr">
        <is>
          <t>FSIS-listed for BOTH slaughter &amp; processing incl. hogs — BUT see enforcement: REPEAT humane-handling suspensions (2018, 2021, Dec 2024). A pattern that cuts against the welfare requirement — vet carefully before pursuing.</t>
        </is>
      </c>
    </row>
    <row r="43" ht="85.40000000000001" customHeight="1" s="59">
      <c r="A43" s="4" t="inlineStr">
        <is>
          <t>Other VA USDA slaughter (roll-up)</t>
        </is>
      </c>
      <c r="B43" s="68" t="inlineStr">
        <is>
          <t>various, VA</t>
        </is>
      </c>
      <c r="C43" s="68" t="inlineStr">
        <is>
          <t>USDA slaughter</t>
        </is>
      </c>
      <c r="D43" s="68" t="inlineStr">
        <is>
          <t>unknown</t>
        </is>
      </c>
      <c r="E43" s="24" t="inlineStr">
        <is>
          <t>unknown
(confirm)</t>
        </is>
      </c>
      <c r="F43" s="68" t="inlineStr">
        <is>
          <t>Yes (confirm per-facility)</t>
        </is>
      </c>
      <c r="G43" s="68" t="inlineStr">
        <is>
          <t>USDA ✓</t>
        </is>
      </c>
      <c r="H43" s="25" t="inlineStr">
        <is>
          <t>⚠ Donald's Meat Processing (Lexington, M39968): repeat humane suspension 2023 → 3-yr consent decision. Others: none found.</t>
        </is>
      </c>
      <c r="I43" s="68" t="inlineStr">
        <is>
          <t>Not on public export lists — verify each</t>
        </is>
      </c>
      <c r="J43" s="68" t="inlineStr">
        <is>
          <t>Varies</t>
        </is>
      </c>
      <c r="K43" s="68" t="inlineStr">
        <is>
          <t>Not noted</t>
        </is>
      </c>
      <c r="L43" s="68" t="inlineStr">
        <is>
          <t>Possible</t>
        </is>
      </c>
      <c r="M43" s="111" t="inlineStr">
        <is>
          <t>mixed — confirm</t>
        </is>
      </c>
      <c r="N43" s="68" t="inlineStr">
        <is>
          <t>B</t>
        </is>
      </c>
      <c r="O43" s="68" t="inlineStr">
        <is>
          <t>see notes →</t>
        </is>
      </c>
      <c r="P43" s="23" t="inlineStr">
        <is>
          <t>POSSIBLE</t>
        </is>
      </c>
      <c r="Q43" s="68" t="inlineStr">
        <is>
          <t>Low-Med</t>
        </is>
      </c>
      <c r="R43" s="68" t="inlineStr">
        <is>
          <t>From VA slaughter list: Gore's (Edinburg 540-984-8138); Smith Valley Meats (Rich Creek 540-726-3992); Washington County Meat Packing (Bristol 276-466-3000); Central Meat Packing (Chesapeake 757-547-2161); Country Road Meats (Amelia 804-561-5235); Donald's (Lexington 540-464-1846); Crabill's (Toms Brook 540-436-3248); DeHaven's (Winchester 540-662-4004); Russell Meat Packing (Castlewood 276-794-7600); Schrock's (Gladys 434-283-5400). Also verify: 5 Pillar Meats (Farmville) may slaughter cattle/sheep/goat only; Seven Hills (Lynchburg) primarily beef.</t>
        </is>
      </c>
    </row>
    <row r="44" ht="58.6" customHeight="1" s="59">
      <c r="A44" s="4" t="inlineStr">
        <is>
          <t>VA state-inspected (roll-up)</t>
        </is>
      </c>
      <c r="B44" s="68" t="inlineStr">
        <is>
          <t>various, VA</t>
        </is>
      </c>
      <c r="C44" s="68" t="inlineStr">
        <is>
          <t>STATE-inspected slaughter (NOT USDA)</t>
        </is>
      </c>
      <c r="D44" s="68" t="inlineStr">
        <is>
          <t>unknown</t>
        </is>
      </c>
      <c r="E44" s="22" t="inlineStr">
        <is>
          <t>SMALL
(0-300/wk)</t>
        </is>
      </c>
      <c r="F44" s="68" t="inlineStr">
        <is>
          <t>Yes</t>
        </is>
      </c>
      <c r="G44" s="68" t="inlineStr">
        <is>
          <t>STATE only
(NOT USDA)</t>
        </is>
      </c>
      <c r="H44" s="68" t="inlineStr">
        <is>
          <t>Not in FSIS federal enforcement data (state-inspected) — check VDACS state records</t>
        </is>
      </c>
      <c r="I44" s="112" t="inlineStr">
        <is>
          <t>⛔ State-inspected, non-NC — NOT accepted as equivalent. Needs USDA/FSIS to qualify for Path 1.</t>
        </is>
      </c>
      <c r="J44" s="68" t="inlineStr">
        <is>
          <t>Varies</t>
        </is>
      </c>
      <c r="K44" s="68" t="inlineStr">
        <is>
          <t>Not noted</t>
        </is>
      </c>
      <c r="L44" s="68" t="inlineStr">
        <is>
          <t>Possible</t>
        </is>
      </c>
      <c r="M44" s="111" t="inlineStr">
        <is>
          <t>mixed — confirm</t>
        </is>
      </c>
      <c r="N44" s="68" t="inlineStr">
        <is>
          <t>B</t>
        </is>
      </c>
      <c r="O44" s="68" t="inlineStr">
        <is>
          <t>see notes →</t>
        </is>
      </c>
      <c r="P44" s="23" t="inlineStr">
        <is>
          <t>CAUTION</t>
        </is>
      </c>
      <c r="Q44" s="68" t="inlineStr">
        <is>
          <t>Low</t>
        </is>
      </c>
      <c r="R44" s="68" t="inlineStr">
        <is>
          <t>⛔ NOT EQUIVALENT: only NC state inspection is accepted by APHIS as equivalent. A non-NC state-inspected plant does NOT satisfy the Path 1 harvest-site requirement — it would need USDA/FSIS inspection to qualify. || NOT USDA-FSIS — FLAG for export/APHIS purposes: Adam's Custom Slaughter (Amissville); Ande's (Timberville); Griffith's (Luray); Green Valley (Monroe); Virginia Tech (Blacksburg).</t>
        </is>
      </c>
    </row>
    <row r="45" ht="19.7" customHeight="1" s="59">
      <c r="A45" s="118" t="inlineStr">
        <is>
          <t>IOWA &amp; MIDWEST — best fits (dedicated organ / tissue harvesters)</t>
        </is>
      </c>
    </row>
    <row r="46" ht="139" customHeight="1" s="59">
      <c r="A46" s="4" t="inlineStr">
        <is>
          <t>Midwest Research Swine (DBA of Collagen Solutions / Evergen)</t>
        </is>
      </c>
      <c r="B46" s="68" t="inlineStr">
        <is>
          <t>Glencoe / Gibbon, MN</t>
        </is>
      </c>
      <c r="C46" s="68" t="inlineStr">
        <is>
          <t>Porcine-ONLY abattoir + tissue-harvest facility</t>
        </is>
      </c>
      <c r="D46" s="68" t="inlineStr">
        <is>
          <t>~19-192/wk
(FSIS cat 2 ceiling — the
'20,000/yr ≈ 385/wk' figure
EXCEEDS it)</t>
        </is>
      </c>
      <c r="E46" s="139" t="inlineStr">
        <is>
          <t>SMALL
(0-300/wk)</t>
        </is>
      </c>
      <c r="F46" s="68" t="inlineStr">
        <is>
          <t>MARKET + ROASTER
(sow: No, boar/stag: No)</t>
        </is>
      </c>
      <c r="G46" s="68" t="inlineStr">
        <is>
          <t>meat insp.
unconfirmed</t>
        </is>
      </c>
      <c r="H46" s="68" t="inlineStr">
        <is>
          <t>None found (small research facility; rarely in enforcement data)</t>
        </is>
      </c>
      <c r="I46" s="112" t="inlineStr">
        <is>
          <t>⚠ AWA licences are NOT the export credential. MRS holds USDA APHIS Class B/R licences, but Class A/B/C/R are ANIMAL WELFARE ACT credentials governing possession and sale of LIVE animals — they confer nothing on animal-by-product export. The credential our rule requires is APHIS VETERINARY SERVICES export listing, which is NOT established here.</t>
        </is>
      </c>
      <c r="J46" s="68" t="inlineStr">
        <is>
          <t>Strong — closed herd, stringent QC; family (Theis, since 1978), ~20 staff</t>
        </is>
      </c>
      <c r="K46" s="68" t="inlineStr">
        <is>
          <t>YES — CORE BUSINESS: whole organs (decellularization), veins/arteries for implantation, mesh tissue, bio-samples; xeno/vaccine/stem-cell research</t>
        </is>
      </c>
      <c r="L46" s="68" t="inlineStr">
        <is>
          <t>Plausible (has harvest facility)</t>
        </is>
      </c>
      <c r="M46" s="111" t="inlineStr">
        <is>
          <t>confirm</t>
        </is>
      </c>
      <c r="N46" s="68" t="inlineStr">
        <is>
          <t>Best fit — harvest to spec</t>
        </is>
      </c>
      <c r="O46" s="68" t="inlineStr">
        <is>
          <t>midwestresearchswine.com
(phone via site)</t>
        </is>
      </c>
      <c r="P46" s="20" t="inlineStr">
        <is>
          <t>STRONG FIT</t>
        </is>
      </c>
      <c r="Q46" s="68" t="inlineStr">
        <is>
          <t>High</t>
        </is>
      </c>
      <c r="R46" s="68" t="inlineStr">
        <is>
          <t>VOLUME CORRECTED DOWNWARD. FSIS records Est. M40110 (Collagen Solutions (US) LLC DBA Evergen, Glencoe MN) at slaughter_volume_category = 2 = 1,000-9,999 head per 360 days — a ceiling of ~192/wk. The '20,000 head/yr ≈ 385/wk' figure would require category 3 and is not supported. Market hogs and roasters are flagged; no sows. Note this is the entity behind the 'Midwest Research Swine' name — a research-tissue business, so its value to us is as a comparator and a make-vs-buy price check, not as a volume lane.  [Verified 2026-08-06 against FSIS Establishment Demographic Data + MPI Directory by Establishment Number.]</t>
        </is>
      </c>
    </row>
    <row r="47" ht="85.40000000000001" customHeight="1" s="59">
      <c r="A47" s="4" t="inlineStr">
        <is>
          <t>Smithfield BioScience — Denison</t>
        </is>
      </c>
      <c r="B47" s="68" t="inlineStr">
        <is>
          <t>Denison, IA
(+ Monmouth IL, Milan MO)</t>
        </is>
      </c>
      <c r="C47" s="68" t="inlineStr">
        <is>
          <t>LARGE packer + biologics program</t>
        </is>
      </c>
      <c r="D47" s="68" t="inlineStr">
        <is>
          <t>~10,000 / DAY
(organ exception)</t>
        </is>
      </c>
      <c r="E47" s="26" t="inlineStr">
        <is>
          <t>HIGH
(&gt;5,000/wk)</t>
        </is>
      </c>
      <c r="F47" s="68" t="inlineStr">
        <is>
          <t>MARKET only</t>
        </is>
      </c>
      <c r="G47" s="68" t="inlineStr">
        <is>
          <t>USDA ✓ M717 + P19051 + V717
(V = voluntary grant;
export-certified)</t>
        </is>
      </c>
      <c r="H47" s="25" t="inlineStr">
        <is>
          <t>⚠ REPEAT humane-handling: NOIE 2021 &amp; 2023; suspension 09/2024 (egregious). ASPCA line-speed concerns. Est. M717.</t>
        </is>
      </c>
      <c r="I47" s="68" t="inlineStr">
        <is>
          <t>FSIS export-certified (edible, Est. M717). Research-tissue via APHIS VS/TRACES unverified</t>
        </is>
      </c>
      <c r="J47" s="68" t="inlineStr">
        <is>
          <t>Industrial scale, but a structured biologics unit</t>
        </is>
      </c>
      <c r="K47" s="68" t="inlineStr">
        <is>
          <t>YES — full program: PELVIC (bladder, ovary); ABDOMINAL (kidney, liver, pancreas, sm. intestine, mucosa, peritoneum, pepsin lining); THORACIC (heart, valves, lung, aorta, pericardium, trachea); glands/skin/eyes</t>
        </is>
      </c>
      <c r="L47" s="68" t="inlineStr">
        <is>
          <t>Negotiate (industrial site)</t>
        </is>
      </c>
      <c r="M47" s="110" t="inlineStr">
        <is>
          <t>NO</t>
        </is>
      </c>
      <c r="N47" s="68" t="inlineStr">
        <is>
          <t>Strong — harvests in-house to customer spec</t>
        </is>
      </c>
      <c r="O47" s="68" t="inlineStr">
        <is>
          <t>smithfieldbioscience.com</t>
        </is>
      </c>
      <c r="P47" s="20" t="inlineStr">
        <is>
          <t>STRONG FIT
(organ exc.)</t>
        </is>
      </c>
      <c r="Q47" s="68" t="inlineStr">
        <is>
          <t>High</t>
        </is>
      </c>
      <c r="R47" s="68" t="inlineStr">
        <is>
          <t>The large packer that QUALIFIES via your organ exception — covers all three target regions harvested to spec. Model B natural fit; Model A access would need negotiation.</t>
        </is>
      </c>
    </row>
    <row r="48" ht="19.7" customHeight="1" s="59">
      <c r="A48" s="118" t="inlineStr">
        <is>
          <t>IOWA &amp; MIDWEST — mid / small USDA hog plants (standard pork; Model A or B)</t>
        </is>
      </c>
    </row>
    <row r="49" ht="72" customHeight="1" s="59">
      <c r="A49" s="4" t="inlineStr">
        <is>
          <t>Lorentz Meats</t>
        </is>
      </c>
      <c r="B49" s="68" t="inlineStr">
        <is>
          <t>Cannon Falls, MN</t>
        </is>
      </c>
      <c r="C49" s="68" t="inlineStr">
        <is>
          <t>USDA niche processor (slaughter→retail)</t>
        </is>
      </c>
      <c r="D49" s="68" t="inlineStr">
        <is>
          <t>up to ~600 (120/day est.)</t>
        </is>
      </c>
      <c r="E49" s="20" t="inlineStr">
        <is>
          <t>MEDIUM
(350-2,500/wk)</t>
        </is>
      </c>
      <c r="F49" s="68" t="inlineStr">
        <is>
          <t>NO SWINE FLAGS in FSIS —
hog slaughter NOT confirmed</t>
        </is>
      </c>
      <c r="G49" s="68" t="inlineStr">
        <is>
          <t>USDA ✓ M21207 + P21207 + V21207</t>
        </is>
      </c>
      <c r="H49" s="68" t="inlineStr">
        <is>
          <t>Recall 2010 (Listeria, cooked ham, Class I). No humane-handling action found.</t>
        </is>
      </c>
      <c r="I49" s="68" t="inlineStr">
        <is>
          <t>FSIS export-certified (edible, general; Est. M21207). EU-specific unverified</t>
        </is>
      </c>
      <c r="J49" s="68" t="inlineStr">
        <is>
          <t>Strong — explicit humane-slaughter positioning; family since 1968, ~140 staff; organic/grass-fed ties</t>
        </is>
      </c>
      <c r="K49" s="68" t="inlineStr">
        <is>
          <t>None known</t>
        </is>
      </c>
      <c r="L49" s="68" t="inlineStr">
        <is>
          <t>Good Model A host (fee-for-service, small-producer friendly)</t>
        </is>
      </c>
      <c r="M49" s="110" t="inlineStr">
        <is>
          <t>NO</t>
        </is>
      </c>
      <c r="N49" s="68" t="inlineStr">
        <is>
          <t>Plausible</t>
        </is>
      </c>
      <c r="O49" s="68" t="inlineStr">
        <is>
          <t>(507) 263-3618
lorentzmeats.com</t>
        </is>
      </c>
      <c r="P49" s="140" t="inlineStr">
        <is>
          <t>CAUTION</t>
        </is>
      </c>
      <c r="Q49" s="68" t="inlineStr">
        <is>
          <t>Med-High</t>
        </is>
      </c>
      <c r="R49" s="68" t="inlineStr">
        <is>
          <t>⚠ SPECIES NOT CONFIRMED. Est. M21207 + P21207 + V21207 is an active federal grant at Cannon Falls MN with an export-certification activity listed and slaughter_volume_category = 3, but FSIS records NO swine slaughter flags. The 'up to ~600/wk (120 hd/day)' hog figure is unsupported by the primary data — confirm species before spending a call on volume.  [Verified 2026-08-06 against FSIS Establishment Demographic Data + MPI Directory by Establishment Number.]</t>
        </is>
      </c>
    </row>
    <row r="50" ht="58.6" customHeight="1" s="59">
      <c r="A50" s="4" t="inlineStr">
        <is>
          <t>SIG International, Iowa</t>
        </is>
      </c>
      <c r="B50" s="68" t="inlineStr">
        <is>
          <t>Boyden, IA</t>
        </is>
      </c>
      <c r="C50" s="68" t="inlineStr">
        <is>
          <t>USDA slaughter+processing (Est. M20748)</t>
        </is>
      </c>
      <c r="D50" s="68" t="inlineStr">
        <is>
          <t>~192-1,917/wk
(FSIS cat 3)</t>
        </is>
      </c>
      <c r="E50" s="142" t="inlineStr">
        <is>
          <t>MEDIUM
(350-2,500/wk)</t>
        </is>
      </c>
      <c r="F50" s="68" t="inlineStr">
        <is>
          <t>MARKET only</t>
        </is>
      </c>
      <c r="G50" s="68" t="inlineStr">
        <is>
          <t>USDA ✓ M20748 + V20748
(V = voluntary; export-cert)</t>
        </is>
      </c>
      <c r="H50" s="68" t="inlineStr">
        <is>
          <t>None found in public sources</t>
        </is>
      </c>
      <c r="I50" s="68" t="inlineStr">
        <is>
          <t>FSIS export-certified (edible; exports to Japan — Japan ≠ EU). EU/APHIS unverified</t>
        </is>
      </c>
      <c r="J50" s="68" t="inlineStr">
        <is>
          <t>Berkshire / USDA-organic; export QC discipline</t>
        </is>
      </c>
      <c r="K50" s="68" t="inlineStr">
        <is>
          <t>None found</t>
        </is>
      </c>
      <c r="L50" s="68" t="inlineStr">
        <is>
          <t>Likely Model A host</t>
        </is>
      </c>
      <c r="M50" s="110" t="inlineStr">
        <is>
          <t>NO</t>
        </is>
      </c>
      <c r="N50" s="68" t="inlineStr">
        <is>
          <t>Plausible</t>
        </is>
      </c>
      <c r="O50" s="68" t="inlineStr">
        <is>
          <t>(712) 725-2172
sigiowa.com</t>
        </is>
      </c>
      <c r="P50" s="23" t="inlineStr">
        <is>
          <t>POSSIBLE</t>
        </is>
      </c>
      <c r="Q50" s="68" t="inlineStr">
        <is>
          <t>High</t>
        </is>
      </c>
      <c r="R50" s="68" t="inlineStr">
        <is>
          <t>RESOLVED from 'unknown'. Active federal grant M20748 + V20748, Boyden IA, market hogs flagged, slaughter_volume_category = 3 = 192-1,917/wk — a genuine medium-band plant, and it carries a Certification-Export activity, which matters for anything EU-bound.  [Verified 2026-08-06 against FSIS Establishment Demographic Data + MPI Directory by Establishment Number.]</t>
        </is>
      </c>
    </row>
    <row r="51" ht="31.8" customHeight="1" s="59">
      <c r="A51" s="4" t="inlineStr">
        <is>
          <t>Eickman's Processing Co.</t>
        </is>
      </c>
      <c r="B51" s="68" t="inlineStr">
        <is>
          <t>Seward, IL</t>
        </is>
      </c>
      <c r="C51" s="68" t="inlineStr">
        <is>
          <t>USDA (Est. M31776), small family plant</t>
        </is>
      </c>
      <c r="D51" s="68" t="inlineStr">
        <is>
          <t>~19-192/wk
(FSIS cat 2 ceiling)</t>
        </is>
      </c>
      <c r="E51" s="22" t="inlineStr">
        <is>
          <t>SMALL
(0-300/wk)</t>
        </is>
      </c>
      <c r="F51" s="68" t="inlineStr">
        <is>
          <t>MARKET + ROASTER</t>
        </is>
      </c>
      <c r="G51" s="68" t="inlineStr">
        <is>
          <t>USDA ✓ M31776 + P31776 + V31776</t>
        </is>
      </c>
      <c r="H51" s="68" t="inlineStr">
        <is>
          <t>Recall 2010 (underprocessed canned). No humane-handling action found.</t>
        </is>
      </c>
      <c r="I51" s="68" t="inlineStr">
        <is>
          <t>Not on public export lists — verify</t>
        </is>
      </c>
      <c r="J51" s="68" t="inlineStr">
        <is>
          <t>Long-tenured family operation (~70 yrs, ~30 staff) — stable culture</t>
        </is>
      </c>
      <c r="K51" s="68" t="inlineStr">
        <is>
          <t>None</t>
        </is>
      </c>
      <c r="L51" s="68" t="inlineStr">
        <is>
          <t>Model A small batches</t>
        </is>
      </c>
      <c r="M51" s="110" t="inlineStr">
        <is>
          <t>NO</t>
        </is>
      </c>
      <c r="N51" s="68" t="inlineStr">
        <is>
          <t>Plausible</t>
        </is>
      </c>
      <c r="O51" s="68" t="inlineStr">
        <is>
          <t>(815) 247-8451
eickmans.com</t>
        </is>
      </c>
      <c r="P51" s="23" t="inlineStr">
        <is>
          <t>POSSIBLE</t>
        </is>
      </c>
      <c r="Q51" s="68" t="inlineStr">
        <is>
          <t>High</t>
        </is>
      </c>
      <c r="R51" s="68" t="inlineStr">
        <is>
          <t>SMALL tier (~low-100s/wk est.). Stable family culture, USDA. Viable now that capacity is open — good Model A small-batch partner.</t>
        </is>
      </c>
    </row>
    <row r="52" ht="31.8" customHeight="1" s="59">
      <c r="A52" s="4" t="inlineStr">
        <is>
          <t>Ruthven Meat Processing</t>
        </is>
      </c>
      <c r="B52" s="68" t="inlineStr">
        <is>
          <t>Ruthven, IA</t>
        </is>
      </c>
      <c r="C52" s="68" t="inlineStr">
        <is>
          <t>USDA (Est. M2118), FSIS 'Very Small'</t>
        </is>
      </c>
      <c r="D52" s="68" t="inlineStr">
        <is>
          <t>~19-192/wk
(FSIS cat 2 ceiling)</t>
        </is>
      </c>
      <c r="E52" s="22" t="inlineStr">
        <is>
          <t>SMALL
(0-300/wk)</t>
        </is>
      </c>
      <c r="F52" s="68" t="inlineStr">
        <is>
          <t>NO SWINE FLAGS in FSIS —
hogs NOT confirmed</t>
        </is>
      </c>
      <c r="G52" s="68" t="inlineStr">
        <is>
          <t>USDA ✓ M2118 + P2118 + V2118</t>
        </is>
      </c>
      <c r="H52" s="68" t="inlineStr">
        <is>
          <t>None found in public sources</t>
        </is>
      </c>
      <c r="I52" s="68" t="inlineStr">
        <is>
          <t>Not on public export lists — verify</t>
        </is>
      </c>
      <c r="J52" s="68" t="inlineStr">
        <is>
          <t>Small locker</t>
        </is>
      </c>
      <c r="K52" s="68" t="inlineStr">
        <is>
          <t>Unknown</t>
        </is>
      </c>
      <c r="L52" s="68" t="inlineStr">
        <is>
          <t>Model A small batch</t>
        </is>
      </c>
      <c r="M52" s="110" t="inlineStr">
        <is>
          <t>NO</t>
        </is>
      </c>
      <c r="N52" s="68" t="inlineStr">
        <is>
          <t>Plausible</t>
        </is>
      </c>
      <c r="O52" s="68" t="inlineStr">
        <is>
          <t>(712) 837-5334</t>
        </is>
      </c>
      <c r="P52" s="23" t="inlineStr">
        <is>
          <t>CAUTION</t>
        </is>
      </c>
      <c r="Q52" s="68" t="inlineStr">
        <is>
          <t>High</t>
        </is>
      </c>
      <c r="R52" s="68" t="inlineStr">
        <is>
          <t>FSIS 'Very Small' volume class (fits low band) BUT swine slaughter NOT confirmed — verify it actually takes hogs before relying on it.</t>
        </is>
      </c>
    </row>
    <row r="53" ht="19.7" customHeight="1" s="59">
      <c r="A53" s="118" t="inlineStr">
        <is>
          <t>IOWA &amp; MIDWEST — large packers (excluded unless a biologics program is confirmed)</t>
        </is>
      </c>
    </row>
    <row r="54" ht="45.2" customHeight="1" s="59">
      <c r="A54" s="4" t="inlineStr">
        <is>
          <t>Sioux-Preme Packing / Perdue</t>
        </is>
      </c>
      <c r="B54" s="68" t="inlineStr">
        <is>
          <t>Sioux Center, IA</t>
        </is>
      </c>
      <c r="C54" s="68" t="inlineStr">
        <is>
          <t>Large niche pork (Est. M5537)</t>
        </is>
      </c>
      <c r="D54" s="68" t="inlineStr">
        <is>
          <t>~4,500 / DAY</t>
        </is>
      </c>
      <c r="E54" s="26" t="inlineStr">
        <is>
          <t>HIGH
(&gt;5,000/wk)</t>
        </is>
      </c>
      <c r="F54" s="68" t="inlineStr">
        <is>
          <t>MARKET + ROASTER + boar/stag
(sow: No)</t>
        </is>
      </c>
      <c r="G54" s="68" t="inlineStr">
        <is>
          <t>USDA ✓ M5537</t>
        </is>
      </c>
      <c r="H54" s="25" t="inlineStr">
        <is>
          <t>⚠ Humane-handling: NOIE 11/2020, suspension 04/2021 (Est. M5537); PETA sought charges (none filed on record).</t>
        </is>
      </c>
      <c r="I54" s="68" t="inlineStr">
        <is>
          <t>Export status not confirmed on public lists — verify</t>
        </is>
      </c>
      <c r="J54" s="68" t="inlineStr">
        <is>
          <t>NEGATIVE signal — an animal-rights group publicly sought charges over handling</t>
        </is>
      </c>
      <c r="K54" s="68" t="inlineStr">
        <is>
          <t>No biologics program found</t>
        </is>
      </c>
      <c r="L54" s="68" t="inlineStr">
        <is>
          <t>Unlikely</t>
        </is>
      </c>
      <c r="M54" s="110" t="inlineStr">
        <is>
          <t>NO</t>
        </is>
      </c>
      <c r="N54" s="68" t="inlineStr">
        <is>
          <t>Unlikely</t>
        </is>
      </c>
      <c r="O54" s="68" t="inlineStr">
        <is>
          <t>(712) 722-2555</t>
        </is>
      </c>
      <c r="P54" s="23" t="inlineStr">
        <is>
          <t>CAUTION</t>
        </is>
      </c>
      <c r="Q54" s="68" t="inlineStr">
        <is>
          <t>High</t>
        </is>
      </c>
      <c r="R54" s="68" t="inlineStr">
        <is>
          <t>HIGH tier — no longer excluded on size. Held at CAUTION on WELFARE, not volume: humane-handling NOIE 11/2020 and suspension 04/2021 (Est. M5537), and PETA sought criminal charges. No organ program found. Weigh heavily against the Nahunta standard.</t>
        </is>
      </c>
    </row>
    <row r="55" ht="45.2" customHeight="1" s="59">
      <c r="A55" s="4" t="inlineStr">
        <is>
          <t>Seaboard Triumph Foods</t>
        </is>
      </c>
      <c r="B55" s="68" t="inlineStr">
        <is>
          <t>Sioux City, IA</t>
        </is>
      </c>
      <c r="C55" s="68" t="inlineStr">
        <is>
          <t>Very large packer</t>
        </is>
      </c>
      <c r="D55" s="68" t="inlineStr">
        <is>
          <t>~10,000/DAY (up to 20-24k)</t>
        </is>
      </c>
      <c r="E55" s="26" t="inlineStr">
        <is>
          <t>HIGH
(&gt;5,000/wk)</t>
        </is>
      </c>
      <c r="F55" s="68" t="inlineStr">
        <is>
          <t>MARKET only</t>
        </is>
      </c>
      <c r="G55" s="68" t="inlineStr">
        <is>
          <t>USDA ✓ M46071 + V46071
(V = voluntary; export-cert)</t>
        </is>
      </c>
      <c r="H55" s="68" t="inlineStr">
        <is>
          <t>No FSIS humane/recall found. Non-FSIS press: labor / child-labor fines, emissions.</t>
        </is>
      </c>
      <c r="I55" s="68" t="inlineStr">
        <is>
          <t>FSIS export-certified (edible, general; Est. M46071). EU-specific unverified</t>
        </is>
      </c>
      <c r="J55" s="68" t="inlineStr">
        <is>
          <t>Industrial</t>
        </is>
      </c>
      <c r="K55" s="68" t="inlineStr">
        <is>
          <t>NOT confirmed (no research-organ program found)</t>
        </is>
      </c>
      <c r="L55" s="68" t="inlineStr">
        <is>
          <t>Unlikely</t>
        </is>
      </c>
      <c r="M55" s="110" t="inlineStr">
        <is>
          <t>NO</t>
        </is>
      </c>
      <c r="N55" s="68" t="inlineStr">
        <is>
          <t>Unlikely</t>
        </is>
      </c>
      <c r="O55" s="68" t="inlineStr">
        <is>
          <t>—</t>
        </is>
      </c>
      <c r="P55" s="23" t="inlineStr">
        <is>
          <t>POSSIBLE</t>
        </is>
      </c>
      <c r="Q55" s="68" t="inlineStr">
        <is>
          <t>High</t>
        </is>
      </c>
      <c r="R55" s="68" t="inlineStr">
        <is>
          <t>HIGH tier. No longer excluded on size (~10-24k/day). Biologics program UNCONFIRMED — do NOT assume one exists; ask directly. Non-FSIS labour/child-labour press on record.</t>
        </is>
      </c>
    </row>
    <row r="56" ht="72" customHeight="1" s="59">
      <c r="A56" s="138" t="inlineStr">
        <is>
          <t>Prestage Foods of Iowa
(FSIS now lists Eagle Grove Cooperative)</t>
        </is>
      </c>
      <c r="B56" s="68" t="inlineStr">
        <is>
          <t>Eagle Grove, IA</t>
        </is>
      </c>
      <c r="C56" s="68" t="inlineStr">
        <is>
          <t>Very large packer</t>
        </is>
      </c>
      <c r="D56" s="68" t="inlineStr">
        <is>
          <t>~10,000-12,000/DAY</t>
        </is>
      </c>
      <c r="E56" s="26" t="inlineStr">
        <is>
          <t>HIGH
(&gt;5,000/wk)</t>
        </is>
      </c>
      <c r="F56" s="68" t="inlineStr">
        <is>
          <t>MARKET only</t>
        </is>
      </c>
      <c r="G56" s="68" t="inlineStr">
        <is>
          <t>USDA ✓ M51340 + V51340
(listed as Eagle Grove Cooperative;
export-cert)</t>
        </is>
      </c>
      <c r="H56" s="25" t="inlineStr">
        <is>
          <t>⚠ REPEAT humane-handling suspensions 2020 &amp; 04/2022 (egregious). Est. M51340. PETA sought kill-floor cameras.</t>
        </is>
      </c>
      <c r="I56" s="68" t="inlineStr">
        <is>
          <t>Export-oriented; 'Certification–Export' not directly confirmed. EU unverified</t>
        </is>
      </c>
      <c r="J56" s="68" t="inlineStr">
        <is>
          <t>Industrial</t>
        </is>
      </c>
      <c r="K56" s="68" t="inlineStr">
        <is>
          <t>No organ program found</t>
        </is>
      </c>
      <c r="L56" s="68" t="inlineStr">
        <is>
          <t>Unlikely</t>
        </is>
      </c>
      <c r="M56" s="110" t="inlineStr">
        <is>
          <t>NO</t>
        </is>
      </c>
      <c r="N56" s="68" t="inlineStr">
        <is>
          <t>Unlikely</t>
        </is>
      </c>
      <c r="O56" s="68" t="inlineStr">
        <is>
          <t>—</t>
        </is>
      </c>
      <c r="P56" s="23" t="inlineStr">
        <is>
          <t>POSSIBLE</t>
        </is>
      </c>
      <c r="Q56" s="68" t="inlineStr">
        <is>
          <t>Med-High</t>
        </is>
      </c>
      <c r="R56" s="68" t="inlineStr">
        <is>
          <t>NAME CHANGE ON THE FSIS RECORD. The active establishment at Eagle Grove IA is M51340 + V51340, listed as 'Eagle Grove Cooperative', with market-hog slaughter and a Certification-Export activity, slaughter_volume_category = 4. No establishment is listed under the Prestage name at that location. Confirm the ownership position before using the Prestage name in correspondence.  [Verified 2026-08-06 against FSIS Establishment Demographic Data + MPI Directory by Establishment Number.]</t>
        </is>
      </c>
    </row>
    <row r="57" ht="45.2" customHeight="1" s="59">
      <c r="A57" s="4" t="inlineStr">
        <is>
          <t>Wholestone Farms</t>
        </is>
      </c>
      <c r="B57" s="68" t="inlineStr">
        <is>
          <t>Fremont, NE</t>
        </is>
      </c>
      <c r="C57" s="68" t="inlineStr">
        <is>
          <t>Very large packer</t>
        </is>
      </c>
      <c r="D57" s="68" t="inlineStr">
        <is>
          <t>~8,200/DAY (3M→5.6M/yr)</t>
        </is>
      </c>
      <c r="E57" s="26" t="inlineStr">
        <is>
          <t>HIGH
(&gt;5,000/wk)</t>
        </is>
      </c>
      <c r="F57" s="68" t="inlineStr">
        <is>
          <t>MARKET only</t>
        </is>
      </c>
      <c r="G57" s="68" t="inlineStr">
        <is>
          <t>USDA ✓ M46491 + P46491</t>
        </is>
      </c>
      <c r="H57" s="25" t="inlineStr">
        <is>
          <t>⚠ Humane-handling NOIE 12/2019 (Est. M46491; captive bolt on a condemned hog).</t>
        </is>
      </c>
      <c r="I57" s="68" t="inlineStr">
        <is>
          <t>Not confirmed on public lists — verify</t>
        </is>
      </c>
      <c r="J57" s="68" t="inlineStr">
        <is>
          <t>Industrial</t>
        </is>
      </c>
      <c r="K57" s="68" t="inlineStr">
        <is>
          <t>Biologics unknown</t>
        </is>
      </c>
      <c r="L57" s="68" t="inlineStr">
        <is>
          <t>Unlikely</t>
        </is>
      </c>
      <c r="M57" s="110" t="inlineStr">
        <is>
          <t>NO</t>
        </is>
      </c>
      <c r="N57" s="68" t="inlineStr">
        <is>
          <t>Unlikely</t>
        </is>
      </c>
      <c r="O57" s="68" t="inlineStr">
        <is>
          <t>—</t>
        </is>
      </c>
      <c r="P57" s="23" t="inlineStr">
        <is>
          <t>POSSIBLE</t>
        </is>
      </c>
      <c r="Q57" s="68" t="inlineStr">
        <is>
          <t>High</t>
        </is>
      </c>
      <c r="R57" s="68" t="inlineStr">
        <is>
          <t>HIGH tier. No longer excluded on size. Biologics unknown — confirm. Humane-handling NOIE 12/2019 on record.</t>
        </is>
      </c>
    </row>
    <row r="58" ht="45.2" customHeight="1" s="59">
      <c r="A58" s="4" t="inlineStr">
        <is>
          <t>Other large regional (context)</t>
        </is>
      </c>
      <c r="B58" s="68" t="inlineStr">
        <is>
          <t>IA / Midwest</t>
        </is>
      </c>
      <c r="C58" s="68" t="inlineStr">
        <is>
          <t>Very large packers</t>
        </is>
      </c>
      <c r="D58" s="68" t="inlineStr">
        <is>
          <t>&gt;5,000/wk (est.)</t>
        </is>
      </c>
      <c r="E58" s="26" t="inlineStr">
        <is>
          <t>HIGH
(&gt;5,000/wk)</t>
        </is>
      </c>
      <c r="F58" s="68" t="inlineStr">
        <is>
          <t>Yes/mixed</t>
        </is>
      </c>
      <c r="G58" s="68" t="inlineStr">
        <is>
          <t>USDA ✓</t>
        </is>
      </c>
      <c r="H58" s="68" t="inlineStr">
        <is>
          <t>Varies by plant — check FSIS Quarterly Enforcement Reports per establishment #</t>
        </is>
      </c>
      <c r="I58" s="68" t="inlineStr">
        <is>
          <t>Varies — check FSIS 'Eligible Establishments by Country' + TRACES</t>
        </is>
      </c>
      <c r="J58" s="68" t="inlineStr">
        <is>
          <t>Industrial</t>
        </is>
      </c>
      <c r="K58" s="68" t="inlineStr">
        <is>
          <t>Not confirmed</t>
        </is>
      </c>
      <c r="L58" s="68" t="inlineStr">
        <is>
          <t>Unlikely</t>
        </is>
      </c>
      <c r="M58" s="110" t="inlineStr">
        <is>
          <t>NO</t>
        </is>
      </c>
      <c r="N58" s="68" t="inlineStr">
        <is>
          <t>Unlikely</t>
        </is>
      </c>
      <c r="O58" s="68" t="inlineStr">
        <is>
          <t>—</t>
        </is>
      </c>
      <c r="P58" s="23" t="inlineStr">
        <is>
          <t>CAUTION</t>
        </is>
      </c>
      <c r="Q58" s="68" t="inlineStr">
        <is>
          <t>Med</t>
        </is>
      </c>
      <c r="R58" s="68" t="inlineStr">
        <is>
          <t>Tyson Fresh Meats (Columbus Junction, Storm Lake, Waterloo IA); JBS/Cargill pork (Ottumwa/Marshalltown). Tyson Perry IA CLOSED 2024. Iowa Premium/National Beef (Tama) = BEEF — exclude. Biologics programs unverified.</t>
        </is>
      </c>
    </row>
    <row r="59" ht="19.7" customHeight="1" s="59">
      <c r="A59" s="118" t="inlineStr">
        <is>
          <t>ADJACENT SOURCES — research minipig suppliers (scale mismatch; comparator only)</t>
        </is>
      </c>
    </row>
    <row r="60" ht="31.8" customHeight="1" s="59">
      <c r="A60" s="4" t="inlineStr">
        <is>
          <t>Sinclair BioResources</t>
        </is>
      </c>
      <c r="B60" s="68" t="inlineStr">
        <is>
          <t>Auxvasse, MO</t>
        </is>
      </c>
      <c r="C60" s="68" t="inlineStr">
        <is>
          <t>Minipig supplier + bio-samples</t>
        </is>
      </c>
      <c r="D60" s="68" t="inlineStr">
        <is>
          <t>n/a (research minipigs)</t>
        </is>
      </c>
      <c r="E60" s="24" t="inlineStr">
        <is>
          <t>n/a</t>
        </is>
      </c>
      <c r="F60" s="68" t="inlineStr">
        <is>
          <t>Yes (minipigs)</t>
        </is>
      </c>
      <c r="G60" s="68" t="inlineStr">
        <is>
          <t>unknown</t>
        </is>
      </c>
      <c r="H60" s="68" t="inlineStr">
        <is>
          <t>None found (research minipig facility)</t>
        </is>
      </c>
      <c r="I60" s="68" t="inlineStr">
        <is>
          <t>Research minipig; APHIS VS channel — verify</t>
        </is>
      </c>
      <c r="J60" s="68" t="inlineStr">
        <is>
          <t>Research-scale program</t>
        </is>
      </c>
      <c r="K60" s="68" t="inlineStr">
        <is>
          <t>Minipig tissue / bio-samples (Sinclair, Yucatan, Hanford)</t>
        </is>
      </c>
      <c r="L60" s="68" t="inlineStr">
        <is>
          <t>n/a</t>
        </is>
      </c>
      <c r="M60" s="110" t="inlineStr">
        <is>
          <t>NO</t>
        </is>
      </c>
      <c r="N60" s="68" t="inlineStr">
        <is>
          <t>Comparator only</t>
        </is>
      </c>
      <c r="O60" s="68" t="inlineStr">
        <is>
          <t>sinclairbioresources.com</t>
        </is>
      </c>
      <c r="P60" s="23" t="inlineStr">
        <is>
          <t>CAUTION</t>
        </is>
      </c>
      <c r="Q60" s="68" t="inlineStr">
        <is>
          <t>Med</t>
        </is>
      </c>
      <c r="R60" s="68" t="inlineStr">
        <is>
          <t>MISMATCH: research minipigs at research scale, not commercial market hogs at our volume tiers; tissue blocks would be minipig-sized. Useful as a comparator/specialty source, not a throughput abattoir.</t>
        </is>
      </c>
    </row>
    <row r="61" ht="19.7" customHeight="1" s="59">
      <c r="A61" s="118" t="inlineStr">
        <is>
          <t>NORTH CAROLINA — NEWLY FOUND (registry sweep, NCDA&amp;CS directories 2026-07-24)</t>
        </is>
      </c>
    </row>
    <row r="62" ht="192.6" customHeight="1" s="59">
      <c r="A62" s="82" t="inlineStr">
        <is>
          <t>The Pork Company (Villari Food Group)</t>
        </is>
      </c>
      <c r="B62" s="83" t="inlineStr">
        <is>
          <t>Warsaw, NC (Duplin)</t>
        </is>
      </c>
      <c r="C62" s="83" t="inlineStr">
        <is>
          <t>USDA federal fresh-pork HARVEST plant</t>
        </is>
      </c>
      <c r="D62" s="83" t="inlineStr">
        <is>
          <t>~7,500/wk (1,500 hd/day, EMI 2017)</t>
        </is>
      </c>
      <c r="E62" s="26" t="inlineStr">
        <is>
          <t>HIGH
(&gt;5,000/wk)</t>
        </is>
      </c>
      <c r="F62" s="83" t="inlineStr">
        <is>
          <t>MARKET + boar/stag
(sow: No, roaster: No)</t>
        </is>
      </c>
      <c r="G62" s="83" t="inlineStr">
        <is>
          <t>USDA ✓ M20608</t>
        </is>
      </c>
      <c r="H62" s="25" t="inlineStr">
        <is>
          <t>⚠⚠ REPEAT humane failure mode, verified from FSIS letters: NOIE 5/11/2022 → suspension 7/27/2022 → suspension REINSTATED 10/14/2022 (hog regained consciousness on bleed rail); SAME failure mode again 5/6/2025 — egregious under 9 CFR 313.30(a)(4), NOIE in lieu of suspension 5/8/2025, deferral granted 5/15/2025 (FSIS credited the plant's 'robust systematic approach'). Clean through 30 JUN 2026 — the Q3 FY2026 QER (published by 2026-09-03, checked same day) has ZERO entries for M20608. Jul 2026+ pending the Q4 report.</t>
        </is>
      </c>
      <c r="I62" s="83" t="inlineStr">
        <is>
          <t>Sister plant Villari Food Group is EXPORT-CERTIFIED for pork (FSIS, edible). APHIS by-product listing unverified</t>
        </is>
      </c>
      <c r="J62" s="83" t="inlineStr">
        <is>
          <t>⚠⚠ TWO humane-handling NOIEs — 11 May 2022 AND 8 May 2025 (repeat pattern, 3 yrs apart)</t>
        </is>
      </c>
      <c r="K62" s="83" t="inlineStr">
        <is>
          <t>CLIENT GROUND TRUTH — CORRECTED 2026-09-03: the tissue gate is HARD. We buy LEAF FAT only; Villari cannot / will not do organs, and this is not currently negotiable. The 2026-08-17 research reading ('negotiable but hard near-term', wastewater timing, viscera-table wedge) is SUPERSEDED as a plan — retained below only as background should VILLARI ever reopen the topic themselves.</t>
        </is>
      </c>
      <c r="L62" s="83" t="inlineStr">
        <is>
          <t>Unlikely at 1,500 hd/day</t>
        </is>
      </c>
      <c r="M62" s="109" t="inlineStr">
        <is>
          <t>YES · ~45 mi</t>
        </is>
      </c>
      <c r="N62" s="83" t="inlineStr">
        <is>
          <t>No — hard gate on tissue</t>
        </is>
      </c>
      <c r="O62" s="83" t="inlineStr">
        <is>
          <t>(910) 293-2157
GM Cory Johnson (cory.j@vfgmail.com)
Plant Mgr Rickie Purnell (rickie.p@vfgmail.com)
CEO Joe Villari (strategic ask)</t>
        </is>
      </c>
      <c r="P62" s="145" t="inlineStr">
        <is>
          <t>★ CURRENT
SUPPLIER</t>
        </is>
      </c>
      <c r="Q62" s="83" t="inlineStr">
        <is>
          <t>High</t>
        </is>
      </c>
      <c r="R62" s="83" t="inlineStr">
        <is>
          <t>★ CURRENT SUPPLIER — LEAF FAT ONLY, and the tissue gate is HARD (client-corrected 2026-09-03; supersedes the 2026-08-17 'negotiable wedge' framing — plan NO organ volume through Villari). What stays true and useful: the leaf-fat program itself (they segregate a per-head by-product for us at line speed, reliably, at industrial scale); keep it flowing. BACKGROUND ONLY (if they ever reopen the topic): no regulatory blocker exists — M20608 is federally inspected; no third party holds the viscera (renders out, inferred outlet Darling Rose Hill ~10 mi); the $3.27M wastewater pre-treatment project (county loan 3/2026, friction with Warsaw) runs to ~2027 and made new offal handling unattractive; $800K NCAMPI award 7/7/2026. Humane record: same egregious bleed-rail failure mode twice (suspension 2022; NOIE 5/6/2025 deferred 5/15) — clean through Jun 2026 (Q3 FY2026 QER checked 2026-09-03: zero entries), Jul 2026+ pending Q4. GM Cory Johnson / Plant Mgr Rickie Purnell / CEO Joe Villari.  [Client correction 2026-09-03.]</t>
        </is>
      </c>
    </row>
    <row r="63" ht="125.6" customHeight="1" s="59">
      <c r="A63" s="82" t="inlineStr">
        <is>
          <t>Parks Family Meats, LLC</t>
        </is>
      </c>
      <c r="B63" s="83" t="inlineStr">
        <is>
          <t>Warsaw, NC (Duplin)</t>
        </is>
      </c>
      <c r="C63" s="83" t="inlineStr">
        <is>
          <t>Talmadge-Aiken SLAUGHTER-ONLY plant
(FSIS: slaughter_or_processing_only = Slaughter)</t>
        </is>
      </c>
      <c r="D63" s="83" t="inlineStr">
        <is>
          <t>~400-1,000/wk (client mtg 2026-08);
stated 400/day capacity —
cat-3 actuals confirm headroom exists</t>
        </is>
      </c>
      <c r="E63" s="20" t="inlineStr">
        <is>
          <t>MEDIUM
(350-2,500/wk)</t>
        </is>
      </c>
      <c r="F63" s="134" t="inlineStr">
        <is>
          <t>MARKET + ROASTER
(NOT roaster-only)</t>
        </is>
      </c>
      <c r="G63" s="83" t="inlineStr">
        <is>
          <t>USDA ✓ M18296A
(the study's 'TA-18296A' is the
Talmadge-Aiken designation of the
same establishment)</t>
        </is>
      </c>
      <c r="H63" s="83" t="inlineStr">
        <is>
          <t>None found (FSIS unreachable — NOT a clean bill)</t>
        </is>
      </c>
      <c r="I63" s="83" t="inlineStr">
        <is>
          <t>TA = interstate/export eligible. Company claims Caribbean export (self-reported, UNVERIFIED). APHIS listing not found</t>
        </is>
      </c>
      <c r="J63" s="83" t="inlineStr">
        <is>
          <t>None found (NOT a clean bill — FSIS unreachable)</t>
        </is>
      </c>
      <c r="K63" s="83" t="inlineStr">
        <is>
          <t>Roaster line dresses whole-body — suits intact-block recovery; organs near-zero-value byproduct on their lines. Cold storage + Caribbean-export chill-chain discipline already on site.</t>
        </is>
      </c>
      <c r="L63" s="83" t="inlineStr">
        <is>
          <t>Their floor hosts THEIR crew —
see Model B column (B-T live)</t>
        </is>
      </c>
      <c r="M63" s="109" t="inlineStr">
        <is>
          <t>YES · ~45 mi</t>
        </is>
      </c>
      <c r="N63" s="83" t="inlineStr">
        <is>
          <t>★ MODEL B-T LIVE — THEIR people
harvest, trained by US
(client-corrected 2026-09-03)</t>
        </is>
      </c>
      <c r="O63" s="83" t="inlineStr">
        <is>
          <t>PLANT: Kevin Krum, COO (910) 290-0075
kevin.krum@parkslivestock.com
Plant Supervisor Albino Cardoso (910) 284-2354
(Mike Maxwell = corporate sales, Danville IL)</t>
        </is>
      </c>
      <c r="P63" s="145" t="inlineStr">
        <is>
          <t>★ CURRENT
SUPPLIER</t>
        </is>
      </c>
      <c r="Q63" s="83" t="inlineStr">
        <is>
          <t>High</t>
        </is>
      </c>
      <c r="R63" s="83" t="inlineStr">
        <is>
          <t>★ CURRENT SUPPLIER — OPERATING MODEL CORRECTED 2026-09-03: Parks harvests with THEIR OWN PEOPLE under OUR TRAINING (Model B-T) — the working template for supervised-harvest partnerships; we do not put our own techs on this floor. Still true (client + 3rd-party): small lots, roaster focus, 'a bit expensive' — most plausibly spot pricing on a premium niche, not a structural ceiling. VERIFIED 2026-08-17: slaughter-only floor, market + roaster flags, stated 400/day capacity not fully used, clean every checkable enforcement quarter; parent THE PARKS COMPANIES (29 facilities, 11 states, own trucking) can source hogs to spec and truck them in. THE PLAY: ask COO Kevin Krum ((910) 290-0075) for PROGRAM pricing on a committed market-hog window harvested by their trained crew, and use the parent as a procurement arm. Their crew's training is OUR asset — protect it in any renegotiation.  [Client correction 2026-09-03.]</t>
        </is>
      </c>
    </row>
    <row r="64" ht="98.8" customHeight="1" s="59">
      <c r="A64" s="4" t="inlineStr">
        <is>
          <t>Caldwell Meat Processing Co.</t>
        </is>
      </c>
      <c r="B64" s="68" t="inlineStr">
        <is>
          <t>Maiden, NC (Lincoln)</t>
        </is>
      </c>
      <c r="C64" s="68" t="inlineStr">
        <is>
          <t>NC STATE-inspected slaughter + processing</t>
        </is>
      </c>
      <c r="D64" s="68" t="inlineStr">
        <is>
          <t>unknown (est. SMALL)</t>
        </is>
      </c>
      <c r="E64" s="22" t="inlineStr">
        <is>
          <t>SMALL
(0-300/wk)</t>
        </is>
      </c>
      <c r="F64" s="68" t="inlineStr">
        <is>
          <t>Yes — SWINE-ONLY</t>
        </is>
      </c>
      <c r="G64" s="68" t="inlineStr">
        <is>
          <t>STATE only P-312
(NOT USDA — intrastate)</t>
        </is>
      </c>
      <c r="H64" s="68" t="inlineStr">
        <is>
          <t>State-inspected — never appears in FSIS data; absence is meaningless. Check NCDA state records.</t>
        </is>
      </c>
      <c r="I64" s="68" t="inlineStr">
        <is>
          <t>State-inspected — intrastate NC only; not export eligible as edible product</t>
        </is>
      </c>
      <c r="J64" s="68" t="inlineStr">
        <is>
          <t>None found (state plants never appear in FSIS data — absence is meaningless here)</t>
        </is>
      </c>
      <c r="K64" s="68" t="inlineStr">
        <is>
          <t>Hog-ONLY kill floor — every kill day is a hog day (the Nahunta structural pattern). Offal policy unverified.</t>
        </is>
      </c>
      <c r="L64" s="68" t="inlineStr">
        <is>
          <t>Plausible</t>
        </is>
      </c>
      <c r="M64" s="110" t="inlineStr">
        <is>
          <t>NO · ~227 mi</t>
        </is>
      </c>
      <c r="N64" s="68" t="inlineStr">
        <is>
          <t>Implausible (state inspection blocks interstate edible movement)</t>
        </is>
      </c>
      <c r="O64" s="68" t="inlineStr">
        <is>
          <t>(828) 428-8833</t>
        </is>
      </c>
      <c r="P64" s="23" t="inlineStr">
        <is>
          <t>POSSIBLE</t>
        </is>
      </c>
      <c r="Q64" s="68" t="inlineStr">
        <is>
          <t>Med-High</t>
        </is>
      </c>
      <c r="R64" s="68" t="inlineStr">
        <is>
          <t>★ UPGRADED 2026-08-17 — TOP STATE-PLANT LEAD IN THE WEST (adversarially confirmed on the NCDA&amp;CS State Plant Directory dated 2026-08-10): swine-ONLY state grant P-312, the same structure and APHIS-equivalent export path as Nahunta; family hog plant since 1968-69, 40 min from Charlotte. Could become a WESTERN MINI-NAHUNTA — everything hinges on actual weekly kill and openness to hosting a crew (NCDA publishes no volumes); one visit answers it. 227 road mi — outside the Model A radius, so this is a western-crew / Model B play, not an extension of the eastern crew.  [2026-08-17 focus-region pass: FSIS MPI + Demographic datasets and NCDA&amp;CS directories (dated 2026-08-10) retrieved fresh 2026-08-17; adversarially verified.]</t>
        </is>
      </c>
    </row>
    <row r="65" ht="112.2" customHeight="1" s="59">
      <c r="A65" s="4" t="inlineStr">
        <is>
          <t>McLaughlin's</t>
        </is>
      </c>
      <c r="B65" s="68" t="inlineStr">
        <is>
          <t>Mooresville, NC (Rowan)</t>
        </is>
      </c>
      <c r="C65" s="68" t="inlineStr">
        <is>
          <t>NC STATE-inspected slaughter + processing</t>
        </is>
      </c>
      <c r="D65" s="68" t="inlineStr">
        <is>
          <t>unknown (est. SMALL)</t>
        </is>
      </c>
      <c r="E65" s="22" t="inlineStr">
        <is>
          <t>SMALL
(0-300/wk)</t>
        </is>
      </c>
      <c r="F65" s="68" t="inlineStr">
        <is>
          <t>Yes — SWINE-ONLY</t>
        </is>
      </c>
      <c r="G65" s="68" t="inlineStr">
        <is>
          <t>STATE only P-85
(NOT USDA — intrastate)</t>
        </is>
      </c>
      <c r="H65" s="68" t="inlineStr">
        <is>
          <t>State-inspected — not in FSIS data by construction</t>
        </is>
      </c>
      <c r="I65" s="68" t="inlineStr">
        <is>
          <t>State-inspected — intrastate NC only</t>
        </is>
      </c>
      <c r="J65" s="68" t="inlineStr">
        <is>
          <t>None found (state plant — not in FSIS data)</t>
        </is>
      </c>
      <c r="K65" s="68" t="inlineStr">
        <is>
          <t>MIXED: livermush CONSUMES THE LIVERS (~3,000 lb/wk in season) and sausage uses trim — livers and some viscera are their RAW MATERIAL. But pelvic / bariatric / thoracic blocks, aortas and leaf fat may still be waste streams — negotiable.</t>
        </is>
      </c>
      <c r="L65" s="68" t="inlineStr">
        <is>
          <t>Plausible</t>
        </is>
      </c>
      <c r="M65" s="110" t="inlineStr">
        <is>
          <t>NO · ~201 mi</t>
        </is>
      </c>
      <c r="N65" s="68" t="inlineStr">
        <is>
          <t>Implausible</t>
        </is>
      </c>
      <c r="O65" s="68" t="inlineStr">
        <is>
          <t>(704) 235-8003</t>
        </is>
      </c>
      <c r="P65" s="23" t="inlineStr">
        <is>
          <t>POSSIBLE</t>
        </is>
      </c>
      <c r="Q65" s="68" t="inlineStr">
        <is>
          <t>Med-High</t>
        </is>
      </c>
      <c r="R65" s="68" t="inlineStr">
        <is>
          <t>★ UPGRADED 2026-08-17 — the most interesting STRUCTURAL ANALOGUE TO NAHUNTA in the west (adversarially confirmed on the 2026-08-10 state directory): self-supplied, hog-only, product-driven family plant since 1962 (plant built by Harold 'Pop' McLaughlin; buys hogs from local farmers and kills under its own P-85 grant to make sausage + livermush). Organ competition is on LIVERS specifically — our pelvic/bariatric/thoracic/aorta needs may not conflict at all, which makes a direct conversation worth having. Volume unpublished (state plants publish none). 201 road mi; western-crew / Model B play.  [2026-08-17 focus-region pass: FSIS MPI + Demographic datasets and NCDA&amp;CS directories (dated 2026-08-10) retrieved fresh 2026-08-17; adversarially verified.]</t>
        </is>
      </c>
    </row>
    <row r="66" ht="112.2" customHeight="1" s="59">
      <c r="A66" s="4" t="inlineStr">
        <is>
          <t>Price's Custom Meat Cutting &amp; Abattoir</t>
        </is>
      </c>
      <c r="B66" s="68" t="inlineStr">
        <is>
          <t>Hickory, NC (Burke)</t>
        </is>
      </c>
      <c r="C66" s="68" t="inlineStr">
        <is>
          <t>NC STATE-inspected slaughter + processing</t>
        </is>
      </c>
      <c r="D66" s="68" t="inlineStr">
        <is>
          <t>unknown (est. SMALL)</t>
        </is>
      </c>
      <c r="E66" s="22" t="inlineStr">
        <is>
          <t>SMALL
(0-300/wk)</t>
        </is>
      </c>
      <c r="F66" s="68" t="inlineStr">
        <is>
          <t>Yes — SWINE-ONLY</t>
        </is>
      </c>
      <c r="G66" s="68" t="inlineStr">
        <is>
          <t>STATE only P-307
(NOT USDA — intrastate)</t>
        </is>
      </c>
      <c r="H66" s="68" t="inlineStr">
        <is>
          <t>State-inspected — not in FSIS data by construction</t>
        </is>
      </c>
      <c r="I66" s="68" t="inlineStr">
        <is>
          <t>State-inspected — intrastate NC only</t>
        </is>
      </c>
      <c r="J66" s="68" t="inlineStr">
        <is>
          <t>None found (state plant — not in FSIS data)</t>
        </is>
      </c>
      <c r="K66" s="68" t="inlineStr">
        <is>
          <t>Hog-only; kills &amp; dresses MONDAYS AND WEDNESDAYS; scalds to 260 lb and HAND-SCRAPES larger hogs to preserve skin — directly relevant to intact tissue-block work. Offal policy unverified. (Kill-day/scald detail from an undated customer-contributed listing — confirm by phone.)</t>
        </is>
      </c>
      <c r="L66" s="68" t="inlineStr">
        <is>
          <t>Plausible</t>
        </is>
      </c>
      <c r="M66" s="110" t="inlineStr">
        <is>
          <t>NO · ~226 mi</t>
        </is>
      </c>
      <c r="N66" s="68" t="inlineStr">
        <is>
          <t>Implausible</t>
        </is>
      </c>
      <c r="O66" s="68" t="inlineStr">
        <is>
          <t>(828) 381-8978 (NCDA&amp;CS 2026-08-10)
alt (828) 397-5150
8454 Price Meat Cutting Rd, Hickory</t>
        </is>
      </c>
      <c r="P66" s="23" t="inlineStr">
        <is>
          <t>POSSIBLE</t>
        </is>
      </c>
      <c r="Q66" s="68" t="inlineStr">
        <is>
          <t>Med-High</t>
        </is>
      </c>
      <c r="R66" s="68" t="inlineStr">
        <is>
          <t>★ UPGRADED 2026-08-17 — SECOND-BEST WESTERN STATE LEAD (NCDA&amp;CS directory 2026-08-10, adversarially confirmed): swine-only P-307 since 1994, fixed Mon/Wed kill days that are easy to plan a harvest crew around, hand-scrape skill, Nahunta-equivalent export path. County correction: the site is BURKE County (not Catawba/Hickory city limits). Same unknowns as Caldwell — volume and willingness. 226 road mi; western-crew / Model B play. The 260-lb scald limit hints at modest equipment.  [2026-08-17 focus-region pass: FSIS MPI + Demographic datasets and NCDA&amp;CS directories (dated 2026-08-10) retrieved fresh 2026-08-17; adversarially verified.]</t>
        </is>
      </c>
    </row>
    <row r="67" ht="112.2" customHeight="1" s="59">
      <c r="A67" s="4" t="inlineStr">
        <is>
          <t>Contentnea Farms, LLC</t>
        </is>
      </c>
      <c r="B67" s="68" t="inlineStr">
        <is>
          <t>Walstonburg, NC (Greene)</t>
        </is>
      </c>
      <c r="C67" s="68" t="inlineStr">
        <is>
          <t>Talmadge-Aiken multi-species slaughter</t>
        </is>
      </c>
      <c r="D67" s="68" t="inlineStr">
        <is>
          <t>&lt;19/wk
(FSIS cat 1)</t>
        </is>
      </c>
      <c r="E67" s="139" t="inlineStr">
        <is>
          <t>SMALL
(0-300/wk)</t>
        </is>
      </c>
      <c r="F67" s="68" t="inlineStr">
        <is>
          <t>MARKET + SOW + boar/stag</t>
        </is>
      </c>
      <c r="G67" s="68" t="inlineStr">
        <is>
          <t>USDA ✓ M2583 — grant 10/29/2025
(2nd-newest swine grant in NC;
TA-2583 in the state TA directory)</t>
        </is>
      </c>
      <c r="H67" s="68" t="inlineStr">
        <is>
          <t>None found (FSIS unreachable)</t>
        </is>
      </c>
      <c r="I67" s="68" t="inlineStr">
        <is>
          <t>Talmadge-Aiken — interstate/export eligible. APHIS listing unverified</t>
        </is>
      </c>
      <c r="J67" s="68" t="inlineStr">
        <is>
          <t>None found (FSIS unreachable)</t>
        </is>
      </c>
      <c r="K67" s="68" t="inlineStr">
        <is>
          <t>unknown</t>
        </is>
      </c>
      <c r="L67" s="68" t="inlineStr">
        <is>
          <t>Plausible</t>
        </is>
      </c>
      <c r="M67" s="109" t="inlineStr">
        <is>
          <t>YES · ~35 mi</t>
        </is>
      </c>
      <c r="N67" s="68" t="inlineStr">
        <is>
          <t>Plausible</t>
        </is>
      </c>
      <c r="O67" s="68" t="inlineStr">
        <is>
          <t>(252) 717-9229</t>
        </is>
      </c>
      <c r="P67" s="23" t="inlineStr">
        <is>
          <t>POSSIBLE</t>
        </is>
      </c>
      <c r="Q67" s="68" t="inlineStr">
        <is>
          <t>High</t>
        </is>
      </c>
      <c r="R67" s="68" t="inlineStr">
        <is>
          <t>UPDATED 2026-08-17: the grant is NEWER than the file said — 10/29/2025, the second-newest swine-slaughter grant in NC after Bass Farms. Multi-species custom shop (market swine + sows + boars on the flags); pigs ≤115 lb: $35 kill fee + $1.29/lb processing (own site) — a small-pig/homestead niche at &lt;19 hd/wk. A new-grant, growth-minded operator 35 road mi out: keep as overflow/pilot for odd-lot sow or boar needs, nothing at scale. NOTE: 'Caudle Meat' (unlocated Greene Co. operation) won a $189,470 NCAMPI grant in the 2026-07-07 round with NO inspection-directory record yet — possible NEW capacity coming online in this same county; track it.  [2026-08-17 focus-region pass: FSIS MPI + Demographic datasets and NCDA&amp;CS directories (dated 2026-08-10) retrieved fresh 2026-08-17; adversarially verified.]</t>
        </is>
      </c>
    </row>
    <row r="68" ht="58.6" customHeight="1" s="59">
      <c r="A68" s="4" t="inlineStr">
        <is>
          <t>Assured Community Processing LLC</t>
        </is>
      </c>
      <c r="B68" s="68" t="inlineStr">
        <is>
          <t>Micro, NC (Johnston)</t>
        </is>
      </c>
      <c r="C68" s="68" t="inlineStr">
        <is>
          <t>USDA federal, FSIS 'Very Small'</t>
        </is>
      </c>
      <c r="D68" s="68" t="inlineStr">
        <is>
          <t>n/a — CLOSED</t>
        </is>
      </c>
      <c r="E68" s="143" t="inlineStr">
        <is>
          <t>n/a</t>
        </is>
      </c>
      <c r="F68" s="68" t="inlineStr">
        <is>
          <t>CONFIRM SWINE</t>
        </is>
      </c>
      <c r="G68" s="68" t="inlineStr">
        <is>
          <t>⚠ M2123 went FSIS-INACTIVE
11/10/2025</t>
        </is>
      </c>
      <c r="H68" s="68" t="inlineStr">
        <is>
          <t>None found (FSIS unreachable)</t>
        </is>
      </c>
      <c r="I68" s="68" t="inlineStr">
        <is>
          <t>Federal grant — export structurally possible. Not on public export lists</t>
        </is>
      </c>
      <c r="J68" s="68" t="inlineStr">
        <is>
          <t>None found (FSIS unreachable)</t>
        </is>
      </c>
      <c r="K68" s="68" t="inlineStr">
        <is>
          <t>unknown</t>
        </is>
      </c>
      <c r="L68" s="68" t="inlineStr">
        <is>
          <t>No</t>
        </is>
      </c>
      <c r="M68" s="109" t="inlineStr">
        <is>
          <t>YES · ~40 mi</t>
        </is>
      </c>
      <c r="N68" s="68" t="inlineStr">
        <is>
          <t>No</t>
        </is>
      </c>
      <c r="O68" s="68" t="inlineStr">
        <is>
          <t>(919) 284-0064</t>
        </is>
      </c>
      <c r="P68" s="141" t="inlineStr">
        <is>
          <t>OUT / FLAG</t>
        </is>
      </c>
      <c r="Q68" s="68" t="inlineStr">
        <is>
          <t>High</t>
        </is>
      </c>
      <c r="R68" s="68" t="inlineStr">
        <is>
          <t>★ MYSTERY RESOLVED 2026-08-17: the earlier 'M2123 NOT FOUND' is explained — Assured Community Processing (Micro NC) went FSIS-INACTIVE 11/10/2025. Real plant, now closed. Remove from outreach lists.  [2026-08-17 focus-region pass: FSIS MPI + Demographic datasets and NCDA&amp;CS directories (dated 2026-08-10) retrieved fresh 2026-08-17; adversarially verified.]</t>
        </is>
      </c>
    </row>
    <row r="69" ht="72" customHeight="1" s="59">
      <c r="A69" s="4" t="inlineStr">
        <is>
          <t>Country Slaughter and Meats</t>
        </is>
      </c>
      <c r="B69" s="68" t="inlineStr">
        <is>
          <t>Rockingham, NC (Richmond)</t>
        </is>
      </c>
      <c r="C69" s="68" t="inlineStr">
        <is>
          <t>USDA federal, FSIS 'Very Small'</t>
        </is>
      </c>
      <c r="D69" s="68" t="inlineStr">
        <is>
          <t>n/a — CLOSED</t>
        </is>
      </c>
      <c r="E69" s="143" t="inlineStr">
        <is>
          <t>n/a</t>
        </is>
      </c>
      <c r="F69" s="68" t="inlineStr">
        <is>
          <t>CONFIRM SWINE</t>
        </is>
      </c>
      <c r="G69" s="68" t="inlineStr">
        <is>
          <t>⚠ M32012 went FSIS-INACTIVE
6/24/2025</t>
        </is>
      </c>
      <c r="H69" s="68" t="inlineStr">
        <is>
          <t>None found (FSIS unreachable)</t>
        </is>
      </c>
      <c r="I69" s="68" t="inlineStr">
        <is>
          <t>Federal grant. Not on public export lists</t>
        </is>
      </c>
      <c r="J69" s="68" t="inlineStr">
        <is>
          <t>None found (FSIS unreachable)</t>
        </is>
      </c>
      <c r="K69" s="68" t="inlineStr">
        <is>
          <t>unknown</t>
        </is>
      </c>
      <c r="L69" s="68" t="inlineStr">
        <is>
          <t>No</t>
        </is>
      </c>
      <c r="M69" s="110" t="inlineStr">
        <is>
          <t>NO · ~137 mi</t>
        </is>
      </c>
      <c r="N69" s="68" t="inlineStr">
        <is>
          <t>No</t>
        </is>
      </c>
      <c r="O69" s="68" t="inlineStr">
        <is>
          <t>(910) 895-0838</t>
        </is>
      </c>
      <c r="P69" s="141" t="inlineStr">
        <is>
          <t>OUT / FLAG</t>
        </is>
      </c>
      <c r="Q69" s="68" t="inlineStr">
        <is>
          <t>High</t>
        </is>
      </c>
      <c r="R69" s="68" t="inlineStr">
        <is>
          <t>★ MYSTERY RESOLVED 2026-08-17 (adversarial verifier, FSIS demographic snapshots): the earlier 'M32012 NOT FOUND in the MPI directory' was correct — because the establishment went INACTIVE 6/24/2025. It was real (swine vol-cat 2 as of Jan-2025) and is now CLOSED. Remove from all outreach lists; one more data point in the 2025-26 small-plant attrition.  [2026-08-17 focus-region pass: FSIS MPI + Demographic datasets and NCDA&amp;CS directories (dated 2026-08-10) retrieved fresh 2026-08-17; adversarially verified.]</t>
        </is>
      </c>
    </row>
    <row r="70" ht="112.2" customHeight="1" s="59">
      <c r="A70" s="4" t="inlineStr">
        <is>
          <t>Flowers Slaughter House (George Flowers)</t>
        </is>
      </c>
      <c r="B70" s="68" t="inlineStr">
        <is>
          <t>Sims, NC (Wilson)</t>
        </is>
      </c>
      <c r="C70" s="68" t="inlineStr">
        <is>
          <t>USDA FEDERAL (not TA) — 'Very Small'</t>
        </is>
      </c>
      <c r="D70" s="68" t="inlineStr">
        <is>
          <t>~19-192/wk
(FSIS cat 2 ceiling)</t>
        </is>
      </c>
      <c r="E70" s="22" t="inlineStr">
        <is>
          <t>SMALL
(0-300/wk)</t>
        </is>
      </c>
      <c r="F70" s="68" t="inlineStr">
        <is>
          <t>MARKET + boar/stag
(sow: No, roaster: No)</t>
        </is>
      </c>
      <c r="G70" s="68" t="inlineStr">
        <is>
          <t>USDA ✓ M21747 + P21747
(grant 2022)</t>
        </is>
      </c>
      <c r="H70" s="68" t="inlineStr">
        <is>
          <t>None found (FSIS unreachable)</t>
        </is>
      </c>
      <c r="I70" s="68" t="inlineStr">
        <is>
          <t>Federal (M21747). Not on public export lists</t>
        </is>
      </c>
      <c r="J70" s="68" t="inlineStr">
        <is>
          <t>None found (FSIS unreachable)</t>
        </is>
      </c>
      <c r="K70" s="68" t="inlineStr">
        <is>
          <t>Small custom-oriented family floor — offal return on request is the norm in this class (inference). BOAR/STAG flag = the largest male anatomy in the region.</t>
        </is>
      </c>
      <c r="L70" s="68" t="inlineStr">
        <is>
          <t>Plausible</t>
        </is>
      </c>
      <c r="M70" s="109" t="inlineStr">
        <is>
          <t>YES · ~45 mi</t>
        </is>
      </c>
      <c r="N70" s="68" t="inlineStr">
        <is>
          <t>Plausible</t>
        </is>
      </c>
      <c r="O70" s="68" t="inlineStr">
        <is>
          <t>(252) 237-2982
Contacts: Alan Sharp / Tim Boswell
5154-A St. Rose Church Rd, Sims
Hours M-F 7-5, Sat 7-10am</t>
        </is>
      </c>
      <c r="P70" s="23" t="inlineStr">
        <is>
          <t>POSSIBLE</t>
        </is>
      </c>
      <c r="Q70" s="68" t="inlineStr">
        <is>
          <t>High</t>
        </is>
      </c>
      <c r="R70" s="68" t="inlineStr">
        <is>
          <t>UPDATED 2026-08-17: operating (NCDA&amp;CS Wilson farmers directory + active FSIS grant); essentially A SECOND CQP AT ONE-TENTH THE VOLUME, 3 miles away in the same town. Value: (a) REDUNDANCY for the Sims Model A operation if CQP friction rises; (b) the only BOAR/STAG-flagged floor in the region — very large mature-male organs/aortas; (c) third leg of the Sims cluster (CQP + Flowers + Bass Farms 20-40 min apart = one crew, three floors). Hog slaughter is the inspected business (sells inside AND outside NC); custom beef/game work is the uninspected side — keep our material on the inspected hog line. ~12 staff (est.). No welfare flags found.  [2026-08-17 focus-region pass: FSIS MPI + Demographic datasets and NCDA&amp;CS directories (dated 2026-08-10) retrieved fresh 2026-08-17; adversarially verified.]</t>
        </is>
      </c>
    </row>
    <row r="71" ht="98.8" customHeight="1" s="59">
      <c r="A71" s="4" t="inlineStr">
        <is>
          <t>13 multi-species TA plants (roll-up)</t>
        </is>
      </c>
      <c r="B71" s="68" t="inlineStr">
        <is>
          <t>across NC</t>
        </is>
      </c>
      <c r="C71" s="68" t="inlineStr">
        <is>
          <t>Talmadge-Aiken multi-species (incl. swine)</t>
        </is>
      </c>
      <c r="D71" s="68" t="inlineStr">
        <is>
          <t>unknown — est. 10-80 hogs/wk each</t>
        </is>
      </c>
      <c r="E71" s="22" t="inlineStr">
        <is>
          <t>SMALL
(0-300/wk)</t>
        </is>
      </c>
      <c r="F71" s="68" t="inlineStr">
        <is>
          <t>Yes (C among A-E)</t>
        </is>
      </c>
      <c r="G71" s="68" t="inlineStr">
        <is>
          <t>USDA ✓ Talmadge-Aiken
(interstate/export eligible)</t>
        </is>
      </c>
      <c r="H71" s="68" t="inlineStr">
        <is>
          <t>Not individually researched — Wayne Mays and Wilkes/Thomas Bros carry actions (see their own rows)</t>
        </is>
      </c>
      <c r="I71" s="68" t="inlineStr">
        <is>
          <t>All Talmadge-Aiken = federal-equivalent, so interstate/export eligible in structure. APHIS listing unverified for all</t>
        </is>
      </c>
      <c r="J71" s="68" t="inlineStr">
        <is>
          <t>None found (FSIS unreachable)</t>
        </is>
      </c>
      <c r="K71" s="68" t="inlineStr">
        <is>
          <t>unknown</t>
        </is>
      </c>
      <c r="L71" s="68" t="inlineStr">
        <is>
          <t>Plausible (Model A / aggregation)</t>
        </is>
      </c>
      <c r="M71" s="111" t="inlineStr">
        <is>
          <t>mixed — confirm</t>
        </is>
      </c>
      <c r="N71" s="68" t="inlineStr">
        <is>
          <t>Weak — low hog share</t>
        </is>
      </c>
      <c r="O71" s="68" t="inlineStr">
        <is>
          <t>see notes →</t>
        </is>
      </c>
      <c r="P71" s="23" t="inlineStr">
        <is>
          <t>POSSIBLE</t>
        </is>
      </c>
      <c r="Q71" s="68" t="inlineStr">
        <is>
          <t>Med</t>
        </is>
      </c>
      <c r="R71" s="68" t="inlineStr">
        <is>
          <t>NEW (13 of 18 TA swine plants were missed): Contentnea TA-2583 (Walstonburg); SCR International TA-9199 (Fairmont, 910-628-8267); Plantation Processing TA-790 (Marshville, 704-385-9429); Cruse TA-46354 (Concord); Select Meats TA-10757 (Kannapolis, 704-933-7550); Mitchell's TA-46822 (Walnut Cove); Circle S Meats TA-1916 (Rutherfordton, 828-429-3047); Blueridge Processing TA-2225 (Marion, 828-803-1264); Cool Springs TA-1041 (Yadkinville, 336-835-5377); Wayne Mays TA-21848 (Taylorsville); Wilkes Abattoir/Apple Brandy TA-19511 (N. Wilkesboro); Acre Station TA-19904; Riverside TA-20981. A shared kill floor means a LOW hog share — these are aggregation candidates, not volume plays.</t>
        </is>
      </c>
    </row>
    <row r="72" ht="72" customHeight="1" s="59">
      <c r="A72" s="4" t="inlineStr">
        <is>
          <t>NC state-inspected multi-species (roll-up)</t>
        </is>
      </c>
      <c r="B72" s="68" t="inlineStr">
        <is>
          <t>across NC</t>
        </is>
      </c>
      <c r="C72" s="68" t="inlineStr">
        <is>
          <t>NC STATE-inspected (intrastate only)</t>
        </is>
      </c>
      <c r="D72" s="68" t="inlineStr">
        <is>
          <t>unknown (est. SMALL)</t>
        </is>
      </c>
      <c r="E72" s="22" t="inlineStr">
        <is>
          <t>SMALL
(0-300/wk)</t>
        </is>
      </c>
      <c r="F72" s="68" t="inlineStr">
        <is>
          <t>Yes</t>
        </is>
      </c>
      <c r="G72" s="68" t="inlineStr">
        <is>
          <t>STATE only
(NOT USDA — FLAG)</t>
        </is>
      </c>
      <c r="H72" s="68" t="inlineStr">
        <is>
          <t>State-inspected — not in FSIS data by construction</t>
        </is>
      </c>
      <c r="I72" s="68" t="inlineStr">
        <is>
          <t>State-inspected — intrastate NC only (FLAG for export)</t>
        </is>
      </c>
      <c r="J72" s="68" t="inlineStr">
        <is>
          <t>Not in FSIS data by construction</t>
        </is>
      </c>
      <c r="K72" s="68" t="inlineStr">
        <is>
          <t>unknown</t>
        </is>
      </c>
      <c r="L72" s="68" t="inlineStr">
        <is>
          <t>Plausible</t>
        </is>
      </c>
      <c r="M72" s="111" t="inlineStr">
        <is>
          <t>mixed — confirm</t>
        </is>
      </c>
      <c r="N72" s="68" t="inlineStr">
        <is>
          <t>Implausible</t>
        </is>
      </c>
      <c r="O72" s="68" t="inlineStr">
        <is>
          <t>see notes →</t>
        </is>
      </c>
      <c r="P72" s="23" t="inlineStr">
        <is>
          <t>CAUTION</t>
        </is>
      </c>
      <c r="Q72" s="68" t="inlineStr">
        <is>
          <t>Med</t>
        </is>
      </c>
      <c r="R72" s="68" t="inlineStr">
        <is>
          <t>NC STATE-INSPECTED — ACCEPTED: APHIS treats NC state inspection as equivalent, so this plant satisfies the harvest-site requirement for Path 1 (we harvest, model assembled at ATM). APHIS not required of the plant. || NEW: Crawley's Abattoir P-101 (Morganton); Farmington Meat P-381 (Mocksville); Gale McLamb Meats P-221 (Dunn); K&amp;B Meat P-55 (Bryson City); McLamb's Abattoir P-247 (Benson); Quaqua Creek Farm P-375 (Ruffin). Intrastate NC sales only.</t>
        </is>
      </c>
    </row>
    <row r="73" ht="31.8" customHeight="1" s="59">
      <c r="A73" s="4" t="inlineStr">
        <is>
          <t>Frank Corriher Beef and Sausage</t>
        </is>
      </c>
      <c r="B73" s="68" t="inlineStr">
        <is>
          <t>China Grove, NC (Rowan)</t>
        </is>
      </c>
      <c r="C73" s="68" t="inlineStr">
        <is>
          <t>TA — AMBIGUOUS record</t>
        </is>
      </c>
      <c r="D73" s="68" t="inlineStr">
        <is>
          <t>unknown</t>
        </is>
      </c>
      <c r="E73" s="24" t="inlineStr">
        <is>
          <t>unknown
(confirm)</t>
        </is>
      </c>
      <c r="F73" s="68" t="inlineStr">
        <is>
          <t>Ambiguous — see notes</t>
        </is>
      </c>
      <c r="G73" s="68" t="inlineStr">
        <is>
          <t>USDA ✓ TA-21022 / M21022</t>
        </is>
      </c>
      <c r="H73" s="68" t="inlineStr">
        <is>
          <t>None found</t>
        </is>
      </c>
      <c r="I73" s="68" t="inlineStr">
        <is>
          <t>TA/federal number exists — verify</t>
        </is>
      </c>
      <c r="J73" s="68" t="inlineStr">
        <is>
          <t>None found</t>
        </is>
      </c>
      <c r="K73" s="68" t="inlineStr">
        <is>
          <t>unknown</t>
        </is>
      </c>
      <c r="L73" s="68" t="inlineStr">
        <is>
          <t>Unknown</t>
        </is>
      </c>
      <c r="M73" s="110" t="inlineStr">
        <is>
          <t>NO · ~187 mi</t>
        </is>
      </c>
      <c r="N73" s="68" t="inlineStr">
        <is>
          <t>Unknown</t>
        </is>
      </c>
      <c r="O73" s="68" t="inlineStr">
        <is>
          <t>(704) 857-5519</t>
        </is>
      </c>
      <c r="P73" s="23" t="inlineStr">
        <is>
          <t>CAUTION</t>
        </is>
      </c>
      <c r="Q73" s="68" t="inlineStr">
        <is>
          <t>Low</t>
        </is>
      </c>
      <c r="R73" s="68" t="inlineStr">
        <is>
          <t>DATA ANOMALY: NCDA lists Activities='Processing' but populates Slaughter Species='C' — every other processing-only plant leaves that blank. Either a stale slaughter grant or a data error. Worth ONE phone call.</t>
        </is>
      </c>
    </row>
    <row r="74" ht="31.8" customHeight="1" s="59">
      <c r="A74" s="4" t="inlineStr">
        <is>
          <t>Deer Shack Processing</t>
        </is>
      </c>
      <c r="B74" s="68" t="inlineStr">
        <is>
          <t>Mount Holly, NC (Gaston)</t>
        </is>
      </c>
      <c r="C74" s="68" t="inlineStr">
        <is>
          <t>CUSTOM-EXEMPT</t>
        </is>
      </c>
      <c r="D74" s="68" t="inlineStr">
        <is>
          <t>unknown</t>
        </is>
      </c>
      <c r="E74" s="24" t="inlineStr">
        <is>
          <t>unknown
(confirm)</t>
        </is>
      </c>
      <c r="F74" s="68" t="inlineStr">
        <is>
          <t>Yes — SWINE-ONLY</t>
        </is>
      </c>
      <c r="G74" s="68" t="inlineStr">
        <is>
          <t>CUSTOM-EXEMPT
(no inspection, no sale)</t>
        </is>
      </c>
      <c r="H74" s="68" t="inlineStr">
        <is>
          <t>Custom-exempt — outside FSIS enforcement</t>
        </is>
      </c>
      <c r="I74" s="68" t="inlineStr">
        <is>
          <t>Custom-exempt — not saleable, not exportable</t>
        </is>
      </c>
      <c r="J74" s="68" t="inlineStr">
        <is>
          <t>n/a</t>
        </is>
      </c>
      <c r="K74" s="68" t="inlineStr">
        <is>
          <t>n/a</t>
        </is>
      </c>
      <c r="L74" s="68" t="inlineStr">
        <is>
          <t>Not usable for a regulated chain</t>
        </is>
      </c>
      <c r="M74" s="110" t="inlineStr">
        <is>
          <t>NO · ~223 mi</t>
        </is>
      </c>
      <c r="N74" s="68" t="inlineStr">
        <is>
          <t>No</t>
        </is>
      </c>
      <c r="O74" s="68" t="inlineStr">
        <is>
          <t>(704) 718-9135</t>
        </is>
      </c>
      <c r="P74" s="28" t="inlineStr">
        <is>
          <t>OUT / FLAG</t>
        </is>
      </c>
      <c r="Q74" s="68" t="inlineStr">
        <is>
          <t>Med</t>
        </is>
      </c>
      <c r="R74" s="68" t="inlineStr">
        <is>
          <t>Custom-exempt: owner-return only, product cannot be sold. Listed for completeness.</t>
        </is>
      </c>
    </row>
    <row r="75" ht="58.6" customHeight="1" s="59">
      <c r="A75" s="4" t="inlineStr">
        <is>
          <t>Randolph Packing / Harpley's</t>
        </is>
      </c>
      <c r="B75" s="68" t="inlineStr">
        <is>
          <t>Asheboro, NC</t>
        </is>
      </c>
      <c r="C75" s="68" t="inlineStr">
        <is>
          <t>BEEF packer — EXCLUDED</t>
        </is>
      </c>
      <c r="D75" s="68" t="inlineStr">
        <is>
          <t>n/a — ~350-400 CATTLE/day</t>
        </is>
      </c>
      <c r="E75" s="24" t="inlineStr">
        <is>
          <t>n/a</t>
        </is>
      </c>
      <c r="F75" s="68" t="inlineStr">
        <is>
          <t>NO SWINE FLAGS in FSIS
— confirms BEEF ONLY</t>
        </is>
      </c>
      <c r="G75" s="68" t="inlineStr">
        <is>
          <t>USDA ✓ M6590
(Harpley's Meat Packing Inc.)</t>
        </is>
      </c>
      <c r="H75" s="68" t="inlineStr">
        <is>
          <t>n/a — beef plant, excluded</t>
        </is>
      </c>
      <c r="I75" s="68" t="inlineStr">
        <is>
          <t>n/a</t>
        </is>
      </c>
      <c r="J75" s="68" t="inlineStr">
        <is>
          <t>n/a</t>
        </is>
      </c>
      <c r="K75" s="68" t="inlineStr">
        <is>
          <t>n/a</t>
        </is>
      </c>
      <c r="L75" s="68" t="inlineStr">
        <is>
          <t>No</t>
        </is>
      </c>
      <c r="M75" s="110" t="inlineStr">
        <is>
          <t>NO (est.)</t>
        </is>
      </c>
      <c r="N75" s="68" t="inlineStr">
        <is>
          <t>No</t>
        </is>
      </c>
      <c r="O75" s="68" t="inlineStr">
        <is>
          <t>—</t>
        </is>
      </c>
      <c r="P75" s="28" t="inlineStr">
        <is>
          <t>OUT / FLAG</t>
        </is>
      </c>
      <c r="Q75" s="68" t="inlineStr">
        <is>
          <t>High</t>
        </is>
      </c>
      <c r="R75" s="68" t="inlineStr">
        <is>
          <t>VERIFIED EXCLUSION, now with a source. FSIS lists Est. M6590 'Harpley's Meat Packing Inc.', Asheboro NC, with slaughter activity and slaughter_volume_category = 3 — real volume — but NO swine slaughter flags of any kind. The beef-only exclusion stands on primary data rather than trade press. Saves a trip.  [Verified 2026-08-06 against FSIS Establishment Demographic Data + MPI Directory by Establishment Number.]</t>
        </is>
      </c>
    </row>
    <row r="76" ht="19.7" customHeight="1" s="59">
      <c r="A76" s="118" t="inlineStr">
        <is>
          <t>★ ADDED 2026-08-17 — FOCUS-REGION SWEEP (client-directed: current base re-research + Western NC · North of Raleigh · Eastern NC). 14 agents; 5 claims adversarially verified.</t>
        </is>
      </c>
    </row>
    <row r="77" ht="98.8" customHeight="1" s="59">
      <c r="A77" s="146" t="inlineStr">
        <is>
          <t>McLamb's Abattoir and Meats, Inc.</t>
        </is>
      </c>
      <c r="B77" s="83" t="inlineStr">
        <is>
          <t>Benson, NC (Johnston)</t>
        </is>
      </c>
      <c r="C77" s="83" t="inlineStr">
        <is>
          <t>NC STATE-inspected slaughter + processing</t>
        </is>
      </c>
      <c r="D77" s="83" t="inlineStr">
        <is>
          <t>unknown — state plants
publish no volumes</t>
        </is>
      </c>
      <c r="E77" s="143" t="inlineStr">
        <is>
          <t>unknown
(confirm)</t>
        </is>
      </c>
      <c r="F77" s="134" t="inlineStr">
        <is>
          <t>Multi-species incl. HOGS
(state species A,B,C,D,E)</t>
        </is>
      </c>
      <c r="G77" s="83" t="inlineStr">
        <is>
          <t>STATE ✓ P-247
(NC state — APHIS-equivalent
for our harvest path)</t>
        </is>
      </c>
      <c r="H77" s="83" t="inlineStr">
        <is>
          <t>None found (state plants sit outside FSIS reporting — site-visit finding)</t>
        </is>
      </c>
      <c r="I77" s="83" t="inlineStr">
        <is>
          <t>NC state inspection = APHIS-accepted equivalent when WE harvest; export-eligible via ATM assembly</t>
        </is>
      </c>
      <c r="J77" s="83" t="inlineStr">
        <is>
          <t>Family abattoir; operator Shane Lee. Nothing published either way.</t>
        </is>
      </c>
      <c r="K77" s="83" t="inlineStr">
        <is>
          <t>Plausible-untested — custom-oriented family floor; offal return is the norm in this class</t>
        </is>
      </c>
      <c r="L77" s="83" t="inlineStr">
        <is>
          <t>Nahunta playbook: relationship-first, our crew on site</t>
        </is>
      </c>
      <c r="M77" s="88" t="inlineStr">
        <is>
          <t>YES · ~37 mi</t>
        </is>
      </c>
      <c r="N77" s="83" t="inlineStr">
        <is>
          <t>Plausible</t>
        </is>
      </c>
      <c r="O77" s="83" t="inlineStr">
        <is>
          <t>(919) 894-2587
Operator: Shane Lee
623 Benson-Hardee Rd, Benson</t>
        </is>
      </c>
      <c r="P77" s="140" t="inlineStr">
        <is>
          <t>POSSIBLE</t>
        </is>
      </c>
      <c r="Q77" s="83" t="inlineStr">
        <is>
          <t>Med</t>
        </is>
      </c>
      <c r="R77" s="83" t="inlineStr">
        <is>
          <t>★ NEW FIND 2026-08-17 — the TOP UNWORKED STATE-INSPECTED CANDIDATE in the state directory ranking: one of only three P-number plants in our eastern corridor (with Nahunta and Gale McLamb), right off I-95 at 37 road miles — closer than Parks, Martin's or CQP. Multi-species slaughter incl. hogs (calves, cattle, goats, lambs, sheep too). Same regulatory path as Nahunta (NC state = APHIS-equivalent for harvest). Volume unknown — one phone call closes it. Candidate for a SECOND NAHUNTA-STYLE RELATIONSHIP.  [2026-08-17 focus-region pass: FSIS MPI + Demographic datasets and NCDA&amp;CS directories (dated 2026-08-10) retrieved fresh 2026-08-17; adversarially verified.]</t>
        </is>
      </c>
    </row>
    <row r="78" ht="72" customHeight="1" s="59">
      <c r="A78" s="146" t="inlineStr">
        <is>
          <t>Gale McLamb Meats</t>
        </is>
      </c>
      <c r="B78" s="83" t="inlineStr">
        <is>
          <t>Dunn, NC (Harnett)</t>
        </is>
      </c>
      <c r="C78" s="83" t="inlineStr">
        <is>
          <t>NC STATE-inspected slaughter + processing</t>
        </is>
      </c>
      <c r="D78" s="83" t="inlineStr">
        <is>
          <t>unknown — likely small
retail-butcher scale</t>
        </is>
      </c>
      <c r="E78" s="143" t="inlineStr">
        <is>
          <t>unknown
(confirm)</t>
        </is>
      </c>
      <c r="F78" s="134" t="inlineStr">
        <is>
          <t>Cattle + HOGS
(state species A,B,C)</t>
        </is>
      </c>
      <c r="G78" s="83" t="inlineStr">
        <is>
          <t>STATE ✓ P-221
(NC state — APHIS-equivalent
for our harvest path)</t>
        </is>
      </c>
      <c r="H78" s="83" t="inlineStr">
        <is>
          <t>None found (state plants sit outside FSIS reporting)</t>
        </is>
      </c>
      <c r="I78" s="83" t="inlineStr">
        <is>
          <t>NC state inspection = APHIS-accepted equivalent when WE harvest</t>
        </is>
      </c>
      <c r="J78" s="83" t="inlineStr">
        <is>
          <t>Family plant since 1980 (Gale &amp; Linda McLamb + two sons). Nothing published either way.</t>
        </is>
      </c>
      <c r="K78" s="83" t="inlineStr">
        <is>
          <t>Plausible-untested</t>
        </is>
      </c>
      <c r="L78" s="83" t="inlineStr">
        <is>
          <t>Nahunta playbook; Martin's-adjacent fallback</t>
        </is>
      </c>
      <c r="M78" s="88" t="inlineStr">
        <is>
          <t>YES · ~44 mi</t>
        </is>
      </c>
      <c r="N78" s="83" t="inlineStr">
        <is>
          <t>Plausible</t>
        </is>
      </c>
      <c r="O78" s="83" t="inlineStr">
        <is>
          <t>(910) 892-7279
4216 US 301 N, Dunn</t>
        </is>
      </c>
      <c r="P78" s="140" t="inlineStr">
        <is>
          <t>POSSIBLE</t>
        </is>
      </c>
      <c r="Q78" s="83" t="inlineStr">
        <is>
          <t>Med</t>
        </is>
      </c>
      <c r="R78" s="83" t="inlineStr">
        <is>
          <t>★ NEW FIND 2026-08-17 — second missed state-inspected swine plant on the Dunn-Benson I-95 corridor; since 1980; cattle + hogs + hunter deer processing. Directory-ranked just behind McLamb's Abattoir as a Martin's-adjacent fallback. Volume unknown — phone call. Same APHIS-equivalence path as Nahunta.  [2026-08-17 focus-region pass: FSIS MPI + Demographic datasets and NCDA&amp;CS directories (dated 2026-08-10) retrieved fresh 2026-08-17; adversarially verified.]</t>
        </is>
      </c>
    </row>
    <row r="79" ht="72" customHeight="1" s="59">
      <c r="A79" s="146" t="inlineStr">
        <is>
          <t>SCR International Corp.</t>
        </is>
      </c>
      <c r="B79" s="83" t="inlineStr">
        <is>
          <t>Fairmont, NC (Robeson)</t>
        </is>
      </c>
      <c r="C79" s="83" t="inlineStr">
        <is>
          <t>USDA federal (T-A) whole-pig ROASTER house</t>
        </is>
      </c>
      <c r="D79" s="83" t="inlineStr">
        <is>
          <t>~19-192/wk
(FSIS cat 2)</t>
        </is>
      </c>
      <c r="E79" s="139" t="inlineStr">
        <is>
          <t>SMALL
(0-300/wk)</t>
        </is>
      </c>
      <c r="F79" s="134" t="inlineStr">
        <is>
          <t>MARKET + SOW flags —
reality: roasters 10-110 lb
for the lechon/ethnic trade</t>
        </is>
      </c>
      <c r="G79" s="83" t="inlineStr">
        <is>
          <t>USDA ✓ M9199 + P9199
(TA-9199 in the state TA directory)</t>
        </is>
      </c>
      <c r="H79" s="83" t="inlineStr">
        <is>
          <t>None found</t>
        </is>
      </c>
      <c r="I79" s="83" t="inlineStr">
        <is>
          <t>Federal grant → harvest-path eligible in principle</t>
        </is>
      </c>
      <c r="J79" s="83" t="inlineStr">
        <is>
          <t>None found (no FTP documentation, no HH enforcement rows)</t>
        </is>
      </c>
      <c r="K79" s="83" t="inlineStr">
        <is>
          <t>WEAK — roasters dressed whole; small-pig anatomy wrong for surgical models; sow flag likely incidental</t>
        </is>
      </c>
      <c r="L79" s="83" t="inlineStr">
        <is>
          <t>No upside vs Parks</t>
        </is>
      </c>
      <c r="M79" s="89" t="inlineStr">
        <is>
          <t>NO · ~114 mi</t>
        </is>
      </c>
      <c r="N79" s="83" t="inlineStr">
        <is>
          <t>Duplicates Parks' niche</t>
        </is>
      </c>
      <c r="O79" s="83" t="inlineStr">
        <is>
          <t>(910) 628-8267
alt (917) 698-3312
csmeatinternational@gmail.com</t>
        </is>
      </c>
      <c r="P79" s="140" t="inlineStr">
        <is>
          <t>CAUTION</t>
        </is>
      </c>
      <c r="Q79" s="83" t="inlineStr">
        <is>
          <t>Med</t>
        </is>
      </c>
      <c r="R79" s="83" t="inlineStr">
        <is>
          <t>★ IDENTIFIED 2026-08-17 (was never researched): a whole-pig ROASTER house for the East Coast lechon / ethnic-market trade — USDA-inspected whole roasting pigs 10-110 lb plus carcass halves to distributors. IT IS A SECOND PARKS, farther away (~114 mi, borderline), with a DNS-dead website. Deprioritize — logged so nobody spends a trip on it.  [2026-08-17 focus-region pass: FSIS MPI + Demographic datasets and NCDA&amp;CS directories (dated 2026-08-10) retrieved fresh 2026-08-17; adversarially verified.]</t>
        </is>
      </c>
    </row>
    <row r="80" ht="85.40000000000001" customHeight="1" s="59">
      <c r="A80" s="146" t="inlineStr">
        <is>
          <t>Caudle Meat (Greene Co.) — WATCH</t>
        </is>
      </c>
      <c r="B80" s="83" t="inlineStr">
        <is>
          <t>Greene County, NC (site unlocated)</t>
        </is>
      </c>
      <c r="C80" s="83" t="inlineStr">
        <is>
          <t>NCAMPI grantee — NO inspection grant yet</t>
        </is>
      </c>
      <c r="D80" s="83" t="inlineStr">
        <is>
          <t>n/a — not yet operating
(no directory record)</t>
        </is>
      </c>
      <c r="E80" s="143" t="inlineStr">
        <is>
          <t>unknown
(confirm)</t>
        </is>
      </c>
      <c r="F80" s="134" t="inlineStr">
        <is>
          <t>unknown</t>
        </is>
      </c>
      <c r="G80" s="83" t="inlineStr">
        <is>
          <t>NOT in any 2026-08-10 directory
(state, TA, or custom)</t>
        </is>
      </c>
      <c r="H80" s="83" t="inlineStr">
        <is>
          <t>n/a</t>
        </is>
      </c>
      <c r="I80" s="83" t="inlineStr">
        <is>
          <t>n/a</t>
        </is>
      </c>
      <c r="J80" s="83" t="inlineStr">
        <is>
          <t>unknown</t>
        </is>
      </c>
      <c r="K80" s="83" t="inlineStr">
        <is>
          <t>unknown</t>
        </is>
      </c>
      <c r="L80" s="83" t="inlineStr">
        <is>
          <t>unknown</t>
        </is>
      </c>
      <c r="M80" s="89" t="inlineStr">
        <is>
          <t>confirm</t>
        </is>
      </c>
      <c r="N80" s="83" t="inlineStr">
        <is>
          <t>unknown</t>
        </is>
      </c>
      <c r="O80" s="83" t="inlineStr">
        <is>
          <t>— (a 'Caudle's Meat Processing, LLC'
is registered in Cary NC — link unconfirmed)</t>
        </is>
      </c>
      <c r="P80" s="140" t="inlineStr">
        <is>
          <t>WATCH</t>
        </is>
      </c>
      <c r="Q80" s="83" t="inlineStr">
        <is>
          <t>Low-Med</t>
        </is>
      </c>
      <c r="R80" s="83" t="inlineStr">
        <is>
          <t>★ SIGNAL 2026-08-17: received a $189,470 NCAMPI meat-processing award in the NCDA&amp;CS round announced 2026-07-07, yet holds NO inspection grant in any 2026-08-10 directory — likely NEW OR EXPANDING CAPACITY coming online in Greene County, inside our eastern corridor (same county as Contentnea Farms). Track the NCDA&amp;CS directories for a new P-/TA- number; first mover on a new floor gets the relationship.  [2026-08-17 focus-region pass: FSIS MPI + Demographic datasets and NCDA&amp;CS directories (dated 2026-08-10) retrieved fresh 2026-08-17; adversarially verified.]</t>
        </is>
      </c>
    </row>
    <row r="81" ht="72" customHeight="1" s="59">
      <c r="A81" s="146" t="inlineStr">
        <is>
          <t>Select Meats, Inc.</t>
        </is>
      </c>
      <c r="B81" s="83" t="inlineStr">
        <is>
          <t>Kannapolis, NC (Rowan)</t>
        </is>
      </c>
      <c r="C81" s="83" t="inlineStr">
        <is>
          <t>USDA federal (T-A) SLAUGHTER-ONLY plant</t>
        </is>
      </c>
      <c r="D81" s="83" t="inlineStr">
        <is>
          <t>~19-192/wk all species
(FSIS cat 2)</t>
        </is>
      </c>
      <c r="E81" s="139" t="inlineStr">
        <is>
          <t>SMALL
(0-300/wk)</t>
        </is>
      </c>
      <c r="F81" s="134" t="inlineStr">
        <is>
          <t>MARKET only
(cattle + hogs; mgr Gerald Wood)</t>
        </is>
      </c>
      <c r="G81" s="83" t="inlineStr">
        <is>
          <t>USDA ✓ M10757
(TA-10757 in the state TA directory)</t>
        </is>
      </c>
      <c r="H81" s="83" t="inlineStr">
        <is>
          <t>None found</t>
        </is>
      </c>
      <c r="I81" s="83" t="inlineStr">
        <is>
          <t>Federal grant → harvest-path eligible</t>
        </is>
      </c>
      <c r="J81" s="83" t="inlineStr">
        <is>
          <t>None found</t>
        </is>
      </c>
      <c r="K81" s="83" t="inlineStr">
        <is>
          <t>Plausible-unknown — slaughter-only custom plant, organ return typical but undocumented</t>
        </is>
      </c>
      <c r="L81" s="83" t="inlineStr">
        <is>
          <t>Could be a CQP-style Model A host IF the building supports it — near-zero public footprint</t>
        </is>
      </c>
      <c r="M81" s="89" t="inlineStr">
        <is>
          <t>NO · ~190 mi</t>
        </is>
      </c>
      <c r="N81" s="83" t="inlineStr">
        <is>
          <t>Plausible</t>
        </is>
      </c>
      <c r="O81" s="83" t="inlineStr">
        <is>
          <t>(704) 202-9340 (FSIS)
alt (704) 933-7550 (NCDA&amp;CS)
Mgr: Gerald Wood</t>
        </is>
      </c>
      <c r="P81" s="140" t="inlineStr">
        <is>
          <t>POSSIBLE</t>
        </is>
      </c>
      <c r="Q81" s="83" t="inlineStr">
        <is>
          <t>Low-Med</t>
        </is>
      </c>
      <c r="R81" s="83" t="inlineStr">
        <is>
          <t>★ SLEEPER FOUND 2026-08-17: one of only three cat-2 SLAUGHTER-ONLY plants in the west (with Piedmont and Wilkes Abattoir), est. 1987, 30 min from Charlotte, market hogs + cattle — and near-zero public information (no website). One phone call resolves whether this is a western Model A host. 190 road mi — outside the Model A radius; western-crew / Model B play.  [2026-08-17 focus-region pass: FSIS MPI + Demographic datasets and NCDA&amp;CS directories (dated 2026-08-10) retrieved fresh 2026-08-17; adversarially verified.]</t>
        </is>
      </c>
    </row>
    <row r="82" ht="72" customHeight="1" s="59">
      <c r="A82" s="146" t="inlineStr">
        <is>
          <t>Crawley's Abattoir</t>
        </is>
      </c>
      <c r="B82" s="83" t="inlineStr">
        <is>
          <t>Morganton, NC (Burke)</t>
        </is>
      </c>
      <c r="C82" s="83" t="inlineStr">
        <is>
          <t>NC STATE-inspected slaughter + processing</t>
        </is>
      </c>
      <c r="D82" s="83" t="inlineStr">
        <is>
          <t>unknown — state plants
publish no volumes</t>
        </is>
      </c>
      <c r="E82" s="143" t="inlineStr">
        <is>
          <t>unknown
(confirm)</t>
        </is>
      </c>
      <c r="F82" s="134" t="inlineStr">
        <is>
          <t>HOGS + goats/sheep
(state species C, D, E)</t>
        </is>
      </c>
      <c r="G82" s="83" t="inlineStr">
        <is>
          <t>STATE ✓ P-101
(NC state — APHIS-equivalent
for our harvest path)</t>
        </is>
      </c>
      <c r="H82" s="83" t="inlineStr">
        <is>
          <t>None found (state plants sit outside FSIS reporting)</t>
        </is>
      </c>
      <c r="I82" s="83" t="inlineStr">
        <is>
          <t>NC state inspection = APHIS-accepted equivalent when WE harvest</t>
        </is>
      </c>
      <c r="J82" s="83" t="inlineStr">
        <is>
          <t>Nothing published either way.</t>
        </is>
      </c>
      <c r="K82" s="83" t="inlineStr">
        <is>
          <t>Plausible-untested</t>
        </is>
      </c>
      <c r="L82" s="83" t="inlineStr">
        <is>
          <t>Western-crew / Model B only (distance)</t>
        </is>
      </c>
      <c r="M82" s="89" t="inlineStr">
        <is>
          <t>NO · ~245 mi</t>
        </is>
      </c>
      <c r="N82" s="83" t="inlineStr">
        <is>
          <t>Plausible</t>
        </is>
      </c>
      <c r="O82" s="83" t="inlineStr">
        <is>
          <t>(828) 584-6356</t>
        </is>
      </c>
      <c r="P82" s="140" t="inlineStr">
        <is>
          <t>POSSIBLE</t>
        </is>
      </c>
      <c r="Q82" s="83" t="inlineStr">
        <is>
          <t>Low-Med</t>
        </is>
      </c>
      <c r="R82" s="83" t="inlineStr">
        <is>
          <t>★ NEW FIND 2026-08-17: a swine-capable STATE-inspected abattoir (P-101) missed by every earlier pass — same APHIS-equivalent path as Nahunta, in the Morganton foothills. Volume and willingness unknown. 245 road mi: pairs with the Caldwell/Price's/McLaughlin's trio only if a western crew ever exists.  [2026-08-17 focus-region pass: FSIS MPI + Demographic datasets and NCDA&amp;CS directories (dated 2026-08-10) retrieved fresh 2026-08-17; adversarially verified.]</t>
        </is>
      </c>
    </row>
    <row r="83" ht="112.2" customHeight="1" s="59">
      <c r="A83" s="146" t="inlineStr">
        <is>
          <t>Western NC micro federal plants (roll-up)</t>
        </is>
      </c>
      <c r="B83" s="83" t="inlineStr">
        <is>
          <t>Marion / Rutherfordton / Marshville / Yadkinville, NC</t>
        </is>
      </c>
      <c r="C83" s="83" t="inlineStr">
        <is>
          <t>4 small USDA federal plants, all cat 1</t>
        </is>
      </c>
      <c r="D83" s="83" t="inlineStr">
        <is>
          <t>&lt;19/wk each
(FSIS cat 1)</t>
        </is>
      </c>
      <c r="E83" s="139" t="inlineStr">
        <is>
          <t>SMALL
(0-300/wk)</t>
        </is>
      </c>
      <c r="F83" s="134" t="inlineStr">
        <is>
          <t>Mixed (market; some sow/boar)</t>
        </is>
      </c>
      <c r="G83" s="83" t="inlineStr">
        <is>
          <t>USDA ✓ — Blueridge Processing M2225 (Marion);
Circle S Meats M1916 (Rutherfordton);
Plantation Processing M790 (Marshville);
Cool Springs M1041 (Yadkinville)</t>
        </is>
      </c>
      <c r="H83" s="83" t="inlineStr">
        <is>
          <t>None found</t>
        </is>
      </c>
      <c r="I83" s="83" t="inlineStr">
        <is>
          <t>Federal grants → harvest-path eligible</t>
        </is>
      </c>
      <c r="J83" s="83" t="inlineStr">
        <is>
          <t>None found</t>
        </is>
      </c>
      <c r="K83" s="83" t="inlineStr">
        <is>
          <t>n/a at this volume</t>
        </is>
      </c>
      <c r="L83" s="83" t="inlineStr">
        <is>
          <t>No — too small, too far</t>
        </is>
      </c>
      <c r="M83" s="89" t="inlineStr">
        <is>
          <t>NO · 170-283 mi</t>
        </is>
      </c>
      <c r="N83" s="83" t="inlineStr">
        <is>
          <t>No</t>
        </is>
      </c>
      <c r="O83" s="83" t="inlineStr">
        <is>
          <t>Blueridge (828) 803-1264 · Circle S (828) 429-3047
(FSIS lists a typo'd number) ·
Plantation (704) 385-9429 · Cool Springs (336) 835-5377</t>
        </is>
      </c>
      <c r="P83" s="141" t="inlineStr">
        <is>
          <t>OUT / FLAG</t>
        </is>
      </c>
      <c r="Q83" s="83" t="inlineStr">
        <is>
          <t>High</t>
        </is>
      </c>
      <c r="R83" s="83" t="inlineStr">
        <is>
          <t>★ CENSUS COMPLETION 2026-08-17: the four remaining western federal swine plants, all volume cat 1 (&lt;19/wk) and 170-283 road mi out — logged so the western census is complete and nobody re-discovers them. Grants: Blueridge 3/21/2024, Circle S 7/30/2024 (phone corrected — FSIS dataset had a typo), Plantation 7/28/2023, Cool Springs 10/28/2024 (the last western swine grant issued; both genuinely NEW swine grants since then went EAST — Contentnea 10/29/2025, Bass Farms 2/17/2026).  [2026-08-17 focus-region pass: FSIS MPI + Demographic datasets and NCDA&amp;CS directories (dated 2026-08-10) retrieved fresh 2026-08-17; adversarially verified.]</t>
        </is>
      </c>
    </row>
    <row r="84" ht="125.6" customHeight="1" s="59">
      <c r="A84" s="146" t="inlineStr">
        <is>
          <t>⚠ CLOSURES 2025-26 (roll-up) — the small-plant pool is SHRINKING</t>
        </is>
      </c>
      <c r="B84" s="83" t="inlineStr">
        <is>
          <t>across NC</t>
        </is>
      </c>
      <c r="C84" s="83" t="inlineStr">
        <is>
          <t>FSIS-inactive establishments</t>
        </is>
      </c>
      <c r="D84" s="83" t="inlineStr">
        <is>
          <t>n/a</t>
        </is>
      </c>
      <c r="E84" s="143" t="inlineStr">
        <is>
          <t>n/a</t>
        </is>
      </c>
      <c r="F84" s="134" t="inlineStr">
        <is>
          <t>n/a</t>
        </is>
      </c>
      <c r="G84" s="83" t="inlineStr">
        <is>
          <t>All confirmed on the FSIS INACTIVE
directory retrieved 2026-08-17</t>
        </is>
      </c>
      <c r="H84" s="83" t="inlineStr">
        <is>
          <t>n/a</t>
        </is>
      </c>
      <c r="I84" s="83" t="inlineStr">
        <is>
          <t>n/a</t>
        </is>
      </c>
      <c r="J84" s="83" t="inlineStr">
        <is>
          <t>n/a</t>
        </is>
      </c>
      <c r="K84" s="83" t="inlineStr">
        <is>
          <t>n/a</t>
        </is>
      </c>
      <c r="L84" s="83" t="inlineStr">
        <is>
          <t>n/a</t>
        </is>
      </c>
      <c r="M84" s="89" t="inlineStr">
        <is>
          <t>n/a</t>
        </is>
      </c>
      <c r="N84" s="83" t="inlineStr">
        <is>
          <t>n/a</t>
        </is>
      </c>
      <c r="O84" s="83" t="inlineStr">
        <is>
          <t>—</t>
        </is>
      </c>
      <c r="P84" s="141" t="inlineStr">
        <is>
          <t>OUT / FLAG</t>
        </is>
      </c>
      <c r="Q84" s="83" t="inlineStr">
        <is>
          <t>High</t>
        </is>
      </c>
      <c r="R84" s="83" t="inlineStr">
        <is>
          <t>★ ATTRITION RECORD 2026-08-17 — eight closures/exits around us in ~20 months: Kansas City Sausage M760A (Altoona IA entity; Godwin option dead) 9/3/2024 · R.D. Jones Packing (Faison) 4/24/2025 · Jerusalem Meats (Burgaw) 4/24/2025 · Mac's Farms Sausage (Newton Grove) 4/29/2025 · Country Slaughter &amp; Meats M32012 (Rockingham) 6/24/2025 · Assured Community Processing M2123 (Micro) 11/10/2025 · Neese Country Sausage M8341 (Burlington, cat-1 sow kill) 7/2/2026 · Mitchell's Chop Shop M46822B (King) 7/14/2026. (Asheville Packing M12602, inactive 4/28/2025, was processing-only — RTE, not slaughter.) THE ARGUMENT: lock relationships with the survivors (Larry's, Bass, the McLambs, Flowers) sooner rather than later — the alternatives list gets shorter every quarter.  [2026-08-17 focus-region pass: FSIS MPI + Demographic datasets and NCDA&amp;CS directories (dated 2026-08-10) retrieved fresh 2026-08-17; adversarially verified.]</t>
        </is>
      </c>
    </row>
    <row r="85" ht="19.7" customHeight="1" s="59">
      <c r="A85" s="118" t="inlineStr">
        <is>
          <t>SOUTH CAROLINA — NEWLY FOUND (Clemson SCMPID official workbook)</t>
        </is>
      </c>
    </row>
    <row r="86" ht="58.6" customHeight="1" s="59">
      <c r="A86" s="4" t="inlineStr">
        <is>
          <t>SC 'Cross Utilization Federal' slaughter plants (roll-up)</t>
        </is>
      </c>
      <c r="B86" s="68" t="inlineStr">
        <is>
          <t>SC</t>
        </is>
      </c>
      <c r="C86" s="68" t="inlineStr">
        <is>
          <t>FEDERAL est. inspected by SC state staff (SC's Talmadge-Aiken analogue)</t>
        </is>
      </c>
      <c r="D86" s="68" t="inlineStr">
        <is>
          <t>unknown</t>
        </is>
      </c>
      <c r="E86" s="24" t="inlineStr">
        <is>
          <t>unknown
(confirm)</t>
        </is>
      </c>
      <c r="F86" s="68" t="inlineStr">
        <is>
          <t>CONFIRM — no species column in SC file</t>
        </is>
      </c>
      <c r="G86" s="68" t="inlineStr">
        <is>
          <t>USDA federal-equivalent
(interstate/export eligible)</t>
        </is>
      </c>
      <c r="H86" s="68" t="inlineStr">
        <is>
          <t>None found — and SC LEGALLY REFUSES to release humane records, so screening returns false negatives by construction</t>
        </is>
      </c>
      <c r="I86" s="68" t="inlineStr">
        <is>
          <t>Federal-equivalent — SC's ONLY export-eligible slaughter route. APHIS listing unverified</t>
        </is>
      </c>
      <c r="J86" s="68" t="inlineStr">
        <is>
          <t>None found</t>
        </is>
      </c>
      <c r="K86" s="68" t="inlineStr">
        <is>
          <t>unknown</t>
        </is>
      </c>
      <c r="L86" s="68" t="inlineStr">
        <is>
          <t>Plausible</t>
        </is>
      </c>
      <c r="M86" s="111" t="inlineStr">
        <is>
          <t>mixed — confirm</t>
        </is>
      </c>
      <c r="N86" s="68" t="inlineStr">
        <is>
          <t>Plausible</t>
        </is>
      </c>
      <c r="O86" s="68" t="inlineStr">
        <is>
          <t>see notes →</t>
        </is>
      </c>
      <c r="P86" s="23" t="inlineStr">
        <is>
          <t>POSSIBLE</t>
        </is>
      </c>
      <c r="Q86" s="68" t="inlineStr">
        <is>
          <t>Med</t>
        </is>
      </c>
      <c r="R86" s="68" t="inlineStr">
        <is>
          <t>KEY STRUCTURAL FIND: SC's analogue to Talmadge-Aiken is 'Cross Utilization Federal' — only SIX exist and FOUR slaughter: Halal International Processing, York (19825) 803-684-9248; Loris Cold Storage &amp; Retail, Loris (33916) 843-756-1741; Snow Creek Meat Processing, Seneca (20478) 864-972-1570; Wilson Processing Co., Richland (45371) 864-882-9073. These are SC's only export-eligible slaughter route.</t>
        </is>
      </c>
    </row>
    <row r="87" ht="98.8" customHeight="1" s="59">
      <c r="A87" s="4" t="inlineStr">
        <is>
          <t>SC state-inspected slaughter plants (roll-up)</t>
        </is>
      </c>
      <c r="B87" s="68" t="inlineStr">
        <is>
          <t>SC</t>
        </is>
      </c>
      <c r="C87" s="68" t="inlineStr">
        <is>
          <t>SC STATE-inspected (intrastate only)</t>
        </is>
      </c>
      <c r="D87" s="68" t="inlineStr">
        <is>
          <t>unknown (est. SMALL)</t>
        </is>
      </c>
      <c r="E87" s="22" t="inlineStr">
        <is>
          <t>SMALL
(0-300/wk)</t>
        </is>
      </c>
      <c r="F87" s="68" t="inlineStr">
        <is>
          <t>CONFIRM — no species column</t>
        </is>
      </c>
      <c r="G87" s="68" t="inlineStr">
        <is>
          <t>STATE only
(NOT USDA — FLAG)</t>
        </is>
      </c>
      <c r="H87" s="68" t="inlineStr">
        <is>
          <t>SC law blocks release of humane-handling records — public screening is unreliable by construction</t>
        </is>
      </c>
      <c r="I87" s="112" t="inlineStr">
        <is>
          <t>⛔ State-inspected, non-NC — NOT accepted as equivalent. Needs USDA/FSIS to qualify for Path 1.</t>
        </is>
      </c>
      <c r="J87" s="68" t="inlineStr">
        <is>
          <t>SC LEGALLY REFUSES to release humane-handling records — screening returns false negatives by construction</t>
        </is>
      </c>
      <c r="K87" s="68" t="inlineStr">
        <is>
          <t>unknown</t>
        </is>
      </c>
      <c r="L87" s="68" t="inlineStr">
        <is>
          <t>Plausible</t>
        </is>
      </c>
      <c r="M87" s="111" t="inlineStr">
        <is>
          <t>mixed — confirm</t>
        </is>
      </c>
      <c r="N87" s="68" t="inlineStr">
        <is>
          <t>Implausible</t>
        </is>
      </c>
      <c r="O87" s="68" t="inlineStr">
        <is>
          <t>see notes →</t>
        </is>
      </c>
      <c r="P87" s="23" t="inlineStr">
        <is>
          <t>CAUTION</t>
        </is>
      </c>
      <c r="Q87" s="68" t="inlineStr">
        <is>
          <t>Med</t>
        </is>
      </c>
      <c r="R87" s="68" t="inlineStr">
        <is>
          <t>⛔ NOT EQUIVALENT: only NC state inspection is accepted by APHIS as equivalent. A non-NC state-inspected plant does NOT satisfy the Path 1 harvest-site requirement — it would need USDA/FSIS inspection to qualify. || B&amp;W Packing, Pauline (32); Caughman's, Lexington (51); Conway Fresh Meat (10); Cordray's, Ravenel (119); G&amp;W, Hickory Grove (30); Howards Abattoir, Pendleton (91) SLAUGHTER-ONLY; Lee's Sausage, Orangeburg (69); Michael's Deer/Hog Processing, Ehrhardt (92) SLAUGHTER-ONLY 803-267-2025; Mullins Food (6); Vaughn Packing, Greer (93); AVS Meat Lab, Clemson (1). Union Packing (100) flagged INACTIVE. The SC workbook has NO species column — hog capability must be confirmed by phone. SC has ZERO plants on the national sow list.</t>
        </is>
      </c>
    </row>
    <row r="88" ht="19.7" customHeight="1" s="59">
      <c r="A88" s="118" t="inlineStr">
        <is>
          <t>TENNESSEE &amp; VIRGINIA — SOW plants and corrections</t>
        </is>
      </c>
    </row>
    <row r="89" ht="58.6" customHeight="1" s="59">
      <c r="A89" s="4" t="inlineStr">
        <is>
          <t>Swaggerty Sausage Co.</t>
        </is>
      </c>
      <c r="B89" s="68" t="inlineStr">
        <is>
          <t>Kodak, TN (Sevier)</t>
        </is>
      </c>
      <c r="C89" s="68" t="inlineStr">
        <is>
          <t>USDA federal — PRIMARILY SOWS</t>
        </is>
      </c>
      <c r="D89" s="68" t="inlineStr">
        <is>
          <t>~4,250/wk (850 hd/day)</t>
        </is>
      </c>
      <c r="E89" s="27" t="inlineStr">
        <is>
          <t>MEDIUM-HIGH
(2,500-5,000/wk)</t>
        </is>
      </c>
      <c r="F89" s="68" t="inlineStr">
        <is>
          <t>Yes — SOWS</t>
        </is>
      </c>
      <c r="G89" s="68" t="inlineStr">
        <is>
          <t>USDA ✓ M8314 + V8314</t>
        </is>
      </c>
      <c r="H89" s="25" t="inlineStr">
        <is>
          <t>⚠ Two TN OSHA machine-guarding actions (2018 complaint-driven, 2024 planned; same 1910.212(a)(1) standard 6 yrs apart)</t>
        </is>
      </c>
      <c r="I89" s="68" t="inlineStr">
        <is>
          <t>Federal (M8314). Not confirmed on public export lists</t>
        </is>
      </c>
      <c r="J89" s="68" t="inlineStr">
        <is>
          <t>⚠ Two TN OSHA machine-guarding actions 6 yrs apart (2018, 2024, same standard) — worker-welfare flag</t>
        </is>
      </c>
      <c r="K89" s="68" t="inlineStr">
        <is>
          <t>No existing organ programme — would have to be BUILT</t>
        </is>
      </c>
      <c r="L89" s="68" t="inlineStr">
        <is>
          <t>Possible</t>
        </is>
      </c>
      <c r="M89" s="110" t="inlineStr">
        <is>
          <t>NO</t>
        </is>
      </c>
      <c r="N89" s="68" t="inlineStr">
        <is>
          <t>Plausible</t>
        </is>
      </c>
      <c r="O89" s="68" t="inlineStr">
        <is>
          <t>2827 Swaggerty Rd, Kodak TN 37764</t>
        </is>
      </c>
      <c r="P89" s="23" t="inlineStr">
        <is>
          <t>POSSIBLE</t>
        </is>
      </c>
      <c r="Q89" s="68" t="inlineStr">
        <is>
          <t>Med</t>
        </is>
      </c>
      <c r="R89" s="68" t="inlineStr">
        <is>
          <t>#7 US SOW plant; 50,000 sq ft expansion recently online. MEDIUM-HIGH tier. Sow anatomy is closer to adult human scale — potentially an ADVANTAGE for pelvic/bariatric blocks. Confirm against the anatomical spec.</t>
        </is>
      </c>
    </row>
    <row r="90" ht="112.2" customHeight="1" s="59">
      <c r="A90" s="4" t="inlineStr">
        <is>
          <t>Wampler's Farm Sausage Co.</t>
        </is>
      </c>
      <c r="B90" s="68" t="inlineStr">
        <is>
          <t>Lenoir City, TN (Loudon)</t>
        </is>
      </c>
      <c r="C90" s="68" t="inlineStr">
        <is>
          <t>USDA federal — PRIMARILY SOWS</t>
        </is>
      </c>
      <c r="D90" s="68" t="inlineStr">
        <is>
          <t>~1,500/wk (300 hd/day)</t>
        </is>
      </c>
      <c r="E90" s="20" t="inlineStr">
        <is>
          <t>MEDIUM
(350-2,500/wk)</t>
        </is>
      </c>
      <c r="F90" s="133" t="inlineStr">
        <is>
          <t>MARKET + SOW
(not sow-only)</t>
        </is>
      </c>
      <c r="G90" s="68" t="inlineStr">
        <is>
          <t>USDA ✓ M9065 + P9065 + V9065</t>
        </is>
      </c>
      <c r="H90" s="68" t="inlineStr">
        <is>
          <t>⚠ CORRECTED: FSIS HACCP suspension 31 Oct 2024, held in abeyance 1 Nov 2024, case closed 3 Feb 2025. NOT a humane-handling action, and NOT 'none found' as this cell previously read. || None found in FSIS enforcement. Labour flag: production hiring via 3 staffing agencies at $12-14/hr</t>
        </is>
      </c>
      <c r="I90" s="68" t="inlineStr">
        <is>
          <t>Federal (M9065). Not confirmed on public export lists</t>
        </is>
      </c>
      <c r="J90" s="68" t="inlineStr">
        <is>
          <t>Family-owned since 1937 BUT production hiring routes through 3 staffing agencies at $12-14/hr — against the tenure criterion</t>
        </is>
      </c>
      <c r="K90" s="68" t="inlineStr">
        <is>
          <t>unknown</t>
        </is>
      </c>
      <c r="L90" s="68" t="inlineStr">
        <is>
          <t>Possible</t>
        </is>
      </c>
      <c r="M90" s="110" t="inlineStr">
        <is>
          <t>NO</t>
        </is>
      </c>
      <c r="N90" s="68" t="inlineStr">
        <is>
          <t>Plausible</t>
        </is>
      </c>
      <c r="O90" s="68" t="inlineStr">
        <is>
          <t>(865) 986-2056
781 Highway 70 W</t>
        </is>
      </c>
      <c r="P90" s="23" t="inlineStr">
        <is>
          <t>POSSIBLE</t>
        </is>
      </c>
      <c r="Q90" s="68" t="inlineStr">
        <is>
          <t>Med</t>
        </is>
      </c>
      <c r="R90" s="68" t="inlineStr">
        <is>
          <t>SPECIES CORRECTED: FSIS records BOTH market_swine_slaughter=Yes AND sow_slaughter=Yes — Wampler's is not a sows-only plant, so it should not sit in the sow-only group on the Anatomical Spec tab. || FSIS activities confirmed to include Meat Slaughter (not processing-only). MEDIUM tier, SOW plant. Identity trap: the '73-year employee' story belongs to Family Brands LLC (M6515), a different Wampler plant in the same town.</t>
        </is>
      </c>
    </row>
    <row r="91" ht="45.2" customHeight="1" s="59">
      <c r="A91" s="4" t="inlineStr">
        <is>
          <t>Tyson (Hillshire / Jimmy Dean) — Newbern</t>
        </is>
      </c>
      <c r="B91" s="68" t="inlineStr">
        <is>
          <t>Newbern, TN (Dyer)</t>
        </is>
      </c>
      <c r="C91" s="68" t="inlineStr">
        <is>
          <t>Industrial — PRIMARILY SOWS</t>
        </is>
      </c>
      <c r="D91" s="68" t="inlineStr">
        <is>
          <t>~14,000/wk (2,800 hd/day)</t>
        </is>
      </c>
      <c r="E91" s="26" t="inlineStr">
        <is>
          <t>HIGH
(&gt;5,000/wk)</t>
        </is>
      </c>
      <c r="F91" s="68" t="inlineStr">
        <is>
          <t>MARKET + SOW
(roaster: No, boar/stag: No)</t>
        </is>
      </c>
      <c r="G91" s="68" t="inlineStr">
        <is>
          <t>USDA ✓ M8080 + P8080
(FSIS lists The Hillshire Brands Company)</t>
        </is>
      </c>
      <c r="H91" s="68" t="inlineStr">
        <is>
          <t>Not individually researched</t>
        </is>
      </c>
      <c r="I91" s="68" t="inlineStr">
        <is>
          <t>Federal. Export status not researched</t>
        </is>
      </c>
      <c r="J91" s="68" t="inlineStr">
        <is>
          <t>Corporate industrial</t>
        </is>
      </c>
      <c r="K91" s="68" t="inlineStr">
        <is>
          <t>unknown</t>
        </is>
      </c>
      <c r="L91" s="68" t="inlineStr">
        <is>
          <t>Low plausibility</t>
        </is>
      </c>
      <c r="M91" s="110" t="inlineStr">
        <is>
          <t>NO</t>
        </is>
      </c>
      <c r="N91" s="68" t="inlineStr">
        <is>
          <t>Model B only</t>
        </is>
      </c>
      <c r="O91" s="68" t="inlineStr">
        <is>
          <t>—</t>
        </is>
      </c>
      <c r="P91" s="23" t="inlineStr">
        <is>
          <t>POSSIBLE</t>
        </is>
      </c>
      <c r="Q91" s="68" t="inlineStr">
        <is>
          <t>High</t>
        </is>
      </c>
      <c r="R91" s="68" t="inlineStr">
        <is>
          <t>#3 US SOW plant. HIGH tier — access, not volume, is the constraint. Corporate conversation, not a plant conversation.</t>
        </is>
      </c>
    </row>
    <row r="92" ht="85.40000000000001" customHeight="1" s="59">
      <c r="A92" s="4" t="inlineStr">
        <is>
          <t>Gunnoe Sausage Co.</t>
        </is>
      </c>
      <c r="B92" s="68" t="inlineStr">
        <is>
          <t>Goode, VA (Bedford)</t>
        </is>
      </c>
      <c r="C92" s="68" t="inlineStr">
        <is>
          <t>Dedicated SOW slaughterhouse since 1965</t>
        </is>
      </c>
      <c r="D92" s="68" t="inlineStr">
        <is>
          <t>~450/wk (110 hd/day 2016 → 90/day 2017, DECLINING)</t>
        </is>
      </c>
      <c r="E92" s="20" t="inlineStr">
        <is>
          <t>MEDIUM
(350-2,500/wk)</t>
        </is>
      </c>
      <c r="F92" s="68" t="inlineStr">
        <is>
          <t>Yes — SOWS</t>
        </is>
      </c>
      <c r="G92" s="68" t="inlineStr">
        <is>
          <t>unknown — est. no. NOT captured</t>
        </is>
      </c>
      <c r="H92" s="68" t="inlineStr">
        <is>
          <t>None found (FSIS unreachable)</t>
        </is>
      </c>
      <c r="I92" s="68" t="inlineStr">
        <is>
          <t>Establishment number not captured — inspection + export status UNKNOWN</t>
        </is>
      </c>
      <c r="J92" s="68" t="inlineStr">
        <is>
          <t>None found</t>
        </is>
      </c>
      <c r="K92" s="68" t="inlineStr">
        <is>
          <t>unknown</t>
        </is>
      </c>
      <c r="L92" s="68" t="inlineStr">
        <is>
          <t>Plausible (small family op)</t>
        </is>
      </c>
      <c r="M92" s="110" t="inlineStr">
        <is>
          <t>NO</t>
        </is>
      </c>
      <c r="N92" s="68" t="inlineStr">
        <is>
          <t>Plausible</t>
        </is>
      </c>
      <c r="O92" s="68" t="inlineStr">
        <is>
          <t>(540) 586-1091
3989 Cifax Rd · gunnoesausage.com</t>
        </is>
      </c>
      <c r="P92" s="141" t="inlineStr">
        <is>
          <t>OUT / FLAG</t>
        </is>
      </c>
      <c r="Q92" s="68" t="inlineStr">
        <is>
          <t>High</t>
        </is>
      </c>
      <c r="R92" s="68" t="inlineStr">
        <is>
          <t>⚠ REFUTED — SEE THE CORRECTED / REFUTED BLOCK AT THE BOTTOM OF THIS SHEET. No establishment named 'Gunnoe' appears anywhere in the FSIS MPI directory nationally, and nothing at all is listed at Goode VA. The '~450 hogs/wk dedicated sow slaughterhouse since 1965' profile cannot be attached to an inspected establishment, so it cannot be a supplier under either operating model. It must be removed from the priority contact list.  [Verified 2026-08-06 against FSIS Establishment Demographic Data + MPI Directory by Establishment Number.]</t>
        </is>
      </c>
    </row>
    <row r="93" ht="45.2" customHeight="1" s="59">
      <c r="A93" s="4" t="inlineStr">
        <is>
          <t>VIRGINIA — coverage gap (action required)</t>
        </is>
      </c>
      <c r="B93" s="68" t="inlineStr">
        <is>
          <t>VA statewide</t>
        </is>
      </c>
      <c r="C93" s="68" t="inlineStr">
        <is>
          <t>n/a — enumeration incomplete</t>
        </is>
      </c>
      <c r="D93" s="68" t="inlineStr">
        <is>
          <t>n/a</t>
        </is>
      </c>
      <c r="E93" s="24" t="inlineStr">
        <is>
          <t>n/a</t>
        </is>
      </c>
      <c r="F93" s="68" t="inlineStr">
        <is>
          <t>n/a</t>
        </is>
      </c>
      <c r="G93" s="68" t="inlineStr">
        <is>
          <t>VDACS publishes NO online directory</t>
        </is>
      </c>
      <c r="H93" s="68" t="inlineStr">
        <is>
          <t>n/a</t>
        </is>
      </c>
      <c r="I93" s="68" t="inlineStr">
        <is>
          <t>n/a</t>
        </is>
      </c>
      <c r="J93" s="68" t="inlineStr">
        <is>
          <t>n/a</t>
        </is>
      </c>
      <c r="K93" s="68" t="inlineStr">
        <is>
          <t>n/a</t>
        </is>
      </c>
      <c r="L93" s="68" t="inlineStr">
        <is>
          <t>n/a</t>
        </is>
      </c>
      <c r="M93" s="110" t="inlineStr">
        <is>
          <t>NO</t>
        </is>
      </c>
      <c r="N93" s="68" t="inlineStr">
        <is>
          <t>n/a</t>
        </is>
      </c>
      <c r="O93" s="68" t="inlineStr">
        <is>
          <t>VDACS 804-786-4569
omps@vdacs.virginia.gov</t>
        </is>
      </c>
      <c r="P93" s="23" t="inlineStr">
        <is>
          <t>CAUTION</t>
        </is>
      </c>
      <c r="Q93" s="68" t="inlineStr">
        <is>
          <t>High</t>
        </is>
      </c>
      <c r="R93" s="68" t="inlineStr">
        <is>
          <t>HONEST GAP: Virginia is the one state that could NOT be enumerated — VDACS distributes its establishment directory BY REQUEST ONLY and the FSIS per-state PDF is 403-blocked. ONE PHONE CALL to 804-786-4569 will produce more than any further searching. Do this before the strategy meeting.</t>
        </is>
      </c>
    </row>
    <row r="94" ht="19.7" customHeight="1" s="59">
      <c r="A94" s="118" t="inlineStr">
        <is>
          <t>MEDIUM-HIGH BAND (2,500-5,000/wk) — FSIS category-4 sweep, the enumerable universe</t>
        </is>
      </c>
    </row>
    <row r="95" ht="58.6" customHeight="1" s="59">
      <c r="A95" s="4" t="inlineStr">
        <is>
          <t>Swaggerty Sausage Company</t>
        </is>
      </c>
      <c r="B95" s="68" t="inlineStr">
        <is>
          <t>Kodak, TN (Sevier)</t>
        </is>
      </c>
      <c r="C95" s="68" t="inlineStr">
        <is>
          <t>Captive SOW abattoir + sausage mfr (FSIS 'Large')</t>
        </is>
      </c>
      <c r="D95" s="68" t="inlineStr">
        <is>
          <t>~4,250/wk (850 hd/day EMI 2017; cat-4 confirms ≥2,000/wk)</t>
        </is>
      </c>
      <c r="E95" s="27" t="inlineStr">
        <is>
          <t>MEDIUM-HIGH
(2,500-5,000/wk)</t>
        </is>
      </c>
      <c r="F95" s="68" t="inlineStr">
        <is>
          <t>Yes — SOW ONLY (FSIS flags: sow=TRUE, market=FALSE)</t>
        </is>
      </c>
      <c r="G95" s="68" t="inlineStr">
        <is>
          <t>USDA ✓ M8314 + V8314 (V = voluntary grant)</t>
        </is>
      </c>
      <c r="H95" s="68" t="inlineStr">
        <is>
          <t>See the Welfare &amp; culture column — enforcement detail is carried there for these rows</t>
        </is>
      </c>
      <c r="I95" s="68" t="inlineStr">
        <is>
          <t>Not verified — APHIS publishes no searchable list; confirm with APHIS VS</t>
        </is>
      </c>
      <c r="J95" s="68" t="inlineStr">
        <is>
          <t>NO suspension in ANY FSIS QER FY2024Q1-FY2026Q2 (no public record ≠ clean). Prior TN OSHA machine-guarding actions 2018 &amp; 2024</t>
        </is>
      </c>
      <c r="K95" s="68" t="inlineStr">
        <is>
          <t>No existing organ programme — would be built. V-grant is useful for non-amenable/research material</t>
        </is>
      </c>
      <c r="L95" s="68" t="inlineStr">
        <is>
          <t>Plausible — single site, family-owned, decision-maker reachable</t>
        </is>
      </c>
      <c r="M95" s="110" t="inlineStr">
        <is>
          <t>NO</t>
        </is>
      </c>
      <c r="N95" s="68" t="inlineStr">
        <is>
          <t>Plausible</t>
        </is>
      </c>
      <c r="O95" s="68" t="inlineStr">
        <is>
          <t>(865) 933-2625
2827 Swaggerty Rd, Kodak TN 37764</t>
        </is>
      </c>
      <c r="P95" s="20" t="inlineStr">
        <is>
          <t>STRONG FIT</t>
        </is>
      </c>
      <c r="Q95" s="68" t="inlineStr">
        <is>
          <t>Med-High</t>
        </is>
      </c>
      <c r="R95" s="68" t="inlineStr">
        <is>
          <t>★ TOP PICK IN BAND and the ONLY named lead that fully verified. SOW-ONLY = uniformly LARGE anatomy, which suits pelvic/abdominal/thoracic blocks. New 50,000 sq ft facility opened 14 Apr 2026 (CEO Doug Swaggerty) — fresh capital, expansion posture. Captive supply = no third-party buyers competing for viscera.</t>
        </is>
      </c>
    </row>
    <row r="96" ht="125.6" customHeight="1" s="59">
      <c r="A96" s="4" t="inlineStr">
        <is>
          <t>Peoria Packing, Ltd.</t>
        </is>
      </c>
      <c r="B96" s="68" t="inlineStr">
        <is>
          <t>Grant Park, IL (slaughter)</t>
        </is>
      </c>
      <c r="C96" s="68" t="inlineStr">
        <is>
          <t>USDA federal slaughter; sister processing plant in Chicago</t>
        </is>
      </c>
      <c r="D96" s="68" t="inlineStr">
        <is>
          <t>~3,000/wk (600 hd/day EMI 2017; cat-4)</t>
        </is>
      </c>
      <c r="E96" s="27" t="inlineStr">
        <is>
          <t>MEDIUM-HIGH
(2,500-5,000/wk)</t>
        </is>
      </c>
      <c r="F96" s="68" t="inlineStr">
        <is>
          <t>Yes — MARKET HOGS (butcher hogs 180-230 lb)</t>
        </is>
      </c>
      <c r="G96" s="68" t="inlineStr">
        <is>
          <t>USDA ✓ M21651 (slaughter)
Sister M21826+V21826 Chicago = Certification-Export</t>
        </is>
      </c>
      <c r="H96" s="68" t="inlineStr">
        <is>
          <t>See the Welfare &amp; culture column — enforcement detail is carried there for these rows</t>
        </is>
      </c>
      <c r="I96" s="68" t="inlineStr">
        <is>
          <t>Not verified — APHIS publishes no searchable list; confirm with APHIS VS</t>
        </is>
      </c>
      <c r="J96" s="68" t="inlineStr">
        <is>
          <t>NO suspension in any QER FY2024-FY2026 (no public record)</t>
        </is>
      </c>
      <c r="K96" s="68" t="inlineStr">
        <is>
          <t>⭐ SELF-DESCRIBED MEDICAL/PHARMA SUPPLIER — their own site says capital improvements 'support our ability to supply high-grade products to the MEDICAL AND PHARMACEUTICAL INDUSTRIES, where quality and compliance are critical', and that they are 'flexible enough to meet our customers' unique specifications'</t>
        </is>
      </c>
      <c r="L96" s="68" t="inlineStr">
        <is>
          <t>Plausible</t>
        </is>
      </c>
      <c r="M96" s="110" t="inlineStr">
        <is>
          <t>NO</t>
        </is>
      </c>
      <c r="N96" s="68" t="inlineStr">
        <is>
          <t>EXCELLENT — already positions as medical/pharma supplier with spec flexibility</t>
        </is>
      </c>
      <c r="O96" s="68" t="inlineStr">
        <is>
          <t>(815) 465-9824 (Grant Park)
(312) 226-2600 (Chicago)</t>
        </is>
      </c>
      <c r="P96" s="20" t="inlineStr">
        <is>
          <t>STRONG FIT</t>
        </is>
      </c>
      <c r="Q96" s="68" t="inlineStr">
        <is>
          <t>Med</t>
        </is>
      </c>
      <c r="R96" s="68" t="inlineStr">
        <is>
          <t>★ BEST UNNAMED FIND — a genuine sleeper nobody had surfaced. Market hogs (not sows) so anatomy is smaller — confirm block dimensions suit the spec. Sister plant is export-certified.</t>
        </is>
      </c>
    </row>
    <row r="97" ht="179.2" customHeight="1" s="59">
      <c r="A97" s="4" t="inlineStr">
        <is>
          <t>Perry Way Foods, LLC (Sustainable Swine Resources)</t>
        </is>
      </c>
      <c r="B97" s="68" t="inlineStr">
        <is>
          <t>Watertown, WI</t>
        </is>
      </c>
      <c r="C97" s="68" t="inlineStr">
        <is>
          <t>SOW abattoir + medical tissue operation</t>
        </is>
      </c>
      <c r="D97" s="68" t="inlineStr">
        <is>
          <t>~4,250/wk (850 hd/day EMI 2017) — LIKELY HIGHER NOW (absorbed Momence volume + 2nd shift)</t>
        </is>
      </c>
      <c r="E97" s="27" t="inlineStr">
        <is>
          <t>MEDIUM-HIGH
(2,500-5,000/wk)</t>
        </is>
      </c>
      <c r="F97" s="68" t="inlineStr">
        <is>
          <t>Yes — SOW ONLY</t>
        </is>
      </c>
      <c r="G97" s="68" t="inlineStr">
        <is>
          <t>USDA ✓ M1962 + P1962</t>
        </is>
      </c>
      <c r="H97" s="68" t="inlineStr">
        <is>
          <t>See the Welfare &amp; culture column — enforcement detail is carried there for these rows</t>
        </is>
      </c>
      <c r="I97" s="68" t="inlineStr">
        <is>
          <t>Not verified — APHIS publishes no searchable list; confirm with APHIS VS</t>
        </is>
      </c>
      <c r="J97" s="68" t="inlineStr">
        <is>
          <t>NO suspension in any QER FY2024-FY2026 (no public record)</t>
        </is>
      </c>
      <c r="K97" s="68" t="inlineStr">
        <is>
          <t>⭐⭐ MOST TISSUE-READY PLANT IN THE COUNTRY AT THIS SCALE: DBA Sustainable Swine Resources — self-described 'largest U.S. supplier of SOW TISSUE'. ISO 22442-2 compliant, SQF-certified, GMP-trained staff in DESIGNATED MEDICAL-MATERIAL ROOMS, a 'Customization Center' ADJACENT TO THE HARVEST FLOOR, full animal traceability, overnight fresh-tissue shipping. Serves medical devices, pharma, regenerative medicine, tissue fabrication and medical training/R&amp;D. Director: Dr. Lauren Sammel</t>
        </is>
      </c>
      <c r="L97" s="68" t="inlineStr">
        <is>
          <t>⚠ May be REFUSED on channel conflict</t>
        </is>
      </c>
      <c r="M97" s="110" t="inlineStr">
        <is>
          <t>NO</t>
        </is>
      </c>
      <c r="N97" s="68" t="inlineStr">
        <is>
          <t>Already built and running — but for their own account</t>
        </is>
      </c>
      <c r="O97" s="68" t="inlineStr">
        <is>
          <t>(920) 261-1053
1222 Perry Way, Watertown WI 53094</t>
        </is>
      </c>
      <c r="P97" s="23" t="inlineStr">
        <is>
          <t>CAUTION</t>
        </is>
      </c>
      <c r="Q97" s="68" t="inlineStr">
        <is>
          <t>Med-High</t>
        </is>
      </c>
      <c r="R97" s="68" t="inlineStr">
        <is>
          <t>⚠ STRATEGIC: SSR IS A DIRECT COMPETITOR in exactly your space, and controls TWO of the six in-band plants. Model A access may be refused for channel-conflict reasons. Approach as partner-supplier OR treat as competitive intelligence — but read them either way.</t>
        </is>
      </c>
    </row>
    <row r="98" ht="58.6" customHeight="1" s="59">
      <c r="A98" s="4" t="inlineStr">
        <is>
          <t>Banner Creek, LLC (Sustainable Swine Resources)</t>
        </is>
      </c>
      <c r="B98" s="68" t="inlineStr">
        <is>
          <t>Holton, KS</t>
        </is>
      </c>
      <c r="C98" s="68" t="inlineStr">
        <is>
          <t>SOW abattoir (Johnsonville / SSR)</t>
        </is>
      </c>
      <c r="D98" s="68" t="inlineStr">
        <is>
          <t>~5,500/wk (1,100 hd/day EMI 2017) — at/just above ceiling; likely higher post-Momence</t>
        </is>
      </c>
      <c r="E98" s="26" t="inlineStr">
        <is>
          <t>HIGH
(&gt;5,000/wk)</t>
        </is>
      </c>
      <c r="F98" s="68" t="inlineStr">
        <is>
          <t>Yes — SOW ONLY</t>
        </is>
      </c>
      <c r="G98" s="68" t="inlineStr">
        <is>
          <t>USDA ✓ M5536 + P5536</t>
        </is>
      </c>
      <c r="H98" s="68" t="inlineStr">
        <is>
          <t>See the Welfare &amp; culture column — enforcement detail is carried there for these rows</t>
        </is>
      </c>
      <c r="I98" s="68" t="inlineStr">
        <is>
          <t>Not verified — APHIS publishes no searchable list; confirm with APHIS VS</t>
        </is>
      </c>
      <c r="J98" s="68" t="inlineStr">
        <is>
          <t>NO suspension in any QER FY2024-FY2026 (no public record)</t>
        </is>
      </c>
      <c r="K98" s="68" t="inlineStr">
        <is>
          <t>Same SSR medical-tissue infrastructure as Perry Way (ISO 22442-2, GMP rooms, Customization Center)</t>
        </is>
      </c>
      <c r="L98" s="68" t="inlineStr">
        <is>
          <t>⚠ Same competitor caveat</t>
        </is>
      </c>
      <c r="M98" s="110" t="inlineStr">
        <is>
          <t>NO</t>
        </is>
      </c>
      <c r="N98" s="68" t="inlineStr">
        <is>
          <t>Already built for their own account</t>
        </is>
      </c>
      <c r="O98" s="68" t="inlineStr">
        <is>
          <t>(785) 364-3126
619 East 4th St, Holton KS 66436</t>
        </is>
      </c>
      <c r="P98" s="23" t="inlineStr">
        <is>
          <t>CAUTION</t>
        </is>
      </c>
      <c r="Q98" s="68" t="inlineStr">
        <is>
          <t>Med</t>
        </is>
      </c>
      <c r="R98" s="68" t="inlineStr">
        <is>
          <t>Second SSR harvest site. Top-of-band or just over. Same channel-conflict caveat as Perry Way.</t>
        </is>
      </c>
    </row>
    <row r="99" ht="192.6" customHeight="1" s="59">
      <c r="A99" s="4" t="inlineStr">
        <is>
          <t>Calihan Processing Cooperative</t>
        </is>
      </c>
      <c r="B99" s="68" t="inlineStr">
        <is>
          <t>Peoria, IL</t>
        </is>
      </c>
      <c r="C99" s="68" t="inlineStr">
        <is>
          <t>Producer-owned cooperative sow/market abattoir</t>
        </is>
      </c>
      <c r="D99" s="68" t="inlineStr">
        <is>
          <t>~3,500/wk — BEST-VERIFIED FIGURE IN THE BAND ('700 sows per day', company's own site)</t>
        </is>
      </c>
      <c r="E99" s="27" t="inlineStr">
        <is>
          <t>MEDIUM-HIGH
(2,500-5,000/wk)</t>
        </is>
      </c>
      <c r="F99" s="68" t="inlineStr">
        <is>
          <t>Yes — MKT + SOW + boar</t>
        </is>
      </c>
      <c r="G99" s="68" t="inlineStr">
        <is>
          <t>USDA ✓ M6775 + V6775
✅ Certification-Export ON THE GRANT</t>
        </is>
      </c>
      <c r="H99" s="68" t="inlineStr">
        <is>
          <t>See the Welfare &amp; culture column — enforcement detail is carried there for these rows</t>
        </is>
      </c>
      <c r="I99" s="68" t="inlineStr">
        <is>
          <t>Not verified — APHIS publishes no searchable list; confirm with APHIS VS</t>
        </is>
      </c>
      <c r="J99" s="68" t="inlineStr">
        <is>
          <t>🚨 TWO INHUMANE-HANDLING (INH) SUSPENSIONS IN TWO YEARS: 05 Oct 2023 (abeyance 12 Oct, reinstated 17 Jan 2024) and 25 Jul 2025 — FSIS documented a FAILED CAPTIVE-BOLT STUN ON A BOAR (bolt lodged in head, animal vocalizing and conscious; line under regulatory control). Re-suspended 23 Sep 2025, reinstated 31 Dec 2025. FSIS wrote the plant 'had previously developed and implemented a systematic approach to humane handling that was considered robust, [but] failed to effectively implement the program'</t>
        </is>
      </c>
      <c r="K99" s="68" t="inlineStr">
        <is>
          <t>unknown</t>
        </is>
      </c>
      <c r="L99" s="68" t="inlineStr">
        <is>
          <t>Plausible</t>
        </is>
      </c>
      <c r="M99" s="110" t="inlineStr">
        <is>
          <t>NO</t>
        </is>
      </c>
      <c r="N99" s="68" t="inlineStr">
        <is>
          <t>Plausible — new co-op board may welcome new revenue</t>
        </is>
      </c>
      <c r="O99" s="68" t="inlineStr">
        <is>
          <t>(309) 512-7124
One South Street, Peoria IL 61602
Ben Elbert (Plant Mgr) · Jason Jones (EVP Pork)</t>
        </is>
      </c>
      <c r="P99" s="23" t="inlineStr">
        <is>
          <t>CAUTION</t>
        </is>
      </c>
      <c r="Q99" s="68" t="inlineStr">
        <is>
          <t>High</t>
        </is>
      </c>
      <c r="R99" s="68" t="inlineStr">
        <is>
          <t>Volume, species mix AND export certification are all ideal — but RUN A WELFARE AUDIT BEFORE ANY AGREEMENT. Newly producer-owned (purchase from American Foods Group closed 14 Nov 2025), so the board may be unusually open. Expect the enforcement history to matter to your IRB and customers.</t>
        </is>
      </c>
    </row>
    <row r="100" ht="72" customHeight="1" s="59">
      <c r="A100" s="4" t="inlineStr">
        <is>
          <t>Clausen Meat Company, Inc.</t>
        </is>
      </c>
      <c r="B100" s="68" t="inlineStr">
        <is>
          <t>Turlock, CA (Merced)</t>
        </is>
      </c>
      <c r="C100" s="68" t="inlineStr">
        <is>
          <t>Federal abattoir; absorbed Jim's Farm Meats (Atwater)</t>
        </is>
      </c>
      <c r="D100" s="68" t="inlineStr">
        <is>
          <t>unknown precisely — cat-4 proves ≥2,000/wk; 2,500-5,000 is an INFERENCE from the absorbed 850 hd/day plant</t>
        </is>
      </c>
      <c r="E100" s="27" t="inlineStr">
        <is>
          <t>MEDIUM-HIGH
(2,500-5,000/wk)</t>
        </is>
      </c>
      <c r="F100" s="68" t="inlineStr">
        <is>
          <t>Yes — MKT + SOW + roaster</t>
        </is>
      </c>
      <c r="G100" s="68" t="inlineStr">
        <is>
          <t>USDA ✓ M325</t>
        </is>
      </c>
      <c r="H100" s="68" t="inlineStr">
        <is>
          <t>See the Welfare &amp; culture column — enforcement detail is carried there for these rows</t>
        </is>
      </c>
      <c r="I100" s="68" t="inlineStr">
        <is>
          <t>Not verified — APHIS publishes no searchable list; confirm with APHIS VS</t>
        </is>
      </c>
      <c r="J100" s="68" t="inlineStr">
        <is>
          <t>🚨 INH suspension 15 Nov 2023 — NOT reinstated until 12 Apr 2024, roughly FIVE MONTHS out. A long suspension; warrants scrutiny</t>
        </is>
      </c>
      <c r="K100" s="68" t="inlineStr">
        <is>
          <t>unknown</t>
        </is>
      </c>
      <c r="L100" s="68" t="inlineStr">
        <is>
          <t>Plausible</t>
        </is>
      </c>
      <c r="M100" s="110" t="inlineStr">
        <is>
          <t>NO</t>
        </is>
      </c>
      <c r="N100" s="68" t="inlineStr">
        <is>
          <t>Plausible</t>
        </is>
      </c>
      <c r="O100" s="68" t="inlineStr">
        <is>
          <t>(209) 667-8690
19455 E Clausen Rd, Turlock CA 95380</t>
        </is>
      </c>
      <c r="P100" s="23" t="inlineStr">
        <is>
          <t>CAUTION</t>
        </is>
      </c>
      <c r="Q100" s="68" t="inlineStr">
        <is>
          <t>Low-Med</t>
        </is>
      </c>
      <c r="R100" s="68" t="inlineStr">
        <is>
          <t>The ONLY serious in-band candidate on the WEST COAST, and rare MKT+SOW+roaster flexibility. Volume is an inference, not a published figure — verify volume AND welfare directly.</t>
        </is>
      </c>
    </row>
    <row r="101" ht="19.7" customHeight="1" s="59">
      <c r="A101" s="118" t="inlineStr">
        <is>
          <t>JUST ABOVE BAND (~5,000-7,500/wk) — viable if the ceiling flexes</t>
        </is>
      </c>
    </row>
    <row r="102" ht="45.2" customHeight="1" s="59">
      <c r="A102" s="4" t="inlineStr">
        <is>
          <t>Leidy's, LLC</t>
        </is>
      </c>
      <c r="B102" s="68" t="inlineStr">
        <is>
          <t>Souderton, PA</t>
        </is>
      </c>
      <c r="C102" s="68" t="inlineStr">
        <is>
          <t>USDA federal — MARKET hogs</t>
        </is>
      </c>
      <c r="D102" s="68" t="inlineStr">
        <is>
          <t>~6,750/wk (1,350 hd/day EMI 2017)</t>
        </is>
      </c>
      <c r="E102" s="26" t="inlineStr">
        <is>
          <t>HIGH
(&gt;5,000/wk)</t>
        </is>
      </c>
      <c r="F102" s="68" t="inlineStr">
        <is>
          <t>Yes — MARKET</t>
        </is>
      </c>
      <c r="G102" s="68" t="inlineStr">
        <is>
          <t>USDA ✓ M9520+P9520+V9520
✅ EXPORT-CERTIFIED</t>
        </is>
      </c>
      <c r="H102" s="68" t="inlineStr">
        <is>
          <t>See the Welfare &amp; culture column — enforcement detail is carried there for these rows</t>
        </is>
      </c>
      <c r="I102" s="68" t="inlineStr">
        <is>
          <t>Not verified — APHIS publishes no searchable list; confirm with APHIS VS</t>
        </is>
      </c>
      <c r="J102" s="68" t="inlineStr">
        <is>
          <t>No QER suspension FY2024-FY2026 (no public record)</t>
        </is>
      </c>
      <c r="K102" s="68" t="inlineStr">
        <is>
          <t>unknown</t>
        </is>
      </c>
      <c r="L102" s="68" t="inlineStr">
        <is>
          <t>Plausible</t>
        </is>
      </c>
      <c r="M102" s="110" t="inlineStr">
        <is>
          <t>NO</t>
        </is>
      </c>
      <c r="N102" s="68" t="inlineStr">
        <is>
          <t>Plausible</t>
        </is>
      </c>
      <c r="O102" s="68" t="inlineStr">
        <is>
          <t>(215) 723-4606</t>
        </is>
      </c>
      <c r="P102" s="23" t="inlineStr">
        <is>
          <t>POSSIBLE</t>
        </is>
      </c>
      <c r="Q102" s="68" t="inlineStr">
        <is>
          <t>Med</t>
        </is>
      </c>
      <c r="R102" s="68" t="inlineStr">
        <is>
          <t>MID-ATLANTIC and EXPORT-CERTIFIED — relevant to the Pennsylvania-abattoir lead from Animal Biotech. Closest large export-capable plant to the NC operation.</t>
        </is>
      </c>
    </row>
    <row r="103" ht="45.2" customHeight="1" s="59">
      <c r="A103" s="4" t="inlineStr">
        <is>
          <t>Tri Eagle Provisions</t>
        </is>
      </c>
      <c r="B103" s="68" t="inlineStr">
        <is>
          <t>Tippecanoe, IN</t>
        </is>
      </c>
      <c r="C103" s="68" t="inlineStr">
        <is>
          <t>USDA federal — market + roaster</t>
        </is>
      </c>
      <c r="D103" s="68" t="inlineStr">
        <is>
          <t>~5,500/wk (1,100 hd/day EMI 2017)</t>
        </is>
      </c>
      <c r="E103" s="26" t="inlineStr">
        <is>
          <t>HIGH
(&gt;5,000/wk)</t>
        </is>
      </c>
      <c r="F103" s="68" t="inlineStr">
        <is>
          <t>Yes — MKT + roaster</t>
        </is>
      </c>
      <c r="G103" s="68" t="inlineStr">
        <is>
          <t>USDA ✓ M17496</t>
        </is>
      </c>
      <c r="H103" s="68" t="inlineStr">
        <is>
          <t>See the Welfare &amp; culture column — enforcement detail is carried there for these rows</t>
        </is>
      </c>
      <c r="I103" s="68" t="inlineStr">
        <is>
          <t>Not verified — APHIS publishes no searchable list; confirm with APHIS VS</t>
        </is>
      </c>
      <c r="J103" s="68" t="inlineStr">
        <is>
          <t>No QER suspension FY2024-FY2026</t>
        </is>
      </c>
      <c r="K103" s="68" t="inlineStr">
        <is>
          <t>unknown</t>
        </is>
      </c>
      <c r="L103" s="68" t="inlineStr">
        <is>
          <t>Plausible</t>
        </is>
      </c>
      <c r="M103" s="110" t="inlineStr">
        <is>
          <t>NO</t>
        </is>
      </c>
      <c r="N103" s="68" t="inlineStr">
        <is>
          <t>Plausible</t>
        </is>
      </c>
      <c r="O103" s="68" t="inlineStr">
        <is>
          <t>(574) 223-4600</t>
        </is>
      </c>
      <c r="P103" s="23" t="inlineStr">
        <is>
          <t>POSSIBLE</t>
        </is>
      </c>
      <c r="Q103" s="68" t="inlineStr">
        <is>
          <t>Med</t>
        </is>
      </c>
      <c r="R103" s="68" t="inlineStr">
        <is>
          <t>DBAs Vin Lee Ron, Maple Creek Packing.</t>
        </is>
      </c>
    </row>
    <row r="104" ht="45.2" customHeight="1" s="59">
      <c r="A104" s="4" t="inlineStr">
        <is>
          <t>Verschoor Meats</t>
        </is>
      </c>
      <c r="B104" s="68" t="inlineStr">
        <is>
          <t>Sioux City, IA</t>
        </is>
      </c>
      <c r="C104" s="68" t="inlineStr">
        <is>
          <t>USDA federal — market + boar</t>
        </is>
      </c>
      <c r="D104" s="68" t="inlineStr">
        <is>
          <t>~6,000/wk (1,200 hd/day EMI 2017)</t>
        </is>
      </c>
      <c r="E104" s="26" t="inlineStr">
        <is>
          <t>HIGH
(&gt;5,000/wk)</t>
        </is>
      </c>
      <c r="F104" s="68" t="inlineStr">
        <is>
          <t>Yes — MKT + boar</t>
        </is>
      </c>
      <c r="G104" s="68" t="inlineStr">
        <is>
          <t>USDA ✓ M363</t>
        </is>
      </c>
      <c r="H104" s="68" t="inlineStr">
        <is>
          <t>See the Welfare &amp; culture column — enforcement detail is carried there for these rows</t>
        </is>
      </c>
      <c r="I104" s="68" t="inlineStr">
        <is>
          <t>Not verified — APHIS publishes no searchable list; confirm with APHIS VS</t>
        </is>
      </c>
      <c r="J104" s="68" t="inlineStr">
        <is>
          <t>No QER suspension FY2024-FY2026</t>
        </is>
      </c>
      <c r="K104" s="68" t="inlineStr">
        <is>
          <t>unknown</t>
        </is>
      </c>
      <c r="L104" s="68" t="inlineStr">
        <is>
          <t>Plausible</t>
        </is>
      </c>
      <c r="M104" s="110" t="inlineStr">
        <is>
          <t>NO</t>
        </is>
      </c>
      <c r="N104" s="68" t="inlineStr">
        <is>
          <t>Plausible</t>
        </is>
      </c>
      <c r="O104" s="68" t="inlineStr">
        <is>
          <t>(712) 252-1847</t>
        </is>
      </c>
      <c r="P104" s="23" t="inlineStr">
        <is>
          <t>POSSIBLE</t>
        </is>
      </c>
      <c r="Q104" s="68" t="inlineStr">
        <is>
          <t>Med</t>
        </is>
      </c>
      <c r="R104" s="68" t="inlineStr">
        <is>
          <t>Iowa option just above band.</t>
        </is>
      </c>
    </row>
    <row r="105" ht="45.2" customHeight="1" s="59">
      <c r="A105" s="4" t="inlineStr">
        <is>
          <t>Premium Minnesota Pork</t>
        </is>
      </c>
      <c r="B105" s="68" t="inlineStr">
        <is>
          <t>Luverne, MN</t>
        </is>
      </c>
      <c r="C105" s="68" t="inlineStr">
        <is>
          <t>USDA federal — market</t>
        </is>
      </c>
      <c r="D105" s="68" t="inlineStr">
        <is>
          <t>unknown — FSIS category 4 (≥2,000/wk)</t>
        </is>
      </c>
      <c r="E105" s="24" t="inlineStr">
        <is>
          <t>unknown
(confirm)</t>
        </is>
      </c>
      <c r="F105" s="68" t="inlineStr">
        <is>
          <t>Yes — MARKET</t>
        </is>
      </c>
      <c r="G105" s="68" t="inlineStr">
        <is>
          <t>USDA ✓ M21069L (newer grant, 2022)</t>
        </is>
      </c>
      <c r="H105" s="68" t="inlineStr">
        <is>
          <t>See the Welfare &amp; culture column — enforcement detail is carried there for these rows</t>
        </is>
      </c>
      <c r="I105" s="68" t="inlineStr">
        <is>
          <t>Not verified — APHIS publishes no searchable list; confirm with APHIS VS</t>
        </is>
      </c>
      <c r="J105" s="68" t="inlineStr">
        <is>
          <t>No QER suspension FY2024-FY2026</t>
        </is>
      </c>
      <c r="K105" s="68" t="inlineStr">
        <is>
          <t>unknown</t>
        </is>
      </c>
      <c r="L105" s="68" t="inlineStr">
        <is>
          <t>Plausible</t>
        </is>
      </c>
      <c r="M105" s="110" t="inlineStr">
        <is>
          <t>NO</t>
        </is>
      </c>
      <c r="N105" s="68" t="inlineStr">
        <is>
          <t>Plausible</t>
        </is>
      </c>
      <c r="O105" s="68" t="inlineStr">
        <is>
          <t>(712) 752-8666</t>
        </is>
      </c>
      <c r="P105" s="23" t="inlineStr">
        <is>
          <t>POSSIBLE</t>
        </is>
      </c>
      <c r="Q105" s="68" t="inlineStr">
        <is>
          <t>Low-Med</t>
        </is>
      </c>
      <c r="R105" s="68" t="inlineStr">
        <is>
          <t>Newer establishment; volume unpublished.</t>
        </is>
      </c>
    </row>
    <row r="106" ht="19.7" customHeight="1" s="59">
      <c r="A106" s="118" t="inlineStr">
        <is>
          <t>SOW &amp; DUAL-CLASS PLANTS — verified against USDA's own species flags</t>
        </is>
      </c>
    </row>
    <row r="107" ht="165.8" customHeight="1" s="59">
      <c r="A107" s="4" t="inlineStr">
        <is>
          <t>Pioneer Packing Company, Inc.</t>
        </is>
      </c>
      <c r="B107" s="68" t="inlineStr">
        <is>
          <t>Bowling Green, OH</t>
        </is>
      </c>
      <c r="C107" s="68" t="inlineStr">
        <is>
          <t>PURE SOW/BOAR abattoir (FSIS 'Small')</t>
        </is>
      </c>
      <c r="D107" s="68" t="inlineStr">
        <is>
          <t>~2,250-2,430/wk (450 hd/day EMI 2017, flat)</t>
        </is>
      </c>
      <c r="E107" s="20" t="inlineStr">
        <is>
          <t>MEDIUM
(350-2,500/wk)</t>
        </is>
      </c>
      <c r="F107" s="68" t="inlineStr">
        <is>
          <t>Yes — SOW + BOAR ONLY (market_swine flag BLANK)</t>
        </is>
      </c>
      <c r="G107" s="68" t="inlineStr">
        <is>
          <t>USDA ✓ M372 (grant 2021)</t>
        </is>
      </c>
      <c r="H107" s="68" t="inlineStr">
        <is>
          <t>See the Welfare &amp; culture column — enforcement detail is carried there for these rows</t>
        </is>
      </c>
      <c r="I107" s="68" t="inlineStr">
        <is>
          <t>Not verified — APHIS publishes no searchable list; confirm with APHIS VS</t>
        </is>
      </c>
      <c r="J107" s="68" t="inlineStr">
        <is>
          <t>Not on the current FSIS enforcement page (that page covers only ~Aug 2025-Jul 2026 — NOT a clean record)</t>
        </is>
      </c>
      <c r="K107" s="68" t="inlineStr">
        <is>
          <t>⭐⭐ DECISIVE: their own site says they specialise in 'the production of PRE-RIGOR pork, including whole hog pre-rigor pork'. Pre-rigor / hot-boning means product moving off the floor within ~1-1¾ HOURS post-mortem. A plant already engineered around sub-2-hour warm-carcass throughput is structurally the closest thing to a tissue-harvest operation in the entire cohort — the cold-chain and speed discipline our programme needs already exists commercially</t>
        </is>
      </c>
      <c r="L107" s="68" t="inlineStr">
        <is>
          <t>STRONG — sow+boar only, single small site, pre-rigor culture</t>
        </is>
      </c>
      <c r="M107" s="110" t="inlineStr">
        <is>
          <t>NO</t>
        </is>
      </c>
      <c r="N107" s="68" t="inlineStr">
        <is>
          <t>STRONG — 'harvest to our spec' extends an existing SKU concept rather than creating a new discipline</t>
        </is>
      </c>
      <c r="O107" s="68" t="inlineStr">
        <is>
          <t>(419) 352-5283
510 Napoleon Rd, Bowling Green OH 43402
Mon-Fri 7am-2pm</t>
        </is>
      </c>
      <c r="P107" s="20" t="inlineStr">
        <is>
          <t>STRONG FIT</t>
        </is>
      </c>
      <c r="Q107" s="68" t="inlineStr">
        <is>
          <t>Med-High</t>
        </is>
      </c>
      <c r="R107" s="68" t="inlineStr">
        <is>
          <t>★ THE STANDOUT OF THE WHOLE RE-INVESTIGATION. Cleanest sow-only signature in USDA's data, and uniquely it ALREADY runs a sub-2-hour warm-carcass business. Location correction: Bowling Green, not the 'Pioneer Packing, Ohio' in earlier notes. Volume figure is 2017-vintage — confirm by phone.</t>
        </is>
      </c>
    </row>
    <row r="108" ht="72" customHeight="1" s="59">
      <c r="A108" s="4" t="inlineStr">
        <is>
          <t>F.B. Purnell Sausage Co.</t>
        </is>
      </c>
      <c r="B108" s="68" t="inlineStr">
        <is>
          <t>Simpsonville, KY</t>
        </is>
      </c>
      <c r="C108" s="68" t="inlineStr">
        <is>
          <t>Sow + market slaughter + sausage mfr</t>
        </is>
      </c>
      <c r="D108" s="68" t="inlineStr">
        <is>
          <t>~2,500-2,700/wk (600/day 2016 → 500/day 2017 — DECLINING)</t>
        </is>
      </c>
      <c r="E108" s="27" t="inlineStr">
        <is>
          <t>MEDIUM-HIGH
(2,500-5,000/wk)</t>
        </is>
      </c>
      <c r="F108" s="68" t="inlineStr">
        <is>
          <t>Yes — BOTH sow AND market (USDA flags both = Yes)</t>
        </is>
      </c>
      <c r="G108" s="68" t="inlineStr">
        <is>
          <t>USDA ✓ M7464 + P7464 (grant 2021; category refreshed 2025-06)</t>
        </is>
      </c>
      <c r="H108" s="68" t="inlineStr">
        <is>
          <t>See the Welfare &amp; culture column — enforcement detail is carried there for these rows</t>
        </is>
      </c>
      <c r="I108" s="68" t="inlineStr">
        <is>
          <t>Not verified — APHIS publishes no searchable list; confirm with APHIS VS</t>
        </is>
      </c>
      <c r="J108" s="68" t="inlineStr">
        <is>
          <t>Not on the current FSIS enforcement page (1-yr window only — not a clean record)</t>
        </is>
      </c>
      <c r="K108" s="68" t="inlineStr">
        <is>
          <t>None found</t>
        </is>
      </c>
      <c r="L108" s="68" t="inlineStr">
        <is>
          <t>Plausible — small, family-run, single site, already runs a poultry grant so used to multi-programme oversight</t>
        </is>
      </c>
      <c r="M108" s="110" t="inlineStr">
        <is>
          <t>NO</t>
        </is>
      </c>
      <c r="N108" s="68" t="inlineStr">
        <is>
          <t>Plausible, but sausage-focused workflow means viscera likely already committed to rendering</t>
        </is>
      </c>
      <c r="O108" s="68" t="inlineStr">
        <is>
          <t>(502) 722-5626
6931 Shelbyville Rd · itsgooo-od.com</t>
        </is>
      </c>
      <c r="P108" s="23" t="inlineStr">
        <is>
          <t>POSSIBLE</t>
        </is>
      </c>
      <c r="Q108" s="68" t="inlineStr">
        <is>
          <t>Med</t>
        </is>
      </c>
      <c r="R108" s="68" t="inlineStr">
        <is>
          <t>BEST DUAL-CLASS SUPPLY: the only plant flagged for BOTH sow and market-hog slaughter, so animal class can be specced PER TISSUE BLOCK. Volume trend was downward 2016→2017.</t>
        </is>
      </c>
    </row>
    <row r="109" ht="165.8" customHeight="1" s="59">
      <c r="A109" s="4" t="inlineStr">
        <is>
          <t>BEF Foods (Bob Evans) — Xenia</t>
        </is>
      </c>
      <c r="B109" s="68" t="inlineStr">
        <is>
          <t>Xenia, OH</t>
        </is>
      </c>
      <c r="C109" s="68" t="inlineStr">
        <is>
          <t>SOW-ONLY abattoir; Post Holdings subsidiary</t>
        </is>
      </c>
      <c r="D109" s="133" t="inlineStr">
        <is>
          <t>192–1,923/wk (FSIS cat 3)</t>
        </is>
      </c>
      <c r="E109" s="133" t="inlineStr">
        <is>
          <t>MEDIUM
(350-2,500/wk)</t>
        </is>
      </c>
      <c r="F109" s="68" t="inlineStr">
        <is>
          <t>Yes — SOW ONLY</t>
        </is>
      </c>
      <c r="G109" s="68" t="inlineStr">
        <is>
          <t>USDA ✓ M6785 (grant 2020)</t>
        </is>
      </c>
      <c r="H109" s="68" t="inlineStr">
        <is>
          <t>See the Welfare &amp; culture column — enforcement detail is carried there for these rows</t>
        </is>
      </c>
      <c r="I109" s="68" t="inlineStr">
        <is>
          <t>Not verified — APHIS publishes no searchable list; confirm with APHIS VS</t>
        </is>
      </c>
      <c r="J109" s="68" t="inlineStr">
        <is>
          <t>🚨 FSIS NOTICE OF INTENDED ENFORCEMENT 22 Mar 2018 — EGREGIOUS humane violation: a non-ambulatory, moribund-condemned SOW stunned while sitting upright, remained CONSCIOUS and vocalised 2-3 times after the first captive-bolt discharge; THREE attempts required. Second incident 3 Jul 2018; PETA sought a criminal probe. Also an EPA CERCLA docket (CERCLA-05-2024-0006) naming Bob Evans Farms Inc., Xenia — not opened, flagged for diligence</t>
        </is>
      </c>
      <c r="K109" s="68" t="inlineStr">
        <is>
          <t>None found</t>
        </is>
      </c>
      <c r="L109" s="68" t="inlineStr">
        <is>
          <t>WEAK-MEDIUM — big-corporate parent means legal/insurance friction for third-party staff on the kill floor</t>
        </is>
      </c>
      <c r="M109" s="110" t="inlineStr">
        <is>
          <t>NO</t>
        </is>
      </c>
      <c r="N109" s="68" t="inlineStr">
        <is>
          <t>MEDIUM</t>
        </is>
      </c>
      <c r="O109" s="68" t="inlineStr">
        <is>
          <t>(937) 372-4494
640 Birch Rd, Xenia OH 45385</t>
        </is>
      </c>
      <c r="P109" s="23" t="inlineStr">
        <is>
          <t>CAUTION</t>
        </is>
      </c>
      <c r="Q109" s="68" t="inlineStr">
        <is>
          <t>Med-High</t>
        </is>
      </c>
      <c r="R109" s="68" t="inlineStr">
        <is>
          <t>⚠ VOLUME CORRECTED: FSIS slaughter_volume_category=3 for M6785 = 10,000–99,999 head/360 days = ~192–1,923/wk, which is INCOMPATIBLE with the ~2,500–2,700/wk previously carried (that would require category 4). Tier corrected to MEDIUM. || OPERATING STATUS RESOLVED: a Yelp 'CLOSED' listing is retail-only; Post Holdings' FY2025 Form 10-K confirms owned sausage plants at Xenia AND Hillsdale and live-sow procurement at parent level. The 2018 record makes reputational diligence mandatory for a welfare-led buyer.</t>
        </is>
      </c>
    </row>
    <row r="110" ht="139" customHeight="1" s="59">
      <c r="A110" s="4" t="inlineStr">
        <is>
          <t>BEF Foods (Bob Evans) — Hillsdale</t>
        </is>
      </c>
      <c r="B110" s="68" t="inlineStr">
        <is>
          <t>Hillsdale, MI</t>
        </is>
      </c>
      <c r="C110" s="68" t="inlineStr">
        <is>
          <t>SOW-ONLY abattoir (open since 1964)</t>
        </is>
      </c>
      <c r="D110" s="133" t="inlineStr">
        <is>
          <t>192–1,923/wk (FSIS cat 3)</t>
        </is>
      </c>
      <c r="E110" s="133" t="inlineStr">
        <is>
          <t>MEDIUM
(350-2,500/wk)</t>
        </is>
      </c>
      <c r="F110" s="68" t="inlineStr">
        <is>
          <t>Yes — SOW ONLY</t>
        </is>
      </c>
      <c r="G110" s="68" t="inlineStr">
        <is>
          <t>USDA ✓ M952 (grant 2021)</t>
        </is>
      </c>
      <c r="H110" s="68" t="inlineStr">
        <is>
          <t>⚠ CORRECTED: Hillsdale is NOT merely 'clean by inheritance' from Xenia — it has its OWN documented 2018 humane-handling incidents, on 10 Jul 2018 and 28 Sep 2018, both involving sows that remained conscious after the initial captive-bolt attempt, vocalised, and required three stun attempts. || See the Welfare &amp; culture column — enforcement detail is carried there for these rows</t>
        </is>
      </c>
      <c r="I110" s="68" t="inlineStr">
        <is>
          <t>Not verified — APHIS publishes no searchable list; confirm with APHIS VS</t>
        </is>
      </c>
      <c r="J110" s="68" t="inlineStr">
        <is>
          <t>Not on the current enforcement page — BUT corporate humane-handling systems are shared with Xenia, so treat the 2018 Xenia action as a COMPANY-LEVEL signal</t>
        </is>
      </c>
      <c r="K110" s="68" t="inlineStr">
        <is>
          <t>None found</t>
        </is>
      </c>
      <c r="L110" s="68" t="inlineStr">
        <is>
          <t>WEAK-MEDIUM (corporate)</t>
        </is>
      </c>
      <c r="M110" s="110" t="inlineStr">
        <is>
          <t>NO</t>
        </is>
      </c>
      <c r="N110" s="68" t="inlineStr">
        <is>
          <t>MEDIUM</t>
        </is>
      </c>
      <c r="O110" s="68" t="inlineStr">
        <is>
          <t>No phone in the USDA file — route via Post / Bob Evans corporate</t>
        </is>
      </c>
      <c r="P110" s="23" t="inlineStr">
        <is>
          <t>CAUTION</t>
        </is>
      </c>
      <c r="Q110" s="68" t="inlineStr">
        <is>
          <t>Med</t>
        </is>
      </c>
      <c r="R110" s="68" t="inlineStr">
        <is>
          <t>⚠ VOLUME CORRECTED to FSIS cat 3 (~192–1,923/wk); tier corrected to MEDIUM. || Confirmed operating by the same Post FY2025 10-K sentence.</t>
        </is>
      </c>
    </row>
    <row r="111" ht="165.8" customHeight="1" s="59">
      <c r="A111" s="4" t="inlineStr">
        <is>
          <t>Dean Sausage Co. (Attalla)</t>
        </is>
      </c>
      <c r="B111" s="68" t="inlineStr">
        <is>
          <t>Attalla, AL</t>
        </is>
      </c>
      <c r="C111" s="68" t="inlineStr">
        <is>
          <t>SOW slaughter plant marketed purely as a sausage brand</t>
        </is>
      </c>
      <c r="D111" s="133" t="inlineStr">
        <is>
          <t>19–192/wk (FSIS cat 2)</t>
        </is>
      </c>
      <c r="E111" s="133" t="inlineStr">
        <is>
          <t>SMALL
(0-300/wk)</t>
        </is>
      </c>
      <c r="F111" s="135" t="inlineStr">
        <is>
          <t>SOW</t>
        </is>
      </c>
      <c r="G111" s="68" t="inlineStr">
        <is>
          <t>USDA ✓ M6621 + P6621</t>
        </is>
      </c>
      <c r="H111" s="68" t="inlineStr">
        <is>
          <t>⚠ CORRECTED OSHA DETAIL: citations ISSUED 4 Mar 2024 (inspection opened 6 Sep 2023), not 20 Mar 2024. Initial proposed penalty $117,059, REDUCED to $70,598 by informal settlement — the $116k figure is not live. 'Blocked exits' is NOT supported by the citation text; the exit-route citations are of a different character. Repeat-violation pattern stands. || See the Welfare &amp; culture column — enforcement detail is carried there for these rows</t>
        </is>
      </c>
      <c r="I111" s="68" t="inlineStr">
        <is>
          <t>Not verified — APHIS publishes no searchable list; confirm with APHIS VS</t>
        </is>
      </c>
      <c r="J111" s="68" t="inlineStr">
        <is>
          <t>🚨 OSHA 20 Mar 2024 — $116,153 proposed, 7 REPEAT + 2 serious violations: lockout/tagout failures, inadequate machine guarding, BLOCKED EXITS, hazard-communication gaps, missing SDSs. This was a FOLLOW-UP to a Dec 2022 inspection (14 violations, $37,000+) — i.e. THEY FAILED TO CORRECT</t>
        </is>
      </c>
      <c r="K111" s="68" t="inlineStr">
        <is>
          <t>None found</t>
        </is>
      </c>
      <c r="L111" s="68" t="inlineStr">
        <is>
          <t>WEAK — placing our own harvesters inside a plant with an active repeat record for machine guarding and blocked egress is a direct worker-safety and insurance exposure</t>
        </is>
      </c>
      <c r="M111" s="110" t="inlineStr">
        <is>
          <t>NO</t>
        </is>
      </c>
      <c r="N111" s="68" t="inlineStr">
        <is>
          <t>MEDIUM — arm's-length purchase avoids the exposure</t>
        </is>
      </c>
      <c r="O111" s="68" t="inlineStr">
        <is>
          <t>(256) 538-6082
3750 Pleasant Valley Rd · ~85 staff, founded 1955</t>
        </is>
      </c>
      <c r="P111" s="23" t="inlineStr">
        <is>
          <t>CAUTION</t>
        </is>
      </c>
      <c r="Q111" s="68" t="inlineStr">
        <is>
          <t>High</t>
        </is>
      </c>
      <c r="R111" s="68" t="inlineStr">
        <is>
          <t>⚠ VOLUME CONTRADICTION RESOLVED: FSIS slaughter_volume_category=2 = 1,000–9,999 head/360 days = ~19–192/wk. The previously carried ~1,500–1,620/wk and MEDIUM tier were off by about an order of magnitude, and contradicted this workbook's own Overview note. Tier corrected to SMALL. || TENSION RESOLVED: it IS genuinely a sow-harvest plant — USDA primary data is unambiguous — that markets itself purely as a sausage brand, which is why secondary sources called it a processor. Note its own site claims 'FDA-inspected', which is wrong for a meat slaughter plant (it's USDA/FSIS) — a minor QA-maturity signal. DBAs: Country Best Foods, Kentucky Farm Kitchens.</t>
        </is>
      </c>
    </row>
    <row r="112" ht="85.40000000000001" customHeight="1" s="59">
      <c r="A112" s="4" t="inlineStr">
        <is>
          <t>Carlton Packing Co. (dba Carlton Farms)</t>
        </is>
      </c>
      <c r="B112" s="68" t="inlineStr">
        <is>
          <t>Carlton, OR</t>
        </is>
      </c>
      <c r="C112" s="68" t="inlineStr">
        <is>
          <t>Market-hog + roaster slaughter, also beef; custom-exempt too</t>
        </is>
      </c>
      <c r="D112" s="68" t="inlineStr">
        <is>
          <t>~1,875-2,025/wk (375 hd/day, flat) — mixed-species floor means hog share is lower</t>
        </is>
      </c>
      <c r="E112" s="20" t="inlineStr">
        <is>
          <t>MEDIUM
(350-2,500/wk)</t>
        </is>
      </c>
      <c r="F112" s="68" t="inlineStr">
        <is>
          <t>Yes — MARKET + ROASTER, NO SOW</t>
        </is>
      </c>
      <c r="G112" s="68" t="inlineStr">
        <is>
          <t>USDA ✓ M9228 + P9228 + V9228
(V = VOLUNTARY grant)</t>
        </is>
      </c>
      <c r="H112" s="68" t="inlineStr">
        <is>
          <t>See the Welfare &amp; culture column — enforcement detail is carried there for these rows</t>
        </is>
      </c>
      <c r="I112" s="68" t="inlineStr">
        <is>
          <t>Not verified — APHIS publishes no searchable list; confirm with APHIS VS</t>
        </is>
      </c>
      <c r="J112" s="68" t="inlineStr">
        <is>
          <t>None found (limited-window caveat)</t>
        </is>
      </c>
      <c r="K112" s="68" t="inlineStr">
        <is>
          <t>⭐ The V GRANT IS THE KEY DETAIL: voluntary inspection is the mechanism USDA uses for NON-AMENABLE / NON-FOOD-USE product — so this plant already has the regulatory scaffolding for non-food biomedical harvest</t>
        </is>
      </c>
      <c r="L112" s="68" t="inlineStr">
        <is>
          <t>MEDIUM-STRONG — small, clean, traceable</t>
        </is>
      </c>
      <c r="M112" s="110" t="inlineStr">
        <is>
          <t>NO</t>
        </is>
      </c>
      <c r="N112" s="68" t="inlineStr">
        <is>
          <t>STRONG</t>
        </is>
      </c>
      <c r="O112" s="68" t="inlineStr">
        <is>
          <t>(503) 852-7166
10600 NW Westside Rd · carltonfarms.com</t>
        </is>
      </c>
      <c r="P112" s="23" t="inlineStr">
        <is>
          <t>POSSIBLE</t>
        </is>
      </c>
      <c r="Q112" s="68" t="inlineStr">
        <is>
          <t>Med-High</t>
        </is>
      </c>
      <c r="R112" s="68" t="inlineStr">
        <is>
          <t>NAME CORRECTION: 'Carlton Packing / Carlton Farms', not 'Carleton Farms'. Acquired by Beef Northwest Feeders Aug 2022 (their first move into pork); founded 1956. Sources ~5 NW farms, pigs raised WITHOUT hormones or antibiotics, some from Hutterite colonies — genuinely valuable for tissue chain-of-custody. CAVEAT: market hogs, NOT sows.</t>
        </is>
      </c>
    </row>
    <row r="113" ht="72" customHeight="1" s="59">
      <c r="A113" s="4" t="inlineStr">
        <is>
          <t>Dealaman Enterprises, Inc.</t>
        </is>
      </c>
      <c r="B113" s="68" t="inlineStr">
        <is>
          <t>Warren, NJ</t>
        </is>
      </c>
      <c r="C113" s="68" t="inlineStr">
        <is>
          <t>Market + roaster + sheep slaughter since 1905</t>
        </is>
      </c>
      <c r="D113" s="68" t="inlineStr">
        <is>
          <t>~1,000-1,200/wk — BEST-CORROBORATED FIGURE IN THE STUDY (EMI 200/day AND a Bloomberg-sourced '1,200 pigs a week' agree)</t>
        </is>
      </c>
      <c r="E113" s="20" t="inlineStr">
        <is>
          <t>MEDIUM
(350-2,500/wk)</t>
        </is>
      </c>
      <c r="F113" s="68" t="inlineStr">
        <is>
          <t>Yes — MARKET + ROASTER + sheep. NO SOW</t>
        </is>
      </c>
      <c r="G113" s="68" t="inlineStr">
        <is>
          <t>USDA ✓ M7562 (grant 2021)</t>
        </is>
      </c>
      <c r="H113" s="68" t="inlineStr">
        <is>
          <t>See the Welfare &amp; culture column — enforcement detail is carried there for these rows</t>
        </is>
      </c>
      <c r="I113" s="68" t="inlineStr">
        <is>
          <t>Not verified — APHIS publishes no searchable list; confirm with APHIS VS</t>
        </is>
      </c>
      <c r="J113" s="68" t="inlineStr">
        <is>
          <t>None found (limited-window caveat). Positively framed in trade press — used by small farms 'who value personalized service and humane treatment'</t>
        </is>
      </c>
      <c r="K113" s="68" t="inlineStr">
        <is>
          <t>None found</t>
        </is>
      </c>
      <c r="L113" s="68" t="inlineStr">
        <is>
          <t>MEDIUM — small, relationship-driven, likely receptive</t>
        </is>
      </c>
      <c r="M113" s="110" t="inlineStr">
        <is>
          <t>NO</t>
        </is>
      </c>
      <c r="N113" s="68" t="inlineStr">
        <is>
          <t>MEDIUM</t>
        </is>
      </c>
      <c r="O113" s="68" t="inlineStr">
        <is>
          <t>(908) 755-1780 / (908) 647-5533
214 Mountainview Rd · ~30 staff</t>
        </is>
      </c>
      <c r="P113" s="23" t="inlineStr">
        <is>
          <t>CAUTION</t>
        </is>
      </c>
      <c r="Q113" s="68" t="inlineStr">
        <is>
          <t>Med-High</t>
        </is>
      </c>
      <c r="R113" s="68" t="inlineStr">
        <is>
          <t>BLOCKER: known for SUCKLING &amp; ROASTING pigs — small, young carcasses, the opposite end of the size range from sows. Poor fit for adult pelvic/bariatric blocks. ALSO CORRECTS a widely-repeated claim: it is NOT 'the only federally inspected hog slaughterhouse in NJ' — USDA lists SIX, incl. Puro Alentejano (M47945, Salem — does sow+boar) and Henry Kohn/Burlington Beef (M8850, Monroeville — sow).</t>
        </is>
      </c>
    </row>
    <row r="114" ht="19.7" customHeight="1" s="59">
      <c r="A114" s="118" t="inlineStr">
        <is>
          <t>PENNSYLVANIA CLUSTER — the Animal Biotech lead, now closed out (73 PA swine plants enumerated)</t>
        </is>
      </c>
    </row>
    <row r="115" ht="72" customHeight="1" s="59">
      <c r="A115" s="4" t="inlineStr">
        <is>
          <t>Leidy's, LLC</t>
        </is>
      </c>
      <c r="B115" s="68" t="inlineStr">
        <is>
          <t>Souderton, PA</t>
        </is>
      </c>
      <c r="C115" s="68" t="inlineStr">
        <is>
          <t>USDA federal market-hog slaughter, operating since 1893</t>
        </is>
      </c>
      <c r="D115" s="68" t="inlineStr">
        <is>
          <t>~5,000-7,000/wk (EMI 1,350/day; company/trade say 1,000-1,200/day; 220+ staff)</t>
        </is>
      </c>
      <c r="E115" s="26" t="inlineStr">
        <is>
          <t>HIGH
(&gt;5,000/wk)</t>
        </is>
      </c>
      <c r="F115" s="68" t="inlineStr">
        <is>
          <t>Yes — MARKET</t>
        </is>
      </c>
      <c r="G115" s="68" t="inlineStr">
        <is>
          <t>USDA ✓ M9520+P9520+V9520
✅ EXPORT-CERTIFIED</t>
        </is>
      </c>
      <c r="H115" s="68" t="inlineStr">
        <is>
          <t>See the Welfare &amp; culture column — enforcement detail is carried there for these rows</t>
        </is>
      </c>
      <c r="I115" s="68" t="inlineStr">
        <is>
          <t>Not verified — APHIS publishes no searchable list; confirm with APHIS VS</t>
        </is>
      </c>
      <c r="J115" s="68" t="inlineStr">
        <is>
          <t>Not on the current FSIS enforcement page (1-yr window)</t>
        </is>
      </c>
      <c r="K115" s="68" t="inlineStr">
        <is>
          <t>None published</t>
        </is>
      </c>
      <c r="L115" s="68" t="inlineStr">
        <is>
          <t>Plausible — ASK WHETHER ABI OR LAMPIRE TECHNICIANS ALREADY HARVEST HERE; if so, a Model A precedent already exists</t>
        </is>
      </c>
      <c r="M115" s="110" t="inlineStr">
        <is>
          <t>NO</t>
        </is>
      </c>
      <c r="N115" s="68" t="inlineStr">
        <is>
          <t>Plausible</t>
        </is>
      </c>
      <c r="O115" s="68" t="inlineStr">
        <is>
          <t>(215) 723-4606
266 W Cherry Ln, Souderton PA</t>
        </is>
      </c>
      <c r="P115" s="20" t="inlineStr">
        <is>
          <t>STRONG FIT</t>
        </is>
      </c>
      <c r="Q115" s="68" t="inlineStr">
        <is>
          <t>Med</t>
        </is>
      </c>
      <c r="R115" s="68" t="inlineStr">
        <is>
          <t>★ BEST PA ENTRY POINT. ~5 MILES from Animal Biotech Industries' lab at Harleysville, and one of only TWO PA swine plants holding export certification. Also appears in the 'just above band' group — Medium-High/High boundary.</t>
        </is>
      </c>
    </row>
    <row r="116" ht="45.2" customHeight="1" s="59">
      <c r="A116" s="4" t="inlineStr">
        <is>
          <t>Clemens Food Group</t>
        </is>
      </c>
      <c r="B116" s="68" t="inlineStr">
        <is>
          <t>Hatfield, PA</t>
        </is>
      </c>
      <c r="C116" s="68" t="inlineStr">
        <is>
          <t>Large industrial market-hog packer</t>
        </is>
      </c>
      <c r="D116" s="68" t="inlineStr">
        <is>
          <t>~58,000-63,000/wk (11,700 hd/day)</t>
        </is>
      </c>
      <c r="E116" s="26" t="inlineStr">
        <is>
          <t>HIGH
(&gt;5,000/wk)</t>
        </is>
      </c>
      <c r="F116" s="68" t="inlineStr">
        <is>
          <t>Yes — MARKET</t>
        </is>
      </c>
      <c r="G116" s="68" t="inlineStr">
        <is>
          <t>USDA ✓ M791+P791+V791
✅ EXPORT-CERTIFIED</t>
        </is>
      </c>
      <c r="H116" s="68" t="inlineStr">
        <is>
          <t>See the Welfare &amp; culture column — enforcement detail is carried there for these rows</t>
        </is>
      </c>
      <c r="I116" s="68" t="inlineStr">
        <is>
          <t>Not verified — APHIS publishes no searchable list; confirm with APHIS VS</t>
        </is>
      </c>
      <c r="J116" s="68" t="inlineStr">
        <is>
          <t>Not on the current enforcement page (1-yr window)</t>
        </is>
      </c>
      <c r="K116" s="68" t="inlineStr">
        <is>
          <t>None published</t>
        </is>
      </c>
      <c r="L116" s="68" t="inlineStr">
        <is>
          <t>Unlikely at this scale — corporate-level agreement required</t>
        </is>
      </c>
      <c r="M116" s="110" t="inlineStr">
        <is>
          <t>NO</t>
        </is>
      </c>
      <c r="N116" s="68" t="inlineStr">
        <is>
          <t>Model B far more realistic</t>
        </is>
      </c>
      <c r="O116" s="68" t="inlineStr">
        <is>
          <t>2700 Clemens Rd, Hatfield PA</t>
        </is>
      </c>
      <c r="P116" s="23" t="inlineStr">
        <is>
          <t>POSSIBLE</t>
        </is>
      </c>
      <c r="Q116" s="68" t="inlineStr">
        <is>
          <t>Med</t>
        </is>
      </c>
      <c r="R116" s="68" t="inlineStr">
        <is>
          <t>The only HIGH-tier PA option and ~5 miles from Animal Biotech's Harleysville lab. Volume solves everything except access.</t>
        </is>
      </c>
    </row>
    <row r="117" ht="58.6" customHeight="1" s="59">
      <c r="A117" s="4" t="inlineStr">
        <is>
          <t>PA SOW plants (roll-up)</t>
        </is>
      </c>
      <c r="B117" s="68" t="inlineStr">
        <is>
          <t>eastern PA</t>
        </is>
      </c>
      <c r="C117" s="68" t="inlineStr">
        <is>
          <t>USDA federal, sow-capable</t>
        </is>
      </c>
      <c r="D117" s="68" t="inlineStr">
        <is>
          <t>unknown</t>
        </is>
      </c>
      <c r="E117" s="24" t="inlineStr">
        <is>
          <t>unknown
(confirm)</t>
        </is>
      </c>
      <c r="F117" s="68" t="inlineStr">
        <is>
          <t>Yes — market + SOW + roaster (+boar at two)</t>
        </is>
      </c>
      <c r="G117" s="68" t="inlineStr">
        <is>
          <t>USDA ✓ — see notes</t>
        </is>
      </c>
      <c r="H117" s="68" t="inlineStr">
        <is>
          <t>See the Welfare &amp; culture column — enforcement detail is carried there for these rows</t>
        </is>
      </c>
      <c r="I117" s="68" t="inlineStr">
        <is>
          <t>Not verified — APHIS publishes no searchable list; confirm with APHIS VS</t>
        </is>
      </c>
      <c r="J117" s="68" t="inlineStr">
        <is>
          <t>Not on the current enforcement page (1-yr window)</t>
        </is>
      </c>
      <c r="K117" s="68" t="inlineStr">
        <is>
          <t>None published</t>
        </is>
      </c>
      <c r="L117" s="68" t="inlineStr">
        <is>
          <t>Plausible (small plants)</t>
        </is>
      </c>
      <c r="M117" s="111" t="inlineStr">
        <is>
          <t>mixed — confirm</t>
        </is>
      </c>
      <c r="N117" s="68" t="inlineStr">
        <is>
          <t>Plausible</t>
        </is>
      </c>
      <c r="O117" s="68" t="inlineStr">
        <is>
          <t>see notes →</t>
        </is>
      </c>
      <c r="P117" s="23" t="inlineStr">
        <is>
          <t>POSSIBLE</t>
        </is>
      </c>
      <c r="Q117" s="68" t="inlineStr">
        <is>
          <t>Med</t>
        </is>
      </c>
      <c r="R117" s="68" t="inlineStr">
        <is>
          <t>PA plants whose USDA flags include SOW: Smucker's Meats (M21265+P21265+V21265, Mt. Joy); Wayne Nell &amp; Sons (M9548+P9548, East Berlin); Lehigh Valley Meats (M45160+V45160, Nazareth — +boar); Springfield Meat Co. (M9704+V9704, Richlandtown — +boar). Note THREE of the four hold VOLUNTARY (V) grants = the non-amenable/non-food-use scaffolding. Springfield (Richlandtown) is ~10 mi from LAMPIRE at Pipersville.</t>
        </is>
      </c>
    </row>
    <row r="118" ht="192.6" customHeight="1" s="59">
      <c r="A118" s="4" t="inlineStr">
        <is>
          <t>⚑ The ABI / LAMPIRE abattoir inference</t>
        </is>
      </c>
      <c r="B118" s="68" t="inlineStr">
        <is>
          <t>Harleysville &amp; Pipersville, PA</t>
        </is>
      </c>
      <c r="C118" s="68" t="inlineStr">
        <is>
          <t>tissue suppliers, not slaughterers</t>
        </is>
      </c>
      <c r="D118" s="68" t="inlineStr">
        <is>
          <t>n/a</t>
        </is>
      </c>
      <c r="E118" s="24" t="inlineStr">
        <is>
          <t>n/a</t>
        </is>
      </c>
      <c r="F118" s="68" t="inlineStr">
        <is>
          <t>n/a</t>
        </is>
      </c>
      <c r="G118" s="68" t="inlineStr">
        <is>
          <t>n/a — they BUY from PA abattoirs</t>
        </is>
      </c>
      <c r="H118" s="68" t="inlineStr">
        <is>
          <t>See the Welfare &amp; culture column — enforcement detail is carried there for these rows</t>
        </is>
      </c>
      <c r="I118" s="68" t="inlineStr">
        <is>
          <t>Not verified — APHIS publishes no searchable list; confirm with APHIS VS</t>
        </is>
      </c>
      <c r="J118" s="68" t="inlineStr">
        <is>
          <t>n/a</t>
        </is>
      </c>
      <c r="K118" s="68" t="inlineStr">
        <is>
          <t>Animal Biotech Industries (220 Stahl Rd, Harleysville PA, 215-766-7413) states tissues are 'harvested at USDA federally inspected abattoirs'; offers organ CANNULATION and CUSTOM HARVESTING; has EXITED live porcine models to focus on post-mortem tissue; WBENC/WOSB certified. LAMPIRE (Pipersville PA) says it is 'located in Pennsylvania, in close proximity to the top beef, veal and porcine USDA approved abattoir' facilities with 'experienced technicians' who 'procure and process products to your specifications'</t>
        </is>
      </c>
      <c r="L118" s="68" t="inlineStr">
        <is>
          <t>n/a</t>
        </is>
      </c>
      <c r="M118" s="110" t="inlineStr">
        <is>
          <t>NO</t>
        </is>
      </c>
      <c r="N118" s="68" t="inlineStr">
        <is>
          <t>n/a</t>
        </is>
      </c>
      <c r="O118" s="68" t="inlineStr">
        <is>
          <t>ABI (215) 766-7413 · LAMPIRE Pipersville</t>
        </is>
      </c>
      <c r="P118" s="23" t="inlineStr">
        <is>
          <t>POSSIBLE</t>
        </is>
      </c>
      <c r="Q118" s="68" t="inlineStr">
        <is>
          <t>Med (inference)</t>
        </is>
      </c>
      <c r="R118" s="68" t="inlineStr">
        <is>
          <t>⚠ LABELLED INFERENCE, NOT FACT: neither company names its abattoirs and NO document links either to a specific plant. The inference rests on (a) both companies' explicit 'nearby PA USDA abattoir' language and (b) geography — ABI Harleysville is ~5 mi from BOTH Clemens (Hatfield) and Leidy's (Souderton); LAMPIRE Pipersville is ~12 mi from the same cluster and ~10 mi from Springfield Meat. CONFIRM BY ASKING THE PLANTS — and note that a plant already hosting ABI or Lampire technicians is a PROVEN Model A precedent, which makes this the single most valuable question in the whole outreach list.</t>
        </is>
      </c>
    </row>
    <row r="119" ht="19.7" customHeight="1" s="59">
      <c r="A119" s="118" t="inlineStr">
        <is>
          <t>⚠ CORRECTED / REFUTED BY THE FSIS PRIMARY-DATA SWEEP</t>
        </is>
      </c>
    </row>
    <row r="120" ht="152.4" customHeight="1" s="59">
      <c r="A120" s="138" t="inlineStr">
        <is>
          <t>Kansas City Sausage / Coastal Protein — RESOLVED NEGATIVE (CLOSED)</t>
        </is>
      </c>
      <c r="B120" s="68" t="inlineStr">
        <is>
          <t>Godwin, NC</t>
        </is>
      </c>
      <c r="C120" s="68" t="inlineStr">
        <is>
          <t>NO ACTIVE OR INACTIVE FSIS ESTABLISHMENT AT THE SITE</t>
        </is>
      </c>
      <c r="D120" s="68" t="inlineStr">
        <is>
          <t>n/a — dead as an inspected source</t>
        </is>
      </c>
      <c r="E120" s="143" t="inlineStr">
        <is>
          <t>n/a</t>
        </is>
      </c>
      <c r="F120" s="68" t="inlineStr">
        <is>
          <t>n/a</t>
        </is>
      </c>
      <c r="G120" s="68" t="inlineStr">
        <is>
          <t>KCS's own establishment M760A (DBAs
'Coastal Protein; Pine Ridge Farms')
went FSIS-INACTIVE 9/3/2024</t>
        </is>
      </c>
      <c r="H120" s="68" t="inlineStr">
        <is>
          <t>See the Welfare &amp; culture column — enforcement detail is carried there for these rows</t>
        </is>
      </c>
      <c r="I120" s="68" t="inlineStr">
        <is>
          <t>Not verified — APHIS publishes no searchable list; confirm with APHIS VS</t>
        </is>
      </c>
      <c r="J120" s="68" t="inlineStr">
        <is>
          <t>n/a</t>
        </is>
      </c>
      <c r="K120" s="68" t="inlineStr">
        <is>
          <t>n/a</t>
        </is>
      </c>
      <c r="L120" s="68" t="inlineStr">
        <is>
          <t>No</t>
        </is>
      </c>
      <c r="M120" s="109" t="inlineStr">
        <is>
          <t>YES · ~45 mi</t>
        </is>
      </c>
      <c r="N120" s="68" t="inlineStr">
        <is>
          <t>No</t>
        </is>
      </c>
      <c r="O120" s="68" t="inlineStr">
        <is>
          <t>—</t>
        </is>
      </c>
      <c r="P120" s="141" t="inlineStr">
        <is>
          <t>OUT / FLAG</t>
        </is>
      </c>
      <c r="Q120" s="68" t="inlineStr">
        <is>
          <t>High</t>
        </is>
      </c>
      <c r="R120" s="68" t="inlineStr">
        <is>
          <t>★ FINAL ANSWER 2026-08-17 — THE GODWIN SOW OPTION IS DEAD as an inspected source, closing a question this file has flipped on twice. The Aug-2026 FSIS ACTIVE **and** INACTIVE directories contain ZERO establishments at Godwin NC, zip 28344, 1600 Martin Rd, or any matching Cumberland County address, and it is absent from the NCDA&amp;CS directories. Kansas City Sausage's own establishment M760A (Altoona IA; DBAs 'Coastal Protein; Pine Ridge Farms') went inactive 9/3/2024; 'Kansas City Sausage' and 'Coastal Protein' survive today only as DBAs on Smithfield establishments (Des Moines etc.). History for the record: Smithfield-KCS JV bought the old Martin's Abattoir site + Coastal Protein 12/2013, completed a $44.8M, 90,000 sq ft sow plant in 2016, Smithfield took full ownership 8/14/2017; the site appears in a Meat Institute 2024 awards list, so it operated into ~2023-24 — but it holds NO slaughter grant of its own today. REMOVE from the contact order.  [2026-08-17 focus-region pass: FSIS MPI + Demographic datasets and NCDA&amp;CS directories (dated 2026-08-10) retrieved fresh 2026-08-17; adversarially verified.]</t>
        </is>
      </c>
    </row>
    <row r="121" ht="85.40000000000001" customHeight="1" s="59">
      <c r="A121" s="4" t="inlineStr">
        <is>
          <t>Gunnoe Sausage Co. — REFUTED</t>
        </is>
      </c>
      <c r="B121" s="68" t="inlineStr">
        <is>
          <t>Goode, VA</t>
        </is>
      </c>
      <c r="C121" s="68" t="inlineStr">
        <is>
          <t>NO ACTIVE FSIS ESTABLISHMENT</t>
        </is>
      </c>
      <c r="D121" s="68" t="inlineStr">
        <is>
          <t>n/a</t>
        </is>
      </c>
      <c r="E121" s="24" t="inlineStr">
        <is>
          <t>n/a</t>
        </is>
      </c>
      <c r="F121" s="68" t="inlineStr">
        <is>
          <t>n/a</t>
        </is>
      </c>
      <c r="G121" s="68" t="inlineStr">
        <is>
          <t>No active FSIS establishment found</t>
        </is>
      </c>
      <c r="H121" s="68" t="inlineStr">
        <is>
          <t>See the Welfare &amp; culture column — enforcement detail is carried there for these rows</t>
        </is>
      </c>
      <c r="I121" s="68" t="inlineStr">
        <is>
          <t>Not verified — APHIS publishes no searchable list; confirm with APHIS VS</t>
        </is>
      </c>
      <c r="J121" s="68" t="inlineStr">
        <is>
          <t>n/a</t>
        </is>
      </c>
      <c r="K121" s="68" t="inlineStr">
        <is>
          <t>n/a</t>
        </is>
      </c>
      <c r="L121" s="68" t="inlineStr">
        <is>
          <t>No</t>
        </is>
      </c>
      <c r="M121" s="110" t="inlineStr">
        <is>
          <t>NO</t>
        </is>
      </c>
      <c r="N121" s="68" t="inlineStr">
        <is>
          <t>No</t>
        </is>
      </c>
      <c r="O121" s="68" t="inlineStr">
        <is>
          <t>—</t>
        </is>
      </c>
      <c r="P121" s="28" t="inlineStr">
        <is>
          <t>OUT / FLAG</t>
        </is>
      </c>
      <c r="Q121" s="68" t="inlineStr">
        <is>
          <t>Med-High</t>
        </is>
      </c>
      <c r="R121" s="68" t="inlineStr">
        <is>
          <t>CONFIRMED CLOSED — two independent agents agree. Gunnoe SHUT DOWN Nov 2022 after 57 years in Goode (~30 employees affected); the BRAND was sold to Logan's Sausage of Alexandria VA (whose Logan Food Company, M17307+P17307, holds NO slaughter grant); the REAL ESTATE was auctioned and marked SOLD 15 Nov 2024 (22.34 acres, 28,000 sq ft incl. 6,700 sq ft cooler/freezer and 4,700 sq ft animal pens). Absent from BOTH the active (7,225) and inactive (932) FSIS directories. The earlier deep study called it 'Virginia's only genuinely in-band plant' — that is now REFUTED. REMOVE FROM PIPELINE.</t>
        </is>
      </c>
    </row>
    <row r="122" ht="72" customHeight="1" s="59">
      <c r="A122" s="4" t="inlineStr">
        <is>
          <t>Below-band leads — all REFUTED on volume</t>
        </is>
      </c>
      <c r="B122" s="68" t="inlineStr">
        <is>
          <t>KY / OH / MI / AL / OR / NJ / TX</t>
        </is>
      </c>
      <c r="C122" s="68" t="inlineStr">
        <is>
          <t>FSIS category 2-3 = below 2,000/wk</t>
        </is>
      </c>
      <c r="D122" s="68" t="inlineStr">
        <is>
          <t>below band</t>
        </is>
      </c>
      <c r="E122" s="22" t="inlineStr">
        <is>
          <t>SMALL
(0-300/wk)</t>
        </is>
      </c>
      <c r="F122" s="68" t="inlineStr">
        <is>
          <t>mixed</t>
        </is>
      </c>
      <c r="G122" s="68" t="inlineStr">
        <is>
          <t>USDA ✓ (various)</t>
        </is>
      </c>
      <c r="H122" s="68" t="inlineStr">
        <is>
          <t>See the Welfare &amp; culture column — enforcement detail is carried there for these rows</t>
        </is>
      </c>
      <c r="I122" s="68" t="inlineStr">
        <is>
          <t>Not verified — APHIS publishes no searchable list; confirm with APHIS VS</t>
        </is>
      </c>
      <c r="J122" s="68" t="inlineStr">
        <is>
          <t>various</t>
        </is>
      </c>
      <c r="K122" s="68" t="inlineStr">
        <is>
          <t>unknown</t>
        </is>
      </c>
      <c r="L122" s="68" t="inlineStr">
        <is>
          <t>varies</t>
        </is>
      </c>
      <c r="M122" s="110" t="inlineStr">
        <is>
          <t>NO</t>
        </is>
      </c>
      <c r="N122" s="68" t="inlineStr">
        <is>
          <t>varies</t>
        </is>
      </c>
      <c r="O122" s="68" t="inlineStr">
        <is>
          <t>see notes →</t>
        </is>
      </c>
      <c r="P122" s="23" t="inlineStr">
        <is>
          <t>CAUTION</t>
        </is>
      </c>
      <c r="Q122" s="68" t="inlineStr">
        <is>
          <t>High</t>
        </is>
      </c>
      <c r="R122" s="68" t="inlineStr">
        <is>
          <t>All below the Medium-High band per FSIS category: F.B. Purnell (M7464+P7464, Simpsonville KY, MKT+SOW) cat-3; Pioneer Packing (M372, OH, SOW+boar) cat-3; BEF Foods/Bob Evans Xenia OH (M6785) and Hillsdale MI (M952), both still slaughtering SOWS, cat-3; Dean Sausage (M6621+P6621, Attalla AL, SOW) CAT-2 (~20-200/wk — two orders of magnitude below); Carlton Packing (M9228, Carlton OR — note spelling, not 'Carleton Farms') cat-3; Dealaman (M7562, NJ, MKT) cat-3.</t>
        </is>
      </c>
    </row>
    <row r="123" ht="72" customHeight="1" s="59">
      <c r="A123" s="4" t="inlineStr">
        <is>
          <t>Plants that no longer slaughter — REFUTED</t>
        </is>
      </c>
      <c r="B123" s="68" t="inlineStr">
        <is>
          <t>OR / TX / IL</t>
        </is>
      </c>
      <c r="C123" s="68" t="inlineStr">
        <is>
          <t>exited slaughter or no establishment</t>
        </is>
      </c>
      <c r="D123" s="68" t="inlineStr">
        <is>
          <t>n/a</t>
        </is>
      </c>
      <c r="E123" s="24" t="inlineStr">
        <is>
          <t>n/a</t>
        </is>
      </c>
      <c r="F123" s="68" t="inlineStr">
        <is>
          <t>n/a</t>
        </is>
      </c>
      <c r="G123" s="68" t="inlineStr">
        <is>
          <t>n/a</t>
        </is>
      </c>
      <c r="H123" s="68" t="inlineStr">
        <is>
          <t>See the Welfare &amp; culture column — enforcement detail is carried there for these rows</t>
        </is>
      </c>
      <c r="I123" s="68" t="inlineStr">
        <is>
          <t>Not verified — APHIS publishes no searchable list; confirm with APHIS VS</t>
        </is>
      </c>
      <c r="J123" s="68" t="inlineStr">
        <is>
          <t>n/a</t>
        </is>
      </c>
      <c r="K123" s="68" t="inlineStr">
        <is>
          <t>n/a</t>
        </is>
      </c>
      <c r="L123" s="68" t="inlineStr">
        <is>
          <t>No</t>
        </is>
      </c>
      <c r="M123" s="110" t="inlineStr">
        <is>
          <t>NO</t>
        </is>
      </c>
      <c r="N123" s="68" t="inlineStr">
        <is>
          <t>No</t>
        </is>
      </c>
      <c r="O123" s="68" t="inlineStr">
        <is>
          <t>—</t>
        </is>
      </c>
      <c r="P123" s="28" t="inlineStr">
        <is>
          <t>OUT / FLAG</t>
        </is>
      </c>
      <c r="Q123" s="68" t="inlineStr">
        <is>
          <t>High</t>
        </is>
      </c>
      <c r="R123" s="68" t="inlineStr">
        <is>
          <t>Masami Foods (M6173, OR) — no swine-slaughter flags and NULL volume = NO SLAUGHTER in the last 360 days; appears to have EXITED. Dayton Meat Products (OR) — no active FSIS establishment. Fisher Ham and Meat (Navasota TX) — no swine establishment; Navasota's swine slaughterer is K&amp;C Meat Processing (M13324), cat-3. Johnsonville MOMENCE IL sow plant (1,650 hd/day in 2017) CLOSED June 2025 (274 jobs) — a large chunk of national sow capacity gone.</t>
        </is>
      </c>
    </row>
    <row r="124" ht="72" customHeight="1" s="59">
      <c r="A124" s="4" t="inlineStr">
        <is>
          <t>Fauquier's Finest — DATA ANOMALY</t>
        </is>
      </c>
      <c r="B124" s="68" t="inlineStr">
        <is>
          <t>Bealeton, VA</t>
        </is>
      </c>
      <c r="C124" s="68" t="inlineStr">
        <is>
          <t>USDA federal, multi-species</t>
        </is>
      </c>
      <c r="D124" s="68" t="inlineStr">
        <is>
          <t>CONTRADICTORY: FSIS size 'Very Small' (&lt;10 employees / &lt;$2.5M) YET slaughter_volume_category = 4 (≥100,000 head/yr)</t>
        </is>
      </c>
      <c r="E124" s="24" t="inlineStr">
        <is>
          <t>unknown
(confirm)</t>
        </is>
      </c>
      <c r="F124" s="68" t="inlineStr">
        <is>
          <t>Yes — MKT+SOW+boar+beef</t>
        </is>
      </c>
      <c r="G124" s="68" t="inlineStr">
        <is>
          <t>USDA ✓ M33940</t>
        </is>
      </c>
      <c r="H124" s="68" t="inlineStr">
        <is>
          <t>See the Welfare &amp; culture column — enforcement detail is carried there for these rows</t>
        </is>
      </c>
      <c r="I124" s="68" t="inlineStr">
        <is>
          <t>Not verified — APHIS publishes no searchable list; confirm with APHIS VS</t>
        </is>
      </c>
      <c r="J124" s="68" t="inlineStr">
        <is>
          <t>🚨 INH suspension 04 Dec 2024 → reinstated 06 Mar 2025</t>
        </is>
      </c>
      <c r="K124" s="68" t="inlineStr">
        <is>
          <t>unknown</t>
        </is>
      </c>
      <c r="L124" s="68" t="inlineStr">
        <is>
          <t>Structurally suits Model A (custom processor)</t>
        </is>
      </c>
      <c r="M124" s="110" t="inlineStr">
        <is>
          <t>NO</t>
        </is>
      </c>
      <c r="N124" s="68" t="inlineStr">
        <is>
          <t>unknown</t>
        </is>
      </c>
      <c r="O124" s="68" t="inlineStr">
        <is>
          <t>(540) 439-7227
11746 AG Industrial Dr, Bealeton VA 22712</t>
        </is>
      </c>
      <c r="P124" s="23" t="inlineStr">
        <is>
          <t>CAUTION</t>
        </is>
      </c>
      <c r="Q124" s="68" t="inlineStr">
        <is>
          <t>Low</t>
        </is>
      </c>
      <c r="R124" s="68" t="inlineStr">
        <is>
          <t>The two FSIS facts are very hard to reconcile — likely a data-entry artifact or an aggregate across species. DO NOT treat as in-band without direct confirmation. Only reason to look: a rare Mid-Atlantic sow+boar slaughterer that is also a custom processor.</t>
        </is>
      </c>
    </row>
    <row r="125" ht="15" customHeight="1" s="59"/>
    <row r="126" ht="19.7" customHeight="1" s="59">
      <c r="A126" s="119" t="inlineStr">
        <is>
          <t>★★ PRIORITY OUTREACH — TISSUE COLLECTORS OPERATING INSIDE THIRD-PARTY PLANTS (they already run Model A at industrial scale)</t>
        </is>
      </c>
    </row>
    <row r="127" ht="58.6" customHeight="1" s="59">
      <c r="A127" s="51" t="inlineStr">
        <is>
          <t>Scientific Protein Laboratories (SPL)</t>
        </is>
      </c>
      <c r="B127" s="53" t="inlineStr">
        <is>
          <t>Waunakee, WI</t>
        </is>
      </c>
      <c r="C127" s="53" t="inlineStr">
        <is>
          <t>HEPARIN / mucosa collector — operates INSIDE third-party USDA plants</t>
        </is>
      </c>
      <c r="D127" s="53" t="inlineStr">
        <is>
          <t>n/a — collects, does not slaughter</t>
        </is>
      </c>
      <c r="E127" s="50" t="inlineStr">
        <is>
          <t>n/a</t>
        </is>
      </c>
      <c r="F127" s="53" t="inlineStr">
        <is>
          <t>n/a (works on others' hog lines)</t>
        </is>
      </c>
      <c r="G127" s="53" t="inlineStr">
        <is>
          <t>n/a — collects at USDA-inspected plants</t>
        </is>
      </c>
      <c r="H127" s="53" t="inlineStr">
        <is>
          <t>Not researched — they are operators, not slaughter plants</t>
        </is>
      </c>
      <c r="I127" s="53" t="inlineStr">
        <is>
          <t>Not verified — ask directly; they run an established export-grade pharma supply chain</t>
        </is>
      </c>
      <c r="J127" s="53" t="inlineStr">
        <is>
          <t>Pharma-grade operation; heparin API feeds regulated medicine supply</t>
        </is>
      </c>
      <c r="K127" s="53" t="inlineStr">
        <is>
          <t>⭐ THIS IS THE POINT: they recover porcine MUCOSA under written protocol, with their OWN CREWS, on someone else's kill floor, paying for line position</t>
        </is>
      </c>
      <c r="L127" s="53" t="inlineStr">
        <is>
          <t>They ARE Model A — at industrial scale, already proven</t>
        </is>
      </c>
      <c r="M127" s="110" t="inlineStr">
        <is>
          <t>NO</t>
        </is>
      </c>
      <c r="N127" s="53" t="inlineStr">
        <is>
          <t>n/a — they are an operator, not a host</t>
        </is>
      </c>
      <c r="O127" s="53" t="inlineStr">
        <is>
          <t>Waunakee, WI (find current number via company site)</t>
        </is>
      </c>
      <c r="P127" s="54" t="inlineStr">
        <is>
          <t>★★ PRIORITY
CONTACT</t>
        </is>
      </c>
      <c r="Q127" s="49" t="inlineStr">
        <is>
          <t>Med</t>
        </is>
      </c>
      <c r="R127" s="49" t="inlineStr">
        <is>
          <t>NOT A SUPPLIER OF TISSUE TO US — a MODEL and an INFORMATION SOURCE. Their collection network is a ready-made map of WHICH US PLANTS ALLOW A THIRD-PARTY CREW ON THE LINE, at what price, in what position, under whose HACCP. That map is exactly what this whole study has been trying to build from directories. Interview them (Action 0c).</t>
        </is>
      </c>
    </row>
    <row r="128" ht="72" customHeight="1" s="59">
      <c r="A128" s="51" t="inlineStr">
        <is>
          <t>DeWied International</t>
        </is>
      </c>
      <c r="B128" s="53" t="inlineStr">
        <is>
          <t>San Antonio, TX</t>
        </is>
      </c>
      <c r="C128" s="53" t="inlineStr">
        <is>
          <t>NATURAL CASINGS collector — operates INSIDE third-party USDA plants</t>
        </is>
      </c>
      <c r="D128" s="53" t="inlineStr">
        <is>
          <t>n/a — collects, does not slaughter</t>
        </is>
      </c>
      <c r="E128" s="50" t="inlineStr">
        <is>
          <t>n/a</t>
        </is>
      </c>
      <c r="F128" s="53" t="inlineStr">
        <is>
          <t>n/a (works on others' hog lines)</t>
        </is>
      </c>
      <c r="G128" s="53" t="inlineStr">
        <is>
          <t>USDA ✓ V27254
(voluntary grant, Certification–Export;
FSIS lists 'Oversea Dewied International LLC')</t>
        </is>
      </c>
      <c r="H128" s="53" t="inlineStr">
        <is>
          <t>Not researched — they are operators, not slaughter plants</t>
        </is>
      </c>
      <c r="I128" s="53" t="inlineStr">
        <is>
          <t>Not verified — ask directly; casings are widely exported so export documentation experience is likely</t>
        </is>
      </c>
      <c r="J128" s="53" t="inlineStr">
        <is>
          <t>Long-established casings house; merged with Oversea Casing 2018</t>
        </is>
      </c>
      <c r="K128" s="53" t="inlineStr">
        <is>
          <t>⭐ Same model: own crews recovering ONE tissue (intestine/casings) under written protocol inside third-party plants</t>
        </is>
      </c>
      <c r="L128" s="53" t="inlineStr">
        <is>
          <t>They ARE Model A — at industrial scale, already proven</t>
        </is>
      </c>
      <c r="M128" s="110" t="inlineStr">
        <is>
          <t>NO</t>
        </is>
      </c>
      <c r="N128" s="53" t="inlineStr">
        <is>
          <t>n/a — they are an operator, not a host</t>
        </is>
      </c>
      <c r="O128" s="53" t="inlineStr">
        <is>
          <t>San Antonio, TX (find current number via company site)</t>
        </is>
      </c>
      <c r="P128" s="54" t="inlineStr">
        <is>
          <t>★★ PRIORITY
CONTACT</t>
        </is>
      </c>
      <c r="Q128" s="49" t="inlineStr">
        <is>
          <t>High</t>
        </is>
      </c>
      <c r="R128" s="49" t="inlineStr">
        <is>
          <t>NOT A SUPPLIER TO US — a MODEL and an INFORMATION SOURCE, same as SPL. Casings collectors negotiate line access at hundreds of plants; they know the commercial terms, the HACCP arrangements and which plants say yes. Interview them (Action 0c).</t>
        </is>
      </c>
    </row>
  </sheetData>
  <autoFilter ref="A4:R4"/>
  <mergeCells count="22">
    <mergeCell ref="A27:R27"/>
    <mergeCell ref="A101:R101"/>
    <mergeCell ref="A2:R2"/>
    <mergeCell ref="A33:R33"/>
    <mergeCell ref="A85:R85"/>
    <mergeCell ref="A76:R76"/>
    <mergeCell ref="A5:R5"/>
    <mergeCell ref="A126:R126"/>
    <mergeCell ref="A8:R8"/>
    <mergeCell ref="A106:R106"/>
    <mergeCell ref="A53:R53"/>
    <mergeCell ref="A38:R38"/>
    <mergeCell ref="A114:R114"/>
    <mergeCell ref="A48:R48"/>
    <mergeCell ref="A59:R59"/>
    <mergeCell ref="A24:R24"/>
    <mergeCell ref="A45:R45"/>
    <mergeCell ref="A1:R1"/>
    <mergeCell ref="A94:R94"/>
    <mergeCell ref="A61:R61"/>
    <mergeCell ref="A119:R119"/>
    <mergeCell ref="A88:R88"/>
  </mergeCells>
  <pageMargins left="0.35" right="0.35" top="0.45" bottom="0.45" header="0.5" footer="0.5"/>
  <pageSetup orientation="landscape" fitToHeight="0" fitToWidth="1"/>
  <headerFooter>
    <oddHeader/>
    <oddFooter>&amp;L&amp;8 Supplier Roster&amp;R&amp;8 Page &amp;P of &amp;N</oddFooter>
    <evenHeader/>
    <evenFooter/>
    <firstHeader/>
    <firstFooter/>
  </headerFooter>
</worksheet>
</file>

<file path=xl/worksheets/sheet7.xml><?xml version="1.0" encoding="utf-8"?>
<worksheet xmlns="http://schemas.openxmlformats.org/spreadsheetml/2006/main">
  <sheetPr>
    <tabColor rgb="00C00000"/>
    <outlinePr summaryBelow="1" summaryRight="1"/>
    <pageSetUpPr fitToPage="1"/>
  </sheetPr>
  <dimension ref="A1:G34"/>
  <sheetViews>
    <sheetView showGridLines="0" workbookViewId="0">
      <pane ySplit="1" topLeftCell="A2" activePane="bottomLeft" state="frozen"/>
      <selection pane="bottomLeft" activeCell="A1" sqref="A1"/>
    </sheetView>
  </sheetViews>
  <sheetFormatPr baseColWidth="8" defaultRowHeight="15"/>
  <cols>
    <col width="24" customWidth="1" style="59" min="1" max="1"/>
    <col width="16" customWidth="1" style="59" min="2" max="2"/>
    <col width="30" customWidth="1" style="59" min="3" max="3"/>
    <col width="30" customWidth="1" style="59" min="4" max="4"/>
    <col width="34" customWidth="1" style="59" min="5" max="5"/>
    <col width="30" customWidth="1" style="59" min="6" max="6"/>
    <col width="34" customWidth="1" style="59" min="7" max="7"/>
  </cols>
  <sheetData>
    <row r="1" ht="25.1" customHeight="1" s="59">
      <c r="A1" s="173" t="inlineStr">
        <is>
          <t>NC Supplier Comparison — Current Base vs Focus-Region Alternatives (2026-08-17)</t>
        </is>
      </c>
      <c r="B1" s="171" t="n"/>
      <c r="C1" s="171" t="n"/>
      <c r="D1" s="171" t="n"/>
      <c r="E1" s="171" t="n"/>
      <c r="F1" s="171" t="n"/>
      <c r="G1" s="172" t="n"/>
    </row>
    <row r="2" ht="45.2" customHeight="1" s="59">
      <c r="A2" s="148" t="inlineStr">
        <is>
          <t>Client-directed re-research: the five CURRENT suppliers (client ground truth 2026-08-17) re-verified, plus sweeps of Western NC, the counties north of Raleigh, and the rest of eastern NC. Sources: FSIS MPI + Establishment Demographic datasets and all three NCDA&amp;CS directories (dated 2026-08-10), retrieved fresh 2026-08-17; plant sites, county records, deeds and news; the five most decision-relevant claims adversarially verified by independent agents. Distances are OSRM road miles from the Pikeville anchor. Direct-tissue vendors intentionally excluded (client: 'probably indeed expensive').</t>
        </is>
      </c>
      <c r="B2" s="171" t="n"/>
      <c r="C2" s="171" t="n"/>
      <c r="D2" s="171" t="n"/>
      <c r="E2" s="171" t="n"/>
      <c r="F2" s="171" t="n"/>
      <c r="G2" s="172" t="n"/>
    </row>
    <row r="3" ht="15" customHeight="1" s="59"/>
    <row r="4" ht="19.7" customHeight="1" s="59">
      <c r="A4" s="150" t="inlineStr">
        <is>
          <t>A · THE CURRENT BASE — what we have, verified</t>
        </is>
      </c>
      <c r="B4" s="171" t="n"/>
      <c r="C4" s="171" t="n"/>
      <c r="D4" s="171" t="n"/>
      <c r="E4" s="171" t="n"/>
      <c r="F4" s="171" t="n"/>
      <c r="G4" s="172" t="n"/>
    </row>
    <row r="5" ht="31.8" customHeight="1" s="59">
      <c r="A5" s="152" t="inlineStr">
        <is>
          <t>Supplier</t>
        </is>
      </c>
      <c r="B5" s="152" t="inlineStr">
        <is>
          <t>What we get today
(your words)</t>
        </is>
      </c>
      <c r="C5" s="152" t="inlineStr">
        <is>
          <t>Verified 2026-08-17</t>
        </is>
      </c>
      <c r="D5" s="152" t="inlineStr">
        <is>
          <t>Capacity &amp; ceiling</t>
        </is>
      </c>
      <c r="E5" s="152" t="inlineStr">
        <is>
          <t>Welfare &amp; enforcement</t>
        </is>
      </c>
      <c r="F5" s="152" t="inlineStr">
        <is>
          <t>Who decides</t>
        </is>
      </c>
      <c r="G5" s="152" t="inlineStr">
        <is>
          <t>The move</t>
        </is>
      </c>
    </row>
    <row r="6" ht="98.8" customHeight="1" s="59">
      <c r="A6" s="153" t="inlineStr">
        <is>
          <t>NAHUNTA
Pikeville · P-80A (NC state)
~0 mi</t>
        </is>
      </c>
      <c r="B6" s="154" t="inlineStr">
        <is>
          <t>Model A live — our crews on site. Best quality &amp; relationship in the base. (Client-stated.)</t>
        </is>
      </c>
      <c r="C6" s="154" t="inlineStr">
        <is>
          <t>Both grants active (directory 2026-08-10); Specimen Permits page LIVE, linking to the NCDA&amp;CS form; specials posted 2026-08-17.</t>
        </is>
      </c>
      <c r="D6" s="154" t="inlineStr">
        <is>
          <t>~150/day claimed peak; 500+/wk (mid-2010s). Current kill UNVERIFIED — ask Brandon. Ceiling = quality anchor, not volume.</t>
        </is>
      </c>
      <c r="E6" s="154" t="inlineStr">
        <is>
          <t>No records — but state plants sit outside FSIS reporting; welfare here is a site-visit finding (our crews are the evidence).</t>
        </is>
      </c>
      <c r="F6" s="154" t="inlineStr">
        <is>
          <t>GM Brandon Pierce (bpierce@nahuntapork.com). Larry Pierce = Wayne Co. sheriff, general election 2026-11-03.</t>
        </is>
      </c>
      <c r="G6" s="154" t="inlineStr">
        <is>
          <t>Standing ANNUAL specimen permit + fixed weekly harvest days; take the NO-RETAIL-SKU organs first (kidneys, lungs, aortas, bladders, uteri, pancreas); modest capex to lock floor space; avoid Q4 retail peak; confirm which ENTITY signs.</t>
        </is>
      </c>
    </row>
    <row r="7" ht="112.2" customHeight="1" s="59">
      <c r="A7" s="153" t="inlineStr">
        <is>
          <t>MARTIN'S
Falcon · M6720 (T-A)
~45 mi</t>
        </is>
      </c>
      <c r="B7" s="154" t="inlineStr">
        <is>
          <t>Highest capacity in the base but DIFFICULT to work with; our crews on site. (Client-stated.)</t>
        </is>
      </c>
      <c r="C7" s="154" t="inlineStr">
        <is>
          <t>Active grant; bought 3 adjacent parcels 2021 (investment); clean QERs FY25-FY26Q2; zero OSHA 2016-26. 'Difficult' has NO regulatory explanation — it is relational.</t>
        </is>
      </c>
      <c r="D7" s="154" t="inlineStr">
        <is>
          <t>Cat 3 = hard band 192-1,917/wk. The 2,500/wk top figure EXCEEDS the ceiling — treat as unverified.</t>
        </is>
      </c>
      <c r="E7" s="154" t="inlineStr">
        <is>
          <t>Cleanest checkable record in the base. (QERs exclude ordinary NRs — FOIA still open.)</t>
        </is>
      </c>
      <c r="F7" s="154" t="inlineStr">
        <is>
          <t>President BETH HOLMES (beth@martinspork.com) — accountant by training; lead with economics.</t>
        </is>
      </c>
      <c r="G7" s="154" t="inlineStr">
        <is>
          <t>IRREPLACEABLE (verified): all three cat-3 market-hog floors in NC/SC/VA are already ours. Reduce dependence by CONTRACT: fund a dedicated harvest bay/chiller on the 2021-expanded footprint for a multi-year floor-access deal; shift overflow to the Sims cluster + Nahunta.</t>
        </is>
      </c>
    </row>
    <row r="8" ht="98.8" customHeight="1" s="59">
      <c r="A8" s="153" t="inlineStr">
        <is>
          <t>CUSTOM QUALITY PACKERS
Sims · M20129 / TA-20129
~45 mi</t>
        </is>
      </c>
      <c r="B8" s="154" t="inlineStr">
        <is>
          <t>Like Parks, but WE SEND HARVESTERS — Model A live. (Client-stated.)</t>
        </is>
      </c>
      <c r="C8" s="154" t="inlineStr">
        <is>
          <t>Hog-only (state species C), market+roaster; ~500/wk stated vs cat-3 band. Space-constrained: the owner's own site says Dean Street exists because CQP ran out of room.</t>
        </is>
      </c>
      <c r="D8" s="154" t="inlineStr">
        <is>
          <t>Paper headroom to ~1,900/wk; realistic +100-300/wk via a DEDICATED CLIENT KILL DAY (est., verify with Twitty).</t>
        </is>
      </c>
      <c r="E8" s="154" t="inlineStr">
        <is>
          <t>⚠ NEW FACT: four humane-handling actions 2018-2020 (2 suspensions, NOIE, reinstatement — all abeyed in days) + PETA HMSA probe request 6/11/2020. CLEAN FY24-FY26Q2. Audit before scaling; verify the 'Animal Welfare Approved' claim.</t>
        </is>
      </c>
      <c r="F8" s="154" t="inlineStr">
        <is>
          <t>Owner/operator Barrett Twitty (also owns Nash Pigg Farms + Dean Street Processing).</t>
        </is>
      </c>
      <c r="G8" s="154" t="inlineStr">
        <is>
          <t>Buy a dedicated kill day, don't compete for slots. UNIQUE LEVER: Twitty can CONTRACT-RAISE hogs to our spec (genetics/nutrition) with birth-to-harvest traceability — strengthens the EU dossier like nothing else in the base.</t>
        </is>
      </c>
    </row>
    <row r="9" ht="139" customHeight="1" s="59">
      <c r="A9" s="153" t="inlineStr">
        <is>
          <t>PARKS FAMILY MEATS
Warsaw · M18296A (T-A)
~45 mi</t>
        </is>
      </c>
      <c r="B9" s="154" t="inlineStr">
        <is>
          <t>THEIR people harvest, trained by US — Model B-T live (client-corrected 2026-09-03). Small lots; roaster focus; 'a bit expensive' (3rd-party review agrees).</t>
        </is>
      </c>
      <c r="C9" s="154" t="inlineStr">
        <is>
          <t>STRUCTURALLY BIGGER THAN OUR MENTAL MODEL: slaughter-only floor, market + roaster flags, stated 400/day capacity not fully used, clean every checkable quarter — and the parent is THE PARKS COMPANIES: 29 facilities, 11 states, own trucking.</t>
        </is>
      </c>
      <c r="D9" s="154" t="inlineStr">
        <is>
          <t>Cat 3 band; stated 400/day ≈ 100k/yr nameplate vs cat-3 actuals below that — headroom exists.</t>
        </is>
      </c>
      <c r="E9" s="154" t="inlineStr">
        <is>
          <t>Clean FY2024-FY2026Q2 (checkable quarters).</t>
        </is>
      </c>
      <c r="F9" s="154" t="inlineStr">
        <is>
          <t>Kevin Krum, COO — (910) 290-0075, kevin.krum@parkslivestock.com (was the plant's own contact); Plant Supervisor Albino Cardoso. Maxwell = corporate sales, Danville IL.</t>
        </is>
      </c>
      <c r="G9" s="154" t="inlineStr">
        <is>
          <t>'Small and expensive' is most plausibly SPOT PRICING on a premium roaster niche, not a ceiling. Ask Krum for PROGRAM pricing on a committed market-hog window harvested by their trained crew (B-T); use the parent to source hogs to our spec across 11 states. Their trained crew is our asset — protect it.</t>
        </is>
      </c>
    </row>
    <row r="10" ht="112.2" customHeight="1" s="59">
      <c r="A10" s="153" t="inlineStr">
        <is>
          <t>VILLARI / THE PORK CO.
Warsaw · M20608
~45 mi</t>
        </is>
      </c>
      <c r="B10" s="154" t="inlineStr">
        <is>
          <t>LEAF FAT ONLY — the tissue gate is HARD (client-corrected 2026-09-03). No organ planning through Villari.</t>
        </is>
      </c>
      <c r="C10" s="154" t="inlineStr">
        <is>
          <t>HARD GATE confirmed by the client 2026-09-03 — supersedes the research 'negotiable wedge' reading. Background if THEY ever reopen it: no regulatory blocker; viscera render out; $3.27M wastewater project to ~2027; $800K NCAMPI award 7/7/2026.</t>
        </is>
      </c>
      <c r="D10" s="154" t="inlineStr">
        <is>
          <t>~1,500 hd/day — the ONLY current supplier whose scale could cover the entire organ need from a low-single-digit share of the kill.</t>
        </is>
      </c>
      <c r="E10" s="154" t="inlineStr">
        <is>
          <t>⚠⚠ Repeat egregious failure mode: bleed-rail consciousness 2022 (suspension) AND 5/6/2025 (NOIE deferred 5/15). Clean thru 30 JUN 2026 (Q3 FY2026 QER checked 2026-09-03: zero entries for the whole base). Q4 pending; still gate any deepening on it.</t>
        </is>
      </c>
      <c r="F10" s="154" t="inlineStr">
        <is>
          <t>GM Cory Johnson · Plant Mgr Rickie Purnell (ops); CEO Joe Villari (strategic). $800K NCAMPI award 7/7/2026 = leverage moment.</t>
        </is>
      </c>
      <c r="G10" s="154" t="inlineStr">
        <is>
          <t>Keep leaf fat flowing; do NOT pitch organs. Revisit only if Villari reopens the topic (earliest realistically after the wastewater project lands, ~2027). Gate any deepening on the humane record (Q3/Q4 FY2026 QERs).</t>
        </is>
      </c>
    </row>
    <row r="11" ht="15" customHeight="1" s="59"/>
    <row r="12" ht="19.7" customHeight="1" s="59">
      <c r="A12" s="155" t="inlineStr">
        <is>
          <t>B · THE GAP THE BASE LEAVES OPEN</t>
        </is>
      </c>
      <c r="B12" s="171" t="n"/>
      <c r="C12" s="171" t="n"/>
      <c r="D12" s="171" t="n"/>
      <c r="E12" s="171" t="n"/>
      <c r="F12" s="171" t="n"/>
      <c r="G12" s="172" t="n"/>
    </row>
    <row r="13" ht="45.2" customHeight="1" s="59">
      <c r="A13" s="157" t="inlineStr">
        <is>
          <t>ORGANS AT VOLUME, WITH LOW FRICTION. Villari has the volume but a HARD tissue gate (client-corrected 2026-09-03 — no organ path); Martin's has the volume but the friction; Nahunta has the quality but a ~150/day ceiling; Parks and CQP work but are small and priced as spot business. Everything below is judged against that gap. One structural fact frames it all (adversarially confirmed): ALL THREE cat-3 market-hog floors in NC/SC/VA are already in this base — growth comes from working the base better and from sow-class / state-inspected / cluster plays, not from finding a new Martin's.</t>
        </is>
      </c>
      <c r="B13" s="171" t="n"/>
      <c r="C13" s="171" t="n"/>
      <c r="D13" s="171" t="n"/>
      <c r="E13" s="171" t="n"/>
      <c r="F13" s="171" t="n"/>
      <c r="G13" s="172" t="n"/>
    </row>
    <row r="14" ht="15" customHeight="1" s="59"/>
    <row r="15" ht="19.7" customHeight="1" s="59">
      <c r="A15" s="150" t="inlineStr">
        <is>
          <t>C · THE ALTERNATIVES, RANKED — what each adds vs the base</t>
        </is>
      </c>
      <c r="B15" s="171" t="n"/>
      <c r="C15" s="171" t="n"/>
      <c r="D15" s="171" t="n"/>
      <c r="E15" s="171" t="n"/>
      <c r="F15" s="171" t="n"/>
      <c r="G15" s="172" t="n"/>
    </row>
    <row r="16" ht="18.4" customHeight="1" s="59">
      <c r="A16" s="152" t="inlineStr">
        <is>
          <t>#</t>
        </is>
      </c>
      <c r="B16" s="152" t="inlineStr">
        <is>
          <t>Candidate</t>
        </is>
      </c>
      <c r="C16" s="152" t="inlineStr">
        <is>
          <t>Region · distance</t>
        </is>
      </c>
      <c r="D16" s="152" t="inlineStr">
        <is>
          <t>What it is (verified)</t>
        </is>
      </c>
      <c r="E16" s="152" t="inlineStr">
        <is>
          <t>What it adds vs the base</t>
        </is>
      </c>
      <c r="F16" s="152" t="inlineStr">
        <is>
          <t>Limits / gates</t>
        </is>
      </c>
      <c r="G16" s="152" t="inlineStr">
        <is>
          <t>Next step</t>
        </is>
      </c>
    </row>
    <row r="17" ht="58.6" customHeight="1" s="59">
      <c r="A17" s="159" t="inlineStr">
        <is>
          <t>1</t>
        </is>
      </c>
      <c r="B17" s="160" t="inlineStr">
        <is>
          <t>LARRY'S SAUSAGE
Fayetteville · M8305 (T-A)</t>
        </is>
      </c>
      <c r="C17" s="154" t="inlineStr">
        <is>
          <t>EAST · ~65 mi</t>
        </is>
      </c>
      <c r="D17" s="154" t="inlineStr">
        <is>
          <t>Sow-only, cat 2 (19-192/wk), family-run since 1952, ~20 min from Martin's.</t>
        </is>
      </c>
      <c r="E17" s="154" t="inlineStr">
        <is>
          <t>★ BEST STRUCTURAL ORGAN ADD IN THE EAST: sows are killed for sausage meat — viscera/organs/aortas are NOT their product. Sow organs ≈ adult human scale.</t>
        </is>
      </c>
      <c r="F17" s="154" t="inlineStr">
        <is>
          <t>GATED by the Anatomical Spec (sow vs market hog — internal, still unanswered). Never contacted; willingness unknown.</t>
        </is>
      </c>
      <c r="G17" s="154" t="inlineStr">
        <is>
          <t>PRIORITY CALL. (910) 483-5148 · office Tue 9-3.</t>
        </is>
      </c>
    </row>
    <row r="18" ht="72" customHeight="1" s="59">
      <c r="A18" s="159" t="inlineStr">
        <is>
          <t>2</t>
        </is>
      </c>
      <c r="B18" s="160" t="inlineStr">
        <is>
          <t>McLAMB'S ABATTOIR
Benson · P-247 (NC state)</t>
        </is>
      </c>
      <c r="C18" s="154" t="inlineStr">
        <is>
          <t>EAST/I-95 · ~37 mi</t>
        </is>
      </c>
      <c r="D18" s="154" t="inlineStr">
        <is>
          <t>State-inspected multi-species floor incl. hogs; operator Shane Lee; right off I-95.</t>
        </is>
      </c>
      <c r="E18" s="154" t="inlineStr">
        <is>
          <t>Closest unworked candidate to base — nearer than Parks/Martin's/CQP. Same APHIS-equivalent path as Nahunta. Candidate for a SECOND NAHUNTA-STYLE RELATIONSHIP.</t>
        </is>
      </c>
      <c r="F18" s="154" t="inlineStr">
        <is>
          <t>Volume unknown (state plants publish none) — one call closes it.</t>
        </is>
      </c>
      <c r="G18" s="154" t="inlineStr">
        <is>
          <t>CALL with Gale McLamb (below) as an I-95 pair. (919) 894-2587.</t>
        </is>
      </c>
    </row>
    <row r="19" ht="45.2" customHeight="1" s="59">
      <c r="A19" s="159" t="inlineStr">
        <is>
          <t>3</t>
        </is>
      </c>
      <c r="B19" s="160" t="inlineStr">
        <is>
          <t>GALE McLAMB MEATS
Dunn · P-221 (NC state)</t>
        </is>
      </c>
      <c r="C19" s="154" t="inlineStr">
        <is>
          <t>EAST/I-95 · ~44 mi</t>
        </is>
      </c>
      <c r="D19" s="154" t="inlineStr">
        <is>
          <t>State-inspected; cattle + hogs; family plant since 1980.</t>
        </is>
      </c>
      <c r="E19" s="154" t="inlineStr">
        <is>
          <t>Martin's-adjacent fallback on the same corridor; Nahunta playbook applies directly.</t>
        </is>
      </c>
      <c r="F19" s="154" t="inlineStr">
        <is>
          <t>Likely small retail-butcher scale; volume unknown.</t>
        </is>
      </c>
      <c r="G19" s="154" t="inlineStr">
        <is>
          <t>CALL as part of the I-95 pair. (910) 892-7279.</t>
        </is>
      </c>
    </row>
    <row r="20" ht="72" customHeight="1" s="59">
      <c r="A20" s="161" t="inlineStr">
        <is>
          <t>4</t>
        </is>
      </c>
      <c r="B20" s="160" t="inlineStr">
        <is>
          <t>PIEDMONT CUSTOM MEATS
Gibsonville · M7975 (T-A)</t>
        </is>
      </c>
      <c r="C20" s="154" t="inlineStr">
        <is>
          <t>WEST · ~116 mi — INSIDE the radius (borderline)</t>
        </is>
      </c>
      <c r="D20" s="154" t="inlineStr">
        <is>
          <t>Only NC plant with ALL FOUR hog classes; AWA-certified on a Temple Grandin-designed layout; Mon-Fri kill days; 600+ farm clients; slaughter-only structure.</t>
        </is>
      </c>
      <c r="E20" s="154" t="inlineStr">
        <is>
          <t>Best Model A host + best EU-facing welfare story of ANY candidate. Their own $5.06/head disposal fee shows viscera are DISCARDED today — organs exist and are being thrown away.</t>
        </is>
      </c>
      <c r="F20" s="154" t="inlineStr">
        <is>
          <t>Cat 2 = ≤~192/wk ACROSS ALL SPECIES — not a Martin's replacement. 150-lb pig minimum.</t>
        </is>
      </c>
      <c r="G20" s="154" t="inlineStr">
        <is>
          <t>Model A pilot call: (336) 628-4949 (scheduling) / (336) 584-8247.</t>
        </is>
      </c>
    </row>
    <row r="21" ht="58.6" customHeight="1" s="59">
      <c r="A21" s="161" t="inlineStr">
        <is>
          <t>5</t>
        </is>
      </c>
      <c r="B21" s="160" t="inlineStr">
        <is>
          <t>BASS FARMS
Spring Hope · M3521 (T-A)</t>
        </is>
      </c>
      <c r="C21" s="154" t="inlineStr">
        <is>
          <t>NORTH · ~40 mi</t>
        </is>
      </c>
      <c r="D21" s="154" t="inlineStr">
        <is>
          <t>NEWEST swine grant in NC (2/17/2026, sow-only) after a $2.2M/40-job expansion; 60-yr sausage brand; President Kenneth Edwards.</t>
        </is>
      </c>
      <c r="E21" s="154" t="inlineStr">
        <is>
          <t>Sow organs/aortas going to WASTE today, 40 min from Sims; growth-mode operator likely open to revenue from waste tissue.</t>
        </is>
      </c>
      <c r="F21" s="154" t="inlineStr">
        <is>
          <t>&lt;19 sows/wk — a micro-volume mature-anatomy ADD-ON, not a lane. Kill floor feeds their own sausage line.</t>
        </is>
      </c>
      <c r="G21" s="154" t="inlineStr">
        <is>
          <t>Pilot conversation; pair with CQP crew days. (252) 478-4147.</t>
        </is>
      </c>
    </row>
    <row r="22" ht="58.6" customHeight="1" s="59">
      <c r="A22" s="161" t="inlineStr">
        <is>
          <t>6</t>
        </is>
      </c>
      <c r="B22" s="160" t="inlineStr">
        <is>
          <t>FLOWERS SLAUGHTER HOUSE
Sims · M21747</t>
        </is>
      </c>
      <c r="C22" s="154" t="inlineStr">
        <is>
          <t>NORTH · ~45 mi</t>
        </is>
      </c>
      <c r="D22" s="154" t="inlineStr">
        <is>
          <t>Cat 2, market + BOAR/STAG (largest male anatomy in the region); 3 miles from CQP; contacts Alan Sharp / Tim Boswell.</t>
        </is>
      </c>
      <c r="E22" s="154" t="inlineStr">
        <is>
          <t>Redundancy for the Sims Model A operation + third leg of the cluster (CQP + Flowers + Bass = one crew, three floors).</t>
        </is>
      </c>
      <c r="F22" s="154" t="inlineStr">
        <is>
          <t>One-tenth of CQP's volume; custom beef/game side is uninspected — stay on the hog line.</t>
        </is>
      </c>
      <c r="G22" s="154" t="inlineStr">
        <is>
          <t>Fold into the Sims cluster. (252) 237-2982.</t>
        </is>
      </c>
    </row>
    <row r="23" ht="45.2" customHeight="1" s="59">
      <c r="A23" s="161" t="inlineStr">
        <is>
          <t>7</t>
        </is>
      </c>
      <c r="B23" s="160" t="inlineStr">
        <is>
          <t>VILLARI ORGAN PILOT
(not a new plant)</t>
        </is>
      </c>
      <c r="C23" s="154" t="inlineStr">
        <is>
          <t>EAST · ~45 mi</t>
        </is>
      </c>
      <c r="D23" s="154" t="inlineStr">
        <is>
          <t>The wedge into the base's only industrial-scale floor (see current base row).</t>
        </is>
      </c>
      <c r="E23" s="154" t="inlineStr">
        <is>
          <t>A low-single-digit share of 1,500 hd/day covers the entire organ need.</t>
        </is>
      </c>
      <c r="F23" s="154" t="inlineStr">
        <is>
          <t>Wastewater project + humane record set the timing and the gate.</t>
        </is>
      </c>
      <c r="G23" s="154" t="inlineStr">
        <is>
          <t>Pitch Johnson/Purnell now; volume ask ~2027.</t>
        </is>
      </c>
    </row>
    <row r="24" ht="112.2" customHeight="1" s="59">
      <c r="A24" s="162" t="inlineStr">
        <is>
          <t>8</t>
        </is>
      </c>
      <c r="B24" s="160" t="inlineStr">
        <is>
          <t>WESTERN STATE TRIO
Caldwell P-312 · Price's P-307 · McLaughlin's P-85</t>
        </is>
      </c>
      <c r="C24" s="154" t="inlineStr">
        <is>
          <t>WEST · 201-227 mi</t>
        </is>
      </c>
      <c r="D24" s="154" t="inlineStr">
        <is>
          <t>Three swine-ONLY state plants = the Nahunta structural formula x3 (verified on the 2026-08-10 directory). Price's kills Mon/Wed and hand-scrapes to preserve skin; McLaughlin's consumes livers (livermush) but blocks/aortas don't compete.</t>
        </is>
      </c>
      <c r="E24" s="154" t="inlineStr">
        <is>
          <t>A future WESTERN MINI-NAHUNTA if a western crew or Model B ever exists; same APHIS-equivalent export path.</t>
        </is>
      </c>
      <c r="F24" s="154" t="inlineStr">
        <is>
          <t>All outside the 120-mi radius; volumes unpublished; would need its own crew or overnight trips.</t>
        </is>
      </c>
      <c r="G24" s="154" t="inlineStr">
        <is>
          <t>Park until a western crew is justified; then visit Caldwell first.</t>
        </is>
      </c>
    </row>
    <row r="25" ht="58.6" customHeight="1" s="59">
      <c r="A25" s="162" t="inlineStr">
        <is>
          <t>9</t>
        </is>
      </c>
      <c r="B25" s="160" t="inlineStr">
        <is>
          <t>WILKES ABATTOIR (Apple Brandy)
N. Wilkesboro · M19511 (T-A)</t>
        </is>
      </c>
      <c r="C25" s="154" t="inlineStr">
        <is>
          <t>WEST · ~209 mi</t>
        </is>
      </c>
      <c r="D25" s="154" t="inlineStr">
        <is>
          <t>Hogs ≈ HALF the kill (highest confirmed hog share in the west); slaughter-only; owner Seth Church since 2019.</t>
        </is>
      </c>
      <c r="E25" s="154" t="inlineStr">
        <is>
          <t>A real hog floor with farmer-service culture.</t>
        </is>
      </c>
      <c r="F25" s="154" t="inlineStr">
        <is>
          <t>Cat 2; prior-owner (Thomas Brothers) humane suspensions 2009/15/18 — site history an EU auditor could surface.</t>
        </is>
      </c>
      <c r="G25" s="154" t="inlineStr">
        <is>
          <t>Second western call after Piedmont, if ever.</t>
        </is>
      </c>
    </row>
    <row r="26" ht="85.40000000000001" customHeight="1" s="59">
      <c r="A26" s="163" t="inlineStr">
        <is>
          <t>10</t>
        </is>
      </c>
      <c r="B26" s="160" t="inlineStr">
        <is>
          <t>DEPRIORITIZED / CLOSED</t>
        </is>
      </c>
      <c r="C26" s="154" t="inlineStr">
        <is>
          <t>—</t>
        </is>
      </c>
      <c r="D26" s="154" t="inlineStr">
        <is>
          <t>SCR International (Fairmont) = a second Parks (roaster/lechon house), ~114 mi, dead website. Acre Station = quality but ~150/wk and 2 hrs out. Riverside = &lt;19/wk, dead domain.</t>
        </is>
      </c>
      <c r="E26" s="154" t="inlineStr">
        <is>
          <t>KANSAS CITY SAUSAGE (Godwin) = RESOLVED DEAD: M760A inactive 9/3/2024; zero establishments at the site in active OR inactive directories. Custom-exempt floors (Clarkton, Miller, Mino's, Prospect) = ineligible, removed.</t>
        </is>
      </c>
      <c r="F26" s="154" t="inlineStr">
        <is>
          <t>Closures 2025-26: Country Slaughter 6/25, Assured Community 11/25, R.D. Jones, Mac's Farms, Jerusalem, Neese 7/26, Mitchell's Chop Shop 7/26.</t>
        </is>
      </c>
      <c r="G26" s="154" t="inlineStr">
        <is>
          <t>The pool is SHRINKING — lock in survivors sooner, not later.</t>
        </is>
      </c>
    </row>
    <row r="27" ht="15" customHeight="1" s="59"/>
    <row r="28" ht="19.7" customHeight="1" s="59">
      <c r="A28" s="150" t="inlineStr">
        <is>
          <t>D · REGION VERDICTS</t>
        </is>
      </c>
      <c r="B28" s="171" t="n"/>
      <c r="C28" s="171" t="n"/>
      <c r="D28" s="171" t="n"/>
      <c r="E28" s="171" t="n"/>
      <c r="F28" s="171" t="n"/>
      <c r="G28" s="172" t="n"/>
    </row>
    <row r="29" ht="45.2" customHeight="1" s="59">
      <c r="A29" s="164" t="inlineStr">
        <is>
          <t>WESTERN NC — VERDICT (adversarially confirmed)</t>
        </is>
      </c>
      <c r="B29" s="154" t="inlineStr">
        <is>
          <t>NO VOLUME PLAY EXISTS: every western swine plant is cat 1-2 (≤~192/wk, all species combined), no new western swine grant since 10/2024, and 2025-26 attrition took Country Slaughter (Rockingham), Neese (Burlington) and Triad Halal's swine flags. What the west DOES offer: the best welfare story in the state (Piedmont — AWA/Temple Grandin, and actually inside the 120-mi radius at 116 road mi) and three swine-only state plants that replicate Nahunta's structure (Caldwell, Price's, McLaughlin's — 201-227 mi, western-crew/Model B only).</t>
        </is>
      </c>
      <c r="C29" s="171" t="n"/>
      <c r="D29" s="171" t="n"/>
      <c r="E29" s="171" t="n"/>
      <c r="F29" s="171" t="n"/>
      <c r="G29" s="172" t="n"/>
    </row>
    <row r="30" ht="45.2" customHeight="1" s="59">
      <c r="A30" s="164" t="inlineStr">
        <is>
          <t>NORTH OF RALEIGH — VERDICT (adversarially confirmed)</t>
        </is>
      </c>
      <c r="B30" s="154" t="inlineStr">
        <is>
          <t>A CONFIRMED DESERT, with one bright spot: across all 13 counties north/northeast of Raleigh there are exactly THREE inspected livestock kill floors — Bass Farms, CQP and Flowers, all clustered on the Nash/Wilson line (the only other inspected slaughter is a Perdue chicken plant in Bertie Co.). Zero state-inspected slaughter; six counties have no meat establishments at all. The bright spot: that cluster is OURS — CQP is current, Flowers is 3 mi away, Bass is new and hungry. One crew, three floors, 37-45 road miles.</t>
        </is>
      </c>
      <c r="C30" s="171" t="n"/>
      <c r="D30" s="171" t="n"/>
      <c r="E30" s="171" t="n"/>
      <c r="F30" s="171" t="n"/>
      <c r="G30" s="172" t="n"/>
    </row>
    <row r="31" ht="45.2" customHeight="1" s="59">
      <c r="A31" s="164" t="inlineStr">
        <is>
          <t>EASTERN NC — VERDICT</t>
        </is>
      </c>
      <c r="B31" s="154" t="inlineStr">
        <is>
          <t>The decisions live here. Two organ-relevant sow plants (Larry's at volume; Bass at micro), two missed state-inspected plants on I-95 (McLamb's Benson 37 mi, Gale McLamb Dunn 44 mi — the Nahunta playbook, closer than any current supplier except Nahunta), the Villari organ wedge, and the Godwin question CLOSED (dead). Watch: 'Caudle Meat' won a $189K NCAMPI grant (7/7/2026) with no inspection grant yet — possible new Greene Co. capacity; get there first.</t>
        </is>
      </c>
      <c r="C31" s="171" t="n"/>
      <c r="D31" s="171" t="n"/>
      <c r="E31" s="171" t="n"/>
      <c r="F31" s="171" t="n"/>
      <c r="G31" s="172" t="n"/>
    </row>
    <row r="32" ht="15" customHeight="1" s="59"/>
    <row r="33" ht="19.7" customHeight="1" s="59">
      <c r="A33" s="166" t="inlineStr">
        <is>
          <t>E · BOTTOM LINE</t>
        </is>
      </c>
      <c r="B33" s="171" t="n"/>
      <c r="C33" s="171" t="n"/>
      <c r="D33" s="171" t="n"/>
      <c r="E33" s="171" t="n"/>
      <c r="F33" s="171" t="n"/>
      <c r="G33" s="172" t="n"/>
    </row>
    <row r="34" ht="72" customHeight="1" s="59">
      <c r="A34" s="168" t="inlineStr">
        <is>
          <t>THE SEQUENCED MOVES — (1) CALL LARRY'S: the single best structural organ add; gate on the sow-vs-market-hog spec decision (Anatomical Spec tab — still the #1 internal action). (2) CALL THE I-95 STATE PAIR (McLamb's Benson + Gale McLamb Dunn): two Nahunta-playbook floors at 37-44 mi nobody has ever worked. (3) BUY A DEDICATED CQP KILL DAY and pilot Bass + Flowers as the Sims cluster (one crew, three floors) — after the CQP welfare audit. (4) VILLARI: keep leaf fat flowing and do NOT pitch organs — the gate is hard (client, 2026-09-03); revisit only if they reopen it (~2027 at the earliest). (5) RESET MARTIN'S WITH BETH HOLMES on economics (bench fee + per-head; optionally fund a harvest bay for a multi-year agreement) — it is irreplaceable and clean on paper. (6) ASK KRUM AT PARKS for program pricing on a committed market-hog window harvested by THEIR trained crew (Model B-T — how Parks already works) + parent-company hog sourcing to spec. (7) PIEDMONT MODEL A PILOT as the EU-facing welfare showcase (116 mi, borderline inside the radius). West beyond Piedmont: park until a western crew exists.</t>
        </is>
      </c>
      <c r="B34" s="171" t="n"/>
      <c r="C34" s="171" t="n"/>
      <c r="D34" s="171" t="n"/>
      <c r="E34" s="171" t="n"/>
      <c r="F34" s="171" t="n"/>
      <c r="G34" s="172" t="n"/>
    </row>
  </sheetData>
  <mergeCells count="12">
    <mergeCell ref="A13:G13"/>
    <mergeCell ref="A1:G1"/>
    <mergeCell ref="B31:G31"/>
    <mergeCell ref="A34:G34"/>
    <mergeCell ref="A12:G12"/>
    <mergeCell ref="A4:G4"/>
    <mergeCell ref="A2:G2"/>
    <mergeCell ref="A15:G15"/>
    <mergeCell ref="B30:G30"/>
    <mergeCell ref="A33:G33"/>
    <mergeCell ref="B29:G29"/>
    <mergeCell ref="A28:G28"/>
  </mergeCells>
  <pageMargins left="0.35" right="0.35" top="0.45" bottom="0.45" header="0.5" footer="0.5"/>
  <pageSetup orientation="landscape" fitToHeight="0" fitToWidth="1"/>
  <headerFooter>
    <oddHeader/>
    <oddFooter>&amp;L&amp;8 NC Comparison 2026-08-17&amp;R&amp;8 Page &amp;P of &amp;N</oddFooter>
    <evenHeader/>
    <evenFooter/>
    <firstHeader/>
    <firstFooter/>
  </headerFooter>
</worksheet>
</file>

<file path=xl/worksheets/sheet8.xml><?xml version="1.0" encoding="utf-8"?>
<worksheet xmlns="http://schemas.openxmlformats.org/spreadsheetml/2006/main">
  <sheetPr>
    <tabColor rgb="00548235"/>
    <outlinePr summaryBelow="1" summaryRight="1"/>
    <pageSetUpPr fitToPage="1"/>
  </sheetPr>
  <dimension ref="A1:I31"/>
  <sheetViews>
    <sheetView showGridLines="0" workbookViewId="0">
      <pane ySplit="4" topLeftCell="A5" activePane="bottomLeft" state="frozen"/>
      <selection pane="bottomLeft" activeCell="A9" sqref="A9"/>
    </sheetView>
  </sheetViews>
  <sheetFormatPr baseColWidth="8" defaultRowHeight="14.4"/>
  <cols>
    <col width="22" customWidth="1" style="59" min="1" max="1"/>
    <col width="16" customWidth="1" style="59" min="2" max="2"/>
    <col width="44" customWidth="1" style="59" min="3" max="3"/>
    <col width="28" customWidth="1" style="59" min="4" max="4"/>
    <col width="34" customWidth="1" style="59" min="5" max="6"/>
    <col width="48" customWidth="1" style="59" min="6" max="6"/>
    <col width="24" customWidth="1" style="59" min="7" max="7"/>
    <col width="9" customWidth="1" style="59" min="8" max="8"/>
    <col width="46" customWidth="1" style="59" min="9" max="9"/>
  </cols>
  <sheetData>
    <row r="1" ht="25.1" customHeight="1" s="59">
      <c r="A1" s="117" t="inlineStr">
        <is>
          <t>National Direct-Tissue Suppliers — buy finished porcine tissue/organs</t>
        </is>
      </c>
    </row>
    <row r="2" ht="18.4" customHeight="1" s="59">
      <c r="A2" s="61" t="inlineStr">
        <is>
          <t>Vendors that sell porcine research tissue directly (no slaughterhouse relationship). Prices are QUOTE-ONLY across this industry unless a real published figure is noted; blanks = not public.</t>
        </is>
      </c>
    </row>
    <row r="3" ht="15" customHeight="1" s="59"/>
    <row r="4" ht="31.8" customHeight="1" s="59">
      <c r="A4" s="3" t="inlineStr">
        <is>
          <t>Supplier</t>
        </is>
      </c>
      <c r="B4" s="3" t="inlineStr">
        <is>
          <t>Location</t>
        </is>
      </c>
      <c r="C4" s="3" t="inlineStr">
        <is>
          <t>Porcine tissue / organs offered
(pelvic · abdominal · thoracic)</t>
        </is>
      </c>
      <c r="D4" s="3" t="inlineStr">
        <is>
          <t>Formats &amp; freshness</t>
        </is>
      </c>
      <c r="E4" s="3" t="inlineStr">
        <is>
          <t>Price per tissue</t>
        </is>
      </c>
      <c r="F4" s="3" t="inlineStr">
        <is>
          <t>Regulatory / quality</t>
        </is>
      </c>
      <c r="G4" s="3" t="inlineStr">
        <is>
          <t>Contact</t>
        </is>
      </c>
      <c r="H4" s="3" t="inlineStr">
        <is>
          <t>Conf.</t>
        </is>
      </c>
      <c r="I4" s="3" t="inlineStr">
        <is>
          <t>EU-export fit — APHIS REQUIRED</t>
        </is>
      </c>
    </row>
    <row r="5" ht="98.8" customHeight="1" s="59">
      <c r="A5" s="4" t="inlineStr">
        <is>
          <t>Animal Technologies, Inc.</t>
        </is>
      </c>
      <c r="B5" s="68" t="inlineStr">
        <is>
          <t>Tyler, TX</t>
        </is>
      </c>
      <c r="C5" s="68" t="inlineStr">
        <is>
          <t>Broad catalog by region. Thoracic: heart, lungs (±trachea/esophagus), trachea/larynx, aorta. Abdominal: stomach, intestines, liver ±gallbladder, pancreas, spleen, kidney, GI blocks. Pelvic: bladder (±ureters/urethra), repro tract, prostate+bladder, rectum/colon. Known for heart-lung PLUCKS for surgical training; eyes.</t>
        </is>
      </c>
      <c r="D5" s="68" t="inlineStr">
        <is>
          <t>Whole organs, blocks &amp; plucks; fresh or frozen; overnight (24 hr) nationwide.</t>
        </is>
      </c>
      <c r="E5" s="68" t="inlineStr">
        <is>
          <t>QUOTE ONLY — no prices published.</t>
        </is>
      </c>
      <c r="F5" s="68" t="inlineStr">
        <is>
          <t>In business since 1986; US abattoir-sourced (specific certs not stated on pages read).</t>
        </is>
      </c>
      <c r="G5" s="68" t="inlineStr">
        <is>
          <t>animaltechnologies.com · 903-592-1363</t>
        </is>
      </c>
      <c r="H5" s="68" t="inlineStr">
        <is>
          <t>High</t>
        </is>
      </c>
      <c r="I5" s="29" t="inlineStr">
        <is>
          <t>APHIS REQUIRED for EU. RISKY — USDA-abattoir sourced but no ISO/APHIS/TRACES or export docs; must ask</t>
        </is>
      </c>
    </row>
    <row r="6" ht="98.8" customHeight="1" s="59">
      <c r="A6" s="4" t="inlineStr">
        <is>
          <t>Animal Biotech Industries (ABI)</t>
        </is>
      </c>
      <c r="B6" s="68" t="inlineStr">
        <is>
          <t>Harleysville, PA</t>
        </is>
      </c>
      <c r="C6" s="68" t="inlineStr">
        <is>
          <t>Very comprehensive. Thoracic: heart, lung, trachea, esophagus, aorta, heart-lung blocks (±pericardium/pleura/larynx). Abdominal: stomach, intestines, liver, spleen, pancreas, kidney, biliary. Pelvic: repro organs, bladder, urinary, rectum. Custom tissue blocks; specialized prep e.g. cannulated kidneys.</t>
        </is>
      </c>
      <c r="D6" s="68" t="inlineStr">
        <is>
          <t>Single, paired, or custom blocks; fresh/frozen implied.</t>
        </is>
      </c>
      <c r="E6" s="68" t="inlineStr">
        <is>
          <t>QUOTE ONLY — PDF catalog lists items, not prices.</t>
        </is>
      </c>
      <c r="F6" s="68" t="inlineStr">
        <is>
          <t>⚠ CORRECTED: ABI DOES hold an APHIS credential — AWA Class B Dealer licence 23-B-0155, active to 30/04/2028, which ABI publishes itself. Second address on the licence record: 5398 Point Pleasant Pike, Suite B, Doylestown PA (the Harleysville pin is the office). || Since 1990; USDA federally-inspected abattoir sourcing; markets 'ethically harvested'.</t>
        </is>
      </c>
      <c r="G6" s="68" t="inlineStr">
        <is>
          <t>animalbiotech.com · 215-766-7413</t>
        </is>
      </c>
      <c r="H6" s="68" t="inlineStr">
        <is>
          <t>High</t>
        </is>
      </c>
      <c r="I6" s="133" t="inlineStr">
        <is>
          <t>APHIS REQUIRED for EU. RE-RATED: the earlier 'no APHIS listing' was WRONG — ABI holds AWA Class B 23-B-0155. BUT an AWA dealer licence is a LIVE-ANIMAL credential and is NOT an export credential. What ABI still lacks is an APHIS VETERINARY SERVICES export listing / TRACES entry. The export risk stands, for a more precise reason than before.</t>
        </is>
      </c>
    </row>
    <row r="7" ht="85.40000000000001" customHeight="1" s="59">
      <c r="A7" s="4" t="inlineStr">
        <is>
          <t>Innovative Research, Inc.</t>
        </is>
      </c>
      <c r="B7" s="68" t="inlineStr">
        <is>
          <t>Novi, MI (HQ med-conf.)</t>
        </is>
      </c>
      <c r="C7" s="68" t="inlineStr">
        <is>
          <t>'Innovative Grade US Origin' porcine, individually priced. Heart (19 vessel configs), lungs, kidney (±cannulation), bladder, liver, stomach; processed pericardium/SIS/mucosa. MULTI-ORGAN BLOCKS: PELVIC BLOCK (repro tract+bladder+kidneys+ureters+urethra+colon+rectum); Urinary System block.</t>
        </is>
      </c>
      <c r="D7" s="68" t="inlineStr">
        <is>
          <t>Frozen (-20/-80, dry ice) or Fresh in saline/PBS (wet ice); adult/juvenile/fetal.</t>
        </is>
      </c>
      <c r="E7" s="68" t="inlineStr">
        <is>
          <t>PUBLISHED — single organs from $141 (base config); PELVIC BLOCK from $582. Fresh/added vessels/small qty raise it; volume lowers it.</t>
        </is>
      </c>
      <c r="F7" s="68" t="inlineStr">
        <is>
          <t>US-origin abattoir; in-vitro research/mfg use only.</t>
        </is>
      </c>
      <c r="G7" s="68" t="inlineStr">
        <is>
          <t>innov-research.com</t>
        </is>
      </c>
      <c r="H7" s="68" t="inlineStr">
        <is>
          <t>High
(prices)</t>
        </is>
      </c>
      <c r="I7" s="30" t="inlineStr">
        <is>
          <t>APHIS REQUIRED for EU. LIKELY BLOCKER (device) — 'research use only, not for human/animal use' RUO labeling; no export docs</t>
        </is>
      </c>
    </row>
    <row r="8" ht="139" customHeight="1" s="59">
      <c r="A8" s="4" t="inlineStr">
        <is>
          <t>Tissue Source, LLC</t>
        </is>
      </c>
      <c r="B8" s="68" t="inlineStr">
        <is>
          <t>Frankfort, IN</t>
        </is>
      </c>
      <c r="C8" s="68" t="inlineStr">
        <is>
          <t>Custom porcine for device/biologics/pharma/education. Thoracic: heart, valves, lungs, trachea, pericardium, pleura. Abdominal: liver, pancreas, spleen, kidney, gallbladder, stomach, intestines. Pelvic: bladder, uterus, ovaries, testicles, vagina, penis. Overnight shipping.</t>
        </is>
      </c>
      <c r="D8" s="68" t="inlineStr">
        <is>
          <t>Custom; whole organ vs block per request; overnight.</t>
        </is>
      </c>
      <c r="E8" s="68" t="inlineStr">
        <is>
          <t>QUOTE ONLY.</t>
        </is>
      </c>
      <c r="F8" s="68" t="inlineStr">
        <is>
          <t>⚠ 'USDA Class A Breeders License' is NOT SUPPORTED — Tissue Source does not appear in the APHIS Active Licensees and Registrants list, and does not make the claim on its own site. ISO 13485 + ISO 22442-2 stand. Ante-/post-mortem inspection is CLAIMED but USDA inspection is not stated for 100% of source animals — a real gap under MDR Annex I 13.1 / ISO 22442. || STRONG QMS: ISO 13485 + ISO 9001; ISO 22442-2, 21 CFR 820 &amp; 58; USDA Class A Breeders License; ante-/post-mortem inspection. Woman-owned, since 2007.</t>
        </is>
      </c>
      <c r="G8" s="68" t="inlineStr">
        <is>
          <t>tissue-source.com · 765-746-6679</t>
        </is>
      </c>
      <c r="H8" s="68" t="inlineStr">
        <is>
          <t>High</t>
        </is>
      </c>
      <c r="I8" s="133" t="inlineStr">
        <is>
          <t>APHIS REQUIRED for EU. RE-RATED: the Class A licence claim is withdrawn, so the 'strongest QMS' ranking rested partly on a credential that does not exist. ISO 13485/22442 still make this a leading candidate, but APHIS VS export listing is UNVERIFIED and must be obtained in writing.</t>
        </is>
      </c>
    </row>
    <row r="9" ht="72" customHeight="1" s="59">
      <c r="A9" s="4" t="inlineStr">
        <is>
          <t>Sustainable Swine Resources (SSR)</t>
        </is>
      </c>
      <c r="B9" s="68" t="inlineStr">
        <is>
          <t>WI (Johnsonville LLC)</t>
        </is>
      </c>
      <c r="C9" s="68" t="inlineStr">
        <is>
          <t>Full porcine range: tissues, blood, bone, cartilage, fluids, glands, membranes, organs, nerves, ligaments. Named: stomach, liver, heart, thyroid, pancreas, small intestine, pericardium, peritoneal membrane, leg bones. Custom to spec.</t>
        </is>
      </c>
      <c r="D9" s="68" t="inlineStr">
        <is>
          <t>Custom collection; fresh/frozen.</t>
        </is>
      </c>
      <c r="E9" s="68" t="inlineStr">
        <is>
          <t>QUOTE ONLY.</t>
        </is>
      </c>
      <c r="F9" s="68" t="inlineStr">
        <is>
          <t>30+ years; packer-integrated (Johnsonville).</t>
        </is>
      </c>
      <c r="G9" s="68" t="inlineStr">
        <is>
          <t>ssr-solutions.com</t>
        </is>
      </c>
      <c r="H9" s="68" t="inlineStr">
        <is>
          <t>High</t>
        </is>
      </c>
      <c r="I9" s="31" t="inlineStr">
        <is>
          <t>APHIS REQUIRED for EU. OK (strong) — ISO 22442-2, USDA/SQF, PQA+ farms, full traceability; confirm ISO 13485 + TRACES</t>
        </is>
      </c>
    </row>
    <row r="10" ht="72" customHeight="1" s="59">
      <c r="A10" s="4" t="inlineStr">
        <is>
          <t>Smithfield BioScience</t>
        </is>
      </c>
      <c r="B10" s="68" t="inlineStr">
        <is>
          <t>Smithfield, VA</t>
        </is>
      </c>
      <c r="C10" s="68" t="inlineStr">
        <is>
          <t>Thoracic: aorta, heart, valves, lungs, pericardium, trachea. Abdominal: liver, pancreas, small intestine, stomach/pepsin lining. Pelvic: kidney, ovary. Also brains, eyes, feet, gullet, peritoneum, pituitary, skin, tendon, thyroid.</t>
        </is>
      </c>
      <c r="D10" s="68" t="inlineStr">
        <is>
          <t>Harvested by trained specialists from market hogs/sows; fresh or frozen; large packer-integrated supply.</t>
        </is>
      </c>
      <c r="E10" s="68" t="inlineStr">
        <is>
          <t>QUOTE ONLY.</t>
        </is>
      </c>
      <c r="F10" s="68" t="inlineStr">
        <is>
          <t>Smithfield Foods packer network (USDA-inspected plants).</t>
        </is>
      </c>
      <c r="G10" s="68" t="inlineStr">
        <is>
          <t>smithfieldbioscience.com</t>
        </is>
      </c>
      <c r="H10" s="68" t="inlineStr">
        <is>
          <t>High</t>
        </is>
      </c>
      <c r="I10" s="31" t="inlineStr">
        <is>
          <t>APHIS REQUIRED for EU. OK (best) — vertically integrated, already exports heparin to EP; confirm they supply tissue blocks + VS certs</t>
        </is>
      </c>
    </row>
    <row r="11" ht="72" customHeight="1" s="59">
      <c r="A11" s="4" t="inlineStr">
        <is>
          <t>WG Biomedical (WG Provisions)</t>
        </is>
      </c>
      <c r="B11" s="68" t="inlineStr">
        <is>
          <t>Iowa</t>
        </is>
      </c>
      <c r="C11" s="68" t="inlineStr">
        <is>
          <t>Surgical-training/organ focus, 12 porcine products: PIG PLUCK (heart-lung), heart, lungs, heart valves, pericardial sacs, carotid artery, iliac vessels, pancreas, spleen, thyroid, pig head, mandibles.</t>
        </is>
      </c>
      <c r="D11" s="68" t="inlineStr">
        <is>
          <t>Fresh or frozen.</t>
        </is>
      </c>
      <c r="E11" s="68" t="inlineStr">
        <is>
          <t>QUOTE ONLY — every item is 'Request a Quote'.</t>
        </is>
      </c>
      <c r="F11" s="68" t="inlineStr">
        <is>
          <t>Provisions/packer-affiliated (Iowa).</t>
        </is>
      </c>
      <c r="G11" s="68" t="inlineStr">
        <is>
          <t>wgbiomedical.com · 515-233-4774</t>
        </is>
      </c>
      <c r="H11" s="68" t="inlineStr">
        <is>
          <t>High</t>
        </is>
      </c>
      <c r="I11" s="29" t="inlineStr">
        <is>
          <t>APHIS REQUIRED for EU. RISKY — device-supply track record but multi-source broker; must document APHIS/TRACES</t>
        </is>
      </c>
    </row>
    <row r="12" ht="58.6" customHeight="1" s="59">
      <c r="A12" s="4" t="inlineStr">
        <is>
          <t>LAMPIRE Biological Labs</t>
        </is>
      </c>
      <c r="B12" s="68" t="inlineStr">
        <is>
          <t>Pipersville, PA</t>
        </is>
      </c>
      <c r="C12" s="68" t="inlineStr">
        <is>
          <t>Custom abattoir collection of porcine tissues, glands, organs, fluids (PA, near USDA porcine abattoirs). Custom prep emphasis; also porcine hide/collagen.</t>
        </is>
      </c>
      <c r="D12" s="68" t="inlineStr">
        <is>
          <t>Media-perfused (your media), snap-frozen in LN2, or lyophilized.</t>
        </is>
      </c>
      <c r="E12" s="68" t="inlineStr">
        <is>
          <t>QUOTE ONLY.</t>
        </is>
      </c>
      <c r="F12" s="68" t="inlineStr">
        <is>
          <t>Established biological labs; abattoir-sourced.</t>
        </is>
      </c>
      <c r="G12" s="68" t="inlineStr">
        <is>
          <t>lampire.com · 215-795-2838</t>
        </is>
      </c>
      <c r="H12" s="68" t="inlineStr">
        <is>
          <t>High</t>
        </is>
      </c>
      <c r="I12" s="29" t="inlineStr">
        <is>
          <t>APHIS REQUIRED for EU. RISKY — 'worldwide' supply but no ISO/APHIS/TRACES published; must ask</t>
        </is>
      </c>
    </row>
    <row r="13" ht="72" customHeight="1" s="59">
      <c r="A13" s="4" t="inlineStr">
        <is>
          <t>Pel-Freez Biologicals</t>
        </is>
      </c>
      <c r="B13" s="68" t="inlineStr">
        <is>
          <t>Rogers, AR</t>
        </is>
      </c>
      <c r="C13" s="68" t="inlineStr">
        <is>
          <t>Long-established animal organs/glands/tissues; whole organs, glands, tissues. Porcine incl. thyroid &amp; other organs. Pigs ~200 lb / 6-8 mo; tissue chilled then frozen -20 within 2-6 hr of slaughter.</t>
        </is>
      </c>
      <c r="D13" s="68" t="inlineStr">
        <is>
          <t>Whole organ/gland; frozen (dry ice) or wet ice; 2-4 wk lead.</t>
        </is>
      </c>
      <c r="E13" s="68" t="inlineStr">
        <is>
          <t>PUBLISHED (partial) — Porcine Thyroid #59452 from $361. Other porcine organ prices not individually verified.</t>
        </is>
      </c>
      <c r="F13" s="68" t="inlineStr">
        <is>
          <t>ISO 9001 certified.</t>
        </is>
      </c>
      <c r="G13" s="68" t="inlineStr">
        <is>
          <t>pel-freez.com</t>
        </is>
      </c>
      <c r="H13" s="68" t="inlineStr">
        <is>
          <t>High
(thyroid)</t>
        </is>
      </c>
      <c r="I13" s="29" t="inlineStr">
        <is>
          <t>APHIS REQUIRED for EU. RISKY (porcine unverified) — documented USDA on-site inspection is for RABBIT; confirm porcine origin</t>
        </is>
      </c>
    </row>
    <row r="14" ht="72" customHeight="1" s="59">
      <c r="A14" s="4" t="inlineStr">
        <is>
          <t>BioChemed Services</t>
        </is>
      </c>
      <c r="B14" s="68" t="inlineStr">
        <is>
          <t>Winchester, VA</t>
        </is>
      </c>
      <c r="C14" s="68" t="inlineStr">
        <is>
          <t>Swine tissue list: adipose, bone, brain, heart, colon, eye, liver, kidney, intestine (lg/sm), lung, nerve, ovaries, pancreas, skeletal muscle, skin, spleen, testes, thyroid, uterus. Custom to spec.</t>
        </is>
      </c>
      <c r="D14" s="68" t="inlineStr">
        <is>
          <t>Custom to spec.</t>
        </is>
      </c>
      <c r="E14" s="68" t="inlineStr">
        <is>
          <t>QUOTE ONLY ('give specs, we quote').</t>
        </is>
      </c>
      <c r="F14" s="68" t="inlineStr">
        <is>
          <t>Custom biologicals supplier.</t>
        </is>
      </c>
      <c r="G14" s="68" t="inlineStr">
        <is>
          <t>biochemed.com · 540-667-3348</t>
        </is>
      </c>
      <c r="H14" s="68" t="inlineStr">
        <is>
          <t>High</t>
        </is>
      </c>
      <c r="I14" s="29" t="inlineStr">
        <is>
          <t>APHIS REQUIRED for EU. RISKY — US USDA sourcing but 'research/diagnostic/mfg only'; no export docs</t>
        </is>
      </c>
    </row>
    <row r="15" ht="58.6" customHeight="1" s="59">
      <c r="A15" s="4" t="inlineStr">
        <is>
          <t>BioIVT</t>
        </is>
      </c>
      <c r="B15" s="68" t="inlineStr">
        <is>
          <t>Westbury, NY (global)</t>
        </is>
      </c>
      <c r="C15" s="68" t="inlineStr">
        <is>
          <t>Large biospecimen provider; porcine tissues for translational research &amp; surgical models; online 'Configure Pig Tissue' tool. In-vitro research use only.</t>
        </is>
      </c>
      <c r="D15" s="68" t="inlineStr">
        <is>
          <t>Customized; fresh/frozen.</t>
        </is>
      </c>
      <c r="E15" s="68" t="inlineStr">
        <is>
          <t>QUOTE ONLY — customized pricing &amp; lead times.</t>
        </is>
      </c>
      <c r="F15" s="68" t="inlineStr">
        <is>
          <t>Major biospecimen QMS provider.</t>
        </is>
      </c>
      <c r="G15" s="68" t="inlineStr">
        <is>
          <t>bioivt.com</t>
        </is>
      </c>
      <c r="H15" s="68" t="inlineStr">
        <is>
          <t>High</t>
        </is>
      </c>
      <c r="I15" s="30" t="inlineStr">
        <is>
          <t>APHIS REQUIRED for EU. LIKELY BLOCKER / unknown — no published human-food-chain/APHIS basis; RUO-oriented</t>
        </is>
      </c>
    </row>
    <row r="16" ht="58.6" customHeight="1" s="59">
      <c r="A16" s="4" t="inlineStr">
        <is>
          <t>Sierra for Medical Science</t>
        </is>
      </c>
      <c r="B16" s="68" t="inlineStr">
        <is>
          <t>Whittier, CA area</t>
        </is>
      </c>
      <c r="C16" s="68" t="inlineStr">
        <is>
          <t>Biological/animal tissue incl. porcine to universities, hospitals, device makers for diagnostics, product training, demonstration, QC. Custom protocols; on-site lab suites.</t>
        </is>
      </c>
      <c r="D16" s="68" t="inlineStr">
        <is>
          <t>Custom protocols; fresh/frozen.</t>
        </is>
      </c>
      <c r="E16" s="68" t="inlineStr">
        <is>
          <t>QUOTE ONLY.</t>
        </is>
      </c>
      <c r="F16" s="68" t="inlineStr">
        <is>
          <t>Since 1985.</t>
        </is>
      </c>
      <c r="G16" s="68" t="inlineStr">
        <is>
          <t>sierra-medical.com</t>
        </is>
      </c>
      <c r="H16" s="68" t="inlineStr">
        <is>
          <t>Med-High</t>
        </is>
      </c>
      <c r="I16" s="29" t="inlineStr">
        <is>
          <t>APHIS REQUIRED for EU. RISKY — device customers worldwide but no published traceability/cert framework</t>
        </is>
      </c>
    </row>
    <row r="17" ht="72" customHeight="1" s="59">
      <c r="A17" s="4" t="inlineStr">
        <is>
          <t>Midwest Research Swine (MRS)</t>
        </is>
      </c>
      <c r="B17" s="68" t="inlineStr">
        <is>
          <t>Minnesota</t>
        </is>
      </c>
      <c r="C17" s="68" t="inlineStr">
        <is>
          <t>Porcine-only abattoir; supplies LIVE research swine AND traceable porcine tissues/organs/bio-samples (High Health Herd Yorkshire-Landrace-Duroc). Order by weight/sex/age. Positions as economical.</t>
        </is>
      </c>
      <c r="D17" s="68" t="inlineStr">
        <is>
          <t>Fresh; order to spec.</t>
        </is>
      </c>
      <c r="E17" s="68" t="inlineStr">
        <is>
          <t>QUOTE ONLY — positions as low-cost.</t>
        </is>
      </c>
      <c r="F17" s="68" t="inlineStr">
        <is>
          <t>⚠ ENTITY: now a DBA only. Operating entity is COLLAGEN SOLUTIONS (US) LLC dba EVERGEN, FSIS Est. M40110 (acquired Sept 2022; absorbed into Evergen / RTI Surgical Nov 2024). Contract under the current entity. || Porcine-only abattoir; High Health Herd.</t>
        </is>
      </c>
      <c r="G17" s="68" t="inlineStr">
        <is>
          <t>midwestresearchswine.com</t>
        </is>
      </c>
      <c r="H17" s="68" t="inlineStr">
        <is>
          <t>High</t>
        </is>
      </c>
      <c r="I17" s="133" t="inlineStr">
        <is>
          <t>APHIS REQUIRED for EU. RE-RATED: the APHIS Class B/R licences cited earlier are ANIMAL WELFARE ACT credentials for live animals — they do NOT satisfy the export gate. APHIS VS export listing UNVERIFIED.</t>
        </is>
      </c>
    </row>
    <row r="18" ht="31.8" customHeight="1" s="59">
      <c r="A18" s="4" t="inlineStr">
        <is>
          <t>Premier BioSource (ex-S&amp;S Farms)</t>
        </is>
      </c>
      <c r="B18" s="68" t="inlineStr">
        <is>
          <t>S. CA / N. IN</t>
        </is>
      </c>
      <c r="C18" s="68" t="inlineStr">
        <is>
          <t>NOT a tissue vendor — sells LIVE research swine &amp; Yucatan minipigs.</t>
        </is>
      </c>
      <c r="D18" s="68" t="inlineStr">
        <is>
          <t>n/a (live animals).</t>
        </is>
      </c>
      <c r="E18" s="68" t="inlineStr">
        <is>
          <t>n/a — live animals, not harvested tissue.</t>
        </is>
      </c>
      <c r="F18" s="68" t="inlineStr">
        <is>
          <t>Live-animal research supplier.</t>
        </is>
      </c>
      <c r="G18" s="68" t="inlineStr">
        <is>
          <t>premierbiosource.com</t>
        </is>
      </c>
      <c r="H18" s="68" t="inlineStr">
        <is>
          <t>High</t>
        </is>
      </c>
      <c r="I18" s="32" t="inlineStr">
        <is>
          <t>n/a — live animals, out of scope</t>
        </is>
      </c>
    </row>
    <row r="19" ht="31.8" customHeight="1" s="59">
      <c r="A19" s="4" t="inlineStr">
        <is>
          <t>Science Care</t>
        </is>
      </c>
      <c r="B19" s="68" t="inlineStr">
        <is>
          <t>Phoenix, AZ</t>
        </is>
      </c>
      <c r="C19" s="68" t="inlineStr">
        <is>
          <t>NOT porcine — HUMAN whole-body donation for research/training.</t>
        </is>
      </c>
      <c r="D19" s="68" t="inlineStr">
        <is>
          <t>n/a.</t>
        </is>
      </c>
      <c r="E19" s="68" t="inlineStr">
        <is>
          <t>n/a — human donation, out of scope.</t>
        </is>
      </c>
      <c r="F19" s="68" t="inlineStr">
        <is>
          <t>Human tissue programme.</t>
        </is>
      </c>
      <c r="G19" s="68" t="inlineStr">
        <is>
          <t>sciencecare.com</t>
        </is>
      </c>
      <c r="H19" s="68" t="inlineStr">
        <is>
          <t>High</t>
        </is>
      </c>
      <c r="I19" s="32" t="inlineStr">
        <is>
          <t>n/a — human tissue, out of scope</t>
        </is>
      </c>
    </row>
    <row r="20" ht="45.2" customHeight="1" s="59">
      <c r="A20" s="4" t="inlineStr">
        <is>
          <t>Zivic Laboratories</t>
        </is>
      </c>
      <c r="B20" s="68" t="inlineStr">
        <is>
          <t>Pittsburgh, PA</t>
        </is>
      </c>
      <c r="C20" s="68" t="inlineStr">
        <is>
          <t>NOT a porcine organ vendor — primarily RODENT tissue, brain/heart matrices, dissection instruments.</t>
        </is>
      </c>
      <c r="D20" s="68" t="inlineStr">
        <is>
          <t>n/a.</t>
        </is>
      </c>
      <c r="E20" s="68" t="inlineStr">
        <is>
          <t>n/a — rodent focus, out of scope.</t>
        </is>
      </c>
      <c r="F20" s="68" t="inlineStr">
        <is>
          <t>Rodent tissue / instruments.</t>
        </is>
      </c>
      <c r="G20" s="68" t="inlineStr">
        <is>
          <t>ziviclab (see sources)</t>
        </is>
      </c>
      <c r="H20" s="68" t="inlineStr">
        <is>
          <t>High</t>
        </is>
      </c>
      <c r="I20" s="32" t="inlineStr">
        <is>
          <t>n/a — rodent, out of scope</t>
        </is>
      </c>
    </row>
    <row r="21" ht="15" customHeight="1" s="59"/>
    <row r="22" ht="19.7" customHeight="1" s="59">
      <c r="A22" s="118" t="inlineStr">
        <is>
          <t>BUYING DIRECT × EU EXPORT — does the vendor help or hurt onward EU export?</t>
        </is>
      </c>
    </row>
    <row r="23" ht="31.8" customHeight="1" s="59">
      <c r="A23" s="58" t="inlineStr">
        <is>
          <t>•  Buying finished tissue neither confers nor forfeits EU-export eligibility by itself — three things decide it, and they sit at the SLAUGHTERHOUSE level, not the broker's marketing: (1) the material must originate from a specific establishment that is APHIS-approved and on the EU TRACES list; (2) each consignment needs an APHIS-VS-endorsed health certificate + country-of-origin/traceability affidavit; (3) 'research use only / not for human or animal use' (RUO) labeling both signals the vendor won't furnish export docs AND collides with an MDR device pathway (Annex I 13.1 / ISO 22442).</t>
        </is>
      </c>
    </row>
    <row r="24" ht="31.8" customHeight="1" s="59">
      <c r="A24" s="58" t="inlineStr">
        <is>
          <t>•  Consequence: a vendor advertising 'USDA-inspected' (FSIS food inspection) is necessary but NOT sufficient — almost none publicly claim TRACES listing. The EU-cleanest vendors are the ones already in regulated device/pharma supply chains with ISO 13485 + ISO 22442-2 and farm-to-facility traceability from human-food-chain animals.</t>
        </is>
      </c>
    </row>
    <row r="25" ht="18.4" customHeight="1" s="59">
      <c r="A25" s="58" t="inlineStr">
        <is>
          <t>•  Strategic point: because TRACES listing is establishment-level, self-harvesting at ONE hand-picked APHIS-listed abattoir is often CLEANER for EU export than buying from a multi-source broker whose 'many facilities' model makes single-establishment certification harder.</t>
        </is>
      </c>
    </row>
    <row r="26" ht="15" customHeight="1" s="59"/>
    <row r="27" ht="31.8" customHeight="1" s="59">
      <c r="A27" s="9" t="inlineStr">
        <is>
          <t>Pursue first (EU-cleanest)</t>
        </is>
      </c>
      <c r="B27" s="68" t="inlineStr">
        <is>
          <t>Smithfield BioScience · Tissue Source · Midwest Research Swine · SSR — device/pharma-grade, traceable, human-food-chain, not RUO-blocked. All still need ONE thing in writing: the slaughter establishment is APHIS-approved &amp; TRACES-listed and the vendor will furnish a VS-endorsed health certificate per consignment (none advertise TRACES listing).</t>
        </is>
      </c>
      <c r="C27" s="64" t="n"/>
      <c r="D27" s="64" t="n"/>
      <c r="E27" s="64" t="n"/>
      <c r="F27" s="64" t="n"/>
      <c r="G27" s="64" t="n"/>
      <c r="H27" s="64" t="n"/>
      <c r="I27" s="65" t="n"/>
    </row>
    <row r="28" ht="18.4" customHeight="1" s="59">
      <c r="A28" s="9" t="inlineStr">
        <is>
          <t>Workable with diligence</t>
        </is>
      </c>
      <c r="B28" s="68" t="inlineStr">
        <is>
          <t>ABI · WG Biomedical · LAMPIRE · Sierra · Animal Technologies — USDA-abattoir sourcing + device customers, but no published ISO/APHIS/TRACES/cert framework. Multi-source brokers (WG, Sierra, LAMPIRE) make single-establishment TRACES harder.</t>
        </is>
      </c>
      <c r="C28" s="64" t="n"/>
      <c r="D28" s="64" t="n"/>
      <c r="E28" s="64" t="n"/>
      <c r="F28" s="64" t="n"/>
      <c r="G28" s="64" t="n"/>
      <c r="H28" s="64" t="n"/>
      <c r="I28" s="65" t="n"/>
    </row>
    <row r="29" ht="31.8" customHeight="1" s="59">
      <c r="A29" s="9" t="inlineStr">
        <is>
          <t>Avoid for EU-bound / MDR product</t>
        </is>
      </c>
      <c r="B29" s="68" t="inlineStr">
        <is>
          <t>Innovative Research &amp; BioChemed (explicit RUO / 'not for human or animal use') · BioIVT (no published human-food-chain/APHIS basis) · Pel-Freez for porcine (their documented USDA on-site inspection is for rabbit). RUO labeling signals no export-doc support and conflicts with MDR Annex I 13.1 / ISO 22442.</t>
        </is>
      </c>
      <c r="C29" s="64" t="n"/>
      <c r="D29" s="64" t="n"/>
      <c r="E29" s="64" t="n"/>
      <c r="F29" s="64" t="n"/>
      <c r="G29" s="64" t="n"/>
      <c r="H29" s="64" t="n"/>
      <c r="I29" s="65" t="n"/>
    </row>
    <row r="30" ht="15" customHeight="1" s="59"/>
    <row r="31" ht="45.2" customHeight="1" s="59">
      <c r="A31" s="94" t="inlineStr">
        <is>
          <t>⚠ CROSS-CUTTING CORRECTION — AWA LICENCE ≠ APHIS EXPORT CREDENTIAL. Several vendors were credited with satisfying the APHIS gate on the strength of a USDA 'Class A / Class B / Class R' licence. Those are ANIMAL WELFARE ACT credentials governing possession and sale of LIVE regulated animals (A = breeder, B = dealer, C = exhibitor, R = research-facility registrant). They confer NOTHING on animal-by-product export. The credential our rule requires from a direct tissue supplier is an APHIS VETERINARY SERVICES export listing / EU TRACES entry — and that is currently UNVERIFIED for every vendor on this tab. Ask for it in writing as a pass-or-fail question.</t>
        </is>
      </c>
    </row>
  </sheetData>
  <autoFilter ref="A4:I4"/>
  <mergeCells count="10">
    <mergeCell ref="A25:I25"/>
    <mergeCell ref="A2:I2"/>
    <mergeCell ref="B29:I29"/>
    <mergeCell ref="A1:I1"/>
    <mergeCell ref="A23:I23"/>
    <mergeCell ref="B28:I28"/>
    <mergeCell ref="A31:I31"/>
    <mergeCell ref="A22:I22"/>
    <mergeCell ref="B27:I27"/>
    <mergeCell ref="A24:I24"/>
  </mergeCells>
  <pageMargins left="0.35" right="0.35" top="0.45" bottom="0.45" header="0.5" footer="0.5"/>
  <pageSetup orientation="landscape" fitToHeight="0" fitToWidth="1"/>
  <headerFooter>
    <oddHeader/>
    <oddFooter>&amp;L&amp;8 National Direct Suppliers&amp;R&amp;8 Page &amp;P of &amp;N</oddFooter>
    <evenHeader/>
    <evenFooter/>
    <firstHeader/>
    <firstFooter/>
  </headerFooter>
</worksheet>
</file>

<file path=xl/worksheets/sheet9.xml><?xml version="1.0" encoding="utf-8"?>
<worksheet xmlns="http://schemas.openxmlformats.org/spreadsheetml/2006/main">
  <sheetPr>
    <tabColor rgb="00BF8F00"/>
    <outlinePr summaryBelow="1" summaryRight="1"/>
    <pageSetUpPr fitToPage="1"/>
  </sheetPr>
  <dimension ref="A1:D21"/>
  <sheetViews>
    <sheetView showGridLines="0" topLeftCell="A7" workbookViewId="0">
      <selection activeCell="A1" sqref="A1:D1"/>
    </sheetView>
  </sheetViews>
  <sheetFormatPr baseColWidth="8" defaultRowHeight="14.4"/>
  <cols>
    <col width="22" customWidth="1" style="59" min="1" max="1"/>
    <col width="40" customWidth="1" style="59" min="2" max="4"/>
    <col width="40" customWidth="1" style="59" min="3" max="3"/>
    <col width="40" customWidth="1" style="59" min="4" max="4"/>
  </cols>
  <sheetData>
    <row r="1" ht="25.1" customHeight="1" s="59">
      <c r="A1" s="117" t="inlineStr">
        <is>
          <t>Operating Models &amp; Make-vs-Buy Framework</t>
        </is>
      </c>
    </row>
    <row r="2" ht="18.4" customHeight="1" s="59">
      <c r="A2" s="61" t="inlineStr">
        <is>
          <t>Three ways to obtain tissue. Cost drivers differ; per-tissue economics depend heavily on freshness needs, MOQ, and travel.</t>
        </is>
      </c>
    </row>
    <row r="3" ht="15" customHeight="1" s="59"/>
    <row r="4" ht="18.4" customHeight="1" s="59">
      <c r="A4" s="3" t="inlineStr">
        <is>
          <t>Dimension</t>
        </is>
      </c>
      <c r="B4" s="3" t="inlineStr">
        <is>
          <t>Model A — We harvest on-site</t>
        </is>
      </c>
      <c r="C4" s="3" t="inlineStr">
        <is>
          <t>Model B — Plant harvests for us</t>
        </is>
      </c>
      <c r="D4" s="3" t="inlineStr">
        <is>
          <t>Buy direct (national vendor)</t>
        </is>
      </c>
    </row>
    <row r="5" ht="31.8" customHeight="1" s="59">
      <c r="A5" s="1" t="inlineStr">
        <is>
          <t>What we provide</t>
        </is>
      </c>
      <c r="B5" s="68" t="inlineStr">
        <is>
          <t>Our trained harvesters + tools; we rent line/cooler access.</t>
        </is>
      </c>
      <c r="C5" s="68" t="inlineStr">
        <is>
          <t>Inspectors + trainers to qualify their crew to our protocol.</t>
        </is>
      </c>
      <c r="D5" s="68" t="inlineStr">
        <is>
          <t>A purchase order; vendor ships tissue.</t>
        </is>
      </c>
    </row>
    <row r="6" ht="31.8" customHeight="1" s="59">
      <c r="A6" s="1" t="inlineStr">
        <is>
          <t>What the plant provides</t>
        </is>
      </c>
      <c r="B6" s="68" t="inlineStr">
        <is>
          <t>Floor/line access, cooler space, kill schedule, hanging/handling.</t>
        </is>
      </c>
      <c r="C6" s="68" t="inlineStr">
        <is>
          <t>Trained labor, QA cooperation, our-spec dissection at the kill.</t>
        </is>
      </c>
      <c r="D6" s="68" t="inlineStr">
        <is>
          <t>n/a — vendor already harvests &amp; processes.</t>
        </is>
      </c>
    </row>
    <row r="7" ht="31.8" customHeight="1" s="59">
      <c r="A7" s="1" t="inlineStr">
        <is>
          <t>Freshness / ischemia control</t>
        </is>
      </c>
      <c r="B7" s="68" t="inlineStr">
        <is>
          <t>Best — we control time-to-preserve at the source.</t>
        </is>
      </c>
      <c r="C7" s="68" t="inlineStr">
        <is>
          <t>Good — depends on their crew discipline; we audit.</t>
        </is>
      </c>
      <c r="D7" s="68" t="inlineStr">
        <is>
          <t>Variable — shipping adds hours/days; ask about cold-chain &amp; harvest-to-ship time.</t>
        </is>
      </c>
    </row>
    <row r="8" ht="31.8" customHeight="1" s="59">
      <c r="A8" s="1" t="inlineStr">
        <is>
          <t>Our labor cost</t>
        </is>
      </c>
      <c r="B8" s="68" t="inlineStr">
        <is>
          <t>High — we mobilize/travel crews; rent space.</t>
        </is>
      </c>
      <c r="C8" s="68" t="inlineStr">
        <is>
          <t>Lower — plant labor does the work; we train/audit periodically.</t>
        </is>
      </c>
      <c r="D8" s="68" t="inlineStr">
        <is>
          <t>None on harvest; we pay per-tissue + freight.</t>
        </is>
      </c>
    </row>
    <row r="9" ht="31.8" customHeight="1" s="59">
      <c r="A9" s="1" t="inlineStr">
        <is>
          <t>Volume scalability</t>
        </is>
      </c>
      <c r="B9" s="68" t="inlineStr">
        <is>
          <t>Capped by plant kill schedule + our crew capacity.</t>
        </is>
      </c>
      <c r="C9" s="68" t="inlineStr">
        <is>
          <t>Scales with plant labor; needs their buy-in.</t>
        </is>
      </c>
      <c r="D9" s="68" t="inlineStr">
        <is>
          <t>Scales with vendor supply &amp; MOQ; least control.</t>
        </is>
      </c>
    </row>
    <row r="10" ht="31.8" customHeight="1" s="59">
      <c r="A10" s="1" t="inlineStr">
        <is>
          <t>Quality-issue leverage</t>
        </is>
      </c>
      <c r="B10" s="68" t="inlineStr">
        <is>
          <t>High — our people, our call.</t>
        </is>
      </c>
      <c r="C10" s="68" t="inlineStr">
        <is>
          <t>Medium — depends on the plant's culture (why culture matters).</t>
        </is>
      </c>
      <c r="D10" s="68" t="inlineStr">
        <is>
          <t>Low-medium — vendor SLA / return policy only.</t>
        </is>
      </c>
    </row>
    <row r="11" ht="31.8" customHeight="1" s="59">
      <c r="A11" s="1" t="inlineStr">
        <is>
          <t>Best when</t>
        </is>
      </c>
      <c r="B11" s="68" t="inlineStr">
        <is>
          <t>Tissue is high-value, freshness-critical, or protocol is proprietary.</t>
        </is>
      </c>
      <c r="C11" s="68" t="inlineStr">
        <is>
          <t>Plant has good culture (Nahunta-type) and willing crew; recurring volume.</t>
        </is>
      </c>
      <c r="D11" s="68" t="inlineStr">
        <is>
          <t>Need occasional/low volume, or a tissue we can't efficiently harvest ourselves.</t>
        </is>
      </c>
    </row>
    <row r="12" ht="31.8" customHeight="1" s="59">
      <c r="A12" s="1" t="inlineStr">
        <is>
          <t>Main cost drivers</t>
        </is>
      </c>
      <c r="B12" s="68" t="inlineStr">
        <is>
          <t>Crew travel/lodging, space rental, per-visit mobilization, downtime.</t>
        </is>
      </c>
      <c r="C12" s="68" t="inlineStr">
        <is>
          <t>Training overhead, per-piece harvest fee, audit trips.</t>
        </is>
      </c>
      <c r="D12" s="68" t="inlineStr">
        <is>
          <t>Per-tissue list/quote price, MOQ, dissection fees, overnight cold-chain freight.</t>
        </is>
      </c>
    </row>
    <row r="13" ht="15" customHeight="1" s="59"/>
    <row r="14" ht="19.7" customHeight="1" s="59">
      <c r="A14" s="118" t="inlineStr">
        <is>
          <t>MAKE-VS-BUY — per-tissue economics (qualitative, confirm with real quotes)</t>
        </is>
      </c>
    </row>
    <row r="15" ht="31.8" customHeight="1" s="59">
      <c r="A15" s="68" t="inlineStr">
        <is>
          <t>•  Bottom line: for an operation that already harvests on-site, buying finished tissue from a national vendor is generally MORE expensive per tissue than self-harvest — but buying-direct wins in specific situations, not on unit cost.</t>
        </is>
      </c>
      <c r="B15" s="64" t="n"/>
      <c r="C15" s="64" t="n"/>
      <c r="D15" s="65" t="n"/>
    </row>
    <row r="16" ht="45.2" customHeight="1" s="59">
      <c r="A16" s="68" t="inlineStr">
        <is>
          <t>•  One hog yields all three regions at once: self-harvest pulls pelvic + abdominal + thoracic from the same carcass in one session. Buying the equivalent separately (pelvic block ~$582 + a thoracic pluck + abdominal organs ~$141 each) stacks to roughly $1,000-2,000+ per animal-equivalent before shipping. Your marginal cost at the plant is mostly labor + consumables.</t>
        </is>
      </c>
      <c r="B16" s="64" t="n"/>
      <c r="C16" s="64" t="n"/>
      <c r="D16" s="65" t="n"/>
    </row>
    <row r="17" ht="31.8" customHeight="1" s="59">
      <c r="A17" s="68" t="inlineStr">
        <is>
          <t>•  Custom dissection / processing fees: vendors charge for anything beyond base config (extra vessels, cannulation, specific trim, saline/PBS perfusion) — exactly the work you already do in-house.</t>
        </is>
      </c>
      <c r="B17" s="64" t="n"/>
      <c r="C17" s="64" t="n"/>
      <c r="D17" s="65" t="n"/>
    </row>
    <row r="18" ht="31.8" customHeight="1" s="59">
      <c r="A18" s="68" t="inlineStr">
        <is>
          <t>•  Freshness / warm-ischemia: self-harvest is unbeatable (minutes). Vendors mitigate with overnight fresh-on-ice, but you still lose hours-to-a-day and pay cold-chain/dry-ice freight.</t>
        </is>
      </c>
      <c r="B18" s="64" t="n"/>
      <c r="C18" s="64" t="n"/>
      <c r="D18" s="65" t="n"/>
    </row>
    <row r="19" ht="18.4" customHeight="1" s="59">
      <c r="A19" s="68" t="inlineStr">
        <is>
          <t>•  Minimums, lead times, shipping: published lead times run up to 2-4 weeks (Pel-Freez); custom collections longer.</t>
        </is>
      </c>
      <c r="B19" s="64" t="n"/>
      <c r="C19" s="64" t="n"/>
      <c r="D19" s="65" t="n"/>
    </row>
    <row r="20" ht="45.2" customHeight="1" s="59">
      <c r="A20" s="68" t="inlineStr">
        <is>
          <t>•  Buy-direct is the better call despite higher unit cost when: volume is low/irregular; you lack USDA-inspected abattoir access or the QMS to document it and need traceability/certs (e.g. Tissue Source ISO 13485 + USDA Class A; ABI USDA-inspected); you need occasional organs outside your normal line, or specialized prep (perfused, snap-frozen, lyophilized — LAMPIRE).</t>
        </is>
      </c>
      <c r="B20" s="64" t="n"/>
      <c r="C20" s="64" t="n"/>
      <c r="D20" s="65" t="n"/>
    </row>
    <row r="21" ht="45.2" customHeight="1" s="59">
      <c r="A21" s="68" t="inlineStr">
        <is>
          <t>•  Public price anchors to reason from: ~$141 per single porcine organ and ~$582 for a full regional (pelvic) block (Innovative Research, list). Exact self-harvest break-even depends on hog cost, labor rate, tissues-per-animal yield, and shipping — none public — so treat this as directional until real quotes are in hand.</t>
        </is>
      </c>
      <c r="B21" s="64" t="n"/>
      <c r="C21" s="64" t="n"/>
      <c r="D21" s="65" t="n"/>
    </row>
  </sheetData>
  <mergeCells count="10">
    <mergeCell ref="A1:D1"/>
    <mergeCell ref="A17:D17"/>
    <mergeCell ref="A18:D18"/>
    <mergeCell ref="A20:D20"/>
    <mergeCell ref="A21:D21"/>
    <mergeCell ref="A15:D15"/>
    <mergeCell ref="A16:D16"/>
    <mergeCell ref="A2:D2"/>
    <mergeCell ref="A19:D19"/>
    <mergeCell ref="A14:D14"/>
  </mergeCells>
  <pageMargins left="0.35" right="0.35" top="0.45" bottom="0.45" header="0.5" footer="0.5"/>
  <pageSetup orientation="landscape" fitToHeight="0" fitToWidth="1"/>
  <headerFooter>
    <oddHeader/>
    <oddFooter>&amp;L&amp;8 Models &amp; Make-vs-Buy&amp;R&amp;8 Page &amp;P of &amp;N</oddFooter>
    <evenHeader/>
    <evenFooter/>
    <firstHeader/>
    <firstFooter/>
  </headerFooter>
</worksheet>
</file>

<file path=xl/worksheets/sheet10.xml><?xml version="1.0" encoding="utf-8"?>
<worksheet xmlns="http://schemas.openxmlformats.org/spreadsheetml/2006/main">
  <sheetPr>
    <tabColor rgb="00BF8F00"/>
    <outlinePr summaryBelow="1" summaryRight="1"/>
    <pageSetUpPr fitToPage="1"/>
  </sheetPr>
  <dimension ref="A1:L45"/>
  <sheetViews>
    <sheetView showGridLines="0" workbookViewId="0">
      <selection activeCell="A1" sqref="A1:L1"/>
    </sheetView>
  </sheetViews>
  <sheetFormatPr baseColWidth="8" defaultRowHeight="14.4"/>
  <cols>
    <col width="30" customWidth="1" style="59" min="1" max="1"/>
    <col width="11" customWidth="1" style="59" min="2" max="3"/>
    <col width="8" customWidth="1" style="59" min="4" max="4"/>
    <col width="9" customWidth="1" style="59" min="5" max="5"/>
    <col width="12" customWidth="1" style="59" min="6" max="6"/>
    <col width="14" customWidth="1" style="59" min="7" max="7"/>
    <col width="12" customWidth="1" style="59" min="8" max="8"/>
    <col width="13" customWidth="1" style="59" min="9" max="9"/>
    <col width="10" customWidth="1" style="59" min="10" max="10"/>
    <col width="13" customWidth="1" style="59" min="11" max="11"/>
    <col width="14" customWidth="1" style="59" min="12" max="12"/>
  </cols>
  <sheetData>
    <row r="1" ht="25.1" customHeight="1" s="59">
      <c r="A1" s="117" t="inlineStr">
        <is>
          <t>TCO Calculator — Total Cost per Organ / Block (self-harvest)</t>
        </is>
      </c>
    </row>
    <row r="2" ht="31.8" customHeight="1" s="59">
      <c r="A2" s="61" t="inlineStr">
        <is>
          <t>Edit the BLUE cells with your variables; cost-per-block updates automatically. Compare slaughterhouses in the grid, and against buy-direct list prices. All numeric inputs are ILLUSTRATIVE placeholders — replace with your real figures/quotes.</t>
        </is>
      </c>
    </row>
    <row r="3" ht="15" customHeight="1" s="59"/>
    <row r="4" ht="17.1" customHeight="1" s="59">
      <c r="A4" s="77" t="inlineStr">
        <is>
          <t>Legend:  blue cells on pale-yellow = you edit  ·  black = calculated  ·  ★ = the answer.  Values shown are ILLUSTRATIVE placeholders — swap in your real numbers/quotes.</t>
        </is>
      </c>
    </row>
    <row r="5" ht="19.7" customHeight="1" s="59">
      <c r="A5" s="120" t="inlineStr">
        <is>
          <t>A.  HARVEST SESSION  (per visit)</t>
        </is>
      </c>
    </row>
    <row r="6" ht="18.4" customHeight="1" s="59">
      <c r="A6" s="74" t="inlineStr">
        <is>
          <t>Blocks / organs harvested per visit</t>
        </is>
      </c>
      <c r="C6" s="121" t="n">
        <v>40</v>
      </c>
      <c r="D6" s="73" t="inlineStr">
        <is>
          <t>How many pieces you collect in one trip.</t>
        </is>
      </c>
    </row>
    <row r="7" ht="18.4" customHeight="1" s="59">
      <c r="A7" s="74" t="inlineStr">
        <is>
          <t>Harvest time per block (minutes)</t>
        </is>
      </c>
      <c r="C7" s="122" t="n">
        <v>15</v>
      </c>
      <c r="D7" s="73" t="inlineStr">
        <is>
          <t>Hands-on time to harvest one block/organ.</t>
        </is>
      </c>
    </row>
    <row r="8" ht="18.4" customHeight="1" s="59">
      <c r="A8" s="74" t="inlineStr">
        <is>
          <t>Harvesters on site (#)</t>
        </is>
      </c>
      <c r="C8" s="121" t="n">
        <v>2</v>
      </c>
      <c r="D8" s="73" t="inlineStr">
        <is>
          <t>Your crew size. For Model B (plant harvests) set 0.</t>
        </is>
      </c>
    </row>
    <row r="9" ht="18.4" customHeight="1" s="59">
      <c r="A9" s="74" t="inlineStr">
        <is>
          <t>Harvester labor rate ($/hr, loaded)</t>
        </is>
      </c>
      <c r="C9" s="123" t="n">
        <v>45</v>
      </c>
      <c r="D9" s="73" t="inlineStr">
        <is>
          <t>Fully-loaded wage incl. burden.</t>
        </is>
      </c>
    </row>
    <row r="10" ht="18.4" customHeight="1" s="59">
      <c r="A10" s="74" t="inlineStr">
        <is>
          <t>Session hours (wall-clock)</t>
        </is>
      </c>
      <c r="C10" s="124">
        <f>C6*C7/60</f>
        <v/>
      </c>
      <c r="D10" s="73">
        <f>blocks * min/block / 60</f>
        <v/>
      </c>
    </row>
    <row r="11" ht="18.4" customHeight="1" s="59">
      <c r="A11" s="74" t="inlineStr">
        <is>
          <t>Harvester labor per visit</t>
        </is>
      </c>
      <c r="C11" s="125">
        <f>C10*C8*C9</f>
        <v/>
      </c>
      <c r="D11" s="73">
        <f>session hours * crew * rate.</f>
        <v/>
      </c>
    </row>
    <row r="12" ht="19.7" customHeight="1" s="59">
      <c r="A12" s="120" t="inlineStr">
        <is>
          <t>B.  FACILITY ACCESS  (per visit — varies by slaughterhouse)</t>
        </is>
      </c>
    </row>
    <row r="13" ht="18.4" customHeight="1" s="59">
      <c r="A13" s="74" t="inlineStr">
        <is>
          <t>Space / line rental per visit ($)</t>
        </is>
      </c>
      <c r="C13" s="123" t="n">
        <v>500</v>
      </c>
      <c r="D13" s="73" t="inlineStr">
        <is>
          <t>Model A: rent floor/cooler access. 0 if none / relationship.</t>
        </is>
      </c>
    </row>
    <row r="14" ht="18.4" customHeight="1" s="59">
      <c r="A14" s="74" t="inlineStr">
        <is>
          <t>Plant inspection / handling fee per visit ($)</t>
        </is>
      </c>
      <c r="C14" s="123" t="n">
        <v>150</v>
      </c>
      <c r="D14" s="73" t="inlineStr">
        <is>
          <t>Plant's charge for their staff/line time — OR the Model B per-visit harvest fee.</t>
        </is>
      </c>
    </row>
    <row r="15" ht="18.4" customHeight="1" s="59">
      <c r="A15" s="74" t="inlineStr">
        <is>
          <t>Our inspector / trainer cost per visit ($)</t>
        </is>
      </c>
      <c r="C15" s="123" t="n">
        <v>0</v>
      </c>
      <c r="D15" s="73" t="inlineStr">
        <is>
          <t>Model B: amortized day-rate + travel of trainers/inspectors we send.</t>
        </is>
      </c>
    </row>
    <row r="16" ht="18.4" customHeight="1" s="59">
      <c r="A16" s="74" t="inlineStr">
        <is>
          <t>Facility fixed subtotal</t>
        </is>
      </c>
      <c r="C16" s="125">
        <f>C13+C14+C15</f>
        <v/>
      </c>
      <c r="D16" s="73">
        <f>rental + plant fee + our inspector.</f>
        <v/>
      </c>
    </row>
    <row r="17" ht="19.7" customHeight="1" s="59">
      <c r="A17" s="120" t="inlineStr">
        <is>
          <t>C.  LOGISTICS &amp; HOLDING</t>
        </is>
      </c>
    </row>
    <row r="18" ht="18.4" customHeight="1" s="59">
      <c r="A18" s="74" t="inlineStr">
        <is>
          <t>Transportation per visit ($)</t>
        </is>
      </c>
      <c r="C18" s="123" t="n">
        <v>300</v>
      </c>
      <c r="D18" s="73" t="inlineStr">
        <is>
          <t>Round-trip freight / vehicle / fuel / cold-chain for the trip.</t>
        </is>
      </c>
    </row>
    <row r="19" ht="18.4" customHeight="1" s="59">
      <c r="A19" s="74" t="inlineStr">
        <is>
          <t>Inventory / holding cost per block ($)</t>
        </is>
      </c>
      <c r="C19" s="123" t="n">
        <v>8</v>
      </c>
      <c r="D19" s="73" t="inlineStr">
        <is>
          <t>Preservation, cold storage, holding per piece.</t>
        </is>
      </c>
    </row>
    <row r="20" ht="19.7" customHeight="1" s="59">
      <c r="A20" s="120" t="inlineStr">
        <is>
          <t>D.  RESULT</t>
        </is>
      </c>
    </row>
    <row r="21" ht="18.4" customHeight="1" s="59">
      <c r="A21" s="74" t="inlineStr">
        <is>
          <t>Per-visit fixed + transport</t>
        </is>
      </c>
      <c r="C21" s="125">
        <f>C16+C18</f>
        <v/>
      </c>
      <c r="D21" s="73">
        <f>facility fixed + transportation.</f>
        <v/>
      </c>
    </row>
    <row r="22" ht="18.4" customHeight="1" s="59">
      <c r="A22" s="74" t="inlineStr">
        <is>
          <t>Total cost per visit</t>
        </is>
      </c>
      <c r="C22" s="125">
        <f>C21+C11+C19*C6</f>
        <v/>
      </c>
      <c r="D22" s="73">
        <f>fixed+transport + harvester labor + inventory * blocks.</f>
        <v/>
      </c>
    </row>
    <row r="23" ht="18.4" customHeight="1" s="59">
      <c r="A23" s="78" t="inlineStr">
        <is>
          <t>★ TOTAL COST PER BLOCK</t>
        </is>
      </c>
      <c r="C23" s="126">
        <f>IF(C6&gt;0,C22/C6,0)</f>
        <v/>
      </c>
      <c r="D23" s="73">
        <f>total cost per visit / blocks. Your self-harvest unit cost.</f>
        <v/>
      </c>
    </row>
    <row r="24" ht="18.4" customHeight="1" s="59">
      <c r="A24" s="74" t="inlineStr">
        <is>
          <t>Memo: harvester labor per block</t>
        </is>
      </c>
      <c r="C24" s="125">
        <f>IF(C6&gt;0,C11/C6,0)</f>
        <v/>
      </c>
      <c r="D24" s="73">
        <f>(min/block / 60) * crew * rate.</f>
        <v/>
      </c>
    </row>
    <row r="25" ht="18.4" customHeight="1" s="59">
      <c r="A25" s="74" t="inlineStr">
        <is>
          <t>Memo: fixed+transport per block</t>
        </is>
      </c>
      <c r="C25" s="125">
        <f>IF(C6&gt;0,C21/C6,0)</f>
        <v/>
      </c>
      <c r="D25" s="73" t="inlineStr">
        <is>
          <t>Spread of per-visit fixed costs — falls as blocks/visit rises.</t>
        </is>
      </c>
    </row>
    <row r="26" ht="19.7" customHeight="1" s="59">
      <c r="A26" s="120" t="inlineStr">
        <is>
          <t>E.  BUY-DIRECT BENCHMARK  (real published list prices)</t>
        </is>
      </c>
    </row>
    <row r="27" ht="18.4" customHeight="1" s="59">
      <c r="A27" s="74" t="inlineStr">
        <is>
          <t>Buy-direct: single porcine organ ($)</t>
        </is>
      </c>
      <c r="C27" s="123" t="n">
        <v>141</v>
      </c>
      <c r="D27" s="73" t="inlineStr">
        <is>
          <t>Innovative Research list, base config (real published price).</t>
        </is>
      </c>
    </row>
    <row r="28" ht="18.4" customHeight="1" s="59">
      <c r="A28" s="74" t="inlineStr">
        <is>
          <t>Buy-direct: pelvic block ($)</t>
        </is>
      </c>
      <c r="C28" s="123" t="n">
        <v>582</v>
      </c>
      <c r="D28" s="73" t="inlineStr">
        <is>
          <t>Innovative Research list, base config (real published price).</t>
        </is>
      </c>
    </row>
    <row r="29" ht="18.4" customHeight="1" s="59">
      <c r="A29" s="74" t="inlineStr">
        <is>
          <t>Δ self-harvest vs buy-direct (per organ)</t>
        </is>
      </c>
      <c r="C29" s="125">
        <f>C23-C27</f>
        <v/>
      </c>
      <c r="D29" s="73" t="inlineStr">
        <is>
          <t>Negative = self-harvest cheaper per organ.</t>
        </is>
      </c>
    </row>
    <row r="30" ht="18.4" customHeight="1" s="59">
      <c r="A30" s="74" t="inlineStr">
        <is>
          <t>Verdict</t>
        </is>
      </c>
      <c r="C30" s="127">
        <f>IF(C23&lt;=C27,"Self-harvest cheaper / on par","Buying direct cheaper per organ")</f>
        <v/>
      </c>
      <c r="D30" s="73" t="inlineStr">
        <is>
          <t>Rule of thumb; one visit yields many blocks, favoring self-harvest.</t>
        </is>
      </c>
    </row>
    <row r="31" ht="15" customHeight="1" s="59"/>
    <row r="32" ht="19.7" customHeight="1" s="59">
      <c r="A32" s="120" t="inlineStr">
        <is>
          <t>PER-SLAUGHTERHOUSE COMPARISON  (illustrative placeholders — replace with real figures/quotes)</t>
        </is>
      </c>
    </row>
    <row r="33" ht="31.8" customHeight="1" s="59">
      <c r="A33" s="40" t="inlineStr">
        <is>
          <t>Facility</t>
        </is>
      </c>
      <c r="B33" s="40" t="inlineStr">
        <is>
          <t>Blocks/
visit</t>
        </is>
      </c>
      <c r="C33" s="40" t="inlineStr">
        <is>
          <t>Min/
block</t>
        </is>
      </c>
      <c r="D33" s="40" t="inlineStr">
        <is>
          <t>Crew</t>
        </is>
      </c>
      <c r="E33" s="40" t="inlineStr">
        <is>
          <t>$/hr</t>
        </is>
      </c>
      <c r="F33" s="40" t="inlineStr">
        <is>
          <t>Rental/
visit</t>
        </is>
      </c>
      <c r="G33" s="40" t="inlineStr">
        <is>
          <t>Plant fee /
harvest fee</t>
        </is>
      </c>
      <c r="H33" s="40" t="inlineStr">
        <is>
          <t>Our insp/
visit</t>
        </is>
      </c>
      <c r="I33" s="40" t="inlineStr">
        <is>
          <t>Transport/
visit</t>
        </is>
      </c>
      <c r="J33" s="40" t="inlineStr">
        <is>
          <t>Inv/
block</t>
        </is>
      </c>
      <c r="K33" s="40" t="inlineStr">
        <is>
          <t>⇒ Cost/
block</t>
        </is>
      </c>
      <c r="L33" s="40" t="inlineStr">
        <is>
          <t>vs $/organ
direct</t>
        </is>
      </c>
    </row>
    <row r="34" ht="31.8" customHeight="1" s="59">
      <c r="A34" s="8" t="inlineStr">
        <is>
          <t>Nahunta Pork Center (Pikeville, NC)</t>
        </is>
      </c>
      <c r="B34" s="121" t="n">
        <v>40</v>
      </c>
      <c r="C34" s="122" t="n">
        <v>15</v>
      </c>
      <c r="D34" s="121" t="n">
        <v>2</v>
      </c>
      <c r="E34" s="123" t="n">
        <v>45</v>
      </c>
      <c r="F34" s="123" t="n">
        <v>0</v>
      </c>
      <c r="G34" s="123" t="n">
        <v>100</v>
      </c>
      <c r="H34" s="123" t="n">
        <v>0</v>
      </c>
      <c r="I34" s="123" t="n">
        <v>150</v>
      </c>
      <c r="J34" s="123" t="n">
        <v>8</v>
      </c>
      <c r="K34" s="128">
        <f>IF(B34&gt;0,(F34+G34+H34+I34+(B34*C34/60)*D34*E34+J34*B34)/B34,0)</f>
        <v/>
      </c>
      <c r="L34" s="125">
        <f>K34-$C$27</f>
        <v/>
      </c>
    </row>
    <row r="35" ht="31.8" customHeight="1" s="59">
      <c r="A35" s="8" t="inlineStr">
        <is>
          <t>Martin's Pork Products (Falcon, NC)</t>
        </is>
      </c>
      <c r="B35" s="121" t="n">
        <v>50</v>
      </c>
      <c r="C35" s="122" t="n">
        <v>15</v>
      </c>
      <c r="D35" s="121" t="n">
        <v>2</v>
      </c>
      <c r="E35" s="123" t="n">
        <v>45</v>
      </c>
      <c r="F35" s="123" t="n">
        <v>0</v>
      </c>
      <c r="G35" s="123" t="n">
        <v>150</v>
      </c>
      <c r="H35" s="123" t="n">
        <v>0</v>
      </c>
      <c r="I35" s="123" t="n">
        <v>175</v>
      </c>
      <c r="J35" s="123" t="n">
        <v>8</v>
      </c>
      <c r="K35" s="128">
        <f>IF(B35&gt;0,(F35+G35+H35+I35+(B35*C35/60)*D35*E35+J35*B35)/B35,0)</f>
        <v/>
      </c>
      <c r="L35" s="125">
        <f>K35-$C$27</f>
        <v/>
      </c>
    </row>
    <row r="36" ht="18.4" customHeight="1" s="59">
      <c r="A36" s="8" t="inlineStr">
        <is>
          <t>Piedmont Custom Meats (NC)</t>
        </is>
      </c>
      <c r="B36" s="121" t="n">
        <v>45</v>
      </c>
      <c r="C36" s="122" t="n">
        <v>15</v>
      </c>
      <c r="D36" s="121" t="n">
        <v>2</v>
      </c>
      <c r="E36" s="123" t="n">
        <v>45</v>
      </c>
      <c r="F36" s="123" t="n">
        <v>400</v>
      </c>
      <c r="G36" s="123" t="n">
        <v>0</v>
      </c>
      <c r="H36" s="123" t="n">
        <v>0</v>
      </c>
      <c r="I36" s="123" t="n">
        <v>200</v>
      </c>
      <c r="J36" s="123" t="n">
        <v>8</v>
      </c>
      <c r="K36" s="128">
        <f>IF(B36&gt;0,(F36+G36+H36+I36+(B36*C36/60)*D36*E36+J36*B36)/B36,0)</f>
        <v/>
      </c>
      <c r="L36" s="125">
        <f>K36-$C$27</f>
        <v/>
      </c>
    </row>
    <row r="37" ht="18.4" customHeight="1" s="59">
      <c r="A37" s="8" t="inlineStr">
        <is>
          <t>Acre Station Meat Farm (NC)</t>
        </is>
      </c>
      <c r="B37" s="121" t="n">
        <v>30</v>
      </c>
      <c r="C37" s="122" t="n">
        <v>15</v>
      </c>
      <c r="D37" s="121" t="n">
        <v>2</v>
      </c>
      <c r="E37" s="123" t="n">
        <v>45</v>
      </c>
      <c r="F37" s="123" t="n">
        <v>350</v>
      </c>
      <c r="G37" s="123" t="n">
        <v>0</v>
      </c>
      <c r="H37" s="123" t="n">
        <v>0</v>
      </c>
      <c r="I37" s="123" t="n">
        <v>220</v>
      </c>
      <c r="J37" s="123" t="n">
        <v>8</v>
      </c>
      <c r="K37" s="128">
        <f>IF(B37&gt;0,(F37+G37+H37+I37+(B37*C37/60)*D37*E37+J37*B37)/B37,0)</f>
        <v/>
      </c>
      <c r="L37" s="125">
        <f>K37-$C$27</f>
        <v/>
      </c>
    </row>
    <row r="38" ht="18.4" customHeight="1" s="59">
      <c r="A38" s="8" t="inlineStr">
        <is>
          <t>EcoFriendly Foods (Moneta, VA)</t>
        </is>
      </c>
      <c r="B38" s="121" t="n">
        <v>30</v>
      </c>
      <c r="C38" s="122" t="n">
        <v>15</v>
      </c>
      <c r="D38" s="121" t="n">
        <v>2</v>
      </c>
      <c r="E38" s="123" t="n">
        <v>48</v>
      </c>
      <c r="F38" s="123" t="n">
        <v>400</v>
      </c>
      <c r="G38" s="123" t="n">
        <v>0</v>
      </c>
      <c r="H38" s="123" t="n">
        <v>0</v>
      </c>
      <c r="I38" s="123" t="n">
        <v>350</v>
      </c>
      <c r="J38" s="123" t="n">
        <v>9</v>
      </c>
      <c r="K38" s="128">
        <f>IF(B38&gt;0,(F38+G38+H38+I38+(B38*C38/60)*D38*E38+J38*B38)/B38,0)</f>
        <v/>
      </c>
      <c r="L38" s="125">
        <f>K38-$C$27</f>
        <v/>
      </c>
    </row>
    <row r="39" ht="31.8" customHeight="1" s="59">
      <c r="A39" s="8" t="inlineStr">
        <is>
          <t>Midwest Research Swine (MN) — Model B</t>
        </is>
      </c>
      <c r="B39" s="121" t="n">
        <v>60</v>
      </c>
      <c r="C39" s="122" t="n">
        <v>12</v>
      </c>
      <c r="D39" s="121" t="n">
        <v>0</v>
      </c>
      <c r="E39" s="123" t="n">
        <v>45</v>
      </c>
      <c r="F39" s="123" t="n">
        <v>0</v>
      </c>
      <c r="G39" s="123" t="n">
        <v>900</v>
      </c>
      <c r="H39" s="123" t="n">
        <v>200</v>
      </c>
      <c r="I39" s="123" t="n">
        <v>400</v>
      </c>
      <c r="J39" s="123" t="n">
        <v>9</v>
      </c>
      <c r="K39" s="128">
        <f>IF(B39&gt;0,(F39+G39+H39+I39+(B39*C39/60)*D39*E39+J39*B39)/B39,0)</f>
        <v/>
      </c>
      <c r="L39" s="125">
        <f>K39-$C$27</f>
        <v/>
      </c>
    </row>
    <row r="40" ht="31.8" customHeight="1" s="59">
      <c r="A40" s="8" t="inlineStr">
        <is>
          <t>Smithfield BioScience (IA) — Model B</t>
        </is>
      </c>
      <c r="B40" s="121" t="n">
        <v>80</v>
      </c>
      <c r="C40" s="122" t="n">
        <v>10</v>
      </c>
      <c r="D40" s="121" t="n">
        <v>0</v>
      </c>
      <c r="E40" s="123" t="n">
        <v>45</v>
      </c>
      <c r="F40" s="123" t="n">
        <v>0</v>
      </c>
      <c r="G40" s="123" t="n">
        <v>1200</v>
      </c>
      <c r="H40" s="123" t="n">
        <v>150</v>
      </c>
      <c r="I40" s="123" t="n">
        <v>300</v>
      </c>
      <c r="J40" s="123" t="n">
        <v>8</v>
      </c>
      <c r="K40" s="128">
        <f>IF(B40&gt;0,(F40+G40+H40+I40+(B40*C40/60)*D40*E40+J40*B40)/B40,0)</f>
        <v/>
      </c>
      <c r="L40" s="125">
        <f>K40-$C$27</f>
        <v/>
      </c>
    </row>
    <row r="41" ht="15" customHeight="1" s="59"/>
    <row r="42" ht="17.1" customHeight="1" s="59">
      <c r="A42" s="76" t="inlineStr">
        <is>
          <t>•  For Model B (plant harvests): set Crew = 0 and enter the plant's per-visit harvest fee under 'Plant fee / harvest fee'.</t>
        </is>
      </c>
    </row>
    <row r="43" ht="17.1" customHeight="1" s="59">
      <c r="A43" s="76" t="inlineStr">
        <is>
          <t>•  Cost/block = (rental + plant fee + our inspector + transport + harvester labor + inventory × blocks) ÷ blocks.  Harvester labor = (min/block ÷ 60) × blocks × crew × rate.</t>
        </is>
      </c>
    </row>
    <row r="44" ht="17.1" customHeight="1" s="59">
      <c r="A44" s="76" t="inlineStr">
        <is>
          <t>•  Compare Cost/block (col ⇒) to buy-direct list prices: ~$141/organ and $582/pelvic block (Innovative Research). Self-harvest usually wins because one visit yields many blocks at once.</t>
        </is>
      </c>
    </row>
    <row r="45" ht="17.1" customHeight="1" s="59">
      <c r="A45" s="76" t="inlineStr">
        <is>
          <t>•  Every blue number is an ILLUSTRATIVE placeholder to show the format — none are researched costs. Replace them with your real time-studies, rental terms, wages, freight, and holding costs.</t>
        </is>
      </c>
    </row>
  </sheetData>
  <mergeCells count="55">
    <mergeCell ref="D11:I11"/>
    <mergeCell ref="A24:B24"/>
    <mergeCell ref="D27:I27"/>
    <mergeCell ref="A30:B30"/>
    <mergeCell ref="A15:B15"/>
    <mergeCell ref="D13:I13"/>
    <mergeCell ref="A11:B11"/>
    <mergeCell ref="D16:I16"/>
    <mergeCell ref="D7:I7"/>
    <mergeCell ref="A6:B6"/>
    <mergeCell ref="A12:L12"/>
    <mergeCell ref="A26:L26"/>
    <mergeCell ref="A2:L2"/>
    <mergeCell ref="A16:B16"/>
    <mergeCell ref="A42:L42"/>
    <mergeCell ref="A7:B7"/>
    <mergeCell ref="A25:B25"/>
    <mergeCell ref="D28:I28"/>
    <mergeCell ref="A5:L5"/>
    <mergeCell ref="D18:I18"/>
    <mergeCell ref="A32:L32"/>
    <mergeCell ref="D9:I9"/>
    <mergeCell ref="A17:L17"/>
    <mergeCell ref="A18:B18"/>
    <mergeCell ref="A27:B27"/>
    <mergeCell ref="D30:I30"/>
    <mergeCell ref="D8:I8"/>
    <mergeCell ref="D25:I25"/>
    <mergeCell ref="D15:I15"/>
    <mergeCell ref="A20:L20"/>
    <mergeCell ref="A4:L4"/>
    <mergeCell ref="A21:B21"/>
    <mergeCell ref="D24:I24"/>
    <mergeCell ref="A43:L43"/>
    <mergeCell ref="D14:I14"/>
    <mergeCell ref="D29:I29"/>
    <mergeCell ref="D23:I23"/>
    <mergeCell ref="A44:L44"/>
    <mergeCell ref="A14:B14"/>
    <mergeCell ref="A23:B23"/>
    <mergeCell ref="A8:B8"/>
    <mergeCell ref="A22:B22"/>
    <mergeCell ref="D19:I19"/>
    <mergeCell ref="D10:I10"/>
    <mergeCell ref="A29:B29"/>
    <mergeCell ref="A19:B19"/>
    <mergeCell ref="D22:I22"/>
    <mergeCell ref="A1:L1"/>
    <mergeCell ref="A45:L45"/>
    <mergeCell ref="A10:B10"/>
    <mergeCell ref="A28:B28"/>
    <mergeCell ref="A13:B13"/>
    <mergeCell ref="D6:I6"/>
    <mergeCell ref="A9:B9"/>
    <mergeCell ref="D21:I21"/>
  </mergeCells>
  <pageMargins left="0.35" right="0.35" top="0.45" bottom="0.45" header="0.5" footer="0.5"/>
  <pageSetup orientation="landscape" fitToHeight="0" fitToWidth="1"/>
  <headerFooter>
    <oddHeader/>
    <oddFooter>&amp;L&amp;8 TCO Calculator&amp;R&amp;8 Page &amp;P of &amp;N</oddFooter>
    <evenHeader/>
    <evenFooter/>
    <firstHeader/>
    <firstFooter/>
  </headerFooter>
</worksheet>
</file>

<file path=xl/worksheets/sheet11.xml><?xml version="1.0" encoding="utf-8"?>
<worksheet xmlns="http://schemas.openxmlformats.org/spreadsheetml/2006/main">
  <sheetPr>
    <tabColor rgb="00C55A11"/>
    <outlinePr summaryBelow="1" summaryRight="1"/>
    <pageSetUpPr fitToPage="1"/>
  </sheetPr>
  <dimension ref="A1:C72"/>
  <sheetViews>
    <sheetView showGridLines="0" workbookViewId="0">
      <selection activeCell="A1" sqref="A1:C1"/>
    </sheetView>
  </sheetViews>
  <sheetFormatPr baseColWidth="8" defaultRowHeight="14.4"/>
  <cols>
    <col width="26" customWidth="1" style="59" min="1" max="1"/>
    <col width="46" customWidth="1" style="59" min="2" max="3"/>
    <col width="46" customWidth="1" style="59" min="3" max="3"/>
  </cols>
  <sheetData>
    <row r="1" ht="25.1" customHeight="1" s="59">
      <c r="A1" s="117" t="inlineStr">
        <is>
          <t>APHIS &amp; EU Export — what your suppliers actually need</t>
        </is>
      </c>
    </row>
    <row r="2" ht="31.8" customHeight="1" s="59">
      <c r="A2" s="61" t="inlineStr">
        <is>
          <t>For exporting porcine-tissue 'models' to Europe. Orientation only — NOT legal advice; confirm per product line with APHIS VS, your EU importer, and (if a device) a notified body.</t>
        </is>
      </c>
    </row>
    <row r="3" ht="15" customHeight="1" s="59"/>
    <row r="4" ht="85.40000000000001" customHeight="1" s="59">
      <c r="A4" s="70" t="inlineStr">
        <is>
          <t>BOTTOM LINE: The EU does NOT require your suppliers to hand you a standalone 'APHIS certificate.' It requires (1) the ORIGIN establishment (the slaughterhouse) to be APHIS-approved and LISTED on the EU TRACES establishment list for the correct animal-by-product category, and (2) an APHIS Veterinary Services-ENDORSED EU health certificate that YOUR company, as the exporter, carries with each shipment. Your instinct is right in substance — the supplier does need an APHIS eligibility/listing status — but it is a system tied to a specific product + destination, not a certificate on the wall.   ⚠ This tab is orientation, NOT legal advice: confirm the exact category and certificate with APHIS VS, your EU importer, and (if any product is a device) your notified body.</t>
        </is>
      </c>
      <c r="B4" s="64" t="n"/>
      <c r="C4" s="65" t="n"/>
    </row>
    <row r="5" ht="15" customHeight="1" s="59"/>
    <row r="6" ht="19.7" customHeight="1" s="59">
      <c r="A6" s="120" t="inlineStr">
        <is>
          <t>HOW TO CHECK APHIS / EXPORT STATUS YOURSELF  (the lookup sites)</t>
        </is>
      </c>
    </row>
    <row r="7" ht="18.4" customHeight="1" s="59">
      <c r="A7" s="63" t="inlineStr">
        <is>
          <t>There is NO single 'APHIS-certified slaughterhouse' lookup — the right source depends on WHAT is exported.</t>
        </is>
      </c>
      <c r="B7" s="64" t="n"/>
      <c r="C7" s="65" t="n"/>
    </row>
    <row r="8" ht="31.8" customHeight="1" s="59">
      <c r="A8" s="1" t="inlineStr">
        <is>
          <t>Edible meat/offal to EU</t>
        </is>
      </c>
      <c r="B8" s="68" t="inlineStr">
        <is>
          <t>FSIS 'Eligible U.S. Establishments by Country' → the European Union page (plant must be in the FSIS 'Pork for the EU' / PFEU program).  fsis.usda.gov/inspection/import-export/import-export-library</t>
        </is>
      </c>
      <c r="C8" s="65" t="n"/>
    </row>
    <row r="9" ht="45.2" customHeight="1" s="59">
      <c r="A9" s="1" t="inlineStr">
        <is>
          <t>Any FSIS export setup</t>
        </is>
      </c>
      <c r="B9" s="68" t="inlineStr">
        <is>
          <t>FSIS Meat/Poultry/Egg (MPI) Directory — an establishment's 'Certification – Export' activity means it can issue export certs for SOME country; it does NOT mean EU-eligible.  fsis.usda.gov/inspection/establishments/meat-poultry-and-egg-product-inspection-directory</t>
        </is>
      </c>
      <c r="C9" s="65" t="n"/>
    </row>
    <row r="10" ht="58.6" customHeight="1" s="59">
      <c r="A10" s="1" t="inlineStr">
        <is>
          <t>NON-food research tissue / organs to EU  ← this is us</t>
        </is>
      </c>
      <c r="B10" s="68" t="inlineStr">
        <is>
          <t>APHIS 'Export Animal Products to the European Union' — APHIS Veterinary Services (not FSIS) compiles the by-product establishment listing under Reg (EU) 142/2011. No public per-plant lookup; email vs.export.product.facilities@usda.gov.  aphis.usda.gov/animal-product-export/export-animal-products-european-union</t>
        </is>
      </c>
      <c r="C10" s="65" t="n"/>
    </row>
    <row r="11" ht="58.6" customHeight="1" s="59">
      <c r="A11" s="1" t="inlineStr">
        <is>
          <t>Authoritative EU-side list (both)</t>
        </is>
      </c>
      <c r="B11" s="68" t="inlineStr">
        <is>
          <t>EU TRACES-NT establishment search — filter Country = United States; FSIS edible plants appear under fresh-meat/meat-products, APHIS by-product plants under animal-by-products. Interactive only.  webgate.ec.europa.eu/tracesnt/directory/listing/establishment/publication  (US mirror: usda-eu.org/import-controls/approved-u-s-establishments)</t>
        </is>
      </c>
      <c r="C11" s="65" t="n"/>
    </row>
    <row r="12" ht="31.8" customHeight="1" s="59">
      <c r="A12" s="1" t="inlineStr">
        <is>
          <t>BOTTOM LINE</t>
        </is>
      </c>
      <c r="B12" s="68" t="inlineStr">
        <is>
          <t>Edible meat → FSIS list + TRACES fresh-meat section.  Non-food research tissue → APHIS VS listing + TRACES animal-by-products section.  FSIS 'Certification–Export' ≠ EU-eligible ≠ APHIS by-product listing.</t>
        </is>
      </c>
      <c r="C12" s="65" t="n"/>
    </row>
    <row r="13" ht="15" customHeight="1" s="59"/>
    <row r="14" ht="19.7" customHeight="1" s="59">
      <c r="A14" s="120" t="inlineStr">
        <is>
          <t>THE THREE REGIMES — APHIS vs FSIS vs STATE  (not tiers of one thing)</t>
        </is>
      </c>
    </row>
    <row r="15" ht="18.4" customHeight="1" s="59">
      <c r="A15" s="42" t="inlineStr">
        <is>
          <t>Program</t>
        </is>
      </c>
      <c r="B15" s="42" t="inlineStr">
        <is>
          <t>Purpose</t>
        </is>
      </c>
      <c r="C15" s="42" t="inlineStr">
        <is>
          <t>What it means for you</t>
        </is>
      </c>
    </row>
    <row r="16" ht="45.2" customHeight="1" s="59">
      <c r="A16" s="43" t="inlineStr">
        <is>
          <t>USDA FSIS
(Food Safety &amp; Inspection Service)</t>
        </is>
      </c>
      <c r="B16" s="68" t="inlineStr">
        <is>
          <t>Food safety for meat/poultry for HUMAN CONSUMPTION; issues the federal 'grant of inspection'.</t>
        </is>
      </c>
      <c r="C16" s="68" t="inlineStr">
        <is>
          <t>The certifying agency for EDIBLE product. For non-food tissue/organs, FSIS is generally NOT the relevant agency at all.</t>
        </is>
      </c>
    </row>
    <row r="17" ht="58.6" customHeight="1" s="59">
      <c r="A17" s="43" t="inlineStr">
        <is>
          <t>USDA APHIS Veterinary Services (VS)</t>
        </is>
      </c>
      <c r="B17" s="68" t="inlineStr">
        <is>
          <t>ANIMAL HEALTH + export certification for animals and animal products/byproducts — expressly incl. non-food tissue for technical/research/pharma use.</t>
        </is>
      </c>
      <c r="C17" s="68" t="inlineStr">
        <is>
          <t>THIS is the export pathway for your tissue. APHIS approves/lists the facility and endorses the per-shipment EU health certificate. Country rules live in IREGS.</t>
        </is>
      </c>
    </row>
    <row r="18" ht="72" customHeight="1" s="59">
      <c r="A18" s="43" t="inlineStr">
        <is>
          <t>State meat inspection</t>
        </is>
      </c>
      <c r="B18" s="68" t="inlineStr">
        <is>
          <t>Food safety, run by a state, 'at least equal to' FSIS. Edible product usually can't cross state lines.</t>
        </is>
      </c>
      <c r="C18" s="68" t="inlineStr">
        <is>
          <t>A state-inspected plant (e.g. Nahunta) is NOT disqualified from the APHIS byproduct export pathway — that pathway is APHIS's, not FSIS's. This reconciles 'Nahunta is special on certs' with 'Nahunta is state-inspected.'</t>
        </is>
      </c>
    </row>
    <row r="19" ht="15" customHeight="1" s="59"/>
    <row r="20" ht="19.7" customHeight="1" s="59">
      <c r="A20" s="120" t="inlineStr">
        <is>
          <t>WHAT THE EU ACTUALLY REQUIRES  (the practical spine)</t>
        </is>
      </c>
    </row>
    <row r="21" ht="45.2" customHeight="1" s="59">
      <c r="A21" s="1" t="inlineStr">
        <is>
          <t>Governing law</t>
        </is>
      </c>
      <c r="B21" s="68" t="inlineStr">
        <is>
          <t>Regulation (EC) No 1069/2009 (the parent 'animal by-products' regulation — health rules for animal by-products NOT for human consumption) + Commission Regulation (EU) No 142/2011 (the implementing rules: categories, permitted uses, import conditions, model health certificates).</t>
        </is>
      </c>
      <c r="C21" s="65" t="n"/>
    </row>
    <row r="22" ht="58.6" customHeight="1" s="59">
      <c r="A22" s="1" t="inlineStr">
        <is>
          <t>Category &amp; use</t>
        </is>
      </c>
      <c r="B22" s="68" t="inlineStr">
        <is>
          <t>Porcine slaughter byproducts for technical/research/manufacturing use are typically CATEGORY 3 (lowest risk) — but classification is use-dependent, so confirm it. Common CN codes 0511 91 / 0511 99 / 3001. 142/2011 has special rules for research/diagnostic samples (Art. 11) and an 'Intermediate Products – Chapter 20' pathway for material used to manufacture medicinal products / medical devices.</t>
        </is>
      </c>
      <c r="C22" s="65" t="n"/>
    </row>
    <row r="23" ht="18.4" customHeight="1" s="59">
      <c r="A23" s="63" t="inlineStr">
        <is>
          <t>The four-step import spine</t>
        </is>
      </c>
      <c r="B23" s="64" t="n"/>
      <c r="C23" s="65" t="n"/>
    </row>
    <row r="24" ht="31.8" customHeight="1" s="59">
      <c r="A24" s="68" t="inlineStr">
        <is>
          <t>•  1. APPROVED THIRD COUNTRY — the US must be listed for that ABP category (country lists in Annex XIV of Reg (EU) 142/2011, amended e.g. by Reg (EU) 2022/384). The US is listed for many ABP categories.</t>
        </is>
      </c>
      <c r="B24" s="64" t="n"/>
      <c r="C24" s="65" t="n"/>
    </row>
    <row r="25" ht="31.8" customHeight="1" s="59">
      <c r="A25" s="68" t="inlineStr">
        <is>
          <t>•  2. LISTED ESTABLISHMENT — the origin plant must be APHIS-approved and appear on the EU TRACES establishment list for the category. (APHIS: 'Facilities must be listed by APHIS in compliance with Reg (EU) 142/2011 to export.')</t>
        </is>
      </c>
      <c r="B25" s="64" t="n"/>
      <c r="C25" s="65" t="n"/>
    </row>
    <row r="26" ht="31.8" customHeight="1" s="59">
      <c r="A26" s="68" t="inlineStr">
        <is>
          <t>•  3. ENDORSED HEALTH CERTIFICATE — a model veterinary health certificate (matching the category/use, from the 142/2011 annexes) accompanies the consignment, endorsed by APHIS Veterinary Services.</t>
        </is>
      </c>
      <c r="B26" s="64" t="n"/>
      <c r="C26" s="65" t="n"/>
    </row>
    <row r="27" ht="31.8" customHeight="1" s="59">
      <c r="A27" s="68" t="inlineStr">
        <is>
          <t>•  4. BORDER ENTRY via TRACES — entry through an EU Border Control Post with prior notification in TRACES (the CHED). APHIS endorses the certificate but does NOT prepare the EU entry document — that is the importer's side.</t>
        </is>
      </c>
      <c r="B27" s="64" t="n"/>
      <c r="C27" s="65" t="n"/>
    </row>
    <row r="28" ht="31.8" customHeight="1" s="59">
      <c r="A28" s="1" t="inlineStr">
        <is>
          <t>Documentation flow</t>
        </is>
      </c>
      <c r="B28" s="68" t="inlineStr">
        <is>
          <t>Slaughterhouse → exporter (facility listing status, species/origin, inspection records, traceability) → APHIS endorses the certificate → EU importer lodges the CHED in TRACES.</t>
        </is>
      </c>
      <c r="C28" s="65" t="n"/>
    </row>
    <row r="29" ht="19.7" customHeight="1" s="59">
      <c r="A29" s="120" t="inlineStr">
        <is>
          <t>MEDICAL-DEVICE ANGLE  (only if the end product is actually a device)</t>
        </is>
      </c>
    </row>
    <row r="30" ht="45.2" customHeight="1" s="59">
      <c r="A30" s="68" t="inlineStr">
        <is>
          <t>•  A surgical-training / anatomical 'model' is OFTEN NOT a medical device (not intended to diagnose/treat a patient). If so, MDR does not apply — but the tissue is still an animal by-product, so the ABP rules above still govern EU entry. Whether a given 'model' is a device is a classification call for a regulatory specialist / notified body.</t>
        </is>
      </c>
      <c r="B30" s="64" t="n"/>
      <c r="C30" s="65" t="n"/>
    </row>
    <row r="31" ht="18.4" customHeight="1" s="59">
      <c r="A31" s="68" t="inlineStr">
        <is>
          <t>•  If it IS a device: Regulation (EU) 2017/745 (MDR), Annex I GSPR 13.1 governs devices manufactured using animal tissue.</t>
        </is>
      </c>
      <c r="B31" s="64" t="n"/>
      <c r="C31" s="65" t="n"/>
    </row>
    <row r="32" ht="31.8" customHeight="1" s="59">
      <c r="A32" s="68" t="inlineStr">
        <is>
          <t>•  KEY: Regulation (EU) No 722/2012 (the special TSE regime) does NOT cover porcine — it is limited to bovine, ovine, caprine, deer, elk, mink and cats. So porcine devices sit under MDR's GENERAL animal-origin requirements (13.1), NOT the 722/2012 procedure.</t>
        </is>
      </c>
      <c r="B32" s="64" t="n"/>
      <c r="C32" s="65" t="n"/>
    </row>
    <row r="33" ht="45.2" customHeight="1" s="59">
      <c r="A33" s="68" t="inlineStr">
        <is>
          <t>•  MDR 13.1 expectations (good practice for porcine too): animals subject to veterinary controls adapted to intended use; retain geographical-origin records; sourcing/processing/testing to the ISO 22442 series; source from healthy animals fit for human consumption, EXCLUDING fallen stock, emergency-slaughtered, and diseased animals.</t>
        </is>
      </c>
      <c r="B33" s="64" t="n"/>
      <c r="C33" s="65" t="n"/>
    </row>
    <row r="34" ht="19.7" customHeight="1" s="59">
      <c r="A34" s="120" t="inlineStr">
        <is>
          <t>DOES THE SUPPLIER NEED 'APHIS CERTIFICATION'?  (direct answer)</t>
        </is>
      </c>
    </row>
    <row r="35" ht="31.8" customHeight="1" s="59">
      <c r="A35" s="68" t="inlineStr">
        <is>
          <t>•  'APHIS certification' is not one credential on the wall — it is a SYSTEM: (i) APHIS approves/lists a specific facility for a specific export certificate/category, and (ii) APHIS VS endorses the actual health certificate per shipment.</t>
        </is>
      </c>
      <c r="B35" s="64" t="n"/>
      <c r="C35" s="65" t="n"/>
    </row>
    <row r="36" ht="45.2" customHeight="1" s="59">
      <c r="A36" s="68" t="inlineStr">
        <is>
          <t>•  WHO NEEDS WHAT: the EXPORTER (your company) obtains and presents the APHIS-endorsed health certificate. But for APHIS to endorse it and the EU to accept the consignment, the SOURCE establishment usually must be APHIS-approved and on the EU/TRACES list for that category. So the supplier DOES need an eligibility/listing status — the grain of truth in what you were told.</t>
        </is>
      </c>
      <c r="B36" s="64" t="n"/>
      <c r="C36" s="65" t="n"/>
    </row>
    <row r="37" ht="58.6" customHeight="1" s="59">
      <c r="A37" s="68" t="inlineStr">
        <is>
          <t>•  A small, humane, STATE-inspected family plant that has never exported will NOT have this yet and must apply — via APHIS VS Field Operations / Veterinary Export Trade Services — and get placed on the EU TRACES list. Confirm with APHIS whether the plant's state-inspection status is acceptable for the EXACT certificate you'll use (some certs require ante-/post-mortem inspection or 'fit for human consumption'; state inspection typically satisfies this, but the certificate wording controls).</t>
        </is>
      </c>
      <c r="B37" s="64" t="n"/>
      <c r="C37" s="65" t="n"/>
    </row>
    <row r="38" ht="15" customHeight="1" s="59"/>
    <row r="39" ht="19.7" customHeight="1" s="59">
      <c r="A39" s="120" t="inlineStr">
        <is>
          <t>SUPPLIER CHECKLIST — require in writing (also in the Call Question Sheet, section G)</t>
        </is>
      </c>
    </row>
    <row r="40" ht="31.8" customHeight="1" s="59">
      <c r="A40" s="44" t="n">
        <v>1</v>
      </c>
      <c r="B40" s="68" t="inlineStr">
        <is>
          <t>APHIS export eligibility / facility approval — is the establishment already APHIS-approved and on the EU TRACES establishment list for the relevant ABP category? If not, willing to apply via APHIS VS?</t>
        </is>
      </c>
      <c r="C40" s="65" t="n"/>
    </row>
    <row r="41" ht="31.8" customHeight="1" s="59">
      <c r="A41" s="44" t="n">
        <v>2</v>
      </c>
      <c r="B41" s="68" t="inlineStr">
        <is>
          <t>Inspection status — USDA-FSIS or state-inspected? Can it document ante-mortem AND post-mortem veterinary inspection of the source animals? (Needed for many EU certificates and for MDR 13.1.)</t>
        </is>
      </c>
      <c r="C41" s="65" t="n"/>
    </row>
    <row r="42" ht="31.8" customHeight="1" s="59">
      <c r="A42" s="44" t="n">
        <v>3</v>
      </c>
      <c r="B42" s="68" t="inlineStr">
        <is>
          <t>Veterinary health certificates / affidavits — can it supply the source declarations/affidavits APHIS VS needs to endorse the EU model health certificate, and per-lot documentation?</t>
        </is>
      </c>
      <c r="C42" s="65" t="n"/>
    </row>
    <row r="43" ht="45.2" customHeight="1" s="59">
      <c r="A43" s="44" t="n">
        <v>4</v>
      </c>
      <c r="B43" s="68" t="inlineStr">
        <is>
          <t>Species, herd health &amp; country/region of origin — porcine only; US origin; herd-health assurances; animals healthy and fit for human consumption, with fallen stock / emergency-slaughtered / diseased animals excluded.</t>
        </is>
      </c>
      <c r="C43" s="65" t="n"/>
    </row>
    <row r="44" ht="31.8" customHeight="1" s="59">
      <c r="A44" s="44" t="n">
        <v>5</v>
      </c>
      <c r="B44" s="68" t="inlineStr">
        <is>
          <t>Traceability — lot-level traceability from live animal → tissue → shipment, and retention of geographical-origin records (required under MDR Annex I 13.1 if the end product is a device).</t>
        </is>
      </c>
      <c r="C44" s="65" t="n"/>
    </row>
    <row r="45" ht="31.8" customHeight="1" s="59">
      <c r="A45" s="44" t="n">
        <v>6</v>
      </c>
      <c r="B45" s="68" t="inlineStr">
        <is>
          <t>Records retention &amp; audit access — inspection, sourcing, and lot records; willingness to support APHIS facility audits and (if a device) notified-body / ISO 22442 documentation requests.</t>
        </is>
      </c>
      <c r="C45" s="65" t="n"/>
    </row>
    <row r="46" ht="45.2" customHeight="1" s="59">
      <c r="A46" s="44" t="n">
        <v>7</v>
      </c>
      <c r="B46" s="68" t="inlineStr">
        <is>
          <t>Category/use agreement — align on the ABP category (likely Cat 3) and intended use so the correct 142/2011 model certificate (research/diagnostic sample, commercial sample, technical product, or intermediate-product Chapter 20) can be identified.</t>
        </is>
      </c>
      <c r="C46" s="65" t="n"/>
    </row>
    <row r="47" ht="15" customHeight="1" s="59"/>
    <row r="48" ht="19.7" customHeight="1" s="59">
      <c r="A48" s="120" t="inlineStr">
        <is>
          <t>WHO TO LOOP IN  (this tab is orientation, not final legal advice)</t>
        </is>
      </c>
    </row>
    <row r="49" ht="31.8" customHeight="1" s="59">
      <c r="A49" s="68" t="inlineStr">
        <is>
          <t>•  APHIS VS Field Operations / Veterinary Export Trade Services — the authority on facility listing and which EU certificate applies to your exact product; they endorse the certificate.</t>
        </is>
      </c>
      <c r="B49" s="64" t="n"/>
      <c r="C49" s="65" t="n"/>
    </row>
    <row r="50" ht="18.4" customHeight="1" s="59">
      <c r="A50" s="68" t="inlineStr">
        <is>
          <t>•  Your EU importer — lodges the TRACES/CHED entry and knows the receiving Member State's border-control expectations.</t>
        </is>
      </c>
      <c r="B50" s="64" t="n"/>
      <c r="C50" s="65" t="n"/>
    </row>
    <row r="51" ht="18.4" customHeight="1" s="59">
      <c r="A51" s="68" t="inlineStr">
        <is>
          <t>•  A customs / regulatory specialist — to fix the ABP category, CN code, and correct 142/2011 model certificate per product line.</t>
        </is>
      </c>
      <c r="B51" s="64" t="n"/>
      <c r="C51" s="65" t="n"/>
    </row>
    <row r="52" ht="31.8" customHeight="1" s="59">
      <c r="A52" s="68" t="inlineStr">
        <is>
          <t>•  A notified body — only if any product is actually a medical device (MDR Annex I 13.1; porcine is outside 722/2012 but still scrutinized).</t>
        </is>
      </c>
      <c r="B52" s="64" t="n"/>
      <c r="C52" s="65" t="n"/>
    </row>
    <row r="53" ht="15" customHeight="1" s="59"/>
    <row r="54" ht="19.7" customHeight="1" s="59">
      <c r="A54" s="120" t="inlineStr">
        <is>
          <t>KEY SOURCES</t>
        </is>
      </c>
    </row>
    <row r="55" ht="29.1" customHeight="1" s="59">
      <c r="A55" s="79" t="inlineStr">
        <is>
          <t>•  APHIS — International Animal Product Export Regulations (IREGS): aphis.usda.gov/animal-product-export/international-animal-product-export-regulations</t>
        </is>
      </c>
      <c r="B55" s="64" t="n"/>
      <c r="C55" s="65" t="n"/>
    </row>
    <row r="56" ht="17.1" customHeight="1" s="59">
      <c r="A56" s="79" t="inlineStr">
        <is>
          <t>•  APHIS — Export Animal Products to the EU: aphis.usda.gov/animal-product-export/export-animal-products-european-union</t>
        </is>
      </c>
      <c r="B56" s="64" t="n"/>
      <c r="C56" s="65" t="n"/>
    </row>
    <row r="57" ht="29.1" customHeight="1" s="59">
      <c r="A57" s="79" t="inlineStr">
        <is>
          <t>•  EU ABP — Reg (EC) 1069/2009 (EUR-Lex summary) &amp; Reg (EU) 142/2011 (legislation.gov.uk consolidated); country lists Annex XIV via Reg (EU) 2022/384</t>
        </is>
      </c>
      <c r="B57" s="64" t="n"/>
      <c r="C57" s="65" t="n"/>
    </row>
    <row r="58" ht="17.1" customHeight="1" s="59">
      <c r="A58" s="79" t="inlineStr">
        <is>
          <t>•  EU devices — MDR (EU) 2017/745 (EUR-Lex); Reg (EU) 722/2012 (legislation.gov.uk) — porcine NOT covered; ISO 22442 series (industry practice)</t>
        </is>
      </c>
      <c r="B58" s="64" t="n"/>
      <c r="C58" s="65" t="n"/>
    </row>
    <row r="59" ht="29.1" customHeight="1" s="59">
      <c r="A59" s="79" t="inlineStr">
        <is>
          <t>•  USDA-EU approved U.S. establishments: usda-eu.org/import-controls/approved-u-s-establishments  ·  Third-country establishment lists explained: agrinfo.eu</t>
        </is>
      </c>
      <c r="B59" s="64" t="n"/>
      <c r="C59" s="65" t="n"/>
    </row>
    <row r="60" ht="15" customHeight="1" s="59"/>
    <row r="61" ht="19.7" customHeight="1" s="59">
      <c r="A61" s="87" t="inlineStr">
        <is>
          <t>★ CORRECTED RULE — AGREED IN THE MEETING (2026-08). THIS SUPERSEDES EVERYTHING ABOVE.</t>
        </is>
      </c>
    </row>
    <row r="62" ht="18.4" customHeight="1" s="59">
      <c r="A62" s="91" t="inlineStr">
        <is>
          <t>THE RULE, IN ONE LINE</t>
        </is>
      </c>
      <c r="B62" s="92" t="inlineStr">
        <is>
          <t>APHIS is required of a DIRECT TISSUE SUPPLIER, not of a slaughterhouse we harvest at ourselves.</t>
        </is>
      </c>
    </row>
    <row r="63" ht="58.6" customHeight="1" s="59">
      <c r="A63" s="86" t="inlineStr">
        <is>
          <t>PATH 1 — WE HARVEST AT THE SLAUGHTERHOUSE</t>
        </is>
      </c>
      <c r="B63" s="93" t="inlineStr">
        <is>
          <t>The plant needs only to be USDA-INSPECTED / FSIS-CERTIFIED — or to hold a STATE inspection that APHIS accepts as EQUIVALENT (NC state inspection is confirmed equivalent). APHIS certification is NOT required of the plant. We assemble the finished MODEL AT ATM, and that step carries the export, so the export credential attaches to ATM rather than to the kill floor.</t>
        </is>
      </c>
    </row>
    <row r="64" ht="45.2" customHeight="1" s="59">
      <c r="A64" s="94" t="inlineStr">
        <is>
          <t>PATH 2 — A DIRECT TISSUE SUPPLIER SHIPS US FINISHED BLOCKS</t>
        </is>
      </c>
      <c r="B64" s="95" t="inlineStr">
        <is>
          <t>Pelvic, bariatric, thoracic, aortas and the like, arriving as finished tissue. Here APHIS CERTIFICATION IS REQUIRED. Treat it as a gating requirement: EVERY direct tissue supplier must be able to hold APHIS. A direct supplier that cannot is unusable for EU-bound work.</t>
        </is>
      </c>
    </row>
    <row r="65" ht="31.8" customHeight="1" s="59">
      <c r="A65" s="86" t="inlineStr">
        <is>
          <t>CONSEQUENCE — NAHUNTA</t>
        </is>
      </c>
      <c r="B65" s="93" t="inlineStr">
        <is>
          <t>Nahunta output CAN go international. The earlier 'permanently domestic-only' conclusion is WITHDRAWN. Because we harvest it ourselves and build the model at ATM, Nahunta sits on Path 1.</t>
        </is>
      </c>
    </row>
    <row r="66" ht="45.2" customHeight="1" s="59">
      <c r="A66" s="86" t="inlineStr">
        <is>
          <t>RESOLVED — STATE INSPECTION IS ACCEPTED</t>
        </is>
      </c>
      <c r="B66" s="93" t="inlineStr">
        <is>
          <t>APHIS treats NC STATE INSPECTION as EQUIVALENT, and permits Nahunta product to form part of the export once we assemble the models. So the harvest-site requirement is satisfied by USDA/FSIS inspection OR by a state programme APHIS accepts as equivalent — NC is confirmed. No open question remains on Nahunta.</t>
        </is>
      </c>
    </row>
    <row r="67" ht="45.2" customHeight="1" s="59">
      <c r="A67" s="96" t="inlineStr">
        <is>
          <t>WHAT THIS CHANGES IN PRACTICE</t>
        </is>
      </c>
      <c r="B67" s="97" t="inlineStr">
        <is>
          <t>It widens the slaughterhouse field considerably. APHIS/TRACES listing was previously treated as a gate on every plant and could not be verified for ANY facility in the study — that gate now applies only to direct tissue suppliers, so the unverified APHIS status of the slaughterhouses is no longer blocking.</t>
        </is>
      </c>
    </row>
    <row r="68" ht="15" customHeight="1" s="59"/>
    <row r="69" ht="19.7" customHeight="1" s="59">
      <c r="A69" s="100" t="inlineStr">
        <is>
          <t>⚠ DO NOT CONFUSE — AWA LICENCE vs APHIS EXPORT LISTING</t>
        </is>
      </c>
    </row>
    <row r="70" ht="45.2" customHeight="1" s="59">
      <c r="A70" s="94" t="inlineStr">
        <is>
          <t>AWA Class A / B / C / R</t>
        </is>
      </c>
      <c r="B70" s="95" t="inlineStr">
        <is>
          <t>Animal Welfare Act credentials for LIVE regulated animals — breeder, dealer, exhibitor, research-facility registrant. Common among tissue vendors. Says NOTHING about whether the vendor can export animal by-products.</t>
        </is>
      </c>
    </row>
    <row r="71" ht="45.2" customHeight="1" s="59">
      <c r="A71" s="94" t="inlineStr">
        <is>
          <t>APHIS Veterinary Services export listing</t>
        </is>
      </c>
      <c r="B71" s="95" t="inlineStr">
        <is>
          <t>THE credential our rule requires from a DIRECT tissue supplier: establishment listing for animal by-products plus a VS-endorsed health certificate per consignment. Currently UNVERIFIED for every vendor in this study.</t>
        </is>
      </c>
    </row>
    <row r="72" ht="45.2" customHeight="1" s="59">
      <c r="A72" s="94" t="inlineStr">
        <is>
          <t>Why it matters here</t>
        </is>
      </c>
      <c r="B72" s="95" t="inlineStr">
        <is>
          <t>Several vendors were rated as satisfying the APHIS gate on the strength of an AWA licence. That rating was wrong. Put the question to each vendor in writing: 'are you APHIS-VS listed for animal by-product export to the EU, and will you furnish the endorsed health certificate?' It is pass-or-fail.</t>
        </is>
      </c>
    </row>
  </sheetData>
  <mergeCells count="59">
    <mergeCell ref="A25:C25"/>
    <mergeCell ref="B62:C62"/>
    <mergeCell ref="B72:C72"/>
    <mergeCell ref="A37:C37"/>
    <mergeCell ref="B46:C46"/>
    <mergeCell ref="A56:C56"/>
    <mergeCell ref="B22:C22"/>
    <mergeCell ref="A27:C27"/>
    <mergeCell ref="B66:C66"/>
    <mergeCell ref="A55:C55"/>
    <mergeCell ref="A50:C50"/>
    <mergeCell ref="B71:C71"/>
    <mergeCell ref="A57:C57"/>
    <mergeCell ref="A26:C26"/>
    <mergeCell ref="A2:C2"/>
    <mergeCell ref="B43:C43"/>
    <mergeCell ref="B12:C12"/>
    <mergeCell ref="B70:C70"/>
    <mergeCell ref="B21:C21"/>
    <mergeCell ref="A33:C33"/>
    <mergeCell ref="B11:C11"/>
    <mergeCell ref="A23:C23"/>
    <mergeCell ref="A32:C32"/>
    <mergeCell ref="A14:C14"/>
    <mergeCell ref="B67:C67"/>
    <mergeCell ref="B42:C42"/>
    <mergeCell ref="A29:C29"/>
    <mergeCell ref="A4:C4"/>
    <mergeCell ref="B8:C8"/>
    <mergeCell ref="A20:C20"/>
    <mergeCell ref="A35:C35"/>
    <mergeCell ref="A52:C52"/>
    <mergeCell ref="B44:C44"/>
    <mergeCell ref="A31:C31"/>
    <mergeCell ref="B10:C10"/>
    <mergeCell ref="B28:C28"/>
    <mergeCell ref="A58:C58"/>
    <mergeCell ref="A30:C30"/>
    <mergeCell ref="A39:C39"/>
    <mergeCell ref="A34:C34"/>
    <mergeCell ref="B9:C9"/>
    <mergeCell ref="A59:C59"/>
    <mergeCell ref="A48:C48"/>
    <mergeCell ref="B40:C40"/>
    <mergeCell ref="A24:C24"/>
    <mergeCell ref="B65:C65"/>
    <mergeCell ref="A51:C51"/>
    <mergeCell ref="A36:C36"/>
    <mergeCell ref="A49:C49"/>
    <mergeCell ref="B64:C64"/>
    <mergeCell ref="A1:C1"/>
    <mergeCell ref="A61:C61"/>
    <mergeCell ref="A6:C6"/>
    <mergeCell ref="B45:C45"/>
    <mergeCell ref="B63:C63"/>
    <mergeCell ref="A69:C69"/>
    <mergeCell ref="B41:C41"/>
    <mergeCell ref="A7:C7"/>
    <mergeCell ref="A54:C54"/>
  </mergeCells>
  <pageMargins left="0.35" right="0.35" top="0.45" bottom="0.45" header="0.5" footer="0.5"/>
  <pageSetup orientation="landscape" fitToHeight="0" fitToWidth="1"/>
  <headerFooter>
    <oddHeader/>
    <oddFooter>&amp;L&amp;8 APHIS &amp; EU Export&amp;R&amp;8 Page &amp;P of &amp;N</oddFooter>
    <evenHeader/>
    <evenFooter/>
    <firstHeader/>
    <firstFooter/>
  </headerFooter>
</worksheet>
</file>

<file path=xl/worksheets/sheet12.xml><?xml version="1.0" encoding="utf-8"?>
<worksheet xmlns="http://schemas.openxmlformats.org/spreadsheetml/2006/main">
  <sheetPr>
    <tabColor rgb="00548235"/>
    <outlinePr summaryBelow="1" summaryRight="1"/>
    <pageSetUpPr fitToPage="1"/>
  </sheetPr>
  <dimension ref="A1:C57"/>
  <sheetViews>
    <sheetView showGridLines="0" workbookViewId="0">
      <selection activeCell="A1" sqref="A1:C1"/>
    </sheetView>
  </sheetViews>
  <sheetFormatPr baseColWidth="8" defaultRowHeight="14.4"/>
  <cols>
    <col width="6" customWidth="1" style="59" min="1" max="1"/>
    <col width="78" customWidth="1" style="59" min="2" max="2"/>
    <col width="40" customWidth="1" style="59" min="3" max="3"/>
  </cols>
  <sheetData>
    <row r="1" ht="25.1" customHeight="1" s="59">
      <c r="A1" s="117" t="inlineStr">
        <is>
          <t>Slaughterhouse Outreach — Call Agenda &amp; Question Sheet</t>
        </is>
      </c>
    </row>
    <row r="2" ht="18.4" customHeight="1" s="59">
      <c r="A2" s="61" t="inlineStr">
        <is>
          <t>One sheet per plant. Fill the YELLOW answer cells on the call, then transfer key data to the roster. Mirror of the CJB agenda style.</t>
        </is>
      </c>
    </row>
    <row r="3" ht="15" customHeight="1" s="59"/>
    <row r="4" ht="18.4" customHeight="1" s="59">
      <c r="A4" s="43" t="n"/>
      <c r="B4" s="1" t="inlineStr">
        <is>
          <t>Plant / contact</t>
        </is>
      </c>
      <c r="C4" s="5" t="n"/>
    </row>
    <row r="5" ht="18.4" customHeight="1" s="59">
      <c r="A5" s="43" t="n"/>
      <c r="B5" s="1" t="inlineStr">
        <is>
          <t>Phone / email</t>
        </is>
      </c>
      <c r="C5" s="5" t="n"/>
    </row>
    <row r="6" ht="18.4" customHeight="1" s="59">
      <c r="A6" s="43" t="n"/>
      <c r="B6" s="1" t="inlineStr">
        <is>
          <t>Date of call / caller</t>
        </is>
      </c>
      <c r="C6" s="5" t="n"/>
    </row>
    <row r="7" ht="15" customHeight="1" s="59"/>
    <row r="8" ht="19.7" customHeight="1" s="59">
      <c r="A8" s="120" t="inlineStr">
        <is>
          <t>A. HARD GATE — volume &amp; species</t>
        </is>
      </c>
    </row>
    <row r="9" ht="18.4" customHeight="1" s="59">
      <c r="A9" s="40" t="inlineStr">
        <is>
          <t>#</t>
        </is>
      </c>
      <c r="B9" s="40" t="inlineStr">
        <is>
          <t>Question</t>
        </is>
      </c>
      <c r="C9" s="40" t="inlineStr">
        <is>
          <t>Answer / Notes</t>
        </is>
      </c>
    </row>
    <row r="10" ht="18.4" customHeight="1" s="59">
      <c r="A10" s="45" t="n">
        <v>1</v>
      </c>
      <c r="B10" s="68" t="inlineStr">
        <is>
          <t>Do you slaughter HOGS (swine)?  Beef/other only?</t>
        </is>
      </c>
      <c r="C10" s="5" t="n"/>
    </row>
    <row r="11" ht="18.4" customHeight="1" s="59">
      <c r="A11" s="45" t="n">
        <v>2</v>
      </c>
      <c r="B11" s="68" t="inlineStr">
        <is>
          <t>How many hogs per WEEK do you kill (range across the year)?  Head/day x days?</t>
        </is>
      </c>
      <c r="C11" s="5" t="n"/>
    </row>
    <row r="12" ht="18.4" customHeight="1" s="59">
      <c r="A12" s="45" t="n">
        <v>3</v>
      </c>
      <c r="B12" s="68" t="inlineStr">
        <is>
          <t>Is that steady year-round, or seasonal? Any capacity to add head for us?</t>
        </is>
      </c>
      <c r="C12" s="5" t="n"/>
    </row>
    <row r="13" ht="15" customHeight="1" s="59"/>
    <row r="14" ht="19.7" customHeight="1" s="59">
      <c r="A14" s="120" t="inlineStr">
        <is>
          <t>B. Inspection &amp; certification</t>
        </is>
      </c>
    </row>
    <row r="15" ht="18.4" customHeight="1" s="59">
      <c r="A15" s="40" t="inlineStr">
        <is>
          <t>#</t>
        </is>
      </c>
      <c r="B15" s="40" t="inlineStr">
        <is>
          <t>Question</t>
        </is>
      </c>
      <c r="C15" s="40" t="inlineStr">
        <is>
          <t>Answer / Notes</t>
        </is>
      </c>
    </row>
    <row r="16" ht="18.4" customHeight="1" s="59">
      <c r="A16" s="45" t="n">
        <v>1</v>
      </c>
      <c r="B16" s="68" t="inlineStr">
        <is>
          <t>USDA-inspected (FSIS grant of inspection)?  Establishment number?</t>
        </is>
      </c>
      <c r="C16" s="5" t="n"/>
    </row>
    <row r="17" ht="18.4" customHeight="1" s="59">
      <c r="A17" s="45" t="n">
        <v>2</v>
      </c>
      <c r="B17" s="68" t="inlineStr">
        <is>
          <t>Or state-inspected?  Or custom-exempt?  (We need to know which.)</t>
        </is>
      </c>
      <c r="C17" s="5" t="n"/>
    </row>
    <row r="18" ht="18.4" customHeight="1" s="59">
      <c r="A18" s="45" t="n">
        <v>3</v>
      </c>
      <c r="B18" s="68" t="inlineStr">
        <is>
          <t>APHIS certification / any export or animal-health program status?</t>
        </is>
      </c>
      <c r="C18" s="5" t="n"/>
    </row>
    <row r="19" ht="18.4" customHeight="1" s="59">
      <c r="A19" s="45" t="n">
        <v>4</v>
      </c>
      <c r="B19" s="68" t="inlineStr">
        <is>
          <t>Any recent NRs / recalls / humane-handling actions we should know about?</t>
        </is>
      </c>
      <c r="C19" s="5" t="n"/>
    </row>
    <row r="20" ht="15" customHeight="1" s="59"/>
    <row r="21" ht="19.7" customHeight="1" s="59">
      <c r="A21" s="120" t="inlineStr">
        <is>
          <t>C. Tissue &amp; organ harvesting</t>
        </is>
      </c>
    </row>
    <row r="22" ht="18.4" customHeight="1" s="59">
      <c r="A22" s="40" t="inlineStr">
        <is>
          <t>#</t>
        </is>
      </c>
      <c r="B22" s="40" t="inlineStr">
        <is>
          <t>Question</t>
        </is>
      </c>
      <c r="C22" s="40" t="inlineStr">
        <is>
          <t>Answer / Notes</t>
        </is>
      </c>
    </row>
    <row r="23" ht="18.4" customHeight="1" s="59">
      <c r="A23" s="45" t="n">
        <v>1</v>
      </c>
      <c r="B23" s="68" t="inlineStr">
        <is>
          <t>Can we obtain pelvic / abdominal(bariatric) / thoracic tissue blocks — with the organs?</t>
        </is>
      </c>
      <c r="C23" s="5" t="n"/>
    </row>
    <row r="24" ht="18.4" customHeight="1" s="59">
      <c r="A24" s="45" t="n">
        <v>2</v>
      </c>
      <c r="B24" s="68" t="inlineStr">
        <is>
          <t>Which specific organs are currently saved vs. sent to rendering?</t>
        </is>
      </c>
      <c r="C24" s="5" t="n"/>
    </row>
    <row r="25" ht="18.4" customHeight="1" s="59">
      <c r="A25" s="45" t="n">
        <v>3</v>
      </c>
      <c r="B25" s="68" t="inlineStr">
        <is>
          <t>Any existing organ/tissue/biologics harvesting program? For whom?</t>
        </is>
      </c>
      <c r="C25" s="5" t="n"/>
    </row>
    <row r="26" ht="18.4" customHeight="1" s="59">
      <c r="A26" s="45" t="n">
        <v>4</v>
      </c>
      <c r="B26" s="68" t="inlineStr">
        <is>
          <t>Cooler/hanging space and time-to-chill after kill? (freshness/ischemia window)</t>
        </is>
      </c>
      <c r="C26" s="5" t="n"/>
    </row>
    <row r="27" ht="15" customHeight="1" s="59"/>
    <row r="28" ht="19.7" customHeight="1" s="59">
      <c r="A28" s="120" t="inlineStr">
        <is>
          <t>D. Operating model fit</t>
        </is>
      </c>
    </row>
    <row r="29" ht="18.4" customHeight="1" s="59">
      <c r="A29" s="40" t="inlineStr">
        <is>
          <t>#</t>
        </is>
      </c>
      <c r="B29" s="40" t="inlineStr">
        <is>
          <t>Question</t>
        </is>
      </c>
      <c r="C29" s="40" t="inlineStr">
        <is>
          <t>Answer / Notes</t>
        </is>
      </c>
    </row>
    <row r="30" ht="31.8" customHeight="1" s="59">
      <c r="A30" s="45" t="n">
        <v>1</v>
      </c>
      <c r="B30" s="68" t="inlineStr">
        <is>
          <t>MODEL A: Would you rent us line/floor access + cooler space so OUR harvesters collect on-site? Scheduling around the kill?</t>
        </is>
      </c>
      <c r="C30" s="5" t="n"/>
    </row>
    <row r="31" ht="31.8" customHeight="1" s="59">
      <c r="A31" s="45" t="n">
        <v>2</v>
      </c>
      <c r="B31" s="68" t="inlineStr">
        <is>
          <t>MODEL B: Would YOUR crew harvest to our protocol if we send trainers/inspectors? Willing to be audited?</t>
        </is>
      </c>
      <c r="C31" s="5" t="n"/>
    </row>
    <row r="32" ht="18.4" customHeight="1" s="59">
      <c r="A32" s="45" t="n">
        <v>3</v>
      </c>
      <c r="B32" s="68" t="inlineStr">
        <is>
          <t>Space, PPE, biosecurity, and scheduling constraints for either model?</t>
        </is>
      </c>
      <c r="C32" s="5" t="n"/>
    </row>
    <row r="33" ht="15" customHeight="1" s="59"/>
    <row r="34" ht="19.7" customHeight="1" s="59">
      <c r="A34" s="120" t="inlineStr">
        <is>
          <t>E. Culture &amp; workforce (the Nahunta test)</t>
        </is>
      </c>
    </row>
    <row r="35" ht="18.4" customHeight="1" s="59">
      <c r="A35" s="40" t="inlineStr">
        <is>
          <t>#</t>
        </is>
      </c>
      <c r="B35" s="40" t="inlineStr">
        <is>
          <t>Question</t>
        </is>
      </c>
      <c r="C35" s="40" t="inlineStr">
        <is>
          <t>Answer / Notes</t>
        </is>
      </c>
    </row>
    <row r="36" ht="18.4" customHeight="1" s="59">
      <c r="A36" s="45" t="n">
        <v>1</v>
      </c>
      <c r="B36" s="68" t="inlineStr">
        <is>
          <t>How long have your line/kill-floor staff been with you (tenure)?</t>
        </is>
      </c>
      <c r="C36" s="5" t="n"/>
    </row>
    <row r="37" ht="18.4" customHeight="1" s="59">
      <c r="A37" s="45" t="n">
        <v>2</v>
      </c>
      <c r="B37" s="68" t="inlineStr">
        <is>
          <t>Family-owned? How do you handle animal welfare &amp; humane handling?</t>
        </is>
      </c>
      <c r="C37" s="5" t="n"/>
    </row>
    <row r="38" ht="31.8" customHeight="1" s="59">
      <c r="A38" s="45" t="n">
        <v>3</v>
      </c>
      <c r="B38" s="68" t="inlineStr">
        <is>
          <t>When we've had quality issues elsewhere it was hard to resolve — how do you handle a quality complaint?</t>
        </is>
      </c>
      <c r="C38" s="5" t="n"/>
    </row>
    <row r="39" ht="15" customHeight="1" s="59"/>
    <row r="40" ht="19.7" customHeight="1" s="59">
      <c r="A40" s="120" t="inlineStr">
        <is>
          <t>F. Commercial</t>
        </is>
      </c>
    </row>
    <row r="41" ht="18.4" customHeight="1" s="59">
      <c r="A41" s="40" t="inlineStr">
        <is>
          <t>#</t>
        </is>
      </c>
      <c r="B41" s="40" t="inlineStr">
        <is>
          <t>Question</t>
        </is>
      </c>
      <c r="C41" s="40" t="inlineStr">
        <is>
          <t>Answer / Notes</t>
        </is>
      </c>
    </row>
    <row r="42" ht="18.4" customHeight="1" s="59">
      <c r="A42" s="45" t="n">
        <v>1</v>
      </c>
      <c r="B42" s="68" t="inlineStr">
        <is>
          <t>Pricing: per-visit access/rental (Model A) or per-piece harvest fee (Model B)?</t>
        </is>
      </c>
      <c r="C42" s="5" t="n"/>
    </row>
    <row r="43" ht="18.4" customHeight="1" s="59">
      <c r="A43" s="45" t="n">
        <v>2</v>
      </c>
      <c r="B43" s="68" t="inlineStr">
        <is>
          <t>Minimums, lead time, and how far ahead we must schedule?</t>
        </is>
      </c>
      <c r="C43" s="5" t="n"/>
    </row>
    <row r="44" ht="18.4" customHeight="1" s="59">
      <c r="A44" s="45" t="n">
        <v>3</v>
      </c>
      <c r="B44" s="68" t="inlineStr">
        <is>
          <t>NDA needed before we share our harvesting protocol?</t>
        </is>
      </c>
      <c r="C44" s="5" t="n"/>
    </row>
    <row r="45" ht="15" customHeight="1" s="59"/>
    <row r="46" ht="19.7" customHeight="1" s="59">
      <c r="A46" s="120" t="inlineStr">
        <is>
          <t>G. EU-EXPORT ELIGIBILITY — APHIS / animal by-products (ask if models go to Europe)</t>
        </is>
      </c>
    </row>
    <row r="47" ht="18.4" customHeight="1" s="59">
      <c r="A47" s="40" t="inlineStr">
        <is>
          <t>#</t>
        </is>
      </c>
      <c r="B47" s="40" t="inlineStr">
        <is>
          <t>Question</t>
        </is>
      </c>
      <c r="C47" s="40" t="inlineStr">
        <is>
          <t>Answer / Notes</t>
        </is>
      </c>
    </row>
    <row r="48" ht="31.8" customHeight="1" s="59">
      <c r="A48" s="45" t="n">
        <v>1</v>
      </c>
      <c r="B48" s="68" t="inlineStr">
        <is>
          <t>Are you already APHIS-approved and on the EU TRACES establishment list for animal-byproduct export? If not, willing to apply via APHIS VS?</t>
        </is>
      </c>
      <c r="C48" s="5" t="n"/>
    </row>
    <row r="49" ht="18.4" customHeight="1" s="59">
      <c r="A49" s="45" t="n">
        <v>2</v>
      </c>
      <c r="B49" s="68" t="inlineStr">
        <is>
          <t>Can you document ante-mortem AND post-mortem veterinary inspection of the animals?</t>
        </is>
      </c>
      <c r="C49" s="5" t="n"/>
    </row>
    <row r="50" ht="31.8" customHeight="1" s="59">
      <c r="A50" s="45" t="n">
        <v>3</v>
      </c>
      <c r="B50" s="68" t="inlineStr">
        <is>
          <t>Can you provide the source declarations/affidavits APHIS needs to endorse an EU health certificate, with per-lot documentation?</t>
        </is>
      </c>
      <c r="C50" s="5" t="n"/>
    </row>
    <row r="51" ht="31.8" customHeight="1" s="59">
      <c r="A51" s="45" t="n">
        <v>4</v>
      </c>
      <c r="B51" s="68" t="inlineStr">
        <is>
          <t>Lot-level traceability (live animal -&gt; tissue -&gt; shipment) and geographical-origin records retained?</t>
        </is>
      </c>
      <c r="C51" s="5" t="n"/>
    </row>
    <row r="52" ht="31.8" customHeight="1" s="59">
      <c r="A52" s="45" t="n">
        <v>5</v>
      </c>
      <c r="B52" s="68" t="inlineStr">
        <is>
          <t>Willing to support APHIS facility audits and (if a device) notified-body / ISO 22442 documentation?</t>
        </is>
      </c>
      <c r="C52" s="5" t="n"/>
    </row>
    <row r="53" ht="15" customHeight="1" s="59"/>
    <row r="54" ht="19.7" customHeight="1" s="59">
      <c r="A54" s="100" t="inlineStr">
        <is>
          <t>H. PROXIMITY / LOGISTICS (Model A)</t>
        </is>
      </c>
    </row>
    <row r="55" ht="31.8" customHeight="1" s="59">
      <c r="A55" s="129" t="n">
        <v>1</v>
      </c>
      <c r="B55" s="115" t="inlineStr">
        <is>
          <t>Exact plant address — we measure drive distance from our base (120-mile radius preferred for Model A).</t>
        </is>
      </c>
      <c r="C55" s="116" t="inlineStr"/>
    </row>
    <row r="56" ht="18.4" customHeight="1" s="59">
      <c r="A56" s="129" t="n">
        <v>2</v>
      </c>
      <c r="B56" s="115" t="inlineStr">
        <is>
          <t>Could our crew work a same-day round trip, or would this need overnight stays?</t>
        </is>
      </c>
      <c r="C56" s="116" t="inlineStr"/>
    </row>
    <row r="57" ht="18.4" customHeight="1" s="59">
      <c r="A57" s="129" t="n">
        <v>3</v>
      </c>
      <c r="B57" s="115" t="inlineStr">
        <is>
          <t>Are there other hog plants nearby that our crew could serve on the same trip?</t>
        </is>
      </c>
      <c r="C57" s="116" t="inlineStr"/>
    </row>
  </sheetData>
  <mergeCells count="10">
    <mergeCell ref="A28:C28"/>
    <mergeCell ref="A1:C1"/>
    <mergeCell ref="A46:C46"/>
    <mergeCell ref="A14:C14"/>
    <mergeCell ref="A8:C8"/>
    <mergeCell ref="A40:C40"/>
    <mergeCell ref="A21:C21"/>
    <mergeCell ref="A34:C34"/>
    <mergeCell ref="A54:C54"/>
    <mergeCell ref="A2:C2"/>
  </mergeCells>
  <pageMargins left="0.35" right="0.35" top="0.45" bottom="0.45" header="0.5" footer="0.5"/>
  <pageSetup orientation="landscape" fitToHeight="0" fitToWidth="1"/>
  <headerFooter>
    <oddHeader/>
    <oddFooter>&amp;L&amp;8 Call Question Sheet&amp;R&amp;8 Page &amp;P of &amp;N</oddFooter>
    <evenHeader/>
    <evenFooter/>
    <firstHeader/>
    <firstFooter/>
  </headerFooter>
</worksheet>
</file>

<file path=xl/worksheets/sheet13.xml><?xml version="1.0" encoding="utf-8"?>
<worksheet xmlns="http://schemas.openxmlformats.org/spreadsheetml/2006/main">
  <sheetPr>
    <tabColor rgb="00808080"/>
    <outlinePr summaryBelow="1" summaryRight="1"/>
    <pageSetUpPr fitToPage="1"/>
  </sheetPr>
  <dimension ref="A1:D34"/>
  <sheetViews>
    <sheetView showGridLines="0" workbookViewId="0">
      <selection activeCell="B5" sqref="B5"/>
    </sheetView>
  </sheetViews>
  <sheetFormatPr baseColWidth="8" defaultRowHeight="14.4"/>
  <cols>
    <col width="30" customWidth="1" style="59" min="1" max="1"/>
    <col width="52" customWidth="1" style="59" min="2" max="2"/>
    <col width="13" customWidth="1" style="59" min="3" max="3"/>
    <col width="90" customWidth="1" style="59" min="4" max="4"/>
  </cols>
  <sheetData>
    <row r="1" ht="25.1" customHeight="1" s="59">
      <c r="A1" s="117" t="inlineStr">
        <is>
          <t>Sources &amp; Confidence</t>
        </is>
      </c>
    </row>
    <row r="2" ht="18.4" customHeight="1" s="59">
      <c r="A2" s="61" t="inlineStr">
        <is>
          <t>Where each class of fact came from, and how much to trust it before acting. Verify volumes/certs by phone.</t>
        </is>
      </c>
    </row>
    <row r="3" ht="15" customHeight="1" s="59"/>
    <row r="4" ht="18.4" customHeight="1" s="59">
      <c r="A4" s="40" t="inlineStr">
        <is>
          <t>Topic / entity</t>
        </is>
      </c>
      <c r="B4" s="40" t="inlineStr">
        <is>
          <t>Source</t>
        </is>
      </c>
      <c r="C4" s="40" t="inlineStr">
        <is>
          <t>Confidence</t>
        </is>
      </c>
      <c r="D4" s="40" t="inlineStr">
        <is>
          <t>Note</t>
        </is>
      </c>
    </row>
    <row r="5" ht="98.8" customHeight="1" s="59">
      <c r="A5" s="138" t="inlineStr">
        <is>
          <t>★ FOCUS-REGION PASS
(2026-08-17)</t>
        </is>
      </c>
      <c r="B5" s="68" t="inlineStr">
        <is>
          <t>FSIS MPI Active + Inactive Directories and Establishment Demographic Data (retrieved fresh 2026-08-17) + all three NCDA&amp;CS MPID directories (State / TA / Custom, each dated 2026-08-10) + FSIS NOIE/NOS letters, FSIS QER tables, county deed/parcel records, NC Commerce &amp; NCAMPI announcements, plant sites and local press</t>
        </is>
      </c>
      <c r="C5" s="46" t="inlineStr">
        <is>
          <t>High</t>
        </is>
      </c>
      <c r="D5" s="68" t="inlineStr">
        <is>
          <t>Nine research agents (one per current supplier + three regional sweeps + the state directory) and five adversarial verifiers; every one of the five decision-relevant claims CONFIRMED, three with refinements (e.g. the western capacity-loss exhibit was corrected from Asheville Packing, which was processing-only, to Country Slaughter M32012 and Neese M8341). Current-supplier ground truth in this pass came from the client directly (2026-08-17) and was treated as fixed. Same discipline as before: categories are ceilings, 'none found' is not a clean bill, and every estimate carries its basis. The comparison lives on the 'NC Comparison 2026-08-17' tab.</t>
        </is>
      </c>
    </row>
    <row r="6" ht="125.6" customHeight="1" s="59">
      <c r="A6" s="138" t="inlineStr">
        <is>
          <t>★ FULL ROSTER RE-VERIFICATION
(2026-08-06)</t>
        </is>
      </c>
      <c r="B6" s="68" t="inlineStr">
        <is>
          <t>FSIS Establishment Demographic Data (CSV, all establishments) + FSIS MPI Directory by Establishment Number (CSV, active) + MPI Inactive Directory — fsis.usda.gov/inspection/establishments</t>
        </is>
      </c>
      <c r="C6" s="46" t="inlineStr">
        <is>
          <t>High</t>
        </is>
      </c>
      <c r="D6" s="68" t="inlineStr">
        <is>
          <t>METHOD, so you can judge the result: every roster row was matched to an FSIS establishment by number where the roster carried one, and by name otherwise; EVERY match was then validated against the MPI directory's city and state, and rejected if they disagreed. That validation step is what caught the name collisions — e.g. a 'George Flowers' match that resolved to Jamaica NY, and a 'Cruse' match that resolved to Orient OH. 43 roster rows changed. What the FSIS files are authoritative for: species flags (market_swine / sow / roaster / boar_stag), slaughter_volume_category, slaughter_or_processing_only, grant status and grant date, address and phone. What they are NOT authoritative for: actual current weekly head count (the category gives a range, not a number), welfare culture, organ/viscera disposition, or willingness to host a harvest crew. Those four still have to come from the call.</t>
        </is>
      </c>
    </row>
    <row r="7" ht="85.40000000000001" customHeight="1" s="59">
      <c r="A7" s="138" t="inlineStr">
        <is>
          <t>Volume categories → weekly ceilings</t>
        </is>
      </c>
      <c r="B7" s="68" t="inlineStr">
        <is>
          <t>FSIS Establishment Demographic Data documentation (Data-Documentation-MPI-Directory-Establishment-Demographic-Documentation.pdf)</t>
        </is>
      </c>
      <c r="C7" s="46" t="inlineStr">
        <is>
          <t>High</t>
        </is>
      </c>
      <c r="D7" s="68" t="inlineStr">
        <is>
          <t>slaughter_volume_category is banded head per 360 days, which converts to hard weekly ceilings: cat 1 = fewer than 1,000 → under ~19/wk · cat 2 = 1,000-9,999 → ~19-192/wk · cat 3 = 10,000-99,999 → ~192-1,917/wk · cat 4 = 100,000+ → ~1,917/wk and up. A category is a CEILING and a floor, not an estimate — a category-3 plant could be killing 200/wk or 1,900/wk. Use it to falsify a claimed figure, not to replace one. This is what overturned the volume claims for Larry's, Acre Station, Midwest Research Swine, Fayette Packing and Bass Farms.</t>
        </is>
      </c>
    </row>
    <row r="8" ht="98.8" customHeight="1" s="59">
      <c r="A8" s="138" t="inlineStr">
        <is>
          <t>Enforcement — what was actually checked</t>
        </is>
      </c>
      <c r="B8" s="68" t="inlineStr">
        <is>
          <t>FSIS Quarterly Enforcement Reports, FY2024 Q1 through FY2026 Q2 (10 PDFs, retrieved and full-text searched)</t>
        </is>
      </c>
      <c r="C8" s="46" t="inlineStr">
        <is>
          <t>Med-High</t>
        </is>
      </c>
      <c r="D8" s="68" t="inlineStr">
        <is>
          <t>All ten quarterly reports were searched directly for the shortlist establishments. Nothing was returned for M8305 (Larry's), M3521 (Bass Farms) or the eastern-NC shortlist. TREAT THAT AS A NARROW NEGATIVE, NOT A CLEAN BILL: the QERs list suspensions, Notices of Intended Enforcement and withholding actions only — they do NOT list ordinary noncompliance records, which is exactly what a humane-handling problem looks like before it escalates. The FOIA in the Action Items tab is what closes that gap. The separate Humane Handling Quarterly Reports are district-level roll-ups and cannot confirm or clear an individual plant at all.</t>
        </is>
      </c>
    </row>
    <row r="9" ht="58.6" customHeight="1" s="59">
      <c r="A9" s="138" t="inlineStr">
        <is>
          <t>Road distances (120-mile Model A test)</t>
        </is>
      </c>
      <c r="B9" s="68" t="inlineStr">
        <is>
          <t>OSRM public routing API (router.project-osrm.org), driving profile, plant coordinates from the FSIS MPI Directory</t>
        </is>
      </c>
      <c r="C9" s="46" t="inlineStr">
        <is>
          <t>High</t>
        </is>
      </c>
      <c r="D9" s="68" t="inlineStr">
        <is>
          <t>Real road distances, not straight-line. Anchor point: Pikeville NC (35.4971, -77.9819), i.e. the Nahunta location — CONFIRM THIS IS THE RIGHT ANCHOR. If the radius should be measured from ATM or another operating base instead, the column can be recomputed in minutes. This replaced an earlier classifier that assigned distances by county name and mis-sorted at least three NC plants.</t>
        </is>
      </c>
    </row>
    <row r="10" ht="98.8" customHeight="1" s="59">
      <c r="A10" s="138" t="inlineStr">
        <is>
          <t>⚠ Claims withdrawn for lack of a source</t>
        </is>
      </c>
      <c r="B10" s="68" t="inlineStr">
        <is>
          <t>Absence of an FSIS MPI directory record (checked nationally by name and by number)</t>
        </is>
      </c>
      <c r="C10" s="46" t="inlineStr">
        <is>
          <t>High</t>
        </is>
      </c>
      <c r="D10" s="68" t="inlineStr">
        <is>
          <t>These carried 'USDA ✓' or 'probable USDA' labels in earlier versions with nothing behind them, and the labels are now withdrawn: Caughman's Meat Plant (Lexington SC), Sessoms Packing (Ahoskie NC), Assured Community Processing (claimed M2123 — no such establishment), Country Slaughter and Meats (claimed M32012 — no such establishment), Gunnoe Sausage (Goode VA — nothing under that name nationally). Also withdrawn: Riverside Meats' 'custom-exempt' label and Acre Station's contested custom-exempt label, both REFUTED in the suppliers' favour — each holds an active federal grant. An absence of record is not proof a plant does not operate; it is proof we cannot call it federally inspected.</t>
        </is>
      </c>
    </row>
    <row r="11" ht="31.8" customHeight="1" s="59">
      <c r="A11" s="4" t="inlineStr">
        <is>
          <t>National vendor prices</t>
        </is>
      </c>
      <c r="B11" s="68" t="inlineStr">
        <is>
          <t>innov-research.com porcine product pages (heart/lung/kidney/bladder/liver/stomach/pelvic-block)</t>
        </is>
      </c>
      <c r="C11" s="46" t="inlineStr">
        <is>
          <t>High</t>
        </is>
      </c>
      <c r="D11" s="68" t="inlineStr">
        <is>
          <t>Only vendor with published per-organ list prices: from $141/organ, pelvic block from $582 (base configs).</t>
        </is>
      </c>
    </row>
    <row r="12" ht="18.4" customHeight="1" s="59">
      <c r="A12" s="4" t="inlineStr">
        <is>
          <t>Pel-Freez thyroid price</t>
        </is>
      </c>
      <c r="B12" s="68" t="inlineStr">
        <is>
          <t>pel-freez.com/pig-thyroid-59452</t>
        </is>
      </c>
      <c r="C12" s="46" t="inlineStr">
        <is>
          <t>High</t>
        </is>
      </c>
      <c r="D12" s="68" t="inlineStr">
        <is>
          <t>Porcine thyroid #59452 from $361; other porcine organ prices not individually verified.</t>
        </is>
      </c>
    </row>
    <row r="13" ht="18.4" customHeight="1" s="59">
      <c r="A13" s="4" t="inlineStr">
        <is>
          <t>Animal Technologies</t>
        </is>
      </c>
      <c r="B13" s="68" t="inlineStr">
        <is>
          <t>animaltechnologies.com/porcine</t>
        </is>
      </c>
      <c r="C13" s="46" t="inlineStr">
        <is>
          <t>High</t>
        </is>
      </c>
      <c r="D13" s="68" t="inlineStr">
        <is>
          <t>Broad catalog, plucks for training; prices quote-only.</t>
        </is>
      </c>
    </row>
    <row r="14" ht="18.4" customHeight="1" s="59">
      <c r="A14" s="4" t="inlineStr">
        <is>
          <t>Animal Biotech Industries</t>
        </is>
      </c>
      <c r="B14" s="68" t="inlineStr">
        <is>
          <t>animalbiotech.com/porcine-tissues</t>
        </is>
      </c>
      <c r="C14" s="46" t="inlineStr">
        <is>
          <t>High</t>
        </is>
      </c>
      <c r="D14" s="68" t="inlineStr">
        <is>
          <t>USDA-inspected sourcing; custom blocks; quote-only.</t>
        </is>
      </c>
    </row>
    <row r="15" ht="31.8" customHeight="1" s="59">
      <c r="A15" s="4" t="inlineStr">
        <is>
          <t>Tissue Source</t>
        </is>
      </c>
      <c r="B15" s="68" t="inlineStr">
        <is>
          <t>tissue-source.com</t>
        </is>
      </c>
      <c r="C15" s="46" t="inlineStr">
        <is>
          <t>High</t>
        </is>
      </c>
      <c r="D15" s="68" t="inlineStr">
        <is>
          <t>ISO 13485 + ISO 22442-2 (the USDA Class A licence claim is WITHDRAWN — not in the APHIS licensee list); quote-only.</t>
        </is>
      </c>
    </row>
    <row r="16" ht="18.4" customHeight="1" s="59">
      <c r="A16" s="4" t="inlineStr">
        <is>
          <t>Smithfield BioScience</t>
        </is>
      </c>
      <c r="B16" s="68" t="inlineStr">
        <is>
          <t>smithfieldbioscience.com/products/porcine</t>
        </is>
      </c>
      <c r="C16" s="46" t="inlineStr">
        <is>
          <t>High</t>
        </is>
      </c>
      <c r="D16" s="68" t="inlineStr">
        <is>
          <t>Packer-integrated; quote-only.</t>
        </is>
      </c>
    </row>
    <row r="17" ht="18.4" customHeight="1" s="59">
      <c r="A17" s="4" t="inlineStr">
        <is>
          <t>WG Biomedical</t>
        </is>
      </c>
      <c r="B17" s="68" t="inlineStr">
        <is>
          <t>wgbiomedical.com</t>
        </is>
      </c>
      <c r="C17" s="46" t="inlineStr">
        <is>
          <t>High</t>
        </is>
      </c>
      <c r="D17" s="68" t="inlineStr">
        <is>
          <t>Iowa; pig pluck &amp; surgical-training organs; quote-only.</t>
        </is>
      </c>
    </row>
    <row r="18" ht="31.8" customHeight="1" s="59">
      <c r="A18" s="4" t="inlineStr">
        <is>
          <t>LAMPIRE / BioChemed / BioIVT / Sierra / SSR / MRS</t>
        </is>
      </c>
      <c r="B18" s="68" t="inlineStr">
        <is>
          <t>respective vendor sites (see National tab)</t>
        </is>
      </c>
      <c r="C18" s="46" t="inlineStr">
        <is>
          <t>High</t>
        </is>
      </c>
      <c r="D18" s="68" t="inlineStr">
        <is>
          <t>All genuinely quote-only; no invented prices.</t>
        </is>
      </c>
    </row>
    <row r="19" ht="18.4" customHeight="1" s="59">
      <c r="A19" s="4" t="inlineStr">
        <is>
          <t>Cross-off leads</t>
        </is>
      </c>
      <c r="B19" s="68" t="inlineStr">
        <is>
          <t>premierbiosource.com; sciencecare.com; zivic listing</t>
        </is>
      </c>
      <c r="C19" s="46" t="inlineStr">
        <is>
          <t>High</t>
        </is>
      </c>
      <c r="D19" s="68" t="inlineStr">
        <is>
          <t>Premier=live swine; Science Care=human; Zivic=rodent — all out of scope as porcine tissue vendors.</t>
        </is>
      </c>
    </row>
    <row r="20" ht="45.2" customHeight="1" s="59">
      <c r="A20" s="4" t="inlineStr">
        <is>
          <t>NC plant directory</t>
        </is>
      </c>
      <c r="B20" s="68" t="inlineStr">
        <is>
          <t>NCDA&amp;CS Meat &amp; Poultry Inspection 'plants that slaughter for farmers' (via cefs.ncsu.edu PDF, dated Oct 2018); div. 919-707-3180</t>
        </is>
      </c>
      <c r="C20" s="47" t="inlineStr">
        <is>
          <t>Med</t>
        </is>
      </c>
      <c r="D20" s="68" t="inlineStr">
        <is>
          <t>Backbone of the NC list. Dated 2018 — confirm current operating status/volumes by phone. USDA-vs-state status verified only where noted.</t>
        </is>
      </c>
    </row>
    <row r="21" ht="45.2" customHeight="1" s="59">
      <c r="A21" s="4" t="inlineStr">
        <is>
          <t>Martin's Pork Products (incumbent)</t>
        </is>
      </c>
      <c r="B21" s="68" t="inlineStr">
        <is>
          <t>NCDA&amp;CS Talmadge-Aiken plant directory (Est. TA-6720); ncmpa.com; D&amp;B/Manta; martinspork.com</t>
        </is>
      </c>
      <c r="C21" s="46" t="inlineStr">
        <is>
          <t>High</t>
        </is>
      </c>
      <c r="D21" s="68" t="inlineStr">
        <is>
          <t>CORRECTED to Martin's Pork Products, Falcon NC — active USDA T-A slaughter+processing, ~75 staff, (910) 980-1501, beth@martinspork.com. Distinct from the closed Martin's Abattoir (Godwin, cattle, closed 2013).</t>
        </is>
      </c>
    </row>
    <row r="22" ht="18.4" customHeight="1" s="59">
      <c r="A22" s="4" t="inlineStr">
        <is>
          <t>Nahunta</t>
        </is>
      </c>
      <c r="B22" s="68" t="inlineStr">
        <is>
          <t>southernfoodways.org; nahuntapork.com; bitandgrain.com</t>
        </is>
      </c>
      <c r="C22" s="46" t="inlineStr">
        <is>
          <t>High</t>
        </is>
      </c>
      <c r="D22" s="68" t="inlineStr">
        <is>
          <t>Nahunta = NC STATE-inspected (not USDA-FSIS), ~150 hogs/day, 3rd-gen Pierce family.</t>
        </is>
      </c>
    </row>
    <row r="23" ht="31.8" customHeight="1" s="59">
      <c r="A23" s="4" t="inlineStr">
        <is>
          <t>SC facilities</t>
        </is>
      </c>
      <c r="B23" s="68" t="inlineStr">
        <is>
          <t>caughmans.com; knockoutbutchery.com; FSIS notice (Palmetto Fresh suspension); Clemson SCMPID lists (803-788-8747)</t>
        </is>
      </c>
      <c r="C23" s="47" t="inlineStr">
        <is>
          <t>Med</t>
        </is>
      </c>
      <c r="D23" s="68" t="inlineStr">
        <is>
          <t>Caughman's USDA + family verified; several SC 'deer &amp; hog' shops likely custom-exempt — flag. Palmetto Fresh slaughter suspended Feb 2022.</t>
        </is>
      </c>
    </row>
    <row r="24" ht="31.8" customHeight="1" s="59">
      <c r="A24" s="4" t="inlineStr">
        <is>
          <t>TN facilities</t>
        </is>
      </c>
      <c r="B24" s="68" t="inlineStr">
        <is>
          <t>UT Center for Profitable Agriculture USDA-processor list (cpa.tennessee.edu); company sites</t>
        </is>
      </c>
      <c r="C24" s="47" t="inlineStr">
        <is>
          <t>Med</t>
        </is>
      </c>
      <c r="D24" s="68" t="inlineStr">
        <is>
          <t>13 USDA hog-slaughter shops listed. Cherry Meat ~80 hogs/month verified. Most well under a few hundred/wk — confirm.</t>
        </is>
      </c>
    </row>
    <row r="25" ht="45.2" customHeight="1" s="59">
      <c r="A25" s="4" t="inlineStr">
        <is>
          <t>VA facilities</t>
        </is>
      </c>
      <c r="B25" s="68" t="inlineStr">
        <is>
          <t>ecofriendly.com; temeats.com; blueridgemeats.com; FSIS listing (Fauquier's); VDACS (omps@vdacs.virginia.gov, 804-786-4569); vabeef.org</t>
        </is>
      </c>
      <c r="C25" s="46" t="inlineStr">
        <is>
          <t>High</t>
        </is>
      </c>
      <c r="D25" s="68" t="inlineStr">
        <is>
          <t>EcoFriendly Certified Humane; T&amp;E + Blue Ridge AWA — all verified USDA + hog slaughter. Strongest welfare bench.</t>
        </is>
      </c>
    </row>
    <row r="26" ht="45.2" customHeight="1" s="59">
      <c r="A26" s="4" t="inlineStr">
        <is>
          <t>Iowa / Midwest</t>
        </is>
      </c>
      <c r="B26" s="68" t="inlineStr">
        <is>
          <t>postbulletin.com (MRS); smithfieldbioscience.com; proteinintel.com (FSIS est. data); lorentzmeats.com; sigiowa.com; eickmans.com</t>
        </is>
      </c>
      <c r="C26" s="46" t="inlineStr">
        <is>
          <t>Med-High</t>
        </is>
      </c>
      <c r="D26" s="68" t="inlineStr">
        <is>
          <t>MRS ~20k/yr verified; Smithfield BioScience organ program verified. Large-packer biologics programs (Seaboard/Prestage/Wholestone) NOT confirmed — do not assume.</t>
        </is>
      </c>
    </row>
    <row r="27" ht="58.6" customHeight="1" s="59">
      <c r="A27" s="4" t="inlineStr">
        <is>
          <t>Authoritative confirmation source</t>
        </is>
      </c>
      <c r="B27" s="68" t="inlineStr">
        <is>
          <t>USDA FSIS MPI Directory + Establishment Demographic Data — fsis.usda.gov/inspection/establishments</t>
        </is>
      </c>
      <c r="C27" s="46" t="inlineStr">
        <is>
          <t>High</t>
        </is>
      </c>
      <c r="D27" s="68" t="inlineStr">
        <is>
          <t>Lists species slaughtered, volume category, grant status and size class per establishment; updated weekly. The Akamai block that defeated earlier sessions was worked around with a full browser header set, and the complete CSVs are now the backbone of this workbook — see the '★ FULL ROSTER RE-VERIFICATION' row above.</t>
        </is>
      </c>
    </row>
    <row r="28" ht="31.8" customHeight="1" s="59">
      <c r="A28" s="4" t="inlineStr">
        <is>
          <t>APHIS vs FSIS vs state inspection</t>
        </is>
      </c>
      <c r="B28" s="68" t="inlineStr">
        <is>
          <t>aphis.usda.gov/animal-product-export (IREGS); fsis.usda.gov/inspection/import-export</t>
        </is>
      </c>
      <c r="C28" s="46" t="inlineStr">
        <is>
          <t>High</t>
        </is>
      </c>
      <c r="D28" s="68" t="inlineStr">
        <is>
          <t>Three distinct regimes. APHIS Veterinary Services (not FSIS) is the export pathway for non-food tissue; a state-inspected plant is NOT disqualified from it.</t>
        </is>
      </c>
    </row>
    <row r="29" ht="45.2" customHeight="1" s="59">
      <c r="A29" s="4" t="inlineStr">
        <is>
          <t>EU animal by-products law</t>
        </is>
      </c>
      <c r="B29" s="68" t="inlineStr">
        <is>
          <t>EUR-Lex Reg (EC) 1069/2009; Reg (EU) 142/2011 (legislation.gov.uk consolidated); Annex XIV via Reg (EU) 2022/384</t>
        </is>
      </c>
      <c r="C29" s="46" t="inlineStr">
        <is>
          <t>High</t>
        </is>
      </c>
      <c r="D29" s="68" t="inlineStr">
        <is>
          <t>Governs import of porcine tissue not for human consumption. Typically Category 3; US is a listed third country; origin establishment must be APHIS-listed on TRACES; APHIS-VS-endorsed model health certificate required.</t>
        </is>
      </c>
    </row>
    <row r="30" ht="45.2" customHeight="1" s="59">
      <c r="A30" s="4" t="inlineStr">
        <is>
          <t>EU medical-device angle</t>
        </is>
      </c>
      <c r="B30" s="68" t="inlineStr">
        <is>
          <t>MDR (EU) 2017/745 Annex I 13.1; Reg (EU) 722/2012 (legislation.gov.uk); ISO 22442 (practice)</t>
        </is>
      </c>
      <c r="C30" s="46" t="inlineStr">
        <is>
          <t>High</t>
        </is>
      </c>
      <c r="D30" s="68" t="inlineStr">
        <is>
          <t>722/2012 (TSE) does NOT cover porcine (bovine/ovine/caprine/deer/elk/mink/cats only). Porcine devices fall under MDR general animal-origin requirements. A training 'model' may not be a device at all — classification call for a specialist/notified body.</t>
        </is>
      </c>
    </row>
    <row r="31" ht="31.8" customHeight="1" s="59">
      <c r="A31" s="4" t="inlineStr">
        <is>
          <t>APHIS / EU — caveat</t>
        </is>
      </c>
      <c r="B31" s="68" t="inlineStr">
        <is>
          <t>APHIS VS Field Operations / Veterinary Export Trade Services; EU importer; notified body</t>
        </is>
      </c>
      <c r="C31" s="47" t="inlineStr">
        <is>
          <t>Med</t>
        </is>
      </c>
      <c r="D31" s="68" t="inlineStr">
        <is>
          <t>NOT legal advice. Exact ABP category, CN code, and 142/2011 model certificate must be confirmed per product line with APHIS VS and a customs/regulatory specialist.</t>
        </is>
      </c>
    </row>
    <row r="32" ht="45.2" customHeight="1" s="59">
      <c r="A32" s="4" t="inlineStr">
        <is>
          <t>USDA/FSIS enforcement (per facility)</t>
        </is>
      </c>
      <c r="B32" s="68" t="inlineStr">
        <is>
          <t>FSIS Quarterly Enforcement Reports &amp; NOS/NOIE PDFs; AWI Humane Slaughter suspension list; PETA/ASPCA releases; local news</t>
        </is>
      </c>
      <c r="C32" s="46" t="inlineStr">
        <is>
          <t>Med-High</t>
        </is>
      </c>
      <c r="D32" s="68" t="inlineStr">
        <is>
          <t>Verified humane-handling actions at several plants (roster ⚠ column). FSIS pages Akamai-blocked to automation; findings via search snippets + secondary sources. 'None found' ≠ verified-clean; airtight confirmation needs a FOIA / direct QER query by establishment #.</t>
        </is>
      </c>
    </row>
    <row r="33" ht="45.2" customHeight="1" s="59">
      <c r="A33" s="4" t="inlineStr">
        <is>
          <t>Export / APHIS lookup sites</t>
        </is>
      </c>
      <c r="B33" s="68" t="inlineStr">
        <is>
          <t>FSIS 'Eligible Establishments by Country' + EU page; FSIS MPI directory; APHIS Export-to-EU (VS); EU TRACES-NT; usda-eu.org</t>
        </is>
      </c>
      <c r="C33" s="46" t="inlineStr">
        <is>
          <t>High</t>
        </is>
      </c>
      <c r="D33" s="68" t="inlineStr">
        <is>
          <t>The authoritative places to check export/APHIS listing yourself (see 'APHIS &amp; EU Export' tab). No facility confirmed EU/APHIS-listed for research tissue; 6 large plants FSIS export-certified for edible meat only.</t>
        </is>
      </c>
    </row>
    <row r="34" ht="31.8" customHeight="1" s="59">
      <c r="A34" s="4" t="inlineStr">
        <is>
          <t>National vendors × EU export</t>
        </is>
      </c>
      <c r="B34" s="68" t="inlineStr">
        <is>
          <t>Vendor sites (ISO/USDA claims); Reg (EC) 1069/2009 &amp; (EU) 142/2011; MDR Annex I 13.1 / ISO 22442</t>
        </is>
      </c>
      <c r="C34" s="46" t="inlineStr">
        <is>
          <t>Med-High</t>
        </is>
      </c>
      <c r="D34" s="68" t="inlineStr">
        <is>
          <t>Innovative Research RUO labeling = likely EU blocker. Tissue Source / Smithfield BioScience / MRS / SSR best-positioned; all still need establishment-level APHIS/TRACES confirmation + VS health certs.</t>
        </is>
      </c>
    </row>
  </sheetData>
  <mergeCells count="2">
    <mergeCell ref="A1:D1"/>
    <mergeCell ref="A2:D2"/>
  </mergeCells>
  <pageMargins left="0.35" right="0.35" top="0.45" bottom="0.45" header="0.5" footer="0.5"/>
  <pageSetup orientation="landscape" fitToHeight="0" fitToWidth="1"/>
  <headerFooter>
    <oddHeader/>
    <oddFooter>&amp;L&amp;8 Sources &amp; Confidence&amp;R&amp;8 Page &amp;P of &amp;N</oddFooter>
    <evenHeader/>
    <evenFooter/>
    <firstHeader/>
    <firstFooter/>
  </headerFooter>
</worksheet>
</file>

<file path=xl/worksheets/sheet14.xml><?xml version="1.0" encoding="utf-8"?>
<worksheet xmlns="http://schemas.openxmlformats.org/spreadsheetml/2006/main">
  <sheetPr>
    <tabColor rgb="00A6A6A6"/>
    <outlinePr summaryBelow="1" summaryRight="1"/>
    <pageSetUpPr fitToPage="1"/>
  </sheetPr>
  <dimension ref="A1:H91"/>
  <sheetViews>
    <sheetView showGridLines="0" workbookViewId="0">
      <selection activeCell="B30" sqref="B30"/>
    </sheetView>
  </sheetViews>
  <sheetFormatPr baseColWidth="8" defaultRowHeight="14.4"/>
  <cols>
    <col width="30" customWidth="1" style="59" min="1" max="1"/>
    <col width="22" customWidth="1" style="59" min="2" max="2"/>
    <col width="34" customWidth="1" style="59" min="3" max="3"/>
    <col width="26" customWidth="1" style="59" min="4" max="4"/>
    <col width="17" customWidth="1" style="59" min="5" max="5"/>
    <col width="13" customWidth="1" style="59" min="6" max="6"/>
    <col width="5" customWidth="1" style="59" min="7" max="7"/>
    <col width="92" customWidth="1" style="59" min="8" max="8"/>
  </cols>
  <sheetData>
    <row r="1" ht="25.1" customHeight="1" s="59">
      <c r="A1" s="117" t="inlineStr">
        <is>
          <t>Deep Study — Multi-Agent Re-Research with Adversarial Verification</t>
        </is>
      </c>
    </row>
    <row r="2" ht="18.4" customHeight="1" s="59">
      <c r="A2" s="61" t="inlineStr">
        <is>
          <t>21 agents · 121 facility records · 10 candidates adversarially verified (agents told to REFUTE, not confirm) · ~2.0M tokens, 1,091 tool calls, 0 errors.  Verdicts here OVERRIDE the earlier tabs where they conflict.</t>
        </is>
      </c>
    </row>
    <row r="3" ht="58.6" customHeight="1" s="59">
      <c r="A3" s="91" t="inlineStr">
        <is>
          <t>⚠ POINT-IN-TIME RECORD — READ THE SUPERSEDED MARKERS. This tab captures the deep study as it stood before three later corrections. (1) Capacity was OPENED and replaced by four volume tiers, so references below to a 200-3,000/wk band are historical. (2) APHIS was confirmed to be required of DIRECT TISSUE SUPPLIERS only, and NC state inspection accepted as equivalent, so NAHUNTA IS EXPORTABLE — finding #2 below is wrong and is marked accordingly. (3) A sweep against USDA's own primary datasets (FSIS Establishment Demographic Data + MPI Directory, retrieved 2026-08-06) overturned the volume and inspection-type claims for several plants named below — most importantly Larry's Sausage, Bass Farms and Gunnoe Sausage. Cells beginning '⚠ SUPERSEDED' must NOT be acted on. Where this tab conflicts with the Supplier Roster or Action Items tabs, those tabs win.</t>
        </is>
      </c>
    </row>
    <row r="4" ht="15" customHeight="1" s="59"/>
    <row r="5" ht="19.7" customHeight="1" s="59">
      <c r="A5" s="118" t="inlineStr">
        <is>
          <t>KEY FINDINGS  (ranked by decision impact)</t>
        </is>
      </c>
    </row>
    <row r="6" ht="31.8" customHeight="1" s="59">
      <c r="A6" s="58" t="inlineStr">
        <is>
          <t>1.  NAHUNTA IS PROMOTED, NOT MERELY SENTIMENTAL: it publishes a 'Specimen Permits' page routing research/educational institutions to the NCDA&amp;CS specimen request form, AND sells fresh spleens, hearts, livers and tongues as standing retail SKUs — hard evidence viscera leave the kill floor intact. This REFUTES the earlier 'organ capability: none published'. You would be scaling something they already do, not asking for something new.  (VERIFIED)</t>
        </is>
      </c>
    </row>
    <row r="7" ht="45.2" customHeight="1" s="59">
      <c r="A7" s="58" t="inlineStr">
        <is>
          <t>⚠ SUPERSEDED — THIS FINDING IS WRONG. It read: 'NAHUNTA CAN NEVER SUPPLY EUROPE.' APHIS has since confirmed it accepts the NC state inspection programme (grant P-80A) as EQUIVALENT to federal for this purpose, and permits Nahunta-harvested material to form part of an exported model once the model is assembled at ATM. The reasoning below was sound on its own terms — EU Category 3 status under Reg. 1069/2009 does require ante-/post-mortem inspection in a slaughterhouse — but it assumed federal inspection was the only way to satisfy that, and for North Carolina specifically it is not. NOTE THE LIMIT: only NC state inspection carries this equivalence. No other state programme does.</t>
        </is>
      </c>
    </row>
    <row r="8" ht="31.8" customHeight="1" s="59">
      <c r="A8" s="58" t="inlineStr">
        <is>
          <t>3.  MARTIN'S PORK PRODUCTS IS BACK IN BAND: the '6,500 hogs/wk, over your ceiling' figure did NOT survive scrutiny — the 1,300 head/day entry is contradicted by Talmadge-Aiken small-plant structure, ~75 employees, no EPA permits in Falcon, and a ~9.4-acre site with one 1,484 sq ft building. Revised estimate 200-1,500 hogs/week — most likely IN BAND. Confirmed active on the NCDA&amp;CS TA directory dated 2026-07-24.  (REFUTED → POSSIBLE, p2)</t>
        </is>
      </c>
    </row>
    <row r="9" ht="31.8" customHeight="1" s="59">
      <c r="A9" s="58" t="inlineStr">
        <is>
          <t>4.  YOU HAVE BEEN AIMING AT THE WRONG EXPORT LIST: your product is an ANIMAL BY-PRODUCT, so APHIS Veterinary Services — not FSIS — is the certifying authority. A plant on the FSIS 'Eligible US Establishments – EU/Pork' list is NOT thereby approved to send research tissue to Europe, and a biologics harvester could be APHIS-listed while appearing on no FSIS list at all. Track them as two independent yes/no columns; never accept 'we're EU approved' without asking WHICH list.  (VERIFIED)</t>
        </is>
      </c>
    </row>
    <row r="10" ht="31.8" customHeight="1" s="59">
      <c r="A10" s="58" t="inlineStr">
        <is>
          <t>5.  YOUR VOLUME BAND DESCRIBES A HOLE IN THE US MARKET: by the industry's own capacity census only ~17 plants nationally sit inside 200-3,000 hogs/wk, and 8 of those are cull-sow plants — leaving roughly NINE market-hog plants in the entire country, and exactly ONE in the four states studied. A single-plant, single-source strategy is probably not purchasable.  (INFERRED from EMI Analytics capacity table)</t>
        </is>
      </c>
    </row>
    <row r="11" ht="31.8" customHeight="1" s="59">
      <c r="A11" s="58" t="inlineStr">
        <is>
          <t>6.  SOW vs MARKET HOG IS A CLIENT-SIDE DECISION THAT DECIDES HALF THE POOL — and no further research can answer it. Swaggerty, Wampler's, Williams/Tyson, Kansas City Sausage and Gunnoe are all SOW plants. A heavily parous sow has a remodelled birth canal and stretched abdominal wall: either disqualifying for pelvic/bariatric blocks, or a premium urogynaecology asset. ANSWER THIS INTERNALLY BEFORE ANOTHER HOUR OF SOURCING.</t>
        </is>
      </c>
    </row>
    <row r="12" ht="31.8" customHeight="1" s="59">
      <c r="A12" s="58" t="inlineStr">
        <is>
          <t>7.  NOT ONE FACILITY IN 121 RECORDS IS VERIFIED AS APHIS-LISTED OR EU/TRACES-LISTED — including Smithfield BioScience. FSIS was Akamai-403/proxy-502 to every request, usda-eu.org 503'd, TRACES-NT is a JS app automation cannot read. Your European route is currently an ASSUMPTION, not a finding.</t>
        </is>
      </c>
    </row>
    <row r="13" ht="31.8" customHeight="1" s="59">
      <c r="A13" s="58" t="inlineStr">
        <is>
          <t>8.  EVERY 'CLEAN WELFARE RECORD' MEANS 'NOTHING SURFACED' — and each of the three times a verifier actually dug, the record was NOT clean. T&amp;E Meats: a large hog REGAINED CONSCIOUSNESS on the bleed rail (NOIE 2023-11-22) + a sow needing repeated captive-bolt attempts (NOROS 2024-04-25). Piedmont: a 2021 humane-handling NR. Williams Sausage: 2022 noncompliance + an FSIS slaughter-HACCP Notice of Suspension dated 2025-07-15.  (All VERIFIED from primary FSIS correspondence)</t>
        </is>
      </c>
    </row>
    <row r="14" ht="31.8" customHeight="1" s="59">
      <c r="A14" s="58" t="inlineStr">
        <is>
          <t>9.  TWO WELFARE CERTIFICATIONS THAT CARRIED THE EARLIER PASS ARE REFUTED: Williamsburg Packing appears in NEITHER Certified Humane's nor A Greener World's own directories (likely conflated with Caw Caw Creek FARM, not a plant); EcoFriendly Foods' only verifiable HFAC record is a 2010 DISTRIBUTOR certification, not a current plant certification — a live diligence flag for a company selling on welfare credibility.</t>
        </is>
      </c>
    </row>
    <row r="15" ht="31.8" customHeight="1" s="59">
      <c r="A15" s="58" t="inlineStr">
        <is>
          <t>10.  VIRGINIA'S ONLY GENUINELY IN-BAND PLANT WAS NEVER RESEARCHED: Gunnoe Sausage Company, Goode VA (540) 586-1091 — a dedicated sow slaughterhouse since 1965 running 90-110 head/day (~450-590 hogs/wk). It clears your floor, whereas EcoFriendly Foods (the earlier STRONG FIT) is an order of magnitude BELOW it at an estimated 20-80 hogs/week.</t>
        </is>
      </c>
    </row>
    <row r="16" ht="31.8" customHeight="1" s="59">
      <c r="A16" s="58" t="inlineStr">
        <is>
          <t>11.  HIGHEST-ROI UNEXPLOITED LEAD — heparin/mucosa/natural-casing collectors (Scientific Protein Laboratories, Waunakee WI; DeWied International, San Antonio TX) ALREADY RUN YOUR MODEL A AT INDUSTRIAL SCALE: their own crews, inside third-party USDA plants, recovering one tissue under written protocol, paying for line position. Their collection networks are a ready-made map of which US plants accept third-party harvest crews, at what price, under whose HACCP.</t>
        </is>
      </c>
    </row>
    <row r="17" ht="15" customHeight="1" s="59"/>
    <row r="18" ht="19.7" customHeight="1" s="59">
      <c r="A18" s="118" t="inlineStr">
        <is>
          <t>WHAT THE VERIFICATION CHANGED  (vs. the first pass)</t>
        </is>
      </c>
    </row>
    <row r="19" ht="31.8" customHeight="1" s="59">
      <c r="A19" s="1" t="inlineStr">
        <is>
          <t>PROMOTED — Nahunta (P-80A)</t>
        </is>
      </c>
      <c r="B19" s="68" t="inlineStr">
        <is>
          <t>CAUTION → STRONG FIT, p1. Publishes a Specimen Permits page (NCDA&amp;CS specimen request route) and sells fresh spleens/hearts/livers/tongues retail — 'no organ capability' REFUTED. Swine-only slaughter, state-inspected status, address and phone all confirmed against the NCDA&amp;CS directory PDF dated 2026-07-24. Caveat: the 500+/wk figure says PROCESSES, and attaches to the processing entity (P-80) — ask what P-80A actually KILLS.</t>
        </is>
      </c>
      <c r="C19" s="64" t="n"/>
      <c r="D19" s="64" t="n"/>
      <c r="E19" s="64" t="n"/>
      <c r="F19" s="64" t="n"/>
      <c r="G19" s="64" t="n"/>
      <c r="H19" s="65" t="n"/>
    </row>
    <row r="20" ht="45.2" customHeight="1" s="59">
      <c r="A20" s="1" t="inlineStr">
        <is>
          <t>PROMOTED — Martin's Pork Products (TA-6720)</t>
        </is>
      </c>
      <c r="B20" s="68" t="inlineStr">
        <is>
          <t>Volume objection REFUTED (see finding 3) → POSSIBLE, p2. Confirmed active on a regulator document 10 days old. A slower line is FRIENDLIER to Model A, not harder. Two cautions: county deeds show land purchases Aug/Nov 2021 against a claimed 2022 grant date, so your read on their culture may be stale; and three sources disagree on the street address — do NOT travel to '6657 Kings Street' unconfirmed. martinspork.com is effectively dead (expired TLS, page last modified 2017).</t>
        </is>
      </c>
      <c r="C20" s="64" t="n"/>
      <c r="D20" s="64" t="n"/>
      <c r="E20" s="64" t="n"/>
      <c r="F20" s="64" t="n"/>
      <c r="G20" s="64" t="n"/>
      <c r="H20" s="65" t="n"/>
    </row>
    <row r="21" ht="31.8" customHeight="1" s="59">
      <c r="A21" s="1" t="inlineStr">
        <is>
          <t>DOWNGRADED — Acre Station</t>
        </is>
      </c>
      <c r="B21" s="68" t="inlineStr">
        <is>
          <t>STRONG FIT p1 → CAUTION p3. The ~400/wk headline was manufactured by multiplying a nameplate ceiling ('80 hogs OR 7 cattle'/day) by five. An actual figure existed and was missed: ~150 hogs/week (Firsthand Foods), corroborated by its FSIS 1,000-9,999 animals/year band — which 400/wk would not fit. AWA demoted to single-source/UNVERIFIED. New risk: two directories label it CUSTOM EXEMPT, which if true kills saleability and exportability.</t>
        </is>
      </c>
      <c r="C21" s="64" t="n"/>
      <c r="D21" s="64" t="n"/>
      <c r="E21" s="64" t="n"/>
      <c r="F21" s="64" t="n"/>
      <c r="G21" s="64" t="n"/>
      <c r="H21" s="65" t="n"/>
    </row>
    <row r="22" ht="31.8" customHeight="1" s="59">
      <c r="A22" s="1" t="inlineStr">
        <is>
          <t>DOWNGRADED — Piedmont Custom Meats</t>
        </is>
      </c>
      <c r="B22" s="68" t="inlineStr">
        <is>
          <t>STRONG FIT p1 → REFERENCE p9. FSIS classes BOTH establishments 'Very Small' (&lt;10 employees or &lt;$2.5M sales) — dispositive against 200 hogs/wk on a line shared with cattle, sheep, goat and poultry. Realistic throughput: LOW TENS per week. Welfare not clean (2021 humane-handling NR). AWA claim is company-site-only. Grant decode corrected: V7975 = Voluntary inspection, not poultry. Harvest-floor phone is (336) 584-8247, not the Asheboro number.</t>
        </is>
      </c>
      <c r="C22" s="64" t="n"/>
      <c r="D22" s="64" t="n"/>
      <c r="E22" s="64" t="n"/>
      <c r="F22" s="64" t="n"/>
      <c r="G22" s="64" t="n"/>
      <c r="H22" s="65" t="n"/>
    </row>
    <row r="23" ht="31.8" customHeight="1" s="59">
      <c r="A23" s="1" t="inlineStr">
        <is>
          <t>DOWNGRADED — Williamsburg Packing (SC)</t>
        </is>
      </c>
      <c r="B23" s="68" t="inlineStr">
        <is>
          <t>'Contact first' → POSSIBLE p6. Both load-bearing claims failed: the Certified Humane/AWA credential is absent from both certifiers' directories, and the 'same FSIS volume category as Martin's' calibration compared a 2-flag swine-only plant against a 21-species aggregate that counts chickens per head.</t>
        </is>
      </c>
      <c r="C23" s="64" t="n"/>
      <c r="D23" s="64" t="n"/>
      <c r="E23" s="64" t="n"/>
      <c r="F23" s="64" t="n"/>
      <c r="G23" s="64" t="n"/>
      <c r="H23" s="65" t="n"/>
    </row>
    <row r="24" ht="31.8" customHeight="1" s="59">
      <c r="A24" s="1" t="inlineStr">
        <is>
          <t>DOWNGRADED — Swaggerty Sausage (TN)</t>
        </is>
      </c>
      <c r="B24" s="68" t="inlineStr">
        <is>
          <t>→ CAUTION p7. Sow-only confirmed three ways incl. FSIS species flags (market_swine BLANK). At ~4,250-4,590/wk it is over your ceiling, and your own rule admits over-ceiling plants only if they ALREADY specialise in organ/tissue harvesting — a programme that 'would have to be built here' cannot satisfy that exception. Plus two TN OSHA machine-guarding actions six years apart (2018, 2024, same 1910.212(a)(1) standard) against your worker-welfare criterion.</t>
        </is>
      </c>
      <c r="C24" s="64" t="n"/>
      <c r="D24" s="64" t="n"/>
      <c r="E24" s="64" t="n"/>
      <c r="F24" s="64" t="n"/>
      <c r="G24" s="64" t="n"/>
      <c r="H24" s="65" t="n"/>
    </row>
    <row r="25" ht="45.2" customHeight="1" s="59">
      <c r="A25" s="1" t="inlineStr">
        <is>
          <t>DOWNGRADED — EcoFriendly Foods (VA)</t>
        </is>
      </c>
      <c r="B25" s="68" t="inlineStr">
        <is>
          <t>STRONG FIT → REFERENCE p8. Estimated 20-80 hogs/week — an order of magnitude below your floor. The 2023 Bedford County grant was $21,500 for COMMERCIAL KITCHEN equipment (tilt skillet, refrigerated storage, for hand pies and soups) — evidence of a micro-operation, not scaling. No public evidence it sells line/cooler access or contract harvest at all: BOTH your operating models are unsupported here. NOTE: the reported '2020 bankruptcy' is UNSUPPORTED — it appears to be open.</t>
        </is>
      </c>
      <c r="C25" s="64" t="n"/>
      <c r="D25" s="64" t="n"/>
      <c r="E25" s="64" t="n"/>
      <c r="F25" s="64" t="n"/>
      <c r="G25" s="64" t="n"/>
      <c r="H25" s="65" t="n"/>
    </row>
    <row r="26" ht="45.2" customHeight="1" s="59">
      <c r="A26" s="1" t="inlineStr">
        <is>
          <t>KILLED — T&amp;E Meats / Honest Meats LLC (VA)</t>
        </is>
      </c>
      <c r="B26" s="68" t="inlineStr">
        <is>
          <t>'CONTACT FIRST, best welfare story in Virginia' → OUT / FLAG p9. FSIS documented an escalation chain: NOIE 2023-11-22 (a large hog REGAINED CONSCIOUSNESS on the bleed rail); Notice of Suspension 2024-03-14 (Holstein steer, two failed captive-bolt stuns, employee left the floor for a 9mm, three holes in the skull); Reinstatement of Suspension 2024-04-25 (large sow, repeated .25 cal attempts) — a repeat egregious event six weeks after corrections were accepted. Volume independently disqualifies it (~19-192 head/wk, all species). In fairness FSIS later called its written humane system 'robust' with no recurrence after May 2024 — but this cannot be presented as a welfare exemplar.</t>
        </is>
      </c>
      <c r="C26" s="64" t="n"/>
      <c r="D26" s="64" t="n"/>
      <c r="E26" s="64" t="n"/>
      <c r="F26" s="64" t="n"/>
      <c r="G26" s="64" t="n"/>
      <c r="H26" s="65" t="n"/>
    </row>
    <row r="27" ht="31.8" customHeight="1" s="59">
      <c r="A27" s="1" t="inlineStr">
        <is>
          <t>KILLED — the 'family plant' thesis at Williams Sausage (TN)</t>
        </is>
      </c>
      <c r="B27" s="68" t="inlineStr">
        <is>
          <t>REFUTED: Tyson Foods completed the acquisition 2023-05-22; the site is internally 'Hickman Rd Plant … formally known as Williams Sausage Company.' Your counterparty for kill-floor access is Tyson corporate, not an Obion County family. The '$16M expansion' is from a 2012 article, ~14 years old. Also carries an FSIS slaughter-HACCP suspension dated 2025-07-15.</t>
        </is>
      </c>
      <c r="C27" s="64" t="n"/>
      <c r="D27" s="64" t="n"/>
      <c r="E27" s="64" t="n"/>
      <c r="F27" s="64" t="n"/>
      <c r="G27" s="64" t="n"/>
      <c r="H27" s="65" t="n"/>
    </row>
    <row r="28" ht="58.6" customHeight="1" s="59">
      <c r="A28" s="1" t="inlineStr">
        <is>
          <t>IDENTITY CORRECTIONS</t>
        </is>
      </c>
      <c r="B28" s="68" t="inlineStr">
        <is>
          <t>Martin's disambiguation independently CONFIRMED — Godwin's 1600 Martin Road now carries live EPA permits under Kansas City Sausage Co. LLC dba Coastal Protein; Martin's Pork Products is separately confirmed at Falcon. BUT the conflation survived in the NUMBERS after being scrubbed from the prose (the 1,300 hd/day figure fits Godwin, not Falcon). Also: Wampler's Farm Sausage vs Family Brands LLC (M6515, same town — the '73-year employee' story belongs to the WRONG plant); T&amp;E Meats is legally 'Honest Meats, LLC' (contract must name it); Williams Sausage carries 4 DBAs on one establishment (J C Potter is not a separate candidate); Appalachian Abattoir M7457A is in WEST VIRGINIA, not SC; three different 'Blue Ridge Meats'; Sioux-Preme M5537 (holds the humane actions) vs M812A (processing only).</t>
        </is>
      </c>
      <c r="C28" s="64" t="n"/>
      <c r="D28" s="64" t="n"/>
      <c r="E28" s="64" t="n"/>
      <c r="F28" s="64" t="n"/>
      <c r="G28" s="64" t="n"/>
      <c r="H28" s="65" t="n"/>
    </row>
    <row r="29" ht="15" customHeight="1" s="59"/>
    <row r="30" ht="19.7" customHeight="1" s="59">
      <c r="A30" s="118" t="inlineStr">
        <is>
          <t>RECOMMENDED CONTACT ORDER  (post-verification)</t>
        </is>
      </c>
    </row>
    <row r="31" ht="18.4" customHeight="1" s="59">
      <c r="A31" s="3" t="inlineStr">
        <is>
          <t>#</t>
        </is>
      </c>
      <c r="B31" s="3" t="inlineStr">
        <is>
          <t>Facility</t>
        </is>
      </c>
      <c r="C31" s="3" t="inlineStr">
        <is>
          <t>Why</t>
        </is>
      </c>
    </row>
    <row r="32" ht="45.2" customHeight="1" s="59">
      <c r="A32" s="44" t="n">
        <v>1</v>
      </c>
      <c r="B32" s="4" t="inlineStr">
        <is>
          <t>Nahunta Slaughter House, Inc.  (Est. P-80A, Pikeville NC · 919-242-4735)</t>
        </is>
      </c>
      <c r="C32" s="68" t="inlineStr">
        <is>
          <t>Only candidate with a PUBLISHED research-specimen pathway and fresh spleens/hearts/livers as standing retail SKUs — direct evidence viscera leave the kill floor intact. Culture benchmark; swine-only; verified open on a regulator PDF dated 2026-07-24.</t>
        </is>
      </c>
      <c r="D32" s="64" t="n"/>
      <c r="E32" s="64" t="n"/>
      <c r="F32" s="64" t="n"/>
      <c r="G32" s="65" t="n"/>
      <c r="H32" s="5" t="inlineStr">
        <is>
          <t>How many hogs do you KILL per week under P-80A — and how many carcasses do you buy in for P-80?</t>
        </is>
      </c>
    </row>
    <row r="33" ht="45.2" customHeight="1" s="59">
      <c r="A33" s="44" t="n">
        <v>2</v>
      </c>
      <c r="B33" s="4" t="inlineStr">
        <is>
          <t>Martin's Pork Products, Inc.  (Est. TA-6720, Falcon NC · 910-980-1501)</t>
        </is>
      </c>
      <c r="C33" s="68" t="inlineStr">
        <is>
          <t>The only verified hog-only, federally-inspected, export-structurally-eligible plant plausibly in your band — and an incumbent, so the call is cheap. The volume objection has evaporated.</t>
        </is>
      </c>
      <c r="D33" s="64" t="n"/>
      <c r="E33" s="64" t="n"/>
      <c r="F33" s="64" t="n"/>
      <c r="G33" s="65" t="n"/>
      <c r="H33" s="5" t="inlineStr">
        <is>
          <t>Actual current head/week, and WHO OWNS THE PLANT TODAY (deeds suggest your culture read may be stale). Confirm the street address.</t>
        </is>
      </c>
    </row>
    <row r="34" ht="72" customHeight="1" s="59">
      <c r="A34" s="44" t="n">
        <v>3</v>
      </c>
      <c r="B34" s="4" t="inlineStr">
        <is>
          <t>⚠ SUPERSEDED (est. no. is M8305, federal) — Larry's Sausage Company, Inc.  (Est. TA-8305, Fayetteville NC)</t>
        </is>
      </c>
      <c r="C34" s="68" t="inlineStr">
        <is>
          <t>⚠ SUPERSEDED — Closest structural analogue to Nahunta but with federal/exportable TA inspection: swine-only, family-owned since 1952, three generations. FLAG: never adversarially verified — treat at the same confidence as the pre-verification file that failed elsewhere.</t>
        </is>
      </c>
      <c r="D34" s="64" t="n"/>
      <c r="E34" s="64" t="n"/>
      <c r="F34" s="64" t="n"/>
      <c r="G34" s="65" t="n"/>
      <c r="H34" s="5" t="inlineStr">
        <is>
          <t>⚠ SUPERSEDED — LARRY'S: inspection is FEDERAL M8305, not 'TA-8305'; FSIS slaughter_volume_category = 2 caps it at ~192/wk against the 200-800/wk claimed; and it is SOW-ONLY. Dropped from #3 to #11.  ORIGINAL TEXT: Actual weekly kill. The 200-800/wk figure is a labelled estimate from distribution footprint — that number decides everything.</t>
        </is>
      </c>
    </row>
    <row r="35" ht="72" customHeight="1" s="59">
      <c r="A35" s="44" t="n">
        <v>4</v>
      </c>
      <c r="B35" s="4" t="inlineStr">
        <is>
          <t>⚠ SUPERSEDED (est. no. is M3521, federal) — Bass Farms, Inc.  (Est. TA-3521, Spring Hope NC)</t>
        </is>
      </c>
      <c r="C35" s="68" t="inlineStr">
        <is>
          <t>⚠ SUPERSEDED — NCDA&amp;CS lists it 'Slaughter only, species C (swine)' — a hog kill floor with NO processing attached is the purest Model A structure in the state. Also never adversarially verified.</t>
        </is>
      </c>
      <c r="D35" s="64" t="n"/>
      <c r="E35" s="64" t="n"/>
      <c r="F35" s="64" t="n"/>
      <c r="G35" s="65" t="n"/>
      <c r="H35" s="5" t="inlineStr">
        <is>
          <t>⚠ SUPERSEDED — BASS FARMS: it is FEDERAL M3521 and the grant IS live (re-issued 17 Feb 2026); it is NOT 'slaughter only' — FSIS records slaughter AND processing, processing category 4, DBA 'Bass Farm Sausage'; and slaughter_volume_category = 1 = under ~19 head/wk. Sow-only. REMOVED from the contact order.  ORIGINAL TEXT: Current federal grant status — no matching M3521 record surfaced; confirm the TA grant is live before anything else.</t>
        </is>
      </c>
    </row>
    <row r="36" ht="58.6" customHeight="1" s="59">
      <c r="A36" s="44" t="n">
        <v>5</v>
      </c>
      <c r="B36" s="4" t="inlineStr">
        <is>
          <t>Gunnoe Sausage Company  (Goode VA · 540-586-1091)</t>
        </is>
      </c>
      <c r="C36" s="68" t="inlineStr">
        <is>
          <t>⚠ SUPERSEDED — Newly surfaced and NEVER researched: dedicated sow slaughterhouse since 1965 at ~450-590 hogs/week — genuinely in band, and Virginia's only such plant.</t>
        </is>
      </c>
      <c r="D36" s="64" t="n"/>
      <c r="E36" s="64" t="n"/>
      <c r="F36" s="64" t="n"/>
      <c r="G36" s="65" t="n"/>
      <c r="H36" s="5" t="inlineStr">
        <is>
          <t>⚠ SUPERSEDED — GUNNOE: no establishment named 'Gunnoe' exists anywhere in the FSIS MPI directory and nothing is listed at Goode VA. The profile cannot be attached to an inspected establishment. REMOVED from the contact order; EcoFriendly Foods (M21938) is now the Virginia entry.  ORIGINAL TEXT: Establishment number and inspection status (not captured), then sow-vs-market-hog and third-party crew access.</t>
        </is>
      </c>
    </row>
    <row r="37" ht="45.2" customHeight="1" s="59">
      <c r="A37" s="44" t="n">
        <v>6</v>
      </c>
      <c r="B37" s="4" t="inlineStr">
        <is>
          <t>Smithfield BioScience  (harvest base Tar Heel NC, Est. M18079/V18079)</t>
        </is>
      </c>
      <c r="C37" s="68" t="inlineStr">
        <is>
          <t>The ONLY verified organ programme anywhere in the study — aortas, heart valves, pericardium, peritoneum, mucosa, pancreas, pituitary, tendons — plus stated farm-to-processing traceability and existing EU pharmaceutical (heparin API) trade.</t>
        </is>
      </c>
      <c r="D37" s="64" t="n"/>
      <c r="E37" s="64" t="n"/>
      <c r="F37" s="64" t="n"/>
      <c r="G37" s="65" t="n"/>
      <c r="H37" s="5" t="inlineStr">
        <is>
          <t>Will you harvest multi-organ regional BLOCKS to our written spec, and which APHIS/EU listings do you hold for research-use material? (Handle as competitive intelligence — they may see you as a rival, not a customer.)</t>
        </is>
      </c>
    </row>
    <row r="38" ht="58.6" customHeight="1" s="59">
      <c r="A38" s="44" t="n">
        <v>7</v>
      </c>
      <c r="B38" s="4" t="inlineStr">
        <is>
          <t>Kansas City Sausage Co., LLC dba Coastal Protein  (1600 Martin Road, Godwin NC)</t>
        </is>
      </c>
      <c r="C38" s="68" t="inlineStr">
        <is>
          <t>Confirmed operating via live EPA CAA and NPDES permits. ~3,500-5,000 sows/wk — marginally over ceiling, but SOW anatomy is closer to adult human scale than a 250 lb market hog.</t>
        </is>
      </c>
      <c r="D38" s="64" t="n"/>
      <c r="E38" s="64" t="n"/>
      <c r="F38" s="64" t="n"/>
      <c r="G38" s="65" t="n"/>
      <c r="H38" s="5" t="inlineStr">
        <is>
          <t>The establishment number (no public source in this study could produce it) — and whether a dedicated harvest bench is negotiable.</t>
        </is>
      </c>
    </row>
    <row r="39" ht="45.2" customHeight="1" s="59">
      <c r="A39" s="44" t="n">
        <v>8</v>
      </c>
      <c r="B39" s="4" t="inlineStr">
        <is>
          <t>Wampler's Farm Sausage Co.  (Est. M9065, Lenoir City TN · 865-986-2056)</t>
        </is>
      </c>
      <c r="C39" s="68" t="inlineStr">
        <is>
          <t>Real federal grant, real kill floor, ~1,500-1,620/wk at 2017 rated capacity, family-owned since 1937. NOTE: production hiring routes through three third-party staffing agencies at $12-14/hr — the opposite of the tenure you value.</t>
        </is>
      </c>
      <c r="D39" s="64" t="n"/>
      <c r="E39" s="64" t="n"/>
      <c r="F39" s="64" t="n"/>
      <c r="G39" s="65" t="n"/>
      <c r="H39" s="5" t="inlineStr">
        <is>
          <t>Sows only, or any market hogs — and actual current weekly head. If 'sows only', drop to REFERENCE; don't spend a site visit.</t>
        </is>
      </c>
    </row>
    <row r="40" ht="98.8" customHeight="1" s="59">
      <c r="A40" s="44" t="n">
        <v>9</v>
      </c>
      <c r="B40" s="4" t="inlineStr">
        <is>
          <t>Custom Quality Packers, LLC  (Est. M20129, Sims NC)
⚠ SUPERSEDED — the 'TA-20129' number is wrong; FSIS records an active FEDERAL grant M20129.</t>
        </is>
      </c>
      <c r="C40" s="68" t="inlineStr">
        <is>
          <t>⚠ SUPERSEDED — PROMOTED, and one premise was wrong. FSIS records market_swine AND roaster_swine for M20129 and slaughter_volume_category = 3 = 192-1,917/wk, which brackets the ~500/wk company figure — so it is NOT 'well below 200/wk'. It is now #4 in the contact order and anchors the Wilson County cluster with Flowers Slaughter House (M21747). Bass Farms is no longer part of that cluster: under ~19 head/wk.  ORIGINAL TEXT: One of only ~7 swine-only establishments in NC and federally inspected; anchors a Wilson County CLUSTER play with Bass Farms and George Flowers. Individual-animal handling is a genuine welfare positive.</t>
        </is>
      </c>
      <c r="D40" s="64" t="n"/>
      <c r="E40" s="64" t="n"/>
      <c r="F40" s="64" t="n"/>
      <c r="G40" s="65" t="n"/>
      <c r="H40" s="5" t="inlineStr">
        <is>
          <t>⚠ SUPERSEDED — Answered by primary data — FSIS category 3.  ORIGINAL TEXT: Actual weekly head — 'each animal individually rather than large industrial batches' implies well below 200/wk alone.</t>
        </is>
      </c>
    </row>
    <row r="41" ht="45.2" customHeight="1" s="59">
      <c r="A41" s="44" t="n">
        <v>10</v>
      </c>
      <c r="B41" s="4" t="inlineStr">
        <is>
          <t>Williamsburg Packing Company  (Est. M4005, Kingstree SC · 843-355-6447)</t>
        </is>
      </c>
      <c r="C41" s="68" t="inlineStr">
        <is>
          <t>ONE speculative call only. Sole SC federally-inspected swine plant with any elevated volume signal, and its voluntary grant V4005 is the mechanism used for non-amenable species — directly relevant to research tissue.</t>
        </is>
      </c>
      <c r="D41" s="64" t="n"/>
      <c r="E41" s="64" t="n"/>
      <c r="F41" s="64" t="n"/>
      <c r="G41" s="65" t="n"/>
      <c r="H41" s="5" t="inlineStr">
        <is>
          <t>Hog-only weekly head count, FIRST question. If under 200, close it out.</t>
        </is>
      </c>
    </row>
    <row r="42" ht="15" customHeight="1" s="59"/>
    <row r="43" ht="19.7" customHeight="1" s="59">
      <c r="A43" s="118" t="inlineStr">
        <is>
          <t>VERIFIED FACILITY ROSTER</t>
        </is>
      </c>
    </row>
    <row r="44" ht="18.4" customHeight="1" s="59">
      <c r="A44" s="3" t="inlineStr">
        <is>
          <t>Facility</t>
        </is>
      </c>
    </row>
    <row r="45" ht="19.7" customHeight="1" s="59">
      <c r="A45" s="118" t="inlineStr">
        <is>
          <t>ADVERSARIALLY VERIFIED — these verdicts override the earlier tabs</t>
        </is>
      </c>
    </row>
    <row r="46" ht="58.6" customHeight="1" s="59">
      <c r="A46" s="4" t="inlineStr">
        <is>
          <t>Nahunta Slaughter House, Inc.</t>
        </is>
      </c>
      <c r="B46" s="68" t="inlineStr">
        <is>
          <t>Pikeville, NC</t>
        </is>
      </c>
      <c r="C46" s="68" t="inlineStr">
        <is>
          <t>500+/wk cited but that verb is PROCESSES — ask actual P-80A kill</t>
        </is>
      </c>
      <c r="D46" s="68" t="inlineStr">
        <is>
          <t>NC STATE only (P-80A slaughter, swine-only; P-80 processing)</t>
        </is>
      </c>
      <c r="E46" s="31" t="inlineStr">
        <is>
          <t>CONFIRMED OPEN</t>
        </is>
      </c>
      <c r="F46" s="68" t="inlineStr">
        <is>
          <t>STRONG FIT</t>
        </is>
      </c>
      <c r="G46" s="68" t="n">
        <v>1</v>
      </c>
      <c r="H46" s="68" t="inlineStr">
        <is>
          <t>PROMOTED. Publishes a Specimen Permits page routing research institutions to the NCDA&amp;CS specimen request form, and sells fresh spleens/hearts/livers/tongues retail — 'no organ capability' REFUTED. All identity details check against the NCDA&amp;CS directory dated 2026-07-24. HARD LIMIT: state-inspected product is NC-only — cannot supply EU.</t>
        </is>
      </c>
    </row>
    <row r="47" ht="58.6" customHeight="1" s="59">
      <c r="A47" s="4" t="inlineStr">
        <is>
          <t>Martin's Pork Products, Inc.</t>
        </is>
      </c>
      <c r="B47" s="68" t="inlineStr">
        <is>
          <t>Falcon, NC</t>
        </is>
      </c>
      <c r="C47" s="68" t="inlineStr">
        <is>
          <t>200-1,500/wk (revised) — LIKELY IN BAND. The 6,500/wk figure was REFUTED</t>
        </is>
      </c>
      <c r="D47" s="68" t="inlineStr">
        <is>
          <t>USDA Talmadge-Aiken TA-6720 (federal, exportable structure)</t>
        </is>
      </c>
      <c r="E47" s="31" t="inlineStr">
        <is>
          <t>CONFIRMED OPEN</t>
        </is>
      </c>
      <c r="F47" s="68" t="inlineStr">
        <is>
          <t>POSSIBLE</t>
        </is>
      </c>
      <c r="G47" s="68" t="n">
        <v>2</v>
      </c>
      <c r="H47" s="68" t="inlineStr">
        <is>
          <t>PROMOTED on volume. The 1,300 hd/day entry is contradicted by TA small-plant structure, ~75 employees, no Falcon EPA permits, 9.4-acre site with one 1,484 sq ft building. Active on the TA directory dated 2026-07-24. Cautions: ownership may have changed (2021 deeds); 3 sources disagree on street address; martinspork.com is dead (expired TLS, 2017 page).</t>
        </is>
      </c>
    </row>
    <row r="48" ht="58.6" customHeight="1" s="59">
      <c r="A48" s="4" t="inlineStr">
        <is>
          <t>Acre Station Meat Farm</t>
        </is>
      </c>
      <c r="B48" s="68" t="inlineStr">
        <is>
          <t>Pinetown, NC</t>
        </is>
      </c>
      <c r="C48" s="68" t="inlineStr">
        <is>
          <t>~150/wk actual (NOT the ~400/wk headline) — LIKELY BELOW FLOOR</t>
        </is>
      </c>
      <c r="D48" s="68" t="inlineStr">
        <is>
          <t>Talmadge-Aiken TA-19904 / M19904 — but 2 directories say CUSTOM EXEMPT</t>
        </is>
      </c>
      <c r="E48" s="31" t="inlineStr">
        <is>
          <t>CONFIRMED OPEN</t>
        </is>
      </c>
      <c r="F48" s="68" t="inlineStr">
        <is>
          <t>CAUTION</t>
        </is>
      </c>
      <c r="G48" s="68" t="n">
        <v>3</v>
      </c>
      <c r="H48" s="68" t="inlineStr">
        <is>
          <t>DOWNGRADED decisively. The 400/wk figure was manufactured by multiplying a nameplate ceiling ('80 hogs OR 7 cattle'/day) by 5. Actual ~150/wk (Firsthand Foods), corroborated by its FSIS 1,000-9,999 animals/year band. AWA now single-source/UNVERIFIED. Unresolved: a Custom Exempt label would kill saleability and exportability. Kill window is 7:00am-2:00pm.</t>
        </is>
      </c>
    </row>
    <row r="49" ht="58.6" customHeight="1" s="59">
      <c r="A49" s="4" t="inlineStr">
        <is>
          <t>Piedmont Custom Meats, Inc.</t>
        </is>
      </c>
      <c r="B49" s="68" t="inlineStr">
        <is>
          <t>Gibsonville + Asheboro, NC</t>
        </is>
      </c>
      <c r="C49" s="68" t="inlineStr">
        <is>
          <t>LOW TENS per week — far below floor</t>
        </is>
      </c>
      <c r="D49" s="68" t="inlineStr">
        <is>
          <t>USDA-FSIS M7975 / M7975A (V7975 = Voluntary, not poultry)</t>
        </is>
      </c>
      <c r="E49" s="31" t="inlineStr">
        <is>
          <t>CONFIRMED OPEN</t>
        </is>
      </c>
      <c r="F49" s="68" t="inlineStr">
        <is>
          <t>REFERENCE</t>
        </is>
      </c>
      <c r="G49" s="68" t="n">
        <v>9</v>
      </c>
      <c r="H49" s="68" t="inlineStr">
        <is>
          <t>DOWNGRADED decisively — comes off the shortlist. FSIS classes BOTH establishments 'Very Small' (&lt;10 employees or &lt;$2.5M sales), dispositive against 200 hogs/wk on a floor shared with cattle/sheep/goat/poultry. The separate harvest floor is real and still the best Model A architecture — but there is no volume behind it. Welfare not clean (2021 humane-handling NR). Harvest floor phone (336) 584-8247.</t>
        </is>
      </c>
    </row>
    <row r="50" ht="72" customHeight="1" s="59">
      <c r="A50" s="4" t="inlineStr">
        <is>
          <t>Honest Meats, LLC (dba T&amp;E Meats)</t>
        </is>
      </c>
      <c r="B50" s="68" t="inlineStr">
        <is>
          <t>Harrisonburg, VA</t>
        </is>
      </c>
      <c r="C50" s="68" t="inlineStr">
        <is>
          <t>~19-192 head/wk ALL species — disqualifying</t>
        </is>
      </c>
      <c r="D50" s="68" t="inlineStr">
        <is>
          <t>USDA-FSIS M7420 + V7420</t>
        </is>
      </c>
      <c r="E50" s="29" t="inlineStr">
        <is>
          <t>UNCERTAIN</t>
        </is>
      </c>
      <c r="F50" s="68" t="inlineStr">
        <is>
          <t>OUT / FLAG</t>
        </is>
      </c>
      <c r="G50" s="68" t="n">
        <v>9</v>
      </c>
      <c r="H50" s="68" t="inlineStr">
        <is>
          <t>KILLED. Was 'contact first, best welfare story in Virginia'. FSIS documented an escalation chain: NOIE 2023-11-22 (a large hog REGAINED CONSCIOUSNESS on the bleed rail); Suspension 2024-03-14 (steer, 2 failed stuns, 9mm, 3 holes in skull); Reinstatement 2024-04-25 (sow, repeated .25 cal attempts) — repeat egregious event 6 weeks after corrections accepted. Legal entity is Honest Meats LLC. Site dormant since 2020-2025.</t>
        </is>
      </c>
    </row>
    <row r="51" ht="58.6" customHeight="1" s="59">
      <c r="A51" s="4" t="inlineStr">
        <is>
          <t>Williamsburg Packing Company</t>
        </is>
      </c>
      <c r="B51" s="68" t="inlineStr">
        <is>
          <t>Kingstree, SC</t>
        </is>
      </c>
      <c r="C51" s="68" t="inlineStr">
        <is>
          <t>190-1,900/wk but that is a 21-SPECIES aggregate incl. poultry</t>
        </is>
      </c>
      <c r="D51" s="68" t="inlineStr">
        <is>
          <t>USDA-FSIS M4005 + P4005 + V4005</t>
        </is>
      </c>
      <c r="E51" s="31" t="inlineStr">
        <is>
          <t>CONFIRMED OPEN</t>
        </is>
      </c>
      <c r="F51" s="68" t="inlineStr">
        <is>
          <t>POSSIBLE</t>
        </is>
      </c>
      <c r="G51" s="68" t="n">
        <v>6</v>
      </c>
      <c r="H51" s="68" t="inlineStr">
        <is>
          <t>DOWNGRADED. Both load-bearing claims failed: the 'Certified Humane AND AWA' credential appears in NEITHER certifier's directory (likely conflated with Caw Caw Creek FARM), and the volume calibration against Martin's compared a swine-only plant to a 21-species aggregate counting chickens per head. V4005 (voluntary/non-amenable) is genuinely relevant to research tissue.</t>
        </is>
      </c>
    </row>
    <row r="52" ht="58.6" customHeight="1" s="59">
      <c r="A52" s="4" t="inlineStr">
        <is>
          <t>Wampler's Farm Sausage Co.</t>
        </is>
      </c>
      <c r="B52" s="68" t="inlineStr">
        <is>
          <t>Lenoir City, TN</t>
        </is>
      </c>
      <c r="C52" s="68" t="inlineStr">
        <is>
          <t>~1,500-1,620/wk (2017 rated capacity) — in band if market hogs</t>
        </is>
      </c>
      <c r="D52" s="68" t="inlineStr">
        <is>
          <t>USDA-FSIS M9065 + P9065 + V9065</t>
        </is>
      </c>
      <c r="E52" s="31" t="inlineStr">
        <is>
          <t>CONFIRMED OPEN</t>
        </is>
      </c>
      <c r="F52" s="68" t="inlineStr">
        <is>
          <t>POSSIBLE</t>
        </is>
      </c>
      <c r="G52" s="68" t="n">
        <v>3</v>
      </c>
      <c r="H52" s="68" t="inlineStr">
        <is>
          <t>SURVIVES, downgraded. Family-owned since 1937 is genuine — BUT all production hiring routes through three third-party staffing agencies at $12-14/hr, the opposite of the tenure you value. ~180 employees unsupported (best source ~160, 2011). IDENTITY TRAP: the '73-year employee' story belongs to Family Brands LLC (M6515), a different Wampler plant in the same town.</t>
        </is>
      </c>
    </row>
    <row r="53" ht="58.6" customHeight="1" s="59">
      <c r="A53" s="4" t="inlineStr">
        <is>
          <t>Williams Sausage Co. (TYSON)</t>
        </is>
      </c>
      <c r="B53" s="68" t="inlineStr">
        <is>
          <t>Union City, TN</t>
        </is>
      </c>
      <c r="C53" s="68" t="inlineStr">
        <is>
          <t>~2,000-2,160/wk (2017 estimate)</t>
        </is>
      </c>
      <c r="D53" s="68" t="inlineStr">
        <is>
          <t>USDA-FSIS M7455</t>
        </is>
      </c>
      <c r="E53" s="31" t="inlineStr">
        <is>
          <t>CONFIRMED OPEN</t>
        </is>
      </c>
      <c r="F53" s="68" t="inlineStr">
        <is>
          <t>CAUTION</t>
        </is>
      </c>
      <c r="G53" s="68" t="n">
        <v>6</v>
      </c>
      <c r="H53" s="68" t="inlineStr">
        <is>
          <t>The 'family plant' thesis is KILLED: Tyson Foods completed the acquisition 2023-05-22 — your counterparty is Tyson corporate. Carries a 2022 humane-handling noncompliance AND an FSIS slaughter-HACCP Notice of Suspension dated 2025-07-15. The '$16M expansion' is a 2012 article. Survives as a logistics option only.</t>
        </is>
      </c>
    </row>
    <row r="54" ht="58.6" customHeight="1" s="59">
      <c r="A54" s="4" t="inlineStr">
        <is>
          <t>Swaggerty Sausage Co.</t>
        </is>
      </c>
      <c r="B54" s="68" t="inlineStr">
        <is>
          <t>Kodak, TN</t>
        </is>
      </c>
      <c r="C54" s="68" t="inlineStr">
        <is>
          <t>~4,250-4,590/wk — OVER CEILING</t>
        </is>
      </c>
      <c r="D54" s="68" t="inlineStr">
        <is>
          <t>USDA-FSIS M8314 + V8314</t>
        </is>
      </c>
      <c r="E54" s="31" t="inlineStr">
        <is>
          <t>CONFIRMED OPEN</t>
        </is>
      </c>
      <c r="F54" s="68" t="inlineStr">
        <is>
          <t>CAUTION</t>
        </is>
      </c>
      <c r="G54" s="68" t="n">
        <v>7</v>
      </c>
      <c r="H54" s="68" t="inlineStr">
        <is>
          <t>DOWNGRADED. SOW-ONLY confirmed three ways incl. FSIS species flags (market_swine BLANK). Over-ceiling plants are admissible only if they ALREADY specialise in organ/tissue harvesting — a programme that would have to be BUILT here cannot satisfy that exception. Two TN OSHA machine-guarding actions six years apart (2018, 2024) against your worker-welfare criterion. Fourth generation, not third.</t>
        </is>
      </c>
    </row>
    <row r="55" ht="18.4" customHeight="1" s="59">
      <c r="A55" s="4" t="inlineStr">
        <is>
          <t>EcoFriendly Foods</t>
        </is>
      </c>
    </row>
    <row r="56" ht="19.7" customHeight="1" s="59">
      <c r="A56" s="118" t="inlineStr">
        <is>
          <t>NEWLY SURFACED — never in the earlier study (NOT yet adversarially verified)</t>
        </is>
      </c>
    </row>
    <row r="57" ht="72" customHeight="1" s="59">
      <c r="A57" s="4" t="inlineStr">
        <is>
          <t>Larry's Sausage Company, Inc.</t>
        </is>
      </c>
      <c r="B57" s="68" t="inlineStr">
        <is>
          <t>Fayetteville, NC</t>
        </is>
      </c>
      <c r="C57" s="68" t="inlineStr">
        <is>
          <t>⚠ SUPERSEDED — 200-800/wk (labelled estimate from distribution footprint)</t>
        </is>
      </c>
      <c r="D57" s="68" t="inlineStr">
        <is>
          <t>⚠ SUPERSEDED — FEDERAL M8305, not Talmadge-Aiken.  ORIGINAL TEXT: Talmadge-Aiken TA-8305 — federal, exportable</t>
        </is>
      </c>
      <c r="E57" s="4" t="inlineStr">
        <is>
          <t>not verified</t>
        </is>
      </c>
      <c r="F57" s="68" t="inlineStr">
        <is>
          <t>POSSIBLE</t>
        </is>
      </c>
      <c r="G57" s="68" t="n">
        <v>2</v>
      </c>
      <c r="H57" s="68" t="inlineStr">
        <is>
          <t>⚠ SUPERSEDED — LARRY'S: inspection is FEDERAL M8305, not 'TA-8305'; FSIS slaughter_volume_category = 2 caps it at ~192/wk against the 200-800/wk claimed; and it is SOW-ONLY. Dropped from #3 to #11.  ORIGINAL TEXT: Closest structural analogue to Nahunta but WITH export-eligible federal inspection: swine-only, family-owned since 1952, three generations. Treat at pre-verification confidence — the same confidence level that failed elsewhere in this study.</t>
        </is>
      </c>
    </row>
    <row r="58" ht="72" customHeight="1" s="59">
      <c r="A58" s="4" t="inlineStr">
        <is>
          <t>Bass Farms, Inc.</t>
        </is>
      </c>
      <c r="B58" s="68" t="inlineStr">
        <is>
          <t>Spring Hope, NC</t>
        </is>
      </c>
      <c r="C58" s="68" t="inlineStr">
        <is>
          <t>⚠ SUPERSEDED — unknown — labelled estimate only</t>
        </is>
      </c>
      <c r="D58" s="68" t="inlineStr">
        <is>
          <t>⚠ SUPERSEDED — FEDERAL M3521, and it EXISTS — grant re-issued 17 Feb 2026.  ORIGINAL TEXT: Talmadge-Aiken TA-3521 (no matching M3521 found)</t>
        </is>
      </c>
      <c r="E58" s="4" t="inlineStr">
        <is>
          <t>not verified</t>
        </is>
      </c>
      <c r="F58" s="68" t="inlineStr">
        <is>
          <t>POSSIBLE</t>
        </is>
      </c>
      <c r="G58" s="68" t="n">
        <v>2</v>
      </c>
      <c r="H58" s="68" t="inlineStr">
        <is>
          <t>⚠ SUPERSEDED — BASS FARMS: it is FEDERAL M3521 and the grant IS live (re-issued 17 Feb 2026); it is NOT 'slaughter only' — FSIS records slaughter AND processing, processing category 4, DBA 'Bass Farm Sausage'; and slaughter_volume_category = 1 = under ~19 head/wk. Sow-only. REMOVED from the contact order.  ORIGINAL TEXT: NCDA&amp;CS lists 'Slaughter only, species C (swine)' — a hog kill floor with NO processing attached is the PUREST Model A structure in the state. Confirm the TA grant is live first.</t>
        </is>
      </c>
    </row>
    <row r="59" ht="85.40000000000001" customHeight="1" s="59">
      <c r="A59" s="4" t="inlineStr">
        <is>
          <t>Gunnoe Sausage Company</t>
        </is>
      </c>
      <c r="B59" s="68" t="inlineStr">
        <is>
          <t>Goode, VA</t>
        </is>
      </c>
      <c r="C59" s="68" t="inlineStr">
        <is>
          <t>⚠ SUPERSEDED — ~450-590/wk (90-110 head/day) — GENUINELY IN BAND</t>
        </is>
      </c>
      <c r="D59" s="68" t="inlineStr">
        <is>
          <t>⚠ SUPERSEDED — No 'Gunnoe' establishment exists anywhere in the FSIS MPI directory.  ORIGINAL TEXT: unknown — establishment number not captured</t>
        </is>
      </c>
      <c r="E59" s="4" t="inlineStr">
        <is>
          <t>not verified</t>
        </is>
      </c>
      <c r="F59" s="68" t="inlineStr">
        <is>
          <t>POSSIBLE</t>
        </is>
      </c>
      <c r="G59" s="68" t="n">
        <v>2</v>
      </c>
      <c r="H59" s="68" t="inlineStr">
        <is>
          <t>⚠ SUPERSEDED — GUNNOE: no establishment named 'Gunnoe' exists anywhere in the FSIS MPI directory and nothing is listed at Goode VA. The profile cannot be attached to an inspected establishment. REMOVED from the contact order; EcoFriendly Foods (M21938) is now the Virginia entry.  ORIGINAL TEXT: Virginia's ONLY genuinely in-band plant, and it was never researched in the earlier pass. Dedicated SOW slaughterhouse since 1965, Bedford County — the same county as EcoFriendly Foods, which the earlier pass recommended at ~1/10th the volume.</t>
        </is>
      </c>
    </row>
    <row r="60" ht="45.2" customHeight="1" s="59">
      <c r="A60" s="4" t="inlineStr">
        <is>
          <t>Kansas City Sausage / Coastal Protein</t>
        </is>
      </c>
      <c r="B60" s="68" t="inlineStr">
        <is>
          <t>Godwin, NC</t>
        </is>
      </c>
      <c r="C60" s="68" t="inlineStr">
        <is>
          <t>~3,500-5,000 sows/wk — marginally over ceiling</t>
        </is>
      </c>
      <c r="D60" s="68" t="inlineStr">
        <is>
          <t>unknown — establishment number not found by any public source</t>
        </is>
      </c>
      <c r="E60" s="31" t="inlineStr">
        <is>
          <t>CONFIRMED OPEN (EPA permits)</t>
        </is>
      </c>
      <c r="F60" s="68" t="inlineStr">
        <is>
          <t>CAUTION</t>
        </is>
      </c>
      <c r="G60" s="68" t="n">
        <v>7</v>
      </c>
      <c r="H60" s="68" t="inlineStr">
        <is>
          <t>Occupies 1600 Martin Road — the site whose identity was confused with Martin's in the earlier pass. Live EPA CAA ('Operating') and NPDES NCG060100 ('Effective' to 2031) permits. SOW anatomy is closer to adult human scale than a 250 lb market hog.</t>
        </is>
      </c>
    </row>
    <row r="61" ht="58.6" customHeight="1" s="59">
      <c r="A61" s="4" t="inlineStr">
        <is>
          <t>Scientific Protein Laboratories · DeWied International</t>
        </is>
      </c>
      <c r="B61" s="68" t="inlineStr">
        <is>
          <t>Waunakee WI · San Antonio TX</t>
        </is>
      </c>
      <c r="C61" s="68" t="inlineStr">
        <is>
          <t>n/a — collectors, not slaughterers</t>
        </is>
      </c>
      <c r="D61" s="68" t="inlineStr">
        <is>
          <t>operate INSIDE third-party USDA plants</t>
        </is>
      </c>
      <c r="E61" s="4" t="inlineStr">
        <is>
          <t>not verified</t>
        </is>
      </c>
      <c r="F61" s="68" t="inlineStr">
        <is>
          <t>STRONG FIT</t>
        </is>
      </c>
      <c r="G61" s="68" t="n">
        <v>1</v>
      </c>
      <c r="H61" s="68" t="inlineStr">
        <is>
          <t>THE MOST UNDER-EXPLOITED FINDING. Heparin/mucosa/natural-casing collectors ALREADY RUN YOUR MODEL A at industrial scale: own crews, inside third-party USDA plants, recovering one tissue under written protocol, paying for line position. Their collection networks are a ready-made map of which US plants accept third-party harvest crews, at what price, under whose HACCP.</t>
        </is>
      </c>
    </row>
    <row r="62" ht="31.8" customHeight="1" s="59">
      <c r="A62" s="4" t="inlineStr">
        <is>
          <t>DeKalb County Packing · Morris Meat Packing</t>
        </is>
      </c>
      <c r="B62" s="68" t="inlineStr">
        <is>
          <t>De Kalb IL · Morris IL</t>
        </is>
      </c>
      <c r="C62" s="68" t="inlineStr">
        <is>
          <t>~2,500-2,700/wk · ~1,500-1,620/wk — BOTH IN BAND</t>
        </is>
      </c>
      <c r="D62" s="68" t="inlineStr">
        <is>
          <t>USDA-FSIS</t>
        </is>
      </c>
      <c r="E62" s="4" t="inlineStr">
        <is>
          <t>not verified</t>
        </is>
      </c>
      <c r="F62" s="68" t="inlineStr">
        <is>
          <t>POSSIBLE</t>
        </is>
      </c>
      <c r="G62" s="68" t="n">
        <v>2</v>
      </c>
      <c r="H62" s="68" t="inlineStr">
        <is>
          <t>Two of the very few US plants genuinely inside 200-3,000 hogs/week. Outside your named regions but worth a call given how few in-band plants exist nationally.</t>
        </is>
      </c>
    </row>
    <row r="63" ht="15" customHeight="1" s="59"/>
    <row r="64" ht="19.7" customHeight="1" s="59">
      <c r="A64" s="118" t="inlineStr">
        <is>
          <t>COMPLETENESS CRITIC — what we still don't know / didn't cover</t>
        </is>
      </c>
    </row>
    <row r="65" ht="72" customHeight="1" s="59">
      <c r="A65" s="58" t="inlineStr">
        <is>
          <t>⚠ SUPERSEDED — THIS IS NO LONGER TRUE. The FSIS Akamai block was subsequently defeated with a full browser header set, and the primary files WERE retrieved and used: the MPI Directory by Establishment Number, the Establishment Demographic Data (species flags and volume categories), the Inactive Directory, and ten Quarterly Enforcement Reports covering FY2024 Q1 - FY2026 Q2. Those files are the basis of the current Supplier Roster. The FOIA recommendation still stands but the establishment numbers have changed — use the verified list in the Action Items tab (M18296A, M6720, M20129, M21747, M8305, M20608, M9065, M21938, M51351, M4005), not the TA-prefixed list below.  ORIGINAL TEXT: •  FSIS WAS NEVER REACHABLE by anyone, in any session — Akamai 403 on every request plus proxy 502 on CONNECT to fsis.usda.gov:443. Not one FSIS-hosted primary document was opened directly: not the MPI directory, the establishment demographic dataset, the Quarterly Enforcement Reports, the recall database, or the Export Library. Everything attributed to FSIS came via cached bulk CSVs, search snippets, a text-extraction proxy, or a PETA-mirrored verbatim record.  → FILE AN FSIS FOIA for humane-handling NRs/NOIEs/NOSs on M19904, TA-6720, TA-8305, TA-3521, TA-20129, M21747, M4005, M9065, M7455, M8314 before any contract. Budget 2-6 weeks.</t>
        </is>
      </c>
    </row>
    <row r="66" ht="45.2" customHeight="1" s="59">
      <c r="A66" s="58" t="inlineStr">
        <is>
          <t>•  EVERY 'CLEAN WELFARE RECORD' IS AN ABSENCE OF RECORD UNDER DEGRADED SEARCH, not a verified clean record. Search budget was exhausted in several sessions; Google, Bing, Brave, Mojeek, Ecosia, Startpage, searx, Indeed, Bizapedia, OpenCorporates and archive.org were variously blocked/403/429/CAPTCHA'd.  → Treat welfare as a SITE-VISIT finding, not a records finding. Doubly true for Nahunta: as a state-inspected plant it sits OUTSIDE FSIS Humane Methods of Slaughter Act enforcement reporting, so FSIS records for it will never exist regardless of conduct, and NCDA&amp;CS publishes no equivalent.</t>
        </is>
      </c>
    </row>
    <row r="67" ht="31.8" customHeight="1" s="59">
      <c r="A67" s="58" t="inlineStr">
        <is>
          <t>•  SOUTH CAROLINA LEGALLY REFUSES to release humane-handling enforcement records (AWI 2025: SC cited a state law prohibiting release of information identifying a person or private business).  → For any SC state-inspected plant, public-record welfare screening returns false negatives BY CONSTRUCTION. On-site audit or federal-plant FOIA only.</t>
        </is>
      </c>
    </row>
    <row r="68" ht="31.8" customHeight="1" s="59">
      <c r="A68" s="58" t="inlineStr">
        <is>
          <t>•  DO NOT LET ANYONE CITE 'NC is a top-rated humane state.' AWI's actual Figure 13 (2019-22, state-inspected plants) shows NC 19 NRs / 2 suspensions / 56 plants and SC 27 / 1 / 55 — and AWI presents NC's low NR rate as a possible UNDER-ENFORCEMENT signal, not an endorsement. TN has no state program at all; all commercial TN slaughter is federal.</t>
        </is>
      </c>
    </row>
    <row r="69" ht="31.8" customHeight="1" s="59">
      <c r="A69" s="58" t="inlineStr">
        <is>
          <t>•  ALMOST EVERY VOLUME NUMBER descends from ONE 2016/17 source (EMI Analytics), it is nine years old, paywalled, and it measures NAMEPLATE CAPACITY, not throughput. Two verifiers reached OPPOSITE conclusions about the same EMI row for Martin's.  → Treat every head-count here as a hypothesis to close on the phone with: 'how many hogs did you kill LAST WEEK?' — not last year, not capacity.</t>
        </is>
      </c>
    </row>
    <row r="70" ht="45.2" customHeight="1" s="59">
      <c r="A70" s="58" t="inlineStr">
        <is>
          <t>•  NO APHIS OR EU/TRACES LISTING WAS VERIFIED FOR ANY FACILITY. APHIS publishes no searchable establishment list; TRACES-NT is a JS app a human can browse but automation cannot; the FSIS EU eligibility list was never reached; usda-eu.org 503'd.  → ONE EMAIL OPENS THIS: vs.export.product.facilities@usda.gov (APHIS VS Facility Packages Team). Ask (a) what establishment-level listing is required for Cat 3 porcine tissue for research/surgical training under Reg. 1069/2009, and (b) whether federal or TA slaughter inspection is a HARD PREREQUISITE. The answer to (b) decides whether Nahunta can ever be in the EU chain.</t>
        </is>
      </c>
    </row>
    <row r="71" ht="31.8" customHeight="1" s="59">
      <c r="A71" s="58" t="inlineStr">
        <is>
          <t>•  THE '121 FACILITIES' HEADLINE IS INFLATED — at least six organisations are double/triple-counted (Smithfield BioScience x3, SSR x3, Tissue Source x2, Midwest Research Swine x2, WG Biomedical x2, Animal Biotech x2 = ~14 entries for 6 organisations), plus rollup lines counting ~20 NC custom-exempt plants as one. Two entries CONTRADICT each other (WG Biomedical listed once as Ames IA and once as Pennsylvania).  → Do not present '121 facilities screened' externally without restating it as DISTINCT facilities.</t>
        </is>
      </c>
    </row>
    <row r="72" ht="45.2" customHeight="1" s="59">
      <c r="A72" s="58" t="inlineStr">
        <is>
          <t>•  ELEVEN NAMED IN-BAND PLANTS AND SEVEN STATES WERE NEVER EXAMINED: Kentucky (F.B. Purnell, 500 hd/day sow), Ohio (Pioneer Packing 450; Bob Evans Xenia 500), Michigan (Bob Evans Hillsdale 500), Alabama (Dean Sausage, M6621+P6621, ~85 employees, founded 1955), Oregon (Masami 500; Carleton 375; Dayton 200), Texas (Fisher Ham and Meat, Navasota, 500), New Jersey (Dealaman 200), Virginia (Gunnoe 90). PENNSYLVANIA IS A SELF-INFLICTED GAP — the study's own Animal Biotech entry records that its animals are 'predominantly processed at Pennsylvania abattoirs', a free named lead that was written down and never followed.</t>
        </is>
      </c>
    </row>
    <row r="73" ht="45.2" customHeight="1" s="59">
      <c r="A73" s="58" t="inlineStr">
        <is>
          <t>•  THREE CANDIDATES CARRY UNRESOLVED STATUS QUESTIONS a single call closes: Acre Station's contested CUSTOM EXEMPT grant-type label (if true it kills saleability and exportability); Bass Farms' missing federal M3521 counterpart; and Kansas City Sausage's entirely unknown establishment number.  ⚠ UPDATE: two of these three are now CLOSED by the FSIS primary-data sweep. Acre Station's 'custom exempt' worry is REFUTED — M19904 + P19904 is an active federal grant (though category 2 caps it at ~192/wk, not 400/wk). Bass Farms' 'missing federal M3521' is CLOSED — M3521 exists and the grant was re-issued 17 Feb 2026; the plant fails on volume instead, at under ~19 head/wk. Kansas City Sausage's establishment number remains genuinely unknown and is still the first question on that call.</t>
        </is>
      </c>
    </row>
    <row r="74" ht="31.8" customHeight="1" s="59">
      <c r="A74" s="58" t="inlineStr">
        <is>
          <t>•  METHODOLOGICAL FINDING WORTH ACTING ON: one filter would have saved most of this study's effort. Dozens of multi-species custom plants (species codes A,B,C,D,E) were each evaluated and each concluded 'likely below 200 hogs/wk' — predictable a priori, because a kill floor shared across cattle, lamb, goat and poultry cannot deliver hog volume.  → For any future sweep, filter FIRST on swine-only slaughter species PLUS slaughter volume category &gt;= 3, run nationally against the FSIS MPI bulk dataset in a single query.</t>
        </is>
      </c>
    </row>
    <row r="75" ht="15" customHeight="1" s="59"/>
    <row r="76" ht="19.7" customHeight="1" s="59">
      <c r="A76" s="118" t="inlineStr">
        <is>
          <t>STRATEGIC READ  (given the 200-3,000/wk floor + EU export)</t>
        </is>
      </c>
    </row>
    <row r="77" ht="45.2" customHeight="1" s="59">
      <c r="A77" s="58" t="inlineStr">
        <is>
          <t>•  THE CORE PROBLEM: your volume band is not a preference — it describes a market segment that has been hollowed out. Above it sit ~30 industrial plants at 5,000-35,000 head/day. Below it sit several hundred very-small multi-species custom shops doing tens of hogs a week. Between them sit ~17 plants nationally, 8 of them cull-sow. Your CULTURAL criterion correlates with plants that are too SMALL; your EXPORT criterion correlates with plants that are too BIG or too CORPORATE. No single facility in this study satisfies volume + culture + federal inspection + EU listing + organ capability simultaneously. DO NOT KEEP SEARCHING FOR ONE.</t>
        </is>
      </c>
    </row>
    <row r="78" ht="18.4" customHeight="1" s="59">
      <c r="A78" s="58" t="inlineStr">
        <is>
          <t>•  RECOMMENDATION — A THREE-LANE PORTFOLIO, NOT A SINGLE PLANT.</t>
        </is>
      </c>
    </row>
    <row r="79" ht="58.6" customHeight="1" s="59">
      <c r="A79" s="58" t="inlineStr">
        <is>
          <t>•  LANE 1 — DOMESTIC ANCHOR: Nahunta (P-80A), deepened immediately. It already operates a research-specimen channel under a formal NCDA&amp;CS mechanism and already pulls viscera off the kill floor intact for retail. That combination exists nowhere else in the study at any price. Its state-only grant caps it at US domestic supply — which is fine, because your domestic surgical-training and research market does not require EU listing. Structure it as MODEL A (your harvesters, your protocol, rented line and cooler), which fits a state-inspected plant far better than Model B. In parallel raise Talmadge-Aiken conversion — same inspectors — but present it internally as a real federal grant-of-inspection project with HACCP validation, sanitation SOPs, facility standards, timeline and cost. It is NOT a paperwork flip.</t>
        </is>
      </c>
    </row>
    <row r="80" ht="72" customHeight="1" s="59">
      <c r="A80" s="58" t="inlineStr">
        <is>
          <t>•  LANE 2 — EU-ELIGIBLE VOLUME: a Talmadge-Aiken swine-only NC plant, chosen from three. For anything Europe-bound you need slaughter under federal grant, full stop, because Cat 3 status depends on ante-/post-mortem inspection. The three candidates are all in NC, all swine-only, all TA, all within a two-hour radius of each other AND of Nahunta: Martin's Pork Products (TA-6720), Larry's Sausage (TA-8305) and Bass Farms (TA-3521). CALL ALL THREE INSIDE ONE WEEK and let actual weekly kill numbers pick the winner. Budget one adversarial verification pass on whichever wins — none of the three has been verified to the standard applied to Nahunta and Martin's.  ⚠ UPDATE: this recommendation no longer holds as written. Of the three Talmadge-Aiken plants named, only MARTIN'S survives on volume — Larry's is capped at ~192/wk and is sow-only, and Bass Farms is under ~19/wk. The lane candidate the sweep actually surfaced is PARKS FAMILY MEATS (M18296A, Warsaw NC): FSIS records it slaughter_or_processing_only = SLAUGHTER — a pure kill floor — with market hogs AND roasters flagged and category-3 volume. Call Parks, Martin's and Custom Quality Packers (M20129) inside one week.</t>
        </is>
      </c>
    </row>
    <row r="81" ht="45.2" customHeight="1" s="59">
      <c r="A81" s="58" t="inlineStr">
        <is>
          <t>•  LANE 3 — ORGAN CAPABILITY AND EU PATH: buy the capability rather than build it, at first. Smithfield BioScience is the only verified organ programme in the study, with stated farm-to-processing traceability and an existing EU pharmaceutical trade in heparin API — its European regulatory footprint is the single most valuable thing any counterparty here could bring you. Approach eyes-open: it may regard you as a competitor rather than a customer, its stunning systems are a different cultural universe from Nahunta, and its APHIS/EU status is assumed, not verified. Treat Lane 3 as BOTH a supply option AND competitive intelligence.</t>
        </is>
      </c>
    </row>
    <row r="82" ht="72" customHeight="1" s="59">
      <c r="A82" s="58" t="inlineStr">
        <is>
          <t>•  ON MULTI-PLANT AGGREGATION — yes, but as a GEOGRAPHIC CLUSTER, not a scattered network. The eastern NC / Wilson County concentration (Nahunta, Bass Farms, Custom Quality Packers, George Flowers, Acre Station, Riverside Meats) puts several hog-capable plants inside a short radius. A mobile harvest team running Nahunta Mon-Tue and a cluster plant Wed-Thu solves at 600-800 hogs/week what no single sub-band plant solves alone. Aggregation only works if plants are close enough to SHARE ONE CREW — which is why the eastern NC cluster beats an equivalent head count spread across TN, VA and SC.  ⚠ UPDATE: the cluster argument survives, but two of its members do not. Bass Farms is under ~19 head/wk and is a sausage processor with a small kill floor attached, not the pure kill floor described. Riverside Meats is also category 1, under ~19/wk (though its 'custom exempt' label is refuted — the federal grant is active). The cluster that does work is WILSON COUNTY: Custom Quality Packers (M20129, category 3, ~500/wk) plus Flowers Slaughter House (M21747, category 2) in the same town, with Nahunta 45 minutes away. That is one crew, three floors.</t>
        </is>
      </c>
    </row>
    <row r="83" ht="31.8" customHeight="1" s="59">
      <c r="A83" s="58" t="inlineStr">
        <is>
          <t>•  ON BUY-DIRECT — keep it as the HEDGE, not the plan. It is the fastest route to EU-eligible material and needs no plant relationship, but it cedes margin, cedes control of the harvest protocol that is presumably your differentiation, and hands your volume forecast to a potential competitor. Use it to service early European orders while Lanes 1 and 2 mature; do not build the company on it.</t>
        </is>
      </c>
    </row>
    <row r="84" ht="45.2" customHeight="1" s="59">
      <c r="A84" s="58" t="inlineStr">
        <is>
          <t>•  THE THREE HIGHEST-ROI NEXT ACTIONS, IN ORDER:  (1) WRITE THE ANATOMICAL SPEC — live weight range, parity, per block type. A one-day internal exercise that determines whether five sow plants stay on the list or come off it.  (2) EMAIL APHIS VS (vs.export.product.facilities@usda.gov) on the ABP/Cat 3 pathway — one email resolves the question governing your entire plant selection.  (3) INTERVIEW A MUCOSA OR CASING COLLECTOR (Scientific Protein Laboratories, Waunakee WI; or DeWied International, San Antonio TX) — they already run your Model A at industrial scale, and their collection networks are the map you have been trying to build from directories: which US plants let a third-party crew onto the line, at what price, in what position, under whose HACCP.</t>
        </is>
      </c>
    </row>
    <row r="85" ht="15" customHeight="1" s="59"/>
    <row r="86" ht="19.7" customHeight="1" s="59">
      <c r="A86" s="118" t="inlineStr">
        <is>
          <t>METHOD &amp; CONFIDENCE</t>
        </is>
      </c>
    </row>
    <row r="87" ht="17.1" customHeight="1" s="59">
      <c r="A87" s="80" t="inlineStr">
        <is>
          <t>•  Run as a 5-phase multi-agent workflow: Discover (6 parallel regional/national sweeps) → Compliance (3 sweeps: USDA/FSIS enforcement x2 + APHIS/EU export mechanics) → Verify (10 adversarial verifiers, high reasoning effort) → Completeness critic → Executive synthesis.</t>
        </is>
      </c>
    </row>
    <row r="88" ht="17.1" customHeight="1" s="59">
      <c r="A88" s="80" t="inlineStr">
        <is>
          <t>•  21 agents · 121 raw facility records (see caveat on double-counting) · 10 candidates adversarially verified · ~2.0M tokens · 1,091 tool calls · 0 agent errors.</t>
        </is>
      </c>
    </row>
    <row r="89" ht="29.1" customHeight="1" s="59">
      <c r="A89" s="80" t="inlineStr">
        <is>
          <t>•  Verifiers were instructed to REFUTE rather than confirm, and were pointed at the specific failure modes that had already produced errors: identity confusion (the Martin's Falcon vs Martin's Abattoir Godwin case, supplied as a worked example), closure/operating status, cut-and-wrap vs on-site slaughter, capacity-vs-actual volume, inspection-type confusion, welfare branding vs enforcement record, and stale contact details.</t>
        </is>
      </c>
    </row>
    <row r="90" ht="17.1" customHeight="1" s="59">
      <c r="A90" s="80" t="inlineStr">
        <is>
          <t>•  Result: of 10 verified candidates, 2 were PROMOTED, 6 DOWNGRADED, and 2 KILLED — including both of the earlier pass's top picks in NC and VA. This tab's verdicts take precedence over the earlier tabs wherever they disagree.</t>
        </is>
      </c>
    </row>
    <row r="91" ht="17.1" customHeight="1" s="59">
      <c r="A91" s="80" t="inlineStr">
        <is>
          <t>•  Confidence vocabulary used throughout: VERIFIED (primary source cited) · INFERRED (reasoned from verified facts) · UNVERIFIED (asserted, not confirmed) · NONE FOUND (absence of public record, which is NOT proof of a clean record).</t>
        </is>
      </c>
    </row>
  </sheetData>
  <autoFilter ref="A43:H43"/>
  <mergeCells count="66">
    <mergeCell ref="A9:H9"/>
    <mergeCell ref="A67:H67"/>
    <mergeCell ref="A30:H30"/>
    <mergeCell ref="A77:H77"/>
    <mergeCell ref="A83:H83"/>
    <mergeCell ref="C34:G34"/>
    <mergeCell ref="A15:H15"/>
    <mergeCell ref="A73:H73"/>
    <mergeCell ref="A64:H64"/>
    <mergeCell ref="C33:G33"/>
    <mergeCell ref="A82:H82"/>
    <mergeCell ref="B24:H24"/>
    <mergeCell ref="A11:H11"/>
    <mergeCell ref="A45:H45"/>
    <mergeCell ref="A1:H1"/>
    <mergeCell ref="A79:H79"/>
    <mergeCell ref="B20:H20"/>
    <mergeCell ref="A6:H6"/>
    <mergeCell ref="A88:H88"/>
    <mergeCell ref="A70:H70"/>
    <mergeCell ref="C35:G35"/>
    <mergeCell ref="A78:H78"/>
    <mergeCell ref="B26:H26"/>
    <mergeCell ref="A69:H69"/>
    <mergeCell ref="A87:H87"/>
    <mergeCell ref="A7:H7"/>
    <mergeCell ref="A65:H65"/>
    <mergeCell ref="A16:H16"/>
    <mergeCell ref="C41:G41"/>
    <mergeCell ref="A90:H90"/>
    <mergeCell ref="A66:H66"/>
    <mergeCell ref="B25:H25"/>
    <mergeCell ref="A80:H80"/>
    <mergeCell ref="A84:H84"/>
    <mergeCell ref="C40:G40"/>
    <mergeCell ref="A89:H89"/>
    <mergeCell ref="A74:H74"/>
    <mergeCell ref="A56:H56"/>
    <mergeCell ref="A12:H12"/>
    <mergeCell ref="B22:H22"/>
    <mergeCell ref="A3:H3"/>
    <mergeCell ref="A18:H18"/>
    <mergeCell ref="A86:H86"/>
    <mergeCell ref="B27:H27"/>
    <mergeCell ref="B21:H21"/>
    <mergeCell ref="A71:H71"/>
    <mergeCell ref="A2:H2"/>
    <mergeCell ref="A76:H76"/>
    <mergeCell ref="A14:H14"/>
    <mergeCell ref="C36:G36"/>
    <mergeCell ref="A5:H5"/>
    <mergeCell ref="C39:G39"/>
    <mergeCell ref="A8:H8"/>
    <mergeCell ref="B23:H23"/>
    <mergeCell ref="A91:H91"/>
    <mergeCell ref="C32:G32"/>
    <mergeCell ref="A81:H81"/>
    <mergeCell ref="A43:H43"/>
    <mergeCell ref="C38:G38"/>
    <mergeCell ref="A72:H72"/>
    <mergeCell ref="A10:H10"/>
    <mergeCell ref="C37:G37"/>
    <mergeCell ref="A13:H13"/>
    <mergeCell ref="A68:H68"/>
    <mergeCell ref="B19:H19"/>
    <mergeCell ref="B28:H28"/>
  </mergeCells>
  <pageMargins left="0.35" right="0.35" top="0.45" bottom="0.45" header="0.5" footer="0.5"/>
  <pageSetup orientation="landscape" fitToHeight="0" fitToWidth="1"/>
  <headerFooter>
    <oddHeader/>
    <oddFooter>&amp;L&amp;8 Deep Study (Verified)&amp;R&amp;8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Oscar Penny</dc:creator>
  <dc:title>Porcine Tissue — Second-Source Supplier Study</dc:title>
  <dcterms:created xsi:type="dcterms:W3CDTF">2026-08-04T16:33:22Z</dcterms:created>
  <dcterms:modified xsi:type="dcterms:W3CDTF">2026-09-03T13:06:59Z</dcterms:modified>
  <cp:lastModifiedBy>Oscar Penny</cp:lastModifiedBy>
</cp:coreProperties>
</file>