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0560" yWindow="-16350" windowWidth="29040" windowHeight="15720" tabRatio="600" firstSheet="0" activeTab="1" autoFilterDateGrouping="1"/>
  </bookViews>
  <sheets>
    <sheet xmlns:r="http://schemas.openxmlformats.org/officeDocument/2006/relationships" name="Overview &amp; Method" sheetId="1" state="visible" r:id="rId1"/>
    <sheet xmlns:r="http://schemas.openxmlformats.org/officeDocument/2006/relationships" name="Action Items" sheetId="2" state="visible" r:id="rId2"/>
    <sheet xmlns:r="http://schemas.openxmlformats.org/officeDocument/2006/relationships" name="Anatomical Spec" sheetId="3" state="visible" r:id="rId3"/>
    <sheet xmlns:r="http://schemas.openxmlformats.org/officeDocument/2006/relationships" name="Legend &amp; Scoring" sheetId="4" state="visible" r:id="rId4"/>
    <sheet xmlns:r="http://schemas.openxmlformats.org/officeDocument/2006/relationships" name="Supplier Roster" sheetId="5" state="visible" r:id="rId5"/>
    <sheet xmlns:r="http://schemas.openxmlformats.org/officeDocument/2006/relationships" name="National Direct Suppliers" sheetId="6" state="visible" r:id="rId6"/>
    <sheet xmlns:r="http://schemas.openxmlformats.org/officeDocument/2006/relationships" name="Models &amp; Make-vs-Buy" sheetId="7" state="visible" r:id="rId7"/>
    <sheet xmlns:r="http://schemas.openxmlformats.org/officeDocument/2006/relationships" name="TCO Calculator" sheetId="8" state="visible" r:id="rId8"/>
    <sheet xmlns:r="http://schemas.openxmlformats.org/officeDocument/2006/relationships" name="APHIS &amp; EU Export" sheetId="9" state="visible" r:id="rId9"/>
    <sheet xmlns:r="http://schemas.openxmlformats.org/officeDocument/2006/relationships" name="Call Question Sheet" sheetId="10" state="visible" r:id="rId10"/>
    <sheet xmlns:r="http://schemas.openxmlformats.org/officeDocument/2006/relationships" name="Sources &amp; Confidence" sheetId="11" state="visible" r:id="rId11"/>
    <sheet xmlns:r="http://schemas.openxmlformats.org/officeDocument/2006/relationships"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29">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00FFFFFF"/>
      <sz val="11"/>
    </font>
    <font>
      <name val="Arial"/>
      <b val="1"/>
      <color rgb="00222222"/>
      <sz val="10"/>
    </font>
    <font>
      <name val="Arial"/>
      <color rgb="00222222"/>
      <sz val="10"/>
    </font>
    <font>
      <name val="Arial"/>
      <b val="1"/>
      <color rgb="005B657A"/>
      <sz val="10"/>
    </font>
    <font>
      <name val="Arial"/>
      <b val="1"/>
      <color rgb="00006100"/>
      <sz val="10"/>
    </font>
    <font>
      <name val="Arial"/>
      <b val="1"/>
      <color rgb="009C0006"/>
      <sz val="10"/>
    </font>
    <font>
      <name val="Arial"/>
      <b val="1"/>
      <color rgb="007F6000"/>
      <sz val="10"/>
    </font>
    <font>
      <name val="Arial"/>
      <sz val="10"/>
    </font>
  </fonts>
  <fills count="23">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002E5496"/>
      </patternFill>
    </fill>
    <fill>
      <patternFill patternType="solid">
        <fgColor rgb="00F2F2F2"/>
      </patternFill>
    </fill>
    <fill>
      <patternFill patternType="solid">
        <fgColor rgb="00C6EFCE"/>
      </patternFill>
    </fill>
    <fill>
      <patternFill patternType="solid">
        <fgColor rgb="00FCE4E4"/>
      </patternFill>
    </fill>
    <fill>
      <patternFill patternType="solid">
        <fgColor rgb="00FFD966"/>
      </patternFill>
    </fill>
    <fill>
      <patternFill patternType="solid">
        <fgColor rgb="00E4DFEC"/>
      </patternFill>
    </fill>
    <fill>
      <patternFill patternType="solid">
        <fgColor rgb="00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8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2" pivotButton="0" quotePrefix="0" xfId="0"/>
    <xf numFmtId="0" fontId="1" fillId="2" borderId="0" applyAlignment="1" pivotButton="0" quotePrefix="0" xfId="0">
      <alignment horizontal="left" vertical="center"/>
    </xf>
    <xf numFmtId="0" fontId="0" fillId="0" borderId="0" pivotButton="0" quotePrefix="0" xfId="0"/>
    <xf numFmtId="0" fontId="3" fillId="4" borderId="0" applyAlignment="1" pivotButton="0" quotePrefix="0" xfId="0">
      <alignment horizontal="left" vertical="center"/>
    </xf>
    <xf numFmtId="0" fontId="2" fillId="3" borderId="0" applyAlignment="1" pivotButton="0" quotePrefix="0" xfId="0">
      <alignment horizontal="left" vertical="center" wrapText="1"/>
    </xf>
    <xf numFmtId="0" fontId="5" fillId="0" borderId="0"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0" fillId="0" borderId="3" pivotButton="0" quotePrefix="0" xfId="0"/>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21" fillId="16" borderId="0" applyAlignment="1" pivotButton="0" quotePrefix="0" xfId="0">
      <alignment horizontal="left" vertical="center"/>
    </xf>
    <xf numFmtId="0" fontId="22"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17" borderId="1" applyAlignment="1" pivotButton="0" quotePrefix="0" xfId="0">
      <alignment horizontal="center" vertical="top" wrapText="1"/>
    </xf>
    <xf numFmtId="0" fontId="25" fillId="18" borderId="1" applyAlignment="1" pivotButton="0" quotePrefix="0" xfId="0">
      <alignment horizontal="center" vertical="top" wrapText="1"/>
    </xf>
    <xf numFmtId="0" fontId="27" fillId="20" borderId="1" applyAlignment="1" pivotButton="0" quotePrefix="0" xfId="0">
      <alignment horizontal="left" vertical="top" wrapText="1"/>
    </xf>
    <xf numFmtId="0" fontId="5" fillId="22" borderId="1" applyAlignment="1" pivotButton="0" quotePrefix="0" xfId="0">
      <alignment horizontal="left" vertical="top" wrapText="1"/>
    </xf>
    <xf numFmtId="0" fontId="26" fillId="19" borderId="1" applyAlignment="1" pivotButton="0" quotePrefix="0" xfId="0">
      <alignment horizontal="left" vertical="top" wrapText="1"/>
    </xf>
    <xf numFmtId="0" fontId="23" fillId="21" borderId="1" applyAlignment="1" pivotButton="0" quotePrefix="0" xfId="0">
      <alignment horizontal="left" vertical="top" wrapText="1"/>
    </xf>
    <xf numFmtId="0" fontId="27" fillId="20" borderId="1" applyAlignment="1" pivotButton="0" quotePrefix="0" xfId="0">
      <alignment horizontal="center" vertical="center" wrapText="1"/>
    </xf>
    <xf numFmtId="0" fontId="26" fillId="19" borderId="0" applyAlignment="1" pivotButton="0" quotePrefix="0" xfId="0">
      <alignment vertical="top" wrapText="1"/>
    </xf>
    <xf numFmtId="0" fontId="27" fillId="20" borderId="0" applyAlignment="1" pivotButton="0" quotePrefix="0" xfId="0">
      <alignment horizontal="center" vertical="center" wrapText="1"/>
    </xf>
    <xf numFmtId="0" fontId="28" fillId="0" borderId="0" applyAlignment="1" pivotButton="0" quotePrefix="0" xfId="0">
      <alignment vertical="center" wrapText="1"/>
    </xf>
    <xf numFmtId="0" fontId="26" fillId="19"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showGridLines="0" topLeftCell="A2" workbookViewId="0">
      <selection activeCell="A1" sqref="A1:B1"/>
    </sheetView>
  </sheetViews>
  <sheetFormatPr baseColWidth="8" defaultRowHeight="14.4"/>
  <cols>
    <col width="30" customWidth="1" style="51" min="1" max="1"/>
    <col width="108" customWidth="1" style="51" min="2" max="2"/>
  </cols>
  <sheetData>
    <row r="1" ht="25.95" customHeight="1" s="51">
      <c r="A1" s="50" t="inlineStr">
        <is>
          <t>Porcine Tissue — Second-Source Supplier Study</t>
        </is>
      </c>
    </row>
    <row r="2" ht="30" customHeight="1" s="51">
      <c r="A2" s="53" t="inlineStr">
        <is>
          <t>Slaughterhouse &amp; direct-tissue sourcing for pelvic / bariatric / thoracic tissue blocks and organ harvesting.  Prepared 2026-07-28.</t>
        </is>
      </c>
    </row>
    <row r="4" ht="19.95" customHeight="1" s="51">
      <c r="A4" s="52" t="inlineStr">
        <is>
          <t>PURPOSE</t>
        </is>
      </c>
    </row>
    <row r="5" ht="19.95" customHeight="1" s="51">
      <c r="A5" s="5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1">
      <c r="A6" s="52" t="inlineStr">
        <is>
          <t>TARGET PROFILE (the spec)</t>
        </is>
      </c>
    </row>
    <row r="7" ht="72" customHeight="1" s="51">
      <c r="A7" s="1" t="inlineStr">
        <is>
          <t>Weekly kill volume — OPEN</t>
        </is>
      </c>
      <c r="B7" s="4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1">
      <c r="A8" s="1" t="inlineStr">
        <is>
          <t>Species</t>
        </is>
      </c>
      <c r="B8" s="48" t="inlineStr">
        <is>
          <t>Must slaughter HOGS (swine).  Cattle-only / other-species plants are out of scope.</t>
        </is>
      </c>
    </row>
    <row r="9" ht="36" customHeight="1" s="51">
      <c r="A9" s="1" t="inlineStr">
        <is>
          <t>Certification</t>
        </is>
      </c>
      <c r="B9" s="48" t="inlineStr">
        <is>
          <t>USDA-inspected and/or APHIS-certified strongly preferred.  Any plant that is NOT APHIS-certified or NOT USDA-inspected is explicitly FLAGGED in the roster (see the two certification columns).</t>
        </is>
      </c>
    </row>
    <row r="10" ht="36" customHeight="1" s="51">
      <c r="A10" s="1" t="inlineStr">
        <is>
          <t>Culture / welfare</t>
        </is>
      </c>
      <c r="B10" s="48" t="inlineStr">
        <is>
          <t>Humane handling of animals AND workers, stable long-tenured workforce, sound family-business culture — a real differentiator (the Nahunta standard). Weighs into fit, not a hard gate.</t>
        </is>
      </c>
    </row>
    <row r="11" ht="36" customHeight="1" s="51">
      <c r="A11" s="1" t="inlineStr">
        <is>
          <t>Tissue blocks of interest</t>
        </is>
      </c>
      <c r="B11" s="48" t="inlineStr">
        <is>
          <t>Pelvic, bariatric (abdominal), thoracic — including the ORGANS located in each region. Organ-harvesting capability is valuable; Nahunta already covers most organ needs at its volume.</t>
        </is>
      </c>
    </row>
    <row r="12" ht="19.95" customHeight="1" s="51">
      <c r="A12" s="52" t="inlineStr">
        <is>
          <t>TWO OPERATING MODELS (per supplier)</t>
        </is>
      </c>
    </row>
    <row r="13" ht="36" customHeight="1" s="51">
      <c r="A13" s="1" t="inlineStr">
        <is>
          <t>Model A — We harvest on-site</t>
        </is>
      </c>
      <c r="B13" s="48" t="inlineStr">
        <is>
          <t>We send OUR harvesters to the plant and rent space/line access; we collect our own tissue. Needs the plant to grant floor access, cooler space, and scheduling around the kill.</t>
        </is>
      </c>
    </row>
    <row r="14" ht="28.05" customHeight="1" s="51">
      <c r="A14" s="1" t="inlineStr">
        <is>
          <t>Model B — They harvest for us</t>
        </is>
      </c>
      <c r="B14" s="48" t="inlineStr">
        <is>
          <t>The plant does the harvesting to our protocol; we send inspectors/trainers to qualify and audit. Needs the plant to have (or build) trained labor and QA willingness.</t>
        </is>
      </c>
    </row>
    <row r="15" ht="36" customHeight="1" s="51">
      <c r="A15" s="1" t="inlineStr">
        <is>
          <t>Third path — Buy direct</t>
        </is>
      </c>
      <c r="B15" s="48" t="inlineStr">
        <is>
          <t>Buy finished porcine tissues/organs from a national research-tissue vendor (no slaughterhouse relationship). See the 'National Direct Suppliers' tab for who sells what, and price-per-tissue where obtainable.</t>
        </is>
      </c>
    </row>
    <row r="16" ht="19.95" customHeight="1" s="51">
      <c r="A16" s="52" t="inlineStr">
        <is>
          <t>HOW TO USE THIS WORKBOOK</t>
        </is>
      </c>
    </row>
    <row r="17" ht="28.05" customHeight="1" s="51">
      <c r="A17" s="1" t="inlineStr">
        <is>
          <t>1</t>
        </is>
      </c>
      <c r="B17" s="48" t="inlineStr">
        <is>
          <t>'Supplier Roster' is the master list — slaughterhouses grouped by region (NC primary; SC/TN/VA; Iowa/Midwest). Sort/filter to shortlist.</t>
        </is>
      </c>
    </row>
    <row r="18" ht="28.05" customHeight="1" s="51">
      <c r="A18" s="1" t="inlineStr">
        <is>
          <t>2</t>
        </is>
      </c>
      <c r="B18" s="48" t="inlineStr">
        <is>
          <t>'National Direct Suppliers' lists vendors selling tissue directly, with price-per-tissue where a real figure was obtainable.</t>
        </is>
      </c>
    </row>
    <row r="19" ht="28.05" customHeight="1" s="51">
      <c r="A19" s="1" t="inlineStr">
        <is>
          <t>3</t>
        </is>
      </c>
      <c r="B19" s="48" t="inlineStr">
        <is>
          <t>'Models &amp; Make-vs-Buy' frames the A / B / buy-direct decision and cost drivers.</t>
        </is>
      </c>
    </row>
    <row r="20" ht="28.05" customHeight="1" s="51">
      <c r="A20" s="1" t="inlineStr">
        <is>
          <t>4</t>
        </is>
      </c>
      <c r="B20" s="48" t="inlineStr">
        <is>
          <t>'Call Question Sheet' is the outreach script — mirror of the CJB agenda — to qualify each plant on volume, access, certs, welfare, and price.</t>
        </is>
      </c>
    </row>
    <row r="21" ht="28.05" customHeight="1" s="51">
      <c r="A21" s="1" t="inlineStr">
        <is>
          <t>5</t>
        </is>
      </c>
      <c r="B21" s="48" t="inlineStr">
        <is>
          <t>'Sources &amp; Confidence' lists every source URL and a confidence rating. Read it before acting on any single number.</t>
        </is>
      </c>
    </row>
    <row r="22" ht="19.95" customHeight="1" s="51">
      <c r="A22" s="52" t="inlineStr">
        <is>
          <t>DATA-QUALITY CAVEAT</t>
        </is>
      </c>
    </row>
    <row r="23" ht="19.95" customHeight="1" s="51">
      <c r="A23" s="5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19.95" customHeight="1" s="51">
      <c r="A25" s="52" t="inlineStr">
        <is>
          <t>KEY FINDINGS (research summary)</t>
        </is>
      </c>
    </row>
    <row r="26" ht="84" customHeight="1" s="51">
      <c r="A26" s="79" t="inlineStr">
        <is>
          <t>❌ CLIENT-CONFIRMED CONSTRAINT (2026-08): NAHUNTA CANNOT BE USED FOR EXPORTS — it is PERMANENTLY DOMESTIC-ONLY, and the same applies to every state-inspected plant. The two-lane split is therefore CONFIRMED, not hypothetical: Nahunta anchors the US DOMESTIC programme (where its published research-specimen pathway and intact viscera make it the best plant we have), while EVERY EU-BOUND MODEL must be sourced from a federally-inspected USDA or Talmadge-Aiken plant — Martin's (TA-6720), Larry's (TA-8305), Bass Farms (TA-3521), Leidy's (M9520) or another federal candidate. Plan the two supply chains separately.</t>
        </is>
      </c>
    </row>
    <row r="27" ht="60" customHeight="1" s="51">
      <c r="A27" s="4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7" s="49" t="n"/>
    </row>
    <row r="28" ht="84" customHeight="1" s="51">
      <c r="A28" s="4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8" s="49" t="n"/>
    </row>
    <row r="29" ht="48" customHeight="1" s="51">
      <c r="A29" s="4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29" s="49" t="n"/>
    </row>
    <row r="30" ht="72" customHeight="1" s="51">
      <c r="A30" s="4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0" s="49" t="n"/>
    </row>
    <row r="31" ht="84" customHeight="1" s="51">
      <c r="A31" s="4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1" s="49" t="n"/>
    </row>
    <row r="32" ht="84" customHeight="1" s="51">
      <c r="A32" s="4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2" s="49" t="n"/>
    </row>
    <row r="33" ht="60" customHeight="1" s="51">
      <c r="A33" s="4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3" s="49" t="n"/>
    </row>
    <row r="34" ht="84" customHeight="1" s="51">
      <c r="A34" s="4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4" s="49" t="n"/>
    </row>
    <row r="35" ht="60" customHeight="1" s="51">
      <c r="A35" s="4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5" s="49" t="n"/>
    </row>
    <row r="36" ht="48" customHeight="1" s="51">
      <c r="A36" s="4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6" s="49" t="n"/>
    </row>
    <row r="37" ht="48" customHeight="1" s="51">
      <c r="A37" s="4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7" s="49" t="n"/>
    </row>
    <row r="38" ht="48" customHeight="1" s="51">
      <c r="A38" s="4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8" s="49" t="n"/>
    </row>
    <row r="39" ht="60" customHeight="1" s="51">
      <c r="A39" s="4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39" s="49" t="n"/>
    </row>
    <row r="40" ht="60" customHeight="1" s="51">
      <c r="A40" s="4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0" s="49" t="n"/>
    </row>
    <row r="41" ht="84" customHeight="1" s="51">
      <c r="A41" s="4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1" s="49" t="n"/>
    </row>
    <row r="42" ht="72" customHeight="1" s="51">
      <c r="A42" s="4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2" s="49" t="n"/>
    </row>
    <row r="43" ht="48" customHeight="1" s="51">
      <c r="A43" s="4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3" s="49" t="n"/>
    </row>
    <row r="44" ht="72" customHeight="1" s="51">
      <c r="A44" s="4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4" s="49" t="n"/>
    </row>
    <row r="45" ht="48" customHeight="1" s="51">
      <c r="A45" s="4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5" s="49" t="n"/>
    </row>
    <row r="46" ht="84" customHeight="1" s="51">
      <c r="A46" s="4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6" s="49" t="n"/>
    </row>
    <row r="47" ht="48" customHeight="1" s="51">
      <c r="A47" s="4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7" s="49" t="n"/>
    </row>
    <row r="48" ht="48" customHeight="1" s="51">
      <c r="A48" s="4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8" s="49" t="n"/>
    </row>
    <row r="49" ht="48" customHeight="1" s="51">
      <c r="A49" s="4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9" s="49" t="n"/>
    </row>
    <row r="50">
      <c r="A50" s="4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0" s="49"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tabSelected="1" workbookViewId="0">
      <selection activeCell="B7" sqref="B7"/>
    </sheetView>
  </sheetViews>
  <sheetFormatPr baseColWidth="8" defaultRowHeight="14.4"/>
  <cols>
    <col width="28" customWidth="1" style="51" min="1" max="1"/>
    <col width="40" customWidth="1" style="51" min="2" max="2"/>
    <col width="28" customWidth="1" style="51" min="3" max="3"/>
    <col width="16" customWidth="1" style="51" min="4" max="4"/>
    <col width="12" customWidth="1" style="51" min="5" max="6"/>
  </cols>
  <sheetData>
    <row r="1" ht="25.95" customHeight="1" s="51">
      <c r="A1" s="50" t="inlineStr">
        <is>
          <t>Action Items — next steps to pick the slaughterhouse</t>
        </is>
      </c>
    </row>
    <row r="2" ht="30" customHeight="1" s="51">
      <c r="A2" s="53" t="inlineStr">
        <is>
          <t>Sequenced: hold the internal strategy meeting FIRST, then send RFQ/Ps to the priority plants. The reach-first list was re-reviewed against volume, welfare/enforcement, certifications, and model fit.</t>
        </is>
      </c>
    </row>
    <row r="4" ht="19.95" customHeight="1" s="51">
      <c r="A4" s="52" t="inlineStr">
        <is>
          <t>MEETINGS — hold in this order (nearest first)</t>
        </is>
      </c>
    </row>
    <row r="5" ht="18" customHeight="1" s="51">
      <c r="A5" s="3" t="inlineStr">
        <is>
          <t>Meeting / action</t>
        </is>
      </c>
      <c r="B5" s="3" t="inlineStr">
        <is>
          <t>Purpose — outcome</t>
        </is>
      </c>
      <c r="C5" s="3" t="inlineStr">
        <is>
          <t>Who</t>
        </is>
      </c>
      <c r="D5" s="3" t="inlineStr">
        <is>
          <t>When</t>
        </is>
      </c>
      <c r="E5" s="3" t="inlineStr">
        <is>
          <t>Owner</t>
        </is>
      </c>
      <c r="F5" s="3" t="inlineStr">
        <is>
          <t>Status</t>
        </is>
      </c>
    </row>
    <row r="6" ht="55.95" customHeight="1" s="51">
      <c r="A6" s="4" t="inlineStr">
        <is>
          <t>0a. WRITE THE ANATOMICAL SPEC  (do this FIRST)</t>
        </is>
      </c>
      <c r="B6" s="48" t="inlineStr">
        <is>
          <t>Live weight range, parity (sow vs market hog), age/sex, per block type. A ONE-DAY internal exercise that decides whether ~half the candidate pool stays on the list. No further research can answer it. Use the 'Anatomical Spec' tab.</t>
        </is>
      </c>
      <c r="C6" s="48" t="inlineStr">
        <is>
          <t>Technical / Harvest lead + clinical stakeholder</t>
        </is>
      </c>
      <c r="D6" s="48" t="inlineStr">
        <is>
          <t>Before any outreach</t>
        </is>
      </c>
      <c r="E6" s="5" t="n"/>
      <c r="F6" s="5" t="inlineStr">
        <is>
          <t>Not started</t>
        </is>
      </c>
    </row>
    <row r="7" ht="132" customHeight="1" s="51">
      <c r="A7" s="4" t="inlineStr">
        <is>
          <t>0b. EMAIL APHIS VS — settle the EU-export question</t>
        </is>
      </c>
      <c r="B7" s="48" t="inlineStr">
        <is>
          <t>STATUS: question (b) is now ANSWERED by the client — Nahunta, and by extension state-inspected plants, are PERMANENTLY DOMESTIC-ONLY. The two-lane split is confirmed. What remains is question (a).
STILL ASK APHIS VS (vs.export.product.facilities@usda.gov): what establishment-level listing must a FEDERALLY-INSPECTED slaughterhouse hold for Category 3 porcine tissue used in research / surgical training — specifically, must it be APHIS-approved and appear on the EU TRACES establishment list, and what does the plant have to do to get listed?
Jargon: 'ABP' = ANIMAL BY-PRODUCT, the EU's term for animal material NOT for human consumption — which is what our research tissue legally is. 'Cat 3' = CATEGORY 3, the lowest-risk ABP class under EU Regulation (EC) 1069/2009.
WHY IT STILL MATTERS: no plant anywhere in this study has been verified as APHIS/TRACES-listed. This answer tells us what to require from Martin's, Larry's, Bass Farms, Leidy's and every other federal candidate before they can carry EU work.</t>
        </is>
      </c>
      <c r="C7" s="48" t="inlineStr">
        <is>
          <t>Regulatory / QA</t>
        </is>
      </c>
      <c r="D7" s="48" t="inlineStr">
        <is>
          <t>This week</t>
        </is>
      </c>
      <c r="E7" s="5" t="n"/>
      <c r="F7" s="5" t="inlineStr">
        <is>
          <t>Not started</t>
        </is>
      </c>
    </row>
    <row r="8" ht="150" customHeight="1" s="51">
      <c r="A8" s="74" t="inlineStr">
        <is>
          <t>0c. ★★ INTERVIEW THE TISSUE COLLECTORS  (PRIORITY — client flagged)</t>
        </is>
      </c>
      <c r="B8" s="75"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48" t="inlineStr">
        <is>
          <t>Harvest lead + Procurement</t>
        </is>
      </c>
      <c r="D8" s="48" t="inlineStr">
        <is>
          <t>PRIORITY — this week</t>
        </is>
      </c>
      <c r="E8" s="5" t="n"/>
      <c r="F8" s="5" t="inlineStr">
        <is>
          <t>Not started</t>
        </is>
      </c>
    </row>
    <row r="9" ht="55.95" customHeight="1" s="51">
      <c r="A9" s="4" t="inlineStr">
        <is>
          <t>1. Strategy &amp; requirements alignment  (COMPANY stakeholders — NOT slaughterhouses)</t>
        </is>
      </c>
      <c r="B9" s="4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48" t="inlineStr">
        <is>
          <t>Leadership, Ops, QA, Procurement, Harvest / Technical lead</t>
        </is>
      </c>
      <c r="D9" s="48" t="inlineStr">
        <is>
          <t>ASAP — most proximate</t>
        </is>
      </c>
      <c r="E9" s="5" t="n"/>
      <c r="F9" s="5" t="inlineStr">
        <is>
          <t>Not started</t>
        </is>
      </c>
    </row>
    <row r="10" ht="55.95" customHeight="1" s="51">
      <c r="A10" s="4" t="inlineStr">
        <is>
          <t>2. Outreach kickoff</t>
        </is>
      </c>
      <c r="B10" s="48" t="inlineStr">
        <is>
          <t>Assign who contacts which plant; finalize the RFQ/P and NDA; set a return-by date. Call the three Talmadge-Aiken NC plants (Martin's, Larry's, Bass Farms) INSIDE ONE WEEK and let actual weekly kill numbers pick the winner.</t>
        </is>
      </c>
      <c r="C10" s="48" t="inlineStr">
        <is>
          <t>Procurement + Harvest lead</t>
        </is>
      </c>
      <c r="D10" s="48" t="inlineStr">
        <is>
          <t>Right after Mtg 1</t>
        </is>
      </c>
      <c r="E10" s="5" t="n"/>
      <c r="F10" s="5" t="inlineStr">
        <is>
          <t>Not started</t>
        </is>
      </c>
    </row>
    <row r="11" ht="55.95" customHeight="1" s="51">
      <c r="A11" s="4" t="inlineStr">
        <is>
          <t>3. Shortlist review &amp; scoring</t>
        </is>
      </c>
      <c r="B11" s="48" t="inlineStr">
        <is>
          <t>Compare returned weekly kill numbers / quotes; score against the agreed weighting; pick the Lane-2 winner. Budget ONE adversarial verification pass on whichever plant wins — Larry's and Bass Farms have never been verified.</t>
        </is>
      </c>
      <c r="C11" s="48" t="inlineStr">
        <is>
          <t>Core team</t>
        </is>
      </c>
      <c r="D11" s="48" t="inlineStr">
        <is>
          <t>As RFQ/Ps return</t>
        </is>
      </c>
      <c r="E11" s="5" t="n"/>
      <c r="F11" s="5" t="inlineStr">
        <is>
          <t>Not started</t>
        </is>
      </c>
    </row>
    <row r="12" ht="55.95" customHeight="1" s="51">
      <c r="A12" s="4" t="inlineStr">
        <is>
          <t>4. FSIS FOIA on shortlist establishments</t>
        </is>
      </c>
      <c r="B12" s="48" t="inlineStr">
        <is>
          <t>FSIS was unreachable in every research session. File for humane-handling NRs / NOIEs / NOSs on M19904, TA-6720, TA-8305, TA-3521, TA-20129, M21747, M4005, M9065, M7455, M8314. Budget 2-6 weeks — start it in parallel with outreach.</t>
        </is>
      </c>
      <c r="C12" s="48" t="inlineStr">
        <is>
          <t>QA / Regulatory</t>
        </is>
      </c>
      <c r="D12" s="48" t="inlineStr">
        <is>
          <t>Start now (long lead)</t>
        </is>
      </c>
      <c r="E12" s="5" t="n"/>
      <c r="F12" s="5" t="inlineStr">
        <is>
          <t>Not started</t>
        </is>
      </c>
    </row>
    <row r="13" ht="55.95" customHeight="1" s="51">
      <c r="A13" s="4" t="inlineStr">
        <is>
          <t>5. Site visits / audits  (top 2-3)</t>
        </is>
      </c>
      <c r="B13" s="48" t="inlineStr">
        <is>
          <t>Verify facility, welfare and harvest access on-site. Welfare must be treated as a SITE-VISIT finding, not a records finding — especially for Nahunta, which as a state-inspected plant sits outside FSIS humane-handling reporting entirely.</t>
        </is>
      </c>
      <c r="C13" s="48" t="inlineStr">
        <is>
          <t>Technical + QA</t>
        </is>
      </c>
      <c r="D13" s="48" t="inlineStr">
        <is>
          <t>After scoring</t>
        </is>
      </c>
      <c r="E13" s="5" t="n"/>
      <c r="F13" s="5" t="inlineStr">
        <is>
          <t>Not started</t>
        </is>
      </c>
    </row>
    <row r="15" ht="19.95" customHeight="1" s="51">
      <c r="A15" s="52" t="inlineStr">
        <is>
          <t>PRIORITY SLAUGHTERHOUSES — reach these first</t>
        </is>
      </c>
    </row>
    <row r="16" ht="18" customHeight="1" s="51">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1">
      <c r="A17" s="4" t="inlineStr">
        <is>
          <t>1. Nahunta Slaughter House (P-80A)
Pikeville, NC</t>
        </is>
      </c>
      <c r="B17" s="48" t="inlineStr">
        <is>
          <t>LANE 1 — DOMESTIC ANCHOR. Only candidate with a PUBLISHED research-specimen pathway, and fresh spleens/hearts/livers as retail SKUs (viscera leave the kill floor intact). Culture benchmark. NOTE: state-inspected = NC sales only, so domestic lane only.</t>
        </is>
      </c>
      <c r="C17" s="48" t="inlineStr">
        <is>
          <t>(919) 242-4735
nahuntapork.com/specimen-permits1</t>
        </is>
      </c>
      <c r="D17" s="48" t="inlineStr">
        <is>
          <t>Short site/call RFQ/P</t>
        </is>
      </c>
      <c r="E17" s="5" t="n"/>
      <c r="F17" s="5" t="inlineStr">
        <is>
          <t>Not started</t>
        </is>
      </c>
    </row>
    <row r="18" ht="54" customHeight="1" s="51">
      <c r="A18" s="4" t="inlineStr">
        <is>
          <t>2. Martin's Pork Products (TA-6720)
Falcon, NC</t>
        </is>
      </c>
      <c r="B18" s="48" t="inlineStr">
        <is>
          <t>LANE 2 — the incumbent, now plausibly IN BAND (200-1,500/wk after the 6,500 figure was refuted). Hog-only, federally inspected, export-structurally eligible. Cheap call.</t>
        </is>
      </c>
      <c r="C18" s="48" t="inlineStr">
        <is>
          <t>(910) 980-1501
beth@martinspork.com</t>
        </is>
      </c>
      <c r="D18" s="48" t="inlineStr">
        <is>
          <t>Formatted email RFQ/P</t>
        </is>
      </c>
      <c r="E18" s="5" t="n"/>
      <c r="F18" s="5" t="inlineStr">
        <is>
          <t>Not started</t>
        </is>
      </c>
    </row>
    <row r="19" ht="54" customHeight="1" s="51">
      <c r="A19" s="4" t="inlineStr">
        <is>
          <t>3. Larry's Sausage Company (TA-8305)
Fayetteville, NC</t>
        </is>
      </c>
      <c r="B19" s="48" t="inlineStr">
        <is>
          <t>LANE 2 — closest cultural analogue to Nahunta BUT with export-eligible federal TA inspection. Swine-only, family-owned since 1952, three generations. NEVER adversarially verified — treat with care.</t>
        </is>
      </c>
      <c r="C19" s="48" t="inlineStr">
        <is>
          <t>Fayetteville, NC — get number from NCDA&amp;CS TA directory</t>
        </is>
      </c>
      <c r="D19" s="48" t="inlineStr">
        <is>
          <t>Short site/call RFQ/P</t>
        </is>
      </c>
      <c r="E19" s="5" t="n"/>
      <c r="F19" s="5" t="inlineStr">
        <is>
          <t>Not started</t>
        </is>
      </c>
    </row>
    <row r="20" ht="54" customHeight="1" s="51">
      <c r="A20" s="4" t="inlineStr">
        <is>
          <t>4. Bass Farms, Inc. (TA-3521)
Spring Hope, NC</t>
        </is>
      </c>
      <c r="B20" s="48" t="inlineStr">
        <is>
          <t>LANE 2 — 'Slaughter only, species C (swine)': a hog kill floor with NO processing attached is the PUREST Model A structure in the state. NEVER adversarially verified.</t>
        </is>
      </c>
      <c r="C20" s="48" t="inlineStr">
        <is>
          <t>Spring Hope, NC — get number from NCDA&amp;CS TA directory</t>
        </is>
      </c>
      <c r="D20" s="48" t="inlineStr">
        <is>
          <t>Short site/call RFQ/P</t>
        </is>
      </c>
      <c r="E20" s="5" t="n"/>
      <c r="F20" s="5" t="inlineStr">
        <is>
          <t>Not started</t>
        </is>
      </c>
    </row>
    <row r="21" ht="54" customHeight="1" s="51">
      <c r="A21" s="4" t="inlineStr">
        <is>
          <t>5. Gunnoe Sausage Company
Goode, VA</t>
        </is>
      </c>
      <c r="B21" s="48" t="inlineStr">
        <is>
          <t>Virginia's ONLY genuinely in-band plant (~450-590 hogs/wk) — and it was never researched in the first pass. Dedicated sow slaughterhouse since 1965.</t>
        </is>
      </c>
      <c r="C21" s="48" t="inlineStr">
        <is>
          <t>(540) 586-1091
3989 Cifax Rd, Goode VA 24556</t>
        </is>
      </c>
      <c r="D21" s="48" t="inlineStr">
        <is>
          <t>Short site/call RFQ/P</t>
        </is>
      </c>
      <c r="E21" s="5" t="n"/>
      <c r="F21" s="5" t="inlineStr">
        <is>
          <t>Not started</t>
        </is>
      </c>
    </row>
    <row r="22" ht="54" customHeight="1" s="51">
      <c r="A22" s="4" t="inlineStr">
        <is>
          <t>6. Smithfield BioScience
Tar Heel, NC (M18079)</t>
        </is>
      </c>
      <c r="B22" s="48" t="inlineStr">
        <is>
          <t>LANE 3 — the ONLY verified organ programme in the study (aortas, valves, pericardium, peritoneum, mucosa, pancreas, pituitary, tendons) + existing EU pharmaceutical trade. Approach as BOTH supply option AND competitive intelligence.</t>
        </is>
      </c>
      <c r="C22" s="48" t="inlineStr">
        <is>
          <t>smithfieldbioscience.com</t>
        </is>
      </c>
      <c r="D22" s="48" t="inlineStr">
        <is>
          <t>Short site RFQ/P</t>
        </is>
      </c>
      <c r="E22" s="5" t="n"/>
      <c r="F22" s="5" t="inlineStr">
        <is>
          <t>Not started</t>
        </is>
      </c>
    </row>
    <row r="23" ht="54" customHeight="1" s="51">
      <c r="A23" s="4" t="inlineStr">
        <is>
          <t>7. Kansas City Sausage / Coastal Protein
Godwin, NC</t>
        </is>
      </c>
      <c r="B23" s="48" t="inlineStr">
        <is>
          <t>~3,500-5,000 sows/wk — marginally over ceiling, but SOW anatomy is closer to adult human scale. Confirmed operating via live EPA permits. (This is the plant whose identity was confused with Martin's.)</t>
        </is>
      </c>
      <c r="C23" s="48" t="inlineStr">
        <is>
          <t>1600 Martin Road, Godwin NC</t>
        </is>
      </c>
      <c r="D23" s="48" t="inlineStr">
        <is>
          <t>Short site/call RFQ/P</t>
        </is>
      </c>
      <c r="E23" s="5" t="n"/>
      <c r="F23" s="5" t="inlineStr">
        <is>
          <t>Not started</t>
        </is>
      </c>
    </row>
    <row r="24" ht="54" customHeight="1" s="51">
      <c r="A24" s="4" t="inlineStr">
        <is>
          <t>8. Wampler's Farm Sausage (M9065)
Lenoir City, TN</t>
        </is>
      </c>
      <c r="B24" s="48" t="inlineStr">
        <is>
          <t>Real federal grant, real kill floor, ~1,500-1,620/wk. Family-owned since 1937 — but production hiring routes through 3 staffing agencies at $12-14/hr, against your tenure criterion.</t>
        </is>
      </c>
      <c r="C24" s="48" t="inlineStr">
        <is>
          <t>(865) 986-2056  (plant line, NOT 1-800-SAUSAGE)</t>
        </is>
      </c>
      <c r="D24" s="48" t="inlineStr">
        <is>
          <t>Formatted email RFQ/P</t>
        </is>
      </c>
      <c r="E24" s="5" t="n"/>
      <c r="F24" s="5" t="inlineStr">
        <is>
          <t>Not started</t>
        </is>
      </c>
    </row>
    <row r="25" ht="54" customHeight="1" s="51">
      <c r="A25" s="4" t="inlineStr">
        <is>
          <t>9. Custom Quality Packers (TA-20129)
Sims, NC</t>
        </is>
      </c>
      <c r="B25" s="48" t="inlineStr">
        <is>
          <t>One of only ~7 swine-only establishments in NC, federally inspected. Anchors a WILSON COUNTY CLUSTER play with Bass Farms and George Flowers — aggregation only works if plants share one crew.</t>
        </is>
      </c>
      <c r="C25" s="48" t="inlineStr">
        <is>
          <t>(252) 235-3558</t>
        </is>
      </c>
      <c r="D25" s="48" t="inlineStr">
        <is>
          <t>Short site/call RFQ/P</t>
        </is>
      </c>
      <c r="E25" s="5" t="n"/>
      <c r="F25" s="5" t="inlineStr">
        <is>
          <t>Not started</t>
        </is>
      </c>
    </row>
    <row r="26" ht="54" customHeight="1" s="51">
      <c r="A26" s="4" t="inlineStr">
        <is>
          <t>10. Williamsburg Packing (M4005)
Kingstree, SC</t>
        </is>
      </c>
      <c r="B26" s="48" t="inlineStr">
        <is>
          <t>ONE speculative call only. Its voluntary grant V4005 is the mechanism used for non-amenable species — directly relevant to research tissue. Welfare certifications REFUTED, so do not lead with those.</t>
        </is>
      </c>
      <c r="C26" s="48" t="inlineStr">
        <is>
          <t>(843) 355-6447</t>
        </is>
      </c>
      <c r="D26" s="48" t="inlineStr">
        <is>
          <t>Short site/call RFQ/P</t>
        </is>
      </c>
      <c r="E26" s="5" t="n"/>
      <c r="F26" s="5" t="inlineStr">
        <is>
          <t>Not started</t>
        </is>
      </c>
    </row>
    <row r="27" ht="36" customHeight="1" s="51">
      <c r="A27" s="55"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1">
      <c r="A28" s="55"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1">
      <c r="A30" s="52" t="inlineStr">
        <is>
          <t>RFQ/P — EMAIL TEMPLATE  (copy-paste for email contacts; fill the [brackets])</t>
        </is>
      </c>
    </row>
    <row r="31" ht="18" customHeight="1" s="51">
      <c r="A31" s="56" t="inlineStr">
        <is>
          <t>Subject:  Request for Quote / Proposal — Recurring Porcine Tissue Harvesting Partnership</t>
        </is>
      </c>
      <c r="B31" s="57" t="n"/>
      <c r="C31" s="57" t="n"/>
      <c r="D31" s="57" t="n"/>
      <c r="E31" s="57" t="n"/>
      <c r="F31" s="49" t="n"/>
    </row>
    <row r="32" ht="15" customHeight="1" s="51">
      <c r="A32" s="54" t="inlineStr">
        <is>
          <t>Hello [Name],</t>
        </is>
      </c>
    </row>
    <row r="33" ht="36" customHeight="1" s="51">
      <c r="A33" s="54"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1">
      <c r="A34" s="54" t="inlineStr">
        <is>
          <t>We can structure the arrangement either way and would welcome your input:</t>
        </is>
      </c>
    </row>
    <row r="35" ht="15" customHeight="1" s="51">
      <c r="A35" s="54" t="inlineStr">
        <is>
          <t xml:space="preserve">   • Model A — our trained technicians harvest on-site; we rent line/cooler access (by visit or by piece).</t>
        </is>
      </c>
    </row>
    <row r="36" ht="15" customHeight="1" s="51">
      <c r="A36" s="54" t="inlineStr">
        <is>
          <t xml:space="preserve">   • Model B — your team harvests to our written protocol; we send trainers/inspectors to qualify and audit.</t>
        </is>
      </c>
    </row>
    <row r="37" ht="15" customHeight="1" s="51">
      <c r="A37" s="54" t="inlineStr">
        <is>
          <t>Could you please share:</t>
        </is>
      </c>
    </row>
    <row r="38" ht="15" customHeight="1" s="51">
      <c r="A38" s="54" t="inlineStr">
        <is>
          <t xml:space="preserve">   1. Approximate hogs slaughtered per week, and whether you can add head for us.</t>
        </is>
      </c>
    </row>
    <row r="39" ht="24" customHeight="1" s="51">
      <c r="A39" s="54" t="inlineStr">
        <is>
          <t xml:space="preserve">   2. USDA/FSIS inspection status (establishment #) and any APHIS export listing (we may export finished models to the EU).</t>
        </is>
      </c>
    </row>
    <row r="40" ht="24" customHeight="1" s="51">
      <c r="A40" s="54" t="inlineStr">
        <is>
          <t xml:space="preserve">   3. Which organs/tissues you currently harvest vs. send to rendering, and whether we can collect pelvic/abdominal/thoracic blocks at the kill.</t>
        </is>
      </c>
    </row>
    <row r="41" ht="15" customHeight="1" s="51">
      <c r="A41" s="54" t="inlineStr">
        <is>
          <t xml:space="preserve">   4. Pricing — Model A: per-visit access/rental or per-piece; Model B: per-piece harvest fee.</t>
        </is>
      </c>
    </row>
    <row r="42" ht="15" customHeight="1" s="51">
      <c r="A42" s="54" t="inlineStr">
        <is>
          <t xml:space="preserve">   5. Cooler/hanging space and typical time-to-chill after slaughter (freshness window).</t>
        </is>
      </c>
    </row>
    <row r="43" ht="15" customHeight="1" s="51">
      <c r="A43" s="54" t="inlineStr">
        <is>
          <t xml:space="preserve">   6. Your humane-handling program, and any recent USDA humane-handling actions.</t>
        </is>
      </c>
    </row>
    <row r="44" ht="15" customHeight="1" s="51">
      <c r="A44" s="54" t="inlineStr">
        <is>
          <t xml:space="preserve">   7. Lead time, minimum commitment, scheduling, and whether an NDA is needed before we share our protocol.</t>
        </is>
      </c>
    </row>
    <row r="45" ht="15" customHeight="1" s="51">
      <c r="A45" s="54" t="inlineStr">
        <is>
          <t>We are glad to sign an NDA and to set up a call or a site visit. Thank you — we look forward to your proposal.</t>
        </is>
      </c>
    </row>
    <row r="46" ht="15" customHeight="1" s="51">
      <c r="A46" s="54" t="inlineStr">
        <is>
          <t>Best regards,</t>
        </is>
      </c>
    </row>
    <row r="47" ht="15" customHeight="1" s="51">
      <c r="A47" s="54" t="inlineStr">
        <is>
          <t>[Your name] · [Title] · [Company] · [Phone] · [Email]</t>
        </is>
      </c>
    </row>
    <row r="49" ht="19.95" customHeight="1" s="51">
      <c r="A49" s="52" t="inlineStr">
        <is>
          <t>RFQ/P — SHORT SITE / CALL VERSION  (for phone or website inquiry forms)</t>
        </is>
      </c>
    </row>
    <row r="50" ht="16.05" customHeight="1" s="51">
      <c r="A50" s="54" t="inlineStr">
        <is>
          <t>•  Who we are: biomedical porcine-tissue harvester setting up a recurring program.</t>
        </is>
      </c>
    </row>
    <row r="51" ht="16.05" customHeight="1" s="51">
      <c r="A51" s="54" t="inlineStr">
        <is>
          <t>•  Hogs per week? Can you add head for us? Steady year-round?</t>
        </is>
      </c>
    </row>
    <row r="52" ht="16.05" customHeight="1" s="51">
      <c r="A52" s="54" t="inlineStr">
        <is>
          <t>•  USDA/FSIS establishment #? APHIS export listing (we may export to the EU)?</t>
        </is>
      </c>
    </row>
    <row r="53" ht="16.05" customHeight="1" s="51">
      <c r="A53" s="54" t="inlineStr">
        <is>
          <t>•  Which organs are saved vs. rendered? Can we collect pelvic / abdominal / thoracic blocks at the kill?</t>
        </is>
      </c>
    </row>
    <row r="54" ht="16.05" customHeight="1" s="51">
      <c r="A54" s="54" t="inlineStr">
        <is>
          <t>•  Would you HOST our harvesters (Model A — rent by visit or by piece) OR harvest to our spec (Model B)?</t>
        </is>
      </c>
    </row>
    <row r="55" ht="16.05" customHeight="1" s="51">
      <c r="A55" s="54" t="inlineStr">
        <is>
          <t>•  Ballpark pricing (per-visit rental or per-piece)?</t>
        </is>
      </c>
    </row>
    <row r="56" ht="16.05" customHeight="1" s="51">
      <c r="A56" s="54" t="inlineStr">
        <is>
          <t>•  Cooler space + time-to-chill after slaughter (freshness window)?</t>
        </is>
      </c>
    </row>
    <row r="57" ht="16.05" customHeight="1" s="51">
      <c r="A57" s="54" t="inlineStr">
        <is>
          <t>•  Lead time, minimum commitment, NDA needed?</t>
        </is>
      </c>
    </row>
    <row r="58" ht="16.05" customHeight="1" s="51">
      <c r="A58" s="54" t="inlineStr">
        <is>
          <t>•  Best contact name + email to send a written RFQ/P.</t>
        </is>
      </c>
    </row>
    <row r="59" ht="19.95" customHeight="1" s="51">
      <c r="A59" s="58"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45:F45"/>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1" min="1" max="1"/>
    <col width="34" customWidth="1" style="51" min="2" max="4"/>
  </cols>
  <sheetData>
    <row r="1" ht="25.95" customHeight="1" s="51">
      <c r="A1" s="50" t="inlineStr">
        <is>
          <t>Anatomical Spec — fill this in BEFORE the first supplier call</t>
        </is>
      </c>
    </row>
    <row r="2" ht="30" customHeight="1" s="51">
      <c r="A2" s="53" t="inlineStr">
        <is>
          <t>Action #1 from the verified deep study. A one-day internal exercise that decides which plants stay on the list. Blue-on-yellow = you fill in.</t>
        </is>
      </c>
    </row>
    <row r="4" ht="96" customHeight="1" s="51">
      <c r="A4" s="59"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57" t="n"/>
      <c r="C4" s="57" t="n"/>
      <c r="D4" s="49" t="n"/>
    </row>
    <row r="6" ht="19.95" customHeight="1" s="51">
      <c r="A6" s="52" t="inlineStr">
        <is>
          <t>PER-BLOCK SPECIFICATION</t>
        </is>
      </c>
    </row>
    <row r="7" ht="24" customHeight="1" s="51">
      <c r="A7" s="3" t="inlineStr">
        <is>
          <t>Parameter</t>
        </is>
      </c>
      <c r="B7" s="3" t="inlineStr">
        <is>
          <t>PELVIC block</t>
        </is>
      </c>
      <c r="C7" s="3" t="inlineStr">
        <is>
          <t>BARIATRIC / abdominal block</t>
        </is>
      </c>
      <c r="D7" s="3" t="inlineStr">
        <is>
          <t>THORACIC block</t>
        </is>
      </c>
    </row>
    <row r="8" ht="25.95" customHeight="1" s="51">
      <c r="A8" s="6" t="inlineStr">
        <is>
          <t>Organs / structures REQUIRED in the block</t>
        </is>
      </c>
      <c r="B8" s="7" t="n"/>
      <c r="C8" s="7" t="n"/>
      <c r="D8" s="7" t="n"/>
    </row>
    <row r="9" ht="25.95" customHeight="1" s="51">
      <c r="A9" s="8" t="inlineStr">
        <is>
          <t>Organs / structures NICE-TO-HAVE</t>
        </is>
      </c>
      <c r="B9" s="7" t="n"/>
      <c r="C9" s="7" t="n"/>
      <c r="D9" s="7" t="n"/>
    </row>
    <row r="10" ht="25.95" customHeight="1" s="51">
      <c r="A10" s="6" t="inlineStr">
        <is>
          <t>Structures that must be left ATTACHED (vessels, ligaments, mesentery)</t>
        </is>
      </c>
      <c r="B10" s="7" t="n"/>
      <c r="C10" s="7" t="n"/>
      <c r="D10" s="7" t="n"/>
    </row>
    <row r="11" ht="25.95" customHeight="1" s="51">
      <c r="A11" s="8" t="inlineStr">
        <is>
          <t>Minimum acceptable specimen size / dimensions</t>
        </is>
      </c>
      <c r="B11" s="7" t="n"/>
      <c r="C11" s="7" t="n"/>
      <c r="D11" s="7" t="n"/>
    </row>
    <row r="12" ht="25.95" customHeight="1" s="51">
      <c r="A12" s="6" t="inlineStr">
        <is>
          <t>Target live weight range of the animal (lb)</t>
        </is>
      </c>
      <c r="B12" s="7" t="n"/>
      <c r="C12" s="7" t="n"/>
      <c r="D12" s="7" t="n"/>
    </row>
    <row r="13" ht="25.95" customHeight="1" s="51">
      <c r="A13" s="8" t="inlineStr">
        <is>
          <t>Absolute min / max live weight (lb)</t>
        </is>
      </c>
      <c r="B13" s="7" t="n"/>
      <c r="C13" s="7" t="n"/>
      <c r="D13" s="7" t="n"/>
    </row>
    <row r="14" ht="25.95" customHeight="1" s="51">
      <c r="A14" s="6" t="inlineStr">
        <is>
          <t>SOW (parous) acceptable?   Yes / No / Only for…</t>
        </is>
      </c>
      <c r="B14" s="7" t="n"/>
      <c r="C14" s="7" t="n"/>
      <c r="D14" s="7" t="n"/>
    </row>
    <row r="15" ht="25.95" customHeight="1" s="51">
      <c r="A15" s="8" t="inlineStr">
        <is>
          <t>If sow acceptable: max parity (number of litters)</t>
        </is>
      </c>
      <c r="B15" s="7" t="n"/>
      <c r="C15" s="7" t="n"/>
      <c r="D15" s="7" t="n"/>
    </row>
    <row r="16" ht="25.95" customHeight="1" s="51">
      <c r="A16" s="6" t="inlineStr">
        <is>
          <t>Market hog acceptable?  Target age (months)</t>
        </is>
      </c>
      <c r="B16" s="7" t="n"/>
      <c r="C16" s="7" t="n"/>
      <c r="D16" s="7" t="n"/>
    </row>
    <row r="17" ht="25.95" customHeight="1" s="51">
      <c r="A17" s="8" t="inlineStr">
        <is>
          <t>Sex required (barrow / gilt / sow / either)</t>
        </is>
      </c>
      <c r="B17" s="7" t="n"/>
      <c r="C17" s="7" t="n"/>
      <c r="D17" s="7" t="n"/>
    </row>
    <row r="18" ht="25.95" customHeight="1" s="51">
      <c r="A18" s="6" t="inlineStr">
        <is>
          <t>Max WARM ISCHEMIA time — kill to preservation (minutes)</t>
        </is>
      </c>
      <c r="B18" s="7" t="n"/>
      <c r="C18" s="7" t="n"/>
      <c r="D18" s="7" t="n"/>
    </row>
    <row r="19" ht="25.95" customHeight="1" s="51">
      <c r="A19" s="8" t="inlineStr">
        <is>
          <t>Preservation method at the plant (chill / saline / PBS / perfusion / freeze)</t>
        </is>
      </c>
      <c r="B19" s="7" t="n"/>
      <c r="C19" s="7" t="n"/>
      <c r="D19" s="7" t="n"/>
    </row>
    <row r="20" ht="25.95" customHeight="1" s="51">
      <c r="A20" s="6" t="inlineStr">
        <is>
          <t>Units needed per WEEK</t>
        </is>
      </c>
      <c r="B20" s="7" t="n"/>
      <c r="C20" s="7" t="n"/>
      <c r="D20" s="7" t="n"/>
    </row>
    <row r="21" ht="25.95" customHeight="1" s="51">
      <c r="A21" s="8" t="inlineStr">
        <is>
          <t>Units needed per MONTH (steady-state)</t>
        </is>
      </c>
      <c r="B21" s="7" t="n"/>
      <c r="C21" s="7" t="n"/>
      <c r="D21" s="7" t="n"/>
    </row>
    <row r="22" ht="25.95" customHeight="1" s="51">
      <c r="A22" s="6" t="inlineStr">
        <is>
          <t>Acceptable defect rate / rejection criteria</t>
        </is>
      </c>
      <c r="B22" s="7" t="n"/>
      <c r="C22" s="7" t="n"/>
      <c r="D22" s="7" t="n"/>
    </row>
    <row r="23" ht="25.95" customHeight="1" s="51">
      <c r="A23" s="8" t="inlineStr">
        <is>
          <t>Disqualifiers (pathology, abscess, trim damage, condemnation)</t>
        </is>
      </c>
      <c r="B23" s="7" t="n"/>
      <c r="C23" s="7" t="n"/>
      <c r="D23" s="7" t="n"/>
    </row>
    <row r="24" ht="25.95" customHeight="1" s="51">
      <c r="A24" s="6" t="inlineStr">
        <is>
          <t>Domestic use only, or EU-bound?  (drives the inspection requirement)</t>
        </is>
      </c>
      <c r="B24" s="7" t="n"/>
      <c r="C24" s="7" t="n"/>
      <c r="D24" s="7" t="n"/>
    </row>
    <row r="26" ht="19.95" customHeight="1" s="51">
      <c r="A26" s="52" t="inlineStr">
        <is>
          <t>THE DECISIONS THIS UNLOCKS</t>
        </is>
      </c>
    </row>
    <row r="27" ht="34.05" customHeight="1" s="51">
      <c r="A27" s="9" t="inlineStr">
        <is>
          <t>DECISION 1 — Sow vs market hog</t>
        </is>
      </c>
      <c r="B27" s="48" t="inlineStr">
        <is>
          <t>Circle one:   MARKET HOG ONLY   /   SOW ACCEPTABLE   /   SOW PREFERRED (urogyn)   /   DEPENDS BY BLOCK (specify above)</t>
        </is>
      </c>
      <c r="C27" s="57" t="n"/>
      <c r="D27" s="49" t="n"/>
    </row>
    <row r="28" ht="51.6" customHeight="1" s="51">
      <c r="A28" s="9" t="inlineStr">
        <is>
          <t>If MARKET HOG ONLY →</t>
        </is>
      </c>
      <c r="B28" s="4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57" t="n"/>
      <c r="D28" s="49" t="n"/>
    </row>
    <row r="29" ht="46.8" customHeight="1" s="51">
      <c r="A29" s="9" t="inlineStr">
        <is>
          <t>If SOW ACCEPTABLE →</t>
        </is>
      </c>
      <c r="B29" s="48" t="inlineStr">
        <is>
          <t>The pool roughly doubles and several in-band plants come back: Gunnoe (~450-590/wk), Kansas City Sausage (~3,500-5,000/wk), plus the TN sow plants. Sow anatomy is also closer to ADULT HUMAN SCALE than a 250 lb market hog, which may be a product advantage.</t>
        </is>
      </c>
      <c r="C29" s="57" t="n"/>
      <c r="D29" s="49" t="n"/>
    </row>
    <row r="30" ht="36" customHeight="1" s="51">
      <c r="A30" s="9" t="inlineStr">
        <is>
          <t>DECISION 2 — EU exposure</t>
        </is>
      </c>
      <c r="B30" s="48" t="inlineStr">
        <is>
          <t>Which blocks (if any) are destined for EUROPE?  EU-bound product cannot come from Nahunta (state-inspected, NC sales only) and requires a federally-inspected plant plus APHIS/TRACES listing. Domestic-only product has no such constraint.</t>
        </is>
      </c>
      <c r="C30" s="57" t="n"/>
      <c r="D30" s="49" t="n"/>
    </row>
    <row r="31" ht="36" customHeight="1" s="51">
      <c r="A31" s="9" t="inlineStr">
        <is>
          <t>DECISION 3 — Ischemia tolerance</t>
        </is>
      </c>
      <c r="B31" s="48" t="inlineStr">
        <is>
          <t>If max warm ischemia is TIGHT (minutes), Model A on-site harvesting is effectively mandatory and buy-direct is out. If it is loose (hours), buy-direct and Model B both stay viable — which materially widens the supplier pool.</t>
        </is>
      </c>
      <c r="C31" s="57" t="n"/>
      <c r="D31" s="49" t="n"/>
    </row>
    <row r="33" ht="22.05" customHeight="1" s="51">
      <c r="A33" s="60"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33:D33"/>
    <mergeCell ref="A2:D2"/>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5"/>
  <sheetViews>
    <sheetView showGridLines="0" workbookViewId="0">
      <selection activeCell="A1" sqref="A1:B1"/>
    </sheetView>
  </sheetViews>
  <sheetFormatPr baseColWidth="8" defaultRowHeight="14.4"/>
  <cols>
    <col width="24" customWidth="1" style="51" min="1" max="1"/>
    <col width="100" customWidth="1" style="51" min="2" max="2"/>
  </cols>
  <sheetData>
    <row r="1" ht="25.95" customHeight="1" s="51">
      <c r="A1" s="50" t="inlineStr">
        <is>
          <t>Legend, Status Codes &amp; Fit Scoring</t>
        </is>
      </c>
    </row>
    <row r="3" ht="19.95" customHeight="1" s="51">
      <c r="A3" s="52" t="inlineStr">
        <is>
          <t>STATUS / FIT CODES  (used in the roster 'Fit' column)</t>
        </is>
      </c>
    </row>
    <row r="4" ht="25.95" customHeight="1" s="51">
      <c r="A4" s="10" t="inlineStr">
        <is>
          <t>STRONG FIT</t>
        </is>
      </c>
      <c r="B4" s="11" t="inlineStr">
        <is>
          <t>Volume in band, hogs, USDA-inspected, welfare signal present, plausible for Model A or B. Prioritize outreach.</t>
        </is>
      </c>
    </row>
    <row r="5" ht="25.95" customHeight="1" s="51">
      <c r="A5" s="12" t="inlineStr">
        <is>
          <t>POSSIBLE</t>
        </is>
      </c>
      <c r="B5" s="11" t="inlineStr">
        <is>
          <t>Meets most criteria; one or more items unverified (usually volume or cert). Worth a call.</t>
        </is>
      </c>
    </row>
    <row r="6" ht="25.95" customHeight="1" s="51">
      <c r="A6" s="12" t="inlineStr">
        <is>
          <t>CAUTION</t>
        </is>
      </c>
      <c r="B6" s="11" t="inlineStr">
        <is>
          <t>A material mismatch (volume edge, cert gap, or culture concern) — call, but temper expectations.</t>
        </is>
      </c>
    </row>
    <row r="7" ht="25.95" customHeight="1" s="51">
      <c r="A7" s="13" t="inlineStr">
        <is>
          <t>OUT / FLAG</t>
        </is>
      </c>
      <c r="B7" s="11" t="inlineStr">
        <is>
          <t>Fails a hard criterion (wrong species, no hog slaughter, far outside volume band, or a certification gap that matters).</t>
        </is>
      </c>
    </row>
    <row r="8" ht="25.95" customHeight="1" s="51">
      <c r="A8" s="14" t="inlineStr">
        <is>
          <t>REFERENCE</t>
        </is>
      </c>
      <c r="B8" s="11" t="inlineStr">
        <is>
          <t>Existing/known supplier included as a benchmark (Nahunta, Martin's).</t>
        </is>
      </c>
    </row>
    <row r="10" ht="19.95" customHeight="1" s="51">
      <c r="A10" s="52" t="inlineStr">
        <is>
          <t>VOLUME TIERS  (capacity is OPEN — tier classifies, it does not exclude)</t>
        </is>
      </c>
    </row>
    <row r="11" ht="48" customHeight="1" s="51">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1">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1">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1">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1">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1">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1">
      <c r="A18" s="52" t="inlineStr">
        <is>
          <t>CERTIFICATION COLUMN CODES</t>
        </is>
      </c>
    </row>
    <row r="19" ht="24" customHeight="1" s="51">
      <c r="A19" s="6" t="inlineStr">
        <is>
          <t>USDA ✓</t>
        </is>
      </c>
      <c r="B19" s="11" t="inlineStr">
        <is>
          <t>Federally inspected (FSIS) slaughter — grant of inspection.</t>
        </is>
      </c>
    </row>
    <row r="20" ht="24" customHeight="1" s="51">
      <c r="A20" s="6" t="inlineStr">
        <is>
          <t>State ✓</t>
        </is>
      </c>
      <c r="B20" s="11" t="inlineStr">
        <is>
          <t>State meat-inspection program (equal-to FSIS for intrastate sale).</t>
        </is>
      </c>
    </row>
    <row r="21" ht="24" customHeight="1" s="51">
      <c r="A21" s="6" t="inlineStr">
        <is>
          <t>Custom-exempt</t>
        </is>
      </c>
      <c r="B21" s="11" t="inlineStr">
        <is>
          <t>Custom/exempt plant — NOT continuously inspected; product not for general commerce. FLAG for our use.</t>
        </is>
      </c>
    </row>
    <row r="22" ht="24" customHeight="1" s="51">
      <c r="A22" s="6" t="inlineStr">
        <is>
          <t>APHIS ✓ / n/a</t>
        </is>
      </c>
      <c r="B22" s="11" t="inlineStr">
        <is>
          <t>APHIS certification relates to animal-health/export programs; note where relevant. 'n/a' = not the applicable regime for this plant.</t>
        </is>
      </c>
    </row>
    <row r="23" ht="24" customHeight="1" s="51">
      <c r="A23" s="6" t="inlineStr">
        <is>
          <t>unknown</t>
        </is>
      </c>
      <c r="B23" s="11" t="inlineStr">
        <is>
          <t>Not published / not confirmed — MUST verify by phone.</t>
        </is>
      </c>
    </row>
    <row r="25" ht="19.95" customHeight="1" s="51">
      <c r="A25" s="52" t="inlineStr">
        <is>
          <t>HOW 'FIT' IS JUDGED  (weighting, not a hard formula)</t>
        </is>
      </c>
    </row>
    <row r="26" ht="24" customHeight="1" s="51">
      <c r="A26" s="6" t="inlineStr">
        <is>
          <t>Hog slaughter present</t>
        </is>
      </c>
      <c r="B26" s="11" t="inlineStr">
        <is>
          <t>Hard gate — no hogs, out of scope.</t>
        </is>
      </c>
    </row>
    <row r="27" ht="24" customHeight="1" s="51">
      <c r="A27" s="6" t="inlineStr">
        <is>
          <t>Weekly volume</t>
        </is>
      </c>
      <c r="B27" s="11" t="inlineStr">
        <is>
          <t>NOT a gate — capacity is open. Recorded as a TIER (Small / Medium / High) that shapes the operating model and whether aggregation is needed.</t>
        </is>
      </c>
    </row>
    <row r="28" ht="24" customHeight="1" s="51">
      <c r="A28" s="6" t="inlineStr">
        <is>
          <t>USDA / APHIS status</t>
        </is>
      </c>
      <c r="B28" s="11" t="inlineStr">
        <is>
          <t>Preferred; a gap is flagged, not always fatal (depends on our use + Model).</t>
        </is>
      </c>
    </row>
    <row r="29" ht="24" customHeight="1" s="51">
      <c r="A29" s="6" t="inlineStr">
        <is>
          <t>Welfare &amp; culture</t>
        </is>
      </c>
      <c r="B29" s="11" t="inlineStr">
        <is>
          <t>Strong tie-breaker — the Nahunta differentiator.</t>
        </is>
      </c>
    </row>
    <row r="30" ht="24" customHeight="1" s="51">
      <c r="A30" s="6" t="inlineStr">
        <is>
          <t>Model A or B feasible</t>
        </is>
      </c>
      <c r="B30" s="11" t="inlineStr">
        <is>
          <t>At least one operating model must be plausible.</t>
        </is>
      </c>
    </row>
    <row r="31" ht="24" customHeight="1" s="51">
      <c r="A31" s="6" t="inlineStr">
        <is>
          <t>Organ/tissue capability</t>
        </is>
      </c>
      <c r="B31" s="11" t="inlineStr">
        <is>
          <t>Bonus; especially valuable for pelvic/bariatric/thoracic blocks.</t>
        </is>
      </c>
    </row>
    <row r="33" ht="20" customHeight="1" s="51">
      <c r="A33" s="69" t="inlineStr">
        <is>
          <t>MARKERS ADDED AFTER CLIENT INPUT</t>
        </is>
      </c>
    </row>
    <row r="34" ht="54" customHeight="1" s="51">
      <c r="A34" s="80" t="inlineStr">
        <is>
          <t>★★ PRIORITY CONTACT</t>
        </is>
      </c>
      <c r="B34" s="81"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54" customHeight="1" s="51">
      <c r="A35" s="82" t="inlineStr">
        <is>
          <t>❌ DOMESTIC ONLY</t>
        </is>
      </c>
      <c r="B35" s="81" t="inlineStr">
        <is>
          <t>CLIENT-CONFIRMED: the plant's output cannot be used for exports. Applies to Nahunta and, by extension, every state-inspected plant. These serve the US domestic programme; EU-bound product must come from a federally-inspected (USDA or Talmadge-Aiken) plant. This is a routing rule, not a downgrade.</t>
        </is>
      </c>
    </row>
  </sheetData>
  <mergeCells count="6">
    <mergeCell ref="A25:B25"/>
    <mergeCell ref="A33:B33"/>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tabColor theme="9" tint="0.7999816888943144"/>
    <outlinePr summaryBelow="1" summaryRight="1"/>
    <pageSetUpPr/>
  </sheetPr>
  <dimension ref="A1:Q117"/>
  <sheetViews>
    <sheetView showGridLines="0" workbookViewId="0">
      <pane ySplit="4" topLeftCell="A5" activePane="bottomLeft" state="frozen"/>
      <selection pane="bottomLeft" activeCell="A110" sqref="A110"/>
    </sheetView>
  </sheetViews>
  <sheetFormatPr baseColWidth="8" defaultRowHeight="14.4"/>
  <cols>
    <col width="24" customWidth="1" style="51" min="1" max="1"/>
    <col width="18" customWidth="1" style="51" min="2" max="2"/>
    <col width="17" customWidth="1" style="51" min="3" max="3"/>
    <col width="13" customWidth="1" style="51" min="4" max="4"/>
    <col width="15" customWidth="1" style="51" min="5" max="5"/>
    <col width="7" customWidth="1" style="51" min="6" max="6"/>
    <col width="11" customWidth="1" style="51" min="7" max="7"/>
    <col width="34" customWidth="1" style="51" min="8" max="8"/>
    <col width="30" customWidth="1" style="51" min="9" max="9"/>
    <col width="22" customWidth="1" style="51" min="10" max="10"/>
    <col width="26.6640625" customWidth="1" style="51" min="11" max="11"/>
    <col width="16" customWidth="1" style="51" min="12" max="13"/>
    <col width="22" customWidth="1" style="51" min="14" max="14"/>
    <col width="14" customWidth="1" style="51" min="15" max="15"/>
    <col width="9.77734375" customWidth="1" style="51" min="16" max="16"/>
    <col width="40" customWidth="1" style="51" min="17" max="17"/>
  </cols>
  <sheetData>
    <row r="1" ht="25.95" customHeight="1" s="51">
      <c r="A1" s="50" t="inlineStr">
        <is>
          <t>Supplier Roster — Slaughterhouses (hog kill), grouped by region</t>
        </is>
      </c>
    </row>
    <row r="2" ht="30" customHeight="1" s="51">
      <c r="A2" s="53" t="inlineStr">
        <is>
          <t>Primary: North Carolina.  Secondary: South Carolina / Tennessee / Virginia.  Then: Iowa &amp; Midwest.  'est.' = estimate to confirm by phone; 'unknown' = not published.</t>
        </is>
      </c>
    </row>
    <row r="3"/>
    <row r="4" ht="40.05" customHeight="1" s="51">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3" t="inlineStr">
        <is>
          <t>Model B
(they harvest)</t>
        </is>
      </c>
      <c r="N4" s="3" t="inlineStr">
        <is>
          <t>Contact</t>
        </is>
      </c>
      <c r="O4" s="3" t="inlineStr">
        <is>
          <t>Fit</t>
        </is>
      </c>
      <c r="P4" s="3" t="inlineStr">
        <is>
          <t>Conf.</t>
        </is>
      </c>
      <c r="Q4" s="3" t="inlineStr">
        <is>
          <t>Notes / source</t>
        </is>
      </c>
    </row>
    <row r="5" ht="19.95" customHeight="1" s="51">
      <c r="A5" s="52" t="inlineStr">
        <is>
          <t>REFERENCE — existing / benchmark suppliers</t>
        </is>
      </c>
    </row>
    <row r="6" ht="96" customHeight="1" s="51">
      <c r="A6" s="4" t="inlineStr">
        <is>
          <t>Nahunta Pork Center</t>
        </is>
      </c>
      <c r="B6" s="48" t="inlineStr">
        <is>
          <t>Pikeville, NC</t>
        </is>
      </c>
      <c r="C6" s="48" t="inlineStr">
        <is>
          <t>Custom slaughter + pork retail</t>
        </is>
      </c>
      <c r="D6" s="48" t="inlineStr">
        <is>
          <t>~400-500 (est.)</t>
        </is>
      </c>
      <c r="E6" s="20" t="inlineStr">
        <is>
          <t>MEDIUM
(350-2,500/wk)</t>
        </is>
      </c>
      <c r="F6" s="48" t="inlineStr">
        <is>
          <t>Yes</t>
        </is>
      </c>
      <c r="G6" s="48" t="inlineStr">
        <is>
          <t>STATE only
(NOT USDA)</t>
        </is>
      </c>
      <c r="H6" s="48" t="inlineStr">
        <is>
          <t>None found in public FSIS / recall / AWI sources</t>
        </is>
      </c>
      <c r="I6" s="76" t="inlineStr">
        <is>
          <t>❌ CONFIRMED BY CLIENT: CANNOT BE USED FOR EXPORTS — PERMANENTLY DOMESTIC ONLY. No APHIS/EU route exists for this plant. Do not spend further effort testing it.</t>
        </is>
      </c>
      <c r="J6" s="48" t="inlineStr">
        <is>
          <t>Strong — 3rd-gen Pierce family, decades of staff tenure; the culture benchmark</t>
        </is>
      </c>
      <c r="K6" s="48" t="inlineStr">
        <is>
          <t>Incumbent — most organ needs already covered here</t>
        </is>
      </c>
      <c r="L6" s="48" t="inlineStr">
        <is>
          <t>Yes (already custom-slaughters 3rd-party animals)</t>
        </is>
      </c>
      <c r="M6" s="48" t="inlineStr">
        <is>
          <t>Yes</t>
        </is>
      </c>
      <c r="N6" s="48" t="inlineStr">
        <is>
          <t>(919) 242-4735
nahuntapork.com</t>
        </is>
      </c>
      <c r="O6" s="21" t="inlineStr">
        <is>
          <t>REFERENCE</t>
        </is>
      </c>
      <c r="P6" s="48" t="inlineStr">
        <is>
          <t>High / est.</t>
        </is>
      </c>
      <c r="Q6" s="48" t="inlineStr">
        <is>
          <t>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58.05" customHeight="1" s="51">
      <c r="A7" s="4" t="inlineStr">
        <is>
          <t>Martin's Pork Products, Inc.</t>
        </is>
      </c>
      <c r="B7" s="48" t="inlineStr">
        <is>
          <t>Falcon, NC</t>
        </is>
      </c>
      <c r="C7" s="48" t="inlineStr">
        <is>
          <t>USDA (Talmadge-Aiken) slaughter + processing</t>
        </is>
      </c>
      <c r="D7" s="48" t="inlineStr">
        <is>
          <t>1,500-2,500/wk (client-confirmed)</t>
        </is>
      </c>
      <c r="E7" s="73" t="inlineStr">
        <is>
          <t>MEDIUM
(350-2,500/wk)</t>
        </is>
      </c>
      <c r="F7" s="48" t="inlineStr">
        <is>
          <t>Yes</t>
        </is>
      </c>
      <c r="G7" s="48" t="inlineStr">
        <is>
          <t>USDA ✓
(T-A, TA-6720)</t>
        </is>
      </c>
      <c r="H7" s="48" t="inlineStr">
        <is>
          <t>None found in public FSIS / recall / AWI sources</t>
        </is>
      </c>
      <c r="I7" s="48" t="inlineStr">
        <is>
          <t>FSIS-listed (TA-6720); NOT on public export lists — verify w/ APHIS VS</t>
        </is>
      </c>
      <c r="J7" s="48" t="inlineStr">
        <is>
          <t>Incumbent — 'ok' experience; quality issues harder to resolve (weaker culture/responsiveness than Nahunta); ~75 staff</t>
        </is>
      </c>
      <c r="K7" s="48" t="inlineStr">
        <is>
          <t>Pork slaughter + processing + wholesale</t>
        </is>
      </c>
      <c r="L7" s="48" t="inlineStr">
        <is>
          <t>Possible</t>
        </is>
      </c>
      <c r="M7" s="48" t="inlineStr">
        <is>
          <t>Yes (incumbent)</t>
        </is>
      </c>
      <c r="N7" s="48" t="inlineStr">
        <is>
          <t>(910) 980-1501
beth@martinspork.com · martinspork.com</t>
        </is>
      </c>
      <c r="O7" s="21" t="inlineStr">
        <is>
          <t>REFERENCE</t>
        </is>
      </c>
      <c r="P7" s="48" t="inlineStr">
        <is>
          <t>High</t>
        </is>
      </c>
      <c r="Q7" s="48" t="inlineStr">
        <is>
          <t>CLIENT-CORRECTED weekly volume: 1,500-2,500/wk. || 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1">
      <c r="A8" s="52" t="inlineStr">
        <is>
          <t>NORTH CAROLINA — candidate slaughterhouses (primary region)</t>
        </is>
      </c>
    </row>
    <row r="9" ht="58.05" customHeight="1" s="51">
      <c r="A9" s="4" t="inlineStr">
        <is>
          <t>Piedmont Custom Meats</t>
        </is>
      </c>
      <c r="B9" s="48" t="inlineStr">
        <is>
          <t>Gibsonville / Asheboro, NC</t>
        </is>
      </c>
      <c r="C9" s="48" t="inlineStr">
        <is>
          <t>USDA-inspected</t>
        </is>
      </c>
      <c r="D9" s="48" t="inlineStr">
        <is>
          <t>unknown (5 days/wk)</t>
        </is>
      </c>
      <c r="E9" s="22" t="inlineStr">
        <is>
          <t>SMALL
(0-300/wk)</t>
        </is>
      </c>
      <c r="F9" s="48" t="inlineStr">
        <is>
          <t>Yes</t>
        </is>
      </c>
      <c r="G9" s="48" t="inlineStr">
        <is>
          <t>USDA ✓</t>
        </is>
      </c>
      <c r="H9" s="48" t="inlineStr">
        <is>
          <t>None found (markets AWA / Grandin-designed humane facility)</t>
        </is>
      </c>
      <c r="I9" s="48" t="inlineStr">
        <is>
          <t>FSIS Est. M7975A; not on public export lists — verify</t>
        </is>
      </c>
      <c r="J9" s="48" t="inlineStr">
        <is>
          <t>Strong — AWA-approved, written humane-handling policy, Temple-Grandin-influenced design</t>
        </is>
      </c>
      <c r="K9" s="48" t="inlineStr">
        <is>
          <t>Runs a SEPARATE dedicated harvesting facility (distinct from processing)</t>
        </is>
      </c>
      <c r="L9" s="48" t="inlineStr">
        <is>
          <t>Yes — separate harvest site suits on-site access</t>
        </is>
      </c>
      <c r="M9" s="48" t="inlineStr">
        <is>
          <t>Yes — contract harvest plausible</t>
        </is>
      </c>
      <c r="N9" s="48" t="inlineStr">
        <is>
          <t>(336) 628-4949
piedmontcustommeats.com</t>
        </is>
      </c>
      <c r="O9" s="20" t="inlineStr">
        <is>
          <t>STRONG FIT</t>
        </is>
      </c>
      <c r="P9" s="48" t="inlineStr">
        <is>
          <t>High (struct.)</t>
        </is>
      </c>
      <c r="Q9" s="4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1">
      <c r="A10" s="4" t="inlineStr">
        <is>
          <t>Acre Station Meat Farm</t>
        </is>
      </c>
      <c r="B10" s="48" t="inlineStr">
        <is>
          <t>Pinetown, NC</t>
        </is>
      </c>
      <c r="C10" s="48" t="inlineStr">
        <is>
          <t>USDA-equivalent (Talmadge-Aiken)</t>
        </is>
      </c>
      <c r="D10" s="48" t="inlineStr">
        <is>
          <t>~400 (80 hogs/day cap)</t>
        </is>
      </c>
      <c r="E10" s="22" t="inlineStr">
        <is>
          <t>SMALL
(0-300/wk)</t>
        </is>
      </c>
      <c r="F10" s="48" t="inlineStr">
        <is>
          <t>Yes</t>
        </is>
      </c>
      <c r="G10" s="48" t="inlineStr">
        <is>
          <t>USDA ✓
(T-A prog.)</t>
        </is>
      </c>
      <c r="H10" s="48" t="inlineStr">
        <is>
          <t>None found (Est. M19904)</t>
        </is>
      </c>
      <c r="I10" s="48" t="inlineStr">
        <is>
          <t>Not on public export lists — verify w/ APHIS VS</t>
        </is>
      </c>
      <c r="J10" s="48" t="inlineStr">
        <is>
          <t>AWA (Animal Welfare Approved) certified; family farm</t>
        </is>
      </c>
      <c r="K10" s="48" t="inlineStr">
        <is>
          <t>Plausible — custom multi-species</t>
        </is>
      </c>
      <c r="L10" s="48" t="inlineStr">
        <is>
          <t>Plausible</t>
        </is>
      </c>
      <c r="M10" s="48" t="inlineStr">
        <is>
          <t>Plausible</t>
        </is>
      </c>
      <c r="N10" s="48" t="inlineStr">
        <is>
          <t>(252) 927-3700
acrestationmeatfarm.com</t>
        </is>
      </c>
      <c r="O10" s="23" t="inlineStr">
        <is>
          <t>POSSIBLE</t>
        </is>
      </c>
      <c r="P10" s="48" t="inlineStr">
        <is>
          <t>Med</t>
        </is>
      </c>
      <c r="Q10" s="4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1">
      <c r="A11" s="4" t="inlineStr">
        <is>
          <t>Custom Quality Packers, LLC</t>
        </is>
      </c>
      <c r="B11" s="48" t="inlineStr">
        <is>
          <t>Sims, NC</t>
        </is>
      </c>
      <c r="C11" s="48" t="inlineStr">
        <is>
          <t>Slaughter (USDA/NCDA unclear)</t>
        </is>
      </c>
      <c r="D11" s="48" t="inlineStr">
        <is>
          <t>~500/wk (client-confirmed)</t>
        </is>
      </c>
      <c r="E11" s="73" t="inlineStr">
        <is>
          <t>MEDIUM
(350-2,500/wk)</t>
        </is>
      </c>
      <c r="F11" s="48" t="inlineStr">
        <is>
          <t>Yes (HOGS ONLY)</t>
        </is>
      </c>
      <c r="G11" s="48" t="inlineStr">
        <is>
          <t>unknown</t>
        </is>
      </c>
      <c r="H11" s="48" t="inlineStr">
        <is>
          <t>None found (Est. M20129)</t>
        </is>
      </c>
      <c r="I11" s="48" t="inlineStr">
        <is>
          <t>Not on public export lists — verify</t>
        </is>
      </c>
      <c r="J11" s="48" t="inlineStr">
        <is>
          <t>unknown</t>
        </is>
      </c>
      <c r="K11" s="48" t="inlineStr">
        <is>
          <t>Plausible; skin-and-scald offered</t>
        </is>
      </c>
      <c r="L11" s="48" t="inlineStr">
        <is>
          <t>Plausible</t>
        </is>
      </c>
      <c r="M11" s="48" t="inlineStr">
        <is>
          <t>Plausible</t>
        </is>
      </c>
      <c r="N11" s="48" t="inlineStr">
        <is>
          <t>(252) 235-3558</t>
        </is>
      </c>
      <c r="O11" s="23" t="inlineStr">
        <is>
          <t>POSSIBLE</t>
        </is>
      </c>
      <c r="P11" s="48" t="inlineStr">
        <is>
          <t>Med</t>
        </is>
      </c>
      <c r="Q11" s="48" t="inlineStr">
        <is>
          <t>CLIENT-CORRECTED: ~500 hogs/wk — MEDIUM tier, not 'to confirm'. Rare HOG-ONLY plant (most are multi-species), federally inspected Talmadge-Aiken (TA-20129) so export-structurally eligible. High-touch handling. || Rare HOG-ONLY plant (most are multi-species) — potentially higher hog throughput. Call to confirm volume + inspection type.</t>
        </is>
      </c>
    </row>
    <row r="12" ht="58.05" customHeight="1" s="51">
      <c r="A12" s="4" t="inlineStr">
        <is>
          <t>George Flowers Slaughter House</t>
        </is>
      </c>
      <c r="B12" s="48" t="inlineStr">
        <is>
          <t>Sims, NC</t>
        </is>
      </c>
      <c r="C12" s="48" t="inlineStr">
        <is>
          <t>Slaughter</t>
        </is>
      </c>
      <c r="D12" s="48" t="inlineStr">
        <is>
          <t>unknown</t>
        </is>
      </c>
      <c r="E12" s="24" t="inlineStr">
        <is>
          <t>unknown
(confirm)</t>
        </is>
      </c>
      <c r="F12" s="48" t="inlineStr">
        <is>
          <t>Yes (hogs+goats)</t>
        </is>
      </c>
      <c r="G12" s="48" t="inlineStr">
        <is>
          <t>unknown</t>
        </is>
      </c>
      <c r="H12" s="48" t="inlineStr">
        <is>
          <t>None found (Est. M21747)</t>
        </is>
      </c>
      <c r="I12" s="48" t="inlineStr">
        <is>
          <t>Not on public export lists — verify</t>
        </is>
      </c>
      <c r="J12" s="48" t="inlineStr">
        <is>
          <t>unknown</t>
        </is>
      </c>
      <c r="K12" s="48" t="inlineStr">
        <is>
          <t>Plausible; skin-and-scald</t>
        </is>
      </c>
      <c r="L12" s="48" t="inlineStr">
        <is>
          <t>Plausible</t>
        </is>
      </c>
      <c r="M12" s="48" t="inlineStr">
        <is>
          <t>Plausible</t>
        </is>
      </c>
      <c r="N12" s="48" t="inlineStr">
        <is>
          <t>(252) 237-2982</t>
        </is>
      </c>
      <c r="O12" s="23" t="inlineStr">
        <is>
          <t>POSSIBLE</t>
        </is>
      </c>
      <c r="P12" s="48" t="inlineStr">
        <is>
          <t>Med</t>
        </is>
      </c>
      <c r="Q12" s="48" t="inlineStr">
        <is>
          <t>Hog-focused small op. Volume/inspection/APHIS all to verify by phone.</t>
        </is>
      </c>
    </row>
    <row r="13" ht="58.05" customHeight="1" s="51">
      <c r="A13" s="4" t="inlineStr">
        <is>
          <t>Wayne Mays Meat Processing</t>
        </is>
      </c>
      <c r="B13" s="48" t="inlineStr">
        <is>
          <t>Taylorsville, NC</t>
        </is>
      </c>
      <c r="C13" s="48" t="inlineStr">
        <is>
          <t>USDA-inspected</t>
        </is>
      </c>
      <c r="D13" s="48" t="inlineStr">
        <is>
          <t>unknown (small)</t>
        </is>
      </c>
      <c r="E13" s="22" t="inlineStr">
        <is>
          <t>SMALL
(0-300/wk)</t>
        </is>
      </c>
      <c r="F13" s="48" t="inlineStr">
        <is>
          <t>Yes</t>
        </is>
      </c>
      <c r="G13" s="48" t="inlineStr">
        <is>
          <t>USDA ✓</t>
        </is>
      </c>
      <c r="H13" s="25" t="inlineStr">
        <is>
          <t>⚠ Humane-handling NOS ~Aug 2020 (Est. M21848); PETA-documented pig shot 3× (2024). Recurring.</t>
        </is>
      </c>
      <c r="I13" s="48" t="inlineStr">
        <is>
          <t>Not on public export lists — verify</t>
        </is>
      </c>
      <c r="J13" s="48" t="inlineStr">
        <is>
          <t>AWA + Certified Organic — strong welfare signals</t>
        </is>
      </c>
      <c r="K13" s="48" t="inlineStr">
        <is>
          <t>Plausible</t>
        </is>
      </c>
      <c r="L13" s="48" t="inlineStr">
        <is>
          <t>Plausible</t>
        </is>
      </c>
      <c r="M13" s="48" t="inlineStr">
        <is>
          <t>Plausible</t>
        </is>
      </c>
      <c r="N13" s="48" t="inlineStr">
        <is>
          <t>(828) 634-2034
maysmeats.net</t>
        </is>
      </c>
      <c r="O13" s="23" t="inlineStr">
        <is>
          <t>CAUTION</t>
        </is>
      </c>
      <c r="P13" s="48" t="inlineStr">
        <is>
          <t>Med</t>
        </is>
      </c>
      <c r="Q13" s="48" t="inlineStr">
        <is>
          <t>SMALL tier. USDA (in/out NC). Strong welfare CERTS but see enforcement column — humane-handling NOS ~2020 + PETA 2024 report is at odds with the AWA/Organic branding. Welfare, not volume, is what holds this at CAUTION.</t>
        </is>
      </c>
    </row>
    <row r="14" ht="58.05" customHeight="1" s="51">
      <c r="A14" s="4" t="inlineStr">
        <is>
          <t>M.L. Mitchell &amp; Son</t>
        </is>
      </c>
      <c r="B14" s="48" t="inlineStr">
        <is>
          <t>Walnut Cove, NC</t>
        </is>
      </c>
      <c r="C14" s="48" t="inlineStr">
        <is>
          <t>USDA-inspected</t>
        </is>
      </c>
      <c r="D14" s="48" t="inlineStr">
        <is>
          <t>unknown</t>
        </is>
      </c>
      <c r="E14" s="24" t="inlineStr">
        <is>
          <t>unknown
(confirm)</t>
        </is>
      </c>
      <c r="F14" s="48" t="inlineStr">
        <is>
          <t>Yes</t>
        </is>
      </c>
      <c r="G14" s="48" t="inlineStr">
        <is>
          <t>USDA ✓</t>
        </is>
      </c>
      <c r="H14" s="25" t="inlineStr">
        <is>
          <t>⚠ Slaughter suspension Aug 2021 — egregious (failed goat stun, conscious throat-cut). PETA→DA.</t>
        </is>
      </c>
      <c r="I14" s="48" t="inlineStr">
        <is>
          <t>Not on public export lists — verify</t>
        </is>
      </c>
      <c r="J14" s="48" t="inlineStr">
        <is>
          <t>Family business (culture signal)</t>
        </is>
      </c>
      <c r="K14" s="48" t="inlineStr">
        <is>
          <t>Plausible</t>
        </is>
      </c>
      <c r="L14" s="48" t="inlineStr">
        <is>
          <t>Plausible</t>
        </is>
      </c>
      <c r="M14" s="48" t="inlineStr">
        <is>
          <t>Plausible</t>
        </is>
      </c>
      <c r="N14" s="48" t="inlineStr">
        <is>
          <t>(336) 591-7420</t>
        </is>
      </c>
      <c r="O14" s="23" t="inlineStr">
        <is>
          <t>CAUTION</t>
        </is>
      </c>
      <c r="P14" s="48" t="inlineStr">
        <is>
          <t>Med</t>
        </is>
      </c>
      <c r="Q14" s="48" t="inlineStr">
        <is>
          <t>USDA (in/out NC). Family-run — BUT see enforcement: egregious humane-handling slaughter suspension Aug 2021 (failed goat stun, conscious throat-cut). Confirm remediation + volume.</t>
        </is>
      </c>
    </row>
    <row r="15" ht="58.05" customHeight="1" s="51">
      <c r="A15" s="4" t="inlineStr">
        <is>
          <t>Key Packing Company, Inc.</t>
        </is>
      </c>
      <c r="B15" s="48" t="inlineStr">
        <is>
          <t>Robbins, NC</t>
        </is>
      </c>
      <c r="C15" s="48" t="inlineStr">
        <is>
          <t>NCDA state-inspected</t>
        </is>
      </c>
      <c r="D15" s="48" t="inlineStr">
        <is>
          <t>unknown (small)</t>
        </is>
      </c>
      <c r="E15" s="22" t="inlineStr">
        <is>
          <t>SMALL
(0-300/wk)</t>
        </is>
      </c>
      <c r="F15" s="48" t="inlineStr">
        <is>
          <t>Yes</t>
        </is>
      </c>
      <c r="G15" s="48" t="inlineStr">
        <is>
          <t>STATE only
(NOT USDA)</t>
        </is>
      </c>
      <c r="H15" s="48" t="inlineStr">
        <is>
          <t>None found (state-inspected; federal FSIS enforcement n/a)</t>
        </is>
      </c>
      <c r="I15" s="48" t="inlineStr">
        <is>
          <t>State-inspected; not on public export lists — verify</t>
        </is>
      </c>
      <c r="J15" s="48" t="inlineStr">
        <is>
          <t>Family-owned (Key family); custom slaughter for independent farmers</t>
        </is>
      </c>
      <c r="K15" s="48" t="inlineStr">
        <is>
          <t>Plausible</t>
        </is>
      </c>
      <c r="L15" s="48" t="inlineStr">
        <is>
          <t>Plausible</t>
        </is>
      </c>
      <c r="M15" s="48" t="inlineStr">
        <is>
          <t>Plausible</t>
        </is>
      </c>
      <c r="N15" s="48" t="inlineStr">
        <is>
          <t>(910) 464-3507
keypackingcompany.com</t>
        </is>
      </c>
      <c r="O15" s="23" t="inlineStr">
        <is>
          <t>POSSIBLE</t>
        </is>
      </c>
      <c r="P15" s="48" t="inlineStr">
        <is>
          <t>Med</t>
        </is>
      </c>
      <c r="Q15" s="48" t="inlineStr">
        <is>
          <t>⚠ DOMESTIC-ONLY LANE: state-inspected. Per the client's confirmation on Nahunta, treat every state-inspected plant as US-domestic only — usable for the domestic programme, NOT for EU-bound product. || STATE-inspected, in-NC sales only — FLAG (not USDA). Family culture. Likely small volume.</t>
        </is>
      </c>
    </row>
    <row r="16" ht="58.05" customHeight="1" s="51">
      <c r="A16" s="4" t="inlineStr">
        <is>
          <t>Sessoms Packing Company</t>
        </is>
      </c>
      <c r="B16" s="48" t="inlineStr">
        <is>
          <t>Ahoskie, NC</t>
        </is>
      </c>
      <c r="C16" s="48" t="inlineStr">
        <is>
          <t>Slaughter (probable USDA)</t>
        </is>
      </c>
      <c r="D16" s="48" t="inlineStr">
        <is>
          <t>unknown</t>
        </is>
      </c>
      <c r="E16" s="24" t="inlineStr">
        <is>
          <t>unknown
(confirm)</t>
        </is>
      </c>
      <c r="F16" s="48" t="inlineStr">
        <is>
          <t>Yes</t>
        </is>
      </c>
      <c r="G16" s="48" t="inlineStr">
        <is>
          <t>probable USDA
(unconfirmed)</t>
        </is>
      </c>
      <c r="H16" s="48" t="inlineStr">
        <is>
          <t>None found in public sources</t>
        </is>
      </c>
      <c r="I16" s="48" t="inlineStr">
        <is>
          <t>Not on public export lists — verify</t>
        </is>
      </c>
      <c r="J16" s="48" t="inlineStr">
        <is>
          <t>unknown</t>
        </is>
      </c>
      <c r="K16" s="48" t="inlineStr">
        <is>
          <t>Plausible; whole-hog (country ham)</t>
        </is>
      </c>
      <c r="L16" s="48" t="inlineStr">
        <is>
          <t>Plausible</t>
        </is>
      </c>
      <c r="M16" s="48" t="inlineStr">
        <is>
          <t>Plausible</t>
        </is>
      </c>
      <c r="N16" s="48" t="inlineStr">
        <is>
          <t>(252) 332-2978</t>
        </is>
      </c>
      <c r="O16" s="23" t="inlineStr">
        <is>
          <t>POSSIBLE</t>
        </is>
      </c>
      <c r="P16" s="48" t="inlineStr">
        <is>
          <t>Low-Med</t>
        </is>
      </c>
      <c r="Q16" s="48" t="inlineStr">
        <is>
          <t>Whole-hog capable. Confirm inspection type + volume.</t>
        </is>
      </c>
    </row>
    <row r="17" ht="58.05" customHeight="1" s="51">
      <c r="A17" s="4" t="inlineStr">
        <is>
          <t>Thomas Brothers Abattoir</t>
        </is>
      </c>
      <c r="B17" s="48" t="inlineStr">
        <is>
          <t>North Wilkesboro, NC</t>
        </is>
      </c>
      <c r="C17" s="48" t="inlineStr">
        <is>
          <t>Slaughter</t>
        </is>
      </c>
      <c r="D17" s="48" t="inlineStr">
        <is>
          <t>unknown</t>
        </is>
      </c>
      <c r="E17" s="24" t="inlineStr">
        <is>
          <t>unknown
(confirm)</t>
        </is>
      </c>
      <c r="F17" s="48" t="inlineStr">
        <is>
          <t>Yes</t>
        </is>
      </c>
      <c r="G17" s="48" t="inlineStr">
        <is>
          <t>unknown</t>
        </is>
      </c>
      <c r="H17" s="25" t="inlineStr">
        <is>
          <t>⚠ REPEAT humane-handling suspensions 2009, 2015, 2018 (AWI list; Est. 19511M)</t>
        </is>
      </c>
      <c r="I17" s="48" t="inlineStr">
        <is>
          <t>Not on public export lists — verify</t>
        </is>
      </c>
      <c r="J17" s="48" t="inlineStr">
        <is>
          <t>unknown</t>
        </is>
      </c>
      <c r="K17" s="48" t="inlineStr">
        <is>
          <t>Plausible</t>
        </is>
      </c>
      <c r="L17" s="48" t="inlineStr">
        <is>
          <t>Plausible</t>
        </is>
      </c>
      <c r="M17" s="48" t="inlineStr">
        <is>
          <t>Plausible</t>
        </is>
      </c>
      <c r="N17" s="48" t="inlineStr">
        <is>
          <t>(336) 667-1346</t>
        </is>
      </c>
      <c r="O17" s="23" t="inlineStr">
        <is>
          <t>CAUTION</t>
        </is>
      </c>
      <c r="P17" s="48" t="inlineStr">
        <is>
          <t>Low-Med</t>
        </is>
      </c>
      <c r="Q17" s="48" t="inlineStr">
        <is>
          <t>Broad species range. See enforcement: REPEAT humane-handling suspensions 2009/2015/2018 (AWI list). Later acquired by Apple Brandy Beef — confirm current ownership/practices. Inspection/volume to verify.</t>
        </is>
      </c>
    </row>
    <row r="18" ht="58.05" customHeight="1" s="51">
      <c r="A18" s="4" t="inlineStr">
        <is>
          <t>Cruse Meat Processing</t>
        </is>
      </c>
      <c r="B18" s="48" t="inlineStr">
        <is>
          <t>Concord, NC</t>
        </is>
      </c>
      <c r="C18" s="48" t="inlineStr">
        <is>
          <t>Slaughter</t>
        </is>
      </c>
      <c r="D18" s="48" t="inlineStr">
        <is>
          <t>unknown</t>
        </is>
      </c>
      <c r="E18" s="24" t="inlineStr">
        <is>
          <t>unknown
(confirm)</t>
        </is>
      </c>
      <c r="F18" s="48" t="inlineStr">
        <is>
          <t>Yes</t>
        </is>
      </c>
      <c r="G18" s="48" t="inlineStr">
        <is>
          <t>unknown</t>
        </is>
      </c>
      <c r="H18" s="48" t="inlineStr">
        <is>
          <t>None found in public sources</t>
        </is>
      </c>
      <c r="I18" s="48" t="inlineStr">
        <is>
          <t>Not on public export lists — verify</t>
        </is>
      </c>
      <c r="J18" s="48" t="inlineStr">
        <is>
          <t>unknown</t>
        </is>
      </c>
      <c r="K18" s="48" t="inlineStr">
        <is>
          <t>Plausible; skin-and-scald</t>
        </is>
      </c>
      <c r="L18" s="48" t="inlineStr">
        <is>
          <t>Plausible</t>
        </is>
      </c>
      <c r="M18" s="48" t="inlineStr">
        <is>
          <t>Plausible</t>
        </is>
      </c>
      <c r="N18" s="48" t="inlineStr">
        <is>
          <t>(704) 786-8616</t>
        </is>
      </c>
      <c r="O18" s="23" t="inlineStr">
        <is>
          <t>POSSIBLE</t>
        </is>
      </c>
      <c r="P18" s="48" t="inlineStr">
        <is>
          <t>Low-Med</t>
        </is>
      </c>
      <c r="Q18" s="48" t="inlineStr">
        <is>
          <t>Small custom multi-species. Verify by phone.</t>
        </is>
      </c>
    </row>
    <row r="19" ht="58.05" customHeight="1" s="51">
      <c r="A19" s="4" t="inlineStr">
        <is>
          <t>Triad Meat Custom Processing</t>
        </is>
      </c>
      <c r="B19" s="48" t="inlineStr">
        <is>
          <t>Madison, NC</t>
        </is>
      </c>
      <c r="C19" s="48" t="inlineStr">
        <is>
          <t>Slaughter</t>
        </is>
      </c>
      <c r="D19" s="48" t="inlineStr">
        <is>
          <t>unknown</t>
        </is>
      </c>
      <c r="E19" s="24" t="inlineStr">
        <is>
          <t>unknown
(confirm)</t>
        </is>
      </c>
      <c r="F19" s="48" t="inlineStr">
        <is>
          <t>Yes</t>
        </is>
      </c>
      <c r="G19" s="48" t="inlineStr">
        <is>
          <t>unknown</t>
        </is>
      </c>
      <c r="H19" s="25" t="inlineStr">
        <is>
          <t>⚠ FSIS suspension ~Dec 2025 (Est. M46085; cause unspecified in public snippets)</t>
        </is>
      </c>
      <c r="I19" s="48" t="inlineStr">
        <is>
          <t>Not on public export lists — verify</t>
        </is>
      </c>
      <c r="J19" s="48" t="inlineStr">
        <is>
          <t>AWA (welfare signal)</t>
        </is>
      </c>
      <c r="K19" s="48" t="inlineStr">
        <is>
          <t>Plausible</t>
        </is>
      </c>
      <c r="L19" s="48" t="inlineStr">
        <is>
          <t>Plausible</t>
        </is>
      </c>
      <c r="M19" s="48" t="inlineStr">
        <is>
          <t>Plausible</t>
        </is>
      </c>
      <c r="N19" s="48" t="inlineStr">
        <is>
          <t>(336) 949-9696</t>
        </is>
      </c>
      <c r="O19" s="23" t="inlineStr">
        <is>
          <t>CAUTION</t>
        </is>
      </c>
      <c r="P19" s="48" t="inlineStr">
        <is>
          <t>Low-Med</t>
        </is>
      </c>
      <c r="Q19" s="48" t="inlineStr">
        <is>
          <t>AWA welfare signal, BUT see enforcement: FSIS suspension ~Dec 2025 (cause unspecified in public snippets) — confirm status. Now Triad Halal Meats. Confirm volume/inspection.</t>
        </is>
      </c>
    </row>
    <row r="20" ht="58.05" customHeight="1" s="51">
      <c r="A20" s="4" t="inlineStr">
        <is>
          <t>Wells, Jenkins &amp; Wells Abattoir</t>
        </is>
      </c>
      <c r="B20" s="48" t="inlineStr">
        <is>
          <t>Forest City, NC</t>
        </is>
      </c>
      <c r="C20" s="48" t="inlineStr">
        <is>
          <t>Slaughter</t>
        </is>
      </c>
      <c r="D20" s="48" t="inlineStr">
        <is>
          <t>unknown</t>
        </is>
      </c>
      <c r="E20" s="24" t="inlineStr">
        <is>
          <t>unknown
(confirm)</t>
        </is>
      </c>
      <c r="F20" s="48" t="inlineStr">
        <is>
          <t>Yes</t>
        </is>
      </c>
      <c r="G20" s="48" t="inlineStr">
        <is>
          <t>unknown</t>
        </is>
      </c>
      <c r="H20" s="48" t="inlineStr">
        <is>
          <t>None found (the M7457A docs are a different WV plant)</t>
        </is>
      </c>
      <c r="I20" s="48" t="inlineStr">
        <is>
          <t>Not on public export lists — verify</t>
        </is>
      </c>
      <c r="J20" s="48" t="inlineStr">
        <is>
          <t>AWA (welfare signal)</t>
        </is>
      </c>
      <c r="K20" s="48" t="inlineStr">
        <is>
          <t>Plausible</t>
        </is>
      </c>
      <c r="L20" s="48" t="inlineStr">
        <is>
          <t>Plausible</t>
        </is>
      </c>
      <c r="M20" s="48" t="inlineStr">
        <is>
          <t>Plausible</t>
        </is>
      </c>
      <c r="N20" s="48" t="inlineStr">
        <is>
          <t>(828) 245-5544</t>
        </is>
      </c>
      <c r="O20" s="23" t="inlineStr">
        <is>
          <t>POSSIBLE</t>
        </is>
      </c>
      <c r="P20" s="48" t="inlineStr">
        <is>
          <t>Low-Med</t>
        </is>
      </c>
      <c r="Q20" s="48" t="inlineStr">
        <is>
          <t>AWA welfare signal. Confirm volume/inspection.</t>
        </is>
      </c>
    </row>
    <row r="21" ht="58.05" customHeight="1" s="51">
      <c r="A21" s="4" t="inlineStr">
        <is>
          <t>Riverside Meats</t>
        </is>
      </c>
      <c r="B21" s="48" t="inlineStr">
        <is>
          <t>Trenton, NC</t>
        </is>
      </c>
      <c r="C21" s="48" t="inlineStr">
        <is>
          <t>CUSTOM-EXEMPT</t>
        </is>
      </c>
      <c r="D21" s="48" t="inlineStr">
        <is>
          <t>unknown</t>
        </is>
      </c>
      <c r="E21" s="24" t="inlineStr">
        <is>
          <t>unknown
(confirm)</t>
        </is>
      </c>
      <c r="F21" s="48" t="inlineStr">
        <is>
          <t>Yes</t>
        </is>
      </c>
      <c r="G21" s="48" t="inlineStr">
        <is>
          <t>Custom-exempt
(NOT for resale)</t>
        </is>
      </c>
      <c r="H21" s="48" t="inlineStr">
        <is>
          <t>None found in public sources</t>
        </is>
      </c>
      <c r="I21" s="48" t="inlineStr">
        <is>
          <t>Custom-exempt; not export-eligible as-is — verify</t>
        </is>
      </c>
      <c r="J21" s="48" t="inlineStr">
        <is>
          <t>AWA (welfare signal)</t>
        </is>
      </c>
      <c r="K21" s="48" t="inlineStr">
        <is>
          <t>Limited (exempt status)</t>
        </is>
      </c>
      <c r="L21" s="48" t="inlineStr">
        <is>
          <t>Limited</t>
        </is>
      </c>
      <c r="M21" s="48" t="inlineStr">
        <is>
          <t>Limited</t>
        </is>
      </c>
      <c r="N21" s="48" t="inlineStr">
        <is>
          <t>(252) 448-4047
riversidemeatsnc.com</t>
        </is>
      </c>
      <c r="O21" s="23" t="inlineStr">
        <is>
          <t>CAUTION</t>
        </is>
      </c>
      <c r="P21" s="48" t="inlineStr">
        <is>
          <t>Med</t>
        </is>
      </c>
      <c r="Q21" s="48" t="inlineStr">
        <is>
          <t>Custom-EXEMPT: product not for general commerce — FLAG. AWA. Would need to confirm any lawful path for our use.</t>
        </is>
      </c>
    </row>
    <row r="22" ht="19.95" customHeight="1" s="51">
      <c r="A22" s="52" t="inlineStr">
        <is>
          <t>NORTH CAROLINA — large plants (context / ceiling, generally excluded)</t>
        </is>
      </c>
    </row>
    <row r="23" ht="58.05" customHeight="1" s="51">
      <c r="A23" s="4" t="inlineStr">
        <is>
          <t>Smithfield Foods — Tar Heel</t>
        </is>
      </c>
      <c r="B23" s="48" t="inlineStr">
        <is>
          <t>Bladen County, NC</t>
        </is>
      </c>
      <c r="C23" s="48" t="inlineStr">
        <is>
          <t>Industrial packer</t>
        </is>
      </c>
      <c r="D23" s="48" t="inlineStr">
        <is>
          <t>~28,000-32,000 / DAY</t>
        </is>
      </c>
      <c r="E23" s="26" t="inlineStr">
        <is>
          <t>HIGH
(&gt;5,000/wk)</t>
        </is>
      </c>
      <c r="F23" s="48" t="inlineStr">
        <is>
          <t>Yes</t>
        </is>
      </c>
      <c r="G23" s="48" t="inlineStr">
        <is>
          <t>USDA ✓</t>
        </is>
      </c>
      <c r="H23" s="48" t="inlineStr">
        <is>
          <t>2011 recall (undeclared dairy allergen); 2021-22 sanitation/welfare NRs (not a suspension). Est. M18079.</t>
        </is>
      </c>
      <c r="I23" s="48" t="inlineStr">
        <is>
          <t>FSIS export-certified (edible, general; documented exports). EU/APHIS-byproduct status unverified</t>
        </is>
      </c>
      <c r="J23" s="48" t="inlineStr">
        <is>
          <t>Industrial line-speed (~5,500 staff)</t>
        </is>
      </c>
      <c r="K23" s="48" t="inlineStr">
        <is>
          <t>No dedicated on-site rental noted</t>
        </is>
      </c>
      <c r="L23" s="48" t="inlineStr">
        <is>
          <t>No</t>
        </is>
      </c>
      <c r="M23" s="48" t="inlineStr">
        <is>
          <t>No</t>
        </is>
      </c>
      <c r="N23" s="48" t="inlineStr">
        <is>
          <t>—</t>
        </is>
      </c>
      <c r="O23" s="23" t="inlineStr">
        <is>
          <t>CAUTION</t>
        </is>
      </c>
      <c r="P23" s="48" t="inlineStr">
        <is>
          <t>High</t>
        </is>
      </c>
      <c r="Q23" s="4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1">
      <c r="A24" s="4" t="inlineStr">
        <is>
          <t>Smithfield / KC Sausage (sow plant)</t>
        </is>
      </c>
      <c r="B24" s="48" t="inlineStr">
        <is>
          <t>Godwin, NC</t>
        </is>
      </c>
      <c r="C24" s="48" t="inlineStr">
        <is>
          <t>Industrial sow slaughter</t>
        </is>
      </c>
      <c r="D24" s="48" t="inlineStr">
        <is>
          <t>~1,000 sows/DAY (~5-6k/wk)</t>
        </is>
      </c>
      <c r="E24" s="27" t="inlineStr">
        <is>
          <t>MEDIUM-HIGH
(2,500-5,000/wk)</t>
        </is>
      </c>
      <c r="F24" s="48" t="inlineStr">
        <is>
          <t>Yes (sows)</t>
        </is>
      </c>
      <c r="G24" s="48" t="inlineStr">
        <is>
          <t>USDA ✓</t>
        </is>
      </c>
      <c r="H24" s="48" t="inlineStr">
        <is>
          <t>None found for the Godwin plant specifically</t>
        </is>
      </c>
      <c r="I24" s="48" t="inlineStr">
        <is>
          <t>FSIS-inspected; export not confirmed</t>
        </is>
      </c>
      <c r="J24" s="48" t="inlineStr">
        <is>
          <t>Industrial / corporate-owned</t>
        </is>
      </c>
      <c r="K24" s="48" t="inlineStr">
        <is>
          <t>Sow/organ-relevant but industrial scale</t>
        </is>
      </c>
      <c r="L24" s="48" t="inlineStr">
        <is>
          <t>Unlikely</t>
        </is>
      </c>
      <c r="M24" s="48" t="inlineStr">
        <is>
          <t>Unlikely</t>
        </is>
      </c>
      <c r="N24" s="48" t="inlineStr">
        <is>
          <t>—</t>
        </is>
      </c>
      <c r="O24" s="23" t="inlineStr">
        <is>
          <t>CAUTION</t>
        </is>
      </c>
      <c r="P24" s="48" t="inlineStr">
        <is>
          <t>High</t>
        </is>
      </c>
      <c r="Q24" s="48" t="inlineStr">
        <is>
          <t>Sow-specialized (organ-relevant) but industrial &amp; corporate; Model A on-site access unlikely. Over volume band. Included as the nearby active operation vs. defunct Martin's.</t>
        </is>
      </c>
    </row>
    <row r="25" ht="19.95" customHeight="1" s="51">
      <c r="A25" s="52" t="inlineStr">
        <is>
          <t>SOUTH CAROLINA — candidate slaughterhouses</t>
        </is>
      </c>
    </row>
    <row r="26" ht="58.05" customHeight="1" s="51">
      <c r="A26" s="4" t="inlineStr">
        <is>
          <t>Caughman's Meat Plant, Inc.</t>
        </is>
      </c>
      <c r="B26" s="48" t="inlineStr">
        <is>
          <t>Lexington, SC</t>
        </is>
      </c>
      <c r="C26" s="48" t="inlineStr">
        <is>
          <t>USDA slaughter + processing</t>
        </is>
      </c>
      <c r="D26" s="48" t="inlineStr">
        <is>
          <t>unknown (small-mid est.)</t>
        </is>
      </c>
      <c r="E26" s="24" t="inlineStr">
        <is>
          <t>unknown
(confirm)</t>
        </is>
      </c>
      <c r="F26" s="48" t="inlineStr">
        <is>
          <t>Yes</t>
        </is>
      </c>
      <c r="G26" s="48" t="inlineStr">
        <is>
          <t>USDA ✓</t>
        </is>
      </c>
      <c r="H26" s="48" t="inlineStr">
        <is>
          <t>None found in public sources</t>
        </is>
      </c>
      <c r="I26" s="48" t="inlineStr">
        <is>
          <t>Not on public export lists — verify w/ APHIS VS</t>
        </is>
      </c>
      <c r="J26" s="48" t="inlineStr">
        <is>
          <t>Multi-generation family since ~1947 — strong culture signal</t>
        </is>
      </c>
      <c r="K26" s="48" t="inlineStr">
        <is>
          <t>Not noted</t>
        </is>
      </c>
      <c r="L26" s="48" t="inlineStr">
        <is>
          <t>Possible (space unverified)</t>
        </is>
      </c>
      <c r="M26" s="48" t="inlineStr">
        <is>
          <t>Good — established slaughter + custom</t>
        </is>
      </c>
      <c r="N26" s="48" t="inlineStr">
        <is>
          <t>803-356-3216
caughmans.com</t>
        </is>
      </c>
      <c r="O26" s="23" t="inlineStr">
        <is>
          <t>POSSIBLE</t>
        </is>
      </c>
      <c r="P26" s="48" t="inlineStr">
        <is>
          <t>Med</t>
        </is>
      </c>
      <c r="Q26" s="48" t="inlineStr">
        <is>
          <t>Strongest verified SC USDA hog-slaughter + family option. On AMS buying-packer list. Confirm weekly volume + establishment #.</t>
        </is>
      </c>
    </row>
    <row r="27" ht="58.05" customHeight="1" s="51">
      <c r="A27" s="4" t="inlineStr">
        <is>
          <t>Knockout Butchery</t>
        </is>
      </c>
      <c r="B27" s="48" t="inlineStr">
        <is>
          <t>Roebuck, SC</t>
        </is>
      </c>
      <c r="C27" s="48" t="inlineStr">
        <is>
          <t>USDA custom processing</t>
        </is>
      </c>
      <c r="D27" s="48" t="inlineStr">
        <is>
          <t>unknown</t>
        </is>
      </c>
      <c r="E27" s="24" t="inlineStr">
        <is>
          <t>unknown
(confirm)</t>
        </is>
      </c>
      <c r="F27" s="48" t="inlineStr">
        <is>
          <t>Yes (on-site slaughter unconfirmed)</t>
        </is>
      </c>
      <c r="G27" s="48" t="inlineStr">
        <is>
          <t>USDA ✓</t>
        </is>
      </c>
      <c r="H27" s="48" t="inlineStr">
        <is>
          <t>None found in public sources</t>
        </is>
      </c>
      <c r="I27" s="48" t="inlineStr">
        <is>
          <t>Not on public export lists — verify</t>
        </is>
      </c>
      <c r="J27" s="48" t="inlineStr">
        <is>
          <t>'Careful handling'; recent capacity investment (trade press)</t>
        </is>
      </c>
      <c r="K27" s="48" t="inlineStr">
        <is>
          <t>Not noted</t>
        </is>
      </c>
      <c r="L27" s="48" t="inlineStr">
        <is>
          <t>Ask</t>
        </is>
      </c>
      <c r="M27" s="48" t="inlineStr">
        <is>
          <t>Likely B</t>
        </is>
      </c>
      <c r="N27" s="48" t="inlineStr">
        <is>
          <t>864-410-7068
knockoutbutchery.com</t>
        </is>
      </c>
      <c r="O27" s="23" t="inlineStr">
        <is>
          <t>POSSIBLE</t>
        </is>
      </c>
      <c r="P27" s="48" t="inlineStr">
        <is>
          <t>Med</t>
        </is>
      </c>
      <c r="Q27" s="48" t="inlineStr">
        <is>
          <t>USDA-inspected, serves Upstate farmers; growing. Confirm on-site HOG slaughter + volume.</t>
        </is>
      </c>
    </row>
    <row r="28" ht="58.05" customHeight="1" s="51">
      <c r="A28" s="4" t="inlineStr">
        <is>
          <t>Back Forty Butchery</t>
        </is>
      </c>
      <c r="B28" s="48" t="inlineStr">
        <is>
          <t>Hodges, SC</t>
        </is>
      </c>
      <c r="C28" s="48" t="inlineStr">
        <is>
          <t>USDA processing</t>
        </is>
      </c>
      <c r="D28" s="48" t="inlineStr">
        <is>
          <t>unknown (small)</t>
        </is>
      </c>
      <c r="E28" s="22" t="inlineStr">
        <is>
          <t>SMALL
(0-300/wk)</t>
        </is>
      </c>
      <c r="F28" s="48" t="inlineStr">
        <is>
          <t>Yes (on-site slaughter unconfirmed)</t>
        </is>
      </c>
      <c r="G28" s="48" t="inlineStr">
        <is>
          <t>USDA ✓</t>
        </is>
      </c>
      <c r="H28" s="48" t="inlineStr">
        <is>
          <t>None found (Est. M46060)</t>
        </is>
      </c>
      <c r="I28" s="48" t="inlineStr">
        <is>
          <t>Not on public export lists — verify</t>
        </is>
      </c>
      <c r="J28" s="48" t="inlineStr">
        <is>
          <t>Not addressed</t>
        </is>
      </c>
      <c r="K28" s="48" t="inlineStr">
        <is>
          <t>Not noted</t>
        </is>
      </c>
      <c r="L28" s="48" t="inlineStr">
        <is>
          <t>Ask</t>
        </is>
      </c>
      <c r="M28" s="48" t="inlineStr">
        <is>
          <t>B if slaughter on-site</t>
        </is>
      </c>
      <c r="N28" s="48" t="inlineStr">
        <is>
          <t>864-374-3571</t>
        </is>
      </c>
      <c r="O28" s="23" t="inlineStr">
        <is>
          <t>POSSIBLE</t>
        </is>
      </c>
      <c r="P28" s="48" t="inlineStr">
        <is>
          <t>Low-Med</t>
        </is>
      </c>
      <c r="Q28" s="48" t="inlineStr">
        <is>
          <t>Processes domestic pigs + cattle (+ seasonal deer). Confirm slaughter-vs-cut-only.</t>
        </is>
      </c>
    </row>
    <row r="29" ht="58.05" customHeight="1" s="51">
      <c r="A29" s="4" t="inlineStr">
        <is>
          <t>601 Deer and Hog Processors</t>
        </is>
      </c>
      <c r="B29" s="48" t="inlineStr">
        <is>
          <t>Fort Motte, SC</t>
        </is>
      </c>
      <c r="C29" s="48" t="inlineStr">
        <is>
          <t>Deer/game + hog (likely custom-exempt)</t>
        </is>
      </c>
      <c r="D29" s="48" t="inlineStr">
        <is>
          <t>unknown</t>
        </is>
      </c>
      <c r="E29" s="22" t="inlineStr">
        <is>
          <t>SMALL
(0-300/wk)</t>
        </is>
      </c>
      <c r="F29" s="48" t="inlineStr">
        <is>
          <t>Yes</t>
        </is>
      </c>
      <c r="G29" s="48" t="inlineStr">
        <is>
          <t>likely custom-
exempt (flag)</t>
        </is>
      </c>
      <c r="H29" s="48" t="inlineStr">
        <is>
          <t>None found (business also appears closed)</t>
        </is>
      </c>
      <c r="I29" s="48" t="inlineStr">
        <is>
          <t>Not on public export lists — verify</t>
        </is>
      </c>
      <c r="J29" s="48" t="inlineStr">
        <is>
          <t>Family (McDonald, since 2001)</t>
        </is>
      </c>
      <c r="K29" s="48" t="inlineStr">
        <is>
          <t>Not noted</t>
        </is>
      </c>
      <c r="L29" s="48" t="inlineStr">
        <is>
          <t>If own kills</t>
        </is>
      </c>
      <c r="M29" s="48" t="inlineStr">
        <is>
          <t>B if USDA confirmed</t>
        </is>
      </c>
      <c r="N29" s="48" t="inlineStr">
        <is>
          <t>803-707-1040</t>
        </is>
      </c>
      <c r="O29" s="23" t="inlineStr">
        <is>
          <t>CAUTION</t>
        </is>
      </c>
      <c r="P29" s="48" t="inlineStr">
        <is>
          <t>Low-Med</t>
        </is>
      </c>
      <c r="Q29" s="48" t="inlineStr">
        <is>
          <t>FLAG: USDA status unverified — game processors are often custom-exempt (product not for resale). One directory lists it CLOSED; verify still operating.</t>
        </is>
      </c>
    </row>
    <row r="30" ht="58.05" customHeight="1" s="51">
      <c r="A30" s="4" t="inlineStr">
        <is>
          <t>Palmetto Fresh Meats</t>
        </is>
      </c>
      <c r="B30" s="48" t="inlineStr">
        <is>
          <t>Aynor, SC</t>
        </is>
      </c>
      <c r="C30" s="48" t="inlineStr">
        <is>
          <t>USDA slaughter (Est. M47715) — SUSPENDED</t>
        </is>
      </c>
      <c r="D30" s="48" t="inlineStr">
        <is>
          <t>unknown</t>
        </is>
      </c>
      <c r="E30" s="24" t="inlineStr">
        <is>
          <t>unknown
(confirm)</t>
        </is>
      </c>
      <c r="F30" s="48" t="inlineStr">
        <is>
          <t>Yes</t>
        </is>
      </c>
      <c r="G30" s="48" t="inlineStr">
        <is>
          <t>USDA ✓ but
SUSPENDED 2022</t>
        </is>
      </c>
      <c r="H30" s="25" t="inlineStr">
        <is>
          <t>⚠ Humane-handling NOS Feb &amp; Mar 2022 (Est. M47715); PETA sought criminal probe. Also the slaughter suspension.</t>
        </is>
      </c>
      <c r="I30" s="48" t="inlineStr">
        <is>
          <t>Not on public export lists — verify (slaughter susp. 2022)</t>
        </is>
      </c>
      <c r="J30" s="48" t="inlineStr">
        <is>
          <t>unknown</t>
        </is>
      </c>
      <c r="K30" s="48" t="inlineStr">
        <is>
          <t>Not noted</t>
        </is>
      </c>
      <c r="L30" s="48" t="inlineStr">
        <is>
          <t>Unknown</t>
        </is>
      </c>
      <c r="M30" s="48" t="inlineStr">
        <is>
          <t>Unknown</t>
        </is>
      </c>
      <c r="N30" s="48" t="inlineStr">
        <is>
          <t>—</t>
        </is>
      </c>
      <c r="O30" s="28" t="inlineStr">
        <is>
          <t>OUT / FLAG</t>
        </is>
      </c>
      <c r="P30" s="48" t="inlineStr">
        <is>
          <t>Med</t>
        </is>
      </c>
      <c r="Q30" s="48" t="inlineStr">
        <is>
          <t>Slaughter inspection SUSPENDED Feb 2022 (FSIS notice). Was hog-capable USDA slaughter — confirm current operating/inspection status before pursuing.</t>
        </is>
      </c>
    </row>
    <row r="31" ht="19.95" customHeight="1" s="51">
      <c r="A31" s="52" t="inlineStr">
        <is>
          <t>TENNESSEE — USDA-inspected hog-slaughter shops (small custom; Model B)</t>
        </is>
      </c>
    </row>
    <row r="32" ht="58.05" customHeight="1" s="51">
      <c r="A32" s="4" t="inlineStr">
        <is>
          <t>Fayette Packing Co., Inc.</t>
        </is>
      </c>
      <c r="B32" s="48" t="inlineStr">
        <is>
          <t>Eads, TN (Memphis area)</t>
        </is>
      </c>
      <c r="C32" s="48" t="inlineStr">
        <is>
          <t>USDA slaughter + processing</t>
        </is>
      </c>
      <c r="D32" s="48" t="inlineStr">
        <is>
          <t>unknown (largest of TN group est.)</t>
        </is>
      </c>
      <c r="E32" s="24" t="inlineStr">
        <is>
          <t>unknown
(confirm)</t>
        </is>
      </c>
      <c r="F32" s="48" t="inlineStr">
        <is>
          <t>Yes</t>
        </is>
      </c>
      <c r="G32" s="48" t="inlineStr">
        <is>
          <t>USDA ✓</t>
        </is>
      </c>
      <c r="H32" s="25" t="inlineStr">
        <is>
          <t>⚠ Humane-handling NOS Apr 2023 (Est. M6555 — 4 stun attempts on a cow); held in abeyance.</t>
        </is>
      </c>
      <c r="I32" s="48" t="inlineStr">
        <is>
          <t>Not on public export lists — verify w/ APHIS VS</t>
        </is>
      </c>
      <c r="J32" s="48" t="inlineStr">
        <is>
          <t>Family since 1952 (3 generations, Keith) — strong culture</t>
        </is>
      </c>
      <c r="K32" s="48" t="inlineStr">
        <is>
          <t>Not noted</t>
        </is>
      </c>
      <c r="L32" s="48" t="inlineStr">
        <is>
          <t>Possible</t>
        </is>
      </c>
      <c r="M32" s="48" t="inlineStr">
        <is>
          <t>Good B</t>
        </is>
      </c>
      <c r="N32" s="48" t="inlineStr">
        <is>
          <t>901-867-3826
fayettepackingco.com</t>
        </is>
      </c>
      <c r="O32" s="23" t="inlineStr">
        <is>
          <t>POSSIBLE</t>
        </is>
      </c>
      <c r="P32" s="48" t="inlineStr">
        <is>
          <t>Med</t>
        </is>
      </c>
      <c r="Q32" s="48" t="inlineStr">
        <is>
          <t>Established multi-gen family; likely the highest-capacity of the TN group. Confirm weekly hogs.</t>
        </is>
      </c>
    </row>
    <row r="33" ht="58.05" customHeight="1" s="51">
      <c r="A33" s="4" t="inlineStr">
        <is>
          <t>Underground Slaughter / Processing</t>
        </is>
      </c>
      <c r="B33" s="48" t="inlineStr">
        <is>
          <t>Walling, TN</t>
        </is>
      </c>
      <c r="C33" s="48" t="inlineStr">
        <is>
          <t>USDA multi-species (growing)</t>
        </is>
      </c>
      <c r="D33" s="48" t="inlineStr">
        <is>
          <t>unknown</t>
        </is>
      </c>
      <c r="E33" s="24" t="inlineStr">
        <is>
          <t>unknown
(confirm)</t>
        </is>
      </c>
      <c r="F33" s="48" t="inlineStr">
        <is>
          <t>Yes</t>
        </is>
      </c>
      <c r="G33" s="48" t="inlineStr">
        <is>
          <t>USDA ✓</t>
        </is>
      </c>
      <c r="H33" s="48" t="inlineStr">
        <is>
          <t>None found (a logged FOIA request is not an enforcement action)</t>
        </is>
      </c>
      <c r="I33" s="48" t="inlineStr">
        <is>
          <t>Not on public export lists — verify</t>
        </is>
      </c>
      <c r="J33" s="48" t="inlineStr">
        <is>
          <t>Growing processor</t>
        </is>
      </c>
      <c r="K33" s="48" t="inlineStr">
        <is>
          <t>Not noted</t>
        </is>
      </c>
      <c r="L33" s="48" t="inlineStr">
        <is>
          <t>Possible</t>
        </is>
      </c>
      <c r="M33" s="48" t="inlineStr">
        <is>
          <t>Good B</t>
        </is>
      </c>
      <c r="N33" s="48" t="inlineStr">
        <is>
          <t>931-330-6328</t>
        </is>
      </c>
      <c r="O33" s="23" t="inlineStr">
        <is>
          <t>POSSIBLE</t>
        </is>
      </c>
      <c r="P33" s="48" t="inlineStr">
        <is>
          <t>Med</t>
        </is>
      </c>
      <c r="Q33" s="48" t="inlineStr">
        <is>
          <t>Growing capacity; also TN's exclusive USDA small-farmer poultry processor. Call re: hog capacity.</t>
        </is>
      </c>
    </row>
    <row r="34" ht="58.05" customHeight="1" s="51">
      <c r="A34" s="4" t="inlineStr">
        <is>
          <t>Cherry Meat Company</t>
        </is>
      </c>
      <c r="B34" s="48" t="inlineStr">
        <is>
          <t>Chapel Hill, TN</t>
        </is>
      </c>
      <c r="C34" s="48" t="inlineStr">
        <is>
          <t>USDA slaughter + processing</t>
        </is>
      </c>
      <c r="D34" s="48" t="inlineStr">
        <is>
          <t>~18/wk (80/month verified)</t>
        </is>
      </c>
      <c r="E34" s="22" t="inlineStr">
        <is>
          <t>SMALL
(0-300/wk)</t>
        </is>
      </c>
      <c r="F34" s="48" t="inlineStr">
        <is>
          <t>Yes</t>
        </is>
      </c>
      <c r="G34" s="48" t="inlineStr">
        <is>
          <t>USDA ✓</t>
        </is>
      </c>
      <c r="H34" s="48" t="inlineStr">
        <is>
          <t>None found (very small; FSIS grant 2021)</t>
        </is>
      </c>
      <c r="I34" s="48" t="inlineStr">
        <is>
          <t>Not on public export lists — verify</t>
        </is>
      </c>
      <c r="J34" s="48" t="inlineStr">
        <is>
          <t>Family (Cherry / Bear Creek Farm) — strong culture</t>
        </is>
      </c>
      <c r="K34" s="48" t="inlineStr">
        <is>
          <t>Not noted</t>
        </is>
      </c>
      <c r="L34" s="48" t="inlineStr">
        <is>
          <t>Low-vol</t>
        </is>
      </c>
      <c r="M34" s="48" t="inlineStr">
        <is>
          <t>Good B (high-touch)</t>
        </is>
      </c>
      <c r="N34" s="48" t="inlineStr">
        <is>
          <t>931-364-7924
cherrymeat.com</t>
        </is>
      </c>
      <c r="O34" s="23" t="inlineStr">
        <is>
          <t>POSSIBLE</t>
        </is>
      </c>
      <c r="P34" s="48" t="inlineStr">
        <is>
          <t>High</t>
        </is>
      </c>
      <c r="Q34" s="48" t="inlineStr">
        <is>
          <t>SMALL tier — verified ~80 hogs/MONTH (~18/wk). With capacity now open this is a legitimate high-touch, family-culture option for pilot or specialty work; it simply cannot carry volume alone.</t>
        </is>
      </c>
    </row>
    <row r="35" ht="58.05" customHeight="1" s="51">
      <c r="A35" s="4" t="inlineStr">
        <is>
          <t>Other TN USDA hog shops (roll-up)</t>
        </is>
      </c>
      <c r="B35" s="48" t="inlineStr">
        <is>
          <t>various, TN</t>
        </is>
      </c>
      <c r="C35" s="48" t="inlineStr">
        <is>
          <t>USDA small custom slaughter</t>
        </is>
      </c>
      <c r="D35" s="48" t="inlineStr">
        <is>
          <t>unknown (tens–low 100s/wk est.)</t>
        </is>
      </c>
      <c r="E35" s="22" t="inlineStr">
        <is>
          <t>SMALL
(0-300/wk)</t>
        </is>
      </c>
      <c r="F35" s="48" t="inlineStr">
        <is>
          <t>Yes</t>
        </is>
      </c>
      <c r="G35" s="48" t="inlineStr">
        <is>
          <t>USDA ✓</t>
        </is>
      </c>
      <c r="H35" s="25" t="inlineStr">
        <is>
          <t>⚠ Harris Country Meats (Greeneville, M20686): humane NOS 2024. Volunteer/412 (Lexington, M6561): humane NOS Nov 2024. Others: none found.</t>
        </is>
      </c>
      <c r="I35" s="48" t="inlineStr">
        <is>
          <t>Not on public export lists — verify each w/ APHIS VS</t>
        </is>
      </c>
      <c r="J35" s="48" t="inlineStr">
        <is>
          <t>Small family shops</t>
        </is>
      </c>
      <c r="K35" s="48" t="inlineStr">
        <is>
          <t>Not noted</t>
        </is>
      </c>
      <c r="L35" s="48" t="inlineStr">
        <is>
          <t>Possible</t>
        </is>
      </c>
      <c r="M35" s="48" t="inlineStr">
        <is>
          <t>B</t>
        </is>
      </c>
      <c r="N35" s="48" t="inlineStr">
        <is>
          <t>see notes →</t>
        </is>
      </c>
      <c r="O35" s="23" t="inlineStr">
        <is>
          <t>POSSIBLE</t>
        </is>
      </c>
      <c r="P35" s="48" t="inlineStr">
        <is>
          <t>Low-Med</t>
        </is>
      </c>
      <c r="Q35" s="4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1">
      <c r="A36" s="52" t="inlineStr">
        <is>
          <t>VIRGINIA — strongest welfare bench (humane-certified USDA abattoirs; Model B)</t>
        </is>
      </c>
    </row>
    <row r="37" ht="58.05" customHeight="1" s="51">
      <c r="A37" s="4" t="inlineStr">
        <is>
          <t>EcoFriendly Foods, LLC</t>
        </is>
      </c>
      <c r="B37" s="48" t="inlineStr">
        <is>
          <t>Moneta, VA</t>
        </is>
      </c>
      <c r="C37" s="48" t="inlineStr">
        <is>
          <t>USDA + Certified Humane multi-species harvest</t>
        </is>
      </c>
      <c r="D37" s="48" t="inlineStr">
        <is>
          <t>unknown</t>
        </is>
      </c>
      <c r="E37" s="22" t="inlineStr">
        <is>
          <t>SMALL
(0-300/wk)</t>
        </is>
      </c>
      <c r="F37" s="48" t="inlineStr">
        <is>
          <t>Yes</t>
        </is>
      </c>
      <c r="G37" s="48" t="inlineStr">
        <is>
          <t>USDA ✓</t>
        </is>
      </c>
      <c r="H37" s="48" t="inlineStr">
        <is>
          <t>None found in FSIS/recall/AWI — BUT reportedly CEASED operations / bankruptcy ~2020. Verify still operating!</t>
        </is>
      </c>
      <c r="I37" s="48" t="inlineStr">
        <is>
          <t>Not on public export lists — verify (and confirm still operating)</t>
        </is>
      </c>
      <c r="J37" s="48" t="inlineStr">
        <is>
          <t>CERTIFIED HUMANE — strongest welfare match in the study</t>
        </is>
      </c>
      <c r="K37" s="48" t="inlineStr">
        <is>
          <t>Custom multi-species harvest for outside producers</t>
        </is>
      </c>
      <c r="L37" s="48" t="inlineStr">
        <is>
          <t>Worth asking (A)</t>
        </is>
      </c>
      <c r="M37" s="48" t="inlineStr">
        <is>
          <t>Excellent B (already does custom harvest)</t>
        </is>
      </c>
      <c r="N37" s="48" t="inlineStr">
        <is>
          <t>540-525-0352
ecofriendly.com</t>
        </is>
      </c>
      <c r="O37" s="23" t="inlineStr">
        <is>
          <t>CAUTION</t>
        </is>
      </c>
      <c r="P37" s="48" t="inlineStr">
        <is>
          <t>Med</t>
        </is>
      </c>
      <c r="Q37" s="4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1">
      <c r="A38" s="4" t="inlineStr">
        <is>
          <t>T&amp;E Meats (True &amp; Essential)</t>
        </is>
      </c>
      <c r="B38" s="48" t="inlineStr">
        <is>
          <t>Harrisonburg, VA</t>
        </is>
      </c>
      <c r="C38" s="48" t="inlineStr">
        <is>
          <t>USDA + AWA slaughter + processing</t>
        </is>
      </c>
      <c r="D38" s="48" t="inlineStr">
        <is>
          <t>unknown (small)</t>
        </is>
      </c>
      <c r="E38" s="22" t="inlineStr">
        <is>
          <t>SMALL
(0-300/wk)</t>
        </is>
      </c>
      <c r="F38" s="48" t="inlineStr">
        <is>
          <t>Yes (hogs Thu &amp; Fri)</t>
        </is>
      </c>
      <c r="G38" s="48" t="inlineStr">
        <is>
          <t>USDA ✓</t>
        </is>
      </c>
      <c r="H38" s="48" t="inlineStr">
        <is>
          <t>None found in public sources</t>
        </is>
      </c>
      <c r="I38" s="48" t="inlineStr">
        <is>
          <t>Not on public export lists — verify w/ APHIS VS</t>
        </is>
      </c>
      <c r="J38" s="48" t="inlineStr">
        <is>
          <t>AWA humane; mission-driven independent (Salatin/Cloud); site since 1930s — very strong</t>
        </is>
      </c>
      <c r="K38" s="48" t="inlineStr">
        <is>
          <t>Not noted</t>
        </is>
      </c>
      <c r="L38" s="48" t="inlineStr">
        <is>
          <t>Worth asking (A)</t>
        </is>
      </c>
      <c r="M38" s="48" t="inlineStr">
        <is>
          <t>Excellent B</t>
        </is>
      </c>
      <c r="N38" s="48" t="inlineStr">
        <is>
          <t>540-434-4415
temeats.com</t>
        </is>
      </c>
      <c r="O38" s="20" t="inlineStr">
        <is>
          <t>STRONG FIT</t>
        </is>
      </c>
      <c r="P38" s="48" t="inlineStr">
        <is>
          <t>High</t>
        </is>
      </c>
      <c r="Q38" s="48" t="inlineStr">
        <is>
          <t>USDA + Animal Welfare Approved; slaughters hogs Thu/Fri (verified); uses Grandin methods; serves 60+ farms. Small — confirm weekly count.</t>
        </is>
      </c>
    </row>
    <row r="39" ht="58.05" customHeight="1" s="51">
      <c r="A39" s="4" t="inlineStr">
        <is>
          <t>Blue Ridge Meats of Front Royal</t>
        </is>
      </c>
      <c r="B39" s="48" t="inlineStr">
        <is>
          <t>Middletown, VA</t>
        </is>
      </c>
      <c r="C39" s="48" t="inlineStr">
        <is>
          <t>USDA + AWA abattoir</t>
        </is>
      </c>
      <c r="D39" s="48" t="inlineStr">
        <is>
          <t>unknown</t>
        </is>
      </c>
      <c r="E39" s="24" t="inlineStr">
        <is>
          <t>unknown
(confirm)</t>
        </is>
      </c>
      <c r="F39" s="48" t="inlineStr">
        <is>
          <t>Yes</t>
        </is>
      </c>
      <c r="G39" s="48" t="inlineStr">
        <is>
          <t>USDA ✓</t>
        </is>
      </c>
      <c r="H39" s="48" t="inlineStr">
        <is>
          <t>None found (do NOT confuse with 'Blue Ridge Beef' pet-food recalls)</t>
        </is>
      </c>
      <c r="I39" s="48" t="inlineStr">
        <is>
          <t>Not on public export lists — verify</t>
        </is>
      </c>
      <c r="J39" s="48" t="inlineStr">
        <is>
          <t>AWA-approved (humane) since 2006</t>
        </is>
      </c>
      <c r="K39" s="48" t="inlineStr">
        <is>
          <t>Not noted</t>
        </is>
      </c>
      <c r="L39" s="48" t="inlineStr">
        <is>
          <t>Mobile-slaughter option</t>
        </is>
      </c>
      <c r="M39" s="48" t="inlineStr">
        <is>
          <t>Strong B</t>
        </is>
      </c>
      <c r="N39" s="48" t="inlineStr">
        <is>
          <t>540-636-6050
blueridgemeats.com</t>
        </is>
      </c>
      <c r="O39" s="20" t="inlineStr">
        <is>
          <t>STRONG FIT</t>
        </is>
      </c>
      <c r="P39" s="48" t="inlineStr">
        <is>
          <t>High</t>
        </is>
      </c>
      <c r="Q39" s="48" t="inlineStr">
        <is>
          <t>USDA + AWA; full-service slaughter incl. pork + game; artisan focus; also offers mobile slaughter.</t>
        </is>
      </c>
    </row>
    <row r="40" ht="58.05" customHeight="1" s="51">
      <c r="A40" s="4" t="inlineStr">
        <is>
          <t>Fauquier's Finest Custom Meat</t>
        </is>
      </c>
      <c r="B40" s="48" t="inlineStr">
        <is>
          <t>Bealeton, VA</t>
        </is>
      </c>
      <c r="C40" s="48" t="inlineStr">
        <is>
          <t>USDA/FSIS slaughter + processing</t>
        </is>
      </c>
      <c r="D40" s="48" t="inlineStr">
        <is>
          <t>unknown</t>
        </is>
      </c>
      <c r="E40" s="24" t="inlineStr">
        <is>
          <t>unknown
(confirm)</t>
        </is>
      </c>
      <c r="F40" s="48" t="inlineStr">
        <is>
          <t>Yes</t>
        </is>
      </c>
      <c r="G40" s="48" t="inlineStr">
        <is>
          <t>USDA ✓ (FSIS
slaughter listed)</t>
        </is>
      </c>
      <c r="H40" s="25" t="inlineStr">
        <is>
          <t>⚠ REPEAT humane-handling suspensions 2021 &amp; Dec 2024 (+ a 2018 violation). Est. M33940.</t>
        </is>
      </c>
      <c r="I40" s="48" t="inlineStr">
        <is>
          <t>FSIS Est. M33940; not on public export lists — verify</t>
        </is>
      </c>
      <c r="J40" s="48" t="inlineStr">
        <is>
          <t>Not noted</t>
        </is>
      </c>
      <c r="K40" s="48" t="inlineStr">
        <is>
          <t>Not noted</t>
        </is>
      </c>
      <c r="L40" s="48" t="inlineStr">
        <is>
          <t>Worth asking (A)</t>
        </is>
      </c>
      <c r="M40" s="48" t="inlineStr">
        <is>
          <t>Strong B</t>
        </is>
      </c>
      <c r="N40" s="48" t="inlineStr">
        <is>
          <t>540-439-7227
finestbutcher.com</t>
        </is>
      </c>
      <c r="O40" s="23" t="inlineStr">
        <is>
          <t>CAUTION</t>
        </is>
      </c>
      <c r="P40" s="48" t="inlineStr">
        <is>
          <t>Med-High</t>
        </is>
      </c>
      <c r="Q40" s="48" t="inlineStr">
        <is>
          <t>FSIS-listed for BOTH slaughter &amp; processing incl. hogs — BUT see enforcement: REPEAT humane-handling suspensions (2018, 2021, Dec 2024). A pattern that cuts against the welfare requirement — vet carefully before pursuing.</t>
        </is>
      </c>
    </row>
    <row r="41" ht="58.05" customHeight="1" s="51">
      <c r="A41" s="4" t="inlineStr">
        <is>
          <t>Other VA USDA slaughter (roll-up)</t>
        </is>
      </c>
      <c r="B41" s="48" t="inlineStr">
        <is>
          <t>various, VA</t>
        </is>
      </c>
      <c r="C41" s="48" t="inlineStr">
        <is>
          <t>USDA slaughter</t>
        </is>
      </c>
      <c r="D41" s="48" t="inlineStr">
        <is>
          <t>unknown</t>
        </is>
      </c>
      <c r="E41" s="24" t="inlineStr">
        <is>
          <t>unknown
(confirm)</t>
        </is>
      </c>
      <c r="F41" s="48" t="inlineStr">
        <is>
          <t>Yes (confirm per-facility)</t>
        </is>
      </c>
      <c r="G41" s="48" t="inlineStr">
        <is>
          <t>USDA ✓</t>
        </is>
      </c>
      <c r="H41" s="25" t="inlineStr">
        <is>
          <t>⚠ Donald's Meat Processing (Lexington, M39968): repeat humane suspension 2023 → 3-yr consent decision. Others: none found.</t>
        </is>
      </c>
      <c r="I41" s="48" t="inlineStr">
        <is>
          <t>Not on public export lists — verify each</t>
        </is>
      </c>
      <c r="J41" s="48" t="inlineStr">
        <is>
          <t>Varies</t>
        </is>
      </c>
      <c r="K41" s="48" t="inlineStr">
        <is>
          <t>Not noted</t>
        </is>
      </c>
      <c r="L41" s="48" t="inlineStr">
        <is>
          <t>Possible</t>
        </is>
      </c>
      <c r="M41" s="48" t="inlineStr">
        <is>
          <t>B</t>
        </is>
      </c>
      <c r="N41" s="48" t="inlineStr">
        <is>
          <t>see notes →</t>
        </is>
      </c>
      <c r="O41" s="23" t="inlineStr">
        <is>
          <t>POSSIBLE</t>
        </is>
      </c>
      <c r="P41" s="48" t="inlineStr">
        <is>
          <t>Low-Med</t>
        </is>
      </c>
      <c r="Q41" s="4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1">
      <c r="A42" s="4" t="inlineStr">
        <is>
          <t>VA state-inspected (roll-up)</t>
        </is>
      </c>
      <c r="B42" s="48" t="inlineStr">
        <is>
          <t>various, VA</t>
        </is>
      </c>
      <c r="C42" s="48" t="inlineStr">
        <is>
          <t>STATE-inspected slaughter (NOT USDA)</t>
        </is>
      </c>
      <c r="D42" s="48" t="inlineStr">
        <is>
          <t>unknown</t>
        </is>
      </c>
      <c r="E42" s="22" t="inlineStr">
        <is>
          <t>SMALL
(0-300/wk)</t>
        </is>
      </c>
      <c r="F42" s="48" t="inlineStr">
        <is>
          <t>Yes</t>
        </is>
      </c>
      <c r="G42" s="48" t="inlineStr">
        <is>
          <t>STATE only
(NOT USDA)</t>
        </is>
      </c>
      <c r="H42" s="48" t="inlineStr">
        <is>
          <t>Not in FSIS federal enforcement data (state-inspected) — check VDACS state records</t>
        </is>
      </c>
      <c r="I42" s="48" t="inlineStr">
        <is>
          <t>State-inspected (not FSIS) — export path unlikely; verify</t>
        </is>
      </c>
      <c r="J42" s="48" t="inlineStr">
        <is>
          <t>Varies</t>
        </is>
      </c>
      <c r="K42" s="48" t="inlineStr">
        <is>
          <t>Not noted</t>
        </is>
      </c>
      <c r="L42" s="48" t="inlineStr">
        <is>
          <t>Possible</t>
        </is>
      </c>
      <c r="M42" s="48" t="inlineStr">
        <is>
          <t>B</t>
        </is>
      </c>
      <c r="N42" s="48" t="inlineStr">
        <is>
          <t>see notes →</t>
        </is>
      </c>
      <c r="O42" s="23" t="inlineStr">
        <is>
          <t>CAUTION</t>
        </is>
      </c>
      <c r="P42" s="48" t="inlineStr">
        <is>
          <t>Low</t>
        </is>
      </c>
      <c r="Q42" s="48" t="inlineStr">
        <is>
          <t>⚠ DOMESTIC-ONLY LANE: state-inspected. Per the client's confirmation on Nahunta, treat every state-inspected plant as US-domestic only — usable for the domestic programme, NOT for EU-bound product. || NOT USDA-FSIS — FLAG for export/APHIS purposes: Adam's Custom Slaughter (Amissville); Ande's (Timberville); Griffith's (Luray); Green Valley (Monroe); Virginia Tech (Blacksburg).</t>
        </is>
      </c>
    </row>
    <row r="43" ht="19.95" customHeight="1" s="51">
      <c r="A43" s="52" t="inlineStr">
        <is>
          <t>IOWA &amp; MIDWEST — best fits (dedicated organ / tissue harvesters)</t>
        </is>
      </c>
    </row>
    <row r="44" ht="58.05" customHeight="1" s="51">
      <c r="A44" s="4" t="inlineStr">
        <is>
          <t>Midwest Research Swine (MRS)</t>
        </is>
      </c>
      <c r="B44" s="48" t="inlineStr">
        <is>
          <t>Glencoe / Gibbon, MN</t>
        </is>
      </c>
      <c r="C44" s="48" t="inlineStr">
        <is>
          <t>Porcine-ONLY abattoir + tissue-harvest facility</t>
        </is>
      </c>
      <c r="D44" s="48" t="inlineStr">
        <is>
          <t>~385 (20k/yr)</t>
        </is>
      </c>
      <c r="E44" s="20" t="inlineStr">
        <is>
          <t>MEDIUM
(350-2,500/wk)</t>
        </is>
      </c>
      <c r="F44" s="48" t="inlineStr">
        <is>
          <t>Yes</t>
        </is>
      </c>
      <c r="G44" s="48" t="inlineStr">
        <is>
          <t>meat insp.
unconfirmed</t>
        </is>
      </c>
      <c r="H44" s="48" t="inlineStr">
        <is>
          <t>None found (small research facility; rarely in enforcement data)</t>
        </is>
      </c>
      <c r="I44" s="48" t="inlineStr">
        <is>
          <t>Holds APHIS Class B/R (AWA licenses); research-tissue export via APHIS VS/TRACES by-products channel NOT confirmed — verify (correct channel)</t>
        </is>
      </c>
      <c r="J44" s="48" t="inlineStr">
        <is>
          <t>Strong — closed herd, stringent QC; family (Theis, since 1978), ~20 staff</t>
        </is>
      </c>
      <c r="K44" s="48" t="inlineStr">
        <is>
          <t>YES — CORE BUSINESS: whole organs (decellularization), veins/arteries for implantation, mesh tissue, bio-samples; xeno/vaccine/stem-cell research</t>
        </is>
      </c>
      <c r="L44" s="48" t="inlineStr">
        <is>
          <t>Plausible (has harvest facility)</t>
        </is>
      </c>
      <c r="M44" s="48" t="inlineStr">
        <is>
          <t>Best fit — harvest to spec</t>
        </is>
      </c>
      <c r="N44" s="48" t="inlineStr">
        <is>
          <t>midwestresearchswine.com
(phone via site)</t>
        </is>
      </c>
      <c r="O44" s="20" t="inlineStr">
        <is>
          <t>STRONG FIT</t>
        </is>
      </c>
      <c r="P44" s="48" t="inlineStr">
        <is>
          <t>High</t>
        </is>
      </c>
      <c r="Q44" s="48" t="inlineStr">
        <is>
          <t>THE standout — already exactly our operation at our scale. Clients incl. Mayo, U.Minnesota, Harvard, 40+ firms. Holds USDA APHIS Class B/R (AWA research licenses; distinct from an FSIS meat grant — confirm meat-inspection status).</t>
        </is>
      </c>
    </row>
    <row r="45" ht="58.05" customHeight="1" s="51">
      <c r="A45" s="4" t="inlineStr">
        <is>
          <t>Smithfield BioScience — Denison</t>
        </is>
      </c>
      <c r="B45" s="48" t="inlineStr">
        <is>
          <t>Denison, IA
(+ Monmouth IL, Milan MO)</t>
        </is>
      </c>
      <c r="C45" s="48" t="inlineStr">
        <is>
          <t>LARGE packer + biologics program</t>
        </is>
      </c>
      <c r="D45" s="48" t="inlineStr">
        <is>
          <t>~10,000 / DAY
(organ exception)</t>
        </is>
      </c>
      <c r="E45" s="26" t="inlineStr">
        <is>
          <t>HIGH
(&gt;5,000/wk)</t>
        </is>
      </c>
      <c r="F45" s="48" t="inlineStr">
        <is>
          <t>Yes</t>
        </is>
      </c>
      <c r="G45" s="48" t="inlineStr">
        <is>
          <t>USDA ✓ (Est. 717)
export-cert</t>
        </is>
      </c>
      <c r="H45" s="25" t="inlineStr">
        <is>
          <t>⚠ REPEAT humane-handling: NOIE 2021 &amp; 2023; suspension 09/2024 (egregious). ASPCA line-speed concerns. Est. M717.</t>
        </is>
      </c>
      <c r="I45" s="48" t="inlineStr">
        <is>
          <t>FSIS export-certified (edible, Est. M717). Research-tissue via APHIS VS/TRACES unverified</t>
        </is>
      </c>
      <c r="J45" s="48" t="inlineStr">
        <is>
          <t>Industrial scale, but a structured biologics unit</t>
        </is>
      </c>
      <c r="K45" s="48" t="inlineStr">
        <is>
          <t>YES — full program: PELVIC (bladder, ovary); ABDOMINAL (kidney, liver, pancreas, sm. intestine, mucosa, peritoneum, pepsin lining); THORACIC (heart, valves, lung, aorta, pericardium, trachea); glands/skin/eyes</t>
        </is>
      </c>
      <c r="L45" s="48" t="inlineStr">
        <is>
          <t>Negotiate (industrial site)</t>
        </is>
      </c>
      <c r="M45" s="48" t="inlineStr">
        <is>
          <t>Strong — harvests in-house to customer spec</t>
        </is>
      </c>
      <c r="N45" s="48" t="inlineStr">
        <is>
          <t>smithfieldbioscience.com</t>
        </is>
      </c>
      <c r="O45" s="20" t="inlineStr">
        <is>
          <t>STRONG FIT
(organ exc.)</t>
        </is>
      </c>
      <c r="P45" s="48" t="inlineStr">
        <is>
          <t>High</t>
        </is>
      </c>
      <c r="Q45" s="48" t="inlineStr">
        <is>
          <t>The large packer that QUALIFIES via your organ exception — covers all three target regions harvested to spec. Model B natural fit; Model A access would need negotiation.</t>
        </is>
      </c>
    </row>
    <row r="46" ht="19.95" customHeight="1" s="51">
      <c r="A46" s="52" t="inlineStr">
        <is>
          <t>IOWA &amp; MIDWEST — mid / small USDA hog plants (standard pork; Model A or B)</t>
        </is>
      </c>
    </row>
    <row r="47" ht="58.05" customHeight="1" s="51">
      <c r="A47" s="4" t="inlineStr">
        <is>
          <t>Lorentz Meats</t>
        </is>
      </c>
      <c r="B47" s="48" t="inlineStr">
        <is>
          <t>Cannon Falls, MN</t>
        </is>
      </c>
      <c r="C47" s="48" t="inlineStr">
        <is>
          <t>USDA niche processor (slaughter→retail)</t>
        </is>
      </c>
      <c r="D47" s="48" t="inlineStr">
        <is>
          <t>up to ~600 (120/day est.)</t>
        </is>
      </c>
      <c r="E47" s="20" t="inlineStr">
        <is>
          <t>MEDIUM
(350-2,500/wk)</t>
        </is>
      </c>
      <c r="F47" s="48" t="inlineStr">
        <is>
          <t>Yes</t>
        </is>
      </c>
      <c r="G47" s="48" t="inlineStr">
        <is>
          <t>USDA ✓</t>
        </is>
      </c>
      <c r="H47" s="48" t="inlineStr">
        <is>
          <t>Recall 2010 (Listeria, cooked ham, Class I). No humane-handling action found.</t>
        </is>
      </c>
      <c r="I47" s="48" t="inlineStr">
        <is>
          <t>FSIS export-certified (edible, general; Est. M21207). EU-specific unverified</t>
        </is>
      </c>
      <c r="J47" s="48" t="inlineStr">
        <is>
          <t>Strong — explicit humane-slaughter positioning; family since 1968, ~140 staff; organic/grass-fed ties</t>
        </is>
      </c>
      <c r="K47" s="48" t="inlineStr">
        <is>
          <t>None known</t>
        </is>
      </c>
      <c r="L47" s="48" t="inlineStr">
        <is>
          <t>Good Model A host (fee-for-service, small-producer friendly)</t>
        </is>
      </c>
      <c r="M47" s="48" t="inlineStr">
        <is>
          <t>Plausible</t>
        </is>
      </c>
      <c r="N47" s="48" t="inlineStr">
        <is>
          <t>(507) 263-3618
lorentzmeats.com</t>
        </is>
      </c>
      <c r="O47" s="23" t="inlineStr">
        <is>
          <t>POSSIBLE</t>
        </is>
      </c>
      <c r="P47" s="48" t="inlineStr">
        <is>
          <t>Med</t>
        </is>
      </c>
      <c r="Q47" s="48" t="inlineStr">
        <is>
          <t>Strong welfare &amp; culture signals (Nahunta-type). Confirm true pork-day cadence / weekly hog count.</t>
        </is>
      </c>
    </row>
    <row r="48" ht="58.05" customHeight="1" s="51">
      <c r="A48" s="4" t="inlineStr">
        <is>
          <t>SIG International, Iowa</t>
        </is>
      </c>
      <c r="B48" s="48" t="inlineStr">
        <is>
          <t>Boyden, IA</t>
        </is>
      </c>
      <c r="C48" s="48" t="inlineStr">
        <is>
          <t>USDA slaughter+processing (Est. M20748)</t>
        </is>
      </c>
      <c r="D48" s="48" t="inlineStr">
        <is>
          <t>unknown (small-mid)</t>
        </is>
      </c>
      <c r="E48" s="24" t="inlineStr">
        <is>
          <t>unknown
(confirm)</t>
        </is>
      </c>
      <c r="F48" s="48" t="inlineStr">
        <is>
          <t>Yes</t>
        </is>
      </c>
      <c r="G48" s="48" t="inlineStr">
        <is>
          <t>USDA ✓
export-cert (Japan)</t>
        </is>
      </c>
      <c r="H48" s="48" t="inlineStr">
        <is>
          <t>None found in public sources</t>
        </is>
      </c>
      <c r="I48" s="48" t="inlineStr">
        <is>
          <t>FSIS export-certified (edible; exports to Japan — Japan ≠ EU). EU/APHIS unverified</t>
        </is>
      </c>
      <c r="J48" s="48" t="inlineStr">
        <is>
          <t>Berkshire / USDA-organic; export QC discipline</t>
        </is>
      </c>
      <c r="K48" s="48" t="inlineStr">
        <is>
          <t>None found</t>
        </is>
      </c>
      <c r="L48" s="48" t="inlineStr">
        <is>
          <t>Likely Model A host</t>
        </is>
      </c>
      <c r="M48" s="48" t="inlineStr">
        <is>
          <t>Plausible</t>
        </is>
      </c>
      <c r="N48" s="48" t="inlineStr">
        <is>
          <t>(712) 725-2172
sigiowa.com</t>
        </is>
      </c>
      <c r="O48" s="23" t="inlineStr">
        <is>
          <t>POSSIBLE</t>
        </is>
      </c>
      <c r="P48" s="48" t="inlineStr">
        <is>
          <t>Med</t>
        </is>
      </c>
      <c r="Q48" s="48" t="inlineStr">
        <is>
          <t>Niche premium/Berkshire, organic, export-grade QC (Japan). Confirm weekly hog throughput.</t>
        </is>
      </c>
    </row>
    <row r="49" ht="58.05" customHeight="1" s="51">
      <c r="A49" s="4" t="inlineStr">
        <is>
          <t>Eickman's Processing Co.</t>
        </is>
      </c>
      <c r="B49" s="48" t="inlineStr">
        <is>
          <t>Seward, IL</t>
        </is>
      </c>
      <c r="C49" s="48" t="inlineStr">
        <is>
          <t>USDA (Est. M31776), small family plant</t>
        </is>
      </c>
      <c r="D49" s="48" t="inlineStr">
        <is>
          <t>small (low-100s/wk est.)</t>
        </is>
      </c>
      <c r="E49" s="22" t="inlineStr">
        <is>
          <t>SMALL
(0-300/wk)</t>
        </is>
      </c>
      <c r="F49" s="48" t="inlineStr">
        <is>
          <t>Yes</t>
        </is>
      </c>
      <c r="G49" s="48" t="inlineStr">
        <is>
          <t>USDA ✓</t>
        </is>
      </c>
      <c r="H49" s="48" t="inlineStr">
        <is>
          <t>Recall 2010 (underprocessed canned). No humane-handling action found.</t>
        </is>
      </c>
      <c r="I49" s="48" t="inlineStr">
        <is>
          <t>Not on public export lists — verify</t>
        </is>
      </c>
      <c r="J49" s="48" t="inlineStr">
        <is>
          <t>Long-tenured family operation (~70 yrs, ~30 staff) — stable culture</t>
        </is>
      </c>
      <c r="K49" s="48" t="inlineStr">
        <is>
          <t>None</t>
        </is>
      </c>
      <c r="L49" s="48" t="inlineStr">
        <is>
          <t>Model A small batches</t>
        </is>
      </c>
      <c r="M49" s="48" t="inlineStr">
        <is>
          <t>Plausible</t>
        </is>
      </c>
      <c r="N49" s="48" t="inlineStr">
        <is>
          <t>(815) 247-8451
eickmans.com</t>
        </is>
      </c>
      <c r="O49" s="23" t="inlineStr">
        <is>
          <t>POSSIBLE</t>
        </is>
      </c>
      <c r="P49" s="48" t="inlineStr">
        <is>
          <t>Med</t>
        </is>
      </c>
      <c r="Q49" s="48" t="inlineStr">
        <is>
          <t>SMALL tier (~low-100s/wk est.). Stable family culture, USDA. Viable now that capacity is open — good Model A small-batch partner.</t>
        </is>
      </c>
    </row>
    <row r="50" ht="58.05" customHeight="1" s="51">
      <c r="A50" s="4" t="inlineStr">
        <is>
          <t>Ruthven Meat Processing</t>
        </is>
      </c>
      <c r="B50" s="48" t="inlineStr">
        <is>
          <t>Ruthven, IA</t>
        </is>
      </c>
      <c r="C50" s="48" t="inlineStr">
        <is>
          <t>USDA (Est. M2118), FSIS 'Very Small'</t>
        </is>
      </c>
      <c r="D50" s="48" t="inlineStr">
        <is>
          <t>low (very small)</t>
        </is>
      </c>
      <c r="E50" s="22" t="inlineStr">
        <is>
          <t>SMALL
(0-300/wk)</t>
        </is>
      </c>
      <c r="F50" s="48" t="inlineStr">
        <is>
          <t>Hogs NOT
confirmed</t>
        </is>
      </c>
      <c r="G50" s="48" t="inlineStr">
        <is>
          <t>USDA ✓</t>
        </is>
      </c>
      <c r="H50" s="48" t="inlineStr">
        <is>
          <t>None found in public sources</t>
        </is>
      </c>
      <c r="I50" s="48" t="inlineStr">
        <is>
          <t>Not on public export lists — verify</t>
        </is>
      </c>
      <c r="J50" s="48" t="inlineStr">
        <is>
          <t>Small locker</t>
        </is>
      </c>
      <c r="K50" s="48" t="inlineStr">
        <is>
          <t>Unknown</t>
        </is>
      </c>
      <c r="L50" s="48" t="inlineStr">
        <is>
          <t>Model A small batch</t>
        </is>
      </c>
      <c r="M50" s="48" t="inlineStr">
        <is>
          <t>Plausible</t>
        </is>
      </c>
      <c r="N50" s="48" t="inlineStr">
        <is>
          <t>(712) 837-5334</t>
        </is>
      </c>
      <c r="O50" s="23" t="inlineStr">
        <is>
          <t>CAUTION</t>
        </is>
      </c>
      <c r="P50" s="48" t="inlineStr">
        <is>
          <t>Low-Med</t>
        </is>
      </c>
      <c r="Q50" s="48" t="inlineStr">
        <is>
          <t>FSIS 'Very Small' volume class (fits low band) BUT swine slaughter NOT confirmed — verify it actually takes hogs before relying on it.</t>
        </is>
      </c>
    </row>
    <row r="51" ht="19.95" customHeight="1" s="51">
      <c r="A51" s="52" t="inlineStr">
        <is>
          <t>IOWA &amp; MIDWEST — large packers (excluded unless a biologics program is confirmed)</t>
        </is>
      </c>
    </row>
    <row r="52" ht="58.05" customHeight="1" s="51">
      <c r="A52" s="4" t="inlineStr">
        <is>
          <t>Sioux-Preme Packing / Perdue</t>
        </is>
      </c>
      <c r="B52" s="48" t="inlineStr">
        <is>
          <t>Sioux Center, IA</t>
        </is>
      </c>
      <c r="C52" s="48" t="inlineStr">
        <is>
          <t>Large niche pork (Est. M5537)</t>
        </is>
      </c>
      <c r="D52" s="48" t="inlineStr">
        <is>
          <t>~4,500 / DAY</t>
        </is>
      </c>
      <c r="E52" s="26" t="inlineStr">
        <is>
          <t>HIGH
(&gt;5,000/wk)</t>
        </is>
      </c>
      <c r="F52" s="48" t="inlineStr">
        <is>
          <t>Yes</t>
        </is>
      </c>
      <c r="G52" s="48" t="inlineStr">
        <is>
          <t>USDA ✓
organic</t>
        </is>
      </c>
      <c r="H52" s="25" t="inlineStr">
        <is>
          <t>⚠ Humane-handling: NOIE 11/2020, suspension 04/2021 (Est. M5537); PETA sought charges (none filed on record).</t>
        </is>
      </c>
      <c r="I52" s="48" t="inlineStr">
        <is>
          <t>Export status not confirmed on public lists — verify</t>
        </is>
      </c>
      <c r="J52" s="48" t="inlineStr">
        <is>
          <t>NEGATIVE signal — an animal-rights group publicly sought charges over handling</t>
        </is>
      </c>
      <c r="K52" s="48" t="inlineStr">
        <is>
          <t>No biologics program found</t>
        </is>
      </c>
      <c r="L52" s="48" t="inlineStr">
        <is>
          <t>Unlikely</t>
        </is>
      </c>
      <c r="M52" s="48" t="inlineStr">
        <is>
          <t>Unlikely</t>
        </is>
      </c>
      <c r="N52" s="48" t="inlineStr">
        <is>
          <t>(712) 722-2555</t>
        </is>
      </c>
      <c r="O52" s="23" t="inlineStr">
        <is>
          <t>CAUTION</t>
        </is>
      </c>
      <c r="P52" s="48" t="inlineStr">
        <is>
          <t>High</t>
        </is>
      </c>
      <c r="Q52" s="4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1">
      <c r="A53" s="4" t="inlineStr">
        <is>
          <t>Seaboard Triumph Foods</t>
        </is>
      </c>
      <c r="B53" s="48" t="inlineStr">
        <is>
          <t>Sioux City, IA</t>
        </is>
      </c>
      <c r="C53" s="48" t="inlineStr">
        <is>
          <t>Very large packer</t>
        </is>
      </c>
      <c r="D53" s="48" t="inlineStr">
        <is>
          <t>~10,000/DAY (up to 20-24k)</t>
        </is>
      </c>
      <c r="E53" s="26" t="inlineStr">
        <is>
          <t>HIGH
(&gt;5,000/wk)</t>
        </is>
      </c>
      <c r="F53" s="48" t="inlineStr">
        <is>
          <t>Yes</t>
        </is>
      </c>
      <c r="G53" s="48" t="inlineStr">
        <is>
          <t>USDA ✓</t>
        </is>
      </c>
      <c r="H53" s="48" t="inlineStr">
        <is>
          <t>No FSIS humane/recall found. Non-FSIS press: labor / child-labor fines, emissions.</t>
        </is>
      </c>
      <c r="I53" s="48" t="inlineStr">
        <is>
          <t>FSIS export-certified (edible, general; Est. M46071). EU-specific unverified</t>
        </is>
      </c>
      <c r="J53" s="48" t="inlineStr">
        <is>
          <t>Industrial</t>
        </is>
      </c>
      <c r="K53" s="48" t="inlineStr">
        <is>
          <t>NOT confirmed (no research-organ program found)</t>
        </is>
      </c>
      <c r="L53" s="48" t="inlineStr">
        <is>
          <t>Unlikely</t>
        </is>
      </c>
      <c r="M53" s="48" t="inlineStr">
        <is>
          <t>Unlikely</t>
        </is>
      </c>
      <c r="N53" s="48" t="inlineStr">
        <is>
          <t>—</t>
        </is>
      </c>
      <c r="O53" s="23" t="inlineStr">
        <is>
          <t>POSSIBLE</t>
        </is>
      </c>
      <c r="P53" s="48" t="inlineStr">
        <is>
          <t>High</t>
        </is>
      </c>
      <c r="Q53" s="48" t="inlineStr">
        <is>
          <t>HIGH tier. No longer excluded on size (~10-24k/day). Biologics program UNCONFIRMED — do NOT assume one exists; ask directly. Non-FSIS labour/child-labour press on record.</t>
        </is>
      </c>
    </row>
    <row r="54" ht="58.05" customHeight="1" s="51">
      <c r="A54" s="4" t="inlineStr">
        <is>
          <t>Prestage Foods of Iowa</t>
        </is>
      </c>
      <c r="B54" s="48" t="inlineStr">
        <is>
          <t>Eagle Grove, IA</t>
        </is>
      </c>
      <c r="C54" s="48" t="inlineStr">
        <is>
          <t>Very large packer</t>
        </is>
      </c>
      <c r="D54" s="48" t="inlineStr">
        <is>
          <t>~10,000-12,000/DAY</t>
        </is>
      </c>
      <c r="E54" s="26" t="inlineStr">
        <is>
          <t>HIGH
(&gt;5,000/wk)</t>
        </is>
      </c>
      <c r="F54" s="48" t="inlineStr">
        <is>
          <t>Yes</t>
        </is>
      </c>
      <c r="G54" s="48" t="inlineStr">
        <is>
          <t>USDA ✓</t>
        </is>
      </c>
      <c r="H54" s="25" t="inlineStr">
        <is>
          <t>⚠ REPEAT humane-handling suspensions 2020 &amp; 04/2022 (egregious). Est. M51340. PETA sought kill-floor cameras.</t>
        </is>
      </c>
      <c r="I54" s="48" t="inlineStr">
        <is>
          <t>Export-oriented; 'Certification–Export' not directly confirmed. EU unverified</t>
        </is>
      </c>
      <c r="J54" s="48" t="inlineStr">
        <is>
          <t>Industrial</t>
        </is>
      </c>
      <c r="K54" s="48" t="inlineStr">
        <is>
          <t>No organ program found</t>
        </is>
      </c>
      <c r="L54" s="48" t="inlineStr">
        <is>
          <t>Unlikely</t>
        </is>
      </c>
      <c r="M54" s="48" t="inlineStr">
        <is>
          <t>Unlikely</t>
        </is>
      </c>
      <c r="N54" s="48" t="inlineStr">
        <is>
          <t>—</t>
        </is>
      </c>
      <c r="O54" s="23" t="inlineStr">
        <is>
          <t>POSSIBLE</t>
        </is>
      </c>
      <c r="P54" s="48" t="inlineStr">
        <is>
          <t>High</t>
        </is>
      </c>
      <c r="Q54" s="48" t="inlineStr">
        <is>
          <t>HIGH tier. No longer excluded on size (~10-12k hogs/day). No organ program found — confirm directly. Documented repeat humane-handling suspensions (see enforcement).</t>
        </is>
      </c>
    </row>
    <row r="55" ht="58.05" customHeight="1" s="51">
      <c r="A55" s="4" t="inlineStr">
        <is>
          <t>Wholestone Farms</t>
        </is>
      </c>
      <c r="B55" s="48" t="inlineStr">
        <is>
          <t>Fremont, NE</t>
        </is>
      </c>
      <c r="C55" s="48" t="inlineStr">
        <is>
          <t>Very large packer</t>
        </is>
      </c>
      <c r="D55" s="48" t="inlineStr">
        <is>
          <t>~8,200/DAY (3M→5.6M/yr)</t>
        </is>
      </c>
      <c r="E55" s="26" t="inlineStr">
        <is>
          <t>HIGH
(&gt;5,000/wk)</t>
        </is>
      </c>
      <c r="F55" s="48" t="inlineStr">
        <is>
          <t>Yes</t>
        </is>
      </c>
      <c r="G55" s="48" t="inlineStr">
        <is>
          <t>USDA ✓</t>
        </is>
      </c>
      <c r="H55" s="25" t="inlineStr">
        <is>
          <t>⚠ Humane-handling NOIE 12/2019 (Est. M46491; captive bolt on a condemned hog).</t>
        </is>
      </c>
      <c r="I55" s="48" t="inlineStr">
        <is>
          <t>Not confirmed on public lists — verify</t>
        </is>
      </c>
      <c r="J55" s="48" t="inlineStr">
        <is>
          <t>Industrial</t>
        </is>
      </c>
      <c r="K55" s="48" t="inlineStr">
        <is>
          <t>Biologics unknown</t>
        </is>
      </c>
      <c r="L55" s="48" t="inlineStr">
        <is>
          <t>Unlikely</t>
        </is>
      </c>
      <c r="M55" s="48" t="inlineStr">
        <is>
          <t>Unlikely</t>
        </is>
      </c>
      <c r="N55" s="48" t="inlineStr">
        <is>
          <t>—</t>
        </is>
      </c>
      <c r="O55" s="23" t="inlineStr">
        <is>
          <t>POSSIBLE</t>
        </is>
      </c>
      <c r="P55" s="48" t="inlineStr">
        <is>
          <t>High</t>
        </is>
      </c>
      <c r="Q55" s="48" t="inlineStr">
        <is>
          <t>HIGH tier. No longer excluded on size. Biologics unknown — confirm. Humane-handling NOIE 12/2019 on record.</t>
        </is>
      </c>
    </row>
    <row r="56" ht="58.05" customHeight="1" s="51">
      <c r="A56" s="4" t="inlineStr">
        <is>
          <t>Other large regional (context)</t>
        </is>
      </c>
      <c r="B56" s="48" t="inlineStr">
        <is>
          <t>IA / Midwest</t>
        </is>
      </c>
      <c r="C56" s="48" t="inlineStr">
        <is>
          <t>Very large packers</t>
        </is>
      </c>
      <c r="D56" s="48" t="inlineStr">
        <is>
          <t>&gt;3,000/wk</t>
        </is>
      </c>
      <c r="E56" s="26" t="inlineStr">
        <is>
          <t>HIGH
(&gt;5,000/wk)</t>
        </is>
      </c>
      <c r="F56" s="48" t="inlineStr">
        <is>
          <t>Yes/mixed</t>
        </is>
      </c>
      <c r="G56" s="48" t="inlineStr">
        <is>
          <t>USDA ✓</t>
        </is>
      </c>
      <c r="H56" s="48" t="inlineStr">
        <is>
          <t>Varies by plant — check FSIS Quarterly Enforcement Reports per establishment #</t>
        </is>
      </c>
      <c r="I56" s="48" t="inlineStr">
        <is>
          <t>Varies — check FSIS 'Eligible Establishments by Country' + TRACES</t>
        </is>
      </c>
      <c r="J56" s="48" t="inlineStr">
        <is>
          <t>Industrial</t>
        </is>
      </c>
      <c r="K56" s="48" t="inlineStr">
        <is>
          <t>Not confirmed</t>
        </is>
      </c>
      <c r="L56" s="48" t="inlineStr">
        <is>
          <t>Unlikely</t>
        </is>
      </c>
      <c r="M56" s="48" t="inlineStr">
        <is>
          <t>Unlikely</t>
        </is>
      </c>
      <c r="N56" s="48" t="inlineStr">
        <is>
          <t>—</t>
        </is>
      </c>
      <c r="O56" s="23" t="inlineStr">
        <is>
          <t>CAUTION</t>
        </is>
      </c>
      <c r="P56" s="48" t="inlineStr">
        <is>
          <t>Med</t>
        </is>
      </c>
      <c r="Q56" s="48" t="inlineStr">
        <is>
          <t>Tyson Fresh Meats (Columbus Junction, Storm Lake, Waterloo IA); JBS/Cargill pork (Ottumwa/Marshalltown). Tyson Perry IA CLOSED 2024. Iowa Premium/National Beef (Tama) = BEEF — exclude. Biologics programs unverified.</t>
        </is>
      </c>
    </row>
    <row r="57" ht="19.95" customHeight="1" s="51">
      <c r="A57" s="52" t="inlineStr">
        <is>
          <t>ADJACENT SOURCES — research minipig suppliers (scale mismatch; comparator only)</t>
        </is>
      </c>
    </row>
    <row r="58" ht="58.05" customHeight="1" s="51">
      <c r="A58" s="4" t="inlineStr">
        <is>
          <t>Sinclair BioResources</t>
        </is>
      </c>
      <c r="B58" s="48" t="inlineStr">
        <is>
          <t>Auxvasse, MO</t>
        </is>
      </c>
      <c r="C58" s="48" t="inlineStr">
        <is>
          <t>Minipig supplier + bio-samples</t>
        </is>
      </c>
      <c r="D58" s="48" t="inlineStr">
        <is>
          <t>n/a (research minipigs)</t>
        </is>
      </c>
      <c r="E58" s="24" t="inlineStr">
        <is>
          <t>n/a</t>
        </is>
      </c>
      <c r="F58" s="48" t="inlineStr">
        <is>
          <t>Yes (minipigs)</t>
        </is>
      </c>
      <c r="G58" s="48" t="inlineStr">
        <is>
          <t>unknown</t>
        </is>
      </c>
      <c r="H58" s="48" t="inlineStr">
        <is>
          <t>None found (research minipig facility)</t>
        </is>
      </c>
      <c r="I58" s="48" t="inlineStr">
        <is>
          <t>Research minipig; APHIS VS channel — verify</t>
        </is>
      </c>
      <c r="J58" s="48" t="inlineStr">
        <is>
          <t>Research-scale program</t>
        </is>
      </c>
      <c r="K58" s="48" t="inlineStr">
        <is>
          <t>Minipig tissue / bio-samples (Sinclair, Yucatan, Hanford)</t>
        </is>
      </c>
      <c r="L58" s="48" t="inlineStr">
        <is>
          <t>n/a</t>
        </is>
      </c>
      <c r="M58" s="48" t="inlineStr">
        <is>
          <t>Comparator only</t>
        </is>
      </c>
      <c r="N58" s="48" t="inlineStr">
        <is>
          <t>sinclairbioresources.com</t>
        </is>
      </c>
      <c r="O58" s="23" t="inlineStr">
        <is>
          <t>CAUTION</t>
        </is>
      </c>
      <c r="P58" s="48" t="inlineStr">
        <is>
          <t>Med</t>
        </is>
      </c>
      <c r="Q58" s="48" t="inlineStr">
        <is>
          <t>MISMATCH: research minipigs at research scale, not 200-3,000/wk market hogs; tissue blocks would be minipig-sized. Useful as a comparator/specialty source, not a throughput abattoir.</t>
        </is>
      </c>
    </row>
    <row r="59" ht="19.95" customHeight="1" s="51">
      <c r="A59" s="52" t="inlineStr">
        <is>
          <t>NORTH CAROLINA — NEWLY FOUND (registry sweep, NCDA&amp;CS directories 2026-07-24)</t>
        </is>
      </c>
    </row>
    <row r="60" ht="58.05" customHeight="1" s="51">
      <c r="A60" s="4" t="inlineStr">
        <is>
          <t>The Pork Company (Villari Food Group)</t>
        </is>
      </c>
      <c r="B60" s="48" t="inlineStr">
        <is>
          <t>Warsaw, NC (Duplin)</t>
        </is>
      </c>
      <c r="C60" s="48" t="inlineStr">
        <is>
          <t>USDA federal fresh-pork HARVEST plant</t>
        </is>
      </c>
      <c r="D60" s="48" t="inlineStr">
        <is>
          <t>~7,500/wk (1,500 hd/day, EMI 2017)</t>
        </is>
      </c>
      <c r="E60" s="26" t="inlineStr">
        <is>
          <t>HIGH
(&gt;5,000/wk)</t>
        </is>
      </c>
      <c r="F60" s="48" t="inlineStr">
        <is>
          <t>Yes — MARKET HOGS</t>
        </is>
      </c>
      <c r="G60" s="48" t="inlineStr">
        <is>
          <t>USDA ✓ M20608</t>
        </is>
      </c>
      <c r="H60" s="25" t="inlineStr">
        <is>
          <t>⚠⚠ REPEAT humane-handling: NOIE 11 May 2022 AND NOIE 8 May 2025 (Est. M20608). Both letters 403-blocked — READ THEM before approaching.</t>
        </is>
      </c>
      <c r="I60" s="48" t="inlineStr">
        <is>
          <t>Sister plant Villari Food Group is EXPORT-CERTIFIED for pork (FSIS, edible). APHIS by-product listing unverified</t>
        </is>
      </c>
      <c r="J60" s="48" t="inlineStr">
        <is>
          <t>⚠⚠ TWO humane-handling NOIEs — 11 May 2022 AND 8 May 2025 (repeat pattern, 3 yrs apart)</t>
        </is>
      </c>
      <c r="K60" s="48" t="inlineStr">
        <is>
          <t>Unknown. Sister plant Villari Food Group (Warsaw) is export-certified for pork — the group already runs an export-certified cold chain</t>
        </is>
      </c>
      <c r="L60" s="48" t="inlineStr">
        <is>
          <t>Unlikely at 1,500 hd/day</t>
        </is>
      </c>
      <c r="M60" s="48" t="inlineStr">
        <is>
          <t>Model B candidate on volume</t>
        </is>
      </c>
      <c r="N60" s="48" t="inlineStr">
        <is>
          <t>(910) 293-2157
villarifood.com</t>
        </is>
      </c>
      <c r="O60" s="23" t="inlineStr">
        <is>
          <t>CAUTION</t>
        </is>
      </c>
      <c r="P60" s="48" t="inlineStr">
        <is>
          <t>Med</t>
        </is>
      </c>
      <c r="Q60" s="48"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1">
      <c r="A61" s="4" t="inlineStr">
        <is>
          <t>Parks Family Meats, LLC</t>
        </is>
      </c>
      <c r="B61" s="48" t="inlineStr">
        <is>
          <t>Warsaw, NC (Duplin)</t>
        </is>
      </c>
      <c r="C61" s="48" t="inlineStr">
        <is>
          <t>Talmadge-Aiken slaughter + processing</t>
        </is>
      </c>
      <c r="D61" s="48" t="inlineStr">
        <is>
          <t>400-1,000/wk (client-confirmed)</t>
        </is>
      </c>
      <c r="E61" s="73" t="inlineStr">
        <is>
          <t>MEDIUM
(350-2,500/wk)</t>
        </is>
      </c>
      <c r="F61" s="48" t="inlineStr">
        <is>
          <t>Yes — SWINE-ONLY</t>
        </is>
      </c>
      <c r="G61" s="48" t="inlineStr">
        <is>
          <t>USDA ✓ TA-18296A
(interstate/export eligible)</t>
        </is>
      </c>
      <c r="H61" s="48" t="inlineStr">
        <is>
          <t>None found (FSIS unreachable — NOT a clean bill)</t>
        </is>
      </c>
      <c r="I61" s="48" t="inlineStr">
        <is>
          <t>TA = interstate/export eligible. Company claims Caribbean export (self-reported, UNVERIFIED). APHIS listing not found</t>
        </is>
      </c>
      <c r="J61" s="48" t="inlineStr">
        <is>
          <t>None found (NOT a clean bill — FSIS unreachable)</t>
        </is>
      </c>
      <c r="K61" s="48" t="inlineStr">
        <is>
          <t>Unknown — roasters usually dressed head-on; viscera disposition needs a call</t>
        </is>
      </c>
      <c r="L61" s="48" t="inlineStr">
        <is>
          <t>STRONG — 20 staff, single 15,000 sq ft floor, one decision-maker</t>
        </is>
      </c>
      <c r="M61" s="48" t="inlineStr">
        <is>
          <t>Only if juvenile tissue acceptable</t>
        </is>
      </c>
      <c r="N61" s="48" t="inlineStr">
        <is>
          <t>(910) 293-4614
Mike Maxwell · parkslivestock.com</t>
        </is>
      </c>
      <c r="O61" s="23" t="inlineStr">
        <is>
          <t>CAUTION</t>
        </is>
      </c>
      <c r="P61" s="48" t="inlineStr">
        <is>
          <t>Med-High</t>
        </is>
      </c>
      <c r="Q61" s="48" t="inlineStr">
        <is>
          <t>CLIENT-CORRECTED weekly volume: 400-1,000/wk. || ⚠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1">
      <c r="A62" s="4" t="inlineStr">
        <is>
          <t>Caldwell Meat Processing Co.</t>
        </is>
      </c>
      <c r="B62" s="48" t="inlineStr">
        <is>
          <t>Maiden, NC (Lincoln)</t>
        </is>
      </c>
      <c r="C62" s="48" t="inlineStr">
        <is>
          <t>NC STATE-inspected slaughter + processing</t>
        </is>
      </c>
      <c r="D62" s="48" t="inlineStr">
        <is>
          <t>unknown (est. SMALL)</t>
        </is>
      </c>
      <c r="E62" s="22" t="inlineStr">
        <is>
          <t>SMALL
(0-300/wk)</t>
        </is>
      </c>
      <c r="F62" s="48" t="inlineStr">
        <is>
          <t>Yes — SWINE-ONLY</t>
        </is>
      </c>
      <c r="G62" s="48" t="inlineStr">
        <is>
          <t>STATE only P-312
(NOT USDA — intrastate)</t>
        </is>
      </c>
      <c r="H62" s="48" t="inlineStr">
        <is>
          <t>State-inspected — never appears in FSIS data; absence is meaningless. Check NCDA state records.</t>
        </is>
      </c>
      <c r="I62" s="48" t="inlineStr">
        <is>
          <t>State-inspected — intrastate NC only; not export eligible as edible product</t>
        </is>
      </c>
      <c r="J62" s="48" t="inlineStr">
        <is>
          <t>None found (state plants never appear in FSIS data — absence is meaningless here)</t>
        </is>
      </c>
      <c r="K62" s="48" t="inlineStr">
        <is>
          <t>unknown</t>
        </is>
      </c>
      <c r="L62" s="48" t="inlineStr">
        <is>
          <t>Plausible</t>
        </is>
      </c>
      <c r="M62" s="48" t="inlineStr">
        <is>
          <t>Implausible (state inspection blocks interstate edible movement)</t>
        </is>
      </c>
      <c r="N62" s="48" t="inlineStr">
        <is>
          <t>(828) 428-8833</t>
        </is>
      </c>
      <c r="O62" s="23" t="inlineStr">
        <is>
          <t>POSSIBLE</t>
        </is>
      </c>
      <c r="P62" s="48" t="inlineStr">
        <is>
          <t>Med</t>
        </is>
      </c>
      <c r="Q62" s="48" t="inlineStr">
        <is>
          <t>⚠ DOMESTIC-ONLY LANE: state-inspected. Per the client's confirmation on Nahunta, treat every state-inspected plant as US-domestic only — usable for the domestic programme, NOT for EU-bound product. || NEW swine-only plant. Intrastate NC sales only — FLAG for export. Check whether our tissue moves as inedible/research material, which may change the interstate calculus.</t>
        </is>
      </c>
    </row>
    <row r="63" ht="58.05" customHeight="1" s="51">
      <c r="A63" s="4" t="inlineStr">
        <is>
          <t>McLaughlin's</t>
        </is>
      </c>
      <c r="B63" s="48" t="inlineStr">
        <is>
          <t>Mooresville, NC (Rowan)</t>
        </is>
      </c>
      <c r="C63" s="48" t="inlineStr">
        <is>
          <t>NC STATE-inspected slaughter + processing</t>
        </is>
      </c>
      <c r="D63" s="48" t="inlineStr">
        <is>
          <t>unknown (est. SMALL)</t>
        </is>
      </c>
      <c r="E63" s="22" t="inlineStr">
        <is>
          <t>SMALL
(0-300/wk)</t>
        </is>
      </c>
      <c r="F63" s="48" t="inlineStr">
        <is>
          <t>Yes — SWINE-ONLY</t>
        </is>
      </c>
      <c r="G63" s="48" t="inlineStr">
        <is>
          <t>STATE only P-85
(NOT USDA — intrastate)</t>
        </is>
      </c>
      <c r="H63" s="48" t="inlineStr">
        <is>
          <t>State-inspected — not in FSIS data by construction</t>
        </is>
      </c>
      <c r="I63" s="48" t="inlineStr">
        <is>
          <t>State-inspected — intrastate NC only</t>
        </is>
      </c>
      <c r="J63" s="48" t="inlineStr">
        <is>
          <t>None found (state plant — not in FSIS data)</t>
        </is>
      </c>
      <c r="K63" s="48" t="inlineStr">
        <is>
          <t>unknown</t>
        </is>
      </c>
      <c r="L63" s="48" t="inlineStr">
        <is>
          <t>Plausible</t>
        </is>
      </c>
      <c r="M63" s="48" t="inlineStr">
        <is>
          <t>Implausible</t>
        </is>
      </c>
      <c r="N63" s="48" t="inlineStr">
        <is>
          <t>(704) 235-8003</t>
        </is>
      </c>
      <c r="O63" s="23" t="inlineStr">
        <is>
          <t>POSSIBLE</t>
        </is>
      </c>
      <c r="P63" s="48" t="inlineStr">
        <is>
          <t>Med</t>
        </is>
      </c>
      <c r="Q63" s="48" t="inlineStr">
        <is>
          <t>⚠ DOMESTIC-ONLY LANE: state-inspected. Per the client's confirmation on Nahunta, treat every state-inspected plant as US-domestic only — usable for the domestic programme, NOT for EU-bound product. || NEW swine-only state plant.</t>
        </is>
      </c>
    </row>
    <row r="64" ht="58.05" customHeight="1" s="51">
      <c r="A64" s="4" t="inlineStr">
        <is>
          <t>Price's Custom Meat Cutting &amp; Abattoir</t>
        </is>
      </c>
      <c r="B64" s="48" t="inlineStr">
        <is>
          <t>Hickory, NC (Burke)</t>
        </is>
      </c>
      <c r="C64" s="48" t="inlineStr">
        <is>
          <t>NC STATE-inspected slaughter + processing</t>
        </is>
      </c>
      <c r="D64" s="48" t="inlineStr">
        <is>
          <t>unknown (est. SMALL)</t>
        </is>
      </c>
      <c r="E64" s="22" t="inlineStr">
        <is>
          <t>SMALL
(0-300/wk)</t>
        </is>
      </c>
      <c r="F64" s="48" t="inlineStr">
        <is>
          <t>Yes — SWINE-ONLY</t>
        </is>
      </c>
      <c r="G64" s="48" t="inlineStr">
        <is>
          <t>STATE only P-307
(NOT USDA — intrastate)</t>
        </is>
      </c>
      <c r="H64" s="48" t="inlineStr">
        <is>
          <t>State-inspected — not in FSIS data by construction</t>
        </is>
      </c>
      <c r="I64" s="48" t="inlineStr">
        <is>
          <t>State-inspected — intrastate NC only</t>
        </is>
      </c>
      <c r="J64" s="48" t="inlineStr">
        <is>
          <t>None found (state plant — not in FSIS data)</t>
        </is>
      </c>
      <c r="K64" s="48" t="inlineStr">
        <is>
          <t>unknown</t>
        </is>
      </c>
      <c r="L64" s="48" t="inlineStr">
        <is>
          <t>Plausible</t>
        </is>
      </c>
      <c r="M64" s="48" t="inlineStr">
        <is>
          <t>Implausible</t>
        </is>
      </c>
      <c r="N64" s="48" t="inlineStr">
        <is>
          <t>(828) 381-8978</t>
        </is>
      </c>
      <c r="O64" s="23" t="inlineStr">
        <is>
          <t>POSSIBLE</t>
        </is>
      </c>
      <c r="P64" s="48" t="inlineStr">
        <is>
          <t>Med</t>
        </is>
      </c>
      <c r="Q64" s="48" t="inlineStr">
        <is>
          <t>⚠ DOMESTIC-ONLY LANE: state-inspected. Per the client's confirmation on Nahunta, treat every state-inspected plant as US-domestic only — usable for the domestic programme, NOT for EU-bound product. || NEW swine-only state plant.</t>
        </is>
      </c>
    </row>
    <row r="65" ht="58.05" customHeight="1" s="51">
      <c r="A65" s="4" t="inlineStr">
        <is>
          <t>Contentnea Farms, LLC</t>
        </is>
      </c>
      <c r="B65" s="48" t="inlineStr">
        <is>
          <t>Walstonburg, NC (Greene)</t>
        </is>
      </c>
      <c r="C65" s="48" t="inlineStr">
        <is>
          <t>Talmadge-Aiken multi-species slaughter</t>
        </is>
      </c>
      <c r="D65" s="48" t="inlineStr">
        <is>
          <t>unknown (est. SMALL)</t>
        </is>
      </c>
      <c r="E65" s="24" t="inlineStr">
        <is>
          <t>unknown
(confirm)</t>
        </is>
      </c>
      <c r="F65" s="48" t="inlineStr">
        <is>
          <t>Yes (A,B,C,D,E)</t>
        </is>
      </c>
      <c r="G65" s="48" t="inlineStr">
        <is>
          <t>USDA ✓ TA-2583
(interstate/export eligible)</t>
        </is>
      </c>
      <c r="H65" s="48" t="inlineStr">
        <is>
          <t>None found (FSIS unreachable)</t>
        </is>
      </c>
      <c r="I65" s="48" t="inlineStr">
        <is>
          <t>Talmadge-Aiken — interstate/export eligible. APHIS listing unverified</t>
        </is>
      </c>
      <c r="J65" s="48" t="inlineStr">
        <is>
          <t>None found (FSIS unreachable)</t>
        </is>
      </c>
      <c r="K65" s="48" t="inlineStr">
        <is>
          <t>unknown</t>
        </is>
      </c>
      <c r="L65" s="48" t="inlineStr">
        <is>
          <t>Plausible</t>
        </is>
      </c>
      <c r="M65" s="48" t="inlineStr">
        <is>
          <t>Plausible</t>
        </is>
      </c>
      <c r="N65" s="48" t="inlineStr">
        <is>
          <t>(252) 717-9229</t>
        </is>
      </c>
      <c r="O65" s="23" t="inlineStr">
        <is>
          <t>POSSIBLE</t>
        </is>
      </c>
      <c r="P65" s="48" t="inlineStr">
        <is>
          <t>Med</t>
        </is>
      </c>
      <c r="Q65" s="48" t="inlineStr">
        <is>
          <t>NEW. ~30 mi east of Wilson — EXTENDS THE EASTERN-NC AGGREGATION CLUSTER, and TA means export-eligible.</t>
        </is>
      </c>
    </row>
    <row r="66" ht="58.05" customHeight="1" s="51">
      <c r="A66" s="4" t="inlineStr">
        <is>
          <t>Assured Community Processing LLC</t>
        </is>
      </c>
      <c r="B66" s="48" t="inlineStr">
        <is>
          <t>Micro, NC (Johnston)</t>
        </is>
      </c>
      <c r="C66" s="48" t="inlineStr">
        <is>
          <t>USDA federal, FSIS 'Very Small'</t>
        </is>
      </c>
      <c r="D66" s="48" t="inlineStr">
        <is>
          <t>unknown (est. SMALL)</t>
        </is>
      </c>
      <c r="E66" s="24" t="inlineStr">
        <is>
          <t>unknown
(confirm)</t>
        </is>
      </c>
      <c r="F66" s="48" t="inlineStr">
        <is>
          <t>CONFIRM SWINE</t>
        </is>
      </c>
      <c r="G66" s="48" t="inlineStr">
        <is>
          <t>USDA ✓ M2123
(grant 2023 — new plant)</t>
        </is>
      </c>
      <c r="H66" s="48" t="inlineStr">
        <is>
          <t>None found (FSIS unreachable)</t>
        </is>
      </c>
      <c r="I66" s="48" t="inlineStr">
        <is>
          <t>Federal grant — export structurally possible. Not on public export lists</t>
        </is>
      </c>
      <c r="J66" s="48" t="inlineStr">
        <is>
          <t>None found (FSIS unreachable)</t>
        </is>
      </c>
      <c r="K66" s="48" t="inlineStr">
        <is>
          <t>unknown</t>
        </is>
      </c>
      <c r="L66" s="48" t="inlineStr">
        <is>
          <t>Plausible</t>
        </is>
      </c>
      <c r="M66" s="48" t="inlineStr">
        <is>
          <t>Plausible</t>
        </is>
      </c>
      <c r="N66" s="48" t="inlineStr">
        <is>
          <t>(919) 284-0064</t>
        </is>
      </c>
      <c r="O66" s="23" t="inlineStr">
        <is>
          <t>POSSIBLE</t>
        </is>
      </c>
      <c r="P66" s="48" t="inlineStr">
        <is>
          <t>Low-Med</t>
        </is>
      </c>
      <c r="Q66" s="48" t="inlineStr">
        <is>
          <t>NEW. Sits INSIDE the Wilson cluster (~20 mi SW). Species not stated in the mirrored FSIS record — confirm it takes hogs.</t>
        </is>
      </c>
    </row>
    <row r="67" ht="58.05" customHeight="1" s="51">
      <c r="A67" s="4" t="inlineStr">
        <is>
          <t>Country Slaughter and Meats</t>
        </is>
      </c>
      <c r="B67" s="48" t="inlineStr">
        <is>
          <t>Rockingham, NC (Richmond)</t>
        </is>
      </c>
      <c r="C67" s="48" t="inlineStr">
        <is>
          <t>USDA federal, FSIS 'Very Small'</t>
        </is>
      </c>
      <c r="D67" s="48" t="inlineStr">
        <is>
          <t>unknown (est. SMALL)</t>
        </is>
      </c>
      <c r="E67" s="24" t="inlineStr">
        <is>
          <t>unknown
(confirm)</t>
        </is>
      </c>
      <c r="F67" s="48" t="inlineStr">
        <is>
          <t>CONFIRM SWINE</t>
        </is>
      </c>
      <c r="G67" s="48" t="inlineStr">
        <is>
          <t>USDA ✓ M32012</t>
        </is>
      </c>
      <c r="H67" s="48" t="inlineStr">
        <is>
          <t>None found (FSIS unreachable)</t>
        </is>
      </c>
      <c r="I67" s="48" t="inlineStr">
        <is>
          <t>Federal grant. Not on public export lists</t>
        </is>
      </c>
      <c r="J67" s="48" t="inlineStr">
        <is>
          <t>None found (FSIS unreachable)</t>
        </is>
      </c>
      <c r="K67" s="48" t="inlineStr">
        <is>
          <t>unknown</t>
        </is>
      </c>
      <c r="L67" s="48" t="inlineStr">
        <is>
          <t>Plausible</t>
        </is>
      </c>
      <c r="M67" s="48" t="inlineStr">
        <is>
          <t>Plausible</t>
        </is>
      </c>
      <c r="N67" s="48" t="inlineStr">
        <is>
          <t>(910) 895-0838</t>
        </is>
      </c>
      <c r="O67" s="23" t="inlineStr">
        <is>
          <t>POSSIBLE</t>
        </is>
      </c>
      <c r="P67" s="48" t="inlineStr">
        <is>
          <t>Low-Med</t>
        </is>
      </c>
      <c r="Q67" s="48" t="inlineStr">
        <is>
          <t>NEW federal plant. Confirm swine.</t>
        </is>
      </c>
    </row>
    <row r="68" ht="58.05" customHeight="1" s="51">
      <c r="A68" s="4" t="inlineStr">
        <is>
          <t>Flowers Slaughter House (George Flowers)</t>
        </is>
      </c>
      <c r="B68" s="48" t="inlineStr">
        <is>
          <t>Sims, NC (Wilson)</t>
        </is>
      </c>
      <c r="C68" s="48" t="inlineStr">
        <is>
          <t>USDA FEDERAL (not TA) — 'Very Small'</t>
        </is>
      </c>
      <c r="D68" s="48" t="inlineStr">
        <is>
          <t>unknown (est. SMALL)</t>
        </is>
      </c>
      <c r="E68" s="22" t="inlineStr">
        <is>
          <t>SMALL
(0-300/wk)</t>
        </is>
      </c>
      <c r="F68" s="48" t="inlineStr">
        <is>
          <t>Yes (beef + pork)</t>
        </is>
      </c>
      <c r="G68" s="48" t="inlineStr">
        <is>
          <t>USDA ✓ M21747 + P21747
(grant 2022)</t>
        </is>
      </c>
      <c r="H68" s="48" t="inlineStr">
        <is>
          <t>None found (FSIS unreachable)</t>
        </is>
      </c>
      <c r="I68" s="48" t="inlineStr">
        <is>
          <t>Federal (M21747). Not on public export lists</t>
        </is>
      </c>
      <c r="J68" s="48" t="inlineStr">
        <is>
          <t>None found (FSIS unreachable)</t>
        </is>
      </c>
      <c r="K68" s="48" t="inlineStr">
        <is>
          <t>unknown</t>
        </is>
      </c>
      <c r="L68" s="48" t="inlineStr">
        <is>
          <t>Plausible</t>
        </is>
      </c>
      <c r="M68" s="48" t="inlineStr">
        <is>
          <t>Plausible</t>
        </is>
      </c>
      <c r="N68" s="48" t="inlineStr">
        <is>
          <t>(252) 237-2982</t>
        </is>
      </c>
      <c r="O68" s="23" t="inlineStr">
        <is>
          <t>POSSIBLE</t>
        </is>
      </c>
      <c r="P68" s="48" t="inlineStr">
        <is>
          <t>Med</t>
        </is>
      </c>
      <c r="Q68" s="48" t="inlineStr">
        <is>
          <t>CORRECTION: this is straight FEDERAL, not Talmadge-Aiken. ~4 miles from Custom Quality Packers — core of the Wilson cluster.</t>
        </is>
      </c>
    </row>
    <row r="69" ht="58.05" customHeight="1" s="51">
      <c r="A69" s="4" t="inlineStr">
        <is>
          <t>13 multi-species TA plants (roll-up)</t>
        </is>
      </c>
      <c r="B69" s="48" t="inlineStr">
        <is>
          <t>across NC</t>
        </is>
      </c>
      <c r="C69" s="48" t="inlineStr">
        <is>
          <t>Talmadge-Aiken multi-species (incl. swine)</t>
        </is>
      </c>
      <c r="D69" s="48" t="inlineStr">
        <is>
          <t>unknown — est. 10-80 hogs/wk each</t>
        </is>
      </c>
      <c r="E69" s="22" t="inlineStr">
        <is>
          <t>SMALL
(0-300/wk)</t>
        </is>
      </c>
      <c r="F69" s="48" t="inlineStr">
        <is>
          <t>Yes (C among A-E)</t>
        </is>
      </c>
      <c r="G69" s="48" t="inlineStr">
        <is>
          <t>USDA ✓ Talmadge-Aiken
(interstate/export eligible)</t>
        </is>
      </c>
      <c r="H69" s="48" t="inlineStr">
        <is>
          <t>Not individually researched — Wayne Mays and Wilkes/Thomas Bros carry actions (see their own rows)</t>
        </is>
      </c>
      <c r="I69" s="48" t="inlineStr">
        <is>
          <t>All Talmadge-Aiken = federal-equivalent, so interstate/export eligible in structure. APHIS listing unverified for all</t>
        </is>
      </c>
      <c r="J69" s="48" t="inlineStr">
        <is>
          <t>None found (FSIS unreachable)</t>
        </is>
      </c>
      <c r="K69" s="48" t="inlineStr">
        <is>
          <t>unknown</t>
        </is>
      </c>
      <c r="L69" s="48" t="inlineStr">
        <is>
          <t>Plausible (Model A / aggregation)</t>
        </is>
      </c>
      <c r="M69" s="48" t="inlineStr">
        <is>
          <t>Weak — low hog share</t>
        </is>
      </c>
      <c r="N69" s="48" t="inlineStr">
        <is>
          <t>see notes →</t>
        </is>
      </c>
      <c r="O69" s="23" t="inlineStr">
        <is>
          <t>POSSIBLE</t>
        </is>
      </c>
      <c r="P69" s="48" t="inlineStr">
        <is>
          <t>Med</t>
        </is>
      </c>
      <c r="Q69" s="4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1">
      <c r="A70" s="4" t="inlineStr">
        <is>
          <t>NC state-inspected multi-species (roll-up)</t>
        </is>
      </c>
      <c r="B70" s="48" t="inlineStr">
        <is>
          <t>across NC</t>
        </is>
      </c>
      <c r="C70" s="48" t="inlineStr">
        <is>
          <t>NC STATE-inspected (intrastate only)</t>
        </is>
      </c>
      <c r="D70" s="48" t="inlineStr">
        <is>
          <t>unknown (est. SMALL)</t>
        </is>
      </c>
      <c r="E70" s="22" t="inlineStr">
        <is>
          <t>SMALL
(0-300/wk)</t>
        </is>
      </c>
      <c r="F70" s="48" t="inlineStr">
        <is>
          <t>Yes</t>
        </is>
      </c>
      <c r="G70" s="48" t="inlineStr">
        <is>
          <t>STATE only
(NOT USDA — FLAG)</t>
        </is>
      </c>
      <c r="H70" s="48" t="inlineStr">
        <is>
          <t>State-inspected — not in FSIS data by construction</t>
        </is>
      </c>
      <c r="I70" s="48" t="inlineStr">
        <is>
          <t>State-inspected — intrastate NC only (FLAG for export)</t>
        </is>
      </c>
      <c r="J70" s="48" t="inlineStr">
        <is>
          <t>Not in FSIS data by construction</t>
        </is>
      </c>
      <c r="K70" s="48" t="inlineStr">
        <is>
          <t>unknown</t>
        </is>
      </c>
      <c r="L70" s="48" t="inlineStr">
        <is>
          <t>Plausible</t>
        </is>
      </c>
      <c r="M70" s="48" t="inlineStr">
        <is>
          <t>Implausible</t>
        </is>
      </c>
      <c r="N70" s="48" t="inlineStr">
        <is>
          <t>see notes →</t>
        </is>
      </c>
      <c r="O70" s="23" t="inlineStr">
        <is>
          <t>CAUTION</t>
        </is>
      </c>
      <c r="P70" s="48" t="inlineStr">
        <is>
          <t>Med</t>
        </is>
      </c>
      <c r="Q70" s="48" t="inlineStr">
        <is>
          <t>⚠ DOMESTIC-ONLY LANE: state-inspected. Per the client's confirmation on Nahunta, treat every state-inspected plant as US-domestic only — usable for the domestic programme, NOT for EU-bound product. || NEW: Crawley's Abattoir P-101 (Morganton); Farmington Meat P-381 (Mocksville); Gale McLamb Meats P-221 (Dunn); K&amp;B Meat P-55 (Bryson City); McLamb's Abattoir P-247 (Benson); Quaqua Creek Farm P-375 (Ruffin). Intrastate NC sales only.</t>
        </is>
      </c>
    </row>
    <row r="71" ht="58.05" customHeight="1" s="51">
      <c r="A71" s="4" t="inlineStr">
        <is>
          <t>Frank Corriher Beef and Sausage</t>
        </is>
      </c>
      <c r="B71" s="48" t="inlineStr">
        <is>
          <t>China Grove, NC (Rowan)</t>
        </is>
      </c>
      <c r="C71" s="48" t="inlineStr">
        <is>
          <t>TA — AMBIGUOUS record</t>
        </is>
      </c>
      <c r="D71" s="48" t="inlineStr">
        <is>
          <t>unknown</t>
        </is>
      </c>
      <c r="E71" s="24" t="inlineStr">
        <is>
          <t>unknown
(confirm)</t>
        </is>
      </c>
      <c r="F71" s="48" t="inlineStr">
        <is>
          <t>Ambiguous — see notes</t>
        </is>
      </c>
      <c r="G71" s="48" t="inlineStr">
        <is>
          <t>USDA ✓ TA-21022 / M21022</t>
        </is>
      </c>
      <c r="H71" s="48" t="inlineStr">
        <is>
          <t>None found</t>
        </is>
      </c>
      <c r="I71" s="48" t="inlineStr">
        <is>
          <t>TA/federal number exists — verify</t>
        </is>
      </c>
      <c r="J71" s="48" t="inlineStr">
        <is>
          <t>None found</t>
        </is>
      </c>
      <c r="K71" s="48" t="inlineStr">
        <is>
          <t>unknown</t>
        </is>
      </c>
      <c r="L71" s="48" t="inlineStr">
        <is>
          <t>Unknown</t>
        </is>
      </c>
      <c r="M71" s="48" t="inlineStr">
        <is>
          <t>Unknown</t>
        </is>
      </c>
      <c r="N71" s="48" t="inlineStr">
        <is>
          <t>(704) 857-5519</t>
        </is>
      </c>
      <c r="O71" s="23" t="inlineStr">
        <is>
          <t>CAUTION</t>
        </is>
      </c>
      <c r="P71" s="48" t="inlineStr">
        <is>
          <t>Low</t>
        </is>
      </c>
      <c r="Q71" s="48" t="inlineStr">
        <is>
          <t>DATA ANOMALY: NCDA lists Activities='Processing' but populates Slaughter Species='C' — every other processing-only plant leaves that blank. Either a stale slaughter grant or a data error. Worth ONE phone call.</t>
        </is>
      </c>
    </row>
    <row r="72" ht="58.05" customHeight="1" s="51">
      <c r="A72" s="4" t="inlineStr">
        <is>
          <t>Deer Shack Processing</t>
        </is>
      </c>
      <c r="B72" s="48" t="inlineStr">
        <is>
          <t>Mount Holly, NC (Gaston)</t>
        </is>
      </c>
      <c r="C72" s="48" t="inlineStr">
        <is>
          <t>CUSTOM-EXEMPT</t>
        </is>
      </c>
      <c r="D72" s="48" t="inlineStr">
        <is>
          <t>unknown</t>
        </is>
      </c>
      <c r="E72" s="24" t="inlineStr">
        <is>
          <t>unknown
(confirm)</t>
        </is>
      </c>
      <c r="F72" s="48" t="inlineStr">
        <is>
          <t>Yes — SWINE-ONLY</t>
        </is>
      </c>
      <c r="G72" s="48" t="inlineStr">
        <is>
          <t>CUSTOM-EXEMPT
(no inspection, no sale)</t>
        </is>
      </c>
      <c r="H72" s="48" t="inlineStr">
        <is>
          <t>Custom-exempt — outside FSIS enforcement</t>
        </is>
      </c>
      <c r="I72" s="48" t="inlineStr">
        <is>
          <t>Custom-exempt — not saleable, not exportable</t>
        </is>
      </c>
      <c r="J72" s="48" t="inlineStr">
        <is>
          <t>n/a</t>
        </is>
      </c>
      <c r="K72" s="48" t="inlineStr">
        <is>
          <t>n/a</t>
        </is>
      </c>
      <c r="L72" s="48" t="inlineStr">
        <is>
          <t>Not usable for a regulated chain</t>
        </is>
      </c>
      <c r="M72" s="48" t="inlineStr">
        <is>
          <t>No</t>
        </is>
      </c>
      <c r="N72" s="48" t="inlineStr">
        <is>
          <t>(704) 718-9135</t>
        </is>
      </c>
      <c r="O72" s="28" t="inlineStr">
        <is>
          <t>OUT / FLAG</t>
        </is>
      </c>
      <c r="P72" s="48" t="inlineStr">
        <is>
          <t>Med</t>
        </is>
      </c>
      <c r="Q72" s="48" t="inlineStr">
        <is>
          <t>Custom-exempt: owner-return only, product cannot be sold. Listed for completeness.</t>
        </is>
      </c>
    </row>
    <row r="73" ht="58.05" customHeight="1" s="51">
      <c r="A73" s="4" t="inlineStr">
        <is>
          <t>Randolph Packing / Harpley's</t>
        </is>
      </c>
      <c r="B73" s="48" t="inlineStr">
        <is>
          <t>Asheboro, NC</t>
        </is>
      </c>
      <c r="C73" s="48" t="inlineStr">
        <is>
          <t>BEEF packer — EXCLUDED</t>
        </is>
      </c>
      <c r="D73" s="48" t="inlineStr">
        <is>
          <t>n/a — ~350-400 CATTLE/day</t>
        </is>
      </c>
      <c r="E73" s="24" t="inlineStr">
        <is>
          <t>n/a</t>
        </is>
      </c>
      <c r="F73" s="48" t="inlineStr">
        <is>
          <t>NO — beef only</t>
        </is>
      </c>
      <c r="G73" s="48" t="inlineStr">
        <is>
          <t>USDA ✓</t>
        </is>
      </c>
      <c r="H73" s="48" t="inlineStr">
        <is>
          <t>n/a — beef plant, excluded</t>
        </is>
      </c>
      <c r="I73" s="48" t="inlineStr">
        <is>
          <t>n/a</t>
        </is>
      </c>
      <c r="J73" s="48" t="inlineStr">
        <is>
          <t>n/a</t>
        </is>
      </c>
      <c r="K73" s="48" t="inlineStr">
        <is>
          <t>n/a</t>
        </is>
      </c>
      <c r="L73" s="48" t="inlineStr">
        <is>
          <t>No</t>
        </is>
      </c>
      <c r="M73" s="48" t="inlineStr">
        <is>
          <t>No</t>
        </is>
      </c>
      <c r="N73" s="48" t="inlineStr">
        <is>
          <t>—</t>
        </is>
      </c>
      <c r="O73" s="28" t="inlineStr">
        <is>
          <t>OUT / FLAG</t>
        </is>
      </c>
      <c r="P73" s="48" t="inlineStr">
        <is>
          <t>Med-High</t>
        </is>
      </c>
      <c r="Q73" s="48" t="inlineStr">
        <is>
          <t>VERIFIED EXCLUSION (saves a trip): looks like a large slaughter plant and is an NCMPA member, but it is BEEF — 30th-largest US beef packer. No hog slaughter found.</t>
        </is>
      </c>
    </row>
    <row r="74" ht="19.95" customHeight="1" s="51">
      <c r="A74" s="52" t="inlineStr">
        <is>
          <t>SOUTH CAROLINA — NEWLY FOUND (Clemson SCMPID official workbook)</t>
        </is>
      </c>
    </row>
    <row r="75" ht="58.05" customHeight="1" s="51">
      <c r="A75" s="4" t="inlineStr">
        <is>
          <t>SC 'Cross Utilization Federal' slaughter plants (roll-up)</t>
        </is>
      </c>
      <c r="B75" s="48" t="inlineStr">
        <is>
          <t>SC</t>
        </is>
      </c>
      <c r="C75" s="48" t="inlineStr">
        <is>
          <t>FEDERAL est. inspected by SC state staff (SC's Talmadge-Aiken analogue)</t>
        </is>
      </c>
      <c r="D75" s="48" t="inlineStr">
        <is>
          <t>unknown</t>
        </is>
      </c>
      <c r="E75" s="24" t="inlineStr">
        <is>
          <t>unknown
(confirm)</t>
        </is>
      </c>
      <c r="F75" s="48" t="inlineStr">
        <is>
          <t>CONFIRM — no species column in SC file</t>
        </is>
      </c>
      <c r="G75" s="48" t="inlineStr">
        <is>
          <t>USDA federal-equivalent
(interstate/export eligible)</t>
        </is>
      </c>
      <c r="H75" s="48" t="inlineStr">
        <is>
          <t>None found — and SC LEGALLY REFUSES to release humane records, so screening returns false negatives by construction</t>
        </is>
      </c>
      <c r="I75" s="48" t="inlineStr">
        <is>
          <t>Federal-equivalent — SC's ONLY export-eligible slaughter route. APHIS listing unverified</t>
        </is>
      </c>
      <c r="J75" s="48" t="inlineStr">
        <is>
          <t>None found</t>
        </is>
      </c>
      <c r="K75" s="48" t="inlineStr">
        <is>
          <t>unknown</t>
        </is>
      </c>
      <c r="L75" s="48" t="inlineStr">
        <is>
          <t>Plausible</t>
        </is>
      </c>
      <c r="M75" s="48" t="inlineStr">
        <is>
          <t>Plausible</t>
        </is>
      </c>
      <c r="N75" s="48" t="inlineStr">
        <is>
          <t>see notes →</t>
        </is>
      </c>
      <c r="O75" s="23" t="inlineStr">
        <is>
          <t>POSSIBLE</t>
        </is>
      </c>
      <c r="P75" s="48" t="inlineStr">
        <is>
          <t>Med</t>
        </is>
      </c>
      <c r="Q75" s="4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1">
      <c r="A76" s="4" t="inlineStr">
        <is>
          <t>SC state-inspected slaughter plants (roll-up)</t>
        </is>
      </c>
      <c r="B76" s="48" t="inlineStr">
        <is>
          <t>SC</t>
        </is>
      </c>
      <c r="C76" s="48" t="inlineStr">
        <is>
          <t>SC STATE-inspected (intrastate only)</t>
        </is>
      </c>
      <c r="D76" s="48" t="inlineStr">
        <is>
          <t>unknown (est. SMALL)</t>
        </is>
      </c>
      <c r="E76" s="22" t="inlineStr">
        <is>
          <t>SMALL
(0-300/wk)</t>
        </is>
      </c>
      <c r="F76" s="48" t="inlineStr">
        <is>
          <t>CONFIRM — no species column</t>
        </is>
      </c>
      <c r="G76" s="48" t="inlineStr">
        <is>
          <t>STATE only
(NOT USDA — FLAG)</t>
        </is>
      </c>
      <c r="H76" s="48" t="inlineStr">
        <is>
          <t>SC law blocks release of humane-handling records — public screening is unreliable by construction</t>
        </is>
      </c>
      <c r="I76" s="48" t="inlineStr">
        <is>
          <t>State-inspected — intrastate SC only</t>
        </is>
      </c>
      <c r="J76" s="48" t="inlineStr">
        <is>
          <t>SC LEGALLY REFUSES to release humane-handling records — screening returns false negatives by construction</t>
        </is>
      </c>
      <c r="K76" s="48" t="inlineStr">
        <is>
          <t>unknown</t>
        </is>
      </c>
      <c r="L76" s="48" t="inlineStr">
        <is>
          <t>Plausible</t>
        </is>
      </c>
      <c r="M76" s="48" t="inlineStr">
        <is>
          <t>Implausible</t>
        </is>
      </c>
      <c r="N76" s="48" t="inlineStr">
        <is>
          <t>see notes →</t>
        </is>
      </c>
      <c r="O76" s="23" t="inlineStr">
        <is>
          <t>CAUTION</t>
        </is>
      </c>
      <c r="P76" s="48" t="inlineStr">
        <is>
          <t>Med</t>
        </is>
      </c>
      <c r="Q76" s="48" t="inlineStr">
        <is>
          <t>⚠ DOMESTIC-ONLY LANE: state-inspected. Per the client's confirmation on Nahunta, treat every state-inspected plant as US-domestic only — usable for the domestic programme, NOT for EU-bound product.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1">
      <c r="A77" s="52" t="inlineStr">
        <is>
          <t>TENNESSEE &amp; VIRGINIA — SOW plants and corrections</t>
        </is>
      </c>
    </row>
    <row r="78" ht="58.05" customHeight="1" s="51">
      <c r="A78" s="4" t="inlineStr">
        <is>
          <t>Swaggerty Sausage Co.</t>
        </is>
      </c>
      <c r="B78" s="48" t="inlineStr">
        <is>
          <t>Kodak, TN (Sevier)</t>
        </is>
      </c>
      <c r="C78" s="48" t="inlineStr">
        <is>
          <t>USDA federal — PRIMARILY SOWS</t>
        </is>
      </c>
      <c r="D78" s="48" t="inlineStr">
        <is>
          <t>~4,250/wk (850 hd/day)</t>
        </is>
      </c>
      <c r="E78" s="27" t="inlineStr">
        <is>
          <t>MEDIUM-HIGH
(2,500-5,000/wk)</t>
        </is>
      </c>
      <c r="F78" s="48" t="inlineStr">
        <is>
          <t>Yes — SOWS</t>
        </is>
      </c>
      <c r="G78" s="48" t="inlineStr">
        <is>
          <t>USDA ✓ M8314 + V8314</t>
        </is>
      </c>
      <c r="H78" s="25" t="inlineStr">
        <is>
          <t>⚠ Two TN OSHA machine-guarding actions (2018 complaint-driven, 2024 planned; same 1910.212(a)(1) standard 6 yrs apart)</t>
        </is>
      </c>
      <c r="I78" s="48" t="inlineStr">
        <is>
          <t>Federal (M8314). Not confirmed on public export lists</t>
        </is>
      </c>
      <c r="J78" s="48" t="inlineStr">
        <is>
          <t>⚠ Two TN OSHA machine-guarding actions 6 yrs apart (2018, 2024, same standard) — worker-welfare flag</t>
        </is>
      </c>
      <c r="K78" s="48" t="inlineStr">
        <is>
          <t>No existing organ programme — would have to be BUILT</t>
        </is>
      </c>
      <c r="L78" s="48" t="inlineStr">
        <is>
          <t>Possible</t>
        </is>
      </c>
      <c r="M78" s="48" t="inlineStr">
        <is>
          <t>Plausible</t>
        </is>
      </c>
      <c r="N78" s="48" t="inlineStr">
        <is>
          <t>2827 Swaggerty Rd, Kodak TN 37764</t>
        </is>
      </c>
      <c r="O78" s="23" t="inlineStr">
        <is>
          <t>POSSIBLE</t>
        </is>
      </c>
      <c r="P78" s="48" t="inlineStr">
        <is>
          <t>Med</t>
        </is>
      </c>
      <c r="Q78" s="48" t="inlineStr">
        <is>
          <t>#7 US SOW plant; 50,000 sq ft expansion recently online. MEDIUM-HIGH tier. Sow anatomy is closer to adult human scale — potentially an ADVANTAGE for pelvic/bariatric blocks. Confirm against the anatomical spec.</t>
        </is>
      </c>
    </row>
    <row r="79" ht="58.05" customHeight="1" s="51">
      <c r="A79" s="4" t="inlineStr">
        <is>
          <t>Wampler's Farm Sausage Co.</t>
        </is>
      </c>
      <c r="B79" s="48" t="inlineStr">
        <is>
          <t>Lenoir City, TN (Loudon)</t>
        </is>
      </c>
      <c r="C79" s="48" t="inlineStr">
        <is>
          <t>USDA federal — PRIMARILY SOWS</t>
        </is>
      </c>
      <c r="D79" s="48" t="inlineStr">
        <is>
          <t>~1,500/wk (300 hd/day)</t>
        </is>
      </c>
      <c r="E79" s="20" t="inlineStr">
        <is>
          <t>MEDIUM
(350-2,500/wk)</t>
        </is>
      </c>
      <c r="F79" s="48" t="inlineStr">
        <is>
          <t>Yes — SOWS</t>
        </is>
      </c>
      <c r="G79" s="48" t="inlineStr">
        <is>
          <t>USDA ✓ M9065 + P9065 + V9065</t>
        </is>
      </c>
      <c r="H79" s="48" t="inlineStr">
        <is>
          <t>None found in FSIS enforcement. Labour flag: production hiring via 3 staffing agencies at $12-14/hr</t>
        </is>
      </c>
      <c r="I79" s="48" t="inlineStr">
        <is>
          <t>Federal (M9065). Not confirmed on public export lists</t>
        </is>
      </c>
      <c r="J79" s="48" t="inlineStr">
        <is>
          <t>Family-owned since 1937 BUT production hiring routes through 3 staffing agencies at $12-14/hr — against the tenure criterion</t>
        </is>
      </c>
      <c r="K79" s="48" t="inlineStr">
        <is>
          <t>unknown</t>
        </is>
      </c>
      <c r="L79" s="48" t="inlineStr">
        <is>
          <t>Possible</t>
        </is>
      </c>
      <c r="M79" s="48" t="inlineStr">
        <is>
          <t>Plausible</t>
        </is>
      </c>
      <c r="N79" s="48" t="inlineStr">
        <is>
          <t>(865) 986-2056
781 Highway 70 W</t>
        </is>
      </c>
      <c r="O79" s="23" t="inlineStr">
        <is>
          <t>POSSIBLE</t>
        </is>
      </c>
      <c r="P79" s="48" t="inlineStr">
        <is>
          <t>Med</t>
        </is>
      </c>
      <c r="Q79" s="48" t="inlineStr">
        <is>
          <t>FSIS activities confirmed to include Meat Slaughter (not processing-only). MEDIUM tier, SOW plant. Identity trap: the '73-year employee' story belongs to Family Brands LLC (M6515), a different Wampler plant in the same town.</t>
        </is>
      </c>
    </row>
    <row r="80" ht="58.05" customHeight="1" s="51">
      <c r="A80" s="4" t="inlineStr">
        <is>
          <t>Tyson (Hillshire / Jimmy Dean) — Newbern</t>
        </is>
      </c>
      <c r="B80" s="48" t="inlineStr">
        <is>
          <t>Newbern, TN (Dyer)</t>
        </is>
      </c>
      <c r="C80" s="48" t="inlineStr">
        <is>
          <t>Industrial — PRIMARILY SOWS</t>
        </is>
      </c>
      <c r="D80" s="48" t="inlineStr">
        <is>
          <t>~14,000/wk (2,800 hd/day)</t>
        </is>
      </c>
      <c r="E80" s="26" t="inlineStr">
        <is>
          <t>HIGH
(&gt;5,000/wk)</t>
        </is>
      </c>
      <c r="F80" s="48" t="inlineStr">
        <is>
          <t>Yes — SOWS</t>
        </is>
      </c>
      <c r="G80" s="48" t="inlineStr">
        <is>
          <t>USDA ✓</t>
        </is>
      </c>
      <c r="H80" s="48" t="inlineStr">
        <is>
          <t>Not individually researched</t>
        </is>
      </c>
      <c r="I80" s="48" t="inlineStr">
        <is>
          <t>Federal. Export status not researched</t>
        </is>
      </c>
      <c r="J80" s="48" t="inlineStr">
        <is>
          <t>Corporate industrial</t>
        </is>
      </c>
      <c r="K80" s="48" t="inlineStr">
        <is>
          <t>unknown</t>
        </is>
      </c>
      <c r="L80" s="48" t="inlineStr">
        <is>
          <t>Low plausibility</t>
        </is>
      </c>
      <c r="M80" s="48" t="inlineStr">
        <is>
          <t>Model B only</t>
        </is>
      </c>
      <c r="N80" s="48" t="inlineStr">
        <is>
          <t>—</t>
        </is>
      </c>
      <c r="O80" s="23" t="inlineStr">
        <is>
          <t>POSSIBLE</t>
        </is>
      </c>
      <c r="P80" s="48" t="inlineStr">
        <is>
          <t>Med</t>
        </is>
      </c>
      <c r="Q80" s="48" t="inlineStr">
        <is>
          <t>#3 US SOW plant. HIGH tier — access, not volume, is the constraint. Corporate conversation, not a plant conversation.</t>
        </is>
      </c>
    </row>
    <row r="81" ht="58.05" customHeight="1" s="51">
      <c r="A81" s="4" t="inlineStr">
        <is>
          <t>Gunnoe Sausage Co.</t>
        </is>
      </c>
      <c r="B81" s="48" t="inlineStr">
        <is>
          <t>Goode, VA (Bedford)</t>
        </is>
      </c>
      <c r="C81" s="48" t="inlineStr">
        <is>
          <t>Dedicated SOW slaughterhouse since 1965</t>
        </is>
      </c>
      <c r="D81" s="48" t="inlineStr">
        <is>
          <t>~450/wk (110 hd/day 2016 → 90/day 2017, DECLINING)</t>
        </is>
      </c>
      <c r="E81" s="20" t="inlineStr">
        <is>
          <t>MEDIUM
(350-2,500/wk)</t>
        </is>
      </c>
      <c r="F81" s="48" t="inlineStr">
        <is>
          <t>Yes — SOWS</t>
        </is>
      </c>
      <c r="G81" s="48" t="inlineStr">
        <is>
          <t>unknown — est. no. NOT captured</t>
        </is>
      </c>
      <c r="H81" s="48" t="inlineStr">
        <is>
          <t>None found (FSIS unreachable)</t>
        </is>
      </c>
      <c r="I81" s="48" t="inlineStr">
        <is>
          <t>Establishment number not captured — inspection + export status UNKNOWN</t>
        </is>
      </c>
      <c r="J81" s="48" t="inlineStr">
        <is>
          <t>None found</t>
        </is>
      </c>
      <c r="K81" s="48" t="inlineStr">
        <is>
          <t>unknown</t>
        </is>
      </c>
      <c r="L81" s="48" t="inlineStr">
        <is>
          <t>Plausible (small family op)</t>
        </is>
      </c>
      <c r="M81" s="48" t="inlineStr">
        <is>
          <t>Plausible</t>
        </is>
      </c>
      <c r="N81" s="48" t="inlineStr">
        <is>
          <t>(540) 586-1091
3989 Cifax Rd · gunnoesausage.com</t>
        </is>
      </c>
      <c r="O81" s="23" t="inlineStr">
        <is>
          <t>POSSIBLE</t>
        </is>
      </c>
      <c r="P81" s="48" t="inlineStr">
        <is>
          <t>Med</t>
        </is>
      </c>
      <c r="Q81" s="4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1">
      <c r="A82" s="4" t="inlineStr">
        <is>
          <t>VIRGINIA — coverage gap (action required)</t>
        </is>
      </c>
      <c r="B82" s="48" t="inlineStr">
        <is>
          <t>VA statewide</t>
        </is>
      </c>
      <c r="C82" s="48" t="inlineStr">
        <is>
          <t>n/a — enumeration incomplete</t>
        </is>
      </c>
      <c r="D82" s="48" t="inlineStr">
        <is>
          <t>n/a</t>
        </is>
      </c>
      <c r="E82" s="24" t="inlineStr">
        <is>
          <t>n/a</t>
        </is>
      </c>
      <c r="F82" s="48" t="inlineStr">
        <is>
          <t>n/a</t>
        </is>
      </c>
      <c r="G82" s="48" t="inlineStr">
        <is>
          <t>VDACS publishes NO online directory</t>
        </is>
      </c>
      <c r="H82" s="48" t="inlineStr">
        <is>
          <t>n/a</t>
        </is>
      </c>
      <c r="I82" s="48" t="inlineStr">
        <is>
          <t>n/a</t>
        </is>
      </c>
      <c r="J82" s="48" t="inlineStr">
        <is>
          <t>n/a</t>
        </is>
      </c>
      <c r="K82" s="48" t="inlineStr">
        <is>
          <t>n/a</t>
        </is>
      </c>
      <c r="L82" s="48" t="inlineStr">
        <is>
          <t>n/a</t>
        </is>
      </c>
      <c r="M82" s="48" t="inlineStr">
        <is>
          <t>n/a</t>
        </is>
      </c>
      <c r="N82" s="48" t="inlineStr">
        <is>
          <t>VDACS 804-786-4569
omps@vdacs.virginia.gov</t>
        </is>
      </c>
      <c r="O82" s="23" t="inlineStr">
        <is>
          <t>CAUTION</t>
        </is>
      </c>
      <c r="P82" s="48" t="inlineStr">
        <is>
          <t>High</t>
        </is>
      </c>
      <c r="Q82" s="4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1">
      <c r="A83" s="52" t="inlineStr">
        <is>
          <t>MEDIUM-HIGH BAND (2,500-5,000/wk) — FSIS category-4 sweep, the enumerable universe</t>
        </is>
      </c>
    </row>
    <row r="84" ht="58.05" customHeight="1" s="51">
      <c r="A84" s="4" t="inlineStr">
        <is>
          <t>Swaggerty Sausage Company</t>
        </is>
      </c>
      <c r="B84" s="48" t="inlineStr">
        <is>
          <t>Kodak, TN (Sevier)</t>
        </is>
      </c>
      <c r="C84" s="48" t="inlineStr">
        <is>
          <t>Captive SOW abattoir + sausage mfr (FSIS 'Large')</t>
        </is>
      </c>
      <c r="D84" s="48" t="inlineStr">
        <is>
          <t>~4,250/wk (850 hd/day EMI 2017; cat-4 confirms ≥2,000/wk)</t>
        </is>
      </c>
      <c r="E84" s="27" t="inlineStr">
        <is>
          <t>MEDIUM-HIGH
(2,500-5,000/wk)</t>
        </is>
      </c>
      <c r="F84" s="48" t="inlineStr">
        <is>
          <t>Yes — SOW ONLY (FSIS flags: sow=TRUE, market=FALSE)</t>
        </is>
      </c>
      <c r="G84" s="48" t="inlineStr">
        <is>
          <t>USDA ✓ M8314 + V8314 (V = voluntary grant)</t>
        </is>
      </c>
      <c r="H84" s="48" t="inlineStr">
        <is>
          <t>See the Welfare &amp; culture column — enforcement detail is carried there for these rows</t>
        </is>
      </c>
      <c r="I84" s="48" t="inlineStr">
        <is>
          <t>Not verified — APHIS publishes no searchable list; confirm with APHIS VS</t>
        </is>
      </c>
      <c r="J84" s="48" t="inlineStr">
        <is>
          <t>NO suspension in ANY FSIS QER FY2024Q1-FY2026Q2 (no public record ≠ clean). Prior TN OSHA machine-guarding actions 2018 &amp; 2024</t>
        </is>
      </c>
      <c r="K84" s="48" t="inlineStr">
        <is>
          <t>No existing organ programme — would be built. V-grant is useful for non-amenable/research material</t>
        </is>
      </c>
      <c r="L84" s="48" t="inlineStr">
        <is>
          <t>Plausible — single site, family-owned, decision-maker reachable</t>
        </is>
      </c>
      <c r="M84" s="48" t="inlineStr">
        <is>
          <t>Plausible</t>
        </is>
      </c>
      <c r="N84" s="48" t="inlineStr">
        <is>
          <t>(865) 933-2625
2827 Swaggerty Rd, Kodak TN 37764</t>
        </is>
      </c>
      <c r="O84" s="20" t="inlineStr">
        <is>
          <t>STRONG FIT</t>
        </is>
      </c>
      <c r="P84" s="48" t="inlineStr">
        <is>
          <t>Med-High</t>
        </is>
      </c>
      <c r="Q84" s="4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1">
      <c r="A85" s="4" t="inlineStr">
        <is>
          <t>Peoria Packing, Ltd.</t>
        </is>
      </c>
      <c r="B85" s="48" t="inlineStr">
        <is>
          <t>Grant Park, IL (slaughter)</t>
        </is>
      </c>
      <c r="C85" s="48" t="inlineStr">
        <is>
          <t>USDA federal slaughter; sister processing plant in Chicago</t>
        </is>
      </c>
      <c r="D85" s="48" t="inlineStr">
        <is>
          <t>~3,000/wk (600 hd/day EMI 2017; cat-4)</t>
        </is>
      </c>
      <c r="E85" s="27" t="inlineStr">
        <is>
          <t>MEDIUM-HIGH
(2,500-5,000/wk)</t>
        </is>
      </c>
      <c r="F85" s="48" t="inlineStr">
        <is>
          <t>Yes — MARKET HOGS (butcher hogs 180-230 lb)</t>
        </is>
      </c>
      <c r="G85" s="48" t="inlineStr">
        <is>
          <t>USDA ✓ M21651 (slaughter)
Sister M21826+V21826 Chicago = Certification-Export</t>
        </is>
      </c>
      <c r="H85" s="48" t="inlineStr">
        <is>
          <t>See the Welfare &amp; culture column — enforcement detail is carried there for these rows</t>
        </is>
      </c>
      <c r="I85" s="48" t="inlineStr">
        <is>
          <t>Not verified — APHIS publishes no searchable list; confirm with APHIS VS</t>
        </is>
      </c>
      <c r="J85" s="48" t="inlineStr">
        <is>
          <t>NO suspension in any QER FY2024-FY2026 (no public record)</t>
        </is>
      </c>
      <c r="K85" s="4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48" t="inlineStr">
        <is>
          <t>Plausible</t>
        </is>
      </c>
      <c r="M85" s="48" t="inlineStr">
        <is>
          <t>EXCELLENT — already positions as medical/pharma supplier with spec flexibility</t>
        </is>
      </c>
      <c r="N85" s="48" t="inlineStr">
        <is>
          <t>(815) 465-9824 (Grant Park)
(312) 226-2600 (Chicago)</t>
        </is>
      </c>
      <c r="O85" s="20" t="inlineStr">
        <is>
          <t>STRONG FIT</t>
        </is>
      </c>
      <c r="P85" s="48" t="inlineStr">
        <is>
          <t>Med</t>
        </is>
      </c>
      <c r="Q85" s="48" t="inlineStr">
        <is>
          <t>★ BEST UNNAMED FIND — a genuine sleeper nobody had surfaced. Market hogs (not sows) so anatomy is smaller — confirm block dimensions suit the spec. Sister plant is export-certified.</t>
        </is>
      </c>
    </row>
    <row r="86" ht="58.05" customHeight="1" s="51">
      <c r="A86" s="4" t="inlineStr">
        <is>
          <t>Perry Way Foods, LLC (Sustainable Swine Resources)</t>
        </is>
      </c>
      <c r="B86" s="48" t="inlineStr">
        <is>
          <t>Watertown, WI</t>
        </is>
      </c>
      <c r="C86" s="48" t="inlineStr">
        <is>
          <t>SOW abattoir + medical tissue operation</t>
        </is>
      </c>
      <c r="D86" s="48" t="inlineStr">
        <is>
          <t>~4,250/wk (850 hd/day EMI 2017) — LIKELY HIGHER NOW (absorbed Momence volume + 2nd shift)</t>
        </is>
      </c>
      <c r="E86" s="27" t="inlineStr">
        <is>
          <t>MEDIUM-HIGH
(2,500-5,000/wk)</t>
        </is>
      </c>
      <c r="F86" s="48" t="inlineStr">
        <is>
          <t>Yes — SOW ONLY</t>
        </is>
      </c>
      <c r="G86" s="48" t="inlineStr">
        <is>
          <t>USDA ✓ M1962 + P1962</t>
        </is>
      </c>
      <c r="H86" s="48" t="inlineStr">
        <is>
          <t>See the Welfare &amp; culture column — enforcement detail is carried there for these rows</t>
        </is>
      </c>
      <c r="I86" s="48" t="inlineStr">
        <is>
          <t>Not verified — APHIS publishes no searchable list; confirm with APHIS VS</t>
        </is>
      </c>
      <c r="J86" s="48" t="inlineStr">
        <is>
          <t>NO suspension in any QER FY2024-FY2026 (no public record)</t>
        </is>
      </c>
      <c r="K86" s="4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48" t="inlineStr">
        <is>
          <t>⚠ May be REFUSED on channel conflict</t>
        </is>
      </c>
      <c r="M86" s="48" t="inlineStr">
        <is>
          <t>Already built and running — but for their own account</t>
        </is>
      </c>
      <c r="N86" s="48" t="inlineStr">
        <is>
          <t>(920) 261-1053
1222 Perry Way, Watertown WI 53094</t>
        </is>
      </c>
      <c r="O86" s="23" t="inlineStr">
        <is>
          <t>CAUTION</t>
        </is>
      </c>
      <c r="P86" s="48" t="inlineStr">
        <is>
          <t>Med-High</t>
        </is>
      </c>
      <c r="Q86" s="4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1">
      <c r="A87" s="4" t="inlineStr">
        <is>
          <t>Banner Creek, LLC (Sustainable Swine Resources)</t>
        </is>
      </c>
      <c r="B87" s="48" t="inlineStr">
        <is>
          <t>Holton, KS</t>
        </is>
      </c>
      <c r="C87" s="48" t="inlineStr">
        <is>
          <t>SOW abattoir (Johnsonville / SSR)</t>
        </is>
      </c>
      <c r="D87" s="48" t="inlineStr">
        <is>
          <t>~5,500/wk (1,100 hd/day EMI 2017) — at/just above ceiling; likely higher post-Momence</t>
        </is>
      </c>
      <c r="E87" s="26" t="inlineStr">
        <is>
          <t>HIGH
(&gt;5,000/wk)</t>
        </is>
      </c>
      <c r="F87" s="48" t="inlineStr">
        <is>
          <t>Yes — SOW ONLY</t>
        </is>
      </c>
      <c r="G87" s="48" t="inlineStr">
        <is>
          <t>USDA ✓ M5536 + P5536</t>
        </is>
      </c>
      <c r="H87" s="48" t="inlineStr">
        <is>
          <t>See the Welfare &amp; culture column — enforcement detail is carried there for these rows</t>
        </is>
      </c>
      <c r="I87" s="48" t="inlineStr">
        <is>
          <t>Not verified — APHIS publishes no searchable list; confirm with APHIS VS</t>
        </is>
      </c>
      <c r="J87" s="48" t="inlineStr">
        <is>
          <t>NO suspension in any QER FY2024-FY2026 (no public record)</t>
        </is>
      </c>
      <c r="K87" s="48" t="inlineStr">
        <is>
          <t>Same SSR medical-tissue infrastructure as Perry Way (ISO 22442-2, GMP rooms, Customization Center)</t>
        </is>
      </c>
      <c r="L87" s="48" t="inlineStr">
        <is>
          <t>⚠ Same competitor caveat</t>
        </is>
      </c>
      <c r="M87" s="48" t="inlineStr">
        <is>
          <t>Already built for their own account</t>
        </is>
      </c>
      <c r="N87" s="48" t="inlineStr">
        <is>
          <t>(785) 364-3126
619 East 4th St, Holton KS 66436</t>
        </is>
      </c>
      <c r="O87" s="23" t="inlineStr">
        <is>
          <t>CAUTION</t>
        </is>
      </c>
      <c r="P87" s="48" t="inlineStr">
        <is>
          <t>Med</t>
        </is>
      </c>
      <c r="Q87" s="48" t="inlineStr">
        <is>
          <t>Second SSR harvest site. Top-of-band or just over. Same channel-conflict caveat as Perry Way.</t>
        </is>
      </c>
    </row>
    <row r="88" ht="58.05" customHeight="1" s="51">
      <c r="A88" s="4" t="inlineStr">
        <is>
          <t>Calihan Processing Cooperative</t>
        </is>
      </c>
      <c r="B88" s="48" t="inlineStr">
        <is>
          <t>Peoria, IL</t>
        </is>
      </c>
      <c r="C88" s="48" t="inlineStr">
        <is>
          <t>Producer-owned cooperative sow/market abattoir</t>
        </is>
      </c>
      <c r="D88" s="48" t="inlineStr">
        <is>
          <t>~3,500/wk — BEST-VERIFIED FIGURE IN THE BAND ('700 sows per day', company's own site)</t>
        </is>
      </c>
      <c r="E88" s="27" t="inlineStr">
        <is>
          <t>MEDIUM-HIGH
(2,500-5,000/wk)</t>
        </is>
      </c>
      <c r="F88" s="48" t="inlineStr">
        <is>
          <t>Yes — MKT + SOW + boar</t>
        </is>
      </c>
      <c r="G88" s="48" t="inlineStr">
        <is>
          <t>USDA ✓ M6775 + V6775
✅ Certification-Export ON THE GRANT</t>
        </is>
      </c>
      <c r="H88" s="48" t="inlineStr">
        <is>
          <t>See the Welfare &amp; culture column — enforcement detail is carried there for these rows</t>
        </is>
      </c>
      <c r="I88" s="48" t="inlineStr">
        <is>
          <t>Not verified — APHIS publishes no searchable list; confirm with APHIS VS</t>
        </is>
      </c>
      <c r="J88" s="4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48" t="inlineStr">
        <is>
          <t>unknown</t>
        </is>
      </c>
      <c r="L88" s="48" t="inlineStr">
        <is>
          <t>Plausible</t>
        </is>
      </c>
      <c r="M88" s="48" t="inlineStr">
        <is>
          <t>Plausible — new co-op board may welcome new revenue</t>
        </is>
      </c>
      <c r="N88" s="48" t="inlineStr">
        <is>
          <t>(309) 512-7124
One South Street, Peoria IL 61602
Ben Elbert (Plant Mgr) · Jason Jones (EVP Pork)</t>
        </is>
      </c>
      <c r="O88" s="23" t="inlineStr">
        <is>
          <t>CAUTION</t>
        </is>
      </c>
      <c r="P88" s="48" t="inlineStr">
        <is>
          <t>High</t>
        </is>
      </c>
      <c r="Q88" s="4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1">
      <c r="A89" s="4" t="inlineStr">
        <is>
          <t>Clausen Meat Company, Inc.</t>
        </is>
      </c>
      <c r="B89" s="48" t="inlineStr">
        <is>
          <t>Turlock, CA (Merced)</t>
        </is>
      </c>
      <c r="C89" s="48" t="inlineStr">
        <is>
          <t>Federal abattoir; absorbed Jim's Farm Meats (Atwater)</t>
        </is>
      </c>
      <c r="D89" s="48" t="inlineStr">
        <is>
          <t>unknown precisely — cat-4 proves ≥2,000/wk; 2,500-5,000 is an INFERENCE from the absorbed 850 hd/day plant</t>
        </is>
      </c>
      <c r="E89" s="27" t="inlineStr">
        <is>
          <t>MEDIUM-HIGH
(2,500-5,000/wk)</t>
        </is>
      </c>
      <c r="F89" s="48" t="inlineStr">
        <is>
          <t>Yes — MKT + SOW + roaster</t>
        </is>
      </c>
      <c r="G89" s="48" t="inlineStr">
        <is>
          <t>USDA ✓ M325</t>
        </is>
      </c>
      <c r="H89" s="48" t="inlineStr">
        <is>
          <t>See the Welfare &amp; culture column — enforcement detail is carried there for these rows</t>
        </is>
      </c>
      <c r="I89" s="48" t="inlineStr">
        <is>
          <t>Not verified — APHIS publishes no searchable list; confirm with APHIS VS</t>
        </is>
      </c>
      <c r="J89" s="48" t="inlineStr">
        <is>
          <t>🚨 INH suspension 15 Nov 2023 — NOT reinstated until 12 Apr 2024, roughly FIVE MONTHS out. A long suspension; warrants scrutiny</t>
        </is>
      </c>
      <c r="K89" s="48" t="inlineStr">
        <is>
          <t>unknown</t>
        </is>
      </c>
      <c r="L89" s="48" t="inlineStr">
        <is>
          <t>Plausible</t>
        </is>
      </c>
      <c r="M89" s="48" t="inlineStr">
        <is>
          <t>Plausible</t>
        </is>
      </c>
      <c r="N89" s="48" t="inlineStr">
        <is>
          <t>(209) 667-8690
19455 E Clausen Rd, Turlock CA 95380</t>
        </is>
      </c>
      <c r="O89" s="23" t="inlineStr">
        <is>
          <t>CAUTION</t>
        </is>
      </c>
      <c r="P89" s="48" t="inlineStr">
        <is>
          <t>Low-Med</t>
        </is>
      </c>
      <c r="Q89" s="48" t="inlineStr">
        <is>
          <t>The ONLY serious in-band candidate on the WEST COAST, and rare MKT+SOW+roaster flexibility. Volume is an inference, not a published figure — verify volume AND welfare directly.</t>
        </is>
      </c>
    </row>
    <row r="90" ht="19.95" customHeight="1" s="51">
      <c r="A90" s="52" t="inlineStr">
        <is>
          <t>JUST ABOVE BAND (~5,000-7,500/wk) — viable if the ceiling flexes</t>
        </is>
      </c>
    </row>
    <row r="91" ht="58.05" customHeight="1" s="51">
      <c r="A91" s="4" t="inlineStr">
        <is>
          <t>Leidy's, LLC</t>
        </is>
      </c>
      <c r="B91" s="48" t="inlineStr">
        <is>
          <t>Souderton, PA</t>
        </is>
      </c>
      <c r="C91" s="48" t="inlineStr">
        <is>
          <t>USDA federal — MARKET hogs</t>
        </is>
      </c>
      <c r="D91" s="48" t="inlineStr">
        <is>
          <t>~6,750/wk (1,350 hd/day EMI 2017)</t>
        </is>
      </c>
      <c r="E91" s="26" t="inlineStr">
        <is>
          <t>HIGH
(&gt;5,000/wk)</t>
        </is>
      </c>
      <c r="F91" s="48" t="inlineStr">
        <is>
          <t>Yes — MARKET</t>
        </is>
      </c>
      <c r="G91" s="48" t="inlineStr">
        <is>
          <t>USDA ✓ M9520+P9520+V9520
✅ EXPORT-CERTIFIED</t>
        </is>
      </c>
      <c r="H91" s="48" t="inlineStr">
        <is>
          <t>See the Welfare &amp; culture column — enforcement detail is carried there for these rows</t>
        </is>
      </c>
      <c r="I91" s="48" t="inlineStr">
        <is>
          <t>Not verified — APHIS publishes no searchable list; confirm with APHIS VS</t>
        </is>
      </c>
      <c r="J91" s="48" t="inlineStr">
        <is>
          <t>No QER suspension FY2024-FY2026 (no public record)</t>
        </is>
      </c>
      <c r="K91" s="48" t="inlineStr">
        <is>
          <t>unknown</t>
        </is>
      </c>
      <c r="L91" s="48" t="inlineStr">
        <is>
          <t>Plausible</t>
        </is>
      </c>
      <c r="M91" s="48" t="inlineStr">
        <is>
          <t>Plausible</t>
        </is>
      </c>
      <c r="N91" s="48" t="inlineStr">
        <is>
          <t>(215) 723-4606</t>
        </is>
      </c>
      <c r="O91" s="23" t="inlineStr">
        <is>
          <t>POSSIBLE</t>
        </is>
      </c>
      <c r="P91" s="48" t="inlineStr">
        <is>
          <t>Med</t>
        </is>
      </c>
      <c r="Q91" s="48" t="inlineStr">
        <is>
          <t>MID-ATLANTIC and EXPORT-CERTIFIED — relevant to the Pennsylvania-abattoir lead from Animal Biotech. Closest large export-capable plant to the NC operation.</t>
        </is>
      </c>
    </row>
    <row r="92" ht="58.05" customHeight="1" s="51">
      <c r="A92" s="4" t="inlineStr">
        <is>
          <t>Tri Eagle Provisions</t>
        </is>
      </c>
      <c r="B92" s="48" t="inlineStr">
        <is>
          <t>Tippecanoe, IN</t>
        </is>
      </c>
      <c r="C92" s="48" t="inlineStr">
        <is>
          <t>USDA federal — market + roaster</t>
        </is>
      </c>
      <c r="D92" s="48" t="inlineStr">
        <is>
          <t>~5,500/wk (1,100 hd/day EMI 2017)</t>
        </is>
      </c>
      <c r="E92" s="26" t="inlineStr">
        <is>
          <t>HIGH
(&gt;5,000/wk)</t>
        </is>
      </c>
      <c r="F92" s="48" t="inlineStr">
        <is>
          <t>Yes — MKT + roaster</t>
        </is>
      </c>
      <c r="G92" s="48" t="inlineStr">
        <is>
          <t>USDA ✓ M17496</t>
        </is>
      </c>
      <c r="H92" s="48" t="inlineStr">
        <is>
          <t>See the Welfare &amp; culture column — enforcement detail is carried there for these rows</t>
        </is>
      </c>
      <c r="I92" s="48" t="inlineStr">
        <is>
          <t>Not verified — APHIS publishes no searchable list; confirm with APHIS VS</t>
        </is>
      </c>
      <c r="J92" s="48" t="inlineStr">
        <is>
          <t>No QER suspension FY2024-FY2026</t>
        </is>
      </c>
      <c r="K92" s="48" t="inlineStr">
        <is>
          <t>unknown</t>
        </is>
      </c>
      <c r="L92" s="48" t="inlineStr">
        <is>
          <t>Plausible</t>
        </is>
      </c>
      <c r="M92" s="48" t="inlineStr">
        <is>
          <t>Plausible</t>
        </is>
      </c>
      <c r="N92" s="48" t="inlineStr">
        <is>
          <t>(574) 223-4600</t>
        </is>
      </c>
      <c r="O92" s="23" t="inlineStr">
        <is>
          <t>POSSIBLE</t>
        </is>
      </c>
      <c r="P92" s="48" t="inlineStr">
        <is>
          <t>Med</t>
        </is>
      </c>
      <c r="Q92" s="48" t="inlineStr">
        <is>
          <t>DBAs Vin Lee Ron, Maple Creek Packing.</t>
        </is>
      </c>
    </row>
    <row r="93" ht="58.05" customHeight="1" s="51">
      <c r="A93" s="4" t="inlineStr">
        <is>
          <t>Verschoor Meats</t>
        </is>
      </c>
      <c r="B93" s="48" t="inlineStr">
        <is>
          <t>Sioux City, IA</t>
        </is>
      </c>
      <c r="C93" s="48" t="inlineStr">
        <is>
          <t>USDA federal — market + boar</t>
        </is>
      </c>
      <c r="D93" s="48" t="inlineStr">
        <is>
          <t>~6,000/wk (1,200 hd/day EMI 2017)</t>
        </is>
      </c>
      <c r="E93" s="26" t="inlineStr">
        <is>
          <t>HIGH
(&gt;5,000/wk)</t>
        </is>
      </c>
      <c r="F93" s="48" t="inlineStr">
        <is>
          <t>Yes — MKT + boar</t>
        </is>
      </c>
      <c r="G93" s="48" t="inlineStr">
        <is>
          <t>USDA ✓ M363</t>
        </is>
      </c>
      <c r="H93" s="48" t="inlineStr">
        <is>
          <t>See the Welfare &amp; culture column — enforcement detail is carried there for these rows</t>
        </is>
      </c>
      <c r="I93" s="48" t="inlineStr">
        <is>
          <t>Not verified — APHIS publishes no searchable list; confirm with APHIS VS</t>
        </is>
      </c>
      <c r="J93" s="48" t="inlineStr">
        <is>
          <t>No QER suspension FY2024-FY2026</t>
        </is>
      </c>
      <c r="K93" s="48" t="inlineStr">
        <is>
          <t>unknown</t>
        </is>
      </c>
      <c r="L93" s="48" t="inlineStr">
        <is>
          <t>Plausible</t>
        </is>
      </c>
      <c r="M93" s="48" t="inlineStr">
        <is>
          <t>Plausible</t>
        </is>
      </c>
      <c r="N93" s="48" t="inlineStr">
        <is>
          <t>(712) 252-1847</t>
        </is>
      </c>
      <c r="O93" s="23" t="inlineStr">
        <is>
          <t>POSSIBLE</t>
        </is>
      </c>
      <c r="P93" s="48" t="inlineStr">
        <is>
          <t>Med</t>
        </is>
      </c>
      <c r="Q93" s="48" t="inlineStr">
        <is>
          <t>Iowa option just above band.</t>
        </is>
      </c>
    </row>
    <row r="94" ht="58.05" customHeight="1" s="51">
      <c r="A94" s="4" t="inlineStr">
        <is>
          <t>Premium Minnesota Pork</t>
        </is>
      </c>
      <c r="B94" s="48" t="inlineStr">
        <is>
          <t>Luverne, MN</t>
        </is>
      </c>
      <c r="C94" s="48" t="inlineStr">
        <is>
          <t>USDA federal — market</t>
        </is>
      </c>
      <c r="D94" s="48" t="inlineStr">
        <is>
          <t>unknown — FSIS category 4 (≥2,000/wk)</t>
        </is>
      </c>
      <c r="E94" s="24" t="inlineStr">
        <is>
          <t>unknown
(confirm)</t>
        </is>
      </c>
      <c r="F94" s="48" t="inlineStr">
        <is>
          <t>Yes — MARKET</t>
        </is>
      </c>
      <c r="G94" s="48" t="inlineStr">
        <is>
          <t>USDA ✓ M21069L (newer grant, 2022)</t>
        </is>
      </c>
      <c r="H94" s="48" t="inlineStr">
        <is>
          <t>See the Welfare &amp; culture column — enforcement detail is carried there for these rows</t>
        </is>
      </c>
      <c r="I94" s="48" t="inlineStr">
        <is>
          <t>Not verified — APHIS publishes no searchable list; confirm with APHIS VS</t>
        </is>
      </c>
      <c r="J94" s="48" t="inlineStr">
        <is>
          <t>No QER suspension FY2024-FY2026</t>
        </is>
      </c>
      <c r="K94" s="48" t="inlineStr">
        <is>
          <t>unknown</t>
        </is>
      </c>
      <c r="L94" s="48" t="inlineStr">
        <is>
          <t>Plausible</t>
        </is>
      </c>
      <c r="M94" s="48" t="inlineStr">
        <is>
          <t>Plausible</t>
        </is>
      </c>
      <c r="N94" s="48" t="inlineStr">
        <is>
          <t>(712) 752-8666</t>
        </is>
      </c>
      <c r="O94" s="23" t="inlineStr">
        <is>
          <t>POSSIBLE</t>
        </is>
      </c>
      <c r="P94" s="48" t="inlineStr">
        <is>
          <t>Low-Med</t>
        </is>
      </c>
      <c r="Q94" s="48" t="inlineStr">
        <is>
          <t>Newer establishment; volume unpublished.</t>
        </is>
      </c>
    </row>
    <row r="95" ht="19.95" customHeight="1" s="51">
      <c r="A95" s="52" t="inlineStr">
        <is>
          <t>SOW &amp; DUAL-CLASS PLANTS — verified against USDA's own species flags</t>
        </is>
      </c>
    </row>
    <row r="96" ht="69.59999999999999" customHeight="1" s="51">
      <c r="A96" s="4" t="inlineStr">
        <is>
          <t>Pioneer Packing Company, Inc.</t>
        </is>
      </c>
      <c r="B96" s="48" t="inlineStr">
        <is>
          <t>Bowling Green, OH</t>
        </is>
      </c>
      <c r="C96" s="48" t="inlineStr">
        <is>
          <t>PURE SOW/BOAR abattoir (FSIS 'Small')</t>
        </is>
      </c>
      <c r="D96" s="48" t="inlineStr">
        <is>
          <t>~2,250-2,430/wk (450 hd/day EMI 2017, flat)</t>
        </is>
      </c>
      <c r="E96" s="20" t="inlineStr">
        <is>
          <t>MEDIUM
(350-2,500/wk)</t>
        </is>
      </c>
      <c r="F96" s="48" t="inlineStr">
        <is>
          <t>Yes — SOW + BOAR ONLY (market_swine flag BLANK)</t>
        </is>
      </c>
      <c r="G96" s="48" t="inlineStr">
        <is>
          <t>USDA ✓ M372 (grant 2021)</t>
        </is>
      </c>
      <c r="H96" s="48" t="inlineStr">
        <is>
          <t>See the Welfare &amp; culture column — enforcement detail is carried there for these rows</t>
        </is>
      </c>
      <c r="I96" s="48" t="inlineStr">
        <is>
          <t>Not verified — APHIS publishes no searchable list; confirm with APHIS VS</t>
        </is>
      </c>
      <c r="J96" s="48" t="inlineStr">
        <is>
          <t>Not on the current FSIS enforcement page (that page covers only ~Aug 2025-Jul 2026 — NOT a clean record)</t>
        </is>
      </c>
      <c r="K96" s="4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48" t="inlineStr">
        <is>
          <t>STRONG — sow+boar only, single small site, pre-rigor culture</t>
        </is>
      </c>
      <c r="M96" s="48" t="inlineStr">
        <is>
          <t>STRONG — 'harvest to our spec' extends an existing SKU concept rather than creating a new discipline</t>
        </is>
      </c>
      <c r="N96" s="48" t="inlineStr">
        <is>
          <t>(419) 352-5283
510 Napoleon Rd, Bowling Green OH 43402
Mon-Fri 7am-2pm</t>
        </is>
      </c>
      <c r="O96" s="20" t="inlineStr">
        <is>
          <t>STRONG FIT</t>
        </is>
      </c>
      <c r="P96" s="48" t="inlineStr">
        <is>
          <t>Med-High</t>
        </is>
      </c>
      <c r="Q96" s="4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1">
      <c r="A97" s="4" t="inlineStr">
        <is>
          <t>F.B. Purnell Sausage Co.</t>
        </is>
      </c>
      <c r="B97" s="48" t="inlineStr">
        <is>
          <t>Simpsonville, KY</t>
        </is>
      </c>
      <c r="C97" s="48" t="inlineStr">
        <is>
          <t>Sow + market slaughter + sausage mfr</t>
        </is>
      </c>
      <c r="D97" s="48" t="inlineStr">
        <is>
          <t>~2,500-2,700/wk (600/day 2016 → 500/day 2017 — DECLINING)</t>
        </is>
      </c>
      <c r="E97" s="27" t="inlineStr">
        <is>
          <t>MEDIUM-HIGH
(2,500-5,000/wk)</t>
        </is>
      </c>
      <c r="F97" s="48" t="inlineStr">
        <is>
          <t>Yes — BOTH sow AND market (USDA flags both = Yes)</t>
        </is>
      </c>
      <c r="G97" s="48" t="inlineStr">
        <is>
          <t>USDA ✓ M7464 + P7464 (grant 2021; category refreshed 2025-06)</t>
        </is>
      </c>
      <c r="H97" s="48" t="inlineStr">
        <is>
          <t>See the Welfare &amp; culture column — enforcement detail is carried there for these rows</t>
        </is>
      </c>
      <c r="I97" s="48" t="inlineStr">
        <is>
          <t>Not verified — APHIS publishes no searchable list; confirm with APHIS VS</t>
        </is>
      </c>
      <c r="J97" s="48" t="inlineStr">
        <is>
          <t>Not on the current FSIS enforcement page (1-yr window only — not a clean record)</t>
        </is>
      </c>
      <c r="K97" s="48" t="inlineStr">
        <is>
          <t>None found</t>
        </is>
      </c>
      <c r="L97" s="48" t="inlineStr">
        <is>
          <t>Plausible — small, family-run, single site, already runs a poultry grant so used to multi-programme oversight</t>
        </is>
      </c>
      <c r="M97" s="48" t="inlineStr">
        <is>
          <t>Plausible, but sausage-focused workflow means viscera likely already committed to rendering</t>
        </is>
      </c>
      <c r="N97" s="48" t="inlineStr">
        <is>
          <t>(502) 722-5626
6931 Shelbyville Rd · itsgooo-od.com</t>
        </is>
      </c>
      <c r="O97" s="23" t="inlineStr">
        <is>
          <t>POSSIBLE</t>
        </is>
      </c>
      <c r="P97" s="48" t="inlineStr">
        <is>
          <t>Med</t>
        </is>
      </c>
      <c r="Q97" s="48" t="inlineStr">
        <is>
          <t>BEST DUAL-CLASS SUPPLY: the only plant flagged for BOTH sow and market-hog slaughter, so animal class can be specced PER TISSUE BLOCK. Volume trend was downward 2016→2017.</t>
        </is>
      </c>
    </row>
    <row r="98" ht="58.05" customHeight="1" s="51">
      <c r="A98" s="4" t="inlineStr">
        <is>
          <t>BEF Foods (Bob Evans) — Xenia</t>
        </is>
      </c>
      <c r="B98" s="48" t="inlineStr">
        <is>
          <t>Xenia, OH</t>
        </is>
      </c>
      <c r="C98" s="48" t="inlineStr">
        <is>
          <t>SOW-ONLY abattoir; Post Holdings subsidiary</t>
        </is>
      </c>
      <c r="D98" s="48" t="inlineStr">
        <is>
          <t>~2,500-2,700/wk (500 hd/day, flat)</t>
        </is>
      </c>
      <c r="E98" s="27" t="inlineStr">
        <is>
          <t>MEDIUM-HIGH
(2,500-5,000/wk)</t>
        </is>
      </c>
      <c r="F98" s="48" t="inlineStr">
        <is>
          <t>Yes — SOW ONLY</t>
        </is>
      </c>
      <c r="G98" s="48" t="inlineStr">
        <is>
          <t>USDA ✓ M6785 (grant 2020)</t>
        </is>
      </c>
      <c r="H98" s="48" t="inlineStr">
        <is>
          <t>See the Welfare &amp; culture column — enforcement detail is carried there for these rows</t>
        </is>
      </c>
      <c r="I98" s="48" t="inlineStr">
        <is>
          <t>Not verified — APHIS publishes no searchable list; confirm with APHIS VS</t>
        </is>
      </c>
      <c r="J98" s="4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48" t="inlineStr">
        <is>
          <t>None found</t>
        </is>
      </c>
      <c r="L98" s="48" t="inlineStr">
        <is>
          <t>WEAK-MEDIUM — big-corporate parent means legal/insurance friction for third-party staff on the kill floor</t>
        </is>
      </c>
      <c r="M98" s="48" t="inlineStr">
        <is>
          <t>MEDIUM</t>
        </is>
      </c>
      <c r="N98" s="48" t="inlineStr">
        <is>
          <t>(937) 372-4494
640 Birch Rd, Xenia OH 45385</t>
        </is>
      </c>
      <c r="O98" s="23" t="inlineStr">
        <is>
          <t>CAUTION</t>
        </is>
      </c>
      <c r="P98" s="48" t="inlineStr">
        <is>
          <t>Med-High</t>
        </is>
      </c>
      <c r="Q98" s="4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1">
      <c r="A99" s="4" t="inlineStr">
        <is>
          <t>BEF Foods (Bob Evans) — Hillsdale</t>
        </is>
      </c>
      <c r="B99" s="48" t="inlineStr">
        <is>
          <t>Hillsdale, MI</t>
        </is>
      </c>
      <c r="C99" s="48" t="inlineStr">
        <is>
          <t>SOW-ONLY abattoir (open since 1964)</t>
        </is>
      </c>
      <c r="D99" s="48" t="inlineStr">
        <is>
          <t>~2,500-2,700/wk (500 hd/day)</t>
        </is>
      </c>
      <c r="E99" s="27" t="inlineStr">
        <is>
          <t>MEDIUM-HIGH
(2,500-5,000/wk)</t>
        </is>
      </c>
      <c r="F99" s="48" t="inlineStr">
        <is>
          <t>Yes — SOW ONLY</t>
        </is>
      </c>
      <c r="G99" s="48" t="inlineStr">
        <is>
          <t>USDA ✓ M952 (grant 2021)</t>
        </is>
      </c>
      <c r="H99" s="48" t="inlineStr">
        <is>
          <t>See the Welfare &amp; culture column — enforcement detail is carried there for these rows</t>
        </is>
      </c>
      <c r="I99" s="48" t="inlineStr">
        <is>
          <t>Not verified — APHIS publishes no searchable list; confirm with APHIS VS</t>
        </is>
      </c>
      <c r="J99" s="48" t="inlineStr">
        <is>
          <t>Not on the current enforcement page — BUT corporate humane-handling systems are shared with Xenia, so treat the 2018 Xenia action as a COMPANY-LEVEL signal</t>
        </is>
      </c>
      <c r="K99" s="48" t="inlineStr">
        <is>
          <t>None found</t>
        </is>
      </c>
      <c r="L99" s="48" t="inlineStr">
        <is>
          <t>WEAK-MEDIUM (corporate)</t>
        </is>
      </c>
      <c r="M99" s="48" t="inlineStr">
        <is>
          <t>MEDIUM</t>
        </is>
      </c>
      <c r="N99" s="48" t="inlineStr">
        <is>
          <t>No phone in the USDA file — route via Post / Bob Evans corporate</t>
        </is>
      </c>
      <c r="O99" s="23" t="inlineStr">
        <is>
          <t>CAUTION</t>
        </is>
      </c>
      <c r="P99" s="48" t="inlineStr">
        <is>
          <t>Med</t>
        </is>
      </c>
      <c r="Q99" s="48" t="inlineStr">
        <is>
          <t>Confirmed operating by the same Post FY2025 10-K sentence.</t>
        </is>
      </c>
    </row>
    <row r="100" ht="58.05" customHeight="1" s="51">
      <c r="A100" s="4" t="inlineStr">
        <is>
          <t>Dean Sausage Co. (Attalla)</t>
        </is>
      </c>
      <c r="B100" s="48" t="inlineStr">
        <is>
          <t>Attalla, AL</t>
        </is>
      </c>
      <c r="C100" s="48" t="inlineStr">
        <is>
          <t>SOW slaughter plant marketed purely as a sausage brand</t>
        </is>
      </c>
      <c r="D100" s="48" t="inlineStr">
        <is>
          <t>~1,500-1,620/wk (300 hd/day, flat)</t>
        </is>
      </c>
      <c r="E100" s="20" t="inlineStr">
        <is>
          <t>MEDIUM
(350-2,500/wk)</t>
        </is>
      </c>
      <c r="F100" s="48" t="inlineStr">
        <is>
          <t>Yes — SOW (USDA slaughter=Yes, sow_slaughter=Yes)</t>
        </is>
      </c>
      <c r="G100" s="48" t="inlineStr">
        <is>
          <t>USDA ✓ M6621 + P6621</t>
        </is>
      </c>
      <c r="H100" s="48" t="inlineStr">
        <is>
          <t>See the Welfare &amp; culture column — enforcement detail is carried there for these rows</t>
        </is>
      </c>
      <c r="I100" s="48" t="inlineStr">
        <is>
          <t>Not verified — APHIS publishes no searchable list; confirm with APHIS VS</t>
        </is>
      </c>
      <c r="J100" s="4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48" t="inlineStr">
        <is>
          <t>None found</t>
        </is>
      </c>
      <c r="L100" s="48" t="inlineStr">
        <is>
          <t>WEAK — placing our own harvesters inside a plant with an active repeat record for machine guarding and blocked egress is a direct worker-safety and insurance exposure</t>
        </is>
      </c>
      <c r="M100" s="48" t="inlineStr">
        <is>
          <t>MEDIUM — arm's-length purchase avoids the exposure</t>
        </is>
      </c>
      <c r="N100" s="48" t="inlineStr">
        <is>
          <t>(256) 538-6082
3750 Pleasant Valley Rd · ~85 staff, founded 1955</t>
        </is>
      </c>
      <c r="O100" s="23" t="inlineStr">
        <is>
          <t>CAUTION</t>
        </is>
      </c>
      <c r="P100" s="48" t="inlineStr">
        <is>
          <t>High</t>
        </is>
      </c>
      <c r="Q100" s="4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1">
      <c r="A101" s="4" t="inlineStr">
        <is>
          <t>Carlton Packing Co. (dba Carlton Farms)</t>
        </is>
      </c>
      <c r="B101" s="48" t="inlineStr">
        <is>
          <t>Carlton, OR</t>
        </is>
      </c>
      <c r="C101" s="48" t="inlineStr">
        <is>
          <t>Market-hog + roaster slaughter, also beef; custom-exempt too</t>
        </is>
      </c>
      <c r="D101" s="48" t="inlineStr">
        <is>
          <t>~1,875-2,025/wk (375 hd/day, flat) — mixed-species floor means hog share is lower</t>
        </is>
      </c>
      <c r="E101" s="20" t="inlineStr">
        <is>
          <t>MEDIUM
(350-2,500/wk)</t>
        </is>
      </c>
      <c r="F101" s="48" t="inlineStr">
        <is>
          <t>Yes — MARKET + ROASTER, NO SOW</t>
        </is>
      </c>
      <c r="G101" s="48" t="inlineStr">
        <is>
          <t>USDA ✓ M9228 + P9228 + V9228
(V = VOLUNTARY grant)</t>
        </is>
      </c>
      <c r="H101" s="48" t="inlineStr">
        <is>
          <t>See the Welfare &amp; culture column — enforcement detail is carried there for these rows</t>
        </is>
      </c>
      <c r="I101" s="48" t="inlineStr">
        <is>
          <t>Not verified — APHIS publishes no searchable list; confirm with APHIS VS</t>
        </is>
      </c>
      <c r="J101" s="48" t="inlineStr">
        <is>
          <t>None found (limited-window caveat)</t>
        </is>
      </c>
      <c r="K101" s="48" t="inlineStr">
        <is>
          <t>⭐ The V GRANT IS THE KEY DETAIL: voluntary inspection is the mechanism USDA uses for NON-AMENABLE / NON-FOOD-USE product — so this plant already has the regulatory scaffolding for non-food biomedical harvest</t>
        </is>
      </c>
      <c r="L101" s="48" t="inlineStr">
        <is>
          <t>MEDIUM-STRONG — small, clean, traceable</t>
        </is>
      </c>
      <c r="M101" s="48" t="inlineStr">
        <is>
          <t>STRONG</t>
        </is>
      </c>
      <c r="N101" s="48" t="inlineStr">
        <is>
          <t>(503) 852-7166
10600 NW Westside Rd · carltonfarms.com</t>
        </is>
      </c>
      <c r="O101" s="23" t="inlineStr">
        <is>
          <t>POSSIBLE</t>
        </is>
      </c>
      <c r="P101" s="48" t="inlineStr">
        <is>
          <t>Med-High</t>
        </is>
      </c>
      <c r="Q101" s="4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1">
      <c r="A102" s="4" t="inlineStr">
        <is>
          <t>Dealaman Enterprises, Inc.</t>
        </is>
      </c>
      <c r="B102" s="48" t="inlineStr">
        <is>
          <t>Warren, NJ</t>
        </is>
      </c>
      <c r="C102" s="48" t="inlineStr">
        <is>
          <t>Market + roaster + sheep slaughter since 1905</t>
        </is>
      </c>
      <c r="D102" s="48" t="inlineStr">
        <is>
          <t>~1,000-1,200/wk — BEST-CORROBORATED FIGURE IN THE STUDY (EMI 200/day AND a Bloomberg-sourced '1,200 pigs a week' agree)</t>
        </is>
      </c>
      <c r="E102" s="20" t="inlineStr">
        <is>
          <t>MEDIUM
(350-2,500/wk)</t>
        </is>
      </c>
      <c r="F102" s="48" t="inlineStr">
        <is>
          <t>Yes — MARKET + ROASTER + sheep. NO SOW</t>
        </is>
      </c>
      <c r="G102" s="48" t="inlineStr">
        <is>
          <t>USDA ✓ M7562 (grant 2021)</t>
        </is>
      </c>
      <c r="H102" s="48" t="inlineStr">
        <is>
          <t>See the Welfare &amp; culture column — enforcement detail is carried there for these rows</t>
        </is>
      </c>
      <c r="I102" s="48" t="inlineStr">
        <is>
          <t>Not verified — APHIS publishes no searchable list; confirm with APHIS VS</t>
        </is>
      </c>
      <c r="J102" s="48" t="inlineStr">
        <is>
          <t>None found (limited-window caveat). Positively framed in trade press — used by small farms 'who value personalized service and humane treatment'</t>
        </is>
      </c>
      <c r="K102" s="48" t="inlineStr">
        <is>
          <t>None found</t>
        </is>
      </c>
      <c r="L102" s="48" t="inlineStr">
        <is>
          <t>MEDIUM — small, relationship-driven, likely receptive</t>
        </is>
      </c>
      <c r="M102" s="48" t="inlineStr">
        <is>
          <t>MEDIUM</t>
        </is>
      </c>
      <c r="N102" s="48" t="inlineStr">
        <is>
          <t>(908) 755-1780 / (908) 647-5533
214 Mountainview Rd · ~30 staff</t>
        </is>
      </c>
      <c r="O102" s="23" t="inlineStr">
        <is>
          <t>CAUTION</t>
        </is>
      </c>
      <c r="P102" s="48" t="inlineStr">
        <is>
          <t>Med-High</t>
        </is>
      </c>
      <c r="Q102" s="4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1">
      <c r="A103" s="52" t="inlineStr">
        <is>
          <t>PENNSYLVANIA CLUSTER — the Animal Biotech lead, now closed out (73 PA swine plants enumerated)</t>
        </is>
      </c>
    </row>
    <row r="104" ht="58.05" customHeight="1" s="51">
      <c r="A104" s="4" t="inlineStr">
        <is>
          <t>Leidy's, LLC</t>
        </is>
      </c>
      <c r="B104" s="48" t="inlineStr">
        <is>
          <t>Souderton, PA</t>
        </is>
      </c>
      <c r="C104" s="48" t="inlineStr">
        <is>
          <t>USDA federal market-hog slaughter, operating since 1893</t>
        </is>
      </c>
      <c r="D104" s="48" t="inlineStr">
        <is>
          <t>~5,000-7,000/wk (EMI 1,350/day; company/trade say 1,000-1,200/day; 220+ staff)</t>
        </is>
      </c>
      <c r="E104" s="26" t="inlineStr">
        <is>
          <t>HIGH
(&gt;5,000/wk)</t>
        </is>
      </c>
      <c r="F104" s="48" t="inlineStr">
        <is>
          <t>Yes — MARKET</t>
        </is>
      </c>
      <c r="G104" s="48" t="inlineStr">
        <is>
          <t>USDA ✓ M9520+P9520+V9520
✅ EXPORT-CERTIFIED</t>
        </is>
      </c>
      <c r="H104" s="48" t="inlineStr">
        <is>
          <t>See the Welfare &amp; culture column — enforcement detail is carried there for these rows</t>
        </is>
      </c>
      <c r="I104" s="48" t="inlineStr">
        <is>
          <t>Not verified — APHIS publishes no searchable list; confirm with APHIS VS</t>
        </is>
      </c>
      <c r="J104" s="48" t="inlineStr">
        <is>
          <t>Not on the current FSIS enforcement page (1-yr window)</t>
        </is>
      </c>
      <c r="K104" s="48" t="inlineStr">
        <is>
          <t>None published</t>
        </is>
      </c>
      <c r="L104" s="48" t="inlineStr">
        <is>
          <t>Plausible — ASK WHETHER ABI OR LAMPIRE TECHNICIANS ALREADY HARVEST HERE; if so, a Model A precedent already exists</t>
        </is>
      </c>
      <c r="M104" s="48" t="inlineStr">
        <is>
          <t>Plausible</t>
        </is>
      </c>
      <c r="N104" s="48" t="inlineStr">
        <is>
          <t>(215) 723-4606
266 W Cherry Ln, Souderton PA</t>
        </is>
      </c>
      <c r="O104" s="20" t="inlineStr">
        <is>
          <t>STRONG FIT</t>
        </is>
      </c>
      <c r="P104" s="48" t="inlineStr">
        <is>
          <t>Med</t>
        </is>
      </c>
      <c r="Q104" s="48" t="inlineStr">
        <is>
          <t>★ BEST PA ENTRY POINT. ~5 MILES from Animal Biotech Industries' lab at Harleysville, and one of only TWO PA swine plants holding export certification. Also appears in the 'just above band' group — Medium-High/High boundary.</t>
        </is>
      </c>
    </row>
    <row r="105" ht="58.05" customHeight="1" s="51">
      <c r="A105" s="4" t="inlineStr">
        <is>
          <t>Clemens Food Group</t>
        </is>
      </c>
      <c r="B105" s="48" t="inlineStr">
        <is>
          <t>Hatfield, PA</t>
        </is>
      </c>
      <c r="C105" s="48" t="inlineStr">
        <is>
          <t>Large industrial market-hog packer</t>
        </is>
      </c>
      <c r="D105" s="48" t="inlineStr">
        <is>
          <t>~58,000-63,000/wk (11,700 hd/day)</t>
        </is>
      </c>
      <c r="E105" s="26" t="inlineStr">
        <is>
          <t>HIGH
(&gt;5,000/wk)</t>
        </is>
      </c>
      <c r="F105" s="48" t="inlineStr">
        <is>
          <t>Yes — MARKET</t>
        </is>
      </c>
      <c r="G105" s="48" t="inlineStr">
        <is>
          <t>USDA ✓ M791+P791+V791
✅ EXPORT-CERTIFIED</t>
        </is>
      </c>
      <c r="H105" s="48" t="inlineStr">
        <is>
          <t>See the Welfare &amp; culture column — enforcement detail is carried there for these rows</t>
        </is>
      </c>
      <c r="I105" s="48" t="inlineStr">
        <is>
          <t>Not verified — APHIS publishes no searchable list; confirm with APHIS VS</t>
        </is>
      </c>
      <c r="J105" s="48" t="inlineStr">
        <is>
          <t>Not on the current enforcement page (1-yr window)</t>
        </is>
      </c>
      <c r="K105" s="48" t="inlineStr">
        <is>
          <t>None published</t>
        </is>
      </c>
      <c r="L105" s="48" t="inlineStr">
        <is>
          <t>Unlikely at this scale — corporate-level agreement required</t>
        </is>
      </c>
      <c r="M105" s="48" t="inlineStr">
        <is>
          <t>Model B far more realistic</t>
        </is>
      </c>
      <c r="N105" s="48" t="inlineStr">
        <is>
          <t>2700 Clemens Rd, Hatfield PA</t>
        </is>
      </c>
      <c r="O105" s="23" t="inlineStr">
        <is>
          <t>POSSIBLE</t>
        </is>
      </c>
      <c r="P105" s="48" t="inlineStr">
        <is>
          <t>Med</t>
        </is>
      </c>
      <c r="Q105" s="48" t="inlineStr">
        <is>
          <t>The only HIGH-tier PA option and ~5 miles from Animal Biotech's Harleysville lab. Volume solves everything except access.</t>
        </is>
      </c>
    </row>
    <row r="106" ht="58.05" customHeight="1" s="51">
      <c r="A106" s="4" t="inlineStr">
        <is>
          <t>PA SOW plants (roll-up)</t>
        </is>
      </c>
      <c r="B106" s="48" t="inlineStr">
        <is>
          <t>eastern PA</t>
        </is>
      </c>
      <c r="C106" s="48" t="inlineStr">
        <is>
          <t>USDA federal, sow-capable</t>
        </is>
      </c>
      <c r="D106" s="48" t="inlineStr">
        <is>
          <t>unknown</t>
        </is>
      </c>
      <c r="E106" s="24" t="inlineStr">
        <is>
          <t>unknown
(confirm)</t>
        </is>
      </c>
      <c r="F106" s="48" t="inlineStr">
        <is>
          <t>Yes — market + SOW + roaster (+boar at two)</t>
        </is>
      </c>
      <c r="G106" s="48" t="inlineStr">
        <is>
          <t>USDA ✓ — see notes</t>
        </is>
      </c>
      <c r="H106" s="48" t="inlineStr">
        <is>
          <t>See the Welfare &amp; culture column — enforcement detail is carried there for these rows</t>
        </is>
      </c>
      <c r="I106" s="48" t="inlineStr">
        <is>
          <t>Not verified — APHIS publishes no searchable list; confirm with APHIS VS</t>
        </is>
      </c>
      <c r="J106" s="48" t="inlineStr">
        <is>
          <t>Not on the current enforcement page (1-yr window)</t>
        </is>
      </c>
      <c r="K106" s="48" t="inlineStr">
        <is>
          <t>None published</t>
        </is>
      </c>
      <c r="L106" s="48" t="inlineStr">
        <is>
          <t>Plausible (small plants)</t>
        </is>
      </c>
      <c r="M106" s="48" t="inlineStr">
        <is>
          <t>Plausible</t>
        </is>
      </c>
      <c r="N106" s="48" t="inlineStr">
        <is>
          <t>see notes →</t>
        </is>
      </c>
      <c r="O106" s="23" t="inlineStr">
        <is>
          <t>POSSIBLE</t>
        </is>
      </c>
      <c r="P106" s="48" t="inlineStr">
        <is>
          <t>Med</t>
        </is>
      </c>
      <c r="Q106" s="4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1">
      <c r="A107" s="4" t="inlineStr">
        <is>
          <t>⚑ The ABI / LAMPIRE abattoir inference</t>
        </is>
      </c>
      <c r="B107" s="48" t="inlineStr">
        <is>
          <t>Harleysville &amp; Pipersville, PA</t>
        </is>
      </c>
      <c r="C107" s="48" t="inlineStr">
        <is>
          <t>tissue suppliers, not slaughterers</t>
        </is>
      </c>
      <c r="D107" s="48" t="inlineStr">
        <is>
          <t>n/a</t>
        </is>
      </c>
      <c r="E107" s="24" t="inlineStr">
        <is>
          <t>n/a</t>
        </is>
      </c>
      <c r="F107" s="48" t="inlineStr">
        <is>
          <t>n/a</t>
        </is>
      </c>
      <c r="G107" s="48" t="inlineStr">
        <is>
          <t>n/a — they BUY from PA abattoirs</t>
        </is>
      </c>
      <c r="H107" s="48" t="inlineStr">
        <is>
          <t>See the Welfare &amp; culture column — enforcement detail is carried there for these rows</t>
        </is>
      </c>
      <c r="I107" s="48" t="inlineStr">
        <is>
          <t>Not verified — APHIS publishes no searchable list; confirm with APHIS VS</t>
        </is>
      </c>
      <c r="J107" s="48" t="inlineStr">
        <is>
          <t>n/a</t>
        </is>
      </c>
      <c r="K107" s="4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48" t="inlineStr">
        <is>
          <t>n/a</t>
        </is>
      </c>
      <c r="M107" s="48" t="inlineStr">
        <is>
          <t>n/a</t>
        </is>
      </c>
      <c r="N107" s="48" t="inlineStr">
        <is>
          <t>ABI (215) 766-7413 · LAMPIRE Pipersville</t>
        </is>
      </c>
      <c r="O107" s="23" t="inlineStr">
        <is>
          <t>POSSIBLE</t>
        </is>
      </c>
      <c r="P107" s="48" t="inlineStr">
        <is>
          <t>Med (inference)</t>
        </is>
      </c>
      <c r="Q107" s="4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1">
      <c r="A108" s="52" t="inlineStr">
        <is>
          <t>⚠ CORRECTED / REFUTED BY THE FSIS PRIMARY-DATA SWEEP</t>
        </is>
      </c>
    </row>
    <row r="109" ht="58.05" customHeight="1" s="51">
      <c r="A109" s="4" t="inlineStr">
        <is>
          <t>Kansas City Sausage / Coastal Protein — REFUTED</t>
        </is>
      </c>
      <c r="B109" s="48" t="inlineStr">
        <is>
          <t>Godwin, NC</t>
        </is>
      </c>
      <c r="C109" s="48" t="inlineStr">
        <is>
          <t>NO ACTIVE FSIS ESTABLISHMENT</t>
        </is>
      </c>
      <c r="D109" s="48" t="inlineStr">
        <is>
          <t>n/a — premise not supported</t>
        </is>
      </c>
      <c r="E109" s="24" t="inlineStr">
        <is>
          <t>n/a</t>
        </is>
      </c>
      <c r="F109" s="48" t="inlineStr">
        <is>
          <t>n/a</t>
        </is>
      </c>
      <c r="G109" s="48" t="inlineStr">
        <is>
          <t>NO active establishment in Godwin NC, zip 28344, or on Martin Road</t>
        </is>
      </c>
      <c r="H109" s="48" t="inlineStr">
        <is>
          <t>See the Welfare &amp; culture column — enforcement detail is carried there for these rows</t>
        </is>
      </c>
      <c r="I109" s="48" t="inlineStr">
        <is>
          <t>Not verified — APHIS publishes no searchable list; confirm with APHIS VS</t>
        </is>
      </c>
      <c r="J109" s="48" t="inlineStr">
        <is>
          <t>n/a</t>
        </is>
      </c>
      <c r="K109" s="48" t="inlineStr">
        <is>
          <t>n/a</t>
        </is>
      </c>
      <c r="L109" s="48" t="inlineStr">
        <is>
          <t>No</t>
        </is>
      </c>
      <c r="M109" s="48" t="inlineStr">
        <is>
          <t>No</t>
        </is>
      </c>
      <c r="N109" s="48" t="inlineStr">
        <is>
          <t>—</t>
        </is>
      </c>
      <c r="O109" s="28" t="inlineStr">
        <is>
          <t>OUT / FLAG</t>
        </is>
      </c>
      <c r="P109" s="48" t="inlineStr">
        <is>
          <t>High</t>
        </is>
      </c>
      <c r="Q109" s="4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1">
      <c r="A110" s="4" t="inlineStr">
        <is>
          <t>Gunnoe Sausage Co. — REFUTED</t>
        </is>
      </c>
      <c r="B110" s="48" t="inlineStr">
        <is>
          <t>Goode, VA</t>
        </is>
      </c>
      <c r="C110" s="48" t="inlineStr">
        <is>
          <t>NO ACTIVE FSIS ESTABLISHMENT</t>
        </is>
      </c>
      <c r="D110" s="48" t="inlineStr">
        <is>
          <t>n/a</t>
        </is>
      </c>
      <c r="E110" s="24" t="inlineStr">
        <is>
          <t>n/a</t>
        </is>
      </c>
      <c r="F110" s="48" t="inlineStr">
        <is>
          <t>n/a</t>
        </is>
      </c>
      <c r="G110" s="48" t="inlineStr">
        <is>
          <t>No active FSIS establishment found</t>
        </is>
      </c>
      <c r="H110" s="48" t="inlineStr">
        <is>
          <t>See the Welfare &amp; culture column — enforcement detail is carried there for these rows</t>
        </is>
      </c>
      <c r="I110" s="48" t="inlineStr">
        <is>
          <t>Not verified — APHIS publishes no searchable list; confirm with APHIS VS</t>
        </is>
      </c>
      <c r="J110" s="48" t="inlineStr">
        <is>
          <t>n/a</t>
        </is>
      </c>
      <c r="K110" s="48" t="inlineStr">
        <is>
          <t>n/a</t>
        </is>
      </c>
      <c r="L110" s="48" t="inlineStr">
        <is>
          <t>No</t>
        </is>
      </c>
      <c r="M110" s="48" t="inlineStr">
        <is>
          <t>No</t>
        </is>
      </c>
      <c r="N110" s="48" t="inlineStr">
        <is>
          <t>—</t>
        </is>
      </c>
      <c r="O110" s="28" t="inlineStr">
        <is>
          <t>OUT / FLAG</t>
        </is>
      </c>
      <c r="P110" s="48" t="inlineStr">
        <is>
          <t>Med-High</t>
        </is>
      </c>
      <c r="Q110" s="4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1">
      <c r="A111" s="4" t="inlineStr">
        <is>
          <t>Below-band leads — all REFUTED on volume</t>
        </is>
      </c>
      <c r="B111" s="48" t="inlineStr">
        <is>
          <t>KY / OH / MI / AL / OR / NJ / TX</t>
        </is>
      </c>
      <c r="C111" s="48" t="inlineStr">
        <is>
          <t>FSIS category 2-3 = below 2,000/wk</t>
        </is>
      </c>
      <c r="D111" s="48" t="inlineStr">
        <is>
          <t>below band</t>
        </is>
      </c>
      <c r="E111" s="22" t="inlineStr">
        <is>
          <t>SMALL
(0-300/wk)</t>
        </is>
      </c>
      <c r="F111" s="48" t="inlineStr">
        <is>
          <t>mixed</t>
        </is>
      </c>
      <c r="G111" s="48" t="inlineStr">
        <is>
          <t>USDA ✓ (various)</t>
        </is>
      </c>
      <c r="H111" s="48" t="inlineStr">
        <is>
          <t>See the Welfare &amp; culture column — enforcement detail is carried there for these rows</t>
        </is>
      </c>
      <c r="I111" s="48" t="inlineStr">
        <is>
          <t>Not verified — APHIS publishes no searchable list; confirm with APHIS VS</t>
        </is>
      </c>
      <c r="J111" s="48" t="inlineStr">
        <is>
          <t>various</t>
        </is>
      </c>
      <c r="K111" s="48" t="inlineStr">
        <is>
          <t>unknown</t>
        </is>
      </c>
      <c r="L111" s="48" t="inlineStr">
        <is>
          <t>varies</t>
        </is>
      </c>
      <c r="M111" s="48" t="inlineStr">
        <is>
          <t>varies</t>
        </is>
      </c>
      <c r="N111" s="48" t="inlineStr">
        <is>
          <t>see notes →</t>
        </is>
      </c>
      <c r="O111" s="23" t="inlineStr">
        <is>
          <t>CAUTION</t>
        </is>
      </c>
      <c r="P111" s="48" t="inlineStr">
        <is>
          <t>High</t>
        </is>
      </c>
      <c r="Q111" s="4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1">
      <c r="A112" s="4" t="inlineStr">
        <is>
          <t>Plants that no longer slaughter — REFUTED</t>
        </is>
      </c>
      <c r="B112" s="48" t="inlineStr">
        <is>
          <t>OR / TX / IL</t>
        </is>
      </c>
      <c r="C112" s="48" t="inlineStr">
        <is>
          <t>exited slaughter or no establishment</t>
        </is>
      </c>
      <c r="D112" s="48" t="inlineStr">
        <is>
          <t>n/a</t>
        </is>
      </c>
      <c r="E112" s="24" t="inlineStr">
        <is>
          <t>n/a</t>
        </is>
      </c>
      <c r="F112" s="48" t="inlineStr">
        <is>
          <t>n/a</t>
        </is>
      </c>
      <c r="G112" s="48" t="inlineStr">
        <is>
          <t>n/a</t>
        </is>
      </c>
      <c r="H112" s="48" t="inlineStr">
        <is>
          <t>See the Welfare &amp; culture column — enforcement detail is carried there for these rows</t>
        </is>
      </c>
      <c r="I112" s="48" t="inlineStr">
        <is>
          <t>Not verified — APHIS publishes no searchable list; confirm with APHIS VS</t>
        </is>
      </c>
      <c r="J112" s="48" t="inlineStr">
        <is>
          <t>n/a</t>
        </is>
      </c>
      <c r="K112" s="48" t="inlineStr">
        <is>
          <t>n/a</t>
        </is>
      </c>
      <c r="L112" s="48" t="inlineStr">
        <is>
          <t>No</t>
        </is>
      </c>
      <c r="M112" s="48" t="inlineStr">
        <is>
          <t>No</t>
        </is>
      </c>
      <c r="N112" s="48" t="inlineStr">
        <is>
          <t>—</t>
        </is>
      </c>
      <c r="O112" s="28" t="inlineStr">
        <is>
          <t>OUT / FLAG</t>
        </is>
      </c>
      <c r="P112" s="48" t="inlineStr">
        <is>
          <t>High</t>
        </is>
      </c>
      <c r="Q112" s="4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1">
      <c r="A113" s="4" t="inlineStr">
        <is>
          <t>Fauquier's Finest — DATA ANOMALY</t>
        </is>
      </c>
      <c r="B113" s="48" t="inlineStr">
        <is>
          <t>Bealeton, VA</t>
        </is>
      </c>
      <c r="C113" s="48" t="inlineStr">
        <is>
          <t>USDA federal, multi-species</t>
        </is>
      </c>
      <c r="D113" s="48" t="inlineStr">
        <is>
          <t>CONTRADICTORY: FSIS size 'Very Small' (&lt;10 employees / &lt;$2.5M) YET slaughter_volume_category = 4 (≥100,000 head/yr)</t>
        </is>
      </c>
      <c r="E113" s="24" t="inlineStr">
        <is>
          <t>unknown
(confirm)</t>
        </is>
      </c>
      <c r="F113" s="48" t="inlineStr">
        <is>
          <t>Yes — MKT+SOW+boar+beef</t>
        </is>
      </c>
      <c r="G113" s="48" t="inlineStr">
        <is>
          <t>USDA ✓ M33940</t>
        </is>
      </c>
      <c r="H113" s="48" t="inlineStr">
        <is>
          <t>See the Welfare &amp; culture column — enforcement detail is carried there for these rows</t>
        </is>
      </c>
      <c r="I113" s="48" t="inlineStr">
        <is>
          <t>Not verified — APHIS publishes no searchable list; confirm with APHIS VS</t>
        </is>
      </c>
      <c r="J113" s="48" t="inlineStr">
        <is>
          <t>🚨 INH suspension 04 Dec 2024 → reinstated 06 Mar 2025</t>
        </is>
      </c>
      <c r="K113" s="48" t="inlineStr">
        <is>
          <t>unknown</t>
        </is>
      </c>
      <c r="L113" s="48" t="inlineStr">
        <is>
          <t>Structurally suits Model A (custom processor)</t>
        </is>
      </c>
      <c r="M113" s="48" t="inlineStr">
        <is>
          <t>unknown</t>
        </is>
      </c>
      <c r="N113" s="48" t="inlineStr">
        <is>
          <t>(540) 439-7227
11746 AG Industrial Dr, Bealeton VA 22712</t>
        </is>
      </c>
      <c r="O113" s="23" t="inlineStr">
        <is>
          <t>CAUTION</t>
        </is>
      </c>
      <c r="P113" s="48" t="inlineStr">
        <is>
          <t>Low</t>
        </is>
      </c>
      <c r="Q113" s="4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4"/>
    <row r="115" ht="20" customHeight="1" s="51">
      <c r="A115" s="69" t="inlineStr">
        <is>
          <t>★★ PRIORITY OUTREACH — TISSUE COLLECTORS OPERATING INSIDE THIRD-PARTY PLANTS (they already run Model A at industrial scale)</t>
        </is>
      </c>
    </row>
    <row r="116" ht="74" customHeight="1" s="51">
      <c r="A116" s="74" t="inlineStr">
        <is>
          <t>Scientific Protein Laboratories (SPL)</t>
        </is>
      </c>
      <c r="B116" s="77" t="inlineStr">
        <is>
          <t>Waunakee, WI</t>
        </is>
      </c>
      <c r="C116" s="77" t="inlineStr">
        <is>
          <t>HEPARIN / mucosa collector — operates INSIDE third-party USDA plants</t>
        </is>
      </c>
      <c r="D116" s="77" t="inlineStr">
        <is>
          <t>n/a — collects, does not slaughter</t>
        </is>
      </c>
      <c r="E116" s="72" t="inlineStr">
        <is>
          <t>n/a</t>
        </is>
      </c>
      <c r="F116" s="77" t="inlineStr">
        <is>
          <t>n/a (works on others' hog lines)</t>
        </is>
      </c>
      <c r="G116" s="77" t="inlineStr">
        <is>
          <t>n/a — collects at USDA-inspected plants</t>
        </is>
      </c>
      <c r="H116" s="77" t="inlineStr">
        <is>
          <t>Not researched — they are operators, not slaughter plants</t>
        </is>
      </c>
      <c r="I116" s="77" t="inlineStr">
        <is>
          <t>Not verified — ask directly; they run an established export-grade pharma supply chain</t>
        </is>
      </c>
      <c r="J116" s="77" t="inlineStr">
        <is>
          <t>Pharma-grade operation; heparin API feeds regulated medicine supply</t>
        </is>
      </c>
      <c r="K116" s="77" t="inlineStr">
        <is>
          <t>⭐ THIS IS THE POINT: they recover porcine MUCOSA under written protocol, with their OWN CREWS, on someone else's kill floor, paying for line position</t>
        </is>
      </c>
      <c r="L116" s="77" t="inlineStr">
        <is>
          <t>They ARE Model A — at industrial scale, already proven</t>
        </is>
      </c>
      <c r="M116" s="77" t="inlineStr">
        <is>
          <t>n/a — they are an operator, not a host</t>
        </is>
      </c>
      <c r="N116" s="77" t="inlineStr">
        <is>
          <t>Waunakee, WI (find current number via company site)</t>
        </is>
      </c>
      <c r="O116" s="78" t="inlineStr">
        <is>
          <t>★★ PRIORITY
CONTACT</t>
        </is>
      </c>
      <c r="P116" s="71" t="inlineStr">
        <is>
          <t>Med</t>
        </is>
      </c>
      <c r="Q116" s="71"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74" customHeight="1" s="51">
      <c r="A117" s="74" t="inlineStr">
        <is>
          <t>DeWied International</t>
        </is>
      </c>
      <c r="B117" s="77" t="inlineStr">
        <is>
          <t>San Antonio, TX</t>
        </is>
      </c>
      <c r="C117" s="77" t="inlineStr">
        <is>
          <t>NATURAL CASINGS collector — operates INSIDE third-party USDA plants</t>
        </is>
      </c>
      <c r="D117" s="77" t="inlineStr">
        <is>
          <t>n/a — collects, does not slaughter</t>
        </is>
      </c>
      <c r="E117" s="72" t="inlineStr">
        <is>
          <t>n/a</t>
        </is>
      </c>
      <c r="F117" s="77" t="inlineStr">
        <is>
          <t>n/a (works on others' hog lines)</t>
        </is>
      </c>
      <c r="G117" s="77" t="inlineStr">
        <is>
          <t>n/a — collects at USDA-inspected plants</t>
        </is>
      </c>
      <c r="H117" s="77" t="inlineStr">
        <is>
          <t>Not researched — they are operators, not slaughter plants</t>
        </is>
      </c>
      <c r="I117" s="77" t="inlineStr">
        <is>
          <t>Not verified — ask directly; casings are widely exported so export documentation experience is likely</t>
        </is>
      </c>
      <c r="J117" s="77" t="inlineStr">
        <is>
          <t>Long-established casings house; merged with Oversea Casing 2018</t>
        </is>
      </c>
      <c r="K117" s="77" t="inlineStr">
        <is>
          <t>⭐ Same model: own crews recovering ONE tissue (intestine/casings) under written protocol inside third-party plants</t>
        </is>
      </c>
      <c r="L117" s="77" t="inlineStr">
        <is>
          <t>They ARE Model A — at industrial scale, already proven</t>
        </is>
      </c>
      <c r="M117" s="77" t="inlineStr">
        <is>
          <t>n/a — they are an operator, not a host</t>
        </is>
      </c>
      <c r="N117" s="77" t="inlineStr">
        <is>
          <t>San Antonio, TX (find current number via company site)</t>
        </is>
      </c>
      <c r="O117" s="78" t="inlineStr">
        <is>
          <t>★★ PRIORITY
CONTACT</t>
        </is>
      </c>
      <c r="P117" s="71" t="inlineStr">
        <is>
          <t>Med</t>
        </is>
      </c>
      <c r="Q117" s="71"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03:Q103"/>
    <mergeCell ref="A1:Q1"/>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6.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1" min="1" max="1"/>
    <col width="16" customWidth="1" style="51" min="2" max="2"/>
    <col width="44" customWidth="1" style="51" min="3" max="3"/>
    <col width="26" customWidth="1" style="51" min="4" max="4"/>
    <col width="30" customWidth="1" style="51" min="5" max="6"/>
    <col width="22" customWidth="1" style="51" min="7" max="7"/>
    <col width="8" customWidth="1" style="51" min="8" max="8"/>
    <col width="40" customWidth="1" style="51" min="9" max="9"/>
  </cols>
  <sheetData>
    <row r="1" ht="25.95" customHeight="1" s="51">
      <c r="A1" s="50" t="inlineStr">
        <is>
          <t>National Direct-Tissue Suppliers — buy finished porcine tissue/organs</t>
        </is>
      </c>
    </row>
    <row r="2" ht="30" customHeight="1" s="51">
      <c r="A2" s="53" t="inlineStr">
        <is>
          <t>Vendors that sell porcine research tissue directly (no slaughterhouse relationship). Prices are QUOTE-ONLY across this industry unless a real published figure is noted; blanks = not public.</t>
        </is>
      </c>
    </row>
    <row r="4" ht="40.05" customHeight="1" s="51">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(to Europe)</t>
        </is>
      </c>
    </row>
    <row r="5" ht="60" customHeight="1" s="51">
      <c r="A5" s="4" t="inlineStr">
        <is>
          <t>Animal Technologies, Inc.</t>
        </is>
      </c>
      <c r="B5" s="48" t="inlineStr">
        <is>
          <t>Tyler, TX</t>
        </is>
      </c>
      <c r="C5" s="4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48" t="inlineStr">
        <is>
          <t>Whole organs, blocks &amp; plucks; fresh or frozen; overnight (24 hr) nationwide.</t>
        </is>
      </c>
      <c r="E5" s="48" t="inlineStr">
        <is>
          <t>QUOTE ONLY — no prices published.</t>
        </is>
      </c>
      <c r="F5" s="48" t="inlineStr">
        <is>
          <t>In business since 1986; US abattoir-sourced (specific certs not stated on pages read).</t>
        </is>
      </c>
      <c r="G5" s="48" t="inlineStr">
        <is>
          <t>animaltechnologies.com · 903-592-1363</t>
        </is>
      </c>
      <c r="H5" s="48" t="inlineStr">
        <is>
          <t>High</t>
        </is>
      </c>
      <c r="I5" s="29" t="inlineStr">
        <is>
          <t>RISKY — USDA-abattoir sourced but no ISO/APHIS/TRACES or export docs; must ask</t>
        </is>
      </c>
    </row>
    <row r="6" ht="60" customHeight="1" s="51">
      <c r="A6" s="4" t="inlineStr">
        <is>
          <t>Animal Biotech Industries (ABI)</t>
        </is>
      </c>
      <c r="B6" s="48" t="inlineStr">
        <is>
          <t>Harleysville, PA</t>
        </is>
      </c>
      <c r="C6" s="4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48" t="inlineStr">
        <is>
          <t>Single, paired, or custom blocks; fresh/frozen implied.</t>
        </is>
      </c>
      <c r="E6" s="48" t="inlineStr">
        <is>
          <t>QUOTE ONLY — PDF catalog lists items, not prices.</t>
        </is>
      </c>
      <c r="F6" s="48" t="inlineStr">
        <is>
          <t>Since 1990; USDA federally-inspected abattoir sourcing; markets 'ethically harvested'.</t>
        </is>
      </c>
      <c r="G6" s="48" t="inlineStr">
        <is>
          <t>animalbiotech.com · 215-766-7413</t>
        </is>
      </c>
      <c r="H6" s="48" t="inlineStr">
        <is>
          <t>High</t>
        </is>
      </c>
      <c r="I6" s="29" t="inlineStr">
        <is>
          <t>RISKY — USDA-inspected sourcing + Class B, but no ISO/APHIS/export docs published</t>
        </is>
      </c>
    </row>
    <row r="7" ht="71.40000000000001" customHeight="1" s="51">
      <c r="A7" s="4" t="inlineStr">
        <is>
          <t>Innovative Research, Inc.</t>
        </is>
      </c>
      <c r="B7" s="48" t="inlineStr">
        <is>
          <t>Novi, MI (HQ med-conf.)</t>
        </is>
      </c>
      <c r="C7" s="4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48" t="inlineStr">
        <is>
          <t>Frozen (-20/-80, dry ice) or Fresh in saline/PBS (wet ice); adult/juvenile/fetal.</t>
        </is>
      </c>
      <c r="E7" s="48" t="inlineStr">
        <is>
          <t>PUBLISHED — single organs from $141 (base config); PELVIC BLOCK from $582. Fresh/added vessels/small qty raise it; volume lowers it.</t>
        </is>
      </c>
      <c r="F7" s="48" t="inlineStr">
        <is>
          <t>US-origin abattoir; in-vitro research/mfg use only.</t>
        </is>
      </c>
      <c r="G7" s="48" t="inlineStr">
        <is>
          <t>innov-research.com</t>
        </is>
      </c>
      <c r="H7" s="48" t="inlineStr">
        <is>
          <t>High
(prices)</t>
        </is>
      </c>
      <c r="I7" s="30" t="inlineStr">
        <is>
          <t>LIKELY BLOCKER (device) — 'research use only, not for human/animal use' RUO labeling; no export docs</t>
        </is>
      </c>
    </row>
    <row r="8" ht="100.2" customHeight="1" s="51">
      <c r="A8" s="4" t="inlineStr">
        <is>
          <t>Tissue Source, LLC</t>
        </is>
      </c>
      <c r="B8" s="48" t="inlineStr">
        <is>
          <t>Frankfort, IN</t>
        </is>
      </c>
      <c r="C8" s="48" t="inlineStr">
        <is>
          <t>Custom porcine for device/biologics/pharma/education. Thoracic: heart, valves, lungs, trachea, pericardium, pleura. Abdominal: liver, pancreas, spleen, kidney, gallbladder, stomach, intestines. Pelvic: bladder, uterus, ovaries, testicles, vagina, penis. Overnight shipping.</t>
        </is>
      </c>
      <c r="D8" s="48" t="inlineStr">
        <is>
          <t>Custom; whole organ vs block per request; overnight.</t>
        </is>
      </c>
      <c r="E8" s="48" t="inlineStr">
        <is>
          <t>QUOTE ONLY.</t>
        </is>
      </c>
      <c r="F8" s="48" t="inlineStr">
        <is>
          <t>STRONG QMS: ISO 13485 + ISO 9001; ISO 22442-2, 21 CFR 820 &amp; 58; USDA Class A Breeders License; ante-/post-mortem inspection. Woman-owned, since 2007.</t>
        </is>
      </c>
      <c r="G8" s="48" t="inlineStr">
        <is>
          <t>tissue-source.com · 765-746-6679</t>
        </is>
      </c>
      <c r="H8" s="48" t="inlineStr">
        <is>
          <t>High</t>
        </is>
      </c>
      <c r="I8" s="31" t="inlineStr">
        <is>
          <t>OK (best) — ISO 13485 + 22442-2, USDA Class A, animal traceability; confirm establishment APHIS/TRACES listing</t>
        </is>
      </c>
    </row>
    <row r="9" ht="60" customHeight="1" s="51">
      <c r="A9" s="4" t="inlineStr">
        <is>
          <t>Sustainable Swine Resources (SSR)</t>
        </is>
      </c>
      <c r="B9" s="48" t="inlineStr">
        <is>
          <t>WI (Johnsonville LLC)</t>
        </is>
      </c>
      <c r="C9" s="48" t="inlineStr">
        <is>
          <t>Full porcine range: tissues, blood, bone, cartilage, fluids, glands, membranes, organs, nerves, ligaments. Named: stomach, liver, heart, thyroid, pancreas, small intestine, pericardium, peritoneal membrane, leg bones. Custom to spec.</t>
        </is>
      </c>
      <c r="D9" s="48" t="inlineStr">
        <is>
          <t>Custom collection; fresh/frozen.</t>
        </is>
      </c>
      <c r="E9" s="48" t="inlineStr">
        <is>
          <t>QUOTE ONLY.</t>
        </is>
      </c>
      <c r="F9" s="48" t="inlineStr">
        <is>
          <t>30+ years; packer-integrated (Johnsonville).</t>
        </is>
      </c>
      <c r="G9" s="48" t="inlineStr">
        <is>
          <t>ssr-solutions.com</t>
        </is>
      </c>
      <c r="H9" s="48" t="inlineStr">
        <is>
          <t>High</t>
        </is>
      </c>
      <c r="I9" s="31" t="inlineStr">
        <is>
          <t>OK (strong) — ISO 22442-2, USDA/SQF, PQA+ farms, full traceability; confirm ISO 13485 + TRACES</t>
        </is>
      </c>
    </row>
    <row r="10" ht="60" customHeight="1" s="51">
      <c r="A10" s="4" t="inlineStr">
        <is>
          <t>Smithfield BioScience</t>
        </is>
      </c>
      <c r="B10" s="48" t="inlineStr">
        <is>
          <t>Smithfield, VA</t>
        </is>
      </c>
      <c r="C10" s="48" t="inlineStr">
        <is>
          <t>Thoracic: aorta, heart, valves, lungs, pericardium, trachea. Abdominal: liver, pancreas, small intestine, stomach/pepsin lining. Pelvic: kidney, ovary. Also brains, eyes, feet, gullet, peritoneum, pituitary, skin, tendon, thyroid.</t>
        </is>
      </c>
      <c r="D10" s="48" t="inlineStr">
        <is>
          <t>Harvested by trained specialists from market hogs/sows; fresh or frozen; large packer-integrated supply.</t>
        </is>
      </c>
      <c r="E10" s="48" t="inlineStr">
        <is>
          <t>QUOTE ONLY.</t>
        </is>
      </c>
      <c r="F10" s="48" t="inlineStr">
        <is>
          <t>Smithfield Foods packer network (USDA-inspected plants).</t>
        </is>
      </c>
      <c r="G10" s="48" t="inlineStr">
        <is>
          <t>smithfieldbioscience.com</t>
        </is>
      </c>
      <c r="H10" s="48" t="inlineStr">
        <is>
          <t>High</t>
        </is>
      </c>
      <c r="I10" s="31" t="inlineStr">
        <is>
          <t>OK (best) — vertically integrated, already exports heparin to EP; confirm they supply tissue blocks + VS certs</t>
        </is>
      </c>
    </row>
    <row r="11" ht="60" customHeight="1" s="51">
      <c r="A11" s="4" t="inlineStr">
        <is>
          <t>WG Biomedical (WG Provisions)</t>
        </is>
      </c>
      <c r="B11" s="48" t="inlineStr">
        <is>
          <t>Iowa</t>
        </is>
      </c>
      <c r="C11" s="48" t="inlineStr">
        <is>
          <t>Surgical-training/organ focus, 12 porcine products: PIG PLUCK (heart-lung), heart, lungs, heart valves, pericardial sacs, carotid artery, iliac vessels, pancreas, spleen, thyroid, pig head, mandibles.</t>
        </is>
      </c>
      <c r="D11" s="48" t="inlineStr">
        <is>
          <t>Fresh or frozen.</t>
        </is>
      </c>
      <c r="E11" s="48" t="inlineStr">
        <is>
          <t>QUOTE ONLY — every item is 'Request a Quote'.</t>
        </is>
      </c>
      <c r="F11" s="48" t="inlineStr">
        <is>
          <t>Provisions/packer-affiliated (Iowa).</t>
        </is>
      </c>
      <c r="G11" s="48" t="inlineStr">
        <is>
          <t>wgbiomedical.com · 515-233-4774</t>
        </is>
      </c>
      <c r="H11" s="48" t="inlineStr">
        <is>
          <t>High</t>
        </is>
      </c>
      <c r="I11" s="29" t="inlineStr">
        <is>
          <t>RISKY — device-supply track record but multi-source broker; must document APHIS/TRACES</t>
        </is>
      </c>
    </row>
    <row r="12" ht="60" customHeight="1" s="51">
      <c r="A12" s="4" t="inlineStr">
        <is>
          <t>LAMPIRE Biological Labs</t>
        </is>
      </c>
      <c r="B12" s="48" t="inlineStr">
        <is>
          <t>Pipersville, PA</t>
        </is>
      </c>
      <c r="C12" s="48" t="inlineStr">
        <is>
          <t>Custom abattoir collection of porcine tissues, glands, organs, fluids (PA, near USDA porcine abattoirs). Custom prep emphasis; also porcine hide/collagen.</t>
        </is>
      </c>
      <c r="D12" s="48" t="inlineStr">
        <is>
          <t>Media-perfused (your media), snap-frozen in LN2, or lyophilized.</t>
        </is>
      </c>
      <c r="E12" s="48" t="inlineStr">
        <is>
          <t>QUOTE ONLY.</t>
        </is>
      </c>
      <c r="F12" s="48" t="inlineStr">
        <is>
          <t>Established biological labs; abattoir-sourced.</t>
        </is>
      </c>
      <c r="G12" s="48" t="inlineStr">
        <is>
          <t>lampire.com · 215-795-2838</t>
        </is>
      </c>
      <c r="H12" s="48" t="inlineStr">
        <is>
          <t>High</t>
        </is>
      </c>
      <c r="I12" s="29" t="inlineStr">
        <is>
          <t>RISKY — 'worldwide' supply but no ISO/APHIS/TRACES published; must ask</t>
        </is>
      </c>
    </row>
    <row r="13" ht="60" customHeight="1" s="51">
      <c r="A13" s="4" t="inlineStr">
        <is>
          <t>Pel-Freez Biologicals</t>
        </is>
      </c>
      <c r="B13" s="48" t="inlineStr">
        <is>
          <t>Rogers, AR</t>
        </is>
      </c>
      <c r="C13" s="48" t="inlineStr">
        <is>
          <t>Long-established animal organs/glands/tissues; whole organs, glands, tissues. Porcine incl. thyroid &amp; other organs. Pigs ~200 lb / 6-8 mo; tissue chilled then frozen -20 within 2-6 hr of slaughter.</t>
        </is>
      </c>
      <c r="D13" s="48" t="inlineStr">
        <is>
          <t>Whole organ/gland; frozen (dry ice) or wet ice; 2-4 wk lead.</t>
        </is>
      </c>
      <c r="E13" s="48" t="inlineStr">
        <is>
          <t>PUBLISHED (partial) — Porcine Thyroid #59452 from $361. Other porcine organ prices not individually verified.</t>
        </is>
      </c>
      <c r="F13" s="48" t="inlineStr">
        <is>
          <t>ISO 9001 certified.</t>
        </is>
      </c>
      <c r="G13" s="48" t="inlineStr">
        <is>
          <t>pel-freez.com</t>
        </is>
      </c>
      <c r="H13" s="48" t="inlineStr">
        <is>
          <t>High
(thyroid)</t>
        </is>
      </c>
      <c r="I13" s="29" t="inlineStr">
        <is>
          <t>RISKY (porcine unverified) — documented USDA on-site inspection is for RABBIT; confirm porcine origin</t>
        </is>
      </c>
    </row>
    <row r="14" ht="60" customHeight="1" s="51">
      <c r="A14" s="4" t="inlineStr">
        <is>
          <t>BioChemed Services</t>
        </is>
      </c>
      <c r="B14" s="48" t="inlineStr">
        <is>
          <t>Winchester, VA</t>
        </is>
      </c>
      <c r="C14" s="48" t="inlineStr">
        <is>
          <t>Swine tissue list: adipose, bone, brain, heart, colon, eye, liver, kidney, intestine (lg/sm), lung, nerve, ovaries, pancreas, skeletal muscle, skin, spleen, testes, thyroid, uterus. Custom to spec.</t>
        </is>
      </c>
      <c r="D14" s="48" t="inlineStr">
        <is>
          <t>Custom to spec.</t>
        </is>
      </c>
      <c r="E14" s="48" t="inlineStr">
        <is>
          <t>QUOTE ONLY ('give specs, we quote').</t>
        </is>
      </c>
      <c r="F14" s="48" t="inlineStr">
        <is>
          <t>Custom biologicals supplier.</t>
        </is>
      </c>
      <c r="G14" s="48" t="inlineStr">
        <is>
          <t>biochemed.com · 540-667-3348</t>
        </is>
      </c>
      <c r="H14" s="48" t="inlineStr">
        <is>
          <t>High</t>
        </is>
      </c>
      <c r="I14" s="29" t="inlineStr">
        <is>
          <t>RISKY — US USDA sourcing but 'research/diagnostic/mfg only'; no export docs</t>
        </is>
      </c>
    </row>
    <row r="15" ht="60" customHeight="1" s="51">
      <c r="A15" s="4" t="inlineStr">
        <is>
          <t>BioIVT</t>
        </is>
      </c>
      <c r="B15" s="48" t="inlineStr">
        <is>
          <t>Westbury, NY (global)</t>
        </is>
      </c>
      <c r="C15" s="48" t="inlineStr">
        <is>
          <t>Large biospecimen provider; porcine tissues for translational research &amp; surgical models; online 'Configure Pig Tissue' tool. In-vitro research use only.</t>
        </is>
      </c>
      <c r="D15" s="48" t="inlineStr">
        <is>
          <t>Customized; fresh/frozen.</t>
        </is>
      </c>
      <c r="E15" s="48" t="inlineStr">
        <is>
          <t>QUOTE ONLY — customized pricing &amp; lead times.</t>
        </is>
      </c>
      <c r="F15" s="48" t="inlineStr">
        <is>
          <t>Major biospecimen QMS provider.</t>
        </is>
      </c>
      <c r="G15" s="48" t="inlineStr">
        <is>
          <t>bioivt.com</t>
        </is>
      </c>
      <c r="H15" s="48" t="inlineStr">
        <is>
          <t>High</t>
        </is>
      </c>
      <c r="I15" s="30" t="inlineStr">
        <is>
          <t>LIKELY BLOCKER / unknown — no published human-food-chain/APHIS basis; RUO-oriented</t>
        </is>
      </c>
    </row>
    <row r="16" ht="60" customHeight="1" s="51">
      <c r="A16" s="4" t="inlineStr">
        <is>
          <t>Sierra for Medical Science</t>
        </is>
      </c>
      <c r="B16" s="48" t="inlineStr">
        <is>
          <t>Whittier, CA area</t>
        </is>
      </c>
      <c r="C16" s="48" t="inlineStr">
        <is>
          <t>Biological/animal tissue incl. porcine to universities, hospitals, device makers for diagnostics, product training, demonstration, QC. Custom protocols; on-site lab suites.</t>
        </is>
      </c>
      <c r="D16" s="48" t="inlineStr">
        <is>
          <t>Custom protocols; fresh/frozen.</t>
        </is>
      </c>
      <c r="E16" s="48" t="inlineStr">
        <is>
          <t>QUOTE ONLY.</t>
        </is>
      </c>
      <c r="F16" s="48" t="inlineStr">
        <is>
          <t>Since 1985.</t>
        </is>
      </c>
      <c r="G16" s="48" t="inlineStr">
        <is>
          <t>sierra-medical.com</t>
        </is>
      </c>
      <c r="H16" s="48" t="inlineStr">
        <is>
          <t>Med-High</t>
        </is>
      </c>
      <c r="I16" s="29" t="inlineStr">
        <is>
          <t>RISKY — device customers worldwide but no published traceability/cert framework</t>
        </is>
      </c>
    </row>
    <row r="17" ht="60" customHeight="1" s="51">
      <c r="A17" s="4" t="inlineStr">
        <is>
          <t>Midwest Research Swine (MRS)</t>
        </is>
      </c>
      <c r="B17" s="48" t="inlineStr">
        <is>
          <t>Minnesota</t>
        </is>
      </c>
      <c r="C17" s="48" t="inlineStr">
        <is>
          <t>Porcine-only abattoir; supplies LIVE research swine AND traceable porcine tissues/organs/bio-samples (High Health Herd Yorkshire-Landrace-Duroc). Order by weight/sex/age. Positions as economical.</t>
        </is>
      </c>
      <c r="D17" s="48" t="inlineStr">
        <is>
          <t>Fresh; order to spec.</t>
        </is>
      </c>
      <c r="E17" s="48" t="inlineStr">
        <is>
          <t>QUOTE ONLY — positions as low-cost.</t>
        </is>
      </c>
      <c r="F17" s="48" t="inlineStr">
        <is>
          <t>Porcine-only abattoir; High Health Herd.</t>
        </is>
      </c>
      <c r="G17" s="48" t="inlineStr">
        <is>
          <t>midwestresearchswine.com</t>
        </is>
      </c>
      <c r="H17" s="48" t="inlineStr">
        <is>
          <t>High</t>
        </is>
      </c>
      <c r="I17" s="31" t="inlineStr">
        <is>
          <t>OK (strong) — ISO 13485 + 22442-2, USDA Class B/R, own harvest, ships internationally; confirm TRACES listing</t>
        </is>
      </c>
    </row>
    <row r="18" ht="60" customHeight="1" s="51">
      <c r="A18" s="4" t="inlineStr">
        <is>
          <t>Premier BioSource (ex-S&amp;S Farms)</t>
        </is>
      </c>
      <c r="B18" s="48" t="inlineStr">
        <is>
          <t>S. CA / N. IN</t>
        </is>
      </c>
      <c r="C18" s="48" t="inlineStr">
        <is>
          <t>NOT a tissue vendor — sells LIVE research swine &amp; Yucatan minipigs.</t>
        </is>
      </c>
      <c r="D18" s="48" t="inlineStr">
        <is>
          <t>n/a (live animals).</t>
        </is>
      </c>
      <c r="E18" s="48" t="inlineStr">
        <is>
          <t>n/a — live animals, not harvested tissue.</t>
        </is>
      </c>
      <c r="F18" s="48" t="inlineStr">
        <is>
          <t>Live-animal research supplier.</t>
        </is>
      </c>
      <c r="G18" s="48" t="inlineStr">
        <is>
          <t>premierbiosource.com</t>
        </is>
      </c>
      <c r="H18" s="48" t="inlineStr">
        <is>
          <t>High</t>
        </is>
      </c>
      <c r="I18" s="32" t="inlineStr">
        <is>
          <t>n/a — live animals, out of scope</t>
        </is>
      </c>
    </row>
    <row r="19" ht="60" customHeight="1" s="51">
      <c r="A19" s="4" t="inlineStr">
        <is>
          <t>Science Care</t>
        </is>
      </c>
      <c r="B19" s="48" t="inlineStr">
        <is>
          <t>Phoenix, AZ</t>
        </is>
      </c>
      <c r="C19" s="48" t="inlineStr">
        <is>
          <t>NOT porcine — HUMAN whole-body donation for research/training.</t>
        </is>
      </c>
      <c r="D19" s="48" t="inlineStr">
        <is>
          <t>n/a.</t>
        </is>
      </c>
      <c r="E19" s="48" t="inlineStr">
        <is>
          <t>n/a — human donation, out of scope.</t>
        </is>
      </c>
      <c r="F19" s="48" t="inlineStr">
        <is>
          <t>Human tissue programme.</t>
        </is>
      </c>
      <c r="G19" s="48" t="inlineStr">
        <is>
          <t>sciencecare.com</t>
        </is>
      </c>
      <c r="H19" s="48" t="inlineStr">
        <is>
          <t>High</t>
        </is>
      </c>
      <c r="I19" s="32" t="inlineStr">
        <is>
          <t>n/a — human tissue, out of scope</t>
        </is>
      </c>
    </row>
    <row r="20" ht="60" customHeight="1" s="51">
      <c r="A20" s="4" t="inlineStr">
        <is>
          <t>Zivic Laboratories</t>
        </is>
      </c>
      <c r="B20" s="48" t="inlineStr">
        <is>
          <t>Pittsburgh, PA</t>
        </is>
      </c>
      <c r="C20" s="48" t="inlineStr">
        <is>
          <t>NOT a porcine organ vendor — primarily RODENT tissue, brain/heart matrices, dissection instruments.</t>
        </is>
      </c>
      <c r="D20" s="48" t="inlineStr">
        <is>
          <t>n/a.</t>
        </is>
      </c>
      <c r="E20" s="48" t="inlineStr">
        <is>
          <t>n/a — rodent focus, out of scope.</t>
        </is>
      </c>
      <c r="F20" s="48" t="inlineStr">
        <is>
          <t>Rodent tissue / instruments.</t>
        </is>
      </c>
      <c r="G20" s="48" t="inlineStr">
        <is>
          <t>ziviclab (see sources)</t>
        </is>
      </c>
      <c r="H20" s="48" t="inlineStr">
        <is>
          <t>High</t>
        </is>
      </c>
      <c r="I20" s="32" t="inlineStr">
        <is>
          <t>n/a — rodent, out of scope</t>
        </is>
      </c>
    </row>
    <row r="22" ht="19.95" customHeight="1" s="51">
      <c r="A22" s="52" t="inlineStr">
        <is>
          <t>BUYING DIRECT × EU EXPORT — does the vendor help or hurt onward EU export?</t>
        </is>
      </c>
    </row>
    <row r="23" ht="60" customHeight="1" s="51">
      <c r="A23" s="54"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1">
      <c r="A24" s="54"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1">
      <c r="A25" s="54"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1">
      <c r="A27" s="9" t="inlineStr">
        <is>
          <t>Pursue first (EU-cleanest)</t>
        </is>
      </c>
      <c r="B27" s="4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57" t="n"/>
      <c r="D27" s="57" t="n"/>
      <c r="E27" s="57" t="n"/>
      <c r="F27" s="57" t="n"/>
      <c r="G27" s="57" t="n"/>
      <c r="H27" s="57" t="n"/>
      <c r="I27" s="49" t="n"/>
    </row>
    <row r="28" ht="34.05" customHeight="1" s="51">
      <c r="A28" s="9" t="inlineStr">
        <is>
          <t>Workable with diligence</t>
        </is>
      </c>
      <c r="B28" s="48" t="inlineStr">
        <is>
          <t>ABI · WG Biomedical · LAMPIRE · Sierra · Animal Technologies — USDA-abattoir sourcing + device customers, but no published ISO/APHIS/TRACES/cert framework. Multi-source brokers (WG, Sierra, LAMPIRE) make single-establishment TRACES harder.</t>
        </is>
      </c>
      <c r="C28" s="57" t="n"/>
      <c r="D28" s="57" t="n"/>
      <c r="E28" s="57" t="n"/>
      <c r="F28" s="57" t="n"/>
      <c r="G28" s="57" t="n"/>
      <c r="H28" s="57" t="n"/>
      <c r="I28" s="49" t="n"/>
    </row>
    <row r="29" ht="36" customHeight="1" s="51">
      <c r="A29" s="9" t="inlineStr">
        <is>
          <t>Avoid for EU-bound / MDR product</t>
        </is>
      </c>
      <c r="B29" s="4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57" t="n"/>
      <c r="D29" s="57" t="n"/>
      <c r="E29" s="57" t="n"/>
      <c r="F29" s="57" t="n"/>
      <c r="G29" s="57" t="n"/>
      <c r="H29" s="57" t="n"/>
      <c r="I29" s="49"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1" min="1" max="1"/>
    <col width="40" customWidth="1" style="51" min="2" max="4"/>
  </cols>
  <sheetData>
    <row r="1" ht="25.95" customHeight="1" s="51">
      <c r="A1" s="50" t="inlineStr">
        <is>
          <t>Operating Models &amp; Make-vs-Buy Framework</t>
        </is>
      </c>
    </row>
    <row r="2" ht="30" customHeight="1" s="51">
      <c r="A2" s="53" t="inlineStr">
        <is>
          <t>Three ways to obtain tissue. Cost drivers differ; per-tissue economics depend heavily on freshness needs, MOQ, and travel.</t>
        </is>
      </c>
    </row>
    <row r="4" ht="30" customHeight="1" s="51">
      <c r="A4" s="3" t="inlineStr">
        <is>
          <t>Dimension</t>
        </is>
      </c>
      <c r="B4" s="3" t="inlineStr">
        <is>
          <t>Model A — We harvest on-site</t>
        </is>
      </c>
      <c r="C4" s="3" t="inlineStr">
        <is>
          <t>Model B — Plant harvests for us</t>
        </is>
      </c>
      <c r="D4" s="3" t="inlineStr">
        <is>
          <t>Buy direct (national vendor)</t>
        </is>
      </c>
    </row>
    <row r="5" ht="43.95" customHeight="1" s="51">
      <c r="A5" s="1" t="inlineStr">
        <is>
          <t>What we provide</t>
        </is>
      </c>
      <c r="B5" s="48" t="inlineStr">
        <is>
          <t>Our trained harvesters + tools; we rent line/cooler access.</t>
        </is>
      </c>
      <c r="C5" s="48" t="inlineStr">
        <is>
          <t>Inspectors + trainers to qualify their crew to our protocol.</t>
        </is>
      </c>
      <c r="D5" s="48" t="inlineStr">
        <is>
          <t>A purchase order; vendor ships tissue.</t>
        </is>
      </c>
    </row>
    <row r="6" ht="43.95" customHeight="1" s="51">
      <c r="A6" s="1" t="inlineStr">
        <is>
          <t>What the plant provides</t>
        </is>
      </c>
      <c r="B6" s="48" t="inlineStr">
        <is>
          <t>Floor/line access, cooler space, kill schedule, hanging/handling.</t>
        </is>
      </c>
      <c r="C6" s="48" t="inlineStr">
        <is>
          <t>Trained labor, QA cooperation, our-spec dissection at the kill.</t>
        </is>
      </c>
      <c r="D6" s="48" t="inlineStr">
        <is>
          <t>n/a — vendor already harvests &amp; processes.</t>
        </is>
      </c>
    </row>
    <row r="7" ht="43.95" customHeight="1" s="51">
      <c r="A7" s="1" t="inlineStr">
        <is>
          <t>Freshness / ischemia control</t>
        </is>
      </c>
      <c r="B7" s="48" t="inlineStr">
        <is>
          <t>Best — we control time-to-preserve at the source.</t>
        </is>
      </c>
      <c r="C7" s="48" t="inlineStr">
        <is>
          <t>Good — depends on their crew discipline; we audit.</t>
        </is>
      </c>
      <c r="D7" s="48" t="inlineStr">
        <is>
          <t>Variable — shipping adds hours/days; ask about cold-chain &amp; harvest-to-ship time.</t>
        </is>
      </c>
    </row>
    <row r="8" ht="43.95" customHeight="1" s="51">
      <c r="A8" s="1" t="inlineStr">
        <is>
          <t>Our labor cost</t>
        </is>
      </c>
      <c r="B8" s="48" t="inlineStr">
        <is>
          <t>High — we mobilize/travel crews; rent space.</t>
        </is>
      </c>
      <c r="C8" s="48" t="inlineStr">
        <is>
          <t>Lower — plant labor does the work; we train/audit periodically.</t>
        </is>
      </c>
      <c r="D8" s="48" t="inlineStr">
        <is>
          <t>None on harvest; we pay per-tissue + freight.</t>
        </is>
      </c>
    </row>
    <row r="9" ht="43.95" customHeight="1" s="51">
      <c r="A9" s="1" t="inlineStr">
        <is>
          <t>Volume scalability</t>
        </is>
      </c>
      <c r="B9" s="48" t="inlineStr">
        <is>
          <t>Capped by plant kill schedule + our crew capacity.</t>
        </is>
      </c>
      <c r="C9" s="48" t="inlineStr">
        <is>
          <t>Scales with plant labor; needs their buy-in.</t>
        </is>
      </c>
      <c r="D9" s="48" t="inlineStr">
        <is>
          <t>Scales with vendor supply &amp; MOQ; least control.</t>
        </is>
      </c>
    </row>
    <row r="10" ht="43.95" customHeight="1" s="51">
      <c r="A10" s="1" t="inlineStr">
        <is>
          <t>Quality-issue leverage</t>
        </is>
      </c>
      <c r="B10" s="48" t="inlineStr">
        <is>
          <t>High — our people, our call.</t>
        </is>
      </c>
      <c r="C10" s="48" t="inlineStr">
        <is>
          <t>Medium — depends on the plant's culture (why culture matters).</t>
        </is>
      </c>
      <c r="D10" s="48" t="inlineStr">
        <is>
          <t>Low-medium — vendor SLA / return policy only.</t>
        </is>
      </c>
    </row>
    <row r="11" ht="43.95" customHeight="1" s="51">
      <c r="A11" s="1" t="inlineStr">
        <is>
          <t>Best when</t>
        </is>
      </c>
      <c r="B11" s="48" t="inlineStr">
        <is>
          <t>Tissue is high-value, freshness-critical, or protocol is proprietary.</t>
        </is>
      </c>
      <c r="C11" s="48" t="inlineStr">
        <is>
          <t>Plant has good culture (Nahunta-type) and willing crew; recurring volume.</t>
        </is>
      </c>
      <c r="D11" s="48" t="inlineStr">
        <is>
          <t>Need occasional/low volume, or a tissue we can't efficiently harvest ourselves.</t>
        </is>
      </c>
    </row>
    <row r="12" ht="43.95" customHeight="1" s="51">
      <c r="A12" s="1" t="inlineStr">
        <is>
          <t>Main cost drivers</t>
        </is>
      </c>
      <c r="B12" s="48" t="inlineStr">
        <is>
          <t>Crew travel/lodging, space rental, per-visit mobilization, downtime.</t>
        </is>
      </c>
      <c r="C12" s="48" t="inlineStr">
        <is>
          <t>Training overhead, per-piece harvest fee, audit trips.</t>
        </is>
      </c>
      <c r="D12" s="48" t="inlineStr">
        <is>
          <t>Per-tissue list/quote price, MOQ, dissection fees, overnight cold-chain freight.</t>
        </is>
      </c>
    </row>
    <row r="14" ht="19.95" customHeight="1" s="51">
      <c r="A14" s="52" t="inlineStr">
        <is>
          <t>MAKE-VS-BUY — per-tissue economics (qualitative, confirm with real quotes)</t>
        </is>
      </c>
    </row>
    <row r="15" ht="34.8" customHeight="1" s="51">
      <c r="A15" s="48" t="inlineStr">
        <is>
          <t>•  Bottom line: for an operation that already harvests on-site, buying finished tissue from a national vendor is generally MORE expensive per tissue than self-harvest — but buying-direct wins in specific situations, not on unit cost.</t>
        </is>
      </c>
      <c r="B15" s="57" t="n"/>
      <c r="C15" s="57" t="n"/>
      <c r="D15" s="49" t="n"/>
    </row>
    <row r="16" ht="48" customHeight="1" s="51">
      <c r="A16" s="4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57" t="n"/>
      <c r="C16" s="57" t="n"/>
      <c r="D16" s="49" t="n"/>
    </row>
    <row r="17" ht="38.4" customHeight="1" s="51">
      <c r="A17" s="48" t="inlineStr">
        <is>
          <t>•  Custom dissection / processing fees: vendors charge for anything beyond base config (extra vessels, cannulation, specific trim, saline/PBS perfusion) — exactly the work you already do in-house.</t>
        </is>
      </c>
      <c r="B17" s="57" t="n"/>
      <c r="C17" s="57" t="n"/>
      <c r="D17" s="49" t="n"/>
    </row>
    <row r="18" ht="27.6" customHeight="1" s="51">
      <c r="A18" s="48" t="inlineStr">
        <is>
          <t>•  Freshness / warm-ischemia: self-harvest is unbeatable (minutes). Vendors mitigate with overnight fresh-on-ice, but you still lose hours-to-a-day and pay cold-chain/dry-ice freight.</t>
        </is>
      </c>
      <c r="B18" s="57" t="n"/>
      <c r="C18" s="57" t="n"/>
      <c r="D18" s="49" t="n"/>
    </row>
    <row r="19" ht="21.6" customHeight="1" s="51">
      <c r="A19" s="48" t="inlineStr">
        <is>
          <t>•  Minimums, lead times, shipping: published lead times run up to 2-4 weeks (Pel-Freez); custom collections longer.</t>
        </is>
      </c>
      <c r="B19" s="57" t="n"/>
      <c r="C19" s="57" t="n"/>
      <c r="D19" s="49" t="n"/>
    </row>
    <row r="20" ht="48" customHeight="1" s="51">
      <c r="A20" s="4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57" t="n"/>
      <c r="C20" s="57" t="n"/>
      <c r="D20" s="49" t="n"/>
    </row>
    <row r="21" ht="36" customHeight="1" s="51">
      <c r="A21" s="4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57" t="n"/>
      <c r="C21" s="57" t="n"/>
      <c r="D21" s="49"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1" min="1" max="1"/>
    <col width="11" customWidth="1" style="51" min="2" max="3"/>
    <col width="8" customWidth="1" style="51" min="4" max="4"/>
    <col width="9" customWidth="1" style="51" min="5" max="5"/>
    <col width="12" customWidth="1" style="51" min="6" max="6"/>
    <col width="14" customWidth="1" style="51" min="7" max="7"/>
    <col width="12" customWidth="1" style="51" min="8" max="8"/>
    <col width="13" customWidth="1" style="51" min="9" max="9"/>
    <col width="10" customWidth="1" style="51" min="10" max="10"/>
    <col width="13" customWidth="1" style="51" min="11" max="11"/>
    <col width="14" customWidth="1" style="51" min="12" max="12"/>
  </cols>
  <sheetData>
    <row r="1" ht="25.95" customHeight="1" s="51">
      <c r="A1" s="50" t="inlineStr">
        <is>
          <t>TCO Calculator — Total Cost per Organ / Block (self-harvest)</t>
        </is>
      </c>
    </row>
    <row r="2" ht="30" customHeight="1" s="51">
      <c r="A2" s="53"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1">
      <c r="A4" s="65" t="inlineStr">
        <is>
          <t>Legend:  blue cells on pale-yellow = you edit  ·  black = calculated  ·  ★ = the answer.  Values shown are ILLUSTRATIVE placeholders — swap in your real numbers/quotes.</t>
        </is>
      </c>
    </row>
    <row r="5" ht="19.95" customHeight="1" s="51">
      <c r="A5" s="63" t="inlineStr">
        <is>
          <t>A.  HARVEST SESSION  (per visit)</t>
        </is>
      </c>
    </row>
    <row r="6" ht="18" customHeight="1" s="51">
      <c r="A6" s="62" t="inlineStr">
        <is>
          <t>Blocks / organs harvested per visit</t>
        </is>
      </c>
      <c r="C6" s="33" t="n">
        <v>40</v>
      </c>
      <c r="D6" s="61" t="inlineStr">
        <is>
          <t>How many pieces you collect in one trip.</t>
        </is>
      </c>
    </row>
    <row r="7" ht="18" customHeight="1" s="51">
      <c r="A7" s="62" t="inlineStr">
        <is>
          <t>Harvest time per block (minutes)</t>
        </is>
      </c>
      <c r="C7" s="34" t="n">
        <v>15</v>
      </c>
      <c r="D7" s="61" t="inlineStr">
        <is>
          <t>Hands-on time to harvest one block/organ.</t>
        </is>
      </c>
    </row>
    <row r="8" ht="18" customHeight="1" s="51">
      <c r="A8" s="62" t="inlineStr">
        <is>
          <t>Harvesters on site (#)</t>
        </is>
      </c>
      <c r="C8" s="33" t="n">
        <v>2</v>
      </c>
      <c r="D8" s="61" t="inlineStr">
        <is>
          <t>Your crew size. For Model B (plant harvests) set 0.</t>
        </is>
      </c>
    </row>
    <row r="9" ht="18" customHeight="1" s="51">
      <c r="A9" s="62" t="inlineStr">
        <is>
          <t>Harvester labor rate ($/hr, loaded)</t>
        </is>
      </c>
      <c r="C9" s="35" t="n">
        <v>45</v>
      </c>
      <c r="D9" s="61" t="inlineStr">
        <is>
          <t>Fully-loaded wage incl. burden.</t>
        </is>
      </c>
    </row>
    <row r="10" ht="18" customHeight="1" s="51">
      <c r="A10" s="62" t="inlineStr">
        <is>
          <t>Session hours (wall-clock)</t>
        </is>
      </c>
      <c r="C10" s="36">
        <f>C6*C7/60</f>
        <v/>
      </c>
      <c r="D10" s="61">
        <f>blocks * min/block / 60</f>
        <v/>
      </c>
    </row>
    <row r="11" ht="18" customHeight="1" s="51">
      <c r="A11" s="62" t="inlineStr">
        <is>
          <t>Harvester labor per visit</t>
        </is>
      </c>
      <c r="C11" s="37">
        <f>C10*C8*C9</f>
        <v/>
      </c>
      <c r="D11" s="61">
        <f>session hours * crew * rate.</f>
        <v/>
      </c>
    </row>
    <row r="12" ht="19.95" customHeight="1" s="51">
      <c r="A12" s="63" t="inlineStr">
        <is>
          <t>B.  FACILITY ACCESS  (per visit — varies by slaughterhouse)</t>
        </is>
      </c>
    </row>
    <row r="13" ht="18" customHeight="1" s="51">
      <c r="A13" s="62" t="inlineStr">
        <is>
          <t>Space / line rental per visit ($)</t>
        </is>
      </c>
      <c r="C13" s="35" t="n">
        <v>500</v>
      </c>
      <c r="D13" s="61" t="inlineStr">
        <is>
          <t>Model A: rent floor/cooler access. 0 if none / relationship.</t>
        </is>
      </c>
    </row>
    <row r="14" ht="18" customHeight="1" s="51">
      <c r="A14" s="62" t="inlineStr">
        <is>
          <t>Plant inspection / handling fee per visit ($)</t>
        </is>
      </c>
      <c r="C14" s="35" t="n">
        <v>150</v>
      </c>
      <c r="D14" s="61" t="inlineStr">
        <is>
          <t>Plant's charge for their staff/line time — OR the Model B per-visit harvest fee.</t>
        </is>
      </c>
    </row>
    <row r="15" ht="18" customHeight="1" s="51">
      <c r="A15" s="62" t="inlineStr">
        <is>
          <t>Our inspector / trainer cost per visit ($)</t>
        </is>
      </c>
      <c r="C15" s="35" t="n">
        <v>0</v>
      </c>
      <c r="D15" s="61" t="inlineStr">
        <is>
          <t>Model B: amortized day-rate + travel of trainers/inspectors we send.</t>
        </is>
      </c>
    </row>
    <row r="16" ht="18" customHeight="1" s="51">
      <c r="A16" s="62" t="inlineStr">
        <is>
          <t>Facility fixed subtotal</t>
        </is>
      </c>
      <c r="C16" s="37">
        <f>C13+C14+C15</f>
        <v/>
      </c>
      <c r="D16" s="61">
        <f>rental + plant fee + our inspector.</f>
        <v/>
      </c>
    </row>
    <row r="17" ht="19.95" customHeight="1" s="51">
      <c r="A17" s="63" t="inlineStr">
        <is>
          <t>C.  LOGISTICS &amp; HOLDING</t>
        </is>
      </c>
    </row>
    <row r="18" ht="18" customHeight="1" s="51">
      <c r="A18" s="62" t="inlineStr">
        <is>
          <t>Transportation per visit ($)</t>
        </is>
      </c>
      <c r="C18" s="35" t="n">
        <v>300</v>
      </c>
      <c r="D18" s="61" t="inlineStr">
        <is>
          <t>Round-trip freight / vehicle / fuel / cold-chain for the trip.</t>
        </is>
      </c>
    </row>
    <row r="19" ht="18" customHeight="1" s="51">
      <c r="A19" s="62" t="inlineStr">
        <is>
          <t>Inventory / holding cost per block ($)</t>
        </is>
      </c>
      <c r="C19" s="35" t="n">
        <v>8</v>
      </c>
      <c r="D19" s="61" t="inlineStr">
        <is>
          <t>Preservation, cold storage, holding per piece.</t>
        </is>
      </c>
    </row>
    <row r="20" ht="19.95" customHeight="1" s="51">
      <c r="A20" s="63" t="inlineStr">
        <is>
          <t>D.  RESULT</t>
        </is>
      </c>
    </row>
    <row r="21" ht="18" customHeight="1" s="51">
      <c r="A21" s="62" t="inlineStr">
        <is>
          <t>Per-visit fixed + transport</t>
        </is>
      </c>
      <c r="C21" s="37">
        <f>C16+C18</f>
        <v/>
      </c>
      <c r="D21" s="61">
        <f>facility fixed + transportation.</f>
        <v/>
      </c>
    </row>
    <row r="22" ht="18" customHeight="1" s="51">
      <c r="A22" s="62" t="inlineStr">
        <is>
          <t>Total cost per visit</t>
        </is>
      </c>
      <c r="C22" s="37">
        <f>C21+C11+C19*C6</f>
        <v/>
      </c>
      <c r="D22" s="61">
        <f>fixed+transport + harvester labor + inventory * blocks.</f>
        <v/>
      </c>
    </row>
    <row r="23" ht="18" customHeight="1" s="51">
      <c r="A23" s="66" t="inlineStr">
        <is>
          <t>★ TOTAL COST PER BLOCK</t>
        </is>
      </c>
      <c r="C23" s="38">
        <f>IF(C6&gt;0,C22/C6,0)</f>
        <v/>
      </c>
      <c r="D23" s="61">
        <f>total cost per visit / blocks. Your self-harvest unit cost.</f>
        <v/>
      </c>
    </row>
    <row r="24" ht="18" customHeight="1" s="51">
      <c r="A24" s="62" t="inlineStr">
        <is>
          <t>Memo: harvester labor per block</t>
        </is>
      </c>
      <c r="C24" s="37">
        <f>IF(C6&gt;0,C11/C6,0)</f>
        <v/>
      </c>
      <c r="D24" s="61">
        <f>(min/block / 60) * crew * rate.</f>
        <v/>
      </c>
    </row>
    <row r="25" ht="18" customHeight="1" s="51">
      <c r="A25" s="62" t="inlineStr">
        <is>
          <t>Memo: fixed+transport per block</t>
        </is>
      </c>
      <c r="C25" s="37">
        <f>IF(C6&gt;0,C21/C6,0)</f>
        <v/>
      </c>
      <c r="D25" s="61" t="inlineStr">
        <is>
          <t>Spread of per-visit fixed costs — falls as blocks/visit rises.</t>
        </is>
      </c>
    </row>
    <row r="26" ht="19.95" customHeight="1" s="51">
      <c r="A26" s="63" t="inlineStr">
        <is>
          <t>E.  BUY-DIRECT BENCHMARK  (real published list prices)</t>
        </is>
      </c>
    </row>
    <row r="27" ht="18" customHeight="1" s="51">
      <c r="A27" s="62" t="inlineStr">
        <is>
          <t>Buy-direct: single porcine organ ($)</t>
        </is>
      </c>
      <c r="C27" s="35" t="n">
        <v>141</v>
      </c>
      <c r="D27" s="61" t="inlineStr">
        <is>
          <t>Innovative Research list, base config (real published price).</t>
        </is>
      </c>
    </row>
    <row r="28" ht="18" customHeight="1" s="51">
      <c r="A28" s="62" t="inlineStr">
        <is>
          <t>Buy-direct: pelvic block ($)</t>
        </is>
      </c>
      <c r="C28" s="35" t="n">
        <v>582</v>
      </c>
      <c r="D28" s="61" t="inlineStr">
        <is>
          <t>Innovative Research list, base config (real published price).</t>
        </is>
      </c>
    </row>
    <row r="29" ht="18" customHeight="1" s="51">
      <c r="A29" s="62" t="inlineStr">
        <is>
          <t>Δ self-harvest vs buy-direct (per organ)</t>
        </is>
      </c>
      <c r="C29" s="37">
        <f>C23-C27</f>
        <v/>
      </c>
      <c r="D29" s="61" t="inlineStr">
        <is>
          <t>Negative = self-harvest cheaper per organ.</t>
        </is>
      </c>
    </row>
    <row r="30" ht="18" customHeight="1" s="51">
      <c r="A30" s="62" t="inlineStr">
        <is>
          <t>Verdict</t>
        </is>
      </c>
      <c r="C30" s="39">
        <f>IF(C23&lt;=C27,"Self-harvest cheaper / on par","Buying direct cheaper per organ")</f>
        <v/>
      </c>
      <c r="D30" s="61" t="inlineStr">
        <is>
          <t>Rule of thumb; one visit yields many blocks, favoring self-harvest.</t>
        </is>
      </c>
    </row>
    <row r="32" ht="19.95" customHeight="1" s="51">
      <c r="A32" s="63" t="inlineStr">
        <is>
          <t>PER-SLAUGHTERHOUSE COMPARISON  (illustrative placeholders — replace with real figures/quotes)</t>
        </is>
      </c>
    </row>
    <row r="33" ht="30" customHeight="1" s="51">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1">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1">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1">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1">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1">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1">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1">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1">
      <c r="A42" s="64" t="inlineStr">
        <is>
          <t>•  For Model B (plant harvests): set Crew = 0 and enter the plant's per-visit harvest fee under 'Plant fee / harvest fee'.</t>
        </is>
      </c>
    </row>
    <row r="43" ht="22.05" customHeight="1" s="51">
      <c r="A43" s="64" t="inlineStr">
        <is>
          <t>•  Cost/block = (rental + plant fee + our inspector + transport + harvester labor + inventory × blocks) ÷ blocks.  Harvester labor = (min/block ÷ 60) × blocks × crew × rate.</t>
        </is>
      </c>
    </row>
    <row r="44" ht="22.05" customHeight="1" s="51">
      <c r="A44" s="64" t="inlineStr">
        <is>
          <t>•  Compare Cost/block (col ⇒) to buy-direct list prices: ~$141/organ and $582/pelvic block (Innovative Research). Self-harvest usually wins because one visit yields many blocks at once.</t>
        </is>
      </c>
    </row>
    <row r="45" ht="22.05" customHeight="1" s="51">
      <c r="A45" s="64"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A6:B6"/>
    <mergeCell ref="D7:I7"/>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45:L45"/>
    <mergeCell ref="A1:L1"/>
    <mergeCell ref="A10:B10"/>
    <mergeCell ref="A28:B28"/>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C1"/>
    </sheetView>
  </sheetViews>
  <sheetFormatPr baseColWidth="8" defaultRowHeight="14.4"/>
  <cols>
    <col width="24" customWidth="1" style="51" min="1" max="1"/>
    <col width="46" customWidth="1" style="51" min="2" max="3"/>
  </cols>
  <sheetData>
    <row r="1" ht="25.95" customHeight="1" s="51">
      <c r="A1" s="50" t="inlineStr">
        <is>
          <t>APHIS &amp; EU Export — what your suppliers actually need</t>
        </is>
      </c>
    </row>
    <row r="2" ht="30" customHeight="1" s="51">
      <c r="A2" s="53" t="inlineStr">
        <is>
          <t>For exporting porcine-tissue 'models' to Europe. Orientation only — NOT legal advice; confirm per product line with APHIS VS, your EU importer, and (if a device) a notified body.</t>
        </is>
      </c>
    </row>
    <row r="4" ht="120" customHeight="1" s="51">
      <c r="A4" s="59"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57" t="n"/>
      <c r="C4" s="49" t="n"/>
    </row>
    <row r="6" ht="19.95" customHeight="1" s="51">
      <c r="A6" s="63" t="inlineStr">
        <is>
          <t>HOW TO CHECK APHIS / EXPORT STATUS YOURSELF  (the lookup sites)</t>
        </is>
      </c>
    </row>
    <row r="7" ht="18" customHeight="1" s="51">
      <c r="A7" s="56" t="inlineStr">
        <is>
          <t>There is NO single 'APHIS-certified slaughterhouse' lookup — the right source depends on WHAT is exported.</t>
        </is>
      </c>
      <c r="B7" s="57" t="n"/>
      <c r="C7" s="49" t="n"/>
    </row>
    <row r="8" ht="36" customHeight="1" s="51">
      <c r="A8" s="1" t="inlineStr">
        <is>
          <t>Edible meat/offal to EU</t>
        </is>
      </c>
      <c r="B8" s="48" t="inlineStr">
        <is>
          <t>FSIS 'Eligible U.S. Establishments by Country' → the European Union page (plant must be in the FSIS 'Pork for the EU' / PFEU program).  fsis.usda.gov/inspection/import-export/import-export-library</t>
        </is>
      </c>
      <c r="C8" s="49" t="n"/>
    </row>
    <row r="9" ht="36" customHeight="1" s="51">
      <c r="A9" s="1" t="inlineStr">
        <is>
          <t>Any FSIS export setup</t>
        </is>
      </c>
      <c r="B9" s="48" t="inlineStr">
        <is>
          <t>FSIS Meat/Poultry/Egg (MPI) Directory — an establishment's 'Certification – Export' activity means it can issue export certs for SOME country; it does NOT mean EU-eligible.  fsis.usda.gov/inspection/establishments/meat-poultry-and-egg-product-inspection-directory</t>
        </is>
      </c>
      <c r="C9" s="49" t="n"/>
    </row>
    <row r="10" ht="48" customHeight="1" s="51">
      <c r="A10" s="1" t="inlineStr">
        <is>
          <t>NON-food research tissue / organs to EU  ← this is us</t>
        </is>
      </c>
      <c r="B10" s="4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49" t="n"/>
    </row>
    <row r="11" ht="48" customHeight="1" s="51">
      <c r="A11" s="1" t="inlineStr">
        <is>
          <t>Authoritative EU-side list (both)</t>
        </is>
      </c>
      <c r="B11" s="4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49" t="n"/>
    </row>
    <row r="12" ht="36" customHeight="1" s="51">
      <c r="A12" s="1" t="inlineStr">
        <is>
          <t>BOTTOM LINE</t>
        </is>
      </c>
      <c r="B12" s="48" t="inlineStr">
        <is>
          <t>Edible meat → FSIS list + TRACES fresh-meat section.  Non-food research tissue → APHIS VS listing + TRACES animal-by-products section.  FSIS 'Certification–Export' ≠ EU-eligible ≠ APHIS by-product listing.</t>
        </is>
      </c>
      <c r="C12" s="49" t="n"/>
    </row>
    <row r="14" ht="19.95" customHeight="1" s="51">
      <c r="A14" s="63" t="inlineStr">
        <is>
          <t>THE THREE REGIMES — APHIS vs FSIS vs STATE  (not tiers of one thing)</t>
        </is>
      </c>
    </row>
    <row r="15" ht="19.95" customHeight="1" s="51">
      <c r="A15" s="42" t="inlineStr">
        <is>
          <t>Program</t>
        </is>
      </c>
      <c r="B15" s="42" t="inlineStr">
        <is>
          <t>Purpose</t>
        </is>
      </c>
      <c r="C15" s="42" t="inlineStr">
        <is>
          <t>What it means for you</t>
        </is>
      </c>
    </row>
    <row r="16" ht="61.95" customHeight="1" s="51">
      <c r="A16" s="43" t="inlineStr">
        <is>
          <t>USDA FSIS
(Food Safety &amp; Inspection Service)</t>
        </is>
      </c>
      <c r="B16" s="48" t="inlineStr">
        <is>
          <t>Food safety for meat/poultry for HUMAN CONSUMPTION; issues the federal 'grant of inspection'.</t>
        </is>
      </c>
      <c r="C16" s="48" t="inlineStr">
        <is>
          <t>The certifying agency for EDIBLE product. For non-food tissue/organs, FSIS is generally NOT the relevant agency at all.</t>
        </is>
      </c>
    </row>
    <row r="17" ht="61.95" customHeight="1" s="51">
      <c r="A17" s="43" t="inlineStr">
        <is>
          <t>USDA APHIS Veterinary Services (VS)</t>
        </is>
      </c>
      <c r="B17" s="48" t="inlineStr">
        <is>
          <t>ANIMAL HEALTH + export certification for animals and animal products/byproducts — expressly incl. non-food tissue for technical/research/pharma use.</t>
        </is>
      </c>
      <c r="C17" s="48" t="inlineStr">
        <is>
          <t>THIS is the export pathway for your tissue. APHIS approves/lists the facility and endorses the per-shipment EU health certificate. Country rules live in IREGS.</t>
        </is>
      </c>
    </row>
    <row r="18" ht="61.95" customHeight="1" s="51">
      <c r="A18" s="43" t="inlineStr">
        <is>
          <t>State meat inspection</t>
        </is>
      </c>
      <c r="B18" s="48" t="inlineStr">
        <is>
          <t>Food safety, run by a state, 'at least equal to' FSIS. Edible product usually can't cross state lines.</t>
        </is>
      </c>
      <c r="C18" s="48" t="inlineStr">
        <is>
          <t>A state-inspected plant (e.g. Nahunta) is NOT disqualified from the APHIS byproduct export pathway — that pathway is APHIS's, not FSIS's. This reconciles 'Nahunta is special on certs' with 'Nahunta is state-inspected.'</t>
        </is>
      </c>
    </row>
    <row r="20" ht="19.95" customHeight="1" s="51">
      <c r="A20" s="63" t="inlineStr">
        <is>
          <t>WHAT THE EU ACTUALLY REQUIRES  (the practical spine)</t>
        </is>
      </c>
    </row>
    <row r="21" ht="48" customHeight="1" s="51">
      <c r="A21" s="1" t="inlineStr">
        <is>
          <t>Governing law</t>
        </is>
      </c>
      <c r="B21" s="4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49" t="n"/>
    </row>
    <row r="22" ht="60" customHeight="1" s="51">
      <c r="A22" s="1" t="inlineStr">
        <is>
          <t>Category &amp; use</t>
        </is>
      </c>
      <c r="B22" s="4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49" t="n"/>
    </row>
    <row r="23" ht="18" customHeight="1" s="51">
      <c r="A23" s="56" t="inlineStr">
        <is>
          <t>The four-step import spine</t>
        </is>
      </c>
      <c r="B23" s="57" t="n"/>
      <c r="C23" s="49" t="n"/>
    </row>
    <row r="24" ht="25.95" customHeight="1" s="51">
      <c r="A24" s="48" t="inlineStr">
        <is>
          <t>•  1. APPROVED THIRD COUNTRY — the US must be listed for that ABP category (country lists in Annex XIV of Reg (EU) 142/2011, amended e.g. by Reg (EU) 2022/384). The US is listed for many ABP categories.</t>
        </is>
      </c>
      <c r="B24" s="57" t="n"/>
      <c r="C24" s="49" t="n"/>
    </row>
    <row r="25" ht="36" customHeight="1" s="51">
      <c r="A25" s="48" t="inlineStr">
        <is>
          <t>•  2. LISTED ESTABLISHMENT — the origin plant must be APHIS-approved and appear on the EU TRACES establishment list for the category. (APHIS: 'Facilities must be listed by APHIS in compliance with Reg (EU) 142/2011 to export.')</t>
        </is>
      </c>
      <c r="B25" s="57" t="n"/>
      <c r="C25" s="49" t="n"/>
    </row>
    <row r="26" ht="25.95" customHeight="1" s="51">
      <c r="A26" s="48" t="inlineStr">
        <is>
          <t>•  3. ENDORSED HEALTH CERTIFICATE — a model veterinary health certificate (matching the category/use, from the 142/2011 annexes) accompanies the consignment, endorsed by APHIS Veterinary Services.</t>
        </is>
      </c>
      <c r="B26" s="57" t="n"/>
      <c r="C26" s="49" t="n"/>
    </row>
    <row r="27" ht="25.95" customHeight="1" s="51">
      <c r="A27" s="48" t="inlineStr">
        <is>
          <t>•  4. BORDER ENTRY via TRACES — entry through an EU Border Control Post with prior notification in TRACES (the CHED). APHIS endorses the certificate but does NOT prepare the EU entry document — that is the importer's side.</t>
        </is>
      </c>
      <c r="B27" s="57" t="n"/>
      <c r="C27" s="49" t="n"/>
    </row>
    <row r="28" ht="30" customHeight="1" s="51">
      <c r="A28" s="1" t="inlineStr">
        <is>
          <t>Documentation flow</t>
        </is>
      </c>
      <c r="B28" s="48" t="inlineStr">
        <is>
          <t>Slaughterhouse → exporter (facility listing status, species/origin, inspection records, traceability) → APHIS endorses the certificate → EU importer lodges the CHED in TRACES.</t>
        </is>
      </c>
      <c r="C28" s="49" t="n"/>
    </row>
    <row r="29" ht="19.95" customHeight="1" s="51">
      <c r="A29" s="63" t="inlineStr">
        <is>
          <t>MEDICAL-DEVICE ANGLE  (only if the end product is actually a device)</t>
        </is>
      </c>
    </row>
    <row r="30" ht="48" customHeight="1" s="51">
      <c r="A30" s="4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57" t="n"/>
      <c r="C30" s="49" t="n"/>
    </row>
    <row r="31" ht="25.95" customHeight="1" s="51">
      <c r="A31" s="48" t="inlineStr">
        <is>
          <t>•  If it IS a device: Regulation (EU) 2017/745 (MDR), Annex I GSPR 13.1 governs devices manufactured using animal tissue.</t>
        </is>
      </c>
      <c r="B31" s="57" t="n"/>
      <c r="C31" s="49" t="n"/>
    </row>
    <row r="32" ht="36" customHeight="1" s="51">
      <c r="A32" s="48" t="inlineStr">
        <is>
          <t>•  KEY: Regulation (EU) No 722/2012 (the special TSE regime) does NOT cover porcine — it is limited to bovine, ovine, caprine, deer, elk, mink and cats. So porcine devices sit under MDR's GENERAL animal-origin requirements (13.1), NOT the 722/2012 procedure.</t>
        </is>
      </c>
      <c r="B32" s="57" t="n"/>
      <c r="C32" s="49" t="n"/>
    </row>
    <row r="33" ht="48" customHeight="1" s="51">
      <c r="A33" s="4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57" t="n"/>
      <c r="C33" s="49" t="n"/>
    </row>
    <row r="34" ht="19.95" customHeight="1" s="51">
      <c r="A34" s="63" t="inlineStr">
        <is>
          <t>DOES THE SUPPLIER NEED 'APHIS CERTIFICATION'?  (direct answer)</t>
        </is>
      </c>
    </row>
    <row r="35" ht="36" customHeight="1" s="51">
      <c r="A35" s="48" t="inlineStr">
        <is>
          <t>•  'APHIS certification' is not one credential on the wall — it is a SYSTEM: (i) APHIS approves/lists a specific facility for a specific export certificate/category, and (ii) APHIS VS endorses the actual health certificate per shipment.</t>
        </is>
      </c>
      <c r="B35" s="57" t="n"/>
      <c r="C35" s="49" t="n"/>
    </row>
    <row r="36" ht="48" customHeight="1" s="51">
      <c r="A36" s="4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57" t="n"/>
      <c r="C36" s="49" t="n"/>
    </row>
    <row r="37" ht="60" customHeight="1" s="51">
      <c r="A37" s="4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57" t="n"/>
      <c r="C37" s="49" t="n"/>
    </row>
    <row r="39" ht="19.95" customHeight="1" s="51">
      <c r="A39" s="63" t="inlineStr">
        <is>
          <t>SUPPLIER CHECKLIST — require in writing (also in the Call Question Sheet, section G)</t>
        </is>
      </c>
    </row>
    <row r="40" ht="36" customHeight="1" s="51">
      <c r="A40" s="44" t="n">
        <v>1</v>
      </c>
      <c r="B40" s="48" t="inlineStr">
        <is>
          <t>APHIS export eligibility / facility approval — is the establishment already APHIS-approved and on the EU TRACES establishment list for the relevant ABP category? If not, willing to apply via APHIS VS?</t>
        </is>
      </c>
      <c r="C40" s="49" t="n"/>
    </row>
    <row r="41" ht="36" customHeight="1" s="51">
      <c r="A41" s="44" t="n">
        <v>2</v>
      </c>
      <c r="B41" s="48" t="inlineStr">
        <is>
          <t>Inspection status — USDA-FSIS or state-inspected? Can it document ante-mortem AND post-mortem veterinary inspection of the source animals? (Needed for many EU certificates and for MDR 13.1.)</t>
        </is>
      </c>
      <c r="C41" s="49" t="n"/>
    </row>
    <row r="42" ht="36" customHeight="1" s="51">
      <c r="A42" s="44" t="n">
        <v>3</v>
      </c>
      <c r="B42" s="48" t="inlineStr">
        <is>
          <t>Veterinary health certificates / affidavits — can it supply the source declarations/affidavits APHIS VS needs to endorse the EU model health certificate, and per-lot documentation?</t>
        </is>
      </c>
      <c r="C42" s="49" t="n"/>
    </row>
    <row r="43" ht="36" customHeight="1" s="51">
      <c r="A43" s="44" t="n">
        <v>4</v>
      </c>
      <c r="B43" s="48" t="inlineStr">
        <is>
          <t>Species, herd health &amp; country/region of origin — porcine only; US origin; herd-health assurances; animals healthy and fit for human consumption, with fallen stock / emergency-slaughtered / diseased animals excluded.</t>
        </is>
      </c>
      <c r="C43" s="49" t="n"/>
    </row>
    <row r="44" ht="36" customHeight="1" s="51">
      <c r="A44" s="44" t="n">
        <v>5</v>
      </c>
      <c r="B44" s="48" t="inlineStr">
        <is>
          <t>Traceability — lot-level traceability from live animal → tissue → shipment, and retention of geographical-origin records (required under MDR Annex I 13.1 if the end product is a device).</t>
        </is>
      </c>
      <c r="C44" s="49" t="n"/>
    </row>
    <row r="45" ht="36" customHeight="1" s="51">
      <c r="A45" s="44" t="n">
        <v>6</v>
      </c>
      <c r="B45" s="48" t="inlineStr">
        <is>
          <t>Records retention &amp; audit access — inspection, sourcing, and lot records; willingness to support APHIS facility audits and (if a device) notified-body / ISO 22442 documentation requests.</t>
        </is>
      </c>
      <c r="C45" s="49" t="n"/>
    </row>
    <row r="46" ht="36" customHeight="1" s="51">
      <c r="A46" s="44" t="n">
        <v>7</v>
      </c>
      <c r="B46" s="48" t="inlineStr">
        <is>
          <t>Category/use agreement — align on the ABP category (likely Cat 3) and intended use so the correct 142/2011 model certificate (research/diagnostic sample, commercial sample, technical product, or intermediate-product Chapter 20) can be identified.</t>
        </is>
      </c>
      <c r="C46" s="49" t="n"/>
    </row>
    <row r="48" ht="19.95" customHeight="1" s="51">
      <c r="A48" s="63" t="inlineStr">
        <is>
          <t>WHO TO LOOP IN  (this tab is orientation, not final legal advice)</t>
        </is>
      </c>
    </row>
    <row r="49" ht="25.95" customHeight="1" s="51">
      <c r="A49" s="48" t="inlineStr">
        <is>
          <t>•  APHIS VS Field Operations / Veterinary Export Trade Services — the authority on facility listing and which EU certificate applies to your exact product; they endorse the certificate.</t>
        </is>
      </c>
      <c r="B49" s="57" t="n"/>
      <c r="C49" s="49" t="n"/>
    </row>
    <row r="50" ht="25.95" customHeight="1" s="51">
      <c r="A50" s="48" t="inlineStr">
        <is>
          <t>•  Your EU importer — lodges the TRACES/CHED entry and knows the receiving Member State's border-control expectations.</t>
        </is>
      </c>
      <c r="B50" s="57" t="n"/>
      <c r="C50" s="49" t="n"/>
    </row>
    <row r="51" ht="25.95" customHeight="1" s="51">
      <c r="A51" s="48" t="inlineStr">
        <is>
          <t>•  A customs / regulatory specialist — to fix the ABP category, CN code, and correct 142/2011 model certificate per product line.</t>
        </is>
      </c>
      <c r="B51" s="57" t="n"/>
      <c r="C51" s="49" t="n"/>
    </row>
    <row r="52" ht="25.95" customHeight="1" s="51">
      <c r="A52" s="48" t="inlineStr">
        <is>
          <t>•  A notified body — only if any product is actually a medical device (MDR Annex I 13.1; porcine is outside 722/2012 but still scrutinized).</t>
        </is>
      </c>
      <c r="B52" s="57" t="n"/>
      <c r="C52" s="49" t="n"/>
    </row>
    <row r="54" ht="19.95" customHeight="1" s="51">
      <c r="A54" s="63" t="inlineStr">
        <is>
          <t>KEY SOURCES</t>
        </is>
      </c>
    </row>
    <row r="55" ht="24" customHeight="1" s="51">
      <c r="A55" s="67" t="inlineStr">
        <is>
          <t>•  APHIS — International Animal Product Export Regulations (IREGS): aphis.usda.gov/animal-product-export/international-animal-product-export-regulations</t>
        </is>
      </c>
      <c r="B55" s="57" t="n"/>
      <c r="C55" s="49" t="n"/>
    </row>
    <row r="56" ht="24" customHeight="1" s="51">
      <c r="A56" s="67" t="inlineStr">
        <is>
          <t>•  APHIS — Export Animal Products to the EU: aphis.usda.gov/animal-product-export/export-animal-products-european-union</t>
        </is>
      </c>
      <c r="B56" s="57" t="n"/>
      <c r="C56" s="49" t="n"/>
    </row>
    <row r="57" ht="24" customHeight="1" s="51">
      <c r="A57" s="67" t="inlineStr">
        <is>
          <t>•  EU ABP — Reg (EC) 1069/2009 (EUR-Lex summary) &amp; Reg (EU) 142/2011 (legislation.gov.uk consolidated); country lists Annex XIV via Reg (EU) 2022/384</t>
        </is>
      </c>
      <c r="B57" s="57" t="n"/>
      <c r="C57" s="49" t="n"/>
    </row>
    <row r="58" ht="24" customHeight="1" s="51">
      <c r="A58" s="67" t="inlineStr">
        <is>
          <t>•  EU devices — MDR (EU) 2017/745 (EUR-Lex); Reg (EU) 722/2012 (legislation.gov.uk) — porcine NOT covered; ISO 22442 series (industry practice)</t>
        </is>
      </c>
      <c r="B58" s="57" t="n"/>
      <c r="C58" s="49" t="n"/>
    </row>
    <row r="59" ht="24" customHeight="1" s="51">
      <c r="A59" s="67" t="inlineStr">
        <is>
          <t>•  USDA-EU approved U.S. establishments: usda-eu.org/import-controls/approved-u-s-establishments  ·  Third-country establishment lists explained: agrinfo.eu</t>
        </is>
      </c>
      <c r="B59" s="57" t="n"/>
      <c r="C59" s="49"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B40:C40"/>
    <mergeCell ref="B9:C9"/>
    <mergeCell ref="A59:C59"/>
    <mergeCell ref="A48:C48"/>
    <mergeCell ref="A34:C34"/>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C1"/>
    </sheetView>
  </sheetViews>
  <sheetFormatPr baseColWidth="8" defaultRowHeight="14.4"/>
  <cols>
    <col width="5" customWidth="1" style="51" min="1" max="1"/>
    <col width="78" customWidth="1" style="51" min="2" max="2"/>
    <col width="40" customWidth="1" style="51" min="3" max="3"/>
  </cols>
  <sheetData>
    <row r="1" ht="25.95" customHeight="1" s="51">
      <c r="A1" s="50" t="inlineStr">
        <is>
          <t>Slaughterhouse Outreach — Call Agenda &amp; Question Sheet</t>
        </is>
      </c>
    </row>
    <row r="2" ht="30" customHeight="1" s="51">
      <c r="A2" s="53" t="inlineStr">
        <is>
          <t>One sheet per plant. Fill the YELLOW answer cells on the call, then transfer key data to the roster. Mirror of the CJB agenda style.</t>
        </is>
      </c>
    </row>
    <row r="4" ht="19.95" customHeight="1" s="51">
      <c r="A4" s="43" t="n"/>
      <c r="B4" s="1" t="inlineStr">
        <is>
          <t>Plant / contact</t>
        </is>
      </c>
      <c r="C4" s="5" t="n"/>
    </row>
    <row r="5" ht="19.95" customHeight="1" s="51">
      <c r="A5" s="43" t="n"/>
      <c r="B5" s="1" t="inlineStr">
        <is>
          <t>Phone / email</t>
        </is>
      </c>
      <c r="C5" s="5" t="n"/>
    </row>
    <row r="6" ht="19.95" customHeight="1" s="51">
      <c r="A6" s="43" t="n"/>
      <c r="B6" s="1" t="inlineStr">
        <is>
          <t>Date of call / caller</t>
        </is>
      </c>
      <c r="C6" s="5" t="n"/>
    </row>
    <row r="8" ht="19.95" customHeight="1" s="51">
      <c r="A8" s="63" t="inlineStr">
        <is>
          <t>A. HARD GATE — volume &amp; species</t>
        </is>
      </c>
    </row>
    <row r="9" ht="18" customHeight="1" s="51">
      <c r="A9" s="40" t="inlineStr">
        <is>
          <t>#</t>
        </is>
      </c>
      <c r="B9" s="40" t="inlineStr">
        <is>
          <t>Question</t>
        </is>
      </c>
      <c r="C9" s="40" t="inlineStr">
        <is>
          <t>Answer / Notes</t>
        </is>
      </c>
    </row>
    <row r="10" ht="30" customHeight="1" s="51">
      <c r="A10" s="45" t="n">
        <v>1</v>
      </c>
      <c r="B10" s="48" t="inlineStr">
        <is>
          <t>Do you slaughter HOGS (swine)?  Beef/other only?</t>
        </is>
      </c>
      <c r="C10" s="5" t="n"/>
    </row>
    <row r="11" ht="30" customHeight="1" s="51">
      <c r="A11" s="45" t="n">
        <v>2</v>
      </c>
      <c r="B11" s="48" t="inlineStr">
        <is>
          <t>How many hogs per WEEK do you kill (range across the year)?  Head/day x days?</t>
        </is>
      </c>
      <c r="C11" s="5" t="n"/>
    </row>
    <row r="12" ht="30" customHeight="1" s="51">
      <c r="A12" s="45" t="n">
        <v>3</v>
      </c>
      <c r="B12" s="48" t="inlineStr">
        <is>
          <t>Is that steady year-round, or seasonal? Any capacity to add head for us?</t>
        </is>
      </c>
      <c r="C12" s="5" t="n"/>
    </row>
    <row r="14" ht="19.95" customHeight="1" s="51">
      <c r="A14" s="63" t="inlineStr">
        <is>
          <t>B. Inspection &amp; certification</t>
        </is>
      </c>
    </row>
    <row r="15" ht="18" customHeight="1" s="51">
      <c r="A15" s="40" t="inlineStr">
        <is>
          <t>#</t>
        </is>
      </c>
      <c r="B15" s="40" t="inlineStr">
        <is>
          <t>Question</t>
        </is>
      </c>
      <c r="C15" s="40" t="inlineStr">
        <is>
          <t>Answer / Notes</t>
        </is>
      </c>
    </row>
    <row r="16" ht="30" customHeight="1" s="51">
      <c r="A16" s="45" t="n">
        <v>1</v>
      </c>
      <c r="B16" s="48" t="inlineStr">
        <is>
          <t>USDA-inspected (FSIS grant of inspection)?  Establishment number?</t>
        </is>
      </c>
      <c r="C16" s="5" t="n"/>
    </row>
    <row r="17" ht="30" customHeight="1" s="51">
      <c r="A17" s="45" t="n">
        <v>2</v>
      </c>
      <c r="B17" s="48" t="inlineStr">
        <is>
          <t>Or state-inspected?  Or custom-exempt?  (We need to know which.)</t>
        </is>
      </c>
      <c r="C17" s="5" t="n"/>
    </row>
    <row r="18" ht="30" customHeight="1" s="51">
      <c r="A18" s="45" t="n">
        <v>3</v>
      </c>
      <c r="B18" s="48" t="inlineStr">
        <is>
          <t>APHIS certification / any export or animal-health program status?</t>
        </is>
      </c>
      <c r="C18" s="5" t="n"/>
    </row>
    <row r="19" ht="30" customHeight="1" s="51">
      <c r="A19" s="45" t="n">
        <v>4</v>
      </c>
      <c r="B19" s="48" t="inlineStr">
        <is>
          <t>Any recent NRs / recalls / humane-handling actions we should know about?</t>
        </is>
      </c>
      <c r="C19" s="5" t="n"/>
    </row>
    <row r="21" ht="19.95" customHeight="1" s="51">
      <c r="A21" s="63" t="inlineStr">
        <is>
          <t>C. Tissue &amp; organ harvesting</t>
        </is>
      </c>
    </row>
    <row r="22" ht="18" customHeight="1" s="51">
      <c r="A22" s="40" t="inlineStr">
        <is>
          <t>#</t>
        </is>
      </c>
      <c r="B22" s="40" t="inlineStr">
        <is>
          <t>Question</t>
        </is>
      </c>
      <c r="C22" s="40" t="inlineStr">
        <is>
          <t>Answer / Notes</t>
        </is>
      </c>
    </row>
    <row r="23" ht="30" customHeight="1" s="51">
      <c r="A23" s="45" t="n">
        <v>1</v>
      </c>
      <c r="B23" s="48" t="inlineStr">
        <is>
          <t>Can we obtain pelvic / abdominal(bariatric) / thoracic tissue blocks — with the organs?</t>
        </is>
      </c>
      <c r="C23" s="5" t="n"/>
    </row>
    <row r="24" ht="30" customHeight="1" s="51">
      <c r="A24" s="45" t="n">
        <v>2</v>
      </c>
      <c r="B24" s="48" t="inlineStr">
        <is>
          <t>Which specific organs are currently saved vs. sent to rendering?</t>
        </is>
      </c>
      <c r="C24" s="5" t="n"/>
    </row>
    <row r="25" ht="30" customHeight="1" s="51">
      <c r="A25" s="45" t="n">
        <v>3</v>
      </c>
      <c r="B25" s="48" t="inlineStr">
        <is>
          <t>Any existing organ/tissue/biologics harvesting program? For whom?</t>
        </is>
      </c>
      <c r="C25" s="5" t="n"/>
    </row>
    <row r="26" ht="30" customHeight="1" s="51">
      <c r="A26" s="45" t="n">
        <v>4</v>
      </c>
      <c r="B26" s="48" t="inlineStr">
        <is>
          <t>Cooler/hanging space and time-to-chill after kill? (freshness/ischemia window)</t>
        </is>
      </c>
      <c r="C26" s="5" t="n"/>
    </row>
    <row r="28" ht="19.95" customHeight="1" s="51">
      <c r="A28" s="63" t="inlineStr">
        <is>
          <t>D. Operating model fit</t>
        </is>
      </c>
    </row>
    <row r="29" ht="18" customHeight="1" s="51">
      <c r="A29" s="40" t="inlineStr">
        <is>
          <t>#</t>
        </is>
      </c>
      <c r="B29" s="40" t="inlineStr">
        <is>
          <t>Question</t>
        </is>
      </c>
      <c r="C29" s="40" t="inlineStr">
        <is>
          <t>Answer / Notes</t>
        </is>
      </c>
    </row>
    <row r="30" ht="30" customHeight="1" s="51">
      <c r="A30" s="45" t="n">
        <v>1</v>
      </c>
      <c r="B30" s="48" t="inlineStr">
        <is>
          <t>MODEL A: Would you rent us line/floor access + cooler space so OUR harvesters collect on-site? Scheduling around the kill?</t>
        </is>
      </c>
      <c r="C30" s="5" t="n"/>
    </row>
    <row r="31" ht="30" customHeight="1" s="51">
      <c r="A31" s="45" t="n">
        <v>2</v>
      </c>
      <c r="B31" s="48" t="inlineStr">
        <is>
          <t>MODEL B: Would YOUR crew harvest to our protocol if we send trainers/inspectors? Willing to be audited?</t>
        </is>
      </c>
      <c r="C31" s="5" t="n"/>
    </row>
    <row r="32" ht="30" customHeight="1" s="51">
      <c r="A32" s="45" t="n">
        <v>3</v>
      </c>
      <c r="B32" s="48" t="inlineStr">
        <is>
          <t>Space, PPE, biosecurity, and scheduling constraints for either model?</t>
        </is>
      </c>
      <c r="C32" s="5" t="n"/>
    </row>
    <row r="34" ht="19.95" customHeight="1" s="51">
      <c r="A34" s="63" t="inlineStr">
        <is>
          <t>E. Culture &amp; workforce (the Nahunta test)</t>
        </is>
      </c>
    </row>
    <row r="35" ht="18" customHeight="1" s="51">
      <c r="A35" s="40" t="inlineStr">
        <is>
          <t>#</t>
        </is>
      </c>
      <c r="B35" s="40" t="inlineStr">
        <is>
          <t>Question</t>
        </is>
      </c>
      <c r="C35" s="40" t="inlineStr">
        <is>
          <t>Answer / Notes</t>
        </is>
      </c>
    </row>
    <row r="36" ht="30" customHeight="1" s="51">
      <c r="A36" s="45" t="n">
        <v>1</v>
      </c>
      <c r="B36" s="48" t="inlineStr">
        <is>
          <t>How long have your line/kill-floor staff been with you (tenure)?</t>
        </is>
      </c>
      <c r="C36" s="5" t="n"/>
    </row>
    <row r="37" ht="30" customHeight="1" s="51">
      <c r="A37" s="45" t="n">
        <v>2</v>
      </c>
      <c r="B37" s="48" t="inlineStr">
        <is>
          <t>Family-owned? How do you handle animal welfare &amp; humane handling?</t>
        </is>
      </c>
      <c r="C37" s="5" t="n"/>
    </row>
    <row r="38" ht="30" customHeight="1" s="51">
      <c r="A38" s="45" t="n">
        <v>3</v>
      </c>
      <c r="B38" s="48" t="inlineStr">
        <is>
          <t>When we've had quality issues elsewhere it was hard to resolve — how do you handle a quality complaint?</t>
        </is>
      </c>
      <c r="C38" s="5" t="n"/>
    </row>
    <row r="40" ht="19.95" customHeight="1" s="51">
      <c r="A40" s="63" t="inlineStr">
        <is>
          <t>F. Commercial</t>
        </is>
      </c>
    </row>
    <row r="41" ht="18" customHeight="1" s="51">
      <c r="A41" s="40" t="inlineStr">
        <is>
          <t>#</t>
        </is>
      </c>
      <c r="B41" s="40" t="inlineStr">
        <is>
          <t>Question</t>
        </is>
      </c>
      <c r="C41" s="40" t="inlineStr">
        <is>
          <t>Answer / Notes</t>
        </is>
      </c>
    </row>
    <row r="42" ht="30" customHeight="1" s="51">
      <c r="A42" s="45" t="n">
        <v>1</v>
      </c>
      <c r="B42" s="48" t="inlineStr">
        <is>
          <t>Pricing: per-visit access/rental (Model A) or per-piece harvest fee (Model B)?</t>
        </is>
      </c>
      <c r="C42" s="5" t="n"/>
    </row>
    <row r="43" ht="30" customHeight="1" s="51">
      <c r="A43" s="45" t="n">
        <v>2</v>
      </c>
      <c r="B43" s="48" t="inlineStr">
        <is>
          <t>Minimums, lead time, and how far ahead we must schedule?</t>
        </is>
      </c>
      <c r="C43" s="5" t="n"/>
    </row>
    <row r="44" ht="30" customHeight="1" s="51">
      <c r="A44" s="45" t="n">
        <v>3</v>
      </c>
      <c r="B44" s="48" t="inlineStr">
        <is>
          <t>NDA needed before we share our harvesting protocol?</t>
        </is>
      </c>
      <c r="C44" s="5" t="n"/>
    </row>
    <row r="46" ht="19.95" customHeight="1" s="51">
      <c r="A46" s="63" t="inlineStr">
        <is>
          <t>G. EU-EXPORT ELIGIBILITY — APHIS / animal by-products (ask if models go to Europe)</t>
        </is>
      </c>
    </row>
    <row r="47" ht="18" customHeight="1" s="51">
      <c r="A47" s="40" t="inlineStr">
        <is>
          <t>#</t>
        </is>
      </c>
      <c r="B47" s="40" t="inlineStr">
        <is>
          <t>Question</t>
        </is>
      </c>
      <c r="C47" s="40" t="inlineStr">
        <is>
          <t>Answer / Notes</t>
        </is>
      </c>
    </row>
    <row r="48" ht="30" customHeight="1" s="51">
      <c r="A48" s="45" t="n">
        <v>1</v>
      </c>
      <c r="B48" s="48" t="inlineStr">
        <is>
          <t>Are you already APHIS-approved and on the EU TRACES establishment list for animal-byproduct export? If not, willing to apply via APHIS VS?</t>
        </is>
      </c>
      <c r="C48" s="5" t="n"/>
    </row>
    <row r="49" ht="30" customHeight="1" s="51">
      <c r="A49" s="45" t="n">
        <v>2</v>
      </c>
      <c r="B49" s="48" t="inlineStr">
        <is>
          <t>Can you document ante-mortem AND post-mortem veterinary inspection of the animals?</t>
        </is>
      </c>
      <c r="C49" s="5" t="n"/>
    </row>
    <row r="50" ht="30" customHeight="1" s="51">
      <c r="A50" s="45" t="n">
        <v>3</v>
      </c>
      <c r="B50" s="48" t="inlineStr">
        <is>
          <t>Can you provide the source declarations/affidavits APHIS needs to endorse an EU health certificate, with per-lot documentation?</t>
        </is>
      </c>
      <c r="C50" s="5" t="n"/>
    </row>
    <row r="51" ht="30" customHeight="1" s="51">
      <c r="A51" s="45" t="n">
        <v>4</v>
      </c>
      <c r="B51" s="48" t="inlineStr">
        <is>
          <t>Lot-level traceability (live animal -&gt; tissue -&gt; shipment) and geographical-origin records retained?</t>
        </is>
      </c>
      <c r="C51" s="5" t="n"/>
    </row>
    <row r="52" ht="30" customHeight="1" s="51">
      <c r="A52" s="45" t="n">
        <v>5</v>
      </c>
      <c r="B52" s="48" t="inlineStr">
        <is>
          <t>Willing to support APHIS facility audits and (if a device) notified-body / ISO 22442 documentation?</t>
        </is>
      </c>
      <c r="C52" s="5" t="n"/>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1" min="1" max="1"/>
    <col width="52" customWidth="1" style="51" min="2" max="2"/>
    <col width="13" customWidth="1" style="51" min="3" max="3"/>
    <col width="60" customWidth="1" style="51" min="4" max="4"/>
  </cols>
  <sheetData>
    <row r="1" ht="25.95" customHeight="1" s="51">
      <c r="A1" s="50" t="inlineStr">
        <is>
          <t>Sources &amp; Confidence</t>
        </is>
      </c>
    </row>
    <row r="2" ht="30" customHeight="1" s="51">
      <c r="A2" s="53" t="inlineStr">
        <is>
          <t>Where each class of fact came from, and how much to trust it before acting. Verify volumes/certs by phone.</t>
        </is>
      </c>
    </row>
    <row r="4" ht="19.95" customHeight="1" s="51">
      <c r="A4" s="40" t="inlineStr">
        <is>
          <t>Topic / entity</t>
        </is>
      </c>
      <c r="B4" s="40" t="inlineStr">
        <is>
          <t>Source</t>
        </is>
      </c>
      <c r="C4" s="40" t="inlineStr">
        <is>
          <t>Confidence</t>
        </is>
      </c>
      <c r="D4" s="40" t="inlineStr">
        <is>
          <t>Note</t>
        </is>
      </c>
    </row>
    <row r="5" ht="34.05" customHeight="1" s="51">
      <c r="A5" s="4" t="inlineStr">
        <is>
          <t>National vendor prices</t>
        </is>
      </c>
      <c r="B5" s="48" t="inlineStr">
        <is>
          <t>innov-research.com porcine product pages (heart/lung/kidney/bladder/liver/stomach/pelvic-block)</t>
        </is>
      </c>
      <c r="C5" s="46" t="inlineStr">
        <is>
          <t>High</t>
        </is>
      </c>
      <c r="D5" s="48" t="inlineStr">
        <is>
          <t>Only vendor with published per-organ list prices: from $141/organ, pelvic block from $582 (base configs).</t>
        </is>
      </c>
    </row>
    <row r="6" ht="34.05" customHeight="1" s="51">
      <c r="A6" s="4" t="inlineStr">
        <is>
          <t>Pel-Freez thyroid price</t>
        </is>
      </c>
      <c r="B6" s="48" t="inlineStr">
        <is>
          <t>pel-freez.com/pig-thyroid-59452</t>
        </is>
      </c>
      <c r="C6" s="46" t="inlineStr">
        <is>
          <t>High</t>
        </is>
      </c>
      <c r="D6" s="48" t="inlineStr">
        <is>
          <t>Porcine thyroid #59452 from $361; other porcine organ prices not individually verified.</t>
        </is>
      </c>
    </row>
    <row r="7" ht="34.05" customHeight="1" s="51">
      <c r="A7" s="4" t="inlineStr">
        <is>
          <t>Animal Technologies</t>
        </is>
      </c>
      <c r="B7" s="48" t="inlineStr">
        <is>
          <t>animaltechnologies.com/porcine</t>
        </is>
      </c>
      <c r="C7" s="46" t="inlineStr">
        <is>
          <t>High</t>
        </is>
      </c>
      <c r="D7" s="48" t="inlineStr">
        <is>
          <t>Broad catalog, plucks for training; prices quote-only.</t>
        </is>
      </c>
    </row>
    <row r="8" ht="34.05" customHeight="1" s="51">
      <c r="A8" s="4" t="inlineStr">
        <is>
          <t>Animal Biotech Industries</t>
        </is>
      </c>
      <c r="B8" s="48" t="inlineStr">
        <is>
          <t>animalbiotech.com/porcine-tissues</t>
        </is>
      </c>
      <c r="C8" s="46" t="inlineStr">
        <is>
          <t>High</t>
        </is>
      </c>
      <c r="D8" s="48" t="inlineStr">
        <is>
          <t>USDA-inspected sourcing; custom blocks; quote-only.</t>
        </is>
      </c>
    </row>
    <row r="9" ht="34.05" customHeight="1" s="51">
      <c r="A9" s="4" t="inlineStr">
        <is>
          <t>Tissue Source</t>
        </is>
      </c>
      <c r="B9" s="48" t="inlineStr">
        <is>
          <t>tissue-source.com</t>
        </is>
      </c>
      <c r="C9" s="46" t="inlineStr">
        <is>
          <t>High</t>
        </is>
      </c>
      <c r="D9" s="48" t="inlineStr">
        <is>
          <t>ISO 13485 + USDA Class A license — strongest QMS among vendors; quote-only.</t>
        </is>
      </c>
    </row>
    <row r="10" ht="34.05" customHeight="1" s="51">
      <c r="A10" s="4" t="inlineStr">
        <is>
          <t>Smithfield BioScience</t>
        </is>
      </c>
      <c r="B10" s="48" t="inlineStr">
        <is>
          <t>smithfieldbioscience.com/products/porcine</t>
        </is>
      </c>
      <c r="C10" s="46" t="inlineStr">
        <is>
          <t>High</t>
        </is>
      </c>
      <c r="D10" s="48" t="inlineStr">
        <is>
          <t>Packer-integrated; quote-only.</t>
        </is>
      </c>
    </row>
    <row r="11" ht="34.05" customHeight="1" s="51">
      <c r="A11" s="4" t="inlineStr">
        <is>
          <t>WG Biomedical</t>
        </is>
      </c>
      <c r="B11" s="48" t="inlineStr">
        <is>
          <t>wgbiomedical.com</t>
        </is>
      </c>
      <c r="C11" s="46" t="inlineStr">
        <is>
          <t>High</t>
        </is>
      </c>
      <c r="D11" s="48" t="inlineStr">
        <is>
          <t>Iowa; pig pluck &amp; surgical-training organs; quote-only.</t>
        </is>
      </c>
    </row>
    <row r="12" ht="34.05" customHeight="1" s="51">
      <c r="A12" s="4" t="inlineStr">
        <is>
          <t>LAMPIRE / BioChemed / BioIVT / Sierra / SSR / MRS</t>
        </is>
      </c>
      <c r="B12" s="48" t="inlineStr">
        <is>
          <t>respective vendor sites (see National tab)</t>
        </is>
      </c>
      <c r="C12" s="46" t="inlineStr">
        <is>
          <t>High</t>
        </is>
      </c>
      <c r="D12" s="48" t="inlineStr">
        <is>
          <t>All genuinely quote-only; no invented prices.</t>
        </is>
      </c>
    </row>
    <row r="13" ht="34.05" customHeight="1" s="51">
      <c r="A13" s="4" t="inlineStr">
        <is>
          <t>Cross-off leads</t>
        </is>
      </c>
      <c r="B13" s="48" t="inlineStr">
        <is>
          <t>premierbiosource.com; sciencecare.com; zivic listing</t>
        </is>
      </c>
      <c r="C13" s="46" t="inlineStr">
        <is>
          <t>High</t>
        </is>
      </c>
      <c r="D13" s="48" t="inlineStr">
        <is>
          <t>Premier=live swine; Science Care=human; Zivic=rodent — all out of scope as porcine tissue vendors.</t>
        </is>
      </c>
    </row>
    <row r="14" ht="34.05" customHeight="1" s="51">
      <c r="A14" s="4" t="inlineStr">
        <is>
          <t>NC plant directory</t>
        </is>
      </c>
      <c r="B14" s="48" t="inlineStr">
        <is>
          <t>NCDA&amp;CS Meat &amp; Poultry Inspection 'plants that slaughter for farmers' (via cefs.ncsu.edu PDF, dated Oct 2018); div. 919-707-3180</t>
        </is>
      </c>
      <c r="C14" s="47" t="inlineStr">
        <is>
          <t>Med</t>
        </is>
      </c>
      <c r="D14" s="48" t="inlineStr">
        <is>
          <t>Backbone of the NC list. Dated 2018 — confirm current operating status/volumes by phone. USDA-vs-state status verified only where noted.</t>
        </is>
      </c>
    </row>
    <row r="15" ht="34.05" customHeight="1" s="51">
      <c r="A15" s="4" t="inlineStr">
        <is>
          <t>Martin's Pork Products (incumbent)</t>
        </is>
      </c>
      <c r="B15" s="48" t="inlineStr">
        <is>
          <t>NCDA&amp;CS Talmadge-Aiken plant directory (Est. TA-6720); ncmpa.com; D&amp;B/Manta; martinspork.com</t>
        </is>
      </c>
      <c r="C15" s="46" t="inlineStr">
        <is>
          <t>High</t>
        </is>
      </c>
      <c r="D15" s="48" t="inlineStr">
        <is>
          <t>CORRECTED to Martin's Pork Products, Falcon NC — active USDA T-A slaughter+processing, ~75 staff, (910) 980-1501, beth@martinspork.com. Distinct from the closed Martin's Abattoir (Godwin, cattle, closed 2013).</t>
        </is>
      </c>
    </row>
    <row r="16" ht="34.05" customHeight="1" s="51">
      <c r="A16" s="4" t="inlineStr">
        <is>
          <t>Nahunta</t>
        </is>
      </c>
      <c r="B16" s="48" t="inlineStr">
        <is>
          <t>southernfoodways.org; nahuntapork.com; bitandgrain.com</t>
        </is>
      </c>
      <c r="C16" s="46" t="inlineStr">
        <is>
          <t>High</t>
        </is>
      </c>
      <c r="D16" s="48" t="inlineStr">
        <is>
          <t>Nahunta = NC STATE-inspected (not USDA-FSIS), ~150 hogs/day, 3rd-gen Pierce family.</t>
        </is>
      </c>
    </row>
    <row r="17" ht="34.05" customHeight="1" s="51">
      <c r="A17" s="4" t="inlineStr">
        <is>
          <t>SC facilities</t>
        </is>
      </c>
      <c r="B17" s="48" t="inlineStr">
        <is>
          <t>caughmans.com; knockoutbutchery.com; FSIS notice (Palmetto Fresh suspension); Clemson SCMPID lists (803-788-8747)</t>
        </is>
      </c>
      <c r="C17" s="47" t="inlineStr">
        <is>
          <t>Med</t>
        </is>
      </c>
      <c r="D17" s="48" t="inlineStr">
        <is>
          <t>Caughman's USDA + family verified; several SC 'deer &amp; hog' shops likely custom-exempt — flag. Palmetto Fresh slaughter suspended Feb 2022.</t>
        </is>
      </c>
    </row>
    <row r="18" ht="34.05" customHeight="1" s="51">
      <c r="A18" s="4" t="inlineStr">
        <is>
          <t>TN facilities</t>
        </is>
      </c>
      <c r="B18" s="48" t="inlineStr">
        <is>
          <t>UT Center for Profitable Agriculture USDA-processor list (cpa.tennessee.edu); company sites</t>
        </is>
      </c>
      <c r="C18" s="47" t="inlineStr">
        <is>
          <t>Med</t>
        </is>
      </c>
      <c r="D18" s="48" t="inlineStr">
        <is>
          <t>13 USDA hog-slaughter shops listed. Cherry Meat ~80 hogs/month verified. Most well under a few hundred/wk — confirm.</t>
        </is>
      </c>
    </row>
    <row r="19" ht="34.05" customHeight="1" s="51">
      <c r="A19" s="4" t="inlineStr">
        <is>
          <t>VA facilities</t>
        </is>
      </c>
      <c r="B19" s="48" t="inlineStr">
        <is>
          <t>ecofriendly.com; temeats.com; blueridgemeats.com; FSIS listing (Fauquier's); VDACS (omps@vdacs.virginia.gov, 804-786-4569); vabeef.org</t>
        </is>
      </c>
      <c r="C19" s="46" t="inlineStr">
        <is>
          <t>High</t>
        </is>
      </c>
      <c r="D19" s="48" t="inlineStr">
        <is>
          <t>EcoFriendly Certified Humane; T&amp;E + Blue Ridge AWA — all verified USDA + hog slaughter. Strongest welfare bench.</t>
        </is>
      </c>
    </row>
    <row r="20" ht="34.05" customHeight="1" s="51">
      <c r="A20" s="4" t="inlineStr">
        <is>
          <t>Iowa / Midwest</t>
        </is>
      </c>
      <c r="B20" s="48" t="inlineStr">
        <is>
          <t>postbulletin.com (MRS); smithfieldbioscience.com; proteinintel.com (FSIS est. data); lorentzmeats.com; sigiowa.com; eickmans.com</t>
        </is>
      </c>
      <c r="C20" s="46" t="inlineStr">
        <is>
          <t>Med-High</t>
        </is>
      </c>
      <c r="D20" s="48" t="inlineStr">
        <is>
          <t>MRS ~20k/yr verified; Smithfield BioScience organ program verified. Large-packer biologics programs (Seaboard/Prestage/Wholestone) NOT confirmed — do not assume.</t>
        </is>
      </c>
    </row>
    <row r="21" ht="34.05" customHeight="1" s="51">
      <c r="A21" s="4" t="inlineStr">
        <is>
          <t>Authoritative confirmation source</t>
        </is>
      </c>
      <c r="B21" s="48" t="inlineStr">
        <is>
          <t>USDA FSIS MPI Directory + Establishment Demographic Data — fsis.usda.gov/inspection/establishments</t>
        </is>
      </c>
      <c r="C21" s="46" t="inlineStr">
        <is>
          <t>High</t>
        </is>
      </c>
      <c r="D21" s="48" t="inlineStr">
        <is>
          <t>Lists species slaughtered + size class per establishment, updated weekly. FSIS blocked automated fetches (Akamai 403) — pull via browser or the 'USDA MPI Directory' mobile app.</t>
        </is>
      </c>
    </row>
    <row r="22" ht="34.05" customHeight="1" s="51">
      <c r="A22" s="4" t="inlineStr">
        <is>
          <t>APHIS vs FSIS vs state inspection</t>
        </is>
      </c>
      <c r="B22" s="48" t="inlineStr">
        <is>
          <t>aphis.usda.gov/animal-product-export (IREGS); fsis.usda.gov/inspection/import-export</t>
        </is>
      </c>
      <c r="C22" s="46" t="inlineStr">
        <is>
          <t>High</t>
        </is>
      </c>
      <c r="D22" s="48" t="inlineStr">
        <is>
          <t>Three distinct regimes. APHIS Veterinary Services (not FSIS) is the export pathway for non-food tissue; a state-inspected plant is NOT disqualified from it.</t>
        </is>
      </c>
    </row>
    <row r="23" ht="34.05" customHeight="1" s="51">
      <c r="A23" s="4" t="inlineStr">
        <is>
          <t>EU animal by-products law</t>
        </is>
      </c>
      <c r="B23" s="48" t="inlineStr">
        <is>
          <t>EUR-Lex Reg (EC) 1069/2009; Reg (EU) 142/2011 (legislation.gov.uk consolidated); Annex XIV via Reg (EU) 2022/384</t>
        </is>
      </c>
      <c r="C23" s="46" t="inlineStr">
        <is>
          <t>High</t>
        </is>
      </c>
      <c r="D23" s="48" t="inlineStr">
        <is>
          <t>Governs import of porcine tissue not for human consumption. Typically Category 3; US is a listed third country; origin establishment must be APHIS-listed on TRACES; APHIS-VS-endorsed model health certificate required.</t>
        </is>
      </c>
    </row>
    <row r="24" ht="34.05" customHeight="1" s="51">
      <c r="A24" s="4" t="inlineStr">
        <is>
          <t>EU medical-device angle</t>
        </is>
      </c>
      <c r="B24" s="48" t="inlineStr">
        <is>
          <t>MDR (EU) 2017/745 Annex I 13.1; Reg (EU) 722/2012 (legislation.gov.uk); ISO 22442 (practice)</t>
        </is>
      </c>
      <c r="C24" s="46" t="inlineStr">
        <is>
          <t>High</t>
        </is>
      </c>
      <c r="D24" s="4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1">
      <c r="A25" s="4" t="inlineStr">
        <is>
          <t>APHIS / EU — caveat</t>
        </is>
      </c>
      <c r="B25" s="48" t="inlineStr">
        <is>
          <t>APHIS VS Field Operations / Veterinary Export Trade Services; EU importer; notified body</t>
        </is>
      </c>
      <c r="C25" s="47" t="inlineStr">
        <is>
          <t>Med</t>
        </is>
      </c>
      <c r="D25" s="48" t="inlineStr">
        <is>
          <t>NOT legal advice. Exact ABP category, CN code, and 142/2011 model certificate must be confirmed per product line with APHIS VS and a customs/regulatory specialist.</t>
        </is>
      </c>
    </row>
    <row r="26" ht="34.05" customHeight="1" s="51">
      <c r="A26" s="4" t="inlineStr">
        <is>
          <t>USDA/FSIS enforcement (per facility)</t>
        </is>
      </c>
      <c r="B26" s="48" t="inlineStr">
        <is>
          <t>FSIS Quarterly Enforcement Reports &amp; NOS/NOIE PDFs; AWI Humane Slaughter suspension list; PETA/ASPCA releases; local news</t>
        </is>
      </c>
      <c r="C26" s="46" t="inlineStr">
        <is>
          <t>Med-High</t>
        </is>
      </c>
      <c r="D26" s="4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1">
      <c r="A27" s="4" t="inlineStr">
        <is>
          <t>Export / APHIS lookup sites</t>
        </is>
      </c>
      <c r="B27" s="48" t="inlineStr">
        <is>
          <t>FSIS 'Eligible Establishments by Country' + EU page; FSIS MPI directory; APHIS Export-to-EU (VS); EU TRACES-NT; usda-eu.org</t>
        </is>
      </c>
      <c r="C27" s="46" t="inlineStr">
        <is>
          <t>High</t>
        </is>
      </c>
      <c r="D27" s="48" t="inlineStr">
        <is>
          <t>The authoritative places to check export/APHIS listing yourself (see 'APHIS &amp; EU Export' tab). No facility confirmed EU/APHIS-listed for research tissue; 6 large plants FSIS export-certified for edible meat only.</t>
        </is>
      </c>
    </row>
    <row r="28" ht="34.05" customHeight="1" s="51">
      <c r="A28" s="4" t="inlineStr">
        <is>
          <t>National vendors × EU export</t>
        </is>
      </c>
      <c r="B28" s="48" t="inlineStr">
        <is>
          <t>Vendor sites (ISO/USDA claims); Reg (EC) 1069/2009 &amp; (EU) 142/2011; MDR Annex I 13.1 / ISO 22442</t>
        </is>
      </c>
      <c r="C28" s="46" t="inlineStr">
        <is>
          <t>Med-High</t>
        </is>
      </c>
      <c r="D28" s="4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1" min="1" max="1"/>
    <col width="22" customWidth="1" style="51" min="2" max="2"/>
    <col width="30" customWidth="1" style="51" min="3" max="3"/>
    <col width="24" customWidth="1" style="51" min="4" max="4"/>
    <col width="17" customWidth="1" style="51" min="5" max="5"/>
    <col width="13" customWidth="1" style="51" min="6" max="6"/>
    <col width="5" customWidth="1" style="51" min="7" max="7"/>
    <col width="78" customWidth="1" style="51" min="8" max="8"/>
  </cols>
  <sheetData>
    <row r="1" ht="25.95" customHeight="1" s="51">
      <c r="A1" s="50" t="inlineStr">
        <is>
          <t>Deep Study — Multi-Agent Re-Research with Adversarial Verification</t>
        </is>
      </c>
    </row>
    <row r="2" ht="31.95" customHeight="1" s="51">
      <c r="A2" s="53" t="inlineStr">
        <is>
          <t>21 agents · 121 facility records · 10 candidates adversarially verified (agents told to REFUTE, not confirm) · ~2.0M tokens, 1,091 tool calls, 0 errors.  Verdicts here OVERRIDE the earlier tabs where they conflict.</t>
        </is>
      </c>
    </row>
    <row r="4" ht="19.95" customHeight="1" s="51">
      <c r="A4" s="52" t="inlineStr">
        <is>
          <t>KEY FINDINGS  (ranked by decision impact)</t>
        </is>
      </c>
    </row>
    <row r="5" ht="48" customHeight="1" s="51">
      <c r="A5" s="54"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1">
      <c r="A6" s="54"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1">
      <c r="A7" s="54"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1">
      <c r="A8" s="54"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1">
      <c r="A9" s="54"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1">
      <c r="A10" s="54"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1">
      <c r="A11" s="54"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1">
      <c r="A12" s="54"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1">
      <c r="A13" s="54"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1">
      <c r="A14" s="54"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1">
      <c r="A15" s="54"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1">
      <c r="A17" s="52" t="inlineStr">
        <is>
          <t>WHAT THE VERIFICATION CHANGED  (vs. the first pass)</t>
        </is>
      </c>
    </row>
    <row r="18" ht="48" customHeight="1" s="51">
      <c r="A18" s="1" t="inlineStr">
        <is>
          <t>PROMOTED — Nahunta (P-80A)</t>
        </is>
      </c>
      <c r="B18" s="4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57" t="n"/>
      <c r="D18" s="57" t="n"/>
      <c r="E18" s="57" t="n"/>
      <c r="F18" s="57" t="n"/>
      <c r="G18" s="57" t="n"/>
      <c r="H18" s="49" t="n"/>
    </row>
    <row r="19" ht="60" customHeight="1" s="51">
      <c r="A19" s="1" t="inlineStr">
        <is>
          <t>PROMOTED — Martin's Pork Products (TA-6720)</t>
        </is>
      </c>
      <c r="B19" s="4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57" t="n"/>
      <c r="D19" s="57" t="n"/>
      <c r="E19" s="57" t="n"/>
      <c r="F19" s="57" t="n"/>
      <c r="G19" s="57" t="n"/>
      <c r="H19" s="49" t="n"/>
    </row>
    <row r="20" ht="48" customHeight="1" s="51">
      <c r="A20" s="1" t="inlineStr">
        <is>
          <t>DOWNGRADED — Acre Station</t>
        </is>
      </c>
      <c r="B20" s="4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57" t="n"/>
      <c r="D20" s="57" t="n"/>
      <c r="E20" s="57" t="n"/>
      <c r="F20" s="57" t="n"/>
      <c r="G20" s="57" t="n"/>
      <c r="H20" s="49" t="n"/>
    </row>
    <row r="21" ht="60" customHeight="1" s="51">
      <c r="A21" s="1" t="inlineStr">
        <is>
          <t>DOWNGRADED — Piedmont Custom Meats</t>
        </is>
      </c>
      <c r="B21" s="4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57" t="n"/>
      <c r="D21" s="57" t="n"/>
      <c r="E21" s="57" t="n"/>
      <c r="F21" s="57" t="n"/>
      <c r="G21" s="57" t="n"/>
      <c r="H21" s="49" t="n"/>
    </row>
    <row r="22" ht="36" customHeight="1" s="51">
      <c r="A22" s="1" t="inlineStr">
        <is>
          <t>DOWNGRADED — Williamsburg Packing (SC)</t>
        </is>
      </c>
      <c r="B22" s="4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57" t="n"/>
      <c r="D22" s="57" t="n"/>
      <c r="E22" s="57" t="n"/>
      <c r="F22" s="57" t="n"/>
      <c r="G22" s="57" t="n"/>
      <c r="H22" s="49" t="n"/>
    </row>
    <row r="23" ht="60" customHeight="1" s="51">
      <c r="A23" s="1" t="inlineStr">
        <is>
          <t>DOWNGRADED — Swaggerty Sausage (TN)</t>
        </is>
      </c>
      <c r="B23" s="4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57" t="n"/>
      <c r="D23" s="57" t="n"/>
      <c r="E23" s="57" t="n"/>
      <c r="F23" s="57" t="n"/>
      <c r="G23" s="57" t="n"/>
      <c r="H23" s="49" t="n"/>
    </row>
    <row r="24" ht="60" customHeight="1" s="51">
      <c r="A24" s="1" t="inlineStr">
        <is>
          <t>DOWNGRADED — EcoFriendly Foods (VA)</t>
        </is>
      </c>
      <c r="B24" s="4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57" t="n"/>
      <c r="D24" s="57" t="n"/>
      <c r="E24" s="57" t="n"/>
      <c r="F24" s="57" t="n"/>
      <c r="G24" s="57" t="n"/>
      <c r="H24" s="49" t="n"/>
    </row>
    <row r="25" ht="84" customHeight="1" s="51">
      <c r="A25" s="1" t="inlineStr">
        <is>
          <t>KILLED — T&amp;E Meats / Honest Meats LLC (VA)</t>
        </is>
      </c>
      <c r="B25" s="4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57" t="n"/>
      <c r="D25" s="57" t="n"/>
      <c r="E25" s="57" t="n"/>
      <c r="F25" s="57" t="n"/>
      <c r="G25" s="57" t="n"/>
      <c r="H25" s="49" t="n"/>
    </row>
    <row r="26" ht="48" customHeight="1" s="51">
      <c r="A26" s="1" t="inlineStr">
        <is>
          <t>KILLED — the 'family plant' thesis at Williams Sausage (TN)</t>
        </is>
      </c>
      <c r="B26" s="4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57" t="n"/>
      <c r="D26" s="57" t="n"/>
      <c r="E26" s="57" t="n"/>
      <c r="F26" s="57" t="n"/>
      <c r="G26" s="57" t="n"/>
      <c r="H26" s="49" t="n"/>
    </row>
    <row r="27" ht="96" customHeight="1" s="51">
      <c r="A27" s="1" t="inlineStr">
        <is>
          <t>IDENTITY CORRECTIONS</t>
        </is>
      </c>
      <c r="B27" s="4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57" t="n"/>
      <c r="D27" s="57" t="n"/>
      <c r="E27" s="57" t="n"/>
      <c r="F27" s="57" t="n"/>
      <c r="G27" s="57" t="n"/>
      <c r="H27" s="49" t="n"/>
    </row>
    <row r="29" ht="19.95" customHeight="1" s="51">
      <c r="A29" s="52" t="inlineStr">
        <is>
          <t>RECOMMENDED CONTACT ORDER  (post-verification)</t>
        </is>
      </c>
    </row>
    <row r="30" ht="18" customHeight="1" s="51">
      <c r="A30" s="3" t="inlineStr">
        <is>
          <t>#</t>
        </is>
      </c>
      <c r="B30" s="3" t="inlineStr">
        <is>
          <t>Facility</t>
        </is>
      </c>
      <c r="C30" s="3" t="inlineStr">
        <is>
          <t>Why</t>
        </is>
      </c>
      <c r="D30" s="3" t="inlineStr">
        <is>
          <t>Confirm on the call</t>
        </is>
      </c>
    </row>
    <row r="31" ht="36" customHeight="1" s="51">
      <c r="A31" s="44" t="n">
        <v>1</v>
      </c>
      <c r="B31" s="4" t="inlineStr">
        <is>
          <t>Nahunta Slaughter House, Inc.  (Est. P-80A, Pikeville NC · 919-242-4735)</t>
        </is>
      </c>
      <c r="C31" s="48" t="inlineStr">
        <is>
          <t>Only candidate with a PUBLISHED research-specimen pathway and fresh spleens/hearts/livers as standing retail SKUs — direct evidence viscera leave the kill floor intact. Culture benchmark; swine-only; verified open on a regulator PDF dated 2026-07-24.</t>
        </is>
      </c>
      <c r="D31" s="57" t="n"/>
      <c r="E31" s="57" t="n"/>
      <c r="F31" s="57" t="n"/>
      <c r="G31" s="49" t="n"/>
      <c r="H31" s="5" t="inlineStr">
        <is>
          <t>How many hogs do you KILL per week under P-80A — and how many carcasses do you buy in for P-80?</t>
        </is>
      </c>
    </row>
    <row r="32" ht="30" customHeight="1" s="51">
      <c r="A32" s="44" t="n">
        <v>2</v>
      </c>
      <c r="B32" s="4" t="inlineStr">
        <is>
          <t>Martin's Pork Products, Inc.  (Est. TA-6720, Falcon NC · 910-980-1501)</t>
        </is>
      </c>
      <c r="C32" s="48" t="inlineStr">
        <is>
          <t>The only verified hog-only, federally-inspected, export-structurally-eligible plant plausibly in your band — and an incumbent, so the call is cheap. The volume objection has evaporated.</t>
        </is>
      </c>
      <c r="D32" s="57" t="n"/>
      <c r="E32" s="57" t="n"/>
      <c r="F32" s="57" t="n"/>
      <c r="G32" s="49" t="n"/>
      <c r="H32" s="5" t="inlineStr">
        <is>
          <t>Actual current head/week, and WHO OWNS THE PLANT TODAY (deeds suggest your culture read may be stale). Confirm the street address.</t>
        </is>
      </c>
    </row>
    <row r="33" ht="36" customHeight="1" s="51">
      <c r="A33" s="44" t="n">
        <v>3</v>
      </c>
      <c r="B33" s="4" t="inlineStr">
        <is>
          <t>Larry's Sausage Company, Inc.  (Est. TA-8305, Fayetteville NC)</t>
        </is>
      </c>
      <c r="C33" s="48" t="inlineStr">
        <is>
          <t>Closest structural analogue to Nahunta but with federal/exportable TA inspection: swine-only, family-owned since 1952, three generations. FLAG: never adversarially verified — treat at the same confidence as the pre-verification file that failed elsewhere.</t>
        </is>
      </c>
      <c r="D33" s="57" t="n"/>
      <c r="E33" s="57" t="n"/>
      <c r="F33" s="57" t="n"/>
      <c r="G33" s="49" t="n"/>
      <c r="H33" s="5" t="inlineStr">
        <is>
          <t>Actual weekly kill. The 200-800/wk figure is a labelled estimate from distribution footprint — that number decides everything.</t>
        </is>
      </c>
    </row>
    <row r="34" ht="30" customHeight="1" s="51">
      <c r="A34" s="44" t="n">
        <v>4</v>
      </c>
      <c r="B34" s="4" t="inlineStr">
        <is>
          <t>Bass Farms, Inc.  (Est. TA-3521, Spring Hope NC)</t>
        </is>
      </c>
      <c r="C34" s="48" t="inlineStr">
        <is>
          <t>NCDA&amp;CS lists it 'Slaughter only, species C (swine)' — a hog kill floor with NO processing attached is the purest Model A structure in the state. Also never adversarially verified.</t>
        </is>
      </c>
      <c r="D34" s="57" t="n"/>
      <c r="E34" s="57" t="n"/>
      <c r="F34" s="57" t="n"/>
      <c r="G34" s="49" t="n"/>
      <c r="H34" s="5" t="inlineStr">
        <is>
          <t>Current federal grant status — no matching M3521 record surfaced; confirm the TA grant is live before anything else.</t>
        </is>
      </c>
    </row>
    <row r="35" ht="30" customHeight="1" s="51">
      <c r="A35" s="44" t="n">
        <v>5</v>
      </c>
      <c r="B35" s="4" t="inlineStr">
        <is>
          <t>Gunnoe Sausage Company  (Goode VA · 540-586-1091)</t>
        </is>
      </c>
      <c r="C35" s="48" t="inlineStr">
        <is>
          <t>Newly surfaced and NEVER researched: dedicated sow slaughterhouse since 1965 at ~450-590 hogs/week — genuinely in band, and Virginia's only such plant.</t>
        </is>
      </c>
      <c r="D35" s="57" t="n"/>
      <c r="E35" s="57" t="n"/>
      <c r="F35" s="57" t="n"/>
      <c r="G35" s="49" t="n"/>
      <c r="H35" s="5" t="inlineStr">
        <is>
          <t>Establishment number and inspection status (not captured), then sow-vs-market-hog and third-party crew access.</t>
        </is>
      </c>
    </row>
    <row r="36" ht="36" customHeight="1" s="51">
      <c r="A36" s="44" t="n">
        <v>6</v>
      </c>
      <c r="B36" s="4" t="inlineStr">
        <is>
          <t>Smithfield BioScience  (harvest base Tar Heel NC, Est. M18079/V18079)</t>
        </is>
      </c>
      <c r="C36" s="48" t="inlineStr">
        <is>
          <t>The ONLY verified organ programme anywhere in the study — aortas, heart valves, pericardium, peritoneum, mucosa, pancreas, pituitary, tendons — plus stated farm-to-processing traceability and existing EU pharmaceutical (heparin API) trade.</t>
        </is>
      </c>
      <c r="D36" s="57" t="n"/>
      <c r="E36" s="57" t="n"/>
      <c r="F36" s="57" t="n"/>
      <c r="G36" s="49" t="n"/>
      <c r="H36" s="5" t="inlineStr">
        <is>
          <t>Will you harvest multi-organ regional BLOCKS to our written spec, and which APHIS/EU listings do you hold for research-use material? (Handle as competitive intelligence — they may see you as a rival, not a customer.)</t>
        </is>
      </c>
    </row>
    <row r="37" ht="30" customHeight="1" s="51">
      <c r="A37" s="44" t="n">
        <v>7</v>
      </c>
      <c r="B37" s="4" t="inlineStr">
        <is>
          <t>Kansas City Sausage Co., LLC dba Coastal Protein  (1600 Martin Road, Godwin NC)</t>
        </is>
      </c>
      <c r="C37" s="48" t="inlineStr">
        <is>
          <t>Confirmed operating via live EPA CAA and NPDES permits. ~3,500-5,000 sows/wk — marginally over ceiling, but SOW anatomy is closer to adult human scale than a 250 lb market hog.</t>
        </is>
      </c>
      <c r="D37" s="57" t="n"/>
      <c r="E37" s="57" t="n"/>
      <c r="F37" s="57" t="n"/>
      <c r="G37" s="49" t="n"/>
      <c r="H37" s="5" t="inlineStr">
        <is>
          <t>The establishment number (no public source in this study could produce it) — and whether a dedicated harvest bench is negotiable.</t>
        </is>
      </c>
    </row>
    <row r="38" ht="36" customHeight="1" s="51">
      <c r="A38" s="44" t="n">
        <v>8</v>
      </c>
      <c r="B38" s="4" t="inlineStr">
        <is>
          <t>Wampler's Farm Sausage Co.  (Est. M9065, Lenoir City TN · 865-986-2056)</t>
        </is>
      </c>
      <c r="C38" s="48" t="inlineStr">
        <is>
          <t>Real federal grant, real kill floor, ~1,500-1,620/wk at 2017 rated capacity, family-owned since 1937. NOTE: production hiring routes through three third-party staffing agencies at $12-14/hr — the opposite of the tenure you value.</t>
        </is>
      </c>
      <c r="D38" s="57" t="n"/>
      <c r="E38" s="57" t="n"/>
      <c r="F38" s="57" t="n"/>
      <c r="G38" s="49" t="n"/>
      <c r="H38" s="5" t="inlineStr">
        <is>
          <t>Sows only, or any market hogs — and actual current weekly head. If 'sows only', drop to REFERENCE; don't spend a site visit.</t>
        </is>
      </c>
    </row>
    <row r="39" ht="36" customHeight="1" s="51">
      <c r="A39" s="44" t="n">
        <v>9</v>
      </c>
      <c r="B39" s="4" t="inlineStr">
        <is>
          <t>Custom Quality Packers, LLC  (Est. TA-20129, Sims NC)</t>
        </is>
      </c>
      <c r="C39" s="48" t="inlineStr">
        <is>
          <t>One of only ~7 swine-only establishments in NC and federally inspected; anchors a Wilson County CLUSTER play with Bass Farms and George Flowers. Individual-animal handling is a genuine welfare positive.</t>
        </is>
      </c>
      <c r="D39" s="57" t="n"/>
      <c r="E39" s="57" t="n"/>
      <c r="F39" s="57" t="n"/>
      <c r="G39" s="49" t="n"/>
      <c r="H39" s="5" t="inlineStr">
        <is>
          <t>Actual weekly head — 'each animal individually rather than large industrial batches' implies well below 200/wk alone.</t>
        </is>
      </c>
    </row>
    <row r="40" ht="36" customHeight="1" s="51">
      <c r="A40" s="44" t="n">
        <v>10</v>
      </c>
      <c r="B40" s="4" t="inlineStr">
        <is>
          <t>Williamsburg Packing Company  (Est. M4005, Kingstree SC · 843-355-6447)</t>
        </is>
      </c>
      <c r="C40" s="48" t="inlineStr">
        <is>
          <t>ONE speculative call only. Sole SC federally-inspected swine plant with any elevated volume signal, and its voluntary grant V4005 is the mechanism used for non-amenable species — directly relevant to research tissue.</t>
        </is>
      </c>
      <c r="D40" s="57" t="n"/>
      <c r="E40" s="57" t="n"/>
      <c r="F40" s="57" t="n"/>
      <c r="G40" s="49" t="n"/>
      <c r="H40" s="5" t="inlineStr">
        <is>
          <t>Hog-only weekly head count, FIRST question. If under 200, close it out.</t>
        </is>
      </c>
    </row>
    <row r="42" ht="19.95" customHeight="1" s="51">
      <c r="A42" s="52" t="inlineStr">
        <is>
          <t>VERIFIED FACILITY ROSTER</t>
        </is>
      </c>
    </row>
    <row r="43" ht="40.05" customHeight="1" s="51">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1">
      <c r="A44" s="52" t="inlineStr">
        <is>
          <t>ADVERSARIALLY VERIFIED — these verdicts override the earlier tabs</t>
        </is>
      </c>
    </row>
    <row r="45" ht="58.05" customHeight="1" s="51">
      <c r="A45" s="4" t="inlineStr">
        <is>
          <t>Nahunta Slaughter House, Inc.</t>
        </is>
      </c>
      <c r="B45" s="48" t="inlineStr">
        <is>
          <t>Pikeville, NC</t>
        </is>
      </c>
      <c r="C45" s="48" t="inlineStr">
        <is>
          <t>500+/wk cited but that verb is PROCESSES — ask actual P-80A kill</t>
        </is>
      </c>
      <c r="D45" s="48" t="inlineStr">
        <is>
          <t>NC STATE only (P-80A slaughter, swine-only; P-80 processing)</t>
        </is>
      </c>
      <c r="E45" s="31" t="inlineStr">
        <is>
          <t>CONFIRMED OPEN</t>
        </is>
      </c>
      <c r="F45" s="48" t="inlineStr">
        <is>
          <t>STRONG FIT</t>
        </is>
      </c>
      <c r="G45" s="48" t="n">
        <v>1</v>
      </c>
      <c r="H45" s="4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1">
      <c r="A46" s="4" t="inlineStr">
        <is>
          <t>Martin's Pork Products, Inc.</t>
        </is>
      </c>
      <c r="B46" s="48" t="inlineStr">
        <is>
          <t>Falcon, NC</t>
        </is>
      </c>
      <c r="C46" s="48" t="inlineStr">
        <is>
          <t>200-1,500/wk (revised) — LIKELY IN BAND. The 6,500/wk figure was REFUTED</t>
        </is>
      </c>
      <c r="D46" s="48" t="inlineStr">
        <is>
          <t>USDA Talmadge-Aiken TA-6720 (federal, exportable structure)</t>
        </is>
      </c>
      <c r="E46" s="31" t="inlineStr">
        <is>
          <t>CONFIRMED OPEN</t>
        </is>
      </c>
      <c r="F46" s="48" t="inlineStr">
        <is>
          <t>POSSIBLE</t>
        </is>
      </c>
      <c r="G46" s="48" t="n">
        <v>2</v>
      </c>
      <c r="H46" s="4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1">
      <c r="A47" s="4" t="inlineStr">
        <is>
          <t>Acre Station Meat Farm</t>
        </is>
      </c>
      <c r="B47" s="48" t="inlineStr">
        <is>
          <t>Pinetown, NC</t>
        </is>
      </c>
      <c r="C47" s="48" t="inlineStr">
        <is>
          <t>~150/wk actual (NOT the ~400/wk headline) — LIKELY BELOW FLOOR</t>
        </is>
      </c>
      <c r="D47" s="48" t="inlineStr">
        <is>
          <t>Talmadge-Aiken TA-19904 / M19904 — but 2 directories say CUSTOM EXEMPT</t>
        </is>
      </c>
      <c r="E47" s="31" t="inlineStr">
        <is>
          <t>CONFIRMED OPEN</t>
        </is>
      </c>
      <c r="F47" s="48" t="inlineStr">
        <is>
          <t>CAUTION</t>
        </is>
      </c>
      <c r="G47" s="48" t="n">
        <v>3</v>
      </c>
      <c r="H47" s="4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1">
      <c r="A48" s="4" t="inlineStr">
        <is>
          <t>Piedmont Custom Meats, Inc.</t>
        </is>
      </c>
      <c r="B48" s="48" t="inlineStr">
        <is>
          <t>Gibsonville + Asheboro, NC</t>
        </is>
      </c>
      <c r="C48" s="48" t="inlineStr">
        <is>
          <t>LOW TENS per week — far below floor</t>
        </is>
      </c>
      <c r="D48" s="48" t="inlineStr">
        <is>
          <t>USDA-FSIS M7975 / M7975A (V7975 = Voluntary, not poultry)</t>
        </is>
      </c>
      <c r="E48" s="31" t="inlineStr">
        <is>
          <t>CONFIRMED OPEN</t>
        </is>
      </c>
      <c r="F48" s="48" t="inlineStr">
        <is>
          <t>REFERENCE</t>
        </is>
      </c>
      <c r="G48" s="48" t="n">
        <v>9</v>
      </c>
      <c r="H48" s="4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1">
      <c r="A49" s="4" t="inlineStr">
        <is>
          <t>Honest Meats, LLC (dba T&amp;E Meats)</t>
        </is>
      </c>
      <c r="B49" s="48" t="inlineStr">
        <is>
          <t>Harrisonburg, VA</t>
        </is>
      </c>
      <c r="C49" s="48" t="inlineStr">
        <is>
          <t>~19-192 head/wk ALL species — disqualifying</t>
        </is>
      </c>
      <c r="D49" s="48" t="inlineStr">
        <is>
          <t>USDA-FSIS M7420 + V7420</t>
        </is>
      </c>
      <c r="E49" s="29" t="inlineStr">
        <is>
          <t>UNCERTAIN</t>
        </is>
      </c>
      <c r="F49" s="48" t="inlineStr">
        <is>
          <t>OUT / FLAG</t>
        </is>
      </c>
      <c r="G49" s="48" t="n">
        <v>9</v>
      </c>
      <c r="H49" s="4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1">
      <c r="A50" s="4" t="inlineStr">
        <is>
          <t>Williamsburg Packing Company</t>
        </is>
      </c>
      <c r="B50" s="48" t="inlineStr">
        <is>
          <t>Kingstree, SC</t>
        </is>
      </c>
      <c r="C50" s="48" t="inlineStr">
        <is>
          <t>190-1,900/wk but that is a 21-SPECIES aggregate incl. poultry</t>
        </is>
      </c>
      <c r="D50" s="48" t="inlineStr">
        <is>
          <t>USDA-FSIS M4005 + P4005 + V4005</t>
        </is>
      </c>
      <c r="E50" s="31" t="inlineStr">
        <is>
          <t>CONFIRMED OPEN</t>
        </is>
      </c>
      <c r="F50" s="48" t="inlineStr">
        <is>
          <t>POSSIBLE</t>
        </is>
      </c>
      <c r="G50" s="48" t="n">
        <v>6</v>
      </c>
      <c r="H50" s="4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1">
      <c r="A51" s="4" t="inlineStr">
        <is>
          <t>Wampler's Farm Sausage Co.</t>
        </is>
      </c>
      <c r="B51" s="48" t="inlineStr">
        <is>
          <t>Lenoir City, TN</t>
        </is>
      </c>
      <c r="C51" s="48" t="inlineStr">
        <is>
          <t>~1,500-1,620/wk (2017 rated capacity) — in band if market hogs</t>
        </is>
      </c>
      <c r="D51" s="48" t="inlineStr">
        <is>
          <t>USDA-FSIS M9065 + P9065 + V9065</t>
        </is>
      </c>
      <c r="E51" s="31" t="inlineStr">
        <is>
          <t>CONFIRMED OPEN</t>
        </is>
      </c>
      <c r="F51" s="48" t="inlineStr">
        <is>
          <t>POSSIBLE</t>
        </is>
      </c>
      <c r="G51" s="48" t="n">
        <v>3</v>
      </c>
      <c r="H51" s="4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1">
      <c r="A52" s="4" t="inlineStr">
        <is>
          <t>Williams Sausage Co. (TYSON)</t>
        </is>
      </c>
      <c r="B52" s="48" t="inlineStr">
        <is>
          <t>Union City, TN</t>
        </is>
      </c>
      <c r="C52" s="48" t="inlineStr">
        <is>
          <t>~2,000-2,160/wk (2017 estimate)</t>
        </is>
      </c>
      <c r="D52" s="48" t="inlineStr">
        <is>
          <t>USDA-FSIS M7455</t>
        </is>
      </c>
      <c r="E52" s="31" t="inlineStr">
        <is>
          <t>CONFIRMED OPEN</t>
        </is>
      </c>
      <c r="F52" s="48" t="inlineStr">
        <is>
          <t>CAUTION</t>
        </is>
      </c>
      <c r="G52" s="48" t="n">
        <v>6</v>
      </c>
      <c r="H52" s="4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1">
      <c r="A53" s="4" t="inlineStr">
        <is>
          <t>Swaggerty Sausage Co.</t>
        </is>
      </c>
      <c r="B53" s="48" t="inlineStr">
        <is>
          <t>Kodak, TN</t>
        </is>
      </c>
      <c r="C53" s="48" t="inlineStr">
        <is>
          <t>~4,250-4,590/wk — OVER CEILING</t>
        </is>
      </c>
      <c r="D53" s="48" t="inlineStr">
        <is>
          <t>USDA-FSIS M8314 + V8314</t>
        </is>
      </c>
      <c r="E53" s="31" t="inlineStr">
        <is>
          <t>CONFIRMED OPEN</t>
        </is>
      </c>
      <c r="F53" s="48" t="inlineStr">
        <is>
          <t>CAUTION</t>
        </is>
      </c>
      <c r="G53" s="48" t="n">
        <v>7</v>
      </c>
      <c r="H53" s="4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1">
      <c r="A54" s="4" t="inlineStr">
        <is>
          <t>EcoFriendly Foods</t>
        </is>
      </c>
      <c r="B54" s="48" t="inlineStr">
        <is>
          <t>Moneta, VA</t>
        </is>
      </c>
      <c r="C54" s="48" t="inlineStr">
        <is>
          <t>~20-80/wk — an order of magnitude BELOW floor</t>
        </is>
      </c>
      <c r="D54" s="48" t="inlineStr">
        <is>
          <t>USDA-FSIS M21938</t>
        </is>
      </c>
      <c r="E54" s="31" t="inlineStr">
        <is>
          <t>CONFIRMED OPEN</t>
        </is>
      </c>
      <c r="F54" s="48" t="inlineStr">
        <is>
          <t>REFERENCE</t>
        </is>
      </c>
      <c r="G54" s="48" t="n">
        <v>8</v>
      </c>
      <c r="H54" s="4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1">
      <c r="A55" s="52" t="inlineStr">
        <is>
          <t>NEWLY SURFACED — never in the earlier study (NOT yet adversarially verified)</t>
        </is>
      </c>
    </row>
    <row r="56" ht="58.05" customHeight="1" s="51">
      <c r="A56" s="4" t="inlineStr">
        <is>
          <t>Larry's Sausage Company, Inc.</t>
        </is>
      </c>
      <c r="B56" s="48" t="inlineStr">
        <is>
          <t>Fayetteville, NC</t>
        </is>
      </c>
      <c r="C56" s="48" t="inlineStr">
        <is>
          <t>200-800/wk (labelled estimate from distribution footprint)</t>
        </is>
      </c>
      <c r="D56" s="48" t="inlineStr">
        <is>
          <t>Talmadge-Aiken TA-8305 — federal, exportable</t>
        </is>
      </c>
      <c r="E56" s="4" t="inlineStr">
        <is>
          <t>not verified</t>
        </is>
      </c>
      <c r="F56" s="48" t="inlineStr">
        <is>
          <t>POSSIBLE</t>
        </is>
      </c>
      <c r="G56" s="48" t="n">
        <v>2</v>
      </c>
      <c r="H56" s="4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1">
      <c r="A57" s="4" t="inlineStr">
        <is>
          <t>Bass Farms, Inc.</t>
        </is>
      </c>
      <c r="B57" s="48" t="inlineStr">
        <is>
          <t>Spring Hope, NC</t>
        </is>
      </c>
      <c r="C57" s="48" t="inlineStr">
        <is>
          <t>unknown — labelled estimate only</t>
        </is>
      </c>
      <c r="D57" s="48" t="inlineStr">
        <is>
          <t>Talmadge-Aiken TA-3521 (no matching M3521 found)</t>
        </is>
      </c>
      <c r="E57" s="4" t="inlineStr">
        <is>
          <t>not verified</t>
        </is>
      </c>
      <c r="F57" s="48" t="inlineStr">
        <is>
          <t>POSSIBLE</t>
        </is>
      </c>
      <c r="G57" s="48" t="n">
        <v>2</v>
      </c>
      <c r="H57" s="48" t="inlineStr">
        <is>
          <t>NCDA&amp;CS lists 'Slaughter only, species C (swine)' — a hog kill floor with NO processing attached is the PUREST Model A structure in the state. Confirm the TA grant is live first.</t>
        </is>
      </c>
    </row>
    <row r="58" ht="58.05" customHeight="1" s="51">
      <c r="A58" s="4" t="inlineStr">
        <is>
          <t>Gunnoe Sausage Company</t>
        </is>
      </c>
      <c r="B58" s="48" t="inlineStr">
        <is>
          <t>Goode, VA</t>
        </is>
      </c>
      <c r="C58" s="48" t="inlineStr">
        <is>
          <t>~450-590/wk (90-110 head/day) — GENUINELY IN BAND</t>
        </is>
      </c>
      <c r="D58" s="48" t="inlineStr">
        <is>
          <t>unknown — establishment number not captured</t>
        </is>
      </c>
      <c r="E58" s="4" t="inlineStr">
        <is>
          <t>not verified</t>
        </is>
      </c>
      <c r="F58" s="48" t="inlineStr">
        <is>
          <t>POSSIBLE</t>
        </is>
      </c>
      <c r="G58" s="48" t="n">
        <v>2</v>
      </c>
      <c r="H58" s="4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1">
      <c r="A59" s="4" t="inlineStr">
        <is>
          <t>Kansas City Sausage / Coastal Protein</t>
        </is>
      </c>
      <c r="B59" s="48" t="inlineStr">
        <is>
          <t>Godwin, NC</t>
        </is>
      </c>
      <c r="C59" s="48" t="inlineStr">
        <is>
          <t>~3,500-5,000 sows/wk — marginally over ceiling</t>
        </is>
      </c>
      <c r="D59" s="48" t="inlineStr">
        <is>
          <t>unknown — establishment number not found by any public source</t>
        </is>
      </c>
      <c r="E59" s="31" t="inlineStr">
        <is>
          <t>CONFIRMED OPEN (EPA permits)</t>
        </is>
      </c>
      <c r="F59" s="48" t="inlineStr">
        <is>
          <t>CAUTION</t>
        </is>
      </c>
      <c r="G59" s="48" t="n">
        <v>7</v>
      </c>
      <c r="H59" s="4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1">
      <c r="A60" s="4" t="inlineStr">
        <is>
          <t>Scientific Protein Laboratories · DeWied International</t>
        </is>
      </c>
      <c r="B60" s="48" t="inlineStr">
        <is>
          <t>Waunakee WI · San Antonio TX</t>
        </is>
      </c>
      <c r="C60" s="48" t="inlineStr">
        <is>
          <t>n/a — collectors, not slaughterers</t>
        </is>
      </c>
      <c r="D60" s="48" t="inlineStr">
        <is>
          <t>operate INSIDE third-party USDA plants</t>
        </is>
      </c>
      <c r="E60" s="4" t="inlineStr">
        <is>
          <t>not verified</t>
        </is>
      </c>
      <c r="F60" s="48" t="inlineStr">
        <is>
          <t>STRONG FIT</t>
        </is>
      </c>
      <c r="G60" s="48" t="n">
        <v>1</v>
      </c>
      <c r="H60" s="4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1">
      <c r="A61" s="4" t="inlineStr">
        <is>
          <t>DeKalb County Packing · Morris Meat Packing</t>
        </is>
      </c>
      <c r="B61" s="48" t="inlineStr">
        <is>
          <t>De Kalb IL · Morris IL</t>
        </is>
      </c>
      <c r="C61" s="48" t="inlineStr">
        <is>
          <t>~2,500-2,700/wk · ~1,500-1,620/wk — BOTH IN BAND</t>
        </is>
      </c>
      <c r="D61" s="48" t="inlineStr">
        <is>
          <t>USDA-FSIS</t>
        </is>
      </c>
      <c r="E61" s="4" t="inlineStr">
        <is>
          <t>not verified</t>
        </is>
      </c>
      <c r="F61" s="48" t="inlineStr">
        <is>
          <t>POSSIBLE</t>
        </is>
      </c>
      <c r="G61" s="48" t="n">
        <v>2</v>
      </c>
      <c r="H61" s="48" t="inlineStr">
        <is>
          <t>Two of the very few US plants genuinely inside 200-3,000 hogs/week. Outside your named regions but worth a call given how few in-band plants exist nationally.</t>
        </is>
      </c>
    </row>
    <row r="63" ht="19.95" customHeight="1" s="51">
      <c r="A63" s="52" t="inlineStr">
        <is>
          <t>COMPLETENESS CRITIC — what we still don't know / didn't cover</t>
        </is>
      </c>
    </row>
    <row r="64" ht="72" customHeight="1" s="51">
      <c r="A64" s="54"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1">
      <c r="A65" s="54"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1">
      <c r="A66" s="54"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1">
      <c r="A67" s="54"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1">
      <c r="A68" s="54"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1">
      <c r="A69" s="54"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1">
      <c r="A70" s="54"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1">
      <c r="A71" s="54"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1">
      <c r="A72" s="54"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1">
      <c r="A73" s="54"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1">
      <c r="A75" s="52" t="inlineStr">
        <is>
          <t>STRATEGIC READ  (given the 200-3,000/wk floor + EU export)</t>
        </is>
      </c>
    </row>
    <row r="76" ht="72" customHeight="1" s="51">
      <c r="A76" s="54"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1">
      <c r="A77" s="54" t="inlineStr">
        <is>
          <t>•  RECOMMENDATION — A THREE-LANE PORTFOLIO, NOT A SINGLE PLANT.</t>
        </is>
      </c>
    </row>
    <row r="78" ht="84" customHeight="1" s="51">
      <c r="A78" s="54"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1">
      <c r="A79" s="54"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1">
      <c r="A80" s="54"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1">
      <c r="A81" s="54"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1">
      <c r="A82" s="54"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1">
      <c r="A83" s="54"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1">
      <c r="A85" s="52" t="inlineStr">
        <is>
          <t>METHOD &amp; CONFIDENCE</t>
        </is>
      </c>
    </row>
    <row r="86" ht="36" customHeight="1" s="5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1">
      <c r="A87" s="68" t="inlineStr">
        <is>
          <t>•  21 agents · 121 raw facility records (see caveat on double-counting) · 10 candidates adversarially verified · ~2.0M tokens · 1,091 tool calls · 0 agent errors.</t>
        </is>
      </c>
    </row>
    <row r="88" ht="48" customHeight="1" s="5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s="5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B23:H23"/>
    <mergeCell ref="A17:H17"/>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2026-08-06T14:49:40Z</dcterms:modified>
  <cp:lastModifiedBy>Oscar Penny</cp:lastModifiedBy>
</cp:coreProperties>
</file>