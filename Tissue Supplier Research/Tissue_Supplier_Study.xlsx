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Method" sheetId="1" state="visible" r:id="rId1"/>
    <sheet name="Action Items" sheetId="2" state="visible" r:id="rId2"/>
    <sheet name="Anatomical Spec" sheetId="3" state="visible" r:id="rId3"/>
    <sheet name="Legend &amp; Scoring" sheetId="4" state="visible" r:id="rId4"/>
    <sheet name="Supplier Roster" sheetId="5" state="visible" r:id="rId5"/>
    <sheet name="National Direct Suppliers" sheetId="6" state="visible" r:id="rId6"/>
    <sheet name="Models &amp; Make-vs-Buy" sheetId="7" state="visible" r:id="rId7"/>
    <sheet name="TCO Calculator" sheetId="8" state="visible" r:id="rId8"/>
    <sheet name="APHIS &amp; EU Export" sheetId="9" state="visible" r:id="rId9"/>
    <sheet name="Call Question Sheet" sheetId="10" state="visible" r:id="rId10"/>
    <sheet name="Sources &amp; Confidence" sheetId="11" state="visible" r:id="rId11"/>
    <sheet name="Deep Study (Verified)" sheetId="12" state="visible" r:id="rId12"/>
  </sheets>
  <definedNames>
    <definedName name="_xlnm._FilterDatabase" localSheetId="4" hidden="1">'Supplier Roster'!$A$4:$P$4</definedName>
    <definedName name="_xlnm._FilterDatabase" localSheetId="5" hidden="1">'National Direct Suppliers'!$A$4:$I$4</definedName>
    <definedName name="_xlnm._FilterDatabase" localSheetId="11" hidden="1">'Deep Study (Verified)'!$A$43:$H$43</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18">
    <font>
      <name val="Calibri"/>
      <family val="2"/>
      <color theme="1"/>
      <sz val="11"/>
      <scheme val="minor"/>
    </font>
    <font>
      <name val="Arial"/>
      <b val="1"/>
      <color rgb="00FFFFFF"/>
      <sz val="15"/>
    </font>
    <font>
      <name val="Arial"/>
      <i val="1"/>
      <color rgb="0044506A"/>
      <sz val="10"/>
    </font>
    <font>
      <name val="Arial"/>
      <b val="1"/>
      <color rgb="00FFFFFF"/>
      <sz val="11"/>
    </font>
    <font>
      <name val="Arial"/>
      <b val="1"/>
      <color rgb="00222222"/>
      <sz val="10"/>
    </font>
    <font>
      <name val="Arial"/>
      <color rgb="00222222"/>
      <sz val="10"/>
    </font>
    <font>
      <name val="Arial"/>
      <b val="1"/>
      <color rgb="00FFFFFF"/>
      <sz val="10"/>
    </font>
    <font>
      <name val="Arial"/>
      <i val="1"/>
      <color rgb="005B657A"/>
      <sz val="9"/>
    </font>
    <font>
      <name val="Arial"/>
      <b val="1"/>
      <color rgb="001F3864"/>
      <sz val="10"/>
    </font>
    <font>
      <name val="Arial"/>
      <color rgb="007A5C00"/>
      <sz val="10"/>
    </font>
    <font>
      <name val="Arial"/>
      <b val="1"/>
      <color rgb="000000FF"/>
      <sz val="10"/>
    </font>
    <font>
      <name val="Arial"/>
      <b val="1"/>
      <color rgb="00006100"/>
      <sz val="10"/>
    </font>
    <font>
      <name val="Arial"/>
      <b val="1"/>
      <color rgb="009C6500"/>
      <sz val="10"/>
    </font>
    <font>
      <name val="Arial"/>
      <b val="1"/>
      <color rgb="009C0006"/>
      <sz val="10"/>
    </font>
    <font>
      <name val="Arial"/>
      <color rgb="009C0006"/>
      <sz val="10"/>
    </font>
    <font>
      <name val="Arial"/>
      <b val="1"/>
      <color rgb="005B657A"/>
      <sz val="10"/>
    </font>
    <font>
      <name val="Arial"/>
      <color rgb="0044506A"/>
      <sz val="9"/>
    </font>
    <font>
      <name val="Arial"/>
      <color rgb="00222222"/>
      <sz val="9"/>
    </font>
  </fonts>
  <fills count="13">
    <fill>
      <patternFill/>
    </fill>
    <fill>
      <patternFill patternType="gray125"/>
    </fill>
    <fill>
      <patternFill patternType="solid">
        <fgColor rgb="001F3864"/>
      </patternFill>
    </fill>
    <fill>
      <patternFill patternType="solid">
        <fgColor rgb="00EDF0F7"/>
      </patternFill>
    </fill>
    <fill>
      <patternFill patternType="solid">
        <fgColor rgb="002E5496"/>
      </patternFill>
    </fill>
    <fill>
      <patternFill patternType="solid">
        <fgColor rgb="00F2F2F2"/>
      </patternFill>
    </fill>
    <fill>
      <patternFill patternType="solid">
        <fgColor rgb="00FFF2CC"/>
      </patternFill>
    </fill>
    <fill>
      <patternFill patternType="solid">
        <fgColor rgb="00D9E1F2"/>
      </patternFill>
    </fill>
    <fill>
      <patternFill patternType="solid">
        <fgColor rgb="00FFF9E3"/>
      </patternFill>
    </fill>
    <fill>
      <patternFill patternType="solid">
        <fgColor rgb="00C6EFCE"/>
      </patternFill>
    </fill>
    <fill>
      <patternFill patternType="solid">
        <fgColor rgb="00FFC7CE"/>
      </patternFill>
    </fill>
    <fill>
      <patternFill patternType="solid">
        <fgColor rgb="00FCE4E4"/>
      </patternFill>
    </fill>
    <fill>
      <patternFill patternType="solid">
        <fgColor rgb="000000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5" fillId="0" borderId="0" applyAlignment="1" pivotButton="0" quotePrefix="0" xfId="0">
      <alignment horizontal="left" vertical="top" wrapText="1"/>
    </xf>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4" fillId="5" borderId="0" applyAlignment="1" pivotButton="0" quotePrefix="0" xfId="0">
      <alignment horizontal="left" vertical="center"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8" fillId="7" borderId="1" applyAlignment="1" pivotButton="0" quotePrefix="0" xfId="0">
      <alignment horizontal="center" vertical="top" wrapText="1"/>
    </xf>
    <xf numFmtId="0" fontId="11" fillId="9" borderId="1" applyAlignment="1" pivotButton="0" quotePrefix="0" xfId="0">
      <alignment horizontal="center" vertical="top" wrapText="1"/>
    </xf>
    <xf numFmtId="0" fontId="12" fillId="6" borderId="1" applyAlignment="1" pivotButton="0" quotePrefix="0" xfId="0">
      <alignment horizontal="center" vertical="top" wrapText="1"/>
    </xf>
    <xf numFmtId="0" fontId="14" fillId="11" borderId="1" applyAlignment="1" pivotButton="0" quotePrefix="0" xfId="0">
      <alignment horizontal="left"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5" fillId="5" borderId="1" applyAlignment="1" pivotButton="0" quotePrefix="0" xfId="0">
      <alignment horizontal="left" vertical="top" wrapText="1"/>
    </xf>
    <xf numFmtId="0" fontId="7" fillId="5" borderId="0" applyAlignment="1" pivotButton="0" quotePrefix="0" xfId="0">
      <alignment horizontal="left" vertical="center" wrapText="1"/>
    </xf>
    <xf numFmtId="0" fontId="3" fillId="12" borderId="0" applyAlignment="1" pivotButton="0" quotePrefix="0" xfId="0">
      <alignment horizontal="left" vertical="center"/>
    </xf>
    <xf numFmtId="0" fontId="4" fillId="0" borderId="0" applyAlignment="1" pivotButton="0" quotePrefix="0" xfId="0">
      <alignment horizontal="left" vertical="center" wrapText="1"/>
    </xf>
    <xf numFmtId="3" fontId="10" fillId="8" borderId="1" applyAlignment="1" pivotButton="0" quotePrefix="0" xfId="0">
      <alignment horizontal="right" vertical="center"/>
    </xf>
    <xf numFmtId="0" fontId="7" fillId="0" borderId="0" applyAlignment="1" pivotButton="0" quotePrefix="0" xfId="0">
      <alignment horizontal="left" vertical="center" wrapText="1"/>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4" fillId="9" borderId="0" applyAlignment="1" pivotButton="0" quotePrefix="0" xfId="0">
      <alignment horizontal="left" vertical="center" wrapText="1"/>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2" borderId="1" applyAlignment="1" pivotButton="0" quotePrefix="0" xfId="0">
      <alignment horizontal="center" vertical="center" wrapText="1"/>
    </xf>
    <xf numFmtId="165" fontId="4" fillId="9" borderId="1" applyAlignment="1" pivotButton="0" quotePrefix="0" xfId="0">
      <alignment horizontal="right" vertical="center"/>
    </xf>
    <xf numFmtId="0" fontId="16" fillId="0" borderId="0" applyAlignment="1" pivotButton="0" quotePrefix="0" xfId="0">
      <alignment horizontal="left" vertical="top" wrapText="1"/>
    </xf>
    <xf numFmtId="0" fontId="6" fillId="12"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16" fillId="0" borderId="1" applyAlignment="1" pivotButton="0" quotePrefix="0" xfId="0">
      <alignment horizontal="left"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4" pivotButton="0" quotePrefix="0" xfId="0"/>
    <xf numFmtId="0" fontId="0" fillId="0" borderId="5" pivotButton="0" quotePrefix="0" xfId="0"/>
    <xf numFmtId="0" fontId="1" fillId="2" borderId="0" applyAlignment="1" pivotButton="0" quotePrefix="0" xfId="0">
      <alignment horizontal="left" vertical="center"/>
    </xf>
    <xf numFmtId="0" fontId="3" fillId="4" borderId="0" applyAlignment="1" pivotButton="0" quotePrefix="0" xfId="0">
      <alignment horizontal="left" vertical="center"/>
    </xf>
    <xf numFmtId="0" fontId="17"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30" customWidth="1" min="1" max="1"/>
    <col width="108" customWidth="1" min="2" max="2"/>
  </cols>
  <sheetData>
    <row r="1" ht="26" customHeight="1">
      <c r="A1" s="1" t="inlineStr">
        <is>
          <t>Porcine Tissue — Second-Source Supplier Study</t>
        </is>
      </c>
    </row>
    <row r="2" ht="30" customHeight="1">
      <c r="A2" s="2" t="inlineStr">
        <is>
          <t>Slaughterhouse &amp; direct-tissue sourcing for pelvic / bariatric / thoracic tissue blocks and organ harvesting.  Prepared 2026-07-28.</t>
        </is>
      </c>
    </row>
    <row r="4" ht="20" customHeight="1">
      <c r="A4" s="3" t="inlineStr">
        <is>
          <t>PURPOSE</t>
        </is>
      </c>
    </row>
    <row r="5" ht="20" customHeight="1">
      <c r="A5" s="3"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20" customHeight="1">
      <c r="A6" s="3" t="inlineStr">
        <is>
          <t>TARGET PROFILE (the spec)</t>
        </is>
      </c>
    </row>
    <row r="7" ht="48" customHeight="1">
      <c r="A7" s="4" t="inlineStr">
        <is>
          <t>Weekly kill volume</t>
        </is>
      </c>
      <c r="B7" s="5" t="inlineStr">
        <is>
          <t>200 – 3,000 hogs / week.  Below ~200/wk is too small to be worth mobilizing (this rules out many small custom shops that only do tens-to-low-hundreds/wk); above ~3,000/wk is 'too large' UNLESS the plant also specializes in organ / tissue harvesting (not just standard pork cuts) — large biologics harvesters are in-scope.</t>
        </is>
      </c>
    </row>
    <row r="8" ht="28" customHeight="1">
      <c r="A8" s="4" t="inlineStr">
        <is>
          <t>Species</t>
        </is>
      </c>
      <c r="B8" s="5" t="inlineStr">
        <is>
          <t>Must slaughter HOGS (swine).  Cattle-only / other-species plants are out of scope.</t>
        </is>
      </c>
    </row>
    <row r="9" ht="36" customHeight="1">
      <c r="A9" s="4" t="inlineStr">
        <is>
          <t>Certification</t>
        </is>
      </c>
      <c r="B9" s="5" t="inlineStr">
        <is>
          <t>USDA-inspected and/or APHIS-certified strongly preferred.  Any plant that is NOT APHIS-certified or NOT USDA-inspected is explicitly FLAGGED in the roster (see the two certification columns).</t>
        </is>
      </c>
    </row>
    <row r="10" ht="36" customHeight="1">
      <c r="A10" s="4" t="inlineStr">
        <is>
          <t>Culture / welfare</t>
        </is>
      </c>
      <c r="B10" s="5" t="inlineStr">
        <is>
          <t>Humane handling of animals AND workers, stable long-tenured workforce, sound family-business culture — a real differentiator (the Nahunta standard). Weighs into fit, not a hard gate.</t>
        </is>
      </c>
    </row>
    <row r="11" ht="36" customHeight="1">
      <c r="A11" s="4" t="inlineStr">
        <is>
          <t>Tissue blocks of interest</t>
        </is>
      </c>
      <c r="B11" s="5" t="inlineStr">
        <is>
          <t>Pelvic, bariatric (abdominal), thoracic — including the ORGANS located in each region. Organ-harvesting capability is valuable; Nahunta already covers most organ needs at its volume.</t>
        </is>
      </c>
    </row>
    <row r="12" ht="20" customHeight="1">
      <c r="A12" s="3" t="inlineStr">
        <is>
          <t>TWO OPERATING MODELS (per supplier)</t>
        </is>
      </c>
    </row>
    <row r="13" ht="36" customHeight="1">
      <c r="A13" s="4" t="inlineStr">
        <is>
          <t>Model A — We harvest on-site</t>
        </is>
      </c>
      <c r="B13" s="5" t="inlineStr">
        <is>
          <t>We send OUR harvesters to the plant and rent space/line access; we collect our own tissue. Needs the plant to grant floor access, cooler space, and scheduling around the kill.</t>
        </is>
      </c>
    </row>
    <row r="14" ht="28" customHeight="1">
      <c r="A14" s="4" t="inlineStr">
        <is>
          <t>Model B — They harvest for us</t>
        </is>
      </c>
      <c r="B14" s="5" t="inlineStr">
        <is>
          <t>The plant does the harvesting to our protocol; we send inspectors/trainers to qualify and audit. Needs the plant to have (or build) trained labor and QA willingness.</t>
        </is>
      </c>
    </row>
    <row r="15" ht="36" customHeight="1">
      <c r="A15" s="4" t="inlineStr">
        <is>
          <t>Third path — Buy direct</t>
        </is>
      </c>
      <c r="B15" s="5" t="inlineStr">
        <is>
          <t>Buy finished porcine tissues/organs from a national research-tissue vendor (no slaughterhouse relationship). See the 'National Direct Suppliers' tab for who sells what, and price-per-tissue where obtainable.</t>
        </is>
      </c>
    </row>
    <row r="16" ht="20" customHeight="1">
      <c r="A16" s="3" t="inlineStr">
        <is>
          <t>HOW TO USE THIS WORKBOOK</t>
        </is>
      </c>
    </row>
    <row r="17" ht="28" customHeight="1">
      <c r="A17" s="4" t="inlineStr">
        <is>
          <t>1</t>
        </is>
      </c>
      <c r="B17" s="5" t="inlineStr">
        <is>
          <t>'Supplier Roster' is the master list — slaughterhouses grouped by region (NC primary; SC/TN/VA; Iowa/Midwest). Sort/filter to shortlist.</t>
        </is>
      </c>
    </row>
    <row r="18" ht="28" customHeight="1">
      <c r="A18" s="4" t="inlineStr">
        <is>
          <t>2</t>
        </is>
      </c>
      <c r="B18" s="5" t="inlineStr">
        <is>
          <t>'National Direct Suppliers' lists vendors selling tissue directly, with price-per-tissue where a real figure was obtainable.</t>
        </is>
      </c>
    </row>
    <row r="19" ht="28" customHeight="1">
      <c r="A19" s="4" t="inlineStr">
        <is>
          <t>3</t>
        </is>
      </c>
      <c r="B19" s="5" t="inlineStr">
        <is>
          <t>'Models &amp; Make-vs-Buy' frames the A / B / buy-direct decision and cost drivers.</t>
        </is>
      </c>
    </row>
    <row r="20" ht="28" customHeight="1">
      <c r="A20" s="4" t="inlineStr">
        <is>
          <t>4</t>
        </is>
      </c>
      <c r="B20" s="5" t="inlineStr">
        <is>
          <t>'Call Question Sheet' is the outreach script — mirror of the CJB agenda — to qualify each plant on volume, access, certs, welfare, and price.</t>
        </is>
      </c>
    </row>
    <row r="21" ht="28" customHeight="1">
      <c r="A21" s="4" t="inlineStr">
        <is>
          <t>5</t>
        </is>
      </c>
      <c r="B21" s="5" t="inlineStr">
        <is>
          <t>'Sources &amp; Confidence' lists every source URL and a confidence rating. Read it before acting on any single number.</t>
        </is>
      </c>
    </row>
    <row r="22" ht="20" customHeight="1">
      <c r="A22" s="3" t="inlineStr">
        <is>
          <t>DATA-QUALITY CAVEAT</t>
        </is>
      </c>
    </row>
    <row r="23" ht="20" customHeight="1">
      <c r="A23" s="3"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20" customHeight="1">
      <c r="A25" s="3" t="inlineStr">
        <is>
          <t>KEY FINDINGS (research summary)</t>
        </is>
      </c>
    </row>
    <row r="26" ht="48" customHeight="1">
      <c r="A26" s="5"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26" s="55" t="n"/>
    </row>
    <row r="27" ht="48" customHeight="1">
      <c r="A27" s="5"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27" s="55" t="n"/>
    </row>
    <row r="28" ht="48" customHeight="1">
      <c r="A28" s="5"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28" s="55" t="n"/>
    </row>
    <row r="29" ht="60" customHeight="1">
      <c r="A29" s="5"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29" s="55" t="n"/>
    </row>
    <row r="30" ht="60" customHeight="1">
      <c r="A30" s="5"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30" s="55" t="n"/>
    </row>
    <row r="31" ht="84" customHeight="1">
      <c r="A31" s="5"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1" s="55" t="n"/>
    </row>
    <row r="32" ht="72" customHeight="1">
      <c r="A32" s="5"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2" s="55" t="n"/>
    </row>
    <row r="33" ht="48" customHeight="1">
      <c r="A33" s="5"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33" s="55" t="n"/>
    </row>
    <row r="34" ht="60" customHeight="1">
      <c r="A34" s="5" t="inlineStr">
        <is>
          <t>•  SC/TN/VA reality (with the 200/wk floor): there are essentially NO mid-industrial (1,000-3,000/wk) hog plants in these states, and MANY of the small custom/USDA shops do only tens-to-low-hundreds of hogs/week — so a good number now fall BELOW the 200/wk floor (e.g. Cherry Meat TN ~18/wk). They're valuable for high-touch Model B and welfare, but weekly volume must be confirmed by phone before counting on them.</t>
        </is>
      </c>
      <c r="B34" s="55" t="n"/>
    </row>
    <row r="35" ht="84" customHeight="1">
      <c r="A35" s="5"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35" s="55" t="n"/>
    </row>
    <row r="36" ht="48" customHeight="1">
      <c r="A36" s="5"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36" s="55" t="n"/>
    </row>
    <row r="37" ht="48" customHeight="1">
      <c r="A37" s="5"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37" s="55" t="n"/>
    </row>
    <row r="38" ht="48" customHeight="1">
      <c r="A38" s="5"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38" s="55" t="n"/>
    </row>
  </sheetData>
  <mergeCells count="23">
    <mergeCell ref="A30:B30"/>
    <mergeCell ref="A36:B36"/>
    <mergeCell ref="A1:B1"/>
    <mergeCell ref="A6:B6"/>
    <mergeCell ref="A16:B16"/>
    <mergeCell ref="A25:B25"/>
    <mergeCell ref="A37:B37"/>
    <mergeCell ref="A27:B27"/>
    <mergeCell ref="A12:B12"/>
    <mergeCell ref="A26:B26"/>
    <mergeCell ref="A2:B2"/>
    <mergeCell ref="A33:B33"/>
    <mergeCell ref="A5:B5"/>
    <mergeCell ref="A32:B32"/>
    <mergeCell ref="A23:B23"/>
    <mergeCell ref="A22:B22"/>
    <mergeCell ref="A35:B35"/>
    <mergeCell ref="A4:B4"/>
    <mergeCell ref="A38:B38"/>
    <mergeCell ref="A29:B29"/>
    <mergeCell ref="A28:B28"/>
    <mergeCell ref="A31:B31"/>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workbookViewId="0">
      <selection activeCell="A1" sqref="A1"/>
    </sheetView>
  </sheetViews>
  <sheetFormatPr baseColWidth="8" defaultRowHeight="15"/>
  <cols>
    <col width="28" customWidth="1" min="1" max="1"/>
    <col width="40" customWidth="1" min="2" max="2"/>
    <col width="28" customWidth="1" min="3" max="3"/>
    <col width="16" customWidth="1" min="4" max="4"/>
    <col width="12" customWidth="1" min="5" max="5"/>
    <col width="12" customWidth="1" min="6" max="6"/>
  </cols>
  <sheetData>
    <row r="1" ht="26" customHeight="1">
      <c r="A1" s="1" t="inlineStr">
        <is>
          <t>Action Items — next steps to pick the slaughterhouse</t>
        </is>
      </c>
    </row>
    <row r="2" ht="30" customHeight="1">
      <c r="A2" s="2" t="inlineStr">
        <is>
          <t>Sequenced: hold the internal strategy meeting FIRST, then send RFQ/Ps to the priority plants. The reach-first list was re-reviewed against volume, welfare/enforcement, certifications, and model fit.</t>
        </is>
      </c>
    </row>
    <row r="4" ht="20" customHeight="1">
      <c r="A4" s="3" t="inlineStr">
        <is>
          <t>MEETINGS — hold in this order (nearest first)</t>
        </is>
      </c>
    </row>
    <row r="5" ht="18" customHeight="1">
      <c r="A5" s="6" t="inlineStr">
        <is>
          <t>Meeting / action</t>
        </is>
      </c>
      <c r="B5" s="6" t="inlineStr">
        <is>
          <t>Purpose — outcome</t>
        </is>
      </c>
      <c r="C5" s="6" t="inlineStr">
        <is>
          <t>Who</t>
        </is>
      </c>
      <c r="D5" s="6" t="inlineStr">
        <is>
          <t>When</t>
        </is>
      </c>
      <c r="E5" s="6" t="inlineStr">
        <is>
          <t>Owner</t>
        </is>
      </c>
      <c r="F5" s="6" t="inlineStr">
        <is>
          <t>Status</t>
        </is>
      </c>
    </row>
    <row r="6" ht="56" customHeight="1">
      <c r="A6" s="7" t="inlineStr">
        <is>
          <t>0a. WRITE THE ANATOMICAL SPEC  (do this FIRST)</t>
        </is>
      </c>
      <c r="B6" s="5" t="inlineStr">
        <is>
          <t>Live weight range, parity (sow vs market hog), age/sex, per block type. A ONE-DAY internal exercise that decides whether ~half the candidate pool stays on the list. No further research can answer it. Use the 'Anatomical Spec' tab.</t>
        </is>
      </c>
      <c r="C6" s="5" t="inlineStr">
        <is>
          <t>Technical / Harvest lead + clinical stakeholder</t>
        </is>
      </c>
      <c r="D6" s="5" t="inlineStr">
        <is>
          <t>Before any outreach</t>
        </is>
      </c>
      <c r="E6" s="8" t="inlineStr"/>
      <c r="F6" s="8" t="inlineStr">
        <is>
          <t>Not started</t>
        </is>
      </c>
    </row>
    <row r="7" ht="56" customHeight="1">
      <c r="A7" s="7" t="inlineStr">
        <is>
          <t>0b. EMAIL APHIS VS on the ABP / Cat 3 pathway</t>
        </is>
      </c>
      <c r="B7" s="5" t="inlineStr">
        <is>
          <t>One email resolves the question governing the whole plant selection: vs.export.product.facilities@usda.gov — (a) what establishment-level listing is required for Category 3 porcine tissue for research/surgical training under Reg. 1069/2009, and (b) is federal (or Talmadge-Aiken) slaughter inspection a HARD prerequisite? Answer to (b) decides if Nahunta can ever be in the EU chain.</t>
        </is>
      </c>
      <c r="C7" s="5" t="inlineStr">
        <is>
          <t>Regulatory / QA</t>
        </is>
      </c>
      <c r="D7" s="5" t="inlineStr">
        <is>
          <t>This week</t>
        </is>
      </c>
      <c r="E7" s="8" t="inlineStr"/>
      <c r="F7" s="8" t="inlineStr">
        <is>
          <t>Not started</t>
        </is>
      </c>
    </row>
    <row r="8" ht="56" customHeight="1">
      <c r="A8" s="7" t="inlineStr">
        <is>
          <t>0c. INTERVIEW A MUCOSA / CASING COLLECTOR</t>
        </is>
      </c>
      <c r="B8" s="5" t="inlineStr">
        <is>
          <t>Scientific Protein Laboratories (Waunakee WI) or DeWied International (San Antonio TX). They ALREADY run our Model A at industrial scale — own crews inside third-party USDA plants under written protocol. Their network is the map of which plants accept a third-party harvest crew, at what price, under whose HACCP.</t>
        </is>
      </c>
      <c r="C8" s="5" t="inlineStr">
        <is>
          <t>Harvest lead + Procurement</t>
        </is>
      </c>
      <c r="D8" s="5" t="inlineStr">
        <is>
          <t>This week</t>
        </is>
      </c>
      <c r="E8" s="8" t="inlineStr"/>
      <c r="F8" s="8" t="inlineStr">
        <is>
          <t>Not started</t>
        </is>
      </c>
    </row>
    <row r="9" ht="56" customHeight="1">
      <c r="A9" s="7" t="inlineStr">
        <is>
          <t>1. Strategy &amp; requirements alignment  (COMPANY stakeholders — NOT slaughterhouses)</t>
        </is>
      </c>
      <c r="B9" s="5"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5" t="inlineStr">
        <is>
          <t>Leadership, Ops, QA, Procurement, Harvest / Technical lead</t>
        </is>
      </c>
      <c r="D9" s="5" t="inlineStr">
        <is>
          <t>ASAP — most proximate</t>
        </is>
      </c>
      <c r="E9" s="8" t="inlineStr"/>
      <c r="F9" s="8" t="inlineStr">
        <is>
          <t>Not started</t>
        </is>
      </c>
    </row>
    <row r="10" ht="56" customHeight="1">
      <c r="A10" s="7" t="inlineStr">
        <is>
          <t>2. Outreach kickoff</t>
        </is>
      </c>
      <c r="B10" s="5" t="inlineStr">
        <is>
          <t>Assign who contacts which plant; finalize the RFQ/P and NDA; set a return-by date. Call the three Talmadge-Aiken NC plants (Martin's, Larry's, Bass Farms) INSIDE ONE WEEK and let actual weekly kill numbers pick the winner.</t>
        </is>
      </c>
      <c r="C10" s="5" t="inlineStr">
        <is>
          <t>Procurement + Harvest lead</t>
        </is>
      </c>
      <c r="D10" s="5" t="inlineStr">
        <is>
          <t>Right after Mtg 1</t>
        </is>
      </c>
      <c r="E10" s="8" t="inlineStr"/>
      <c r="F10" s="8" t="inlineStr">
        <is>
          <t>Not started</t>
        </is>
      </c>
    </row>
    <row r="11" ht="56" customHeight="1">
      <c r="A11" s="7" t="inlineStr">
        <is>
          <t>3. Shortlist review &amp; scoring</t>
        </is>
      </c>
      <c r="B11" s="5" t="inlineStr">
        <is>
          <t>Compare returned weekly kill numbers / quotes; score against the agreed weighting; pick the Lane-2 winner. Budget ONE adversarial verification pass on whichever plant wins — Larry's and Bass Farms have never been verified.</t>
        </is>
      </c>
      <c r="C11" s="5" t="inlineStr">
        <is>
          <t>Core team</t>
        </is>
      </c>
      <c r="D11" s="5" t="inlineStr">
        <is>
          <t>As RFQ/Ps return</t>
        </is>
      </c>
      <c r="E11" s="8" t="inlineStr"/>
      <c r="F11" s="8" t="inlineStr">
        <is>
          <t>Not started</t>
        </is>
      </c>
    </row>
    <row r="12" ht="56" customHeight="1">
      <c r="A12" s="7" t="inlineStr">
        <is>
          <t>4. FSIS FOIA on shortlist establishments</t>
        </is>
      </c>
      <c r="B12" s="5" t="inlineStr">
        <is>
          <t>FSIS was unreachable in every research session. File for humane-handling NRs / NOIEs / NOSs on M19904, TA-6720, TA-8305, TA-3521, TA-20129, M21747, M4005, M9065, M7455, M8314. Budget 2-6 weeks — start it in parallel with outreach.</t>
        </is>
      </c>
      <c r="C12" s="5" t="inlineStr">
        <is>
          <t>QA / Regulatory</t>
        </is>
      </c>
      <c r="D12" s="5" t="inlineStr">
        <is>
          <t>Start now (long lead)</t>
        </is>
      </c>
      <c r="E12" s="8" t="inlineStr"/>
      <c r="F12" s="8" t="inlineStr">
        <is>
          <t>Not started</t>
        </is>
      </c>
    </row>
    <row r="13" ht="56" customHeight="1">
      <c r="A13" s="7" t="inlineStr">
        <is>
          <t>5. Site visits / audits  (top 2-3)</t>
        </is>
      </c>
      <c r="B13" s="5" t="inlineStr">
        <is>
          <t>Verify facility, welfare and harvest access on-site. Welfare must be treated as a SITE-VISIT finding, not a records finding — especially for Nahunta, which as a state-inspected plant sits outside FSIS humane-handling reporting entirely.</t>
        </is>
      </c>
      <c r="C13" s="5" t="inlineStr">
        <is>
          <t>Technical + QA</t>
        </is>
      </c>
      <c r="D13" s="5" t="inlineStr">
        <is>
          <t>After scoring</t>
        </is>
      </c>
      <c r="E13" s="8" t="inlineStr"/>
      <c r="F13" s="8" t="inlineStr">
        <is>
          <t>Not started</t>
        </is>
      </c>
    </row>
    <row r="15" ht="20" customHeight="1">
      <c r="A15" s="3" t="inlineStr">
        <is>
          <t>PRIORITY SLAUGHTERHOUSES — reach these first</t>
        </is>
      </c>
    </row>
    <row r="16" ht="18" customHeight="1">
      <c r="A16" s="6" t="inlineStr">
        <is>
          <t>Supplier (verified contact order)</t>
        </is>
      </c>
      <c r="B16" s="6" t="inlineStr">
        <is>
          <t>Why reach first</t>
        </is>
      </c>
      <c r="C16" s="6" t="inlineStr">
        <is>
          <t>Contact</t>
        </is>
      </c>
      <c r="D16" s="6" t="inlineStr">
        <is>
          <t>RFQ/P to use</t>
        </is>
      </c>
      <c r="E16" s="6" t="inlineStr">
        <is>
          <t>Owner</t>
        </is>
      </c>
      <c r="F16" s="6" t="inlineStr">
        <is>
          <t>Status</t>
        </is>
      </c>
    </row>
    <row r="17" ht="54" customHeight="1">
      <c r="A17" s="7" t="inlineStr">
        <is>
          <t>1. Nahunta Slaughter House (P-80A)
Pikeville, NC</t>
        </is>
      </c>
      <c r="B17" s="5" t="inlineStr">
        <is>
          <t>LANE 1 — DOMESTIC ANCHOR. Only candidate with a PUBLISHED research-specimen pathway, and fresh spleens/hearts/livers as retail SKUs (viscera leave the kill floor intact). Culture benchmark. NOTE: state-inspected = NC sales only, so domestic lane only.</t>
        </is>
      </c>
      <c r="C17" s="5" t="inlineStr">
        <is>
          <t>(919) 242-4735
nahuntapork.com/specimen-permits1</t>
        </is>
      </c>
      <c r="D17" s="5" t="inlineStr">
        <is>
          <t>Short site/call RFQ/P</t>
        </is>
      </c>
      <c r="E17" s="8" t="inlineStr"/>
      <c r="F17" s="8" t="inlineStr">
        <is>
          <t>Not started</t>
        </is>
      </c>
    </row>
    <row r="18" ht="54" customHeight="1">
      <c r="A18" s="7" t="inlineStr">
        <is>
          <t>2. Martin's Pork Products (TA-6720)
Falcon, NC</t>
        </is>
      </c>
      <c r="B18" s="5" t="inlineStr">
        <is>
          <t>LANE 2 — the incumbent, now plausibly IN BAND (200-1,500/wk after the 6,500 figure was refuted). Hog-only, federally inspected, export-structurally eligible. Cheap call.</t>
        </is>
      </c>
      <c r="C18" s="5" t="inlineStr">
        <is>
          <t>(910) 980-1501
beth@martinspork.com</t>
        </is>
      </c>
      <c r="D18" s="5" t="inlineStr">
        <is>
          <t>Formatted email RFQ/P</t>
        </is>
      </c>
      <c r="E18" s="8" t="inlineStr"/>
      <c r="F18" s="8" t="inlineStr">
        <is>
          <t>Not started</t>
        </is>
      </c>
    </row>
    <row r="19" ht="54" customHeight="1">
      <c r="A19" s="7" t="inlineStr">
        <is>
          <t>3. Larry's Sausage Company (TA-8305)
Fayetteville, NC</t>
        </is>
      </c>
      <c r="B19" s="5" t="inlineStr">
        <is>
          <t>LANE 2 — closest cultural analogue to Nahunta BUT with export-eligible federal TA inspection. Swine-only, family-owned since 1952, three generations. NEVER adversarially verified — treat with care.</t>
        </is>
      </c>
      <c r="C19" s="5" t="inlineStr">
        <is>
          <t>Fayetteville, NC — get number from NCDA&amp;CS TA directory</t>
        </is>
      </c>
      <c r="D19" s="5" t="inlineStr">
        <is>
          <t>Short site/call RFQ/P</t>
        </is>
      </c>
      <c r="E19" s="8" t="inlineStr"/>
      <c r="F19" s="8" t="inlineStr">
        <is>
          <t>Not started</t>
        </is>
      </c>
    </row>
    <row r="20" ht="54" customHeight="1">
      <c r="A20" s="7" t="inlineStr">
        <is>
          <t>4. Bass Farms, Inc. (TA-3521)
Spring Hope, NC</t>
        </is>
      </c>
      <c r="B20" s="5" t="inlineStr">
        <is>
          <t>LANE 2 — 'Slaughter only, species C (swine)': a hog kill floor with NO processing attached is the PUREST Model A structure in the state. NEVER adversarially verified.</t>
        </is>
      </c>
      <c r="C20" s="5" t="inlineStr">
        <is>
          <t>Spring Hope, NC — get number from NCDA&amp;CS TA directory</t>
        </is>
      </c>
      <c r="D20" s="5" t="inlineStr">
        <is>
          <t>Short site/call RFQ/P</t>
        </is>
      </c>
      <c r="E20" s="8" t="inlineStr"/>
      <c r="F20" s="8" t="inlineStr">
        <is>
          <t>Not started</t>
        </is>
      </c>
    </row>
    <row r="21" ht="54" customHeight="1">
      <c r="A21" s="7" t="inlineStr">
        <is>
          <t>5. Gunnoe Sausage Company
Goode, VA</t>
        </is>
      </c>
      <c r="B21" s="5" t="inlineStr">
        <is>
          <t>Virginia's ONLY genuinely in-band plant (~450-590 hogs/wk) — and it was never researched in the first pass. Dedicated sow slaughterhouse since 1965.</t>
        </is>
      </c>
      <c r="C21" s="5" t="inlineStr">
        <is>
          <t>(540) 586-1091
3989 Cifax Rd, Goode VA 24556</t>
        </is>
      </c>
      <c r="D21" s="5" t="inlineStr">
        <is>
          <t>Short site/call RFQ/P</t>
        </is>
      </c>
      <c r="E21" s="8" t="inlineStr"/>
      <c r="F21" s="8" t="inlineStr">
        <is>
          <t>Not started</t>
        </is>
      </c>
    </row>
    <row r="22" ht="54" customHeight="1">
      <c r="A22" s="7" t="inlineStr">
        <is>
          <t>6. Smithfield BioScience
Tar Heel, NC (M18079)</t>
        </is>
      </c>
      <c r="B22" s="5" t="inlineStr">
        <is>
          <t>LANE 3 — the ONLY verified organ programme in the study (aortas, valves, pericardium, peritoneum, mucosa, pancreas, pituitary, tendons) + existing EU pharmaceutical trade. Approach as BOTH supply option AND competitive intelligence.</t>
        </is>
      </c>
      <c r="C22" s="5" t="inlineStr">
        <is>
          <t>smithfieldbioscience.com</t>
        </is>
      </c>
      <c r="D22" s="5" t="inlineStr">
        <is>
          <t>Short site RFQ/P</t>
        </is>
      </c>
      <c r="E22" s="8" t="inlineStr"/>
      <c r="F22" s="8" t="inlineStr">
        <is>
          <t>Not started</t>
        </is>
      </c>
    </row>
    <row r="23" ht="54" customHeight="1">
      <c r="A23" s="7" t="inlineStr">
        <is>
          <t>7. Kansas City Sausage / Coastal Protein
Godwin, NC</t>
        </is>
      </c>
      <c r="B23" s="5" t="inlineStr">
        <is>
          <t>~3,500-5,000 sows/wk — marginally over ceiling, but SOW anatomy is closer to adult human scale. Confirmed operating via live EPA permits. (This is the plant whose identity was confused with Martin's.)</t>
        </is>
      </c>
      <c r="C23" s="5" t="inlineStr">
        <is>
          <t>1600 Martin Road, Godwin NC</t>
        </is>
      </c>
      <c r="D23" s="5" t="inlineStr">
        <is>
          <t>Short site/call RFQ/P</t>
        </is>
      </c>
      <c r="E23" s="8" t="inlineStr"/>
      <c r="F23" s="8" t="inlineStr">
        <is>
          <t>Not started</t>
        </is>
      </c>
    </row>
    <row r="24" ht="54" customHeight="1">
      <c r="A24" s="7" t="inlineStr">
        <is>
          <t>8. Wampler's Farm Sausage (M9065)
Lenoir City, TN</t>
        </is>
      </c>
      <c r="B24" s="5" t="inlineStr">
        <is>
          <t>Real federal grant, real kill floor, ~1,500-1,620/wk. Family-owned since 1937 — but production hiring routes through 3 staffing agencies at $12-14/hr, against your tenure criterion.</t>
        </is>
      </c>
      <c r="C24" s="5" t="inlineStr">
        <is>
          <t>(865) 986-2056  (plant line, NOT 1-800-SAUSAGE)</t>
        </is>
      </c>
      <c r="D24" s="5" t="inlineStr">
        <is>
          <t>Formatted email RFQ/P</t>
        </is>
      </c>
      <c r="E24" s="8" t="inlineStr"/>
      <c r="F24" s="8" t="inlineStr">
        <is>
          <t>Not started</t>
        </is>
      </c>
    </row>
    <row r="25" ht="54" customHeight="1">
      <c r="A25" s="7" t="inlineStr">
        <is>
          <t>9. Custom Quality Packers (TA-20129)
Sims, NC</t>
        </is>
      </c>
      <c r="B25" s="5" t="inlineStr">
        <is>
          <t>One of only ~7 swine-only establishments in NC, federally inspected. Anchors a WILSON COUNTY CLUSTER play with Bass Farms and George Flowers — aggregation only works if plants share one crew.</t>
        </is>
      </c>
      <c r="C25" s="5" t="inlineStr">
        <is>
          <t>(252) 235-3558</t>
        </is>
      </c>
      <c r="D25" s="5" t="inlineStr">
        <is>
          <t>Short site/call RFQ/P</t>
        </is>
      </c>
      <c r="E25" s="8" t="inlineStr"/>
      <c r="F25" s="8" t="inlineStr">
        <is>
          <t>Not started</t>
        </is>
      </c>
    </row>
    <row r="26" ht="54" customHeight="1">
      <c r="A26" s="7" t="inlineStr">
        <is>
          <t>10. Williamsburg Packing (M4005)
Kingstree, SC</t>
        </is>
      </c>
      <c r="B26" s="5" t="inlineStr">
        <is>
          <t>ONE speculative call only. Its voluntary grant V4005 is the mechanism used for non-amenable species — directly relevant to research tissue. Welfare certifications REFUTED, so do not lead with those.</t>
        </is>
      </c>
      <c r="C26" s="5" t="inlineStr">
        <is>
          <t>(843) 355-6447</t>
        </is>
      </c>
      <c r="D26" s="5" t="inlineStr">
        <is>
          <t>Short site/call RFQ/P</t>
        </is>
      </c>
      <c r="E26" s="8" t="inlineStr"/>
      <c r="F26" s="8" t="inlineStr">
        <is>
          <t>Not started</t>
        </is>
      </c>
    </row>
    <row r="27" ht="36" customHeight="1">
      <c r="A27" s="9"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c r="A28" s="9"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20" customHeight="1">
      <c r="A30" s="3" t="inlineStr">
        <is>
          <t>RFQ/P — EMAIL TEMPLATE  (copy-paste for email contacts; fill the [brackets])</t>
        </is>
      </c>
    </row>
    <row r="31" ht="18" customHeight="1">
      <c r="A31" s="10" t="inlineStr">
        <is>
          <t>Subject:  Request for Quote / Proposal — Recurring Porcine Tissue Harvesting Partnership</t>
        </is>
      </c>
      <c r="B31" s="56" t="n"/>
      <c r="C31" s="56" t="n"/>
      <c r="D31" s="56" t="n"/>
      <c r="E31" s="56" t="n"/>
      <c r="F31" s="55" t="n"/>
    </row>
    <row r="32" ht="15" customHeight="1">
      <c r="A32" s="11" t="inlineStr">
        <is>
          <t>Hello [Name],</t>
        </is>
      </c>
    </row>
    <row r="33" ht="36" customHeight="1">
      <c r="A33" s="11"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c r="A34" s="11" t="inlineStr">
        <is>
          <t>We can structure the arrangement either way and would welcome your input:</t>
        </is>
      </c>
    </row>
    <row r="35" ht="15" customHeight="1">
      <c r="A35" s="11" t="inlineStr">
        <is>
          <t xml:space="preserve">   • Model A — our trained technicians harvest on-site; we rent line/cooler access (by visit or by piece).</t>
        </is>
      </c>
    </row>
    <row r="36" ht="15" customHeight="1">
      <c r="A36" s="11" t="inlineStr">
        <is>
          <t xml:space="preserve">   • Model B — your team harvests to our written protocol; we send trainers/inspectors to qualify and audit.</t>
        </is>
      </c>
    </row>
    <row r="37" ht="15" customHeight="1">
      <c r="A37" s="11" t="inlineStr">
        <is>
          <t>Could you please share:</t>
        </is>
      </c>
    </row>
    <row r="38" ht="15" customHeight="1">
      <c r="A38" s="11" t="inlineStr">
        <is>
          <t xml:space="preserve">   1. Approximate hogs slaughtered per week, and whether you can add head for us.</t>
        </is>
      </c>
    </row>
    <row r="39" ht="24" customHeight="1">
      <c r="A39" s="11" t="inlineStr">
        <is>
          <t xml:space="preserve">   2. USDA/FSIS inspection status (establishment #) and any APHIS export listing (we may export finished models to the EU).</t>
        </is>
      </c>
    </row>
    <row r="40" ht="24" customHeight="1">
      <c r="A40" s="11" t="inlineStr">
        <is>
          <t xml:space="preserve">   3. Which organs/tissues you currently harvest vs. send to rendering, and whether we can collect pelvic/abdominal/thoracic blocks at the kill.</t>
        </is>
      </c>
    </row>
    <row r="41" ht="15" customHeight="1">
      <c r="A41" s="11" t="inlineStr">
        <is>
          <t xml:space="preserve">   4. Pricing — Model A: per-visit access/rental or per-piece; Model B: per-piece harvest fee.</t>
        </is>
      </c>
    </row>
    <row r="42" ht="15" customHeight="1">
      <c r="A42" s="11" t="inlineStr">
        <is>
          <t xml:space="preserve">   5. Cooler/hanging space and typical time-to-chill after slaughter (freshness window).</t>
        </is>
      </c>
    </row>
    <row r="43" ht="15" customHeight="1">
      <c r="A43" s="11" t="inlineStr">
        <is>
          <t xml:space="preserve">   6. Your humane-handling program, and any recent USDA humane-handling actions.</t>
        </is>
      </c>
    </row>
    <row r="44" ht="15" customHeight="1">
      <c r="A44" s="11" t="inlineStr">
        <is>
          <t xml:space="preserve">   7. Lead time, minimum commitment, scheduling, and whether an NDA is needed before we share our protocol.</t>
        </is>
      </c>
    </row>
    <row r="45" ht="15" customHeight="1">
      <c r="A45" s="11" t="inlineStr">
        <is>
          <t>We are glad to sign an NDA and to set up a call or a site visit. Thank you — we look forward to your proposal.</t>
        </is>
      </c>
    </row>
    <row r="46" ht="15" customHeight="1">
      <c r="A46" s="11" t="inlineStr">
        <is>
          <t>Best regards,</t>
        </is>
      </c>
    </row>
    <row r="47" ht="15" customHeight="1">
      <c r="A47" s="11" t="inlineStr">
        <is>
          <t>[Your name] · [Title] · [Company] · [Phone] · [Email]</t>
        </is>
      </c>
    </row>
    <row r="49" ht="20" customHeight="1">
      <c r="A49" s="3" t="inlineStr">
        <is>
          <t>RFQ/P — SHORT SITE / CALL VERSION  (for phone or website inquiry forms)</t>
        </is>
      </c>
    </row>
    <row r="50" ht="16" customHeight="1">
      <c r="A50" s="11" t="inlineStr">
        <is>
          <t>•  Who we are: biomedical porcine-tissue harvester setting up a recurring program.</t>
        </is>
      </c>
    </row>
    <row r="51" ht="16" customHeight="1">
      <c r="A51" s="11" t="inlineStr">
        <is>
          <t>•  Hogs per week? Can you add head for us? Steady year-round?</t>
        </is>
      </c>
    </row>
    <row r="52" ht="16" customHeight="1">
      <c r="A52" s="11" t="inlineStr">
        <is>
          <t>•  USDA/FSIS establishment #? APHIS export listing (we may export to the EU)?</t>
        </is>
      </c>
    </row>
    <row r="53" ht="16" customHeight="1">
      <c r="A53" s="11" t="inlineStr">
        <is>
          <t>•  Which organs are saved vs. rendered? Can we collect pelvic / abdominal / thoracic blocks at the kill?</t>
        </is>
      </c>
    </row>
    <row r="54" ht="16" customHeight="1">
      <c r="A54" s="11" t="inlineStr">
        <is>
          <t>•  Would you HOST our harvesters (Model A — rent by visit or by piece) OR harvest to our spec (Model B)?</t>
        </is>
      </c>
    </row>
    <row r="55" ht="16" customHeight="1">
      <c r="A55" s="11" t="inlineStr">
        <is>
          <t>•  Ballpark pricing (per-visit rental or per-piece)?</t>
        </is>
      </c>
    </row>
    <row r="56" ht="16" customHeight="1">
      <c r="A56" s="11" t="inlineStr">
        <is>
          <t>•  Cooler space + time-to-chill after slaughter (freshness window)?</t>
        </is>
      </c>
    </row>
    <row r="57" ht="16" customHeight="1">
      <c r="A57" s="11" t="inlineStr">
        <is>
          <t>•  Lead time, minimum commitment, NDA needed?</t>
        </is>
      </c>
    </row>
    <row r="58" ht="16" customHeight="1">
      <c r="A58" s="11" t="inlineStr">
        <is>
          <t>•  Best contact name + email to send a written RFQ/P.</t>
        </is>
      </c>
    </row>
    <row r="59" ht="20" customHeight="1">
      <c r="A59" s="12"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0:F50"/>
    <mergeCell ref="A56:F56"/>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46" customWidth="1" min="1" max="1"/>
    <col width="34" customWidth="1" min="2" max="2"/>
    <col width="34" customWidth="1" min="3" max="3"/>
    <col width="34" customWidth="1" min="4" max="4"/>
  </cols>
  <sheetData>
    <row r="1" ht="26" customHeight="1">
      <c r="A1" s="1" t="inlineStr">
        <is>
          <t>Anatomical Spec — fill this in BEFORE the first supplier call</t>
        </is>
      </c>
    </row>
    <row r="2" ht="30" customHeight="1">
      <c r="A2" s="2" t="inlineStr">
        <is>
          <t>Action #1 from the verified deep study. A one-day internal exercise that decides which plants stay on the list. Blue-on-yellow = you fill in.</t>
        </is>
      </c>
    </row>
    <row r="4" ht="96" customHeight="1">
      <c r="A4" s="13"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56" t="n"/>
      <c r="C4" s="56" t="n"/>
      <c r="D4" s="55" t="n"/>
    </row>
    <row r="6" ht="20" customHeight="1">
      <c r="A6" s="3" t="inlineStr">
        <is>
          <t>PER-BLOCK SPECIFICATION</t>
        </is>
      </c>
    </row>
    <row r="7" ht="24" customHeight="1">
      <c r="A7" s="6" t="inlineStr">
        <is>
          <t>Parameter</t>
        </is>
      </c>
      <c r="B7" s="6" t="inlineStr">
        <is>
          <t>PELVIC block</t>
        </is>
      </c>
      <c r="C7" s="6" t="inlineStr">
        <is>
          <t>BARIATRIC / abdominal block</t>
        </is>
      </c>
      <c r="D7" s="6" t="inlineStr">
        <is>
          <t>THORACIC block</t>
        </is>
      </c>
    </row>
    <row r="8" ht="26" customHeight="1">
      <c r="A8" s="14" t="inlineStr">
        <is>
          <t>Organs / structures REQUIRED in the block</t>
        </is>
      </c>
      <c r="B8" s="15" t="inlineStr"/>
      <c r="C8" s="15" t="inlineStr"/>
      <c r="D8" s="15" t="inlineStr"/>
    </row>
    <row r="9" ht="26" customHeight="1">
      <c r="A9" s="16" t="inlineStr">
        <is>
          <t>Organs / structures NICE-TO-HAVE</t>
        </is>
      </c>
      <c r="B9" s="15" t="inlineStr"/>
      <c r="C9" s="15" t="inlineStr"/>
      <c r="D9" s="15" t="inlineStr"/>
    </row>
    <row r="10" ht="26" customHeight="1">
      <c r="A10" s="14" t="inlineStr">
        <is>
          <t>Structures that must be left ATTACHED (vessels, ligaments, mesentery)</t>
        </is>
      </c>
      <c r="B10" s="15" t="inlineStr"/>
      <c r="C10" s="15" t="inlineStr"/>
      <c r="D10" s="15" t="inlineStr"/>
    </row>
    <row r="11" ht="26" customHeight="1">
      <c r="A11" s="16" t="inlineStr">
        <is>
          <t>Minimum acceptable specimen size / dimensions</t>
        </is>
      </c>
      <c r="B11" s="15" t="inlineStr"/>
      <c r="C11" s="15" t="inlineStr"/>
      <c r="D11" s="15" t="inlineStr"/>
    </row>
    <row r="12" ht="26" customHeight="1">
      <c r="A12" s="14" t="inlineStr">
        <is>
          <t>Target live weight range of the animal (lb)</t>
        </is>
      </c>
      <c r="B12" s="15" t="inlineStr"/>
      <c r="C12" s="15" t="inlineStr"/>
      <c r="D12" s="15" t="inlineStr"/>
    </row>
    <row r="13" ht="26" customHeight="1">
      <c r="A13" s="16" t="inlineStr">
        <is>
          <t>Absolute min / max live weight (lb)</t>
        </is>
      </c>
      <c r="B13" s="15" t="inlineStr"/>
      <c r="C13" s="15" t="inlineStr"/>
      <c r="D13" s="15" t="inlineStr"/>
    </row>
    <row r="14" ht="26" customHeight="1">
      <c r="A14" s="14" t="inlineStr">
        <is>
          <t>SOW (parous) acceptable?   Yes / No / Only for…</t>
        </is>
      </c>
      <c r="B14" s="15" t="inlineStr"/>
      <c r="C14" s="15" t="inlineStr"/>
      <c r="D14" s="15" t="inlineStr"/>
    </row>
    <row r="15" ht="26" customHeight="1">
      <c r="A15" s="16" t="inlineStr">
        <is>
          <t>If sow acceptable: max parity (number of litters)</t>
        </is>
      </c>
      <c r="B15" s="15" t="inlineStr"/>
      <c r="C15" s="15" t="inlineStr"/>
      <c r="D15" s="15" t="inlineStr"/>
    </row>
    <row r="16" ht="26" customHeight="1">
      <c r="A16" s="14" t="inlineStr">
        <is>
          <t>Market hog acceptable?  Target age (months)</t>
        </is>
      </c>
      <c r="B16" s="15" t="inlineStr"/>
      <c r="C16" s="15" t="inlineStr"/>
      <c r="D16" s="15" t="inlineStr"/>
    </row>
    <row r="17" ht="26" customHeight="1">
      <c r="A17" s="16" t="inlineStr">
        <is>
          <t>Sex required (barrow / gilt / sow / either)</t>
        </is>
      </c>
      <c r="B17" s="15" t="inlineStr"/>
      <c r="C17" s="15" t="inlineStr"/>
      <c r="D17" s="15" t="inlineStr"/>
    </row>
    <row r="18" ht="26" customHeight="1">
      <c r="A18" s="14" t="inlineStr">
        <is>
          <t>Max WARM ISCHEMIA time — kill to preservation (minutes)</t>
        </is>
      </c>
      <c r="B18" s="15" t="inlineStr"/>
      <c r="C18" s="15" t="inlineStr"/>
      <c r="D18" s="15" t="inlineStr"/>
    </row>
    <row r="19" ht="26" customHeight="1">
      <c r="A19" s="16" t="inlineStr">
        <is>
          <t>Preservation method at the plant (chill / saline / PBS / perfusion / freeze)</t>
        </is>
      </c>
      <c r="B19" s="15" t="inlineStr"/>
      <c r="C19" s="15" t="inlineStr"/>
      <c r="D19" s="15" t="inlineStr"/>
    </row>
    <row r="20" ht="26" customHeight="1">
      <c r="A20" s="14" t="inlineStr">
        <is>
          <t>Units needed per WEEK</t>
        </is>
      </c>
      <c r="B20" s="15" t="inlineStr"/>
      <c r="C20" s="15" t="inlineStr"/>
      <c r="D20" s="15" t="inlineStr"/>
    </row>
    <row r="21" ht="26" customHeight="1">
      <c r="A21" s="16" t="inlineStr">
        <is>
          <t>Units needed per MONTH (steady-state)</t>
        </is>
      </c>
      <c r="B21" s="15" t="inlineStr"/>
      <c r="C21" s="15" t="inlineStr"/>
      <c r="D21" s="15" t="inlineStr"/>
    </row>
    <row r="22" ht="26" customHeight="1">
      <c r="A22" s="14" t="inlineStr">
        <is>
          <t>Acceptable defect rate / rejection criteria</t>
        </is>
      </c>
      <c r="B22" s="15" t="inlineStr"/>
      <c r="C22" s="15" t="inlineStr"/>
      <c r="D22" s="15" t="inlineStr"/>
    </row>
    <row r="23" ht="26" customHeight="1">
      <c r="A23" s="16" t="inlineStr">
        <is>
          <t>Disqualifiers (pathology, abscess, trim damage, condemnation)</t>
        </is>
      </c>
      <c r="B23" s="15" t="inlineStr"/>
      <c r="C23" s="15" t="inlineStr"/>
      <c r="D23" s="15" t="inlineStr"/>
    </row>
    <row r="24" ht="26" customHeight="1">
      <c r="A24" s="14" t="inlineStr">
        <is>
          <t>Domestic use only, or EU-bound?  (drives the inspection requirement)</t>
        </is>
      </c>
      <c r="B24" s="15" t="inlineStr"/>
      <c r="C24" s="15" t="inlineStr"/>
      <c r="D24" s="15" t="inlineStr"/>
    </row>
    <row r="26" ht="20" customHeight="1">
      <c r="A26" s="3" t="inlineStr">
        <is>
          <t>THE DECISIONS THIS UNLOCKS</t>
        </is>
      </c>
    </row>
    <row r="27" ht="34" customHeight="1">
      <c r="A27" s="17" t="inlineStr">
        <is>
          <t>DECISION 1 — Sow vs market hog</t>
        </is>
      </c>
      <c r="B27" s="5" t="inlineStr">
        <is>
          <t>Circle one:   MARKET HOG ONLY   /   SOW ACCEPTABLE   /   SOW PREFERRED (urogyn)   /   DEPENDS BY BLOCK (specify above)</t>
        </is>
      </c>
      <c r="C27" s="56" t="n"/>
      <c r="D27" s="55" t="n"/>
    </row>
    <row r="28" ht="48" customHeight="1">
      <c r="A28" s="17" t="inlineStr">
        <is>
          <t>If MARKET HOG ONLY →</t>
        </is>
      </c>
      <c r="B28" s="5"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56" t="n"/>
      <c r="D28" s="55" t="n"/>
    </row>
    <row r="29" ht="36" customHeight="1">
      <c r="A29" s="17" t="inlineStr">
        <is>
          <t>If SOW ACCEPTABLE →</t>
        </is>
      </c>
      <c r="B29" s="5" t="inlineStr">
        <is>
          <t>The pool roughly doubles and several in-band plants come back: Gunnoe (~450-590/wk), Kansas City Sausage (~3,500-5,000/wk), plus the TN sow plants. Sow anatomy is also closer to ADULT HUMAN SCALE than a 250 lb market hog, which may be a product advantage.</t>
        </is>
      </c>
      <c r="C29" s="56" t="n"/>
      <c r="D29" s="55" t="n"/>
    </row>
    <row r="30" ht="36" customHeight="1">
      <c r="A30" s="17" t="inlineStr">
        <is>
          <t>DECISION 2 — EU exposure</t>
        </is>
      </c>
      <c r="B30" s="5" t="inlineStr">
        <is>
          <t>Which blocks (if any) are destined for EUROPE?  EU-bound product cannot come from Nahunta (state-inspected, NC sales only) and requires a federally-inspected plant plus APHIS/TRACES listing. Domestic-only product has no such constraint.</t>
        </is>
      </c>
      <c r="C30" s="56" t="n"/>
      <c r="D30" s="55" t="n"/>
    </row>
    <row r="31" ht="36" customHeight="1">
      <c r="A31" s="17" t="inlineStr">
        <is>
          <t>DECISION 3 — Ischemia tolerance</t>
        </is>
      </c>
      <c r="B31" s="5" t="inlineStr">
        <is>
          <t>If max warm ischemia is TIGHT (minutes), Model A on-site harvesting is effectively mandatory and buy-direct is out. If it is loose (hours), buy-direct and Model B both stay viable — which materially widens the supplier pool.</t>
        </is>
      </c>
      <c r="C31" s="56" t="n"/>
      <c r="D31" s="55" t="n"/>
    </row>
    <row r="33" ht="22" customHeight="1">
      <c r="A33" s="18"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4" customWidth="1" min="1" max="1"/>
    <col width="100" customWidth="1" min="2" max="2"/>
  </cols>
  <sheetData>
    <row r="1" ht="26" customHeight="1">
      <c r="A1" s="1" t="inlineStr">
        <is>
          <t>Legend, Status Codes &amp; Fit Scoring</t>
        </is>
      </c>
    </row>
    <row r="3" ht="20" customHeight="1">
      <c r="A3" s="3" t="inlineStr">
        <is>
          <t>STATUS / FIT CODES  (used in the roster 'Fit' column)</t>
        </is>
      </c>
    </row>
    <row r="4" ht="26" customHeight="1">
      <c r="A4" s="19" t="inlineStr">
        <is>
          <t>STRONG FIT</t>
        </is>
      </c>
      <c r="B4" s="20" t="inlineStr">
        <is>
          <t>Volume in band, hogs, USDA-inspected, welfare signal present, plausible for Model A or B. Prioritize outreach.</t>
        </is>
      </c>
    </row>
    <row r="5" ht="26" customHeight="1">
      <c r="A5" s="21" t="inlineStr">
        <is>
          <t>POSSIBLE</t>
        </is>
      </c>
      <c r="B5" s="20" t="inlineStr">
        <is>
          <t>Meets most criteria; one or more items unverified (usually volume or cert). Worth a call.</t>
        </is>
      </c>
    </row>
    <row r="6" ht="26" customHeight="1">
      <c r="A6" s="21" t="inlineStr">
        <is>
          <t>CAUTION</t>
        </is>
      </c>
      <c r="B6" s="20" t="inlineStr">
        <is>
          <t>A material mismatch (volume edge, cert gap, or culture concern) — call, but temper expectations.</t>
        </is>
      </c>
    </row>
    <row r="7" ht="26" customHeight="1">
      <c r="A7" s="22" t="inlineStr">
        <is>
          <t>OUT / FLAG</t>
        </is>
      </c>
      <c r="B7" s="20" t="inlineStr">
        <is>
          <t>Fails a hard criterion (wrong species, no hog slaughter, far outside volume band, or a certification gap that matters).</t>
        </is>
      </c>
    </row>
    <row r="8" ht="26" customHeight="1">
      <c r="A8" s="23" t="inlineStr">
        <is>
          <t>REFERENCE</t>
        </is>
      </c>
      <c r="B8" s="20" t="inlineStr">
        <is>
          <t>Existing/known supplier included as a benchmark (Nahunta, Martin's).</t>
        </is>
      </c>
    </row>
    <row r="10" ht="20" customHeight="1">
      <c r="A10" s="3" t="inlineStr">
        <is>
          <t>CERTIFICATION COLUMN CODES</t>
        </is>
      </c>
    </row>
    <row r="11" ht="24" customHeight="1">
      <c r="A11" s="14" t="inlineStr">
        <is>
          <t>USDA ✓</t>
        </is>
      </c>
      <c r="B11" s="20" t="inlineStr">
        <is>
          <t>Federally inspected (FSIS) slaughter — grant of inspection.</t>
        </is>
      </c>
    </row>
    <row r="12" ht="24" customHeight="1">
      <c r="A12" s="14" t="inlineStr">
        <is>
          <t>State ✓</t>
        </is>
      </c>
      <c r="B12" s="20" t="inlineStr">
        <is>
          <t>State meat-inspection program (equal-to FSIS for intrastate sale).</t>
        </is>
      </c>
    </row>
    <row r="13" ht="24" customHeight="1">
      <c r="A13" s="14" t="inlineStr">
        <is>
          <t>Custom-exempt</t>
        </is>
      </c>
      <c r="B13" s="20" t="inlineStr">
        <is>
          <t>Custom/exempt plant — NOT continuously inspected; product not for general commerce. FLAG for our use.</t>
        </is>
      </c>
    </row>
    <row r="14" ht="24" customHeight="1">
      <c r="A14" s="14" t="inlineStr">
        <is>
          <t>APHIS ✓ / n/a</t>
        </is>
      </c>
      <c r="B14" s="20" t="inlineStr">
        <is>
          <t>APHIS certification relates to animal-health/export programs; note where relevant. 'n/a' = not the applicable regime for this plant.</t>
        </is>
      </c>
    </row>
    <row r="15" ht="24" customHeight="1">
      <c r="A15" s="14" t="inlineStr">
        <is>
          <t>unknown</t>
        </is>
      </c>
      <c r="B15" s="20" t="inlineStr">
        <is>
          <t>Not published / not confirmed — MUST verify by phone.</t>
        </is>
      </c>
    </row>
    <row r="17" ht="20" customHeight="1">
      <c r="A17" s="3" t="inlineStr">
        <is>
          <t>HOW 'FIT' IS JUDGED  (weighting, not a hard formula)</t>
        </is>
      </c>
    </row>
    <row r="18" ht="24" customHeight="1">
      <c r="A18" s="14" t="inlineStr">
        <is>
          <t>Hog slaughter present</t>
        </is>
      </c>
      <c r="B18" s="20" t="inlineStr">
        <is>
          <t>Hard gate — no hogs, out of scope.</t>
        </is>
      </c>
    </row>
    <row r="19" ht="24" customHeight="1">
      <c r="A19" s="14" t="inlineStr">
        <is>
          <t>Weekly volume 200–3,000</t>
        </is>
      </c>
      <c r="B19" s="20" t="inlineStr">
        <is>
          <t>Hard gate UNLESS a dedicated organ/tissue harvester (then large is OK). Below ~200/wk is too small to mobilize.</t>
        </is>
      </c>
    </row>
    <row r="20" ht="24" customHeight="1">
      <c r="A20" s="14" t="inlineStr">
        <is>
          <t>USDA / APHIS status</t>
        </is>
      </c>
      <c r="B20" s="20" t="inlineStr">
        <is>
          <t>Preferred; a gap is flagged, not always fatal (depends on our use + Model).</t>
        </is>
      </c>
    </row>
    <row r="21" ht="24" customHeight="1">
      <c r="A21" s="14" t="inlineStr">
        <is>
          <t>Welfare &amp; culture</t>
        </is>
      </c>
      <c r="B21" s="20" t="inlineStr">
        <is>
          <t>Strong tie-breaker — the Nahunta differentiator.</t>
        </is>
      </c>
    </row>
    <row r="22" ht="24" customHeight="1">
      <c r="A22" s="14" t="inlineStr">
        <is>
          <t>Model A or B feasible</t>
        </is>
      </c>
      <c r="B22" s="20" t="inlineStr">
        <is>
          <t>At least one operating model must be plausible.</t>
        </is>
      </c>
    </row>
    <row r="23" ht="24" customHeight="1">
      <c r="A23" s="14" t="inlineStr">
        <is>
          <t>Organ/tissue capability</t>
        </is>
      </c>
      <c r="B23" s="20" t="inlineStr">
        <is>
          <t>Bonus; especially valuable for pelvic/bariatric/thoracic blocks.</t>
        </is>
      </c>
    </row>
  </sheetData>
  <mergeCells count="4">
    <mergeCell ref="A1:B1"/>
    <mergeCell ref="A3:B3"/>
    <mergeCell ref="A10:B10"/>
    <mergeCell ref="A17:B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58"/>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7" customWidth="1" min="3" max="3"/>
    <col width="13" customWidth="1" min="4" max="4"/>
    <col width="7" customWidth="1" min="5" max="5"/>
    <col width="11" customWidth="1" min="6" max="6"/>
    <col width="34" customWidth="1" min="7" max="7"/>
    <col width="30" customWidth="1" min="8" max="8"/>
    <col width="22" customWidth="1" min="9" max="9"/>
    <col width="20" customWidth="1" min="10" max="10"/>
    <col width="16" customWidth="1" min="11" max="11"/>
    <col width="16" customWidth="1" min="12" max="12"/>
    <col width="22" customWidth="1" min="13" max="13"/>
    <col width="14" customWidth="1" min="14" max="14"/>
    <col width="8" customWidth="1" min="15" max="15"/>
    <col width="40" customWidth="1" min="16" max="16"/>
  </cols>
  <sheetData>
    <row r="1" ht="26" customHeight="1">
      <c r="A1" s="1" t="inlineStr">
        <is>
          <t>Supplier Roster — Slaughterhouses (hog kill), grouped by region</t>
        </is>
      </c>
    </row>
    <row r="2" ht="30" customHeight="1">
      <c r="A2" s="2" t="inlineStr">
        <is>
          <t>Primary: North Carolina.  Secondary: South Carolina / Tennessee / Virginia.  Then: Iowa &amp; Midwest.  'est.' = estimate to confirm by phone; 'unknown' = not published.</t>
        </is>
      </c>
    </row>
    <row r="4" ht="40" customHeight="1">
      <c r="A4" s="6" t="inlineStr">
        <is>
          <t>Supplier / plant</t>
        </is>
      </c>
      <c r="B4" s="6" t="inlineStr">
        <is>
          <t>Location</t>
        </is>
      </c>
      <c r="C4" s="6" t="inlineStr">
        <is>
          <t>Type</t>
        </is>
      </c>
      <c r="D4" s="6" t="inlineStr">
        <is>
          <t>Est. hogs / week</t>
        </is>
      </c>
      <c r="E4" s="6" t="inlineStr">
        <is>
          <t>Hogs?</t>
        </is>
      </c>
      <c r="F4" s="6" t="inlineStr">
        <is>
          <t>USDA insp.</t>
        </is>
      </c>
      <c r="G4" s="6" t="inlineStr">
        <is>
          <t>USDA / FSIS enforcement</t>
        </is>
      </c>
      <c r="H4" s="6" t="inlineStr">
        <is>
          <t>APHIS export status</t>
        </is>
      </c>
      <c r="I4" s="6" t="inlineStr">
        <is>
          <t>Welfare &amp; culture</t>
        </is>
      </c>
      <c r="J4" s="6" t="inlineStr">
        <is>
          <t>Organ / tissue harvest</t>
        </is>
      </c>
      <c r="K4" s="6" t="inlineStr">
        <is>
          <t>Model A
(we harvest on-site)</t>
        </is>
      </c>
      <c r="L4" s="6" t="inlineStr">
        <is>
          <t>Model B
(they harvest)</t>
        </is>
      </c>
      <c r="M4" s="6" t="inlineStr">
        <is>
          <t>Contact</t>
        </is>
      </c>
      <c r="N4" s="6" t="inlineStr">
        <is>
          <t>Fit</t>
        </is>
      </c>
      <c r="O4" s="6" t="inlineStr">
        <is>
          <t>Conf.</t>
        </is>
      </c>
      <c r="P4" s="6" t="inlineStr">
        <is>
          <t>Notes / source</t>
        </is>
      </c>
    </row>
    <row r="5" ht="20" customHeight="1">
      <c r="A5" s="3" t="inlineStr">
        <is>
          <t>REFERENCE — existing / benchmark suppliers</t>
        </is>
      </c>
    </row>
    <row r="6" ht="58" customHeight="1">
      <c r="A6" s="7" t="inlineStr">
        <is>
          <t>Nahunta Pork Center</t>
        </is>
      </c>
      <c r="B6" s="5" t="inlineStr">
        <is>
          <t>Pikeville, NC</t>
        </is>
      </c>
      <c r="C6" s="5" t="inlineStr">
        <is>
          <t>Custom slaughter + pork retail</t>
        </is>
      </c>
      <c r="D6" s="5" t="inlineStr">
        <is>
          <t>~400-500 (est.)</t>
        </is>
      </c>
      <c r="E6" s="5" t="inlineStr">
        <is>
          <t>Yes</t>
        </is>
      </c>
      <c r="F6" s="5" t="inlineStr">
        <is>
          <t>STATE only
(NOT USDA)</t>
        </is>
      </c>
      <c r="G6" s="5" t="inlineStr">
        <is>
          <t>None found in public FSIS / recall / AWI sources</t>
        </is>
      </c>
      <c r="H6" s="5" t="inlineStr">
        <is>
          <t>Not on public export lists — verify w/ APHIS VS (state-inspected)</t>
        </is>
      </c>
      <c r="I6" s="5" t="inlineStr">
        <is>
          <t>Strong — 3rd-gen Pierce family, decades of staff tenure; the culture benchmark</t>
        </is>
      </c>
      <c r="J6" s="5" t="inlineStr">
        <is>
          <t>Incumbent — most organ needs already covered here</t>
        </is>
      </c>
      <c r="K6" s="5" t="inlineStr">
        <is>
          <t>Yes (already custom-slaughters 3rd-party animals)</t>
        </is>
      </c>
      <c r="L6" s="5" t="inlineStr">
        <is>
          <t>Yes</t>
        </is>
      </c>
      <c r="M6" s="5" t="inlineStr">
        <is>
          <t>(919) 242-4735
nahuntapork.com</t>
        </is>
      </c>
      <c r="N6" s="24" t="inlineStr">
        <is>
          <t>REFERENCE</t>
        </is>
      </c>
      <c r="O6" s="5" t="inlineStr">
        <is>
          <t>High / est.</t>
        </is>
      </c>
      <c r="P6" s="5" t="inlineStr">
        <is>
          <t>Incumbent; great culture but volume-capped (~150 hogs/day). NC STATE-inspected, NOT USDA — FLAG per your cert requirement. APHIS unknown.</t>
        </is>
      </c>
    </row>
    <row r="7" ht="58" customHeight="1">
      <c r="A7" s="7" t="inlineStr">
        <is>
          <t>Martin's Pork Products, Inc.</t>
        </is>
      </c>
      <c r="B7" s="5" t="inlineStr">
        <is>
          <t>Falcon, NC</t>
        </is>
      </c>
      <c r="C7" s="5" t="inlineStr">
        <is>
          <t>USDA (Talmadge-Aiken) slaughter + processing</t>
        </is>
      </c>
      <c r="D7" s="5" t="inlineStr">
        <is>
          <t>unknown — 'has volume' (est. mid-size)</t>
        </is>
      </c>
      <c r="E7" s="5" t="inlineStr">
        <is>
          <t>Yes</t>
        </is>
      </c>
      <c r="F7" s="5" t="inlineStr">
        <is>
          <t>USDA ✓
(T-A, TA-6720)</t>
        </is>
      </c>
      <c r="G7" s="5" t="inlineStr">
        <is>
          <t>None found in public FSIS / recall / AWI sources</t>
        </is>
      </c>
      <c r="H7" s="5" t="inlineStr">
        <is>
          <t>FSIS-listed (TA-6720); NOT on public export lists — verify w/ APHIS VS</t>
        </is>
      </c>
      <c r="I7" s="5" t="inlineStr">
        <is>
          <t>Incumbent — 'ok' experience; quality issues harder to resolve (weaker culture/responsiveness than Nahunta); ~75 staff</t>
        </is>
      </c>
      <c r="J7" s="5" t="inlineStr">
        <is>
          <t>Pork slaughter + processing + wholesale</t>
        </is>
      </c>
      <c r="K7" s="5" t="inlineStr">
        <is>
          <t>Possible</t>
        </is>
      </c>
      <c r="L7" s="5" t="inlineStr">
        <is>
          <t>Yes (incumbent)</t>
        </is>
      </c>
      <c r="M7" s="5" t="inlineStr">
        <is>
          <t>(910) 980-1501
beth@martinspork.com · martinspork.com</t>
        </is>
      </c>
      <c r="N7" s="24" t="inlineStr">
        <is>
          <t>REFERENCE</t>
        </is>
      </c>
      <c r="O7" s="5" t="inlineStr">
        <is>
          <t>High</t>
        </is>
      </c>
      <c r="P7" s="5"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20" customHeight="1">
      <c r="A8" s="3" t="inlineStr">
        <is>
          <t>NORTH CAROLINA — candidate slaughterhouses (primary region)</t>
        </is>
      </c>
    </row>
    <row r="9" ht="58" customHeight="1">
      <c r="A9" s="7" t="inlineStr">
        <is>
          <t>Piedmont Custom Meats</t>
        </is>
      </c>
      <c r="B9" s="5" t="inlineStr">
        <is>
          <t>Gibsonville / Asheboro, NC</t>
        </is>
      </c>
      <c r="C9" s="5" t="inlineStr">
        <is>
          <t>USDA-inspected</t>
        </is>
      </c>
      <c r="D9" s="5" t="inlineStr">
        <is>
          <t>unknown (5 days/wk)</t>
        </is>
      </c>
      <c r="E9" s="5" t="inlineStr">
        <is>
          <t>Yes</t>
        </is>
      </c>
      <c r="F9" s="5" t="inlineStr">
        <is>
          <t>USDA ✓</t>
        </is>
      </c>
      <c r="G9" s="5" t="inlineStr">
        <is>
          <t>None found (markets AWA / Grandin-designed humane facility)</t>
        </is>
      </c>
      <c r="H9" s="5" t="inlineStr">
        <is>
          <t>FSIS Est. M7975A; not on public export lists — verify</t>
        </is>
      </c>
      <c r="I9" s="5" t="inlineStr">
        <is>
          <t>Strong — AWA-approved, written humane-handling policy, Temple-Grandin-influenced design</t>
        </is>
      </c>
      <c r="J9" s="5" t="inlineStr">
        <is>
          <t>Runs a SEPARATE dedicated harvesting facility (distinct from processing)</t>
        </is>
      </c>
      <c r="K9" s="5" t="inlineStr">
        <is>
          <t>Yes — separate harvest site suits on-site access</t>
        </is>
      </c>
      <c r="L9" s="5" t="inlineStr">
        <is>
          <t>Yes — contract harvest plausible</t>
        </is>
      </c>
      <c r="M9" s="5" t="inlineStr">
        <is>
          <t>(336) 628-4949
piedmontcustommeats.com</t>
        </is>
      </c>
      <c r="N9" s="25" t="inlineStr">
        <is>
          <t>STRONG FIT</t>
        </is>
      </c>
      <c r="O9" s="5" t="inlineStr">
        <is>
          <t>High (struct.)</t>
        </is>
      </c>
      <c r="P9" s="5" t="inlineStr">
        <is>
          <t>Best structural match for either operating model (separate harvest facility). Confirm weekly hog throughput ≥200 and third-party access by phone.</t>
        </is>
      </c>
    </row>
    <row r="10" ht="58" customHeight="1">
      <c r="A10" s="7" t="inlineStr">
        <is>
          <t>Acre Station Meat Farm</t>
        </is>
      </c>
      <c r="B10" s="5" t="inlineStr">
        <is>
          <t>Pinetown, NC</t>
        </is>
      </c>
      <c r="C10" s="5" t="inlineStr">
        <is>
          <t>USDA-equivalent (Talmadge-Aiken)</t>
        </is>
      </c>
      <c r="D10" s="5" t="inlineStr">
        <is>
          <t>~400 (80 hogs/day cap)</t>
        </is>
      </c>
      <c r="E10" s="5" t="inlineStr">
        <is>
          <t>Yes</t>
        </is>
      </c>
      <c r="F10" s="5" t="inlineStr">
        <is>
          <t>USDA ✓
(T-A prog.)</t>
        </is>
      </c>
      <c r="G10" s="5" t="inlineStr">
        <is>
          <t>None found (Est. M19904)</t>
        </is>
      </c>
      <c r="H10" s="5" t="inlineStr">
        <is>
          <t>Not on public export lists — verify w/ APHIS VS</t>
        </is>
      </c>
      <c r="I10" s="5" t="inlineStr">
        <is>
          <t>AWA (Animal Welfare Approved) certified; family farm</t>
        </is>
      </c>
      <c r="J10" s="5" t="inlineStr">
        <is>
          <t>Plausible — custom multi-species</t>
        </is>
      </c>
      <c r="K10" s="5" t="inlineStr">
        <is>
          <t>Plausible</t>
        </is>
      </c>
      <c r="L10" s="5" t="inlineStr">
        <is>
          <t>Plausible</t>
        </is>
      </c>
      <c r="M10" s="5" t="inlineStr">
        <is>
          <t>(252) 927-3700
acrestationmeatfarm.com</t>
        </is>
      </c>
      <c r="N10" s="25" t="inlineStr">
        <is>
          <t>STRONG FIT</t>
        </is>
      </c>
      <c r="O10" s="5" t="inlineStr">
        <is>
          <t>High</t>
        </is>
      </c>
      <c r="P10" s="5" t="inlineStr">
        <is>
          <t>Capacity 80 hogs/day (~400/wk) verified — squarely in band. Welfare-forward. APHIS unknown.</t>
        </is>
      </c>
    </row>
    <row r="11" ht="58" customHeight="1">
      <c r="A11" s="7" t="inlineStr">
        <is>
          <t>Custom Quality Packers, LLC</t>
        </is>
      </c>
      <c r="B11" s="5" t="inlineStr">
        <is>
          <t>Sims, NC</t>
        </is>
      </c>
      <c r="C11" s="5" t="inlineStr">
        <is>
          <t>Slaughter (USDA/NCDA unclear)</t>
        </is>
      </c>
      <c r="D11" s="5" t="inlineStr">
        <is>
          <t>unknown</t>
        </is>
      </c>
      <c r="E11" s="5" t="inlineStr">
        <is>
          <t>Yes (HOGS ONLY)</t>
        </is>
      </c>
      <c r="F11" s="5" t="inlineStr">
        <is>
          <t>unknown</t>
        </is>
      </c>
      <c r="G11" s="5" t="inlineStr">
        <is>
          <t>None found (Est. M20129)</t>
        </is>
      </c>
      <c r="H11" s="5" t="inlineStr">
        <is>
          <t>Not on public export lists — verify</t>
        </is>
      </c>
      <c r="I11" s="5" t="inlineStr">
        <is>
          <t>unknown</t>
        </is>
      </c>
      <c r="J11" s="5" t="inlineStr">
        <is>
          <t>Plausible; skin-and-scald offered</t>
        </is>
      </c>
      <c r="K11" s="5" t="inlineStr">
        <is>
          <t>Plausible</t>
        </is>
      </c>
      <c r="L11" s="5" t="inlineStr">
        <is>
          <t>Plausible</t>
        </is>
      </c>
      <c r="M11" s="5" t="inlineStr">
        <is>
          <t>(252) 235-3558</t>
        </is>
      </c>
      <c r="N11" s="26" t="inlineStr">
        <is>
          <t>POSSIBLE</t>
        </is>
      </c>
      <c r="O11" s="5" t="inlineStr">
        <is>
          <t>Med</t>
        </is>
      </c>
      <c r="P11" s="5" t="inlineStr">
        <is>
          <t>Rare HOG-ONLY plant (most are multi-species) — potentially higher hog throughput. Call to confirm volume + inspection type.</t>
        </is>
      </c>
    </row>
    <row r="12" ht="58" customHeight="1">
      <c r="A12" s="7" t="inlineStr">
        <is>
          <t>George Flowers Slaughter House</t>
        </is>
      </c>
      <c r="B12" s="5" t="inlineStr">
        <is>
          <t>Sims, NC</t>
        </is>
      </c>
      <c r="C12" s="5" t="inlineStr">
        <is>
          <t>Slaughter</t>
        </is>
      </c>
      <c r="D12" s="5" t="inlineStr">
        <is>
          <t>unknown</t>
        </is>
      </c>
      <c r="E12" s="5" t="inlineStr">
        <is>
          <t>Yes (hogs+goats)</t>
        </is>
      </c>
      <c r="F12" s="5" t="inlineStr">
        <is>
          <t>unknown</t>
        </is>
      </c>
      <c r="G12" s="5" t="inlineStr">
        <is>
          <t>None found (Est. M21747)</t>
        </is>
      </c>
      <c r="H12" s="5" t="inlineStr">
        <is>
          <t>Not on public export lists — verify</t>
        </is>
      </c>
      <c r="I12" s="5" t="inlineStr">
        <is>
          <t>unknown</t>
        </is>
      </c>
      <c r="J12" s="5" t="inlineStr">
        <is>
          <t>Plausible; skin-and-scald</t>
        </is>
      </c>
      <c r="K12" s="5" t="inlineStr">
        <is>
          <t>Plausible</t>
        </is>
      </c>
      <c r="L12" s="5" t="inlineStr">
        <is>
          <t>Plausible</t>
        </is>
      </c>
      <c r="M12" s="5" t="inlineStr">
        <is>
          <t>(252) 237-2982</t>
        </is>
      </c>
      <c r="N12" s="26" t="inlineStr">
        <is>
          <t>POSSIBLE</t>
        </is>
      </c>
      <c r="O12" s="5" t="inlineStr">
        <is>
          <t>Med</t>
        </is>
      </c>
      <c r="P12" s="5" t="inlineStr">
        <is>
          <t>Hog-focused small op. Volume/inspection/APHIS all to verify by phone.</t>
        </is>
      </c>
    </row>
    <row r="13" ht="58" customHeight="1">
      <c r="A13" s="7" t="inlineStr">
        <is>
          <t>Wayne Mays Meat Processing</t>
        </is>
      </c>
      <c r="B13" s="5" t="inlineStr">
        <is>
          <t>Taylorsville, NC</t>
        </is>
      </c>
      <c r="C13" s="5" t="inlineStr">
        <is>
          <t>USDA-inspected</t>
        </is>
      </c>
      <c r="D13" s="5" t="inlineStr">
        <is>
          <t>unknown (small)</t>
        </is>
      </c>
      <c r="E13" s="5" t="inlineStr">
        <is>
          <t>Yes</t>
        </is>
      </c>
      <c r="F13" s="5" t="inlineStr">
        <is>
          <t>USDA ✓</t>
        </is>
      </c>
      <c r="G13" s="27" t="inlineStr">
        <is>
          <t>⚠ Humane-handling NOS ~Aug 2020 (Est. M21848); PETA-documented pig shot 3× (2024). Recurring.</t>
        </is>
      </c>
      <c r="H13" s="5" t="inlineStr">
        <is>
          <t>Not on public export lists — verify</t>
        </is>
      </c>
      <c r="I13" s="5" t="inlineStr">
        <is>
          <t>AWA + Certified Organic — strong welfare signals</t>
        </is>
      </c>
      <c r="J13" s="5" t="inlineStr">
        <is>
          <t>Plausible</t>
        </is>
      </c>
      <c r="K13" s="5" t="inlineStr">
        <is>
          <t>Plausible</t>
        </is>
      </c>
      <c r="L13" s="5" t="inlineStr">
        <is>
          <t>Plausible</t>
        </is>
      </c>
      <c r="M13" s="5" t="inlineStr">
        <is>
          <t>(828) 634-2034
maysmeats.net</t>
        </is>
      </c>
      <c r="N13" s="26" t="inlineStr">
        <is>
          <t>CAUTION</t>
        </is>
      </c>
      <c r="O13" s="5" t="inlineStr">
        <is>
          <t>Med</t>
        </is>
      </c>
      <c r="P13" s="5" t="inlineStr">
        <is>
          <t>USDA (in/out NC). Strong welfare CERTS but see enforcement column — humane-handling NOS ~2020 + PETA 2024 report is at odds with the AWA/Organic branding. Likely small custom volume (confirm ≥200/wk).</t>
        </is>
      </c>
    </row>
    <row r="14" ht="58" customHeight="1">
      <c r="A14" s="7" t="inlineStr">
        <is>
          <t>M.L. Mitchell &amp; Son</t>
        </is>
      </c>
      <c r="B14" s="5" t="inlineStr">
        <is>
          <t>Walnut Cove, NC</t>
        </is>
      </c>
      <c r="C14" s="5" t="inlineStr">
        <is>
          <t>USDA-inspected</t>
        </is>
      </c>
      <c r="D14" s="5" t="inlineStr">
        <is>
          <t>unknown</t>
        </is>
      </c>
      <c r="E14" s="5" t="inlineStr">
        <is>
          <t>Yes</t>
        </is>
      </c>
      <c r="F14" s="5" t="inlineStr">
        <is>
          <t>USDA ✓</t>
        </is>
      </c>
      <c r="G14" s="27" t="inlineStr">
        <is>
          <t>⚠ Slaughter suspension Aug 2021 — egregious (failed goat stun, conscious throat-cut). PETA→DA.</t>
        </is>
      </c>
      <c r="H14" s="5" t="inlineStr">
        <is>
          <t>Not on public export lists — verify</t>
        </is>
      </c>
      <c r="I14" s="5" t="inlineStr">
        <is>
          <t>Family business (culture signal)</t>
        </is>
      </c>
      <c r="J14" s="5" t="inlineStr">
        <is>
          <t>Plausible</t>
        </is>
      </c>
      <c r="K14" s="5" t="inlineStr">
        <is>
          <t>Plausible</t>
        </is>
      </c>
      <c r="L14" s="5" t="inlineStr">
        <is>
          <t>Plausible</t>
        </is>
      </c>
      <c r="M14" s="5" t="inlineStr">
        <is>
          <t>(336) 591-7420</t>
        </is>
      </c>
      <c r="N14" s="26" t="inlineStr">
        <is>
          <t>CAUTION</t>
        </is>
      </c>
      <c r="O14" s="5" t="inlineStr">
        <is>
          <t>Med</t>
        </is>
      </c>
      <c r="P14" s="5" t="inlineStr">
        <is>
          <t>USDA (in/out NC). Family-run — BUT see enforcement: egregious humane-handling slaughter suspension Aug 2021 (failed goat stun, conscious throat-cut). Confirm remediation + volume.</t>
        </is>
      </c>
    </row>
    <row r="15" ht="58" customHeight="1">
      <c r="A15" s="7" t="inlineStr">
        <is>
          <t>Key Packing Company, Inc.</t>
        </is>
      </c>
      <c r="B15" s="5" t="inlineStr">
        <is>
          <t>Robbins, NC</t>
        </is>
      </c>
      <c r="C15" s="5" t="inlineStr">
        <is>
          <t>NCDA state-inspected</t>
        </is>
      </c>
      <c r="D15" s="5" t="inlineStr">
        <is>
          <t>unknown (small)</t>
        </is>
      </c>
      <c r="E15" s="5" t="inlineStr">
        <is>
          <t>Yes</t>
        </is>
      </c>
      <c r="F15" s="5" t="inlineStr">
        <is>
          <t>STATE only
(NOT USDA)</t>
        </is>
      </c>
      <c r="G15" s="5" t="inlineStr">
        <is>
          <t>None found (state-inspected; federal FSIS enforcement n/a)</t>
        </is>
      </c>
      <c r="H15" s="5" t="inlineStr">
        <is>
          <t>State-inspected; not on public export lists — verify</t>
        </is>
      </c>
      <c r="I15" s="5" t="inlineStr">
        <is>
          <t>Family-owned (Key family); custom slaughter for independent farmers</t>
        </is>
      </c>
      <c r="J15" s="5" t="inlineStr">
        <is>
          <t>Plausible</t>
        </is>
      </c>
      <c r="K15" s="5" t="inlineStr">
        <is>
          <t>Plausible</t>
        </is>
      </c>
      <c r="L15" s="5" t="inlineStr">
        <is>
          <t>Plausible</t>
        </is>
      </c>
      <c r="M15" s="5" t="inlineStr">
        <is>
          <t>(910) 464-3507
keypackingcompany.com</t>
        </is>
      </c>
      <c r="N15" s="26" t="inlineStr">
        <is>
          <t>POSSIBLE</t>
        </is>
      </c>
      <c r="O15" s="5" t="inlineStr">
        <is>
          <t>Med</t>
        </is>
      </c>
      <c r="P15" s="5" t="inlineStr">
        <is>
          <t>STATE-inspected, in-NC sales only — FLAG (not USDA). Family culture. Likely small volume.</t>
        </is>
      </c>
    </row>
    <row r="16" ht="58" customHeight="1">
      <c r="A16" s="7" t="inlineStr">
        <is>
          <t>Sessoms Packing Company</t>
        </is>
      </c>
      <c r="B16" s="5" t="inlineStr">
        <is>
          <t>Ahoskie, NC</t>
        </is>
      </c>
      <c r="C16" s="5" t="inlineStr">
        <is>
          <t>Slaughter (probable USDA)</t>
        </is>
      </c>
      <c r="D16" s="5" t="inlineStr">
        <is>
          <t>unknown</t>
        </is>
      </c>
      <c r="E16" s="5" t="inlineStr">
        <is>
          <t>Yes</t>
        </is>
      </c>
      <c r="F16" s="5" t="inlineStr">
        <is>
          <t>probable USDA
(unconfirmed)</t>
        </is>
      </c>
      <c r="G16" s="5" t="inlineStr">
        <is>
          <t>None found in public sources</t>
        </is>
      </c>
      <c r="H16" s="5" t="inlineStr">
        <is>
          <t>Not on public export lists — verify</t>
        </is>
      </c>
      <c r="I16" s="5" t="inlineStr">
        <is>
          <t>unknown</t>
        </is>
      </c>
      <c r="J16" s="5" t="inlineStr">
        <is>
          <t>Plausible; whole-hog (country ham)</t>
        </is>
      </c>
      <c r="K16" s="5" t="inlineStr">
        <is>
          <t>Plausible</t>
        </is>
      </c>
      <c r="L16" s="5" t="inlineStr">
        <is>
          <t>Plausible</t>
        </is>
      </c>
      <c r="M16" s="5" t="inlineStr">
        <is>
          <t>(252) 332-2978</t>
        </is>
      </c>
      <c r="N16" s="26" t="inlineStr">
        <is>
          <t>POSSIBLE</t>
        </is>
      </c>
      <c r="O16" s="5" t="inlineStr">
        <is>
          <t>Low-Med</t>
        </is>
      </c>
      <c r="P16" s="5" t="inlineStr">
        <is>
          <t>Whole-hog capable. Confirm inspection type + volume.</t>
        </is>
      </c>
    </row>
    <row r="17" ht="58" customHeight="1">
      <c r="A17" s="7" t="inlineStr">
        <is>
          <t>Thomas Brothers Abattoir</t>
        </is>
      </c>
      <c r="B17" s="5" t="inlineStr">
        <is>
          <t>North Wilkesboro, NC</t>
        </is>
      </c>
      <c r="C17" s="5" t="inlineStr">
        <is>
          <t>Slaughter</t>
        </is>
      </c>
      <c r="D17" s="5" t="inlineStr">
        <is>
          <t>unknown</t>
        </is>
      </c>
      <c r="E17" s="5" t="inlineStr">
        <is>
          <t>Yes</t>
        </is>
      </c>
      <c r="F17" s="5" t="inlineStr">
        <is>
          <t>unknown</t>
        </is>
      </c>
      <c r="G17" s="27" t="inlineStr">
        <is>
          <t>⚠ REPEAT humane-handling suspensions 2009, 2015, 2018 (AWI list; Est. 19511M)</t>
        </is>
      </c>
      <c r="H17" s="5" t="inlineStr">
        <is>
          <t>Not on public export lists — verify</t>
        </is>
      </c>
      <c r="I17" s="5" t="inlineStr">
        <is>
          <t>unknown</t>
        </is>
      </c>
      <c r="J17" s="5" t="inlineStr">
        <is>
          <t>Plausible</t>
        </is>
      </c>
      <c r="K17" s="5" t="inlineStr">
        <is>
          <t>Plausible</t>
        </is>
      </c>
      <c r="L17" s="5" t="inlineStr">
        <is>
          <t>Plausible</t>
        </is>
      </c>
      <c r="M17" s="5" t="inlineStr">
        <is>
          <t>(336) 667-1346</t>
        </is>
      </c>
      <c r="N17" s="26" t="inlineStr">
        <is>
          <t>CAUTION</t>
        </is>
      </c>
      <c r="O17" s="5" t="inlineStr">
        <is>
          <t>Low-Med</t>
        </is>
      </c>
      <c r="P17" s="5" t="inlineStr">
        <is>
          <t>Broad species range. See enforcement: REPEAT humane-handling suspensions 2009/2015/2018 (AWI list). Later acquired by Apple Brandy Beef — confirm current ownership/practices. Inspection/volume to verify.</t>
        </is>
      </c>
    </row>
    <row r="18" ht="58" customHeight="1">
      <c r="A18" s="7" t="inlineStr">
        <is>
          <t>Cruse Meat Processing</t>
        </is>
      </c>
      <c r="B18" s="5" t="inlineStr">
        <is>
          <t>Concord, NC</t>
        </is>
      </c>
      <c r="C18" s="5" t="inlineStr">
        <is>
          <t>Slaughter</t>
        </is>
      </c>
      <c r="D18" s="5" t="inlineStr">
        <is>
          <t>unknown</t>
        </is>
      </c>
      <c r="E18" s="5" t="inlineStr">
        <is>
          <t>Yes</t>
        </is>
      </c>
      <c r="F18" s="5" t="inlineStr">
        <is>
          <t>unknown</t>
        </is>
      </c>
      <c r="G18" s="5" t="inlineStr">
        <is>
          <t>None found in public sources</t>
        </is>
      </c>
      <c r="H18" s="5" t="inlineStr">
        <is>
          <t>Not on public export lists — verify</t>
        </is>
      </c>
      <c r="I18" s="5" t="inlineStr">
        <is>
          <t>unknown</t>
        </is>
      </c>
      <c r="J18" s="5" t="inlineStr">
        <is>
          <t>Plausible; skin-and-scald</t>
        </is>
      </c>
      <c r="K18" s="5" t="inlineStr">
        <is>
          <t>Plausible</t>
        </is>
      </c>
      <c r="L18" s="5" t="inlineStr">
        <is>
          <t>Plausible</t>
        </is>
      </c>
      <c r="M18" s="5" t="inlineStr">
        <is>
          <t>(704) 786-8616</t>
        </is>
      </c>
      <c r="N18" s="26" t="inlineStr">
        <is>
          <t>POSSIBLE</t>
        </is>
      </c>
      <c r="O18" s="5" t="inlineStr">
        <is>
          <t>Low-Med</t>
        </is>
      </c>
      <c r="P18" s="5" t="inlineStr">
        <is>
          <t>Small custom multi-species. Verify by phone.</t>
        </is>
      </c>
    </row>
    <row r="19" ht="58" customHeight="1">
      <c r="A19" s="7" t="inlineStr">
        <is>
          <t>Triad Meat Custom Processing</t>
        </is>
      </c>
      <c r="B19" s="5" t="inlineStr">
        <is>
          <t>Madison, NC</t>
        </is>
      </c>
      <c r="C19" s="5" t="inlineStr">
        <is>
          <t>Slaughter</t>
        </is>
      </c>
      <c r="D19" s="5" t="inlineStr">
        <is>
          <t>unknown</t>
        </is>
      </c>
      <c r="E19" s="5" t="inlineStr">
        <is>
          <t>Yes</t>
        </is>
      </c>
      <c r="F19" s="5" t="inlineStr">
        <is>
          <t>unknown</t>
        </is>
      </c>
      <c r="G19" s="27" t="inlineStr">
        <is>
          <t>⚠ FSIS suspension ~Dec 2025 (Est. M46085; cause unspecified in public snippets)</t>
        </is>
      </c>
      <c r="H19" s="5" t="inlineStr">
        <is>
          <t>Not on public export lists — verify</t>
        </is>
      </c>
      <c r="I19" s="5" t="inlineStr">
        <is>
          <t>AWA (welfare signal)</t>
        </is>
      </c>
      <c r="J19" s="5" t="inlineStr">
        <is>
          <t>Plausible</t>
        </is>
      </c>
      <c r="K19" s="5" t="inlineStr">
        <is>
          <t>Plausible</t>
        </is>
      </c>
      <c r="L19" s="5" t="inlineStr">
        <is>
          <t>Plausible</t>
        </is>
      </c>
      <c r="M19" s="5" t="inlineStr">
        <is>
          <t>(336) 949-9696</t>
        </is>
      </c>
      <c r="N19" s="26" t="inlineStr">
        <is>
          <t>CAUTION</t>
        </is>
      </c>
      <c r="O19" s="5" t="inlineStr">
        <is>
          <t>Low-Med</t>
        </is>
      </c>
      <c r="P19" s="5" t="inlineStr">
        <is>
          <t>AWA welfare signal, BUT see enforcement: FSIS suspension ~Dec 2025 (cause unspecified in public snippets) — confirm status. Now Triad Halal Meats. Confirm volume/inspection.</t>
        </is>
      </c>
    </row>
    <row r="20" ht="58" customHeight="1">
      <c r="A20" s="7" t="inlineStr">
        <is>
          <t>Wells, Jenkins &amp; Wells Abattoir</t>
        </is>
      </c>
      <c r="B20" s="5" t="inlineStr">
        <is>
          <t>Forest City, NC</t>
        </is>
      </c>
      <c r="C20" s="5" t="inlineStr">
        <is>
          <t>Slaughter</t>
        </is>
      </c>
      <c r="D20" s="5" t="inlineStr">
        <is>
          <t>unknown</t>
        </is>
      </c>
      <c r="E20" s="5" t="inlineStr">
        <is>
          <t>Yes</t>
        </is>
      </c>
      <c r="F20" s="5" t="inlineStr">
        <is>
          <t>unknown</t>
        </is>
      </c>
      <c r="G20" s="5" t="inlineStr">
        <is>
          <t>None found (the M7457A docs are a different WV plant)</t>
        </is>
      </c>
      <c r="H20" s="5" t="inlineStr">
        <is>
          <t>Not on public export lists — verify</t>
        </is>
      </c>
      <c r="I20" s="5" t="inlineStr">
        <is>
          <t>AWA (welfare signal)</t>
        </is>
      </c>
      <c r="J20" s="5" t="inlineStr">
        <is>
          <t>Plausible</t>
        </is>
      </c>
      <c r="K20" s="5" t="inlineStr">
        <is>
          <t>Plausible</t>
        </is>
      </c>
      <c r="L20" s="5" t="inlineStr">
        <is>
          <t>Plausible</t>
        </is>
      </c>
      <c r="M20" s="5" t="inlineStr">
        <is>
          <t>(828) 245-5544</t>
        </is>
      </c>
      <c r="N20" s="26" t="inlineStr">
        <is>
          <t>POSSIBLE</t>
        </is>
      </c>
      <c r="O20" s="5" t="inlineStr">
        <is>
          <t>Low-Med</t>
        </is>
      </c>
      <c r="P20" s="5" t="inlineStr">
        <is>
          <t>AWA welfare signal. Confirm volume/inspection.</t>
        </is>
      </c>
    </row>
    <row r="21" ht="58" customHeight="1">
      <c r="A21" s="7" t="inlineStr">
        <is>
          <t>Riverside Meats</t>
        </is>
      </c>
      <c r="B21" s="5" t="inlineStr">
        <is>
          <t>Trenton, NC</t>
        </is>
      </c>
      <c r="C21" s="5" t="inlineStr">
        <is>
          <t>CUSTOM-EXEMPT</t>
        </is>
      </c>
      <c r="D21" s="5" t="inlineStr">
        <is>
          <t>unknown</t>
        </is>
      </c>
      <c r="E21" s="5" t="inlineStr">
        <is>
          <t>Yes</t>
        </is>
      </c>
      <c r="F21" s="5" t="inlineStr">
        <is>
          <t>Custom-exempt
(NOT for resale)</t>
        </is>
      </c>
      <c r="G21" s="5" t="inlineStr">
        <is>
          <t>None found in public sources</t>
        </is>
      </c>
      <c r="H21" s="5" t="inlineStr">
        <is>
          <t>Custom-exempt; not export-eligible as-is — verify</t>
        </is>
      </c>
      <c r="I21" s="5" t="inlineStr">
        <is>
          <t>AWA (welfare signal)</t>
        </is>
      </c>
      <c r="J21" s="5" t="inlineStr">
        <is>
          <t>Limited (exempt status)</t>
        </is>
      </c>
      <c r="K21" s="5" t="inlineStr">
        <is>
          <t>Limited</t>
        </is>
      </c>
      <c r="L21" s="5" t="inlineStr">
        <is>
          <t>Limited</t>
        </is>
      </c>
      <c r="M21" s="5" t="inlineStr">
        <is>
          <t>(252) 448-4047
riversidemeatsnc.com</t>
        </is>
      </c>
      <c r="N21" s="26" t="inlineStr">
        <is>
          <t>CAUTION</t>
        </is>
      </c>
      <c r="O21" s="5" t="inlineStr">
        <is>
          <t>Med</t>
        </is>
      </c>
      <c r="P21" s="5" t="inlineStr">
        <is>
          <t>Custom-EXEMPT: product not for general commerce — FLAG. AWA. Would need to confirm any lawful path for our use.</t>
        </is>
      </c>
    </row>
    <row r="22" ht="20" customHeight="1">
      <c r="A22" s="3" t="inlineStr">
        <is>
          <t>NORTH CAROLINA — large plants (context / ceiling, generally excluded)</t>
        </is>
      </c>
    </row>
    <row r="23" ht="58" customHeight="1">
      <c r="A23" s="7" t="inlineStr">
        <is>
          <t>Smithfield Foods — Tar Heel</t>
        </is>
      </c>
      <c r="B23" s="5" t="inlineStr">
        <is>
          <t>Bladen County, NC</t>
        </is>
      </c>
      <c r="C23" s="5" t="inlineStr">
        <is>
          <t>Industrial packer</t>
        </is>
      </c>
      <c r="D23" s="5" t="inlineStr">
        <is>
          <t>~28,000-32,000 / DAY</t>
        </is>
      </c>
      <c r="E23" s="5" t="inlineStr">
        <is>
          <t>Yes</t>
        </is>
      </c>
      <c r="F23" s="5" t="inlineStr">
        <is>
          <t>USDA ✓</t>
        </is>
      </c>
      <c r="G23" s="5" t="inlineStr">
        <is>
          <t>2011 recall (undeclared dairy allergen); 2021-22 sanitation/welfare NRs (not a suspension). Est. M18079.</t>
        </is>
      </c>
      <c r="H23" s="5" t="inlineStr">
        <is>
          <t>FSIS export-certified (edible, general; documented exports). EU/APHIS-byproduct status unverified</t>
        </is>
      </c>
      <c r="I23" s="5" t="inlineStr">
        <is>
          <t>Industrial line-speed (~5,500 staff)</t>
        </is>
      </c>
      <c r="J23" s="5" t="inlineStr">
        <is>
          <t>No dedicated on-site rental noted</t>
        </is>
      </c>
      <c r="K23" s="5" t="inlineStr">
        <is>
          <t>No</t>
        </is>
      </c>
      <c r="L23" s="5" t="inlineStr">
        <is>
          <t>No</t>
        </is>
      </c>
      <c r="M23" s="5" t="inlineStr">
        <is>
          <t>—</t>
        </is>
      </c>
      <c r="N23" s="28" t="inlineStr">
        <is>
          <t>OUT / FLAG</t>
        </is>
      </c>
      <c r="O23" s="5" t="inlineStr">
        <is>
          <t>High</t>
        </is>
      </c>
      <c r="P23" s="5" t="inlineStr">
        <is>
          <t>World's largest pork plant. Defines the ceiling; excluded — far too large, no tissue-harvest access for us.</t>
        </is>
      </c>
    </row>
    <row r="24" ht="58" customHeight="1">
      <c r="A24" s="7" t="inlineStr">
        <is>
          <t>Smithfield / KC Sausage (sow plant)</t>
        </is>
      </c>
      <c r="B24" s="5" t="inlineStr">
        <is>
          <t>Godwin, NC</t>
        </is>
      </c>
      <c r="C24" s="5" t="inlineStr">
        <is>
          <t>Industrial sow slaughter</t>
        </is>
      </c>
      <c r="D24" s="5" t="inlineStr">
        <is>
          <t>~1,000 sows/DAY (~5-6k/wk)</t>
        </is>
      </c>
      <c r="E24" s="5" t="inlineStr">
        <is>
          <t>Yes (sows)</t>
        </is>
      </c>
      <c r="F24" s="5" t="inlineStr">
        <is>
          <t>USDA ✓</t>
        </is>
      </c>
      <c r="G24" s="5" t="inlineStr">
        <is>
          <t>None found for the Godwin plant specifically</t>
        </is>
      </c>
      <c r="H24" s="5" t="inlineStr">
        <is>
          <t>FSIS-inspected; export not confirmed</t>
        </is>
      </c>
      <c r="I24" s="5" t="inlineStr">
        <is>
          <t>Industrial / corporate-owned</t>
        </is>
      </c>
      <c r="J24" s="5" t="inlineStr">
        <is>
          <t>Sow/organ-relevant but industrial scale</t>
        </is>
      </c>
      <c r="K24" s="5" t="inlineStr">
        <is>
          <t>Unlikely</t>
        </is>
      </c>
      <c r="L24" s="5" t="inlineStr">
        <is>
          <t>Unlikely</t>
        </is>
      </c>
      <c r="M24" s="5" t="inlineStr">
        <is>
          <t>—</t>
        </is>
      </c>
      <c r="N24" s="26" t="inlineStr">
        <is>
          <t>CAUTION</t>
        </is>
      </c>
      <c r="O24" s="5" t="inlineStr">
        <is>
          <t>High</t>
        </is>
      </c>
      <c r="P24" s="5" t="inlineStr">
        <is>
          <t>Sow-specialized (organ-relevant) but industrial &amp; corporate; Model A on-site access unlikely. Over volume band. Included as the nearby active operation vs. defunct Martin's.</t>
        </is>
      </c>
    </row>
    <row r="25" ht="20" customHeight="1">
      <c r="A25" s="3" t="inlineStr">
        <is>
          <t>SOUTH CAROLINA — candidate slaughterhouses</t>
        </is>
      </c>
    </row>
    <row r="26" ht="58" customHeight="1">
      <c r="A26" s="7" t="inlineStr">
        <is>
          <t>Caughman's Meat Plant, Inc.</t>
        </is>
      </c>
      <c r="B26" s="5" t="inlineStr">
        <is>
          <t>Lexington, SC</t>
        </is>
      </c>
      <c r="C26" s="5" t="inlineStr">
        <is>
          <t>USDA slaughter + processing</t>
        </is>
      </c>
      <c r="D26" s="5" t="inlineStr">
        <is>
          <t>unknown (small-mid est.)</t>
        </is>
      </c>
      <c r="E26" s="5" t="inlineStr">
        <is>
          <t>Yes</t>
        </is>
      </c>
      <c r="F26" s="5" t="inlineStr">
        <is>
          <t>USDA ✓</t>
        </is>
      </c>
      <c r="G26" s="5" t="inlineStr">
        <is>
          <t>None found in public sources</t>
        </is>
      </c>
      <c r="H26" s="5" t="inlineStr">
        <is>
          <t>Not on public export lists — verify w/ APHIS VS</t>
        </is>
      </c>
      <c r="I26" s="5" t="inlineStr">
        <is>
          <t>Multi-generation family since ~1947 — strong culture signal</t>
        </is>
      </c>
      <c r="J26" s="5" t="inlineStr">
        <is>
          <t>Not noted</t>
        </is>
      </c>
      <c r="K26" s="5" t="inlineStr">
        <is>
          <t>Possible (space unverified)</t>
        </is>
      </c>
      <c r="L26" s="5" t="inlineStr">
        <is>
          <t>Good — established slaughter + custom</t>
        </is>
      </c>
      <c r="M26" s="5" t="inlineStr">
        <is>
          <t>803-356-3216
caughmans.com</t>
        </is>
      </c>
      <c r="N26" s="26" t="inlineStr">
        <is>
          <t>POSSIBLE</t>
        </is>
      </c>
      <c r="O26" s="5" t="inlineStr">
        <is>
          <t>Med</t>
        </is>
      </c>
      <c r="P26" s="5" t="inlineStr">
        <is>
          <t>Strongest verified SC USDA hog-slaughter + family option. On AMS buying-packer list. Confirm weekly volume + establishment #.</t>
        </is>
      </c>
    </row>
    <row r="27" ht="58" customHeight="1">
      <c r="A27" s="7" t="inlineStr">
        <is>
          <t>Knockout Butchery</t>
        </is>
      </c>
      <c r="B27" s="5" t="inlineStr">
        <is>
          <t>Roebuck, SC</t>
        </is>
      </c>
      <c r="C27" s="5" t="inlineStr">
        <is>
          <t>USDA custom processing</t>
        </is>
      </c>
      <c r="D27" s="5" t="inlineStr">
        <is>
          <t>unknown</t>
        </is>
      </c>
      <c r="E27" s="5" t="inlineStr">
        <is>
          <t>Yes (on-site slaughter unconfirmed)</t>
        </is>
      </c>
      <c r="F27" s="5" t="inlineStr">
        <is>
          <t>USDA ✓</t>
        </is>
      </c>
      <c r="G27" s="5" t="inlineStr">
        <is>
          <t>None found in public sources</t>
        </is>
      </c>
      <c r="H27" s="5" t="inlineStr">
        <is>
          <t>Not on public export lists — verify</t>
        </is>
      </c>
      <c r="I27" s="5" t="inlineStr">
        <is>
          <t>'Careful handling'; recent capacity investment (trade press)</t>
        </is>
      </c>
      <c r="J27" s="5" t="inlineStr">
        <is>
          <t>Not noted</t>
        </is>
      </c>
      <c r="K27" s="5" t="inlineStr">
        <is>
          <t>Ask</t>
        </is>
      </c>
      <c r="L27" s="5" t="inlineStr">
        <is>
          <t>Likely B</t>
        </is>
      </c>
      <c r="M27" s="5" t="inlineStr">
        <is>
          <t>864-410-7068
knockoutbutchery.com</t>
        </is>
      </c>
      <c r="N27" s="26" t="inlineStr">
        <is>
          <t>POSSIBLE</t>
        </is>
      </c>
      <c r="O27" s="5" t="inlineStr">
        <is>
          <t>Med</t>
        </is>
      </c>
      <c r="P27" s="5" t="inlineStr">
        <is>
          <t>USDA-inspected, serves Upstate farmers; growing. Confirm on-site HOG slaughter + volume.</t>
        </is>
      </c>
    </row>
    <row r="28" ht="58" customHeight="1">
      <c r="A28" s="7" t="inlineStr">
        <is>
          <t>Back Forty Butchery</t>
        </is>
      </c>
      <c r="B28" s="5" t="inlineStr">
        <is>
          <t>Hodges, SC</t>
        </is>
      </c>
      <c r="C28" s="5" t="inlineStr">
        <is>
          <t>USDA processing</t>
        </is>
      </c>
      <c r="D28" s="5" t="inlineStr">
        <is>
          <t>unknown (small)</t>
        </is>
      </c>
      <c r="E28" s="5" t="inlineStr">
        <is>
          <t>Yes (on-site slaughter unconfirmed)</t>
        </is>
      </c>
      <c r="F28" s="5" t="inlineStr">
        <is>
          <t>USDA ✓</t>
        </is>
      </c>
      <c r="G28" s="5" t="inlineStr">
        <is>
          <t>None found (Est. M46060)</t>
        </is>
      </c>
      <c r="H28" s="5" t="inlineStr">
        <is>
          <t>Not on public export lists — verify</t>
        </is>
      </c>
      <c r="I28" s="5" t="inlineStr">
        <is>
          <t>Not addressed</t>
        </is>
      </c>
      <c r="J28" s="5" t="inlineStr">
        <is>
          <t>Not noted</t>
        </is>
      </c>
      <c r="K28" s="5" t="inlineStr">
        <is>
          <t>Ask</t>
        </is>
      </c>
      <c r="L28" s="5" t="inlineStr">
        <is>
          <t>B if slaughter on-site</t>
        </is>
      </c>
      <c r="M28" s="5" t="inlineStr">
        <is>
          <t>864-374-3571</t>
        </is>
      </c>
      <c r="N28" s="26" t="inlineStr">
        <is>
          <t>POSSIBLE</t>
        </is>
      </c>
      <c r="O28" s="5" t="inlineStr">
        <is>
          <t>Low-Med</t>
        </is>
      </c>
      <c r="P28" s="5" t="inlineStr">
        <is>
          <t>Processes domestic pigs + cattle (+ seasonal deer). Confirm slaughter-vs-cut-only.</t>
        </is>
      </c>
    </row>
    <row r="29" ht="58" customHeight="1">
      <c r="A29" s="7" t="inlineStr">
        <is>
          <t>601 Deer and Hog Processors</t>
        </is>
      </c>
      <c r="B29" s="5" t="inlineStr">
        <is>
          <t>Fort Motte, SC</t>
        </is>
      </c>
      <c r="C29" s="5" t="inlineStr">
        <is>
          <t>Deer/game + hog (likely custom-exempt)</t>
        </is>
      </c>
      <c r="D29" s="5" t="inlineStr">
        <is>
          <t>unknown</t>
        </is>
      </c>
      <c r="E29" s="5" t="inlineStr">
        <is>
          <t>Yes</t>
        </is>
      </c>
      <c r="F29" s="5" t="inlineStr">
        <is>
          <t>likely custom-
exempt (flag)</t>
        </is>
      </c>
      <c r="G29" s="5" t="inlineStr">
        <is>
          <t>None found (business also appears closed)</t>
        </is>
      </c>
      <c r="H29" s="5" t="inlineStr">
        <is>
          <t>Not on public export lists — verify</t>
        </is>
      </c>
      <c r="I29" s="5" t="inlineStr">
        <is>
          <t>Family (McDonald, since 2001)</t>
        </is>
      </c>
      <c r="J29" s="5" t="inlineStr">
        <is>
          <t>Not noted</t>
        </is>
      </c>
      <c r="K29" s="5" t="inlineStr">
        <is>
          <t>If own kills</t>
        </is>
      </c>
      <c r="L29" s="5" t="inlineStr">
        <is>
          <t>B if USDA confirmed</t>
        </is>
      </c>
      <c r="M29" s="5" t="inlineStr">
        <is>
          <t>803-707-1040</t>
        </is>
      </c>
      <c r="N29" s="26" t="inlineStr">
        <is>
          <t>CAUTION</t>
        </is>
      </c>
      <c r="O29" s="5" t="inlineStr">
        <is>
          <t>Low-Med</t>
        </is>
      </c>
      <c r="P29" s="5" t="inlineStr">
        <is>
          <t>FLAG: USDA status unverified — game processors are often custom-exempt (product not for resale). One directory lists it CLOSED; verify still operating.</t>
        </is>
      </c>
    </row>
    <row r="30" ht="58" customHeight="1">
      <c r="A30" s="7" t="inlineStr">
        <is>
          <t>Palmetto Fresh Meats</t>
        </is>
      </c>
      <c r="B30" s="5" t="inlineStr">
        <is>
          <t>Aynor, SC</t>
        </is>
      </c>
      <c r="C30" s="5" t="inlineStr">
        <is>
          <t>USDA slaughter (Est. M47715) — SUSPENDED</t>
        </is>
      </c>
      <c r="D30" s="5" t="inlineStr">
        <is>
          <t>unknown</t>
        </is>
      </c>
      <c r="E30" s="5" t="inlineStr">
        <is>
          <t>Yes</t>
        </is>
      </c>
      <c r="F30" s="5" t="inlineStr">
        <is>
          <t>USDA ✓ but
SUSPENDED 2022</t>
        </is>
      </c>
      <c r="G30" s="27" t="inlineStr">
        <is>
          <t>⚠ Humane-handling NOS Feb &amp; Mar 2022 (Est. M47715); PETA sought criminal probe. Also the slaughter suspension.</t>
        </is>
      </c>
      <c r="H30" s="5" t="inlineStr">
        <is>
          <t>Not on public export lists — verify (slaughter susp. 2022)</t>
        </is>
      </c>
      <c r="I30" s="5" t="inlineStr">
        <is>
          <t>unknown</t>
        </is>
      </c>
      <c r="J30" s="5" t="inlineStr">
        <is>
          <t>Not noted</t>
        </is>
      </c>
      <c r="K30" s="5" t="inlineStr">
        <is>
          <t>Unknown</t>
        </is>
      </c>
      <c r="L30" s="5" t="inlineStr">
        <is>
          <t>Unknown</t>
        </is>
      </c>
      <c r="M30" s="5" t="inlineStr">
        <is>
          <t>—</t>
        </is>
      </c>
      <c r="N30" s="28" t="inlineStr">
        <is>
          <t>OUT / FLAG</t>
        </is>
      </c>
      <c r="O30" s="5" t="inlineStr">
        <is>
          <t>Med</t>
        </is>
      </c>
      <c r="P30" s="5" t="inlineStr">
        <is>
          <t>Slaughter inspection SUSPENDED Feb 2022 (FSIS notice). Was hog-capable USDA slaughter — confirm current operating/inspection status before pursuing.</t>
        </is>
      </c>
    </row>
    <row r="31" ht="20" customHeight="1">
      <c r="A31" s="3" t="inlineStr">
        <is>
          <t>TENNESSEE — USDA-inspected hog-slaughter shops (small custom; Model B)</t>
        </is>
      </c>
    </row>
    <row r="32" ht="58" customHeight="1">
      <c r="A32" s="7" t="inlineStr">
        <is>
          <t>Fayette Packing Co., Inc.</t>
        </is>
      </c>
      <c r="B32" s="5" t="inlineStr">
        <is>
          <t>Eads, TN (Memphis area)</t>
        </is>
      </c>
      <c r="C32" s="5" t="inlineStr">
        <is>
          <t>USDA slaughter + processing</t>
        </is>
      </c>
      <c r="D32" s="5" t="inlineStr">
        <is>
          <t>unknown (largest of TN group est.)</t>
        </is>
      </c>
      <c r="E32" s="5" t="inlineStr">
        <is>
          <t>Yes</t>
        </is>
      </c>
      <c r="F32" s="5" t="inlineStr">
        <is>
          <t>USDA ✓</t>
        </is>
      </c>
      <c r="G32" s="27" t="inlineStr">
        <is>
          <t>⚠ Humane-handling NOS Apr 2023 (Est. M6555 — 4 stun attempts on a cow); held in abeyance.</t>
        </is>
      </c>
      <c r="H32" s="5" t="inlineStr">
        <is>
          <t>Not on public export lists — verify w/ APHIS VS</t>
        </is>
      </c>
      <c r="I32" s="5" t="inlineStr">
        <is>
          <t>Family since 1952 (3 generations, Keith) — strong culture</t>
        </is>
      </c>
      <c r="J32" s="5" t="inlineStr">
        <is>
          <t>Not noted</t>
        </is>
      </c>
      <c r="K32" s="5" t="inlineStr">
        <is>
          <t>Possible</t>
        </is>
      </c>
      <c r="L32" s="5" t="inlineStr">
        <is>
          <t>Good B</t>
        </is>
      </c>
      <c r="M32" s="5" t="inlineStr">
        <is>
          <t>901-867-3826
fayettepackingco.com</t>
        </is>
      </c>
      <c r="N32" s="26" t="inlineStr">
        <is>
          <t>POSSIBLE</t>
        </is>
      </c>
      <c r="O32" s="5" t="inlineStr">
        <is>
          <t>Med</t>
        </is>
      </c>
      <c r="P32" s="5" t="inlineStr">
        <is>
          <t>Established multi-gen family; likely the highest-capacity of the TN group. Confirm weekly hogs.</t>
        </is>
      </c>
    </row>
    <row r="33" ht="58" customHeight="1">
      <c r="A33" s="7" t="inlineStr">
        <is>
          <t>Underground Slaughter / Processing</t>
        </is>
      </c>
      <c r="B33" s="5" t="inlineStr">
        <is>
          <t>Walling, TN</t>
        </is>
      </c>
      <c r="C33" s="5" t="inlineStr">
        <is>
          <t>USDA multi-species (growing)</t>
        </is>
      </c>
      <c r="D33" s="5" t="inlineStr">
        <is>
          <t>unknown</t>
        </is>
      </c>
      <c r="E33" s="5" t="inlineStr">
        <is>
          <t>Yes</t>
        </is>
      </c>
      <c r="F33" s="5" t="inlineStr">
        <is>
          <t>USDA ✓</t>
        </is>
      </c>
      <c r="G33" s="5" t="inlineStr">
        <is>
          <t>None found (a logged FOIA request is not an enforcement action)</t>
        </is>
      </c>
      <c r="H33" s="5" t="inlineStr">
        <is>
          <t>Not on public export lists — verify</t>
        </is>
      </c>
      <c r="I33" s="5" t="inlineStr">
        <is>
          <t>Growing processor</t>
        </is>
      </c>
      <c r="J33" s="5" t="inlineStr">
        <is>
          <t>Not noted</t>
        </is>
      </c>
      <c r="K33" s="5" t="inlineStr">
        <is>
          <t>Possible</t>
        </is>
      </c>
      <c r="L33" s="5" t="inlineStr">
        <is>
          <t>Good B</t>
        </is>
      </c>
      <c r="M33" s="5" t="inlineStr">
        <is>
          <t>931-330-6328</t>
        </is>
      </c>
      <c r="N33" s="26" t="inlineStr">
        <is>
          <t>POSSIBLE</t>
        </is>
      </c>
      <c r="O33" s="5" t="inlineStr">
        <is>
          <t>Med</t>
        </is>
      </c>
      <c r="P33" s="5" t="inlineStr">
        <is>
          <t>Growing capacity; also TN's exclusive USDA small-farmer poultry processor. Call re: hog capacity.</t>
        </is>
      </c>
    </row>
    <row r="34" ht="58" customHeight="1">
      <c r="A34" s="7" t="inlineStr">
        <is>
          <t>Cherry Meat Company</t>
        </is>
      </c>
      <c r="B34" s="5" t="inlineStr">
        <is>
          <t>Chapel Hill, TN</t>
        </is>
      </c>
      <c r="C34" s="5" t="inlineStr">
        <is>
          <t>USDA slaughter + processing</t>
        </is>
      </c>
      <c r="D34" s="5" t="inlineStr">
        <is>
          <t>~18/wk (80/month verified)</t>
        </is>
      </c>
      <c r="E34" s="5" t="inlineStr">
        <is>
          <t>Yes</t>
        </is>
      </c>
      <c r="F34" s="5" t="inlineStr">
        <is>
          <t>USDA ✓</t>
        </is>
      </c>
      <c r="G34" s="5" t="inlineStr">
        <is>
          <t>None found (very small; FSIS grant 2021)</t>
        </is>
      </c>
      <c r="H34" s="5" t="inlineStr">
        <is>
          <t>Not on public export lists — verify</t>
        </is>
      </c>
      <c r="I34" s="5" t="inlineStr">
        <is>
          <t>Family (Cherry / Bear Creek Farm) — strong culture</t>
        </is>
      </c>
      <c r="J34" s="5" t="inlineStr">
        <is>
          <t>Not noted</t>
        </is>
      </c>
      <c r="K34" s="5" t="inlineStr">
        <is>
          <t>Low-vol</t>
        </is>
      </c>
      <c r="L34" s="5" t="inlineStr">
        <is>
          <t>Good B (high-touch)</t>
        </is>
      </c>
      <c r="M34" s="5" t="inlineStr">
        <is>
          <t>931-364-7924
cherrymeat.com</t>
        </is>
      </c>
      <c r="N34" s="26" t="inlineStr">
        <is>
          <t>CAUTION
(below floor)</t>
        </is>
      </c>
      <c r="O34" s="5" t="inlineStr">
        <is>
          <t>High</t>
        </is>
      </c>
      <c r="P34" s="5" t="inlineStr">
        <is>
          <t>Verified ~80 hogs/MONTH (~18/wk) — FAR BELOW your 200/wk floor. Excellent for family-culture, high-touch, low-volume work; won't carry volume.</t>
        </is>
      </c>
    </row>
    <row r="35" ht="58" customHeight="1">
      <c r="A35" s="7" t="inlineStr">
        <is>
          <t>Other TN USDA hog shops (roll-up)</t>
        </is>
      </c>
      <c r="B35" s="5" t="inlineStr">
        <is>
          <t>various, TN</t>
        </is>
      </c>
      <c r="C35" s="5" t="inlineStr">
        <is>
          <t>USDA small custom slaughter</t>
        </is>
      </c>
      <c r="D35" s="5" t="inlineStr">
        <is>
          <t>unknown (tens–low 100s/wk est.)</t>
        </is>
      </c>
      <c r="E35" s="5" t="inlineStr">
        <is>
          <t>Yes</t>
        </is>
      </c>
      <c r="F35" s="5" t="inlineStr">
        <is>
          <t>USDA ✓</t>
        </is>
      </c>
      <c r="G35" s="27" t="inlineStr">
        <is>
          <t>⚠ Harris Country Meats (Greeneville, M20686): humane NOS 2024. Volunteer/412 (Lexington, M6561): humane NOS Nov 2024. Others: none found.</t>
        </is>
      </c>
      <c r="H35" s="5" t="inlineStr">
        <is>
          <t>Not on public export lists — verify each w/ APHIS VS</t>
        </is>
      </c>
      <c r="I35" s="5" t="inlineStr">
        <is>
          <t>Small family shops</t>
        </is>
      </c>
      <c r="J35" s="5" t="inlineStr">
        <is>
          <t>Not noted</t>
        </is>
      </c>
      <c r="K35" s="5" t="inlineStr">
        <is>
          <t>Possible</t>
        </is>
      </c>
      <c r="L35" s="5" t="inlineStr">
        <is>
          <t>B</t>
        </is>
      </c>
      <c r="M35" s="5" t="inlineStr">
        <is>
          <t>see notes →</t>
        </is>
      </c>
      <c r="N35" s="26" t="inlineStr">
        <is>
          <t>POSSIBLE</t>
        </is>
      </c>
      <c r="O35" s="5" t="inlineStr">
        <is>
          <t>Low-Med</t>
        </is>
      </c>
      <c r="P35" s="5"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20" customHeight="1">
      <c r="A36" s="3" t="inlineStr">
        <is>
          <t>VIRGINIA — strongest welfare bench (humane-certified USDA abattoirs; Model B)</t>
        </is>
      </c>
    </row>
    <row r="37" ht="58" customHeight="1">
      <c r="A37" s="7" t="inlineStr">
        <is>
          <t>EcoFriendly Foods, LLC</t>
        </is>
      </c>
      <c r="B37" s="5" t="inlineStr">
        <is>
          <t>Moneta, VA</t>
        </is>
      </c>
      <c r="C37" s="5" t="inlineStr">
        <is>
          <t>USDA + Certified Humane multi-species harvest</t>
        </is>
      </c>
      <c r="D37" s="5" t="inlineStr">
        <is>
          <t>unknown</t>
        </is>
      </c>
      <c r="E37" s="5" t="inlineStr">
        <is>
          <t>Yes</t>
        </is>
      </c>
      <c r="F37" s="5" t="inlineStr">
        <is>
          <t>USDA ✓</t>
        </is>
      </c>
      <c r="G37" s="5" t="inlineStr">
        <is>
          <t>None found in FSIS/recall/AWI — BUT reportedly CEASED operations / bankruptcy ~2020. Verify still operating!</t>
        </is>
      </c>
      <c r="H37" s="5" t="inlineStr">
        <is>
          <t>Not on public export lists — verify (and confirm still operating)</t>
        </is>
      </c>
      <c r="I37" s="5" t="inlineStr">
        <is>
          <t>CERTIFIED HUMANE — strongest welfare match in the study</t>
        </is>
      </c>
      <c r="J37" s="5" t="inlineStr">
        <is>
          <t>Custom multi-species harvest for outside producers</t>
        </is>
      </c>
      <c r="K37" s="5" t="inlineStr">
        <is>
          <t>Worth asking (A)</t>
        </is>
      </c>
      <c r="L37" s="5" t="inlineStr">
        <is>
          <t>Excellent B (already does custom harvest)</t>
        </is>
      </c>
      <c r="M37" s="5" t="inlineStr">
        <is>
          <t>540-525-0352
ecofriendly.com</t>
        </is>
      </c>
      <c r="N37" s="26" t="inlineStr">
        <is>
          <t>CAUTION</t>
        </is>
      </c>
      <c r="O37" s="5" t="inlineStr">
        <is>
          <t>Med</t>
        </is>
      </c>
      <c r="P37" s="5" t="inlineStr">
        <is>
          <t>USDA + Certified Humane; on welfare it's the best VA match on paper — BUT reportedly CEASED operations / filed bankruptcy ~2020. VERIFY it is still operating before anything else; if closed, T&amp;E Meats and Blue Ridge Meats are the live humane VA options.</t>
        </is>
      </c>
    </row>
    <row r="38" ht="58" customHeight="1">
      <c r="A38" s="7" t="inlineStr">
        <is>
          <t>T&amp;E Meats (True &amp; Essential)</t>
        </is>
      </c>
      <c r="B38" s="5" t="inlineStr">
        <is>
          <t>Harrisonburg, VA</t>
        </is>
      </c>
      <c r="C38" s="5" t="inlineStr">
        <is>
          <t>USDA + AWA slaughter + processing</t>
        </is>
      </c>
      <c r="D38" s="5" t="inlineStr">
        <is>
          <t>unknown (small)</t>
        </is>
      </c>
      <c r="E38" s="5" t="inlineStr">
        <is>
          <t>Yes (hogs Thu &amp; Fri)</t>
        </is>
      </c>
      <c r="F38" s="5" t="inlineStr">
        <is>
          <t>USDA ✓</t>
        </is>
      </c>
      <c r="G38" s="5" t="inlineStr">
        <is>
          <t>None found in public sources</t>
        </is>
      </c>
      <c r="H38" s="5" t="inlineStr">
        <is>
          <t>Not on public export lists — verify w/ APHIS VS</t>
        </is>
      </c>
      <c r="I38" s="5" t="inlineStr">
        <is>
          <t>AWA humane; mission-driven independent (Salatin/Cloud); site since 1930s — very strong</t>
        </is>
      </c>
      <c r="J38" s="5" t="inlineStr">
        <is>
          <t>Not noted</t>
        </is>
      </c>
      <c r="K38" s="5" t="inlineStr">
        <is>
          <t>Worth asking (A)</t>
        </is>
      </c>
      <c r="L38" s="5" t="inlineStr">
        <is>
          <t>Excellent B</t>
        </is>
      </c>
      <c r="M38" s="5" t="inlineStr">
        <is>
          <t>540-434-4415
temeats.com</t>
        </is>
      </c>
      <c r="N38" s="25" t="inlineStr">
        <is>
          <t>STRONG FIT</t>
        </is>
      </c>
      <c r="O38" s="5" t="inlineStr">
        <is>
          <t>High</t>
        </is>
      </c>
      <c r="P38" s="5" t="inlineStr">
        <is>
          <t>USDA + Animal Welfare Approved; slaughters hogs Thu/Fri (verified); uses Grandin methods; serves 60+ farms. Small — confirm weekly count.</t>
        </is>
      </c>
    </row>
    <row r="39" ht="58" customHeight="1">
      <c r="A39" s="7" t="inlineStr">
        <is>
          <t>Blue Ridge Meats of Front Royal</t>
        </is>
      </c>
      <c r="B39" s="5" t="inlineStr">
        <is>
          <t>Middletown, VA</t>
        </is>
      </c>
      <c r="C39" s="5" t="inlineStr">
        <is>
          <t>USDA + AWA abattoir</t>
        </is>
      </c>
      <c r="D39" s="5" t="inlineStr">
        <is>
          <t>unknown</t>
        </is>
      </c>
      <c r="E39" s="5" t="inlineStr">
        <is>
          <t>Yes</t>
        </is>
      </c>
      <c r="F39" s="5" t="inlineStr">
        <is>
          <t>USDA ✓</t>
        </is>
      </c>
      <c r="G39" s="5" t="inlineStr">
        <is>
          <t>None found (do NOT confuse with 'Blue Ridge Beef' pet-food recalls)</t>
        </is>
      </c>
      <c r="H39" s="5" t="inlineStr">
        <is>
          <t>Not on public export lists — verify</t>
        </is>
      </c>
      <c r="I39" s="5" t="inlineStr">
        <is>
          <t>AWA-approved (humane) since 2006</t>
        </is>
      </c>
      <c r="J39" s="5" t="inlineStr">
        <is>
          <t>Not noted</t>
        </is>
      </c>
      <c r="K39" s="5" t="inlineStr">
        <is>
          <t>Mobile-slaughter option</t>
        </is>
      </c>
      <c r="L39" s="5" t="inlineStr">
        <is>
          <t>Strong B</t>
        </is>
      </c>
      <c r="M39" s="5" t="inlineStr">
        <is>
          <t>540-636-6050
blueridgemeats.com</t>
        </is>
      </c>
      <c r="N39" s="25" t="inlineStr">
        <is>
          <t>STRONG FIT</t>
        </is>
      </c>
      <c r="O39" s="5" t="inlineStr">
        <is>
          <t>High</t>
        </is>
      </c>
      <c r="P39" s="5" t="inlineStr">
        <is>
          <t>USDA + AWA; full-service slaughter incl. pork + game; artisan focus; also offers mobile slaughter.</t>
        </is>
      </c>
    </row>
    <row r="40" ht="58" customHeight="1">
      <c r="A40" s="7" t="inlineStr">
        <is>
          <t>Fauquier's Finest Custom Meat</t>
        </is>
      </c>
      <c r="B40" s="5" t="inlineStr">
        <is>
          <t>Bealeton, VA</t>
        </is>
      </c>
      <c r="C40" s="5" t="inlineStr">
        <is>
          <t>USDA/FSIS slaughter + processing</t>
        </is>
      </c>
      <c r="D40" s="5" t="inlineStr">
        <is>
          <t>unknown</t>
        </is>
      </c>
      <c r="E40" s="5" t="inlineStr">
        <is>
          <t>Yes</t>
        </is>
      </c>
      <c r="F40" s="5" t="inlineStr">
        <is>
          <t>USDA ✓ (FSIS
slaughter listed)</t>
        </is>
      </c>
      <c r="G40" s="27" t="inlineStr">
        <is>
          <t>⚠ REPEAT humane-handling suspensions 2021 &amp; Dec 2024 (+ a 2018 violation). Est. M33940.</t>
        </is>
      </c>
      <c r="H40" s="5" t="inlineStr">
        <is>
          <t>FSIS Est. M33940; not on public export lists — verify</t>
        </is>
      </c>
      <c r="I40" s="5" t="inlineStr">
        <is>
          <t>Not noted</t>
        </is>
      </c>
      <c r="J40" s="5" t="inlineStr">
        <is>
          <t>Not noted</t>
        </is>
      </c>
      <c r="K40" s="5" t="inlineStr">
        <is>
          <t>Worth asking (A)</t>
        </is>
      </c>
      <c r="L40" s="5" t="inlineStr">
        <is>
          <t>Strong B</t>
        </is>
      </c>
      <c r="M40" s="5" t="inlineStr">
        <is>
          <t>540-439-7227
finestbutcher.com</t>
        </is>
      </c>
      <c r="N40" s="26" t="inlineStr">
        <is>
          <t>CAUTION</t>
        </is>
      </c>
      <c r="O40" s="5" t="inlineStr">
        <is>
          <t>Med-High</t>
        </is>
      </c>
      <c r="P40" s="5" t="inlineStr">
        <is>
          <t>FSIS-listed for BOTH slaughter &amp; processing incl. hogs — BUT see enforcement: REPEAT humane-handling suspensions (2018, 2021, Dec 2024). A pattern that cuts against the welfare requirement — vet carefully before pursuing.</t>
        </is>
      </c>
    </row>
    <row r="41" ht="58" customHeight="1">
      <c r="A41" s="7" t="inlineStr">
        <is>
          <t>Other VA USDA slaughter (roll-up)</t>
        </is>
      </c>
      <c r="B41" s="5" t="inlineStr">
        <is>
          <t>various, VA</t>
        </is>
      </c>
      <c r="C41" s="5" t="inlineStr">
        <is>
          <t>USDA slaughter</t>
        </is>
      </c>
      <c r="D41" s="5" t="inlineStr">
        <is>
          <t>unknown</t>
        </is>
      </c>
      <c r="E41" s="5" t="inlineStr">
        <is>
          <t>Yes (confirm per-facility)</t>
        </is>
      </c>
      <c r="F41" s="5" t="inlineStr">
        <is>
          <t>USDA ✓</t>
        </is>
      </c>
      <c r="G41" s="27" t="inlineStr">
        <is>
          <t>⚠ Donald's Meat Processing (Lexington, M39968): repeat humane suspension 2023 → 3-yr consent decision. Others: none found.</t>
        </is>
      </c>
      <c r="H41" s="5" t="inlineStr">
        <is>
          <t>Not on public export lists — verify each</t>
        </is>
      </c>
      <c r="I41" s="5" t="inlineStr">
        <is>
          <t>Varies</t>
        </is>
      </c>
      <c r="J41" s="5" t="inlineStr">
        <is>
          <t>Not noted</t>
        </is>
      </c>
      <c r="K41" s="5" t="inlineStr">
        <is>
          <t>Possible</t>
        </is>
      </c>
      <c r="L41" s="5" t="inlineStr">
        <is>
          <t>B</t>
        </is>
      </c>
      <c r="M41" s="5" t="inlineStr">
        <is>
          <t>see notes →</t>
        </is>
      </c>
      <c r="N41" s="26" t="inlineStr">
        <is>
          <t>POSSIBLE</t>
        </is>
      </c>
      <c r="O41" s="5" t="inlineStr">
        <is>
          <t>Low-Med</t>
        </is>
      </c>
      <c r="P41" s="5"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 customHeight="1">
      <c r="A42" s="7" t="inlineStr">
        <is>
          <t>VA state-inspected (roll-up)</t>
        </is>
      </c>
      <c r="B42" s="5" t="inlineStr">
        <is>
          <t>various, VA</t>
        </is>
      </c>
      <c r="C42" s="5" t="inlineStr">
        <is>
          <t>STATE-inspected slaughter (NOT USDA)</t>
        </is>
      </c>
      <c r="D42" s="5" t="inlineStr">
        <is>
          <t>unknown</t>
        </is>
      </c>
      <c r="E42" s="5" t="inlineStr">
        <is>
          <t>Yes</t>
        </is>
      </c>
      <c r="F42" s="5" t="inlineStr">
        <is>
          <t>STATE only
(NOT USDA)</t>
        </is>
      </c>
      <c r="G42" s="5" t="inlineStr">
        <is>
          <t>Not in FSIS federal enforcement data (state-inspected) — check VDACS state records</t>
        </is>
      </c>
      <c r="H42" s="5" t="inlineStr">
        <is>
          <t>State-inspected (not FSIS) — export path unlikely; verify</t>
        </is>
      </c>
      <c r="I42" s="5" t="inlineStr">
        <is>
          <t>Varies</t>
        </is>
      </c>
      <c r="J42" s="5" t="inlineStr">
        <is>
          <t>Not noted</t>
        </is>
      </c>
      <c r="K42" s="5" t="inlineStr">
        <is>
          <t>Possible</t>
        </is>
      </c>
      <c r="L42" s="5" t="inlineStr">
        <is>
          <t>B</t>
        </is>
      </c>
      <c r="M42" s="5" t="inlineStr">
        <is>
          <t>see notes →</t>
        </is>
      </c>
      <c r="N42" s="26" t="inlineStr">
        <is>
          <t>CAUTION</t>
        </is>
      </c>
      <c r="O42" s="5" t="inlineStr">
        <is>
          <t>Low</t>
        </is>
      </c>
      <c r="P42" s="5" t="inlineStr">
        <is>
          <t>NOT USDA-FSIS — FLAG for export/APHIS purposes: Adam's Custom Slaughter (Amissville); Ande's (Timberville); Griffith's (Luray); Green Valley (Monroe); Virginia Tech (Blacksburg).</t>
        </is>
      </c>
    </row>
    <row r="43" ht="20" customHeight="1">
      <c r="A43" s="3" t="inlineStr">
        <is>
          <t>IOWA &amp; MIDWEST — best fits (dedicated organ / tissue harvesters)</t>
        </is>
      </c>
    </row>
    <row r="44" ht="58" customHeight="1">
      <c r="A44" s="7" t="inlineStr">
        <is>
          <t>Midwest Research Swine (MRS)</t>
        </is>
      </c>
      <c r="B44" s="5" t="inlineStr">
        <is>
          <t>Glencoe / Gibbon, MN</t>
        </is>
      </c>
      <c r="C44" s="5" t="inlineStr">
        <is>
          <t>Porcine-ONLY abattoir + tissue-harvest facility</t>
        </is>
      </c>
      <c r="D44" s="5" t="inlineStr">
        <is>
          <t>~385 (20k/yr)</t>
        </is>
      </c>
      <c r="E44" s="5" t="inlineStr">
        <is>
          <t>Yes</t>
        </is>
      </c>
      <c r="F44" s="5" t="inlineStr">
        <is>
          <t>meat insp.
unconfirmed</t>
        </is>
      </c>
      <c r="G44" s="5" t="inlineStr">
        <is>
          <t>None found (small research facility; rarely in enforcement data)</t>
        </is>
      </c>
      <c r="H44" s="5" t="inlineStr">
        <is>
          <t>Holds APHIS Class B/R (AWA licenses); research-tissue export via APHIS VS/TRACES by-products channel NOT confirmed — verify (correct channel)</t>
        </is>
      </c>
      <c r="I44" s="5" t="inlineStr">
        <is>
          <t>Strong — closed herd, stringent QC; family (Theis, since 1978), ~20 staff</t>
        </is>
      </c>
      <c r="J44" s="5" t="inlineStr">
        <is>
          <t>YES — CORE BUSINESS: whole organs (decellularization), veins/arteries for implantation, mesh tissue, bio-samples; xeno/vaccine/stem-cell research</t>
        </is>
      </c>
      <c r="K44" s="5" t="inlineStr">
        <is>
          <t>Plausible (has harvest facility)</t>
        </is>
      </c>
      <c r="L44" s="5" t="inlineStr">
        <is>
          <t>Best fit — harvest to spec</t>
        </is>
      </c>
      <c r="M44" s="5" t="inlineStr">
        <is>
          <t>midwestresearchswine.com
(phone via site)</t>
        </is>
      </c>
      <c r="N44" s="25" t="inlineStr">
        <is>
          <t>STRONG FIT</t>
        </is>
      </c>
      <c r="O44" s="5" t="inlineStr">
        <is>
          <t>High</t>
        </is>
      </c>
      <c r="P44" s="5" t="inlineStr">
        <is>
          <t>THE standout — already exactly our operation at our scale. Clients incl. Mayo, U.Minnesota, Harvard, 40+ firms. Holds USDA APHIS Class B/R (AWA research licenses; distinct from an FSIS meat grant — confirm meat-inspection status).</t>
        </is>
      </c>
    </row>
    <row r="45" ht="58" customHeight="1">
      <c r="A45" s="7" t="inlineStr">
        <is>
          <t>Smithfield BioScience — Denison</t>
        </is>
      </c>
      <c r="B45" s="5" t="inlineStr">
        <is>
          <t>Denison, IA
(+ Monmouth IL, Milan MO)</t>
        </is>
      </c>
      <c r="C45" s="5" t="inlineStr">
        <is>
          <t>LARGE packer + biologics program</t>
        </is>
      </c>
      <c r="D45" s="5" t="inlineStr">
        <is>
          <t>~10,000 / DAY
(organ exception)</t>
        </is>
      </c>
      <c r="E45" s="5" t="inlineStr">
        <is>
          <t>Yes</t>
        </is>
      </c>
      <c r="F45" s="5" t="inlineStr">
        <is>
          <t>USDA ✓ (Est. 717)
export-cert</t>
        </is>
      </c>
      <c r="G45" s="27" t="inlineStr">
        <is>
          <t>⚠ REPEAT humane-handling: NOIE 2021 &amp; 2023; suspension 09/2024 (egregious). ASPCA line-speed concerns. Est. M717.</t>
        </is>
      </c>
      <c r="H45" s="5" t="inlineStr">
        <is>
          <t>FSIS export-certified (edible, Est. M717). Research-tissue via APHIS VS/TRACES unverified</t>
        </is>
      </c>
      <c r="I45" s="5" t="inlineStr">
        <is>
          <t>Industrial scale, but a structured biologics unit</t>
        </is>
      </c>
      <c r="J45" s="5" t="inlineStr">
        <is>
          <t>YES — full program: PELVIC (bladder, ovary); ABDOMINAL (kidney, liver, pancreas, sm. intestine, mucosa, peritoneum, pepsin lining); THORACIC (heart, valves, lung, aorta, pericardium, trachea); glands/skin/eyes</t>
        </is>
      </c>
      <c r="K45" s="5" t="inlineStr">
        <is>
          <t>Negotiate (industrial site)</t>
        </is>
      </c>
      <c r="L45" s="5" t="inlineStr">
        <is>
          <t>Strong — harvests in-house to customer spec</t>
        </is>
      </c>
      <c r="M45" s="5" t="inlineStr">
        <is>
          <t>smithfieldbioscience.com</t>
        </is>
      </c>
      <c r="N45" s="25" t="inlineStr">
        <is>
          <t>STRONG FIT
(organ exc.)</t>
        </is>
      </c>
      <c r="O45" s="5" t="inlineStr">
        <is>
          <t>High</t>
        </is>
      </c>
      <c r="P45" s="5" t="inlineStr">
        <is>
          <t>The large packer that QUALIFIES via your organ exception — covers all three target regions harvested to spec. Model B natural fit; Model A access would need negotiation.</t>
        </is>
      </c>
    </row>
    <row r="46" ht="20" customHeight="1">
      <c r="A46" s="3" t="inlineStr">
        <is>
          <t>IOWA &amp; MIDWEST — mid / small USDA hog plants (standard pork; Model A or B)</t>
        </is>
      </c>
    </row>
    <row r="47" ht="58" customHeight="1">
      <c r="A47" s="7" t="inlineStr">
        <is>
          <t>Lorentz Meats</t>
        </is>
      </c>
      <c r="B47" s="5" t="inlineStr">
        <is>
          <t>Cannon Falls, MN</t>
        </is>
      </c>
      <c r="C47" s="5" t="inlineStr">
        <is>
          <t>USDA niche processor (slaughter→retail)</t>
        </is>
      </c>
      <c r="D47" s="5" t="inlineStr">
        <is>
          <t>up to ~600 (120/day est.)</t>
        </is>
      </c>
      <c r="E47" s="5" t="inlineStr">
        <is>
          <t>Yes</t>
        </is>
      </c>
      <c r="F47" s="5" t="inlineStr">
        <is>
          <t>USDA ✓</t>
        </is>
      </c>
      <c r="G47" s="5" t="inlineStr">
        <is>
          <t>Recall 2010 (Listeria, cooked ham, Class I). No humane-handling action found.</t>
        </is>
      </c>
      <c r="H47" s="5" t="inlineStr">
        <is>
          <t>FSIS export-certified (edible, general; Est. M21207). EU-specific unverified</t>
        </is>
      </c>
      <c r="I47" s="5" t="inlineStr">
        <is>
          <t>Strong — explicit humane-slaughter positioning; family since 1968, ~140 staff; organic/grass-fed ties</t>
        </is>
      </c>
      <c r="J47" s="5" t="inlineStr">
        <is>
          <t>None known</t>
        </is>
      </c>
      <c r="K47" s="5" t="inlineStr">
        <is>
          <t>Good Model A host (fee-for-service, small-producer friendly)</t>
        </is>
      </c>
      <c r="L47" s="5" t="inlineStr">
        <is>
          <t>Plausible</t>
        </is>
      </c>
      <c r="M47" s="5" t="inlineStr">
        <is>
          <t>(507) 263-3618
lorentzmeats.com</t>
        </is>
      </c>
      <c r="N47" s="26" t="inlineStr">
        <is>
          <t>POSSIBLE</t>
        </is>
      </c>
      <c r="O47" s="5" t="inlineStr">
        <is>
          <t>Med</t>
        </is>
      </c>
      <c r="P47" s="5" t="inlineStr">
        <is>
          <t>Strong welfare &amp; culture signals (Nahunta-type). Confirm true pork-day cadence / weekly hog count.</t>
        </is>
      </c>
    </row>
    <row r="48" ht="58" customHeight="1">
      <c r="A48" s="7" t="inlineStr">
        <is>
          <t>SIG International, Iowa</t>
        </is>
      </c>
      <c r="B48" s="5" t="inlineStr">
        <is>
          <t>Boyden, IA</t>
        </is>
      </c>
      <c r="C48" s="5" t="inlineStr">
        <is>
          <t>USDA slaughter+processing (Est. M20748)</t>
        </is>
      </c>
      <c r="D48" s="5" t="inlineStr">
        <is>
          <t>unknown (small-mid)</t>
        </is>
      </c>
      <c r="E48" s="5" t="inlineStr">
        <is>
          <t>Yes</t>
        </is>
      </c>
      <c r="F48" s="5" t="inlineStr">
        <is>
          <t>USDA ✓
export-cert (Japan)</t>
        </is>
      </c>
      <c r="G48" s="5" t="inlineStr">
        <is>
          <t>None found in public sources</t>
        </is>
      </c>
      <c r="H48" s="5" t="inlineStr">
        <is>
          <t>FSIS export-certified (edible; exports to Japan — Japan ≠ EU). EU/APHIS unverified</t>
        </is>
      </c>
      <c r="I48" s="5" t="inlineStr">
        <is>
          <t>Berkshire / USDA-organic; export QC discipline</t>
        </is>
      </c>
      <c r="J48" s="5" t="inlineStr">
        <is>
          <t>None found</t>
        </is>
      </c>
      <c r="K48" s="5" t="inlineStr">
        <is>
          <t>Likely Model A host</t>
        </is>
      </c>
      <c r="L48" s="5" t="inlineStr">
        <is>
          <t>Plausible</t>
        </is>
      </c>
      <c r="M48" s="5" t="inlineStr">
        <is>
          <t>(712) 725-2172
sigiowa.com</t>
        </is>
      </c>
      <c r="N48" s="26" t="inlineStr">
        <is>
          <t>POSSIBLE</t>
        </is>
      </c>
      <c r="O48" s="5" t="inlineStr">
        <is>
          <t>Med</t>
        </is>
      </c>
      <c r="P48" s="5" t="inlineStr">
        <is>
          <t>Niche premium/Berkshire, organic, export-grade QC (Japan). Confirm weekly hog throughput.</t>
        </is>
      </c>
    </row>
    <row r="49" ht="58" customHeight="1">
      <c r="A49" s="7" t="inlineStr">
        <is>
          <t>Eickman's Processing Co.</t>
        </is>
      </c>
      <c r="B49" s="5" t="inlineStr">
        <is>
          <t>Seward, IL</t>
        </is>
      </c>
      <c r="C49" s="5" t="inlineStr">
        <is>
          <t>USDA (Est. M31776), small family plant</t>
        </is>
      </c>
      <c r="D49" s="5" t="inlineStr">
        <is>
          <t>small (low-100s/wk est.)</t>
        </is>
      </c>
      <c r="E49" s="5" t="inlineStr">
        <is>
          <t>Yes</t>
        </is>
      </c>
      <c r="F49" s="5" t="inlineStr">
        <is>
          <t>USDA ✓</t>
        </is>
      </c>
      <c r="G49" s="5" t="inlineStr">
        <is>
          <t>Recall 2010 (underprocessed canned). No humane-handling action found.</t>
        </is>
      </c>
      <c r="H49" s="5" t="inlineStr">
        <is>
          <t>Not on public export lists — verify</t>
        </is>
      </c>
      <c r="I49" s="5" t="inlineStr">
        <is>
          <t>Long-tenured family operation (~70 yrs, ~30 staff) — stable culture</t>
        </is>
      </c>
      <c r="J49" s="5" t="inlineStr">
        <is>
          <t>None</t>
        </is>
      </c>
      <c r="K49" s="5" t="inlineStr">
        <is>
          <t>Model A small batches</t>
        </is>
      </c>
      <c r="L49" s="5" t="inlineStr">
        <is>
          <t>Plausible</t>
        </is>
      </c>
      <c r="M49" s="5" t="inlineStr">
        <is>
          <t>(815) 247-8451
eickmans.com</t>
        </is>
      </c>
      <c r="N49" s="26" t="inlineStr">
        <is>
          <t>CAUTION</t>
        </is>
      </c>
      <c r="O49" s="5" t="inlineStr">
        <is>
          <t>Med</t>
        </is>
      </c>
      <c r="P49" s="5" t="inlineStr">
        <is>
          <t>Small custom-scale; stable family culture. 'Low-100s/wk' estimate likely BELOW the 200/wk floor — confirm weekly hog count before pursuing.</t>
        </is>
      </c>
    </row>
    <row r="50" ht="58" customHeight="1">
      <c r="A50" s="7" t="inlineStr">
        <is>
          <t>Ruthven Meat Processing</t>
        </is>
      </c>
      <c r="B50" s="5" t="inlineStr">
        <is>
          <t>Ruthven, IA</t>
        </is>
      </c>
      <c r="C50" s="5" t="inlineStr">
        <is>
          <t>USDA (Est. M2118), FSIS 'Very Small'</t>
        </is>
      </c>
      <c r="D50" s="5" t="inlineStr">
        <is>
          <t>low (very small)</t>
        </is>
      </c>
      <c r="E50" s="5" t="inlineStr">
        <is>
          <t>Hogs NOT
confirmed</t>
        </is>
      </c>
      <c r="F50" s="5" t="inlineStr">
        <is>
          <t>USDA ✓</t>
        </is>
      </c>
      <c r="G50" s="5" t="inlineStr">
        <is>
          <t>None found in public sources</t>
        </is>
      </c>
      <c r="H50" s="5" t="inlineStr">
        <is>
          <t>Not on public export lists — verify</t>
        </is>
      </c>
      <c r="I50" s="5" t="inlineStr">
        <is>
          <t>Small locker</t>
        </is>
      </c>
      <c r="J50" s="5" t="inlineStr">
        <is>
          <t>Unknown</t>
        </is>
      </c>
      <c r="K50" s="5" t="inlineStr">
        <is>
          <t>Model A small batch</t>
        </is>
      </c>
      <c r="L50" s="5" t="inlineStr">
        <is>
          <t>Plausible</t>
        </is>
      </c>
      <c r="M50" s="5" t="inlineStr">
        <is>
          <t>(712) 837-5334</t>
        </is>
      </c>
      <c r="N50" s="26" t="inlineStr">
        <is>
          <t>CAUTION</t>
        </is>
      </c>
      <c r="O50" s="5" t="inlineStr">
        <is>
          <t>Low-Med</t>
        </is>
      </c>
      <c r="P50" s="5" t="inlineStr">
        <is>
          <t>FSIS 'Very Small' volume class (fits low band) BUT swine slaughter NOT confirmed — verify it actually takes hogs before relying on it.</t>
        </is>
      </c>
    </row>
    <row r="51" ht="20" customHeight="1">
      <c r="A51" s="3" t="inlineStr">
        <is>
          <t>IOWA &amp; MIDWEST — large packers (excluded unless a biologics program is confirmed)</t>
        </is>
      </c>
    </row>
    <row r="52" ht="58" customHeight="1">
      <c r="A52" s="7" t="inlineStr">
        <is>
          <t>Sioux-Preme Packing / Perdue</t>
        </is>
      </c>
      <c r="B52" s="5" t="inlineStr">
        <is>
          <t>Sioux Center, IA</t>
        </is>
      </c>
      <c r="C52" s="5" t="inlineStr">
        <is>
          <t>Large niche pork (Est. M5537)</t>
        </is>
      </c>
      <c r="D52" s="5" t="inlineStr">
        <is>
          <t>~4,500 / DAY</t>
        </is>
      </c>
      <c r="E52" s="5" t="inlineStr">
        <is>
          <t>Yes</t>
        </is>
      </c>
      <c r="F52" s="5" t="inlineStr">
        <is>
          <t>USDA ✓
organic</t>
        </is>
      </c>
      <c r="G52" s="27" t="inlineStr">
        <is>
          <t>⚠ Humane-handling: NOIE 11/2020, suspension 04/2021 (Est. M5537); PETA sought charges (none filed on record).</t>
        </is>
      </c>
      <c r="H52" s="5" t="inlineStr">
        <is>
          <t>Export status not confirmed on public lists — verify</t>
        </is>
      </c>
      <c r="I52" s="5" t="inlineStr">
        <is>
          <t>NEGATIVE signal — an animal-rights group publicly sought charges over handling</t>
        </is>
      </c>
      <c r="J52" s="5" t="inlineStr">
        <is>
          <t>No biologics program found</t>
        </is>
      </c>
      <c r="K52" s="5" t="inlineStr">
        <is>
          <t>Unlikely</t>
        </is>
      </c>
      <c r="L52" s="5" t="inlineStr">
        <is>
          <t>Unlikely</t>
        </is>
      </c>
      <c r="M52" s="5" t="inlineStr">
        <is>
          <t>(712) 722-2555</t>
        </is>
      </c>
      <c r="N52" s="28" t="inlineStr">
        <is>
          <t>OUT / FLAG</t>
        </is>
      </c>
      <c r="O52" s="5" t="inlineStr">
        <is>
          <t>High</t>
        </is>
      </c>
      <c r="P52" s="5" t="inlineStr">
        <is>
          <t>Above volume band AND no organ program found. Public animal-welfare complaint on record — diligence flag.</t>
        </is>
      </c>
    </row>
    <row r="53" ht="58" customHeight="1">
      <c r="A53" s="7" t="inlineStr">
        <is>
          <t>Seaboard Triumph Foods</t>
        </is>
      </c>
      <c r="B53" s="5" t="inlineStr">
        <is>
          <t>Sioux City, IA</t>
        </is>
      </c>
      <c r="C53" s="5" t="inlineStr">
        <is>
          <t>Very large packer</t>
        </is>
      </c>
      <c r="D53" s="5" t="inlineStr">
        <is>
          <t>~10,000/DAY (up to 20-24k)</t>
        </is>
      </c>
      <c r="E53" s="5" t="inlineStr">
        <is>
          <t>Yes</t>
        </is>
      </c>
      <c r="F53" s="5" t="inlineStr">
        <is>
          <t>USDA ✓</t>
        </is>
      </c>
      <c r="G53" s="5" t="inlineStr">
        <is>
          <t>No FSIS humane/recall found. Non-FSIS press: labor / child-labor fines, emissions.</t>
        </is>
      </c>
      <c r="H53" s="5" t="inlineStr">
        <is>
          <t>FSIS export-certified (edible, general; Est. M46071). EU-specific unverified</t>
        </is>
      </c>
      <c r="I53" s="5" t="inlineStr">
        <is>
          <t>Industrial</t>
        </is>
      </c>
      <c r="J53" s="5" t="inlineStr">
        <is>
          <t>NOT confirmed (no research-organ program found)</t>
        </is>
      </c>
      <c r="K53" s="5" t="inlineStr">
        <is>
          <t>Unlikely</t>
        </is>
      </c>
      <c r="L53" s="5" t="inlineStr">
        <is>
          <t>Unlikely</t>
        </is>
      </c>
      <c r="M53" s="5" t="inlineStr">
        <is>
          <t>—</t>
        </is>
      </c>
      <c r="N53" s="28" t="inlineStr">
        <is>
          <t>OUT / FLAG</t>
        </is>
      </c>
      <c r="O53" s="5" t="inlineStr">
        <is>
          <t>High</t>
        </is>
      </c>
      <c r="P53" s="5" t="inlineStr">
        <is>
          <t>Too large; biologics program unconfirmed — do NOT assume one exists. Ask directly if pursuing.</t>
        </is>
      </c>
    </row>
    <row r="54" ht="58" customHeight="1">
      <c r="A54" s="7" t="inlineStr">
        <is>
          <t>Prestage Foods of Iowa</t>
        </is>
      </c>
      <c r="B54" s="5" t="inlineStr">
        <is>
          <t>Eagle Grove, IA</t>
        </is>
      </c>
      <c r="C54" s="5" t="inlineStr">
        <is>
          <t>Very large packer</t>
        </is>
      </c>
      <c r="D54" s="5" t="inlineStr">
        <is>
          <t>~10,000-12,000/DAY</t>
        </is>
      </c>
      <c r="E54" s="5" t="inlineStr">
        <is>
          <t>Yes</t>
        </is>
      </c>
      <c r="F54" s="5" t="inlineStr">
        <is>
          <t>USDA ✓</t>
        </is>
      </c>
      <c r="G54" s="27" t="inlineStr">
        <is>
          <t>⚠ REPEAT humane-handling suspensions 2020 &amp; 04/2022 (egregious). Est. M51340. PETA sought kill-floor cameras.</t>
        </is>
      </c>
      <c r="H54" s="5" t="inlineStr">
        <is>
          <t>Export-oriented; 'Certification–Export' not directly confirmed. EU unverified</t>
        </is>
      </c>
      <c r="I54" s="5" t="inlineStr">
        <is>
          <t>Industrial</t>
        </is>
      </c>
      <c r="J54" s="5" t="inlineStr">
        <is>
          <t>No organ program found</t>
        </is>
      </c>
      <c r="K54" s="5" t="inlineStr">
        <is>
          <t>Unlikely</t>
        </is>
      </c>
      <c r="L54" s="5" t="inlineStr">
        <is>
          <t>Unlikely</t>
        </is>
      </c>
      <c r="M54" s="5" t="inlineStr">
        <is>
          <t>—</t>
        </is>
      </c>
      <c r="N54" s="28" t="inlineStr">
        <is>
          <t>OUT / FLAG</t>
        </is>
      </c>
      <c r="O54" s="5" t="inlineStr">
        <is>
          <t>High</t>
        </is>
      </c>
      <c r="P54" s="5" t="inlineStr">
        <is>
          <t>Too large on volume alone; no organ program found.</t>
        </is>
      </c>
    </row>
    <row r="55" ht="58" customHeight="1">
      <c r="A55" s="7" t="inlineStr">
        <is>
          <t>Wholestone Farms</t>
        </is>
      </c>
      <c r="B55" s="5" t="inlineStr">
        <is>
          <t>Fremont, NE</t>
        </is>
      </c>
      <c r="C55" s="5" t="inlineStr">
        <is>
          <t>Very large packer</t>
        </is>
      </c>
      <c r="D55" s="5" t="inlineStr">
        <is>
          <t>~8,200/DAY (3M→5.6M/yr)</t>
        </is>
      </c>
      <c r="E55" s="5" t="inlineStr">
        <is>
          <t>Yes</t>
        </is>
      </c>
      <c r="F55" s="5" t="inlineStr">
        <is>
          <t>USDA ✓</t>
        </is>
      </c>
      <c r="G55" s="27" t="inlineStr">
        <is>
          <t>⚠ Humane-handling NOIE 12/2019 (Est. M46491; captive bolt on a condemned hog).</t>
        </is>
      </c>
      <c r="H55" s="5" t="inlineStr">
        <is>
          <t>Not confirmed on public lists — verify</t>
        </is>
      </c>
      <c r="I55" s="5" t="inlineStr">
        <is>
          <t>Industrial</t>
        </is>
      </c>
      <c r="J55" s="5" t="inlineStr">
        <is>
          <t>Biologics unknown</t>
        </is>
      </c>
      <c r="K55" s="5" t="inlineStr">
        <is>
          <t>Unlikely</t>
        </is>
      </c>
      <c r="L55" s="5" t="inlineStr">
        <is>
          <t>Unlikely</t>
        </is>
      </c>
      <c r="M55" s="5" t="inlineStr">
        <is>
          <t>—</t>
        </is>
      </c>
      <c r="N55" s="28" t="inlineStr">
        <is>
          <t>OUT / FLAG</t>
        </is>
      </c>
      <c r="O55" s="5" t="inlineStr">
        <is>
          <t>High</t>
        </is>
      </c>
      <c r="P55" s="5" t="inlineStr">
        <is>
          <t>Too large; biologics unknown.</t>
        </is>
      </c>
    </row>
    <row r="56" ht="58" customHeight="1">
      <c r="A56" s="7" t="inlineStr">
        <is>
          <t>Other large regional (context)</t>
        </is>
      </c>
      <c r="B56" s="5" t="inlineStr">
        <is>
          <t>IA / Midwest</t>
        </is>
      </c>
      <c r="C56" s="5" t="inlineStr">
        <is>
          <t>Very large packers</t>
        </is>
      </c>
      <c r="D56" s="5" t="inlineStr">
        <is>
          <t>&gt;3,000/wk</t>
        </is>
      </c>
      <c r="E56" s="5" t="inlineStr">
        <is>
          <t>Yes/mixed</t>
        </is>
      </c>
      <c r="F56" s="5" t="inlineStr">
        <is>
          <t>USDA ✓</t>
        </is>
      </c>
      <c r="G56" s="5" t="inlineStr">
        <is>
          <t>Varies by plant — check FSIS Quarterly Enforcement Reports per establishment #</t>
        </is>
      </c>
      <c r="H56" s="5" t="inlineStr">
        <is>
          <t>Varies — check FSIS 'Eligible Establishments by Country' + TRACES</t>
        </is>
      </c>
      <c r="I56" s="5" t="inlineStr">
        <is>
          <t>Industrial</t>
        </is>
      </c>
      <c r="J56" s="5" t="inlineStr">
        <is>
          <t>Not confirmed</t>
        </is>
      </c>
      <c r="K56" s="5" t="inlineStr">
        <is>
          <t>Unlikely</t>
        </is>
      </c>
      <c r="L56" s="5" t="inlineStr">
        <is>
          <t>Unlikely</t>
        </is>
      </c>
      <c r="M56" s="5" t="inlineStr">
        <is>
          <t>—</t>
        </is>
      </c>
      <c r="N56" s="28" t="inlineStr">
        <is>
          <t>OUT / FLAG</t>
        </is>
      </c>
      <c r="O56" s="5" t="inlineStr">
        <is>
          <t>Med</t>
        </is>
      </c>
      <c r="P56" s="5" t="inlineStr">
        <is>
          <t>Tyson Fresh Meats (Columbus Junction, Storm Lake, Waterloo IA); JBS/Cargill pork (Ottumwa/Marshalltown). Tyson Perry IA CLOSED 2024. Iowa Premium/National Beef (Tama) = BEEF — exclude. Biologics programs unverified.</t>
        </is>
      </c>
    </row>
    <row r="57" ht="20" customHeight="1">
      <c r="A57" s="3" t="inlineStr">
        <is>
          <t>ADJACENT SOURCES — research minipig suppliers (scale mismatch; comparator only)</t>
        </is>
      </c>
    </row>
    <row r="58" ht="58" customHeight="1">
      <c r="A58" s="7" t="inlineStr">
        <is>
          <t>Sinclair BioResources</t>
        </is>
      </c>
      <c r="B58" s="5" t="inlineStr">
        <is>
          <t>Auxvasse, MO</t>
        </is>
      </c>
      <c r="C58" s="5" t="inlineStr">
        <is>
          <t>Minipig supplier + bio-samples</t>
        </is>
      </c>
      <c r="D58" s="5" t="inlineStr">
        <is>
          <t>n/a (research minipigs)</t>
        </is>
      </c>
      <c r="E58" s="5" t="inlineStr">
        <is>
          <t>Yes (minipigs)</t>
        </is>
      </c>
      <c r="F58" s="5" t="inlineStr">
        <is>
          <t>unknown</t>
        </is>
      </c>
      <c r="G58" s="5" t="inlineStr">
        <is>
          <t>None found (research minipig facility)</t>
        </is>
      </c>
      <c r="H58" s="5" t="inlineStr">
        <is>
          <t>Research minipig; APHIS VS channel — verify</t>
        </is>
      </c>
      <c r="I58" s="5" t="inlineStr">
        <is>
          <t>Research-scale program</t>
        </is>
      </c>
      <c r="J58" s="5" t="inlineStr">
        <is>
          <t>Minipig tissue / bio-samples (Sinclair, Yucatan, Hanford)</t>
        </is>
      </c>
      <c r="K58" s="5" t="inlineStr">
        <is>
          <t>n/a</t>
        </is>
      </c>
      <c r="L58" s="5" t="inlineStr">
        <is>
          <t>Comparator only</t>
        </is>
      </c>
      <c r="M58" s="5" t="inlineStr">
        <is>
          <t>sinclairbioresources.com</t>
        </is>
      </c>
      <c r="N58" s="26" t="inlineStr">
        <is>
          <t>CAUTION</t>
        </is>
      </c>
      <c r="O58" s="5" t="inlineStr">
        <is>
          <t>Med</t>
        </is>
      </c>
      <c r="P58" s="5" t="inlineStr">
        <is>
          <t>MISMATCH: research minipigs at research scale, not 200-3,000/wk market hogs; tissue blocks would be minipig-sized. Useful as a comparator/specialty source, not a throughput abattoir.</t>
        </is>
      </c>
    </row>
  </sheetData>
  <autoFilter ref="A4:P4"/>
  <mergeCells count="12">
    <mergeCell ref="A51:P51"/>
    <mergeCell ref="A5:P5"/>
    <mergeCell ref="A46:P46"/>
    <mergeCell ref="A36:P36"/>
    <mergeCell ref="A57:P57"/>
    <mergeCell ref="A1:P1"/>
    <mergeCell ref="A8:P8"/>
    <mergeCell ref="A31:P31"/>
    <mergeCell ref="A22:P22"/>
    <mergeCell ref="A25:P25"/>
    <mergeCell ref="A43:P43"/>
    <mergeCell ref="A2:P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44" customWidth="1" min="3" max="3"/>
    <col width="26" customWidth="1" min="4" max="4"/>
    <col width="30" customWidth="1" min="5" max="5"/>
    <col width="30" customWidth="1" min="6" max="6"/>
    <col width="22" customWidth="1" min="7" max="7"/>
    <col width="8" customWidth="1" min="8" max="8"/>
    <col width="40" customWidth="1" min="9" max="9"/>
  </cols>
  <sheetData>
    <row r="1" ht="26" customHeight="1">
      <c r="A1" s="1" t="inlineStr">
        <is>
          <t>National Direct-Tissue Suppliers — buy finished porcine tissue/organs</t>
        </is>
      </c>
    </row>
    <row r="2" ht="30" customHeight="1">
      <c r="A2" s="2" t="inlineStr">
        <is>
          <t>Vendors that sell porcine research tissue directly (no slaughterhouse relationship). Prices are QUOTE-ONLY across this industry unless a real published figure is noted; blanks = not public.</t>
        </is>
      </c>
    </row>
    <row r="4" ht="40" customHeight="1">
      <c r="A4" s="6" t="inlineStr">
        <is>
          <t>Supplier</t>
        </is>
      </c>
      <c r="B4" s="6" t="inlineStr">
        <is>
          <t>Location</t>
        </is>
      </c>
      <c r="C4" s="6" t="inlineStr">
        <is>
          <t>Porcine tissue / organs offered
(pelvic · abdominal · thoracic)</t>
        </is>
      </c>
      <c r="D4" s="6" t="inlineStr">
        <is>
          <t>Formats &amp; freshness</t>
        </is>
      </c>
      <c r="E4" s="6" t="inlineStr">
        <is>
          <t>Price per tissue</t>
        </is>
      </c>
      <c r="F4" s="6" t="inlineStr">
        <is>
          <t>Regulatory / quality</t>
        </is>
      </c>
      <c r="G4" s="6" t="inlineStr">
        <is>
          <t>Contact</t>
        </is>
      </c>
      <c r="H4" s="6" t="inlineStr">
        <is>
          <t>Conf.</t>
        </is>
      </c>
      <c r="I4" s="6" t="inlineStr">
        <is>
          <t>EU-export fit (to Europe)</t>
        </is>
      </c>
    </row>
    <row r="5" ht="60" customHeight="1">
      <c r="A5" s="7" t="inlineStr">
        <is>
          <t>Animal Technologies, Inc.</t>
        </is>
      </c>
      <c r="B5" s="5" t="inlineStr">
        <is>
          <t>Tyler, TX</t>
        </is>
      </c>
      <c r="C5" s="5"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5" t="inlineStr">
        <is>
          <t>Whole organs, blocks &amp; plucks; fresh or frozen; overnight (24 hr) nationwide.</t>
        </is>
      </c>
      <c r="E5" s="5" t="inlineStr">
        <is>
          <t>QUOTE ONLY — no prices published.</t>
        </is>
      </c>
      <c r="F5" s="5" t="inlineStr">
        <is>
          <t>In business since 1986; US abattoir-sourced (specific certs not stated on pages read).</t>
        </is>
      </c>
      <c r="G5" s="5" t="inlineStr">
        <is>
          <t>animaltechnologies.com · 903-592-1363</t>
        </is>
      </c>
      <c r="H5" s="5" t="inlineStr">
        <is>
          <t>High</t>
        </is>
      </c>
      <c r="I5" s="29" t="inlineStr">
        <is>
          <t>RISKY — USDA-abattoir sourced but no ISO/APHIS/TRACES or export docs; must ask</t>
        </is>
      </c>
    </row>
    <row r="6" ht="60" customHeight="1">
      <c r="A6" s="7" t="inlineStr">
        <is>
          <t>Animal Biotech Industries (ABI)</t>
        </is>
      </c>
      <c r="B6" s="5" t="inlineStr">
        <is>
          <t>Harleysville, PA</t>
        </is>
      </c>
      <c r="C6" s="5"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5" t="inlineStr">
        <is>
          <t>Single, paired, or custom blocks; fresh/frozen implied.</t>
        </is>
      </c>
      <c r="E6" s="5" t="inlineStr">
        <is>
          <t>QUOTE ONLY — PDF catalog lists items, not prices.</t>
        </is>
      </c>
      <c r="F6" s="5" t="inlineStr">
        <is>
          <t>Since 1990; USDA federally-inspected abattoir sourcing; markets 'ethically harvested'.</t>
        </is>
      </c>
      <c r="G6" s="5" t="inlineStr">
        <is>
          <t>animalbiotech.com · 215-766-7413</t>
        </is>
      </c>
      <c r="H6" s="5" t="inlineStr">
        <is>
          <t>High</t>
        </is>
      </c>
      <c r="I6" s="29" t="inlineStr">
        <is>
          <t>RISKY — USDA-inspected sourcing + Class B, but no ISO/APHIS/export docs published</t>
        </is>
      </c>
    </row>
    <row r="7" ht="60" customHeight="1">
      <c r="A7" s="7" t="inlineStr">
        <is>
          <t>Innovative Research, Inc.</t>
        </is>
      </c>
      <c r="B7" s="5" t="inlineStr">
        <is>
          <t>Novi, MI (HQ med-conf.)</t>
        </is>
      </c>
      <c r="C7" s="5"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5" t="inlineStr">
        <is>
          <t>Frozen (-20/-80, dry ice) or Fresh in saline/PBS (wet ice); adult/juvenile/fetal.</t>
        </is>
      </c>
      <c r="E7" s="5" t="inlineStr">
        <is>
          <t>PUBLISHED — single organs from $141 (base config); PELVIC BLOCK from $582. Fresh/added vessels/small qty raise it; volume lowers it.</t>
        </is>
      </c>
      <c r="F7" s="5" t="inlineStr">
        <is>
          <t>US-origin abattoir; in-vitro research/mfg use only.</t>
        </is>
      </c>
      <c r="G7" s="5" t="inlineStr">
        <is>
          <t>innov-research.com</t>
        </is>
      </c>
      <c r="H7" s="5" t="inlineStr">
        <is>
          <t>High
(prices)</t>
        </is>
      </c>
      <c r="I7" s="30" t="inlineStr">
        <is>
          <t>LIKELY BLOCKER (device) — 'research use only, not for human/animal use' RUO labeling; no export docs</t>
        </is>
      </c>
    </row>
    <row r="8" ht="60" customHeight="1">
      <c r="A8" s="7" t="inlineStr">
        <is>
          <t>Tissue Source, LLC</t>
        </is>
      </c>
      <c r="B8" s="5" t="inlineStr">
        <is>
          <t>Frankfort, IN</t>
        </is>
      </c>
      <c r="C8" s="5" t="inlineStr">
        <is>
          <t>Custom porcine for device/biologics/pharma/education. Thoracic: heart, valves, lungs, trachea, pericardium, pleura. Abdominal: liver, pancreas, spleen, kidney, gallbladder, stomach, intestines. Pelvic: bladder, uterus, ovaries, testicles, vagina, penis. Overnight shipping.</t>
        </is>
      </c>
      <c r="D8" s="5" t="inlineStr">
        <is>
          <t>Custom; whole organ vs block per request; overnight.</t>
        </is>
      </c>
      <c r="E8" s="5" t="inlineStr">
        <is>
          <t>QUOTE ONLY.</t>
        </is>
      </c>
      <c r="F8" s="5" t="inlineStr">
        <is>
          <t>STRONG QMS: ISO 13485 + ISO 9001; ISO 22442-2, 21 CFR 820 &amp; 58; USDA Class A Breeders License; ante-/post-mortem inspection. Woman-owned, since 2007.</t>
        </is>
      </c>
      <c r="G8" s="5" t="inlineStr">
        <is>
          <t>tissue-source.com · 765-746-6679</t>
        </is>
      </c>
      <c r="H8" s="5" t="inlineStr">
        <is>
          <t>High</t>
        </is>
      </c>
      <c r="I8" s="31" t="inlineStr">
        <is>
          <t>OK (best) — ISO 13485 + 22442-2, USDA Class A, animal traceability; confirm establishment APHIS/TRACES listing</t>
        </is>
      </c>
    </row>
    <row r="9" ht="60" customHeight="1">
      <c r="A9" s="7" t="inlineStr">
        <is>
          <t>Sustainable Swine Resources (SSR)</t>
        </is>
      </c>
      <c r="B9" s="5" t="inlineStr">
        <is>
          <t>WI (Johnsonville LLC)</t>
        </is>
      </c>
      <c r="C9" s="5" t="inlineStr">
        <is>
          <t>Full porcine range: tissues, blood, bone, cartilage, fluids, glands, membranes, organs, nerves, ligaments. Named: stomach, liver, heart, thyroid, pancreas, small intestine, pericardium, peritoneal membrane, leg bones. Custom to spec.</t>
        </is>
      </c>
      <c r="D9" s="5" t="inlineStr">
        <is>
          <t>Custom collection; fresh/frozen.</t>
        </is>
      </c>
      <c r="E9" s="5" t="inlineStr">
        <is>
          <t>QUOTE ONLY.</t>
        </is>
      </c>
      <c r="F9" s="5" t="inlineStr">
        <is>
          <t>30+ years; packer-integrated (Johnsonville).</t>
        </is>
      </c>
      <c r="G9" s="5" t="inlineStr">
        <is>
          <t>ssr-solutions.com</t>
        </is>
      </c>
      <c r="H9" s="5" t="inlineStr">
        <is>
          <t>High</t>
        </is>
      </c>
      <c r="I9" s="31" t="inlineStr">
        <is>
          <t>OK (strong) — ISO 22442-2, USDA/SQF, PQA+ farms, full traceability; confirm ISO 13485 + TRACES</t>
        </is>
      </c>
    </row>
    <row r="10" ht="60" customHeight="1">
      <c r="A10" s="7" t="inlineStr">
        <is>
          <t>Smithfield BioScience</t>
        </is>
      </c>
      <c r="B10" s="5" t="inlineStr">
        <is>
          <t>Smithfield, VA</t>
        </is>
      </c>
      <c r="C10" s="5" t="inlineStr">
        <is>
          <t>Thoracic: aorta, heart, valves, lungs, pericardium, trachea. Abdominal: liver, pancreas, small intestine, stomach/pepsin lining. Pelvic: kidney, ovary. Also brains, eyes, feet, gullet, peritoneum, pituitary, skin, tendon, thyroid.</t>
        </is>
      </c>
      <c r="D10" s="5" t="inlineStr">
        <is>
          <t>Harvested by trained specialists from market hogs/sows; fresh or frozen; large packer-integrated supply.</t>
        </is>
      </c>
      <c r="E10" s="5" t="inlineStr">
        <is>
          <t>QUOTE ONLY.</t>
        </is>
      </c>
      <c r="F10" s="5" t="inlineStr">
        <is>
          <t>Smithfield Foods packer network (USDA-inspected plants).</t>
        </is>
      </c>
      <c r="G10" s="5" t="inlineStr">
        <is>
          <t>smithfieldbioscience.com</t>
        </is>
      </c>
      <c r="H10" s="5" t="inlineStr">
        <is>
          <t>High</t>
        </is>
      </c>
      <c r="I10" s="31" t="inlineStr">
        <is>
          <t>OK (best) — vertically integrated, already exports heparin to EP; confirm they supply tissue blocks + VS certs</t>
        </is>
      </c>
    </row>
    <row r="11" ht="60" customHeight="1">
      <c r="A11" s="7" t="inlineStr">
        <is>
          <t>WG Biomedical (WG Provisions)</t>
        </is>
      </c>
      <c r="B11" s="5" t="inlineStr">
        <is>
          <t>Iowa</t>
        </is>
      </c>
      <c r="C11" s="5" t="inlineStr">
        <is>
          <t>Surgical-training/organ focus, 12 porcine products: PIG PLUCK (heart-lung), heart, lungs, heart valves, pericardial sacs, carotid artery, iliac vessels, pancreas, spleen, thyroid, pig head, mandibles.</t>
        </is>
      </c>
      <c r="D11" s="5" t="inlineStr">
        <is>
          <t>Fresh or frozen.</t>
        </is>
      </c>
      <c r="E11" s="5" t="inlineStr">
        <is>
          <t>QUOTE ONLY — every item is 'Request a Quote'.</t>
        </is>
      </c>
      <c r="F11" s="5" t="inlineStr">
        <is>
          <t>Provisions/packer-affiliated (Iowa).</t>
        </is>
      </c>
      <c r="G11" s="5" t="inlineStr">
        <is>
          <t>wgbiomedical.com · 515-233-4774</t>
        </is>
      </c>
      <c r="H11" s="5" t="inlineStr">
        <is>
          <t>High</t>
        </is>
      </c>
      <c r="I11" s="29" t="inlineStr">
        <is>
          <t>RISKY — device-supply track record but multi-source broker; must document APHIS/TRACES</t>
        </is>
      </c>
    </row>
    <row r="12" ht="60" customHeight="1">
      <c r="A12" s="7" t="inlineStr">
        <is>
          <t>LAMPIRE Biological Labs</t>
        </is>
      </c>
      <c r="B12" s="5" t="inlineStr">
        <is>
          <t>Pipersville, PA</t>
        </is>
      </c>
      <c r="C12" s="5" t="inlineStr">
        <is>
          <t>Custom abattoir collection of porcine tissues, glands, organs, fluids (PA, near USDA porcine abattoirs). Custom prep emphasis; also porcine hide/collagen.</t>
        </is>
      </c>
      <c r="D12" s="5" t="inlineStr">
        <is>
          <t>Media-perfused (your media), snap-frozen in LN2, or lyophilized.</t>
        </is>
      </c>
      <c r="E12" s="5" t="inlineStr">
        <is>
          <t>QUOTE ONLY.</t>
        </is>
      </c>
      <c r="F12" s="5" t="inlineStr">
        <is>
          <t>Established biological labs; abattoir-sourced.</t>
        </is>
      </c>
      <c r="G12" s="5" t="inlineStr">
        <is>
          <t>lampire.com · 215-795-2838</t>
        </is>
      </c>
      <c r="H12" s="5" t="inlineStr">
        <is>
          <t>High</t>
        </is>
      </c>
      <c r="I12" s="29" t="inlineStr">
        <is>
          <t>RISKY — 'worldwide' supply but no ISO/APHIS/TRACES published; must ask</t>
        </is>
      </c>
    </row>
    <row r="13" ht="60" customHeight="1">
      <c r="A13" s="7" t="inlineStr">
        <is>
          <t>Pel-Freez Biologicals</t>
        </is>
      </c>
      <c r="B13" s="5" t="inlineStr">
        <is>
          <t>Rogers, AR</t>
        </is>
      </c>
      <c r="C13" s="5" t="inlineStr">
        <is>
          <t>Long-established animal organs/glands/tissues; whole organs, glands, tissues. Porcine incl. thyroid &amp; other organs. Pigs ~200 lb / 6-8 mo; tissue chilled then frozen -20 within 2-6 hr of slaughter.</t>
        </is>
      </c>
      <c r="D13" s="5" t="inlineStr">
        <is>
          <t>Whole organ/gland; frozen (dry ice) or wet ice; 2-4 wk lead.</t>
        </is>
      </c>
      <c r="E13" s="5" t="inlineStr">
        <is>
          <t>PUBLISHED (partial) — Porcine Thyroid #59452 from $361. Other porcine organ prices not individually verified.</t>
        </is>
      </c>
      <c r="F13" s="5" t="inlineStr">
        <is>
          <t>ISO 9001 certified.</t>
        </is>
      </c>
      <c r="G13" s="5" t="inlineStr">
        <is>
          <t>pel-freez.com</t>
        </is>
      </c>
      <c r="H13" s="5" t="inlineStr">
        <is>
          <t>High
(thyroid)</t>
        </is>
      </c>
      <c r="I13" s="29" t="inlineStr">
        <is>
          <t>RISKY (porcine unverified) — documented USDA on-site inspection is for RABBIT; confirm porcine origin</t>
        </is>
      </c>
    </row>
    <row r="14" ht="60" customHeight="1">
      <c r="A14" s="7" t="inlineStr">
        <is>
          <t>BioChemed Services</t>
        </is>
      </c>
      <c r="B14" s="5" t="inlineStr">
        <is>
          <t>Winchester, VA</t>
        </is>
      </c>
      <c r="C14" s="5" t="inlineStr">
        <is>
          <t>Swine tissue list: adipose, bone, brain, heart, colon, eye, liver, kidney, intestine (lg/sm), lung, nerve, ovaries, pancreas, skeletal muscle, skin, spleen, testes, thyroid, uterus. Custom to spec.</t>
        </is>
      </c>
      <c r="D14" s="5" t="inlineStr">
        <is>
          <t>Custom to spec.</t>
        </is>
      </c>
      <c r="E14" s="5" t="inlineStr">
        <is>
          <t>QUOTE ONLY ('give specs, we quote').</t>
        </is>
      </c>
      <c r="F14" s="5" t="inlineStr">
        <is>
          <t>Custom biologicals supplier.</t>
        </is>
      </c>
      <c r="G14" s="5" t="inlineStr">
        <is>
          <t>biochemed.com · 540-667-3348</t>
        </is>
      </c>
      <c r="H14" s="5" t="inlineStr">
        <is>
          <t>High</t>
        </is>
      </c>
      <c r="I14" s="29" t="inlineStr">
        <is>
          <t>RISKY — US USDA sourcing but 'research/diagnostic/mfg only'; no export docs</t>
        </is>
      </c>
    </row>
    <row r="15" ht="60" customHeight="1">
      <c r="A15" s="7" t="inlineStr">
        <is>
          <t>BioIVT</t>
        </is>
      </c>
      <c r="B15" s="5" t="inlineStr">
        <is>
          <t>Westbury, NY (global)</t>
        </is>
      </c>
      <c r="C15" s="5" t="inlineStr">
        <is>
          <t>Large biospecimen provider; porcine tissues for translational research &amp; surgical models; online 'Configure Pig Tissue' tool. In-vitro research use only.</t>
        </is>
      </c>
      <c r="D15" s="5" t="inlineStr">
        <is>
          <t>Customized; fresh/frozen.</t>
        </is>
      </c>
      <c r="E15" s="5" t="inlineStr">
        <is>
          <t>QUOTE ONLY — customized pricing &amp; lead times.</t>
        </is>
      </c>
      <c r="F15" s="5" t="inlineStr">
        <is>
          <t>Major biospecimen QMS provider.</t>
        </is>
      </c>
      <c r="G15" s="5" t="inlineStr">
        <is>
          <t>bioivt.com</t>
        </is>
      </c>
      <c r="H15" s="5" t="inlineStr">
        <is>
          <t>High</t>
        </is>
      </c>
      <c r="I15" s="30" t="inlineStr">
        <is>
          <t>LIKELY BLOCKER / unknown — no published human-food-chain/APHIS basis; RUO-oriented</t>
        </is>
      </c>
    </row>
    <row r="16" ht="60" customHeight="1">
      <c r="A16" s="7" t="inlineStr">
        <is>
          <t>Sierra for Medical Science</t>
        </is>
      </c>
      <c r="B16" s="5" t="inlineStr">
        <is>
          <t>Whittier, CA area</t>
        </is>
      </c>
      <c r="C16" s="5" t="inlineStr">
        <is>
          <t>Biological/animal tissue incl. porcine to universities, hospitals, device makers for diagnostics, product training, demonstration, QC. Custom protocols; on-site lab suites.</t>
        </is>
      </c>
      <c r="D16" s="5" t="inlineStr">
        <is>
          <t>Custom protocols; fresh/frozen.</t>
        </is>
      </c>
      <c r="E16" s="5" t="inlineStr">
        <is>
          <t>QUOTE ONLY.</t>
        </is>
      </c>
      <c r="F16" s="5" t="inlineStr">
        <is>
          <t>Since 1985.</t>
        </is>
      </c>
      <c r="G16" s="5" t="inlineStr">
        <is>
          <t>sierra-medical.com</t>
        </is>
      </c>
      <c r="H16" s="5" t="inlineStr">
        <is>
          <t>Med-High</t>
        </is>
      </c>
      <c r="I16" s="29" t="inlineStr">
        <is>
          <t>RISKY — device customers worldwide but no published traceability/cert framework</t>
        </is>
      </c>
    </row>
    <row r="17" ht="60" customHeight="1">
      <c r="A17" s="7" t="inlineStr">
        <is>
          <t>Midwest Research Swine (MRS)</t>
        </is>
      </c>
      <c r="B17" s="5" t="inlineStr">
        <is>
          <t>Minnesota</t>
        </is>
      </c>
      <c r="C17" s="5" t="inlineStr">
        <is>
          <t>Porcine-only abattoir; supplies LIVE research swine AND traceable porcine tissues/organs/bio-samples (High Health Herd Yorkshire-Landrace-Duroc). Order by weight/sex/age. Positions as economical.</t>
        </is>
      </c>
      <c r="D17" s="5" t="inlineStr">
        <is>
          <t>Fresh; order to spec.</t>
        </is>
      </c>
      <c r="E17" s="5" t="inlineStr">
        <is>
          <t>QUOTE ONLY — positions as low-cost.</t>
        </is>
      </c>
      <c r="F17" s="5" t="inlineStr">
        <is>
          <t>Porcine-only abattoir; High Health Herd.</t>
        </is>
      </c>
      <c r="G17" s="5" t="inlineStr">
        <is>
          <t>midwestresearchswine.com</t>
        </is>
      </c>
      <c r="H17" s="5" t="inlineStr">
        <is>
          <t>High</t>
        </is>
      </c>
      <c r="I17" s="31" t="inlineStr">
        <is>
          <t>OK (strong) — ISO 13485 + 22442-2, USDA Class B/R, own harvest, ships internationally; confirm TRACES listing</t>
        </is>
      </c>
    </row>
    <row r="18" ht="60" customHeight="1">
      <c r="A18" s="7" t="inlineStr">
        <is>
          <t>Premier BioSource (ex-S&amp;S Farms)</t>
        </is>
      </c>
      <c r="B18" s="5" t="inlineStr">
        <is>
          <t>S. CA / N. IN</t>
        </is>
      </c>
      <c r="C18" s="5" t="inlineStr">
        <is>
          <t>NOT a tissue vendor — sells LIVE research swine &amp; Yucatan minipigs.</t>
        </is>
      </c>
      <c r="D18" s="5" t="inlineStr">
        <is>
          <t>n/a (live animals).</t>
        </is>
      </c>
      <c r="E18" s="5" t="inlineStr">
        <is>
          <t>n/a — live animals, not harvested tissue.</t>
        </is>
      </c>
      <c r="F18" s="5" t="inlineStr">
        <is>
          <t>Live-animal research supplier.</t>
        </is>
      </c>
      <c r="G18" s="5" t="inlineStr">
        <is>
          <t>premierbiosource.com</t>
        </is>
      </c>
      <c r="H18" s="5" t="inlineStr">
        <is>
          <t>High</t>
        </is>
      </c>
      <c r="I18" s="32" t="inlineStr">
        <is>
          <t>n/a — live animals, out of scope</t>
        </is>
      </c>
    </row>
    <row r="19" ht="60" customHeight="1">
      <c r="A19" s="7" t="inlineStr">
        <is>
          <t>Science Care</t>
        </is>
      </c>
      <c r="B19" s="5" t="inlineStr">
        <is>
          <t>Phoenix, AZ</t>
        </is>
      </c>
      <c r="C19" s="5" t="inlineStr">
        <is>
          <t>NOT porcine — HUMAN whole-body donation for research/training.</t>
        </is>
      </c>
      <c r="D19" s="5" t="inlineStr">
        <is>
          <t>n/a.</t>
        </is>
      </c>
      <c r="E19" s="5" t="inlineStr">
        <is>
          <t>n/a — human donation, out of scope.</t>
        </is>
      </c>
      <c r="F19" s="5" t="inlineStr">
        <is>
          <t>Human tissue programme.</t>
        </is>
      </c>
      <c r="G19" s="5" t="inlineStr">
        <is>
          <t>sciencecare.com</t>
        </is>
      </c>
      <c r="H19" s="5" t="inlineStr">
        <is>
          <t>High</t>
        </is>
      </c>
      <c r="I19" s="32" t="inlineStr">
        <is>
          <t>n/a — human tissue, out of scope</t>
        </is>
      </c>
    </row>
    <row r="20" ht="60" customHeight="1">
      <c r="A20" s="7" t="inlineStr">
        <is>
          <t>Zivic Laboratories</t>
        </is>
      </c>
      <c r="B20" s="5" t="inlineStr">
        <is>
          <t>Pittsburgh, PA</t>
        </is>
      </c>
      <c r="C20" s="5" t="inlineStr">
        <is>
          <t>NOT a porcine organ vendor — primarily RODENT tissue, brain/heart matrices, dissection instruments.</t>
        </is>
      </c>
      <c r="D20" s="5" t="inlineStr">
        <is>
          <t>n/a.</t>
        </is>
      </c>
      <c r="E20" s="5" t="inlineStr">
        <is>
          <t>n/a — rodent focus, out of scope.</t>
        </is>
      </c>
      <c r="F20" s="5" t="inlineStr">
        <is>
          <t>Rodent tissue / instruments.</t>
        </is>
      </c>
      <c r="G20" s="5" t="inlineStr">
        <is>
          <t>ziviclab (see sources)</t>
        </is>
      </c>
      <c r="H20" s="5" t="inlineStr">
        <is>
          <t>High</t>
        </is>
      </c>
      <c r="I20" s="32" t="inlineStr">
        <is>
          <t>n/a — rodent, out of scope</t>
        </is>
      </c>
    </row>
    <row r="22" ht="20" customHeight="1">
      <c r="A22" s="3" t="inlineStr">
        <is>
          <t>BUYING DIRECT × EU EXPORT — does the vendor help or hurt onward EU export?</t>
        </is>
      </c>
    </row>
    <row r="23" ht="60" customHeight="1">
      <c r="A23" s="11"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c r="A24" s="11"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 customHeight="1">
      <c r="A25" s="11"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c r="A27" s="17" t="inlineStr">
        <is>
          <t>Pursue first (EU-cleanest)</t>
        </is>
      </c>
      <c r="B27" s="5"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56" t="n"/>
      <c r="D27" s="56" t="n"/>
      <c r="E27" s="56" t="n"/>
      <c r="F27" s="56" t="n"/>
      <c r="G27" s="56" t="n"/>
      <c r="H27" s="56" t="n"/>
      <c r="I27" s="55" t="n"/>
    </row>
    <row r="28" ht="34" customHeight="1">
      <c r="A28" s="17" t="inlineStr">
        <is>
          <t>Workable with diligence</t>
        </is>
      </c>
      <c r="B28" s="5" t="inlineStr">
        <is>
          <t>ABI · WG Biomedical · LAMPIRE · Sierra · Animal Technologies — USDA-abattoir sourcing + device customers, but no published ISO/APHIS/TRACES/cert framework. Multi-source brokers (WG, Sierra, LAMPIRE) make single-establishment TRACES harder.</t>
        </is>
      </c>
      <c r="C28" s="56" t="n"/>
      <c r="D28" s="56" t="n"/>
      <c r="E28" s="56" t="n"/>
      <c r="F28" s="56" t="n"/>
      <c r="G28" s="56" t="n"/>
      <c r="H28" s="56" t="n"/>
      <c r="I28" s="55" t="n"/>
    </row>
    <row r="29" ht="36" customHeight="1">
      <c r="A29" s="17" t="inlineStr">
        <is>
          <t>Avoid for EU-bound / MDR product</t>
        </is>
      </c>
      <c r="B29" s="5"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56" t="n"/>
      <c r="D29" s="56" t="n"/>
      <c r="E29" s="56" t="n"/>
      <c r="F29" s="56" t="n"/>
      <c r="G29" s="56" t="n"/>
      <c r="H29" s="56" t="n"/>
      <c r="I29" s="55"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22" customWidth="1" min="1" max="1"/>
    <col width="40" customWidth="1" min="2" max="2"/>
    <col width="40" customWidth="1" min="3" max="3"/>
    <col width="40" customWidth="1" min="4" max="4"/>
  </cols>
  <sheetData>
    <row r="1" ht="26" customHeight="1">
      <c r="A1" s="1" t="inlineStr">
        <is>
          <t>Operating Models &amp; Make-vs-Buy Framework</t>
        </is>
      </c>
    </row>
    <row r="2" ht="30" customHeight="1">
      <c r="A2" s="2" t="inlineStr">
        <is>
          <t>Three ways to obtain tissue. Cost drivers differ; per-tissue economics depend heavily on freshness needs, MOQ, and travel.</t>
        </is>
      </c>
    </row>
    <row r="4" ht="30" customHeight="1">
      <c r="A4" s="6" t="inlineStr">
        <is>
          <t>Dimension</t>
        </is>
      </c>
      <c r="B4" s="6" t="inlineStr">
        <is>
          <t>Model A — We harvest on-site</t>
        </is>
      </c>
      <c r="C4" s="6" t="inlineStr">
        <is>
          <t>Model B — Plant harvests for us</t>
        </is>
      </c>
      <c r="D4" s="6" t="inlineStr">
        <is>
          <t>Buy direct (national vendor)</t>
        </is>
      </c>
    </row>
    <row r="5" ht="44" customHeight="1">
      <c r="A5" s="4" t="inlineStr">
        <is>
          <t>What we provide</t>
        </is>
      </c>
      <c r="B5" s="5" t="inlineStr">
        <is>
          <t>Our trained harvesters + tools; we rent line/cooler access.</t>
        </is>
      </c>
      <c r="C5" s="5" t="inlineStr">
        <is>
          <t>Inspectors + trainers to qualify their crew to our protocol.</t>
        </is>
      </c>
      <c r="D5" s="5" t="inlineStr">
        <is>
          <t>A purchase order; vendor ships tissue.</t>
        </is>
      </c>
    </row>
    <row r="6" ht="44" customHeight="1">
      <c r="A6" s="4" t="inlineStr">
        <is>
          <t>What the plant provides</t>
        </is>
      </c>
      <c r="B6" s="5" t="inlineStr">
        <is>
          <t>Floor/line access, cooler space, kill schedule, hanging/handling.</t>
        </is>
      </c>
      <c r="C6" s="5" t="inlineStr">
        <is>
          <t>Trained labor, QA cooperation, our-spec dissection at the kill.</t>
        </is>
      </c>
      <c r="D6" s="5" t="inlineStr">
        <is>
          <t>n/a — vendor already harvests &amp; processes.</t>
        </is>
      </c>
    </row>
    <row r="7" ht="44" customHeight="1">
      <c r="A7" s="4" t="inlineStr">
        <is>
          <t>Freshness / ischemia control</t>
        </is>
      </c>
      <c r="B7" s="5" t="inlineStr">
        <is>
          <t>Best — we control time-to-preserve at the source.</t>
        </is>
      </c>
      <c r="C7" s="5" t="inlineStr">
        <is>
          <t>Good — depends on their crew discipline; we audit.</t>
        </is>
      </c>
      <c r="D7" s="5" t="inlineStr">
        <is>
          <t>Variable — shipping adds hours/days; ask about cold-chain &amp; harvest-to-ship time.</t>
        </is>
      </c>
    </row>
    <row r="8" ht="44" customHeight="1">
      <c r="A8" s="4" t="inlineStr">
        <is>
          <t>Our labor cost</t>
        </is>
      </c>
      <c r="B8" s="5" t="inlineStr">
        <is>
          <t>High — we mobilize/travel crews; rent space.</t>
        </is>
      </c>
      <c r="C8" s="5" t="inlineStr">
        <is>
          <t>Lower — plant labor does the work; we train/audit periodically.</t>
        </is>
      </c>
      <c r="D8" s="5" t="inlineStr">
        <is>
          <t>None on harvest; we pay per-tissue + freight.</t>
        </is>
      </c>
    </row>
    <row r="9" ht="44" customHeight="1">
      <c r="A9" s="4" t="inlineStr">
        <is>
          <t>Volume scalability</t>
        </is>
      </c>
      <c r="B9" s="5" t="inlineStr">
        <is>
          <t>Capped by plant kill schedule + our crew capacity.</t>
        </is>
      </c>
      <c r="C9" s="5" t="inlineStr">
        <is>
          <t>Scales with plant labor; needs their buy-in.</t>
        </is>
      </c>
      <c r="D9" s="5" t="inlineStr">
        <is>
          <t>Scales with vendor supply &amp; MOQ; least control.</t>
        </is>
      </c>
    </row>
    <row r="10" ht="44" customHeight="1">
      <c r="A10" s="4" t="inlineStr">
        <is>
          <t>Quality-issue leverage</t>
        </is>
      </c>
      <c r="B10" s="5" t="inlineStr">
        <is>
          <t>High — our people, our call.</t>
        </is>
      </c>
      <c r="C10" s="5" t="inlineStr">
        <is>
          <t>Medium — depends on the plant's culture (why culture matters).</t>
        </is>
      </c>
      <c r="D10" s="5" t="inlineStr">
        <is>
          <t>Low-medium — vendor SLA / return policy only.</t>
        </is>
      </c>
    </row>
    <row r="11" ht="44" customHeight="1">
      <c r="A11" s="4" t="inlineStr">
        <is>
          <t>Best when</t>
        </is>
      </c>
      <c r="B11" s="5" t="inlineStr">
        <is>
          <t>Tissue is high-value, freshness-critical, or protocol is proprietary.</t>
        </is>
      </c>
      <c r="C11" s="5" t="inlineStr">
        <is>
          <t>Plant has good culture (Nahunta-type) and willing crew; recurring volume.</t>
        </is>
      </c>
      <c r="D11" s="5" t="inlineStr">
        <is>
          <t>Need occasional/low volume, or a tissue we can't efficiently harvest ourselves.</t>
        </is>
      </c>
    </row>
    <row r="12" ht="44" customHeight="1">
      <c r="A12" s="4" t="inlineStr">
        <is>
          <t>Main cost drivers</t>
        </is>
      </c>
      <c r="B12" s="5" t="inlineStr">
        <is>
          <t>Crew travel/lodging, space rental, per-visit mobilization, downtime.</t>
        </is>
      </c>
      <c r="C12" s="5" t="inlineStr">
        <is>
          <t>Training overhead, per-piece harvest fee, audit trips.</t>
        </is>
      </c>
      <c r="D12" s="5" t="inlineStr">
        <is>
          <t>Per-tissue list/quote price, MOQ, dissection fees, overnight cold-chain freight.</t>
        </is>
      </c>
    </row>
    <row r="14" ht="20" customHeight="1">
      <c r="A14" s="3" t="inlineStr">
        <is>
          <t>MAKE-VS-BUY — per-tissue economics (qualitative, confirm with real quotes)</t>
        </is>
      </c>
    </row>
    <row r="15" ht="24" customHeight="1">
      <c r="A15" s="5" t="inlineStr">
        <is>
          <t>•  Bottom line: for an operation that already harvests on-site, buying finished tissue from a national vendor is generally MORE expensive per tissue than self-harvest — but buying-direct wins in specific situations, not on unit cost.</t>
        </is>
      </c>
      <c r="B15" s="56" t="n"/>
      <c r="C15" s="56" t="n"/>
      <c r="D15" s="55" t="n"/>
    </row>
    <row r="16" ht="48" customHeight="1">
      <c r="A16" s="5"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56" t="n"/>
      <c r="C16" s="56" t="n"/>
      <c r="D16" s="55" t="n"/>
    </row>
    <row r="17" ht="24" customHeight="1">
      <c r="A17" s="5" t="inlineStr">
        <is>
          <t>•  Custom dissection / processing fees: vendors charge for anything beyond base config (extra vessels, cannulation, specific trim, saline/PBS perfusion) — exactly the work you already do in-house.</t>
        </is>
      </c>
      <c r="B17" s="56" t="n"/>
      <c r="C17" s="56" t="n"/>
      <c r="D17" s="55" t="n"/>
    </row>
    <row r="18" ht="24" customHeight="1">
      <c r="A18" s="5" t="inlineStr">
        <is>
          <t>•  Freshness / warm-ischemia: self-harvest is unbeatable (minutes). Vendors mitigate with overnight fresh-on-ice, but you still lose hours-to-a-day and pay cold-chain/dry-ice freight.</t>
        </is>
      </c>
      <c r="B18" s="56" t="n"/>
      <c r="C18" s="56" t="n"/>
      <c r="D18" s="55" t="n"/>
    </row>
    <row r="19" ht="24" customHeight="1">
      <c r="A19" s="5" t="inlineStr">
        <is>
          <t>•  Minimums, lead times, shipping: published lead times run up to 2-4 weeks (Pel-Freez); custom collections longer.</t>
        </is>
      </c>
      <c r="B19" s="56" t="n"/>
      <c r="C19" s="56" t="n"/>
      <c r="D19" s="55" t="n"/>
    </row>
    <row r="20" ht="48" customHeight="1">
      <c r="A20" s="5"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56" t="n"/>
      <c r="C20" s="56" t="n"/>
      <c r="D20" s="55" t="n"/>
    </row>
    <row r="21" ht="36" customHeight="1">
      <c r="A21" s="5"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56" t="n"/>
      <c r="C21" s="56" t="n"/>
      <c r="D21" s="55"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
    </sheetView>
  </sheetViews>
  <sheetFormatPr baseColWidth="8" defaultRowHeight="15"/>
  <cols>
    <col width="30" customWidth="1" min="1" max="1"/>
    <col width="11" customWidth="1" min="2" max="2"/>
    <col width="11" customWidth="1" min="3" max="3"/>
    <col width="8" customWidth="1" min="4" max="4"/>
    <col width="9" customWidth="1" min="5" max="5"/>
    <col width="12" customWidth="1" min="6" max="6"/>
    <col width="14" customWidth="1" min="7" max="7"/>
    <col width="12" customWidth="1" min="8" max="8"/>
    <col width="13" customWidth="1" min="9" max="9"/>
    <col width="10" customWidth="1" min="10" max="10"/>
    <col width="13" customWidth="1" min="11" max="11"/>
    <col width="14" customWidth="1" min="12" max="12"/>
  </cols>
  <sheetData>
    <row r="1" ht="26" customHeight="1">
      <c r="A1" s="1" t="inlineStr">
        <is>
          <t>TCO Calculator — Total Cost per Organ / Block (self-harvest)</t>
        </is>
      </c>
    </row>
    <row r="2" ht="30" customHeight="1">
      <c r="A2" s="2" t="inlineStr">
        <is>
          <t>Edit the BLUE cells with your variables; cost-per-block updates automatically. Compare slaughterhouses in the grid, and against buy-direct list prices. All numeric inputs are ILLUSTRATIVE placeholders — replace with your real figures/quotes.</t>
        </is>
      </c>
    </row>
    <row r="4" ht="16" customHeight="1">
      <c r="A4" s="33" t="inlineStr">
        <is>
          <t>Legend:  blue cells on pale-yellow = you edit  ·  black = calculated  ·  ★ = the answer.  Values shown are ILLUSTRATIVE placeholders — swap in your real numbers/quotes.</t>
        </is>
      </c>
    </row>
    <row r="5" ht="20" customHeight="1">
      <c r="A5" s="34" t="inlineStr">
        <is>
          <t>A.  HARVEST SESSION  (per visit)</t>
        </is>
      </c>
    </row>
    <row r="6" ht="18" customHeight="1">
      <c r="A6" s="35" t="inlineStr">
        <is>
          <t>Blocks / organs harvested per visit</t>
        </is>
      </c>
      <c r="C6" s="36" t="n">
        <v>40</v>
      </c>
      <c r="D6" s="37" t="inlineStr">
        <is>
          <t>How many pieces you collect in one trip.</t>
        </is>
      </c>
    </row>
    <row r="7" ht="18" customHeight="1">
      <c r="A7" s="35" t="inlineStr">
        <is>
          <t>Harvest time per block (minutes)</t>
        </is>
      </c>
      <c r="C7" s="38" t="n">
        <v>15</v>
      </c>
      <c r="D7" s="37" t="inlineStr">
        <is>
          <t>Hands-on time to harvest one block/organ.</t>
        </is>
      </c>
    </row>
    <row r="8" ht="18" customHeight="1">
      <c r="A8" s="35" t="inlineStr">
        <is>
          <t>Harvesters on site (#)</t>
        </is>
      </c>
      <c r="C8" s="36" t="n">
        <v>2</v>
      </c>
      <c r="D8" s="37" t="inlineStr">
        <is>
          <t>Your crew size. For Model B (plant harvests) set 0.</t>
        </is>
      </c>
    </row>
    <row r="9" ht="18" customHeight="1">
      <c r="A9" s="35" t="inlineStr">
        <is>
          <t>Harvester labor rate ($/hr, loaded)</t>
        </is>
      </c>
      <c r="C9" s="39" t="n">
        <v>45</v>
      </c>
      <c r="D9" s="37" t="inlineStr">
        <is>
          <t>Fully-loaded wage incl. burden.</t>
        </is>
      </c>
    </row>
    <row r="10" ht="18" customHeight="1">
      <c r="A10" s="35" t="inlineStr">
        <is>
          <t>Session hours (wall-clock)</t>
        </is>
      </c>
      <c r="C10" s="40">
        <f>C6*C7/60</f>
        <v/>
      </c>
      <c r="D10" s="37">
        <f> blocks × min/block ÷ 60.</f>
        <v/>
      </c>
    </row>
    <row r="11" ht="18" customHeight="1">
      <c r="A11" s="35" t="inlineStr">
        <is>
          <t>Harvester labor per visit</t>
        </is>
      </c>
      <c r="C11" s="41">
        <f>C10*C8*C9</f>
        <v/>
      </c>
      <c r="D11" s="37">
        <f> session hours × crew × rate.</f>
        <v/>
      </c>
    </row>
    <row r="12" ht="20" customHeight="1">
      <c r="A12" s="34" t="inlineStr">
        <is>
          <t>B.  FACILITY ACCESS  (per visit — varies by slaughterhouse)</t>
        </is>
      </c>
    </row>
    <row r="13" ht="18" customHeight="1">
      <c r="A13" s="35" t="inlineStr">
        <is>
          <t>Space / line rental per visit ($)</t>
        </is>
      </c>
      <c r="C13" s="39" t="n">
        <v>500</v>
      </c>
      <c r="D13" s="37" t="inlineStr">
        <is>
          <t>Model A: rent floor/cooler access. 0 if none / relationship.</t>
        </is>
      </c>
    </row>
    <row r="14" ht="18" customHeight="1">
      <c r="A14" s="35" t="inlineStr">
        <is>
          <t>Plant inspection / handling fee per visit ($)</t>
        </is>
      </c>
      <c r="C14" s="39" t="n">
        <v>150</v>
      </c>
      <c r="D14" s="37" t="inlineStr">
        <is>
          <t>Plant's charge for their staff/line time — OR the Model B per-visit harvest fee.</t>
        </is>
      </c>
    </row>
    <row r="15" ht="18" customHeight="1">
      <c r="A15" s="35" t="inlineStr">
        <is>
          <t>Our inspector / trainer cost per visit ($)</t>
        </is>
      </c>
      <c r="C15" s="39" t="n">
        <v>0</v>
      </c>
      <c r="D15" s="37" t="inlineStr">
        <is>
          <t>Model B: amortized day-rate + travel of trainers/inspectors we send.</t>
        </is>
      </c>
    </row>
    <row r="16" ht="18" customHeight="1">
      <c r="A16" s="35" t="inlineStr">
        <is>
          <t>Facility fixed subtotal</t>
        </is>
      </c>
      <c r="C16" s="41">
        <f>C13+C14+C15</f>
        <v/>
      </c>
      <c r="D16" s="37">
        <f> rental + plant fee + our inspector.</f>
        <v/>
      </c>
    </row>
    <row r="17" ht="20" customHeight="1">
      <c r="A17" s="34" t="inlineStr">
        <is>
          <t>C.  LOGISTICS &amp; HOLDING</t>
        </is>
      </c>
    </row>
    <row r="18" ht="18" customHeight="1">
      <c r="A18" s="35" t="inlineStr">
        <is>
          <t>Transportation per visit ($)</t>
        </is>
      </c>
      <c r="C18" s="39" t="n">
        <v>300</v>
      </c>
      <c r="D18" s="37" t="inlineStr">
        <is>
          <t>Round-trip freight / vehicle / fuel / cold-chain for the trip.</t>
        </is>
      </c>
    </row>
    <row r="19" ht="18" customHeight="1">
      <c r="A19" s="35" t="inlineStr">
        <is>
          <t>Inventory / holding cost per block ($)</t>
        </is>
      </c>
      <c r="C19" s="39" t="n">
        <v>8</v>
      </c>
      <c r="D19" s="37" t="inlineStr">
        <is>
          <t>Preservation, cold storage, holding per piece.</t>
        </is>
      </c>
    </row>
    <row r="20" ht="20" customHeight="1">
      <c r="A20" s="34" t="inlineStr">
        <is>
          <t>D.  RESULT</t>
        </is>
      </c>
    </row>
    <row r="21" ht="18" customHeight="1">
      <c r="A21" s="35" t="inlineStr">
        <is>
          <t>Per-visit fixed + transport</t>
        </is>
      </c>
      <c r="C21" s="41">
        <f>C16+C18</f>
        <v/>
      </c>
      <c r="D21" s="37">
        <f> facility fixed + transportation.</f>
        <v/>
      </c>
    </row>
    <row r="22" ht="18" customHeight="1">
      <c r="A22" s="35" t="inlineStr">
        <is>
          <t>Total cost per visit</t>
        </is>
      </c>
      <c r="C22" s="41">
        <f>C21+C11+C19*C6</f>
        <v/>
      </c>
      <c r="D22" s="37">
        <f> fixed+transport + harvester labor + inventory × blocks.</f>
        <v/>
      </c>
    </row>
    <row r="23" ht="18" customHeight="1">
      <c r="A23" s="42" t="inlineStr">
        <is>
          <t>★ TOTAL COST PER BLOCK</t>
        </is>
      </c>
      <c r="C23" s="43">
        <f>IF(C6&gt;0,C22/C6,0)</f>
        <v/>
      </c>
      <c r="D23" s="37">
        <f> total cost per visit ÷ blocks. Your self-harvest unit cost.</f>
        <v/>
      </c>
    </row>
    <row r="24" ht="18" customHeight="1">
      <c r="A24" s="35" t="inlineStr">
        <is>
          <t>Memo: harvester labor per block</t>
        </is>
      </c>
      <c r="C24" s="41">
        <f>IF(C6&gt;0,C11/C6,0)</f>
        <v/>
      </c>
      <c r="D24" s="37">
        <f> (min/block ÷ 60) × crew × rate.</f>
        <v/>
      </c>
    </row>
    <row r="25" ht="18" customHeight="1">
      <c r="A25" s="35" t="inlineStr">
        <is>
          <t>Memo: fixed+transport per block</t>
        </is>
      </c>
      <c r="C25" s="41">
        <f>IF(C6&gt;0,C21/C6,0)</f>
        <v/>
      </c>
      <c r="D25" s="37" t="inlineStr">
        <is>
          <t>Spread of per-visit fixed costs — falls as blocks/visit rises.</t>
        </is>
      </c>
    </row>
    <row r="26" ht="20" customHeight="1">
      <c r="A26" s="34" t="inlineStr">
        <is>
          <t>E.  BUY-DIRECT BENCHMARK  (real published list prices)</t>
        </is>
      </c>
    </row>
    <row r="27" ht="18" customHeight="1">
      <c r="A27" s="35" t="inlineStr">
        <is>
          <t>Buy-direct: single porcine organ ($)</t>
        </is>
      </c>
      <c r="C27" s="39" t="n">
        <v>141</v>
      </c>
      <c r="D27" s="37" t="inlineStr">
        <is>
          <t>Innovative Research list, base config (real published price).</t>
        </is>
      </c>
    </row>
    <row r="28" ht="18" customHeight="1">
      <c r="A28" s="35" t="inlineStr">
        <is>
          <t>Buy-direct: pelvic block ($)</t>
        </is>
      </c>
      <c r="C28" s="39" t="n">
        <v>582</v>
      </c>
      <c r="D28" s="37" t="inlineStr">
        <is>
          <t>Innovative Research list, base config (real published price).</t>
        </is>
      </c>
    </row>
    <row r="29" ht="18" customHeight="1">
      <c r="A29" s="35" t="inlineStr">
        <is>
          <t>Δ self-harvest vs buy-direct (per organ)</t>
        </is>
      </c>
      <c r="C29" s="41">
        <f>C23-C27</f>
        <v/>
      </c>
      <c r="D29" s="37" t="inlineStr">
        <is>
          <t>Negative = self-harvest cheaper per organ.</t>
        </is>
      </c>
    </row>
    <row r="30" ht="18" customHeight="1">
      <c r="A30" s="35" t="inlineStr">
        <is>
          <t>Verdict</t>
        </is>
      </c>
      <c r="C30" s="44">
        <f>IF(C23&lt;=C27,"Self-harvest cheaper / on par","Buying direct cheaper per organ")</f>
        <v/>
      </c>
      <c r="D30" s="37" t="inlineStr">
        <is>
          <t>Rule of thumb; one visit yields many blocks, favoring self-harvest.</t>
        </is>
      </c>
    </row>
    <row r="32" ht="20" customHeight="1">
      <c r="A32" s="34" t="inlineStr">
        <is>
          <t>PER-SLAUGHTERHOUSE COMPARISON  (illustrative placeholders — replace with real figures/quotes)</t>
        </is>
      </c>
    </row>
    <row r="33" ht="30" customHeight="1">
      <c r="A33" s="45" t="inlineStr">
        <is>
          <t>Facility</t>
        </is>
      </c>
      <c r="B33" s="45" t="inlineStr">
        <is>
          <t>Blocks/
visit</t>
        </is>
      </c>
      <c r="C33" s="45" t="inlineStr">
        <is>
          <t>Min/
block</t>
        </is>
      </c>
      <c r="D33" s="45" t="inlineStr">
        <is>
          <t>Crew</t>
        </is>
      </c>
      <c r="E33" s="45" t="inlineStr">
        <is>
          <t>$/hr</t>
        </is>
      </c>
      <c r="F33" s="45" t="inlineStr">
        <is>
          <t>Rental/
visit</t>
        </is>
      </c>
      <c r="G33" s="45" t="inlineStr">
        <is>
          <t>Plant fee /
harvest fee</t>
        </is>
      </c>
      <c r="H33" s="45" t="inlineStr">
        <is>
          <t>Our insp/
visit</t>
        </is>
      </c>
      <c r="I33" s="45" t="inlineStr">
        <is>
          <t>Transport/
visit</t>
        </is>
      </c>
      <c r="J33" s="45" t="inlineStr">
        <is>
          <t>Inv/
block</t>
        </is>
      </c>
      <c r="K33" s="45" t="inlineStr">
        <is>
          <t>⇒ Cost/
block</t>
        </is>
      </c>
      <c r="L33" s="45" t="inlineStr">
        <is>
          <t>vs $/organ
direct</t>
        </is>
      </c>
    </row>
    <row r="34" ht="22" customHeight="1">
      <c r="A34" s="16" t="inlineStr">
        <is>
          <t>Nahunta Pork Center (Pikeville, NC)</t>
        </is>
      </c>
      <c r="B34" s="36" t="n">
        <v>40</v>
      </c>
      <c r="C34" s="38" t="n">
        <v>15</v>
      </c>
      <c r="D34" s="36" t="n">
        <v>2</v>
      </c>
      <c r="E34" s="39" t="n">
        <v>45</v>
      </c>
      <c r="F34" s="39" t="n">
        <v>0</v>
      </c>
      <c r="G34" s="39" t="n">
        <v>100</v>
      </c>
      <c r="H34" s="39" t="n">
        <v>0</v>
      </c>
      <c r="I34" s="39" t="n">
        <v>150</v>
      </c>
      <c r="J34" s="39" t="n">
        <v>8</v>
      </c>
      <c r="K34" s="46">
        <f>IF(B34&gt;0,(F34+G34+H34+I34+(B34*C34/60)*D34*E34+J34*B34)/B34,0)</f>
        <v/>
      </c>
      <c r="L34" s="41">
        <f>K34-$C$27</f>
        <v/>
      </c>
    </row>
    <row r="35" ht="22" customHeight="1">
      <c r="A35" s="16" t="inlineStr">
        <is>
          <t>Martin's Pork Products (Falcon, NC)</t>
        </is>
      </c>
      <c r="B35" s="36" t="n">
        <v>50</v>
      </c>
      <c r="C35" s="38" t="n">
        <v>15</v>
      </c>
      <c r="D35" s="36" t="n">
        <v>2</v>
      </c>
      <c r="E35" s="39" t="n">
        <v>45</v>
      </c>
      <c r="F35" s="39" t="n">
        <v>0</v>
      </c>
      <c r="G35" s="39" t="n">
        <v>150</v>
      </c>
      <c r="H35" s="39" t="n">
        <v>0</v>
      </c>
      <c r="I35" s="39" t="n">
        <v>175</v>
      </c>
      <c r="J35" s="39" t="n">
        <v>8</v>
      </c>
      <c r="K35" s="46">
        <f>IF(B35&gt;0,(F35+G35+H35+I35+(B35*C35/60)*D35*E35+J35*B35)/B35,0)</f>
        <v/>
      </c>
      <c r="L35" s="41">
        <f>K35-$C$27</f>
        <v/>
      </c>
    </row>
    <row r="36" ht="22" customHeight="1">
      <c r="A36" s="16" t="inlineStr">
        <is>
          <t>Piedmont Custom Meats (NC)</t>
        </is>
      </c>
      <c r="B36" s="36" t="n">
        <v>45</v>
      </c>
      <c r="C36" s="38" t="n">
        <v>15</v>
      </c>
      <c r="D36" s="36" t="n">
        <v>2</v>
      </c>
      <c r="E36" s="39" t="n">
        <v>45</v>
      </c>
      <c r="F36" s="39" t="n">
        <v>400</v>
      </c>
      <c r="G36" s="39" t="n">
        <v>0</v>
      </c>
      <c r="H36" s="39" t="n">
        <v>0</v>
      </c>
      <c r="I36" s="39" t="n">
        <v>200</v>
      </c>
      <c r="J36" s="39" t="n">
        <v>8</v>
      </c>
      <c r="K36" s="46">
        <f>IF(B36&gt;0,(F36+G36+H36+I36+(B36*C36/60)*D36*E36+J36*B36)/B36,0)</f>
        <v/>
      </c>
      <c r="L36" s="41">
        <f>K36-$C$27</f>
        <v/>
      </c>
    </row>
    <row r="37" ht="22" customHeight="1">
      <c r="A37" s="16" t="inlineStr">
        <is>
          <t>Acre Station Meat Farm (NC)</t>
        </is>
      </c>
      <c r="B37" s="36" t="n">
        <v>30</v>
      </c>
      <c r="C37" s="38" t="n">
        <v>15</v>
      </c>
      <c r="D37" s="36" t="n">
        <v>2</v>
      </c>
      <c r="E37" s="39" t="n">
        <v>45</v>
      </c>
      <c r="F37" s="39" t="n">
        <v>350</v>
      </c>
      <c r="G37" s="39" t="n">
        <v>0</v>
      </c>
      <c r="H37" s="39" t="n">
        <v>0</v>
      </c>
      <c r="I37" s="39" t="n">
        <v>220</v>
      </c>
      <c r="J37" s="39" t="n">
        <v>8</v>
      </c>
      <c r="K37" s="46">
        <f>IF(B37&gt;0,(F37+G37+H37+I37+(B37*C37/60)*D37*E37+J37*B37)/B37,0)</f>
        <v/>
      </c>
      <c r="L37" s="41">
        <f>K37-$C$27</f>
        <v/>
      </c>
    </row>
    <row r="38" ht="22" customHeight="1">
      <c r="A38" s="16" t="inlineStr">
        <is>
          <t>EcoFriendly Foods (Moneta, VA)</t>
        </is>
      </c>
      <c r="B38" s="36" t="n">
        <v>30</v>
      </c>
      <c r="C38" s="38" t="n">
        <v>15</v>
      </c>
      <c r="D38" s="36" t="n">
        <v>2</v>
      </c>
      <c r="E38" s="39" t="n">
        <v>48</v>
      </c>
      <c r="F38" s="39" t="n">
        <v>400</v>
      </c>
      <c r="G38" s="39" t="n">
        <v>0</v>
      </c>
      <c r="H38" s="39" t="n">
        <v>0</v>
      </c>
      <c r="I38" s="39" t="n">
        <v>350</v>
      </c>
      <c r="J38" s="39" t="n">
        <v>9</v>
      </c>
      <c r="K38" s="46">
        <f>IF(B38&gt;0,(F38+G38+H38+I38+(B38*C38/60)*D38*E38+J38*B38)/B38,0)</f>
        <v/>
      </c>
      <c r="L38" s="41">
        <f>K38-$C$27</f>
        <v/>
      </c>
    </row>
    <row r="39" ht="22" customHeight="1">
      <c r="A39" s="16" t="inlineStr">
        <is>
          <t>Midwest Research Swine (MN) — Model B</t>
        </is>
      </c>
      <c r="B39" s="36" t="n">
        <v>60</v>
      </c>
      <c r="C39" s="38" t="n">
        <v>12</v>
      </c>
      <c r="D39" s="36" t="n">
        <v>0</v>
      </c>
      <c r="E39" s="39" t="n">
        <v>45</v>
      </c>
      <c r="F39" s="39" t="n">
        <v>0</v>
      </c>
      <c r="G39" s="39" t="n">
        <v>900</v>
      </c>
      <c r="H39" s="39" t="n">
        <v>200</v>
      </c>
      <c r="I39" s="39" t="n">
        <v>400</v>
      </c>
      <c r="J39" s="39" t="n">
        <v>9</v>
      </c>
      <c r="K39" s="46">
        <f>IF(B39&gt;0,(F39+G39+H39+I39+(B39*C39/60)*D39*E39+J39*B39)/B39,0)</f>
        <v/>
      </c>
      <c r="L39" s="41">
        <f>K39-$C$27</f>
        <v/>
      </c>
    </row>
    <row r="40" ht="22" customHeight="1">
      <c r="A40" s="16" t="inlineStr">
        <is>
          <t>Smithfield BioScience (IA) — Model B</t>
        </is>
      </c>
      <c r="B40" s="36" t="n">
        <v>80</v>
      </c>
      <c r="C40" s="38" t="n">
        <v>10</v>
      </c>
      <c r="D40" s="36" t="n">
        <v>0</v>
      </c>
      <c r="E40" s="39" t="n">
        <v>45</v>
      </c>
      <c r="F40" s="39" t="n">
        <v>0</v>
      </c>
      <c r="G40" s="39" t="n">
        <v>1200</v>
      </c>
      <c r="H40" s="39" t="n">
        <v>150</v>
      </c>
      <c r="I40" s="39" t="n">
        <v>300</v>
      </c>
      <c r="J40" s="39" t="n">
        <v>8</v>
      </c>
      <c r="K40" s="46">
        <f>IF(B40&gt;0,(F40+G40+H40+I40+(B40*C40/60)*D40*E40+J40*B40)/B40,0)</f>
        <v/>
      </c>
      <c r="L40" s="41">
        <f>K40-$C$27</f>
        <v/>
      </c>
    </row>
    <row r="42" ht="16" customHeight="1">
      <c r="A42" s="47" t="inlineStr">
        <is>
          <t>•  For Model B (plant harvests): set Crew = 0 and enter the plant's per-visit harvest fee under 'Plant fee / harvest fee'.</t>
        </is>
      </c>
    </row>
    <row r="43" ht="22" customHeight="1">
      <c r="A43" s="47" t="inlineStr">
        <is>
          <t>•  Cost/block = (rental + plant fee + our inspector + transport + harvester labor + inventory × blocks) ÷ blocks.  Harvester labor = (min/block ÷ 60) × blocks × crew × rate.</t>
        </is>
      </c>
    </row>
    <row r="44" ht="22" customHeight="1">
      <c r="A44" s="47" t="inlineStr">
        <is>
          <t>•  Compare Cost/block (col ⇒) to buy-direct list prices: ~$141/organ and $582/pelvic block (Innovative Research). Self-harvest usually wins because one visit yields many blocks at once.</t>
        </is>
      </c>
    </row>
    <row r="45" ht="22" customHeight="1">
      <c r="A45" s="47"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A4:L4"/>
    <mergeCell ref="D15:I15"/>
    <mergeCell ref="A20:L20"/>
    <mergeCell ref="D25:I25"/>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10:B10"/>
    <mergeCell ref="A28:B28"/>
    <mergeCell ref="A45:L45"/>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RowHeight="15"/>
  <cols>
    <col width="24" customWidth="1" min="1" max="1"/>
    <col width="46" customWidth="1" min="2" max="2"/>
    <col width="46" customWidth="1" min="3" max="3"/>
  </cols>
  <sheetData>
    <row r="1" ht="26" customHeight="1">
      <c r="A1" s="1" t="inlineStr">
        <is>
          <t>APHIS &amp; EU Export — what your suppliers actually need</t>
        </is>
      </c>
    </row>
    <row r="2" ht="30" customHeight="1">
      <c r="A2" s="2" t="inlineStr">
        <is>
          <t>For exporting porcine-tissue 'models' to Europe. Orientation only — NOT legal advice; confirm per product line with APHIS VS, your EU importer, and (if a device) a notified body.</t>
        </is>
      </c>
    </row>
    <row r="4" ht="120" customHeight="1">
      <c r="A4" s="13"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56" t="n"/>
      <c r="C4" s="55" t="n"/>
    </row>
    <row r="6" ht="20" customHeight="1">
      <c r="A6" s="34" t="inlineStr">
        <is>
          <t>HOW TO CHECK APHIS / EXPORT STATUS YOURSELF  (the lookup sites)</t>
        </is>
      </c>
    </row>
    <row r="7" ht="18" customHeight="1">
      <c r="A7" s="10" t="inlineStr">
        <is>
          <t>There is NO single 'APHIS-certified slaughterhouse' lookup — the right source depends on WHAT is exported.</t>
        </is>
      </c>
      <c r="B7" s="56" t="n"/>
      <c r="C7" s="55" t="n"/>
    </row>
    <row r="8" ht="36" customHeight="1">
      <c r="A8" s="4" t="inlineStr">
        <is>
          <t>Edible meat/offal to EU</t>
        </is>
      </c>
      <c r="B8" s="5" t="inlineStr">
        <is>
          <t>FSIS 'Eligible U.S. Establishments by Country' → the European Union page (plant must be in the FSIS 'Pork for the EU' / PFEU program).  fsis.usda.gov/inspection/import-export/import-export-library</t>
        </is>
      </c>
      <c r="C8" s="55" t="n"/>
    </row>
    <row r="9" ht="36" customHeight="1">
      <c r="A9" s="4" t="inlineStr">
        <is>
          <t>Any FSIS export setup</t>
        </is>
      </c>
      <c r="B9" s="5" t="inlineStr">
        <is>
          <t>FSIS Meat/Poultry/Egg (MPI) Directory — an establishment's 'Certification – Export' activity means it can issue export certs for SOME country; it does NOT mean EU-eligible.  fsis.usda.gov/inspection/establishments/meat-poultry-and-egg-product-inspection-directory</t>
        </is>
      </c>
      <c r="C9" s="55" t="n"/>
    </row>
    <row r="10" ht="48" customHeight="1">
      <c r="A10" s="4" t="inlineStr">
        <is>
          <t>NON-food research tissue / organs to EU  ← this is us</t>
        </is>
      </c>
      <c r="B10" s="5"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55" t="n"/>
    </row>
    <row r="11" ht="48" customHeight="1">
      <c r="A11" s="4" t="inlineStr">
        <is>
          <t>Authoritative EU-side list (both)</t>
        </is>
      </c>
      <c r="B11" s="5"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55" t="n"/>
    </row>
    <row r="12" ht="36" customHeight="1">
      <c r="A12" s="4" t="inlineStr">
        <is>
          <t>BOTTOM LINE</t>
        </is>
      </c>
      <c r="B12" s="5" t="inlineStr">
        <is>
          <t>Edible meat → FSIS list + TRACES fresh-meat section.  Non-food research tissue → APHIS VS listing + TRACES animal-by-products section.  FSIS 'Certification–Export' ≠ EU-eligible ≠ APHIS by-product listing.</t>
        </is>
      </c>
      <c r="C12" s="55" t="n"/>
    </row>
    <row r="14" ht="20" customHeight="1">
      <c r="A14" s="34" t="inlineStr">
        <is>
          <t>THE THREE REGIMES — APHIS vs FSIS vs STATE  (not tiers of one thing)</t>
        </is>
      </c>
    </row>
    <row r="15" ht="20" customHeight="1">
      <c r="A15" s="48" t="inlineStr">
        <is>
          <t>Program</t>
        </is>
      </c>
      <c r="B15" s="48" t="inlineStr">
        <is>
          <t>Purpose</t>
        </is>
      </c>
      <c r="C15" s="48" t="inlineStr">
        <is>
          <t>What it means for you</t>
        </is>
      </c>
    </row>
    <row r="16" ht="62" customHeight="1">
      <c r="A16" s="49" t="inlineStr">
        <is>
          <t>USDA FSIS
(Food Safety &amp; Inspection Service)</t>
        </is>
      </c>
      <c r="B16" s="5" t="inlineStr">
        <is>
          <t>Food safety for meat/poultry for HUMAN CONSUMPTION; issues the federal 'grant of inspection'.</t>
        </is>
      </c>
      <c r="C16" s="5" t="inlineStr">
        <is>
          <t>The certifying agency for EDIBLE product. For non-food tissue/organs, FSIS is generally NOT the relevant agency at all.</t>
        </is>
      </c>
    </row>
    <row r="17" ht="62" customHeight="1">
      <c r="A17" s="49" t="inlineStr">
        <is>
          <t>USDA APHIS Veterinary Services (VS)</t>
        </is>
      </c>
      <c r="B17" s="5" t="inlineStr">
        <is>
          <t>ANIMAL HEALTH + export certification for animals and animal products/byproducts — expressly incl. non-food tissue for technical/research/pharma use.</t>
        </is>
      </c>
      <c r="C17" s="5" t="inlineStr">
        <is>
          <t>THIS is the export pathway for your tissue. APHIS approves/lists the facility and endorses the per-shipment EU health certificate. Country rules live in IREGS.</t>
        </is>
      </c>
    </row>
    <row r="18" ht="62" customHeight="1">
      <c r="A18" s="49" t="inlineStr">
        <is>
          <t>State meat inspection</t>
        </is>
      </c>
      <c r="B18" s="5" t="inlineStr">
        <is>
          <t>Food safety, run by a state, 'at least equal to' FSIS. Edible product usually can't cross state lines.</t>
        </is>
      </c>
      <c r="C18" s="5" t="inlineStr">
        <is>
          <t>A state-inspected plant (e.g. Nahunta) is NOT disqualified from the APHIS byproduct export pathway — that pathway is APHIS's, not FSIS's. This reconciles 'Nahunta is special on certs' with 'Nahunta is state-inspected.'</t>
        </is>
      </c>
    </row>
    <row r="20" ht="20" customHeight="1">
      <c r="A20" s="34" t="inlineStr">
        <is>
          <t>WHAT THE EU ACTUALLY REQUIRES  (the practical spine)</t>
        </is>
      </c>
    </row>
    <row r="21" ht="48" customHeight="1">
      <c r="A21" s="4" t="inlineStr">
        <is>
          <t>Governing law</t>
        </is>
      </c>
      <c r="B21" s="5"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55" t="n"/>
    </row>
    <row r="22" ht="60" customHeight="1">
      <c r="A22" s="4" t="inlineStr">
        <is>
          <t>Category &amp; use</t>
        </is>
      </c>
      <c r="B22" s="5"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55" t="n"/>
    </row>
    <row r="23" ht="18" customHeight="1">
      <c r="A23" s="10" t="inlineStr">
        <is>
          <t>The four-step import spine</t>
        </is>
      </c>
      <c r="B23" s="56" t="n"/>
      <c r="C23" s="55" t="n"/>
    </row>
    <row r="24" ht="26" customHeight="1">
      <c r="A24" s="5" t="inlineStr">
        <is>
          <t>•  1. APPROVED THIRD COUNTRY — the US must be listed for that ABP category (country lists in Annex XIV of Reg (EU) 142/2011, amended e.g. by Reg (EU) 2022/384). The US is listed for many ABP categories.</t>
        </is>
      </c>
      <c r="B24" s="56" t="n"/>
      <c r="C24" s="55" t="n"/>
    </row>
    <row r="25" ht="36" customHeight="1">
      <c r="A25" s="5" t="inlineStr">
        <is>
          <t>•  2. LISTED ESTABLISHMENT — the origin plant must be APHIS-approved and appear on the EU TRACES establishment list for the category. (APHIS: 'Facilities must be listed by APHIS in compliance with Reg (EU) 142/2011 to export.')</t>
        </is>
      </c>
      <c r="B25" s="56" t="n"/>
      <c r="C25" s="55" t="n"/>
    </row>
    <row r="26" ht="26" customHeight="1">
      <c r="A26" s="5" t="inlineStr">
        <is>
          <t>•  3. ENDORSED HEALTH CERTIFICATE — a model veterinary health certificate (matching the category/use, from the 142/2011 annexes) accompanies the consignment, endorsed by APHIS Veterinary Services.</t>
        </is>
      </c>
      <c r="B26" s="56" t="n"/>
      <c r="C26" s="55" t="n"/>
    </row>
    <row r="27" ht="26" customHeight="1">
      <c r="A27" s="5" t="inlineStr">
        <is>
          <t>•  4. BORDER ENTRY via TRACES — entry through an EU Border Control Post with prior notification in TRACES (the CHED). APHIS endorses the certificate but does NOT prepare the EU entry document — that is the importer's side.</t>
        </is>
      </c>
      <c r="B27" s="56" t="n"/>
      <c r="C27" s="55" t="n"/>
    </row>
    <row r="28" ht="30" customHeight="1">
      <c r="A28" s="4" t="inlineStr">
        <is>
          <t>Documentation flow</t>
        </is>
      </c>
      <c r="B28" s="5" t="inlineStr">
        <is>
          <t>Slaughterhouse → exporter (facility listing status, species/origin, inspection records, traceability) → APHIS endorses the certificate → EU importer lodges the CHED in TRACES.</t>
        </is>
      </c>
      <c r="C28" s="55" t="n"/>
    </row>
    <row r="29" ht="20" customHeight="1">
      <c r="A29" s="34" t="inlineStr">
        <is>
          <t>MEDICAL-DEVICE ANGLE  (only if the end product is actually a device)</t>
        </is>
      </c>
    </row>
    <row r="30" ht="48" customHeight="1">
      <c r="A30" s="5"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56" t="n"/>
      <c r="C30" s="55" t="n"/>
    </row>
    <row r="31" ht="26" customHeight="1">
      <c r="A31" s="5" t="inlineStr">
        <is>
          <t>•  If it IS a device: Regulation (EU) 2017/745 (MDR), Annex I GSPR 13.1 governs devices manufactured using animal tissue.</t>
        </is>
      </c>
      <c r="B31" s="56" t="n"/>
      <c r="C31" s="55" t="n"/>
    </row>
    <row r="32" ht="36" customHeight="1">
      <c r="A32" s="5" t="inlineStr">
        <is>
          <t>•  KEY: Regulation (EU) No 722/2012 (the special TSE regime) does NOT cover porcine — it is limited to bovine, ovine, caprine, deer, elk, mink and cats. So porcine devices sit under MDR's GENERAL animal-origin requirements (13.1), NOT the 722/2012 procedure.</t>
        </is>
      </c>
      <c r="B32" s="56" t="n"/>
      <c r="C32" s="55" t="n"/>
    </row>
    <row r="33" ht="48" customHeight="1">
      <c r="A33" s="5"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56" t="n"/>
      <c r="C33" s="55" t="n"/>
    </row>
    <row r="34" ht="20" customHeight="1">
      <c r="A34" s="34" t="inlineStr">
        <is>
          <t>DOES THE SUPPLIER NEED 'APHIS CERTIFICATION'?  (direct answer)</t>
        </is>
      </c>
    </row>
    <row r="35" ht="36" customHeight="1">
      <c r="A35" s="5" t="inlineStr">
        <is>
          <t>•  'APHIS certification' is not one credential on the wall — it is a SYSTEM: (i) APHIS approves/lists a specific facility for a specific export certificate/category, and (ii) APHIS VS endorses the actual health certificate per shipment.</t>
        </is>
      </c>
      <c r="B35" s="56" t="n"/>
      <c r="C35" s="55" t="n"/>
    </row>
    <row r="36" ht="48" customHeight="1">
      <c r="A36" s="5"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56" t="n"/>
      <c r="C36" s="55" t="n"/>
    </row>
    <row r="37" ht="60" customHeight="1">
      <c r="A37" s="5"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56" t="n"/>
      <c r="C37" s="55" t="n"/>
    </row>
    <row r="39" ht="20" customHeight="1">
      <c r="A39" s="34" t="inlineStr">
        <is>
          <t>SUPPLIER CHECKLIST — require in writing (also in the Call Question Sheet, section G)</t>
        </is>
      </c>
    </row>
    <row r="40" ht="36" customHeight="1">
      <c r="A40" s="50" t="n">
        <v>1</v>
      </c>
      <c r="B40" s="5" t="inlineStr">
        <is>
          <t>APHIS export eligibility / facility approval — is the establishment already APHIS-approved and on the EU TRACES establishment list for the relevant ABP category? If not, willing to apply via APHIS VS?</t>
        </is>
      </c>
      <c r="C40" s="55" t="n"/>
    </row>
    <row r="41" ht="36" customHeight="1">
      <c r="A41" s="50" t="n">
        <v>2</v>
      </c>
      <c r="B41" s="5" t="inlineStr">
        <is>
          <t>Inspection status — USDA-FSIS or state-inspected? Can it document ante-mortem AND post-mortem veterinary inspection of the source animals? (Needed for many EU certificates and for MDR 13.1.)</t>
        </is>
      </c>
      <c r="C41" s="55" t="n"/>
    </row>
    <row r="42" ht="36" customHeight="1">
      <c r="A42" s="50" t="n">
        <v>3</v>
      </c>
      <c r="B42" s="5" t="inlineStr">
        <is>
          <t>Veterinary health certificates / affidavits — can it supply the source declarations/affidavits APHIS VS needs to endorse the EU model health certificate, and per-lot documentation?</t>
        </is>
      </c>
      <c r="C42" s="55" t="n"/>
    </row>
    <row r="43" ht="36" customHeight="1">
      <c r="A43" s="50" t="n">
        <v>4</v>
      </c>
      <c r="B43" s="5" t="inlineStr">
        <is>
          <t>Species, herd health &amp; country/region of origin — porcine only; US origin; herd-health assurances; animals healthy and fit for human consumption, with fallen stock / emergency-slaughtered / diseased animals excluded.</t>
        </is>
      </c>
      <c r="C43" s="55" t="n"/>
    </row>
    <row r="44" ht="36" customHeight="1">
      <c r="A44" s="50" t="n">
        <v>5</v>
      </c>
      <c r="B44" s="5" t="inlineStr">
        <is>
          <t>Traceability — lot-level traceability from live animal → tissue → shipment, and retention of geographical-origin records (required under MDR Annex I 13.1 if the end product is a device).</t>
        </is>
      </c>
      <c r="C44" s="55" t="n"/>
    </row>
    <row r="45" ht="36" customHeight="1">
      <c r="A45" s="50" t="n">
        <v>6</v>
      </c>
      <c r="B45" s="5" t="inlineStr">
        <is>
          <t>Records retention &amp; audit access — inspection, sourcing, and lot records; willingness to support APHIS facility audits and (if a device) notified-body / ISO 22442 documentation requests.</t>
        </is>
      </c>
      <c r="C45" s="55" t="n"/>
    </row>
    <row r="46" ht="36" customHeight="1">
      <c r="A46" s="50" t="n">
        <v>7</v>
      </c>
      <c r="B46" s="5" t="inlineStr">
        <is>
          <t>Category/use agreement — align on the ABP category (likely Cat 3) and intended use so the correct 142/2011 model certificate (research/diagnostic sample, commercial sample, technical product, or intermediate-product Chapter 20) can be identified.</t>
        </is>
      </c>
      <c r="C46" s="55" t="n"/>
    </row>
    <row r="48" ht="20" customHeight="1">
      <c r="A48" s="34" t="inlineStr">
        <is>
          <t>WHO TO LOOP IN  (this tab is orientation, not final legal advice)</t>
        </is>
      </c>
    </row>
    <row r="49" ht="26" customHeight="1">
      <c r="A49" s="5" t="inlineStr">
        <is>
          <t>•  APHIS VS Field Operations / Veterinary Export Trade Services — the authority on facility listing and which EU certificate applies to your exact product; they endorse the certificate.</t>
        </is>
      </c>
      <c r="B49" s="56" t="n"/>
      <c r="C49" s="55" t="n"/>
    </row>
    <row r="50" ht="26" customHeight="1">
      <c r="A50" s="5" t="inlineStr">
        <is>
          <t>•  Your EU importer — lodges the TRACES/CHED entry and knows the receiving Member State's border-control expectations.</t>
        </is>
      </c>
      <c r="B50" s="56" t="n"/>
      <c r="C50" s="55" t="n"/>
    </row>
    <row r="51" ht="26" customHeight="1">
      <c r="A51" s="5" t="inlineStr">
        <is>
          <t>•  A customs / regulatory specialist — to fix the ABP category, CN code, and correct 142/2011 model certificate per product line.</t>
        </is>
      </c>
      <c r="B51" s="56" t="n"/>
      <c r="C51" s="55" t="n"/>
    </row>
    <row r="52" ht="26" customHeight="1">
      <c r="A52" s="5" t="inlineStr">
        <is>
          <t>•  A notified body — only if any product is actually a medical device (MDR Annex I 13.1; porcine is outside 722/2012 but still scrutinized).</t>
        </is>
      </c>
      <c r="B52" s="56" t="n"/>
      <c r="C52" s="55" t="n"/>
    </row>
    <row r="54" ht="20" customHeight="1">
      <c r="A54" s="34" t="inlineStr">
        <is>
          <t>KEY SOURCES</t>
        </is>
      </c>
    </row>
    <row r="55" ht="24" customHeight="1">
      <c r="A55" s="51" t="inlineStr">
        <is>
          <t>•  APHIS — International Animal Product Export Regulations (IREGS): aphis.usda.gov/animal-product-export/international-animal-product-export-regulations</t>
        </is>
      </c>
      <c r="B55" s="56" t="n"/>
      <c r="C55" s="55" t="n"/>
    </row>
    <row r="56" ht="24" customHeight="1">
      <c r="A56" s="51" t="inlineStr">
        <is>
          <t>•  APHIS — Export Animal Products to the EU: aphis.usda.gov/animal-product-export/export-animal-products-european-union</t>
        </is>
      </c>
      <c r="B56" s="56" t="n"/>
      <c r="C56" s="55" t="n"/>
    </row>
    <row r="57" ht="24" customHeight="1">
      <c r="A57" s="51" t="inlineStr">
        <is>
          <t>•  EU ABP — Reg (EC) 1069/2009 (EUR-Lex summary) &amp; Reg (EU) 142/2011 (legislation.gov.uk consolidated); country lists Annex XIV via Reg (EU) 2022/384</t>
        </is>
      </c>
      <c r="B57" s="56" t="n"/>
      <c r="C57" s="55" t="n"/>
    </row>
    <row r="58" ht="24" customHeight="1">
      <c r="A58" s="51" t="inlineStr">
        <is>
          <t>•  EU devices — MDR (EU) 2017/745 (EUR-Lex); Reg (EU) 722/2012 (legislation.gov.uk) — porcine NOT covered; ISO 22442 series (industry practice)</t>
        </is>
      </c>
      <c r="B58" s="56" t="n"/>
      <c r="C58" s="55" t="n"/>
    </row>
    <row r="59" ht="24" customHeight="1">
      <c r="A59" s="51" t="inlineStr">
        <is>
          <t>•  USDA-EU approved U.S. establishments: usda-eu.org/import-controls/approved-u-s-establishments  ·  Third-country establishment lists explained: agrinfo.eu</t>
        </is>
      </c>
      <c r="B59" s="56" t="n"/>
      <c r="C59" s="55"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B40:C40"/>
    <mergeCell ref="A48:C48"/>
    <mergeCell ref="A59:C59"/>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5" customWidth="1" min="1" max="1"/>
    <col width="78" customWidth="1" min="2" max="2"/>
    <col width="40" customWidth="1" min="3" max="3"/>
  </cols>
  <sheetData>
    <row r="1" ht="26" customHeight="1">
      <c r="A1" s="1" t="inlineStr">
        <is>
          <t>Slaughterhouse Outreach — Call Agenda &amp; Question Sheet</t>
        </is>
      </c>
    </row>
    <row r="2" ht="30" customHeight="1">
      <c r="A2" s="2" t="inlineStr">
        <is>
          <t>One sheet per plant. Fill the YELLOW answer cells on the call, then transfer key data to the roster. Mirror of the CJB agenda style.</t>
        </is>
      </c>
    </row>
    <row r="4" ht="20" customHeight="1">
      <c r="A4" s="49" t="inlineStr"/>
      <c r="B4" s="4" t="inlineStr">
        <is>
          <t>Plant / contact</t>
        </is>
      </c>
      <c r="C4" s="8" t="inlineStr"/>
    </row>
    <row r="5" ht="20" customHeight="1">
      <c r="A5" s="49" t="inlineStr"/>
      <c r="B5" s="4" t="inlineStr">
        <is>
          <t>Phone / email</t>
        </is>
      </c>
      <c r="C5" s="8" t="inlineStr"/>
    </row>
    <row r="6" ht="20" customHeight="1">
      <c r="A6" s="49" t="inlineStr"/>
      <c r="B6" s="4" t="inlineStr">
        <is>
          <t>Date of call / caller</t>
        </is>
      </c>
      <c r="C6" s="8" t="inlineStr"/>
    </row>
    <row r="8" ht="20" customHeight="1">
      <c r="A8" s="34" t="inlineStr">
        <is>
          <t>A. HARD GATE — volume &amp; species</t>
        </is>
      </c>
    </row>
    <row r="9" ht="18" customHeight="1">
      <c r="A9" s="45" t="inlineStr">
        <is>
          <t>#</t>
        </is>
      </c>
      <c r="B9" s="45" t="inlineStr">
        <is>
          <t>Question</t>
        </is>
      </c>
      <c r="C9" s="45" t="inlineStr">
        <is>
          <t>Answer / Notes</t>
        </is>
      </c>
    </row>
    <row r="10" ht="30" customHeight="1">
      <c r="A10" s="52" t="n">
        <v>1</v>
      </c>
      <c r="B10" s="5" t="inlineStr">
        <is>
          <t>Do you slaughter HOGS (swine)?  Beef/other only?</t>
        </is>
      </c>
      <c r="C10" s="8" t="inlineStr"/>
    </row>
    <row r="11" ht="30" customHeight="1">
      <c r="A11" s="52" t="n">
        <v>2</v>
      </c>
      <c r="B11" s="5" t="inlineStr">
        <is>
          <t>How many hogs per WEEK do you kill (range across the year)?  Head/day x days?</t>
        </is>
      </c>
      <c r="C11" s="8" t="inlineStr"/>
    </row>
    <row r="12" ht="30" customHeight="1">
      <c r="A12" s="52" t="n">
        <v>3</v>
      </c>
      <c r="B12" s="5" t="inlineStr">
        <is>
          <t>Is that steady year-round, or seasonal? Any capacity to add head for us?</t>
        </is>
      </c>
      <c r="C12" s="8" t="inlineStr"/>
    </row>
    <row r="14" ht="20" customHeight="1">
      <c r="A14" s="34" t="inlineStr">
        <is>
          <t>B. Inspection &amp; certification</t>
        </is>
      </c>
    </row>
    <row r="15" ht="18" customHeight="1">
      <c r="A15" s="45" t="inlineStr">
        <is>
          <t>#</t>
        </is>
      </c>
      <c r="B15" s="45" t="inlineStr">
        <is>
          <t>Question</t>
        </is>
      </c>
      <c r="C15" s="45" t="inlineStr">
        <is>
          <t>Answer / Notes</t>
        </is>
      </c>
    </row>
    <row r="16" ht="30" customHeight="1">
      <c r="A16" s="52" t="n">
        <v>1</v>
      </c>
      <c r="B16" s="5" t="inlineStr">
        <is>
          <t>USDA-inspected (FSIS grant of inspection)?  Establishment number?</t>
        </is>
      </c>
      <c r="C16" s="8" t="inlineStr"/>
    </row>
    <row r="17" ht="30" customHeight="1">
      <c r="A17" s="52" t="n">
        <v>2</v>
      </c>
      <c r="B17" s="5" t="inlineStr">
        <is>
          <t>Or state-inspected?  Or custom-exempt?  (We need to know which.)</t>
        </is>
      </c>
      <c r="C17" s="8" t="inlineStr"/>
    </row>
    <row r="18" ht="30" customHeight="1">
      <c r="A18" s="52" t="n">
        <v>3</v>
      </c>
      <c r="B18" s="5" t="inlineStr">
        <is>
          <t>APHIS certification / any export or animal-health program status?</t>
        </is>
      </c>
      <c r="C18" s="8" t="inlineStr"/>
    </row>
    <row r="19" ht="30" customHeight="1">
      <c r="A19" s="52" t="n">
        <v>4</v>
      </c>
      <c r="B19" s="5" t="inlineStr">
        <is>
          <t>Any recent NRs / recalls / humane-handling actions we should know about?</t>
        </is>
      </c>
      <c r="C19" s="8" t="inlineStr"/>
    </row>
    <row r="21" ht="20" customHeight="1">
      <c r="A21" s="34" t="inlineStr">
        <is>
          <t>C. Tissue &amp; organ harvesting</t>
        </is>
      </c>
    </row>
    <row r="22" ht="18" customHeight="1">
      <c r="A22" s="45" t="inlineStr">
        <is>
          <t>#</t>
        </is>
      </c>
      <c r="B22" s="45" t="inlineStr">
        <is>
          <t>Question</t>
        </is>
      </c>
      <c r="C22" s="45" t="inlineStr">
        <is>
          <t>Answer / Notes</t>
        </is>
      </c>
    </row>
    <row r="23" ht="30" customHeight="1">
      <c r="A23" s="52" t="n">
        <v>1</v>
      </c>
      <c r="B23" s="5" t="inlineStr">
        <is>
          <t>Can we obtain pelvic / abdominal(bariatric) / thoracic tissue blocks — with the organs?</t>
        </is>
      </c>
      <c r="C23" s="8" t="inlineStr"/>
    </row>
    <row r="24" ht="30" customHeight="1">
      <c r="A24" s="52" t="n">
        <v>2</v>
      </c>
      <c r="B24" s="5" t="inlineStr">
        <is>
          <t>Which specific organs are currently saved vs. sent to rendering?</t>
        </is>
      </c>
      <c r="C24" s="8" t="inlineStr"/>
    </row>
    <row r="25" ht="30" customHeight="1">
      <c r="A25" s="52" t="n">
        <v>3</v>
      </c>
      <c r="B25" s="5" t="inlineStr">
        <is>
          <t>Any existing organ/tissue/biologics harvesting program? For whom?</t>
        </is>
      </c>
      <c r="C25" s="8" t="inlineStr"/>
    </row>
    <row r="26" ht="30" customHeight="1">
      <c r="A26" s="52" t="n">
        <v>4</v>
      </c>
      <c r="B26" s="5" t="inlineStr">
        <is>
          <t>Cooler/hanging space and time-to-chill after kill? (freshness/ischemia window)</t>
        </is>
      </c>
      <c r="C26" s="8" t="inlineStr"/>
    </row>
    <row r="28" ht="20" customHeight="1">
      <c r="A28" s="34" t="inlineStr">
        <is>
          <t>D. Operating model fit</t>
        </is>
      </c>
    </row>
    <row r="29" ht="18" customHeight="1">
      <c r="A29" s="45" t="inlineStr">
        <is>
          <t>#</t>
        </is>
      </c>
      <c r="B29" s="45" t="inlineStr">
        <is>
          <t>Question</t>
        </is>
      </c>
      <c r="C29" s="45" t="inlineStr">
        <is>
          <t>Answer / Notes</t>
        </is>
      </c>
    </row>
    <row r="30" ht="30" customHeight="1">
      <c r="A30" s="52" t="n">
        <v>1</v>
      </c>
      <c r="B30" s="5" t="inlineStr">
        <is>
          <t>MODEL A: Would you rent us line/floor access + cooler space so OUR harvesters collect on-site? Scheduling around the kill?</t>
        </is>
      </c>
      <c r="C30" s="8" t="inlineStr"/>
    </row>
    <row r="31" ht="30" customHeight="1">
      <c r="A31" s="52" t="n">
        <v>2</v>
      </c>
      <c r="B31" s="5" t="inlineStr">
        <is>
          <t>MODEL B: Would YOUR crew harvest to our protocol if we send trainers/inspectors? Willing to be audited?</t>
        </is>
      </c>
      <c r="C31" s="8" t="inlineStr"/>
    </row>
    <row r="32" ht="30" customHeight="1">
      <c r="A32" s="52" t="n">
        <v>3</v>
      </c>
      <c r="B32" s="5" t="inlineStr">
        <is>
          <t>Space, PPE, biosecurity, and scheduling constraints for either model?</t>
        </is>
      </c>
      <c r="C32" s="8" t="inlineStr"/>
    </row>
    <row r="34" ht="20" customHeight="1">
      <c r="A34" s="34" t="inlineStr">
        <is>
          <t>E. Culture &amp; workforce (the Nahunta test)</t>
        </is>
      </c>
    </row>
    <row r="35" ht="18" customHeight="1">
      <c r="A35" s="45" t="inlineStr">
        <is>
          <t>#</t>
        </is>
      </c>
      <c r="B35" s="45" t="inlineStr">
        <is>
          <t>Question</t>
        </is>
      </c>
      <c r="C35" s="45" t="inlineStr">
        <is>
          <t>Answer / Notes</t>
        </is>
      </c>
    </row>
    <row r="36" ht="30" customHeight="1">
      <c r="A36" s="52" t="n">
        <v>1</v>
      </c>
      <c r="B36" s="5" t="inlineStr">
        <is>
          <t>How long have your line/kill-floor staff been with you (tenure)?</t>
        </is>
      </c>
      <c r="C36" s="8" t="inlineStr"/>
    </row>
    <row r="37" ht="30" customHeight="1">
      <c r="A37" s="52" t="n">
        <v>2</v>
      </c>
      <c r="B37" s="5" t="inlineStr">
        <is>
          <t>Family-owned? How do you handle animal welfare &amp; humane handling?</t>
        </is>
      </c>
      <c r="C37" s="8" t="inlineStr"/>
    </row>
    <row r="38" ht="30" customHeight="1">
      <c r="A38" s="52" t="n">
        <v>3</v>
      </c>
      <c r="B38" s="5" t="inlineStr">
        <is>
          <t>When we've had quality issues elsewhere it was hard to resolve — how do you handle a quality complaint?</t>
        </is>
      </c>
      <c r="C38" s="8" t="inlineStr"/>
    </row>
    <row r="40" ht="20" customHeight="1">
      <c r="A40" s="34" t="inlineStr">
        <is>
          <t>F. Commercial</t>
        </is>
      </c>
    </row>
    <row r="41" ht="18" customHeight="1">
      <c r="A41" s="45" t="inlineStr">
        <is>
          <t>#</t>
        </is>
      </c>
      <c r="B41" s="45" t="inlineStr">
        <is>
          <t>Question</t>
        </is>
      </c>
      <c r="C41" s="45" t="inlineStr">
        <is>
          <t>Answer / Notes</t>
        </is>
      </c>
    </row>
    <row r="42" ht="30" customHeight="1">
      <c r="A42" s="52" t="n">
        <v>1</v>
      </c>
      <c r="B42" s="5" t="inlineStr">
        <is>
          <t>Pricing: per-visit access/rental (Model A) or per-piece harvest fee (Model B)?</t>
        </is>
      </c>
      <c r="C42" s="8" t="inlineStr"/>
    </row>
    <row r="43" ht="30" customHeight="1">
      <c r="A43" s="52" t="n">
        <v>2</v>
      </c>
      <c r="B43" s="5" t="inlineStr">
        <is>
          <t>Minimums, lead time, and how far ahead we must schedule?</t>
        </is>
      </c>
      <c r="C43" s="8" t="inlineStr"/>
    </row>
    <row r="44" ht="30" customHeight="1">
      <c r="A44" s="52" t="n">
        <v>3</v>
      </c>
      <c r="B44" s="5" t="inlineStr">
        <is>
          <t>NDA needed before we share our harvesting protocol?</t>
        </is>
      </c>
      <c r="C44" s="8" t="inlineStr"/>
    </row>
    <row r="46" ht="20" customHeight="1">
      <c r="A46" s="34" t="inlineStr">
        <is>
          <t>G. EU-EXPORT ELIGIBILITY — APHIS / animal by-products (ask if models go to Europe)</t>
        </is>
      </c>
    </row>
    <row r="47" ht="18" customHeight="1">
      <c r="A47" s="45" t="inlineStr">
        <is>
          <t>#</t>
        </is>
      </c>
      <c r="B47" s="45" t="inlineStr">
        <is>
          <t>Question</t>
        </is>
      </c>
      <c r="C47" s="45" t="inlineStr">
        <is>
          <t>Answer / Notes</t>
        </is>
      </c>
    </row>
    <row r="48" ht="30" customHeight="1">
      <c r="A48" s="52" t="n">
        <v>1</v>
      </c>
      <c r="B48" s="5" t="inlineStr">
        <is>
          <t>Are you already APHIS-approved and on the EU TRACES establishment list for animal-byproduct export? If not, willing to apply via APHIS VS?</t>
        </is>
      </c>
      <c r="C48" s="8" t="inlineStr"/>
    </row>
    <row r="49" ht="30" customHeight="1">
      <c r="A49" s="52" t="n">
        <v>2</v>
      </c>
      <c r="B49" s="5" t="inlineStr">
        <is>
          <t>Can you document ante-mortem AND post-mortem veterinary inspection of the animals?</t>
        </is>
      </c>
      <c r="C49" s="8" t="inlineStr"/>
    </row>
    <row r="50" ht="30" customHeight="1">
      <c r="A50" s="52" t="n">
        <v>3</v>
      </c>
      <c r="B50" s="5" t="inlineStr">
        <is>
          <t>Can you provide the source declarations/affidavits APHIS needs to endorse an EU health certificate, with per-lot documentation?</t>
        </is>
      </c>
      <c r="C50" s="8" t="inlineStr"/>
    </row>
    <row r="51" ht="30" customHeight="1">
      <c r="A51" s="52" t="n">
        <v>4</v>
      </c>
      <c r="B51" s="5" t="inlineStr">
        <is>
          <t>Lot-level traceability (live animal -&gt; tissue -&gt; shipment) and geographical-origin records retained?</t>
        </is>
      </c>
      <c r="C51" s="8" t="inlineStr"/>
    </row>
    <row r="52" ht="30" customHeight="1">
      <c r="A52" s="52" t="n">
        <v>5</v>
      </c>
      <c r="B52" s="5" t="inlineStr">
        <is>
          <t>Willing to support APHIS facility audits and (if a device) notified-body / ISO 22442 documentation?</t>
        </is>
      </c>
      <c r="C52" s="8" t="inlineStr"/>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0" customWidth="1" min="1" max="1"/>
    <col width="52" customWidth="1" min="2" max="2"/>
    <col width="13" customWidth="1" min="3" max="3"/>
    <col width="60" customWidth="1" min="4" max="4"/>
  </cols>
  <sheetData>
    <row r="1" ht="26" customHeight="1">
      <c r="A1" s="1" t="inlineStr">
        <is>
          <t>Sources &amp; Confidence</t>
        </is>
      </c>
    </row>
    <row r="2" ht="30" customHeight="1">
      <c r="A2" s="2" t="inlineStr">
        <is>
          <t>Where each class of fact came from, and how much to trust it before acting. Verify volumes/certs by phone.</t>
        </is>
      </c>
    </row>
    <row r="4" ht="20" customHeight="1">
      <c r="A4" s="45" t="inlineStr">
        <is>
          <t>Topic / entity</t>
        </is>
      </c>
      <c r="B4" s="45" t="inlineStr">
        <is>
          <t>Source</t>
        </is>
      </c>
      <c r="C4" s="45" t="inlineStr">
        <is>
          <t>Confidence</t>
        </is>
      </c>
      <c r="D4" s="45" t="inlineStr">
        <is>
          <t>Note</t>
        </is>
      </c>
    </row>
    <row r="5" ht="34" customHeight="1">
      <c r="A5" s="7" t="inlineStr">
        <is>
          <t>National vendor prices</t>
        </is>
      </c>
      <c r="B5" s="5" t="inlineStr">
        <is>
          <t>innov-research.com porcine product pages (heart/lung/kidney/bladder/liver/stomach/pelvic-block)</t>
        </is>
      </c>
      <c r="C5" s="53" t="inlineStr">
        <is>
          <t>High</t>
        </is>
      </c>
      <c r="D5" s="5" t="inlineStr">
        <is>
          <t>Only vendor with published per-organ list prices: from $141/organ, pelvic block from $582 (base configs).</t>
        </is>
      </c>
    </row>
    <row r="6" ht="34" customHeight="1">
      <c r="A6" s="7" t="inlineStr">
        <is>
          <t>Pel-Freez thyroid price</t>
        </is>
      </c>
      <c r="B6" s="5" t="inlineStr">
        <is>
          <t>pel-freez.com/pig-thyroid-59452</t>
        </is>
      </c>
      <c r="C6" s="53" t="inlineStr">
        <is>
          <t>High</t>
        </is>
      </c>
      <c r="D6" s="5" t="inlineStr">
        <is>
          <t>Porcine thyroid #59452 from $361; other porcine organ prices not individually verified.</t>
        </is>
      </c>
    </row>
    <row r="7" ht="34" customHeight="1">
      <c r="A7" s="7" t="inlineStr">
        <is>
          <t>Animal Technologies</t>
        </is>
      </c>
      <c r="B7" s="5" t="inlineStr">
        <is>
          <t>animaltechnologies.com/porcine</t>
        </is>
      </c>
      <c r="C7" s="53" t="inlineStr">
        <is>
          <t>High</t>
        </is>
      </c>
      <c r="D7" s="5" t="inlineStr">
        <is>
          <t>Broad catalog, plucks for training; prices quote-only.</t>
        </is>
      </c>
    </row>
    <row r="8" ht="34" customHeight="1">
      <c r="A8" s="7" t="inlineStr">
        <is>
          <t>Animal Biotech Industries</t>
        </is>
      </c>
      <c r="B8" s="5" t="inlineStr">
        <is>
          <t>animalbiotech.com/porcine-tissues</t>
        </is>
      </c>
      <c r="C8" s="53" t="inlineStr">
        <is>
          <t>High</t>
        </is>
      </c>
      <c r="D8" s="5" t="inlineStr">
        <is>
          <t>USDA-inspected sourcing; custom blocks; quote-only.</t>
        </is>
      </c>
    </row>
    <row r="9" ht="34" customHeight="1">
      <c r="A9" s="7" t="inlineStr">
        <is>
          <t>Tissue Source</t>
        </is>
      </c>
      <c r="B9" s="5" t="inlineStr">
        <is>
          <t>tissue-source.com</t>
        </is>
      </c>
      <c r="C9" s="53" t="inlineStr">
        <is>
          <t>High</t>
        </is>
      </c>
      <c r="D9" s="5" t="inlineStr">
        <is>
          <t>ISO 13485 + USDA Class A license — strongest QMS among vendors; quote-only.</t>
        </is>
      </c>
    </row>
    <row r="10" ht="34" customHeight="1">
      <c r="A10" s="7" t="inlineStr">
        <is>
          <t>Smithfield BioScience</t>
        </is>
      </c>
      <c r="B10" s="5" t="inlineStr">
        <is>
          <t>smithfieldbioscience.com/products/porcine</t>
        </is>
      </c>
      <c r="C10" s="53" t="inlineStr">
        <is>
          <t>High</t>
        </is>
      </c>
      <c r="D10" s="5" t="inlineStr">
        <is>
          <t>Packer-integrated; quote-only.</t>
        </is>
      </c>
    </row>
    <row r="11" ht="34" customHeight="1">
      <c r="A11" s="7" t="inlineStr">
        <is>
          <t>WG Biomedical</t>
        </is>
      </c>
      <c r="B11" s="5" t="inlineStr">
        <is>
          <t>wgbiomedical.com</t>
        </is>
      </c>
      <c r="C11" s="53" t="inlineStr">
        <is>
          <t>High</t>
        </is>
      </c>
      <c r="D11" s="5" t="inlineStr">
        <is>
          <t>Iowa; pig pluck &amp; surgical-training organs; quote-only.</t>
        </is>
      </c>
    </row>
    <row r="12" ht="34" customHeight="1">
      <c r="A12" s="7" t="inlineStr">
        <is>
          <t>LAMPIRE / BioChemed / BioIVT / Sierra / SSR / MRS</t>
        </is>
      </c>
      <c r="B12" s="5" t="inlineStr">
        <is>
          <t>respective vendor sites (see National tab)</t>
        </is>
      </c>
      <c r="C12" s="53" t="inlineStr">
        <is>
          <t>High</t>
        </is>
      </c>
      <c r="D12" s="5" t="inlineStr">
        <is>
          <t>All genuinely quote-only; no invented prices.</t>
        </is>
      </c>
    </row>
    <row r="13" ht="34" customHeight="1">
      <c r="A13" s="7" t="inlineStr">
        <is>
          <t>Cross-off leads</t>
        </is>
      </c>
      <c r="B13" s="5" t="inlineStr">
        <is>
          <t>premierbiosource.com; sciencecare.com; zivic listing</t>
        </is>
      </c>
      <c r="C13" s="53" t="inlineStr">
        <is>
          <t>High</t>
        </is>
      </c>
      <c r="D13" s="5" t="inlineStr">
        <is>
          <t>Premier=live swine; Science Care=human; Zivic=rodent — all out of scope as porcine tissue vendors.</t>
        </is>
      </c>
    </row>
    <row r="14" ht="34" customHeight="1">
      <c r="A14" s="7" t="inlineStr">
        <is>
          <t>NC plant directory</t>
        </is>
      </c>
      <c r="B14" s="5" t="inlineStr">
        <is>
          <t>NCDA&amp;CS Meat &amp; Poultry Inspection 'plants that slaughter for farmers' (via cefs.ncsu.edu PDF, dated Oct 2018); div. 919-707-3180</t>
        </is>
      </c>
      <c r="C14" s="54" t="inlineStr">
        <is>
          <t>Med</t>
        </is>
      </c>
      <c r="D14" s="5" t="inlineStr">
        <is>
          <t>Backbone of the NC list. Dated 2018 — confirm current operating status/volumes by phone. USDA-vs-state status verified only where noted.</t>
        </is>
      </c>
    </row>
    <row r="15" ht="34" customHeight="1">
      <c r="A15" s="7" t="inlineStr">
        <is>
          <t>Martin's Pork Products (incumbent)</t>
        </is>
      </c>
      <c r="B15" s="5" t="inlineStr">
        <is>
          <t>NCDA&amp;CS Talmadge-Aiken plant directory (Est. TA-6720); ncmpa.com; D&amp;B/Manta; martinspork.com</t>
        </is>
      </c>
      <c r="C15" s="53" t="inlineStr">
        <is>
          <t>High</t>
        </is>
      </c>
      <c r="D15" s="5" t="inlineStr">
        <is>
          <t>CORRECTED to Martin's Pork Products, Falcon NC — active USDA T-A slaughter+processing, ~75 staff, (910) 980-1501, beth@martinspork.com. Distinct from the closed Martin's Abattoir (Godwin, cattle, closed 2013).</t>
        </is>
      </c>
    </row>
    <row r="16" ht="34" customHeight="1">
      <c r="A16" s="7" t="inlineStr">
        <is>
          <t>Nahunta</t>
        </is>
      </c>
      <c r="B16" s="5" t="inlineStr">
        <is>
          <t>southernfoodways.org; nahuntapork.com; bitandgrain.com</t>
        </is>
      </c>
      <c r="C16" s="53" t="inlineStr">
        <is>
          <t>High</t>
        </is>
      </c>
      <c r="D16" s="5" t="inlineStr">
        <is>
          <t>Nahunta = NC STATE-inspected (not USDA-FSIS), ~150 hogs/day, 3rd-gen Pierce family.</t>
        </is>
      </c>
    </row>
    <row r="17" ht="34" customHeight="1">
      <c r="A17" s="7" t="inlineStr">
        <is>
          <t>SC facilities</t>
        </is>
      </c>
      <c r="B17" s="5" t="inlineStr">
        <is>
          <t>caughmans.com; knockoutbutchery.com; FSIS notice (Palmetto Fresh suspension); Clemson SCMPID lists (803-788-8747)</t>
        </is>
      </c>
      <c r="C17" s="54" t="inlineStr">
        <is>
          <t>Med</t>
        </is>
      </c>
      <c r="D17" s="5" t="inlineStr">
        <is>
          <t>Caughman's USDA + family verified; several SC 'deer &amp; hog' shops likely custom-exempt — flag. Palmetto Fresh slaughter suspended Feb 2022.</t>
        </is>
      </c>
    </row>
    <row r="18" ht="34" customHeight="1">
      <c r="A18" s="7" t="inlineStr">
        <is>
          <t>TN facilities</t>
        </is>
      </c>
      <c r="B18" s="5" t="inlineStr">
        <is>
          <t>UT Center for Profitable Agriculture USDA-processor list (cpa.tennessee.edu); company sites</t>
        </is>
      </c>
      <c r="C18" s="54" t="inlineStr">
        <is>
          <t>Med</t>
        </is>
      </c>
      <c r="D18" s="5" t="inlineStr">
        <is>
          <t>13 USDA hog-slaughter shops listed. Cherry Meat ~80 hogs/month verified. Most well under a few hundred/wk — confirm.</t>
        </is>
      </c>
    </row>
    <row r="19" ht="34" customHeight="1">
      <c r="A19" s="7" t="inlineStr">
        <is>
          <t>VA facilities</t>
        </is>
      </c>
      <c r="B19" s="5" t="inlineStr">
        <is>
          <t>ecofriendly.com; temeats.com; blueridgemeats.com; FSIS listing (Fauquier's); VDACS (omps@vdacs.virginia.gov, 804-786-4569); vabeef.org</t>
        </is>
      </c>
      <c r="C19" s="53" t="inlineStr">
        <is>
          <t>High</t>
        </is>
      </c>
      <c r="D19" s="5" t="inlineStr">
        <is>
          <t>EcoFriendly Certified Humane; T&amp;E + Blue Ridge AWA — all verified USDA + hog slaughter. Strongest welfare bench.</t>
        </is>
      </c>
    </row>
    <row r="20" ht="34" customHeight="1">
      <c r="A20" s="7" t="inlineStr">
        <is>
          <t>Iowa / Midwest</t>
        </is>
      </c>
      <c r="B20" s="5" t="inlineStr">
        <is>
          <t>postbulletin.com (MRS); smithfieldbioscience.com; proteinintel.com (FSIS est. data); lorentzmeats.com; sigiowa.com; eickmans.com</t>
        </is>
      </c>
      <c r="C20" s="53" t="inlineStr">
        <is>
          <t>Med-High</t>
        </is>
      </c>
      <c r="D20" s="5" t="inlineStr">
        <is>
          <t>MRS ~20k/yr verified; Smithfield BioScience organ program verified. Large-packer biologics programs (Seaboard/Prestage/Wholestone) NOT confirmed — do not assume.</t>
        </is>
      </c>
    </row>
    <row r="21" ht="34" customHeight="1">
      <c r="A21" s="7" t="inlineStr">
        <is>
          <t>Authoritative confirmation source</t>
        </is>
      </c>
      <c r="B21" s="5" t="inlineStr">
        <is>
          <t>USDA FSIS MPI Directory + Establishment Demographic Data — fsis.usda.gov/inspection/establishments</t>
        </is>
      </c>
      <c r="C21" s="53" t="inlineStr">
        <is>
          <t>High</t>
        </is>
      </c>
      <c r="D21" s="5" t="inlineStr">
        <is>
          <t>Lists species slaughtered + size class per establishment, updated weekly. FSIS blocked automated fetches (Akamai 403) — pull via browser or the 'USDA MPI Directory' mobile app.</t>
        </is>
      </c>
    </row>
    <row r="22" ht="34" customHeight="1">
      <c r="A22" s="7" t="inlineStr">
        <is>
          <t>APHIS vs FSIS vs state inspection</t>
        </is>
      </c>
      <c r="B22" s="5" t="inlineStr">
        <is>
          <t>aphis.usda.gov/animal-product-export (IREGS); fsis.usda.gov/inspection/import-export</t>
        </is>
      </c>
      <c r="C22" s="53" t="inlineStr">
        <is>
          <t>High</t>
        </is>
      </c>
      <c r="D22" s="5" t="inlineStr">
        <is>
          <t>Three distinct regimes. APHIS Veterinary Services (not FSIS) is the export pathway for non-food tissue; a state-inspected plant is NOT disqualified from it.</t>
        </is>
      </c>
    </row>
    <row r="23" ht="34" customHeight="1">
      <c r="A23" s="7" t="inlineStr">
        <is>
          <t>EU animal by-products law</t>
        </is>
      </c>
      <c r="B23" s="5" t="inlineStr">
        <is>
          <t>EUR-Lex Reg (EC) 1069/2009; Reg (EU) 142/2011 (legislation.gov.uk consolidated); Annex XIV via Reg (EU) 2022/384</t>
        </is>
      </c>
      <c r="C23" s="53" t="inlineStr">
        <is>
          <t>High</t>
        </is>
      </c>
      <c r="D23" s="5" t="inlineStr">
        <is>
          <t>Governs import of porcine tissue not for human consumption. Typically Category 3; US is a listed third country; origin establishment must be APHIS-listed on TRACES; APHIS-VS-endorsed model health certificate required.</t>
        </is>
      </c>
    </row>
    <row r="24" ht="34" customHeight="1">
      <c r="A24" s="7" t="inlineStr">
        <is>
          <t>EU medical-device angle</t>
        </is>
      </c>
      <c r="B24" s="5" t="inlineStr">
        <is>
          <t>MDR (EU) 2017/745 Annex I 13.1; Reg (EU) 722/2012 (legislation.gov.uk); ISO 22442 (practice)</t>
        </is>
      </c>
      <c r="C24" s="53" t="inlineStr">
        <is>
          <t>High</t>
        </is>
      </c>
      <c r="D24" s="5" t="inlineStr">
        <is>
          <t>722/2012 (TSE) does NOT cover porcine (bovine/ovine/caprine/deer/elk/mink/cats only). Porcine devices fall under MDR general animal-origin requirements. A training 'model' may not be a device at all — classification call for a specialist/notified body.</t>
        </is>
      </c>
    </row>
    <row r="25" ht="34" customHeight="1">
      <c r="A25" s="7" t="inlineStr">
        <is>
          <t>APHIS / EU — caveat</t>
        </is>
      </c>
      <c r="B25" s="5" t="inlineStr">
        <is>
          <t>APHIS VS Field Operations / Veterinary Export Trade Services; EU importer; notified body</t>
        </is>
      </c>
      <c r="C25" s="54" t="inlineStr">
        <is>
          <t>Med</t>
        </is>
      </c>
      <c r="D25" s="5" t="inlineStr">
        <is>
          <t>NOT legal advice. Exact ABP category, CN code, and 142/2011 model certificate must be confirmed per product line with APHIS VS and a customs/regulatory specialist.</t>
        </is>
      </c>
    </row>
    <row r="26" ht="34" customHeight="1">
      <c r="A26" s="7" t="inlineStr">
        <is>
          <t>USDA/FSIS enforcement (per facility)</t>
        </is>
      </c>
      <c r="B26" s="5" t="inlineStr">
        <is>
          <t>FSIS Quarterly Enforcement Reports &amp; NOS/NOIE PDFs; AWI Humane Slaughter suspension list; PETA/ASPCA releases; local news</t>
        </is>
      </c>
      <c r="C26" s="53" t="inlineStr">
        <is>
          <t>Med-High</t>
        </is>
      </c>
      <c r="D26" s="5"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 customHeight="1">
      <c r="A27" s="7" t="inlineStr">
        <is>
          <t>Export / APHIS lookup sites</t>
        </is>
      </c>
      <c r="B27" s="5" t="inlineStr">
        <is>
          <t>FSIS 'Eligible Establishments by Country' + EU page; FSIS MPI directory; APHIS Export-to-EU (VS); EU TRACES-NT; usda-eu.org</t>
        </is>
      </c>
      <c r="C27" s="53" t="inlineStr">
        <is>
          <t>High</t>
        </is>
      </c>
      <c r="D27" s="5" t="inlineStr">
        <is>
          <t>The authoritative places to check export/APHIS listing yourself (see 'APHIS &amp; EU Export' tab). No facility confirmed EU/APHIS-listed for research tissue; 6 large plants FSIS export-certified for edible meat only.</t>
        </is>
      </c>
    </row>
    <row r="28" ht="34" customHeight="1">
      <c r="A28" s="7" t="inlineStr">
        <is>
          <t>National vendors × EU export</t>
        </is>
      </c>
      <c r="B28" s="5" t="inlineStr">
        <is>
          <t>Vendor sites (ISO/USDA claims); Reg (EC) 1069/2009 &amp; (EU) 142/2011; MDR Annex I 13.1 / ISO 22442</t>
        </is>
      </c>
      <c r="C28" s="53" t="inlineStr">
        <is>
          <t>Med-High</t>
        </is>
      </c>
      <c r="D28" s="5"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pane ySplit="43" topLeftCell="A44" activePane="bottomLeft" state="frozen"/>
      <selection pane="bottomLeft" activeCell="A1" sqref="A1"/>
    </sheetView>
  </sheetViews>
  <sheetFormatPr baseColWidth="8" defaultRowHeight="15"/>
  <cols>
    <col width="30" customWidth="1" min="1" max="1"/>
    <col width="22" customWidth="1" min="2" max="2"/>
    <col width="30" customWidth="1" min="3" max="3"/>
    <col width="24" customWidth="1" min="4" max="4"/>
    <col width="17" customWidth="1" min="5" max="5"/>
    <col width="13" customWidth="1" min="6" max="6"/>
    <col width="5" customWidth="1" min="7" max="7"/>
    <col width="78" customWidth="1" min="8" max="8"/>
  </cols>
  <sheetData>
    <row r="1" ht="26" customHeight="1">
      <c r="A1" s="57" t="inlineStr">
        <is>
          <t>Deep Study — Multi-Agent Re-Research with Adversarial Verification</t>
        </is>
      </c>
    </row>
    <row r="2" ht="32" customHeight="1">
      <c r="A2" s="2" t="inlineStr">
        <is>
          <t>21 agents · 121 facility records · 10 candidates adversarially verified (agents told to REFUTE, not confirm) · ~2.0M tokens, 1,091 tool calls, 0 errors.  Verdicts here OVERRIDE the earlier tabs where they conflict.</t>
        </is>
      </c>
    </row>
    <row r="4" ht="20" customHeight="1">
      <c r="A4" s="58" t="inlineStr">
        <is>
          <t>KEY FINDINGS  (ranked by decision impact)</t>
        </is>
      </c>
    </row>
    <row r="5" ht="48" customHeight="1">
      <c r="A5" s="11"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c r="A6" s="11"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c r="A7" s="11"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c r="A8" s="11"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c r="A9" s="11"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c r="A10" s="11"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c r="A11" s="11"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c r="A12" s="11"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c r="A13" s="11"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c r="A14" s="11"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c r="A15" s="11"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20" customHeight="1">
      <c r="A17" s="58" t="inlineStr">
        <is>
          <t>WHAT THE VERIFICATION CHANGED  (vs. the first pass)</t>
        </is>
      </c>
    </row>
    <row r="18" ht="48" customHeight="1">
      <c r="A18" s="4" t="inlineStr">
        <is>
          <t>PROMOTED — Nahunta (P-80A)</t>
        </is>
      </c>
      <c r="B18" s="5"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row>
    <row r="19" ht="60" customHeight="1">
      <c r="A19" s="4" t="inlineStr">
        <is>
          <t>PROMOTED — Martin's Pork Products (TA-6720)</t>
        </is>
      </c>
      <c r="B19" s="5"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row>
    <row r="20" ht="48" customHeight="1">
      <c r="A20" s="4" t="inlineStr">
        <is>
          <t>DOWNGRADED — Acre Station</t>
        </is>
      </c>
      <c r="B20" s="5"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row>
    <row r="21" ht="60" customHeight="1">
      <c r="A21" s="4" t="inlineStr">
        <is>
          <t>DOWNGRADED — Piedmont Custom Meats</t>
        </is>
      </c>
      <c r="B21" s="5"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row>
    <row r="22" ht="36" customHeight="1">
      <c r="A22" s="4" t="inlineStr">
        <is>
          <t>DOWNGRADED — Williamsburg Packing (SC)</t>
        </is>
      </c>
      <c r="B22" s="5"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row>
    <row r="23" ht="60" customHeight="1">
      <c r="A23" s="4" t="inlineStr">
        <is>
          <t>DOWNGRADED — Swaggerty Sausage (TN)</t>
        </is>
      </c>
      <c r="B23" s="5"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row>
    <row r="24" ht="60" customHeight="1">
      <c r="A24" s="4" t="inlineStr">
        <is>
          <t>DOWNGRADED — EcoFriendly Foods (VA)</t>
        </is>
      </c>
      <c r="B24" s="5"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row>
    <row r="25" ht="84" customHeight="1">
      <c r="A25" s="4" t="inlineStr">
        <is>
          <t>KILLED — T&amp;E Meats / Honest Meats LLC (VA)</t>
        </is>
      </c>
      <c r="B25" s="5"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row>
    <row r="26" ht="48" customHeight="1">
      <c r="A26" s="4" t="inlineStr">
        <is>
          <t>KILLED — the 'family plant' thesis at Williams Sausage (TN)</t>
        </is>
      </c>
      <c r="B26" s="5"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row>
    <row r="27" ht="96" customHeight="1">
      <c r="A27" s="4" t="inlineStr">
        <is>
          <t>IDENTITY CORRECTIONS</t>
        </is>
      </c>
      <c r="B27" s="5"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row>
    <row r="29" ht="20" customHeight="1">
      <c r="A29" s="58" t="inlineStr">
        <is>
          <t>RECOMMENDED CONTACT ORDER  (post-verification)</t>
        </is>
      </c>
    </row>
    <row r="30" ht="18" customHeight="1">
      <c r="A30" s="6" t="inlineStr">
        <is>
          <t>#</t>
        </is>
      </c>
      <c r="B30" s="6" t="inlineStr">
        <is>
          <t>Facility</t>
        </is>
      </c>
      <c r="C30" s="6" t="inlineStr">
        <is>
          <t>Why</t>
        </is>
      </c>
      <c r="D30" s="6" t="inlineStr">
        <is>
          <t>Confirm on the call</t>
        </is>
      </c>
    </row>
    <row r="31" ht="36" customHeight="1">
      <c r="A31" s="50" t="n">
        <v>1</v>
      </c>
      <c r="B31" s="7" t="inlineStr">
        <is>
          <t>Nahunta Slaughter House, Inc.  (Est. P-80A, Pikeville NC · 919-242-4735)</t>
        </is>
      </c>
      <c r="C31" s="5" t="inlineStr">
        <is>
          <t>Only candidate with a PUBLISHED research-specimen pathway and fresh spleens/hearts/livers as standing retail SKUs — direct evidence viscera leave the kill floor intact. Culture benchmark; swine-only; verified open on a regulator PDF dated 2026-07-24.</t>
        </is>
      </c>
      <c r="H31" s="8" t="inlineStr">
        <is>
          <t>How many hogs do you KILL per week under P-80A — and how many carcasses do you buy in for P-80?</t>
        </is>
      </c>
    </row>
    <row r="32" ht="30" customHeight="1">
      <c r="A32" s="50" t="n">
        <v>2</v>
      </c>
      <c r="B32" s="7" t="inlineStr">
        <is>
          <t>Martin's Pork Products, Inc.  (Est. TA-6720, Falcon NC · 910-980-1501)</t>
        </is>
      </c>
      <c r="C32" s="5" t="inlineStr">
        <is>
          <t>The only verified hog-only, federally-inspected, export-structurally-eligible plant plausibly in your band — and an incumbent, so the call is cheap. The volume objection has evaporated.</t>
        </is>
      </c>
      <c r="H32" s="8" t="inlineStr">
        <is>
          <t>Actual current head/week, and WHO OWNS THE PLANT TODAY (deeds suggest your culture read may be stale). Confirm the street address.</t>
        </is>
      </c>
    </row>
    <row r="33" ht="36" customHeight="1">
      <c r="A33" s="50" t="n">
        <v>3</v>
      </c>
      <c r="B33" s="7" t="inlineStr">
        <is>
          <t>Larry's Sausage Company, Inc.  (Est. TA-8305, Fayetteville NC)</t>
        </is>
      </c>
      <c r="C33" s="5" t="inlineStr">
        <is>
          <t>Closest structural analogue to Nahunta but with federal/exportable TA inspection: swine-only, family-owned since 1952, three generations. FLAG: never adversarially verified — treat at the same confidence as the pre-verification file that failed elsewhere.</t>
        </is>
      </c>
      <c r="H33" s="8" t="inlineStr">
        <is>
          <t>Actual weekly kill. The 200-800/wk figure is a labelled estimate from distribution footprint — that number decides everything.</t>
        </is>
      </c>
    </row>
    <row r="34" ht="30" customHeight="1">
      <c r="A34" s="50" t="n">
        <v>4</v>
      </c>
      <c r="B34" s="7" t="inlineStr">
        <is>
          <t>Bass Farms, Inc.  (Est. TA-3521, Spring Hope NC)</t>
        </is>
      </c>
      <c r="C34" s="5" t="inlineStr">
        <is>
          <t>NCDA&amp;CS lists it 'Slaughter only, species C (swine)' — a hog kill floor with NO processing attached is the purest Model A structure in the state. Also never adversarially verified.</t>
        </is>
      </c>
      <c r="H34" s="8" t="inlineStr">
        <is>
          <t>Current federal grant status — no matching M3521 record surfaced; confirm the TA grant is live before anything else.</t>
        </is>
      </c>
    </row>
    <row r="35" ht="30" customHeight="1">
      <c r="A35" s="50" t="n">
        <v>5</v>
      </c>
      <c r="B35" s="7" t="inlineStr">
        <is>
          <t>Gunnoe Sausage Company  (Goode VA · 540-586-1091)</t>
        </is>
      </c>
      <c r="C35" s="5" t="inlineStr">
        <is>
          <t>Newly surfaced and NEVER researched: dedicated sow slaughterhouse since 1965 at ~450-590 hogs/week — genuinely in band, and Virginia's only such plant.</t>
        </is>
      </c>
      <c r="H35" s="8" t="inlineStr">
        <is>
          <t>Establishment number and inspection status (not captured), then sow-vs-market-hog and third-party crew access.</t>
        </is>
      </c>
    </row>
    <row r="36" ht="36" customHeight="1">
      <c r="A36" s="50" t="n">
        <v>6</v>
      </c>
      <c r="B36" s="7" t="inlineStr">
        <is>
          <t>Smithfield BioScience  (harvest base Tar Heel NC, Est. M18079/V18079)</t>
        </is>
      </c>
      <c r="C36" s="5" t="inlineStr">
        <is>
          <t>The ONLY verified organ programme anywhere in the study — aortas, heart valves, pericardium, peritoneum, mucosa, pancreas, pituitary, tendons — plus stated farm-to-processing traceability and existing EU pharmaceutical (heparin API) trade.</t>
        </is>
      </c>
      <c r="H36" s="8" t="inlineStr">
        <is>
          <t>Will you harvest multi-organ regional BLOCKS to our written spec, and which APHIS/EU listings do you hold for research-use material? (Handle as competitive intelligence — they may see you as a rival, not a customer.)</t>
        </is>
      </c>
    </row>
    <row r="37" ht="30" customHeight="1">
      <c r="A37" s="50" t="n">
        <v>7</v>
      </c>
      <c r="B37" s="7" t="inlineStr">
        <is>
          <t>Kansas City Sausage Co., LLC dba Coastal Protein  (1600 Martin Road, Godwin NC)</t>
        </is>
      </c>
      <c r="C37" s="5" t="inlineStr">
        <is>
          <t>Confirmed operating via live EPA CAA and NPDES permits. ~3,500-5,000 sows/wk — marginally over ceiling, but SOW anatomy is closer to adult human scale than a 250 lb market hog.</t>
        </is>
      </c>
      <c r="H37" s="8" t="inlineStr">
        <is>
          <t>The establishment number (no public source in this study could produce it) — and whether a dedicated harvest bench is negotiable.</t>
        </is>
      </c>
    </row>
    <row r="38" ht="36" customHeight="1">
      <c r="A38" s="50" t="n">
        <v>8</v>
      </c>
      <c r="B38" s="7" t="inlineStr">
        <is>
          <t>Wampler's Farm Sausage Co.  (Est. M9065, Lenoir City TN · 865-986-2056)</t>
        </is>
      </c>
      <c r="C38" s="5" t="inlineStr">
        <is>
          <t>Real federal grant, real kill floor, ~1,500-1,620/wk at 2017 rated capacity, family-owned since 1937. NOTE: production hiring routes through three third-party staffing agencies at $12-14/hr — the opposite of the tenure you value.</t>
        </is>
      </c>
      <c r="H38" s="8" t="inlineStr">
        <is>
          <t>Sows only, or any market hogs — and actual current weekly head. If 'sows only', drop to REFERENCE; don't spend a site visit.</t>
        </is>
      </c>
    </row>
    <row r="39" ht="36" customHeight="1">
      <c r="A39" s="50" t="n">
        <v>9</v>
      </c>
      <c r="B39" s="7" t="inlineStr">
        <is>
          <t>Custom Quality Packers, LLC  (Est. TA-20129, Sims NC)</t>
        </is>
      </c>
      <c r="C39" s="5" t="inlineStr">
        <is>
          <t>One of only ~7 swine-only establishments in NC and federally inspected; anchors a Wilson County CLUSTER play with Bass Farms and George Flowers. Individual-animal handling is a genuine welfare positive.</t>
        </is>
      </c>
      <c r="H39" s="8" t="inlineStr">
        <is>
          <t>Actual weekly head — 'each animal individually rather than large industrial batches' implies well below 200/wk alone.</t>
        </is>
      </c>
    </row>
    <row r="40" ht="36" customHeight="1">
      <c r="A40" s="50" t="n">
        <v>10</v>
      </c>
      <c r="B40" s="7" t="inlineStr">
        <is>
          <t>Williamsburg Packing Company  (Est. M4005, Kingstree SC · 843-355-6447)</t>
        </is>
      </c>
      <c r="C40" s="5" t="inlineStr">
        <is>
          <t>ONE speculative call only. Sole SC federally-inspected swine plant with any elevated volume signal, and its voluntary grant V4005 is the mechanism used for non-amenable species — directly relevant to research tissue.</t>
        </is>
      </c>
      <c r="H40" s="8" t="inlineStr">
        <is>
          <t>Hog-only weekly head count, FIRST question. If under 200, close it out.</t>
        </is>
      </c>
    </row>
    <row r="42" ht="20" customHeight="1">
      <c r="A42" s="58" t="inlineStr">
        <is>
          <t>VERIFIED FACILITY ROSTER</t>
        </is>
      </c>
    </row>
    <row r="43" ht="40" customHeight="1">
      <c r="A43" s="6" t="inlineStr">
        <is>
          <t>Facility</t>
        </is>
      </c>
      <c r="B43" s="6" t="inlineStr">
        <is>
          <t>Location</t>
        </is>
      </c>
      <c r="C43" s="6" t="inlineStr">
        <is>
          <t>Weekly hogs (verified/revised)</t>
        </is>
      </c>
      <c r="D43" s="6" t="inlineStr">
        <is>
          <t>Inspection</t>
        </is>
      </c>
      <c r="E43" s="6" t="inlineStr">
        <is>
          <t>Verification</t>
        </is>
      </c>
      <c r="F43" s="6" t="inlineStr">
        <is>
          <t>Revised fit</t>
        </is>
      </c>
      <c r="G43" s="6" t="inlineStr">
        <is>
          <t>P</t>
        </is>
      </c>
      <c r="H43" s="6" t="inlineStr">
        <is>
          <t>What the verifier found</t>
        </is>
      </c>
    </row>
    <row r="44" ht="20" customHeight="1">
      <c r="A44" s="58" t="inlineStr">
        <is>
          <t>ADVERSARIALLY VERIFIED — these verdicts override the earlier tabs</t>
        </is>
      </c>
    </row>
    <row r="45" ht="58" customHeight="1">
      <c r="A45" s="7" t="inlineStr">
        <is>
          <t>Nahunta Slaughter House, Inc.</t>
        </is>
      </c>
      <c r="B45" s="5" t="inlineStr">
        <is>
          <t>Pikeville, NC</t>
        </is>
      </c>
      <c r="C45" s="5" t="inlineStr">
        <is>
          <t>500+/wk cited but that verb is PROCESSES — ask actual P-80A kill</t>
        </is>
      </c>
      <c r="D45" s="5" t="inlineStr">
        <is>
          <t>NC STATE only (P-80A slaughter, swine-only; P-80 processing)</t>
        </is>
      </c>
      <c r="E45" s="31" t="inlineStr">
        <is>
          <t>CONFIRMED OPEN</t>
        </is>
      </c>
      <c r="F45" s="5" t="inlineStr">
        <is>
          <t>STRONG FIT</t>
        </is>
      </c>
      <c r="G45" s="5" t="n">
        <v>1</v>
      </c>
      <c r="H45" s="5"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 customHeight="1">
      <c r="A46" s="7" t="inlineStr">
        <is>
          <t>Martin's Pork Products, Inc.</t>
        </is>
      </c>
      <c r="B46" s="5" t="inlineStr">
        <is>
          <t>Falcon, NC</t>
        </is>
      </c>
      <c r="C46" s="5" t="inlineStr">
        <is>
          <t>200-1,500/wk (revised) — LIKELY IN BAND. The 6,500/wk figure was REFUTED</t>
        </is>
      </c>
      <c r="D46" s="5" t="inlineStr">
        <is>
          <t>USDA Talmadge-Aiken TA-6720 (federal, exportable structure)</t>
        </is>
      </c>
      <c r="E46" s="31" t="inlineStr">
        <is>
          <t>CONFIRMED OPEN</t>
        </is>
      </c>
      <c r="F46" s="5" t="inlineStr">
        <is>
          <t>POSSIBLE</t>
        </is>
      </c>
      <c r="G46" s="5" t="n">
        <v>2</v>
      </c>
      <c r="H46" s="5"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 customHeight="1">
      <c r="A47" s="7" t="inlineStr">
        <is>
          <t>Acre Station Meat Farm</t>
        </is>
      </c>
      <c r="B47" s="5" t="inlineStr">
        <is>
          <t>Pinetown, NC</t>
        </is>
      </c>
      <c r="C47" s="5" t="inlineStr">
        <is>
          <t>~150/wk actual (NOT the ~400/wk headline) — LIKELY BELOW FLOOR</t>
        </is>
      </c>
      <c r="D47" s="5" t="inlineStr">
        <is>
          <t>Talmadge-Aiken TA-19904 / M19904 — but 2 directories say CUSTOM EXEMPT</t>
        </is>
      </c>
      <c r="E47" s="31" t="inlineStr">
        <is>
          <t>CONFIRMED OPEN</t>
        </is>
      </c>
      <c r="F47" s="5" t="inlineStr">
        <is>
          <t>CAUTION</t>
        </is>
      </c>
      <c r="G47" s="5" t="n">
        <v>3</v>
      </c>
      <c r="H47" s="5"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 customHeight="1">
      <c r="A48" s="7" t="inlineStr">
        <is>
          <t>Piedmont Custom Meats, Inc.</t>
        </is>
      </c>
      <c r="B48" s="5" t="inlineStr">
        <is>
          <t>Gibsonville + Asheboro, NC</t>
        </is>
      </c>
      <c r="C48" s="5" t="inlineStr">
        <is>
          <t>LOW TENS per week — far below floor</t>
        </is>
      </c>
      <c r="D48" s="5" t="inlineStr">
        <is>
          <t>USDA-FSIS M7975 / M7975A (V7975 = Voluntary, not poultry)</t>
        </is>
      </c>
      <c r="E48" s="31" t="inlineStr">
        <is>
          <t>CONFIRMED OPEN</t>
        </is>
      </c>
      <c r="F48" s="5" t="inlineStr">
        <is>
          <t>REFERENCE</t>
        </is>
      </c>
      <c r="G48" s="5" t="n">
        <v>9</v>
      </c>
      <c r="H48" s="5"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 customHeight="1">
      <c r="A49" s="7" t="inlineStr">
        <is>
          <t>Honest Meats, LLC (dba T&amp;E Meats)</t>
        </is>
      </c>
      <c r="B49" s="5" t="inlineStr">
        <is>
          <t>Harrisonburg, VA</t>
        </is>
      </c>
      <c r="C49" s="5" t="inlineStr">
        <is>
          <t>~19-192 head/wk ALL species — disqualifying</t>
        </is>
      </c>
      <c r="D49" s="5" t="inlineStr">
        <is>
          <t>USDA-FSIS M7420 + V7420</t>
        </is>
      </c>
      <c r="E49" s="29" t="inlineStr">
        <is>
          <t>UNCERTAIN</t>
        </is>
      </c>
      <c r="F49" s="5" t="inlineStr">
        <is>
          <t>OUT / FLAG</t>
        </is>
      </c>
      <c r="G49" s="5" t="n">
        <v>9</v>
      </c>
      <c r="H49" s="5"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 customHeight="1">
      <c r="A50" s="7" t="inlineStr">
        <is>
          <t>Williamsburg Packing Company</t>
        </is>
      </c>
      <c r="B50" s="5" t="inlineStr">
        <is>
          <t>Kingstree, SC</t>
        </is>
      </c>
      <c r="C50" s="5" t="inlineStr">
        <is>
          <t>190-1,900/wk but that is a 21-SPECIES aggregate incl. poultry</t>
        </is>
      </c>
      <c r="D50" s="5" t="inlineStr">
        <is>
          <t>USDA-FSIS M4005 + P4005 + V4005</t>
        </is>
      </c>
      <c r="E50" s="31" t="inlineStr">
        <is>
          <t>CONFIRMED OPEN</t>
        </is>
      </c>
      <c r="F50" s="5" t="inlineStr">
        <is>
          <t>POSSIBLE</t>
        </is>
      </c>
      <c r="G50" s="5" t="n">
        <v>6</v>
      </c>
      <c r="H50" s="5"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 customHeight="1">
      <c r="A51" s="7" t="inlineStr">
        <is>
          <t>Wampler's Farm Sausage Co.</t>
        </is>
      </c>
      <c r="B51" s="5" t="inlineStr">
        <is>
          <t>Lenoir City, TN</t>
        </is>
      </c>
      <c r="C51" s="5" t="inlineStr">
        <is>
          <t>~1,500-1,620/wk (2017 rated capacity) — in band if market hogs</t>
        </is>
      </c>
      <c r="D51" s="5" t="inlineStr">
        <is>
          <t>USDA-FSIS M9065 + P9065 + V9065</t>
        </is>
      </c>
      <c r="E51" s="31" t="inlineStr">
        <is>
          <t>CONFIRMED OPEN</t>
        </is>
      </c>
      <c r="F51" s="5" t="inlineStr">
        <is>
          <t>POSSIBLE</t>
        </is>
      </c>
      <c r="G51" s="5" t="n">
        <v>3</v>
      </c>
      <c r="H51" s="5"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 customHeight="1">
      <c r="A52" s="7" t="inlineStr">
        <is>
          <t>Williams Sausage Co. (TYSON)</t>
        </is>
      </c>
      <c r="B52" s="5" t="inlineStr">
        <is>
          <t>Union City, TN</t>
        </is>
      </c>
      <c r="C52" s="5" t="inlineStr">
        <is>
          <t>~2,000-2,160/wk (2017 estimate)</t>
        </is>
      </c>
      <c r="D52" s="5" t="inlineStr">
        <is>
          <t>USDA-FSIS M7455</t>
        </is>
      </c>
      <c r="E52" s="31" t="inlineStr">
        <is>
          <t>CONFIRMED OPEN</t>
        </is>
      </c>
      <c r="F52" s="5" t="inlineStr">
        <is>
          <t>CAUTION</t>
        </is>
      </c>
      <c r="G52" s="5" t="n">
        <v>6</v>
      </c>
      <c r="H52" s="5"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 customHeight="1">
      <c r="A53" s="7" t="inlineStr">
        <is>
          <t>Swaggerty Sausage Co.</t>
        </is>
      </c>
      <c r="B53" s="5" t="inlineStr">
        <is>
          <t>Kodak, TN</t>
        </is>
      </c>
      <c r="C53" s="5" t="inlineStr">
        <is>
          <t>~4,250-4,590/wk — OVER CEILING</t>
        </is>
      </c>
      <c r="D53" s="5" t="inlineStr">
        <is>
          <t>USDA-FSIS M8314 + V8314</t>
        </is>
      </c>
      <c r="E53" s="31" t="inlineStr">
        <is>
          <t>CONFIRMED OPEN</t>
        </is>
      </c>
      <c r="F53" s="5" t="inlineStr">
        <is>
          <t>CAUTION</t>
        </is>
      </c>
      <c r="G53" s="5" t="n">
        <v>7</v>
      </c>
      <c r="H53" s="5"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 customHeight="1">
      <c r="A54" s="7" t="inlineStr">
        <is>
          <t>EcoFriendly Foods</t>
        </is>
      </c>
      <c r="B54" s="5" t="inlineStr">
        <is>
          <t>Moneta, VA</t>
        </is>
      </c>
      <c r="C54" s="5" t="inlineStr">
        <is>
          <t>~20-80/wk — an order of magnitude BELOW floor</t>
        </is>
      </c>
      <c r="D54" s="5" t="inlineStr">
        <is>
          <t>USDA-FSIS M21938</t>
        </is>
      </c>
      <c r="E54" s="31" t="inlineStr">
        <is>
          <t>CONFIRMED OPEN</t>
        </is>
      </c>
      <c r="F54" s="5" t="inlineStr">
        <is>
          <t>REFERENCE</t>
        </is>
      </c>
      <c r="G54" s="5" t="n">
        <v>8</v>
      </c>
      <c r="H54" s="5"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20" customHeight="1">
      <c r="A55" s="58" t="inlineStr">
        <is>
          <t>NEWLY SURFACED — never in the earlier study (NOT yet adversarially verified)</t>
        </is>
      </c>
    </row>
    <row r="56" ht="58" customHeight="1">
      <c r="A56" s="7" t="inlineStr">
        <is>
          <t>Larry's Sausage Company, Inc.</t>
        </is>
      </c>
      <c r="B56" s="5" t="inlineStr">
        <is>
          <t>Fayetteville, NC</t>
        </is>
      </c>
      <c r="C56" s="5" t="inlineStr">
        <is>
          <t>200-800/wk (labelled estimate from distribution footprint)</t>
        </is>
      </c>
      <c r="D56" s="5" t="inlineStr">
        <is>
          <t>Talmadge-Aiken TA-8305 — federal, exportable</t>
        </is>
      </c>
      <c r="E56" s="7" t="inlineStr">
        <is>
          <t>not verified</t>
        </is>
      </c>
      <c r="F56" s="5" t="inlineStr">
        <is>
          <t>POSSIBLE</t>
        </is>
      </c>
      <c r="G56" s="5" t="n">
        <v>2</v>
      </c>
      <c r="H56" s="5" t="inlineStr">
        <is>
          <t>Closest structural analogue to Nahunta but WITH export-eligible federal inspection: swine-only, family-owned since 1952, three generations. Treat at pre-verification confidence — the same confidence level that failed elsewhere in this study.</t>
        </is>
      </c>
    </row>
    <row r="57" ht="58" customHeight="1">
      <c r="A57" s="7" t="inlineStr">
        <is>
          <t>Bass Farms, Inc.</t>
        </is>
      </c>
      <c r="B57" s="5" t="inlineStr">
        <is>
          <t>Spring Hope, NC</t>
        </is>
      </c>
      <c r="C57" s="5" t="inlineStr">
        <is>
          <t>unknown — labelled estimate only</t>
        </is>
      </c>
      <c r="D57" s="5" t="inlineStr">
        <is>
          <t>Talmadge-Aiken TA-3521 (no matching M3521 found)</t>
        </is>
      </c>
      <c r="E57" s="7" t="inlineStr">
        <is>
          <t>not verified</t>
        </is>
      </c>
      <c r="F57" s="5" t="inlineStr">
        <is>
          <t>POSSIBLE</t>
        </is>
      </c>
      <c r="G57" s="5" t="n">
        <v>2</v>
      </c>
      <c r="H57" s="5" t="inlineStr">
        <is>
          <t>NCDA&amp;CS lists 'Slaughter only, species C (swine)' — a hog kill floor with NO processing attached is the PUREST Model A structure in the state. Confirm the TA grant is live first.</t>
        </is>
      </c>
    </row>
    <row r="58" ht="58" customHeight="1">
      <c r="A58" s="7" t="inlineStr">
        <is>
          <t>Gunnoe Sausage Company</t>
        </is>
      </c>
      <c r="B58" s="5" t="inlineStr">
        <is>
          <t>Goode, VA</t>
        </is>
      </c>
      <c r="C58" s="5" t="inlineStr">
        <is>
          <t>~450-590/wk (90-110 head/day) — GENUINELY IN BAND</t>
        </is>
      </c>
      <c r="D58" s="5" t="inlineStr">
        <is>
          <t>unknown — establishment number not captured</t>
        </is>
      </c>
      <c r="E58" s="7" t="inlineStr">
        <is>
          <t>not verified</t>
        </is>
      </c>
      <c r="F58" s="5" t="inlineStr">
        <is>
          <t>POSSIBLE</t>
        </is>
      </c>
      <c r="G58" s="5" t="n">
        <v>2</v>
      </c>
      <c r="H58" s="5" t="inlineStr">
        <is>
          <t>Virginia's ONLY genuinely in-band plant, and it was never researched in the earlier pass. Dedicated SOW slaughterhouse since 1965, Bedford County — the same county as EcoFriendly Foods, which the earlier pass recommended at ~1/10th the volume.</t>
        </is>
      </c>
    </row>
    <row r="59" ht="58" customHeight="1">
      <c r="A59" s="7" t="inlineStr">
        <is>
          <t>Kansas City Sausage / Coastal Protein</t>
        </is>
      </c>
      <c r="B59" s="5" t="inlineStr">
        <is>
          <t>Godwin, NC</t>
        </is>
      </c>
      <c r="C59" s="5" t="inlineStr">
        <is>
          <t>~3,500-5,000 sows/wk — marginally over ceiling</t>
        </is>
      </c>
      <c r="D59" s="5" t="inlineStr">
        <is>
          <t>unknown — establishment number not found by any public source</t>
        </is>
      </c>
      <c r="E59" s="31" t="inlineStr">
        <is>
          <t>CONFIRMED OPEN (EPA permits)</t>
        </is>
      </c>
      <c r="F59" s="5" t="inlineStr">
        <is>
          <t>CAUTION</t>
        </is>
      </c>
      <c r="G59" s="5" t="n">
        <v>7</v>
      </c>
      <c r="H59" s="5" t="inlineStr">
        <is>
          <t>Occupies 1600 Martin Road — the site whose identity was confused with Martin's in the earlier pass. Live EPA CAA ('Operating') and NPDES NCG060100 ('Effective' to 2031) permits. SOW anatomy is closer to adult human scale than a 250 lb market hog.</t>
        </is>
      </c>
    </row>
    <row r="60" ht="58" customHeight="1">
      <c r="A60" s="7" t="inlineStr">
        <is>
          <t>Scientific Protein Laboratories · DeWied International</t>
        </is>
      </c>
      <c r="B60" s="5" t="inlineStr">
        <is>
          <t>Waunakee WI · San Antonio TX</t>
        </is>
      </c>
      <c r="C60" s="5" t="inlineStr">
        <is>
          <t>n/a — collectors, not slaughterers</t>
        </is>
      </c>
      <c r="D60" s="5" t="inlineStr">
        <is>
          <t>operate INSIDE third-party USDA plants</t>
        </is>
      </c>
      <c r="E60" s="7" t="inlineStr">
        <is>
          <t>not verified</t>
        </is>
      </c>
      <c r="F60" s="5" t="inlineStr">
        <is>
          <t>STRONG FIT</t>
        </is>
      </c>
      <c r="G60" s="5" t="n">
        <v>1</v>
      </c>
      <c r="H60" s="5"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 customHeight="1">
      <c r="A61" s="7" t="inlineStr">
        <is>
          <t>DeKalb County Packing · Morris Meat Packing</t>
        </is>
      </c>
      <c r="B61" s="5" t="inlineStr">
        <is>
          <t>De Kalb IL · Morris IL</t>
        </is>
      </c>
      <c r="C61" s="5" t="inlineStr">
        <is>
          <t>~2,500-2,700/wk · ~1,500-1,620/wk — BOTH IN BAND</t>
        </is>
      </c>
      <c r="D61" s="5" t="inlineStr">
        <is>
          <t>USDA-FSIS</t>
        </is>
      </c>
      <c r="E61" s="7" t="inlineStr">
        <is>
          <t>not verified</t>
        </is>
      </c>
      <c r="F61" s="5" t="inlineStr">
        <is>
          <t>POSSIBLE</t>
        </is>
      </c>
      <c r="G61" s="5" t="n">
        <v>2</v>
      </c>
      <c r="H61" s="5" t="inlineStr">
        <is>
          <t>Two of the very few US plants genuinely inside 200-3,000 hogs/week. Outside your named regions but worth a call given how few in-band plants exist nationally.</t>
        </is>
      </c>
    </row>
    <row r="63" ht="20" customHeight="1">
      <c r="A63" s="58" t="inlineStr">
        <is>
          <t>COMPLETENESS CRITIC — what we still don't know / didn't cover</t>
        </is>
      </c>
    </row>
    <row r="64" ht="72" customHeight="1">
      <c r="A64" s="11"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c r="A65" s="11"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c r="A66" s="11"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c r="A67" s="11"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c r="A68" s="11"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c r="A69" s="11"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c r="A70" s="11"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c r="A71" s="11"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c r="A72" s="11"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c r="A73" s="11"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20" customHeight="1">
      <c r="A75" s="58" t="inlineStr">
        <is>
          <t>STRATEGIC READ  (given the 200-3,000/wk floor + EU export)</t>
        </is>
      </c>
    </row>
    <row r="76" ht="72" customHeight="1">
      <c r="A76" s="11"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c r="A77" s="11" t="inlineStr">
        <is>
          <t>•  RECOMMENDATION — A THREE-LANE PORTFOLIO, NOT A SINGLE PLANT.</t>
        </is>
      </c>
    </row>
    <row r="78" ht="84" customHeight="1">
      <c r="A78" s="11"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c r="A79" s="11"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c r="A80" s="11"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c r="A81" s="11"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c r="A82" s="11"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c r="A83" s="11"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20" customHeight="1">
      <c r="A85" s="58" t="inlineStr">
        <is>
          <t>METHOD &amp; CONFIDENCE</t>
        </is>
      </c>
    </row>
    <row r="86" ht="36" customHeight="1">
      <c r="A86" s="59"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c r="A87" s="59" t="inlineStr">
        <is>
          <t>•  21 agents · 121 raw facility records (see caveat on double-counting) · 10 candidates adversarially verified · ~2.0M tokens · 1,091 tool calls · 0 agent errors.</t>
        </is>
      </c>
    </row>
    <row r="88" ht="48" customHeight="1">
      <c r="A88" s="59"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c r="A89" s="59" t="inlineStr">
        <is>
          <t>•  Result: of 10 verified candidates, 2 were PROMOTED, 6 DOWNGRADED, and 2 KILLED — including both of the earlier pass's top picks in NC and VA. This tab's verdicts take precedence over the earlier tabs wherever they disagree.</t>
        </is>
      </c>
    </row>
    <row r="90" ht="24" customHeight="1">
      <c r="A90" s="59"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C34:G34"/>
    <mergeCell ref="A77:H77"/>
    <mergeCell ref="A15:H15"/>
    <mergeCell ref="A83:H83"/>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18:H18"/>
    <mergeCell ref="B27:H27"/>
    <mergeCell ref="A86:H86"/>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A13:H13"/>
    <mergeCell ref="C37:G37"/>
    <mergeCell ref="A44:H44"/>
    <mergeCell ref="A68:H68"/>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2026-08-04T15:32:20Z</dcterms:created>
  <dcterms:modified xsi:type="dcterms:W3CDTF">2026-08-04T15:32:21Z</dcterms:modified>
</cp:coreProperties>
</file>