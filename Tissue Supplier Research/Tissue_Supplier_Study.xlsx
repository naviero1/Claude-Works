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 &amp; Method" sheetId="1" state="visible" r:id="rId1"/>
    <sheet name="Legend &amp; Scoring" sheetId="2" state="visible" r:id="rId2"/>
    <sheet name="Supplier Roster" sheetId="3" state="visible" r:id="rId3"/>
    <sheet name="National Direct Suppliers" sheetId="4" state="visible" r:id="rId4"/>
    <sheet name="Models &amp; Make-vs-Buy" sheetId="5" state="visible" r:id="rId5"/>
    <sheet name="TCO Calculator" sheetId="6" state="visible" r:id="rId6"/>
    <sheet name="APHIS &amp; EU Export" sheetId="7" state="visible" r:id="rId7"/>
    <sheet name="Call Question Sheet" sheetId="8" state="visible" r:id="rId8"/>
    <sheet name="Sources &amp; Confidence" sheetId="9" state="visible" r:id="rId9"/>
  </sheets>
  <definedNames>
    <definedName name="_xlnm._FilterDatabase" localSheetId="2" hidden="1">'Supplier Roster'!$A$4:$P$4</definedName>
    <definedName name="_xlnm._FilterDatabase" localSheetId="3" hidden="1">'National Direct Suppliers'!$A$4:$I$4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$#,##0.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06A"/>
      <sz val="10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color rgb="00222222"/>
      <sz val="10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color rgb="009C0006"/>
      <sz val="10"/>
    </font>
    <font>
      <name val="Arial"/>
      <b val="1"/>
      <color rgb="005B657A"/>
      <sz val="10"/>
    </font>
    <font>
      <name val="Arial"/>
      <i val="1"/>
      <color rgb="005B657A"/>
      <sz val="9"/>
    </font>
    <font>
      <name val="Arial"/>
      <b val="1"/>
      <color rgb="000000FF"/>
      <sz val="10"/>
    </font>
    <font>
      <name val="Arial"/>
      <color rgb="0044506A"/>
      <sz val="9"/>
    </font>
    <font>
      <name val="Arial"/>
      <color rgb="007A5C00"/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0F7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D9E1F2"/>
      </patternFill>
    </fill>
    <fill>
      <patternFill patternType="solid">
        <fgColor rgb="00FCE4E4"/>
      </patternFill>
    </fill>
    <fill>
      <patternFill patternType="solid">
        <fgColor rgb="000000FF"/>
      </patternFill>
    </fill>
    <fill>
      <patternFill patternType="solid">
        <fgColor rgb="00FFF9E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left" vertical="top" wrapText="1"/>
    </xf>
    <xf numFmtId="0" fontId="8" fillId="8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top" wrapText="1"/>
    </xf>
    <xf numFmtId="0" fontId="13" fillId="5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3" fontId="14" fillId="12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164" fontId="1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 wrapText="1"/>
    </xf>
    <xf numFmtId="165" fontId="6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10" fillId="11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6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0" fontId="16" fillId="7" borderId="1" applyAlignment="1" pivotButton="0" quotePrefix="0" xfId="0">
      <alignment horizontal="left" vertical="top" wrapText="1"/>
    </xf>
    <xf numFmtId="0" fontId="9" fillId="9" borderId="1" applyAlignment="1" pivotButton="0" quotePrefix="0" xfId="0">
      <alignment horizontal="left" vertical="center" wrapText="1"/>
    </xf>
    <xf numFmtId="0" fontId="10" fillId="11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0" fontId="15" fillId="0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8" customWidth="1" min="2" max="2"/>
  </cols>
  <sheetData>
    <row r="1" ht="26" customHeight="1">
      <c r="A1" s="1" t="inlineStr">
        <is>
          <t>Porcine Tissue — Second-Source Supplier Study</t>
        </is>
      </c>
    </row>
    <row r="2" ht="30" customHeight="1">
      <c r="A2" s="2" t="inlineStr">
        <is>
          <t>Slaughterhouse &amp; direct-tissue sourcing for pelvic / bariatric / thoracic tissue blocks and organ harvesting.  Prepared 2026-07-28.</t>
        </is>
      </c>
    </row>
    <row r="4" ht="20" customHeight="1">
      <c r="A4" s="3" t="inlineStr">
        <is>
          <t>PURPOSE</t>
        </is>
      </c>
    </row>
    <row r="5" ht="20" customHeight="1">
      <c r="A5" s="3" t="inlineStr">
        <is>
          <t>Identify and qualify additional slaughterhouse suppliers (and national direct-tissue vendors) to expand harvesting capacity beyond the current base of Nahunta (great culture, volume-limited) and Martin's (has volume, weaker culture/quality responsiveness). Findings feed a supplier roster and shortlist for outreach.</t>
        </is>
      </c>
    </row>
    <row r="6" ht="20" customHeight="1">
      <c r="A6" s="3" t="inlineStr">
        <is>
          <t>TARGET PROFILE (the spec)</t>
        </is>
      </c>
    </row>
    <row r="7" ht="48" customHeight="1">
      <c r="A7" s="4" t="inlineStr">
        <is>
          <t>Weekly kill volume</t>
        </is>
      </c>
      <c r="B7" s="5" t="inlineStr">
        <is>
          <t>200 – 3,000 hogs / week.  Below ~200/wk is too small to be worth mobilizing (this rules out many small custom shops that only do tens-to-low-hundreds/wk); above ~3,000/wk is 'too large' UNLESS the plant also specializes in organ / tissue harvesting (not just standard pork cuts) — large biologics harvesters are in-scope.</t>
        </is>
      </c>
    </row>
    <row r="8" ht="28" customHeight="1">
      <c r="A8" s="4" t="inlineStr">
        <is>
          <t>Species</t>
        </is>
      </c>
      <c r="B8" s="5" t="inlineStr">
        <is>
          <t>Must slaughter HOGS (swine).  Cattle-only / other-species plants are out of scope.</t>
        </is>
      </c>
    </row>
    <row r="9" ht="36" customHeight="1">
      <c r="A9" s="4" t="inlineStr">
        <is>
          <t>Certification</t>
        </is>
      </c>
      <c r="B9" s="5" t="inlineStr">
        <is>
          <t>USDA-inspected and/or APHIS-certified strongly preferred.  Any plant that is NOT APHIS-certified or NOT USDA-inspected is explicitly FLAGGED in the roster (see the two certification columns).</t>
        </is>
      </c>
    </row>
    <row r="10" ht="36" customHeight="1">
      <c r="A10" s="4" t="inlineStr">
        <is>
          <t>Culture / welfare</t>
        </is>
      </c>
      <c r="B10" s="5" t="inlineStr">
        <is>
          <t>Humane handling of animals AND workers, stable long-tenured workforce, sound family-business culture — a real differentiator (the Nahunta standard). Weighs into fit, not a hard gate.</t>
        </is>
      </c>
    </row>
    <row r="11" ht="36" customHeight="1">
      <c r="A11" s="4" t="inlineStr">
        <is>
          <t>Tissue blocks of interest</t>
        </is>
      </c>
      <c r="B11" s="5" t="inlineStr">
        <is>
          <t>Pelvic, bariatric (abdominal), thoracic — including the ORGANS located in each region. Organ-harvesting capability is valuable; Nahunta already covers most organ needs at its volume.</t>
        </is>
      </c>
    </row>
    <row r="12" ht="20" customHeight="1">
      <c r="A12" s="3" t="inlineStr">
        <is>
          <t>TWO OPERATING MODELS (per supplier)</t>
        </is>
      </c>
    </row>
    <row r="13" ht="36" customHeight="1">
      <c r="A13" s="4" t="inlineStr">
        <is>
          <t>Model A — We harvest on-site</t>
        </is>
      </c>
      <c r="B13" s="5" t="inlineStr">
        <is>
          <t>We send OUR harvesters to the plant and rent space/line access; we collect our own tissue. Needs the plant to grant floor access, cooler space, and scheduling around the kill.</t>
        </is>
      </c>
    </row>
    <row r="14" ht="28" customHeight="1">
      <c r="A14" s="4" t="inlineStr">
        <is>
          <t>Model B — They harvest for us</t>
        </is>
      </c>
      <c r="B14" s="5" t="inlineStr">
        <is>
          <t>The plant does the harvesting to our protocol; we send inspectors/trainers to qualify and audit. Needs the plant to have (or build) trained labor and QA willingness.</t>
        </is>
      </c>
    </row>
    <row r="15" ht="36" customHeight="1">
      <c r="A15" s="4" t="inlineStr">
        <is>
          <t>Third path — Buy direct</t>
        </is>
      </c>
      <c r="B15" s="5" t="inlineStr">
        <is>
          <t>Buy finished porcine tissues/organs from a national research-tissue vendor (no slaughterhouse relationship). See the 'National Direct Suppliers' tab for who sells what, and price-per-tissue where obtainable.</t>
        </is>
      </c>
    </row>
    <row r="16" ht="20" customHeight="1">
      <c r="A16" s="3" t="inlineStr">
        <is>
          <t>HOW TO USE THIS WORKBOOK</t>
        </is>
      </c>
    </row>
    <row r="17" ht="28" customHeight="1">
      <c r="A17" s="4" t="inlineStr">
        <is>
          <t>1</t>
        </is>
      </c>
      <c r="B17" s="5" t="inlineStr">
        <is>
          <t>'Supplier Roster' is the master list — slaughterhouses grouped by region (NC primary; SC/TN/VA; Iowa/Midwest). Sort/filter to shortlist.</t>
        </is>
      </c>
    </row>
    <row r="18" ht="28" customHeight="1">
      <c r="A18" s="4" t="inlineStr">
        <is>
          <t>2</t>
        </is>
      </c>
      <c r="B18" s="5" t="inlineStr">
        <is>
          <t>'National Direct Suppliers' lists vendors selling tissue directly, with price-per-tissue where a real figure was obtainable.</t>
        </is>
      </c>
    </row>
    <row r="19" ht="28" customHeight="1">
      <c r="A19" s="4" t="inlineStr">
        <is>
          <t>3</t>
        </is>
      </c>
      <c r="B19" s="5" t="inlineStr">
        <is>
          <t>'Models &amp; Make-vs-Buy' frames the A / B / buy-direct decision and cost drivers.</t>
        </is>
      </c>
    </row>
    <row r="20" ht="28" customHeight="1">
      <c r="A20" s="4" t="inlineStr">
        <is>
          <t>4</t>
        </is>
      </c>
      <c r="B20" s="5" t="inlineStr">
        <is>
          <t>'Call Question Sheet' is the outreach script — mirror of the CJB agenda — to qualify each plant on volume, access, certs, welfare, and price.</t>
        </is>
      </c>
    </row>
    <row r="21" ht="28" customHeight="1">
      <c r="A21" s="4" t="inlineStr">
        <is>
          <t>5</t>
        </is>
      </c>
      <c r="B21" s="5" t="inlineStr">
        <is>
          <t>'Sources &amp; Confidence' lists every source URL and a confidence rating. Read it before acting on any single number.</t>
        </is>
      </c>
    </row>
    <row r="22" ht="20" customHeight="1">
      <c r="A22" s="3" t="inlineStr">
        <is>
          <t>DATA-QUALITY CAVEAT</t>
        </is>
      </c>
    </row>
    <row r="23" ht="20" customHeight="1">
      <c r="A23" s="3" t="inlineStr">
        <is>
          <t>Weekly hog volumes and certification status for private/custom plants are frequently NOT published. Figures marked 'est.' or 'unknown' MUST be confirmed by phone before commitments. Nothing here substitutes for a call. No number in this workbook was invented — unverifiable fields are left 'unknown' on purpose.</t>
        </is>
      </c>
    </row>
    <row r="25" ht="20" customHeight="1">
      <c r="A25" s="3" t="inlineStr">
        <is>
          <t>KEY FINDINGS (research summary)</t>
        </is>
      </c>
    </row>
    <row r="26" ht="48" customHeight="1">
      <c r="A26" s="5" t="inlineStr">
        <is>
          <t>•  BEST OVERALL FIT — Midwest Research Swine (Glencoe/Gibbon, MN): a porcine-ONLY abattoir already harvesting whole organs and tissue for biomedical/xeno research at ~385 hogs/week (in-band), closed herd, holds USDA APHIS licenses. It is essentially your exact operation at your exact scale — contact first.</t>
        </is>
      </c>
    </row>
    <row r="27" ht="48" customHeight="1">
      <c r="A27" s="5" t="inlineStr">
        <is>
          <t>•  LARGE-BUT-ACCEPTABLE via the organ exception — Smithfield BioScience (Denison, IA + Monmouth IL / Milan MO): ~10,000 hogs/day, but runs a full in-house porcine harvest program spanning all three of your target regions (pelvic, abdominal, thoracic) to customer spec. Natural Model B partner; the one giant packer that qualifies.</t>
        </is>
      </c>
    </row>
    <row r="28" ht="48" customHeight="1">
      <c r="A28" s="5" t="inlineStr">
        <is>
          <t>•  NORTH CAROLINA best new fits — Piedmont Custom Meats (Gibsonville/Asheboro): USDA + AWA humane + runs a SEPARATE dedicated harvesting facility (best structural match for Model A or B); and Acre Station Meat Farm (Pinetown): USDA-equivalent, ~80 hogs/day (~400/wk), AWA. Both squarely in-band.</t>
        </is>
      </c>
    </row>
    <row r="29" ht="60" customHeight="1">
      <c r="A29" s="5" t="inlineStr">
        <is>
          <t>•  BENCHMARK NOTES: (1) Your 'Martin's' incumbent is Martin's Pork Products, Falcon NC — an ACTIVE USDA Talmadge-Aiken slaughter+processing plant (Est. TA-6720, ~75 staff), NOT the unrelated Martin's Abattoir in Godwin (a cattle plant that closed 2013). It's federally FSIS-inspected; the APHIS export listing is separate and still to verify. (2) Nahunta is NC STATE-inspected, not USDA-FSIS — which ties directly to your APHIS/EU-export point below.</t>
        </is>
      </c>
    </row>
    <row r="30" ht="60" customHeight="1">
      <c r="A30" s="5" t="inlineStr">
        <is>
          <t>•  VIRGINIA welfare bench (updated after the enforcement pass): T&amp;E Meats (Harrisonburg, AWA) and Blue Ridge Meats (Middletown, AWA) are the LIVE, humane, USDA-inspected picks — the closest match to the Nahunta standard and a natural Model B fit. Two caveats: EcoFriendly Foods (Certified Humane) reportedly CEASED operations ~2020 — verify before relying on it; and Fauquier's Finest has REPEAT humane-handling suspensions (2018/2021/2024), now downgraded to CAUTION.</t>
        </is>
      </c>
    </row>
    <row r="31" ht="84" customHeight="1">
      <c r="A31" s="5" t="inlineStr">
        <is>
          <t>•  USDA/FSIS ENFORCEMENT (new roster column): several plants carry documented FSIS humane-handling actions — flagged with ⚠ and re-scored to CAUTION: Fauquier's Finest (VA, repeat), Thomas Brothers (NC, repeat), Wayne Mays (NC), M.L. Mitchell (NC), Triad Meat (NC), plus a single 2023 action at Fayette Packing (TN). Among large packers, Smithfield-Denison, Sioux-Preme/Perdue, Prestage and Wholestone all have humane-handling records. Given your 'Nahunta test', weigh these heavily. IMPORTANT: 'none found' for the small plants means no PUBLIC record — not a clean bill (FSIS data was only reachable via search snippets).</t>
        </is>
      </c>
    </row>
    <row r="32" ht="72" customHeight="1">
      <c r="A32" s="5" t="inlineStr">
        <is>
          <t>•  BUY-DIRECT × EU EXPORT: buying finished tissue can HELP or HURT EU-export eligibility depending on the vendor. Your cheapest published-price vendor, Innovative Research, labels tissue 'research use only, not for human or animal use' — a LIKELY BLOCKER for EU device-bound product. EU-cleanest vendors (ISO 13485/22442, human-food-chain traceability): Tissue Source, Smithfield BioScience, Midwest Research Swine, SSR. See the 'EU-export fit' column on the National Direct Suppliers tab.</t>
        </is>
      </c>
    </row>
    <row r="33" ht="48" customHeight="1">
      <c r="A33" s="5" t="inlineStr">
        <is>
          <t>•  HOW TO CHECK APHIS/EXPORT YOURSELF: no facility could be confirmed EU/APHIS-listed for research tissue; six large plants are FSIS export-certified for EDIBLE meat only (not the same thing). The 'APHIS &amp; EU Export' tab now lists the exact websites — FSIS 'Eligible Establishments by Country', the APHIS Export-to-EU page (research tissue goes through APHIS VS), and EU TRACES-NT.</t>
        </is>
      </c>
    </row>
    <row r="34" ht="60" customHeight="1">
      <c r="A34" s="5" t="inlineStr">
        <is>
          <t>•  SC/TN/VA reality (with the 200/wk floor): there are essentially NO mid-industrial (1,000-3,000/wk) hog plants in these states, and MANY of the small custom/USDA shops do only tens-to-low-hundreds of hogs/week — so a good number now fall BELOW the 200/wk floor (e.g. Cherry Meat TN ~18/wk). They're valuable for high-touch Model B and welfare, but weekly volume must be confirmed by phone before counting on them.</t>
        </is>
      </c>
    </row>
    <row r="35" ht="84" customHeight="1">
      <c r="A35" s="5" t="inlineStr">
        <is>
          <t>•  APHIS / EU EXPORT (now investigated — see dedicated tab): the EU does NOT require suppliers to hand you a standalone 'APHIS certificate.' It requires the ORIGIN plant to be APHIS-approved and listed on the EU TRACES establishment list for the right animal-by-product category (typically Category 3 under Reg (EU) 142/2011), PLUS an APHIS Veterinary Services-endorsed health certificate that YOUR company carries as the exporter. A state-inspected plant (like Nahunta) CAN still qualify — APHIS listing, not an FSIS grant, is the key. No candidate plant's APHIS listing could be verified, so it is the top diligence item for every shortlist plant.</t>
        </is>
      </c>
    </row>
    <row r="36" ht="48" customHeight="1">
      <c r="A36" s="5" t="inlineStr">
        <is>
          <t>•  NATIONAL DIRECT VENDORS are almost all QUOTE-ONLY. The only published price anchors: Innovative Research ~$141 per single porcine organ and $582 for a full pelvic block (list, base config); Pel-Freez porcine thyroid $361. Tissue Source and ABI stand out on regulatory pedigree (ISO 13485 / USDA-inspected sourcing) if you need EU-grade traceability.</t>
        </is>
      </c>
    </row>
    <row r="37" ht="48" customHeight="1">
      <c r="A37" s="5" t="inlineStr">
        <is>
          <t>•  MAKE-VS-BUY: self-harvest is generally cheaper per tissue when you pull multiple blocks from one hog and already have labor + cold-chain + abattoir access; buying direct wins for low/irregular volume, or when you need certified traceability you can't yet document in-house (again, the EU-export angle).</t>
        </is>
      </c>
    </row>
    <row r="38" ht="48" customHeight="1">
      <c r="A38" s="5" t="inlineStr">
        <is>
          <t>•  ALWAYS VERIFY BY PHONE: nearly every weekly-volume and certification figure for small/custom plants is unpublished. Use the 'Call Question Sheet' tab; the authoritative confirmation source is the USDA FSIS MPI Directory + Establishment Demographic Data (species slaughtered + size class per plant).</t>
        </is>
      </c>
    </row>
  </sheetData>
  <mergeCells count="23">
    <mergeCell ref="A30:B30"/>
    <mergeCell ref="A36:B36"/>
    <mergeCell ref="A1:B1"/>
    <mergeCell ref="A6:B6"/>
    <mergeCell ref="A16:B16"/>
    <mergeCell ref="A25:B25"/>
    <mergeCell ref="A37:B37"/>
    <mergeCell ref="A27:B27"/>
    <mergeCell ref="A12:B12"/>
    <mergeCell ref="A26:B26"/>
    <mergeCell ref="A2:B2"/>
    <mergeCell ref="A33:B33"/>
    <mergeCell ref="A5:B5"/>
    <mergeCell ref="A32:B32"/>
    <mergeCell ref="A23:B23"/>
    <mergeCell ref="A22:B22"/>
    <mergeCell ref="A35:B35"/>
    <mergeCell ref="A4:B4"/>
    <mergeCell ref="A38:B38"/>
    <mergeCell ref="A29:B29"/>
    <mergeCell ref="A28:B28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6" customHeight="1">
      <c r="A1" s="1" t="inlineStr">
        <is>
          <t>Legend, Status Codes &amp; Fit Scoring</t>
        </is>
      </c>
    </row>
    <row r="3" ht="20" customHeight="1">
      <c r="A3" s="3" t="inlineStr">
        <is>
          <t>STATUS / FIT CODES  (used in the roster 'Fit' column)</t>
        </is>
      </c>
    </row>
    <row r="4" ht="26" customHeight="1">
      <c r="A4" s="6" t="inlineStr">
        <is>
          <t>STRONG FIT</t>
        </is>
      </c>
      <c r="B4" s="7" t="inlineStr">
        <is>
          <t>Volume in band, hogs, USDA-inspected, welfare signal present, plausible for Model A or B. Prioritize outreach.</t>
        </is>
      </c>
    </row>
    <row r="5" ht="26" customHeight="1">
      <c r="A5" s="8" t="inlineStr">
        <is>
          <t>POSSIBLE</t>
        </is>
      </c>
      <c r="B5" s="7" t="inlineStr">
        <is>
          <t>Meets most criteria; one or more items unverified (usually volume or cert). Worth a call.</t>
        </is>
      </c>
    </row>
    <row r="6" ht="26" customHeight="1">
      <c r="A6" s="8" t="inlineStr">
        <is>
          <t>CAUTION</t>
        </is>
      </c>
      <c r="B6" s="7" t="inlineStr">
        <is>
          <t>A material mismatch (volume edge, cert gap, or culture concern) — call, but temper expectations.</t>
        </is>
      </c>
    </row>
    <row r="7" ht="26" customHeight="1">
      <c r="A7" s="9" t="inlineStr">
        <is>
          <t>OUT / FLAG</t>
        </is>
      </c>
      <c r="B7" s="7" t="inlineStr">
        <is>
          <t>Fails a hard criterion (wrong species, no hog slaughter, far outside volume band, or a certification gap that matters).</t>
        </is>
      </c>
    </row>
    <row r="8" ht="26" customHeight="1">
      <c r="A8" s="10" t="inlineStr">
        <is>
          <t>REFERENCE</t>
        </is>
      </c>
      <c r="B8" s="7" t="inlineStr">
        <is>
          <t>Existing/known supplier included as a benchmark (Nahunta, Martin's).</t>
        </is>
      </c>
    </row>
    <row r="10" ht="20" customHeight="1">
      <c r="A10" s="3" t="inlineStr">
        <is>
          <t>CERTIFICATION COLUMN CODES</t>
        </is>
      </c>
    </row>
    <row r="11" ht="24" customHeight="1">
      <c r="A11" s="11" t="inlineStr">
        <is>
          <t>USDA ✓</t>
        </is>
      </c>
      <c r="B11" s="7" t="inlineStr">
        <is>
          <t>Federally inspected (FSIS) slaughter — grant of inspection.</t>
        </is>
      </c>
    </row>
    <row r="12" ht="24" customHeight="1">
      <c r="A12" s="11" t="inlineStr">
        <is>
          <t>State ✓</t>
        </is>
      </c>
      <c r="B12" s="7" t="inlineStr">
        <is>
          <t>State meat-inspection program (equal-to FSIS for intrastate sale).</t>
        </is>
      </c>
    </row>
    <row r="13" ht="24" customHeight="1">
      <c r="A13" s="11" t="inlineStr">
        <is>
          <t>Custom-exempt</t>
        </is>
      </c>
      <c r="B13" s="7" t="inlineStr">
        <is>
          <t>Custom/exempt plant — NOT continuously inspected; product not for general commerce. FLAG for our use.</t>
        </is>
      </c>
    </row>
    <row r="14" ht="24" customHeight="1">
      <c r="A14" s="11" t="inlineStr">
        <is>
          <t>APHIS ✓ / n/a</t>
        </is>
      </c>
      <c r="B14" s="7" t="inlineStr">
        <is>
          <t>APHIS certification relates to animal-health/export programs; note where relevant. 'n/a' = not the applicable regime for this plant.</t>
        </is>
      </c>
    </row>
    <row r="15" ht="24" customHeight="1">
      <c r="A15" s="11" t="inlineStr">
        <is>
          <t>unknown</t>
        </is>
      </c>
      <c r="B15" s="7" t="inlineStr">
        <is>
          <t>Not published / not confirmed — MUST verify by phone.</t>
        </is>
      </c>
    </row>
    <row r="17" ht="20" customHeight="1">
      <c r="A17" s="3" t="inlineStr">
        <is>
          <t>HOW 'FIT' IS JUDGED  (weighting, not a hard formula)</t>
        </is>
      </c>
    </row>
    <row r="18" ht="24" customHeight="1">
      <c r="A18" s="11" t="inlineStr">
        <is>
          <t>Hog slaughter present</t>
        </is>
      </c>
      <c r="B18" s="7" t="inlineStr">
        <is>
          <t>Hard gate — no hogs, out of scope.</t>
        </is>
      </c>
    </row>
    <row r="19" ht="24" customHeight="1">
      <c r="A19" s="11" t="inlineStr">
        <is>
          <t>Weekly volume 200–3,000</t>
        </is>
      </c>
      <c r="B19" s="7" t="inlineStr">
        <is>
          <t>Hard gate UNLESS a dedicated organ/tissue harvester (then large is OK). Below ~200/wk is too small to mobilize.</t>
        </is>
      </c>
    </row>
    <row r="20" ht="24" customHeight="1">
      <c r="A20" s="11" t="inlineStr">
        <is>
          <t>USDA / APHIS status</t>
        </is>
      </c>
      <c r="B20" s="7" t="inlineStr">
        <is>
          <t>Preferred; a gap is flagged, not always fatal (depends on our use + Model).</t>
        </is>
      </c>
    </row>
    <row r="21" ht="24" customHeight="1">
      <c r="A21" s="11" t="inlineStr">
        <is>
          <t>Welfare &amp; culture</t>
        </is>
      </c>
      <c r="B21" s="7" t="inlineStr">
        <is>
          <t>Strong tie-breaker — the Nahunta differentiator.</t>
        </is>
      </c>
    </row>
    <row r="22" ht="24" customHeight="1">
      <c r="A22" s="11" t="inlineStr">
        <is>
          <t>Model A or B feasible</t>
        </is>
      </c>
      <c r="B22" s="7" t="inlineStr">
        <is>
          <t>At least one operating model must be plausible.</t>
        </is>
      </c>
    </row>
    <row r="23" ht="24" customHeight="1">
      <c r="A23" s="11" t="inlineStr">
        <is>
          <t>Organ/tissue capability</t>
        </is>
      </c>
      <c r="B23" s="7" t="inlineStr">
        <is>
          <t>Bonus; especially valuable for pelvic/bariatric/thoracic blocks.</t>
        </is>
      </c>
    </row>
  </sheetData>
  <mergeCells count="4">
    <mergeCell ref="A3:B3"/>
    <mergeCell ref="A10:B10"/>
    <mergeCell ref="A1:B1"/>
    <mergeCell ref="A17:B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7" customWidth="1" min="3" max="3"/>
    <col width="13" customWidth="1" min="4" max="4"/>
    <col width="7" customWidth="1" min="5" max="5"/>
    <col width="11" customWidth="1" min="6" max="6"/>
    <col width="34" customWidth="1" min="7" max="7"/>
    <col width="30" customWidth="1" min="8" max="8"/>
    <col width="22" customWidth="1" min="9" max="9"/>
    <col width="20" customWidth="1" min="10" max="10"/>
    <col width="16" customWidth="1" min="11" max="11"/>
    <col width="16" customWidth="1" min="12" max="12"/>
    <col width="22" customWidth="1" min="13" max="13"/>
    <col width="14" customWidth="1" min="14" max="14"/>
    <col width="8" customWidth="1" min="15" max="15"/>
    <col width="40" customWidth="1" min="16" max="16"/>
  </cols>
  <sheetData>
    <row r="1" ht="26" customHeight="1">
      <c r="A1" s="1" t="inlineStr">
        <is>
          <t>Supplier Roster — Slaughterhouses (hog kill), grouped by region</t>
        </is>
      </c>
    </row>
    <row r="2" ht="30" customHeight="1">
      <c r="A2" s="2" t="inlineStr">
        <is>
          <t>Primary: North Carolina.  Secondary: South Carolina / Tennessee / Virginia.  Then: Iowa &amp; Midwest.  'est.' = estimate to confirm by phone; 'unknown' = not published.</t>
        </is>
      </c>
    </row>
    <row r="4" ht="40" customHeight="1">
      <c r="A4" s="12" t="inlineStr">
        <is>
          <t>Supplier / plant</t>
        </is>
      </c>
      <c r="B4" s="12" t="inlineStr">
        <is>
          <t>Location</t>
        </is>
      </c>
      <c r="C4" s="12" t="inlineStr">
        <is>
          <t>Type</t>
        </is>
      </c>
      <c r="D4" s="12" t="inlineStr">
        <is>
          <t>Est. hogs / week</t>
        </is>
      </c>
      <c r="E4" s="12" t="inlineStr">
        <is>
          <t>Hogs?</t>
        </is>
      </c>
      <c r="F4" s="12" t="inlineStr">
        <is>
          <t>USDA insp.</t>
        </is>
      </c>
      <c r="G4" s="12" t="inlineStr">
        <is>
          <t>USDA / FSIS enforcement</t>
        </is>
      </c>
      <c r="H4" s="12" t="inlineStr">
        <is>
          <t>APHIS export status</t>
        </is>
      </c>
      <c r="I4" s="12" t="inlineStr">
        <is>
          <t>Welfare &amp; culture</t>
        </is>
      </c>
      <c r="J4" s="12" t="inlineStr">
        <is>
          <t>Organ / tissue harvest</t>
        </is>
      </c>
      <c r="K4" s="12" t="inlineStr">
        <is>
          <t>Model A
(we harvest on-site)</t>
        </is>
      </c>
      <c r="L4" s="12" t="inlineStr">
        <is>
          <t>Model B
(they harvest)</t>
        </is>
      </c>
      <c r="M4" s="12" t="inlineStr">
        <is>
          <t>Contact</t>
        </is>
      </c>
      <c r="N4" s="12" t="inlineStr">
        <is>
          <t>Fit</t>
        </is>
      </c>
      <c r="O4" s="12" t="inlineStr">
        <is>
          <t>Conf.</t>
        </is>
      </c>
      <c r="P4" s="12" t="inlineStr">
        <is>
          <t>Notes / source</t>
        </is>
      </c>
    </row>
    <row r="5" ht="20" customHeight="1">
      <c r="A5" s="3" t="inlineStr">
        <is>
          <t>REFERENCE — existing / benchmark suppliers</t>
        </is>
      </c>
    </row>
    <row r="6" ht="58" customHeight="1">
      <c r="A6" s="13" t="inlineStr">
        <is>
          <t>Nahunta Pork Center</t>
        </is>
      </c>
      <c r="B6" s="5" t="inlineStr">
        <is>
          <t>Pikeville, NC</t>
        </is>
      </c>
      <c r="C6" s="5" t="inlineStr">
        <is>
          <t>Custom slaughter + pork retail</t>
        </is>
      </c>
      <c r="D6" s="5" t="inlineStr">
        <is>
          <t>~400-500 (est.)</t>
        </is>
      </c>
      <c r="E6" s="5" t="inlineStr">
        <is>
          <t>Yes</t>
        </is>
      </c>
      <c r="F6" s="5" t="inlineStr">
        <is>
          <t>STATE only
(NOT USDA)</t>
        </is>
      </c>
      <c r="G6" s="5" t="inlineStr">
        <is>
          <t>None found in public FSIS / recall / AWI sources</t>
        </is>
      </c>
      <c r="H6" s="5" t="inlineStr">
        <is>
          <t>Not on public export lists — verify w/ APHIS VS (state-inspected)</t>
        </is>
      </c>
      <c r="I6" s="5" t="inlineStr">
        <is>
          <t>Strong — 3rd-gen Pierce family, decades of staff tenure; the culture benchmark</t>
        </is>
      </c>
      <c r="J6" s="5" t="inlineStr">
        <is>
          <t>Incumbent — most organ needs already covered here</t>
        </is>
      </c>
      <c r="K6" s="5" t="inlineStr">
        <is>
          <t>Yes (already custom-slaughters 3rd-party animals)</t>
        </is>
      </c>
      <c r="L6" s="5" t="inlineStr">
        <is>
          <t>Yes</t>
        </is>
      </c>
      <c r="M6" s="5" t="inlineStr">
        <is>
          <t>(919) 242-4735
nahuntapork.com</t>
        </is>
      </c>
      <c r="N6" s="14" t="inlineStr">
        <is>
          <t>REFERENCE</t>
        </is>
      </c>
      <c r="O6" s="5" t="inlineStr">
        <is>
          <t>High / est.</t>
        </is>
      </c>
      <c r="P6" s="5" t="inlineStr">
        <is>
          <t>Incumbent; great culture but volume-capped (~150 hogs/day). NC STATE-inspected, NOT USDA — FLAG per your cert requirement. APHIS unknown.</t>
        </is>
      </c>
    </row>
    <row r="7" ht="58" customHeight="1">
      <c r="A7" s="13" t="inlineStr">
        <is>
          <t>Martin's Pork Products, Inc.</t>
        </is>
      </c>
      <c r="B7" s="5" t="inlineStr">
        <is>
          <t>Falcon, NC</t>
        </is>
      </c>
      <c r="C7" s="5" t="inlineStr">
        <is>
          <t>USDA (Talmadge-Aiken) slaughter + processing</t>
        </is>
      </c>
      <c r="D7" s="5" t="inlineStr">
        <is>
          <t>unknown — 'has volume' (est. mid-size)</t>
        </is>
      </c>
      <c r="E7" s="5" t="inlineStr">
        <is>
          <t>Yes</t>
        </is>
      </c>
      <c r="F7" s="5" t="inlineStr">
        <is>
          <t>USDA ✓
(T-A, TA-6720)</t>
        </is>
      </c>
      <c r="G7" s="5" t="inlineStr">
        <is>
          <t>None found in public FSIS / recall / AWI sources</t>
        </is>
      </c>
      <c r="H7" s="5" t="inlineStr">
        <is>
          <t>FSIS-listed (TA-6720); NOT on public export lists — verify w/ APHIS VS</t>
        </is>
      </c>
      <c r="I7" s="5" t="inlineStr">
        <is>
          <t>Incumbent — 'ok' experience; quality issues harder to resolve (weaker culture/responsiveness than Nahunta); ~75 staff</t>
        </is>
      </c>
      <c r="J7" s="5" t="inlineStr">
        <is>
          <t>Pork slaughter + processing + wholesale</t>
        </is>
      </c>
      <c r="K7" s="5" t="inlineStr">
        <is>
          <t>Possible</t>
        </is>
      </c>
      <c r="L7" s="5" t="inlineStr">
        <is>
          <t>Yes (incumbent)</t>
        </is>
      </c>
      <c r="M7" s="5" t="inlineStr">
        <is>
          <t>(910) 980-1501
beth@martinspork.com · martinspork.com</t>
        </is>
      </c>
      <c r="N7" s="14" t="inlineStr">
        <is>
          <t>REFERENCE</t>
        </is>
      </c>
      <c r="O7" s="5" t="inlineStr">
        <is>
          <t>High</t>
        </is>
      </c>
      <c r="P7" s="5" t="inlineStr">
        <is>
          <t>YOUR INCUMBENT (corrected): Martin's Pork Products, Falcon, NC — NOT the unrelated Martin's Abattoir in Godwin (a cattle plant that closed 2013). Active USDA Talmadge-Aiken plant (federal FSIS inspection via NC state inspectors; Est. TA-6720), slaughter + processing since ~2000, ~75 staff, NC Meat Processors Assn member. 'Has volume' per your note — confirm weekly hog count. Federal FSIS confirmed; APHIS export listing separate &amp; to verify (you believe APHIS-certified).</t>
        </is>
      </c>
    </row>
    <row r="8" ht="20" customHeight="1">
      <c r="A8" s="3" t="inlineStr">
        <is>
          <t>NORTH CAROLINA — candidate slaughterhouses (primary region)</t>
        </is>
      </c>
    </row>
    <row r="9" ht="58" customHeight="1">
      <c r="A9" s="13" t="inlineStr">
        <is>
          <t>Piedmont Custom Meats</t>
        </is>
      </c>
      <c r="B9" s="5" t="inlineStr">
        <is>
          <t>Gibsonville / Asheboro, NC</t>
        </is>
      </c>
      <c r="C9" s="5" t="inlineStr">
        <is>
          <t>USDA-inspected</t>
        </is>
      </c>
      <c r="D9" s="5" t="inlineStr">
        <is>
          <t>unknown (5 days/wk)</t>
        </is>
      </c>
      <c r="E9" s="5" t="inlineStr">
        <is>
          <t>Yes</t>
        </is>
      </c>
      <c r="F9" s="5" t="inlineStr">
        <is>
          <t>USDA ✓</t>
        </is>
      </c>
      <c r="G9" s="5" t="inlineStr">
        <is>
          <t>None found (markets AWA / Grandin-designed humane facility)</t>
        </is>
      </c>
      <c r="H9" s="5" t="inlineStr">
        <is>
          <t>FSIS Est. M7975A; not on public export lists — verify</t>
        </is>
      </c>
      <c r="I9" s="5" t="inlineStr">
        <is>
          <t>Strong — AWA-approved, written humane-handling policy, Temple-Grandin-influenced design</t>
        </is>
      </c>
      <c r="J9" s="5" t="inlineStr">
        <is>
          <t>Runs a SEPARATE dedicated harvesting facility (distinct from processing)</t>
        </is>
      </c>
      <c r="K9" s="5" t="inlineStr">
        <is>
          <t>Yes — separate harvest site suits on-site access</t>
        </is>
      </c>
      <c r="L9" s="5" t="inlineStr">
        <is>
          <t>Yes — contract harvest plausible</t>
        </is>
      </c>
      <c r="M9" s="5" t="inlineStr">
        <is>
          <t>(336) 628-4949
piedmontcustommeats.com</t>
        </is>
      </c>
      <c r="N9" s="15" t="inlineStr">
        <is>
          <t>STRONG FIT</t>
        </is>
      </c>
      <c r="O9" s="5" t="inlineStr">
        <is>
          <t>High (struct.)</t>
        </is>
      </c>
      <c r="P9" s="5" t="inlineStr">
        <is>
          <t>Best structural match for either operating model (separate harvest facility). Confirm weekly hog throughput ≥200 and third-party access by phone.</t>
        </is>
      </c>
    </row>
    <row r="10" ht="58" customHeight="1">
      <c r="A10" s="13" t="inlineStr">
        <is>
          <t>Acre Station Meat Farm</t>
        </is>
      </c>
      <c r="B10" s="5" t="inlineStr">
        <is>
          <t>Pinetown, NC</t>
        </is>
      </c>
      <c r="C10" s="5" t="inlineStr">
        <is>
          <t>USDA-equivalent (Talmadge-Aiken)</t>
        </is>
      </c>
      <c r="D10" s="5" t="inlineStr">
        <is>
          <t>~400 (80 hogs/day cap)</t>
        </is>
      </c>
      <c r="E10" s="5" t="inlineStr">
        <is>
          <t>Yes</t>
        </is>
      </c>
      <c r="F10" s="5" t="inlineStr">
        <is>
          <t>USDA ✓
(T-A prog.)</t>
        </is>
      </c>
      <c r="G10" s="5" t="inlineStr">
        <is>
          <t>None found (Est. M19904)</t>
        </is>
      </c>
      <c r="H10" s="5" t="inlineStr">
        <is>
          <t>Not on public export lists — verify w/ APHIS VS</t>
        </is>
      </c>
      <c r="I10" s="5" t="inlineStr">
        <is>
          <t>AWA (Animal Welfare Approved) certified; family farm</t>
        </is>
      </c>
      <c r="J10" s="5" t="inlineStr">
        <is>
          <t>Plausible — custom multi-species</t>
        </is>
      </c>
      <c r="K10" s="5" t="inlineStr">
        <is>
          <t>Plausible</t>
        </is>
      </c>
      <c r="L10" s="5" t="inlineStr">
        <is>
          <t>Plausible</t>
        </is>
      </c>
      <c r="M10" s="5" t="inlineStr">
        <is>
          <t>(252) 927-3700
acrestationmeatfarm.com</t>
        </is>
      </c>
      <c r="N10" s="15" t="inlineStr">
        <is>
          <t>STRONG FIT</t>
        </is>
      </c>
      <c r="O10" s="5" t="inlineStr">
        <is>
          <t>High</t>
        </is>
      </c>
      <c r="P10" s="5" t="inlineStr">
        <is>
          <t>Capacity 80 hogs/day (~400/wk) verified — squarely in band. Welfare-forward. APHIS unknown.</t>
        </is>
      </c>
    </row>
    <row r="11" ht="58" customHeight="1">
      <c r="A11" s="13" t="inlineStr">
        <is>
          <t>Custom Quality Packers, LLC</t>
        </is>
      </c>
      <c r="B11" s="5" t="inlineStr">
        <is>
          <t>Sims, NC</t>
        </is>
      </c>
      <c r="C11" s="5" t="inlineStr">
        <is>
          <t>Slaughter (USDA/NCDA unclear)</t>
        </is>
      </c>
      <c r="D11" s="5" t="inlineStr">
        <is>
          <t>unknown</t>
        </is>
      </c>
      <c r="E11" s="5" t="inlineStr">
        <is>
          <t>Yes (HOGS ONLY)</t>
        </is>
      </c>
      <c r="F11" s="5" t="inlineStr">
        <is>
          <t>unknown</t>
        </is>
      </c>
      <c r="G11" s="5" t="inlineStr">
        <is>
          <t>None found (Est. M20129)</t>
        </is>
      </c>
      <c r="H11" s="5" t="inlineStr">
        <is>
          <t>Not on public export lists — verify</t>
        </is>
      </c>
      <c r="I11" s="5" t="inlineStr">
        <is>
          <t>unknown</t>
        </is>
      </c>
      <c r="J11" s="5" t="inlineStr">
        <is>
          <t>Plausible; skin-and-scald offered</t>
        </is>
      </c>
      <c r="K11" s="5" t="inlineStr">
        <is>
          <t>Plausible</t>
        </is>
      </c>
      <c r="L11" s="5" t="inlineStr">
        <is>
          <t>Plausible</t>
        </is>
      </c>
      <c r="M11" s="5" t="inlineStr">
        <is>
          <t>(252) 235-3558</t>
        </is>
      </c>
      <c r="N11" s="16" t="inlineStr">
        <is>
          <t>POSSIBLE</t>
        </is>
      </c>
      <c r="O11" s="5" t="inlineStr">
        <is>
          <t>Med</t>
        </is>
      </c>
      <c r="P11" s="5" t="inlineStr">
        <is>
          <t>Rare HOG-ONLY plant (most are multi-species) — potentially higher hog throughput. Call to confirm volume + inspection type.</t>
        </is>
      </c>
    </row>
    <row r="12" ht="58" customHeight="1">
      <c r="A12" s="13" t="inlineStr">
        <is>
          <t>George Flowers Slaughter House</t>
        </is>
      </c>
      <c r="B12" s="5" t="inlineStr">
        <is>
          <t>Sims, NC</t>
        </is>
      </c>
      <c r="C12" s="5" t="inlineStr">
        <is>
          <t>Slaughter</t>
        </is>
      </c>
      <c r="D12" s="5" t="inlineStr">
        <is>
          <t>unknown</t>
        </is>
      </c>
      <c r="E12" s="5" t="inlineStr">
        <is>
          <t>Yes (hogs+goats)</t>
        </is>
      </c>
      <c r="F12" s="5" t="inlineStr">
        <is>
          <t>unknown</t>
        </is>
      </c>
      <c r="G12" s="5" t="inlineStr">
        <is>
          <t>None found (Est. M21747)</t>
        </is>
      </c>
      <c r="H12" s="5" t="inlineStr">
        <is>
          <t>Not on public export lists — verify</t>
        </is>
      </c>
      <c r="I12" s="5" t="inlineStr">
        <is>
          <t>unknown</t>
        </is>
      </c>
      <c r="J12" s="5" t="inlineStr">
        <is>
          <t>Plausible; skin-and-scald</t>
        </is>
      </c>
      <c r="K12" s="5" t="inlineStr">
        <is>
          <t>Plausible</t>
        </is>
      </c>
      <c r="L12" s="5" t="inlineStr">
        <is>
          <t>Plausible</t>
        </is>
      </c>
      <c r="M12" s="5" t="inlineStr">
        <is>
          <t>(252) 237-2982</t>
        </is>
      </c>
      <c r="N12" s="16" t="inlineStr">
        <is>
          <t>POSSIBLE</t>
        </is>
      </c>
      <c r="O12" s="5" t="inlineStr">
        <is>
          <t>Med</t>
        </is>
      </c>
      <c r="P12" s="5" t="inlineStr">
        <is>
          <t>Hog-focused small op. Volume/inspection/APHIS all to verify by phone.</t>
        </is>
      </c>
    </row>
    <row r="13" ht="58" customHeight="1">
      <c r="A13" s="13" t="inlineStr">
        <is>
          <t>Wayne Mays Meat Processing</t>
        </is>
      </c>
      <c r="B13" s="5" t="inlineStr">
        <is>
          <t>Taylorsville, NC</t>
        </is>
      </c>
      <c r="C13" s="5" t="inlineStr">
        <is>
          <t>USDA-inspected</t>
        </is>
      </c>
      <c r="D13" s="5" t="inlineStr">
        <is>
          <t>unknown (small)</t>
        </is>
      </c>
      <c r="E13" s="5" t="inlineStr">
        <is>
          <t>Yes</t>
        </is>
      </c>
      <c r="F13" s="5" t="inlineStr">
        <is>
          <t>USDA ✓</t>
        </is>
      </c>
      <c r="G13" s="17" t="inlineStr">
        <is>
          <t>⚠ Humane-handling NOS ~Aug 2020 (Est. M21848); PETA-documented pig shot 3× (2024). Recurring.</t>
        </is>
      </c>
      <c r="H13" s="5" t="inlineStr">
        <is>
          <t>Not on public export lists — verify</t>
        </is>
      </c>
      <c r="I13" s="5" t="inlineStr">
        <is>
          <t>AWA + Certified Organic — strong welfare signals</t>
        </is>
      </c>
      <c r="J13" s="5" t="inlineStr">
        <is>
          <t>Plausible</t>
        </is>
      </c>
      <c r="K13" s="5" t="inlineStr">
        <is>
          <t>Plausible</t>
        </is>
      </c>
      <c r="L13" s="5" t="inlineStr">
        <is>
          <t>Plausible</t>
        </is>
      </c>
      <c r="M13" s="5" t="inlineStr">
        <is>
          <t>(828) 634-2034
maysmeats.net</t>
        </is>
      </c>
      <c r="N13" s="16" t="inlineStr">
        <is>
          <t>CAUTION</t>
        </is>
      </c>
      <c r="O13" s="5" t="inlineStr">
        <is>
          <t>Med</t>
        </is>
      </c>
      <c r="P13" s="5" t="inlineStr">
        <is>
          <t>USDA (in/out NC). Strong welfare CERTS but see enforcement column — humane-handling NOS ~2020 + PETA 2024 report is at odds with the AWA/Organic branding. Likely small custom volume (confirm ≥200/wk).</t>
        </is>
      </c>
    </row>
    <row r="14" ht="58" customHeight="1">
      <c r="A14" s="13" t="inlineStr">
        <is>
          <t>M.L. Mitchell &amp; Son</t>
        </is>
      </c>
      <c r="B14" s="5" t="inlineStr">
        <is>
          <t>Walnut Cove, NC</t>
        </is>
      </c>
      <c r="C14" s="5" t="inlineStr">
        <is>
          <t>USDA-inspected</t>
        </is>
      </c>
      <c r="D14" s="5" t="inlineStr">
        <is>
          <t>unknown</t>
        </is>
      </c>
      <c r="E14" s="5" t="inlineStr">
        <is>
          <t>Yes</t>
        </is>
      </c>
      <c r="F14" s="5" t="inlineStr">
        <is>
          <t>USDA ✓</t>
        </is>
      </c>
      <c r="G14" s="17" t="inlineStr">
        <is>
          <t>⚠ Slaughter suspension Aug 2021 — egregious (failed goat stun, conscious throat-cut). PETA→DA.</t>
        </is>
      </c>
      <c r="H14" s="5" t="inlineStr">
        <is>
          <t>Not on public export lists — verify</t>
        </is>
      </c>
      <c r="I14" s="5" t="inlineStr">
        <is>
          <t>Family business (culture signal)</t>
        </is>
      </c>
      <c r="J14" s="5" t="inlineStr">
        <is>
          <t>Plausible</t>
        </is>
      </c>
      <c r="K14" s="5" t="inlineStr">
        <is>
          <t>Plausible</t>
        </is>
      </c>
      <c r="L14" s="5" t="inlineStr">
        <is>
          <t>Plausible</t>
        </is>
      </c>
      <c r="M14" s="5" t="inlineStr">
        <is>
          <t>(336) 591-7420</t>
        </is>
      </c>
      <c r="N14" s="16" t="inlineStr">
        <is>
          <t>CAUTION</t>
        </is>
      </c>
      <c r="O14" s="5" t="inlineStr">
        <is>
          <t>Med</t>
        </is>
      </c>
      <c r="P14" s="5" t="inlineStr">
        <is>
          <t>USDA (in/out NC). Family-run — BUT see enforcement: egregious humane-handling slaughter suspension Aug 2021 (failed goat stun, conscious throat-cut). Confirm remediation + volume.</t>
        </is>
      </c>
    </row>
    <row r="15" ht="58" customHeight="1">
      <c r="A15" s="13" t="inlineStr">
        <is>
          <t>Key Packing Company, Inc.</t>
        </is>
      </c>
      <c r="B15" s="5" t="inlineStr">
        <is>
          <t>Robbins, NC</t>
        </is>
      </c>
      <c r="C15" s="5" t="inlineStr">
        <is>
          <t>NCDA state-inspected</t>
        </is>
      </c>
      <c r="D15" s="5" t="inlineStr">
        <is>
          <t>unknown (small)</t>
        </is>
      </c>
      <c r="E15" s="5" t="inlineStr">
        <is>
          <t>Yes</t>
        </is>
      </c>
      <c r="F15" s="5" t="inlineStr">
        <is>
          <t>STATE only
(NOT USDA)</t>
        </is>
      </c>
      <c r="G15" s="5" t="inlineStr">
        <is>
          <t>None found (state-inspected; federal FSIS enforcement n/a)</t>
        </is>
      </c>
      <c r="H15" s="5" t="inlineStr">
        <is>
          <t>State-inspected; not on public export lists — verify</t>
        </is>
      </c>
      <c r="I15" s="5" t="inlineStr">
        <is>
          <t>Family-owned (Key family); custom slaughter for independent farmers</t>
        </is>
      </c>
      <c r="J15" s="5" t="inlineStr">
        <is>
          <t>Plausible</t>
        </is>
      </c>
      <c r="K15" s="5" t="inlineStr">
        <is>
          <t>Plausible</t>
        </is>
      </c>
      <c r="L15" s="5" t="inlineStr">
        <is>
          <t>Plausible</t>
        </is>
      </c>
      <c r="M15" s="5" t="inlineStr">
        <is>
          <t>(910) 464-3507
keypackingcompany.com</t>
        </is>
      </c>
      <c r="N15" s="16" t="inlineStr">
        <is>
          <t>POSSIBLE</t>
        </is>
      </c>
      <c r="O15" s="5" t="inlineStr">
        <is>
          <t>Med</t>
        </is>
      </c>
      <c r="P15" s="5" t="inlineStr">
        <is>
          <t>STATE-inspected, in-NC sales only — FLAG (not USDA). Family culture. Likely small volume.</t>
        </is>
      </c>
    </row>
    <row r="16" ht="58" customHeight="1">
      <c r="A16" s="13" t="inlineStr">
        <is>
          <t>Sessoms Packing Company</t>
        </is>
      </c>
      <c r="B16" s="5" t="inlineStr">
        <is>
          <t>Ahoskie, NC</t>
        </is>
      </c>
      <c r="C16" s="5" t="inlineStr">
        <is>
          <t>Slaughter (probable USDA)</t>
        </is>
      </c>
      <c r="D16" s="5" t="inlineStr">
        <is>
          <t>unknown</t>
        </is>
      </c>
      <c r="E16" s="5" t="inlineStr">
        <is>
          <t>Yes</t>
        </is>
      </c>
      <c r="F16" s="5" t="inlineStr">
        <is>
          <t>probable USDA
(unconfirmed)</t>
        </is>
      </c>
      <c r="G16" s="5" t="inlineStr">
        <is>
          <t>None found in public sources</t>
        </is>
      </c>
      <c r="H16" s="5" t="inlineStr">
        <is>
          <t>Not on public export lists — verify</t>
        </is>
      </c>
      <c r="I16" s="5" t="inlineStr">
        <is>
          <t>unknown</t>
        </is>
      </c>
      <c r="J16" s="5" t="inlineStr">
        <is>
          <t>Plausible; whole-hog (country ham)</t>
        </is>
      </c>
      <c r="K16" s="5" t="inlineStr">
        <is>
          <t>Plausible</t>
        </is>
      </c>
      <c r="L16" s="5" t="inlineStr">
        <is>
          <t>Plausible</t>
        </is>
      </c>
      <c r="M16" s="5" t="inlineStr">
        <is>
          <t>(252) 332-2978</t>
        </is>
      </c>
      <c r="N16" s="16" t="inlineStr">
        <is>
          <t>POSSIBLE</t>
        </is>
      </c>
      <c r="O16" s="5" t="inlineStr">
        <is>
          <t>Low-Med</t>
        </is>
      </c>
      <c r="P16" s="5" t="inlineStr">
        <is>
          <t>Whole-hog capable. Confirm inspection type + volume.</t>
        </is>
      </c>
    </row>
    <row r="17" ht="58" customHeight="1">
      <c r="A17" s="13" t="inlineStr">
        <is>
          <t>Thomas Brothers Abattoir</t>
        </is>
      </c>
      <c r="B17" s="5" t="inlineStr">
        <is>
          <t>North Wilkesboro, NC</t>
        </is>
      </c>
      <c r="C17" s="5" t="inlineStr">
        <is>
          <t>Slaughter</t>
        </is>
      </c>
      <c r="D17" s="5" t="inlineStr">
        <is>
          <t>unknown</t>
        </is>
      </c>
      <c r="E17" s="5" t="inlineStr">
        <is>
          <t>Yes</t>
        </is>
      </c>
      <c r="F17" s="5" t="inlineStr">
        <is>
          <t>unknown</t>
        </is>
      </c>
      <c r="G17" s="17" t="inlineStr">
        <is>
          <t>⚠ REPEAT humane-handling suspensions 2009, 2015, 2018 (AWI list; Est. 19511M)</t>
        </is>
      </c>
      <c r="H17" s="5" t="inlineStr">
        <is>
          <t>Not on public export lists — verify</t>
        </is>
      </c>
      <c r="I17" s="5" t="inlineStr">
        <is>
          <t>unknown</t>
        </is>
      </c>
      <c r="J17" s="5" t="inlineStr">
        <is>
          <t>Plausible</t>
        </is>
      </c>
      <c r="K17" s="5" t="inlineStr">
        <is>
          <t>Plausible</t>
        </is>
      </c>
      <c r="L17" s="5" t="inlineStr">
        <is>
          <t>Plausible</t>
        </is>
      </c>
      <c r="M17" s="5" t="inlineStr">
        <is>
          <t>(336) 667-1346</t>
        </is>
      </c>
      <c r="N17" s="16" t="inlineStr">
        <is>
          <t>CAUTION</t>
        </is>
      </c>
      <c r="O17" s="5" t="inlineStr">
        <is>
          <t>Low-Med</t>
        </is>
      </c>
      <c r="P17" s="5" t="inlineStr">
        <is>
          <t>Broad species range. See enforcement: REPEAT humane-handling suspensions 2009/2015/2018 (AWI list). Later acquired by Apple Brandy Beef — confirm current ownership/practices. Inspection/volume to verify.</t>
        </is>
      </c>
    </row>
    <row r="18" ht="58" customHeight="1">
      <c r="A18" s="13" t="inlineStr">
        <is>
          <t>Cruse Meat Processing</t>
        </is>
      </c>
      <c r="B18" s="5" t="inlineStr">
        <is>
          <t>Concord, NC</t>
        </is>
      </c>
      <c r="C18" s="5" t="inlineStr">
        <is>
          <t>Slaughter</t>
        </is>
      </c>
      <c r="D18" s="5" t="inlineStr">
        <is>
          <t>unknown</t>
        </is>
      </c>
      <c r="E18" s="5" t="inlineStr">
        <is>
          <t>Yes</t>
        </is>
      </c>
      <c r="F18" s="5" t="inlineStr">
        <is>
          <t>unknown</t>
        </is>
      </c>
      <c r="G18" s="5" t="inlineStr">
        <is>
          <t>None found in public sources</t>
        </is>
      </c>
      <c r="H18" s="5" t="inlineStr">
        <is>
          <t>Not on public export lists — verify</t>
        </is>
      </c>
      <c r="I18" s="5" t="inlineStr">
        <is>
          <t>unknown</t>
        </is>
      </c>
      <c r="J18" s="5" t="inlineStr">
        <is>
          <t>Plausible; skin-and-scald</t>
        </is>
      </c>
      <c r="K18" s="5" t="inlineStr">
        <is>
          <t>Plausible</t>
        </is>
      </c>
      <c r="L18" s="5" t="inlineStr">
        <is>
          <t>Plausible</t>
        </is>
      </c>
      <c r="M18" s="5" t="inlineStr">
        <is>
          <t>(704) 786-8616</t>
        </is>
      </c>
      <c r="N18" s="16" t="inlineStr">
        <is>
          <t>POSSIBLE</t>
        </is>
      </c>
      <c r="O18" s="5" t="inlineStr">
        <is>
          <t>Low-Med</t>
        </is>
      </c>
      <c r="P18" s="5" t="inlineStr">
        <is>
          <t>Small custom multi-species. Verify by phone.</t>
        </is>
      </c>
    </row>
    <row r="19" ht="58" customHeight="1">
      <c r="A19" s="13" t="inlineStr">
        <is>
          <t>Triad Meat Custom Processing</t>
        </is>
      </c>
      <c r="B19" s="5" t="inlineStr">
        <is>
          <t>Madison, NC</t>
        </is>
      </c>
      <c r="C19" s="5" t="inlineStr">
        <is>
          <t>Slaughter</t>
        </is>
      </c>
      <c r="D19" s="5" t="inlineStr">
        <is>
          <t>unknown</t>
        </is>
      </c>
      <c r="E19" s="5" t="inlineStr">
        <is>
          <t>Yes</t>
        </is>
      </c>
      <c r="F19" s="5" t="inlineStr">
        <is>
          <t>unknown</t>
        </is>
      </c>
      <c r="G19" s="17" t="inlineStr">
        <is>
          <t>⚠ FSIS suspension ~Dec 2025 (Est. M46085; cause unspecified in public snippets)</t>
        </is>
      </c>
      <c r="H19" s="5" t="inlineStr">
        <is>
          <t>Not on public export lists — verify</t>
        </is>
      </c>
      <c r="I19" s="5" t="inlineStr">
        <is>
          <t>AWA (welfare signal)</t>
        </is>
      </c>
      <c r="J19" s="5" t="inlineStr">
        <is>
          <t>Plausible</t>
        </is>
      </c>
      <c r="K19" s="5" t="inlineStr">
        <is>
          <t>Plausible</t>
        </is>
      </c>
      <c r="L19" s="5" t="inlineStr">
        <is>
          <t>Plausible</t>
        </is>
      </c>
      <c r="M19" s="5" t="inlineStr">
        <is>
          <t>(336) 949-9696</t>
        </is>
      </c>
      <c r="N19" s="16" t="inlineStr">
        <is>
          <t>CAUTION</t>
        </is>
      </c>
      <c r="O19" s="5" t="inlineStr">
        <is>
          <t>Low-Med</t>
        </is>
      </c>
      <c r="P19" s="5" t="inlineStr">
        <is>
          <t>AWA welfare signal, BUT see enforcement: FSIS suspension ~Dec 2025 (cause unspecified in public snippets) — confirm status. Now Triad Halal Meats. Confirm volume/inspection.</t>
        </is>
      </c>
    </row>
    <row r="20" ht="58" customHeight="1">
      <c r="A20" s="13" t="inlineStr">
        <is>
          <t>Wells, Jenkins &amp; Wells Abattoir</t>
        </is>
      </c>
      <c r="B20" s="5" t="inlineStr">
        <is>
          <t>Forest City, NC</t>
        </is>
      </c>
      <c r="C20" s="5" t="inlineStr">
        <is>
          <t>Slaughter</t>
        </is>
      </c>
      <c r="D20" s="5" t="inlineStr">
        <is>
          <t>unknown</t>
        </is>
      </c>
      <c r="E20" s="5" t="inlineStr">
        <is>
          <t>Yes</t>
        </is>
      </c>
      <c r="F20" s="5" t="inlineStr">
        <is>
          <t>unknown</t>
        </is>
      </c>
      <c r="G20" s="5" t="inlineStr">
        <is>
          <t>None found (the M7457A docs are a different WV plant)</t>
        </is>
      </c>
      <c r="H20" s="5" t="inlineStr">
        <is>
          <t>Not on public export lists — verify</t>
        </is>
      </c>
      <c r="I20" s="5" t="inlineStr">
        <is>
          <t>AWA (welfare signal)</t>
        </is>
      </c>
      <c r="J20" s="5" t="inlineStr">
        <is>
          <t>Plausible</t>
        </is>
      </c>
      <c r="K20" s="5" t="inlineStr">
        <is>
          <t>Plausible</t>
        </is>
      </c>
      <c r="L20" s="5" t="inlineStr">
        <is>
          <t>Plausible</t>
        </is>
      </c>
      <c r="M20" s="5" t="inlineStr">
        <is>
          <t>(828) 245-5544</t>
        </is>
      </c>
      <c r="N20" s="16" t="inlineStr">
        <is>
          <t>POSSIBLE</t>
        </is>
      </c>
      <c r="O20" s="5" t="inlineStr">
        <is>
          <t>Low-Med</t>
        </is>
      </c>
      <c r="P20" s="5" t="inlineStr">
        <is>
          <t>AWA welfare signal. Confirm volume/inspection.</t>
        </is>
      </c>
    </row>
    <row r="21" ht="58" customHeight="1">
      <c r="A21" s="13" t="inlineStr">
        <is>
          <t>Riverside Meats</t>
        </is>
      </c>
      <c r="B21" s="5" t="inlineStr">
        <is>
          <t>Trenton, NC</t>
        </is>
      </c>
      <c r="C21" s="5" t="inlineStr">
        <is>
          <t>CUSTOM-EXEMPT</t>
        </is>
      </c>
      <c r="D21" s="5" t="inlineStr">
        <is>
          <t>unknown</t>
        </is>
      </c>
      <c r="E21" s="5" t="inlineStr">
        <is>
          <t>Yes</t>
        </is>
      </c>
      <c r="F21" s="5" t="inlineStr">
        <is>
          <t>Custom-exempt
(NOT for resale)</t>
        </is>
      </c>
      <c r="G21" s="5" t="inlineStr">
        <is>
          <t>None found in public sources</t>
        </is>
      </c>
      <c r="H21" s="5" t="inlineStr">
        <is>
          <t>Custom-exempt; not export-eligible as-is — verify</t>
        </is>
      </c>
      <c r="I21" s="5" t="inlineStr">
        <is>
          <t>AWA (welfare signal)</t>
        </is>
      </c>
      <c r="J21" s="5" t="inlineStr">
        <is>
          <t>Limited (exempt status)</t>
        </is>
      </c>
      <c r="K21" s="5" t="inlineStr">
        <is>
          <t>Limited</t>
        </is>
      </c>
      <c r="L21" s="5" t="inlineStr">
        <is>
          <t>Limited</t>
        </is>
      </c>
      <c r="M21" s="5" t="inlineStr">
        <is>
          <t>(252) 448-4047
riversidemeatsnc.com</t>
        </is>
      </c>
      <c r="N21" s="16" t="inlineStr">
        <is>
          <t>CAUTION</t>
        </is>
      </c>
      <c r="O21" s="5" t="inlineStr">
        <is>
          <t>Med</t>
        </is>
      </c>
      <c r="P21" s="5" t="inlineStr">
        <is>
          <t>Custom-EXEMPT: product not for general commerce — FLAG. AWA. Would need to confirm any lawful path for our use.</t>
        </is>
      </c>
    </row>
    <row r="22" ht="20" customHeight="1">
      <c r="A22" s="3" t="inlineStr">
        <is>
          <t>NORTH CAROLINA — large plants (context / ceiling, generally excluded)</t>
        </is>
      </c>
    </row>
    <row r="23" ht="58" customHeight="1">
      <c r="A23" s="13" t="inlineStr">
        <is>
          <t>Smithfield Foods — Tar Heel</t>
        </is>
      </c>
      <c r="B23" s="5" t="inlineStr">
        <is>
          <t>Bladen County, NC</t>
        </is>
      </c>
      <c r="C23" s="5" t="inlineStr">
        <is>
          <t>Industrial packer</t>
        </is>
      </c>
      <c r="D23" s="5" t="inlineStr">
        <is>
          <t>~28,000-32,000 / DAY</t>
        </is>
      </c>
      <c r="E23" s="5" t="inlineStr">
        <is>
          <t>Yes</t>
        </is>
      </c>
      <c r="F23" s="5" t="inlineStr">
        <is>
          <t>USDA ✓</t>
        </is>
      </c>
      <c r="G23" s="5" t="inlineStr">
        <is>
          <t>2011 recall (undeclared dairy allergen); 2021-22 sanitation/welfare NRs (not a suspension). Est. M18079.</t>
        </is>
      </c>
      <c r="H23" s="5" t="inlineStr">
        <is>
          <t>FSIS export-certified (edible, general; documented exports). EU/APHIS-byproduct status unverified</t>
        </is>
      </c>
      <c r="I23" s="5" t="inlineStr">
        <is>
          <t>Industrial line-speed (~5,500 staff)</t>
        </is>
      </c>
      <c r="J23" s="5" t="inlineStr">
        <is>
          <t>No dedicated on-site rental noted</t>
        </is>
      </c>
      <c r="K23" s="5" t="inlineStr">
        <is>
          <t>No</t>
        </is>
      </c>
      <c r="L23" s="5" t="inlineStr">
        <is>
          <t>No</t>
        </is>
      </c>
      <c r="M23" s="5" t="inlineStr">
        <is>
          <t>—</t>
        </is>
      </c>
      <c r="N23" s="18" t="inlineStr">
        <is>
          <t>OUT / FLAG</t>
        </is>
      </c>
      <c r="O23" s="5" t="inlineStr">
        <is>
          <t>High</t>
        </is>
      </c>
      <c r="P23" s="5" t="inlineStr">
        <is>
          <t>World's largest pork plant. Defines the ceiling; excluded — far too large, no tissue-harvest access for us.</t>
        </is>
      </c>
    </row>
    <row r="24" ht="58" customHeight="1">
      <c r="A24" s="13" t="inlineStr">
        <is>
          <t>Smithfield / KC Sausage (sow plant)</t>
        </is>
      </c>
      <c r="B24" s="5" t="inlineStr">
        <is>
          <t>Godwin, NC</t>
        </is>
      </c>
      <c r="C24" s="5" t="inlineStr">
        <is>
          <t>Industrial sow slaughter</t>
        </is>
      </c>
      <c r="D24" s="5" t="inlineStr">
        <is>
          <t>~1,000 sows/DAY (~5-6k/wk)</t>
        </is>
      </c>
      <c r="E24" s="5" t="inlineStr">
        <is>
          <t>Yes (sows)</t>
        </is>
      </c>
      <c r="F24" s="5" t="inlineStr">
        <is>
          <t>USDA ✓</t>
        </is>
      </c>
      <c r="G24" s="5" t="inlineStr">
        <is>
          <t>None found for the Godwin plant specifically</t>
        </is>
      </c>
      <c r="H24" s="5" t="inlineStr">
        <is>
          <t>FSIS-inspected; export not confirmed</t>
        </is>
      </c>
      <c r="I24" s="5" t="inlineStr">
        <is>
          <t>Industrial / corporate-owned</t>
        </is>
      </c>
      <c r="J24" s="5" t="inlineStr">
        <is>
          <t>Sow/organ-relevant but industrial scale</t>
        </is>
      </c>
      <c r="K24" s="5" t="inlineStr">
        <is>
          <t>Unlikely</t>
        </is>
      </c>
      <c r="L24" s="5" t="inlineStr">
        <is>
          <t>Unlikely</t>
        </is>
      </c>
      <c r="M24" s="5" t="inlineStr">
        <is>
          <t>—</t>
        </is>
      </c>
      <c r="N24" s="16" t="inlineStr">
        <is>
          <t>CAUTION</t>
        </is>
      </c>
      <c r="O24" s="5" t="inlineStr">
        <is>
          <t>High</t>
        </is>
      </c>
      <c r="P24" s="5" t="inlineStr">
        <is>
          <t>Sow-specialized (organ-relevant) but industrial &amp; corporate; Model A on-site access unlikely. Over volume band. Included as the nearby active operation vs. defunct Martin's.</t>
        </is>
      </c>
    </row>
    <row r="25" ht="20" customHeight="1">
      <c r="A25" s="3" t="inlineStr">
        <is>
          <t>SOUTH CAROLINA — candidate slaughterhouses</t>
        </is>
      </c>
    </row>
    <row r="26" ht="58" customHeight="1">
      <c r="A26" s="13" t="inlineStr">
        <is>
          <t>Caughman's Meat Plant, Inc.</t>
        </is>
      </c>
      <c r="B26" s="5" t="inlineStr">
        <is>
          <t>Lexington, SC</t>
        </is>
      </c>
      <c r="C26" s="5" t="inlineStr">
        <is>
          <t>USDA slaughter + processing</t>
        </is>
      </c>
      <c r="D26" s="5" t="inlineStr">
        <is>
          <t>unknown (small-mid est.)</t>
        </is>
      </c>
      <c r="E26" s="5" t="inlineStr">
        <is>
          <t>Yes</t>
        </is>
      </c>
      <c r="F26" s="5" t="inlineStr">
        <is>
          <t>USDA ✓</t>
        </is>
      </c>
      <c r="G26" s="5" t="inlineStr">
        <is>
          <t>None found in public sources</t>
        </is>
      </c>
      <c r="H26" s="5" t="inlineStr">
        <is>
          <t>Not on public export lists — verify w/ APHIS VS</t>
        </is>
      </c>
      <c r="I26" s="5" t="inlineStr">
        <is>
          <t>Multi-generation family since ~1947 — strong culture signal</t>
        </is>
      </c>
      <c r="J26" s="5" t="inlineStr">
        <is>
          <t>Not noted</t>
        </is>
      </c>
      <c r="K26" s="5" t="inlineStr">
        <is>
          <t>Possible (space unverified)</t>
        </is>
      </c>
      <c r="L26" s="5" t="inlineStr">
        <is>
          <t>Good — established slaughter + custom</t>
        </is>
      </c>
      <c r="M26" s="5" t="inlineStr">
        <is>
          <t>803-356-3216
caughmans.com</t>
        </is>
      </c>
      <c r="N26" s="16" t="inlineStr">
        <is>
          <t>POSSIBLE</t>
        </is>
      </c>
      <c r="O26" s="5" t="inlineStr">
        <is>
          <t>Med</t>
        </is>
      </c>
      <c r="P26" s="5" t="inlineStr">
        <is>
          <t>Strongest verified SC USDA hog-slaughter + family option. On AMS buying-packer list. Confirm weekly volume + establishment #.</t>
        </is>
      </c>
    </row>
    <row r="27" ht="58" customHeight="1">
      <c r="A27" s="13" t="inlineStr">
        <is>
          <t>Knockout Butchery</t>
        </is>
      </c>
      <c r="B27" s="5" t="inlineStr">
        <is>
          <t>Roebuck, SC</t>
        </is>
      </c>
      <c r="C27" s="5" t="inlineStr">
        <is>
          <t>USDA custom processing</t>
        </is>
      </c>
      <c r="D27" s="5" t="inlineStr">
        <is>
          <t>unknown</t>
        </is>
      </c>
      <c r="E27" s="5" t="inlineStr">
        <is>
          <t>Yes (on-site slaughter unconfirmed)</t>
        </is>
      </c>
      <c r="F27" s="5" t="inlineStr">
        <is>
          <t>USDA ✓</t>
        </is>
      </c>
      <c r="G27" s="5" t="inlineStr">
        <is>
          <t>None found in public sources</t>
        </is>
      </c>
      <c r="H27" s="5" t="inlineStr">
        <is>
          <t>Not on public export lists — verify</t>
        </is>
      </c>
      <c r="I27" s="5" t="inlineStr">
        <is>
          <t>'Careful handling'; recent capacity investment (trade press)</t>
        </is>
      </c>
      <c r="J27" s="5" t="inlineStr">
        <is>
          <t>Not noted</t>
        </is>
      </c>
      <c r="K27" s="5" t="inlineStr">
        <is>
          <t>Ask</t>
        </is>
      </c>
      <c r="L27" s="5" t="inlineStr">
        <is>
          <t>Likely B</t>
        </is>
      </c>
      <c r="M27" s="5" t="inlineStr">
        <is>
          <t>864-410-7068
knockoutbutchery.com</t>
        </is>
      </c>
      <c r="N27" s="16" t="inlineStr">
        <is>
          <t>POSSIBLE</t>
        </is>
      </c>
      <c r="O27" s="5" t="inlineStr">
        <is>
          <t>Med</t>
        </is>
      </c>
      <c r="P27" s="5" t="inlineStr">
        <is>
          <t>USDA-inspected, serves Upstate farmers; growing. Confirm on-site HOG slaughter + volume.</t>
        </is>
      </c>
    </row>
    <row r="28" ht="58" customHeight="1">
      <c r="A28" s="13" t="inlineStr">
        <is>
          <t>Back Forty Butchery</t>
        </is>
      </c>
      <c r="B28" s="5" t="inlineStr">
        <is>
          <t>Hodges, SC</t>
        </is>
      </c>
      <c r="C28" s="5" t="inlineStr">
        <is>
          <t>USDA processing</t>
        </is>
      </c>
      <c r="D28" s="5" t="inlineStr">
        <is>
          <t>unknown (small)</t>
        </is>
      </c>
      <c r="E28" s="5" t="inlineStr">
        <is>
          <t>Yes (on-site slaughter unconfirmed)</t>
        </is>
      </c>
      <c r="F28" s="5" t="inlineStr">
        <is>
          <t>USDA ✓</t>
        </is>
      </c>
      <c r="G28" s="5" t="inlineStr">
        <is>
          <t>None found (Est. M46060)</t>
        </is>
      </c>
      <c r="H28" s="5" t="inlineStr">
        <is>
          <t>Not on public export lists — verify</t>
        </is>
      </c>
      <c r="I28" s="5" t="inlineStr">
        <is>
          <t>Not addressed</t>
        </is>
      </c>
      <c r="J28" s="5" t="inlineStr">
        <is>
          <t>Not noted</t>
        </is>
      </c>
      <c r="K28" s="5" t="inlineStr">
        <is>
          <t>Ask</t>
        </is>
      </c>
      <c r="L28" s="5" t="inlineStr">
        <is>
          <t>B if slaughter on-site</t>
        </is>
      </c>
      <c r="M28" s="5" t="inlineStr">
        <is>
          <t>864-374-3571</t>
        </is>
      </c>
      <c r="N28" s="16" t="inlineStr">
        <is>
          <t>POSSIBLE</t>
        </is>
      </c>
      <c r="O28" s="5" t="inlineStr">
        <is>
          <t>Low-Med</t>
        </is>
      </c>
      <c r="P28" s="5" t="inlineStr">
        <is>
          <t>Processes domestic pigs + cattle (+ seasonal deer). Confirm slaughter-vs-cut-only.</t>
        </is>
      </c>
    </row>
    <row r="29" ht="58" customHeight="1">
      <c r="A29" s="13" t="inlineStr">
        <is>
          <t>601 Deer and Hog Processors</t>
        </is>
      </c>
      <c r="B29" s="5" t="inlineStr">
        <is>
          <t>Fort Motte, SC</t>
        </is>
      </c>
      <c r="C29" s="5" t="inlineStr">
        <is>
          <t>Deer/game + hog (likely custom-exempt)</t>
        </is>
      </c>
      <c r="D29" s="5" t="inlineStr">
        <is>
          <t>unknown</t>
        </is>
      </c>
      <c r="E29" s="5" t="inlineStr">
        <is>
          <t>Yes</t>
        </is>
      </c>
      <c r="F29" s="5" t="inlineStr">
        <is>
          <t>likely custom-
exempt (flag)</t>
        </is>
      </c>
      <c r="G29" s="5" t="inlineStr">
        <is>
          <t>None found (business also appears closed)</t>
        </is>
      </c>
      <c r="H29" s="5" t="inlineStr">
        <is>
          <t>Not on public export lists — verify</t>
        </is>
      </c>
      <c r="I29" s="5" t="inlineStr">
        <is>
          <t>Family (McDonald, since 2001)</t>
        </is>
      </c>
      <c r="J29" s="5" t="inlineStr">
        <is>
          <t>Not noted</t>
        </is>
      </c>
      <c r="K29" s="5" t="inlineStr">
        <is>
          <t>If own kills</t>
        </is>
      </c>
      <c r="L29" s="5" t="inlineStr">
        <is>
          <t>B if USDA confirmed</t>
        </is>
      </c>
      <c r="M29" s="5" t="inlineStr">
        <is>
          <t>803-707-1040</t>
        </is>
      </c>
      <c r="N29" s="16" t="inlineStr">
        <is>
          <t>CAUTION</t>
        </is>
      </c>
      <c r="O29" s="5" t="inlineStr">
        <is>
          <t>Low-Med</t>
        </is>
      </c>
      <c r="P29" s="5" t="inlineStr">
        <is>
          <t>FLAG: USDA status unverified — game processors are often custom-exempt (product not for resale). One directory lists it CLOSED; verify still operating.</t>
        </is>
      </c>
    </row>
    <row r="30" ht="58" customHeight="1">
      <c r="A30" s="13" t="inlineStr">
        <is>
          <t>Palmetto Fresh Meats</t>
        </is>
      </c>
      <c r="B30" s="5" t="inlineStr">
        <is>
          <t>Aynor, SC</t>
        </is>
      </c>
      <c r="C30" s="5" t="inlineStr">
        <is>
          <t>USDA slaughter (Est. M47715) — SUSPENDED</t>
        </is>
      </c>
      <c r="D30" s="5" t="inlineStr">
        <is>
          <t>unknown</t>
        </is>
      </c>
      <c r="E30" s="5" t="inlineStr">
        <is>
          <t>Yes</t>
        </is>
      </c>
      <c r="F30" s="5" t="inlineStr">
        <is>
          <t>USDA ✓ but
SUSPENDED 2022</t>
        </is>
      </c>
      <c r="G30" s="17" t="inlineStr">
        <is>
          <t>⚠ Humane-handling NOS Feb &amp; Mar 2022 (Est. M47715); PETA sought criminal probe. Also the slaughter suspension.</t>
        </is>
      </c>
      <c r="H30" s="5" t="inlineStr">
        <is>
          <t>Not on public export lists — verify (slaughter susp. 2022)</t>
        </is>
      </c>
      <c r="I30" s="5" t="inlineStr">
        <is>
          <t>unknown</t>
        </is>
      </c>
      <c r="J30" s="5" t="inlineStr">
        <is>
          <t>Not noted</t>
        </is>
      </c>
      <c r="K30" s="5" t="inlineStr">
        <is>
          <t>Unknown</t>
        </is>
      </c>
      <c r="L30" s="5" t="inlineStr">
        <is>
          <t>Unknown</t>
        </is>
      </c>
      <c r="M30" s="5" t="inlineStr">
        <is>
          <t>—</t>
        </is>
      </c>
      <c r="N30" s="18" t="inlineStr">
        <is>
          <t>OUT / FLAG</t>
        </is>
      </c>
      <c r="O30" s="5" t="inlineStr">
        <is>
          <t>Med</t>
        </is>
      </c>
      <c r="P30" s="5" t="inlineStr">
        <is>
          <t>Slaughter inspection SUSPENDED Feb 2022 (FSIS notice). Was hog-capable USDA slaughter — confirm current operating/inspection status before pursuing.</t>
        </is>
      </c>
    </row>
    <row r="31" ht="20" customHeight="1">
      <c r="A31" s="3" t="inlineStr">
        <is>
          <t>TENNESSEE — USDA-inspected hog-slaughter shops (small custom; Model B)</t>
        </is>
      </c>
    </row>
    <row r="32" ht="58" customHeight="1">
      <c r="A32" s="13" t="inlineStr">
        <is>
          <t>Fayette Packing Co., Inc.</t>
        </is>
      </c>
      <c r="B32" s="5" t="inlineStr">
        <is>
          <t>Eads, TN (Memphis area)</t>
        </is>
      </c>
      <c r="C32" s="5" t="inlineStr">
        <is>
          <t>USDA slaughter + processing</t>
        </is>
      </c>
      <c r="D32" s="5" t="inlineStr">
        <is>
          <t>unknown (largest of TN group est.)</t>
        </is>
      </c>
      <c r="E32" s="5" t="inlineStr">
        <is>
          <t>Yes</t>
        </is>
      </c>
      <c r="F32" s="5" t="inlineStr">
        <is>
          <t>USDA ✓</t>
        </is>
      </c>
      <c r="G32" s="17" t="inlineStr">
        <is>
          <t>⚠ Humane-handling NOS Apr 2023 (Est. M6555 — 4 stun attempts on a cow); held in abeyance.</t>
        </is>
      </c>
      <c r="H32" s="5" t="inlineStr">
        <is>
          <t>Not on public export lists — verify w/ APHIS VS</t>
        </is>
      </c>
      <c r="I32" s="5" t="inlineStr">
        <is>
          <t>Family since 1952 (3 generations, Keith) — strong culture</t>
        </is>
      </c>
      <c r="J32" s="5" t="inlineStr">
        <is>
          <t>Not noted</t>
        </is>
      </c>
      <c r="K32" s="5" t="inlineStr">
        <is>
          <t>Possible</t>
        </is>
      </c>
      <c r="L32" s="5" t="inlineStr">
        <is>
          <t>Good B</t>
        </is>
      </c>
      <c r="M32" s="5" t="inlineStr">
        <is>
          <t>901-867-3826
fayettepackingco.com</t>
        </is>
      </c>
      <c r="N32" s="16" t="inlineStr">
        <is>
          <t>POSSIBLE</t>
        </is>
      </c>
      <c r="O32" s="5" t="inlineStr">
        <is>
          <t>Med</t>
        </is>
      </c>
      <c r="P32" s="5" t="inlineStr">
        <is>
          <t>Established multi-gen family; likely the highest-capacity of the TN group. Confirm weekly hogs.</t>
        </is>
      </c>
    </row>
    <row r="33" ht="58" customHeight="1">
      <c r="A33" s="13" t="inlineStr">
        <is>
          <t>Underground Slaughter / Processing</t>
        </is>
      </c>
      <c r="B33" s="5" t="inlineStr">
        <is>
          <t>Walling, TN</t>
        </is>
      </c>
      <c r="C33" s="5" t="inlineStr">
        <is>
          <t>USDA multi-species (growing)</t>
        </is>
      </c>
      <c r="D33" s="5" t="inlineStr">
        <is>
          <t>unknown</t>
        </is>
      </c>
      <c r="E33" s="5" t="inlineStr">
        <is>
          <t>Yes</t>
        </is>
      </c>
      <c r="F33" s="5" t="inlineStr">
        <is>
          <t>USDA ✓</t>
        </is>
      </c>
      <c r="G33" s="5" t="inlineStr">
        <is>
          <t>None found (a logged FOIA request is not an enforcement action)</t>
        </is>
      </c>
      <c r="H33" s="5" t="inlineStr">
        <is>
          <t>Not on public export lists — verify</t>
        </is>
      </c>
      <c r="I33" s="5" t="inlineStr">
        <is>
          <t>Growing processor</t>
        </is>
      </c>
      <c r="J33" s="5" t="inlineStr">
        <is>
          <t>Not noted</t>
        </is>
      </c>
      <c r="K33" s="5" t="inlineStr">
        <is>
          <t>Possible</t>
        </is>
      </c>
      <c r="L33" s="5" t="inlineStr">
        <is>
          <t>Good B</t>
        </is>
      </c>
      <c r="M33" s="5" t="inlineStr">
        <is>
          <t>931-330-6328</t>
        </is>
      </c>
      <c r="N33" s="16" t="inlineStr">
        <is>
          <t>POSSIBLE</t>
        </is>
      </c>
      <c r="O33" s="5" t="inlineStr">
        <is>
          <t>Med</t>
        </is>
      </c>
      <c r="P33" s="5" t="inlineStr">
        <is>
          <t>Growing capacity; also TN's exclusive USDA small-farmer poultry processor. Call re: hog capacity.</t>
        </is>
      </c>
    </row>
    <row r="34" ht="58" customHeight="1">
      <c r="A34" s="13" t="inlineStr">
        <is>
          <t>Cherry Meat Company</t>
        </is>
      </c>
      <c r="B34" s="5" t="inlineStr">
        <is>
          <t>Chapel Hill, TN</t>
        </is>
      </c>
      <c r="C34" s="5" t="inlineStr">
        <is>
          <t>USDA slaughter + processing</t>
        </is>
      </c>
      <c r="D34" s="5" t="inlineStr">
        <is>
          <t>~18/wk (80/month verified)</t>
        </is>
      </c>
      <c r="E34" s="5" t="inlineStr">
        <is>
          <t>Yes</t>
        </is>
      </c>
      <c r="F34" s="5" t="inlineStr">
        <is>
          <t>USDA ✓</t>
        </is>
      </c>
      <c r="G34" s="5" t="inlineStr">
        <is>
          <t>None found (very small; FSIS grant 2021)</t>
        </is>
      </c>
      <c r="H34" s="5" t="inlineStr">
        <is>
          <t>Not on public export lists — verify</t>
        </is>
      </c>
      <c r="I34" s="5" t="inlineStr">
        <is>
          <t>Family (Cherry / Bear Creek Farm) — strong culture</t>
        </is>
      </c>
      <c r="J34" s="5" t="inlineStr">
        <is>
          <t>Not noted</t>
        </is>
      </c>
      <c r="K34" s="5" t="inlineStr">
        <is>
          <t>Low-vol</t>
        </is>
      </c>
      <c r="L34" s="5" t="inlineStr">
        <is>
          <t>Good B (high-touch)</t>
        </is>
      </c>
      <c r="M34" s="5" t="inlineStr">
        <is>
          <t>931-364-7924
cherrymeat.com</t>
        </is>
      </c>
      <c r="N34" s="16" t="inlineStr">
        <is>
          <t>CAUTION
(below floor)</t>
        </is>
      </c>
      <c r="O34" s="5" t="inlineStr">
        <is>
          <t>High</t>
        </is>
      </c>
      <c r="P34" s="5" t="inlineStr">
        <is>
          <t>Verified ~80 hogs/MONTH (~18/wk) — FAR BELOW your 200/wk floor. Excellent for family-culture, high-touch, low-volume work; won't carry volume.</t>
        </is>
      </c>
    </row>
    <row r="35" ht="58" customHeight="1">
      <c r="A35" s="13" t="inlineStr">
        <is>
          <t>Other TN USDA hog shops (roll-up)</t>
        </is>
      </c>
      <c r="B35" s="5" t="inlineStr">
        <is>
          <t>various, TN</t>
        </is>
      </c>
      <c r="C35" s="5" t="inlineStr">
        <is>
          <t>USDA small custom slaughter</t>
        </is>
      </c>
      <c r="D35" s="5" t="inlineStr">
        <is>
          <t>unknown (tens–low 100s/wk est.)</t>
        </is>
      </c>
      <c r="E35" s="5" t="inlineStr">
        <is>
          <t>Yes</t>
        </is>
      </c>
      <c r="F35" s="5" t="inlineStr">
        <is>
          <t>USDA ✓</t>
        </is>
      </c>
      <c r="G35" s="17" t="inlineStr">
        <is>
          <t>⚠ Harris Country Meats (Greeneville, M20686): humane NOS 2024. Volunteer/412 (Lexington, M6561): humane NOS Nov 2024. Others: none found.</t>
        </is>
      </c>
      <c r="H35" s="5" t="inlineStr">
        <is>
          <t>Not on public export lists — verify each w/ APHIS VS</t>
        </is>
      </c>
      <c r="I35" s="5" t="inlineStr">
        <is>
          <t>Small family shops</t>
        </is>
      </c>
      <c r="J35" s="5" t="inlineStr">
        <is>
          <t>Not noted</t>
        </is>
      </c>
      <c r="K35" s="5" t="inlineStr">
        <is>
          <t>Possible</t>
        </is>
      </c>
      <c r="L35" s="5" t="inlineStr">
        <is>
          <t>B</t>
        </is>
      </c>
      <c r="M35" s="5" t="inlineStr">
        <is>
          <t>see notes →</t>
        </is>
      </c>
      <c r="N35" s="16" t="inlineStr">
        <is>
          <t>POSSIBLE</t>
        </is>
      </c>
      <c r="O35" s="5" t="inlineStr">
        <is>
          <t>Low-Med</t>
        </is>
      </c>
      <c r="P35" s="5" t="inlineStr">
        <is>
          <t>Per UT Center for Profitable Ag list: D&amp;D Meats (Celina 931-261-9967); Hampton Meat (Decatur 423-334-1079); Harris Country Meats (Greeneville 423-638-1538); K&amp;J (Paris 731-642-6490); McBride (S. Pittsburg 423-837-4888); SAN Meat Packing (Afton 423-638-7001); Stone Mountain Meats (Greeneville 423-556-6328); Wells/Badr Halal (Brighton 901-475-1700, halal); Volunteer/412 (Lexington 731-769-6936); ZK Ranches (Springfield 615-991-1262). Confirm weekly hog kill each.</t>
        </is>
      </c>
    </row>
    <row r="36" ht="20" customHeight="1">
      <c r="A36" s="3" t="inlineStr">
        <is>
          <t>VIRGINIA — strongest welfare bench (humane-certified USDA abattoirs; Model B)</t>
        </is>
      </c>
    </row>
    <row r="37" ht="58" customHeight="1">
      <c r="A37" s="13" t="inlineStr">
        <is>
          <t>EcoFriendly Foods, LLC</t>
        </is>
      </c>
      <c r="B37" s="5" t="inlineStr">
        <is>
          <t>Moneta, VA</t>
        </is>
      </c>
      <c r="C37" s="5" t="inlineStr">
        <is>
          <t>USDA + Certified Humane multi-species harvest</t>
        </is>
      </c>
      <c r="D37" s="5" t="inlineStr">
        <is>
          <t>unknown</t>
        </is>
      </c>
      <c r="E37" s="5" t="inlineStr">
        <is>
          <t>Yes</t>
        </is>
      </c>
      <c r="F37" s="5" t="inlineStr">
        <is>
          <t>USDA ✓</t>
        </is>
      </c>
      <c r="G37" s="5" t="inlineStr">
        <is>
          <t>None found in FSIS/recall/AWI — BUT reportedly CEASED operations / bankruptcy ~2020. Verify still operating!</t>
        </is>
      </c>
      <c r="H37" s="5" t="inlineStr">
        <is>
          <t>Not on public export lists — verify (and confirm still operating)</t>
        </is>
      </c>
      <c r="I37" s="5" t="inlineStr">
        <is>
          <t>CERTIFIED HUMANE — strongest welfare match in the study</t>
        </is>
      </c>
      <c r="J37" s="5" t="inlineStr">
        <is>
          <t>Custom multi-species harvest for outside producers</t>
        </is>
      </c>
      <c r="K37" s="5" t="inlineStr">
        <is>
          <t>Worth asking (A)</t>
        </is>
      </c>
      <c r="L37" s="5" t="inlineStr">
        <is>
          <t>Excellent B (already does custom harvest)</t>
        </is>
      </c>
      <c r="M37" s="5" t="inlineStr">
        <is>
          <t>540-525-0352
ecofriendly.com</t>
        </is>
      </c>
      <c r="N37" s="16" t="inlineStr">
        <is>
          <t>CAUTION</t>
        </is>
      </c>
      <c r="O37" s="5" t="inlineStr">
        <is>
          <t>Med</t>
        </is>
      </c>
      <c r="P37" s="5" t="inlineStr">
        <is>
          <t>USDA + Certified Humane; on welfare it's the best VA match on paper — BUT reportedly CEASED operations / filed bankruptcy ~2020. VERIFY it is still operating before anything else; if closed, T&amp;E Meats and Blue Ridge Meats are the live humane VA options.</t>
        </is>
      </c>
    </row>
    <row r="38" ht="58" customHeight="1">
      <c r="A38" s="13" t="inlineStr">
        <is>
          <t>T&amp;E Meats (True &amp; Essential)</t>
        </is>
      </c>
      <c r="B38" s="5" t="inlineStr">
        <is>
          <t>Harrisonburg, VA</t>
        </is>
      </c>
      <c r="C38" s="5" t="inlineStr">
        <is>
          <t>USDA + AWA slaughter + processing</t>
        </is>
      </c>
      <c r="D38" s="5" t="inlineStr">
        <is>
          <t>unknown (small)</t>
        </is>
      </c>
      <c r="E38" s="5" t="inlineStr">
        <is>
          <t>Yes (hogs Thu &amp; Fri)</t>
        </is>
      </c>
      <c r="F38" s="5" t="inlineStr">
        <is>
          <t>USDA ✓</t>
        </is>
      </c>
      <c r="G38" s="5" t="inlineStr">
        <is>
          <t>None found in public sources</t>
        </is>
      </c>
      <c r="H38" s="5" t="inlineStr">
        <is>
          <t>Not on public export lists — verify w/ APHIS VS</t>
        </is>
      </c>
      <c r="I38" s="5" t="inlineStr">
        <is>
          <t>AWA humane; mission-driven independent (Salatin/Cloud); site since 1930s — very strong</t>
        </is>
      </c>
      <c r="J38" s="5" t="inlineStr">
        <is>
          <t>Not noted</t>
        </is>
      </c>
      <c r="K38" s="5" t="inlineStr">
        <is>
          <t>Worth asking (A)</t>
        </is>
      </c>
      <c r="L38" s="5" t="inlineStr">
        <is>
          <t>Excellent B</t>
        </is>
      </c>
      <c r="M38" s="5" t="inlineStr">
        <is>
          <t>540-434-4415
temeats.com</t>
        </is>
      </c>
      <c r="N38" s="15" t="inlineStr">
        <is>
          <t>STRONG FIT</t>
        </is>
      </c>
      <c r="O38" s="5" t="inlineStr">
        <is>
          <t>High</t>
        </is>
      </c>
      <c r="P38" s="5" t="inlineStr">
        <is>
          <t>USDA + Animal Welfare Approved; slaughters hogs Thu/Fri (verified); uses Grandin methods; serves 60+ farms. Small — confirm weekly count.</t>
        </is>
      </c>
    </row>
    <row r="39" ht="58" customHeight="1">
      <c r="A39" s="13" t="inlineStr">
        <is>
          <t>Blue Ridge Meats of Front Royal</t>
        </is>
      </c>
      <c r="B39" s="5" t="inlineStr">
        <is>
          <t>Middletown, VA</t>
        </is>
      </c>
      <c r="C39" s="5" t="inlineStr">
        <is>
          <t>USDA + AWA abattoir</t>
        </is>
      </c>
      <c r="D39" s="5" t="inlineStr">
        <is>
          <t>unknown</t>
        </is>
      </c>
      <c r="E39" s="5" t="inlineStr">
        <is>
          <t>Yes</t>
        </is>
      </c>
      <c r="F39" s="5" t="inlineStr">
        <is>
          <t>USDA ✓</t>
        </is>
      </c>
      <c r="G39" s="5" t="inlineStr">
        <is>
          <t>None found (do NOT confuse with 'Blue Ridge Beef' pet-food recalls)</t>
        </is>
      </c>
      <c r="H39" s="5" t="inlineStr">
        <is>
          <t>Not on public export lists — verify</t>
        </is>
      </c>
      <c r="I39" s="5" t="inlineStr">
        <is>
          <t>AWA-approved (humane) since 2006</t>
        </is>
      </c>
      <c r="J39" s="5" t="inlineStr">
        <is>
          <t>Not noted</t>
        </is>
      </c>
      <c r="K39" s="5" t="inlineStr">
        <is>
          <t>Mobile-slaughter option</t>
        </is>
      </c>
      <c r="L39" s="5" t="inlineStr">
        <is>
          <t>Strong B</t>
        </is>
      </c>
      <c r="M39" s="5" t="inlineStr">
        <is>
          <t>540-636-6050
blueridgemeats.com</t>
        </is>
      </c>
      <c r="N39" s="15" t="inlineStr">
        <is>
          <t>STRONG FIT</t>
        </is>
      </c>
      <c r="O39" s="5" t="inlineStr">
        <is>
          <t>High</t>
        </is>
      </c>
      <c r="P39" s="5" t="inlineStr">
        <is>
          <t>USDA + AWA; full-service slaughter incl. pork + game; artisan focus; also offers mobile slaughter.</t>
        </is>
      </c>
    </row>
    <row r="40" ht="58" customHeight="1">
      <c r="A40" s="13" t="inlineStr">
        <is>
          <t>Fauquier's Finest Custom Meat</t>
        </is>
      </c>
      <c r="B40" s="5" t="inlineStr">
        <is>
          <t>Bealeton, VA</t>
        </is>
      </c>
      <c r="C40" s="5" t="inlineStr">
        <is>
          <t>USDA/FSIS slaughter + processing</t>
        </is>
      </c>
      <c r="D40" s="5" t="inlineStr">
        <is>
          <t>unknown</t>
        </is>
      </c>
      <c r="E40" s="5" t="inlineStr">
        <is>
          <t>Yes</t>
        </is>
      </c>
      <c r="F40" s="5" t="inlineStr">
        <is>
          <t>USDA ✓ (FSIS
slaughter listed)</t>
        </is>
      </c>
      <c r="G40" s="17" t="inlineStr">
        <is>
          <t>⚠ REPEAT humane-handling suspensions 2021 &amp; Dec 2024 (+ a 2018 violation). Est. M33940.</t>
        </is>
      </c>
      <c r="H40" s="5" t="inlineStr">
        <is>
          <t>FSIS Est. M33940; not on public export lists — verify</t>
        </is>
      </c>
      <c r="I40" s="5" t="inlineStr">
        <is>
          <t>Not noted</t>
        </is>
      </c>
      <c r="J40" s="5" t="inlineStr">
        <is>
          <t>Not noted</t>
        </is>
      </c>
      <c r="K40" s="5" t="inlineStr">
        <is>
          <t>Worth asking (A)</t>
        </is>
      </c>
      <c r="L40" s="5" t="inlineStr">
        <is>
          <t>Strong B</t>
        </is>
      </c>
      <c r="M40" s="5" t="inlineStr">
        <is>
          <t>540-439-7227
finestbutcher.com</t>
        </is>
      </c>
      <c r="N40" s="16" t="inlineStr">
        <is>
          <t>CAUTION</t>
        </is>
      </c>
      <c r="O40" s="5" t="inlineStr">
        <is>
          <t>Med-High</t>
        </is>
      </c>
      <c r="P40" s="5" t="inlineStr">
        <is>
          <t>FSIS-listed for BOTH slaughter &amp; processing incl. hogs — BUT see enforcement: REPEAT humane-handling suspensions (2018, 2021, Dec 2024). A pattern that cuts against the welfare requirement — vet carefully before pursuing.</t>
        </is>
      </c>
    </row>
    <row r="41" ht="58" customHeight="1">
      <c r="A41" s="13" t="inlineStr">
        <is>
          <t>Other VA USDA slaughter (roll-up)</t>
        </is>
      </c>
      <c r="B41" s="5" t="inlineStr">
        <is>
          <t>various, VA</t>
        </is>
      </c>
      <c r="C41" s="5" t="inlineStr">
        <is>
          <t>USDA slaughter</t>
        </is>
      </c>
      <c r="D41" s="5" t="inlineStr">
        <is>
          <t>unknown</t>
        </is>
      </c>
      <c r="E41" s="5" t="inlineStr">
        <is>
          <t>Yes (confirm per-facility)</t>
        </is>
      </c>
      <c r="F41" s="5" t="inlineStr">
        <is>
          <t>USDA ✓</t>
        </is>
      </c>
      <c r="G41" s="17" t="inlineStr">
        <is>
          <t>⚠ Donald's Meat Processing (Lexington, M39968): repeat humane suspension 2023 → 3-yr consent decision. Others: none found.</t>
        </is>
      </c>
      <c r="H41" s="5" t="inlineStr">
        <is>
          <t>Not on public export lists — verify each</t>
        </is>
      </c>
      <c r="I41" s="5" t="inlineStr">
        <is>
          <t>Varies</t>
        </is>
      </c>
      <c r="J41" s="5" t="inlineStr">
        <is>
          <t>Not noted</t>
        </is>
      </c>
      <c r="K41" s="5" t="inlineStr">
        <is>
          <t>Possible</t>
        </is>
      </c>
      <c r="L41" s="5" t="inlineStr">
        <is>
          <t>B</t>
        </is>
      </c>
      <c r="M41" s="5" t="inlineStr">
        <is>
          <t>see notes →</t>
        </is>
      </c>
      <c r="N41" s="16" t="inlineStr">
        <is>
          <t>POSSIBLE</t>
        </is>
      </c>
      <c r="O41" s="5" t="inlineStr">
        <is>
          <t>Low-Med</t>
        </is>
      </c>
      <c r="P41" s="5" t="inlineStr">
        <is>
          <t>From VA slaughter list: Gore's (Edinburg 540-984-8138); Smith Valley Meats (Rich Creek 540-726-3992); Washington County Meat Packing (Bristol 276-466-3000); Central Meat Packing (Chesapeake 757-547-2161); Country Road Meats (Amelia 804-561-5235); Donald's (Lexington 540-464-1846); Crabill's (Toms Brook 540-436-3248); DeHaven's (Winchester 540-662-4004); Russell Meat Packing (Castlewood 276-794-7600); Schrock's (Gladys 434-283-5400). Also verify: 5 Pillar Meats (Farmville) may slaughter cattle/sheep/goat only; Seven Hills (Lynchburg) primarily beef.</t>
        </is>
      </c>
    </row>
    <row r="42" ht="58" customHeight="1">
      <c r="A42" s="13" t="inlineStr">
        <is>
          <t>VA state-inspected (roll-up)</t>
        </is>
      </c>
      <c r="B42" s="5" t="inlineStr">
        <is>
          <t>various, VA</t>
        </is>
      </c>
      <c r="C42" s="5" t="inlineStr">
        <is>
          <t>STATE-inspected slaughter (NOT USDA)</t>
        </is>
      </c>
      <c r="D42" s="5" t="inlineStr">
        <is>
          <t>unknown</t>
        </is>
      </c>
      <c r="E42" s="5" t="inlineStr">
        <is>
          <t>Yes</t>
        </is>
      </c>
      <c r="F42" s="5" t="inlineStr">
        <is>
          <t>STATE only
(NOT USDA)</t>
        </is>
      </c>
      <c r="G42" s="5" t="inlineStr">
        <is>
          <t>Not in FSIS federal enforcement data (state-inspected) — check VDACS state records</t>
        </is>
      </c>
      <c r="H42" s="5" t="inlineStr">
        <is>
          <t>State-inspected (not FSIS) — export path unlikely; verify</t>
        </is>
      </c>
      <c r="I42" s="5" t="inlineStr">
        <is>
          <t>Varies</t>
        </is>
      </c>
      <c r="J42" s="5" t="inlineStr">
        <is>
          <t>Not noted</t>
        </is>
      </c>
      <c r="K42" s="5" t="inlineStr">
        <is>
          <t>Possible</t>
        </is>
      </c>
      <c r="L42" s="5" t="inlineStr">
        <is>
          <t>B</t>
        </is>
      </c>
      <c r="M42" s="5" t="inlineStr">
        <is>
          <t>see notes →</t>
        </is>
      </c>
      <c r="N42" s="16" t="inlineStr">
        <is>
          <t>CAUTION</t>
        </is>
      </c>
      <c r="O42" s="5" t="inlineStr">
        <is>
          <t>Low</t>
        </is>
      </c>
      <c r="P42" s="5" t="inlineStr">
        <is>
          <t>NOT USDA-FSIS — FLAG for export/APHIS purposes: Adam's Custom Slaughter (Amissville); Ande's (Timberville); Griffith's (Luray); Green Valley (Monroe); Virginia Tech (Blacksburg).</t>
        </is>
      </c>
    </row>
    <row r="43" ht="20" customHeight="1">
      <c r="A43" s="3" t="inlineStr">
        <is>
          <t>IOWA &amp; MIDWEST — best fits (dedicated organ / tissue harvesters)</t>
        </is>
      </c>
    </row>
    <row r="44" ht="58" customHeight="1">
      <c r="A44" s="13" t="inlineStr">
        <is>
          <t>Midwest Research Swine (MRS)</t>
        </is>
      </c>
      <c r="B44" s="5" t="inlineStr">
        <is>
          <t>Glencoe / Gibbon, MN</t>
        </is>
      </c>
      <c r="C44" s="5" t="inlineStr">
        <is>
          <t>Porcine-ONLY abattoir + tissue-harvest facility</t>
        </is>
      </c>
      <c r="D44" s="5" t="inlineStr">
        <is>
          <t>~385 (20k/yr)</t>
        </is>
      </c>
      <c r="E44" s="5" t="inlineStr">
        <is>
          <t>Yes</t>
        </is>
      </c>
      <c r="F44" s="5" t="inlineStr">
        <is>
          <t>meat insp.
unconfirmed</t>
        </is>
      </c>
      <c r="G44" s="5" t="inlineStr">
        <is>
          <t>None found (small research facility; rarely in enforcement data)</t>
        </is>
      </c>
      <c r="H44" s="5" t="inlineStr">
        <is>
          <t>Holds APHIS Class B/R (AWA licenses); research-tissue export via APHIS VS/TRACES by-products channel NOT confirmed — verify (correct channel)</t>
        </is>
      </c>
      <c r="I44" s="5" t="inlineStr">
        <is>
          <t>Strong — closed herd, stringent QC; family (Theis, since 1978), ~20 staff</t>
        </is>
      </c>
      <c r="J44" s="5" t="inlineStr">
        <is>
          <t>YES — CORE BUSINESS: whole organs (decellularization), veins/arteries for implantation, mesh tissue, bio-samples; xeno/vaccine/stem-cell research</t>
        </is>
      </c>
      <c r="K44" s="5" t="inlineStr">
        <is>
          <t>Plausible (has harvest facility)</t>
        </is>
      </c>
      <c r="L44" s="5" t="inlineStr">
        <is>
          <t>Best fit — harvest to spec</t>
        </is>
      </c>
      <c r="M44" s="5" t="inlineStr">
        <is>
          <t>midwestresearchswine.com
(phone via site)</t>
        </is>
      </c>
      <c r="N44" s="15" t="inlineStr">
        <is>
          <t>STRONG FIT</t>
        </is>
      </c>
      <c r="O44" s="5" t="inlineStr">
        <is>
          <t>High</t>
        </is>
      </c>
      <c r="P44" s="5" t="inlineStr">
        <is>
          <t>THE standout — already exactly our operation at our scale. Clients incl. Mayo, U.Minnesota, Harvard, 40+ firms. Holds USDA APHIS Class B/R (AWA research licenses; distinct from an FSIS meat grant — confirm meat-inspection status).</t>
        </is>
      </c>
    </row>
    <row r="45" ht="58" customHeight="1">
      <c r="A45" s="13" t="inlineStr">
        <is>
          <t>Smithfield BioScience — Denison</t>
        </is>
      </c>
      <c r="B45" s="5" t="inlineStr">
        <is>
          <t>Denison, IA
(+ Monmouth IL, Milan MO)</t>
        </is>
      </c>
      <c r="C45" s="5" t="inlineStr">
        <is>
          <t>LARGE packer + biologics program</t>
        </is>
      </c>
      <c r="D45" s="5" t="inlineStr">
        <is>
          <t>~10,000 / DAY
(organ exception)</t>
        </is>
      </c>
      <c r="E45" s="5" t="inlineStr">
        <is>
          <t>Yes</t>
        </is>
      </c>
      <c r="F45" s="5" t="inlineStr">
        <is>
          <t>USDA ✓ (Est. 717)
export-cert</t>
        </is>
      </c>
      <c r="G45" s="17" t="inlineStr">
        <is>
          <t>⚠ REPEAT humane-handling: NOIE 2021 &amp; 2023; suspension 09/2024 (egregious). ASPCA line-speed concerns. Est. M717.</t>
        </is>
      </c>
      <c r="H45" s="5" t="inlineStr">
        <is>
          <t>FSIS export-certified (edible, Est. M717). Research-tissue via APHIS VS/TRACES unverified</t>
        </is>
      </c>
      <c r="I45" s="5" t="inlineStr">
        <is>
          <t>Industrial scale, but a structured biologics unit</t>
        </is>
      </c>
      <c r="J45" s="5" t="inlineStr">
        <is>
          <t>YES — full program: PELVIC (bladder, ovary); ABDOMINAL (kidney, liver, pancreas, sm. intestine, mucosa, peritoneum, pepsin lining); THORACIC (heart, valves, lung, aorta, pericardium, trachea); glands/skin/eyes</t>
        </is>
      </c>
      <c r="K45" s="5" t="inlineStr">
        <is>
          <t>Negotiate (industrial site)</t>
        </is>
      </c>
      <c r="L45" s="5" t="inlineStr">
        <is>
          <t>Strong — harvests in-house to customer spec</t>
        </is>
      </c>
      <c r="M45" s="5" t="inlineStr">
        <is>
          <t>smithfieldbioscience.com</t>
        </is>
      </c>
      <c r="N45" s="15" t="inlineStr">
        <is>
          <t>STRONG FIT
(organ exc.)</t>
        </is>
      </c>
      <c r="O45" s="5" t="inlineStr">
        <is>
          <t>High</t>
        </is>
      </c>
      <c r="P45" s="5" t="inlineStr">
        <is>
          <t>The large packer that QUALIFIES via your organ exception — covers all three target regions harvested to spec. Model B natural fit; Model A access would need negotiation.</t>
        </is>
      </c>
    </row>
    <row r="46" ht="20" customHeight="1">
      <c r="A46" s="3" t="inlineStr">
        <is>
          <t>IOWA &amp; MIDWEST — mid / small USDA hog plants (standard pork; Model A or B)</t>
        </is>
      </c>
    </row>
    <row r="47" ht="58" customHeight="1">
      <c r="A47" s="13" t="inlineStr">
        <is>
          <t>Lorentz Meats</t>
        </is>
      </c>
      <c r="B47" s="5" t="inlineStr">
        <is>
          <t>Cannon Falls, MN</t>
        </is>
      </c>
      <c r="C47" s="5" t="inlineStr">
        <is>
          <t>USDA niche processor (slaughter→retail)</t>
        </is>
      </c>
      <c r="D47" s="5" t="inlineStr">
        <is>
          <t>up to ~600 (120/day est.)</t>
        </is>
      </c>
      <c r="E47" s="5" t="inlineStr">
        <is>
          <t>Yes</t>
        </is>
      </c>
      <c r="F47" s="5" t="inlineStr">
        <is>
          <t>USDA ✓</t>
        </is>
      </c>
      <c r="G47" s="5" t="inlineStr">
        <is>
          <t>Recall 2010 (Listeria, cooked ham, Class I). No humane-handling action found.</t>
        </is>
      </c>
      <c r="H47" s="5" t="inlineStr">
        <is>
          <t>FSIS export-certified (edible, general; Est. M21207). EU-specific unverified</t>
        </is>
      </c>
      <c r="I47" s="5" t="inlineStr">
        <is>
          <t>Strong — explicit humane-slaughter positioning; family since 1968, ~140 staff; organic/grass-fed ties</t>
        </is>
      </c>
      <c r="J47" s="5" t="inlineStr">
        <is>
          <t>None known</t>
        </is>
      </c>
      <c r="K47" s="5" t="inlineStr">
        <is>
          <t>Good Model A host (fee-for-service, small-producer friendly)</t>
        </is>
      </c>
      <c r="L47" s="5" t="inlineStr">
        <is>
          <t>Plausible</t>
        </is>
      </c>
      <c r="M47" s="5" t="inlineStr">
        <is>
          <t>(507) 263-3618
lorentzmeats.com</t>
        </is>
      </c>
      <c r="N47" s="16" t="inlineStr">
        <is>
          <t>POSSIBLE</t>
        </is>
      </c>
      <c r="O47" s="5" t="inlineStr">
        <is>
          <t>Med</t>
        </is>
      </c>
      <c r="P47" s="5" t="inlineStr">
        <is>
          <t>Strong welfare &amp; culture signals (Nahunta-type). Confirm true pork-day cadence / weekly hog count.</t>
        </is>
      </c>
    </row>
    <row r="48" ht="58" customHeight="1">
      <c r="A48" s="13" t="inlineStr">
        <is>
          <t>SIG International, Iowa</t>
        </is>
      </c>
      <c r="B48" s="5" t="inlineStr">
        <is>
          <t>Boyden, IA</t>
        </is>
      </c>
      <c r="C48" s="5" t="inlineStr">
        <is>
          <t>USDA slaughter+processing (Est. M20748)</t>
        </is>
      </c>
      <c r="D48" s="5" t="inlineStr">
        <is>
          <t>unknown (small-mid)</t>
        </is>
      </c>
      <c r="E48" s="5" t="inlineStr">
        <is>
          <t>Yes</t>
        </is>
      </c>
      <c r="F48" s="5" t="inlineStr">
        <is>
          <t>USDA ✓
export-cert (Japan)</t>
        </is>
      </c>
      <c r="G48" s="5" t="inlineStr">
        <is>
          <t>None found in public sources</t>
        </is>
      </c>
      <c r="H48" s="5" t="inlineStr">
        <is>
          <t>FSIS export-certified (edible; exports to Japan — Japan ≠ EU). EU/APHIS unverified</t>
        </is>
      </c>
      <c r="I48" s="5" t="inlineStr">
        <is>
          <t>Berkshire / USDA-organic; export QC discipline</t>
        </is>
      </c>
      <c r="J48" s="5" t="inlineStr">
        <is>
          <t>None found</t>
        </is>
      </c>
      <c r="K48" s="5" t="inlineStr">
        <is>
          <t>Likely Model A host</t>
        </is>
      </c>
      <c r="L48" s="5" t="inlineStr">
        <is>
          <t>Plausible</t>
        </is>
      </c>
      <c r="M48" s="5" t="inlineStr">
        <is>
          <t>(712) 725-2172
sigiowa.com</t>
        </is>
      </c>
      <c r="N48" s="16" t="inlineStr">
        <is>
          <t>POSSIBLE</t>
        </is>
      </c>
      <c r="O48" s="5" t="inlineStr">
        <is>
          <t>Med</t>
        </is>
      </c>
      <c r="P48" s="5" t="inlineStr">
        <is>
          <t>Niche premium/Berkshire, organic, export-grade QC (Japan). Confirm weekly hog throughput.</t>
        </is>
      </c>
    </row>
    <row r="49" ht="58" customHeight="1">
      <c r="A49" s="13" t="inlineStr">
        <is>
          <t>Eickman's Processing Co.</t>
        </is>
      </c>
      <c r="B49" s="5" t="inlineStr">
        <is>
          <t>Seward, IL</t>
        </is>
      </c>
      <c r="C49" s="5" t="inlineStr">
        <is>
          <t>USDA (Est. M31776), small family plant</t>
        </is>
      </c>
      <c r="D49" s="5" t="inlineStr">
        <is>
          <t>small (low-100s/wk est.)</t>
        </is>
      </c>
      <c r="E49" s="5" t="inlineStr">
        <is>
          <t>Yes</t>
        </is>
      </c>
      <c r="F49" s="5" t="inlineStr">
        <is>
          <t>USDA ✓</t>
        </is>
      </c>
      <c r="G49" s="5" t="inlineStr">
        <is>
          <t>Recall 2010 (underprocessed canned). No humane-handling action found.</t>
        </is>
      </c>
      <c r="H49" s="5" t="inlineStr">
        <is>
          <t>Not on public export lists — verify</t>
        </is>
      </c>
      <c r="I49" s="5" t="inlineStr">
        <is>
          <t>Long-tenured family operation (~70 yrs, ~30 staff) — stable culture</t>
        </is>
      </c>
      <c r="J49" s="5" t="inlineStr">
        <is>
          <t>None</t>
        </is>
      </c>
      <c r="K49" s="5" t="inlineStr">
        <is>
          <t>Model A small batches</t>
        </is>
      </c>
      <c r="L49" s="5" t="inlineStr">
        <is>
          <t>Plausible</t>
        </is>
      </c>
      <c r="M49" s="5" t="inlineStr">
        <is>
          <t>(815) 247-8451
eickmans.com</t>
        </is>
      </c>
      <c r="N49" s="16" t="inlineStr">
        <is>
          <t>CAUTION</t>
        </is>
      </c>
      <c r="O49" s="5" t="inlineStr">
        <is>
          <t>Med</t>
        </is>
      </c>
      <c r="P49" s="5" t="inlineStr">
        <is>
          <t>Small custom-scale; stable family culture. 'Low-100s/wk' estimate likely BELOW the 200/wk floor — confirm weekly hog count before pursuing.</t>
        </is>
      </c>
    </row>
    <row r="50" ht="58" customHeight="1">
      <c r="A50" s="13" t="inlineStr">
        <is>
          <t>Ruthven Meat Processing</t>
        </is>
      </c>
      <c r="B50" s="5" t="inlineStr">
        <is>
          <t>Ruthven, IA</t>
        </is>
      </c>
      <c r="C50" s="5" t="inlineStr">
        <is>
          <t>USDA (Est. M2118), FSIS 'Very Small'</t>
        </is>
      </c>
      <c r="D50" s="5" t="inlineStr">
        <is>
          <t>low (very small)</t>
        </is>
      </c>
      <c r="E50" s="5" t="inlineStr">
        <is>
          <t>Hogs NOT
confirmed</t>
        </is>
      </c>
      <c r="F50" s="5" t="inlineStr">
        <is>
          <t>USDA ✓</t>
        </is>
      </c>
      <c r="G50" s="5" t="inlineStr">
        <is>
          <t>None found in public sources</t>
        </is>
      </c>
      <c r="H50" s="5" t="inlineStr">
        <is>
          <t>Not on public export lists — verify</t>
        </is>
      </c>
      <c r="I50" s="5" t="inlineStr">
        <is>
          <t>Small locker</t>
        </is>
      </c>
      <c r="J50" s="5" t="inlineStr">
        <is>
          <t>Unknown</t>
        </is>
      </c>
      <c r="K50" s="5" t="inlineStr">
        <is>
          <t>Model A small batch</t>
        </is>
      </c>
      <c r="L50" s="5" t="inlineStr">
        <is>
          <t>Plausible</t>
        </is>
      </c>
      <c r="M50" s="5" t="inlineStr">
        <is>
          <t>(712) 837-5334</t>
        </is>
      </c>
      <c r="N50" s="16" t="inlineStr">
        <is>
          <t>CAUTION</t>
        </is>
      </c>
      <c r="O50" s="5" t="inlineStr">
        <is>
          <t>Low-Med</t>
        </is>
      </c>
      <c r="P50" s="5" t="inlineStr">
        <is>
          <t>FSIS 'Very Small' volume class (fits low band) BUT swine slaughter NOT confirmed — verify it actually takes hogs before relying on it.</t>
        </is>
      </c>
    </row>
    <row r="51" ht="20" customHeight="1">
      <c r="A51" s="3" t="inlineStr">
        <is>
          <t>IOWA &amp; MIDWEST — large packers (excluded unless a biologics program is confirmed)</t>
        </is>
      </c>
    </row>
    <row r="52" ht="58" customHeight="1">
      <c r="A52" s="13" t="inlineStr">
        <is>
          <t>Sioux-Preme Packing / Perdue</t>
        </is>
      </c>
      <c r="B52" s="5" t="inlineStr">
        <is>
          <t>Sioux Center, IA</t>
        </is>
      </c>
      <c r="C52" s="5" t="inlineStr">
        <is>
          <t>Large niche pork (Est. M5537)</t>
        </is>
      </c>
      <c r="D52" s="5" t="inlineStr">
        <is>
          <t>~4,500 / DAY</t>
        </is>
      </c>
      <c r="E52" s="5" t="inlineStr">
        <is>
          <t>Yes</t>
        </is>
      </c>
      <c r="F52" s="5" t="inlineStr">
        <is>
          <t>USDA ✓
organic</t>
        </is>
      </c>
      <c r="G52" s="17" t="inlineStr">
        <is>
          <t>⚠ Humane-handling: NOIE 11/2020, suspension 04/2021 (Est. M5537); PETA sought charges (none filed on record).</t>
        </is>
      </c>
      <c r="H52" s="5" t="inlineStr">
        <is>
          <t>Export status not confirmed on public lists — verify</t>
        </is>
      </c>
      <c r="I52" s="5" t="inlineStr">
        <is>
          <t>NEGATIVE signal — an animal-rights group publicly sought charges over handling</t>
        </is>
      </c>
      <c r="J52" s="5" t="inlineStr">
        <is>
          <t>No biologics program found</t>
        </is>
      </c>
      <c r="K52" s="5" t="inlineStr">
        <is>
          <t>Unlikely</t>
        </is>
      </c>
      <c r="L52" s="5" t="inlineStr">
        <is>
          <t>Unlikely</t>
        </is>
      </c>
      <c r="M52" s="5" t="inlineStr">
        <is>
          <t>(712) 722-2555</t>
        </is>
      </c>
      <c r="N52" s="18" t="inlineStr">
        <is>
          <t>OUT / FLAG</t>
        </is>
      </c>
      <c r="O52" s="5" t="inlineStr">
        <is>
          <t>High</t>
        </is>
      </c>
      <c r="P52" s="5" t="inlineStr">
        <is>
          <t>Above volume band AND no organ program found. Public animal-welfare complaint on record — diligence flag.</t>
        </is>
      </c>
    </row>
    <row r="53" ht="58" customHeight="1">
      <c r="A53" s="13" t="inlineStr">
        <is>
          <t>Seaboard Triumph Foods</t>
        </is>
      </c>
      <c r="B53" s="5" t="inlineStr">
        <is>
          <t>Sioux City, IA</t>
        </is>
      </c>
      <c r="C53" s="5" t="inlineStr">
        <is>
          <t>Very large packer</t>
        </is>
      </c>
      <c r="D53" s="5" t="inlineStr">
        <is>
          <t>~10,000/DAY (up to 20-24k)</t>
        </is>
      </c>
      <c r="E53" s="5" t="inlineStr">
        <is>
          <t>Yes</t>
        </is>
      </c>
      <c r="F53" s="5" t="inlineStr">
        <is>
          <t>USDA ✓</t>
        </is>
      </c>
      <c r="G53" s="5" t="inlineStr">
        <is>
          <t>No FSIS humane/recall found. Non-FSIS press: labor / child-labor fines, emissions.</t>
        </is>
      </c>
      <c r="H53" s="5" t="inlineStr">
        <is>
          <t>FSIS export-certified (edible, general; Est. M46071). EU-specific unverified</t>
        </is>
      </c>
      <c r="I53" s="5" t="inlineStr">
        <is>
          <t>Industrial</t>
        </is>
      </c>
      <c r="J53" s="5" t="inlineStr">
        <is>
          <t>NOT confirmed (no research-organ program found)</t>
        </is>
      </c>
      <c r="K53" s="5" t="inlineStr">
        <is>
          <t>Unlikely</t>
        </is>
      </c>
      <c r="L53" s="5" t="inlineStr">
        <is>
          <t>Unlikely</t>
        </is>
      </c>
      <c r="M53" s="5" t="inlineStr">
        <is>
          <t>—</t>
        </is>
      </c>
      <c r="N53" s="18" t="inlineStr">
        <is>
          <t>OUT / FLAG</t>
        </is>
      </c>
      <c r="O53" s="5" t="inlineStr">
        <is>
          <t>High</t>
        </is>
      </c>
      <c r="P53" s="5" t="inlineStr">
        <is>
          <t>Too large; biologics program unconfirmed — do NOT assume one exists. Ask directly if pursuing.</t>
        </is>
      </c>
    </row>
    <row r="54" ht="58" customHeight="1">
      <c r="A54" s="13" t="inlineStr">
        <is>
          <t>Prestage Foods of Iowa</t>
        </is>
      </c>
      <c r="B54" s="5" t="inlineStr">
        <is>
          <t>Eagle Grove, IA</t>
        </is>
      </c>
      <c r="C54" s="5" t="inlineStr">
        <is>
          <t>Very large packer</t>
        </is>
      </c>
      <c r="D54" s="5" t="inlineStr">
        <is>
          <t>~10,000-12,000/DAY</t>
        </is>
      </c>
      <c r="E54" s="5" t="inlineStr">
        <is>
          <t>Yes</t>
        </is>
      </c>
      <c r="F54" s="5" t="inlineStr">
        <is>
          <t>USDA ✓</t>
        </is>
      </c>
      <c r="G54" s="17" t="inlineStr">
        <is>
          <t>⚠ REPEAT humane-handling suspensions 2020 &amp; 04/2022 (egregious). Est. M51340. PETA sought kill-floor cameras.</t>
        </is>
      </c>
      <c r="H54" s="5" t="inlineStr">
        <is>
          <t>Export-oriented; 'Certification–Export' not directly confirmed. EU unverified</t>
        </is>
      </c>
      <c r="I54" s="5" t="inlineStr">
        <is>
          <t>Industrial</t>
        </is>
      </c>
      <c r="J54" s="5" t="inlineStr">
        <is>
          <t>No organ program found</t>
        </is>
      </c>
      <c r="K54" s="5" t="inlineStr">
        <is>
          <t>Unlikely</t>
        </is>
      </c>
      <c r="L54" s="5" t="inlineStr">
        <is>
          <t>Unlikely</t>
        </is>
      </c>
      <c r="M54" s="5" t="inlineStr">
        <is>
          <t>—</t>
        </is>
      </c>
      <c r="N54" s="18" t="inlineStr">
        <is>
          <t>OUT / FLAG</t>
        </is>
      </c>
      <c r="O54" s="5" t="inlineStr">
        <is>
          <t>High</t>
        </is>
      </c>
      <c r="P54" s="5" t="inlineStr">
        <is>
          <t>Too large on volume alone; no organ program found.</t>
        </is>
      </c>
    </row>
    <row r="55" ht="58" customHeight="1">
      <c r="A55" s="13" t="inlineStr">
        <is>
          <t>Wholestone Farms</t>
        </is>
      </c>
      <c r="B55" s="5" t="inlineStr">
        <is>
          <t>Fremont, NE</t>
        </is>
      </c>
      <c r="C55" s="5" t="inlineStr">
        <is>
          <t>Very large packer</t>
        </is>
      </c>
      <c r="D55" s="5" t="inlineStr">
        <is>
          <t>~8,200/DAY (3M→5.6M/yr)</t>
        </is>
      </c>
      <c r="E55" s="5" t="inlineStr">
        <is>
          <t>Yes</t>
        </is>
      </c>
      <c r="F55" s="5" t="inlineStr">
        <is>
          <t>USDA ✓</t>
        </is>
      </c>
      <c r="G55" s="17" t="inlineStr">
        <is>
          <t>⚠ Humane-handling NOIE 12/2019 (Est. M46491; captive bolt on a condemned hog).</t>
        </is>
      </c>
      <c r="H55" s="5" t="inlineStr">
        <is>
          <t>Not confirmed on public lists — verify</t>
        </is>
      </c>
      <c r="I55" s="5" t="inlineStr">
        <is>
          <t>Industrial</t>
        </is>
      </c>
      <c r="J55" s="5" t="inlineStr">
        <is>
          <t>Biologics unknown</t>
        </is>
      </c>
      <c r="K55" s="5" t="inlineStr">
        <is>
          <t>Unlikely</t>
        </is>
      </c>
      <c r="L55" s="5" t="inlineStr">
        <is>
          <t>Unlikely</t>
        </is>
      </c>
      <c r="M55" s="5" t="inlineStr">
        <is>
          <t>—</t>
        </is>
      </c>
      <c r="N55" s="18" t="inlineStr">
        <is>
          <t>OUT / FLAG</t>
        </is>
      </c>
      <c r="O55" s="5" t="inlineStr">
        <is>
          <t>High</t>
        </is>
      </c>
      <c r="P55" s="5" t="inlineStr">
        <is>
          <t>Too large; biologics unknown.</t>
        </is>
      </c>
    </row>
    <row r="56" ht="58" customHeight="1">
      <c r="A56" s="13" t="inlineStr">
        <is>
          <t>Other large regional (context)</t>
        </is>
      </c>
      <c r="B56" s="5" t="inlineStr">
        <is>
          <t>IA / Midwest</t>
        </is>
      </c>
      <c r="C56" s="5" t="inlineStr">
        <is>
          <t>Very large packers</t>
        </is>
      </c>
      <c r="D56" s="5" t="inlineStr">
        <is>
          <t>&gt;3,000/wk</t>
        </is>
      </c>
      <c r="E56" s="5" t="inlineStr">
        <is>
          <t>Yes/mixed</t>
        </is>
      </c>
      <c r="F56" s="5" t="inlineStr">
        <is>
          <t>USDA ✓</t>
        </is>
      </c>
      <c r="G56" s="5" t="inlineStr">
        <is>
          <t>Varies by plant — check FSIS Quarterly Enforcement Reports per establishment #</t>
        </is>
      </c>
      <c r="H56" s="5" t="inlineStr">
        <is>
          <t>Varies — check FSIS 'Eligible Establishments by Country' + TRACES</t>
        </is>
      </c>
      <c r="I56" s="5" t="inlineStr">
        <is>
          <t>Industrial</t>
        </is>
      </c>
      <c r="J56" s="5" t="inlineStr">
        <is>
          <t>Not confirmed</t>
        </is>
      </c>
      <c r="K56" s="5" t="inlineStr">
        <is>
          <t>Unlikely</t>
        </is>
      </c>
      <c r="L56" s="5" t="inlineStr">
        <is>
          <t>Unlikely</t>
        </is>
      </c>
      <c r="M56" s="5" t="inlineStr">
        <is>
          <t>—</t>
        </is>
      </c>
      <c r="N56" s="18" t="inlineStr">
        <is>
          <t>OUT / FLAG</t>
        </is>
      </c>
      <c r="O56" s="5" t="inlineStr">
        <is>
          <t>Med</t>
        </is>
      </c>
      <c r="P56" s="5" t="inlineStr">
        <is>
          <t>Tyson Fresh Meats (Columbus Junction, Storm Lake, Waterloo IA); JBS/Cargill pork (Ottumwa/Marshalltown). Tyson Perry IA CLOSED 2024. Iowa Premium/National Beef (Tama) = BEEF — exclude. Biologics programs unverified.</t>
        </is>
      </c>
    </row>
    <row r="57" ht="20" customHeight="1">
      <c r="A57" s="3" t="inlineStr">
        <is>
          <t>ADJACENT SOURCES — research minipig suppliers (scale mismatch; comparator only)</t>
        </is>
      </c>
    </row>
    <row r="58" ht="58" customHeight="1">
      <c r="A58" s="13" t="inlineStr">
        <is>
          <t>Sinclair BioResources</t>
        </is>
      </c>
      <c r="B58" s="5" t="inlineStr">
        <is>
          <t>Auxvasse, MO</t>
        </is>
      </c>
      <c r="C58" s="5" t="inlineStr">
        <is>
          <t>Minipig supplier + bio-samples</t>
        </is>
      </c>
      <c r="D58" s="5" t="inlineStr">
        <is>
          <t>n/a (research minipigs)</t>
        </is>
      </c>
      <c r="E58" s="5" t="inlineStr">
        <is>
          <t>Yes (minipigs)</t>
        </is>
      </c>
      <c r="F58" s="5" t="inlineStr">
        <is>
          <t>unknown</t>
        </is>
      </c>
      <c r="G58" s="5" t="inlineStr">
        <is>
          <t>None found (research minipig facility)</t>
        </is>
      </c>
      <c r="H58" s="5" t="inlineStr">
        <is>
          <t>Research minipig; APHIS VS channel — verify</t>
        </is>
      </c>
      <c r="I58" s="5" t="inlineStr">
        <is>
          <t>Research-scale program</t>
        </is>
      </c>
      <c r="J58" s="5" t="inlineStr">
        <is>
          <t>Minipig tissue / bio-samples (Sinclair, Yucatan, Hanford)</t>
        </is>
      </c>
      <c r="K58" s="5" t="inlineStr">
        <is>
          <t>n/a</t>
        </is>
      </c>
      <c r="L58" s="5" t="inlineStr">
        <is>
          <t>Comparator only</t>
        </is>
      </c>
      <c r="M58" s="5" t="inlineStr">
        <is>
          <t>sinclairbioresources.com</t>
        </is>
      </c>
      <c r="N58" s="16" t="inlineStr">
        <is>
          <t>CAUTION</t>
        </is>
      </c>
      <c r="O58" s="5" t="inlineStr">
        <is>
          <t>Med</t>
        </is>
      </c>
      <c r="P58" s="5" t="inlineStr">
        <is>
          <t>MISMATCH: research minipigs at research scale, not 200-3,000/wk market hogs; tissue blocks would be minipig-sized. Useful as a comparator/specialty source, not a throughput abattoir.</t>
        </is>
      </c>
    </row>
  </sheetData>
  <autoFilter ref="A4:P4"/>
  <mergeCells count="12">
    <mergeCell ref="A51:P51"/>
    <mergeCell ref="A5:P5"/>
    <mergeCell ref="A46:P46"/>
    <mergeCell ref="A36:P36"/>
    <mergeCell ref="A57:P57"/>
    <mergeCell ref="A1:P1"/>
    <mergeCell ref="A8:P8"/>
    <mergeCell ref="A31:P31"/>
    <mergeCell ref="A22:P22"/>
    <mergeCell ref="A25:P25"/>
    <mergeCell ref="A43:P43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44" customWidth="1" min="3" max="3"/>
    <col width="26" customWidth="1" min="4" max="4"/>
    <col width="30" customWidth="1" min="5" max="5"/>
    <col width="30" customWidth="1" min="6" max="6"/>
    <col width="22" customWidth="1" min="7" max="7"/>
    <col width="8" customWidth="1" min="8" max="8"/>
    <col width="40" customWidth="1" min="9" max="9"/>
  </cols>
  <sheetData>
    <row r="1" ht="26" customHeight="1">
      <c r="A1" s="1" t="inlineStr">
        <is>
          <t>National Direct-Tissue Suppliers — buy finished porcine tissue/organs</t>
        </is>
      </c>
    </row>
    <row r="2" ht="30" customHeight="1">
      <c r="A2" s="2" t="inlineStr">
        <is>
          <t>Vendors that sell porcine research tissue directly (no slaughterhouse relationship). Prices are QUOTE-ONLY across this industry unless a real published figure is noted; blanks = not public.</t>
        </is>
      </c>
    </row>
    <row r="4" ht="40" customHeight="1">
      <c r="A4" s="12" t="inlineStr">
        <is>
          <t>Supplier</t>
        </is>
      </c>
      <c r="B4" s="12" t="inlineStr">
        <is>
          <t>Location</t>
        </is>
      </c>
      <c r="C4" s="12" t="inlineStr">
        <is>
          <t>Porcine tissue / organs offered
(pelvic · abdominal · thoracic)</t>
        </is>
      </c>
      <c r="D4" s="12" t="inlineStr">
        <is>
          <t>Formats &amp; freshness</t>
        </is>
      </c>
      <c r="E4" s="12" t="inlineStr">
        <is>
          <t>Price per tissue</t>
        </is>
      </c>
      <c r="F4" s="12" t="inlineStr">
        <is>
          <t>Regulatory / quality</t>
        </is>
      </c>
      <c r="G4" s="12" t="inlineStr">
        <is>
          <t>Contact</t>
        </is>
      </c>
      <c r="H4" s="12" t="inlineStr">
        <is>
          <t>Conf.</t>
        </is>
      </c>
      <c r="I4" s="12" t="inlineStr">
        <is>
          <t>EU-export fit (to Europe)</t>
        </is>
      </c>
    </row>
    <row r="5" ht="60" customHeight="1">
      <c r="A5" s="13" t="inlineStr">
        <is>
          <t>Animal Technologies, Inc.</t>
        </is>
      </c>
      <c r="B5" s="5" t="inlineStr">
        <is>
          <t>Tyler, TX</t>
        </is>
      </c>
      <c r="C5" s="5" t="inlineStr">
        <is>
          <t>Broad catalog by region. Thoracic: heart, lungs (±trachea/esophagus), trachea/larynx, aorta. Abdominal: stomach, intestines, liver ±gallbladder, pancreas, spleen, kidney, GI blocks. Pelvic: bladder (±ureters/urethra), repro tract, prostate+bladder, rectum/colon. Known for heart-lung PLUCKS for surgical training; eyes.</t>
        </is>
      </c>
      <c r="D5" s="5" t="inlineStr">
        <is>
          <t>Whole organs, blocks &amp; plucks; fresh or frozen; overnight (24 hr) nationwide.</t>
        </is>
      </c>
      <c r="E5" s="5" t="inlineStr">
        <is>
          <t>QUOTE ONLY — no prices published.</t>
        </is>
      </c>
      <c r="F5" s="5" t="inlineStr">
        <is>
          <t>In business since 1986; US abattoir-sourced (specific certs not stated on pages read).</t>
        </is>
      </c>
      <c r="G5" s="5" t="inlineStr">
        <is>
          <t>animaltechnologies.com · 903-592-1363</t>
        </is>
      </c>
      <c r="H5" s="5" t="inlineStr">
        <is>
          <t>High</t>
        </is>
      </c>
      <c r="I5" s="19" t="inlineStr">
        <is>
          <t>RISKY — USDA-abattoir sourced but no ISO/APHIS/TRACES or export docs; must ask</t>
        </is>
      </c>
    </row>
    <row r="6" ht="60" customHeight="1">
      <c r="A6" s="13" t="inlineStr">
        <is>
          <t>Animal Biotech Industries (ABI)</t>
        </is>
      </c>
      <c r="B6" s="5" t="inlineStr">
        <is>
          <t>Harleysville, PA</t>
        </is>
      </c>
      <c r="C6" s="5" t="inlineStr">
        <is>
          <t>Very comprehensive. Thoracic: heart, lung, trachea, esophagus, aorta, heart-lung blocks (±pericardium/pleura/larynx). Abdominal: stomach, intestines, liver, spleen, pancreas, kidney, biliary. Pelvic: repro organs, bladder, urinary, rectum. Custom tissue blocks; specialized prep e.g. cannulated kidneys.</t>
        </is>
      </c>
      <c r="D6" s="5" t="inlineStr">
        <is>
          <t>Single, paired, or custom blocks; fresh/frozen implied.</t>
        </is>
      </c>
      <c r="E6" s="5" t="inlineStr">
        <is>
          <t>QUOTE ONLY — PDF catalog lists items, not prices.</t>
        </is>
      </c>
      <c r="F6" s="5" t="inlineStr">
        <is>
          <t>Since 1990; USDA federally-inspected abattoir sourcing; markets 'ethically harvested'.</t>
        </is>
      </c>
      <c r="G6" s="5" t="inlineStr">
        <is>
          <t>animalbiotech.com · 215-766-7413</t>
        </is>
      </c>
      <c r="H6" s="5" t="inlineStr">
        <is>
          <t>High</t>
        </is>
      </c>
      <c r="I6" s="19" t="inlineStr">
        <is>
          <t>RISKY — USDA-inspected sourcing + Class B, but no ISO/APHIS/export docs published</t>
        </is>
      </c>
    </row>
    <row r="7" ht="60" customHeight="1">
      <c r="A7" s="13" t="inlineStr">
        <is>
          <t>Innovative Research, Inc.</t>
        </is>
      </c>
      <c r="B7" s="5" t="inlineStr">
        <is>
          <t>Novi, MI (HQ med-conf.)</t>
        </is>
      </c>
      <c r="C7" s="5" t="inlineStr">
        <is>
          <t>'Innovative Grade US Origin' porcine, individually priced. Heart (19 vessel configs), lungs, kidney (±cannulation), bladder, liver, stomach; processed pericardium/SIS/mucosa. MULTI-ORGAN BLOCKS: PELVIC BLOCK (repro tract+bladder+kidneys+ureters+urethra+colon+rectum); Urinary System block.</t>
        </is>
      </c>
      <c r="D7" s="5" t="inlineStr">
        <is>
          <t>Frozen (-20/-80, dry ice) or Fresh in saline/PBS (wet ice); adult/juvenile/fetal.</t>
        </is>
      </c>
      <c r="E7" s="5" t="inlineStr">
        <is>
          <t>PUBLISHED — single organs from $141 (base config); PELVIC BLOCK from $582. Fresh/added vessels/small qty raise it; volume lowers it.</t>
        </is>
      </c>
      <c r="F7" s="5" t="inlineStr">
        <is>
          <t>US-origin abattoir; in-vitro research/mfg use only.</t>
        </is>
      </c>
      <c r="G7" s="5" t="inlineStr">
        <is>
          <t>innov-research.com</t>
        </is>
      </c>
      <c r="H7" s="5" t="inlineStr">
        <is>
          <t>High
(prices)</t>
        </is>
      </c>
      <c r="I7" s="20" t="inlineStr">
        <is>
          <t>LIKELY BLOCKER (device) — 'research use only, not for human/animal use' RUO labeling; no export docs</t>
        </is>
      </c>
    </row>
    <row r="8" ht="60" customHeight="1">
      <c r="A8" s="13" t="inlineStr">
        <is>
          <t>Tissue Source, LLC</t>
        </is>
      </c>
      <c r="B8" s="5" t="inlineStr">
        <is>
          <t>Frankfort, IN</t>
        </is>
      </c>
      <c r="C8" s="5" t="inlineStr">
        <is>
          <t>Custom porcine for device/biologics/pharma/education. Thoracic: heart, valves, lungs, trachea, pericardium, pleura. Abdominal: liver, pancreas, spleen, kidney, gallbladder, stomach, intestines. Pelvic: bladder, uterus, ovaries, testicles, vagina, penis. Overnight shipping.</t>
        </is>
      </c>
      <c r="D8" s="5" t="inlineStr">
        <is>
          <t>Custom; whole organ vs block per request; overnight.</t>
        </is>
      </c>
      <c r="E8" s="5" t="inlineStr">
        <is>
          <t>QUOTE ONLY.</t>
        </is>
      </c>
      <c r="F8" s="5" t="inlineStr">
        <is>
          <t>STRONG QMS: ISO 13485 + ISO 9001; ISO 22442-2, 21 CFR 820 &amp; 58; USDA Class A Breeders License; ante-/post-mortem inspection. Woman-owned, since 2007.</t>
        </is>
      </c>
      <c r="G8" s="5" t="inlineStr">
        <is>
          <t>tissue-source.com · 765-746-6679</t>
        </is>
      </c>
      <c r="H8" s="5" t="inlineStr">
        <is>
          <t>High</t>
        </is>
      </c>
      <c r="I8" s="21" t="inlineStr">
        <is>
          <t>OK (best) — ISO 13485 + 22442-2, USDA Class A, animal traceability; confirm establishment APHIS/TRACES listing</t>
        </is>
      </c>
    </row>
    <row r="9" ht="60" customHeight="1">
      <c r="A9" s="13" t="inlineStr">
        <is>
          <t>Sustainable Swine Resources (SSR)</t>
        </is>
      </c>
      <c r="B9" s="5" t="inlineStr">
        <is>
          <t>WI (Johnsonville LLC)</t>
        </is>
      </c>
      <c r="C9" s="5" t="inlineStr">
        <is>
          <t>Full porcine range: tissues, blood, bone, cartilage, fluids, glands, membranes, organs, nerves, ligaments. Named: stomach, liver, heart, thyroid, pancreas, small intestine, pericardium, peritoneal membrane, leg bones. Custom to spec.</t>
        </is>
      </c>
      <c r="D9" s="5" t="inlineStr">
        <is>
          <t>Custom collection; fresh/frozen.</t>
        </is>
      </c>
      <c r="E9" s="5" t="inlineStr">
        <is>
          <t>QUOTE ONLY.</t>
        </is>
      </c>
      <c r="F9" s="5" t="inlineStr">
        <is>
          <t>30+ years; packer-integrated (Johnsonville).</t>
        </is>
      </c>
      <c r="G9" s="5" t="inlineStr">
        <is>
          <t>ssr-solutions.com</t>
        </is>
      </c>
      <c r="H9" s="5" t="inlineStr">
        <is>
          <t>High</t>
        </is>
      </c>
      <c r="I9" s="21" t="inlineStr">
        <is>
          <t>OK (strong) — ISO 22442-2, USDA/SQF, PQA+ farms, full traceability; confirm ISO 13485 + TRACES</t>
        </is>
      </c>
    </row>
    <row r="10" ht="60" customHeight="1">
      <c r="A10" s="13" t="inlineStr">
        <is>
          <t>Smithfield BioScience</t>
        </is>
      </c>
      <c r="B10" s="5" t="inlineStr">
        <is>
          <t>Smithfield, VA</t>
        </is>
      </c>
      <c r="C10" s="5" t="inlineStr">
        <is>
          <t>Thoracic: aorta, heart, valves, lungs, pericardium, trachea. Abdominal: liver, pancreas, small intestine, stomach/pepsin lining. Pelvic: kidney, ovary. Also brains, eyes, feet, gullet, peritoneum, pituitary, skin, tendon, thyroid.</t>
        </is>
      </c>
      <c r="D10" s="5" t="inlineStr">
        <is>
          <t>Harvested by trained specialists from market hogs/sows; fresh or frozen; large packer-integrated supply.</t>
        </is>
      </c>
      <c r="E10" s="5" t="inlineStr">
        <is>
          <t>QUOTE ONLY.</t>
        </is>
      </c>
      <c r="F10" s="5" t="inlineStr">
        <is>
          <t>Smithfield Foods packer network (USDA-inspected plants).</t>
        </is>
      </c>
      <c r="G10" s="5" t="inlineStr">
        <is>
          <t>smithfieldbioscience.com</t>
        </is>
      </c>
      <c r="H10" s="5" t="inlineStr">
        <is>
          <t>High</t>
        </is>
      </c>
      <c r="I10" s="21" t="inlineStr">
        <is>
          <t>OK (best) — vertically integrated, already exports heparin to EP; confirm they supply tissue blocks + VS certs</t>
        </is>
      </c>
    </row>
    <row r="11" ht="60" customHeight="1">
      <c r="A11" s="13" t="inlineStr">
        <is>
          <t>WG Biomedical (WG Provisions)</t>
        </is>
      </c>
      <c r="B11" s="5" t="inlineStr">
        <is>
          <t>Iowa</t>
        </is>
      </c>
      <c r="C11" s="5" t="inlineStr">
        <is>
          <t>Surgical-training/organ focus, 12 porcine products: PIG PLUCK (heart-lung), heart, lungs, heart valves, pericardial sacs, carotid artery, iliac vessels, pancreas, spleen, thyroid, pig head, mandibles.</t>
        </is>
      </c>
      <c r="D11" s="5" t="inlineStr">
        <is>
          <t>Fresh or frozen.</t>
        </is>
      </c>
      <c r="E11" s="5" t="inlineStr">
        <is>
          <t>QUOTE ONLY — every item is 'Request a Quote'.</t>
        </is>
      </c>
      <c r="F11" s="5" t="inlineStr">
        <is>
          <t>Provisions/packer-affiliated (Iowa).</t>
        </is>
      </c>
      <c r="G11" s="5" t="inlineStr">
        <is>
          <t>wgbiomedical.com · 515-233-4774</t>
        </is>
      </c>
      <c r="H11" s="5" t="inlineStr">
        <is>
          <t>High</t>
        </is>
      </c>
      <c r="I11" s="19" t="inlineStr">
        <is>
          <t>RISKY — device-supply track record but multi-source broker; must document APHIS/TRACES</t>
        </is>
      </c>
    </row>
    <row r="12" ht="60" customHeight="1">
      <c r="A12" s="13" t="inlineStr">
        <is>
          <t>LAMPIRE Biological Labs</t>
        </is>
      </c>
      <c r="B12" s="5" t="inlineStr">
        <is>
          <t>Pipersville, PA</t>
        </is>
      </c>
      <c r="C12" s="5" t="inlineStr">
        <is>
          <t>Custom abattoir collection of porcine tissues, glands, organs, fluids (PA, near USDA porcine abattoirs). Custom prep emphasis; also porcine hide/collagen.</t>
        </is>
      </c>
      <c r="D12" s="5" t="inlineStr">
        <is>
          <t>Media-perfused (your media), snap-frozen in LN2, or lyophilized.</t>
        </is>
      </c>
      <c r="E12" s="5" t="inlineStr">
        <is>
          <t>QUOTE ONLY.</t>
        </is>
      </c>
      <c r="F12" s="5" t="inlineStr">
        <is>
          <t>Established biological labs; abattoir-sourced.</t>
        </is>
      </c>
      <c r="G12" s="5" t="inlineStr">
        <is>
          <t>lampire.com · 215-795-2838</t>
        </is>
      </c>
      <c r="H12" s="5" t="inlineStr">
        <is>
          <t>High</t>
        </is>
      </c>
      <c r="I12" s="19" t="inlineStr">
        <is>
          <t>RISKY — 'worldwide' supply but no ISO/APHIS/TRACES published; must ask</t>
        </is>
      </c>
    </row>
    <row r="13" ht="60" customHeight="1">
      <c r="A13" s="13" t="inlineStr">
        <is>
          <t>Pel-Freez Biologicals</t>
        </is>
      </c>
      <c r="B13" s="5" t="inlineStr">
        <is>
          <t>Rogers, AR</t>
        </is>
      </c>
      <c r="C13" s="5" t="inlineStr">
        <is>
          <t>Long-established animal organs/glands/tissues; whole organs, glands, tissues. Porcine incl. thyroid &amp; other organs. Pigs ~200 lb / 6-8 mo; tissue chilled then frozen -20 within 2-6 hr of slaughter.</t>
        </is>
      </c>
      <c r="D13" s="5" t="inlineStr">
        <is>
          <t>Whole organ/gland; frozen (dry ice) or wet ice; 2-4 wk lead.</t>
        </is>
      </c>
      <c r="E13" s="5" t="inlineStr">
        <is>
          <t>PUBLISHED (partial) — Porcine Thyroid #59452 from $361. Other porcine organ prices not individually verified.</t>
        </is>
      </c>
      <c r="F13" s="5" t="inlineStr">
        <is>
          <t>ISO 9001 certified.</t>
        </is>
      </c>
      <c r="G13" s="5" t="inlineStr">
        <is>
          <t>pel-freez.com</t>
        </is>
      </c>
      <c r="H13" s="5" t="inlineStr">
        <is>
          <t>High
(thyroid)</t>
        </is>
      </c>
      <c r="I13" s="19" t="inlineStr">
        <is>
          <t>RISKY (porcine unverified) — documented USDA on-site inspection is for RABBIT; confirm porcine origin</t>
        </is>
      </c>
    </row>
    <row r="14" ht="60" customHeight="1">
      <c r="A14" s="13" t="inlineStr">
        <is>
          <t>BioChemed Services</t>
        </is>
      </c>
      <c r="B14" s="5" t="inlineStr">
        <is>
          <t>Winchester, VA</t>
        </is>
      </c>
      <c r="C14" s="5" t="inlineStr">
        <is>
          <t>Swine tissue list: adipose, bone, brain, heart, colon, eye, liver, kidney, intestine (lg/sm), lung, nerve, ovaries, pancreas, skeletal muscle, skin, spleen, testes, thyroid, uterus. Custom to spec.</t>
        </is>
      </c>
      <c r="D14" s="5" t="inlineStr">
        <is>
          <t>Custom to spec.</t>
        </is>
      </c>
      <c r="E14" s="5" t="inlineStr">
        <is>
          <t>QUOTE ONLY ('give specs, we quote').</t>
        </is>
      </c>
      <c r="F14" s="5" t="inlineStr">
        <is>
          <t>Custom biologicals supplier.</t>
        </is>
      </c>
      <c r="G14" s="5" t="inlineStr">
        <is>
          <t>biochemed.com · 540-667-3348</t>
        </is>
      </c>
      <c r="H14" s="5" t="inlineStr">
        <is>
          <t>High</t>
        </is>
      </c>
      <c r="I14" s="19" t="inlineStr">
        <is>
          <t>RISKY — US USDA sourcing but 'research/diagnostic/mfg only'; no export docs</t>
        </is>
      </c>
    </row>
    <row r="15" ht="60" customHeight="1">
      <c r="A15" s="13" t="inlineStr">
        <is>
          <t>BioIVT</t>
        </is>
      </c>
      <c r="B15" s="5" t="inlineStr">
        <is>
          <t>Westbury, NY (global)</t>
        </is>
      </c>
      <c r="C15" s="5" t="inlineStr">
        <is>
          <t>Large biospecimen provider; porcine tissues for translational research &amp; surgical models; online 'Configure Pig Tissue' tool. In-vitro research use only.</t>
        </is>
      </c>
      <c r="D15" s="5" t="inlineStr">
        <is>
          <t>Customized; fresh/frozen.</t>
        </is>
      </c>
      <c r="E15" s="5" t="inlineStr">
        <is>
          <t>QUOTE ONLY — customized pricing &amp; lead times.</t>
        </is>
      </c>
      <c r="F15" s="5" t="inlineStr">
        <is>
          <t>Major biospecimen QMS provider.</t>
        </is>
      </c>
      <c r="G15" s="5" t="inlineStr">
        <is>
          <t>bioivt.com</t>
        </is>
      </c>
      <c r="H15" s="5" t="inlineStr">
        <is>
          <t>High</t>
        </is>
      </c>
      <c r="I15" s="20" t="inlineStr">
        <is>
          <t>LIKELY BLOCKER / unknown — no published human-food-chain/APHIS basis; RUO-oriented</t>
        </is>
      </c>
    </row>
    <row r="16" ht="60" customHeight="1">
      <c r="A16" s="13" t="inlineStr">
        <is>
          <t>Sierra for Medical Science</t>
        </is>
      </c>
      <c r="B16" s="5" t="inlineStr">
        <is>
          <t>Whittier, CA area</t>
        </is>
      </c>
      <c r="C16" s="5" t="inlineStr">
        <is>
          <t>Biological/animal tissue incl. porcine to universities, hospitals, device makers for diagnostics, product training, demonstration, QC. Custom protocols; on-site lab suites.</t>
        </is>
      </c>
      <c r="D16" s="5" t="inlineStr">
        <is>
          <t>Custom protocols; fresh/frozen.</t>
        </is>
      </c>
      <c r="E16" s="5" t="inlineStr">
        <is>
          <t>QUOTE ONLY.</t>
        </is>
      </c>
      <c r="F16" s="5" t="inlineStr">
        <is>
          <t>Since 1985.</t>
        </is>
      </c>
      <c r="G16" s="5" t="inlineStr">
        <is>
          <t>sierra-medical.com</t>
        </is>
      </c>
      <c r="H16" s="5" t="inlineStr">
        <is>
          <t>Med-High</t>
        </is>
      </c>
      <c r="I16" s="19" t="inlineStr">
        <is>
          <t>RISKY — device customers worldwide but no published traceability/cert framework</t>
        </is>
      </c>
    </row>
    <row r="17" ht="60" customHeight="1">
      <c r="A17" s="13" t="inlineStr">
        <is>
          <t>Midwest Research Swine (MRS)</t>
        </is>
      </c>
      <c r="B17" s="5" t="inlineStr">
        <is>
          <t>Minnesota</t>
        </is>
      </c>
      <c r="C17" s="5" t="inlineStr">
        <is>
          <t>Porcine-only abattoir; supplies LIVE research swine AND traceable porcine tissues/organs/bio-samples (High Health Herd Yorkshire-Landrace-Duroc). Order by weight/sex/age. Positions as economical.</t>
        </is>
      </c>
      <c r="D17" s="5" t="inlineStr">
        <is>
          <t>Fresh; order to spec.</t>
        </is>
      </c>
      <c r="E17" s="5" t="inlineStr">
        <is>
          <t>QUOTE ONLY — positions as low-cost.</t>
        </is>
      </c>
      <c r="F17" s="5" t="inlineStr">
        <is>
          <t>Porcine-only abattoir; High Health Herd.</t>
        </is>
      </c>
      <c r="G17" s="5" t="inlineStr">
        <is>
          <t>midwestresearchswine.com</t>
        </is>
      </c>
      <c r="H17" s="5" t="inlineStr">
        <is>
          <t>High</t>
        </is>
      </c>
      <c r="I17" s="21" t="inlineStr">
        <is>
          <t>OK (strong) — ISO 13485 + 22442-2, USDA Class B/R, own harvest, ships internationally; confirm TRACES listing</t>
        </is>
      </c>
    </row>
    <row r="18" ht="60" customHeight="1">
      <c r="A18" s="13" t="inlineStr">
        <is>
          <t>Premier BioSource (ex-S&amp;S Farms)</t>
        </is>
      </c>
      <c r="B18" s="5" t="inlineStr">
        <is>
          <t>S. CA / N. IN</t>
        </is>
      </c>
      <c r="C18" s="5" t="inlineStr">
        <is>
          <t>NOT a tissue vendor — sells LIVE research swine &amp; Yucatan minipigs.</t>
        </is>
      </c>
      <c r="D18" s="5" t="inlineStr">
        <is>
          <t>n/a (live animals).</t>
        </is>
      </c>
      <c r="E18" s="5" t="inlineStr">
        <is>
          <t>n/a — live animals, not harvested tissue.</t>
        </is>
      </c>
      <c r="F18" s="5" t="inlineStr">
        <is>
          <t>Live-animal research supplier.</t>
        </is>
      </c>
      <c r="G18" s="5" t="inlineStr">
        <is>
          <t>premierbiosource.com</t>
        </is>
      </c>
      <c r="H18" s="5" t="inlineStr">
        <is>
          <t>High</t>
        </is>
      </c>
      <c r="I18" s="22" t="inlineStr">
        <is>
          <t>n/a — live animals, out of scope</t>
        </is>
      </c>
    </row>
    <row r="19" ht="60" customHeight="1">
      <c r="A19" s="13" t="inlineStr">
        <is>
          <t>Science Care</t>
        </is>
      </c>
      <c r="B19" s="5" t="inlineStr">
        <is>
          <t>Phoenix, AZ</t>
        </is>
      </c>
      <c r="C19" s="5" t="inlineStr">
        <is>
          <t>NOT porcine — HUMAN whole-body donation for research/training.</t>
        </is>
      </c>
      <c r="D19" s="5" t="inlineStr">
        <is>
          <t>n/a.</t>
        </is>
      </c>
      <c r="E19" s="5" t="inlineStr">
        <is>
          <t>n/a — human donation, out of scope.</t>
        </is>
      </c>
      <c r="F19" s="5" t="inlineStr">
        <is>
          <t>Human tissue programme.</t>
        </is>
      </c>
      <c r="G19" s="5" t="inlineStr">
        <is>
          <t>sciencecare.com</t>
        </is>
      </c>
      <c r="H19" s="5" t="inlineStr">
        <is>
          <t>High</t>
        </is>
      </c>
      <c r="I19" s="22" t="inlineStr">
        <is>
          <t>n/a — human tissue, out of scope</t>
        </is>
      </c>
    </row>
    <row r="20" ht="60" customHeight="1">
      <c r="A20" s="13" t="inlineStr">
        <is>
          <t>Zivic Laboratories</t>
        </is>
      </c>
      <c r="B20" s="5" t="inlineStr">
        <is>
          <t>Pittsburgh, PA</t>
        </is>
      </c>
      <c r="C20" s="5" t="inlineStr">
        <is>
          <t>NOT a porcine organ vendor — primarily RODENT tissue, brain/heart matrices, dissection instruments.</t>
        </is>
      </c>
      <c r="D20" s="5" t="inlineStr">
        <is>
          <t>n/a.</t>
        </is>
      </c>
      <c r="E20" s="5" t="inlineStr">
        <is>
          <t>n/a — rodent focus, out of scope.</t>
        </is>
      </c>
      <c r="F20" s="5" t="inlineStr">
        <is>
          <t>Rodent tissue / instruments.</t>
        </is>
      </c>
      <c r="G20" s="5" t="inlineStr">
        <is>
          <t>ziviclab (see sources)</t>
        </is>
      </c>
      <c r="H20" s="5" t="inlineStr">
        <is>
          <t>High</t>
        </is>
      </c>
      <c r="I20" s="22" t="inlineStr">
        <is>
          <t>n/a — rodent, out of scope</t>
        </is>
      </c>
    </row>
    <row r="22" ht="20" customHeight="1">
      <c r="A22" s="3" t="inlineStr">
        <is>
          <t>BUYING DIRECT × EU EXPORT — does the vendor help or hurt onward EU export?</t>
        </is>
      </c>
    </row>
    <row r="23" ht="60" customHeight="1">
      <c r="A23" s="23" t="inlineStr">
        <is>
          <t>•  Buying finished tissue neither confers nor forfeits EU-export eligibility by itself — three things decide it, and they sit at the SLAUGHTERHOUSE level, not the broker's marketing: (1) the material must originate from a specific establishment that is APHIS-approved and on the EU TRACES list; (2) each consignment needs an APHIS-VS-endorsed health certificate + country-of-origin/traceability affidavit; (3) 'research use only / not for human or animal use' (RUO) labeling both signals the vendor won't furnish export docs AND collides with an MDR device pathway (Annex I 13.1 / ISO 22442).</t>
        </is>
      </c>
    </row>
    <row r="24" ht="36" customHeight="1">
      <c r="A24" s="23" t="inlineStr">
        <is>
          <t>•  Consequence: a vendor advertising 'USDA-inspected' (FSIS food inspection) is necessary but NOT sufficient — almost none publicly claim TRACES listing. The EU-cleanest vendors are the ones already in regulated device/pharma supply chains with ISO 13485 + ISO 22442-2 and farm-to-facility traceability from human-food-chain animals.</t>
        </is>
      </c>
    </row>
    <row r="25" ht="28" customHeight="1">
      <c r="A25" s="23" t="inlineStr">
        <is>
          <t>•  Strategic point: because TRACES listing is establishment-level, self-harvesting at ONE hand-picked APHIS-listed abattoir is often CLEANER for EU export than buying from a multi-source broker whose 'many facilities' model makes single-establishment certification harder.</t>
        </is>
      </c>
    </row>
    <row r="27" ht="36" customHeight="1">
      <c r="A27" s="24" t="inlineStr">
        <is>
          <t>Pursue first (EU-cleanest)</t>
        </is>
      </c>
      <c r="B27" s="5" t="inlineStr">
        <is>
          <t>Smithfield BioScience · Tissue Source · Midwest Research Swine · SSR — device/pharma-grade, traceable, human-food-chain, not RUO-blocked. All still need ONE thing in writing: the slaughter establishment is APHIS-approved &amp; TRACES-listed and the vendor will furnish a VS-endorsed health certificate per consignment (none advertise TRACES listing).</t>
        </is>
      </c>
    </row>
    <row r="28" ht="34" customHeight="1">
      <c r="A28" s="24" t="inlineStr">
        <is>
          <t>Workable with diligence</t>
        </is>
      </c>
      <c r="B28" s="5" t="inlineStr">
        <is>
          <t>ABI · WG Biomedical · LAMPIRE · Sierra · Animal Technologies — USDA-abattoir sourcing + device customers, but no published ISO/APHIS/TRACES/cert framework. Multi-source brokers (WG, Sierra, LAMPIRE) make single-establishment TRACES harder.</t>
        </is>
      </c>
    </row>
    <row r="29" ht="36" customHeight="1">
      <c r="A29" s="24" t="inlineStr">
        <is>
          <t>Avoid for EU-bound / MDR product</t>
        </is>
      </c>
      <c r="B29" s="5" t="inlineStr">
        <is>
          <t>Innovative Research &amp; BioChemed (explicit RUO / 'not for human or animal use') · BioIVT (no published human-food-chain/APHIS basis) · Pel-Freez for porcine (their documented USDA on-site inspection is for rabbit). RUO labeling signals no export-doc support and conflicts with MDR Annex I 13.1 / ISO 22442.</t>
        </is>
      </c>
    </row>
  </sheetData>
  <autoFilter ref="A4:I4"/>
  <mergeCells count="9">
    <mergeCell ref="A25:I25"/>
    <mergeCell ref="A2:I2"/>
    <mergeCell ref="B29:I29"/>
    <mergeCell ref="A1:I1"/>
    <mergeCell ref="A23:I23"/>
    <mergeCell ref="B28:I28"/>
    <mergeCell ref="A22:I22"/>
    <mergeCell ref="B27:I27"/>
    <mergeCell ref="A24:I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40" customWidth="1" min="3" max="3"/>
    <col width="40" customWidth="1" min="4" max="4"/>
  </cols>
  <sheetData>
    <row r="1" ht="26" customHeight="1">
      <c r="A1" s="1" t="inlineStr">
        <is>
          <t>Operating Models &amp; Make-vs-Buy Framework</t>
        </is>
      </c>
    </row>
    <row r="2" ht="30" customHeight="1">
      <c r="A2" s="2" t="inlineStr">
        <is>
          <t>Three ways to obtain tissue. Cost drivers differ; per-tissue economics depend heavily on freshness needs, MOQ, and travel.</t>
        </is>
      </c>
    </row>
    <row r="4" ht="30" customHeight="1">
      <c r="A4" s="12" t="inlineStr">
        <is>
          <t>Dimension</t>
        </is>
      </c>
      <c r="B4" s="12" t="inlineStr">
        <is>
          <t>Model A — We harvest on-site</t>
        </is>
      </c>
      <c r="C4" s="12" t="inlineStr">
        <is>
          <t>Model B — Plant harvests for us</t>
        </is>
      </c>
      <c r="D4" s="12" t="inlineStr">
        <is>
          <t>Buy direct (national vendor)</t>
        </is>
      </c>
    </row>
    <row r="5" ht="44" customHeight="1">
      <c r="A5" s="4" t="inlineStr">
        <is>
          <t>What we provide</t>
        </is>
      </c>
      <c r="B5" s="5" t="inlineStr">
        <is>
          <t>Our trained harvesters + tools; we rent line/cooler access.</t>
        </is>
      </c>
      <c r="C5" s="5" t="inlineStr">
        <is>
          <t>Inspectors + trainers to qualify their crew to our protocol.</t>
        </is>
      </c>
      <c r="D5" s="5" t="inlineStr">
        <is>
          <t>A purchase order; vendor ships tissue.</t>
        </is>
      </c>
    </row>
    <row r="6" ht="44" customHeight="1">
      <c r="A6" s="4" t="inlineStr">
        <is>
          <t>What the plant provides</t>
        </is>
      </c>
      <c r="B6" s="5" t="inlineStr">
        <is>
          <t>Floor/line access, cooler space, kill schedule, hanging/handling.</t>
        </is>
      </c>
      <c r="C6" s="5" t="inlineStr">
        <is>
          <t>Trained labor, QA cooperation, our-spec dissection at the kill.</t>
        </is>
      </c>
      <c r="D6" s="5" t="inlineStr">
        <is>
          <t>n/a — vendor already harvests &amp; processes.</t>
        </is>
      </c>
    </row>
    <row r="7" ht="44" customHeight="1">
      <c r="A7" s="4" t="inlineStr">
        <is>
          <t>Freshness / ischemia control</t>
        </is>
      </c>
      <c r="B7" s="5" t="inlineStr">
        <is>
          <t>Best — we control time-to-preserve at the source.</t>
        </is>
      </c>
      <c r="C7" s="5" t="inlineStr">
        <is>
          <t>Good — depends on their crew discipline; we audit.</t>
        </is>
      </c>
      <c r="D7" s="5" t="inlineStr">
        <is>
          <t>Variable — shipping adds hours/days; ask about cold-chain &amp; harvest-to-ship time.</t>
        </is>
      </c>
    </row>
    <row r="8" ht="44" customHeight="1">
      <c r="A8" s="4" t="inlineStr">
        <is>
          <t>Our labor cost</t>
        </is>
      </c>
      <c r="B8" s="5" t="inlineStr">
        <is>
          <t>High — we mobilize/travel crews; rent space.</t>
        </is>
      </c>
      <c r="C8" s="5" t="inlineStr">
        <is>
          <t>Lower — plant labor does the work; we train/audit periodically.</t>
        </is>
      </c>
      <c r="D8" s="5" t="inlineStr">
        <is>
          <t>None on harvest; we pay per-tissue + freight.</t>
        </is>
      </c>
    </row>
    <row r="9" ht="44" customHeight="1">
      <c r="A9" s="4" t="inlineStr">
        <is>
          <t>Volume scalability</t>
        </is>
      </c>
      <c r="B9" s="5" t="inlineStr">
        <is>
          <t>Capped by plant kill schedule + our crew capacity.</t>
        </is>
      </c>
      <c r="C9" s="5" t="inlineStr">
        <is>
          <t>Scales with plant labor; needs their buy-in.</t>
        </is>
      </c>
      <c r="D9" s="5" t="inlineStr">
        <is>
          <t>Scales with vendor supply &amp; MOQ; least control.</t>
        </is>
      </c>
    </row>
    <row r="10" ht="44" customHeight="1">
      <c r="A10" s="4" t="inlineStr">
        <is>
          <t>Quality-issue leverage</t>
        </is>
      </c>
      <c r="B10" s="5" t="inlineStr">
        <is>
          <t>High — our people, our call.</t>
        </is>
      </c>
      <c r="C10" s="5" t="inlineStr">
        <is>
          <t>Medium — depends on the plant's culture (why culture matters).</t>
        </is>
      </c>
      <c r="D10" s="5" t="inlineStr">
        <is>
          <t>Low-medium — vendor SLA / return policy only.</t>
        </is>
      </c>
    </row>
    <row r="11" ht="44" customHeight="1">
      <c r="A11" s="4" t="inlineStr">
        <is>
          <t>Best when</t>
        </is>
      </c>
      <c r="B11" s="5" t="inlineStr">
        <is>
          <t>Tissue is high-value, freshness-critical, or protocol is proprietary.</t>
        </is>
      </c>
      <c r="C11" s="5" t="inlineStr">
        <is>
          <t>Plant has good culture (Nahunta-type) and willing crew; recurring volume.</t>
        </is>
      </c>
      <c r="D11" s="5" t="inlineStr">
        <is>
          <t>Need occasional/low volume, or a tissue we can't efficiently harvest ourselves.</t>
        </is>
      </c>
    </row>
    <row r="12" ht="44" customHeight="1">
      <c r="A12" s="4" t="inlineStr">
        <is>
          <t>Main cost drivers</t>
        </is>
      </c>
      <c r="B12" s="5" t="inlineStr">
        <is>
          <t>Crew travel/lodging, space rental, per-visit mobilization, downtime.</t>
        </is>
      </c>
      <c r="C12" s="5" t="inlineStr">
        <is>
          <t>Training overhead, per-piece harvest fee, audit trips.</t>
        </is>
      </c>
      <c r="D12" s="5" t="inlineStr">
        <is>
          <t>Per-tissue list/quote price, MOQ, dissection fees, overnight cold-chain freight.</t>
        </is>
      </c>
    </row>
    <row r="14" ht="20" customHeight="1">
      <c r="A14" s="3" t="inlineStr">
        <is>
          <t>MAKE-VS-BUY — per-tissue economics (qualitative, confirm with real quotes)</t>
        </is>
      </c>
    </row>
    <row r="15" ht="24" customHeight="1">
      <c r="A15" s="5" t="inlineStr">
        <is>
          <t>•  Bottom line: for an operation that already harvests on-site, buying finished tissue from a national vendor is generally MORE expensive per tissue than self-harvest — but buying-direct wins in specific situations, not on unit cost.</t>
        </is>
      </c>
    </row>
    <row r="16" ht="48" customHeight="1">
      <c r="A16" s="5" t="inlineStr">
        <is>
          <t>•  One hog yields all three regions at once: self-harvest pulls pelvic + abdominal + thoracic from the same carcass in one session. Buying the equivalent separately (pelvic block ~$582 + a thoracic pluck + abdominal organs ~$141 each) stacks to roughly $1,000-2,000+ per animal-equivalent before shipping. Your marginal cost at the plant is mostly labor + consumables.</t>
        </is>
      </c>
    </row>
    <row r="17" ht="24" customHeight="1">
      <c r="A17" s="5" t="inlineStr">
        <is>
          <t>•  Custom dissection / processing fees: vendors charge for anything beyond base config (extra vessels, cannulation, specific trim, saline/PBS perfusion) — exactly the work you already do in-house.</t>
        </is>
      </c>
    </row>
    <row r="18" ht="24" customHeight="1">
      <c r="A18" s="5" t="inlineStr">
        <is>
          <t>•  Freshness / warm-ischemia: self-harvest is unbeatable (minutes). Vendors mitigate with overnight fresh-on-ice, but you still lose hours-to-a-day and pay cold-chain/dry-ice freight.</t>
        </is>
      </c>
    </row>
    <row r="19" ht="24" customHeight="1">
      <c r="A19" s="5" t="inlineStr">
        <is>
          <t>•  Minimums, lead times, shipping: published lead times run up to 2-4 weeks (Pel-Freez); custom collections longer.</t>
        </is>
      </c>
    </row>
    <row r="20" ht="48" customHeight="1">
      <c r="A20" s="5" t="inlineStr">
        <is>
          <t>•  Buy-direct is the better call despite higher unit cost when: volume is low/irregular; you lack USDA-inspected abattoir access or the QMS to document it and need traceability/certs (e.g. Tissue Source ISO 13485 + USDA Class A; ABI USDA-inspected); you need occasional organs outside your normal line, or specialized prep (perfused, snap-frozen, lyophilized — LAMPIRE).</t>
        </is>
      </c>
    </row>
    <row r="21" ht="36" customHeight="1">
      <c r="A21" s="5" t="inlineStr">
        <is>
          <t>•  Public price anchors to reason from: ~$141 per single porcine organ and ~$582 for a full regional (pelvic) block (Innovative Research, list). Exact self-harvest break-even depends on hog cost, labor rate, tissues-per-animal yield, and shipping — none public — so treat this as directional until real quotes are in hand.</t>
        </is>
      </c>
    </row>
  </sheetData>
  <mergeCells count="10">
    <mergeCell ref="A1:D1"/>
    <mergeCell ref="A17:D17"/>
    <mergeCell ref="A18:D18"/>
    <mergeCell ref="A20:D20"/>
    <mergeCell ref="A21:D21"/>
    <mergeCell ref="A15:D15"/>
    <mergeCell ref="A16:D16"/>
    <mergeCell ref="A2:D2"/>
    <mergeCell ref="A19:D19"/>
    <mergeCell ref="A14:D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8" customWidth="1" min="4" max="4"/>
    <col width="9" customWidth="1" min="5" max="5"/>
    <col width="12" customWidth="1" min="6" max="6"/>
    <col width="14" customWidth="1" min="7" max="7"/>
    <col width="12" customWidth="1" min="8" max="8"/>
    <col width="13" customWidth="1" min="9" max="9"/>
    <col width="10" customWidth="1" min="10" max="10"/>
    <col width="13" customWidth="1" min="11" max="11"/>
    <col width="14" customWidth="1" min="12" max="12"/>
  </cols>
  <sheetData>
    <row r="1" ht="26" customHeight="1">
      <c r="A1" s="1" t="inlineStr">
        <is>
          <t>TCO Calculator — Total Cost per Organ / Block (self-harvest)</t>
        </is>
      </c>
    </row>
    <row r="2" ht="30" customHeight="1">
      <c r="A2" s="2" t="inlineStr">
        <is>
          <t>Edit the BLUE cells with your variables; cost-per-block updates automatically. Compare slaughterhouses in the grid, and against buy-direct list prices. All numeric inputs are ILLUSTRATIVE placeholders — replace with your real figures/quotes.</t>
        </is>
      </c>
    </row>
    <row r="4" ht="16" customHeight="1">
      <c r="A4" s="25" t="inlineStr">
        <is>
          <t>Legend:  blue cells on pale-yellow = you edit  ·  black = calculated  ·  ★ = the answer.  Values shown are ILLUSTRATIVE placeholders — swap in your real numbers/quotes.</t>
        </is>
      </c>
    </row>
    <row r="5" ht="20" customHeight="1">
      <c r="A5" s="26" t="inlineStr">
        <is>
          <t>A.  HARVEST SESSION  (per visit)</t>
        </is>
      </c>
    </row>
    <row r="6" ht="18" customHeight="1">
      <c r="A6" s="27" t="inlineStr">
        <is>
          <t>Blocks / organs harvested per visit</t>
        </is>
      </c>
      <c r="C6" s="28" t="n">
        <v>40</v>
      </c>
      <c r="D6" s="29" t="inlineStr">
        <is>
          <t>How many pieces you collect in one trip.</t>
        </is>
      </c>
    </row>
    <row r="7" ht="18" customHeight="1">
      <c r="A7" s="27" t="inlineStr">
        <is>
          <t>Harvest time per block (minutes)</t>
        </is>
      </c>
      <c r="C7" s="30" t="n">
        <v>15</v>
      </c>
      <c r="D7" s="29" t="inlineStr">
        <is>
          <t>Hands-on time to harvest one block/organ.</t>
        </is>
      </c>
    </row>
    <row r="8" ht="18" customHeight="1">
      <c r="A8" s="27" t="inlineStr">
        <is>
          <t>Harvesters on site (#)</t>
        </is>
      </c>
      <c r="C8" s="28" t="n">
        <v>2</v>
      </c>
      <c r="D8" s="29" t="inlineStr">
        <is>
          <t>Your crew size. For Model B (plant harvests) set 0.</t>
        </is>
      </c>
    </row>
    <row r="9" ht="18" customHeight="1">
      <c r="A9" s="27" t="inlineStr">
        <is>
          <t>Harvester labor rate ($/hr, loaded)</t>
        </is>
      </c>
      <c r="C9" s="31" t="n">
        <v>45</v>
      </c>
      <c r="D9" s="29" t="inlineStr">
        <is>
          <t>Fully-loaded wage incl. burden.</t>
        </is>
      </c>
    </row>
    <row r="10" ht="18" customHeight="1">
      <c r="A10" s="27" t="inlineStr">
        <is>
          <t>Session hours (wall-clock)</t>
        </is>
      </c>
      <c r="C10" s="32">
        <f>C6*C7/60</f>
        <v/>
      </c>
      <c r="D10" s="29">
        <f> blocks × min/block ÷ 60.</f>
        <v/>
      </c>
    </row>
    <row r="11" ht="18" customHeight="1">
      <c r="A11" s="27" t="inlineStr">
        <is>
          <t>Harvester labor per visit</t>
        </is>
      </c>
      <c r="C11" s="33">
        <f>C10*C8*C9</f>
        <v/>
      </c>
      <c r="D11" s="29">
        <f> session hours × crew × rate.</f>
        <v/>
      </c>
    </row>
    <row r="12" ht="20" customHeight="1">
      <c r="A12" s="26" t="inlineStr">
        <is>
          <t>B.  FACILITY ACCESS  (per visit — varies by slaughterhouse)</t>
        </is>
      </c>
    </row>
    <row r="13" ht="18" customHeight="1">
      <c r="A13" s="27" t="inlineStr">
        <is>
          <t>Space / line rental per visit ($)</t>
        </is>
      </c>
      <c r="C13" s="31" t="n">
        <v>500</v>
      </c>
      <c r="D13" s="29" t="inlineStr">
        <is>
          <t>Model A: rent floor/cooler access. 0 if none / relationship.</t>
        </is>
      </c>
    </row>
    <row r="14" ht="18" customHeight="1">
      <c r="A14" s="27" t="inlineStr">
        <is>
          <t>Plant inspection / handling fee per visit ($)</t>
        </is>
      </c>
      <c r="C14" s="31" t="n">
        <v>150</v>
      </c>
      <c r="D14" s="29" t="inlineStr">
        <is>
          <t>Plant's charge for their staff/line time — OR the Model B per-visit harvest fee.</t>
        </is>
      </c>
    </row>
    <row r="15" ht="18" customHeight="1">
      <c r="A15" s="27" t="inlineStr">
        <is>
          <t>Our inspector / trainer cost per visit ($)</t>
        </is>
      </c>
      <c r="C15" s="31" t="n">
        <v>0</v>
      </c>
      <c r="D15" s="29" t="inlineStr">
        <is>
          <t>Model B: amortized day-rate + travel of trainers/inspectors we send.</t>
        </is>
      </c>
    </row>
    <row r="16" ht="18" customHeight="1">
      <c r="A16" s="27" t="inlineStr">
        <is>
          <t>Facility fixed subtotal</t>
        </is>
      </c>
      <c r="C16" s="33">
        <f>C13+C14+C15</f>
        <v/>
      </c>
      <c r="D16" s="29">
        <f> rental + plant fee + our inspector.</f>
        <v/>
      </c>
    </row>
    <row r="17" ht="20" customHeight="1">
      <c r="A17" s="26" t="inlineStr">
        <is>
          <t>C.  LOGISTICS &amp; HOLDING</t>
        </is>
      </c>
    </row>
    <row r="18" ht="18" customHeight="1">
      <c r="A18" s="27" t="inlineStr">
        <is>
          <t>Transportation per visit ($)</t>
        </is>
      </c>
      <c r="C18" s="31" t="n">
        <v>300</v>
      </c>
      <c r="D18" s="29" t="inlineStr">
        <is>
          <t>Round-trip freight / vehicle / fuel / cold-chain for the trip.</t>
        </is>
      </c>
    </row>
    <row r="19" ht="18" customHeight="1">
      <c r="A19" s="27" t="inlineStr">
        <is>
          <t>Inventory / holding cost per block ($)</t>
        </is>
      </c>
      <c r="C19" s="31" t="n">
        <v>8</v>
      </c>
      <c r="D19" s="29" t="inlineStr">
        <is>
          <t>Preservation, cold storage, holding per piece.</t>
        </is>
      </c>
    </row>
    <row r="20" ht="20" customHeight="1">
      <c r="A20" s="26" t="inlineStr">
        <is>
          <t>D.  RESULT</t>
        </is>
      </c>
    </row>
    <row r="21" ht="18" customHeight="1">
      <c r="A21" s="27" t="inlineStr">
        <is>
          <t>Per-visit fixed + transport</t>
        </is>
      </c>
      <c r="C21" s="33">
        <f>C16+C18</f>
        <v/>
      </c>
      <c r="D21" s="29">
        <f> facility fixed + transportation.</f>
        <v/>
      </c>
    </row>
    <row r="22" ht="18" customHeight="1">
      <c r="A22" s="27" t="inlineStr">
        <is>
          <t>Total cost per visit</t>
        </is>
      </c>
      <c r="C22" s="33">
        <f>C21+C11+C19*C6</f>
        <v/>
      </c>
      <c r="D22" s="29">
        <f> fixed+transport + harvester labor + inventory × blocks.</f>
        <v/>
      </c>
    </row>
    <row r="23" ht="18" customHeight="1">
      <c r="A23" s="34" t="inlineStr">
        <is>
          <t>★ TOTAL COST PER BLOCK</t>
        </is>
      </c>
      <c r="C23" s="35">
        <f>IF(C6&gt;0,C22/C6,0)</f>
        <v/>
      </c>
      <c r="D23" s="29">
        <f> total cost per visit ÷ blocks. Your self-harvest unit cost.</f>
        <v/>
      </c>
    </row>
    <row r="24" ht="18" customHeight="1">
      <c r="A24" s="27" t="inlineStr">
        <is>
          <t>Memo: harvester labor per block</t>
        </is>
      </c>
      <c r="C24" s="33">
        <f>IF(C6&gt;0,C11/C6,0)</f>
        <v/>
      </c>
      <c r="D24" s="29">
        <f> (min/block ÷ 60) × crew × rate.</f>
        <v/>
      </c>
    </row>
    <row r="25" ht="18" customHeight="1">
      <c r="A25" s="27" t="inlineStr">
        <is>
          <t>Memo: fixed+transport per block</t>
        </is>
      </c>
      <c r="C25" s="33">
        <f>IF(C6&gt;0,C21/C6,0)</f>
        <v/>
      </c>
      <c r="D25" s="29" t="inlineStr">
        <is>
          <t>Spread of per-visit fixed costs — falls as blocks/visit rises.</t>
        </is>
      </c>
    </row>
    <row r="26" ht="20" customHeight="1">
      <c r="A26" s="26" t="inlineStr">
        <is>
          <t>E.  BUY-DIRECT BENCHMARK  (real published list prices)</t>
        </is>
      </c>
    </row>
    <row r="27" ht="18" customHeight="1">
      <c r="A27" s="27" t="inlineStr">
        <is>
          <t>Buy-direct: single porcine organ ($)</t>
        </is>
      </c>
      <c r="C27" s="31" t="n">
        <v>141</v>
      </c>
      <c r="D27" s="29" t="inlineStr">
        <is>
          <t>Innovative Research list, base config (real published price).</t>
        </is>
      </c>
    </row>
    <row r="28" ht="18" customHeight="1">
      <c r="A28" s="27" t="inlineStr">
        <is>
          <t>Buy-direct: pelvic block ($)</t>
        </is>
      </c>
      <c r="C28" s="31" t="n">
        <v>582</v>
      </c>
      <c r="D28" s="29" t="inlineStr">
        <is>
          <t>Innovative Research list, base config (real published price).</t>
        </is>
      </c>
    </row>
    <row r="29" ht="18" customHeight="1">
      <c r="A29" s="27" t="inlineStr">
        <is>
          <t>Δ self-harvest vs buy-direct (per organ)</t>
        </is>
      </c>
      <c r="C29" s="33">
        <f>C23-C27</f>
        <v/>
      </c>
      <c r="D29" s="29" t="inlineStr">
        <is>
          <t>Negative = self-harvest cheaper per organ.</t>
        </is>
      </c>
    </row>
    <row r="30" ht="18" customHeight="1">
      <c r="A30" s="27" t="inlineStr">
        <is>
          <t>Verdict</t>
        </is>
      </c>
      <c r="C30" s="36">
        <f>IF(C23&lt;=C27,"Self-harvest cheaper / on par","Buying direct cheaper per organ")</f>
        <v/>
      </c>
      <c r="D30" s="29" t="inlineStr">
        <is>
          <t>Rule of thumb; one visit yields many blocks, favoring self-harvest.</t>
        </is>
      </c>
    </row>
    <row r="32" ht="20" customHeight="1">
      <c r="A32" s="26" t="inlineStr">
        <is>
          <t>PER-SLAUGHTERHOUSE COMPARISON  (illustrative placeholders — replace with real figures/quotes)</t>
        </is>
      </c>
    </row>
    <row r="33" ht="30" customHeight="1">
      <c r="A33" s="37" t="inlineStr">
        <is>
          <t>Facility</t>
        </is>
      </c>
      <c r="B33" s="37" t="inlineStr">
        <is>
          <t>Blocks/
visit</t>
        </is>
      </c>
      <c r="C33" s="37" t="inlineStr">
        <is>
          <t>Min/
block</t>
        </is>
      </c>
      <c r="D33" s="37" t="inlineStr">
        <is>
          <t>Crew</t>
        </is>
      </c>
      <c r="E33" s="37" t="inlineStr">
        <is>
          <t>$/hr</t>
        </is>
      </c>
      <c r="F33" s="37" t="inlineStr">
        <is>
          <t>Rental/
visit</t>
        </is>
      </c>
      <c r="G33" s="37" t="inlineStr">
        <is>
          <t>Plant fee /
harvest fee</t>
        </is>
      </c>
      <c r="H33" s="37" t="inlineStr">
        <is>
          <t>Our insp/
visit</t>
        </is>
      </c>
      <c r="I33" s="37" t="inlineStr">
        <is>
          <t>Transport/
visit</t>
        </is>
      </c>
      <c r="J33" s="37" t="inlineStr">
        <is>
          <t>Inv/
block</t>
        </is>
      </c>
      <c r="K33" s="37" t="inlineStr">
        <is>
          <t>⇒ Cost/
block</t>
        </is>
      </c>
      <c r="L33" s="37" t="inlineStr">
        <is>
          <t>vs $/organ
direct</t>
        </is>
      </c>
    </row>
    <row r="34" ht="22" customHeight="1">
      <c r="A34" s="38" t="inlineStr">
        <is>
          <t>Nahunta Pork Center (Pikeville, NC)</t>
        </is>
      </c>
      <c r="B34" s="28" t="n">
        <v>40</v>
      </c>
      <c r="C34" s="30" t="n">
        <v>15</v>
      </c>
      <c r="D34" s="28" t="n">
        <v>2</v>
      </c>
      <c r="E34" s="31" t="n">
        <v>45</v>
      </c>
      <c r="F34" s="31" t="n">
        <v>0</v>
      </c>
      <c r="G34" s="31" t="n">
        <v>100</v>
      </c>
      <c r="H34" s="31" t="n">
        <v>0</v>
      </c>
      <c r="I34" s="31" t="n">
        <v>150</v>
      </c>
      <c r="J34" s="31" t="n">
        <v>8</v>
      </c>
      <c r="K34" s="39">
        <f>IF(B34&gt;0,(F34+G34+H34+I34+(B34*C34/60)*D34*E34+J34*B34)/B34,0)</f>
        <v/>
      </c>
      <c r="L34" s="33">
        <f>K34-$C$27</f>
        <v/>
      </c>
    </row>
    <row r="35" ht="22" customHeight="1">
      <c r="A35" s="38" t="inlineStr">
        <is>
          <t>Martin's Pork Products (Falcon, NC)</t>
        </is>
      </c>
      <c r="B35" s="28" t="n">
        <v>50</v>
      </c>
      <c r="C35" s="30" t="n">
        <v>15</v>
      </c>
      <c r="D35" s="28" t="n">
        <v>2</v>
      </c>
      <c r="E35" s="31" t="n">
        <v>45</v>
      </c>
      <c r="F35" s="31" t="n">
        <v>0</v>
      </c>
      <c r="G35" s="31" t="n">
        <v>150</v>
      </c>
      <c r="H35" s="31" t="n">
        <v>0</v>
      </c>
      <c r="I35" s="31" t="n">
        <v>175</v>
      </c>
      <c r="J35" s="31" t="n">
        <v>8</v>
      </c>
      <c r="K35" s="39">
        <f>IF(B35&gt;0,(F35+G35+H35+I35+(B35*C35/60)*D35*E35+J35*B35)/B35,0)</f>
        <v/>
      </c>
      <c r="L35" s="33">
        <f>K35-$C$27</f>
        <v/>
      </c>
    </row>
    <row r="36" ht="22" customHeight="1">
      <c r="A36" s="38" t="inlineStr">
        <is>
          <t>Piedmont Custom Meats (NC)</t>
        </is>
      </c>
      <c r="B36" s="28" t="n">
        <v>45</v>
      </c>
      <c r="C36" s="30" t="n">
        <v>15</v>
      </c>
      <c r="D36" s="28" t="n">
        <v>2</v>
      </c>
      <c r="E36" s="31" t="n">
        <v>45</v>
      </c>
      <c r="F36" s="31" t="n">
        <v>400</v>
      </c>
      <c r="G36" s="31" t="n">
        <v>0</v>
      </c>
      <c r="H36" s="31" t="n">
        <v>0</v>
      </c>
      <c r="I36" s="31" t="n">
        <v>200</v>
      </c>
      <c r="J36" s="31" t="n">
        <v>8</v>
      </c>
      <c r="K36" s="39">
        <f>IF(B36&gt;0,(F36+G36+H36+I36+(B36*C36/60)*D36*E36+J36*B36)/B36,0)</f>
        <v/>
      </c>
      <c r="L36" s="33">
        <f>K36-$C$27</f>
        <v/>
      </c>
    </row>
    <row r="37" ht="22" customHeight="1">
      <c r="A37" s="38" t="inlineStr">
        <is>
          <t>Acre Station Meat Farm (NC)</t>
        </is>
      </c>
      <c r="B37" s="28" t="n">
        <v>30</v>
      </c>
      <c r="C37" s="30" t="n">
        <v>15</v>
      </c>
      <c r="D37" s="28" t="n">
        <v>2</v>
      </c>
      <c r="E37" s="31" t="n">
        <v>45</v>
      </c>
      <c r="F37" s="31" t="n">
        <v>350</v>
      </c>
      <c r="G37" s="31" t="n">
        <v>0</v>
      </c>
      <c r="H37" s="31" t="n">
        <v>0</v>
      </c>
      <c r="I37" s="31" t="n">
        <v>220</v>
      </c>
      <c r="J37" s="31" t="n">
        <v>8</v>
      </c>
      <c r="K37" s="39">
        <f>IF(B37&gt;0,(F37+G37+H37+I37+(B37*C37/60)*D37*E37+J37*B37)/B37,0)</f>
        <v/>
      </c>
      <c r="L37" s="33">
        <f>K37-$C$27</f>
        <v/>
      </c>
    </row>
    <row r="38" ht="22" customHeight="1">
      <c r="A38" s="38" t="inlineStr">
        <is>
          <t>EcoFriendly Foods (Moneta, VA)</t>
        </is>
      </c>
      <c r="B38" s="28" t="n">
        <v>30</v>
      </c>
      <c r="C38" s="30" t="n">
        <v>15</v>
      </c>
      <c r="D38" s="28" t="n">
        <v>2</v>
      </c>
      <c r="E38" s="31" t="n">
        <v>48</v>
      </c>
      <c r="F38" s="31" t="n">
        <v>400</v>
      </c>
      <c r="G38" s="31" t="n">
        <v>0</v>
      </c>
      <c r="H38" s="31" t="n">
        <v>0</v>
      </c>
      <c r="I38" s="31" t="n">
        <v>350</v>
      </c>
      <c r="J38" s="31" t="n">
        <v>9</v>
      </c>
      <c r="K38" s="39">
        <f>IF(B38&gt;0,(F38+G38+H38+I38+(B38*C38/60)*D38*E38+J38*B38)/B38,0)</f>
        <v/>
      </c>
      <c r="L38" s="33">
        <f>K38-$C$27</f>
        <v/>
      </c>
    </row>
    <row r="39" ht="22" customHeight="1">
      <c r="A39" s="38" t="inlineStr">
        <is>
          <t>Midwest Research Swine (MN) — Model B</t>
        </is>
      </c>
      <c r="B39" s="28" t="n">
        <v>60</v>
      </c>
      <c r="C39" s="30" t="n">
        <v>12</v>
      </c>
      <c r="D39" s="28" t="n">
        <v>0</v>
      </c>
      <c r="E39" s="31" t="n">
        <v>45</v>
      </c>
      <c r="F39" s="31" t="n">
        <v>0</v>
      </c>
      <c r="G39" s="31" t="n">
        <v>900</v>
      </c>
      <c r="H39" s="31" t="n">
        <v>200</v>
      </c>
      <c r="I39" s="31" t="n">
        <v>400</v>
      </c>
      <c r="J39" s="31" t="n">
        <v>9</v>
      </c>
      <c r="K39" s="39">
        <f>IF(B39&gt;0,(F39+G39+H39+I39+(B39*C39/60)*D39*E39+J39*B39)/B39,0)</f>
        <v/>
      </c>
      <c r="L39" s="33">
        <f>K39-$C$27</f>
        <v/>
      </c>
    </row>
    <row r="40" ht="22" customHeight="1">
      <c r="A40" s="38" t="inlineStr">
        <is>
          <t>Smithfield BioScience (IA) — Model B</t>
        </is>
      </c>
      <c r="B40" s="28" t="n">
        <v>80</v>
      </c>
      <c r="C40" s="30" t="n">
        <v>10</v>
      </c>
      <c r="D40" s="28" t="n">
        <v>0</v>
      </c>
      <c r="E40" s="31" t="n">
        <v>45</v>
      </c>
      <c r="F40" s="31" t="n">
        <v>0</v>
      </c>
      <c r="G40" s="31" t="n">
        <v>1200</v>
      </c>
      <c r="H40" s="31" t="n">
        <v>150</v>
      </c>
      <c r="I40" s="31" t="n">
        <v>300</v>
      </c>
      <c r="J40" s="31" t="n">
        <v>8</v>
      </c>
      <c r="K40" s="39">
        <f>IF(B40&gt;0,(F40+G40+H40+I40+(B40*C40/60)*D40*E40+J40*B40)/B40,0)</f>
        <v/>
      </c>
      <c r="L40" s="33">
        <f>K40-$C$27</f>
        <v/>
      </c>
    </row>
    <row r="42" ht="16" customHeight="1">
      <c r="A42" s="40" t="inlineStr">
        <is>
          <t>•  For Model B (plant harvests): set Crew = 0 and enter the plant's per-visit harvest fee under 'Plant fee / harvest fee'.</t>
        </is>
      </c>
    </row>
    <row r="43" ht="22" customHeight="1">
      <c r="A43" s="40" t="inlineStr">
        <is>
          <t>•  Cost/block = (rental + plant fee + our inspector + transport + harvester labor + inventory × blocks) ÷ blocks.  Harvester labor = (min/block ÷ 60) × blocks × crew × rate.</t>
        </is>
      </c>
    </row>
    <row r="44" ht="22" customHeight="1">
      <c r="A44" s="40" t="inlineStr">
        <is>
          <t>•  Compare Cost/block (col ⇒) to buy-direct list prices: ~$141/organ and $582/pelvic block (Innovative Research). Self-harvest usually wins because one visit yields many blocks at once.</t>
        </is>
      </c>
    </row>
    <row r="45" ht="22" customHeight="1">
      <c r="A45" s="40" t="inlineStr">
        <is>
          <t>•  Every blue number is an ILLUSTRATIVE placeholder to show the format — none are researched costs. Replace them with your real time-studies, rental terms, wages, freight, and holding costs.</t>
        </is>
      </c>
    </row>
  </sheetData>
  <mergeCells count="55">
    <mergeCell ref="D11:I11"/>
    <mergeCell ref="A24:B24"/>
    <mergeCell ref="D27:I27"/>
    <mergeCell ref="A30:B30"/>
    <mergeCell ref="A15:B15"/>
    <mergeCell ref="D13:I13"/>
    <mergeCell ref="A11:B11"/>
    <mergeCell ref="D16:I16"/>
    <mergeCell ref="D7:I7"/>
    <mergeCell ref="A12:L12"/>
    <mergeCell ref="A6:B6"/>
    <mergeCell ref="A26:L26"/>
    <mergeCell ref="A2:L2"/>
    <mergeCell ref="A16:B16"/>
    <mergeCell ref="A42:L42"/>
    <mergeCell ref="A7:B7"/>
    <mergeCell ref="A25:B25"/>
    <mergeCell ref="D28:I28"/>
    <mergeCell ref="A5:L5"/>
    <mergeCell ref="D18:I18"/>
    <mergeCell ref="A32:L32"/>
    <mergeCell ref="D9:I9"/>
    <mergeCell ref="A17:L17"/>
    <mergeCell ref="A18:B18"/>
    <mergeCell ref="A27:B27"/>
    <mergeCell ref="D30:I30"/>
    <mergeCell ref="D8:I8"/>
    <mergeCell ref="A4:L4"/>
    <mergeCell ref="D15:I15"/>
    <mergeCell ref="A20:L20"/>
    <mergeCell ref="D25:I25"/>
    <mergeCell ref="A21:B21"/>
    <mergeCell ref="D24:I24"/>
    <mergeCell ref="A43:L43"/>
    <mergeCell ref="D14:I14"/>
    <mergeCell ref="D29:I29"/>
    <mergeCell ref="D23:I23"/>
    <mergeCell ref="A44:L44"/>
    <mergeCell ref="A14:B14"/>
    <mergeCell ref="A23:B23"/>
    <mergeCell ref="A8:B8"/>
    <mergeCell ref="A22:B22"/>
    <mergeCell ref="D19:I19"/>
    <mergeCell ref="D10:I10"/>
    <mergeCell ref="A29:B29"/>
    <mergeCell ref="A19:B19"/>
    <mergeCell ref="D22:I22"/>
    <mergeCell ref="A1:L1"/>
    <mergeCell ref="A10:B10"/>
    <mergeCell ref="A28:B28"/>
    <mergeCell ref="A45:L45"/>
    <mergeCell ref="A13:B13"/>
    <mergeCell ref="D6:I6"/>
    <mergeCell ref="A9:B9"/>
    <mergeCell ref="D21:I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6" customWidth="1" min="2" max="2"/>
    <col width="46" customWidth="1" min="3" max="3"/>
  </cols>
  <sheetData>
    <row r="1" ht="26" customHeight="1">
      <c r="A1" s="1" t="inlineStr">
        <is>
          <t>APHIS &amp; EU Export — what your suppliers actually need</t>
        </is>
      </c>
    </row>
    <row r="2" ht="30" customHeight="1">
      <c r="A2" s="2" t="inlineStr">
        <is>
          <t>For exporting porcine-tissue 'models' to Europe. Orientation only — NOT legal advice; confirm per product line with APHIS VS, your EU importer, and (if a device) a notified body.</t>
        </is>
      </c>
    </row>
    <row r="4" ht="120" customHeight="1">
      <c r="A4" s="41" t="inlineStr">
        <is>
          <t>BOTTOM LINE: The EU does NOT require your suppliers to hand you a standalone 'APHIS certificate.' It requires (1) the ORIGIN establishment (the slaughterhouse) to be APHIS-approved and LISTED on the EU TRACES establishment list for the correct animal-by-product category, and (2) an APHIS Veterinary Services-ENDORSED EU health certificate that YOUR company, as the exporter, carries with each shipment. Your instinct is right in substance — the supplier does need an APHIS eligibility/listing status — but it is a system tied to a specific product + destination, not a certificate on the wall.   ⚠ This tab is orientation, NOT legal advice: confirm the exact category and certificate with APHIS VS, your EU importer, and (if any product is a device) your notified body.</t>
        </is>
      </c>
    </row>
    <row r="6" ht="20" customHeight="1">
      <c r="A6" s="26" t="inlineStr">
        <is>
          <t>HOW TO CHECK APHIS / EXPORT STATUS YOURSELF  (the lookup sites)</t>
        </is>
      </c>
    </row>
    <row r="7" ht="18" customHeight="1">
      <c r="A7" s="42" t="inlineStr">
        <is>
          <t>There is NO single 'APHIS-certified slaughterhouse' lookup — the right source depends on WHAT is exported.</t>
        </is>
      </c>
    </row>
    <row r="8" ht="36" customHeight="1">
      <c r="A8" s="4" t="inlineStr">
        <is>
          <t>Edible meat/offal to EU</t>
        </is>
      </c>
      <c r="B8" s="5" t="inlineStr">
        <is>
          <t>FSIS 'Eligible U.S. Establishments by Country' → the European Union page (plant must be in the FSIS 'Pork for the EU' / PFEU program).  fsis.usda.gov/inspection/import-export/import-export-library</t>
        </is>
      </c>
    </row>
    <row r="9" ht="36" customHeight="1">
      <c r="A9" s="4" t="inlineStr">
        <is>
          <t>Any FSIS export setup</t>
        </is>
      </c>
      <c r="B9" s="5" t="inlineStr">
        <is>
          <t>FSIS Meat/Poultry/Egg (MPI) Directory — an establishment's 'Certification – Export' activity means it can issue export certs for SOME country; it does NOT mean EU-eligible.  fsis.usda.gov/inspection/establishments/meat-poultry-and-egg-product-inspection-directory</t>
        </is>
      </c>
    </row>
    <row r="10" ht="48" customHeight="1">
      <c r="A10" s="4" t="inlineStr">
        <is>
          <t>NON-food research tissue / organs to EU  ← this is us</t>
        </is>
      </c>
      <c r="B10" s="5" t="inlineStr">
        <is>
          <t>APHIS 'Export Animal Products to the European Union' — APHIS Veterinary Services (not FSIS) compiles the by-product establishment listing under Reg (EU) 142/2011. No public per-plant lookup; email vs.export.product.facilities@usda.gov.  aphis.usda.gov/animal-product-export/export-animal-products-european-union</t>
        </is>
      </c>
    </row>
    <row r="11" ht="48" customHeight="1">
      <c r="A11" s="4" t="inlineStr">
        <is>
          <t>Authoritative EU-side list (both)</t>
        </is>
      </c>
      <c r="B11" s="5" t="inlineStr">
        <is>
          <t>EU TRACES-NT establishment search — filter Country = United States; FSIS edible plants appear under fresh-meat/meat-products, APHIS by-product plants under animal-by-products. Interactive only.  webgate.ec.europa.eu/tracesnt/directory/listing/establishment/publication  (US mirror: usda-eu.org/import-controls/approved-u-s-establishments)</t>
        </is>
      </c>
    </row>
    <row r="12" ht="36" customHeight="1">
      <c r="A12" s="4" t="inlineStr">
        <is>
          <t>BOTTOM LINE</t>
        </is>
      </c>
      <c r="B12" s="5" t="inlineStr">
        <is>
          <t>Edible meat → FSIS list + TRACES fresh-meat section.  Non-food research tissue → APHIS VS listing + TRACES animal-by-products section.  FSIS 'Certification–Export' ≠ EU-eligible ≠ APHIS by-product listing.</t>
        </is>
      </c>
    </row>
    <row r="14" ht="20" customHeight="1">
      <c r="A14" s="26" t="inlineStr">
        <is>
          <t>THE THREE REGIMES — APHIS vs FSIS vs STATE  (not tiers of one thing)</t>
        </is>
      </c>
    </row>
    <row r="15" ht="20" customHeight="1">
      <c r="A15" s="43" t="inlineStr">
        <is>
          <t>Program</t>
        </is>
      </c>
      <c r="B15" s="43" t="inlineStr">
        <is>
          <t>Purpose</t>
        </is>
      </c>
      <c r="C15" s="43" t="inlineStr">
        <is>
          <t>What it means for you</t>
        </is>
      </c>
    </row>
    <row r="16" ht="62" customHeight="1">
      <c r="A16" s="44" t="inlineStr">
        <is>
          <t>USDA FSIS
(Food Safety &amp; Inspection Service)</t>
        </is>
      </c>
      <c r="B16" s="5" t="inlineStr">
        <is>
          <t>Food safety for meat/poultry for HUMAN CONSUMPTION; issues the federal 'grant of inspection'.</t>
        </is>
      </c>
      <c r="C16" s="5" t="inlineStr">
        <is>
          <t>The certifying agency for EDIBLE product. For non-food tissue/organs, FSIS is generally NOT the relevant agency at all.</t>
        </is>
      </c>
    </row>
    <row r="17" ht="62" customHeight="1">
      <c r="A17" s="44" t="inlineStr">
        <is>
          <t>USDA APHIS Veterinary Services (VS)</t>
        </is>
      </c>
      <c r="B17" s="5" t="inlineStr">
        <is>
          <t>ANIMAL HEALTH + export certification for animals and animal products/byproducts — expressly incl. non-food tissue for technical/research/pharma use.</t>
        </is>
      </c>
      <c r="C17" s="5" t="inlineStr">
        <is>
          <t>THIS is the export pathway for your tissue. APHIS approves/lists the facility and endorses the per-shipment EU health certificate. Country rules live in IREGS.</t>
        </is>
      </c>
    </row>
    <row r="18" ht="62" customHeight="1">
      <c r="A18" s="44" t="inlineStr">
        <is>
          <t>State meat inspection</t>
        </is>
      </c>
      <c r="B18" s="5" t="inlineStr">
        <is>
          <t>Food safety, run by a state, 'at least equal to' FSIS. Edible product usually can't cross state lines.</t>
        </is>
      </c>
      <c r="C18" s="5" t="inlineStr">
        <is>
          <t>A state-inspected plant (e.g. Nahunta) is NOT disqualified from the APHIS byproduct export pathway — that pathway is APHIS's, not FSIS's. This reconciles 'Nahunta is special on certs' with 'Nahunta is state-inspected.'</t>
        </is>
      </c>
    </row>
    <row r="20" ht="20" customHeight="1">
      <c r="A20" s="26" t="inlineStr">
        <is>
          <t>WHAT THE EU ACTUALLY REQUIRES  (the practical spine)</t>
        </is>
      </c>
    </row>
    <row r="21" ht="48" customHeight="1">
      <c r="A21" s="4" t="inlineStr">
        <is>
          <t>Governing law</t>
        </is>
      </c>
      <c r="B21" s="5" t="inlineStr">
        <is>
          <t>Regulation (EC) No 1069/2009 (the parent 'animal by-products' regulation — health rules for animal by-products NOT for human consumption) + Commission Regulation (EU) No 142/2011 (the implementing rules: categories, permitted uses, import conditions, model health certificates).</t>
        </is>
      </c>
    </row>
    <row r="22" ht="60" customHeight="1">
      <c r="A22" s="4" t="inlineStr">
        <is>
          <t>Category &amp; use</t>
        </is>
      </c>
      <c r="B22" s="5" t="inlineStr">
        <is>
          <t>Porcine slaughter byproducts for technical/research/manufacturing use are typically CATEGORY 3 (lowest risk) — but classification is use-dependent, so confirm it. Common CN codes 0511 91 / 0511 99 / 3001. 142/2011 has special rules for research/diagnostic samples (Art. 11) and an 'Intermediate Products – Chapter 20' pathway for material used to manufacture medicinal products / medical devices.</t>
        </is>
      </c>
    </row>
    <row r="23" ht="18" customHeight="1">
      <c r="A23" s="42" t="inlineStr">
        <is>
          <t>The four-step import spine</t>
        </is>
      </c>
    </row>
    <row r="24" ht="26" customHeight="1">
      <c r="A24" s="5" t="inlineStr">
        <is>
          <t>•  1. APPROVED THIRD COUNTRY — the US must be listed for that ABP category (country lists in Annex XIV of Reg (EU) 142/2011, amended e.g. by Reg (EU) 2022/384). The US is listed for many ABP categories.</t>
        </is>
      </c>
    </row>
    <row r="25" ht="36" customHeight="1">
      <c r="A25" s="5" t="inlineStr">
        <is>
          <t>•  2. LISTED ESTABLISHMENT — the origin plant must be APHIS-approved and appear on the EU TRACES establishment list for the category. (APHIS: 'Facilities must be listed by APHIS in compliance with Reg (EU) 142/2011 to export.')</t>
        </is>
      </c>
    </row>
    <row r="26" ht="26" customHeight="1">
      <c r="A26" s="5" t="inlineStr">
        <is>
          <t>•  3. ENDORSED HEALTH CERTIFICATE — a model veterinary health certificate (matching the category/use, from the 142/2011 annexes) accompanies the consignment, endorsed by APHIS Veterinary Services.</t>
        </is>
      </c>
    </row>
    <row r="27" ht="26" customHeight="1">
      <c r="A27" s="5" t="inlineStr">
        <is>
          <t>•  4. BORDER ENTRY via TRACES — entry through an EU Border Control Post with prior notification in TRACES (the CHED). APHIS endorses the certificate but does NOT prepare the EU entry document — that is the importer's side.</t>
        </is>
      </c>
    </row>
    <row r="28" ht="30" customHeight="1">
      <c r="A28" s="4" t="inlineStr">
        <is>
          <t>Documentation flow</t>
        </is>
      </c>
      <c r="B28" s="5" t="inlineStr">
        <is>
          <t>Slaughterhouse → exporter (facility listing status, species/origin, inspection records, traceability) → APHIS endorses the certificate → EU importer lodges the CHED in TRACES.</t>
        </is>
      </c>
    </row>
    <row r="29" ht="20" customHeight="1">
      <c r="A29" s="26" t="inlineStr">
        <is>
          <t>MEDICAL-DEVICE ANGLE  (only if the end product is actually a device)</t>
        </is>
      </c>
    </row>
    <row r="30" ht="48" customHeight="1">
      <c r="A30" s="5" t="inlineStr">
        <is>
          <t>•  A surgical-training / anatomical 'model' is OFTEN NOT a medical device (not intended to diagnose/treat a patient). If so, MDR does not apply — but the tissue is still an animal by-product, so the ABP rules above still govern EU entry. Whether a given 'model' is a device is a classification call for a regulatory specialist / notified body.</t>
        </is>
      </c>
    </row>
    <row r="31" ht="26" customHeight="1">
      <c r="A31" s="5" t="inlineStr">
        <is>
          <t>•  If it IS a device: Regulation (EU) 2017/745 (MDR), Annex I GSPR 13.1 governs devices manufactured using animal tissue.</t>
        </is>
      </c>
    </row>
    <row r="32" ht="36" customHeight="1">
      <c r="A32" s="5" t="inlineStr">
        <is>
          <t>•  KEY: Regulation (EU) No 722/2012 (the special TSE regime) does NOT cover porcine — it is limited to bovine, ovine, caprine, deer, elk, mink and cats. So porcine devices sit under MDR's GENERAL animal-origin requirements (13.1), NOT the 722/2012 procedure.</t>
        </is>
      </c>
    </row>
    <row r="33" ht="48" customHeight="1">
      <c r="A33" s="5" t="inlineStr">
        <is>
          <t>•  MDR 13.1 expectations (good practice for porcine too): animals subject to veterinary controls adapted to intended use; retain geographical-origin records; sourcing/processing/testing to the ISO 22442 series; source from healthy animals fit for human consumption, EXCLUDING fallen stock, emergency-slaughtered, and diseased animals.</t>
        </is>
      </c>
    </row>
    <row r="34" ht="20" customHeight="1">
      <c r="A34" s="26" t="inlineStr">
        <is>
          <t>DOES THE SUPPLIER NEED 'APHIS CERTIFICATION'?  (direct answer)</t>
        </is>
      </c>
    </row>
    <row r="35" ht="36" customHeight="1">
      <c r="A35" s="5" t="inlineStr">
        <is>
          <t>•  'APHIS certification' is not one credential on the wall — it is a SYSTEM: (i) APHIS approves/lists a specific facility for a specific export certificate/category, and (ii) APHIS VS endorses the actual health certificate per shipment.</t>
        </is>
      </c>
    </row>
    <row r="36" ht="48" customHeight="1">
      <c r="A36" s="5" t="inlineStr">
        <is>
          <t>•  WHO NEEDS WHAT: the EXPORTER (your company) obtains and presents the APHIS-endorsed health certificate. But for APHIS to endorse it and the EU to accept the consignment, the SOURCE establishment usually must be APHIS-approved and on the EU/TRACES list for that category. So the supplier DOES need an eligibility/listing status — the grain of truth in what you were told.</t>
        </is>
      </c>
    </row>
    <row r="37" ht="60" customHeight="1">
      <c r="A37" s="5" t="inlineStr">
        <is>
          <t>•  A small, humane, STATE-inspected family plant that has never exported will NOT have this yet and must apply — via APHIS VS Field Operations / Veterinary Export Trade Services — and get placed on the EU TRACES list. Confirm with APHIS whether the plant's state-inspection status is acceptable for the EXACT certificate you'll use (some certs require ante-/post-mortem inspection or 'fit for human consumption'; state inspection typically satisfies this, but the certificate wording controls).</t>
        </is>
      </c>
    </row>
    <row r="39" ht="20" customHeight="1">
      <c r="A39" s="26" t="inlineStr">
        <is>
          <t>SUPPLIER CHECKLIST — require in writing (also in the Call Question Sheet, section G)</t>
        </is>
      </c>
    </row>
    <row r="40" ht="36" customHeight="1">
      <c r="A40" s="45" t="n">
        <v>1</v>
      </c>
      <c r="B40" s="5" t="inlineStr">
        <is>
          <t>APHIS export eligibility / facility approval — is the establishment already APHIS-approved and on the EU TRACES establishment list for the relevant ABP category? If not, willing to apply via APHIS VS?</t>
        </is>
      </c>
    </row>
    <row r="41" ht="36" customHeight="1">
      <c r="A41" s="45" t="n">
        <v>2</v>
      </c>
      <c r="B41" s="5" t="inlineStr">
        <is>
          <t>Inspection status — USDA-FSIS or state-inspected? Can it document ante-mortem AND post-mortem veterinary inspection of the source animals? (Needed for many EU certificates and for MDR 13.1.)</t>
        </is>
      </c>
    </row>
    <row r="42" ht="36" customHeight="1">
      <c r="A42" s="45" t="n">
        <v>3</v>
      </c>
      <c r="B42" s="5" t="inlineStr">
        <is>
          <t>Veterinary health certificates / affidavits — can it supply the source declarations/affidavits APHIS VS needs to endorse the EU model health certificate, and per-lot documentation?</t>
        </is>
      </c>
    </row>
    <row r="43" ht="36" customHeight="1">
      <c r="A43" s="45" t="n">
        <v>4</v>
      </c>
      <c r="B43" s="5" t="inlineStr">
        <is>
          <t>Species, herd health &amp; country/region of origin — porcine only; US origin; herd-health assurances; animals healthy and fit for human consumption, with fallen stock / emergency-slaughtered / diseased animals excluded.</t>
        </is>
      </c>
    </row>
    <row r="44" ht="36" customHeight="1">
      <c r="A44" s="45" t="n">
        <v>5</v>
      </c>
      <c r="B44" s="5" t="inlineStr">
        <is>
          <t>Traceability — lot-level traceability from live animal → tissue → shipment, and retention of geographical-origin records (required under MDR Annex I 13.1 if the end product is a device).</t>
        </is>
      </c>
    </row>
    <row r="45" ht="36" customHeight="1">
      <c r="A45" s="45" t="n">
        <v>6</v>
      </c>
      <c r="B45" s="5" t="inlineStr">
        <is>
          <t>Records retention &amp; audit access — inspection, sourcing, and lot records; willingness to support APHIS facility audits and (if a device) notified-body / ISO 22442 documentation requests.</t>
        </is>
      </c>
    </row>
    <row r="46" ht="36" customHeight="1">
      <c r="A46" s="45" t="n">
        <v>7</v>
      </c>
      <c r="B46" s="5" t="inlineStr">
        <is>
          <t>Category/use agreement — align on the ABP category (likely Cat 3) and intended use so the correct 142/2011 model certificate (research/diagnostic sample, commercial sample, technical product, or intermediate-product Chapter 20) can be identified.</t>
        </is>
      </c>
    </row>
    <row r="48" ht="20" customHeight="1">
      <c r="A48" s="26" t="inlineStr">
        <is>
          <t>WHO TO LOOP IN  (this tab is orientation, not final legal advice)</t>
        </is>
      </c>
    </row>
    <row r="49" ht="26" customHeight="1">
      <c r="A49" s="5" t="inlineStr">
        <is>
          <t>•  APHIS VS Field Operations / Veterinary Export Trade Services — the authority on facility listing and which EU certificate applies to your exact product; they endorse the certificate.</t>
        </is>
      </c>
    </row>
    <row r="50" ht="26" customHeight="1">
      <c r="A50" s="5" t="inlineStr">
        <is>
          <t>•  Your EU importer — lodges the TRACES/CHED entry and knows the receiving Member State's border-control expectations.</t>
        </is>
      </c>
    </row>
    <row r="51" ht="26" customHeight="1">
      <c r="A51" s="5" t="inlineStr">
        <is>
          <t>•  A customs / regulatory specialist — to fix the ABP category, CN code, and correct 142/2011 model certificate per product line.</t>
        </is>
      </c>
    </row>
    <row r="52" ht="26" customHeight="1">
      <c r="A52" s="5" t="inlineStr">
        <is>
          <t>•  A notified body — only if any product is actually a medical device (MDR Annex I 13.1; porcine is outside 722/2012 but still scrutinized).</t>
        </is>
      </c>
    </row>
    <row r="54" ht="20" customHeight="1">
      <c r="A54" s="26" t="inlineStr">
        <is>
          <t>KEY SOURCES</t>
        </is>
      </c>
    </row>
    <row r="55" ht="24" customHeight="1">
      <c r="A55" s="46" t="inlineStr">
        <is>
          <t>•  APHIS — International Animal Product Export Regulations (IREGS): aphis.usda.gov/animal-product-export/international-animal-product-export-regulations</t>
        </is>
      </c>
    </row>
    <row r="56" ht="24" customHeight="1">
      <c r="A56" s="46" t="inlineStr">
        <is>
          <t>•  APHIS — Export Animal Products to the EU: aphis.usda.gov/animal-product-export/export-animal-products-european-union</t>
        </is>
      </c>
    </row>
    <row r="57" ht="24" customHeight="1">
      <c r="A57" s="46" t="inlineStr">
        <is>
          <t>•  EU ABP — Reg (EC) 1069/2009 (EUR-Lex summary) &amp; Reg (EU) 142/2011 (legislation.gov.uk consolidated); country lists Annex XIV via Reg (EU) 2022/384</t>
        </is>
      </c>
    </row>
    <row r="58" ht="24" customHeight="1">
      <c r="A58" s="46" t="inlineStr">
        <is>
          <t>•  EU devices — MDR (EU) 2017/745 (EUR-Lex); Reg (EU) 722/2012 (legislation.gov.uk) — porcine NOT covered; ISO 22442 series (industry practice)</t>
        </is>
      </c>
    </row>
    <row r="59" ht="24" customHeight="1">
      <c r="A59" s="46" t="inlineStr">
        <is>
          <t>•  USDA-EU approved U.S. establishments: usda-eu.org/import-controls/approved-u-s-establishments  ·  Third-country establishment lists explained: agrinfo.eu</t>
        </is>
      </c>
    </row>
  </sheetData>
  <mergeCells count="48">
    <mergeCell ref="A25:C25"/>
    <mergeCell ref="A37:C37"/>
    <mergeCell ref="B46:C46"/>
    <mergeCell ref="A56:C56"/>
    <mergeCell ref="B22:C22"/>
    <mergeCell ref="A27:C27"/>
    <mergeCell ref="A55:C55"/>
    <mergeCell ref="A50:C50"/>
    <mergeCell ref="A26:C26"/>
    <mergeCell ref="A57:C57"/>
    <mergeCell ref="A2:C2"/>
    <mergeCell ref="B43:C43"/>
    <mergeCell ref="B12:C12"/>
    <mergeCell ref="B21:C21"/>
    <mergeCell ref="A33:C33"/>
    <mergeCell ref="B11:C11"/>
    <mergeCell ref="A23:C23"/>
    <mergeCell ref="A32:C32"/>
    <mergeCell ref="A14:C14"/>
    <mergeCell ref="B42:C42"/>
    <mergeCell ref="A29:C29"/>
    <mergeCell ref="A4:C4"/>
    <mergeCell ref="B8:C8"/>
    <mergeCell ref="A20:C20"/>
    <mergeCell ref="A35:C35"/>
    <mergeCell ref="A52:C52"/>
    <mergeCell ref="B44:C44"/>
    <mergeCell ref="A31:C31"/>
    <mergeCell ref="B10:C10"/>
    <mergeCell ref="B28:C28"/>
    <mergeCell ref="A58:C58"/>
    <mergeCell ref="A30:C30"/>
    <mergeCell ref="A39:C39"/>
    <mergeCell ref="A34:C34"/>
    <mergeCell ref="B9:C9"/>
    <mergeCell ref="B40:C40"/>
    <mergeCell ref="A48:C48"/>
    <mergeCell ref="A59:C59"/>
    <mergeCell ref="A24:C24"/>
    <mergeCell ref="A51:C51"/>
    <mergeCell ref="A36:C36"/>
    <mergeCell ref="A49:C49"/>
    <mergeCell ref="A1:C1"/>
    <mergeCell ref="A6:C6"/>
    <mergeCell ref="B45:C45"/>
    <mergeCell ref="B41:C41"/>
    <mergeCell ref="A7:C7"/>
    <mergeCell ref="A54:C5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78" customWidth="1" min="2" max="2"/>
    <col width="40" customWidth="1" min="3" max="3"/>
  </cols>
  <sheetData>
    <row r="1" ht="26" customHeight="1">
      <c r="A1" s="1" t="inlineStr">
        <is>
          <t>Slaughterhouse Outreach — Call Agenda &amp; Question Sheet</t>
        </is>
      </c>
    </row>
    <row r="2" ht="30" customHeight="1">
      <c r="A2" s="2" t="inlineStr">
        <is>
          <t>One sheet per plant. Fill the YELLOW answer cells on the call, then transfer key data to the roster. Mirror of the CJB agenda style.</t>
        </is>
      </c>
    </row>
    <row r="4" ht="20" customHeight="1">
      <c r="A4" s="44" t="inlineStr"/>
      <c r="B4" s="4" t="inlineStr">
        <is>
          <t>Plant / contact</t>
        </is>
      </c>
      <c r="C4" s="47" t="inlineStr"/>
    </row>
    <row r="5" ht="20" customHeight="1">
      <c r="A5" s="44" t="inlineStr"/>
      <c r="B5" s="4" t="inlineStr">
        <is>
          <t>Phone / email</t>
        </is>
      </c>
      <c r="C5" s="47" t="inlineStr"/>
    </row>
    <row r="6" ht="20" customHeight="1">
      <c r="A6" s="44" t="inlineStr"/>
      <c r="B6" s="4" t="inlineStr">
        <is>
          <t>Date of call / caller</t>
        </is>
      </c>
      <c r="C6" s="47" t="inlineStr"/>
    </row>
    <row r="8" ht="20" customHeight="1">
      <c r="A8" s="26" t="inlineStr">
        <is>
          <t>A. HARD GATE — volume &amp; species</t>
        </is>
      </c>
    </row>
    <row r="9" ht="18" customHeight="1">
      <c r="A9" s="37" t="inlineStr">
        <is>
          <t>#</t>
        </is>
      </c>
      <c r="B9" s="37" t="inlineStr">
        <is>
          <t>Question</t>
        </is>
      </c>
      <c r="C9" s="37" t="inlineStr">
        <is>
          <t>Answer / Notes</t>
        </is>
      </c>
    </row>
    <row r="10" ht="30" customHeight="1">
      <c r="A10" s="48" t="n">
        <v>1</v>
      </c>
      <c r="B10" s="5" t="inlineStr">
        <is>
          <t>Do you slaughter HOGS (swine)?  Beef/other only?</t>
        </is>
      </c>
      <c r="C10" s="47" t="inlineStr"/>
    </row>
    <row r="11" ht="30" customHeight="1">
      <c r="A11" s="48" t="n">
        <v>2</v>
      </c>
      <c r="B11" s="5" t="inlineStr">
        <is>
          <t>How many hogs per WEEK do you kill (range across the year)?  Head/day x days?</t>
        </is>
      </c>
      <c r="C11" s="47" t="inlineStr"/>
    </row>
    <row r="12" ht="30" customHeight="1">
      <c r="A12" s="48" t="n">
        <v>3</v>
      </c>
      <c r="B12" s="5" t="inlineStr">
        <is>
          <t>Is that steady year-round, or seasonal? Any capacity to add head for us?</t>
        </is>
      </c>
      <c r="C12" s="47" t="inlineStr"/>
    </row>
    <row r="14" ht="20" customHeight="1">
      <c r="A14" s="26" t="inlineStr">
        <is>
          <t>B. Inspection &amp; certification</t>
        </is>
      </c>
    </row>
    <row r="15" ht="18" customHeight="1">
      <c r="A15" s="37" t="inlineStr">
        <is>
          <t>#</t>
        </is>
      </c>
      <c r="B15" s="37" t="inlineStr">
        <is>
          <t>Question</t>
        </is>
      </c>
      <c r="C15" s="37" t="inlineStr">
        <is>
          <t>Answer / Notes</t>
        </is>
      </c>
    </row>
    <row r="16" ht="30" customHeight="1">
      <c r="A16" s="48" t="n">
        <v>1</v>
      </c>
      <c r="B16" s="5" t="inlineStr">
        <is>
          <t>USDA-inspected (FSIS grant of inspection)?  Establishment number?</t>
        </is>
      </c>
      <c r="C16" s="47" t="inlineStr"/>
    </row>
    <row r="17" ht="30" customHeight="1">
      <c r="A17" s="48" t="n">
        <v>2</v>
      </c>
      <c r="B17" s="5" t="inlineStr">
        <is>
          <t>Or state-inspected?  Or custom-exempt?  (We need to know which.)</t>
        </is>
      </c>
      <c r="C17" s="47" t="inlineStr"/>
    </row>
    <row r="18" ht="30" customHeight="1">
      <c r="A18" s="48" t="n">
        <v>3</v>
      </c>
      <c r="B18" s="5" t="inlineStr">
        <is>
          <t>APHIS certification / any export or animal-health program status?</t>
        </is>
      </c>
      <c r="C18" s="47" t="inlineStr"/>
    </row>
    <row r="19" ht="30" customHeight="1">
      <c r="A19" s="48" t="n">
        <v>4</v>
      </c>
      <c r="B19" s="5" t="inlineStr">
        <is>
          <t>Any recent NRs / recalls / humane-handling actions we should know about?</t>
        </is>
      </c>
      <c r="C19" s="47" t="inlineStr"/>
    </row>
    <row r="21" ht="20" customHeight="1">
      <c r="A21" s="26" t="inlineStr">
        <is>
          <t>C. Tissue &amp; organ harvesting</t>
        </is>
      </c>
    </row>
    <row r="22" ht="18" customHeight="1">
      <c r="A22" s="37" t="inlineStr">
        <is>
          <t>#</t>
        </is>
      </c>
      <c r="B22" s="37" t="inlineStr">
        <is>
          <t>Question</t>
        </is>
      </c>
      <c r="C22" s="37" t="inlineStr">
        <is>
          <t>Answer / Notes</t>
        </is>
      </c>
    </row>
    <row r="23" ht="30" customHeight="1">
      <c r="A23" s="48" t="n">
        <v>1</v>
      </c>
      <c r="B23" s="5" t="inlineStr">
        <is>
          <t>Can we obtain pelvic / abdominal(bariatric) / thoracic tissue blocks — with the organs?</t>
        </is>
      </c>
      <c r="C23" s="47" t="inlineStr"/>
    </row>
    <row r="24" ht="30" customHeight="1">
      <c r="A24" s="48" t="n">
        <v>2</v>
      </c>
      <c r="B24" s="5" t="inlineStr">
        <is>
          <t>Which specific organs are currently saved vs. sent to rendering?</t>
        </is>
      </c>
      <c r="C24" s="47" t="inlineStr"/>
    </row>
    <row r="25" ht="30" customHeight="1">
      <c r="A25" s="48" t="n">
        <v>3</v>
      </c>
      <c r="B25" s="5" t="inlineStr">
        <is>
          <t>Any existing organ/tissue/biologics harvesting program? For whom?</t>
        </is>
      </c>
      <c r="C25" s="47" t="inlineStr"/>
    </row>
    <row r="26" ht="30" customHeight="1">
      <c r="A26" s="48" t="n">
        <v>4</v>
      </c>
      <c r="B26" s="5" t="inlineStr">
        <is>
          <t>Cooler/hanging space and time-to-chill after kill? (freshness/ischemia window)</t>
        </is>
      </c>
      <c r="C26" s="47" t="inlineStr"/>
    </row>
    <row r="28" ht="20" customHeight="1">
      <c r="A28" s="26" t="inlineStr">
        <is>
          <t>D. Operating model fit</t>
        </is>
      </c>
    </row>
    <row r="29" ht="18" customHeight="1">
      <c r="A29" s="37" t="inlineStr">
        <is>
          <t>#</t>
        </is>
      </c>
      <c r="B29" s="37" t="inlineStr">
        <is>
          <t>Question</t>
        </is>
      </c>
      <c r="C29" s="37" t="inlineStr">
        <is>
          <t>Answer / Notes</t>
        </is>
      </c>
    </row>
    <row r="30" ht="30" customHeight="1">
      <c r="A30" s="48" t="n">
        <v>1</v>
      </c>
      <c r="B30" s="5" t="inlineStr">
        <is>
          <t>MODEL A: Would you rent us line/floor access + cooler space so OUR harvesters collect on-site? Scheduling around the kill?</t>
        </is>
      </c>
      <c r="C30" s="47" t="inlineStr"/>
    </row>
    <row r="31" ht="30" customHeight="1">
      <c r="A31" s="48" t="n">
        <v>2</v>
      </c>
      <c r="B31" s="5" t="inlineStr">
        <is>
          <t>MODEL B: Would YOUR crew harvest to our protocol if we send trainers/inspectors? Willing to be audited?</t>
        </is>
      </c>
      <c r="C31" s="47" t="inlineStr"/>
    </row>
    <row r="32" ht="30" customHeight="1">
      <c r="A32" s="48" t="n">
        <v>3</v>
      </c>
      <c r="B32" s="5" t="inlineStr">
        <is>
          <t>Space, PPE, biosecurity, and scheduling constraints for either model?</t>
        </is>
      </c>
      <c r="C32" s="47" t="inlineStr"/>
    </row>
    <row r="34" ht="20" customHeight="1">
      <c r="A34" s="26" t="inlineStr">
        <is>
          <t>E. Culture &amp; workforce (the Nahunta test)</t>
        </is>
      </c>
    </row>
    <row r="35" ht="18" customHeight="1">
      <c r="A35" s="37" t="inlineStr">
        <is>
          <t>#</t>
        </is>
      </c>
      <c r="B35" s="37" t="inlineStr">
        <is>
          <t>Question</t>
        </is>
      </c>
      <c r="C35" s="37" t="inlineStr">
        <is>
          <t>Answer / Notes</t>
        </is>
      </c>
    </row>
    <row r="36" ht="30" customHeight="1">
      <c r="A36" s="48" t="n">
        <v>1</v>
      </c>
      <c r="B36" s="5" t="inlineStr">
        <is>
          <t>How long have your line/kill-floor staff been with you (tenure)?</t>
        </is>
      </c>
      <c r="C36" s="47" t="inlineStr"/>
    </row>
    <row r="37" ht="30" customHeight="1">
      <c r="A37" s="48" t="n">
        <v>2</v>
      </c>
      <c r="B37" s="5" t="inlineStr">
        <is>
          <t>Family-owned? How do you handle animal welfare &amp; humane handling?</t>
        </is>
      </c>
      <c r="C37" s="47" t="inlineStr"/>
    </row>
    <row r="38" ht="30" customHeight="1">
      <c r="A38" s="48" t="n">
        <v>3</v>
      </c>
      <c r="B38" s="5" t="inlineStr">
        <is>
          <t>When we've had quality issues elsewhere it was hard to resolve — how do you handle a quality complaint?</t>
        </is>
      </c>
      <c r="C38" s="47" t="inlineStr"/>
    </row>
    <row r="40" ht="20" customHeight="1">
      <c r="A40" s="26" t="inlineStr">
        <is>
          <t>F. Commercial</t>
        </is>
      </c>
    </row>
    <row r="41" ht="18" customHeight="1">
      <c r="A41" s="37" t="inlineStr">
        <is>
          <t>#</t>
        </is>
      </c>
      <c r="B41" s="37" t="inlineStr">
        <is>
          <t>Question</t>
        </is>
      </c>
      <c r="C41" s="37" t="inlineStr">
        <is>
          <t>Answer / Notes</t>
        </is>
      </c>
    </row>
    <row r="42" ht="30" customHeight="1">
      <c r="A42" s="48" t="n">
        <v>1</v>
      </c>
      <c r="B42" s="5" t="inlineStr">
        <is>
          <t>Pricing: per-visit access/rental (Model A) or per-piece harvest fee (Model B)?</t>
        </is>
      </c>
      <c r="C42" s="47" t="inlineStr"/>
    </row>
    <row r="43" ht="30" customHeight="1">
      <c r="A43" s="48" t="n">
        <v>2</v>
      </c>
      <c r="B43" s="5" t="inlineStr">
        <is>
          <t>Minimums, lead time, and how far ahead we must schedule?</t>
        </is>
      </c>
      <c r="C43" s="47" t="inlineStr"/>
    </row>
    <row r="44" ht="30" customHeight="1">
      <c r="A44" s="48" t="n">
        <v>3</v>
      </c>
      <c r="B44" s="5" t="inlineStr">
        <is>
          <t>NDA needed before we share our harvesting protocol?</t>
        </is>
      </c>
      <c r="C44" s="47" t="inlineStr"/>
    </row>
    <row r="46" ht="20" customHeight="1">
      <c r="A46" s="26" t="inlineStr">
        <is>
          <t>G. EU-EXPORT ELIGIBILITY — APHIS / animal by-products (ask if models go to Europe)</t>
        </is>
      </c>
    </row>
    <row r="47" ht="18" customHeight="1">
      <c r="A47" s="37" t="inlineStr">
        <is>
          <t>#</t>
        </is>
      </c>
      <c r="B47" s="37" t="inlineStr">
        <is>
          <t>Question</t>
        </is>
      </c>
      <c r="C47" s="37" t="inlineStr">
        <is>
          <t>Answer / Notes</t>
        </is>
      </c>
    </row>
    <row r="48" ht="30" customHeight="1">
      <c r="A48" s="48" t="n">
        <v>1</v>
      </c>
      <c r="B48" s="5" t="inlineStr">
        <is>
          <t>Are you already APHIS-approved and on the EU TRACES establishment list for animal-byproduct export? If not, willing to apply via APHIS VS?</t>
        </is>
      </c>
      <c r="C48" s="47" t="inlineStr"/>
    </row>
    <row r="49" ht="30" customHeight="1">
      <c r="A49" s="48" t="n">
        <v>2</v>
      </c>
      <c r="B49" s="5" t="inlineStr">
        <is>
          <t>Can you document ante-mortem AND post-mortem veterinary inspection of the animals?</t>
        </is>
      </c>
      <c r="C49" s="47" t="inlineStr"/>
    </row>
    <row r="50" ht="30" customHeight="1">
      <c r="A50" s="48" t="n">
        <v>3</v>
      </c>
      <c r="B50" s="5" t="inlineStr">
        <is>
          <t>Can you provide the source declarations/affidavits APHIS needs to endorse an EU health certificate, with per-lot documentation?</t>
        </is>
      </c>
      <c r="C50" s="47" t="inlineStr"/>
    </row>
    <row r="51" ht="30" customHeight="1">
      <c r="A51" s="48" t="n">
        <v>4</v>
      </c>
      <c r="B51" s="5" t="inlineStr">
        <is>
          <t>Lot-level traceability (live animal -&gt; tissue -&gt; shipment) and geographical-origin records retained?</t>
        </is>
      </c>
      <c r="C51" s="47" t="inlineStr"/>
    </row>
    <row r="52" ht="30" customHeight="1">
      <c r="A52" s="48" t="n">
        <v>5</v>
      </c>
      <c r="B52" s="5" t="inlineStr">
        <is>
          <t>Willing to support APHIS facility audits and (if a device) notified-body / ISO 22442 documentation?</t>
        </is>
      </c>
      <c r="C52" s="47" t="inlineStr"/>
    </row>
  </sheetData>
  <mergeCells count="9">
    <mergeCell ref="A28:C28"/>
    <mergeCell ref="A1:C1"/>
    <mergeCell ref="A46:C46"/>
    <mergeCell ref="A14:C14"/>
    <mergeCell ref="A8:C8"/>
    <mergeCell ref="A40:C40"/>
    <mergeCell ref="A21:C21"/>
    <mergeCell ref="A34:C34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2" customWidth="1" min="2" max="2"/>
    <col width="13" customWidth="1" min="3" max="3"/>
    <col width="60" customWidth="1" min="4" max="4"/>
  </cols>
  <sheetData>
    <row r="1" ht="26" customHeight="1">
      <c r="A1" s="1" t="inlineStr">
        <is>
          <t>Sources &amp; Confidence</t>
        </is>
      </c>
    </row>
    <row r="2" ht="30" customHeight="1">
      <c r="A2" s="2" t="inlineStr">
        <is>
          <t>Where each class of fact came from, and how much to trust it before acting. Verify volumes/certs by phone.</t>
        </is>
      </c>
    </row>
    <row r="4" ht="20" customHeight="1">
      <c r="A4" s="37" t="inlineStr">
        <is>
          <t>Topic / entity</t>
        </is>
      </c>
      <c r="B4" s="37" t="inlineStr">
        <is>
          <t>Source</t>
        </is>
      </c>
      <c r="C4" s="37" t="inlineStr">
        <is>
          <t>Confidence</t>
        </is>
      </c>
      <c r="D4" s="37" t="inlineStr">
        <is>
          <t>Note</t>
        </is>
      </c>
    </row>
    <row r="5" ht="34" customHeight="1">
      <c r="A5" s="13" t="inlineStr">
        <is>
          <t>National vendor prices</t>
        </is>
      </c>
      <c r="B5" s="5" t="inlineStr">
        <is>
          <t>innov-research.com porcine product pages (heart/lung/kidney/bladder/liver/stomach/pelvic-block)</t>
        </is>
      </c>
      <c r="C5" s="49" t="inlineStr">
        <is>
          <t>High</t>
        </is>
      </c>
      <c r="D5" s="5" t="inlineStr">
        <is>
          <t>Only vendor with published per-organ list prices: from $141/organ, pelvic block from $582 (base configs).</t>
        </is>
      </c>
    </row>
    <row r="6" ht="34" customHeight="1">
      <c r="A6" s="13" t="inlineStr">
        <is>
          <t>Pel-Freez thyroid price</t>
        </is>
      </c>
      <c r="B6" s="5" t="inlineStr">
        <is>
          <t>pel-freez.com/pig-thyroid-59452</t>
        </is>
      </c>
      <c r="C6" s="49" t="inlineStr">
        <is>
          <t>High</t>
        </is>
      </c>
      <c r="D6" s="5" t="inlineStr">
        <is>
          <t>Porcine thyroid #59452 from $361; other porcine organ prices not individually verified.</t>
        </is>
      </c>
    </row>
    <row r="7" ht="34" customHeight="1">
      <c r="A7" s="13" t="inlineStr">
        <is>
          <t>Animal Technologies</t>
        </is>
      </c>
      <c r="B7" s="5" t="inlineStr">
        <is>
          <t>animaltechnologies.com/porcine</t>
        </is>
      </c>
      <c r="C7" s="49" t="inlineStr">
        <is>
          <t>High</t>
        </is>
      </c>
      <c r="D7" s="5" t="inlineStr">
        <is>
          <t>Broad catalog, plucks for training; prices quote-only.</t>
        </is>
      </c>
    </row>
    <row r="8" ht="34" customHeight="1">
      <c r="A8" s="13" t="inlineStr">
        <is>
          <t>Animal Biotech Industries</t>
        </is>
      </c>
      <c r="B8" s="5" t="inlineStr">
        <is>
          <t>animalbiotech.com/porcine-tissues</t>
        </is>
      </c>
      <c r="C8" s="49" t="inlineStr">
        <is>
          <t>High</t>
        </is>
      </c>
      <c r="D8" s="5" t="inlineStr">
        <is>
          <t>USDA-inspected sourcing; custom blocks; quote-only.</t>
        </is>
      </c>
    </row>
    <row r="9" ht="34" customHeight="1">
      <c r="A9" s="13" t="inlineStr">
        <is>
          <t>Tissue Source</t>
        </is>
      </c>
      <c r="B9" s="5" t="inlineStr">
        <is>
          <t>tissue-source.com</t>
        </is>
      </c>
      <c r="C9" s="49" t="inlineStr">
        <is>
          <t>High</t>
        </is>
      </c>
      <c r="D9" s="5" t="inlineStr">
        <is>
          <t>ISO 13485 + USDA Class A license — strongest QMS among vendors; quote-only.</t>
        </is>
      </c>
    </row>
    <row r="10" ht="34" customHeight="1">
      <c r="A10" s="13" t="inlineStr">
        <is>
          <t>Smithfield BioScience</t>
        </is>
      </c>
      <c r="B10" s="5" t="inlineStr">
        <is>
          <t>smithfieldbioscience.com/products/porcine</t>
        </is>
      </c>
      <c r="C10" s="49" t="inlineStr">
        <is>
          <t>High</t>
        </is>
      </c>
      <c r="D10" s="5" t="inlineStr">
        <is>
          <t>Packer-integrated; quote-only.</t>
        </is>
      </c>
    </row>
    <row r="11" ht="34" customHeight="1">
      <c r="A11" s="13" t="inlineStr">
        <is>
          <t>WG Biomedical</t>
        </is>
      </c>
      <c r="B11" s="5" t="inlineStr">
        <is>
          <t>wgbiomedical.com</t>
        </is>
      </c>
      <c r="C11" s="49" t="inlineStr">
        <is>
          <t>High</t>
        </is>
      </c>
      <c r="D11" s="5" t="inlineStr">
        <is>
          <t>Iowa; pig pluck &amp; surgical-training organs; quote-only.</t>
        </is>
      </c>
    </row>
    <row r="12" ht="34" customHeight="1">
      <c r="A12" s="13" t="inlineStr">
        <is>
          <t>LAMPIRE / BioChemed / BioIVT / Sierra / SSR / MRS</t>
        </is>
      </c>
      <c r="B12" s="5" t="inlineStr">
        <is>
          <t>respective vendor sites (see National tab)</t>
        </is>
      </c>
      <c r="C12" s="49" t="inlineStr">
        <is>
          <t>High</t>
        </is>
      </c>
      <c r="D12" s="5" t="inlineStr">
        <is>
          <t>All genuinely quote-only; no invented prices.</t>
        </is>
      </c>
    </row>
    <row r="13" ht="34" customHeight="1">
      <c r="A13" s="13" t="inlineStr">
        <is>
          <t>Cross-off leads</t>
        </is>
      </c>
      <c r="B13" s="5" t="inlineStr">
        <is>
          <t>premierbiosource.com; sciencecare.com; zivic listing</t>
        </is>
      </c>
      <c r="C13" s="49" t="inlineStr">
        <is>
          <t>High</t>
        </is>
      </c>
      <c r="D13" s="5" t="inlineStr">
        <is>
          <t>Premier=live swine; Science Care=human; Zivic=rodent — all out of scope as porcine tissue vendors.</t>
        </is>
      </c>
    </row>
    <row r="14" ht="34" customHeight="1">
      <c r="A14" s="13" t="inlineStr">
        <is>
          <t>NC plant directory</t>
        </is>
      </c>
      <c r="B14" s="5" t="inlineStr">
        <is>
          <t>NCDA&amp;CS Meat &amp; Poultry Inspection 'plants that slaughter for farmers' (via cefs.ncsu.edu PDF, dated Oct 2018); div. 919-707-3180</t>
        </is>
      </c>
      <c r="C14" s="50" t="inlineStr">
        <is>
          <t>Med</t>
        </is>
      </c>
      <c r="D14" s="5" t="inlineStr">
        <is>
          <t>Backbone of the NC list. Dated 2018 — confirm current operating status/volumes by phone. USDA-vs-state status verified only where noted.</t>
        </is>
      </c>
    </row>
    <row r="15" ht="34" customHeight="1">
      <c r="A15" s="13" t="inlineStr">
        <is>
          <t>Martin's Pork Products (incumbent)</t>
        </is>
      </c>
      <c r="B15" s="5" t="inlineStr">
        <is>
          <t>NCDA&amp;CS Talmadge-Aiken plant directory (Est. TA-6720); ncmpa.com; D&amp;B/Manta; martinspork.com</t>
        </is>
      </c>
      <c r="C15" s="49" t="inlineStr">
        <is>
          <t>High</t>
        </is>
      </c>
      <c r="D15" s="5" t="inlineStr">
        <is>
          <t>CORRECTED to Martin's Pork Products, Falcon NC — active USDA T-A slaughter+processing, ~75 staff, (910) 980-1501, beth@martinspork.com. Distinct from the closed Martin's Abattoir (Godwin, cattle, closed 2013).</t>
        </is>
      </c>
    </row>
    <row r="16" ht="34" customHeight="1">
      <c r="A16" s="13" t="inlineStr">
        <is>
          <t>Nahunta</t>
        </is>
      </c>
      <c r="B16" s="5" t="inlineStr">
        <is>
          <t>southernfoodways.org; nahuntapork.com; bitandgrain.com</t>
        </is>
      </c>
      <c r="C16" s="49" t="inlineStr">
        <is>
          <t>High</t>
        </is>
      </c>
      <c r="D16" s="5" t="inlineStr">
        <is>
          <t>Nahunta = NC STATE-inspected (not USDA-FSIS), ~150 hogs/day, 3rd-gen Pierce family.</t>
        </is>
      </c>
    </row>
    <row r="17" ht="34" customHeight="1">
      <c r="A17" s="13" t="inlineStr">
        <is>
          <t>SC facilities</t>
        </is>
      </c>
      <c r="B17" s="5" t="inlineStr">
        <is>
          <t>caughmans.com; knockoutbutchery.com; FSIS notice (Palmetto Fresh suspension); Clemson SCMPID lists (803-788-8747)</t>
        </is>
      </c>
      <c r="C17" s="50" t="inlineStr">
        <is>
          <t>Med</t>
        </is>
      </c>
      <c r="D17" s="5" t="inlineStr">
        <is>
          <t>Caughman's USDA + family verified; several SC 'deer &amp; hog' shops likely custom-exempt — flag. Palmetto Fresh slaughter suspended Feb 2022.</t>
        </is>
      </c>
    </row>
    <row r="18" ht="34" customHeight="1">
      <c r="A18" s="13" t="inlineStr">
        <is>
          <t>TN facilities</t>
        </is>
      </c>
      <c r="B18" s="5" t="inlineStr">
        <is>
          <t>UT Center for Profitable Agriculture USDA-processor list (cpa.tennessee.edu); company sites</t>
        </is>
      </c>
      <c r="C18" s="50" t="inlineStr">
        <is>
          <t>Med</t>
        </is>
      </c>
      <c r="D18" s="5" t="inlineStr">
        <is>
          <t>13 USDA hog-slaughter shops listed. Cherry Meat ~80 hogs/month verified. Most well under a few hundred/wk — confirm.</t>
        </is>
      </c>
    </row>
    <row r="19" ht="34" customHeight="1">
      <c r="A19" s="13" t="inlineStr">
        <is>
          <t>VA facilities</t>
        </is>
      </c>
      <c r="B19" s="5" t="inlineStr">
        <is>
          <t>ecofriendly.com; temeats.com; blueridgemeats.com; FSIS listing (Fauquier's); VDACS (omps@vdacs.virginia.gov, 804-786-4569); vabeef.org</t>
        </is>
      </c>
      <c r="C19" s="49" t="inlineStr">
        <is>
          <t>High</t>
        </is>
      </c>
      <c r="D19" s="5" t="inlineStr">
        <is>
          <t>EcoFriendly Certified Humane; T&amp;E + Blue Ridge AWA — all verified USDA + hog slaughter. Strongest welfare bench.</t>
        </is>
      </c>
    </row>
    <row r="20" ht="34" customHeight="1">
      <c r="A20" s="13" t="inlineStr">
        <is>
          <t>Iowa / Midwest</t>
        </is>
      </c>
      <c r="B20" s="5" t="inlineStr">
        <is>
          <t>postbulletin.com (MRS); smithfieldbioscience.com; proteinintel.com (FSIS est. data); lorentzmeats.com; sigiowa.com; eickmans.com</t>
        </is>
      </c>
      <c r="C20" s="49" t="inlineStr">
        <is>
          <t>Med-High</t>
        </is>
      </c>
      <c r="D20" s="5" t="inlineStr">
        <is>
          <t>MRS ~20k/yr verified; Smithfield BioScience organ program verified. Large-packer biologics programs (Seaboard/Prestage/Wholestone) NOT confirmed — do not assume.</t>
        </is>
      </c>
    </row>
    <row r="21" ht="34" customHeight="1">
      <c r="A21" s="13" t="inlineStr">
        <is>
          <t>Authoritative confirmation source</t>
        </is>
      </c>
      <c r="B21" s="5" t="inlineStr">
        <is>
          <t>USDA FSIS MPI Directory + Establishment Demographic Data — fsis.usda.gov/inspection/establishments</t>
        </is>
      </c>
      <c r="C21" s="49" t="inlineStr">
        <is>
          <t>High</t>
        </is>
      </c>
      <c r="D21" s="5" t="inlineStr">
        <is>
          <t>Lists species slaughtered + size class per establishment, updated weekly. FSIS blocked automated fetches (Akamai 403) — pull via browser or the 'USDA MPI Directory' mobile app.</t>
        </is>
      </c>
    </row>
    <row r="22" ht="34" customHeight="1">
      <c r="A22" s="13" t="inlineStr">
        <is>
          <t>APHIS vs FSIS vs state inspection</t>
        </is>
      </c>
      <c r="B22" s="5" t="inlineStr">
        <is>
          <t>aphis.usda.gov/animal-product-export (IREGS); fsis.usda.gov/inspection/import-export</t>
        </is>
      </c>
      <c r="C22" s="49" t="inlineStr">
        <is>
          <t>High</t>
        </is>
      </c>
      <c r="D22" s="5" t="inlineStr">
        <is>
          <t>Three distinct regimes. APHIS Veterinary Services (not FSIS) is the export pathway for non-food tissue; a state-inspected plant is NOT disqualified from it.</t>
        </is>
      </c>
    </row>
    <row r="23" ht="34" customHeight="1">
      <c r="A23" s="13" t="inlineStr">
        <is>
          <t>EU animal by-products law</t>
        </is>
      </c>
      <c r="B23" s="5" t="inlineStr">
        <is>
          <t>EUR-Lex Reg (EC) 1069/2009; Reg (EU) 142/2011 (legislation.gov.uk consolidated); Annex XIV via Reg (EU) 2022/384</t>
        </is>
      </c>
      <c r="C23" s="49" t="inlineStr">
        <is>
          <t>High</t>
        </is>
      </c>
      <c r="D23" s="5" t="inlineStr">
        <is>
          <t>Governs import of porcine tissue not for human consumption. Typically Category 3; US is a listed third country; origin establishment must be APHIS-listed on TRACES; APHIS-VS-endorsed model health certificate required.</t>
        </is>
      </c>
    </row>
    <row r="24" ht="34" customHeight="1">
      <c r="A24" s="13" t="inlineStr">
        <is>
          <t>EU medical-device angle</t>
        </is>
      </c>
      <c r="B24" s="5" t="inlineStr">
        <is>
          <t>MDR (EU) 2017/745 Annex I 13.1; Reg (EU) 722/2012 (legislation.gov.uk); ISO 22442 (practice)</t>
        </is>
      </c>
      <c r="C24" s="49" t="inlineStr">
        <is>
          <t>High</t>
        </is>
      </c>
      <c r="D24" s="5" t="inlineStr">
        <is>
          <t>722/2012 (TSE) does NOT cover porcine (bovine/ovine/caprine/deer/elk/mink/cats only). Porcine devices fall under MDR general animal-origin requirements. A training 'model' may not be a device at all — classification call for a specialist/notified body.</t>
        </is>
      </c>
    </row>
    <row r="25" ht="34" customHeight="1">
      <c r="A25" s="13" t="inlineStr">
        <is>
          <t>APHIS / EU — caveat</t>
        </is>
      </c>
      <c r="B25" s="5" t="inlineStr">
        <is>
          <t>APHIS VS Field Operations / Veterinary Export Trade Services; EU importer; notified body</t>
        </is>
      </c>
      <c r="C25" s="50" t="inlineStr">
        <is>
          <t>Med</t>
        </is>
      </c>
      <c r="D25" s="5" t="inlineStr">
        <is>
          <t>NOT legal advice. Exact ABP category, CN code, and 142/2011 model certificate must be confirmed per product line with APHIS VS and a customs/regulatory specialist.</t>
        </is>
      </c>
    </row>
    <row r="26" ht="34" customHeight="1">
      <c r="A26" s="13" t="inlineStr">
        <is>
          <t>USDA/FSIS enforcement (per facility)</t>
        </is>
      </c>
      <c r="B26" s="5" t="inlineStr">
        <is>
          <t>FSIS Quarterly Enforcement Reports &amp; NOS/NOIE PDFs; AWI Humane Slaughter suspension list; PETA/ASPCA releases; local news</t>
        </is>
      </c>
      <c r="C26" s="49" t="inlineStr">
        <is>
          <t>Med-High</t>
        </is>
      </c>
      <c r="D26" s="5" t="inlineStr">
        <is>
          <t>Verified humane-handling actions at several plants (roster ⚠ column). FSIS pages Akamai-blocked to automation; findings via search snippets + secondary sources. 'None found' ≠ verified-clean; airtight confirmation needs a FOIA / direct QER query by establishment #.</t>
        </is>
      </c>
    </row>
    <row r="27" ht="34" customHeight="1">
      <c r="A27" s="13" t="inlineStr">
        <is>
          <t>Export / APHIS lookup sites</t>
        </is>
      </c>
      <c r="B27" s="5" t="inlineStr">
        <is>
          <t>FSIS 'Eligible Establishments by Country' + EU page; FSIS MPI directory; APHIS Export-to-EU (VS); EU TRACES-NT; usda-eu.org</t>
        </is>
      </c>
      <c r="C27" s="49" t="inlineStr">
        <is>
          <t>High</t>
        </is>
      </c>
      <c r="D27" s="5" t="inlineStr">
        <is>
          <t>The authoritative places to check export/APHIS listing yourself (see 'APHIS &amp; EU Export' tab). No facility confirmed EU/APHIS-listed for research tissue; 6 large plants FSIS export-certified for edible meat only.</t>
        </is>
      </c>
    </row>
    <row r="28" ht="34" customHeight="1">
      <c r="A28" s="13" t="inlineStr">
        <is>
          <t>National vendors × EU export</t>
        </is>
      </c>
      <c r="B28" s="5" t="inlineStr">
        <is>
          <t>Vendor sites (ISO/USDA claims); Reg (EC) 1069/2009 &amp; (EU) 142/2011; MDR Annex I 13.1 / ISO 22442</t>
        </is>
      </c>
      <c r="C28" s="49" t="inlineStr">
        <is>
          <t>Med-High</t>
        </is>
      </c>
      <c r="D28" s="5" t="inlineStr">
        <is>
          <t>Innovative Research RUO labeling = likely EU blocker. Tissue Source / Smithfield BioScience / MRS / SSR best-positioned; all still need establishment-level APHIS/TRACES confirmation + VS health certs.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2026-07-28T14:04:57Z</dcterms:created>
  <dcterms:modified xsi:type="dcterms:W3CDTF">2026-07-28T14:04:57Z</dcterms:modified>
</cp:coreProperties>
</file>