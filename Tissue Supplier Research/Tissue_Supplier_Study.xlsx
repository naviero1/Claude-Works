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Overview &amp; Method" sheetId="2" state="visible" r:id="rId2"/>
    <sheet xmlns:r="http://schemas.openxmlformats.org/officeDocument/2006/relationships" name="Meeting Notes 2026-08" sheetId="3" state="visible" r:id="rId3"/>
    <sheet xmlns:r="http://schemas.openxmlformats.org/officeDocument/2006/relationships" name="Current Base (benchmarks)" sheetId="4" state="visible" r:id="rId4"/>
    <sheet xmlns:r="http://schemas.openxmlformats.org/officeDocument/2006/relationships" name="Supplier Roster" sheetId="5" state="visible" r:id="rId5"/>
    <sheet xmlns:r="http://schemas.openxmlformats.org/officeDocument/2006/relationships" name="Rated Candidates" sheetId="6" state="visible" r:id="rId6"/>
    <sheet xmlns:r="http://schemas.openxmlformats.org/officeDocument/2006/relationships" name="Call Questionnaire" sheetId="7" state="visible" r:id="rId7"/>
    <sheet xmlns:r="http://schemas.openxmlformats.org/officeDocument/2006/relationships" name="Visit Agenda" sheetId="8" state="visible" r:id="rId8"/>
    <sheet xmlns:r="http://schemas.openxmlformats.org/officeDocument/2006/relationships" name="Anatomical Spec" sheetId="9" state="visible" r:id="rId9"/>
    <sheet xmlns:r="http://schemas.openxmlformats.org/officeDocument/2006/relationships" name="TCO Calculator" sheetId="10" state="visible" r:id="rId10"/>
    <sheet xmlns:r="http://schemas.openxmlformats.org/officeDocument/2006/relationships" name="Models &amp; Make-vs-Buy" sheetId="11" state="visible" r:id="rId11"/>
    <sheet xmlns:r="http://schemas.openxmlformats.org/officeDocument/2006/relationships" name="APHIS &amp; EU Export" sheetId="12" state="visible" r:id="rId12"/>
    <sheet xmlns:r="http://schemas.openxmlformats.org/officeDocument/2006/relationships" name="National Direct Suppliers" sheetId="13" state="visible" r:id="rId13"/>
    <sheet xmlns:r="http://schemas.openxmlformats.org/officeDocument/2006/relationships"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5"/>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98.8"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NOTE (Beebop v2.1): the ChatGPT brief reads '120 miles' as a RADIUS (straight-line) with road miles as logistics only — under that reading EcoFriendly (92.6 radial) is inside. This workbook keeps ROAD miles as the Model A screen because the crew drives it; radial figures are shown where Beebop supplied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58.6" customHeight="1" s="59">
      <c r="A38" s="160" t="inlineStr">
        <is>
          <t>Volume &amp; data</t>
        </is>
      </c>
      <c r="B38"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52.4" customHeight="1" s="59">
      <c r="A40" s="160" t="inlineStr">
        <is>
          <t>Commercial &amp; internal</t>
        </is>
      </c>
      <c r="B40"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1" ht="19.7" customHeight="1" s="59">
      <c r="A41" s="176" t="inlineStr">
        <is>
          <t>8 · SOURCES POLICY</t>
        </is>
      </c>
      <c r="B41" s="172" t="n"/>
    </row>
    <row r="42" ht="98.8" customHeight="1" s="59">
      <c r="A42" s="160" t="inlineStr">
        <is>
          <t>Order of trust</t>
        </is>
      </c>
      <c r="B42"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t>
        </is>
      </c>
    </row>
    <row r="43" ht="19.7" customHeight="1" s="59">
      <c r="A43" s="176" t="inlineStr">
        <is>
          <t>9 · WHO EDITS WHAT</t>
        </is>
      </c>
      <c r="B43" s="172" t="n"/>
    </row>
    <row r="44" ht="45.2" customHeight="1" s="59">
      <c r="A44" s="160" t="inlineStr">
        <is>
          <t>The team (by role)</t>
        </is>
      </c>
      <c r="B44"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5" ht="18.4" customHeight="1" s="59">
      <c r="A45" s="160" t="inlineStr">
        <is>
          <t>Research (dated)</t>
        </is>
      </c>
      <c r="B45" s="154" t="inlineStr">
        <is>
          <t>Everything else. Correct a fact by editing the cell and noting the date — the same convention every prior pass used.</t>
        </is>
      </c>
    </row>
  </sheetData>
  <mergeCells count="11">
    <mergeCell ref="A4:B4"/>
    <mergeCell ref="A2:B2"/>
    <mergeCell ref="A7:B7"/>
    <mergeCell ref="A43:B43"/>
    <mergeCell ref="A41:B41"/>
    <mergeCell ref="A14:B14"/>
    <mergeCell ref="A1:B1"/>
    <mergeCell ref="A18:B18"/>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 BOAR/STAG flagged (FSIS)
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179.2"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3" t="inlineStr">
        <is>
          <t>CAUTION
(boar/stag)</t>
        </is>
      </c>
      <c r="Q9" s="178" t="inlineStr">
        <is>
          <t>BOAR/STAG RULE 9-28: FSIS flags boar/stag slaughter at this plant — AVOID unless the call confirms boars/stags are never run with our hogs (gate G4). ★ TIER 1 — best host structure + best welfare story (AWA / Temple Grandin), all four hog classes, inside the radius at 116 mi. Their disposal fee suggests viscera are discarded today — confirm which organs, and who owns them.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t>
        </is>
      </c>
    </row>
    <row r="10" ht="125.6"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
· HACCP Very Small (&lt;10 employees or &lt;$2.5M sales)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19.4" customHeight="1" s="59">
      <c r="A11" s="82" t="inlineStr">
        <is>
          <t>Custom Quality Packers, LLC</t>
        </is>
      </c>
      <c r="B11" s="83" t="inlineStr">
        <is>
          <t>Sims, NC</t>
        </is>
      </c>
      <c r="C11" s="83" t="inlineStr">
        <is>
          <t>Slaughter (USDA/NCDA unclear)</t>
        </is>
      </c>
      <c r="D11" s="83" t="inlineStr">
        <is>
          <t>~500/wk
(company-stated, mtg 2026-08)
FSIS cat 3 → 194-1,944/wk
· HACCP Small (10-499 employees)</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72" customHeight="1" s="59">
      <c r="A13" s="4" t="inlineStr">
        <is>
          <t>Wayne Mays Meat Processing</t>
        </is>
      </c>
      <c r="B13" s="68" t="inlineStr">
        <is>
          <t>Taylorsville, NC</t>
        </is>
      </c>
      <c r="C13" s="68" t="inlineStr">
        <is>
          <t>USDA-inspected</t>
        </is>
      </c>
      <c r="D13" s="68" t="inlineStr">
        <is>
          <t>&lt;19/wk
(FSIS cat 1)
· HACCP Small (10-499 employees)</t>
        </is>
      </c>
      <c r="E13" s="110" t="inlineStr">
        <is>
          <t>NO · ~142 mi ≈
(Pikeville: ~218 mi)</t>
        </is>
      </c>
      <c r="F13" s="139" t="inlineStr">
        <is>
          <t>0-300/wk (&lt;19)</t>
        </is>
      </c>
      <c r="G13" s="68" t="inlineStr">
        <is>
          <t>⚠ BOAR/STAG flagged (FSIS)
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BOAR/STAG RULE 9-28: FSIS flags boar/stag slaughter at this plant — AVOID unless the call confirms boars/stags are never run with our hogs (gate G4). 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65.8" customHeight="1" s="59">
      <c r="A14" s="138" t="inlineStr">
        <is>
          <t>M.L. Mitchell &amp; Son
(FSIS lists Mitchell's Meat Processing, LLC)</t>
        </is>
      </c>
      <c r="B14" s="68" t="inlineStr">
        <is>
          <t>Walnut Cove, NC</t>
        </is>
      </c>
      <c r="C14" s="68" t="inlineStr">
        <is>
          <t>USDA-inspected</t>
        </is>
      </c>
      <c r="D14" s="68" t="inlineStr">
        <is>
          <t>&lt;19/wk
(FSIS cat 1)
· HACCP Very Small (&lt;10 employees or &lt;$2.5M sales)</t>
        </is>
      </c>
      <c r="E14" s="88" t="inlineStr">
        <is>
          <t>YES · ~85 mi ≈
(Pikeville: ~160 mi)</t>
        </is>
      </c>
      <c r="F14" s="139" t="inlineStr">
        <is>
          <t>0-300/wk (&lt;19)</t>
        </is>
      </c>
      <c r="G14" s="68" t="inlineStr">
        <is>
          <t>⚠ BOAR/STAG flagged (FSIS)
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BOAR/STAG RULE 9-28: FSIS flags boar/stag slaughter at this plant — AVOID unless the call confirms boars/stags are never run with our hogs (gate G4). 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t>
        </is>
      </c>
    </row>
    <row r="15" ht="98.8"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~19-194/wk
(FSIS cat 2 ceiling)
· HACCP Very Small (&lt;10 employees or &lt;$2.5M sales)</t>
        </is>
      </c>
      <c r="E17" s="110" t="inlineStr">
        <is>
          <t>NO · ~134 mi ≈
(Pikeville: ~209 mi)</t>
        </is>
      </c>
      <c r="F17" s="139" t="inlineStr">
        <is>
          <t>0-300/wk
(est. 10-95 hogs)</t>
        </is>
      </c>
      <c r="G17" s="68" t="inlineStr">
        <is>
          <t>⚠ BOAR/STAG flagged (FSIS)
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BOAR/STAG RULE 9-28: FSIS flags boar/stag slaughter at this plant — AVOID unless the call confirms boars/stags are never run with our hogs (gate G4). 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72" customHeight="1" s="59">
      <c r="A18" s="4" t="inlineStr">
        <is>
          <t>Cruse Meat Processing</t>
        </is>
      </c>
      <c r="B18" s="68" t="inlineStr">
        <is>
          <t>Concord, NC</t>
        </is>
      </c>
      <c r="C18" s="68" t="inlineStr">
        <is>
          <t>Slaughter</t>
        </is>
      </c>
      <c r="D18" s="68" t="inlineStr">
        <is>
          <t>&lt;19/wk
(FSIS cat 1)
· HACCP Very Small (&lt;10 employees or &lt;$2.5M sales)</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72" customHeight="1" s="59">
      <c r="A19" s="4" t="inlineStr">
        <is>
          <t>Triad Meat Custom Processing</t>
        </is>
      </c>
      <c r="B19" s="68" t="inlineStr">
        <is>
          <t>Madison, NC</t>
        </is>
      </c>
      <c r="C19" s="68" t="inlineStr">
        <is>
          <t>Slaughter</t>
        </is>
      </c>
      <c r="D19" s="68" t="inlineStr">
        <is>
          <t>n/a — no swine
· HACCP Very Small (&lt;10 employees or &lt;$2.5M sales)</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72" customHeight="1" s="59">
      <c r="A20" s="4" t="inlineStr">
        <is>
          <t>Wells, Jenkins &amp; Wells Abattoir</t>
        </is>
      </c>
      <c r="B20" s="68" t="inlineStr">
        <is>
          <t>Forest City, NC</t>
        </is>
      </c>
      <c r="C20" s="68" t="inlineStr">
        <is>
          <t>Slaughter</t>
        </is>
      </c>
      <c r="D20" s="68" t="inlineStr">
        <is>
          <t>~19-194/wk
(FSIS cat 2 ceiling)
· HACCP Very Small (&lt;10 employees or &lt;$2.5M sales)</t>
        </is>
      </c>
      <c r="E20" s="110" t="inlineStr">
        <is>
          <t>NO · ~203 mi ≈
(Pikeville: ~278 mi)</t>
        </is>
      </c>
      <c r="F20" s="139" t="inlineStr">
        <is>
          <t>0-300/wk (≤194)</t>
        </is>
      </c>
      <c r="G20" s="68" t="inlineStr">
        <is>
          <t>⚠ BOAR/STAG flagged (FSIS)
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CAUTION
(boar/stag)</t>
        </is>
      </c>
      <c r="Q20" s="178" t="inlineStr">
        <is>
          <t>BOAR/STAG RULE 9-28: FSIS flags boar/stag slaughter at this plant — AVOID unless the call confirms boars/stags are never run with our hogs (gate G4). 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
· HACCP Very Small (&lt;10 employees or &lt;$2.5M sales)</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92.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
· HACCP Small (10-499 employees)</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t>
        </is>
      </c>
    </row>
    <row r="23" ht="179.2"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
· HACCP Small (10-499 employees)</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165.8" customHeight="1" s="59">
      <c r="A29" s="4" t="inlineStr">
        <is>
          <t>Knockout Butchery</t>
        </is>
      </c>
      <c r="B29" s="68" t="inlineStr">
        <is>
          <t>Roebuck, SC</t>
        </is>
      </c>
      <c r="C29" s="68" t="inlineStr">
        <is>
          <t>USDA custom processing</t>
        </is>
      </c>
      <c r="D29" s="68" t="inlineStr">
        <is>
          <t>&lt;19/wk
(FSIS cat 1)
· HACCP Very Small (&lt;10 employees or &lt;$2.5M sales)
· hog kill CAPPED by NASS 2025: South Carolina's 8 federal plants killed 14,070 hogs in the whole year (≈270/wk statewide) — the FSIS band counts ALL species</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165.8" customHeight="1" s="59">
      <c r="A30" s="138" t="inlineStr">
        <is>
          <t>Back Forty Butchery
(FSIS lists 'Back 40 Butchery')</t>
        </is>
      </c>
      <c r="B30" s="68" t="inlineStr">
        <is>
          <t>Hodges, SC</t>
        </is>
      </c>
      <c r="C30" s="68" t="inlineStr">
        <is>
          <t>USDA processing</t>
        </is>
      </c>
      <c r="D30" s="68" t="inlineStr">
        <is>
          <t>&lt;19/wk
(FSIS cat 1)
· HACCP Very Small (&lt;10 employees or &lt;$2.5M sales)
· hog kill CAPPED by NASS 2025: South Carolina's 8 federal plants killed 14,070 hogs in the whole year (≈270/wk statewide) — the FSIS band counts ALL species</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2.6" customHeight="1" s="59">
      <c r="A33" s="138" t="inlineStr">
        <is>
          <t>Williamsburg Packing Company, Inc.</t>
        </is>
      </c>
      <c r="B33" s="68" t="inlineStr">
        <is>
          <t>Kingstree, SC (Williamsburg)</t>
        </is>
      </c>
      <c r="C33" s="68" t="inlineStr">
        <is>
          <t>USDA federal slaughter + processing</t>
        </is>
      </c>
      <c r="D33"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33" s="110" t="inlineStr">
        <is>
          <t>NO · ~213 mi ≈
(Pikeville: ~190 mi)</t>
        </is>
      </c>
      <c r="F33" s="143" t="inlineStr">
        <is>
          <t>confirm
(federal band ≤1,944 — hog
share is the call question)</t>
        </is>
      </c>
      <c r="G33" s="68" t="inlineStr">
        <is>
          <t>⚠ BOAR/STAG flagged (FSIS)
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23" t="inlineStr">
        <is>
          <t>CAUTION
(boar/stag)</t>
        </is>
      </c>
      <c r="Q33" s="178" t="inlineStr">
        <is>
          <t>BOAR/STAG RULE 9-28: FSIS flags boar/stag slaughter at this plant — AVOID unless the call confirms boars/stags are never run with our hogs (gate G4). 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t>
        </is>
      </c>
    </row>
    <row r="34" ht="98.8" customHeight="1" s="59">
      <c r="A34" s="138" t="inlineStr">
        <is>
          <t>Hemingway Locker Plant, LLC</t>
        </is>
      </c>
      <c r="B34" s="68" t="inlineStr">
        <is>
          <t>Hemingway, SC (Williamsburg)</t>
        </is>
      </c>
      <c r="C34" s="68" t="inlineStr">
        <is>
          <t>USDA federal locker plant (slaughter + processing)</t>
        </is>
      </c>
      <c r="D34" s="68" t="inlineStr">
        <is>
          <t>19-194/wk (FSIS cat 2)
· shares South Carolina's 14,070 federal hogs/yr (NASS 2025) with 7 other plants — well under ~270/wk
· HACCP Very Small</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85.40000000000001" customHeight="1" s="59">
      <c r="A36" s="4" t="inlineStr">
        <is>
          <t>Fayette Packing Co., Inc.</t>
        </is>
      </c>
      <c r="B36" s="68" t="inlineStr">
        <is>
          <t>Eads, TN (Memphis area)</t>
        </is>
      </c>
      <c r="C36" s="68" t="inlineStr">
        <is>
          <t>USDA slaughter + processing</t>
        </is>
      </c>
      <c r="D36" s="68" t="inlineStr">
        <is>
          <t>&lt;19/wk
(FSIS cat 1) — 'largest of the TN
group' is REFUTED
· HACCP Small (10-499 employees)</t>
        </is>
      </c>
      <c r="E36" s="110" t="inlineStr">
        <is>
          <t>NO · ~710 mi ≈</t>
        </is>
      </c>
      <c r="F36" s="139" t="inlineStr">
        <is>
          <t>0-300/wk (&lt;19)</t>
        </is>
      </c>
      <c r="G36" s="68" t="inlineStr">
        <is>
          <t>⚠ BOAR/STAG flagged (FSIS)
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CAUTION
(boar/stag)</t>
        </is>
      </c>
      <c r="Q36" s="178" t="inlineStr">
        <is>
          <t>BOAR/STAG RULE 9-28: FSIS flags boar/stag slaughter at this plant — AVOID unless the call confirms boars/stags are never run with our hogs (gate G4). 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
· HACCP Very Small (&lt;10 employees or &lt;$2.5M sales)</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72" customHeight="1" s="59">
      <c r="A38" s="4" t="inlineStr">
        <is>
          <t>Cherry Meat Company</t>
        </is>
      </c>
      <c r="B38" s="68" t="inlineStr">
        <is>
          <t>Chapel Hill, TN</t>
        </is>
      </c>
      <c r="C38" s="68" t="inlineStr">
        <is>
          <t>USDA slaughter + processing</t>
        </is>
      </c>
      <c r="D38" s="68" t="inlineStr">
        <is>
          <t>~18/wk (80/month verified)
· HACCP Very Small (&lt;10 employees or &lt;$2.5M sales)</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192.6" customHeight="1" s="59">
      <c r="A41" s="4" t="inlineStr">
        <is>
          <t>EcoFriendly Foods, LLC</t>
        </is>
      </c>
      <c r="B41" s="68" t="inlineStr">
        <is>
          <t>Moneta, VA</t>
        </is>
      </c>
      <c r="C41" s="68" t="inlineStr">
        <is>
          <t>USDA + Certified Humane multi-species harvest</t>
        </is>
      </c>
      <c r="D41"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41" s="88" t="inlineStr">
        <is>
          <t>NO (boundary) · ~120 mi
(120.4 exact road · 92.6 radial; Pikeville: ~198 mi)</t>
        </is>
      </c>
      <c r="F41" s="143" t="inlineStr">
        <is>
          <t>confirm (band ≤1,944)</t>
        </is>
      </c>
      <c r="G41" s="68" t="inlineStr">
        <is>
          <t>⚠ BOAR/STAG flagged (FSIS)
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23" t="inlineStr">
        <is>
          <t>CAUTION
(boar/stag)</t>
        </is>
      </c>
      <c r="Q41" s="178" t="inlineStr">
        <is>
          <t>BOAR/STAG RULE 9-28: FSIS flags boar/stag slaughter at this plant — AVOID unless the call confirms boars/stags are never run with our hogs (gate G4). 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t>
        </is>
      </c>
    </row>
    <row r="42" ht="165.8"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CAPPED by NASS 2025: Virginia's 16 federal plants killed 7,841 hogs in the WHOLE year (≈150/wk statewide) — the FSIS band counts ALL species</t>
        </is>
      </c>
      <c r="E42" s="110" t="inlineStr">
        <is>
          <t>NO · ~218 mi ≈</t>
        </is>
      </c>
      <c r="F42" s="139" t="inlineStr">
        <is>
          <t>0-300/wk (≤194)</t>
        </is>
      </c>
      <c r="G42" s="68" t="inlineStr">
        <is>
          <t>⚠ BOAR/STAG flagged (FSIS)
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3" t="inlineStr">
        <is>
          <t>CAUTION
(boar/stag)</t>
        </is>
      </c>
      <c r="Q42" s="178" t="inlineStr">
        <is>
          <t>BOAR/STAG RULE 9-28: FSIS flags boar/stag slaughter at this plant — AVOID unless the call confirms boars/stags are never run with our hogs (gate G4). 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165.8" customHeight="1" s="59">
      <c r="A43" s="4" t="inlineStr">
        <is>
          <t>Blue Ridge Meats of Front Royal</t>
        </is>
      </c>
      <c r="B43" s="68" t="inlineStr">
        <is>
          <t>Middletown, VA</t>
        </is>
      </c>
      <c r="C43" s="68" t="inlineStr">
        <is>
          <t>USDA + AWA abattoir</t>
        </is>
      </c>
      <c r="D43" s="68" t="inlineStr">
        <is>
          <t>&lt;19/wk
(FSIS cat 1)
· HACCP Very Small (&lt;10 employees or &lt;$2.5M sales)
· hog kill CAPPED by NASS 2025: Virginia's 16 federal plants killed 7,841 hogs in the WHOLE year (≈150/wk statewide) — the FSIS band counts ALL species</t>
        </is>
      </c>
      <c r="E43" s="110" t="inlineStr">
        <is>
          <t>NO · ~272 mi ≈</t>
        </is>
      </c>
      <c r="F43" s="139" t="inlineStr">
        <is>
          <t>0-300/wk (&lt;19)</t>
        </is>
      </c>
      <c r="G43" s="68" t="inlineStr">
        <is>
          <t>⚠ BOAR/STAG flagged (FSIS)
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3" t="inlineStr">
        <is>
          <t>CAUTION
(boar/stag)</t>
        </is>
      </c>
      <c r="Q43" s="178" t="inlineStr">
        <is>
          <t>BOAR/STAG RULE 9-28: FSIS flags boar/stag slaughter at this plant — AVOID unless the call confirms boars/stags are never run with our hogs (gate G4). 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
· HACCP Large (500+ employees)</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
· HACCP Small (10-499 employees)</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
· HACCP Small (10-499 employees)</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58.6" customHeight="1" s="59">
      <c r="A53" s="4" t="inlineStr">
        <is>
          <t>Eickman's Processing Co.</t>
        </is>
      </c>
      <c r="B53" s="68" t="inlineStr">
        <is>
          <t>Seward, IL</t>
        </is>
      </c>
      <c r="C53" s="68" t="inlineStr">
        <is>
          <t>USDA (Est. M31776), small family plant</t>
        </is>
      </c>
      <c r="D53" s="68" t="inlineStr">
        <is>
          <t>~19-194/wk
(FSIS cat 2 ceiling)
· HACCP Small (10-499 employees)</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72" customHeight="1" s="59">
      <c r="A54" s="4" t="inlineStr">
        <is>
          <t>Ruthven Meat Processing</t>
        </is>
      </c>
      <c r="B54" s="68" t="inlineStr">
        <is>
          <t>Ruthven, IA</t>
        </is>
      </c>
      <c r="C54" s="68" t="inlineStr">
        <is>
          <t>USDA (Est. M2118), FSIS 'Very Small'</t>
        </is>
      </c>
      <c r="D54" s="68" t="inlineStr">
        <is>
          <t>~19-194/wk
(FSIS cat 2 ceiling)
· HACCP Very Small (&lt;10 employees or &lt;$2.5M sales)</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
· HACCP Small (10-499 employees)</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58.6" customHeight="1" s="59">
      <c r="A57" s="4" t="inlineStr">
        <is>
          <t>Seaboard Triumph Foods</t>
        </is>
      </c>
      <c r="B57" s="68" t="inlineStr">
        <is>
          <t>Sioux City, IA</t>
        </is>
      </c>
      <c r="C57" s="68" t="inlineStr">
        <is>
          <t>Very large packer</t>
        </is>
      </c>
      <c r="D57" s="68" t="inlineStr">
        <is>
          <t>~10,000/DAY (up to 20-24k)
· HACCP Large (500+ employees)</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
· HACCP Large (500+ employees)</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
· HACCP Large (500+ employees)</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
· HACCP Small (10-499 employees)</t>
        </is>
      </c>
      <c r="E64" s="88" t="inlineStr">
        <is>
          <t>YES · ~96 mi
(Pikeville: ~45 mi)</t>
        </is>
      </c>
      <c r="F64" s="195" t="inlineStr">
        <is>
          <t>5,000+/wk (~7,500)</t>
        </is>
      </c>
      <c r="G64" s="83" t="inlineStr">
        <is>
          <t>⚠ BOAR/STAG flagged (FSIS)
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
· HACCP Small (10-499 employees)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139" customHeight="1" s="59">
      <c r="A66" s="4" t="inlineStr">
        <is>
          <t>Caldwell Meat Processing Co.</t>
        </is>
      </c>
      <c r="B66" s="68" t="inlineStr">
        <is>
          <t>Maiden, NC (Lincoln)</t>
        </is>
      </c>
      <c r="C66" s="68" t="inlineStr">
        <is>
          <t>NC STATE-inspected slaughter + processing</t>
        </is>
      </c>
      <c r="D66" s="68" t="inlineStr">
        <is>
          <t>unknown — NO public figure exists for NC state plants (NASS withholds NC hog totals; NCDA publishes none)
· inference by business type: hog-only packer / sausage maker — plausibly 100-300/wk (Nahunta-type); ask</t>
        </is>
      </c>
      <c r="E66" s="110" t="inlineStr">
        <is>
          <t>NO · ~152 mi ≈
(Pikeville: ~227 mi)</t>
        </is>
      </c>
      <c r="F66" s="143" t="inlineStr">
        <is>
          <t>confirm
(state — no volume published)</t>
        </is>
      </c>
      <c r="G66" s="68" t="inlineStr">
        <is>
          <t>Yes — SWINE-ONLY
(boar/stag: ask — the NCDA species code does not distinguish boars)</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39" customHeight="1" s="59">
      <c r="A67" s="4" t="inlineStr">
        <is>
          <t>McLaughlin's</t>
        </is>
      </c>
      <c r="B67" s="68" t="inlineStr">
        <is>
          <t>Mooresville, NC (Rowan)</t>
        </is>
      </c>
      <c r="C67" s="68" t="inlineStr">
        <is>
          <t>NC STATE-inspected slaughter + processing</t>
        </is>
      </c>
      <c r="D67" s="68" t="inlineStr">
        <is>
          <t>unknown — NO public figure exists for NC state plants (NASS withholds NC hog totals; NCDA publishes none)
· inference by business type: hog-only packer / sausage maker — plausibly 100-300/wk (Nahunta-type); ask</t>
        </is>
      </c>
      <c r="E67" s="88" t="inlineStr">
        <is>
          <t>YES · ~119 mi (borderline)
(Pikeville: ~201 mi)</t>
        </is>
      </c>
      <c r="F67" s="143" t="inlineStr">
        <is>
          <t>confirm
(state — no volume published)</t>
        </is>
      </c>
      <c r="G67" s="68" t="inlineStr">
        <is>
          <t>Yes — SWINE-ONLY
(boar/stag: ask — the NCDA species code does not distinguish boars)</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t>
        </is>
      </c>
    </row>
    <row r="68" ht="139" customHeight="1" s="59">
      <c r="A68" s="4" t="inlineStr">
        <is>
          <t>Price's Custom Meat Cutting &amp; Abattoir</t>
        </is>
      </c>
      <c r="B68" s="68" t="inlineStr">
        <is>
          <t>Hickory, NC (Burke)</t>
        </is>
      </c>
      <c r="C68" s="68" t="inlineStr">
        <is>
          <t>NC STATE-inspected slaughter + processing</t>
        </is>
      </c>
      <c r="D68" s="68" t="inlineStr">
        <is>
          <t>unknown — NO public figure exists for NC state plants (NASS withholds NC hog totals; NCDA publishes none)
· inference by business type: hog-only packer / sausage maker — plausibly 100-300/wk (Nahunta-type); ask</t>
        </is>
      </c>
      <c r="E68" s="110" t="inlineStr">
        <is>
          <t>NO · ~150 mi ≈
(Pikeville: ~226 mi)</t>
        </is>
      </c>
      <c r="F68" s="139" t="inlineStr">
        <is>
          <t>0-300/wk (est. —
2 kill days/wk)</t>
        </is>
      </c>
      <c r="G68" s="68" t="inlineStr">
        <is>
          <t>Yes — SWINE-ONLY
(boar/stag: ask — the NCDA species code does not distinguish boars)</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52.4" customHeight="1" s="59">
      <c r="A69" s="4" t="inlineStr">
        <is>
          <t>Contentnea Farms, LLC</t>
        </is>
      </c>
      <c r="B69" s="68" t="inlineStr">
        <is>
          <t>Walstonburg, NC (Greene)</t>
        </is>
      </c>
      <c r="C69" s="68" t="inlineStr">
        <is>
          <t>Talmadge-Aiken multi-species slaughter</t>
        </is>
      </c>
      <c r="D69" s="68" t="inlineStr">
        <is>
          <t>&lt;19/wk
(FSIS cat 1)
· HACCP Very Small (&lt;10 employees or &lt;$2.5M sales)</t>
        </is>
      </c>
      <c r="E69" s="88" t="inlineStr">
        <is>
          <t>YES · ~90 mi
(Pikeville: ~35 mi)</t>
        </is>
      </c>
      <c r="F69" s="139" t="inlineStr">
        <is>
          <t>0-300/wk (&lt;19)</t>
        </is>
      </c>
      <c r="G69" s="68" t="inlineStr">
        <is>
          <t>⚠ BOAR/STAG flagged (FSIS)
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CAUTION
(boar/stag)</t>
        </is>
      </c>
      <c r="Q69" s="178" t="inlineStr">
        <is>
          <t>BOAR/STAG RULE 9-28: FSIS flags boar/stag slaughter at this plant — AVOID unless the call confirms boars/stags are never run with our hogs (gate G4). 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~19-194/wk
(FSIS cat 2 ceiling)
· HACCP Very Small (&lt;10 employees or &lt;$2.5M sales)</t>
        </is>
      </c>
      <c r="E72" s="88" t="inlineStr">
        <is>
          <t>YES · ~63 mi
(Pikeville: ~45 mi)</t>
        </is>
      </c>
      <c r="F72" s="139" t="inlineStr">
        <is>
          <t>0-300/wk (cat-2 ≤194)</t>
        </is>
      </c>
      <c r="G72" s="68" t="inlineStr">
        <is>
          <t>⚠ BOAR/STAG flagged (FSIS)
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CAUTION
(boar/stag)</t>
        </is>
      </c>
      <c r="Q72"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
· HACCP Small (10-499 employees)</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39" customHeight="1" s="59">
      <c r="A79" s="146" t="inlineStr">
        <is>
          <t>McLamb's Abattoir and Meats, Inc.</t>
        </is>
      </c>
      <c r="B79" s="83" t="inlineStr">
        <is>
          <t>Benson, NC (Johnston)</t>
        </is>
      </c>
      <c r="C79" s="83" t="inlineStr">
        <is>
          <t>NC STATE-inspected slaughter + processing</t>
        </is>
      </c>
      <c r="D79" s="83" t="inlineStr">
        <is>
          <t>unknown — NO public figure exists for NC state plants (NASS withholds NC hog totals; NCDA publishes none)
· inference by business type: multi-species custom / retail plant — typically 10-100 hogs/wk; call question 2 decides</t>
        </is>
      </c>
      <c r="E79" s="88" t="inlineStr">
        <is>
          <t>YES · ~58 mi
(Pikeville: ~37 mi)</t>
        </is>
      </c>
      <c r="F79" s="143" t="inlineStr">
        <is>
          <t>confirm
(state — no volume published)</t>
        </is>
      </c>
      <c r="G79" s="134" t="inlineStr">
        <is>
          <t>Multi-species incl. HOGS
(state species A,B,C,D,E)
(boar/stag: ask — the NCDA species code does not distinguish boars)</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t>
        </is>
      </c>
    </row>
    <row r="80" ht="139" customHeight="1" s="59">
      <c r="A80" s="146" t="inlineStr">
        <is>
          <t>Gale McLamb Meats</t>
        </is>
      </c>
      <c r="B80" s="83" t="inlineStr">
        <is>
          <t>Dunn, NC (Harnett)</t>
        </is>
      </c>
      <c r="C80" s="83" t="inlineStr">
        <is>
          <t>NC STATE-inspected slaughter + processing</t>
        </is>
      </c>
      <c r="D80" s="83" t="inlineStr">
        <is>
          <t>unknown — NO public figure exists for NC state plants (NASS withholds NC hog totals; NCDA publishes none)
· inference by business type: multi-species custom / retail plant — typically 10-100 hogs/wk; call question 2 decides</t>
        </is>
      </c>
      <c r="E80" s="88" t="inlineStr">
        <is>
          <t>YES · ~60 mi
(Pikeville: ~44 mi)</t>
        </is>
      </c>
      <c r="F80" s="143" t="inlineStr">
        <is>
          <t>confirm
(state — no volume published)</t>
        </is>
      </c>
      <c r="G80" s="134" t="inlineStr">
        <is>
          <t>Cattle + HOGS
(state species A,B,C)
(boar/stag: ask — the NCDA species code does not distinguish boars)</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t>
        </is>
      </c>
    </row>
    <row r="81" ht="72" customHeight="1" s="59">
      <c r="A81" s="146" t="inlineStr">
        <is>
          <t>SCR International Corp.</t>
        </is>
      </c>
      <c r="B81" s="83" t="inlineStr">
        <is>
          <t>Fairmont, NC (Robeson)</t>
        </is>
      </c>
      <c r="C81" s="83" t="inlineStr">
        <is>
          <t>USDA federal (T-A) whole-pig ROASTER house</t>
        </is>
      </c>
      <c r="D81" s="83" t="inlineStr">
        <is>
          <t>~19-194/wk
(FSIS cat 2)
· HACCP Very Small (&lt;10 employees or &lt;$2.5M sales)</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98.8" customHeight="1" s="59">
      <c r="A83" s="146" t="inlineStr">
        <is>
          <t>Select Meats, Inc.</t>
        </is>
      </c>
      <c r="B83" s="83" t="inlineStr">
        <is>
          <t>Kannapolis, NC (Rowan)</t>
        </is>
      </c>
      <c r="C83" s="83" t="inlineStr">
        <is>
          <t>USDA federal (T-A) SLAUGHTER-ONLY plant</t>
        </is>
      </c>
      <c r="D83" s="83" t="inlineStr">
        <is>
          <t>~19-194/wk all species
(FSIS cat 2)
· HACCP Very Small (&lt;10 employees or &lt;$2.5M sales)</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t>
        </is>
      </c>
    </row>
    <row r="84" ht="139" customHeight="1" s="59">
      <c r="A84" s="146" t="inlineStr">
        <is>
          <t>Crawley's Abattoir</t>
        </is>
      </c>
      <c r="B84" s="83" t="inlineStr">
        <is>
          <t>Morganton, NC (Burke)</t>
        </is>
      </c>
      <c r="C84" s="83" t="inlineStr">
        <is>
          <t>NC STATE-inspected slaughter + processing</t>
        </is>
      </c>
      <c r="D84" s="83" t="inlineStr">
        <is>
          <t>unknown — NO public figure exists for NC state plants (NASS withholds NC hog totals; NCDA publishes none)
· inference by business type: multi-species custom / retail plant — typically 10-100 hogs/wk; call question 2 decides</t>
        </is>
      </c>
      <c r="E84" s="110" t="inlineStr">
        <is>
          <t>NO · ~170 mi ≈
(Pikeville: ~245 mi)</t>
        </is>
      </c>
      <c r="F84" s="143" t="inlineStr">
        <is>
          <t>confirm
(state — no volume published)</t>
        </is>
      </c>
      <c r="G84" s="134" t="inlineStr">
        <is>
          <t>HOGS + goats/sheep
(state species C, D, E)
(boar/stag: ask — the NCDA species code does not distinguish boars)</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
· HACCP Large (500+ employees)</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
· HACCP Small (10-499 employees)</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58.6" customHeight="1" s="59">
      <c r="A93" s="4" t="inlineStr">
        <is>
          <t>Tyson (Hillshire / Jimmy Dean) — Newbern</t>
        </is>
      </c>
      <c r="B93" s="68" t="inlineStr">
        <is>
          <t>Newbern, TN (Dyer)</t>
        </is>
      </c>
      <c r="C93" s="68" t="inlineStr">
        <is>
          <t>Industrial — PRIMARILY SOWS</t>
        </is>
      </c>
      <c r="D93" s="68" t="inlineStr">
        <is>
          <t>~14,000/wk (2,800 hd/day)
· HACCP Large (500+ employees)</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72" customHeight="1" s="59">
      <c r="A97" s="4" t="inlineStr">
        <is>
          <t>Swaggerty Sausage Company</t>
        </is>
      </c>
      <c r="B97" s="68" t="inlineStr">
        <is>
          <t>Kodak, TN (Sevier)</t>
        </is>
      </c>
      <c r="C97" s="68" t="inlineStr">
        <is>
          <t>Captive SOW abattoir + sausage mfr (FSIS 'Large')</t>
        </is>
      </c>
      <c r="D97" s="68" t="inlineStr">
        <is>
          <t>~4,250/wk (850 hd/day EMI 2017; cat-4 confirms ≥2,000/wk)
· HACCP Large (500+ employees)</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
· HACCP Small (10-499 employees)</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
· HACCP Small (10-499 employees)</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85.40000000000001"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
· HACCP Small (10-499 employees)</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
· HACCP Small (10-499 employees)</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98.8"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
· HACCP Small (10-499 employees)</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58.6" customHeight="1" s="59">
      <c r="A104" s="4" t="inlineStr">
        <is>
          <t>Leidy's, LLC</t>
        </is>
      </c>
      <c r="B104" s="68" t="inlineStr">
        <is>
          <t>Souderton, PA</t>
        </is>
      </c>
      <c r="C104" s="68" t="inlineStr">
        <is>
          <t>USDA federal — MARKET hogs</t>
        </is>
      </c>
      <c r="D104" s="68" t="inlineStr">
        <is>
          <t>~6,750/wk (1,350 hd/day EMI 2017)
· HACCP Small (10-499 employees)</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58.6" customHeight="1" s="59">
      <c r="A105" s="4" t="inlineStr">
        <is>
          <t>Tri Eagle Provisions</t>
        </is>
      </c>
      <c r="B105" s="68" t="inlineStr">
        <is>
          <t>Tippecanoe, IN</t>
        </is>
      </c>
      <c r="C105" s="68" t="inlineStr">
        <is>
          <t>USDA federal — market + roaster</t>
        </is>
      </c>
      <c r="D105" s="68" t="inlineStr">
        <is>
          <t>~5,500/wk (1,100 hd/day EMI 2017)
· HACCP Small (10-499 employees)</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58.6" customHeight="1" s="59">
      <c r="A106" s="4" t="inlineStr">
        <is>
          <t>Verschoor Meats</t>
        </is>
      </c>
      <c r="B106" s="68" t="inlineStr">
        <is>
          <t>Sioux City, IA</t>
        </is>
      </c>
      <c r="C106" s="68" t="inlineStr">
        <is>
          <t>USDA federal — market + boar</t>
        </is>
      </c>
      <c r="D106" s="68" t="inlineStr">
        <is>
          <t>~6,000/wk (1,200 hd/day EMI 2017)
· HACCP Small (10-499 employees)</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58.6" customHeight="1" s="59">
      <c r="A107" s="4" t="inlineStr">
        <is>
          <t>Premium Minnesota Pork</t>
        </is>
      </c>
      <c r="B107" s="68" t="inlineStr">
        <is>
          <t>Luverne, MN</t>
        </is>
      </c>
      <c r="C107" s="68" t="inlineStr">
        <is>
          <t>USDA federal — market</t>
        </is>
      </c>
      <c r="D107" s="68" t="inlineStr">
        <is>
          <t>unknown — FSIS category 4 (≥2,000/wk)
· HACCP Small (10-499 employees)</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
· HACCP Small (10-499 employees)</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
· HACCP Small (10-499 employees)</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
· HACCP Small (10-499 employees)</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
· HACCP Small (10-499 employees)</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
· HACCP Small (10-499 employees)</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
· HACCP Small (10-499 employees)</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98.8"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
· HACCP Small (10-499 employees)</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85.40000000000001"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
· HACCP Small (10-499 employees)</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58.6" customHeight="1" s="59">
      <c r="A118" s="4" t="inlineStr">
        <is>
          <t>Clemens Food Group</t>
        </is>
      </c>
      <c r="B118" s="68" t="inlineStr">
        <is>
          <t>Hatfield, PA</t>
        </is>
      </c>
      <c r="C118" s="68" t="inlineStr">
        <is>
          <t>Large industrial market-hog packer</t>
        </is>
      </c>
      <c r="D118" s="68" t="inlineStr">
        <is>
          <t>~58,000-63,000/wk (11,700 hd/day)
· HACCP Large (500+ employees)</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206"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126" s="110" t="inlineStr">
        <is>
          <t>NO · ~233 mi ≈</t>
        </is>
      </c>
      <c r="F126" s="143" t="inlineStr">
        <is>
          <t>confirm (anomaly)</t>
        </is>
      </c>
      <c r="G126" s="68" t="inlineStr">
        <is>
          <t>⚠ BOAR/STAG flagged (FSIS)
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BOAR/STAG RULE 9-28: FSIS flags boar/stag slaughter at this plant — AVOID unless the call confirms boars/stags are never run with our hogs (gate G4). 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139" customHeight="1" s="59">
      <c r="A131" s="138" t="inlineStr">
        <is>
          <t>Quaqua Creek Farm, LLC</t>
        </is>
      </c>
      <c r="B131" s="68" t="inlineStr">
        <is>
          <t>Ruffin, NC (Rockingham Co.)</t>
        </is>
      </c>
      <c r="C131" s="68" t="inlineStr">
        <is>
          <t>NC state-inspected slaughter + processing</t>
        </is>
      </c>
      <c r="D131" s="68" t="inlineStr">
        <is>
          <t>unknown — NO public figure exists for NC state plants (NASS withholds NC hog totals; NCDA publishes none)
· inference by business type: multi-species custom / retail plant — typically 10-100 hogs/wk; call question 2 decides</t>
        </is>
      </c>
      <c r="E131" s="88" t="inlineStr">
        <is>
          <t>YES · ~67 mi
(Pikeville: n/m)</t>
        </is>
      </c>
      <c r="F131" s="143" t="inlineStr">
        <is>
          <t>confirm
(state plant — no band)</t>
        </is>
      </c>
      <c r="G131" s="68" t="inlineStr">
        <is>
          <t>Calves, cattle, SWINE, sheep, goats
(NCDA species A,B,C,D,E)
(boar/stag: ask — the NCDA species code does not distinguish boars)</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
· HACCP Very Small (&lt;10 employees or &lt;$2.5M sales)</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
· HACCP Large (500+ employees)</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152.4" customHeight="1" s="59">
      <c r="A134" s="138" t="inlineStr">
        <is>
          <t>Schrock's Slaughter House</t>
        </is>
      </c>
      <c r="B134" s="68" t="inlineStr">
        <is>
          <t>Gladys, VA (Campbell Co.)</t>
        </is>
      </c>
      <c r="C134" s="68" t="inlineStr">
        <is>
          <t>USDA-inspected (Virginia)</t>
        </is>
      </c>
      <c r="D134" s="68" t="inlineStr">
        <is>
          <t>&lt;19/wk (FSIS cat 1)
· HACCP Very Small (&lt;10 employees or &lt;$2.5M sales)
· hog kill CAPPED by NASS 2025: Virginia's 16 federal plants killed 7,841 hogs in the WHOLE year (≈150/wk statewide) — the FSIS band counts ALL species</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139" customHeight="1" s="59">
      <c r="A145" s="138" t="inlineStr">
        <is>
          <t>Farmington Meat Processing, LLC</t>
        </is>
      </c>
      <c r="B145" s="68" t="inlineStr">
        <is>
          <t>Mocksville, NC (Davie Co.)</t>
        </is>
      </c>
      <c r="C145" s="68" t="inlineStr">
        <is>
          <t>NC state-inspected slaughter + processing</t>
        </is>
      </c>
      <c r="D145" s="68" t="inlineStr">
        <is>
          <t>unknown — NO public figure exists for NC state plants (NASS withholds NC hog totals; NCDA publishes none)
· inference by business type: multi-species custom / retail plant — typically 10-100 hogs/wk; call question 2 decides</t>
        </is>
      </c>
      <c r="E145" s="88" t="inlineStr">
        <is>
          <t>YES · ~103 mi
(91.7 radial; Pikeville: n/m)</t>
        </is>
      </c>
      <c r="F145" s="143" t="inlineStr">
        <is>
          <t>confirm
(state plant — no band)</t>
        </is>
      </c>
      <c r="G145" s="68" t="inlineStr">
        <is>
          <t>Calves, cattle, SWINE, sheep, goats
(NCDA species A,B,C,D,E)
(boar/stag: ask — the NCDA species code does not distinguish boars)</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t>
        </is>
      </c>
      <c r="L145" s="68" t="inlineStr">
        <is>
          <t>unknown — call question 3</t>
        </is>
      </c>
      <c r="M145" s="68" t="inlineStr">
        <is>
          <t>possible — small floor, ~103 road mi from Durham (western lane)</t>
        </is>
      </c>
      <c r="N145" s="68" t="inlineStr">
        <is>
          <t>unknown</t>
        </is>
      </c>
      <c r="O145" s="68" t="inlineStr">
        <is>
          <t>(336)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t>
        </is>
      </c>
      <c r="S145" s="68" t="inlineStr">
        <is>
          <t>Medium (NCDA 9-18 + Beebop r2)</t>
        </is>
      </c>
      <c r="T145" s="68" t="inlineStr">
        <is>
          <t>Do not confuse with FSIS 'Farmington Meat Co. Inc.' M1993 — a processing-only entity. Added 2026-09-28 from the Beebop round-2 cross-check.</t>
        </is>
      </c>
    </row>
    <row r="146" ht="152.4" customHeight="1" s="59">
      <c r="A146" s="138" t="inlineStr">
        <is>
          <t>Easternview Farms LLC</t>
        </is>
      </c>
      <c r="B146" s="68" t="inlineStr">
        <is>
          <t>Drakes Branch, VA (Charlotte Co.)</t>
        </is>
      </c>
      <c r="C146" s="68" t="inlineStr">
        <is>
          <t>USDA-inspected (Virginia) — also custom + voluntary grants</t>
        </is>
      </c>
      <c r="D146" s="68" t="inlineStr">
        <is>
          <t>&lt;19/wk (FSIS cat 1)
· HACCP Very Small (&lt;10 employees or &lt;$2.5M sales)
· hog kill CAPPED by NASS 2025: Virginia's 16 federal plants killed 7,841 hogs in the WHOLE year (≈150/wk statewide) — the FSIS band counts ALL species</t>
        </is>
      </c>
      <c r="E146" s="88" t="inlineStr">
        <is>
          <t>YES · ~76 mi
(65.2 radial; Pikeville: n/m)</t>
        </is>
      </c>
      <c r="F146" s="139" t="inlineStr">
        <is>
          <t>0-300/wk (&lt;19)</t>
        </is>
      </c>
      <c r="G146" s="68" t="inlineStr">
        <is>
          <t>⚠ BOAR/STAG flagged (FSIS)
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434-208-8602 · 1040 Deuprees Store Road, Drakes Branch, VA 23937</t>
        </is>
      </c>
      <c r="P146" s="140" t="inlineStr">
        <is>
          <t>WATCH</t>
        </is>
      </c>
      <c r="Q146"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t>
        </is>
      </c>
      <c r="S146" s="68" t="inlineStr">
        <is>
          <t>High (FSIS 9-03 + MPI)</t>
        </is>
      </c>
      <c r="T146" s="68" t="inlineStr">
        <is>
          <t>Not individually listed before — the southern-VA census (9-03) treated the cat-1 plants as a group. Added 2026-09-28.</t>
        </is>
      </c>
    </row>
    <row r="147" ht="152.4" customHeight="1" s="59">
      <c r="A147" s="138" t="inlineStr">
        <is>
          <t>The Butcher's Block</t>
        </is>
      </c>
      <c r="B147" s="68" t="inlineStr">
        <is>
          <t>Dry Fork, VA (Pittsylvania Co.)</t>
        </is>
      </c>
      <c r="C147" s="68" t="inlineStr">
        <is>
          <t>USDA-inspected (Virginia) — also custom-exempt work</t>
        </is>
      </c>
      <c r="D147" s="68" t="inlineStr">
        <is>
          <t>&lt;19/wk (FSIS cat 1)
· HACCP Very Small (&lt;10 employees or &lt;$2.5M sales)
· hog kill CAPPED by NASS 2025: Virginia's 16 federal plants killed 7,841 hogs in the WHOLE year (≈150/wk statewide) — the FSIS band counts ALL species</t>
        </is>
      </c>
      <c r="E147" s="88" t="inlineStr">
        <is>
          <t>YES · ~74 mi
(60.5 radial; Pikeville: n/m)</t>
        </is>
      </c>
      <c r="F147" s="139" t="inlineStr">
        <is>
          <t>0-300/wk (&lt;19)</t>
        </is>
      </c>
      <c r="G147" s="68" t="inlineStr">
        <is>
          <t>⚠ BOAR/STAG flagged (FSIS)
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434-432-2345 · 4655 Dry Fork Road, Dry Fork, VA 24549</t>
        </is>
      </c>
      <c r="P147" s="140" t="inlineStr">
        <is>
          <t>WATCH</t>
        </is>
      </c>
      <c r="Q147"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147" s="179" t="inlineStr">
        <is>
          <t>facebook.com/p/The-Butchers-Block-100057234168268 (Beebop r2)</t>
        </is>
      </c>
      <c r="S147" s="68" t="inlineStr">
        <is>
          <t>High (FSIS 9-03 + MPI)</t>
        </is>
      </c>
      <c r="T147" s="68" t="inlineStr">
        <is>
          <t>Added 2026-09-28 from the Beebop round-2 cross-check; FSIS MPI grant date 2/13/2024.</t>
        </is>
      </c>
    </row>
    <row r="148" ht="152.4" customHeight="1" s="59">
      <c r="A148" s="138" t="inlineStr">
        <is>
          <t>KC Farms Meats, LLC</t>
        </is>
      </c>
      <c r="B148" s="68" t="inlineStr">
        <is>
          <t>Ferrum, VA (Franklin Co.)</t>
        </is>
      </c>
      <c r="C148" s="68" t="inlineStr">
        <is>
          <t>USDA-inspected on-farm (Virginia) — also custom-exempt work</t>
        </is>
      </c>
      <c r="D148" s="68" t="inlineStr">
        <is>
          <t>&lt;19/wk (FSIS cat 1)
· HACCP Very Small (&lt;10 employees or &lt;$2.5M sales)
· hog kill CAPPED by NASS 2025: Virginia's 16 federal plants killed 7,841 hogs in the WHOLE year (≈150/wk statewide) — the FSIS band counts ALL species</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98.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 — boar/stag: ASK (state code does not distinguish)</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9-28: Beebop's #2; confirm the contracting entity (Lee's Fresh Market shares address/phone). 58 road mi from Durham.
Top unworked NC state plant: the Nahunta playbook 37 miles out. Operator Shane Lee. One call closes the volume unknown. (919) 894-2587.</t>
        </is>
      </c>
      <c r="W7" s="198" t="n">
        <v>2</v>
      </c>
    </row>
    <row r="8" ht="58.6" customHeight="1" s="59">
      <c r="A8" s="153" t="inlineStr">
        <is>
          <t>Gale McLamb Meats
Dunn, NC</t>
        </is>
      </c>
      <c r="B8" s="154" t="inlineStr">
        <is>
          <t>STATE ✓ P-221 (NC)</t>
        </is>
      </c>
      <c r="C8" s="185" t="inlineStr">
        <is>
          <t>NC-East</t>
        </is>
      </c>
      <c r="D8" s="185" t="inlineStr">
        <is>
          <t>60 (Durham)
44 (Pikeville)</t>
        </is>
      </c>
      <c r="E8" s="154" t="inlineStr">
        <is>
          <t>Cattle + hogs
(state species A,B,C) — boar/stag: ASK (state code does not distinguish)</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139" customHeight="1" s="59">
      <c r="A10" s="153" t="inlineStr">
        <is>
          <t>Flowers Slaughter House
Sims, NC</t>
        </is>
      </c>
      <c r="B10" s="154" t="inlineStr">
        <is>
          <t>USDA ✓ M21747</t>
        </is>
      </c>
      <c r="C10" s="185" t="inlineStr">
        <is>
          <t>NC-East</t>
        </is>
      </c>
      <c r="D10" s="185" t="inlineStr">
        <is>
          <t>63 (Durham)
45 (Pikeville)</t>
        </is>
      </c>
      <c r="E10" s="154" t="inlineStr">
        <is>
          <t>⚠ BOAR/STAG flagged — 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2</v>
      </c>
      <c r="O10" s="185" t="n">
        <v>3</v>
      </c>
      <c r="P10" s="185" t="n">
        <v>4</v>
      </c>
      <c r="Q10" s="185" t="n">
        <v>5</v>
      </c>
      <c r="R10" s="185" t="n">
        <v>4</v>
      </c>
      <c r="S10" s="162">
        <f>ROUND(SUMPRODUCT($K$3:$R$3,K10:R10),1)</f>
        <v/>
      </c>
      <c r="T10" s="162">
        <f>ROUND(SUMPRODUCT($K$4:$R$4,K10:R10),1)</f>
        <v/>
      </c>
      <c r="U10" s="187" t="inlineStr">
        <is>
          <t>2</t>
        </is>
      </c>
      <c r="V10" s="154" t="inlineStr">
        <is>
          <t>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0" s="199" t="n">
        <v>5</v>
      </c>
    </row>
    <row r="11" ht="58.6"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206" customHeight="1" s="59">
      <c r="A13" s="153" t="inlineStr">
        <is>
          <t>Williamsburg Packing Co.
Kingstree, SC</t>
        </is>
      </c>
      <c r="B13" s="154" t="inlineStr">
        <is>
          <t>USDA ✓ M4005 + P4005 + V4005</t>
        </is>
      </c>
      <c r="C13" s="185" t="inlineStr">
        <is>
          <t>SC</t>
        </is>
      </c>
      <c r="D13" s="185" t="inlineStr">
        <is>
          <t>213 (Durham)
190 (Pikeville)</t>
        </is>
      </c>
      <c r="E13" s="154" t="inlineStr">
        <is>
          <t>⚠ BOAR/STAG flagged — 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2</v>
      </c>
      <c r="O13" s="185" t="n">
        <v>2</v>
      </c>
      <c r="P13" s="185" t="n">
        <v>4</v>
      </c>
      <c r="Q13" s="185" t="n">
        <v>5</v>
      </c>
      <c r="R13" s="185" t="n">
        <v>2</v>
      </c>
      <c r="S13" s="162">
        <f>ROUND(SUMPRODUCT($K$3:$R$3,K13:R13),1)</f>
        <v/>
      </c>
      <c r="T13" s="162">
        <f>ROUND(SUMPRODUCT($K$4:$R$4,K13:R13),1)</f>
        <v/>
      </c>
      <c r="U13" s="188" t="inlineStr">
        <is>
          <t>3</t>
        </is>
      </c>
      <c r="V13" s="154" t="inlineStr">
        <is>
          <t>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179.2" customHeight="1" s="59">
      <c r="A14" s="153" t="inlineStr">
        <is>
          <t>Contentnea Farms
Walstonburg, NC</t>
        </is>
      </c>
      <c r="B14" s="154" t="inlineStr">
        <is>
          <t>USDA ✓ M2583 (T-A)
grant 10/29/2025</t>
        </is>
      </c>
      <c r="C14" s="185" t="inlineStr">
        <is>
          <t>NC-East</t>
        </is>
      </c>
      <c r="D14" s="185" t="inlineStr">
        <is>
          <t>90 (Durham)
35 (Pikeville)</t>
        </is>
      </c>
      <c r="E14" s="154" t="inlineStr">
        <is>
          <t>⚠ BOAR/STAG flagged — 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2</v>
      </c>
      <c r="O14" s="185" t="n">
        <v>1</v>
      </c>
      <c r="P14" s="185" t="n">
        <v>4</v>
      </c>
      <c r="Q14" s="185" t="n">
        <v>5</v>
      </c>
      <c r="R14" s="185" t="n">
        <v>3</v>
      </c>
      <c r="S14" s="162">
        <f>ROUND(SUMPRODUCT($K$3:$R$3,K14:R14),1)</f>
        <v/>
      </c>
      <c r="T14" s="162">
        <f>ROUND(SUMPRODUCT($K$4:$R$4,K14:R14),1)</f>
        <v/>
      </c>
      <c r="U14" s="188" t="inlineStr">
        <is>
          <t>3</t>
        </is>
      </c>
      <c r="V14" s="154" t="inlineStr">
        <is>
          <t>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Closest plant on the list (35 mi) but &lt;19/wk: overflow/pilot for odd-lot sow or boar needs only. (252) 717-9229.</t>
        </is>
      </c>
      <c r="W14" s="200" t="n">
        <v>10</v>
      </c>
    </row>
    <row r="15" ht="192.6"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6" t="inlineStr">
        <is>
          <t>1</t>
        </is>
      </c>
      <c r="V15" s="154" t="inlineStr">
        <is>
          <t>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n">
        <v>6</v>
      </c>
    </row>
    <row r="16" ht="125.6" customHeight="1" s="59">
      <c r="A16" s="153" t="inlineStr">
        <is>
          <t>Wilkes Abattoir (Apple Brandy)
N. Wilkesboro, NC</t>
        </is>
      </c>
      <c r="B16" s="154" t="inlineStr">
        <is>
          <t>USDA ✓ M19511 (T-A)</t>
        </is>
      </c>
      <c r="C16" s="185" t="inlineStr">
        <is>
          <t>NC-West</t>
        </is>
      </c>
      <c r="D16" s="185" t="inlineStr">
        <is>
          <t>134 (Durham)
209 (Pikeville)</t>
        </is>
      </c>
      <c r="E16" s="154" t="inlineStr">
        <is>
          <t>⚠ BOAR/STAG flagged — 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2</v>
      </c>
      <c r="O16" s="185" t="n">
        <v>3</v>
      </c>
      <c r="P16" s="185" t="n">
        <v>3</v>
      </c>
      <c r="Q16" s="185" t="n">
        <v>5</v>
      </c>
      <c r="R16" s="185" t="n">
        <v>3</v>
      </c>
      <c r="S16" s="162">
        <f>ROUND(SUMPRODUCT($K$3:$R$3,K16:R16),1)</f>
        <v/>
      </c>
      <c r="T16" s="162">
        <f>ROUND(SUMPRODUCT($K$4:$R$4,K16:R16),1)</f>
        <v/>
      </c>
      <c r="U16" s="188" t="inlineStr">
        <is>
          <t>3</t>
        </is>
      </c>
      <c r="V16" s="154" t="inlineStr">
        <is>
          <t>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209 mi. Model B-T only. (336) 667-1346.</t>
        </is>
      </c>
      <c r="W16" s="200" t="inlineStr">
        <is>
          <t>—</t>
        </is>
      </c>
    </row>
    <row r="17" ht="7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c r="W17" s="200" t="inlineStr">
        <is>
          <t>—</t>
        </is>
      </c>
    </row>
    <row r="18" ht="58.6"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 — boar/stag: ASK (state code does not distinguish)</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7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 — boar/stag: ASK (state code does not distinguish)</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n"/>
      <c r="W22" s="200" t="inlineStr">
        <is>
          <t>follow-up</t>
        </is>
      </c>
    </row>
    <row r="23" ht="85.40000000000001"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 BOAR/STAG flagged — 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2</v>
      </c>
      <c r="O23" s="185" t="n">
        <v>1</v>
      </c>
      <c r="P23" s="185" t="n">
        <v>1</v>
      </c>
      <c r="Q23" s="185" t="n">
        <v>5</v>
      </c>
      <c r="R23" s="185" t="n">
        <v>3</v>
      </c>
      <c r="S23" s="162">
        <f>ROUND(SUMPRODUCT($K$3:$R$3,K23:R23),1)</f>
        <v/>
      </c>
      <c r="T23" s="162">
        <f>ROUND(SUMPRODUCT($K$4:$R$4,K23:R23),1)</f>
        <v/>
      </c>
      <c r="U23" s="188" t="inlineStr">
        <is>
          <t>3</t>
        </is>
      </c>
      <c r="V23"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 BOAR/STAG flagged — 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2</v>
      </c>
      <c r="O24" s="185" t="n">
        <v>2</v>
      </c>
      <c r="P24" s="185" t="n">
        <v>5</v>
      </c>
      <c r="Q24" s="185" t="n">
        <v>5</v>
      </c>
      <c r="R24" s="185" t="n">
        <v>3</v>
      </c>
      <c r="S24" s="162">
        <f>ROUND(SUMPRODUCT($K$3:$R$3,K24:R24),1)</f>
        <v/>
      </c>
      <c r="T24" s="162">
        <f>ROUND(SUMPRODUCT($K$4:$R$4,K24:R24),1)</f>
        <v/>
      </c>
      <c r="U24" s="188" t="inlineStr">
        <is>
          <t>3</t>
        </is>
      </c>
      <c r="V24" s="154" t="inlineStr">
        <is>
          <t>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7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 — boar/stag: ASK (state code does not distinguish)</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n"/>
      <c r="W25" s="200" t="n">
        <v>9</v>
      </c>
    </row>
    <row r="26" ht="85.40000000000001"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 BOAR/STAG flagged — 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2</v>
      </c>
      <c r="O26" s="185" t="n">
        <v>1</v>
      </c>
      <c r="P26" s="185" t="n">
        <v>4</v>
      </c>
      <c r="Q26" s="185" t="n">
        <v>5</v>
      </c>
      <c r="R26" s="185" t="n">
        <v>3</v>
      </c>
      <c r="S26" s="162">
        <f>ROUND(SUMPRODUCT($K$3:$R$3,K26:R26),1)</f>
        <v/>
      </c>
      <c r="T26" s="162">
        <f>ROUND(SUMPRODUCT($K$4:$R$4,K26:R26),1)</f>
        <v/>
      </c>
      <c r="U26" s="188" t="inlineStr">
        <is>
          <t>3</t>
        </is>
      </c>
      <c r="V26"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6" s="200" t="inlineStr">
        <is>
          <t>follow-up</t>
        </is>
      </c>
    </row>
    <row r="27" ht="85.40000000000001" customHeight="1" s="59">
      <c r="A27" s="153" t="inlineStr">
        <is>
          <t>The Butcher's Block
Dry Fork, VA (Pittsylvania)</t>
        </is>
      </c>
      <c r="B27" s="154" t="inlineStr">
        <is>
          <t>USDA M763 (grant 2/13/2024)</t>
        </is>
      </c>
      <c r="C27" s="185" t="inlineStr">
        <is>
          <t>VA-South</t>
        </is>
      </c>
      <c r="D27" s="185" t="inlineStr">
        <is>
          <t>74 (Durham)
n/m (Pikeville)</t>
        </is>
      </c>
      <c r="E27" s="154" t="inlineStr">
        <is>
          <t>⚠ BOAR/STAG flagged — 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51"/>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2026-09-28T19:49:10Z</dcterms:modified>
  <cp:lastModifiedBy>Oscar Penny</cp:lastModifiedBy>
</cp:coreProperties>
</file>